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VX~1\AppData\Roaming\MobaXterm\slash\mx86_64b\RemoteFiles\460376_8_12\"/>
    </mc:Choice>
  </mc:AlternateContent>
  <xr:revisionPtr revIDLastSave="0" documentId="13_ncr:1_{789B2F90-E285-422D-96D8-C202E0F922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sta pagos 2026 (CXP)" sheetId="1" r:id="rId1"/>
  </sheets>
  <externalReferences>
    <externalReference r:id="rId2"/>
  </externalReferences>
  <definedNames>
    <definedName name="_xlnm._FilterDatabase" localSheetId="0" hidden="1">'Lista pagos 2026 (CXP)'!$D$1:$D$18</definedName>
    <definedName name="mprove">OFFSET([1]Maestro_Proveedores!$A$1,1,0,COUNTA([1]Maestro_Proveedores!$A:$A)-1)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" i="1" l="1"/>
  <c r="AP319" i="1" l="1"/>
  <c r="AR319" i="1" s="1"/>
  <c r="AS319" i="1" s="1"/>
</calcChain>
</file>

<file path=xl/sharedStrings.xml><?xml version="1.0" encoding="utf-8"?>
<sst xmlns="http://schemas.openxmlformats.org/spreadsheetml/2006/main" count="33" uniqueCount="30">
  <si>
    <t>LINEA</t>
  </si>
  <si>
    <t>RIF</t>
  </si>
  <si>
    <t>PROVEEDOR</t>
  </si>
  <si>
    <t>Fecha</t>
  </si>
  <si>
    <t>HORA</t>
  </si>
  <si>
    <t>N°deLote</t>
  </si>
  <si>
    <t>C.I</t>
  </si>
  <si>
    <t>NombreyApellido</t>
  </si>
  <si>
    <t>FormadePago</t>
  </si>
  <si>
    <t>BANCO</t>
  </si>
  <si>
    <t>Cuenta</t>
  </si>
  <si>
    <t>Monto</t>
  </si>
  <si>
    <t>N°deTransferencia</t>
  </si>
  <si>
    <t>IdBeneficiario</t>
  </si>
  <si>
    <t>EmailBeneficiario</t>
  </si>
  <si>
    <t>ConceptodelPago</t>
  </si>
  <si>
    <t>CONTRATO</t>
  </si>
  <si>
    <t>PROYECTO</t>
  </si>
  <si>
    <t>BASE</t>
  </si>
  <si>
    <t>IVA</t>
  </si>
  <si>
    <t>TOTAL</t>
  </si>
  <si>
    <t>%RETIVA</t>
  </si>
  <si>
    <t>RETIVA</t>
  </si>
  <si>
    <t>%RETISLR</t>
  </si>
  <si>
    <t>SUSTRAENDO</t>
  </si>
  <si>
    <t>RETISLR</t>
  </si>
  <si>
    <t>PAGAR$</t>
  </si>
  <si>
    <t>TASA</t>
  </si>
  <si>
    <t>PAGARBS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</si>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</sst>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€_-;\-* #,##0.00\ _€_-;_-* &quot;-&quot;??\ _€_-;_-@_-"/>
    <numFmt numFmtId="171" formatCode="_-* #,##0.00_-;\-* #,##0.00_-;_-* &quot;-&quot;??_-;_-@_-"/>
  </numFmts>
  <fonts count="15" x14ac:knownFonts="1">
    <font>
      <sz val="11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color rgb="FF000000"/>
      <name val="Arial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color rgb="FF000000"/>
      <name val="Arial"/>
      <family val="2"/>
    </font>
    <font>
      <u/>
      <sz val="11"/>
      <color rgb="FF0000FF"/>
      <name val="Calibri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6A6A6"/>
        <bgColor indexed="64"/>
      </patternFill>
    </fill>
    <fill>
      <patternFill patternType="solid">
        <fgColor rgb="FF95B3D7"/>
      </patternFill>
    </fill>
    <fill>
      <patternFill patternType="solid">
        <fgColor rgb="FFC4D79B"/>
      </patternFill>
    </fill>
    <fill>
      <patternFill patternType="solid">
        <fgColor rgb="FFEBF1DE"/>
      </patternFill>
    </fill>
    <fill>
      <patternFill patternType="solid">
        <fgColor rgb="FFB7DEE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164" fontId="8" fillId="0" borderId="0">
      <protection locked="0"/>
    </xf>
    <xf numFmtId="9" fontId="8" fillId="0" borderId="0">
      <protection locked="0"/>
    </xf>
    <xf numFmtId="0" fontId="9" fillId="4" borderId="0">
      <protection locked="0"/>
    </xf>
    <xf numFmtId="0" fontId="8" fillId="6" borderId="0">
      <protection locked="0"/>
    </xf>
    <xf numFmtId="0" fontId="8" fillId="7" borderId="0">
      <protection locked="0"/>
    </xf>
    <xf numFmtId="0" fontId="7" fillId="2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9" fontId="8" fillId="0" borderId="0">
      <protection locked="0"/>
    </xf>
    <xf numFmtId="0" fontId="8" fillId="6" borderId="0">
      <protection locked="0"/>
    </xf>
    <xf numFmtId="0" fontId="8" fillId="7" borderId="0">
      <protection locked="0"/>
    </xf>
    <xf numFmtId="171" fontId="8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164" fontId="8" fillId="0" borderId="0">
      <protection locked="0"/>
    </xf>
  </cellStyleXfs>
  <cellXfs count="30">
    <xf numFmtId="0" fontId="0" fillId="0" borderId="0" xfId="0">
      <alignment vertical="center"/>
    </xf>
    <xf numFmtId="3" fontId="1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7" fillId="2" borderId="0" xfId="6" applyAlignment="1" applyProtection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4" borderId="0" xfId="3" applyAlignment="1" applyProtection="1">
      <alignment horizontal="center" vertical="center" wrapText="1"/>
    </xf>
    <xf numFmtId="9" fontId="9" fillId="5" borderId="0" xfId="2" applyFont="1" applyFill="1" applyAlignment="1" applyProtection="1">
      <alignment horizontal="center" vertical="center" wrapText="1"/>
    </xf>
    <xf numFmtId="0" fontId="8" fillId="6" borderId="0" xfId="4" applyAlignment="1" applyProtection="1">
      <alignment horizontal="center" vertical="center" wrapText="1"/>
    </xf>
    <xf numFmtId="0" fontId="8" fillId="7" borderId="1" xfId="5" applyBorder="1" applyAlignment="1" applyProtection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8" fillId="0" borderId="0" xfId="1" applyFont="1" applyAlignment="1" applyProtection="1">
      <alignment horizontal="center" vertical="center" wrapText="1"/>
    </xf>
    <xf numFmtId="164" fontId="8" fillId="7" borderId="1" xfId="12" applyNumberFormat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164" fontId="2" fillId="0" borderId="0" xfId="1" applyFont="1" applyAlignment="1" applyProtection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</cellXfs>
  <cellStyles count="17">
    <cellStyle name="20% - Énfasis3" xfId="4" builtinId="38"/>
    <cellStyle name="20% - Énfasis3 5" xfId="11" xr:uid="{00000000-0005-0000-0000-000001000000}"/>
    <cellStyle name="40% - Énfasis5" xfId="5" builtinId="47"/>
    <cellStyle name="40% - Énfasis5 5" xfId="12" xr:uid="{00000000-0005-0000-0000-000003000000}"/>
    <cellStyle name="60% - Énfasis1" xfId="3" builtinId="32"/>
    <cellStyle name="Bueno" xfId="6" xr:uid="{00000000-0005-0000-0000-000005000000}"/>
    <cellStyle name="Hipervínculo" xfId="9" xr:uid="{00000000-0005-0000-0000-000006000000}"/>
    <cellStyle name="Hyperlink" xfId="15" xr:uid="{00000000-0005-0000-0000-000007000000}"/>
    <cellStyle name="Millares" xfId="1" builtinId="3"/>
    <cellStyle name="Millares 20 2 2" xfId="13" xr:uid="{00000000-0005-0000-0000-000009000000}"/>
    <cellStyle name="Millares 3 3" xfId="16" xr:uid="{00000000-0005-0000-0000-00000A000000}"/>
    <cellStyle name="Normal" xfId="0" builtinId="0"/>
    <cellStyle name="Normal 10 2" xfId="7" xr:uid="{00000000-0005-0000-0000-00000C000000}"/>
    <cellStyle name="Normal 3 2" xfId="8" xr:uid="{00000000-0005-0000-0000-00000D000000}"/>
    <cellStyle name="Normal 5" xfId="14" xr:uid="{00000000-0005-0000-0000-00000E000000}"/>
    <cellStyle name="Porcentaje" xfId="2" builtinId="5"/>
    <cellStyle name="Porcentaje 4" xfId="10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://1.%20PAGOS%20CXP/202503%20PAGOS/2169-%20Pago%20cxp%20PPR-LOTE-5420253212872/2169%20-%20mele-pago-proveedores%20-%20PAGO%20PROVEED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s"/>
      <sheetName val="Maestro_Proveedores"/>
      <sheetName val="Maestro_Empresas"/>
      <sheetName val="Instructivo de Uso"/>
      <sheetName val="Consideraciones del Servicio"/>
      <sheetName val="#REF"/>
    </sheetNames>
    <sheetDataSet>
      <sheetData sheetId="0"/>
      <sheetData sheetId="1">
        <row r="1">
          <cell r="A1" t="str">
            <v>Nombre del Beneficiario</v>
          </cell>
        </row>
        <row r="2">
          <cell r="A2" t="str">
            <v>VANESSA MANJARRES</v>
          </cell>
        </row>
        <row r="3">
          <cell r="A3" t="str">
            <v>VANESSA MANJARRES</v>
          </cell>
        </row>
        <row r="4">
          <cell r="A4" t="str">
            <v>SUMINISTROS Y SERVICIOS LP Y RP CA</v>
          </cell>
        </row>
        <row r="5">
          <cell r="A5" t="str">
            <v>DENYS MARTINEZ</v>
          </cell>
        </row>
        <row r="6">
          <cell r="A6" t="str">
            <v>FERRETERIA CELMA CA</v>
          </cell>
        </row>
        <row r="7">
          <cell r="A7" t="str">
            <v>CORPORACION PINTO SUR CA</v>
          </cell>
        </row>
        <row r="8">
          <cell r="A8" t="str">
            <v>FERRETERIA CELMA CA</v>
          </cell>
        </row>
        <row r="9">
          <cell r="A9" t="str">
            <v>USAMA CHAABAN</v>
          </cell>
        </row>
        <row r="10">
          <cell r="A10" t="str">
            <v>REACCION GPS C A</v>
          </cell>
        </row>
        <row r="11">
          <cell r="A11" t="str">
            <v>AS SOFTWARE INTERNATIONAL S 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90"/>
  <sheetViews>
    <sheetView tabSelected="1" zoomScale="85" zoomScaleNormal="85" workbookViewId="0">
      <selection activeCell="G13" sqref="G13"/>
    </sheetView>
  </sheetViews>
  <sheetFormatPr baseColWidth="10" defaultColWidth="8.453125" defaultRowHeight="14.5" x14ac:dyDescent="0.35"/>
  <cols>
    <col min="1" max="1" width="7" style="21" customWidth="1"/>
    <col min="2" max="2" width="5.54296875" style="2" customWidth="1"/>
    <col min="3" max="3" width="14" style="2" customWidth="1"/>
    <col min="4" max="4" width="21.54296875" style="2" customWidth="1"/>
    <col min="5" max="5" width="13.54296875" style="2" customWidth="1"/>
    <col min="6" max="6" width="13.7265625" style="2" customWidth="1"/>
    <col min="7" max="7" width="10.90625" style="2" customWidth="1"/>
    <col min="8" max="8" width="6.81640625" style="2" customWidth="1"/>
    <col min="9" max="9" width="11.54296875" style="2" customWidth="1"/>
    <col min="10" max="10" width="13.54296875" style="2" hidden="1" customWidth="1"/>
    <col min="11" max="11" width="38.1796875" style="26" customWidth="1"/>
    <col min="12" max="12" width="13.453125" style="2" hidden="1" customWidth="1"/>
    <col min="13" max="13" width="5.54296875" style="2" hidden="1" customWidth="1"/>
    <col min="14" max="15" width="0.1796875" style="2" hidden="1" customWidth="1"/>
    <col min="16" max="17" width="20.26953125" style="27" customWidth="1"/>
    <col min="18" max="18" width="21.54296875" style="26" bestFit="1" customWidth="1"/>
    <col min="19" max="19" width="0.1796875" style="2" hidden="1" customWidth="1"/>
    <col min="20" max="20" width="11.7265625" style="2" bestFit="1" customWidth="1"/>
    <col min="21" max="21" width="22.81640625" style="2" bestFit="1" customWidth="1"/>
    <col min="22" max="22" width="17.453125" style="2" bestFit="1" customWidth="1"/>
    <col min="23" max="23" width="17.26953125" style="2" customWidth="1"/>
    <col min="24" max="24" width="22.453125" style="2" bestFit="1" customWidth="1"/>
    <col min="25" max="25" width="11.453125" style="22" bestFit="1" customWidth="1"/>
    <col min="26" max="26" width="17.453125" style="22" bestFit="1" customWidth="1"/>
    <col min="27" max="27" width="29.1796875" style="2" bestFit="1" customWidth="1"/>
    <col min="28" max="28" width="15.81640625" style="14" customWidth="1"/>
    <col min="29" max="29" width="10.1796875" style="15" bestFit="1" customWidth="1"/>
    <col min="30" max="30" width="11.81640625" style="15" customWidth="1"/>
    <col min="31" max="31" width="25.453125" style="14" customWidth="1"/>
    <col min="32" max="33" width="15.54296875" style="15" customWidth="1"/>
    <col min="34" max="34" width="15.54296875" style="16" customWidth="1"/>
    <col min="35" max="35" width="15.54296875" style="15" customWidth="1"/>
    <col min="36" max="36" width="15.54296875" style="17" customWidth="1"/>
    <col min="37" max="37" width="16.81640625" style="18" bestFit="1" customWidth="1"/>
    <col min="38" max="39" width="15.54296875" style="15" customWidth="1"/>
    <col min="40" max="40" width="15.54296875" style="19" customWidth="1"/>
    <col min="41" max="41" width="19" style="15" customWidth="1"/>
    <col min="42" max="42" width="18.453125" style="15" customWidth="1"/>
    <col min="43" max="231" width="11.453125" style="15" customWidth="1"/>
    <col min="232" max="16384" width="8.453125" style="15"/>
  </cols>
  <sheetData>
    <row r="1" spans="1:41" x14ac:dyDescent="0.35">
      <c r="A1" s="1" t="s">
        <v>0</v>
      </c>
      <c r="C1" s="1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/>
      <c r="I1" s="7" t="s">
        <v>6</v>
      </c>
      <c r="J1" s="7"/>
      <c r="K1" s="8" t="s">
        <v>7</v>
      </c>
      <c r="L1" s="4"/>
      <c r="M1" s="4"/>
      <c r="N1" s="4"/>
      <c r="O1" s="4"/>
      <c r="P1" s="9" t="s">
        <v>8</v>
      </c>
      <c r="Q1" s="9" t="s">
        <v>9</v>
      </c>
      <c r="R1" s="8" t="s">
        <v>10</v>
      </c>
      <c r="S1" s="4"/>
      <c r="T1" s="10" t="s">
        <v>11</v>
      </c>
      <c r="U1" s="11" t="s">
        <v>12</v>
      </c>
      <c r="V1" s="4" t="s">
        <v>13</v>
      </c>
      <c r="W1" s="4" t="s">
        <v>14</v>
      </c>
      <c r="X1" s="4" t="s">
        <v>15</v>
      </c>
      <c r="Y1" s="12" t="s">
        <v>16</v>
      </c>
      <c r="Z1" s="12" t="s">
        <v>17</v>
      </c>
      <c r="AA1" s="13">
        <f>SUM(T:T)</f>
        <v>0</v>
      </c>
      <c r="AB1" s="14" t="s">
        <v>18</v>
      </c>
      <c r="AC1" s="15" t="s">
        <v>19</v>
      </c>
      <c r="AD1" s="15" t="s">
        <v>20</v>
      </c>
      <c r="AE1" s="14" t="s">
        <v>18</v>
      </c>
      <c r="AF1" s="15" t="s">
        <v>19</v>
      </c>
      <c r="AG1" s="15" t="s">
        <v>20</v>
      </c>
      <c r="AH1" s="16" t="s">
        <v>21</v>
      </c>
      <c r="AI1" s="15" t="s">
        <v>22</v>
      </c>
      <c r="AJ1" s="17" t="s">
        <v>23</v>
      </c>
      <c r="AK1" s="18" t="s">
        <v>24</v>
      </c>
      <c r="AL1" s="15" t="s">
        <v>25</v>
      </c>
      <c r="AM1" s="15" t="s">
        <v>26</v>
      </c>
      <c r="AN1" s="19" t="s">
        <v>27</v>
      </c>
      <c r="AO1" s="15" t="s">
        <v>28</v>
      </c>
    </row>
    <row r="2" spans="1:41" s="25" customFormat="1" x14ac:dyDescent="0.35">
      <c r="A2" s="21"/>
      <c r="B2" s="2"/>
      <c r="C2" s="2"/>
      <c r="D2" s="2"/>
      <c r="E2" s="2"/>
      <c r="F2" s="2"/>
      <c r="G2" s="2"/>
      <c r="H2" s="2"/>
      <c r="I2" s="2"/>
      <c r="J2" s="2"/>
      <c r="K2" s="26"/>
      <c r="L2" s="2"/>
      <c r="M2" s="2"/>
      <c r="N2" s="2"/>
      <c r="O2" s="2"/>
      <c r="P2" s="27"/>
      <c r="Q2" s="27"/>
      <c r="R2" s="26"/>
      <c r="S2" s="2"/>
      <c r="T2" s="28"/>
      <c r="U2" s="2"/>
      <c r="V2" s="2"/>
      <c r="W2" s="2"/>
      <c r="X2" s="2"/>
      <c r="Y2" s="22"/>
      <c r="Z2" s="22"/>
      <c r="AA2" s="29"/>
      <c r="AB2" s="14"/>
      <c r="AC2" s="15"/>
      <c r="AD2" s="15"/>
      <c r="AE2" s="14"/>
      <c r="AF2" s="15"/>
      <c r="AG2" s="15"/>
      <c r="AH2" s="16"/>
      <c r="AI2" s="15"/>
      <c r="AJ2" s="17"/>
      <c r="AK2" s="18"/>
      <c r="AL2" s="15"/>
      <c r="AM2" s="15"/>
      <c r="AN2" s="19"/>
      <c r="AO2" s="15"/>
    </row>
    <row r="17" spans="1:41" s="25" customFormat="1" x14ac:dyDescent="0.35">
      <c r="A17" s="21"/>
      <c r="B17" s="2"/>
      <c r="C17" s="2"/>
      <c r="D17" s="2"/>
      <c r="E17" s="2"/>
      <c r="F17" s="2"/>
      <c r="G17" s="2"/>
      <c r="H17" s="2"/>
      <c r="I17" s="2" t="s">
        <v>29</v>
      </c>
      <c r="J17" s="2"/>
      <c r="K17" s="26"/>
      <c r="L17" s="2"/>
      <c r="M17" s="2"/>
      <c r="N17" s="2"/>
      <c r="O17" s="2"/>
      <c r="P17" s="27"/>
      <c r="Q17" s="27"/>
      <c r="R17" s="26"/>
      <c r="S17" s="2"/>
      <c r="T17" s="2"/>
      <c r="U17" s="2"/>
      <c r="V17" s="2"/>
      <c r="W17" s="2"/>
      <c r="X17" s="2"/>
      <c r="Y17" s="22"/>
      <c r="Z17" s="22"/>
      <c r="AA17" s="2"/>
      <c r="AB17" s="14"/>
      <c r="AC17" s="15"/>
      <c r="AD17" s="15"/>
      <c r="AE17" s="14"/>
      <c r="AF17" s="15"/>
      <c r="AG17" s="15"/>
      <c r="AH17" s="16"/>
      <c r="AI17" s="15"/>
      <c r="AJ17" s="17"/>
      <c r="AK17" s="18"/>
      <c r="AL17" s="15"/>
      <c r="AM17" s="15"/>
      <c r="AN17" s="19"/>
      <c r="AO17" s="15"/>
    </row>
    <row r="18" spans="1:41" s="25" customFormat="1" x14ac:dyDescent="0.35">
      <c r="A18" s="21"/>
      <c r="B18" s="2"/>
      <c r="C18" s="2"/>
      <c r="D18" s="2"/>
      <c r="E18" s="2"/>
      <c r="F18" s="2"/>
      <c r="G18" s="2"/>
      <c r="H18" s="2"/>
      <c r="I18" s="2"/>
      <c r="J18" s="2"/>
      <c r="K18" s="26"/>
      <c r="L18" s="2"/>
      <c r="M18" s="2"/>
      <c r="N18" s="2"/>
      <c r="O18" s="2"/>
      <c r="P18" s="27"/>
      <c r="Q18" s="27"/>
      <c r="R18" s="26"/>
      <c r="S18" s="2"/>
      <c r="T18" s="2"/>
      <c r="U18" s="29"/>
      <c r="V18" s="2"/>
      <c r="W18" s="2"/>
      <c r="X18" s="2"/>
      <c r="Y18" s="22"/>
      <c r="Z18" s="22"/>
      <c r="AA18" s="2"/>
      <c r="AB18" s="14"/>
      <c r="AC18" s="15"/>
      <c r="AD18" s="15"/>
      <c r="AE18" s="14"/>
      <c r="AF18" s="15"/>
      <c r="AG18" s="15"/>
      <c r="AH18" s="16"/>
      <c r="AI18" s="15"/>
      <c r="AJ18" s="17"/>
      <c r="AK18" s="18"/>
      <c r="AL18" s="15"/>
      <c r="AM18" s="15"/>
      <c r="AN18" s="19"/>
      <c r="AO18" s="15"/>
    </row>
    <row r="21" spans="1:41" ht="49.5" customHeight="1" x14ac:dyDescent="0.35"/>
    <row r="24" spans="1:41" ht="39.75" customHeight="1" x14ac:dyDescent="0.35"/>
    <row r="27" spans="1:41" s="25" customFormat="1" ht="46.5" customHeight="1" x14ac:dyDescent="0.35">
      <c r="A27" s="21"/>
      <c r="B27" s="2"/>
      <c r="C27" s="2"/>
      <c r="D27" s="2"/>
      <c r="E27" s="2"/>
      <c r="F27" s="2"/>
      <c r="G27" s="2"/>
      <c r="H27" s="2"/>
      <c r="I27" s="2"/>
      <c r="J27" s="2"/>
      <c r="K27" s="26"/>
      <c r="L27" s="2"/>
      <c r="M27" s="2"/>
      <c r="N27" s="2"/>
      <c r="O27" s="2"/>
      <c r="P27" s="27"/>
      <c r="Q27" s="27"/>
      <c r="R27" s="26"/>
      <c r="S27" s="2"/>
      <c r="T27" s="2"/>
      <c r="U27" s="2"/>
      <c r="V27" s="2"/>
      <c r="W27" s="2"/>
      <c r="X27" s="2"/>
      <c r="Y27" s="22"/>
      <c r="Z27" s="22"/>
      <c r="AA27" s="2"/>
      <c r="AB27" s="14"/>
      <c r="AC27" s="15"/>
      <c r="AD27" s="15"/>
      <c r="AE27" s="14"/>
      <c r="AF27" s="15"/>
      <c r="AG27" s="15"/>
      <c r="AH27" s="16"/>
      <c r="AI27" s="15"/>
      <c r="AJ27" s="17"/>
      <c r="AK27" s="18"/>
      <c r="AL27" s="15"/>
      <c r="AM27" s="15"/>
      <c r="AN27" s="19"/>
      <c r="AO27" s="15"/>
    </row>
    <row r="28" spans="1:41" ht="39.75" customHeight="1" x14ac:dyDescent="0.35"/>
    <row r="36" ht="36.75" customHeight="1" x14ac:dyDescent="0.35"/>
    <row r="37" ht="31.5" customHeight="1" x14ac:dyDescent="0.35"/>
    <row r="38" ht="31.5" customHeight="1" x14ac:dyDescent="0.35"/>
    <row r="40" ht="31.5" customHeight="1" x14ac:dyDescent="0.35"/>
    <row r="41" ht="31.5" customHeight="1" x14ac:dyDescent="0.35"/>
    <row r="46" ht="39.75" customHeight="1" x14ac:dyDescent="0.35"/>
    <row r="47" ht="39.75" customHeight="1" x14ac:dyDescent="0.35"/>
    <row r="53" spans="1:41" s="25" customFormat="1" x14ac:dyDescent="0.35">
      <c r="A53" s="21"/>
      <c r="B53" s="2"/>
      <c r="C53" s="2"/>
      <c r="D53" s="2"/>
      <c r="E53" s="2"/>
      <c r="F53" s="2"/>
      <c r="G53" s="2"/>
      <c r="H53" s="2"/>
      <c r="I53" s="2"/>
      <c r="J53" s="2"/>
      <c r="K53" s="26"/>
      <c r="L53" s="2"/>
      <c r="M53" s="2"/>
      <c r="N53" s="2"/>
      <c r="O53" s="2"/>
      <c r="P53" s="27"/>
      <c r="Q53" s="27"/>
      <c r="R53" s="26"/>
      <c r="S53" s="2"/>
      <c r="T53" s="2"/>
      <c r="U53" s="2"/>
      <c r="V53" s="2"/>
      <c r="W53" s="2"/>
      <c r="X53" s="2"/>
      <c r="Y53" s="22"/>
      <c r="Z53" s="22"/>
      <c r="AA53" s="2"/>
      <c r="AB53" s="14"/>
      <c r="AC53" s="15"/>
      <c r="AD53" s="15"/>
      <c r="AE53" s="14"/>
      <c r="AF53" s="15"/>
      <c r="AG53" s="15"/>
      <c r="AH53" s="16"/>
      <c r="AI53" s="15"/>
      <c r="AJ53" s="17"/>
      <c r="AK53" s="18"/>
      <c r="AL53" s="15"/>
      <c r="AM53" s="15"/>
      <c r="AN53" s="19"/>
      <c r="AO53" s="15"/>
    </row>
    <row r="62" spans="1:41" ht="31.5" customHeight="1" x14ac:dyDescent="0.35"/>
    <row r="63" spans="1:41" ht="31.5" customHeight="1" x14ac:dyDescent="0.35"/>
    <row r="66" spans="1:41" s="25" customFormat="1" x14ac:dyDescent="0.35">
      <c r="A66" s="21"/>
      <c r="B66" s="2"/>
      <c r="C66" s="2"/>
      <c r="D66" s="2"/>
      <c r="E66" s="2"/>
      <c r="F66" s="2"/>
      <c r="G66" s="2"/>
      <c r="H66" s="2"/>
      <c r="I66" s="2"/>
      <c r="J66" s="2"/>
      <c r="K66" s="26"/>
      <c r="L66" s="2"/>
      <c r="M66" s="2"/>
      <c r="N66" s="2"/>
      <c r="O66" s="2"/>
      <c r="P66" s="27"/>
      <c r="Q66" s="27"/>
      <c r="R66" s="26"/>
      <c r="S66" s="2"/>
      <c r="T66" s="2"/>
      <c r="U66" s="2"/>
      <c r="V66" s="2"/>
      <c r="W66" s="2"/>
      <c r="X66" s="2"/>
      <c r="Y66" s="22"/>
      <c r="Z66" s="22"/>
      <c r="AA66" s="2"/>
      <c r="AB66" s="14"/>
      <c r="AC66" s="15"/>
      <c r="AD66" s="15"/>
      <c r="AE66" s="14"/>
      <c r="AF66" s="15"/>
      <c r="AG66" s="15"/>
      <c r="AH66" s="16"/>
      <c r="AI66" s="15"/>
      <c r="AJ66" s="17"/>
      <c r="AK66" s="18"/>
      <c r="AL66" s="15"/>
      <c r="AM66" s="15"/>
      <c r="AN66" s="19"/>
      <c r="AO66" s="15"/>
    </row>
    <row r="67" spans="1:41" s="25" customFormat="1" x14ac:dyDescent="0.35">
      <c r="A67" s="21"/>
      <c r="B67" s="2"/>
      <c r="C67" s="2"/>
      <c r="D67" s="2"/>
      <c r="E67" s="2"/>
      <c r="F67" s="2"/>
      <c r="G67" s="2"/>
      <c r="H67" s="2"/>
      <c r="I67" s="2"/>
      <c r="J67" s="2"/>
      <c r="K67" s="26"/>
      <c r="L67" s="2"/>
      <c r="M67" s="2"/>
      <c r="N67" s="2"/>
      <c r="O67" s="2"/>
      <c r="P67" s="27"/>
      <c r="Q67" s="27"/>
      <c r="R67" s="26"/>
      <c r="S67" s="2"/>
      <c r="T67" s="2"/>
      <c r="U67" s="2"/>
      <c r="V67" s="2"/>
      <c r="W67" s="2"/>
      <c r="X67" s="2"/>
      <c r="Y67" s="22"/>
      <c r="Z67" s="22"/>
      <c r="AA67" s="2"/>
      <c r="AB67" s="14"/>
      <c r="AC67" s="15"/>
      <c r="AD67" s="15"/>
      <c r="AE67" s="14"/>
      <c r="AF67" s="15"/>
      <c r="AG67" s="15"/>
      <c r="AH67" s="16"/>
      <c r="AI67" s="15"/>
      <c r="AJ67" s="17"/>
      <c r="AK67" s="18"/>
      <c r="AL67" s="15"/>
      <c r="AM67" s="15"/>
      <c r="AN67" s="19"/>
      <c r="AO67" s="15"/>
    </row>
    <row r="68" spans="1:41" s="25" customFormat="1" x14ac:dyDescent="0.35">
      <c r="A68" s="21"/>
      <c r="B68" s="2"/>
      <c r="C68" s="2"/>
      <c r="D68" s="2"/>
      <c r="E68" s="2"/>
      <c r="F68" s="2"/>
      <c r="G68" s="2"/>
      <c r="H68" s="2"/>
      <c r="I68" s="2"/>
      <c r="J68" s="2"/>
      <c r="K68" s="26"/>
      <c r="L68" s="2"/>
      <c r="M68" s="2"/>
      <c r="N68" s="2"/>
      <c r="O68" s="2"/>
      <c r="P68" s="27"/>
      <c r="Q68" s="27"/>
      <c r="R68" s="26"/>
      <c r="S68" s="2"/>
      <c r="T68" s="2"/>
      <c r="U68" s="2"/>
      <c r="V68" s="2"/>
      <c r="W68" s="2"/>
      <c r="X68" s="2"/>
      <c r="Y68" s="22"/>
      <c r="Z68" s="22"/>
      <c r="AA68" s="2"/>
      <c r="AB68" s="14"/>
      <c r="AC68" s="15"/>
      <c r="AD68" s="15"/>
      <c r="AE68" s="14"/>
      <c r="AF68" s="15"/>
      <c r="AG68" s="15"/>
      <c r="AH68" s="16"/>
      <c r="AI68" s="15"/>
      <c r="AJ68" s="17"/>
      <c r="AK68" s="18"/>
      <c r="AL68" s="15"/>
      <c r="AM68" s="15"/>
      <c r="AN68" s="19"/>
      <c r="AO68" s="15"/>
    </row>
    <row r="74" spans="1:41" ht="49.5" customHeight="1" x14ac:dyDescent="0.35"/>
    <row r="76" spans="1:41" s="25" customFormat="1" x14ac:dyDescent="0.35">
      <c r="A76" s="21"/>
      <c r="B76" s="2"/>
      <c r="C76" s="2"/>
      <c r="D76" s="2"/>
      <c r="E76" s="2"/>
      <c r="F76" s="2"/>
      <c r="G76" s="2"/>
      <c r="H76" s="2"/>
      <c r="I76" s="2"/>
      <c r="J76" s="2"/>
      <c r="K76" s="26"/>
      <c r="L76" s="2"/>
      <c r="M76" s="2"/>
      <c r="N76" s="2"/>
      <c r="O76" s="2"/>
      <c r="P76" s="27"/>
      <c r="Q76" s="27"/>
      <c r="R76" s="26"/>
      <c r="S76" s="2"/>
      <c r="T76" s="2"/>
      <c r="U76" s="2"/>
      <c r="V76" s="2"/>
      <c r="W76" s="2"/>
      <c r="X76" s="2"/>
      <c r="Y76" s="22"/>
      <c r="Z76" s="22"/>
      <c r="AA76" s="2"/>
      <c r="AB76" s="14"/>
      <c r="AC76" s="15"/>
      <c r="AD76" s="15"/>
      <c r="AE76" s="14"/>
      <c r="AF76" s="15"/>
      <c r="AG76" s="15"/>
      <c r="AH76" s="16"/>
      <c r="AI76" s="15"/>
      <c r="AJ76" s="17"/>
      <c r="AK76" s="18"/>
      <c r="AL76" s="15"/>
      <c r="AM76" s="15"/>
      <c r="AN76" s="19"/>
      <c r="AO76" s="15"/>
    </row>
    <row r="77" spans="1:41" ht="39.75" customHeight="1" x14ac:dyDescent="0.35"/>
    <row r="79" spans="1:41" ht="31.5" customHeight="1" x14ac:dyDescent="0.35"/>
    <row r="80" spans="1:41" ht="31.5" customHeight="1" x14ac:dyDescent="0.35"/>
    <row r="81" ht="31.5" customHeight="1" x14ac:dyDescent="0.35"/>
    <row r="85" ht="36.75" customHeight="1" x14ac:dyDescent="0.35"/>
    <row r="86" ht="31.5" customHeight="1" x14ac:dyDescent="0.35"/>
    <row r="88" ht="31.5" customHeight="1" x14ac:dyDescent="0.35"/>
    <row r="89" ht="31.5" customHeight="1" x14ac:dyDescent="0.35"/>
    <row r="90" ht="37.5" customHeight="1" x14ac:dyDescent="0.35"/>
    <row r="91" ht="37.5" customHeight="1" x14ac:dyDescent="0.35"/>
    <row r="94" ht="39.75" customHeight="1" x14ac:dyDescent="0.35"/>
    <row r="102" spans="1:41" s="25" customFormat="1" x14ac:dyDescent="0.35">
      <c r="A102" s="21"/>
      <c r="B102" s="2"/>
      <c r="C102" s="2"/>
      <c r="D102" s="2"/>
      <c r="E102" s="2"/>
      <c r="F102" s="2"/>
      <c r="G102" s="2"/>
      <c r="H102" s="2"/>
      <c r="I102" s="2"/>
      <c r="J102" s="2"/>
      <c r="K102" s="26"/>
      <c r="L102" s="2"/>
      <c r="M102" s="2"/>
      <c r="N102" s="2"/>
      <c r="O102" s="2"/>
      <c r="P102" s="27"/>
      <c r="Q102" s="27"/>
      <c r="R102" s="26"/>
      <c r="S102" s="2"/>
      <c r="T102" s="2"/>
      <c r="U102" s="2"/>
      <c r="V102" s="2"/>
      <c r="W102" s="2"/>
      <c r="X102" s="2"/>
      <c r="Y102" s="22"/>
      <c r="Z102" s="22"/>
      <c r="AA102" s="2"/>
      <c r="AB102" s="14"/>
      <c r="AC102" s="15"/>
      <c r="AD102" s="15"/>
      <c r="AE102" s="14"/>
      <c r="AF102" s="15"/>
      <c r="AG102" s="15"/>
      <c r="AH102" s="16"/>
      <c r="AI102" s="15"/>
      <c r="AJ102" s="17"/>
      <c r="AK102" s="18"/>
      <c r="AL102" s="15"/>
      <c r="AM102" s="15"/>
      <c r="AN102" s="19"/>
      <c r="AO102" s="15"/>
    </row>
    <row r="106" spans="1:41" s="25" customFormat="1" x14ac:dyDescent="0.35">
      <c r="A106" s="21"/>
      <c r="B106" s="2"/>
      <c r="C106" s="2"/>
      <c r="D106" s="2"/>
      <c r="E106" s="2"/>
      <c r="F106" s="2"/>
      <c r="G106" s="2"/>
      <c r="H106" s="2"/>
      <c r="I106" s="2"/>
      <c r="J106" s="2"/>
      <c r="K106" s="26"/>
      <c r="L106" s="2"/>
      <c r="M106" s="2"/>
      <c r="N106" s="2"/>
      <c r="O106" s="2"/>
      <c r="P106" s="27"/>
      <c r="Q106" s="27"/>
      <c r="R106" s="26"/>
      <c r="S106" s="2"/>
      <c r="T106" s="2"/>
      <c r="U106" s="2"/>
      <c r="V106" s="2"/>
      <c r="W106" s="2"/>
      <c r="X106" s="2"/>
      <c r="Y106" s="22"/>
      <c r="Z106" s="22"/>
      <c r="AA106" s="2"/>
      <c r="AB106" s="14"/>
      <c r="AC106" s="15"/>
      <c r="AD106" s="15"/>
      <c r="AE106" s="14"/>
      <c r="AF106" s="15"/>
      <c r="AG106" s="15"/>
      <c r="AH106" s="16"/>
      <c r="AI106" s="15"/>
      <c r="AJ106" s="17"/>
      <c r="AK106" s="18"/>
      <c r="AL106" s="15"/>
      <c r="AM106" s="15"/>
      <c r="AN106" s="19"/>
      <c r="AO106" s="15"/>
    </row>
    <row r="114" spans="1:41" s="25" customFormat="1" x14ac:dyDescent="0.35">
      <c r="A114" s="21"/>
      <c r="B114" s="2"/>
      <c r="C114" s="2"/>
      <c r="D114" s="2"/>
      <c r="E114" s="2"/>
      <c r="F114" s="2"/>
      <c r="G114" s="2"/>
      <c r="H114" s="2"/>
      <c r="I114" s="2"/>
      <c r="J114" s="2"/>
      <c r="K114" s="26"/>
      <c r="L114" s="2"/>
      <c r="M114" s="2"/>
      <c r="N114" s="2"/>
      <c r="O114" s="2"/>
      <c r="P114" s="27"/>
      <c r="Q114" s="27"/>
      <c r="R114" s="26"/>
      <c r="S114" s="2"/>
      <c r="T114" s="2"/>
      <c r="U114" s="2"/>
      <c r="V114" s="2"/>
      <c r="W114" s="2"/>
      <c r="X114" s="2"/>
      <c r="Y114" s="22"/>
      <c r="Z114" s="22"/>
      <c r="AA114" s="2"/>
      <c r="AB114" s="14"/>
      <c r="AC114" s="15"/>
      <c r="AD114" s="15"/>
      <c r="AE114" s="14"/>
      <c r="AF114" s="15"/>
      <c r="AG114" s="15"/>
      <c r="AH114" s="16"/>
      <c r="AI114" s="15"/>
      <c r="AJ114" s="17"/>
      <c r="AK114" s="18"/>
      <c r="AL114" s="15"/>
      <c r="AM114" s="15"/>
      <c r="AN114" s="19"/>
      <c r="AO114" s="15"/>
    </row>
    <row r="115" spans="1:41" s="25" customFormat="1" x14ac:dyDescent="0.35">
      <c r="A115" s="21"/>
      <c r="B115" s="2"/>
      <c r="C115" s="2"/>
      <c r="D115" s="2"/>
      <c r="E115" s="2"/>
      <c r="F115" s="2"/>
      <c r="G115" s="2"/>
      <c r="H115" s="2"/>
      <c r="I115" s="2"/>
      <c r="J115" s="2"/>
      <c r="K115" s="26"/>
      <c r="L115" s="2"/>
      <c r="M115" s="2"/>
      <c r="N115" s="2"/>
      <c r="O115" s="2"/>
      <c r="P115" s="27"/>
      <c r="Q115" s="27"/>
      <c r="R115" s="26"/>
      <c r="S115" s="2"/>
      <c r="T115" s="2"/>
      <c r="U115" s="2"/>
      <c r="V115" s="2"/>
      <c r="W115" s="2"/>
      <c r="X115" s="2"/>
      <c r="Y115" s="22"/>
      <c r="Z115" s="22"/>
      <c r="AA115" s="2"/>
      <c r="AB115" s="14"/>
      <c r="AC115" s="15"/>
      <c r="AD115" s="15"/>
      <c r="AE115" s="14"/>
      <c r="AF115" s="15"/>
      <c r="AG115" s="15"/>
      <c r="AH115" s="16"/>
      <c r="AI115" s="15"/>
      <c r="AJ115" s="17"/>
      <c r="AK115" s="18"/>
      <c r="AL115" s="15"/>
      <c r="AM115" s="15"/>
      <c r="AN115" s="19"/>
      <c r="AO115" s="15"/>
    </row>
    <row r="116" spans="1:41" s="25" customFormat="1" x14ac:dyDescent="0.35">
      <c r="A116" s="21"/>
      <c r="B116" s="2"/>
      <c r="C116" s="2"/>
      <c r="D116" s="2"/>
      <c r="E116" s="2"/>
      <c r="F116" s="2"/>
      <c r="G116" s="2"/>
      <c r="H116" s="2"/>
      <c r="I116" s="2"/>
      <c r="J116" s="2"/>
      <c r="K116" s="26"/>
      <c r="L116" s="2"/>
      <c r="M116" s="2"/>
      <c r="N116" s="2"/>
      <c r="O116" s="2"/>
      <c r="P116" s="27"/>
      <c r="Q116" s="27"/>
      <c r="R116" s="26"/>
      <c r="S116" s="2"/>
      <c r="T116" s="2"/>
      <c r="U116" s="2"/>
      <c r="V116" s="2"/>
      <c r="W116" s="2"/>
      <c r="X116" s="2"/>
      <c r="Y116" s="22"/>
      <c r="Z116" s="22"/>
      <c r="AA116" s="2"/>
      <c r="AB116" s="14"/>
      <c r="AC116" s="15"/>
      <c r="AD116" s="15"/>
      <c r="AE116" s="14"/>
      <c r="AF116" s="15"/>
      <c r="AG116" s="15"/>
      <c r="AH116" s="16"/>
      <c r="AI116" s="15"/>
      <c r="AJ116" s="17"/>
      <c r="AK116" s="18"/>
      <c r="AL116" s="15"/>
      <c r="AM116" s="15"/>
      <c r="AN116" s="19"/>
      <c r="AO116" s="15"/>
    </row>
    <row r="118" spans="1:41" s="25" customFormat="1" x14ac:dyDescent="0.35">
      <c r="A118" s="21"/>
      <c r="B118" s="2"/>
      <c r="C118" s="2"/>
      <c r="D118" s="2"/>
      <c r="E118" s="2"/>
      <c r="F118" s="2"/>
      <c r="G118" s="2"/>
      <c r="H118" s="2"/>
      <c r="I118" s="2"/>
      <c r="J118" s="2"/>
      <c r="K118" s="26"/>
      <c r="L118" s="2"/>
      <c r="M118" s="2"/>
      <c r="N118" s="2"/>
      <c r="O118" s="2"/>
      <c r="P118" s="27"/>
      <c r="Q118" s="27"/>
      <c r="R118" s="26"/>
      <c r="S118" s="2"/>
      <c r="T118" s="2"/>
      <c r="U118" s="2"/>
      <c r="V118" s="2"/>
      <c r="W118" s="2"/>
      <c r="X118" s="2"/>
      <c r="Y118" s="22"/>
      <c r="Z118" s="22"/>
      <c r="AA118" s="2"/>
      <c r="AB118" s="14"/>
      <c r="AC118" s="15"/>
      <c r="AD118" s="15"/>
      <c r="AE118" s="14"/>
      <c r="AF118" s="15"/>
      <c r="AG118" s="15"/>
      <c r="AH118" s="16"/>
      <c r="AI118" s="15"/>
      <c r="AJ118" s="17"/>
      <c r="AK118" s="18"/>
      <c r="AL118" s="15"/>
      <c r="AM118" s="15"/>
      <c r="AN118" s="19"/>
      <c r="AO118" s="15"/>
    </row>
    <row r="119" spans="1:41" s="25" customFormat="1" x14ac:dyDescent="0.35">
      <c r="A119" s="21"/>
      <c r="B119" s="2"/>
      <c r="C119" s="2"/>
      <c r="D119" s="2"/>
      <c r="E119" s="2"/>
      <c r="F119" s="2"/>
      <c r="G119" s="2"/>
      <c r="H119" s="2"/>
      <c r="I119" s="2"/>
      <c r="J119" s="2"/>
      <c r="K119" s="26"/>
      <c r="L119" s="2"/>
      <c r="M119" s="2"/>
      <c r="N119" s="2"/>
      <c r="O119" s="2"/>
      <c r="P119" s="27"/>
      <c r="Q119" s="27"/>
      <c r="R119" s="26"/>
      <c r="S119" s="2"/>
      <c r="T119" s="2"/>
      <c r="U119" s="2"/>
      <c r="V119" s="2"/>
      <c r="W119" s="2"/>
      <c r="X119" s="2"/>
      <c r="Y119" s="22"/>
      <c r="Z119" s="22"/>
      <c r="AA119" s="2"/>
      <c r="AB119" s="14"/>
      <c r="AC119" s="15"/>
      <c r="AD119" s="15"/>
      <c r="AE119" s="14"/>
      <c r="AF119" s="15"/>
      <c r="AG119" s="15"/>
      <c r="AH119" s="16"/>
      <c r="AI119" s="15"/>
      <c r="AJ119" s="17"/>
      <c r="AK119" s="18"/>
      <c r="AL119" s="15"/>
      <c r="AM119" s="15"/>
      <c r="AN119" s="19"/>
      <c r="AO119" s="15"/>
    </row>
    <row r="120" spans="1:41" s="25" customFormat="1" x14ac:dyDescent="0.35">
      <c r="A120" s="21"/>
      <c r="B120" s="2"/>
      <c r="C120" s="2"/>
      <c r="D120" s="2"/>
      <c r="E120" s="2"/>
      <c r="F120" s="2"/>
      <c r="G120" s="2"/>
      <c r="H120" s="2"/>
      <c r="I120" s="2"/>
      <c r="J120" s="2"/>
      <c r="K120" s="26"/>
      <c r="L120" s="2"/>
      <c r="M120" s="2"/>
      <c r="N120" s="2"/>
      <c r="O120" s="2"/>
      <c r="P120" s="27"/>
      <c r="Q120" s="27"/>
      <c r="R120" s="26"/>
      <c r="S120" s="2"/>
      <c r="T120" s="2"/>
      <c r="U120" s="2"/>
      <c r="V120" s="2"/>
      <c r="W120" s="2"/>
      <c r="X120" s="2"/>
      <c r="Y120" s="22"/>
      <c r="Z120" s="22"/>
      <c r="AA120" s="2"/>
      <c r="AB120" s="14"/>
      <c r="AC120" s="15"/>
      <c r="AD120" s="15"/>
      <c r="AE120" s="14"/>
      <c r="AF120" s="15"/>
      <c r="AG120" s="15"/>
      <c r="AH120" s="16"/>
      <c r="AI120" s="15"/>
      <c r="AJ120" s="17"/>
      <c r="AK120" s="18"/>
      <c r="AL120" s="15"/>
      <c r="AM120" s="15"/>
      <c r="AN120" s="19"/>
      <c r="AO120" s="15"/>
    </row>
    <row r="136" spans="1:41" s="25" customFormat="1" x14ac:dyDescent="0.35">
      <c r="A136" s="21"/>
      <c r="B136" s="2"/>
      <c r="C136" s="2"/>
      <c r="D136" s="2"/>
      <c r="E136" s="2"/>
      <c r="F136" s="2"/>
      <c r="G136" s="2"/>
      <c r="H136" s="2"/>
      <c r="I136" s="2"/>
      <c r="J136" s="2"/>
      <c r="K136" s="26"/>
      <c r="L136" s="2"/>
      <c r="M136" s="2"/>
      <c r="N136" s="2"/>
      <c r="O136" s="2"/>
      <c r="P136" s="27"/>
      <c r="Q136" s="27"/>
      <c r="R136" s="26"/>
      <c r="S136" s="2"/>
      <c r="T136" s="2"/>
      <c r="U136" s="2"/>
      <c r="V136" s="2"/>
      <c r="W136" s="2"/>
      <c r="X136" s="2"/>
      <c r="Y136" s="22"/>
      <c r="Z136" s="22"/>
      <c r="AA136" s="2"/>
      <c r="AB136" s="14"/>
      <c r="AC136" s="15"/>
      <c r="AD136" s="15"/>
      <c r="AE136" s="14"/>
      <c r="AF136" s="15"/>
      <c r="AG136" s="15"/>
      <c r="AH136" s="16"/>
      <c r="AI136" s="15"/>
      <c r="AJ136" s="17"/>
      <c r="AK136" s="18"/>
      <c r="AL136" s="15"/>
      <c r="AM136" s="15"/>
      <c r="AN136" s="19"/>
      <c r="AO136" s="15"/>
    </row>
    <row r="137" spans="1:41" s="25" customFormat="1" x14ac:dyDescent="0.35">
      <c r="A137" s="21"/>
      <c r="B137" s="2"/>
      <c r="C137" s="2"/>
      <c r="D137" s="2"/>
      <c r="E137" s="2"/>
      <c r="F137" s="2"/>
      <c r="G137" s="2"/>
      <c r="H137" s="2"/>
      <c r="I137" s="2"/>
      <c r="J137" s="2"/>
      <c r="K137" s="26"/>
      <c r="L137" s="2"/>
      <c r="M137" s="2"/>
      <c r="N137" s="2"/>
      <c r="O137" s="2"/>
      <c r="P137" s="27"/>
      <c r="Q137" s="27"/>
      <c r="R137" s="26"/>
      <c r="S137" s="2"/>
      <c r="T137" s="2"/>
      <c r="U137" s="2"/>
      <c r="V137" s="2"/>
      <c r="W137" s="2"/>
      <c r="X137" s="2"/>
      <c r="Y137" s="22"/>
      <c r="Z137" s="22"/>
      <c r="AA137" s="2"/>
      <c r="AB137" s="14"/>
      <c r="AC137" s="15"/>
      <c r="AD137" s="15"/>
      <c r="AE137" s="14"/>
      <c r="AF137" s="15"/>
      <c r="AG137" s="15"/>
      <c r="AH137" s="16"/>
      <c r="AI137" s="15"/>
      <c r="AJ137" s="17"/>
      <c r="AK137" s="18"/>
      <c r="AL137" s="15"/>
      <c r="AM137" s="15"/>
      <c r="AN137" s="19"/>
      <c r="AO137" s="15"/>
    </row>
    <row r="138" spans="1:41" s="25" customFormat="1" x14ac:dyDescent="0.35">
      <c r="A138" s="21"/>
      <c r="B138" s="2"/>
      <c r="C138" s="2"/>
      <c r="D138" s="2"/>
      <c r="E138" s="2"/>
      <c r="F138" s="2"/>
      <c r="G138" s="2"/>
      <c r="H138" s="2"/>
      <c r="I138" s="2"/>
      <c r="J138" s="2"/>
      <c r="K138" s="26"/>
      <c r="L138" s="2"/>
      <c r="M138" s="2"/>
      <c r="N138" s="2"/>
      <c r="O138" s="2"/>
      <c r="P138" s="27"/>
      <c r="Q138" s="27"/>
      <c r="R138" s="26"/>
      <c r="S138" s="2"/>
      <c r="T138" s="2"/>
      <c r="U138" s="2"/>
      <c r="V138" s="2"/>
      <c r="W138" s="2"/>
      <c r="X138" s="2"/>
      <c r="Y138" s="22"/>
      <c r="Z138" s="22"/>
      <c r="AA138" s="2"/>
      <c r="AB138" s="14"/>
      <c r="AC138" s="15"/>
      <c r="AD138" s="15"/>
      <c r="AE138" s="14"/>
      <c r="AF138" s="15"/>
      <c r="AG138" s="15"/>
      <c r="AH138" s="16"/>
      <c r="AI138" s="15"/>
      <c r="AJ138" s="17"/>
      <c r="AK138" s="18"/>
      <c r="AL138" s="15"/>
      <c r="AM138" s="15"/>
      <c r="AN138" s="19"/>
      <c r="AO138" s="15"/>
    </row>
    <row r="139" spans="1:41" s="25" customFormat="1" x14ac:dyDescent="0.35">
      <c r="A139" s="21"/>
      <c r="B139" s="2"/>
      <c r="C139" s="2"/>
      <c r="D139" s="2"/>
      <c r="E139" s="2"/>
      <c r="F139" s="2"/>
      <c r="G139" s="2"/>
      <c r="H139" s="2"/>
      <c r="I139" s="2"/>
      <c r="J139" s="2"/>
      <c r="K139" s="26"/>
      <c r="L139" s="2"/>
      <c r="M139" s="2"/>
      <c r="N139" s="2"/>
      <c r="O139" s="2"/>
      <c r="P139" s="27"/>
      <c r="Q139" s="27"/>
      <c r="R139" s="26"/>
      <c r="S139" s="2"/>
      <c r="T139" s="2"/>
      <c r="U139" s="2"/>
      <c r="V139" s="2"/>
      <c r="W139" s="2"/>
      <c r="X139" s="2"/>
      <c r="Y139" s="22"/>
      <c r="Z139" s="22"/>
      <c r="AA139" s="2"/>
      <c r="AB139" s="14"/>
      <c r="AC139" s="15"/>
      <c r="AD139" s="15"/>
      <c r="AE139" s="14"/>
      <c r="AF139" s="15"/>
      <c r="AG139" s="15"/>
      <c r="AH139" s="16"/>
      <c r="AI139" s="15"/>
      <c r="AJ139" s="17"/>
      <c r="AK139" s="18"/>
      <c r="AL139" s="15"/>
      <c r="AM139" s="15"/>
      <c r="AN139" s="19"/>
      <c r="AO139" s="15"/>
    </row>
    <row r="140" spans="1:41" ht="27.75" customHeight="1" x14ac:dyDescent="0.35"/>
    <row r="144" spans="1:41" ht="49.5" customHeight="1" x14ac:dyDescent="0.35"/>
    <row r="149" spans="1:41" ht="31.5" customHeight="1" x14ac:dyDescent="0.35"/>
    <row r="150" spans="1:41" ht="31.5" customHeight="1" x14ac:dyDescent="0.35"/>
    <row r="151" spans="1:41" ht="31.5" customHeight="1" x14ac:dyDescent="0.35"/>
    <row r="154" spans="1:41" s="25" customFormat="1" x14ac:dyDescent="0.35">
      <c r="A154" s="21"/>
      <c r="B154" s="2"/>
      <c r="C154" s="2"/>
      <c r="D154" s="2"/>
      <c r="E154" s="2"/>
      <c r="F154" s="2"/>
      <c r="G154" s="2"/>
      <c r="H154" s="2"/>
      <c r="I154" s="2"/>
      <c r="J154" s="2"/>
      <c r="K154" s="26"/>
      <c r="L154" s="2"/>
      <c r="M154" s="2"/>
      <c r="N154" s="2"/>
      <c r="O154" s="2"/>
      <c r="P154" s="27"/>
      <c r="Q154" s="27"/>
      <c r="R154" s="26"/>
      <c r="S154" s="2"/>
      <c r="T154" s="2"/>
      <c r="U154" s="2"/>
      <c r="V154" s="2"/>
      <c r="W154" s="2"/>
      <c r="X154" s="2"/>
      <c r="Y154" s="22"/>
      <c r="Z154" s="22"/>
      <c r="AA154" s="2"/>
      <c r="AB154" s="14"/>
      <c r="AC154" s="15"/>
      <c r="AD154" s="15"/>
      <c r="AE154" s="14"/>
      <c r="AF154" s="15"/>
      <c r="AG154" s="15"/>
      <c r="AH154" s="16"/>
      <c r="AI154" s="15"/>
      <c r="AJ154" s="17"/>
      <c r="AK154" s="18"/>
      <c r="AL154" s="15"/>
      <c r="AM154" s="15"/>
      <c r="AN154" s="19"/>
      <c r="AO154" s="15"/>
    </row>
    <row r="158" spans="1:41" s="25" customFormat="1" x14ac:dyDescent="0.35">
      <c r="A158" s="21"/>
      <c r="B158" s="2"/>
      <c r="C158" s="2"/>
      <c r="D158" s="2"/>
      <c r="E158" s="2"/>
      <c r="F158" s="2"/>
      <c r="G158" s="2"/>
      <c r="H158" s="2"/>
      <c r="I158" s="2"/>
      <c r="J158" s="2"/>
      <c r="K158" s="26"/>
      <c r="L158" s="2"/>
      <c r="M158" s="2"/>
      <c r="N158" s="2"/>
      <c r="O158" s="2"/>
      <c r="P158" s="27"/>
      <c r="Q158" s="27"/>
      <c r="R158" s="26"/>
      <c r="S158" s="2"/>
      <c r="T158" s="2"/>
      <c r="U158" s="2"/>
      <c r="V158" s="2"/>
      <c r="W158" s="2"/>
      <c r="X158" s="2"/>
      <c r="Y158" s="22"/>
      <c r="Z158" s="22"/>
      <c r="AA158" s="2"/>
      <c r="AB158" s="14"/>
      <c r="AC158" s="15"/>
      <c r="AD158" s="15"/>
      <c r="AE158" s="14"/>
      <c r="AF158" s="15"/>
      <c r="AG158" s="15"/>
      <c r="AH158" s="16"/>
      <c r="AI158" s="15"/>
      <c r="AJ158" s="17"/>
      <c r="AK158" s="18"/>
      <c r="AL158" s="15"/>
      <c r="AM158" s="15"/>
      <c r="AN158" s="19"/>
      <c r="AO158" s="15"/>
    </row>
    <row r="168" spans="1:41" s="25" customFormat="1" x14ac:dyDescent="0.35">
      <c r="A168" s="21"/>
      <c r="B168" s="2"/>
      <c r="C168" s="2"/>
      <c r="D168" s="2"/>
      <c r="E168" s="2"/>
      <c r="F168" s="2"/>
      <c r="G168" s="2"/>
      <c r="H168" s="2"/>
      <c r="I168" s="2"/>
      <c r="J168" s="2"/>
      <c r="K168" s="26"/>
      <c r="L168" s="2"/>
      <c r="M168" s="2"/>
      <c r="N168" s="2"/>
      <c r="O168" s="2"/>
      <c r="P168" s="27"/>
      <c r="Q168" s="27"/>
      <c r="R168" s="26"/>
      <c r="S168" s="2"/>
      <c r="T168" s="2"/>
      <c r="U168" s="2"/>
      <c r="V168" s="2"/>
      <c r="W168" s="2"/>
      <c r="X168" s="2"/>
      <c r="Y168" s="22"/>
      <c r="Z168" s="22"/>
      <c r="AA168" s="2"/>
      <c r="AB168" s="14"/>
      <c r="AC168" s="15"/>
      <c r="AD168" s="15"/>
      <c r="AE168" s="14"/>
      <c r="AF168" s="15"/>
      <c r="AG168" s="15"/>
      <c r="AH168" s="16"/>
      <c r="AI168" s="15"/>
      <c r="AJ168" s="17"/>
      <c r="AK168" s="18"/>
      <c r="AL168" s="15"/>
      <c r="AM168" s="15"/>
      <c r="AN168" s="19"/>
      <c r="AO168" s="15"/>
    </row>
    <row r="169" spans="1:41" s="25" customFormat="1" x14ac:dyDescent="0.35">
      <c r="A169" s="21"/>
      <c r="B169" s="2"/>
      <c r="C169" s="2"/>
      <c r="D169" s="2"/>
      <c r="E169" s="2"/>
      <c r="F169" s="2"/>
      <c r="G169" s="2"/>
      <c r="H169" s="2"/>
      <c r="I169" s="2"/>
      <c r="J169" s="2"/>
      <c r="K169" s="26"/>
      <c r="L169" s="2"/>
      <c r="M169" s="2"/>
      <c r="N169" s="2"/>
      <c r="O169" s="2"/>
      <c r="P169" s="27"/>
      <c r="Q169" s="27"/>
      <c r="R169" s="26"/>
      <c r="S169" s="2"/>
      <c r="T169" s="2"/>
      <c r="U169" s="2"/>
      <c r="V169" s="2"/>
      <c r="W169" s="2"/>
      <c r="X169" s="2"/>
      <c r="Y169" s="22"/>
      <c r="Z169" s="22"/>
      <c r="AA169" s="2"/>
      <c r="AB169" s="14"/>
      <c r="AC169" s="15"/>
      <c r="AD169" s="15"/>
      <c r="AE169" s="14"/>
      <c r="AF169" s="15"/>
      <c r="AG169" s="15"/>
      <c r="AH169" s="16"/>
      <c r="AI169" s="15"/>
      <c r="AJ169" s="17"/>
      <c r="AK169" s="18"/>
      <c r="AL169" s="15"/>
      <c r="AM169" s="15"/>
      <c r="AN169" s="19"/>
      <c r="AO169" s="15"/>
    </row>
    <row r="180" spans="1:41" s="25" customFormat="1" x14ac:dyDescent="0.35">
      <c r="A180" s="21"/>
      <c r="B180" s="2"/>
      <c r="C180" s="2"/>
      <c r="D180" s="2"/>
      <c r="E180" s="2"/>
      <c r="F180" s="2"/>
      <c r="G180" s="2"/>
      <c r="H180" s="2"/>
      <c r="I180" s="2"/>
      <c r="J180" s="2"/>
      <c r="K180" s="26"/>
      <c r="L180" s="2"/>
      <c r="M180" s="2"/>
      <c r="N180" s="2"/>
      <c r="O180" s="2"/>
      <c r="P180" s="27"/>
      <c r="Q180" s="27"/>
      <c r="R180" s="26"/>
      <c r="S180" s="2"/>
      <c r="T180" s="2"/>
      <c r="U180" s="2"/>
      <c r="V180" s="2"/>
      <c r="W180" s="2"/>
      <c r="X180" s="2"/>
      <c r="Y180" s="22"/>
      <c r="Z180" s="22"/>
      <c r="AA180" s="2"/>
      <c r="AB180" s="14"/>
      <c r="AC180" s="15"/>
      <c r="AD180" s="15"/>
      <c r="AE180" s="14"/>
      <c r="AF180" s="15"/>
      <c r="AG180" s="15"/>
      <c r="AH180" s="16"/>
      <c r="AI180" s="15"/>
      <c r="AJ180" s="17"/>
      <c r="AK180" s="18"/>
      <c r="AL180" s="15"/>
      <c r="AM180" s="15"/>
      <c r="AN180" s="19"/>
      <c r="AO180" s="15"/>
    </row>
    <row r="182" spans="1:41" ht="37.5" customHeight="1" x14ac:dyDescent="0.35"/>
    <row r="186" spans="1:41" s="25" customFormat="1" x14ac:dyDescent="0.35">
      <c r="A186" s="21"/>
      <c r="B186" s="2"/>
      <c r="C186" s="2"/>
      <c r="D186" s="2"/>
      <c r="E186" s="2"/>
      <c r="F186" s="2"/>
      <c r="G186" s="2"/>
      <c r="H186" s="2"/>
      <c r="I186" s="2"/>
      <c r="J186" s="2"/>
      <c r="K186" s="26"/>
      <c r="L186" s="2"/>
      <c r="M186" s="2"/>
      <c r="N186" s="2"/>
      <c r="O186" s="2"/>
      <c r="P186" s="27"/>
      <c r="Q186" s="27"/>
      <c r="R186" s="26"/>
      <c r="S186" s="2"/>
      <c r="T186" s="2"/>
      <c r="U186" s="2"/>
      <c r="V186" s="2"/>
      <c r="W186" s="2"/>
      <c r="X186" s="2"/>
      <c r="Y186" s="22"/>
      <c r="Z186" s="22"/>
      <c r="AA186" s="2"/>
      <c r="AB186" s="14"/>
      <c r="AC186" s="15"/>
      <c r="AD186" s="15"/>
      <c r="AE186" s="14"/>
      <c r="AF186" s="15"/>
      <c r="AG186" s="15"/>
      <c r="AH186" s="16"/>
      <c r="AI186" s="15"/>
      <c r="AJ186" s="17"/>
      <c r="AK186" s="18"/>
      <c r="AL186" s="15"/>
      <c r="AM186" s="15"/>
      <c r="AN186" s="19"/>
      <c r="AO186" s="15"/>
    </row>
    <row r="187" spans="1:41" s="25" customFormat="1" x14ac:dyDescent="0.35">
      <c r="A187" s="21"/>
      <c r="B187" s="2"/>
      <c r="C187" s="2"/>
      <c r="D187" s="2"/>
      <c r="E187" s="2"/>
      <c r="F187" s="2"/>
      <c r="G187" s="2"/>
      <c r="H187" s="2"/>
      <c r="I187" s="2"/>
      <c r="J187" s="2"/>
      <c r="K187" s="26"/>
      <c r="L187" s="2"/>
      <c r="M187" s="2"/>
      <c r="N187" s="2"/>
      <c r="O187" s="2"/>
      <c r="P187" s="27"/>
      <c r="Q187" s="27"/>
      <c r="R187" s="26"/>
      <c r="S187" s="2"/>
      <c r="T187" s="2"/>
      <c r="U187" s="2"/>
      <c r="V187" s="2"/>
      <c r="W187" s="2"/>
      <c r="X187" s="2"/>
      <c r="Y187" s="22"/>
      <c r="Z187" s="22"/>
      <c r="AA187" s="2"/>
      <c r="AB187" s="14"/>
      <c r="AC187" s="15"/>
      <c r="AD187" s="15"/>
      <c r="AE187" s="14"/>
      <c r="AF187" s="15"/>
      <c r="AG187" s="15"/>
      <c r="AH187" s="16"/>
      <c r="AI187" s="15"/>
      <c r="AJ187" s="17"/>
      <c r="AK187" s="18"/>
      <c r="AL187" s="15"/>
      <c r="AM187" s="15"/>
      <c r="AN187" s="19"/>
      <c r="AO187" s="15"/>
    </row>
    <row r="192" spans="1:41" s="25" customFormat="1" x14ac:dyDescent="0.35">
      <c r="A192" s="21"/>
      <c r="B192" s="2"/>
      <c r="C192" s="2"/>
      <c r="D192" s="2"/>
      <c r="E192" s="2"/>
      <c r="F192" s="2"/>
      <c r="G192" s="2"/>
      <c r="H192" s="2"/>
      <c r="I192" s="2"/>
      <c r="J192" s="2"/>
      <c r="K192" s="26"/>
      <c r="L192" s="2"/>
      <c r="M192" s="2"/>
      <c r="N192" s="2"/>
      <c r="O192" s="2"/>
      <c r="P192" s="27"/>
      <c r="Q192" s="27"/>
      <c r="R192" s="26"/>
      <c r="S192" s="2"/>
      <c r="T192" s="2"/>
      <c r="U192" s="2"/>
      <c r="V192" s="2"/>
      <c r="W192" s="2"/>
      <c r="X192" s="2"/>
      <c r="Y192" s="22"/>
      <c r="Z192" s="22"/>
      <c r="AA192" s="2"/>
      <c r="AB192" s="14"/>
      <c r="AC192" s="15"/>
      <c r="AD192" s="15"/>
      <c r="AE192" s="14"/>
      <c r="AF192" s="15"/>
      <c r="AG192" s="15"/>
      <c r="AH192" s="16"/>
      <c r="AI192" s="15"/>
      <c r="AJ192" s="17"/>
      <c r="AK192" s="18"/>
      <c r="AL192" s="15"/>
      <c r="AM192" s="15"/>
      <c r="AN192" s="19"/>
      <c r="AO192" s="15"/>
    </row>
    <row r="193" spans="1:41" s="25" customFormat="1" x14ac:dyDescent="0.35">
      <c r="A193" s="21"/>
      <c r="B193" s="2"/>
      <c r="C193" s="2"/>
      <c r="D193" s="2"/>
      <c r="E193" s="2"/>
      <c r="F193" s="2"/>
      <c r="G193" s="2"/>
      <c r="H193" s="2"/>
      <c r="I193" s="2"/>
      <c r="J193" s="2"/>
      <c r="K193" s="26"/>
      <c r="L193" s="2"/>
      <c r="M193" s="2"/>
      <c r="N193" s="2"/>
      <c r="O193" s="2"/>
      <c r="P193" s="27"/>
      <c r="Q193" s="27"/>
      <c r="R193" s="26"/>
      <c r="S193" s="2"/>
      <c r="T193" s="2"/>
      <c r="U193" s="2"/>
      <c r="V193" s="2"/>
      <c r="W193" s="2"/>
      <c r="X193" s="2"/>
      <c r="Y193" s="22"/>
      <c r="Z193" s="22"/>
      <c r="AA193" s="2"/>
      <c r="AB193" s="14"/>
      <c r="AC193" s="15"/>
      <c r="AD193" s="15"/>
      <c r="AE193" s="14"/>
      <c r="AF193" s="15"/>
      <c r="AG193" s="15"/>
      <c r="AH193" s="16"/>
      <c r="AI193" s="15"/>
      <c r="AJ193" s="17"/>
      <c r="AK193" s="18"/>
      <c r="AL193" s="15"/>
      <c r="AM193" s="15"/>
      <c r="AN193" s="19"/>
      <c r="AO193" s="15"/>
    </row>
    <row r="198" spans="1:41" s="25" customFormat="1" x14ac:dyDescent="0.35">
      <c r="A198" s="21"/>
      <c r="B198" s="2"/>
      <c r="C198" s="2"/>
      <c r="D198" s="2"/>
      <c r="E198" s="2"/>
      <c r="F198" s="2"/>
      <c r="G198" s="2"/>
      <c r="H198" s="2"/>
      <c r="I198" s="2"/>
      <c r="J198" s="2"/>
      <c r="K198" s="26"/>
      <c r="L198" s="2"/>
      <c r="M198" s="2"/>
      <c r="N198" s="2"/>
      <c r="O198" s="2"/>
      <c r="P198" s="27"/>
      <c r="Q198" s="27"/>
      <c r="R198" s="26"/>
      <c r="S198" s="2"/>
      <c r="T198" s="2"/>
      <c r="U198" s="2"/>
      <c r="V198" s="2"/>
      <c r="W198" s="2"/>
      <c r="X198" s="2"/>
      <c r="Y198" s="22"/>
      <c r="Z198" s="22"/>
      <c r="AA198" s="2"/>
      <c r="AB198" s="14"/>
      <c r="AC198" s="15"/>
      <c r="AD198" s="15"/>
      <c r="AE198" s="14"/>
      <c r="AF198" s="15"/>
      <c r="AG198" s="15"/>
      <c r="AH198" s="16"/>
      <c r="AI198" s="15"/>
      <c r="AJ198" s="17"/>
      <c r="AK198" s="18"/>
      <c r="AL198" s="15"/>
      <c r="AM198" s="15"/>
      <c r="AN198" s="19"/>
      <c r="AO198" s="15"/>
    </row>
    <row r="199" spans="1:41" ht="39.75" customHeight="1" x14ac:dyDescent="0.35"/>
    <row r="200" spans="1:41" ht="39.75" customHeight="1" x14ac:dyDescent="0.35"/>
    <row r="201" spans="1:41" s="25" customFormat="1" x14ac:dyDescent="0.35">
      <c r="A201" s="21"/>
      <c r="B201" s="2"/>
      <c r="C201" s="2"/>
      <c r="D201" s="2"/>
      <c r="E201" s="2"/>
      <c r="F201" s="2"/>
      <c r="G201" s="2"/>
      <c r="H201" s="2"/>
      <c r="I201" s="2"/>
      <c r="J201" s="2"/>
      <c r="K201" s="26"/>
      <c r="L201" s="2"/>
      <c r="M201" s="2"/>
      <c r="N201" s="2"/>
      <c r="O201" s="2"/>
      <c r="P201" s="27"/>
      <c r="Q201" s="27"/>
      <c r="R201" s="26"/>
      <c r="S201" s="2"/>
      <c r="T201" s="2"/>
      <c r="U201" s="2"/>
      <c r="V201" s="2"/>
      <c r="W201" s="2"/>
      <c r="X201" s="2"/>
      <c r="Y201" s="22"/>
      <c r="Z201" s="22"/>
      <c r="AA201" s="2"/>
      <c r="AB201" s="14"/>
      <c r="AC201" s="15"/>
      <c r="AD201" s="15"/>
      <c r="AE201" s="14"/>
      <c r="AF201" s="15"/>
      <c r="AG201" s="15"/>
      <c r="AH201" s="16"/>
      <c r="AI201" s="15"/>
      <c r="AJ201" s="17"/>
      <c r="AK201" s="18"/>
      <c r="AL201" s="15"/>
      <c r="AM201" s="15"/>
      <c r="AN201" s="19"/>
      <c r="AO201" s="15"/>
    </row>
    <row r="202" spans="1:41" ht="37.5" customHeight="1" x14ac:dyDescent="0.35"/>
    <row r="204" spans="1:41" s="25" customFormat="1" x14ac:dyDescent="0.35">
      <c r="A204" s="21"/>
      <c r="B204" s="2"/>
      <c r="C204" s="2"/>
      <c r="D204" s="2"/>
      <c r="E204" s="2"/>
      <c r="F204" s="2"/>
      <c r="G204" s="2"/>
      <c r="H204" s="2"/>
      <c r="I204" s="2"/>
      <c r="J204" s="2"/>
      <c r="K204" s="26"/>
      <c r="L204" s="2"/>
      <c r="M204" s="2"/>
      <c r="N204" s="2"/>
      <c r="O204" s="2"/>
      <c r="P204" s="27"/>
      <c r="Q204" s="27"/>
      <c r="R204" s="26"/>
      <c r="S204" s="2"/>
      <c r="T204" s="2"/>
      <c r="U204" s="2"/>
      <c r="V204" s="2"/>
      <c r="W204" s="2"/>
      <c r="X204" s="2"/>
      <c r="Y204" s="22"/>
      <c r="Z204" s="22"/>
      <c r="AA204" s="2"/>
      <c r="AB204" s="14"/>
      <c r="AC204" s="15"/>
      <c r="AD204" s="15"/>
      <c r="AE204" s="14"/>
      <c r="AF204" s="15"/>
      <c r="AG204" s="15"/>
      <c r="AH204" s="16"/>
      <c r="AI204" s="15"/>
      <c r="AJ204" s="17"/>
      <c r="AK204" s="18"/>
      <c r="AL204" s="15"/>
      <c r="AM204" s="15"/>
      <c r="AN204" s="19"/>
      <c r="AO204" s="15"/>
    </row>
    <row r="212" spans="1:41" ht="45.75" customHeight="1" x14ac:dyDescent="0.35"/>
    <row r="218" spans="1:41" ht="29.25" customHeight="1" x14ac:dyDescent="0.35"/>
    <row r="220" spans="1:41" s="25" customFormat="1" x14ac:dyDescent="0.35">
      <c r="A220" s="21"/>
      <c r="B220" s="2"/>
      <c r="C220" s="2"/>
      <c r="D220" s="2"/>
      <c r="E220" s="2"/>
      <c r="F220" s="2"/>
      <c r="G220" s="2"/>
      <c r="H220" s="2"/>
      <c r="I220" s="2"/>
      <c r="J220" s="2"/>
      <c r="K220" s="26"/>
      <c r="L220" s="2"/>
      <c r="M220" s="2"/>
      <c r="N220" s="2"/>
      <c r="O220" s="2"/>
      <c r="P220" s="27"/>
      <c r="Q220" s="27"/>
      <c r="R220" s="26"/>
      <c r="S220" s="2"/>
      <c r="T220" s="2"/>
      <c r="U220" s="2"/>
      <c r="V220" s="2"/>
      <c r="W220" s="2"/>
      <c r="X220" s="2"/>
      <c r="Y220" s="22"/>
      <c r="Z220" s="22"/>
      <c r="AA220" s="2"/>
      <c r="AB220" s="14"/>
      <c r="AC220" s="15"/>
      <c r="AD220" s="15"/>
      <c r="AE220" s="14"/>
      <c r="AF220" s="15"/>
      <c r="AG220" s="15"/>
      <c r="AH220" s="16"/>
      <c r="AI220" s="15"/>
      <c r="AJ220" s="17"/>
      <c r="AK220" s="18"/>
      <c r="AL220" s="15"/>
      <c r="AM220" s="15"/>
      <c r="AN220" s="19"/>
      <c r="AO220" s="15"/>
    </row>
    <row r="225" spans="1:41" s="25" customFormat="1" x14ac:dyDescent="0.35">
      <c r="A225" s="21"/>
      <c r="B225" s="2"/>
      <c r="C225" s="2"/>
      <c r="D225" s="2"/>
      <c r="E225" s="2"/>
      <c r="F225" s="2"/>
      <c r="G225" s="2"/>
      <c r="H225" s="2"/>
      <c r="I225" s="2"/>
      <c r="J225" s="2"/>
      <c r="K225" s="26"/>
      <c r="L225" s="2"/>
      <c r="M225" s="2"/>
      <c r="N225" s="2"/>
      <c r="O225" s="2"/>
      <c r="P225" s="27"/>
      <c r="Q225" s="27"/>
      <c r="R225" s="26"/>
      <c r="S225" s="2"/>
      <c r="T225" s="2"/>
      <c r="U225" s="2"/>
      <c r="V225" s="2"/>
      <c r="W225" s="2"/>
      <c r="X225" s="2"/>
      <c r="Y225" s="22"/>
      <c r="Z225" s="22"/>
      <c r="AA225" s="2"/>
      <c r="AB225" s="14"/>
      <c r="AC225" s="15"/>
      <c r="AD225" s="15"/>
      <c r="AE225" s="14"/>
      <c r="AF225" s="15"/>
      <c r="AG225" s="15"/>
      <c r="AH225" s="16"/>
      <c r="AI225" s="15"/>
      <c r="AJ225" s="17"/>
      <c r="AK225" s="18"/>
      <c r="AL225" s="15"/>
      <c r="AM225" s="15"/>
      <c r="AN225" s="19"/>
      <c r="AO225" s="15"/>
    </row>
    <row r="229" spans="1:41" ht="39.75" customHeight="1" x14ac:dyDescent="0.35"/>
    <row r="230" spans="1:41" ht="31.5" customHeight="1" x14ac:dyDescent="0.35"/>
    <row r="231" spans="1:41" s="25" customFormat="1" x14ac:dyDescent="0.35">
      <c r="A231" s="21"/>
      <c r="B231" s="2"/>
      <c r="C231" s="2"/>
      <c r="D231" s="2"/>
      <c r="E231" s="2"/>
      <c r="F231" s="2"/>
      <c r="G231" s="2"/>
      <c r="H231" s="2"/>
      <c r="I231" s="2"/>
      <c r="J231" s="2"/>
      <c r="K231" s="26"/>
      <c r="L231" s="2"/>
      <c r="M231" s="2"/>
      <c r="N231" s="2"/>
      <c r="O231" s="2"/>
      <c r="P231" s="27"/>
      <c r="Q231" s="27"/>
      <c r="R231" s="26"/>
      <c r="S231" s="2"/>
      <c r="T231" s="2"/>
      <c r="U231" s="2"/>
      <c r="V231" s="2"/>
      <c r="W231" s="2"/>
      <c r="X231" s="2"/>
      <c r="Y231" s="22"/>
      <c r="Z231" s="22"/>
      <c r="AA231" s="2"/>
      <c r="AB231" s="14"/>
      <c r="AC231" s="15"/>
      <c r="AD231" s="15"/>
      <c r="AE231" s="14"/>
      <c r="AF231" s="15"/>
      <c r="AG231" s="15"/>
      <c r="AH231" s="16"/>
      <c r="AI231" s="15"/>
      <c r="AJ231" s="17"/>
      <c r="AK231" s="18"/>
      <c r="AL231" s="15"/>
      <c r="AM231" s="15"/>
      <c r="AN231" s="19"/>
      <c r="AO231" s="15"/>
    </row>
    <row r="232" spans="1:41" s="25" customFormat="1" x14ac:dyDescent="0.35">
      <c r="A232" s="21"/>
      <c r="B232" s="2"/>
      <c r="C232" s="2"/>
      <c r="D232" s="2"/>
      <c r="E232" s="2"/>
      <c r="F232" s="2"/>
      <c r="G232" s="2"/>
      <c r="H232" s="2"/>
      <c r="I232" s="2"/>
      <c r="J232" s="2"/>
      <c r="K232" s="26"/>
      <c r="L232" s="2"/>
      <c r="M232" s="2"/>
      <c r="N232" s="2"/>
      <c r="O232" s="2"/>
      <c r="P232" s="27"/>
      <c r="Q232" s="27"/>
      <c r="R232" s="26"/>
      <c r="S232" s="2"/>
      <c r="T232" s="2"/>
      <c r="U232" s="2"/>
      <c r="V232" s="2"/>
      <c r="W232" s="2"/>
      <c r="X232" s="2"/>
      <c r="Y232" s="22"/>
      <c r="Z232" s="22"/>
      <c r="AA232" s="2"/>
      <c r="AB232" s="14"/>
      <c r="AC232" s="15"/>
      <c r="AD232" s="15"/>
      <c r="AE232" s="14"/>
      <c r="AF232" s="15"/>
      <c r="AG232" s="15"/>
      <c r="AH232" s="16"/>
      <c r="AI232" s="15"/>
      <c r="AJ232" s="17"/>
      <c r="AK232" s="18"/>
      <c r="AL232" s="15"/>
      <c r="AM232" s="15"/>
      <c r="AN232" s="19"/>
      <c r="AO232" s="15"/>
    </row>
    <row r="235" spans="1:41" ht="49.5" customHeight="1" x14ac:dyDescent="0.35"/>
    <row r="236" spans="1:41" ht="49.5" customHeight="1" x14ac:dyDescent="0.35"/>
    <row r="238" spans="1:41" s="25" customFormat="1" x14ac:dyDescent="0.35">
      <c r="A238" s="21"/>
      <c r="B238" s="2"/>
      <c r="C238" s="2"/>
      <c r="D238" s="2"/>
      <c r="E238" s="2"/>
      <c r="F238" s="2"/>
      <c r="G238" s="2"/>
      <c r="H238" s="2"/>
      <c r="I238" s="2"/>
      <c r="J238" s="2"/>
      <c r="K238" s="26"/>
      <c r="L238" s="2"/>
      <c r="M238" s="2"/>
      <c r="N238" s="2"/>
      <c r="O238" s="2"/>
      <c r="P238" s="27"/>
      <c r="Q238" s="27"/>
      <c r="R238" s="26"/>
      <c r="S238" s="2"/>
      <c r="T238" s="2"/>
      <c r="U238" s="2"/>
      <c r="V238" s="2"/>
      <c r="W238" s="2"/>
      <c r="X238" s="2"/>
      <c r="Y238" s="22"/>
      <c r="Z238" s="22"/>
      <c r="AA238" s="2"/>
      <c r="AB238" s="14"/>
      <c r="AC238" s="15"/>
      <c r="AD238" s="15"/>
      <c r="AE238" s="14"/>
      <c r="AF238" s="15"/>
      <c r="AG238" s="15"/>
      <c r="AH238" s="16"/>
      <c r="AI238" s="15"/>
      <c r="AJ238" s="17"/>
      <c r="AK238" s="18"/>
      <c r="AL238" s="15"/>
      <c r="AM238" s="15"/>
      <c r="AN238" s="19"/>
      <c r="AO238" s="15"/>
    </row>
    <row r="239" spans="1:41" s="25" customFormat="1" x14ac:dyDescent="0.35">
      <c r="A239" s="21"/>
      <c r="B239" s="2"/>
      <c r="C239" s="2"/>
      <c r="D239" s="2"/>
      <c r="E239" s="2"/>
      <c r="F239" s="2"/>
      <c r="G239" s="2"/>
      <c r="H239" s="2"/>
      <c r="I239" s="2"/>
      <c r="J239" s="2"/>
      <c r="K239" s="26"/>
      <c r="L239" s="2"/>
      <c r="M239" s="2"/>
      <c r="N239" s="2"/>
      <c r="O239" s="2"/>
      <c r="P239" s="27"/>
      <c r="Q239" s="27"/>
      <c r="R239" s="26"/>
      <c r="S239" s="2"/>
      <c r="T239" s="2"/>
      <c r="U239" s="2"/>
      <c r="V239" s="2"/>
      <c r="W239" s="2"/>
      <c r="X239" s="2"/>
      <c r="Y239" s="22"/>
      <c r="Z239" s="22"/>
      <c r="AA239" s="2"/>
      <c r="AB239" s="14"/>
      <c r="AC239" s="15"/>
      <c r="AD239" s="15"/>
      <c r="AE239" s="14"/>
      <c r="AF239" s="15"/>
      <c r="AG239" s="15"/>
      <c r="AH239" s="16"/>
      <c r="AI239" s="15"/>
      <c r="AJ239" s="17"/>
      <c r="AK239" s="18"/>
      <c r="AL239" s="15"/>
      <c r="AM239" s="15"/>
      <c r="AN239" s="19"/>
      <c r="AO239" s="15"/>
    </row>
    <row r="240" spans="1:41" s="25" customFormat="1" x14ac:dyDescent="0.35">
      <c r="A240" s="21"/>
      <c r="B240" s="2"/>
      <c r="C240" s="2"/>
      <c r="D240" s="2"/>
      <c r="E240" s="2"/>
      <c r="F240" s="2"/>
      <c r="G240" s="2"/>
      <c r="H240" s="2"/>
      <c r="I240" s="2"/>
      <c r="J240" s="2"/>
      <c r="K240" s="26"/>
      <c r="L240" s="2"/>
      <c r="M240" s="2"/>
      <c r="N240" s="2"/>
      <c r="O240" s="2"/>
      <c r="P240" s="27"/>
      <c r="Q240" s="27"/>
      <c r="R240" s="26"/>
      <c r="S240" s="2"/>
      <c r="T240" s="2"/>
      <c r="U240" s="2"/>
      <c r="V240" s="2"/>
      <c r="W240" s="2"/>
      <c r="X240" s="2"/>
      <c r="Y240" s="22"/>
      <c r="Z240" s="22"/>
      <c r="AA240" s="2"/>
      <c r="AB240" s="14"/>
      <c r="AC240" s="15"/>
      <c r="AD240" s="15"/>
      <c r="AE240" s="14"/>
      <c r="AF240" s="15"/>
      <c r="AG240" s="15"/>
      <c r="AH240" s="16"/>
      <c r="AI240" s="15"/>
      <c r="AJ240" s="17"/>
      <c r="AK240" s="18"/>
      <c r="AL240" s="15"/>
      <c r="AM240" s="15"/>
      <c r="AN240" s="19"/>
      <c r="AO240" s="15"/>
    </row>
    <row r="241" spans="1:41" s="25" customFormat="1" x14ac:dyDescent="0.35">
      <c r="A241" s="21"/>
      <c r="B241" s="2"/>
      <c r="C241" s="2"/>
      <c r="D241" s="2"/>
      <c r="E241" s="2"/>
      <c r="F241" s="2"/>
      <c r="G241" s="2"/>
      <c r="H241" s="2"/>
      <c r="I241" s="2"/>
      <c r="J241" s="2"/>
      <c r="K241" s="26"/>
      <c r="L241" s="2"/>
      <c r="M241" s="2"/>
      <c r="N241" s="2"/>
      <c r="O241" s="2"/>
      <c r="P241" s="27"/>
      <c r="Q241" s="27"/>
      <c r="R241" s="26"/>
      <c r="S241" s="2"/>
      <c r="T241" s="2"/>
      <c r="U241" s="2"/>
      <c r="V241" s="2"/>
      <c r="W241" s="2"/>
      <c r="X241" s="2"/>
      <c r="Y241" s="22"/>
      <c r="Z241" s="22"/>
      <c r="AA241" s="2"/>
      <c r="AB241" s="14"/>
      <c r="AC241" s="15"/>
      <c r="AD241" s="15"/>
      <c r="AE241" s="14"/>
      <c r="AF241" s="15"/>
      <c r="AG241" s="15"/>
      <c r="AH241" s="16"/>
      <c r="AI241" s="15"/>
      <c r="AJ241" s="17"/>
      <c r="AK241" s="18"/>
      <c r="AL241" s="15"/>
      <c r="AM241" s="15"/>
      <c r="AN241" s="19"/>
      <c r="AO241" s="15"/>
    </row>
    <row r="242" spans="1:41" s="25" customFormat="1" x14ac:dyDescent="0.35">
      <c r="A242" s="21"/>
      <c r="B242" s="2"/>
      <c r="C242" s="2"/>
      <c r="D242" s="2"/>
      <c r="E242" s="2"/>
      <c r="F242" s="2"/>
      <c r="G242" s="2"/>
      <c r="H242" s="2"/>
      <c r="I242" s="2"/>
      <c r="J242" s="2"/>
      <c r="K242" s="26"/>
      <c r="L242" s="2"/>
      <c r="M242" s="2"/>
      <c r="N242" s="2"/>
      <c r="O242" s="2"/>
      <c r="P242" s="27"/>
      <c r="Q242" s="27"/>
      <c r="R242" s="26"/>
      <c r="S242" s="2"/>
      <c r="T242" s="2"/>
      <c r="U242" s="2"/>
      <c r="V242" s="2"/>
      <c r="W242" s="2"/>
      <c r="X242" s="2"/>
      <c r="Y242" s="22"/>
      <c r="Z242" s="22"/>
      <c r="AA242" s="2"/>
      <c r="AB242" s="14"/>
      <c r="AC242" s="15"/>
      <c r="AD242" s="15"/>
      <c r="AE242" s="14"/>
      <c r="AF242" s="15"/>
      <c r="AG242" s="15"/>
      <c r="AH242" s="16"/>
      <c r="AI242" s="15"/>
      <c r="AJ242" s="17"/>
      <c r="AK242" s="18"/>
      <c r="AL242" s="15"/>
      <c r="AM242" s="15"/>
      <c r="AN242" s="19"/>
      <c r="AO242" s="15"/>
    </row>
    <row r="243" spans="1:41" s="25" customFormat="1" x14ac:dyDescent="0.35">
      <c r="A243" s="21"/>
      <c r="B243" s="2"/>
      <c r="C243" s="2"/>
      <c r="D243" s="2"/>
      <c r="E243" s="2"/>
      <c r="F243" s="2"/>
      <c r="G243" s="2"/>
      <c r="H243" s="2"/>
      <c r="I243" s="2"/>
      <c r="J243" s="2"/>
      <c r="K243" s="26"/>
      <c r="L243" s="2"/>
      <c r="M243" s="2"/>
      <c r="N243" s="2"/>
      <c r="O243" s="2"/>
      <c r="P243" s="27"/>
      <c r="Q243" s="27"/>
      <c r="R243" s="26"/>
      <c r="S243" s="2"/>
      <c r="T243" s="2"/>
      <c r="U243" s="2"/>
      <c r="V243" s="2"/>
      <c r="W243" s="2"/>
      <c r="X243" s="2"/>
      <c r="Y243" s="22"/>
      <c r="Z243" s="22"/>
      <c r="AA243" s="2"/>
      <c r="AB243" s="14"/>
      <c r="AC243" s="15"/>
      <c r="AD243" s="15"/>
      <c r="AE243" s="14"/>
      <c r="AF243" s="15"/>
      <c r="AG243" s="15"/>
      <c r="AH243" s="16"/>
      <c r="AI243" s="15"/>
      <c r="AJ243" s="17"/>
      <c r="AK243" s="18"/>
      <c r="AL243" s="15"/>
      <c r="AM243" s="15"/>
      <c r="AN243" s="19"/>
      <c r="AO243" s="15"/>
    </row>
    <row r="244" spans="1:41" s="25" customFormat="1" x14ac:dyDescent="0.35">
      <c r="A244" s="21"/>
      <c r="B244" s="2"/>
      <c r="C244" s="2"/>
      <c r="D244" s="2"/>
      <c r="E244" s="2"/>
      <c r="F244" s="2"/>
      <c r="G244" s="2"/>
      <c r="H244" s="2"/>
      <c r="I244" s="2"/>
      <c r="J244" s="2"/>
      <c r="K244" s="26"/>
      <c r="L244" s="2"/>
      <c r="M244" s="2"/>
      <c r="N244" s="2"/>
      <c r="O244" s="2"/>
      <c r="P244" s="27"/>
      <c r="Q244" s="27"/>
      <c r="R244" s="26"/>
      <c r="S244" s="2"/>
      <c r="T244" s="2"/>
      <c r="U244" s="2"/>
      <c r="V244" s="2"/>
      <c r="W244" s="2"/>
      <c r="X244" s="2"/>
      <c r="Y244" s="22"/>
      <c r="Z244" s="22"/>
      <c r="AA244" s="2"/>
      <c r="AB244" s="14"/>
      <c r="AC244" s="15"/>
      <c r="AD244" s="15"/>
      <c r="AE244" s="14"/>
      <c r="AF244" s="15"/>
      <c r="AG244" s="15"/>
      <c r="AH244" s="16"/>
      <c r="AI244" s="15"/>
      <c r="AJ244" s="17"/>
      <c r="AK244" s="18"/>
      <c r="AL244" s="15"/>
      <c r="AM244" s="15"/>
      <c r="AN244" s="19"/>
      <c r="AO244" s="15"/>
    </row>
    <row r="245" spans="1:41" s="25" customFormat="1" x14ac:dyDescent="0.35">
      <c r="A245" s="21"/>
      <c r="B245" s="2"/>
      <c r="C245" s="2"/>
      <c r="D245" s="2"/>
      <c r="E245" s="2"/>
      <c r="F245" s="2"/>
      <c r="G245" s="2"/>
      <c r="H245" s="2"/>
      <c r="I245" s="2"/>
      <c r="J245" s="2"/>
      <c r="K245" s="26"/>
      <c r="L245" s="2"/>
      <c r="M245" s="2"/>
      <c r="N245" s="2"/>
      <c r="O245" s="2"/>
      <c r="P245" s="27"/>
      <c r="Q245" s="27"/>
      <c r="R245" s="26"/>
      <c r="S245" s="2"/>
      <c r="T245" s="2"/>
      <c r="U245" s="2"/>
      <c r="V245" s="2"/>
      <c r="W245" s="2"/>
      <c r="X245" s="2"/>
      <c r="Y245" s="22"/>
      <c r="Z245" s="22"/>
      <c r="AA245" s="2"/>
      <c r="AB245" s="14"/>
      <c r="AC245" s="15"/>
      <c r="AD245" s="15"/>
      <c r="AE245" s="14"/>
      <c r="AF245" s="15"/>
      <c r="AG245" s="15"/>
      <c r="AH245" s="16"/>
      <c r="AI245" s="15"/>
      <c r="AJ245" s="17"/>
      <c r="AK245" s="18"/>
      <c r="AL245" s="15"/>
      <c r="AM245" s="15"/>
      <c r="AN245" s="19"/>
      <c r="AO245" s="15"/>
    </row>
    <row r="246" spans="1:41" s="25" customFormat="1" x14ac:dyDescent="0.35">
      <c r="A246" s="21"/>
      <c r="B246" s="2"/>
      <c r="C246" s="2"/>
      <c r="D246" s="2"/>
      <c r="E246" s="2"/>
      <c r="F246" s="2"/>
      <c r="G246" s="2"/>
      <c r="H246" s="2"/>
      <c r="I246" s="2"/>
      <c r="J246" s="2"/>
      <c r="K246" s="26"/>
      <c r="L246" s="2"/>
      <c r="M246" s="2"/>
      <c r="N246" s="2"/>
      <c r="O246" s="2"/>
      <c r="P246" s="27"/>
      <c r="Q246" s="27"/>
      <c r="R246" s="26"/>
      <c r="S246" s="2"/>
      <c r="T246" s="2"/>
      <c r="U246" s="2"/>
      <c r="V246" s="2"/>
      <c r="W246" s="2"/>
      <c r="X246" s="2"/>
      <c r="Y246" s="22"/>
      <c r="Z246" s="22"/>
      <c r="AA246" s="2"/>
      <c r="AB246" s="14"/>
      <c r="AC246" s="15"/>
      <c r="AD246" s="15"/>
      <c r="AE246" s="14"/>
      <c r="AF246" s="15"/>
      <c r="AG246" s="15"/>
      <c r="AH246" s="16"/>
      <c r="AI246" s="15"/>
      <c r="AJ246" s="17"/>
      <c r="AK246" s="18"/>
      <c r="AL246" s="15"/>
      <c r="AM246" s="15"/>
      <c r="AN246" s="19"/>
      <c r="AO246" s="15"/>
    </row>
    <row r="247" spans="1:41" s="25" customFormat="1" x14ac:dyDescent="0.35">
      <c r="A247" s="21"/>
      <c r="B247" s="2"/>
      <c r="C247" s="2"/>
      <c r="D247" s="2"/>
      <c r="E247" s="2"/>
      <c r="F247" s="2"/>
      <c r="G247" s="2"/>
      <c r="H247" s="2"/>
      <c r="I247" s="2"/>
      <c r="J247" s="2"/>
      <c r="K247" s="26"/>
      <c r="L247" s="2"/>
      <c r="M247" s="2"/>
      <c r="N247" s="2"/>
      <c r="O247" s="2"/>
      <c r="P247" s="27"/>
      <c r="Q247" s="27"/>
      <c r="R247" s="26"/>
      <c r="S247" s="2"/>
      <c r="T247" s="2"/>
      <c r="U247" s="2"/>
      <c r="V247" s="2"/>
      <c r="W247" s="2"/>
      <c r="X247" s="2"/>
      <c r="Y247" s="22"/>
      <c r="Z247" s="22"/>
      <c r="AA247" s="2"/>
      <c r="AB247" s="14"/>
      <c r="AC247" s="15"/>
      <c r="AD247" s="15"/>
      <c r="AE247" s="14"/>
      <c r="AF247" s="15"/>
      <c r="AG247" s="15"/>
      <c r="AH247" s="16"/>
      <c r="AI247" s="15"/>
      <c r="AJ247" s="17"/>
      <c r="AK247" s="18"/>
      <c r="AL247" s="15"/>
      <c r="AM247" s="15"/>
      <c r="AN247" s="19"/>
      <c r="AO247" s="15"/>
    </row>
    <row r="250" spans="1:41" ht="49.5" customHeight="1" x14ac:dyDescent="0.35"/>
    <row r="252" spans="1:41" s="25" customFormat="1" x14ac:dyDescent="0.35">
      <c r="A252" s="21"/>
      <c r="B252" s="2"/>
      <c r="C252" s="2"/>
      <c r="D252" s="2"/>
      <c r="E252" s="2"/>
      <c r="F252" s="2"/>
      <c r="G252" s="2"/>
      <c r="H252" s="2"/>
      <c r="I252" s="2"/>
      <c r="J252" s="2"/>
      <c r="K252" s="26"/>
      <c r="L252" s="2"/>
      <c r="M252" s="2"/>
      <c r="N252" s="2"/>
      <c r="O252" s="2"/>
      <c r="P252" s="27"/>
      <c r="Q252" s="27"/>
      <c r="R252" s="26"/>
      <c r="S252" s="2"/>
      <c r="T252" s="2"/>
      <c r="U252" s="2"/>
      <c r="V252" s="2"/>
      <c r="W252" s="2"/>
      <c r="X252" s="2"/>
      <c r="Y252" s="22"/>
      <c r="Z252" s="22"/>
      <c r="AA252" s="2"/>
      <c r="AB252" s="14"/>
      <c r="AC252" s="15"/>
      <c r="AD252" s="15"/>
      <c r="AE252" s="14"/>
      <c r="AF252" s="15"/>
      <c r="AG252" s="15"/>
      <c r="AH252" s="16"/>
      <c r="AI252" s="15"/>
      <c r="AJ252" s="17"/>
      <c r="AK252" s="18"/>
      <c r="AL252" s="15"/>
      <c r="AM252" s="15"/>
      <c r="AN252" s="19"/>
      <c r="AO252" s="15"/>
    </row>
    <row r="254" spans="1:41" s="25" customFormat="1" x14ac:dyDescent="0.35">
      <c r="A254" s="21"/>
      <c r="B254" s="2"/>
      <c r="C254" s="2"/>
      <c r="D254" s="2"/>
      <c r="E254" s="2"/>
      <c r="F254" s="2"/>
      <c r="G254" s="2"/>
      <c r="H254" s="2"/>
      <c r="I254" s="2"/>
      <c r="J254" s="2"/>
      <c r="K254" s="26"/>
      <c r="L254" s="2"/>
      <c r="M254" s="2"/>
      <c r="N254" s="2"/>
      <c r="O254" s="2"/>
      <c r="P254" s="27"/>
      <c r="Q254" s="27"/>
      <c r="R254" s="26"/>
      <c r="S254" s="2"/>
      <c r="T254" s="2"/>
      <c r="U254" s="2"/>
      <c r="V254" s="2"/>
      <c r="W254" s="2"/>
      <c r="X254" s="2"/>
      <c r="Y254" s="22"/>
      <c r="Z254" s="22"/>
      <c r="AA254" s="2"/>
      <c r="AB254" s="14"/>
      <c r="AC254" s="15"/>
      <c r="AD254" s="15"/>
      <c r="AE254" s="14"/>
      <c r="AF254" s="15"/>
      <c r="AG254" s="15"/>
      <c r="AH254" s="16"/>
      <c r="AI254" s="15"/>
      <c r="AJ254" s="17"/>
      <c r="AK254" s="18"/>
      <c r="AL254" s="15"/>
      <c r="AM254" s="15"/>
      <c r="AN254" s="19"/>
      <c r="AO254" s="15"/>
    </row>
    <row r="255" spans="1:41" s="25" customFormat="1" x14ac:dyDescent="0.35">
      <c r="A255" s="21"/>
      <c r="B255" s="2"/>
      <c r="C255" s="2"/>
      <c r="D255" s="2"/>
      <c r="E255" s="2"/>
      <c r="F255" s="2"/>
      <c r="G255" s="2"/>
      <c r="H255" s="2"/>
      <c r="I255" s="2"/>
      <c r="J255" s="2"/>
      <c r="K255" s="26"/>
      <c r="L255" s="2"/>
      <c r="M255" s="2"/>
      <c r="N255" s="2"/>
      <c r="O255" s="2"/>
      <c r="P255" s="27"/>
      <c r="Q255" s="27"/>
      <c r="R255" s="26"/>
      <c r="S255" s="2"/>
      <c r="T255" s="2"/>
      <c r="U255" s="2"/>
      <c r="V255" s="2"/>
      <c r="W255" s="2"/>
      <c r="X255" s="2"/>
      <c r="Y255" s="22"/>
      <c r="Z255" s="22"/>
      <c r="AA255" s="2"/>
      <c r="AB255" s="14"/>
      <c r="AC255" s="15"/>
      <c r="AD255" s="15"/>
      <c r="AE255" s="14"/>
      <c r="AF255" s="15"/>
      <c r="AG255" s="15"/>
      <c r="AH255" s="16"/>
      <c r="AI255" s="15"/>
      <c r="AJ255" s="17"/>
      <c r="AK255" s="18"/>
      <c r="AL255" s="15"/>
      <c r="AM255" s="15"/>
      <c r="AN255" s="19"/>
      <c r="AO255" s="15"/>
    </row>
    <row r="257" spans="1:41" s="25" customFormat="1" x14ac:dyDescent="0.35">
      <c r="A257" s="21"/>
      <c r="B257" s="2"/>
      <c r="C257" s="2"/>
      <c r="D257" s="2"/>
      <c r="E257" s="2"/>
      <c r="F257" s="2"/>
      <c r="G257" s="2"/>
      <c r="H257" s="2"/>
      <c r="I257" s="2"/>
      <c r="J257" s="2"/>
      <c r="K257" s="26"/>
      <c r="L257" s="2"/>
      <c r="M257" s="2"/>
      <c r="N257" s="2"/>
      <c r="O257" s="2"/>
      <c r="P257" s="27"/>
      <c r="Q257" s="27"/>
      <c r="R257" s="26"/>
      <c r="S257" s="2"/>
      <c r="T257" s="2"/>
      <c r="U257" s="2"/>
      <c r="V257" s="2"/>
      <c r="W257" s="2"/>
      <c r="X257" s="2"/>
      <c r="Y257" s="22"/>
      <c r="Z257" s="22"/>
      <c r="AA257" s="2"/>
      <c r="AB257" s="14"/>
      <c r="AC257" s="15"/>
      <c r="AD257" s="15"/>
      <c r="AE257" s="14"/>
      <c r="AF257" s="15"/>
      <c r="AG257" s="15"/>
      <c r="AH257" s="16"/>
      <c r="AI257" s="15"/>
      <c r="AJ257" s="17"/>
      <c r="AK257" s="18"/>
      <c r="AL257" s="15"/>
      <c r="AM257" s="15"/>
      <c r="AN257" s="19"/>
      <c r="AO257" s="15"/>
    </row>
    <row r="258" spans="1:41" s="25" customFormat="1" x14ac:dyDescent="0.35">
      <c r="A258" s="21"/>
      <c r="B258" s="2"/>
      <c r="C258" s="2"/>
      <c r="D258" s="2"/>
      <c r="E258" s="2"/>
      <c r="F258" s="2"/>
      <c r="G258" s="2"/>
      <c r="H258" s="2"/>
      <c r="I258" s="2"/>
      <c r="J258" s="2"/>
      <c r="K258" s="26"/>
      <c r="L258" s="2"/>
      <c r="M258" s="2"/>
      <c r="N258" s="2"/>
      <c r="O258" s="2"/>
      <c r="P258" s="27"/>
      <c r="Q258" s="27"/>
      <c r="R258" s="26"/>
      <c r="S258" s="2"/>
      <c r="T258" s="2"/>
      <c r="U258" s="2"/>
      <c r="V258" s="2"/>
      <c r="W258" s="2"/>
      <c r="X258" s="2"/>
      <c r="Y258" s="22"/>
      <c r="Z258" s="22"/>
      <c r="AA258" s="2"/>
      <c r="AB258" s="14"/>
      <c r="AC258" s="15"/>
      <c r="AD258" s="15"/>
      <c r="AE258" s="14"/>
      <c r="AF258" s="15"/>
      <c r="AG258" s="15"/>
      <c r="AH258" s="16"/>
      <c r="AI258" s="15"/>
      <c r="AJ258" s="17"/>
      <c r="AK258" s="18"/>
      <c r="AL258" s="15"/>
      <c r="AM258" s="15"/>
      <c r="AN258" s="19"/>
      <c r="AO258" s="15"/>
    </row>
    <row r="259" spans="1:41" s="25" customFormat="1" x14ac:dyDescent="0.35">
      <c r="A259" s="21"/>
      <c r="B259" s="2"/>
      <c r="C259" s="2"/>
      <c r="D259" s="2"/>
      <c r="E259" s="2"/>
      <c r="F259" s="2"/>
      <c r="G259" s="2"/>
      <c r="H259" s="2"/>
      <c r="I259" s="2"/>
      <c r="J259" s="2"/>
      <c r="K259" s="26"/>
      <c r="L259" s="2"/>
      <c r="M259" s="2"/>
      <c r="N259" s="2"/>
      <c r="O259" s="2"/>
      <c r="P259" s="27"/>
      <c r="Q259" s="27"/>
      <c r="R259" s="26"/>
      <c r="S259" s="2"/>
      <c r="T259" s="2"/>
      <c r="U259" s="2"/>
      <c r="V259" s="2"/>
      <c r="W259" s="2"/>
      <c r="X259" s="2"/>
      <c r="Y259" s="22"/>
      <c r="Z259" s="22"/>
      <c r="AA259" s="2"/>
      <c r="AB259" s="14"/>
      <c r="AC259" s="15"/>
      <c r="AD259" s="15"/>
      <c r="AE259" s="14"/>
      <c r="AF259" s="15"/>
      <c r="AG259" s="15"/>
      <c r="AH259" s="16"/>
      <c r="AI259" s="15"/>
      <c r="AJ259" s="17"/>
      <c r="AK259" s="18"/>
      <c r="AL259" s="15"/>
      <c r="AM259" s="15"/>
      <c r="AN259" s="19"/>
      <c r="AO259" s="15"/>
    </row>
    <row r="261" spans="1:41" ht="49.5" customHeight="1" x14ac:dyDescent="0.35"/>
    <row r="273" spans="1:41" s="25" customFormat="1" x14ac:dyDescent="0.35">
      <c r="A273" s="21"/>
      <c r="B273" s="2"/>
      <c r="C273" s="2"/>
      <c r="D273" s="2"/>
      <c r="E273" s="2"/>
      <c r="F273" s="2"/>
      <c r="G273" s="2"/>
      <c r="H273" s="2"/>
      <c r="I273" s="2"/>
      <c r="J273" s="2"/>
      <c r="K273" s="26"/>
      <c r="L273" s="2"/>
      <c r="M273" s="2"/>
      <c r="N273" s="2"/>
      <c r="O273" s="2"/>
      <c r="P273" s="27"/>
      <c r="Q273" s="27"/>
      <c r="R273" s="26"/>
      <c r="S273" s="2"/>
      <c r="T273" s="2"/>
      <c r="U273" s="2"/>
      <c r="V273" s="2"/>
      <c r="W273" s="2"/>
      <c r="X273" s="2"/>
      <c r="Y273" s="22"/>
      <c r="Z273" s="22"/>
      <c r="AA273" s="2"/>
      <c r="AB273" s="14"/>
      <c r="AC273" s="15"/>
      <c r="AD273" s="15"/>
      <c r="AE273" s="14"/>
      <c r="AF273" s="15"/>
      <c r="AG273" s="15"/>
      <c r="AH273" s="16"/>
      <c r="AI273" s="15"/>
      <c r="AJ273" s="17"/>
      <c r="AK273" s="18"/>
      <c r="AL273" s="15"/>
      <c r="AM273" s="15"/>
      <c r="AN273" s="19"/>
      <c r="AO273" s="15"/>
    </row>
    <row r="274" spans="1:41" s="25" customFormat="1" x14ac:dyDescent="0.35">
      <c r="A274" s="21"/>
      <c r="B274" s="2"/>
      <c r="C274" s="2"/>
      <c r="D274" s="2"/>
      <c r="E274" s="2"/>
      <c r="F274" s="2"/>
      <c r="G274" s="2"/>
      <c r="H274" s="2"/>
      <c r="I274" s="2"/>
      <c r="J274" s="2"/>
      <c r="K274" s="26"/>
      <c r="L274" s="2"/>
      <c r="M274" s="2"/>
      <c r="N274" s="2"/>
      <c r="O274" s="2"/>
      <c r="P274" s="27"/>
      <c r="Q274" s="27"/>
      <c r="R274" s="26"/>
      <c r="S274" s="2"/>
      <c r="T274" s="2"/>
      <c r="U274" s="2"/>
      <c r="V274" s="2"/>
      <c r="W274" s="2"/>
      <c r="X274" s="2"/>
      <c r="Y274" s="22"/>
      <c r="Z274" s="22"/>
      <c r="AA274" s="2"/>
      <c r="AB274" s="14"/>
      <c r="AC274" s="15"/>
      <c r="AD274" s="15"/>
      <c r="AE274" s="14"/>
      <c r="AF274" s="15"/>
      <c r="AG274" s="15"/>
      <c r="AH274" s="16"/>
      <c r="AI274" s="15"/>
      <c r="AJ274" s="17"/>
      <c r="AK274" s="18"/>
      <c r="AL274" s="15"/>
      <c r="AM274" s="15"/>
      <c r="AN274" s="19"/>
      <c r="AO274" s="15"/>
    </row>
    <row r="276" spans="1:41" s="25" customFormat="1" x14ac:dyDescent="0.35">
      <c r="A276" s="21"/>
      <c r="B276" s="2"/>
      <c r="C276" s="2"/>
      <c r="D276" s="2"/>
      <c r="E276" s="2"/>
      <c r="F276" s="2"/>
      <c r="G276" s="2"/>
      <c r="H276" s="2"/>
      <c r="I276" s="2"/>
      <c r="J276" s="2"/>
      <c r="K276" s="26"/>
      <c r="L276" s="2"/>
      <c r="M276" s="2"/>
      <c r="N276" s="2"/>
      <c r="O276" s="2"/>
      <c r="P276" s="27"/>
      <c r="Q276" s="27"/>
      <c r="R276" s="26"/>
      <c r="S276" s="2"/>
      <c r="T276" s="2"/>
      <c r="U276" s="2"/>
      <c r="V276" s="2"/>
      <c r="W276" s="2"/>
      <c r="X276" s="2"/>
      <c r="Y276" s="22"/>
      <c r="Z276" s="22"/>
      <c r="AA276" s="2"/>
      <c r="AB276" s="14"/>
      <c r="AC276" s="15"/>
      <c r="AD276" s="15"/>
      <c r="AE276" s="14"/>
      <c r="AF276" s="15"/>
      <c r="AG276" s="15"/>
      <c r="AH276" s="16"/>
      <c r="AI276" s="15"/>
      <c r="AJ276" s="17"/>
      <c r="AK276" s="18"/>
      <c r="AL276" s="15"/>
      <c r="AM276" s="15"/>
      <c r="AN276" s="19"/>
      <c r="AO276" s="15"/>
    </row>
    <row r="277" spans="1:41" s="25" customFormat="1" x14ac:dyDescent="0.35">
      <c r="A277" s="21"/>
      <c r="B277" s="2"/>
      <c r="C277" s="2"/>
      <c r="D277" s="2"/>
      <c r="E277" s="2"/>
      <c r="F277" s="2"/>
      <c r="G277" s="2"/>
      <c r="H277" s="2"/>
      <c r="I277" s="2"/>
      <c r="J277" s="2"/>
      <c r="K277" s="26"/>
      <c r="L277" s="2"/>
      <c r="M277" s="2"/>
      <c r="N277" s="2"/>
      <c r="O277" s="2"/>
      <c r="P277" s="27"/>
      <c r="Q277" s="27"/>
      <c r="R277" s="26"/>
      <c r="S277" s="2"/>
      <c r="T277" s="2"/>
      <c r="U277" s="2"/>
      <c r="V277" s="2"/>
      <c r="W277" s="2"/>
      <c r="X277" s="2"/>
      <c r="Y277" s="22"/>
      <c r="Z277" s="22"/>
      <c r="AA277" s="2"/>
      <c r="AB277" s="14"/>
      <c r="AC277" s="15"/>
      <c r="AD277" s="15"/>
      <c r="AE277" s="14"/>
      <c r="AF277" s="15"/>
      <c r="AG277" s="15"/>
      <c r="AH277" s="16"/>
      <c r="AI277" s="15"/>
      <c r="AJ277" s="17"/>
      <c r="AK277" s="18"/>
      <c r="AL277" s="15"/>
      <c r="AM277" s="15"/>
      <c r="AN277" s="19"/>
      <c r="AO277" s="15"/>
    </row>
    <row r="278" spans="1:41" s="25" customFormat="1" x14ac:dyDescent="0.35">
      <c r="A278" s="21"/>
      <c r="B278" s="2"/>
      <c r="C278" s="2"/>
      <c r="D278" s="2"/>
      <c r="E278" s="2"/>
      <c r="F278" s="2"/>
      <c r="G278" s="2"/>
      <c r="H278" s="2"/>
      <c r="I278" s="2"/>
      <c r="J278" s="2"/>
      <c r="K278" s="26"/>
      <c r="L278" s="2"/>
      <c r="M278" s="2"/>
      <c r="N278" s="2"/>
      <c r="O278" s="2"/>
      <c r="P278" s="27"/>
      <c r="Q278" s="27"/>
      <c r="R278" s="26"/>
      <c r="S278" s="2"/>
      <c r="T278" s="2"/>
      <c r="U278" s="2"/>
      <c r="V278" s="2"/>
      <c r="W278" s="2"/>
      <c r="X278" s="2"/>
      <c r="Y278" s="22"/>
      <c r="Z278" s="22"/>
      <c r="AA278" s="2"/>
      <c r="AB278" s="14"/>
      <c r="AC278" s="15"/>
      <c r="AD278" s="15"/>
      <c r="AE278" s="14"/>
      <c r="AF278" s="15"/>
      <c r="AG278" s="15"/>
      <c r="AH278" s="16"/>
      <c r="AI278" s="15"/>
      <c r="AJ278" s="17"/>
      <c r="AK278" s="18"/>
      <c r="AL278" s="15"/>
      <c r="AM278" s="15"/>
      <c r="AN278" s="19"/>
      <c r="AO278" s="15"/>
    </row>
    <row r="286" spans="1:41" ht="49.5" customHeight="1" x14ac:dyDescent="0.35"/>
    <row r="291" spans="1:41" ht="49.5" customHeight="1" x14ac:dyDescent="0.35"/>
    <row r="296" spans="1:41" ht="49.5" customHeight="1" x14ac:dyDescent="0.35"/>
    <row r="300" spans="1:41" s="25" customFormat="1" x14ac:dyDescent="0.35">
      <c r="A300" s="21"/>
      <c r="B300" s="2"/>
      <c r="C300" s="2"/>
      <c r="D300" s="2"/>
      <c r="E300" s="2"/>
      <c r="F300" s="2"/>
      <c r="G300" s="2"/>
      <c r="H300" s="2"/>
      <c r="I300" s="2"/>
      <c r="J300" s="2"/>
      <c r="K300" s="26"/>
      <c r="L300" s="2"/>
      <c r="M300" s="2"/>
      <c r="N300" s="2"/>
      <c r="O300" s="2"/>
      <c r="P300" s="27"/>
      <c r="Q300" s="27"/>
      <c r="R300" s="26"/>
      <c r="S300" s="2"/>
      <c r="T300" s="2"/>
      <c r="U300" s="2"/>
      <c r="V300" s="2"/>
      <c r="W300" s="2"/>
      <c r="X300" s="2"/>
      <c r="Y300" s="22"/>
      <c r="Z300" s="22"/>
      <c r="AA300" s="2"/>
      <c r="AB300" s="14"/>
      <c r="AC300" s="15"/>
      <c r="AD300" s="15"/>
      <c r="AE300" s="14"/>
      <c r="AF300" s="15"/>
      <c r="AG300" s="15"/>
      <c r="AH300" s="16"/>
      <c r="AI300" s="15"/>
      <c r="AJ300" s="17"/>
      <c r="AK300" s="18"/>
      <c r="AL300" s="15"/>
      <c r="AM300" s="15"/>
      <c r="AN300" s="19"/>
      <c r="AO300" s="15"/>
    </row>
    <row r="303" spans="1:41" s="25" customFormat="1" x14ac:dyDescent="0.35">
      <c r="A303" s="21"/>
      <c r="B303" s="2"/>
      <c r="C303" s="2"/>
      <c r="D303" s="2"/>
      <c r="E303" s="2"/>
      <c r="F303" s="2"/>
      <c r="G303" s="2"/>
      <c r="H303" s="2"/>
      <c r="I303" s="2"/>
      <c r="J303" s="2"/>
      <c r="K303" s="26"/>
      <c r="L303" s="2"/>
      <c r="M303" s="2"/>
      <c r="N303" s="2"/>
      <c r="O303" s="2"/>
      <c r="P303" s="27"/>
      <c r="Q303" s="27"/>
      <c r="R303" s="26"/>
      <c r="S303" s="2"/>
      <c r="T303" s="2"/>
      <c r="U303" s="2"/>
      <c r="V303" s="2"/>
      <c r="W303" s="2"/>
      <c r="X303" s="2"/>
      <c r="Y303" s="22"/>
      <c r="Z303" s="22"/>
      <c r="AA303" s="2"/>
      <c r="AB303" s="14"/>
      <c r="AC303" s="15"/>
      <c r="AD303" s="15"/>
      <c r="AE303" s="14"/>
      <c r="AF303" s="15"/>
      <c r="AG303" s="15"/>
      <c r="AH303" s="16"/>
      <c r="AI303" s="15"/>
      <c r="AJ303" s="17"/>
      <c r="AK303" s="18"/>
      <c r="AL303" s="15"/>
      <c r="AM303" s="15"/>
      <c r="AN303" s="19"/>
      <c r="AO303" s="15"/>
    </row>
    <row r="308" spans="42:45" ht="39.75" customHeight="1" x14ac:dyDescent="0.35"/>
    <row r="309" spans="42:45" ht="39.75" customHeight="1" x14ac:dyDescent="0.35"/>
    <row r="310" spans="42:45" ht="49.5" customHeight="1" x14ac:dyDescent="0.35"/>
    <row r="319" spans="42:45" ht="29.25" customHeight="1" x14ac:dyDescent="0.35">
      <c r="AP319" s="23" t="e">
        <f>ROUND((#REF!-#REF!-(#REF!)),2)</f>
        <v>#REF!</v>
      </c>
      <c r="AQ319" s="24">
        <v>425.67</v>
      </c>
      <c r="AR319" s="23" t="e">
        <f t="shared" ref="AR319" si="0">ROUND((AP319/AQ319),2)</f>
        <v>#REF!</v>
      </c>
      <c r="AS319" s="20" t="e">
        <f>AR320-AR319</f>
        <v>#REF!</v>
      </c>
    </row>
    <row r="320" spans="42:45" x14ac:dyDescent="0.35">
      <c r="AR320" s="15">
        <v>484.18</v>
      </c>
    </row>
    <row r="323" spans="1:41" s="25" customFormat="1" x14ac:dyDescent="0.35">
      <c r="A323" s="21"/>
      <c r="B323" s="2"/>
      <c r="C323" s="2"/>
      <c r="D323" s="2"/>
      <c r="E323" s="2"/>
      <c r="F323" s="2"/>
      <c r="G323" s="2"/>
      <c r="H323" s="2"/>
      <c r="I323" s="2"/>
      <c r="J323" s="2"/>
      <c r="K323" s="26"/>
      <c r="L323" s="2"/>
      <c r="M323" s="2"/>
      <c r="N323" s="2"/>
      <c r="O323" s="2"/>
      <c r="P323" s="27"/>
      <c r="Q323" s="27"/>
      <c r="R323" s="26"/>
      <c r="S323" s="2"/>
      <c r="T323" s="2"/>
      <c r="U323" s="2"/>
      <c r="V323" s="2"/>
      <c r="W323" s="2"/>
      <c r="X323" s="2"/>
      <c r="Y323" s="22"/>
      <c r="Z323" s="22"/>
      <c r="AA323" s="2"/>
      <c r="AB323" s="14"/>
      <c r="AC323" s="15"/>
      <c r="AD323" s="15"/>
      <c r="AE323" s="14"/>
      <c r="AF323" s="15"/>
      <c r="AG323" s="15"/>
      <c r="AH323" s="16"/>
      <c r="AI323" s="15"/>
      <c r="AJ323" s="17"/>
      <c r="AK323" s="18"/>
      <c r="AL323" s="15"/>
      <c r="AM323" s="15"/>
      <c r="AN323" s="19"/>
      <c r="AO323" s="15"/>
    </row>
    <row r="324" spans="1:41" s="25" customFormat="1" x14ac:dyDescent="0.35">
      <c r="A324" s="21"/>
      <c r="B324" s="2"/>
      <c r="C324" s="2"/>
      <c r="D324" s="2"/>
      <c r="E324" s="2"/>
      <c r="F324" s="2"/>
      <c r="G324" s="2"/>
      <c r="H324" s="2"/>
      <c r="I324" s="2"/>
      <c r="J324" s="2"/>
      <c r="K324" s="26"/>
      <c r="L324" s="2"/>
      <c r="M324" s="2"/>
      <c r="N324" s="2"/>
      <c r="O324" s="2"/>
      <c r="P324" s="27"/>
      <c r="Q324" s="27"/>
      <c r="R324" s="26"/>
      <c r="S324" s="2"/>
      <c r="T324" s="2"/>
      <c r="U324" s="2"/>
      <c r="V324" s="2"/>
      <c r="W324" s="2"/>
      <c r="X324" s="2"/>
      <c r="Y324" s="22"/>
      <c r="Z324" s="22"/>
      <c r="AA324" s="2"/>
      <c r="AB324" s="14"/>
      <c r="AC324" s="15"/>
      <c r="AD324" s="15"/>
      <c r="AE324" s="14"/>
      <c r="AF324" s="15"/>
      <c r="AG324" s="15"/>
      <c r="AH324" s="16"/>
      <c r="AI324" s="15"/>
      <c r="AJ324" s="17"/>
      <c r="AK324" s="18"/>
      <c r="AL324" s="15"/>
      <c r="AM324" s="15"/>
      <c r="AN324" s="19"/>
      <c r="AO324" s="15"/>
    </row>
    <row r="325" spans="1:41" s="25" customFormat="1" x14ac:dyDescent="0.35">
      <c r="A325" s="21"/>
      <c r="B325" s="2"/>
      <c r="C325" s="2"/>
      <c r="D325" s="2"/>
      <c r="E325" s="2"/>
      <c r="F325" s="2"/>
      <c r="G325" s="2"/>
      <c r="H325" s="2"/>
      <c r="I325" s="2"/>
      <c r="J325" s="2"/>
      <c r="K325" s="26"/>
      <c r="L325" s="2"/>
      <c r="M325" s="2"/>
      <c r="N325" s="2"/>
      <c r="O325" s="2"/>
      <c r="P325" s="27"/>
      <c r="Q325" s="27"/>
      <c r="R325" s="26"/>
      <c r="S325" s="2"/>
      <c r="T325" s="2"/>
      <c r="U325" s="2"/>
      <c r="V325" s="2"/>
      <c r="W325" s="2"/>
      <c r="X325" s="2"/>
      <c r="Y325" s="22"/>
      <c r="Z325" s="22"/>
      <c r="AA325" s="2"/>
      <c r="AB325" s="14"/>
      <c r="AC325" s="15"/>
      <c r="AD325" s="15"/>
      <c r="AE325" s="14"/>
      <c r="AF325" s="15"/>
      <c r="AG325" s="15"/>
      <c r="AH325" s="16"/>
      <c r="AI325" s="15"/>
      <c r="AJ325" s="17"/>
      <c r="AK325" s="18"/>
      <c r="AL325" s="15"/>
      <c r="AM325" s="15"/>
      <c r="AN325" s="19"/>
      <c r="AO325" s="15"/>
    </row>
    <row r="329" spans="1:41" s="25" customFormat="1" x14ac:dyDescent="0.35">
      <c r="A329" s="21"/>
      <c r="B329" s="2"/>
      <c r="C329" s="2"/>
      <c r="D329" s="2"/>
      <c r="E329" s="2"/>
      <c r="F329" s="2"/>
      <c r="G329" s="2"/>
      <c r="H329" s="2"/>
      <c r="I329" s="2"/>
      <c r="J329" s="2"/>
      <c r="K329" s="26"/>
      <c r="L329" s="2"/>
      <c r="M329" s="2"/>
      <c r="N329" s="2"/>
      <c r="O329" s="2"/>
      <c r="P329" s="27"/>
      <c r="Q329" s="27"/>
      <c r="R329" s="26"/>
      <c r="S329" s="2"/>
      <c r="T329" s="2"/>
      <c r="U329" s="2"/>
      <c r="V329" s="2"/>
      <c r="W329" s="2"/>
      <c r="X329" s="2"/>
      <c r="Y329" s="22"/>
      <c r="Z329" s="22"/>
      <c r="AA329" s="2"/>
      <c r="AB329" s="14"/>
      <c r="AC329" s="15"/>
      <c r="AD329" s="15"/>
      <c r="AE329" s="14"/>
      <c r="AF329" s="15"/>
      <c r="AG329" s="15"/>
      <c r="AH329" s="16"/>
      <c r="AI329" s="15"/>
      <c r="AJ329" s="17"/>
      <c r="AK329" s="18"/>
      <c r="AL329" s="15"/>
      <c r="AM329" s="15"/>
      <c r="AN329" s="19"/>
      <c r="AO329" s="15"/>
    </row>
    <row r="330" spans="1:41" s="25" customFormat="1" x14ac:dyDescent="0.35">
      <c r="A330" s="21"/>
      <c r="B330" s="2"/>
      <c r="C330" s="2"/>
      <c r="D330" s="2"/>
      <c r="E330" s="2"/>
      <c r="F330" s="2"/>
      <c r="G330" s="2"/>
      <c r="H330" s="2"/>
      <c r="I330" s="2"/>
      <c r="J330" s="2"/>
      <c r="K330" s="26"/>
      <c r="L330" s="2"/>
      <c r="M330" s="2"/>
      <c r="N330" s="2"/>
      <c r="O330" s="2"/>
      <c r="P330" s="27"/>
      <c r="Q330" s="27"/>
      <c r="R330" s="26"/>
      <c r="S330" s="2"/>
      <c r="T330" s="2"/>
      <c r="U330" s="2"/>
      <c r="V330" s="2"/>
      <c r="W330" s="2"/>
      <c r="X330" s="2"/>
      <c r="Y330" s="22"/>
      <c r="Z330" s="22"/>
      <c r="AA330" s="2"/>
      <c r="AB330" s="14"/>
      <c r="AC330" s="15"/>
      <c r="AD330" s="15"/>
      <c r="AE330" s="14"/>
      <c r="AF330" s="15"/>
      <c r="AG330" s="15"/>
      <c r="AH330" s="16"/>
      <c r="AI330" s="15"/>
      <c r="AJ330" s="17"/>
      <c r="AK330" s="18"/>
      <c r="AL330" s="15"/>
      <c r="AM330" s="15"/>
      <c r="AN330" s="19"/>
      <c r="AO330" s="15"/>
    </row>
    <row r="331" spans="1:41" s="25" customFormat="1" x14ac:dyDescent="0.35">
      <c r="A331" s="21"/>
      <c r="B331" s="2"/>
      <c r="C331" s="2"/>
      <c r="D331" s="2"/>
      <c r="E331" s="2"/>
      <c r="F331" s="2"/>
      <c r="G331" s="2"/>
      <c r="H331" s="2"/>
      <c r="I331" s="2"/>
      <c r="J331" s="2"/>
      <c r="K331" s="26"/>
      <c r="L331" s="2"/>
      <c r="M331" s="2"/>
      <c r="N331" s="2"/>
      <c r="O331" s="2"/>
      <c r="P331" s="27"/>
      <c r="Q331" s="27"/>
      <c r="R331" s="26"/>
      <c r="S331" s="2"/>
      <c r="T331" s="2"/>
      <c r="U331" s="2"/>
      <c r="V331" s="2"/>
      <c r="W331" s="2"/>
      <c r="X331" s="2"/>
      <c r="Y331" s="22"/>
      <c r="Z331" s="22"/>
      <c r="AA331" s="2"/>
      <c r="AB331" s="14"/>
      <c r="AC331" s="15"/>
      <c r="AD331" s="15"/>
      <c r="AE331" s="14"/>
      <c r="AF331" s="15"/>
      <c r="AG331" s="15"/>
      <c r="AH331" s="16"/>
      <c r="AI331" s="15"/>
      <c r="AJ331" s="17"/>
      <c r="AK331" s="18"/>
      <c r="AL331" s="15"/>
      <c r="AM331" s="15"/>
      <c r="AN331" s="19"/>
      <c r="AO331" s="15"/>
    </row>
    <row r="332" spans="1:41" s="25" customFormat="1" x14ac:dyDescent="0.35">
      <c r="A332" s="21"/>
      <c r="B332" s="2"/>
      <c r="C332" s="2"/>
      <c r="D332" s="2"/>
      <c r="E332" s="2"/>
      <c r="F332" s="2"/>
      <c r="G332" s="2"/>
      <c r="H332" s="2"/>
      <c r="I332" s="2"/>
      <c r="J332" s="2"/>
      <c r="K332" s="26"/>
      <c r="L332" s="2"/>
      <c r="M332" s="2"/>
      <c r="N332" s="2"/>
      <c r="O332" s="2"/>
      <c r="P332" s="27"/>
      <c r="Q332" s="27"/>
      <c r="R332" s="26"/>
      <c r="S332" s="2"/>
      <c r="T332" s="2"/>
      <c r="U332" s="2"/>
      <c r="V332" s="2"/>
      <c r="W332" s="2"/>
      <c r="X332" s="2"/>
      <c r="Y332" s="22"/>
      <c r="Z332" s="22"/>
      <c r="AA332" s="2"/>
      <c r="AB332" s="14"/>
      <c r="AC332" s="15"/>
      <c r="AD332" s="15"/>
      <c r="AE332" s="14"/>
      <c r="AF332" s="15"/>
      <c r="AG332" s="15"/>
      <c r="AH332" s="16"/>
      <c r="AI332" s="15"/>
      <c r="AJ332" s="17"/>
      <c r="AK332" s="18"/>
      <c r="AL332" s="15"/>
      <c r="AM332" s="15"/>
      <c r="AN332" s="19"/>
      <c r="AO332" s="15"/>
    </row>
    <row r="333" spans="1:41" s="25" customFormat="1" x14ac:dyDescent="0.35">
      <c r="A333" s="21"/>
      <c r="B333" s="2"/>
      <c r="C333" s="2"/>
      <c r="D333" s="2"/>
      <c r="E333" s="2"/>
      <c r="F333" s="2"/>
      <c r="G333" s="2"/>
      <c r="H333" s="2"/>
      <c r="I333" s="2"/>
      <c r="J333" s="2"/>
      <c r="K333" s="26"/>
      <c r="L333" s="2"/>
      <c r="M333" s="2"/>
      <c r="N333" s="2"/>
      <c r="O333" s="2"/>
      <c r="P333" s="27"/>
      <c r="Q333" s="27"/>
      <c r="R333" s="26"/>
      <c r="S333" s="2"/>
      <c r="T333" s="2"/>
      <c r="U333" s="2"/>
      <c r="V333" s="2"/>
      <c r="W333" s="2"/>
      <c r="X333" s="2"/>
      <c r="Y333" s="22"/>
      <c r="Z333" s="22"/>
      <c r="AA333" s="2"/>
      <c r="AB333" s="14"/>
      <c r="AC333" s="15"/>
      <c r="AD333" s="15"/>
      <c r="AE333" s="14"/>
      <c r="AF333" s="15"/>
      <c r="AG333" s="15"/>
      <c r="AH333" s="16"/>
      <c r="AI333" s="15"/>
      <c r="AJ333" s="17"/>
      <c r="AK333" s="18"/>
      <c r="AL333" s="15"/>
      <c r="AM333" s="15"/>
      <c r="AN333" s="19"/>
      <c r="AO333" s="15"/>
    </row>
    <row r="337" spans="1:41" s="25" customFormat="1" x14ac:dyDescent="0.35">
      <c r="A337" s="21"/>
      <c r="B337" s="2"/>
      <c r="C337" s="2"/>
      <c r="D337" s="2"/>
      <c r="E337" s="2"/>
      <c r="F337" s="2"/>
      <c r="G337" s="2"/>
      <c r="H337" s="2"/>
      <c r="I337" s="2"/>
      <c r="J337" s="2"/>
      <c r="K337" s="26"/>
      <c r="L337" s="2"/>
      <c r="M337" s="2"/>
      <c r="N337" s="2"/>
      <c r="O337" s="2"/>
      <c r="P337" s="27"/>
      <c r="Q337" s="27"/>
      <c r="R337" s="26"/>
      <c r="S337" s="2"/>
      <c r="T337" s="2"/>
      <c r="U337" s="2"/>
      <c r="V337" s="2"/>
      <c r="W337" s="2"/>
      <c r="X337" s="2"/>
      <c r="Y337" s="22"/>
      <c r="Z337" s="22"/>
      <c r="AA337" s="2"/>
      <c r="AB337" s="14"/>
      <c r="AC337" s="15"/>
      <c r="AD337" s="15"/>
      <c r="AE337" s="14"/>
      <c r="AF337" s="15"/>
      <c r="AG337" s="15"/>
      <c r="AH337" s="16"/>
      <c r="AI337" s="15"/>
      <c r="AJ337" s="17"/>
      <c r="AK337" s="18"/>
      <c r="AL337" s="15"/>
      <c r="AM337" s="15"/>
      <c r="AN337" s="19"/>
      <c r="AO337" s="15"/>
    </row>
    <row r="341" spans="1:41" ht="49.5" customHeight="1" x14ac:dyDescent="0.35"/>
    <row r="344" spans="1:41" ht="31.5" customHeight="1" x14ac:dyDescent="0.35"/>
    <row r="346" spans="1:41" ht="31.5" customHeight="1" x14ac:dyDescent="0.35"/>
    <row r="348" spans="1:41" ht="31.5" customHeight="1" x14ac:dyDescent="0.35"/>
    <row r="359" spans="1:41" s="25" customFormat="1" x14ac:dyDescent="0.35">
      <c r="A359" s="21"/>
      <c r="B359" s="2"/>
      <c r="C359" s="2"/>
      <c r="D359" s="2"/>
      <c r="E359" s="2"/>
      <c r="F359" s="2"/>
      <c r="G359" s="2"/>
      <c r="H359" s="2"/>
      <c r="I359" s="2"/>
      <c r="J359" s="2"/>
      <c r="K359" s="26"/>
      <c r="L359" s="2"/>
      <c r="M359" s="2"/>
      <c r="N359" s="2"/>
      <c r="O359" s="2"/>
      <c r="P359" s="27"/>
      <c r="Q359" s="27"/>
      <c r="R359" s="26"/>
      <c r="S359" s="2"/>
      <c r="T359" s="2"/>
      <c r="U359" s="2"/>
      <c r="V359" s="2"/>
      <c r="W359" s="2"/>
      <c r="X359" s="2"/>
      <c r="Y359" s="22"/>
      <c r="Z359" s="22"/>
      <c r="AA359" s="2"/>
      <c r="AB359" s="14"/>
      <c r="AC359" s="15"/>
      <c r="AD359" s="15"/>
      <c r="AE359" s="14"/>
      <c r="AF359" s="15"/>
      <c r="AG359" s="15"/>
      <c r="AH359" s="16"/>
      <c r="AI359" s="15"/>
      <c r="AJ359" s="17"/>
      <c r="AK359" s="18"/>
      <c r="AL359" s="15"/>
      <c r="AM359" s="15"/>
      <c r="AN359" s="19"/>
      <c r="AO359" s="15"/>
    </row>
    <row r="373" spans="1:41" ht="31.5" customHeight="1" x14ac:dyDescent="0.35"/>
    <row r="378" spans="1:41" ht="31.5" customHeight="1" x14ac:dyDescent="0.35"/>
    <row r="379" spans="1:41" ht="31.5" customHeight="1" x14ac:dyDescent="0.35"/>
    <row r="380" spans="1:41" ht="31.5" customHeight="1" x14ac:dyDescent="0.35"/>
    <row r="382" spans="1:41" s="25" customFormat="1" x14ac:dyDescent="0.35">
      <c r="A382" s="21"/>
      <c r="B382" s="2"/>
      <c r="C382" s="2"/>
      <c r="D382" s="2"/>
      <c r="E382" s="2"/>
      <c r="F382" s="2"/>
      <c r="G382" s="2"/>
      <c r="H382" s="2"/>
      <c r="I382" s="2"/>
      <c r="J382" s="2"/>
      <c r="K382" s="26"/>
      <c r="L382" s="2"/>
      <c r="M382" s="2"/>
      <c r="N382" s="2"/>
      <c r="O382" s="2"/>
      <c r="P382" s="27"/>
      <c r="Q382" s="27"/>
      <c r="R382" s="26"/>
      <c r="S382" s="2"/>
      <c r="T382" s="2"/>
      <c r="U382" s="2"/>
      <c r="V382" s="2"/>
      <c r="W382" s="2"/>
      <c r="X382" s="2"/>
      <c r="Y382" s="22"/>
      <c r="Z382" s="22"/>
      <c r="AA382" s="2"/>
      <c r="AB382" s="14"/>
      <c r="AC382" s="15"/>
      <c r="AD382" s="15"/>
      <c r="AE382" s="14"/>
      <c r="AF382" s="15"/>
      <c r="AG382" s="15"/>
      <c r="AH382" s="16"/>
      <c r="AI382" s="15"/>
      <c r="AJ382" s="17"/>
      <c r="AK382" s="18"/>
      <c r="AL382" s="15"/>
      <c r="AM382" s="15"/>
      <c r="AN382" s="19"/>
      <c r="AO382" s="15"/>
    </row>
    <row r="386" ht="49.5" customHeight="1" x14ac:dyDescent="0.35"/>
    <row r="387" ht="49.5" customHeight="1" x14ac:dyDescent="0.35"/>
    <row r="389" ht="36.75" customHeight="1" x14ac:dyDescent="0.35"/>
    <row r="394" ht="31.5" customHeight="1" x14ac:dyDescent="0.35"/>
    <row r="395" ht="31.5" customHeight="1" x14ac:dyDescent="0.35"/>
    <row r="396" ht="31.5" customHeight="1" x14ac:dyDescent="0.35"/>
    <row r="397" ht="31.5" customHeight="1" x14ac:dyDescent="0.35"/>
    <row r="398" ht="31.5" customHeight="1" x14ac:dyDescent="0.35"/>
    <row r="399" ht="31.5" customHeight="1" x14ac:dyDescent="0.35"/>
    <row r="405" ht="31.5" customHeight="1" x14ac:dyDescent="0.35"/>
    <row r="406" ht="27.7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22" spans="1:44" ht="31.5" customHeight="1" x14ac:dyDescent="0.35"/>
    <row r="424" spans="1:44" s="25" customFormat="1" x14ac:dyDescent="0.35">
      <c r="A424" s="21"/>
      <c r="B424" s="2"/>
      <c r="C424" s="2"/>
      <c r="D424" s="2"/>
      <c r="E424" s="2"/>
      <c r="F424" s="2"/>
      <c r="G424" s="2"/>
      <c r="H424" s="2"/>
      <c r="I424" s="2"/>
      <c r="J424" s="2"/>
      <c r="K424" s="26"/>
      <c r="L424" s="2"/>
      <c r="M424" s="2"/>
      <c r="N424" s="2"/>
      <c r="O424" s="2"/>
      <c r="P424" s="27"/>
      <c r="Q424" s="27"/>
      <c r="R424" s="26"/>
      <c r="S424" s="2"/>
      <c r="T424" s="2"/>
      <c r="U424" s="2"/>
      <c r="V424" s="2"/>
      <c r="W424" s="2"/>
      <c r="X424" s="2"/>
      <c r="Y424" s="22"/>
      <c r="Z424" s="22"/>
      <c r="AA424" s="2"/>
      <c r="AB424" s="14"/>
      <c r="AC424" s="15"/>
      <c r="AD424" s="15"/>
      <c r="AE424" s="14"/>
      <c r="AF424" s="15"/>
      <c r="AG424" s="15"/>
      <c r="AH424" s="16"/>
      <c r="AI424" s="15"/>
      <c r="AJ424" s="17"/>
      <c r="AK424" s="18"/>
      <c r="AL424" s="15"/>
      <c r="AM424" s="15"/>
      <c r="AN424" s="19"/>
      <c r="AO424" s="15"/>
    </row>
    <row r="426" spans="1:44" ht="31.5" customHeight="1" x14ac:dyDescent="0.35"/>
    <row r="427" spans="1:44" ht="31.5" customHeight="1" x14ac:dyDescent="0.35"/>
    <row r="429" spans="1:44" x14ac:dyDescent="0.35">
      <c r="AR429" s="15">
        <v>484.18</v>
      </c>
    </row>
    <row r="430" spans="1:44" x14ac:dyDescent="0.35">
      <c r="AR430" s="15">
        <v>484.18</v>
      </c>
    </row>
    <row r="431" spans="1:44" ht="39.75" customHeight="1" x14ac:dyDescent="0.35"/>
    <row r="440" ht="49.5" customHeight="1" x14ac:dyDescent="0.35"/>
    <row r="454" spans="1:41" s="25" customFormat="1" x14ac:dyDescent="0.35">
      <c r="A454" s="21"/>
      <c r="B454" s="2"/>
      <c r="C454" s="2"/>
      <c r="D454" s="2"/>
      <c r="E454" s="2"/>
      <c r="F454" s="2"/>
      <c r="G454" s="2"/>
      <c r="H454" s="2"/>
      <c r="I454" s="2"/>
      <c r="J454" s="2"/>
      <c r="K454" s="26"/>
      <c r="L454" s="2"/>
      <c r="M454" s="2"/>
      <c r="N454" s="2"/>
      <c r="O454" s="2"/>
      <c r="P454" s="27"/>
      <c r="Q454" s="27"/>
      <c r="R454" s="26"/>
      <c r="S454" s="2"/>
      <c r="T454" s="2"/>
      <c r="U454" s="2"/>
      <c r="V454" s="2"/>
      <c r="W454" s="2"/>
      <c r="X454" s="2"/>
      <c r="Y454" s="22"/>
      <c r="Z454" s="22"/>
      <c r="AA454" s="2"/>
      <c r="AB454" s="14"/>
      <c r="AC454" s="15"/>
      <c r="AD454" s="15"/>
      <c r="AE454" s="14"/>
      <c r="AF454" s="15"/>
      <c r="AG454" s="15"/>
      <c r="AH454" s="16"/>
      <c r="AI454" s="15"/>
      <c r="AJ454" s="17"/>
      <c r="AK454" s="18"/>
      <c r="AL454" s="15"/>
      <c r="AM454" s="15"/>
      <c r="AN454" s="19"/>
      <c r="AO454" s="15"/>
    </row>
    <row r="455" spans="1:41" s="25" customFormat="1" x14ac:dyDescent="0.35">
      <c r="A455" s="21"/>
      <c r="B455" s="2"/>
      <c r="C455" s="2"/>
      <c r="D455" s="2"/>
      <c r="E455" s="2"/>
      <c r="F455" s="2"/>
      <c r="G455" s="2"/>
      <c r="H455" s="2"/>
      <c r="I455" s="2"/>
      <c r="J455" s="2"/>
      <c r="K455" s="26"/>
      <c r="L455" s="2"/>
      <c r="M455" s="2"/>
      <c r="N455" s="2"/>
      <c r="O455" s="2"/>
      <c r="P455" s="27"/>
      <c r="Q455" s="27"/>
      <c r="R455" s="26"/>
      <c r="S455" s="2"/>
      <c r="T455" s="2"/>
      <c r="U455" s="2"/>
      <c r="V455" s="2"/>
      <c r="W455" s="2"/>
      <c r="X455" s="2"/>
      <c r="Y455" s="22"/>
      <c r="Z455" s="22"/>
      <c r="AA455" s="2"/>
      <c r="AB455" s="14"/>
      <c r="AC455" s="15"/>
      <c r="AD455" s="15"/>
      <c r="AE455" s="14"/>
      <c r="AF455" s="15"/>
      <c r="AG455" s="15"/>
      <c r="AH455" s="16"/>
      <c r="AI455" s="15"/>
      <c r="AJ455" s="17"/>
      <c r="AK455" s="18"/>
      <c r="AL455" s="15"/>
      <c r="AM455" s="15"/>
      <c r="AN455" s="19"/>
      <c r="AO455" s="15"/>
    </row>
    <row r="456" spans="1:41" s="25" customFormat="1" x14ac:dyDescent="0.35">
      <c r="A456" s="21"/>
      <c r="B456" s="2"/>
      <c r="C456" s="2"/>
      <c r="D456" s="2"/>
      <c r="E456" s="2"/>
      <c r="F456" s="2"/>
      <c r="G456" s="2"/>
      <c r="H456" s="2"/>
      <c r="I456" s="2"/>
      <c r="J456" s="2"/>
      <c r="K456" s="26"/>
      <c r="L456" s="2"/>
      <c r="M456" s="2"/>
      <c r="N456" s="2"/>
      <c r="O456" s="2"/>
      <c r="P456" s="27"/>
      <c r="Q456" s="27"/>
      <c r="R456" s="26"/>
      <c r="S456" s="2"/>
      <c r="T456" s="2"/>
      <c r="U456" s="2"/>
      <c r="V456" s="2"/>
      <c r="W456" s="2"/>
      <c r="X456" s="2"/>
      <c r="Y456" s="22"/>
      <c r="Z456" s="22"/>
      <c r="AA456" s="2"/>
      <c r="AB456" s="14"/>
      <c r="AC456" s="15"/>
      <c r="AD456" s="15"/>
      <c r="AE456" s="14"/>
      <c r="AF456" s="15"/>
      <c r="AG456" s="15"/>
      <c r="AH456" s="16"/>
      <c r="AI456" s="15"/>
      <c r="AJ456" s="17"/>
      <c r="AK456" s="18"/>
      <c r="AL456" s="15"/>
      <c r="AM456" s="15"/>
      <c r="AN456" s="19"/>
      <c r="AO456" s="15"/>
    </row>
    <row r="457" spans="1:41" s="25" customFormat="1" x14ac:dyDescent="0.35">
      <c r="A457" s="21"/>
      <c r="B457" s="2"/>
      <c r="C457" s="2"/>
      <c r="D457" s="2"/>
      <c r="E457" s="2"/>
      <c r="F457" s="2"/>
      <c r="G457" s="2"/>
      <c r="H457" s="2"/>
      <c r="I457" s="2"/>
      <c r="J457" s="2"/>
      <c r="K457" s="26"/>
      <c r="L457" s="2"/>
      <c r="M457" s="2"/>
      <c r="N457" s="2"/>
      <c r="O457" s="2"/>
      <c r="P457" s="27"/>
      <c r="Q457" s="27"/>
      <c r="R457" s="26"/>
      <c r="S457" s="2"/>
      <c r="T457" s="2"/>
      <c r="U457" s="2"/>
      <c r="V457" s="2"/>
      <c r="W457" s="2"/>
      <c r="X457" s="2"/>
      <c r="Y457" s="22"/>
      <c r="Z457" s="22"/>
      <c r="AA457" s="2"/>
      <c r="AB457" s="14"/>
      <c r="AC457" s="15"/>
      <c r="AD457" s="15"/>
      <c r="AE457" s="14"/>
      <c r="AF457" s="15"/>
      <c r="AG457" s="15"/>
      <c r="AH457" s="16"/>
      <c r="AI457" s="15"/>
      <c r="AJ457" s="17"/>
      <c r="AK457" s="18"/>
      <c r="AL457" s="15"/>
      <c r="AM457" s="15"/>
      <c r="AN457" s="19"/>
      <c r="AO457" s="15"/>
    </row>
    <row r="458" spans="1:41" s="25" customFormat="1" x14ac:dyDescent="0.35">
      <c r="A458" s="21"/>
      <c r="B458" s="2"/>
      <c r="C458" s="2"/>
      <c r="D458" s="2"/>
      <c r="E458" s="2"/>
      <c r="F458" s="2"/>
      <c r="G458" s="2"/>
      <c r="H458" s="2"/>
      <c r="I458" s="2"/>
      <c r="J458" s="2"/>
      <c r="K458" s="26"/>
      <c r="L458" s="2"/>
      <c r="M458" s="2"/>
      <c r="N458" s="2"/>
      <c r="O458" s="2"/>
      <c r="P458" s="27"/>
      <c r="Q458" s="27"/>
      <c r="R458" s="26"/>
      <c r="S458" s="2"/>
      <c r="T458" s="2"/>
      <c r="U458" s="2"/>
      <c r="V458" s="2"/>
      <c r="W458" s="2"/>
      <c r="X458" s="2"/>
      <c r="Y458" s="22"/>
      <c r="Z458" s="22"/>
      <c r="AA458" s="2"/>
      <c r="AB458" s="14"/>
      <c r="AC458" s="15"/>
      <c r="AD458" s="15"/>
      <c r="AE458" s="14"/>
      <c r="AF458" s="15"/>
      <c r="AG458" s="15"/>
      <c r="AH458" s="16"/>
      <c r="AI458" s="15"/>
      <c r="AJ458" s="17"/>
      <c r="AK458" s="18"/>
      <c r="AL458" s="15"/>
      <c r="AM458" s="15"/>
      <c r="AN458" s="19"/>
      <c r="AO458" s="15"/>
    </row>
    <row r="459" spans="1:41" s="25" customFormat="1" x14ac:dyDescent="0.35">
      <c r="A459" s="21"/>
      <c r="B459" s="2"/>
      <c r="C459" s="2"/>
      <c r="D459" s="2"/>
      <c r="E459" s="2"/>
      <c r="F459" s="2"/>
      <c r="G459" s="2"/>
      <c r="H459" s="2"/>
      <c r="I459" s="2"/>
      <c r="J459" s="2"/>
      <c r="K459" s="26"/>
      <c r="L459" s="2"/>
      <c r="M459" s="2"/>
      <c r="N459" s="2"/>
      <c r="O459" s="2"/>
      <c r="P459" s="27"/>
      <c r="Q459" s="27"/>
      <c r="R459" s="26"/>
      <c r="S459" s="2"/>
      <c r="T459" s="2"/>
      <c r="U459" s="2"/>
      <c r="V459" s="2"/>
      <c r="W459" s="2"/>
      <c r="X459" s="2"/>
      <c r="Y459" s="22"/>
      <c r="Z459" s="22"/>
      <c r="AA459" s="2"/>
      <c r="AB459" s="14"/>
      <c r="AC459" s="15"/>
      <c r="AD459" s="15"/>
      <c r="AE459" s="14"/>
      <c r="AF459" s="15"/>
      <c r="AG459" s="15"/>
      <c r="AH459" s="16"/>
      <c r="AI459" s="15"/>
      <c r="AJ459" s="17"/>
      <c r="AK459" s="18"/>
      <c r="AL459" s="15"/>
      <c r="AM459" s="15"/>
      <c r="AN459" s="19"/>
      <c r="AO459" s="15"/>
    </row>
    <row r="460" spans="1:41" s="25" customFormat="1" x14ac:dyDescent="0.35">
      <c r="A460" s="21"/>
      <c r="B460" s="2"/>
      <c r="C460" s="2"/>
      <c r="D460" s="2"/>
      <c r="E460" s="2"/>
      <c r="F460" s="2"/>
      <c r="G460" s="2"/>
      <c r="H460" s="2"/>
      <c r="I460" s="2"/>
      <c r="J460" s="2"/>
      <c r="K460" s="26"/>
      <c r="L460" s="2"/>
      <c r="M460" s="2"/>
      <c r="N460" s="2"/>
      <c r="O460" s="2"/>
      <c r="P460" s="27"/>
      <c r="Q460" s="27"/>
      <c r="R460" s="26"/>
      <c r="S460" s="2"/>
      <c r="T460" s="2"/>
      <c r="U460" s="2"/>
      <c r="V460" s="2"/>
      <c r="W460" s="2"/>
      <c r="X460" s="2"/>
      <c r="Y460" s="22"/>
      <c r="Z460" s="22"/>
      <c r="AA460" s="2"/>
      <c r="AB460" s="14"/>
      <c r="AC460" s="15"/>
      <c r="AD460" s="15"/>
      <c r="AE460" s="14"/>
      <c r="AF460" s="15"/>
      <c r="AG460" s="15"/>
      <c r="AH460" s="16"/>
      <c r="AI460" s="15"/>
      <c r="AJ460" s="17"/>
      <c r="AK460" s="18"/>
      <c r="AL460" s="15"/>
      <c r="AM460" s="15"/>
      <c r="AN460" s="19"/>
      <c r="AO460" s="15"/>
    </row>
    <row r="471" spans="1:41" s="25" customFormat="1" x14ac:dyDescent="0.35">
      <c r="A471" s="21"/>
      <c r="B471" s="2"/>
      <c r="C471" s="2"/>
      <c r="D471" s="2"/>
      <c r="E471" s="2"/>
      <c r="F471" s="2"/>
      <c r="G471" s="2"/>
      <c r="H471" s="2"/>
      <c r="I471" s="2"/>
      <c r="J471" s="2"/>
      <c r="K471" s="26"/>
      <c r="L471" s="2"/>
      <c r="M471" s="2"/>
      <c r="N471" s="2"/>
      <c r="O471" s="2"/>
      <c r="P471" s="27"/>
      <c r="Q471" s="27"/>
      <c r="R471" s="26"/>
      <c r="S471" s="2"/>
      <c r="T471" s="2"/>
      <c r="U471" s="2"/>
      <c r="V471" s="2"/>
      <c r="W471" s="2"/>
      <c r="X471" s="2"/>
      <c r="Y471" s="22"/>
      <c r="Z471" s="22"/>
      <c r="AA471" s="2"/>
      <c r="AB471" s="14"/>
      <c r="AC471" s="15"/>
      <c r="AD471" s="15"/>
      <c r="AE471" s="14"/>
      <c r="AF471" s="15"/>
      <c r="AG471" s="15"/>
      <c r="AH471" s="16"/>
      <c r="AI471" s="15"/>
      <c r="AJ471" s="17"/>
      <c r="AK471" s="18"/>
      <c r="AL471" s="15"/>
      <c r="AM471" s="15"/>
      <c r="AN471" s="19"/>
      <c r="AO471" s="15"/>
    </row>
    <row r="475" spans="1:41" s="25" customFormat="1" x14ac:dyDescent="0.35">
      <c r="A475" s="21"/>
      <c r="B475" s="2"/>
      <c r="C475" s="2"/>
      <c r="D475" s="2"/>
      <c r="E475" s="2"/>
      <c r="F475" s="2"/>
      <c r="G475" s="2"/>
      <c r="H475" s="2"/>
      <c r="I475" s="2"/>
      <c r="J475" s="2"/>
      <c r="K475" s="26"/>
      <c r="L475" s="2"/>
      <c r="M475" s="2"/>
      <c r="N475" s="2"/>
      <c r="O475" s="2"/>
      <c r="P475" s="27"/>
      <c r="Q475" s="27"/>
      <c r="R475" s="26"/>
      <c r="S475" s="2"/>
      <c r="T475" s="2"/>
      <c r="U475" s="2"/>
      <c r="V475" s="2"/>
      <c r="W475" s="2"/>
      <c r="X475" s="2"/>
      <c r="Y475" s="22"/>
      <c r="Z475" s="22"/>
      <c r="AA475" s="2"/>
      <c r="AB475" s="14"/>
      <c r="AC475" s="15"/>
      <c r="AD475" s="15"/>
      <c r="AE475" s="14"/>
      <c r="AF475" s="15"/>
      <c r="AG475" s="15"/>
      <c r="AH475" s="16"/>
      <c r="AI475" s="15"/>
      <c r="AJ475" s="17"/>
      <c r="AK475" s="18"/>
      <c r="AL475" s="15"/>
      <c r="AM475" s="15"/>
      <c r="AN475" s="19"/>
      <c r="AO475" s="15"/>
    </row>
    <row r="477" spans="1:41" ht="31.5" customHeight="1" x14ac:dyDescent="0.35"/>
    <row r="480" spans="1:41" ht="31.5" customHeight="1" x14ac:dyDescent="0.35"/>
    <row r="485" spans="1:41" ht="31.5" customHeight="1" x14ac:dyDescent="0.35"/>
    <row r="489" spans="1:41" s="25" customFormat="1" x14ac:dyDescent="0.35">
      <c r="A489" s="21"/>
      <c r="B489" s="2"/>
      <c r="C489" s="2"/>
      <c r="D489" s="2"/>
      <c r="E489" s="2"/>
      <c r="F489" s="2"/>
      <c r="G489" s="2"/>
      <c r="H489" s="2"/>
      <c r="I489" s="2"/>
      <c r="J489" s="2"/>
      <c r="K489" s="26"/>
      <c r="L489" s="2"/>
      <c r="M489" s="2"/>
      <c r="N489" s="2"/>
      <c r="O489" s="2"/>
      <c r="P489" s="27"/>
      <c r="Q489" s="27"/>
      <c r="R489" s="26"/>
      <c r="S489" s="2"/>
      <c r="T489" s="2"/>
      <c r="U489" s="2"/>
      <c r="V489" s="2"/>
      <c r="W489" s="2"/>
      <c r="X489" s="2"/>
      <c r="Y489" s="22"/>
      <c r="Z489" s="22"/>
      <c r="AA489" s="2"/>
      <c r="AB489" s="14"/>
      <c r="AC489" s="15"/>
      <c r="AD489" s="15"/>
      <c r="AE489" s="14"/>
      <c r="AF489" s="15"/>
      <c r="AG489" s="15"/>
      <c r="AH489" s="16"/>
      <c r="AI489" s="15"/>
      <c r="AJ489" s="17"/>
      <c r="AK489" s="18"/>
      <c r="AL489" s="15"/>
      <c r="AM489" s="15"/>
      <c r="AN489" s="19"/>
      <c r="AO489" s="15"/>
    </row>
    <row r="492" spans="1:41" ht="31.5" customHeight="1" x14ac:dyDescent="0.35"/>
    <row r="493" spans="1:41" ht="31.5" customHeight="1" x14ac:dyDescent="0.35"/>
    <row r="496" spans="1:41" s="25" customFormat="1" x14ac:dyDescent="0.35">
      <c r="A496" s="21"/>
      <c r="B496" s="2"/>
      <c r="C496" s="2"/>
      <c r="D496" s="2"/>
      <c r="E496" s="2"/>
      <c r="F496" s="2"/>
      <c r="G496" s="2"/>
      <c r="H496" s="2"/>
      <c r="I496" s="2"/>
      <c r="J496" s="2"/>
      <c r="K496" s="26"/>
      <c r="L496" s="2"/>
      <c r="M496" s="2"/>
      <c r="N496" s="2"/>
      <c r="O496" s="2"/>
      <c r="P496" s="27"/>
      <c r="Q496" s="27"/>
      <c r="R496" s="26"/>
      <c r="S496" s="2"/>
      <c r="T496" s="2"/>
      <c r="U496" s="2"/>
      <c r="V496" s="2"/>
      <c r="W496" s="2"/>
      <c r="X496" s="2"/>
      <c r="Y496" s="22"/>
      <c r="Z496" s="22"/>
      <c r="AA496" s="2"/>
      <c r="AB496" s="14"/>
      <c r="AC496" s="15"/>
      <c r="AD496" s="15"/>
      <c r="AE496" s="14"/>
      <c r="AF496" s="15"/>
      <c r="AG496" s="15"/>
      <c r="AH496" s="16"/>
      <c r="AI496" s="15"/>
      <c r="AJ496" s="17"/>
      <c r="AK496" s="18"/>
      <c r="AL496" s="15"/>
      <c r="AM496" s="15"/>
      <c r="AN496" s="19"/>
      <c r="AO496" s="15"/>
    </row>
    <row r="501" spans="1:41" s="25" customFormat="1" x14ac:dyDescent="0.35">
      <c r="A501" s="21"/>
      <c r="B501" s="2"/>
      <c r="C501" s="2"/>
      <c r="D501" s="2"/>
      <c r="E501" s="2"/>
      <c r="F501" s="2"/>
      <c r="G501" s="2"/>
      <c r="H501" s="2"/>
      <c r="I501" s="2"/>
      <c r="J501" s="2"/>
      <c r="K501" s="26"/>
      <c r="L501" s="2"/>
      <c r="M501" s="2"/>
      <c r="N501" s="2"/>
      <c r="O501" s="2"/>
      <c r="P501" s="27"/>
      <c r="Q501" s="27"/>
      <c r="R501" s="26"/>
      <c r="S501" s="2"/>
      <c r="T501" s="2"/>
      <c r="U501" s="2"/>
      <c r="V501" s="2"/>
      <c r="W501" s="2"/>
      <c r="X501" s="2"/>
      <c r="Y501" s="22"/>
      <c r="Z501" s="22"/>
      <c r="AA501" s="2"/>
      <c r="AB501" s="14"/>
      <c r="AC501" s="15"/>
      <c r="AD501" s="15"/>
      <c r="AE501" s="14"/>
      <c r="AF501" s="15"/>
      <c r="AG501" s="15"/>
      <c r="AH501" s="16"/>
      <c r="AI501" s="15"/>
      <c r="AJ501" s="17"/>
      <c r="AK501" s="18"/>
      <c r="AL501" s="15"/>
      <c r="AM501" s="15"/>
      <c r="AN501" s="19"/>
      <c r="AO501" s="15"/>
    </row>
    <row r="503" spans="1:41" s="25" customFormat="1" ht="46.5" customHeight="1" x14ac:dyDescent="0.35">
      <c r="A503" s="21"/>
      <c r="B503" s="2"/>
      <c r="C503" s="2"/>
      <c r="D503" s="2"/>
      <c r="E503" s="2"/>
      <c r="F503" s="2"/>
      <c r="G503" s="2"/>
      <c r="H503" s="2"/>
      <c r="I503" s="2"/>
      <c r="J503" s="2"/>
      <c r="K503" s="26"/>
      <c r="L503" s="2"/>
      <c r="M503" s="2"/>
      <c r="N503" s="2"/>
      <c r="O503" s="2"/>
      <c r="P503" s="27"/>
      <c r="Q503" s="27"/>
      <c r="R503" s="26"/>
      <c r="S503" s="2"/>
      <c r="T503" s="2"/>
      <c r="U503" s="2"/>
      <c r="V503" s="2"/>
      <c r="W503" s="2"/>
      <c r="X503" s="2"/>
      <c r="Y503" s="22"/>
      <c r="Z503" s="22"/>
      <c r="AA503" s="2"/>
      <c r="AB503" s="14"/>
      <c r="AC503" s="15"/>
      <c r="AD503" s="15"/>
      <c r="AE503" s="14"/>
      <c r="AF503" s="15"/>
      <c r="AG503" s="15"/>
      <c r="AH503" s="16"/>
      <c r="AI503" s="15"/>
      <c r="AJ503" s="17"/>
      <c r="AK503" s="18"/>
      <c r="AL503" s="15"/>
      <c r="AM503" s="15"/>
      <c r="AN503" s="19"/>
      <c r="AO503" s="15"/>
    </row>
    <row r="504" spans="1:41" s="25" customFormat="1" ht="51" customHeight="1" x14ac:dyDescent="0.35">
      <c r="A504" s="21"/>
      <c r="B504" s="2"/>
      <c r="C504" s="2"/>
      <c r="D504" s="2"/>
      <c r="E504" s="2"/>
      <c r="F504" s="2"/>
      <c r="G504" s="2"/>
      <c r="H504" s="2"/>
      <c r="I504" s="2"/>
      <c r="J504" s="2"/>
      <c r="K504" s="26"/>
      <c r="L504" s="2"/>
      <c r="M504" s="2"/>
      <c r="N504" s="2"/>
      <c r="O504" s="2"/>
      <c r="P504" s="27"/>
      <c r="Q504" s="27"/>
      <c r="R504" s="26"/>
      <c r="S504" s="2"/>
      <c r="T504" s="2"/>
      <c r="U504" s="2"/>
      <c r="V504" s="2"/>
      <c r="W504" s="2"/>
      <c r="X504" s="2"/>
      <c r="Y504" s="22"/>
      <c r="Z504" s="22"/>
      <c r="AA504" s="2"/>
      <c r="AB504" s="14"/>
      <c r="AC504" s="15"/>
      <c r="AD504" s="15"/>
      <c r="AE504" s="14"/>
      <c r="AF504" s="15"/>
      <c r="AG504" s="15"/>
      <c r="AH504" s="16"/>
      <c r="AI504" s="15"/>
      <c r="AJ504" s="17"/>
      <c r="AK504" s="18"/>
      <c r="AL504" s="15"/>
      <c r="AM504" s="15"/>
      <c r="AN504" s="19"/>
      <c r="AO504" s="15"/>
    </row>
    <row r="509" spans="1:41" ht="31.5" customHeight="1" x14ac:dyDescent="0.35"/>
    <row r="510" spans="1:41" ht="31.5" customHeight="1" x14ac:dyDescent="0.35"/>
    <row r="513" spans="1:41" s="25" customFormat="1" x14ac:dyDescent="0.35">
      <c r="A513" s="21"/>
      <c r="B513" s="2"/>
      <c r="C513" s="2"/>
      <c r="D513" s="2"/>
      <c r="E513" s="2"/>
      <c r="F513" s="2"/>
      <c r="G513" s="2"/>
      <c r="H513" s="2"/>
      <c r="I513" s="2"/>
      <c r="J513" s="2"/>
      <c r="K513" s="26"/>
      <c r="L513" s="2"/>
      <c r="M513" s="2"/>
      <c r="N513" s="2"/>
      <c r="O513" s="2"/>
      <c r="P513" s="27"/>
      <c r="Q513" s="27"/>
      <c r="R513" s="26"/>
      <c r="S513" s="2"/>
      <c r="T513" s="2"/>
      <c r="U513" s="2"/>
      <c r="V513" s="2"/>
      <c r="W513" s="2"/>
      <c r="X513" s="2"/>
      <c r="Y513" s="22"/>
      <c r="Z513" s="22"/>
      <c r="AA513" s="2"/>
      <c r="AB513" s="14"/>
      <c r="AC513" s="15"/>
      <c r="AD513" s="15"/>
      <c r="AE513" s="14"/>
      <c r="AF513" s="15"/>
      <c r="AG513" s="15"/>
      <c r="AH513" s="16"/>
      <c r="AI513" s="15"/>
      <c r="AJ513" s="17"/>
      <c r="AK513" s="18"/>
      <c r="AL513" s="15"/>
      <c r="AM513" s="15"/>
      <c r="AN513" s="19"/>
      <c r="AO513" s="15"/>
    </row>
    <row r="515" spans="1:41" ht="37.5" customHeight="1" x14ac:dyDescent="0.35"/>
    <row r="540" spans="1:41" s="25" customFormat="1" x14ac:dyDescent="0.35">
      <c r="A540" s="21"/>
      <c r="B540" s="2"/>
      <c r="C540" s="2"/>
      <c r="D540" s="2"/>
      <c r="E540" s="2"/>
      <c r="F540" s="2"/>
      <c r="G540" s="2"/>
      <c r="H540" s="2"/>
      <c r="I540" s="2"/>
      <c r="J540" s="2"/>
      <c r="K540" s="26"/>
      <c r="L540" s="2"/>
      <c r="M540" s="2"/>
      <c r="N540" s="2"/>
      <c r="O540" s="2"/>
      <c r="P540" s="27"/>
      <c r="Q540" s="27"/>
      <c r="R540" s="26"/>
      <c r="S540" s="2"/>
      <c r="T540" s="2"/>
      <c r="U540" s="2"/>
      <c r="V540" s="2"/>
      <c r="W540" s="2"/>
      <c r="X540" s="2"/>
      <c r="Y540" s="22"/>
      <c r="Z540" s="22"/>
      <c r="AA540" s="2"/>
      <c r="AB540" s="14"/>
      <c r="AC540" s="15"/>
      <c r="AD540" s="15"/>
      <c r="AE540" s="14"/>
      <c r="AF540" s="15"/>
      <c r="AG540" s="15"/>
      <c r="AH540" s="16"/>
      <c r="AI540" s="15"/>
      <c r="AJ540" s="17"/>
      <c r="AK540" s="18"/>
      <c r="AL540" s="15"/>
      <c r="AM540" s="15"/>
      <c r="AN540" s="19"/>
      <c r="AO540" s="15"/>
    </row>
    <row r="546" spans="1:41" s="25" customFormat="1" x14ac:dyDescent="0.35">
      <c r="A546" s="21"/>
      <c r="B546" s="2"/>
      <c r="C546" s="2"/>
      <c r="D546" s="2"/>
      <c r="E546" s="2"/>
      <c r="F546" s="2"/>
      <c r="G546" s="2"/>
      <c r="H546" s="2"/>
      <c r="I546" s="2"/>
      <c r="J546" s="2"/>
      <c r="K546" s="26"/>
      <c r="L546" s="2"/>
      <c r="M546" s="2"/>
      <c r="N546" s="2"/>
      <c r="O546" s="2"/>
      <c r="P546" s="27"/>
      <c r="Q546" s="27"/>
      <c r="R546" s="26"/>
      <c r="S546" s="2"/>
      <c r="T546" s="2"/>
      <c r="U546" s="2"/>
      <c r="V546" s="2"/>
      <c r="W546" s="2"/>
      <c r="X546" s="2"/>
      <c r="Y546" s="22"/>
      <c r="Z546" s="22"/>
      <c r="AA546" s="2"/>
      <c r="AB546" s="14"/>
      <c r="AC546" s="15"/>
      <c r="AD546" s="15"/>
      <c r="AE546" s="14"/>
      <c r="AF546" s="15"/>
      <c r="AG546" s="15"/>
      <c r="AH546" s="16"/>
      <c r="AI546" s="15"/>
      <c r="AJ546" s="17"/>
      <c r="AK546" s="18"/>
      <c r="AL546" s="15"/>
      <c r="AM546" s="15"/>
      <c r="AN546" s="19"/>
      <c r="AO546" s="15"/>
    </row>
    <row r="557" spans="1:41" s="25" customFormat="1" x14ac:dyDescent="0.35">
      <c r="A557" s="21"/>
      <c r="B557" s="2"/>
      <c r="C557" s="2"/>
      <c r="D557" s="2"/>
      <c r="E557" s="2"/>
      <c r="F557" s="2"/>
      <c r="G557" s="2"/>
      <c r="H557" s="2"/>
      <c r="I557" s="2"/>
      <c r="J557" s="2"/>
      <c r="K557" s="26"/>
      <c r="L557" s="2"/>
      <c r="M557" s="2"/>
      <c r="N557" s="2"/>
      <c r="O557" s="2"/>
      <c r="P557" s="27"/>
      <c r="Q557" s="27"/>
      <c r="R557" s="26"/>
      <c r="S557" s="2"/>
      <c r="T557" s="2"/>
      <c r="U557" s="2"/>
      <c r="V557" s="2"/>
      <c r="W557" s="2"/>
      <c r="X557" s="2"/>
      <c r="Y557" s="22"/>
      <c r="Z557" s="22"/>
      <c r="AA557" s="2"/>
      <c r="AB557" s="14"/>
      <c r="AC557" s="15"/>
      <c r="AD557" s="15"/>
      <c r="AE557" s="14"/>
      <c r="AF557" s="15"/>
      <c r="AG557" s="15"/>
      <c r="AH557" s="16"/>
      <c r="AI557" s="15"/>
      <c r="AJ557" s="17"/>
      <c r="AK557" s="18"/>
      <c r="AL557" s="15"/>
      <c r="AM557" s="15"/>
      <c r="AN557" s="19"/>
      <c r="AO557" s="15"/>
    </row>
    <row r="558" spans="1:41" s="25" customFormat="1" x14ac:dyDescent="0.35">
      <c r="A558" s="21"/>
      <c r="B558" s="2"/>
      <c r="C558" s="2"/>
      <c r="D558" s="2"/>
      <c r="E558" s="2"/>
      <c r="F558" s="2"/>
      <c r="G558" s="2"/>
      <c r="H558" s="2"/>
      <c r="I558" s="2"/>
      <c r="J558" s="2"/>
      <c r="K558" s="26"/>
      <c r="L558" s="2"/>
      <c r="M558" s="2"/>
      <c r="N558" s="2"/>
      <c r="O558" s="2"/>
      <c r="P558" s="27"/>
      <c r="Q558" s="27"/>
      <c r="R558" s="26"/>
      <c r="S558" s="2"/>
      <c r="T558" s="2"/>
      <c r="U558" s="2"/>
      <c r="V558" s="2"/>
      <c r="W558" s="2"/>
      <c r="X558" s="2"/>
      <c r="Y558" s="22"/>
      <c r="Z558" s="22"/>
      <c r="AA558" s="2"/>
      <c r="AB558" s="14"/>
      <c r="AC558" s="15"/>
      <c r="AD558" s="15"/>
      <c r="AE558" s="14"/>
      <c r="AF558" s="15"/>
      <c r="AG558" s="15"/>
      <c r="AH558" s="16"/>
      <c r="AI558" s="15"/>
      <c r="AJ558" s="17"/>
      <c r="AK558" s="18"/>
      <c r="AL558" s="15"/>
      <c r="AM558" s="15"/>
      <c r="AN558" s="19"/>
      <c r="AO558" s="15"/>
    </row>
    <row r="568" spans="1:41" ht="49.5" customHeight="1" x14ac:dyDescent="0.35"/>
    <row r="569" spans="1:41" s="25" customFormat="1" x14ac:dyDescent="0.35">
      <c r="A569" s="21"/>
      <c r="B569" s="2"/>
      <c r="C569" s="2"/>
      <c r="D569" s="2"/>
      <c r="E569" s="2"/>
      <c r="F569" s="2"/>
      <c r="G569" s="2"/>
      <c r="H569" s="2"/>
      <c r="I569" s="2"/>
      <c r="J569" s="2"/>
      <c r="K569" s="26"/>
      <c r="L569" s="2"/>
      <c r="M569" s="2"/>
      <c r="N569" s="2"/>
      <c r="O569" s="2"/>
      <c r="P569" s="27"/>
      <c r="Q569" s="27"/>
      <c r="R569" s="26"/>
      <c r="S569" s="2"/>
      <c r="T569" s="2"/>
      <c r="U569" s="2"/>
      <c r="V569" s="2"/>
      <c r="W569" s="2"/>
      <c r="X569" s="2"/>
      <c r="Y569" s="22"/>
      <c r="Z569" s="22"/>
      <c r="AA569" s="2"/>
      <c r="AB569" s="14"/>
      <c r="AC569" s="15"/>
      <c r="AD569" s="15"/>
      <c r="AE569" s="14"/>
      <c r="AF569" s="15"/>
      <c r="AG569" s="15"/>
      <c r="AH569" s="16"/>
      <c r="AI569" s="15"/>
      <c r="AJ569" s="17"/>
      <c r="AK569" s="18"/>
      <c r="AL569" s="15"/>
      <c r="AM569" s="15"/>
      <c r="AN569" s="19"/>
      <c r="AO569" s="15"/>
    </row>
    <row r="577" spans="1:41" ht="31.5" customHeight="1" x14ac:dyDescent="0.35"/>
    <row r="582" spans="1:41" ht="24" customHeight="1" x14ac:dyDescent="0.35"/>
    <row r="583" spans="1:41" ht="24" customHeight="1" x14ac:dyDescent="0.35"/>
    <row r="585" spans="1:41" s="25" customFormat="1" x14ac:dyDescent="0.35">
      <c r="A585" s="21"/>
      <c r="B585" s="2"/>
      <c r="C585" s="2"/>
      <c r="D585" s="2"/>
      <c r="E585" s="2"/>
      <c r="F585" s="2"/>
      <c r="G585" s="2"/>
      <c r="H585" s="2"/>
      <c r="I585" s="2"/>
      <c r="J585" s="2"/>
      <c r="K585" s="26"/>
      <c r="L585" s="2"/>
      <c r="M585" s="2"/>
      <c r="N585" s="2"/>
      <c r="O585" s="2"/>
      <c r="P585" s="27"/>
      <c r="Q585" s="27"/>
      <c r="R585" s="26"/>
      <c r="S585" s="2"/>
      <c r="T585" s="2"/>
      <c r="U585" s="2"/>
      <c r="V585" s="2"/>
      <c r="W585" s="2"/>
      <c r="X585" s="2"/>
      <c r="Y585" s="22"/>
      <c r="Z585" s="22"/>
      <c r="AA585" s="2"/>
      <c r="AB585" s="14"/>
      <c r="AC585" s="15"/>
      <c r="AD585" s="15"/>
      <c r="AE585" s="14"/>
      <c r="AF585" s="15"/>
      <c r="AG585" s="15"/>
      <c r="AH585" s="16"/>
      <c r="AI585" s="15"/>
      <c r="AJ585" s="17"/>
      <c r="AK585" s="18"/>
      <c r="AL585" s="15"/>
      <c r="AM585" s="15"/>
      <c r="AN585" s="19"/>
      <c r="AO585" s="15"/>
    </row>
    <row r="589" spans="1:41" ht="36.75" customHeight="1" x14ac:dyDescent="0.35"/>
    <row r="590" spans="1:41" s="25" customFormat="1" x14ac:dyDescent="0.35">
      <c r="A590" s="21"/>
      <c r="B590" s="2"/>
      <c r="C590" s="2"/>
      <c r="D590" s="2"/>
      <c r="E590" s="2"/>
      <c r="F590" s="2"/>
      <c r="G590" s="2"/>
      <c r="H590" s="2"/>
      <c r="I590" s="2"/>
      <c r="J590" s="2"/>
      <c r="K590" s="26"/>
      <c r="L590" s="2"/>
      <c r="M590" s="2"/>
      <c r="N590" s="2"/>
      <c r="O590" s="2"/>
      <c r="P590" s="27"/>
      <c r="Q590" s="27"/>
      <c r="R590" s="26"/>
      <c r="S590" s="2"/>
      <c r="T590" s="2"/>
      <c r="U590" s="2"/>
      <c r="V590" s="2"/>
      <c r="W590" s="2"/>
      <c r="X590" s="2"/>
      <c r="Y590" s="22"/>
      <c r="Z590" s="22"/>
      <c r="AA590" s="2"/>
      <c r="AB590" s="14"/>
      <c r="AC590" s="15"/>
      <c r="AD590" s="15"/>
      <c r="AE590" s="14"/>
      <c r="AF590" s="15"/>
      <c r="AG590" s="15"/>
      <c r="AH590" s="16"/>
      <c r="AI590" s="15"/>
      <c r="AJ590" s="17"/>
      <c r="AK590" s="18"/>
      <c r="AL590" s="15"/>
      <c r="AM590" s="15"/>
      <c r="AN590" s="19"/>
      <c r="AO590" s="15"/>
    </row>
    <row r="598" spans="44:44" ht="24.75" customHeight="1" x14ac:dyDescent="0.35"/>
    <row r="607" spans="44:44" x14ac:dyDescent="0.35">
      <c r="AR607" s="15">
        <v>484.18</v>
      </c>
    </row>
    <row r="619" spans="44:44" ht="49.15" customHeight="1" x14ac:dyDescent="0.35"/>
    <row r="620" spans="44:44" x14ac:dyDescent="0.35">
      <c r="AR620" s="15">
        <v>484.18</v>
      </c>
    </row>
    <row r="629" spans="1:41" ht="34.5" customHeight="1" x14ac:dyDescent="0.35"/>
    <row r="630" spans="1:41" s="25" customFormat="1" x14ac:dyDescent="0.35">
      <c r="A630" s="21"/>
      <c r="B630" s="2"/>
      <c r="C630" s="2"/>
      <c r="D630" s="2"/>
      <c r="E630" s="2"/>
      <c r="F630" s="2"/>
      <c r="G630" s="2"/>
      <c r="H630" s="2"/>
      <c r="I630" s="2"/>
      <c r="J630" s="2"/>
      <c r="K630" s="26"/>
      <c r="L630" s="2"/>
      <c r="M630" s="2"/>
      <c r="N630" s="2"/>
      <c r="O630" s="2"/>
      <c r="P630" s="27"/>
      <c r="Q630" s="27"/>
      <c r="R630" s="26"/>
      <c r="S630" s="2"/>
      <c r="T630" s="2"/>
      <c r="U630" s="2"/>
      <c r="V630" s="2"/>
      <c r="W630" s="2"/>
      <c r="X630" s="2"/>
      <c r="Y630" s="22"/>
      <c r="Z630" s="22"/>
      <c r="AA630" s="2"/>
      <c r="AB630" s="14"/>
      <c r="AC630" s="15"/>
      <c r="AD630" s="15"/>
      <c r="AE630" s="14"/>
      <c r="AF630" s="15"/>
      <c r="AG630" s="15"/>
      <c r="AH630" s="16"/>
      <c r="AI630" s="15"/>
      <c r="AJ630" s="17"/>
      <c r="AK630" s="18"/>
      <c r="AL630" s="15"/>
      <c r="AM630" s="15"/>
      <c r="AN630" s="19"/>
      <c r="AO630" s="15"/>
    </row>
    <row r="641" spans="1:41" ht="31.5" customHeight="1" x14ac:dyDescent="0.35"/>
    <row r="642" spans="1:41" s="25" customFormat="1" x14ac:dyDescent="0.35">
      <c r="A642" s="21"/>
      <c r="B642" s="2"/>
      <c r="C642" s="2"/>
      <c r="D642" s="2"/>
      <c r="E642" s="2"/>
      <c r="F642" s="2"/>
      <c r="G642" s="2"/>
      <c r="H642" s="2"/>
      <c r="I642" s="2"/>
      <c r="J642" s="2"/>
      <c r="K642" s="26"/>
      <c r="L642" s="2"/>
      <c r="M642" s="2"/>
      <c r="N642" s="2"/>
      <c r="O642" s="2"/>
      <c r="P642" s="27"/>
      <c r="Q642" s="27"/>
      <c r="R642" s="26"/>
      <c r="S642" s="2"/>
      <c r="T642" s="2"/>
      <c r="U642" s="2"/>
      <c r="V642" s="2"/>
      <c r="W642" s="2"/>
      <c r="X642" s="2"/>
      <c r="Y642" s="22"/>
      <c r="Z642" s="22"/>
      <c r="AA642" s="2"/>
      <c r="AB642" s="14"/>
      <c r="AC642" s="15"/>
      <c r="AD642" s="15"/>
      <c r="AE642" s="14"/>
      <c r="AF642" s="15"/>
      <c r="AG642" s="15"/>
      <c r="AH642" s="16"/>
      <c r="AI642" s="15"/>
      <c r="AJ642" s="17"/>
      <c r="AK642" s="18"/>
      <c r="AL642" s="15"/>
      <c r="AM642" s="15"/>
      <c r="AN642" s="19"/>
      <c r="AO642" s="15"/>
    </row>
    <row r="644" spans="1:41" ht="36.75" customHeight="1" x14ac:dyDescent="0.35"/>
    <row r="646" spans="1:41" ht="24" customHeight="1" x14ac:dyDescent="0.35"/>
    <row r="649" spans="1:41" ht="37.5" customHeight="1" x14ac:dyDescent="0.35"/>
    <row r="653" spans="1:41" s="25" customFormat="1" x14ac:dyDescent="0.35">
      <c r="A653" s="21"/>
      <c r="B653" s="2"/>
      <c r="C653" s="2"/>
      <c r="D653" s="2"/>
      <c r="E653" s="2"/>
      <c r="F653" s="2"/>
      <c r="G653" s="2"/>
      <c r="H653" s="2"/>
      <c r="I653" s="2"/>
      <c r="J653" s="2"/>
      <c r="K653" s="26"/>
      <c r="L653" s="2"/>
      <c r="M653" s="2"/>
      <c r="N653" s="2"/>
      <c r="O653" s="2"/>
      <c r="P653" s="27"/>
      <c r="Q653" s="27"/>
      <c r="R653" s="26"/>
      <c r="S653" s="2"/>
      <c r="T653" s="2"/>
      <c r="U653" s="2"/>
      <c r="V653" s="2"/>
      <c r="W653" s="2"/>
      <c r="X653" s="2"/>
      <c r="Y653" s="22"/>
      <c r="Z653" s="22"/>
      <c r="AA653" s="2"/>
      <c r="AB653" s="14"/>
      <c r="AC653" s="15"/>
      <c r="AD653" s="15"/>
      <c r="AE653" s="14"/>
      <c r="AF653" s="15"/>
      <c r="AG653" s="15"/>
      <c r="AH653" s="16"/>
      <c r="AI653" s="15"/>
      <c r="AJ653" s="17"/>
      <c r="AK653" s="18"/>
      <c r="AL653" s="15"/>
      <c r="AM653" s="15"/>
      <c r="AN653" s="19"/>
      <c r="AO653" s="15"/>
    </row>
    <row r="655" spans="1:41" ht="37.5" customHeight="1" x14ac:dyDescent="0.35"/>
    <row r="656" spans="1:41" s="25" customFormat="1" x14ac:dyDescent="0.35">
      <c r="A656" s="21"/>
      <c r="B656" s="2"/>
      <c r="C656" s="2"/>
      <c r="D656" s="2"/>
      <c r="E656" s="2"/>
      <c r="F656" s="2"/>
      <c r="G656" s="2"/>
      <c r="H656" s="2"/>
      <c r="I656" s="2"/>
      <c r="J656" s="2"/>
      <c r="K656" s="26"/>
      <c r="L656" s="2"/>
      <c r="M656" s="2"/>
      <c r="N656" s="2"/>
      <c r="O656" s="2"/>
      <c r="P656" s="27"/>
      <c r="Q656" s="27"/>
      <c r="R656" s="26"/>
      <c r="S656" s="2"/>
      <c r="T656" s="2"/>
      <c r="U656" s="2"/>
      <c r="V656" s="2"/>
      <c r="W656" s="2"/>
      <c r="X656" s="2"/>
      <c r="Y656" s="22"/>
      <c r="Z656" s="22"/>
      <c r="AA656" s="2"/>
      <c r="AB656" s="14"/>
      <c r="AC656" s="15"/>
      <c r="AD656" s="15"/>
      <c r="AE656" s="14"/>
      <c r="AF656" s="15"/>
      <c r="AG656" s="15"/>
      <c r="AH656" s="16"/>
      <c r="AI656" s="15"/>
      <c r="AJ656" s="17"/>
      <c r="AK656" s="18"/>
      <c r="AL656" s="15"/>
      <c r="AM656" s="15"/>
      <c r="AN656" s="19"/>
      <c r="AO656" s="15"/>
    </row>
    <row r="657" spans="1:41" s="25" customFormat="1" x14ac:dyDescent="0.35">
      <c r="A657" s="21"/>
      <c r="B657" s="2"/>
      <c r="C657" s="2"/>
      <c r="D657" s="2"/>
      <c r="E657" s="2"/>
      <c r="F657" s="2"/>
      <c r="G657" s="2"/>
      <c r="H657" s="2"/>
      <c r="I657" s="2"/>
      <c r="J657" s="2"/>
      <c r="K657" s="26"/>
      <c r="L657" s="2"/>
      <c r="M657" s="2"/>
      <c r="N657" s="2"/>
      <c r="O657" s="2"/>
      <c r="P657" s="27"/>
      <c r="Q657" s="27"/>
      <c r="R657" s="26"/>
      <c r="S657" s="2"/>
      <c r="T657" s="2"/>
      <c r="U657" s="2"/>
      <c r="V657" s="2"/>
      <c r="W657" s="2"/>
      <c r="X657" s="2"/>
      <c r="Y657" s="22"/>
      <c r="Z657" s="22"/>
      <c r="AA657" s="2"/>
      <c r="AB657" s="14"/>
      <c r="AC657" s="15"/>
      <c r="AD657" s="15"/>
      <c r="AE657" s="14"/>
      <c r="AF657" s="15"/>
      <c r="AG657" s="15"/>
      <c r="AH657" s="16"/>
      <c r="AI657" s="15"/>
      <c r="AJ657" s="17"/>
      <c r="AK657" s="18"/>
      <c r="AL657" s="15"/>
      <c r="AM657" s="15"/>
      <c r="AN657" s="19"/>
      <c r="AO657" s="15"/>
    </row>
    <row r="667" spans="1:41" s="25" customFormat="1" x14ac:dyDescent="0.35">
      <c r="A667" s="21"/>
      <c r="B667" s="2"/>
      <c r="C667" s="2"/>
      <c r="D667" s="2"/>
      <c r="E667" s="2"/>
      <c r="F667" s="2"/>
      <c r="G667" s="2"/>
      <c r="H667" s="2"/>
      <c r="I667" s="2"/>
      <c r="J667" s="2"/>
      <c r="K667" s="26"/>
      <c r="L667" s="2"/>
      <c r="M667" s="2"/>
      <c r="N667" s="2"/>
      <c r="O667" s="2"/>
      <c r="P667" s="27"/>
      <c r="Q667" s="27"/>
      <c r="R667" s="26"/>
      <c r="S667" s="2"/>
      <c r="T667" s="2"/>
      <c r="U667" s="2"/>
      <c r="V667" s="2"/>
      <c r="W667" s="2"/>
      <c r="X667" s="2"/>
      <c r="Y667" s="22"/>
      <c r="Z667" s="22"/>
      <c r="AA667" s="2"/>
      <c r="AB667" s="14"/>
      <c r="AC667" s="15"/>
      <c r="AD667" s="15"/>
      <c r="AE667" s="14"/>
      <c r="AF667" s="15"/>
      <c r="AG667" s="15"/>
      <c r="AH667" s="16"/>
      <c r="AI667" s="15"/>
      <c r="AJ667" s="17"/>
      <c r="AK667" s="18"/>
      <c r="AL667" s="15"/>
      <c r="AM667" s="15"/>
      <c r="AN667" s="19"/>
      <c r="AO667" s="15"/>
    </row>
    <row r="676" spans="1:41" ht="40.5" customHeight="1" x14ac:dyDescent="0.35"/>
    <row r="677" spans="1:41" s="25" customFormat="1" ht="40.5" customHeight="1" x14ac:dyDescent="0.35">
      <c r="A677" s="21"/>
      <c r="B677" s="2"/>
      <c r="C677" s="2"/>
      <c r="D677" s="2"/>
      <c r="E677" s="2"/>
      <c r="F677" s="2"/>
      <c r="G677" s="2"/>
      <c r="H677" s="2"/>
      <c r="I677" s="2"/>
      <c r="J677" s="2"/>
      <c r="K677" s="26"/>
      <c r="L677" s="2"/>
      <c r="M677" s="2"/>
      <c r="N677" s="2"/>
      <c r="O677" s="2"/>
      <c r="P677" s="27"/>
      <c r="Q677" s="27"/>
      <c r="R677" s="26"/>
      <c r="S677" s="2"/>
      <c r="T677" s="2"/>
      <c r="U677" s="2"/>
      <c r="V677" s="2"/>
      <c r="W677" s="2"/>
      <c r="X677" s="2"/>
      <c r="Y677" s="22"/>
      <c r="Z677" s="22"/>
      <c r="AA677" s="2"/>
      <c r="AB677" s="14"/>
      <c r="AC677" s="15"/>
      <c r="AD677" s="15"/>
      <c r="AE677" s="14"/>
      <c r="AF677" s="15"/>
      <c r="AG677" s="15"/>
      <c r="AH677" s="16"/>
      <c r="AI677" s="15"/>
      <c r="AJ677" s="17"/>
      <c r="AK677" s="18"/>
      <c r="AL677" s="15"/>
      <c r="AM677" s="15"/>
      <c r="AN677" s="19"/>
      <c r="AO677" s="15"/>
    </row>
    <row r="682" spans="1:41" ht="36.75" customHeight="1" x14ac:dyDescent="0.35"/>
    <row r="687" spans="1:41" s="25" customFormat="1" x14ac:dyDescent="0.35">
      <c r="A687" s="21"/>
      <c r="B687" s="2"/>
      <c r="C687" s="2"/>
      <c r="D687" s="2"/>
      <c r="E687" s="2"/>
      <c r="F687" s="2"/>
      <c r="G687" s="2"/>
      <c r="H687" s="2"/>
      <c r="I687" s="2"/>
      <c r="J687" s="2"/>
      <c r="K687" s="26"/>
      <c r="L687" s="2"/>
      <c r="M687" s="2"/>
      <c r="N687" s="2"/>
      <c r="O687" s="2"/>
      <c r="P687" s="27"/>
      <c r="Q687" s="27"/>
      <c r="R687" s="26"/>
      <c r="S687" s="2"/>
      <c r="T687" s="2"/>
      <c r="U687" s="2"/>
      <c r="V687" s="2"/>
      <c r="W687" s="2"/>
      <c r="X687" s="2"/>
      <c r="Y687" s="22"/>
      <c r="Z687" s="22"/>
      <c r="AA687" s="2"/>
      <c r="AB687" s="14"/>
      <c r="AC687" s="15"/>
      <c r="AD687" s="15"/>
      <c r="AE687" s="14"/>
      <c r="AF687" s="15"/>
      <c r="AG687" s="15"/>
      <c r="AH687" s="16"/>
      <c r="AI687" s="15"/>
      <c r="AJ687" s="17"/>
      <c r="AK687" s="18"/>
      <c r="AL687" s="15"/>
      <c r="AM687" s="15"/>
      <c r="AN687" s="19"/>
      <c r="AO687" s="15"/>
    </row>
    <row r="691" spans="1:44" s="25" customFormat="1" ht="10.9" customHeight="1" x14ac:dyDescent="0.35">
      <c r="A691" s="21"/>
      <c r="B691" s="2"/>
      <c r="C691" s="2"/>
      <c r="D691" s="2"/>
      <c r="E691" s="2"/>
      <c r="F691" s="2"/>
      <c r="G691" s="2"/>
      <c r="H691" s="2"/>
      <c r="I691" s="2"/>
      <c r="J691" s="2"/>
      <c r="K691" s="26"/>
      <c r="L691" s="2"/>
      <c r="M691" s="2"/>
      <c r="N691" s="2"/>
      <c r="O691" s="2"/>
      <c r="P691" s="27"/>
      <c r="Q691" s="27"/>
      <c r="R691" s="26"/>
      <c r="S691" s="2"/>
      <c r="T691" s="2"/>
      <c r="U691" s="2"/>
      <c r="V691" s="2"/>
      <c r="W691" s="2"/>
      <c r="X691" s="2"/>
      <c r="Y691" s="22"/>
      <c r="Z691" s="22"/>
      <c r="AA691" s="2"/>
      <c r="AB691" s="14"/>
      <c r="AC691" s="15"/>
      <c r="AD691" s="15"/>
      <c r="AE691" s="14"/>
      <c r="AF691" s="15"/>
      <c r="AG691" s="15"/>
      <c r="AH691" s="16"/>
      <c r="AI691" s="15"/>
      <c r="AJ691" s="17"/>
      <c r="AK691" s="18"/>
      <c r="AL691" s="15"/>
      <c r="AM691" s="15"/>
      <c r="AN691" s="19"/>
      <c r="AO691" s="15"/>
    </row>
    <row r="694" spans="1:44" x14ac:dyDescent="0.35">
      <c r="AR694" s="15">
        <v>484.18</v>
      </c>
    </row>
    <row r="695" spans="1:44" s="25" customFormat="1" ht="16.149999999999999" customHeight="1" x14ac:dyDescent="0.35">
      <c r="A695" s="21"/>
      <c r="B695" s="2"/>
      <c r="C695" s="2"/>
      <c r="D695" s="2"/>
      <c r="E695" s="2"/>
      <c r="F695" s="2"/>
      <c r="G695" s="2"/>
      <c r="H695" s="2"/>
      <c r="I695" s="2"/>
      <c r="J695" s="2"/>
      <c r="K695" s="26"/>
      <c r="L695" s="2"/>
      <c r="M695" s="2"/>
      <c r="N695" s="2"/>
      <c r="O695" s="2"/>
      <c r="P695" s="27"/>
      <c r="Q695" s="27"/>
      <c r="R695" s="26"/>
      <c r="S695" s="2"/>
      <c r="T695" s="2"/>
      <c r="U695" s="2"/>
      <c r="V695" s="2"/>
      <c r="W695" s="2"/>
      <c r="X695" s="2"/>
      <c r="Y695" s="22"/>
      <c r="Z695" s="22"/>
      <c r="AA695" s="2"/>
      <c r="AB695" s="14"/>
      <c r="AC695" s="15"/>
      <c r="AD695" s="15"/>
      <c r="AE695" s="14"/>
      <c r="AF695" s="15"/>
      <c r="AG695" s="15"/>
      <c r="AH695" s="16"/>
      <c r="AI695" s="15"/>
      <c r="AJ695" s="17"/>
      <c r="AK695" s="18"/>
      <c r="AL695" s="15"/>
      <c r="AM695" s="15"/>
      <c r="AN695" s="19"/>
      <c r="AO695" s="15"/>
    </row>
    <row r="698" spans="1:44" s="25" customFormat="1" ht="16.149999999999999" customHeight="1" x14ac:dyDescent="0.35">
      <c r="A698" s="21"/>
      <c r="B698" s="2"/>
      <c r="C698" s="2"/>
      <c r="D698" s="2"/>
      <c r="E698" s="2"/>
      <c r="F698" s="2"/>
      <c r="G698" s="2"/>
      <c r="H698" s="2"/>
      <c r="I698" s="2"/>
      <c r="J698" s="2"/>
      <c r="K698" s="26"/>
      <c r="L698" s="2"/>
      <c r="M698" s="2"/>
      <c r="N698" s="2"/>
      <c r="O698" s="2"/>
      <c r="P698" s="27"/>
      <c r="Q698" s="27"/>
      <c r="R698" s="26"/>
      <c r="S698" s="2"/>
      <c r="T698" s="2"/>
      <c r="U698" s="2"/>
      <c r="V698" s="2"/>
      <c r="W698" s="2"/>
      <c r="X698" s="2"/>
      <c r="Y698" s="22"/>
      <c r="Z698" s="22"/>
      <c r="AA698" s="2"/>
      <c r="AB698" s="14"/>
      <c r="AC698" s="15"/>
      <c r="AD698" s="15"/>
      <c r="AE698" s="14"/>
      <c r="AF698" s="15"/>
      <c r="AG698" s="15"/>
      <c r="AH698" s="16"/>
      <c r="AI698" s="15"/>
      <c r="AJ698" s="17"/>
      <c r="AK698" s="18"/>
      <c r="AL698" s="15"/>
      <c r="AM698" s="15"/>
      <c r="AN698" s="19"/>
      <c r="AO698" s="15"/>
    </row>
    <row r="701" spans="1:44" s="25" customFormat="1" x14ac:dyDescent="0.35">
      <c r="A701" s="21"/>
      <c r="B701" s="2"/>
      <c r="C701" s="2"/>
      <c r="D701" s="2"/>
      <c r="E701" s="2"/>
      <c r="F701" s="2"/>
      <c r="G701" s="2"/>
      <c r="H701" s="2"/>
      <c r="I701" s="2"/>
      <c r="J701" s="2"/>
      <c r="K701" s="26"/>
      <c r="L701" s="2"/>
      <c r="M701" s="2"/>
      <c r="N701" s="2"/>
      <c r="O701" s="2"/>
      <c r="P701" s="27"/>
      <c r="Q701" s="27"/>
      <c r="R701" s="26"/>
      <c r="S701" s="2"/>
      <c r="T701" s="2"/>
      <c r="U701" s="2"/>
      <c r="V701" s="2"/>
      <c r="W701" s="2"/>
      <c r="X701" s="2"/>
      <c r="Y701" s="22"/>
      <c r="Z701" s="22"/>
      <c r="AA701" s="2"/>
      <c r="AB701" s="14"/>
      <c r="AC701" s="15"/>
      <c r="AD701" s="15"/>
      <c r="AE701" s="14"/>
      <c r="AF701" s="15"/>
      <c r="AG701" s="15"/>
      <c r="AH701" s="16"/>
      <c r="AI701" s="15"/>
      <c r="AJ701" s="17"/>
      <c r="AK701" s="18"/>
      <c r="AL701" s="15"/>
      <c r="AM701" s="15"/>
      <c r="AN701" s="19"/>
      <c r="AO701" s="15"/>
    </row>
    <row r="712" spans="1:41" s="25" customFormat="1" x14ac:dyDescent="0.35">
      <c r="A712" s="21"/>
      <c r="B712" s="2"/>
      <c r="C712" s="2"/>
      <c r="D712" s="2"/>
      <c r="E712" s="2"/>
      <c r="F712" s="2"/>
      <c r="G712" s="2"/>
      <c r="H712" s="2"/>
      <c r="I712" s="2"/>
      <c r="J712" s="2"/>
      <c r="K712" s="26"/>
      <c r="L712" s="2"/>
      <c r="M712" s="2"/>
      <c r="N712" s="2"/>
      <c r="O712" s="2"/>
      <c r="P712" s="27"/>
      <c r="Q712" s="27"/>
      <c r="R712" s="26"/>
      <c r="S712" s="2"/>
      <c r="T712" s="2"/>
      <c r="U712" s="2"/>
      <c r="V712" s="2"/>
      <c r="W712" s="2"/>
      <c r="X712" s="2"/>
      <c r="Y712" s="22"/>
      <c r="Z712" s="22"/>
      <c r="AA712" s="2"/>
      <c r="AB712" s="14"/>
      <c r="AC712" s="15"/>
      <c r="AD712" s="15"/>
      <c r="AE712" s="14"/>
      <c r="AF712" s="15"/>
      <c r="AG712" s="15"/>
      <c r="AH712" s="16"/>
      <c r="AI712" s="15"/>
      <c r="AJ712" s="17"/>
      <c r="AK712" s="18"/>
      <c r="AL712" s="15"/>
      <c r="AM712" s="15"/>
      <c r="AN712" s="19"/>
      <c r="AO712" s="15"/>
    </row>
    <row r="713" spans="1:41" s="25" customFormat="1" x14ac:dyDescent="0.35">
      <c r="A713" s="21"/>
      <c r="B713" s="2"/>
      <c r="C713" s="2"/>
      <c r="D713" s="2"/>
      <c r="E713" s="2"/>
      <c r="F713" s="2"/>
      <c r="G713" s="2"/>
      <c r="H713" s="2"/>
      <c r="I713" s="2"/>
      <c r="J713" s="2"/>
      <c r="K713" s="26"/>
      <c r="L713" s="2"/>
      <c r="M713" s="2"/>
      <c r="N713" s="2"/>
      <c r="O713" s="2"/>
      <c r="P713" s="27"/>
      <c r="Q713" s="27"/>
      <c r="R713" s="26"/>
      <c r="S713" s="2"/>
      <c r="T713" s="2"/>
      <c r="U713" s="2"/>
      <c r="V713" s="2"/>
      <c r="W713" s="2"/>
      <c r="X713" s="2"/>
      <c r="Y713" s="22"/>
      <c r="Z713" s="22"/>
      <c r="AA713" s="2"/>
      <c r="AB713" s="14"/>
      <c r="AC713" s="15"/>
      <c r="AD713" s="15"/>
      <c r="AE713" s="14"/>
      <c r="AF713" s="15"/>
      <c r="AG713" s="15"/>
      <c r="AH713" s="16"/>
      <c r="AI713" s="15"/>
      <c r="AJ713" s="17"/>
      <c r="AK713" s="18"/>
      <c r="AL713" s="15"/>
      <c r="AM713" s="15"/>
      <c r="AN713" s="19"/>
      <c r="AO713" s="15"/>
    </row>
    <row r="714" spans="1:41" s="25" customFormat="1" ht="16.149999999999999" customHeight="1" x14ac:dyDescent="0.35">
      <c r="A714" s="21"/>
      <c r="B714" s="2"/>
      <c r="C714" s="2"/>
      <c r="D714" s="2"/>
      <c r="E714" s="2"/>
      <c r="F714" s="2"/>
      <c r="G714" s="2"/>
      <c r="H714" s="2"/>
      <c r="I714" s="2"/>
      <c r="J714" s="2"/>
      <c r="K714" s="26"/>
      <c r="L714" s="2"/>
      <c r="M714" s="2"/>
      <c r="N714" s="2"/>
      <c r="O714" s="2"/>
      <c r="P714" s="27"/>
      <c r="Q714" s="27"/>
      <c r="R714" s="26"/>
      <c r="S714" s="2"/>
      <c r="T714" s="2"/>
      <c r="U714" s="2"/>
      <c r="V714" s="2"/>
      <c r="W714" s="2"/>
      <c r="X714" s="2"/>
      <c r="Y714" s="22"/>
      <c r="Z714" s="22"/>
      <c r="AA714" s="2"/>
      <c r="AB714" s="14"/>
      <c r="AC714" s="15"/>
      <c r="AD714" s="15"/>
      <c r="AE714" s="14"/>
      <c r="AF714" s="15"/>
      <c r="AG714" s="15"/>
      <c r="AH714" s="16"/>
      <c r="AI714" s="15"/>
      <c r="AJ714" s="17"/>
      <c r="AK714" s="18"/>
      <c r="AL714" s="15"/>
      <c r="AM714" s="15"/>
      <c r="AN714" s="19"/>
      <c r="AO714" s="15"/>
    </row>
    <row r="716" spans="1:41" s="25" customFormat="1" x14ac:dyDescent="0.35">
      <c r="A716" s="21"/>
      <c r="B716" s="2"/>
      <c r="C716" s="2"/>
      <c r="D716" s="2"/>
      <c r="E716" s="2"/>
      <c r="F716" s="2"/>
      <c r="G716" s="2"/>
      <c r="H716" s="2"/>
      <c r="I716" s="2"/>
      <c r="J716" s="2"/>
      <c r="K716" s="26"/>
      <c r="L716" s="2"/>
      <c r="M716" s="2"/>
      <c r="N716" s="2"/>
      <c r="O716" s="2"/>
      <c r="P716" s="27"/>
      <c r="Q716" s="27"/>
      <c r="R716" s="26"/>
      <c r="S716" s="2"/>
      <c r="T716" s="2"/>
      <c r="U716" s="2"/>
      <c r="V716" s="2"/>
      <c r="W716" s="2"/>
      <c r="X716" s="2"/>
      <c r="Y716" s="22"/>
      <c r="Z716" s="22"/>
      <c r="AA716" s="2"/>
      <c r="AB716" s="14"/>
      <c r="AC716" s="15"/>
      <c r="AD716" s="15"/>
      <c r="AE716" s="14"/>
      <c r="AF716" s="15"/>
      <c r="AG716" s="15"/>
      <c r="AH716" s="16"/>
      <c r="AI716" s="15"/>
      <c r="AJ716" s="17"/>
      <c r="AK716" s="18"/>
      <c r="AL716" s="15"/>
      <c r="AM716" s="15"/>
      <c r="AN716" s="19"/>
      <c r="AO716" s="15"/>
    </row>
    <row r="718" spans="1:41" s="25" customFormat="1" x14ac:dyDescent="0.35">
      <c r="A718" s="21"/>
      <c r="B718" s="2"/>
      <c r="C718" s="2"/>
      <c r="D718" s="2"/>
      <c r="E718" s="2"/>
      <c r="F718" s="2"/>
      <c r="G718" s="2"/>
      <c r="H718" s="2"/>
      <c r="I718" s="2"/>
      <c r="J718" s="2"/>
      <c r="K718" s="26"/>
      <c r="L718" s="2"/>
      <c r="M718" s="2"/>
      <c r="N718" s="2"/>
      <c r="O718" s="2"/>
      <c r="P718" s="27"/>
      <c r="Q718" s="27"/>
      <c r="R718" s="26"/>
      <c r="S718" s="2"/>
      <c r="T718" s="2"/>
      <c r="U718" s="2"/>
      <c r="V718" s="2"/>
      <c r="W718" s="2"/>
      <c r="X718" s="2"/>
      <c r="Y718" s="22"/>
      <c r="Z718" s="22"/>
      <c r="AA718" s="2"/>
      <c r="AB718" s="14"/>
      <c r="AC718" s="15"/>
      <c r="AD718" s="15"/>
      <c r="AE718" s="14"/>
      <c r="AF718" s="15"/>
      <c r="AG718" s="15"/>
      <c r="AH718" s="16"/>
      <c r="AI718" s="15"/>
      <c r="AJ718" s="17"/>
      <c r="AK718" s="18"/>
      <c r="AL718" s="15"/>
      <c r="AM718" s="15"/>
      <c r="AN718" s="19"/>
      <c r="AO718" s="15"/>
    </row>
    <row r="719" spans="1:41" s="25" customFormat="1" x14ac:dyDescent="0.35">
      <c r="A719" s="21"/>
      <c r="B719" s="2"/>
      <c r="C719" s="2"/>
      <c r="D719" s="2"/>
      <c r="E719" s="2"/>
      <c r="F719" s="2"/>
      <c r="G719" s="2"/>
      <c r="H719" s="2"/>
      <c r="I719" s="2"/>
      <c r="J719" s="2"/>
      <c r="K719" s="26"/>
      <c r="L719" s="2"/>
      <c r="M719" s="2"/>
      <c r="N719" s="2"/>
      <c r="O719" s="2"/>
      <c r="P719" s="27"/>
      <c r="Q719" s="27"/>
      <c r="R719" s="26"/>
      <c r="S719" s="2"/>
      <c r="T719" s="2"/>
      <c r="U719" s="2"/>
      <c r="V719" s="2"/>
      <c r="W719" s="2"/>
      <c r="X719" s="2"/>
      <c r="Y719" s="22"/>
      <c r="Z719" s="22"/>
      <c r="AA719" s="2"/>
      <c r="AB719" s="14"/>
      <c r="AC719" s="15"/>
      <c r="AD719" s="15"/>
      <c r="AE719" s="14"/>
      <c r="AF719" s="15"/>
      <c r="AG719" s="15"/>
      <c r="AH719" s="16"/>
      <c r="AI719" s="15"/>
      <c r="AJ719" s="17"/>
      <c r="AK719" s="18"/>
      <c r="AL719" s="15"/>
      <c r="AM719" s="15"/>
      <c r="AN719" s="19"/>
      <c r="AO719" s="15"/>
    </row>
    <row r="720" spans="1:41" ht="49.15" customHeight="1" x14ac:dyDescent="0.35"/>
    <row r="724" spans="1:41" s="25" customFormat="1" x14ac:dyDescent="0.35">
      <c r="A724" s="21"/>
      <c r="B724" s="2"/>
      <c r="C724" s="2"/>
      <c r="D724" s="2"/>
      <c r="E724" s="2"/>
      <c r="F724" s="2"/>
      <c r="G724" s="2"/>
      <c r="H724" s="2"/>
      <c r="I724" s="2"/>
      <c r="J724" s="2"/>
      <c r="K724" s="26"/>
      <c r="L724" s="2"/>
      <c r="M724" s="2"/>
      <c r="N724" s="2"/>
      <c r="O724" s="2"/>
      <c r="P724" s="27"/>
      <c r="Q724" s="27"/>
      <c r="R724" s="26"/>
      <c r="S724" s="2"/>
      <c r="T724" s="2"/>
      <c r="U724" s="2"/>
      <c r="V724" s="2"/>
      <c r="W724" s="2"/>
      <c r="X724" s="2"/>
      <c r="Y724" s="22"/>
      <c r="Z724" s="22"/>
      <c r="AA724" s="2"/>
      <c r="AB724" s="14"/>
      <c r="AC724" s="15"/>
      <c r="AD724" s="15"/>
      <c r="AE724" s="14"/>
      <c r="AF724" s="15"/>
      <c r="AG724" s="15"/>
      <c r="AH724" s="16"/>
      <c r="AI724" s="15"/>
      <c r="AJ724" s="17"/>
      <c r="AK724" s="18"/>
      <c r="AL724" s="15"/>
      <c r="AM724" s="15"/>
      <c r="AN724" s="19"/>
      <c r="AO724" s="15"/>
    </row>
    <row r="727" spans="1:41" s="25" customFormat="1" ht="16.149999999999999" customHeight="1" x14ac:dyDescent="0.35">
      <c r="A727" s="21"/>
      <c r="B727" s="2"/>
      <c r="C727" s="2"/>
      <c r="D727" s="2"/>
      <c r="E727" s="2"/>
      <c r="F727" s="2"/>
      <c r="G727" s="2"/>
      <c r="H727" s="2"/>
      <c r="I727" s="2"/>
      <c r="J727" s="2"/>
      <c r="K727" s="26"/>
      <c r="L727" s="2"/>
      <c r="M727" s="2"/>
      <c r="N727" s="2"/>
      <c r="O727" s="2"/>
      <c r="P727" s="27"/>
      <c r="Q727" s="27"/>
      <c r="R727" s="26"/>
      <c r="S727" s="2"/>
      <c r="T727" s="2"/>
      <c r="U727" s="2"/>
      <c r="V727" s="2"/>
      <c r="W727" s="2"/>
      <c r="X727" s="2"/>
      <c r="Y727" s="22"/>
      <c r="Z727" s="22"/>
      <c r="AA727" s="2"/>
      <c r="AB727" s="14"/>
      <c r="AC727" s="15"/>
      <c r="AD727" s="15"/>
      <c r="AE727" s="14"/>
      <c r="AF727" s="15"/>
      <c r="AG727" s="15"/>
      <c r="AH727" s="16"/>
      <c r="AI727" s="15"/>
      <c r="AJ727" s="17"/>
      <c r="AK727" s="18"/>
      <c r="AL727" s="15"/>
      <c r="AM727" s="15"/>
      <c r="AN727" s="19"/>
      <c r="AO727" s="15"/>
    </row>
    <row r="729" spans="1:41" s="25" customFormat="1" ht="16.149999999999999" customHeight="1" x14ac:dyDescent="0.35">
      <c r="A729" s="21"/>
      <c r="B729" s="2"/>
      <c r="C729" s="2"/>
      <c r="D729" s="2"/>
      <c r="E729" s="2"/>
      <c r="F729" s="2"/>
      <c r="G729" s="2"/>
      <c r="H729" s="2"/>
      <c r="I729" s="2"/>
      <c r="J729" s="2"/>
      <c r="K729" s="26"/>
      <c r="L729" s="2"/>
      <c r="M729" s="2"/>
      <c r="N729" s="2"/>
      <c r="O729" s="2"/>
      <c r="P729" s="27"/>
      <c r="Q729" s="27"/>
      <c r="R729" s="26"/>
      <c r="S729" s="2"/>
      <c r="T729" s="2"/>
      <c r="U729" s="2"/>
      <c r="V729" s="2"/>
      <c r="W729" s="2"/>
      <c r="X729" s="2"/>
      <c r="Y729" s="22"/>
      <c r="Z729" s="22"/>
      <c r="AA729" s="2"/>
      <c r="AB729" s="14"/>
      <c r="AC729" s="15"/>
      <c r="AD729" s="15"/>
      <c r="AE729" s="14"/>
      <c r="AF729" s="15"/>
      <c r="AG729" s="15"/>
      <c r="AH729" s="16"/>
      <c r="AI729" s="15"/>
      <c r="AJ729" s="17"/>
      <c r="AK729" s="18"/>
      <c r="AL729" s="15"/>
      <c r="AM729" s="15"/>
      <c r="AN729" s="19"/>
      <c r="AO729" s="15"/>
    </row>
    <row r="745" spans="1:41" s="25" customFormat="1" x14ac:dyDescent="0.35">
      <c r="A745" s="21"/>
      <c r="B745" s="2"/>
      <c r="C745" s="2"/>
      <c r="D745" s="2"/>
      <c r="E745" s="2"/>
      <c r="F745" s="2"/>
      <c r="G745" s="2"/>
      <c r="H745" s="2"/>
      <c r="I745" s="2"/>
      <c r="J745" s="2"/>
      <c r="K745" s="26"/>
      <c r="L745" s="2"/>
      <c r="M745" s="2"/>
      <c r="N745" s="2"/>
      <c r="O745" s="2"/>
      <c r="P745" s="27"/>
      <c r="Q745" s="27"/>
      <c r="R745" s="26"/>
      <c r="S745" s="2"/>
      <c r="T745" s="2"/>
      <c r="U745" s="2"/>
      <c r="V745" s="2"/>
      <c r="W745" s="2"/>
      <c r="X745" s="2"/>
      <c r="Y745" s="22"/>
      <c r="Z745" s="22"/>
      <c r="AA745" s="2"/>
      <c r="AB745" s="14"/>
      <c r="AC745" s="15"/>
      <c r="AD745" s="15"/>
      <c r="AE745" s="14"/>
      <c r="AF745" s="15"/>
      <c r="AG745" s="15"/>
      <c r="AH745" s="16"/>
      <c r="AI745" s="15"/>
      <c r="AJ745" s="17"/>
      <c r="AK745" s="18"/>
      <c r="AL745" s="15"/>
      <c r="AM745" s="15"/>
      <c r="AN745" s="19"/>
      <c r="AO745" s="15"/>
    </row>
    <row r="747" spans="1:41" s="25" customFormat="1" ht="16.149999999999999" customHeight="1" x14ac:dyDescent="0.35">
      <c r="A747" s="21"/>
      <c r="B747" s="2"/>
      <c r="C747" s="2"/>
      <c r="D747" s="2"/>
      <c r="E747" s="2"/>
      <c r="F747" s="2"/>
      <c r="G747" s="2"/>
      <c r="H747" s="2"/>
      <c r="I747" s="2"/>
      <c r="J747" s="2"/>
      <c r="K747" s="26"/>
      <c r="L747" s="2"/>
      <c r="M747" s="2"/>
      <c r="N747" s="2"/>
      <c r="O747" s="2"/>
      <c r="P747" s="27"/>
      <c r="Q747" s="27"/>
      <c r="R747" s="26"/>
      <c r="S747" s="2"/>
      <c r="T747" s="2"/>
      <c r="U747" s="2"/>
      <c r="V747" s="2"/>
      <c r="W747" s="2"/>
      <c r="X747" s="2"/>
      <c r="Y747" s="22"/>
      <c r="Z747" s="22"/>
      <c r="AA747" s="2"/>
      <c r="AB747" s="14"/>
      <c r="AC747" s="15"/>
      <c r="AD747" s="15"/>
      <c r="AE747" s="14"/>
      <c r="AF747" s="15"/>
      <c r="AG747" s="15"/>
      <c r="AH747" s="16"/>
      <c r="AI747" s="15"/>
      <c r="AJ747" s="17"/>
      <c r="AK747" s="18"/>
      <c r="AL747" s="15"/>
      <c r="AM747" s="15"/>
      <c r="AN747" s="19"/>
      <c r="AO747" s="15"/>
    </row>
    <row r="761" spans="1:41" s="25" customFormat="1" x14ac:dyDescent="0.35">
      <c r="A761" s="21"/>
      <c r="B761" s="2"/>
      <c r="C761" s="2"/>
      <c r="D761" s="2"/>
      <c r="E761" s="2"/>
      <c r="F761" s="2"/>
      <c r="G761" s="2"/>
      <c r="H761" s="2"/>
      <c r="I761" s="2"/>
      <c r="J761" s="2"/>
      <c r="K761" s="26"/>
      <c r="L761" s="2"/>
      <c r="M761" s="2"/>
      <c r="N761" s="2"/>
      <c r="O761" s="2"/>
      <c r="P761" s="27"/>
      <c r="Q761" s="27"/>
      <c r="R761" s="26"/>
      <c r="S761" s="2"/>
      <c r="T761" s="2"/>
      <c r="U761" s="2"/>
      <c r="V761" s="2"/>
      <c r="W761" s="2"/>
      <c r="X761" s="2"/>
      <c r="Y761" s="22"/>
      <c r="Z761" s="22"/>
      <c r="AA761" s="2"/>
      <c r="AB761" s="14"/>
      <c r="AC761" s="15"/>
      <c r="AD761" s="15"/>
      <c r="AE761" s="14"/>
      <c r="AF761" s="15"/>
      <c r="AG761" s="15"/>
      <c r="AH761" s="16"/>
      <c r="AI761" s="15"/>
      <c r="AJ761" s="17"/>
      <c r="AK761" s="18"/>
      <c r="AL761" s="15"/>
      <c r="AM761" s="15"/>
      <c r="AN761" s="19"/>
      <c r="AO761" s="15"/>
    </row>
    <row r="762" spans="1:41" s="25" customFormat="1" x14ac:dyDescent="0.35">
      <c r="A762" s="21"/>
      <c r="B762" s="2"/>
      <c r="C762" s="2"/>
      <c r="D762" s="2"/>
      <c r="E762" s="2"/>
      <c r="F762" s="2"/>
      <c r="G762" s="2"/>
      <c r="H762" s="2"/>
      <c r="I762" s="2"/>
      <c r="J762" s="2"/>
      <c r="K762" s="26"/>
      <c r="L762" s="2"/>
      <c r="M762" s="2"/>
      <c r="N762" s="2"/>
      <c r="O762" s="2"/>
      <c r="P762" s="27"/>
      <c r="Q762" s="27"/>
      <c r="R762" s="26"/>
      <c r="S762" s="2"/>
      <c r="T762" s="2"/>
      <c r="U762" s="2"/>
      <c r="V762" s="2"/>
      <c r="W762" s="2"/>
      <c r="X762" s="2"/>
      <c r="Y762" s="22"/>
      <c r="Z762" s="22"/>
      <c r="AA762" s="2"/>
      <c r="AB762" s="14"/>
      <c r="AC762" s="15"/>
      <c r="AD762" s="15"/>
      <c r="AE762" s="14"/>
      <c r="AF762" s="15"/>
      <c r="AG762" s="15"/>
      <c r="AH762" s="16"/>
      <c r="AI762" s="15"/>
      <c r="AJ762" s="17"/>
      <c r="AK762" s="18"/>
      <c r="AL762" s="15"/>
      <c r="AM762" s="15"/>
      <c r="AN762" s="19"/>
      <c r="AO762" s="15"/>
    </row>
    <row r="768" spans="1:41" s="25" customFormat="1" x14ac:dyDescent="0.35">
      <c r="A768" s="21"/>
      <c r="B768" s="2"/>
      <c r="C768" s="2"/>
      <c r="D768" s="2"/>
      <c r="E768" s="2"/>
      <c r="F768" s="2"/>
      <c r="G768" s="2"/>
      <c r="H768" s="2"/>
      <c r="I768" s="2"/>
      <c r="J768" s="2"/>
      <c r="K768" s="26"/>
      <c r="L768" s="2"/>
      <c r="M768" s="2"/>
      <c r="N768" s="2"/>
      <c r="O768" s="2"/>
      <c r="P768" s="27"/>
      <c r="Q768" s="27"/>
      <c r="R768" s="26"/>
      <c r="S768" s="2"/>
      <c r="T768" s="2"/>
      <c r="U768" s="2"/>
      <c r="V768" s="2"/>
      <c r="W768" s="2"/>
      <c r="X768" s="2"/>
      <c r="Y768" s="22"/>
      <c r="Z768" s="22"/>
      <c r="AA768" s="2"/>
      <c r="AB768" s="14"/>
      <c r="AC768" s="15"/>
      <c r="AD768" s="15"/>
      <c r="AE768" s="14"/>
      <c r="AF768" s="15"/>
      <c r="AG768" s="15"/>
      <c r="AH768" s="16"/>
      <c r="AI768" s="15"/>
      <c r="AJ768" s="17"/>
      <c r="AK768" s="18"/>
      <c r="AL768" s="15"/>
      <c r="AM768" s="15"/>
      <c r="AN768" s="19"/>
      <c r="AO768" s="15"/>
    </row>
    <row r="769" spans="1:41" s="25" customFormat="1" ht="16.149999999999999" customHeight="1" x14ac:dyDescent="0.35">
      <c r="A769" s="21"/>
      <c r="B769" s="2"/>
      <c r="C769" s="2"/>
      <c r="D769" s="2"/>
      <c r="E769" s="2"/>
      <c r="F769" s="2"/>
      <c r="G769" s="2"/>
      <c r="H769" s="2"/>
      <c r="I769" s="2"/>
      <c r="J769" s="2"/>
      <c r="K769" s="26"/>
      <c r="L769" s="2"/>
      <c r="M769" s="2"/>
      <c r="N769" s="2"/>
      <c r="O769" s="2"/>
      <c r="P769" s="27"/>
      <c r="Q769" s="27"/>
      <c r="R769" s="26"/>
      <c r="S769" s="2"/>
      <c r="T769" s="2"/>
      <c r="U769" s="2"/>
      <c r="V769" s="2"/>
      <c r="W769" s="2"/>
      <c r="X769" s="2"/>
      <c r="Y769" s="22"/>
      <c r="Z769" s="22"/>
      <c r="AA769" s="2"/>
      <c r="AB769" s="14"/>
      <c r="AC769" s="15"/>
      <c r="AD769" s="15"/>
      <c r="AE769" s="14"/>
      <c r="AF769" s="15"/>
      <c r="AG769" s="15"/>
      <c r="AH769" s="16"/>
      <c r="AI769" s="15"/>
      <c r="AJ769" s="17"/>
      <c r="AK769" s="18"/>
      <c r="AL769" s="15"/>
      <c r="AM769" s="15"/>
      <c r="AN769" s="19"/>
      <c r="AO769" s="15"/>
    </row>
    <row r="770" spans="1:41" ht="71.5" customHeight="1" x14ac:dyDescent="0.35"/>
    <row r="777" spans="1:41" s="25" customFormat="1" ht="16.149999999999999" customHeight="1" x14ac:dyDescent="0.35">
      <c r="A777" s="21"/>
      <c r="B777" s="2"/>
      <c r="C777" s="2"/>
      <c r="D777" s="2"/>
      <c r="E777" s="2"/>
      <c r="F777" s="2"/>
      <c r="G777" s="2"/>
      <c r="H777" s="2"/>
      <c r="I777" s="2"/>
      <c r="J777" s="2"/>
      <c r="K777" s="26"/>
      <c r="L777" s="2"/>
      <c r="M777" s="2"/>
      <c r="N777" s="2"/>
      <c r="O777" s="2"/>
      <c r="P777" s="27"/>
      <c r="Q777" s="27"/>
      <c r="R777" s="26"/>
      <c r="S777" s="2"/>
      <c r="T777" s="2"/>
      <c r="U777" s="2"/>
      <c r="V777" s="2"/>
      <c r="W777" s="2"/>
      <c r="X777" s="2"/>
      <c r="Y777" s="22"/>
      <c r="Z777" s="22"/>
      <c r="AA777" s="2"/>
      <c r="AB777" s="14"/>
      <c r="AC777" s="15"/>
      <c r="AD777" s="15"/>
      <c r="AE777" s="14"/>
      <c r="AF777" s="15"/>
      <c r="AG777" s="15"/>
      <c r="AH777" s="16"/>
      <c r="AI777" s="15"/>
      <c r="AJ777" s="17"/>
      <c r="AK777" s="18"/>
      <c r="AL777" s="15"/>
      <c r="AM777" s="15"/>
      <c r="AN777" s="19"/>
      <c r="AO777" s="15"/>
    </row>
    <row r="782" spans="1:41" ht="39.75" customHeight="1" x14ac:dyDescent="0.35"/>
    <row r="784" spans="1:41" s="25" customFormat="1" ht="16.149999999999999" customHeight="1" x14ac:dyDescent="0.35">
      <c r="A784" s="21"/>
      <c r="B784" s="2"/>
      <c r="C784" s="2"/>
      <c r="D784" s="2"/>
      <c r="E784" s="2"/>
      <c r="F784" s="2"/>
      <c r="G784" s="2"/>
      <c r="H784" s="2"/>
      <c r="I784" s="2"/>
      <c r="J784" s="2"/>
      <c r="K784" s="26"/>
      <c r="L784" s="2"/>
      <c r="M784" s="2"/>
      <c r="N784" s="2"/>
      <c r="O784" s="2"/>
      <c r="P784" s="27"/>
      <c r="Q784" s="27"/>
      <c r="R784" s="26"/>
      <c r="S784" s="2"/>
      <c r="T784" s="2"/>
      <c r="U784" s="2"/>
      <c r="V784" s="2"/>
      <c r="W784" s="2"/>
      <c r="X784" s="2"/>
      <c r="Y784" s="22"/>
      <c r="Z784" s="22"/>
      <c r="AA784" s="2"/>
      <c r="AB784" s="14"/>
      <c r="AC784" s="15"/>
      <c r="AD784" s="15"/>
      <c r="AE784" s="14"/>
      <c r="AF784" s="15"/>
      <c r="AG784" s="15"/>
      <c r="AH784" s="16"/>
      <c r="AI784" s="15"/>
      <c r="AJ784" s="17"/>
      <c r="AK784" s="18"/>
      <c r="AL784" s="15"/>
      <c r="AM784" s="15"/>
      <c r="AN784" s="19"/>
      <c r="AO784" s="15"/>
    </row>
    <row r="799" spans="1:41" s="25" customFormat="1" ht="16.149999999999999" customHeight="1" x14ac:dyDescent="0.35">
      <c r="A799" s="21"/>
      <c r="B799" s="2"/>
      <c r="C799" s="2"/>
      <c r="D799" s="2"/>
      <c r="E799" s="2"/>
      <c r="F799" s="2"/>
      <c r="G799" s="2"/>
      <c r="H799" s="2"/>
      <c r="I799" s="2"/>
      <c r="J799" s="2"/>
      <c r="K799" s="26"/>
      <c r="L799" s="2"/>
      <c r="M799" s="2"/>
      <c r="N799" s="2"/>
      <c r="O799" s="2"/>
      <c r="P799" s="27"/>
      <c r="Q799" s="27"/>
      <c r="R799" s="26"/>
      <c r="S799" s="2"/>
      <c r="T799" s="2"/>
      <c r="U799" s="2"/>
      <c r="V799" s="2"/>
      <c r="W799" s="2"/>
      <c r="X799" s="2"/>
      <c r="Y799" s="22"/>
      <c r="Z799" s="22"/>
      <c r="AA799" s="2"/>
      <c r="AB799" s="14"/>
      <c r="AC799" s="15"/>
      <c r="AD799" s="15"/>
      <c r="AE799" s="14"/>
      <c r="AF799" s="15"/>
      <c r="AG799" s="15"/>
      <c r="AH799" s="16"/>
      <c r="AI799" s="15"/>
      <c r="AJ799" s="17"/>
      <c r="AK799" s="18"/>
      <c r="AL799" s="15"/>
      <c r="AM799" s="15"/>
      <c r="AN799" s="19"/>
      <c r="AO799" s="15"/>
    </row>
    <row r="815" spans="1:41" s="25" customFormat="1" ht="16.149999999999999" customHeight="1" x14ac:dyDescent="0.35">
      <c r="A815" s="21"/>
      <c r="B815" s="2"/>
      <c r="C815" s="2"/>
      <c r="D815" s="2"/>
      <c r="E815" s="2"/>
      <c r="F815" s="2"/>
      <c r="G815" s="2"/>
      <c r="H815" s="2"/>
      <c r="I815" s="2"/>
      <c r="J815" s="2"/>
      <c r="K815" s="26"/>
      <c r="L815" s="2"/>
      <c r="M815" s="2"/>
      <c r="N815" s="2"/>
      <c r="O815" s="2"/>
      <c r="P815" s="27"/>
      <c r="Q815" s="27"/>
      <c r="R815" s="26"/>
      <c r="S815" s="2"/>
      <c r="T815" s="2"/>
      <c r="U815" s="2"/>
      <c r="V815" s="2"/>
      <c r="W815" s="2"/>
      <c r="X815" s="2"/>
      <c r="Y815" s="22"/>
      <c r="Z815" s="22"/>
      <c r="AA815" s="2"/>
      <c r="AB815" s="14"/>
      <c r="AC815" s="15"/>
      <c r="AD815" s="15"/>
      <c r="AE815" s="14"/>
      <c r="AF815" s="15"/>
      <c r="AG815" s="15"/>
      <c r="AH815" s="16"/>
      <c r="AI815" s="15"/>
      <c r="AJ815" s="17"/>
      <c r="AK815" s="18"/>
      <c r="AL815" s="15"/>
      <c r="AM815" s="15"/>
      <c r="AN815" s="19"/>
      <c r="AO815" s="15"/>
    </row>
    <row r="817" spans="1:41" s="25" customFormat="1" ht="16.149999999999999" customHeight="1" x14ac:dyDescent="0.35">
      <c r="A817" s="21"/>
      <c r="B817" s="2"/>
      <c r="C817" s="2"/>
      <c r="D817" s="2"/>
      <c r="E817" s="2"/>
      <c r="F817" s="2"/>
      <c r="G817" s="2"/>
      <c r="H817" s="2"/>
      <c r="I817" s="2"/>
      <c r="J817" s="2"/>
      <c r="K817" s="26"/>
      <c r="L817" s="2"/>
      <c r="M817" s="2"/>
      <c r="N817" s="2"/>
      <c r="O817" s="2"/>
      <c r="P817" s="27"/>
      <c r="Q817" s="27"/>
      <c r="R817" s="26"/>
      <c r="S817" s="2"/>
      <c r="T817" s="2"/>
      <c r="U817" s="2"/>
      <c r="V817" s="2"/>
      <c r="W817" s="2"/>
      <c r="X817" s="2"/>
      <c r="Y817" s="22"/>
      <c r="Z817" s="22"/>
      <c r="AA817" s="2"/>
      <c r="AB817" s="14"/>
      <c r="AC817" s="15"/>
      <c r="AD817" s="15"/>
      <c r="AE817" s="14"/>
      <c r="AF817" s="15"/>
      <c r="AG817" s="15"/>
      <c r="AH817" s="16"/>
      <c r="AI817" s="15"/>
      <c r="AJ817" s="17"/>
      <c r="AK817" s="18"/>
      <c r="AL817" s="15"/>
      <c r="AM817" s="15"/>
      <c r="AN817" s="19"/>
      <c r="AO817" s="15"/>
    </row>
    <row r="828" spans="1:41" s="25" customFormat="1" x14ac:dyDescent="0.35">
      <c r="A828" s="21"/>
      <c r="B828" s="2"/>
      <c r="C828" s="2"/>
      <c r="D828" s="2"/>
      <c r="E828" s="2"/>
      <c r="F828" s="2"/>
      <c r="G828" s="2"/>
      <c r="H828" s="2"/>
      <c r="I828" s="2"/>
      <c r="J828" s="2"/>
      <c r="K828" s="26"/>
      <c r="L828" s="2"/>
      <c r="M828" s="2"/>
      <c r="N828" s="2"/>
      <c r="O828" s="2"/>
      <c r="P828" s="27"/>
      <c r="Q828" s="27"/>
      <c r="R828" s="26"/>
      <c r="S828" s="2"/>
      <c r="T828" s="2"/>
      <c r="U828" s="2"/>
      <c r="V828" s="2"/>
      <c r="W828" s="2"/>
      <c r="X828" s="2"/>
      <c r="Y828" s="22"/>
      <c r="Z828" s="22"/>
      <c r="AA828" s="2"/>
      <c r="AB828" s="14"/>
      <c r="AC828" s="15"/>
      <c r="AD828" s="15"/>
      <c r="AE828" s="14"/>
      <c r="AF828" s="15"/>
      <c r="AG828" s="15"/>
      <c r="AH828" s="16"/>
      <c r="AI828" s="15"/>
      <c r="AJ828" s="17"/>
      <c r="AK828" s="18"/>
      <c r="AL828" s="15"/>
      <c r="AM828" s="15"/>
      <c r="AN828" s="19"/>
      <c r="AO828" s="15"/>
    </row>
    <row r="829" spans="1:41" ht="31.5" customHeight="1" x14ac:dyDescent="0.35"/>
    <row r="832" spans="1:41" s="25" customFormat="1" ht="16.149999999999999" customHeight="1" x14ac:dyDescent="0.35">
      <c r="A832" s="21"/>
      <c r="B832" s="2"/>
      <c r="C832" s="2"/>
      <c r="D832" s="2"/>
      <c r="E832" s="2"/>
      <c r="F832" s="2"/>
      <c r="G832" s="2"/>
      <c r="H832" s="2"/>
      <c r="I832" s="2"/>
      <c r="J832" s="2"/>
      <c r="K832" s="26"/>
      <c r="L832" s="2"/>
      <c r="M832" s="2"/>
      <c r="N832" s="2"/>
      <c r="O832" s="2"/>
      <c r="P832" s="27"/>
      <c r="Q832" s="27"/>
      <c r="R832" s="26"/>
      <c r="S832" s="2"/>
      <c r="T832" s="2"/>
      <c r="U832" s="2"/>
      <c r="V832" s="2"/>
      <c r="W832" s="2"/>
      <c r="X832" s="2"/>
      <c r="Y832" s="22"/>
      <c r="Z832" s="22"/>
      <c r="AA832" s="2"/>
      <c r="AB832" s="14"/>
      <c r="AC832" s="15"/>
      <c r="AD832" s="15"/>
      <c r="AE832" s="14"/>
      <c r="AF832" s="15"/>
      <c r="AG832" s="15"/>
      <c r="AH832" s="16"/>
      <c r="AI832" s="15"/>
      <c r="AJ832" s="17"/>
      <c r="AK832" s="18"/>
      <c r="AL832" s="15"/>
      <c r="AM832" s="15"/>
      <c r="AN832" s="19"/>
      <c r="AO832" s="15"/>
    </row>
    <row r="836" spans="1:41" s="25" customFormat="1" x14ac:dyDescent="0.35">
      <c r="A836" s="21"/>
      <c r="B836" s="2"/>
      <c r="C836" s="2"/>
      <c r="D836" s="2"/>
      <c r="E836" s="2"/>
      <c r="F836" s="2"/>
      <c r="G836" s="2"/>
      <c r="H836" s="2"/>
      <c r="I836" s="2"/>
      <c r="J836" s="2"/>
      <c r="K836" s="26"/>
      <c r="L836" s="2"/>
      <c r="M836" s="2"/>
      <c r="N836" s="2"/>
      <c r="O836" s="2"/>
      <c r="P836" s="27"/>
      <c r="Q836" s="27"/>
      <c r="R836" s="26"/>
      <c r="S836" s="2"/>
      <c r="T836" s="2"/>
      <c r="U836" s="2"/>
      <c r="V836" s="2"/>
      <c r="W836" s="2"/>
      <c r="X836" s="2"/>
      <c r="Y836" s="22"/>
      <c r="Z836" s="22"/>
      <c r="AA836" s="2"/>
      <c r="AB836" s="14"/>
      <c r="AC836" s="15"/>
      <c r="AD836" s="15"/>
      <c r="AE836" s="14"/>
      <c r="AF836" s="15"/>
      <c r="AG836" s="15"/>
      <c r="AH836" s="16"/>
      <c r="AI836" s="15"/>
      <c r="AJ836" s="17"/>
      <c r="AK836" s="18"/>
      <c r="AL836" s="15"/>
      <c r="AM836" s="15"/>
      <c r="AN836" s="19"/>
      <c r="AO836" s="15"/>
    </row>
    <row r="843" spans="1:41" ht="31.5" customHeight="1" x14ac:dyDescent="0.35"/>
    <row r="845" spans="1:41" ht="27.75" customHeight="1" x14ac:dyDescent="0.35"/>
    <row r="854" spans="1:41" s="25" customFormat="1" ht="16.149999999999999" customHeight="1" x14ac:dyDescent="0.35">
      <c r="A854" s="21"/>
      <c r="B854" s="2"/>
      <c r="C854" s="2"/>
      <c r="D854" s="2"/>
      <c r="E854" s="2"/>
      <c r="F854" s="2"/>
      <c r="G854" s="2"/>
      <c r="H854" s="2"/>
      <c r="I854" s="2"/>
      <c r="J854" s="2"/>
      <c r="K854" s="26"/>
      <c r="L854" s="2"/>
      <c r="M854" s="2"/>
      <c r="N854" s="2"/>
      <c r="O854" s="2"/>
      <c r="P854" s="27"/>
      <c r="Q854" s="27"/>
      <c r="R854" s="26"/>
      <c r="S854" s="2"/>
      <c r="T854" s="2"/>
      <c r="U854" s="2"/>
      <c r="V854" s="2"/>
      <c r="W854" s="2"/>
      <c r="X854" s="2"/>
      <c r="Y854" s="22"/>
      <c r="Z854" s="22"/>
      <c r="AA854" s="2"/>
      <c r="AB854" s="14"/>
      <c r="AC854" s="15"/>
      <c r="AD854" s="15"/>
      <c r="AE854" s="14"/>
      <c r="AF854" s="15"/>
      <c r="AG854" s="15"/>
      <c r="AH854" s="16"/>
      <c r="AI854" s="15"/>
      <c r="AJ854" s="17"/>
      <c r="AK854" s="18"/>
      <c r="AL854" s="15"/>
      <c r="AM854" s="15"/>
      <c r="AN854" s="19"/>
      <c r="AO854" s="15"/>
    </row>
    <row r="867" spans="1:41" ht="49.15" customHeight="1" x14ac:dyDescent="0.35"/>
    <row r="868" spans="1:41" s="25" customFormat="1" x14ac:dyDescent="0.35">
      <c r="A868" s="21"/>
      <c r="B868" s="2"/>
      <c r="C868" s="2"/>
      <c r="D868" s="2"/>
      <c r="E868" s="2"/>
      <c r="F868" s="2"/>
      <c r="G868" s="2"/>
      <c r="H868" s="2"/>
      <c r="I868" s="2"/>
      <c r="J868" s="2"/>
      <c r="K868" s="26"/>
      <c r="L868" s="2"/>
      <c r="M868" s="2"/>
      <c r="N868" s="2"/>
      <c r="O868" s="2"/>
      <c r="P868" s="27"/>
      <c r="Q868" s="27"/>
      <c r="R868" s="26"/>
      <c r="S868" s="2"/>
      <c r="T868" s="2"/>
      <c r="U868" s="2"/>
      <c r="V868" s="2"/>
      <c r="W868" s="2"/>
      <c r="X868" s="2"/>
      <c r="Y868" s="22"/>
      <c r="Z868" s="22"/>
      <c r="AA868" s="2"/>
      <c r="AB868" s="14"/>
      <c r="AC868" s="15"/>
      <c r="AD868" s="15"/>
      <c r="AE868" s="14"/>
      <c r="AF868" s="15"/>
      <c r="AG868" s="15"/>
      <c r="AH868" s="16"/>
      <c r="AI868" s="15"/>
      <c r="AJ868" s="17"/>
      <c r="AK868" s="18"/>
      <c r="AL868" s="15"/>
      <c r="AM868" s="15"/>
      <c r="AN868" s="19"/>
      <c r="AO868" s="15"/>
    </row>
    <row r="870" spans="1:41" s="25" customFormat="1" ht="16.149999999999999" customHeight="1" x14ac:dyDescent="0.35">
      <c r="A870" s="21"/>
      <c r="B870" s="2"/>
      <c r="C870" s="2"/>
      <c r="D870" s="2"/>
      <c r="E870" s="2"/>
      <c r="F870" s="2"/>
      <c r="G870" s="2"/>
      <c r="H870" s="2"/>
      <c r="I870" s="2"/>
      <c r="J870" s="2"/>
      <c r="K870" s="26"/>
      <c r="L870" s="2"/>
      <c r="M870" s="2"/>
      <c r="N870" s="2"/>
      <c r="O870" s="2"/>
      <c r="P870" s="27"/>
      <c r="Q870" s="27"/>
      <c r="R870" s="26"/>
      <c r="S870" s="2"/>
      <c r="T870" s="2"/>
      <c r="U870" s="2"/>
      <c r="V870" s="2"/>
      <c r="W870" s="2"/>
      <c r="X870" s="2"/>
      <c r="Y870" s="22"/>
      <c r="Z870" s="22"/>
      <c r="AA870" s="2"/>
      <c r="AB870" s="14"/>
      <c r="AC870" s="15"/>
      <c r="AD870" s="15"/>
      <c r="AE870" s="14"/>
      <c r="AF870" s="15"/>
      <c r="AG870" s="15"/>
      <c r="AH870" s="16"/>
      <c r="AI870" s="15"/>
      <c r="AJ870" s="17"/>
      <c r="AK870" s="18"/>
      <c r="AL870" s="15"/>
      <c r="AM870" s="15"/>
      <c r="AN870" s="19"/>
      <c r="AO870" s="15"/>
    </row>
    <row r="874" spans="1:41" s="25" customFormat="1" x14ac:dyDescent="0.35">
      <c r="A874" s="21"/>
      <c r="B874" s="2"/>
      <c r="C874" s="2"/>
      <c r="D874" s="2"/>
      <c r="E874" s="2"/>
      <c r="F874" s="2"/>
      <c r="G874" s="2"/>
      <c r="H874" s="2"/>
      <c r="I874" s="2"/>
      <c r="J874" s="2"/>
      <c r="K874" s="26"/>
      <c r="L874" s="2"/>
      <c r="M874" s="2"/>
      <c r="N874" s="2"/>
      <c r="O874" s="2"/>
      <c r="P874" s="27"/>
      <c r="Q874" s="27"/>
      <c r="R874" s="26"/>
      <c r="S874" s="2"/>
      <c r="T874" s="2"/>
      <c r="U874" s="2"/>
      <c r="V874" s="2"/>
      <c r="W874" s="2"/>
      <c r="X874" s="2"/>
      <c r="Y874" s="22"/>
      <c r="Z874" s="22"/>
      <c r="AA874" s="2"/>
      <c r="AB874" s="14"/>
      <c r="AC874" s="15"/>
      <c r="AD874" s="15"/>
      <c r="AE874" s="14"/>
      <c r="AF874" s="15"/>
      <c r="AG874" s="15"/>
      <c r="AH874" s="16"/>
      <c r="AI874" s="15"/>
      <c r="AJ874" s="17"/>
      <c r="AK874" s="18"/>
      <c r="AL874" s="15"/>
      <c r="AM874" s="15"/>
      <c r="AN874" s="19"/>
      <c r="AO874" s="15"/>
    </row>
    <row r="880" spans="1:41" s="25" customFormat="1" x14ac:dyDescent="0.35">
      <c r="A880" s="21"/>
      <c r="B880" s="2"/>
      <c r="C880" s="2"/>
      <c r="D880" s="2"/>
      <c r="E880" s="2"/>
      <c r="F880" s="2"/>
      <c r="G880" s="2"/>
      <c r="H880" s="2"/>
      <c r="I880" s="2"/>
      <c r="J880" s="2"/>
      <c r="K880" s="26"/>
      <c r="L880" s="2"/>
      <c r="M880" s="2"/>
      <c r="N880" s="2"/>
      <c r="O880" s="2"/>
      <c r="P880" s="27"/>
      <c r="Q880" s="27"/>
      <c r="R880" s="26"/>
      <c r="S880" s="2"/>
      <c r="T880" s="2"/>
      <c r="U880" s="2"/>
      <c r="V880" s="2"/>
      <c r="W880" s="2"/>
      <c r="X880" s="2"/>
      <c r="Y880" s="22"/>
      <c r="Z880" s="22"/>
      <c r="AA880" s="2"/>
      <c r="AB880" s="14"/>
      <c r="AC880" s="15"/>
      <c r="AD880" s="15"/>
      <c r="AE880" s="14"/>
      <c r="AF880" s="15"/>
      <c r="AG880" s="15"/>
      <c r="AH880" s="16"/>
      <c r="AI880" s="15"/>
      <c r="AJ880" s="17"/>
      <c r="AK880" s="18"/>
      <c r="AL880" s="15"/>
      <c r="AM880" s="15"/>
      <c r="AN880" s="19"/>
      <c r="AO880" s="15"/>
    </row>
    <row r="881" spans="1:41" s="25" customFormat="1" x14ac:dyDescent="0.35">
      <c r="A881" s="21"/>
      <c r="B881" s="2"/>
      <c r="C881" s="2"/>
      <c r="D881" s="2"/>
      <c r="E881" s="2"/>
      <c r="F881" s="2"/>
      <c r="G881" s="2"/>
      <c r="H881" s="2"/>
      <c r="I881" s="2"/>
      <c r="J881" s="2"/>
      <c r="K881" s="26"/>
      <c r="L881" s="2"/>
      <c r="M881" s="2"/>
      <c r="N881" s="2"/>
      <c r="O881" s="2"/>
      <c r="P881" s="27"/>
      <c r="Q881" s="27"/>
      <c r="R881" s="26"/>
      <c r="S881" s="2"/>
      <c r="T881" s="2"/>
      <c r="U881" s="2"/>
      <c r="V881" s="2"/>
      <c r="W881" s="2"/>
      <c r="X881" s="2"/>
      <c r="Y881" s="22"/>
      <c r="Z881" s="22"/>
      <c r="AA881" s="2"/>
      <c r="AB881" s="14"/>
      <c r="AC881" s="15"/>
      <c r="AD881" s="15"/>
      <c r="AE881" s="14"/>
      <c r="AF881" s="15"/>
      <c r="AG881" s="15"/>
      <c r="AH881" s="16"/>
      <c r="AI881" s="15"/>
      <c r="AJ881" s="17"/>
      <c r="AK881" s="18"/>
      <c r="AL881" s="15"/>
      <c r="AM881" s="15"/>
      <c r="AN881" s="19"/>
      <c r="AO881" s="15"/>
    </row>
    <row r="885" spans="1:41" ht="42" customHeight="1" x14ac:dyDescent="0.35"/>
    <row r="886" spans="1:41" s="25" customFormat="1" ht="16.149999999999999" customHeight="1" x14ac:dyDescent="0.35">
      <c r="A886" s="21"/>
      <c r="B886" s="2"/>
      <c r="C886" s="2"/>
      <c r="D886" s="2"/>
      <c r="E886" s="2"/>
      <c r="F886" s="2"/>
      <c r="G886" s="2"/>
      <c r="H886" s="2"/>
      <c r="I886" s="2"/>
      <c r="J886" s="2"/>
      <c r="K886" s="26"/>
      <c r="L886" s="2"/>
      <c r="M886" s="2"/>
      <c r="N886" s="2"/>
      <c r="O886" s="2"/>
      <c r="P886" s="27"/>
      <c r="Q886" s="27"/>
      <c r="R886" s="26"/>
      <c r="S886" s="2"/>
      <c r="T886" s="2"/>
      <c r="U886" s="2"/>
      <c r="V886" s="2"/>
      <c r="W886" s="2"/>
      <c r="X886" s="2"/>
      <c r="Y886" s="22"/>
      <c r="Z886" s="22"/>
      <c r="AA886" s="2"/>
      <c r="AB886" s="14"/>
      <c r="AC886" s="15"/>
      <c r="AD886" s="15"/>
      <c r="AE886" s="14"/>
      <c r="AF886" s="15"/>
      <c r="AG886" s="15"/>
      <c r="AH886" s="16"/>
      <c r="AI886" s="15"/>
      <c r="AJ886" s="17"/>
      <c r="AK886" s="18"/>
      <c r="AL886" s="15"/>
      <c r="AM886" s="15"/>
      <c r="AN886" s="19"/>
      <c r="AO886" s="15"/>
    </row>
    <row r="887" spans="1:41" s="25" customFormat="1" x14ac:dyDescent="0.35">
      <c r="A887" s="21"/>
      <c r="B887" s="2"/>
      <c r="C887" s="2"/>
      <c r="D887" s="2"/>
      <c r="E887" s="2"/>
      <c r="F887" s="2"/>
      <c r="G887" s="2"/>
      <c r="H887" s="2"/>
      <c r="I887" s="2"/>
      <c r="J887" s="2"/>
      <c r="K887" s="26"/>
      <c r="L887" s="2"/>
      <c r="M887" s="2"/>
      <c r="N887" s="2"/>
      <c r="O887" s="2"/>
      <c r="P887" s="27"/>
      <c r="Q887" s="27"/>
      <c r="R887" s="26"/>
      <c r="S887" s="2"/>
      <c r="T887" s="2"/>
      <c r="U887" s="2"/>
      <c r="V887" s="2"/>
      <c r="W887" s="2"/>
      <c r="X887" s="2"/>
      <c r="Y887" s="22"/>
      <c r="Z887" s="22"/>
      <c r="AA887" s="2"/>
      <c r="AB887" s="14"/>
      <c r="AC887" s="15"/>
      <c r="AD887" s="15"/>
      <c r="AE887" s="14"/>
      <c r="AF887" s="15"/>
      <c r="AG887" s="15"/>
      <c r="AH887" s="16"/>
      <c r="AI887" s="15"/>
      <c r="AJ887" s="17"/>
      <c r="AK887" s="18"/>
      <c r="AL887" s="15"/>
      <c r="AM887" s="15"/>
      <c r="AN887" s="19"/>
      <c r="AO887" s="15"/>
    </row>
    <row r="888" spans="1:41" s="25" customFormat="1" ht="16.149999999999999" customHeight="1" x14ac:dyDescent="0.35">
      <c r="A888" s="21"/>
      <c r="B888" s="2"/>
      <c r="C888" s="2"/>
      <c r="D888" s="2"/>
      <c r="E888" s="2"/>
      <c r="F888" s="2"/>
      <c r="G888" s="2"/>
      <c r="H888" s="2"/>
      <c r="I888" s="2"/>
      <c r="J888" s="2"/>
      <c r="K888" s="26"/>
      <c r="L888" s="2"/>
      <c r="M888" s="2"/>
      <c r="N888" s="2"/>
      <c r="O888" s="2"/>
      <c r="P888" s="27"/>
      <c r="Q888" s="27"/>
      <c r="R888" s="26"/>
      <c r="S888" s="2"/>
      <c r="T888" s="2"/>
      <c r="U888" s="2"/>
      <c r="V888" s="2"/>
      <c r="W888" s="2"/>
      <c r="X888" s="2"/>
      <c r="Y888" s="22"/>
      <c r="Z888" s="22"/>
      <c r="AA888" s="2"/>
      <c r="AB888" s="14"/>
      <c r="AC888" s="15"/>
      <c r="AD888" s="15"/>
      <c r="AE888" s="14"/>
      <c r="AF888" s="15"/>
      <c r="AG888" s="15"/>
      <c r="AH888" s="16"/>
      <c r="AI888" s="15"/>
      <c r="AJ888" s="17"/>
      <c r="AK888" s="18"/>
      <c r="AL888" s="15"/>
      <c r="AM888" s="15"/>
      <c r="AN888" s="19"/>
      <c r="AO888" s="15"/>
    </row>
    <row r="890" spans="1:41" s="25" customFormat="1" x14ac:dyDescent="0.35">
      <c r="A890" s="21"/>
      <c r="B890" s="2"/>
      <c r="C890" s="2"/>
      <c r="D890" s="2"/>
      <c r="E890" s="2"/>
      <c r="F890" s="2"/>
      <c r="G890" s="2"/>
      <c r="H890" s="2"/>
      <c r="I890" s="2"/>
      <c r="J890" s="2"/>
      <c r="K890" s="26"/>
      <c r="L890" s="2"/>
      <c r="M890" s="2"/>
      <c r="N890" s="2"/>
      <c r="O890" s="2"/>
      <c r="P890" s="27"/>
      <c r="Q890" s="27"/>
      <c r="R890" s="26"/>
      <c r="S890" s="2"/>
      <c r="T890" s="2"/>
      <c r="U890" s="2"/>
      <c r="V890" s="2"/>
      <c r="W890" s="2"/>
      <c r="X890" s="2"/>
      <c r="Y890" s="22"/>
      <c r="Z890" s="22"/>
      <c r="AA890" s="2"/>
      <c r="AB890" s="14"/>
      <c r="AC890" s="15"/>
      <c r="AD890" s="15"/>
      <c r="AE890" s="14"/>
      <c r="AF890" s="15"/>
      <c r="AG890" s="15"/>
      <c r="AH890" s="16"/>
      <c r="AI890" s="15"/>
      <c r="AJ890" s="17"/>
      <c r="AK890" s="18"/>
      <c r="AL890" s="15"/>
      <c r="AM890" s="15"/>
      <c r="AN890" s="19"/>
      <c r="AO890" s="15"/>
    </row>
  </sheetData>
  <autoFilter ref="D1:D1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pagos 2026 (CXP)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Xavier Prado</cp:lastModifiedBy>
  <dcterms:created xsi:type="dcterms:W3CDTF">2026-06-09T15:17:09Z</dcterms:created>
  <dcterms:modified xsi:type="dcterms:W3CDTF">2026-06-09T18:40:52Z</dcterms:modified>
</cp:coreProperties>
</file>