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\Desktop\FORMATOS EXCEL PARA ERP\ALMACEN FINAL FEB 2026\ALMACEN FINAL FEB 2026\"/>
    </mc:Choice>
  </mc:AlternateContent>
  <xr:revisionPtr revIDLastSave="0" documentId="13_ncr:1_{21F77F08-FEB5-4B90-8A34-5AE08C68048B}" xr6:coauthVersionLast="47" xr6:coauthVersionMax="47" xr10:uidLastSave="{00000000-0000-0000-0000-000000000000}"/>
  <bookViews>
    <workbookView xWindow="-108" yWindow="-108" windowWidth="23256" windowHeight="12576" activeTab="3" xr2:uid="{0B8252A7-A5A1-4797-AE55-02890C943EFA}"/>
  </bookViews>
  <sheets>
    <sheet name="INVENTARIO" sheetId="1" r:id="rId1"/>
    <sheet name="ENTRADA" sheetId="5" r:id="rId2"/>
    <sheet name="SALIDA" sheetId="6" r:id="rId3"/>
    <sheet name="STOCK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56" i="7" l="1"/>
  <c r="B1457" i="7"/>
  <c r="C1456" i="7"/>
  <c r="C1457" i="7"/>
  <c r="D1456" i="7"/>
  <c r="D1457" i="7"/>
  <c r="E1456" i="7"/>
  <c r="E1457" i="7"/>
  <c r="F1456" i="7"/>
  <c r="F1457" i="7"/>
  <c r="G1456" i="7"/>
  <c r="G1457" i="7"/>
  <c r="H1456" i="7"/>
  <c r="H1457" i="7"/>
  <c r="I1456" i="7"/>
  <c r="I1457" i="7"/>
  <c r="J1456" i="7"/>
  <c r="J1457" i="7"/>
  <c r="K1456" i="7"/>
  <c r="K1457" i="7"/>
  <c r="L1456" i="7"/>
  <c r="L1457" i="7"/>
  <c r="O1456" i="7"/>
  <c r="N1456" i="7" s="1"/>
  <c r="M1456" i="7" s="1" a="1"/>
  <c r="M1456" i="7" s="1"/>
  <c r="O1457" i="7"/>
  <c r="N1457" i="7" s="1"/>
  <c r="M1457" i="7" s="1" a="1"/>
  <c r="M1457" i="7" s="1"/>
  <c r="P1456" i="7"/>
  <c r="P1457" i="7"/>
  <c r="Q1456" i="7"/>
  <c r="R1456" i="7" s="1"/>
  <c r="Q1457" i="7"/>
  <c r="R1457" i="7" s="1"/>
  <c r="S1456" i="7"/>
  <c r="S1457" i="7"/>
  <c r="T1456" i="7"/>
  <c r="T1457" i="7"/>
  <c r="U1456" i="7"/>
  <c r="U1457" i="7"/>
  <c r="C1457" i="5"/>
  <c r="C1456" i="5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P936" i="7"/>
  <c r="P937" i="7"/>
  <c r="P938" i="7"/>
  <c r="N938" i="7" s="1"/>
  <c r="P939" i="7"/>
  <c r="P940" i="7"/>
  <c r="P941" i="7"/>
  <c r="P942" i="7"/>
  <c r="N942" i="7" s="1"/>
  <c r="P943" i="7"/>
  <c r="P944" i="7"/>
  <c r="P945" i="7"/>
  <c r="P946" i="7"/>
  <c r="N946" i="7" s="1"/>
  <c r="P947" i="7"/>
  <c r="P948" i="7"/>
  <c r="P949" i="7"/>
  <c r="P950" i="7"/>
  <c r="N950" i="7" s="1"/>
  <c r="P951" i="7"/>
  <c r="P952" i="7"/>
  <c r="P953" i="7"/>
  <c r="P954" i="7"/>
  <c r="N954" i="7" s="1"/>
  <c r="P955" i="7"/>
  <c r="P956" i="7"/>
  <c r="P957" i="7"/>
  <c r="P958" i="7"/>
  <c r="N958" i="7" s="1"/>
  <c r="P959" i="7"/>
  <c r="P960" i="7"/>
  <c r="P961" i="7"/>
  <c r="P962" i="7"/>
  <c r="N962" i="7" s="1"/>
  <c r="P963" i="7"/>
  <c r="P964" i="7"/>
  <c r="P965" i="7"/>
  <c r="P966" i="7"/>
  <c r="N966" i="7" s="1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N1173" i="7" s="1"/>
  <c r="P1174" i="7"/>
  <c r="P1175" i="7"/>
  <c r="P1176" i="7"/>
  <c r="P1177" i="7"/>
  <c r="P1178" i="7"/>
  <c r="P1179" i="7"/>
  <c r="P1180" i="7"/>
  <c r="P1181" i="7"/>
  <c r="N1181" i="7" s="1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N1197" i="7" s="1"/>
  <c r="P1198" i="7"/>
  <c r="P1199" i="7"/>
  <c r="P1200" i="7"/>
  <c r="P1201" i="7"/>
  <c r="P1202" i="7"/>
  <c r="P1203" i="7"/>
  <c r="P1204" i="7"/>
  <c r="P1205" i="7"/>
  <c r="N1205" i="7" s="1"/>
  <c r="P1206" i="7"/>
  <c r="P1207" i="7"/>
  <c r="P1208" i="7"/>
  <c r="P1209" i="7"/>
  <c r="P1210" i="7"/>
  <c r="P1211" i="7"/>
  <c r="P1212" i="7"/>
  <c r="P1213" i="7"/>
  <c r="N1213" i="7" s="1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N1229" i="7" s="1"/>
  <c r="P1230" i="7"/>
  <c r="P1231" i="7"/>
  <c r="P1232" i="7"/>
  <c r="P1233" i="7"/>
  <c r="P1234" i="7"/>
  <c r="P1235" i="7"/>
  <c r="P1236" i="7"/>
  <c r="P1237" i="7"/>
  <c r="N1237" i="7" s="1"/>
  <c r="P1238" i="7"/>
  <c r="P1239" i="7"/>
  <c r="P1240" i="7"/>
  <c r="P1241" i="7"/>
  <c r="P1242" i="7"/>
  <c r="P1243" i="7"/>
  <c r="P1244" i="7"/>
  <c r="P1245" i="7"/>
  <c r="N1245" i="7" s="1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N1261" i="7" s="1"/>
  <c r="P1262" i="7"/>
  <c r="P1263" i="7"/>
  <c r="P1264" i="7"/>
  <c r="P1265" i="7"/>
  <c r="P1266" i="7"/>
  <c r="P1267" i="7"/>
  <c r="P1268" i="7"/>
  <c r="P1269" i="7"/>
  <c r="N1269" i="7" s="1"/>
  <c r="P1270" i="7"/>
  <c r="P1271" i="7"/>
  <c r="P1272" i="7"/>
  <c r="P1273" i="7"/>
  <c r="P1274" i="7"/>
  <c r="P1275" i="7"/>
  <c r="P1276" i="7"/>
  <c r="P1277" i="7"/>
  <c r="N1277" i="7" s="1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N1293" i="7" s="1"/>
  <c r="P1294" i="7"/>
  <c r="P1295" i="7"/>
  <c r="P1296" i="7"/>
  <c r="P1297" i="7"/>
  <c r="P1298" i="7"/>
  <c r="P1299" i="7"/>
  <c r="P1300" i="7"/>
  <c r="P1301" i="7"/>
  <c r="N1301" i="7" s="1"/>
  <c r="P1302" i="7"/>
  <c r="P1303" i="7"/>
  <c r="P1304" i="7"/>
  <c r="P1305" i="7"/>
  <c r="P1306" i="7"/>
  <c r="P1307" i="7"/>
  <c r="P1308" i="7"/>
  <c r="P1309" i="7"/>
  <c r="N1309" i="7" s="1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N1325" i="7" s="1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0" i="7"/>
  <c r="P1381" i="7"/>
  <c r="P1382" i="7"/>
  <c r="P1383" i="7"/>
  <c r="P1384" i="7"/>
  <c r="P1385" i="7"/>
  <c r="P1386" i="7"/>
  <c r="P1387" i="7"/>
  <c r="P1388" i="7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P1442" i="7"/>
  <c r="P1443" i="7"/>
  <c r="P1444" i="7"/>
  <c r="P1445" i="7"/>
  <c r="P1446" i="7"/>
  <c r="P1447" i="7"/>
  <c r="P1448" i="7"/>
  <c r="P1449" i="7"/>
  <c r="P1450" i="7"/>
  <c r="P1451" i="7"/>
  <c r="P1452" i="7"/>
  <c r="P1453" i="7"/>
  <c r="P1454" i="7"/>
  <c r="P1455" i="7"/>
  <c r="Q936" i="7"/>
  <c r="Q937" i="7"/>
  <c r="Q938" i="7"/>
  <c r="R938" i="7" s="1"/>
  <c r="Q939" i="7"/>
  <c r="Q940" i="7"/>
  <c r="Q941" i="7"/>
  <c r="Q942" i="7"/>
  <c r="R942" i="7" s="1"/>
  <c r="Q943" i="7"/>
  <c r="Q944" i="7"/>
  <c r="Q945" i="7"/>
  <c r="Q946" i="7"/>
  <c r="R946" i="7" s="1"/>
  <c r="Q947" i="7"/>
  <c r="Q948" i="7"/>
  <c r="Q949" i="7"/>
  <c r="Q950" i="7"/>
  <c r="R950" i="7" s="1"/>
  <c r="Q951" i="7"/>
  <c r="Q952" i="7"/>
  <c r="Q953" i="7"/>
  <c r="Q954" i="7"/>
  <c r="R954" i="7" s="1"/>
  <c r="Q955" i="7"/>
  <c r="Q956" i="7"/>
  <c r="Q957" i="7"/>
  <c r="Q958" i="7"/>
  <c r="R958" i="7" s="1"/>
  <c r="Q959" i="7"/>
  <c r="Q960" i="7"/>
  <c r="Q961" i="7"/>
  <c r="Q962" i="7"/>
  <c r="R962" i="7" s="1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1002" i="7"/>
  <c r="U1003" i="7"/>
  <c r="U1004" i="7"/>
  <c r="U1005" i="7"/>
  <c r="U1006" i="7"/>
  <c r="U1007" i="7"/>
  <c r="U1008" i="7"/>
  <c r="U1009" i="7"/>
  <c r="U1010" i="7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1182" i="7"/>
  <c r="U1183" i="7"/>
  <c r="U1184" i="7"/>
  <c r="U1185" i="7"/>
  <c r="U1186" i="7"/>
  <c r="U1187" i="7"/>
  <c r="U1188" i="7"/>
  <c r="U1189" i="7"/>
  <c r="U1190" i="7"/>
  <c r="U1191" i="7"/>
  <c r="U1192" i="7"/>
  <c r="U1193" i="7"/>
  <c r="U1194" i="7"/>
  <c r="U1195" i="7"/>
  <c r="U1196" i="7"/>
  <c r="U1197" i="7"/>
  <c r="U1198" i="7"/>
  <c r="U1199" i="7"/>
  <c r="U1200" i="7"/>
  <c r="U1201" i="7"/>
  <c r="U1202" i="7"/>
  <c r="U1203" i="7"/>
  <c r="U1204" i="7"/>
  <c r="U1205" i="7"/>
  <c r="U1206" i="7"/>
  <c r="U1207" i="7"/>
  <c r="U1208" i="7"/>
  <c r="U1209" i="7"/>
  <c r="U1210" i="7"/>
  <c r="U1211" i="7"/>
  <c r="U1212" i="7"/>
  <c r="U1213" i="7"/>
  <c r="U1214" i="7"/>
  <c r="U1215" i="7"/>
  <c r="U1216" i="7"/>
  <c r="U1217" i="7"/>
  <c r="U1218" i="7"/>
  <c r="U1219" i="7"/>
  <c r="U1220" i="7"/>
  <c r="U1221" i="7"/>
  <c r="U1222" i="7"/>
  <c r="U1223" i="7"/>
  <c r="U1224" i="7"/>
  <c r="U1225" i="7"/>
  <c r="U1226" i="7"/>
  <c r="U1227" i="7"/>
  <c r="U1228" i="7"/>
  <c r="U1229" i="7"/>
  <c r="U1230" i="7"/>
  <c r="U1231" i="7"/>
  <c r="U1232" i="7"/>
  <c r="U1233" i="7"/>
  <c r="U1234" i="7"/>
  <c r="U1235" i="7"/>
  <c r="U1236" i="7"/>
  <c r="U1237" i="7"/>
  <c r="U1238" i="7"/>
  <c r="U1239" i="7"/>
  <c r="U1240" i="7"/>
  <c r="U1241" i="7"/>
  <c r="U1242" i="7"/>
  <c r="U1243" i="7"/>
  <c r="U1244" i="7"/>
  <c r="U1245" i="7"/>
  <c r="U1246" i="7"/>
  <c r="U1247" i="7"/>
  <c r="U1248" i="7"/>
  <c r="U1249" i="7"/>
  <c r="U1250" i="7"/>
  <c r="U1251" i="7"/>
  <c r="U1252" i="7"/>
  <c r="U1253" i="7"/>
  <c r="U1254" i="7"/>
  <c r="U1255" i="7"/>
  <c r="U1256" i="7"/>
  <c r="U1257" i="7"/>
  <c r="U1258" i="7"/>
  <c r="U1259" i="7"/>
  <c r="U1260" i="7"/>
  <c r="U1261" i="7"/>
  <c r="U1262" i="7"/>
  <c r="U1263" i="7"/>
  <c r="U1264" i="7"/>
  <c r="U1265" i="7"/>
  <c r="U1266" i="7"/>
  <c r="U1267" i="7"/>
  <c r="U1268" i="7"/>
  <c r="U1269" i="7"/>
  <c r="U1270" i="7"/>
  <c r="U1271" i="7"/>
  <c r="U1272" i="7"/>
  <c r="U1273" i="7"/>
  <c r="U1274" i="7"/>
  <c r="U1275" i="7"/>
  <c r="U1276" i="7"/>
  <c r="U1277" i="7"/>
  <c r="U1278" i="7"/>
  <c r="U1279" i="7"/>
  <c r="U1280" i="7"/>
  <c r="U1281" i="7"/>
  <c r="U1282" i="7"/>
  <c r="U1283" i="7"/>
  <c r="U1284" i="7"/>
  <c r="U1285" i="7"/>
  <c r="U1286" i="7"/>
  <c r="U1287" i="7"/>
  <c r="U1288" i="7"/>
  <c r="U1289" i="7"/>
  <c r="U1290" i="7"/>
  <c r="U1291" i="7"/>
  <c r="U1292" i="7"/>
  <c r="U1293" i="7"/>
  <c r="U1294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308" i="7"/>
  <c r="U1309" i="7"/>
  <c r="U1310" i="7"/>
  <c r="U1311" i="7"/>
  <c r="U1312" i="7"/>
  <c r="U1313" i="7"/>
  <c r="U1314" i="7"/>
  <c r="U1315" i="7"/>
  <c r="U1316" i="7"/>
  <c r="U1317" i="7"/>
  <c r="U1318" i="7"/>
  <c r="U1319" i="7"/>
  <c r="U1320" i="7"/>
  <c r="U1321" i="7"/>
  <c r="U1322" i="7"/>
  <c r="U1323" i="7"/>
  <c r="U1324" i="7"/>
  <c r="U1325" i="7"/>
  <c r="U1326" i="7"/>
  <c r="U1327" i="7"/>
  <c r="U1328" i="7"/>
  <c r="U1329" i="7"/>
  <c r="U1330" i="7"/>
  <c r="U1331" i="7"/>
  <c r="U1332" i="7"/>
  <c r="U1333" i="7"/>
  <c r="U1334" i="7"/>
  <c r="U1335" i="7"/>
  <c r="U1336" i="7"/>
  <c r="U1337" i="7"/>
  <c r="U1338" i="7"/>
  <c r="U1339" i="7"/>
  <c r="U1340" i="7"/>
  <c r="U1341" i="7"/>
  <c r="U1342" i="7"/>
  <c r="U1343" i="7"/>
  <c r="U1344" i="7"/>
  <c r="U1345" i="7"/>
  <c r="U1346" i="7"/>
  <c r="U1347" i="7"/>
  <c r="U1348" i="7"/>
  <c r="U1349" i="7"/>
  <c r="U1350" i="7"/>
  <c r="U1351" i="7"/>
  <c r="U1352" i="7"/>
  <c r="U1353" i="7"/>
  <c r="U1354" i="7"/>
  <c r="U1355" i="7"/>
  <c r="U1356" i="7"/>
  <c r="U1357" i="7"/>
  <c r="U1358" i="7"/>
  <c r="U1359" i="7"/>
  <c r="U1360" i="7"/>
  <c r="U1361" i="7"/>
  <c r="U1362" i="7"/>
  <c r="U1363" i="7"/>
  <c r="U1364" i="7"/>
  <c r="U1365" i="7"/>
  <c r="U1366" i="7"/>
  <c r="U1367" i="7"/>
  <c r="U1368" i="7"/>
  <c r="U1369" i="7"/>
  <c r="U1370" i="7"/>
  <c r="U1371" i="7"/>
  <c r="U1372" i="7"/>
  <c r="U1373" i="7"/>
  <c r="U1374" i="7"/>
  <c r="U1375" i="7"/>
  <c r="U1376" i="7"/>
  <c r="U1377" i="7"/>
  <c r="U1378" i="7"/>
  <c r="U1379" i="7"/>
  <c r="U1380" i="7"/>
  <c r="U1381" i="7"/>
  <c r="U1382" i="7"/>
  <c r="U1383" i="7"/>
  <c r="U1384" i="7"/>
  <c r="U1385" i="7"/>
  <c r="U1386" i="7"/>
  <c r="U1387" i="7"/>
  <c r="U1388" i="7"/>
  <c r="U1389" i="7"/>
  <c r="U1390" i="7"/>
  <c r="U1391" i="7"/>
  <c r="U1392" i="7"/>
  <c r="U1393" i="7"/>
  <c r="U1394" i="7"/>
  <c r="U1395" i="7"/>
  <c r="U1396" i="7"/>
  <c r="U1397" i="7"/>
  <c r="U1398" i="7"/>
  <c r="U1399" i="7"/>
  <c r="U1400" i="7"/>
  <c r="U1401" i="7"/>
  <c r="U1402" i="7"/>
  <c r="U1403" i="7"/>
  <c r="U1404" i="7"/>
  <c r="U1405" i="7"/>
  <c r="U1406" i="7"/>
  <c r="U1407" i="7"/>
  <c r="U1408" i="7"/>
  <c r="U1409" i="7"/>
  <c r="U1410" i="7"/>
  <c r="U1411" i="7"/>
  <c r="U1412" i="7"/>
  <c r="U1413" i="7"/>
  <c r="U1414" i="7"/>
  <c r="U1415" i="7"/>
  <c r="U1416" i="7"/>
  <c r="U1417" i="7"/>
  <c r="U1418" i="7"/>
  <c r="U1419" i="7"/>
  <c r="U1420" i="7"/>
  <c r="U1421" i="7"/>
  <c r="U1422" i="7"/>
  <c r="U1423" i="7"/>
  <c r="U1424" i="7"/>
  <c r="U1425" i="7"/>
  <c r="U1426" i="7"/>
  <c r="U1427" i="7"/>
  <c r="U1428" i="7"/>
  <c r="U1429" i="7"/>
  <c r="U1430" i="7"/>
  <c r="U1431" i="7"/>
  <c r="U1432" i="7"/>
  <c r="U1433" i="7"/>
  <c r="U1434" i="7"/>
  <c r="U1435" i="7"/>
  <c r="U1436" i="7"/>
  <c r="U1437" i="7"/>
  <c r="U1438" i="7"/>
  <c r="U1439" i="7"/>
  <c r="U1440" i="7"/>
  <c r="U1441" i="7"/>
  <c r="U1442" i="7"/>
  <c r="U1443" i="7"/>
  <c r="U1444" i="7"/>
  <c r="U1445" i="7"/>
  <c r="U1446" i="7"/>
  <c r="U1447" i="7"/>
  <c r="U1448" i="7"/>
  <c r="U1449" i="7"/>
  <c r="U1450" i="7"/>
  <c r="U1451" i="7"/>
  <c r="U1452" i="7"/>
  <c r="U1453" i="7"/>
  <c r="U1454" i="7"/>
  <c r="U1455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C2" i="5"/>
  <c r="N1158" i="7" l="1"/>
  <c r="R1158" i="7" s="1"/>
  <c r="N1126" i="7"/>
  <c r="N1094" i="7"/>
  <c r="N1062" i="7"/>
  <c r="N1030" i="7"/>
  <c r="N998" i="7"/>
  <c r="N1453" i="7"/>
  <c r="N1445" i="7"/>
  <c r="M1445" i="7" s="1" a="1"/>
  <c r="M1445" i="7" s="1"/>
  <c r="N1437" i="7"/>
  <c r="N1429" i="7"/>
  <c r="N1421" i="7"/>
  <c r="N1413" i="7"/>
  <c r="M1413" i="7" s="1" a="1"/>
  <c r="M1413" i="7" s="1"/>
  <c r="N1405" i="7"/>
  <c r="N1397" i="7"/>
  <c r="N1389" i="7"/>
  <c r="N1381" i="7"/>
  <c r="M1381" i="7" s="1" a="1"/>
  <c r="M1381" i="7" s="1"/>
  <c r="N1373" i="7"/>
  <c r="N1365" i="7"/>
  <c r="N1357" i="7"/>
  <c r="N1349" i="7"/>
  <c r="M1349" i="7" s="1" a="1"/>
  <c r="M1349" i="7" s="1"/>
  <c r="N1341" i="7"/>
  <c r="N1333" i="7"/>
  <c r="N1317" i="7"/>
  <c r="N1285" i="7"/>
  <c r="M1285" i="7" s="1" a="1"/>
  <c r="M1285" i="7" s="1"/>
  <c r="N1253" i="7"/>
  <c r="M1253" i="7" s="1" a="1"/>
  <c r="M1253" i="7" s="1"/>
  <c r="N1221" i="7"/>
  <c r="M1221" i="7" s="1" a="1"/>
  <c r="M1221" i="7" s="1"/>
  <c r="N1189" i="7"/>
  <c r="M962" i="7" a="1"/>
  <c r="M962" i="7" s="1"/>
  <c r="M958" i="7" a="1"/>
  <c r="M958" i="7" s="1"/>
  <c r="M954" i="7" a="1"/>
  <c r="M954" i="7" s="1"/>
  <c r="M950" i="7" a="1"/>
  <c r="M950" i="7" s="1"/>
  <c r="M946" i="7" a="1"/>
  <c r="M946" i="7" s="1"/>
  <c r="M942" i="7" a="1"/>
  <c r="M942" i="7" s="1"/>
  <c r="M938" i="7" a="1"/>
  <c r="M938" i="7" s="1"/>
  <c r="M1158" i="7" a="1"/>
  <c r="M1158" i="7" s="1"/>
  <c r="R1317" i="7"/>
  <c r="R1189" i="7"/>
  <c r="M966" i="7" a="1"/>
  <c r="M966" i="7" s="1"/>
  <c r="R966" i="7"/>
  <c r="M1126" i="7" a="1"/>
  <c r="M1126" i="7" s="1"/>
  <c r="R1126" i="7"/>
  <c r="M1094" i="7" a="1"/>
  <c r="M1094" i="7" s="1"/>
  <c r="R1094" i="7"/>
  <c r="M1062" i="7" a="1"/>
  <c r="M1062" i="7" s="1"/>
  <c r="R1062" i="7"/>
  <c r="M1030" i="7" a="1"/>
  <c r="M1030" i="7" s="1"/>
  <c r="R1030" i="7"/>
  <c r="M998" i="7" a="1"/>
  <c r="M998" i="7" s="1"/>
  <c r="R998" i="7"/>
  <c r="M1325" i="7" a="1"/>
  <c r="M1325" i="7" s="1"/>
  <c r="R1325" i="7"/>
  <c r="M1309" i="7" a="1"/>
  <c r="M1309" i="7" s="1"/>
  <c r="R1309" i="7"/>
  <c r="M1301" i="7" a="1"/>
  <c r="M1301" i="7" s="1"/>
  <c r="R1301" i="7"/>
  <c r="M1293" i="7" a="1"/>
  <c r="M1293" i="7" s="1"/>
  <c r="R1293" i="7"/>
  <c r="M1277" i="7" a="1"/>
  <c r="M1277" i="7" s="1"/>
  <c r="R1277" i="7"/>
  <c r="M1269" i="7" a="1"/>
  <c r="M1269" i="7" s="1"/>
  <c r="R1269" i="7"/>
  <c r="M1261" i="7" a="1"/>
  <c r="M1261" i="7" s="1"/>
  <c r="R1261" i="7"/>
  <c r="M1245" i="7" a="1"/>
  <c r="M1245" i="7" s="1"/>
  <c r="R1245" i="7"/>
  <c r="M1237" i="7" a="1"/>
  <c r="M1237" i="7" s="1"/>
  <c r="R1237" i="7"/>
  <c r="M1229" i="7" a="1"/>
  <c r="M1229" i="7" s="1"/>
  <c r="R1229" i="7"/>
  <c r="M1213" i="7" a="1"/>
  <c r="M1213" i="7" s="1"/>
  <c r="R1213" i="7"/>
  <c r="M1205" i="7" a="1"/>
  <c r="M1205" i="7" s="1"/>
  <c r="R1205" i="7"/>
  <c r="M1197" i="7" a="1"/>
  <c r="M1197" i="7" s="1"/>
  <c r="R1197" i="7"/>
  <c r="M1181" i="7" a="1"/>
  <c r="M1181" i="7" s="1"/>
  <c r="R1181" i="7"/>
  <c r="M1173" i="7" a="1"/>
  <c r="M1173" i="7" s="1"/>
  <c r="R1173" i="7"/>
  <c r="M1453" i="7" a="1"/>
  <c r="M1453" i="7" s="1"/>
  <c r="R1453" i="7"/>
  <c r="M1437" i="7" a="1"/>
  <c r="M1437" i="7" s="1"/>
  <c r="R1437" i="7"/>
  <c r="M1429" i="7" a="1"/>
  <c r="M1429" i="7" s="1"/>
  <c r="R1429" i="7"/>
  <c r="M1421" i="7" a="1"/>
  <c r="M1421" i="7" s="1"/>
  <c r="R1421" i="7"/>
  <c r="M1405" i="7" a="1"/>
  <c r="M1405" i="7" s="1"/>
  <c r="R1405" i="7"/>
  <c r="M1397" i="7" a="1"/>
  <c r="M1397" i="7" s="1"/>
  <c r="R1397" i="7"/>
  <c r="M1389" i="7" a="1"/>
  <c r="M1389" i="7" s="1"/>
  <c r="R1389" i="7"/>
  <c r="M1373" i="7" a="1"/>
  <c r="M1373" i="7" s="1"/>
  <c r="R1373" i="7"/>
  <c r="M1365" i="7" a="1"/>
  <c r="M1365" i="7" s="1"/>
  <c r="R1365" i="7"/>
  <c r="M1357" i="7" a="1"/>
  <c r="M1357" i="7" s="1"/>
  <c r="R1357" i="7"/>
  <c r="M1341" i="7" a="1"/>
  <c r="M1341" i="7" s="1"/>
  <c r="R1341" i="7"/>
  <c r="M1333" i="7" a="1"/>
  <c r="M1333" i="7" s="1"/>
  <c r="R1333" i="7"/>
  <c r="N1442" i="7"/>
  <c r="N1426" i="7"/>
  <c r="N1410" i="7"/>
  <c r="N1394" i="7"/>
  <c r="N1378" i="7"/>
  <c r="N1362" i="7"/>
  <c r="N1346" i="7"/>
  <c r="N1330" i="7"/>
  <c r="N1314" i="7"/>
  <c r="N1298" i="7"/>
  <c r="N1282" i="7"/>
  <c r="N1266" i="7"/>
  <c r="N1250" i="7"/>
  <c r="N1234" i="7"/>
  <c r="N1230" i="7"/>
  <c r="N1226" i="7"/>
  <c r="N1222" i="7"/>
  <c r="N1218" i="7"/>
  <c r="N1214" i="7"/>
  <c r="N1210" i="7"/>
  <c r="N1206" i="7"/>
  <c r="N1202" i="7"/>
  <c r="N1186" i="7"/>
  <c r="N1182" i="7"/>
  <c r="N1178" i="7"/>
  <c r="N1174" i="7"/>
  <c r="N1170" i="7"/>
  <c r="N1166" i="7"/>
  <c r="N1162" i="7"/>
  <c r="N1154" i="7"/>
  <c r="N1150" i="7"/>
  <c r="N1146" i="7"/>
  <c r="N1142" i="7"/>
  <c r="N1138" i="7"/>
  <c r="N1134" i="7"/>
  <c r="N1130" i="7"/>
  <c r="N1122" i="7"/>
  <c r="N1118" i="7"/>
  <c r="N1114" i="7"/>
  <c r="N1110" i="7"/>
  <c r="N1106" i="7"/>
  <c r="N1102" i="7"/>
  <c r="N1098" i="7"/>
  <c r="N1090" i="7"/>
  <c r="N1086" i="7"/>
  <c r="N1082" i="7"/>
  <c r="N1078" i="7"/>
  <c r="N1074" i="7"/>
  <c r="N1070" i="7"/>
  <c r="N1066" i="7"/>
  <c r="N1058" i="7"/>
  <c r="N1054" i="7"/>
  <c r="N1050" i="7"/>
  <c r="N1046" i="7"/>
  <c r="N1042" i="7"/>
  <c r="N1038" i="7"/>
  <c r="N1034" i="7"/>
  <c r="N1026" i="7"/>
  <c r="N1022" i="7"/>
  <c r="N1018" i="7"/>
  <c r="N1014" i="7"/>
  <c r="N1010" i="7"/>
  <c r="N1006" i="7"/>
  <c r="N1002" i="7"/>
  <c r="N994" i="7"/>
  <c r="N990" i="7"/>
  <c r="N986" i="7"/>
  <c r="N982" i="7"/>
  <c r="N978" i="7"/>
  <c r="N974" i="7"/>
  <c r="N970" i="7"/>
  <c r="M1317" i="7" a="1"/>
  <c r="M1317" i="7" s="1"/>
  <c r="M1189" i="7" a="1"/>
  <c r="M1189" i="7" s="1"/>
  <c r="N1446" i="7"/>
  <c r="N1430" i="7"/>
  <c r="N1414" i="7"/>
  <c r="N1398" i="7"/>
  <c r="N1382" i="7"/>
  <c r="N1366" i="7"/>
  <c r="N1350" i="7"/>
  <c r="N1334" i="7"/>
  <c r="N1318" i="7"/>
  <c r="N1302" i="7"/>
  <c r="N1286" i="7"/>
  <c r="N1270" i="7"/>
  <c r="N1254" i="7"/>
  <c r="N1238" i="7"/>
  <c r="N1198" i="7"/>
  <c r="R1445" i="7"/>
  <c r="R1413" i="7"/>
  <c r="R1381" i="7"/>
  <c r="R1349" i="7"/>
  <c r="R1285" i="7"/>
  <c r="R1253" i="7"/>
  <c r="R1221" i="7"/>
  <c r="N1449" i="7"/>
  <c r="N1441" i="7"/>
  <c r="N1433" i="7"/>
  <c r="N1425" i="7"/>
  <c r="N1417" i="7"/>
  <c r="N1409" i="7"/>
  <c r="N1401" i="7"/>
  <c r="N1393" i="7"/>
  <c r="N1385" i="7"/>
  <c r="N1377" i="7"/>
  <c r="N1369" i="7"/>
  <c r="N1361" i="7"/>
  <c r="N1353" i="7"/>
  <c r="N1345" i="7"/>
  <c r="N1337" i="7"/>
  <c r="N1329" i="7"/>
  <c r="N1321" i="7"/>
  <c r="N1313" i="7"/>
  <c r="N1305" i="7"/>
  <c r="N1297" i="7"/>
  <c r="N1289" i="7"/>
  <c r="N1281" i="7"/>
  <c r="N1273" i="7"/>
  <c r="N1265" i="7"/>
  <c r="N1257" i="7"/>
  <c r="N1249" i="7"/>
  <c r="N1241" i="7"/>
  <c r="N1233" i="7"/>
  <c r="N1225" i="7"/>
  <c r="N1217" i="7"/>
  <c r="N1209" i="7"/>
  <c r="N1201" i="7"/>
  <c r="N1193" i="7"/>
  <c r="N1185" i="7"/>
  <c r="N1177" i="7"/>
  <c r="N1169" i="7"/>
  <c r="N1454" i="7"/>
  <c r="N1438" i="7"/>
  <c r="N1422" i="7"/>
  <c r="N1406" i="7"/>
  <c r="N1390" i="7"/>
  <c r="N1374" i="7"/>
  <c r="N1358" i="7"/>
  <c r="N1342" i="7"/>
  <c r="N1326" i="7"/>
  <c r="N1310" i="7"/>
  <c r="N1294" i="7"/>
  <c r="N1278" i="7"/>
  <c r="N1262" i="7"/>
  <c r="N1242" i="7"/>
  <c r="N1190" i="7"/>
  <c r="N1452" i="7"/>
  <c r="N1448" i="7"/>
  <c r="N1444" i="7"/>
  <c r="N1440" i="7"/>
  <c r="N1436" i="7"/>
  <c r="N1432" i="7"/>
  <c r="N1428" i="7"/>
  <c r="N1424" i="7"/>
  <c r="N1420" i="7"/>
  <c r="N1416" i="7"/>
  <c r="N1412" i="7"/>
  <c r="N1408" i="7"/>
  <c r="N1404" i="7"/>
  <c r="N1400" i="7"/>
  <c r="N1396" i="7"/>
  <c r="N1392" i="7"/>
  <c r="N1388" i="7"/>
  <c r="N1450" i="7"/>
  <c r="N1434" i="7"/>
  <c r="N1418" i="7"/>
  <c r="N1402" i="7"/>
  <c r="N1386" i="7"/>
  <c r="N1370" i="7"/>
  <c r="N1354" i="7"/>
  <c r="N1338" i="7"/>
  <c r="N1322" i="7"/>
  <c r="N1306" i="7"/>
  <c r="N1290" i="7"/>
  <c r="N1274" i="7"/>
  <c r="N1258" i="7"/>
  <c r="N1246" i="7"/>
  <c r="N1194" i="7"/>
  <c r="N1455" i="7"/>
  <c r="N1451" i="7"/>
  <c r="N1447" i="7"/>
  <c r="N1443" i="7"/>
  <c r="N1439" i="7"/>
  <c r="N1435" i="7"/>
  <c r="N1431" i="7"/>
  <c r="N1427" i="7"/>
  <c r="N1423" i="7"/>
  <c r="N1419" i="7"/>
  <c r="N1415" i="7"/>
  <c r="N1411" i="7"/>
  <c r="N1407" i="7"/>
  <c r="N1403" i="7"/>
  <c r="N1399" i="7"/>
  <c r="N1395" i="7"/>
  <c r="N1391" i="7"/>
  <c r="N1387" i="7"/>
  <c r="N1383" i="7"/>
  <c r="N1379" i="7"/>
  <c r="N1375" i="7"/>
  <c r="N1371" i="7"/>
  <c r="N1367" i="7"/>
  <c r="N1363" i="7"/>
  <c r="N1359" i="7"/>
  <c r="N1355" i="7"/>
  <c r="N1351" i="7"/>
  <c r="N1347" i="7"/>
  <c r="N1343" i="7"/>
  <c r="N1339" i="7"/>
  <c r="N1335" i="7"/>
  <c r="N1331" i="7"/>
  <c r="N1327" i="7"/>
  <c r="N1323" i="7"/>
  <c r="N1319" i="7"/>
  <c r="N1315" i="7"/>
  <c r="N1311" i="7"/>
  <c r="N1307" i="7"/>
  <c r="N1303" i="7"/>
  <c r="N1299" i="7"/>
  <c r="N1295" i="7"/>
  <c r="N1291" i="7"/>
  <c r="N1287" i="7"/>
  <c r="N1283" i="7"/>
  <c r="N1279" i="7"/>
  <c r="N1275" i="7"/>
  <c r="N1271" i="7"/>
  <c r="N1267" i="7"/>
  <c r="N1263" i="7"/>
  <c r="N1259" i="7"/>
  <c r="N1255" i="7"/>
  <c r="N1251" i="7"/>
  <c r="N1247" i="7"/>
  <c r="N1243" i="7"/>
  <c r="N1239" i="7"/>
  <c r="N1235" i="7"/>
  <c r="N1231" i="7"/>
  <c r="N1227" i="7"/>
  <c r="N1223" i="7"/>
  <c r="N1219" i="7"/>
  <c r="N1215" i="7"/>
  <c r="N1211" i="7"/>
  <c r="N1207" i="7"/>
  <c r="N1203" i="7"/>
  <c r="N1199" i="7"/>
  <c r="N1195" i="7"/>
  <c r="N1191" i="7"/>
  <c r="N1187" i="7"/>
  <c r="N1183" i="7"/>
  <c r="N1179" i="7"/>
  <c r="N1175" i="7"/>
  <c r="N1171" i="7"/>
  <c r="N1165" i="7"/>
  <c r="N1161" i="7"/>
  <c r="N1157" i="7"/>
  <c r="N1153" i="7"/>
  <c r="N1149" i="7"/>
  <c r="N1145" i="7"/>
  <c r="N1141" i="7"/>
  <c r="N1137" i="7"/>
  <c r="N1133" i="7"/>
  <c r="N1129" i="7"/>
  <c r="N1125" i="7"/>
  <c r="N1121" i="7"/>
  <c r="N1117" i="7"/>
  <c r="N1113" i="7"/>
  <c r="N1109" i="7"/>
  <c r="N1105" i="7"/>
  <c r="N1101" i="7"/>
  <c r="N1097" i="7"/>
  <c r="N1093" i="7"/>
  <c r="N1089" i="7"/>
  <c r="N1085" i="7"/>
  <c r="N1081" i="7"/>
  <c r="N1077" i="7"/>
  <c r="N1073" i="7"/>
  <c r="N1069" i="7"/>
  <c r="N1065" i="7"/>
  <c r="N1061" i="7"/>
  <c r="N1057" i="7"/>
  <c r="N1053" i="7"/>
  <c r="N1049" i="7"/>
  <c r="N1045" i="7"/>
  <c r="N1041" i="7"/>
  <c r="N1037" i="7"/>
  <c r="N1033" i="7"/>
  <c r="N1029" i="7"/>
  <c r="N1025" i="7"/>
  <c r="N1021" i="7"/>
  <c r="N1017" i="7"/>
  <c r="N1013" i="7"/>
  <c r="N1009" i="7"/>
  <c r="N1005" i="7"/>
  <c r="N1001" i="7"/>
  <c r="N997" i="7"/>
  <c r="N993" i="7"/>
  <c r="N989" i="7"/>
  <c r="N985" i="7"/>
  <c r="N981" i="7"/>
  <c r="N977" i="7"/>
  <c r="N973" i="7"/>
  <c r="N969" i="7"/>
  <c r="N965" i="7"/>
  <c r="N961" i="7"/>
  <c r="N957" i="7"/>
  <c r="N953" i="7"/>
  <c r="N949" i="7"/>
  <c r="N945" i="7"/>
  <c r="N941" i="7"/>
  <c r="N937" i="7"/>
  <c r="N1384" i="7"/>
  <c r="N1380" i="7"/>
  <c r="N1376" i="7"/>
  <c r="N1372" i="7"/>
  <c r="N1368" i="7"/>
  <c r="N1364" i="7"/>
  <c r="N1360" i="7"/>
  <c r="N1356" i="7"/>
  <c r="N1352" i="7"/>
  <c r="N1348" i="7"/>
  <c r="N1344" i="7"/>
  <c r="N1340" i="7"/>
  <c r="N1336" i="7"/>
  <c r="N1332" i="7"/>
  <c r="N1328" i="7"/>
  <c r="N1324" i="7"/>
  <c r="N1320" i="7"/>
  <c r="N1316" i="7"/>
  <c r="N1312" i="7"/>
  <c r="N1308" i="7"/>
  <c r="N1304" i="7"/>
  <c r="N1300" i="7"/>
  <c r="N1296" i="7"/>
  <c r="N1292" i="7"/>
  <c r="N1288" i="7"/>
  <c r="N1284" i="7"/>
  <c r="N1280" i="7"/>
  <c r="N1276" i="7"/>
  <c r="N1272" i="7"/>
  <c r="N1268" i="7"/>
  <c r="N1264" i="7"/>
  <c r="N1260" i="7"/>
  <c r="N1256" i="7"/>
  <c r="N1252" i="7"/>
  <c r="N1248" i="7"/>
  <c r="N1244" i="7"/>
  <c r="N1240" i="7"/>
  <c r="N1236" i="7"/>
  <c r="N1232" i="7"/>
  <c r="N1228" i="7"/>
  <c r="N1224" i="7"/>
  <c r="N1220" i="7"/>
  <c r="N1216" i="7"/>
  <c r="N1212" i="7"/>
  <c r="N1208" i="7"/>
  <c r="N1204" i="7"/>
  <c r="N1200" i="7"/>
  <c r="N1196" i="7"/>
  <c r="N1192" i="7"/>
  <c r="N1188" i="7"/>
  <c r="N1184" i="7"/>
  <c r="N1180" i="7"/>
  <c r="N1176" i="7"/>
  <c r="N1172" i="7"/>
  <c r="N1168" i="7"/>
  <c r="N1164" i="7"/>
  <c r="N1160" i="7"/>
  <c r="N1156" i="7"/>
  <c r="N1152" i="7"/>
  <c r="N1148" i="7"/>
  <c r="N1144" i="7"/>
  <c r="N1140" i="7"/>
  <c r="N1136" i="7"/>
  <c r="N1132" i="7"/>
  <c r="N1128" i="7"/>
  <c r="N1124" i="7"/>
  <c r="N1120" i="7"/>
  <c r="N1116" i="7"/>
  <c r="N1112" i="7"/>
  <c r="N1108" i="7"/>
  <c r="N1104" i="7"/>
  <c r="N1100" i="7"/>
  <c r="N1096" i="7"/>
  <c r="N1092" i="7"/>
  <c r="N1088" i="7"/>
  <c r="N1084" i="7"/>
  <c r="N1080" i="7"/>
  <c r="N1076" i="7"/>
  <c r="N1072" i="7"/>
  <c r="N1068" i="7"/>
  <c r="N1064" i="7"/>
  <c r="N1060" i="7"/>
  <c r="N1056" i="7"/>
  <c r="N1052" i="7"/>
  <c r="N1048" i="7"/>
  <c r="N1044" i="7"/>
  <c r="N1040" i="7"/>
  <c r="N1036" i="7"/>
  <c r="N1032" i="7"/>
  <c r="N1028" i="7"/>
  <c r="N1024" i="7"/>
  <c r="N1020" i="7"/>
  <c r="N1016" i="7"/>
  <c r="N1012" i="7"/>
  <c r="N1008" i="7"/>
  <c r="N1004" i="7"/>
  <c r="N1000" i="7"/>
  <c r="N996" i="7"/>
  <c r="N992" i="7"/>
  <c r="N988" i="7"/>
  <c r="N984" i="7"/>
  <c r="N980" i="7"/>
  <c r="N976" i="7"/>
  <c r="N972" i="7"/>
  <c r="N968" i="7"/>
  <c r="N964" i="7"/>
  <c r="N960" i="7"/>
  <c r="N956" i="7"/>
  <c r="N952" i="7"/>
  <c r="N948" i="7"/>
  <c r="N944" i="7"/>
  <c r="N940" i="7"/>
  <c r="N936" i="7"/>
  <c r="N1167" i="7"/>
  <c r="N1163" i="7"/>
  <c r="N1159" i="7"/>
  <c r="N1155" i="7"/>
  <c r="N1151" i="7"/>
  <c r="N1147" i="7"/>
  <c r="N1143" i="7"/>
  <c r="N1139" i="7"/>
  <c r="N1135" i="7"/>
  <c r="N1131" i="7"/>
  <c r="N1127" i="7"/>
  <c r="N1123" i="7"/>
  <c r="N1119" i="7"/>
  <c r="N1115" i="7"/>
  <c r="N1111" i="7"/>
  <c r="N1107" i="7"/>
  <c r="N1103" i="7"/>
  <c r="N1099" i="7"/>
  <c r="N1095" i="7"/>
  <c r="N1091" i="7"/>
  <c r="N1087" i="7"/>
  <c r="N1083" i="7"/>
  <c r="N1079" i="7"/>
  <c r="N1075" i="7"/>
  <c r="N1071" i="7"/>
  <c r="N1067" i="7"/>
  <c r="N1063" i="7"/>
  <c r="N1059" i="7"/>
  <c r="N1055" i="7"/>
  <c r="N1051" i="7"/>
  <c r="N1047" i="7"/>
  <c r="N1043" i="7"/>
  <c r="N1039" i="7"/>
  <c r="N1035" i="7"/>
  <c r="N1031" i="7"/>
  <c r="N1027" i="7"/>
  <c r="N1023" i="7"/>
  <c r="N1019" i="7"/>
  <c r="N1015" i="7"/>
  <c r="N1011" i="7"/>
  <c r="N1007" i="7"/>
  <c r="N1003" i="7"/>
  <c r="N999" i="7"/>
  <c r="N995" i="7"/>
  <c r="N991" i="7"/>
  <c r="N987" i="7"/>
  <c r="N983" i="7"/>
  <c r="N979" i="7"/>
  <c r="N975" i="7"/>
  <c r="N971" i="7"/>
  <c r="N967" i="7"/>
  <c r="N963" i="7"/>
  <c r="N959" i="7"/>
  <c r="N955" i="7"/>
  <c r="N951" i="7"/>
  <c r="N947" i="7"/>
  <c r="N943" i="7"/>
  <c r="N939" i="7"/>
  <c r="N935" i="7"/>
  <c r="M935" i="7" s="1" a="1"/>
  <c r="M935" i="7" s="1"/>
  <c r="N931" i="7"/>
  <c r="M931" i="7" s="1" a="1"/>
  <c r="M931" i="7" s="1"/>
  <c r="N927" i="7"/>
  <c r="M927" i="7" s="1" a="1"/>
  <c r="M927" i="7" s="1"/>
  <c r="N923" i="7"/>
  <c r="M923" i="7" s="1" a="1"/>
  <c r="M923" i="7" s="1"/>
  <c r="N919" i="7"/>
  <c r="M919" i="7" s="1" a="1"/>
  <c r="M919" i="7" s="1"/>
  <c r="N915" i="7"/>
  <c r="M915" i="7" s="1" a="1"/>
  <c r="M915" i="7" s="1"/>
  <c r="N911" i="7"/>
  <c r="M911" i="7" s="1" a="1"/>
  <c r="M911" i="7" s="1"/>
  <c r="N907" i="7"/>
  <c r="M907" i="7" s="1" a="1"/>
  <c r="M907" i="7" s="1"/>
  <c r="N903" i="7"/>
  <c r="M903" i="7" s="1" a="1"/>
  <c r="M903" i="7" s="1"/>
  <c r="N899" i="7"/>
  <c r="M899" i="7" s="1" a="1"/>
  <c r="M899" i="7" s="1"/>
  <c r="N895" i="7"/>
  <c r="M895" i="7" s="1" a="1"/>
  <c r="M895" i="7" s="1"/>
  <c r="N891" i="7"/>
  <c r="M891" i="7" s="1" a="1"/>
  <c r="M891" i="7" s="1"/>
  <c r="N887" i="7"/>
  <c r="M887" i="7" s="1" a="1"/>
  <c r="M887" i="7" s="1"/>
  <c r="N883" i="7"/>
  <c r="M883" i="7" s="1" a="1"/>
  <c r="M883" i="7" s="1"/>
  <c r="N879" i="7"/>
  <c r="M879" i="7" s="1" a="1"/>
  <c r="M879" i="7" s="1"/>
  <c r="N875" i="7"/>
  <c r="M875" i="7" s="1" a="1"/>
  <c r="M875" i="7" s="1"/>
  <c r="N871" i="7"/>
  <c r="M871" i="7" s="1" a="1"/>
  <c r="M871" i="7" s="1"/>
  <c r="N867" i="7"/>
  <c r="M867" i="7" s="1" a="1"/>
  <c r="M867" i="7" s="1"/>
  <c r="N863" i="7"/>
  <c r="M863" i="7" s="1" a="1"/>
  <c r="M863" i="7" s="1"/>
  <c r="N859" i="7"/>
  <c r="M859" i="7" s="1" a="1"/>
  <c r="M859" i="7" s="1"/>
  <c r="N855" i="7"/>
  <c r="M855" i="7" s="1" a="1"/>
  <c r="M855" i="7" s="1"/>
  <c r="N851" i="7"/>
  <c r="M851" i="7" s="1" a="1"/>
  <c r="M851" i="7" s="1"/>
  <c r="N847" i="7"/>
  <c r="M847" i="7" s="1" a="1"/>
  <c r="M847" i="7" s="1"/>
  <c r="N843" i="7"/>
  <c r="M843" i="7" s="1" a="1"/>
  <c r="M843" i="7" s="1"/>
  <c r="N839" i="7"/>
  <c r="M839" i="7" s="1" a="1"/>
  <c r="M839" i="7" s="1"/>
  <c r="N835" i="7"/>
  <c r="M835" i="7" s="1" a="1"/>
  <c r="M835" i="7" s="1"/>
  <c r="N831" i="7"/>
  <c r="M831" i="7" s="1" a="1"/>
  <c r="M831" i="7" s="1"/>
  <c r="N827" i="7"/>
  <c r="M827" i="7" s="1" a="1"/>
  <c r="M827" i="7" s="1"/>
  <c r="N823" i="7"/>
  <c r="M823" i="7" s="1" a="1"/>
  <c r="M823" i="7" s="1"/>
  <c r="N819" i="7"/>
  <c r="M819" i="7" s="1" a="1"/>
  <c r="M819" i="7" s="1"/>
  <c r="N815" i="7"/>
  <c r="M815" i="7" s="1" a="1"/>
  <c r="M815" i="7" s="1"/>
  <c r="N811" i="7"/>
  <c r="M811" i="7" s="1" a="1"/>
  <c r="M811" i="7" s="1"/>
  <c r="N807" i="7"/>
  <c r="M807" i="7" s="1" a="1"/>
  <c r="M807" i="7" s="1"/>
  <c r="N803" i="7"/>
  <c r="M803" i="7" s="1" a="1"/>
  <c r="M803" i="7" s="1"/>
  <c r="N799" i="7"/>
  <c r="M799" i="7" s="1" a="1"/>
  <c r="M799" i="7" s="1"/>
  <c r="N795" i="7"/>
  <c r="M795" i="7" s="1" a="1"/>
  <c r="M795" i="7" s="1"/>
  <c r="N791" i="7"/>
  <c r="M791" i="7" s="1" a="1"/>
  <c r="M791" i="7" s="1"/>
  <c r="N787" i="7"/>
  <c r="M787" i="7" s="1" a="1"/>
  <c r="M787" i="7" s="1"/>
  <c r="N783" i="7"/>
  <c r="M783" i="7" s="1" a="1"/>
  <c r="M783" i="7" s="1"/>
  <c r="N779" i="7"/>
  <c r="M779" i="7" s="1" a="1"/>
  <c r="M779" i="7" s="1"/>
  <c r="N775" i="7"/>
  <c r="M775" i="7" s="1" a="1"/>
  <c r="M775" i="7" s="1"/>
  <c r="N771" i="7"/>
  <c r="M771" i="7" s="1" a="1"/>
  <c r="M771" i="7" s="1"/>
  <c r="N767" i="7"/>
  <c r="M767" i="7" s="1" a="1"/>
  <c r="M767" i="7" s="1"/>
  <c r="N763" i="7"/>
  <c r="M763" i="7" s="1" a="1"/>
  <c r="M763" i="7" s="1"/>
  <c r="N759" i="7"/>
  <c r="M759" i="7" s="1" a="1"/>
  <c r="M759" i="7" s="1"/>
  <c r="N755" i="7"/>
  <c r="M755" i="7" s="1" a="1"/>
  <c r="M755" i="7" s="1"/>
  <c r="N751" i="7"/>
  <c r="M751" i="7" s="1" a="1"/>
  <c r="M751" i="7" s="1"/>
  <c r="N747" i="7"/>
  <c r="M747" i="7" s="1" a="1"/>
  <c r="M747" i="7" s="1"/>
  <c r="N743" i="7"/>
  <c r="M743" i="7" s="1" a="1"/>
  <c r="M743" i="7" s="1"/>
  <c r="N739" i="7"/>
  <c r="M739" i="7" s="1" a="1"/>
  <c r="M739" i="7" s="1"/>
  <c r="N735" i="7"/>
  <c r="M735" i="7" s="1" a="1"/>
  <c r="M735" i="7" s="1"/>
  <c r="N731" i="7"/>
  <c r="M731" i="7" s="1" a="1"/>
  <c r="M731" i="7" s="1"/>
  <c r="N727" i="7"/>
  <c r="M727" i="7" s="1" a="1"/>
  <c r="M727" i="7" s="1"/>
  <c r="N723" i="7"/>
  <c r="M723" i="7" s="1" a="1"/>
  <c r="M723" i="7" s="1"/>
  <c r="N719" i="7"/>
  <c r="M719" i="7" s="1" a="1"/>
  <c r="M719" i="7" s="1"/>
  <c r="N715" i="7"/>
  <c r="M715" i="7" s="1" a="1"/>
  <c r="M715" i="7" s="1"/>
  <c r="R839" i="7"/>
  <c r="N932" i="7"/>
  <c r="M932" i="7" s="1" a="1"/>
  <c r="M932" i="7" s="1"/>
  <c r="N928" i="7"/>
  <c r="N924" i="7"/>
  <c r="N920" i="7"/>
  <c r="M920" i="7" s="1" a="1"/>
  <c r="M920" i="7" s="1"/>
  <c r="N916" i="7"/>
  <c r="M916" i="7" s="1" a="1"/>
  <c r="M916" i="7" s="1"/>
  <c r="N912" i="7"/>
  <c r="N908" i="7"/>
  <c r="N904" i="7"/>
  <c r="M904" i="7" s="1" a="1"/>
  <c r="M904" i="7" s="1"/>
  <c r="N900" i="7"/>
  <c r="M900" i="7" s="1" a="1"/>
  <c r="M900" i="7" s="1"/>
  <c r="N896" i="7"/>
  <c r="N892" i="7"/>
  <c r="N888" i="7"/>
  <c r="M888" i="7" s="1" a="1"/>
  <c r="M888" i="7" s="1"/>
  <c r="N884" i="7"/>
  <c r="M884" i="7" s="1" a="1"/>
  <c r="M884" i="7" s="1"/>
  <c r="N880" i="7"/>
  <c r="N876" i="7"/>
  <c r="N872" i="7"/>
  <c r="M872" i="7" s="1" a="1"/>
  <c r="M872" i="7" s="1"/>
  <c r="N868" i="7"/>
  <c r="M868" i="7" s="1" a="1"/>
  <c r="M868" i="7" s="1"/>
  <c r="N864" i="7"/>
  <c r="N860" i="7"/>
  <c r="N856" i="7"/>
  <c r="M856" i="7" s="1" a="1"/>
  <c r="M856" i="7" s="1"/>
  <c r="N852" i="7"/>
  <c r="M852" i="7" s="1" a="1"/>
  <c r="M852" i="7" s="1"/>
  <c r="N848" i="7"/>
  <c r="N844" i="7"/>
  <c r="N840" i="7"/>
  <c r="M840" i="7" s="1" a="1"/>
  <c r="M840" i="7" s="1"/>
  <c r="N836" i="7"/>
  <c r="M836" i="7" s="1" a="1"/>
  <c r="M836" i="7" s="1"/>
  <c r="N832" i="7"/>
  <c r="N828" i="7"/>
  <c r="N824" i="7"/>
  <c r="M824" i="7" s="1" a="1"/>
  <c r="M824" i="7" s="1"/>
  <c r="N820" i="7"/>
  <c r="M820" i="7" s="1" a="1"/>
  <c r="M820" i="7" s="1"/>
  <c r="N816" i="7"/>
  <c r="N812" i="7"/>
  <c r="N808" i="7"/>
  <c r="M808" i="7" s="1" a="1"/>
  <c r="M808" i="7" s="1"/>
  <c r="N804" i="7"/>
  <c r="M804" i="7" s="1" a="1"/>
  <c r="M804" i="7" s="1"/>
  <c r="N800" i="7"/>
  <c r="N796" i="7"/>
  <c r="N792" i="7"/>
  <c r="M792" i="7" s="1" a="1"/>
  <c r="M792" i="7" s="1"/>
  <c r="N788" i="7"/>
  <c r="M788" i="7" s="1" a="1"/>
  <c r="M788" i="7" s="1"/>
  <c r="N784" i="7"/>
  <c r="N780" i="7"/>
  <c r="N776" i="7"/>
  <c r="M776" i="7" s="1" a="1"/>
  <c r="M776" i="7" s="1"/>
  <c r="N772" i="7"/>
  <c r="M772" i="7" s="1" a="1"/>
  <c r="M772" i="7" s="1"/>
  <c r="N768" i="7"/>
  <c r="N764" i="7"/>
  <c r="N760" i="7"/>
  <c r="M760" i="7" s="1" a="1"/>
  <c r="M760" i="7" s="1"/>
  <c r="N756" i="7"/>
  <c r="M756" i="7" s="1" a="1"/>
  <c r="M756" i="7" s="1"/>
  <c r="N752" i="7"/>
  <c r="N748" i="7"/>
  <c r="N744" i="7"/>
  <c r="M744" i="7" s="1" a="1"/>
  <c r="M744" i="7" s="1"/>
  <c r="N740" i="7"/>
  <c r="M740" i="7" s="1" a="1"/>
  <c r="M740" i="7" s="1"/>
  <c r="N736" i="7"/>
  <c r="N732" i="7"/>
  <c r="N728" i="7"/>
  <c r="M728" i="7" s="1" a="1"/>
  <c r="M728" i="7" s="1"/>
  <c r="N724" i="7"/>
  <c r="M724" i="7" s="1" a="1"/>
  <c r="M724" i="7" s="1"/>
  <c r="N720" i="7"/>
  <c r="N716" i="7"/>
  <c r="N712" i="7"/>
  <c r="M712" i="7" s="1" a="1"/>
  <c r="M712" i="7" s="1"/>
  <c r="N708" i="7"/>
  <c r="M708" i="7" s="1" a="1"/>
  <c r="M708" i="7" s="1"/>
  <c r="N704" i="7"/>
  <c r="N700" i="7"/>
  <c r="N696" i="7"/>
  <c r="M696" i="7" s="1" a="1"/>
  <c r="M696" i="7" s="1"/>
  <c r="N692" i="7"/>
  <c r="M692" i="7" s="1" a="1"/>
  <c r="M692" i="7" s="1"/>
  <c r="N688" i="7"/>
  <c r="N684" i="7"/>
  <c r="N680" i="7"/>
  <c r="M680" i="7" s="1" a="1"/>
  <c r="M680" i="7" s="1"/>
  <c r="N676" i="7"/>
  <c r="M676" i="7" s="1" a="1"/>
  <c r="M676" i="7" s="1"/>
  <c r="N672" i="7"/>
  <c r="N668" i="7"/>
  <c r="N664" i="7"/>
  <c r="M664" i="7" s="1" a="1"/>
  <c r="M664" i="7" s="1"/>
  <c r="N660" i="7"/>
  <c r="M660" i="7" s="1" a="1"/>
  <c r="M660" i="7" s="1"/>
  <c r="N656" i="7"/>
  <c r="N652" i="7"/>
  <c r="N648" i="7"/>
  <c r="M648" i="7" s="1" a="1"/>
  <c r="M648" i="7" s="1"/>
  <c r="N644" i="7"/>
  <c r="N640" i="7"/>
  <c r="N636" i="7"/>
  <c r="N632" i="7"/>
  <c r="N628" i="7"/>
  <c r="N624" i="7"/>
  <c r="N620" i="7"/>
  <c r="N616" i="7"/>
  <c r="N711" i="7"/>
  <c r="M711" i="7" s="1" a="1"/>
  <c r="M711" i="7" s="1"/>
  <c r="N707" i="7"/>
  <c r="M707" i="7" s="1" a="1"/>
  <c r="M707" i="7" s="1"/>
  <c r="N703" i="7"/>
  <c r="M703" i="7" s="1" a="1"/>
  <c r="M703" i="7" s="1"/>
  <c r="N699" i="7"/>
  <c r="M699" i="7" s="1" a="1"/>
  <c r="M699" i="7" s="1"/>
  <c r="N695" i="7"/>
  <c r="M695" i="7" s="1" a="1"/>
  <c r="M695" i="7" s="1"/>
  <c r="N691" i="7"/>
  <c r="M691" i="7" s="1" a="1"/>
  <c r="M691" i="7" s="1"/>
  <c r="N687" i="7"/>
  <c r="M687" i="7" s="1" a="1"/>
  <c r="M687" i="7" s="1"/>
  <c r="N683" i="7"/>
  <c r="M683" i="7" s="1" a="1"/>
  <c r="M683" i="7" s="1"/>
  <c r="N679" i="7"/>
  <c r="M679" i="7" s="1" a="1"/>
  <c r="M679" i="7" s="1"/>
  <c r="N675" i="7"/>
  <c r="M675" i="7" s="1" a="1"/>
  <c r="M675" i="7" s="1"/>
  <c r="N671" i="7"/>
  <c r="M671" i="7" s="1" a="1"/>
  <c r="M671" i="7" s="1"/>
  <c r="N667" i="7"/>
  <c r="M667" i="7" s="1" a="1"/>
  <c r="M667" i="7" s="1"/>
  <c r="N663" i="7"/>
  <c r="M663" i="7" s="1" a="1"/>
  <c r="M663" i="7" s="1"/>
  <c r="N659" i="7"/>
  <c r="M659" i="7" s="1" a="1"/>
  <c r="M659" i="7" s="1"/>
  <c r="N655" i="7"/>
  <c r="M655" i="7" s="1" a="1"/>
  <c r="M655" i="7" s="1"/>
  <c r="N651" i="7"/>
  <c r="M651" i="7" s="1" a="1"/>
  <c r="M651" i="7" s="1"/>
  <c r="N647" i="7"/>
  <c r="M647" i="7" s="1" a="1"/>
  <c r="M647" i="7" s="1"/>
  <c r="N643" i="7"/>
  <c r="M643" i="7" s="1" a="1"/>
  <c r="M643" i="7" s="1"/>
  <c r="N639" i="7"/>
  <c r="M639" i="7" s="1" a="1"/>
  <c r="M639" i="7" s="1"/>
  <c r="N635" i="7"/>
  <c r="M635" i="7" s="1" a="1"/>
  <c r="M635" i="7" s="1"/>
  <c r="N631" i="7"/>
  <c r="M631" i="7" s="1" a="1"/>
  <c r="M631" i="7" s="1"/>
  <c r="N627" i="7"/>
  <c r="M627" i="7" s="1" a="1"/>
  <c r="M627" i="7" s="1"/>
  <c r="N623" i="7"/>
  <c r="M623" i="7" s="1" a="1"/>
  <c r="M623" i="7" s="1"/>
  <c r="N619" i="7"/>
  <c r="M619" i="7" s="1" a="1"/>
  <c r="M619" i="7" s="1"/>
  <c r="N615" i="7"/>
  <c r="M615" i="7" s="1" a="1"/>
  <c r="M615" i="7" s="1"/>
  <c r="N611" i="7"/>
  <c r="M611" i="7" s="1" a="1"/>
  <c r="M611" i="7" s="1"/>
  <c r="N607" i="7"/>
  <c r="M607" i="7" s="1" a="1"/>
  <c r="M607" i="7" s="1"/>
  <c r="N603" i="7"/>
  <c r="M603" i="7" s="1" a="1"/>
  <c r="M603" i="7" s="1"/>
  <c r="N599" i="7"/>
  <c r="M599" i="7" s="1" a="1"/>
  <c r="M599" i="7" s="1"/>
  <c r="N595" i="7"/>
  <c r="M595" i="7" s="1" a="1"/>
  <c r="M595" i="7" s="1"/>
  <c r="N591" i="7"/>
  <c r="M591" i="7" s="1" a="1"/>
  <c r="M591" i="7" s="1"/>
  <c r="N587" i="7"/>
  <c r="M587" i="7" s="1" a="1"/>
  <c r="M587" i="7" s="1"/>
  <c r="N583" i="7"/>
  <c r="M583" i="7" s="1" a="1"/>
  <c r="M583" i="7" s="1"/>
  <c r="N579" i="7"/>
  <c r="M579" i="7" s="1" a="1"/>
  <c r="M579" i="7" s="1"/>
  <c r="N575" i="7"/>
  <c r="M575" i="7" s="1" a="1"/>
  <c r="M575" i="7" s="1"/>
  <c r="N571" i="7"/>
  <c r="M571" i="7" s="1" a="1"/>
  <c r="M571" i="7" s="1"/>
  <c r="N567" i="7"/>
  <c r="M567" i="7" s="1" a="1"/>
  <c r="M567" i="7" s="1"/>
  <c r="N563" i="7"/>
  <c r="M563" i="7" s="1" a="1"/>
  <c r="M563" i="7" s="1"/>
  <c r="N559" i="7"/>
  <c r="M559" i="7" s="1" a="1"/>
  <c r="M559" i="7" s="1"/>
  <c r="N555" i="7"/>
  <c r="M555" i="7" s="1" a="1"/>
  <c r="M555" i="7" s="1"/>
  <c r="N551" i="7"/>
  <c r="M551" i="7" s="1" a="1"/>
  <c r="M551" i="7" s="1"/>
  <c r="N547" i="7"/>
  <c r="M547" i="7" s="1" a="1"/>
  <c r="M547" i="7" s="1"/>
  <c r="N543" i="7"/>
  <c r="M543" i="7" s="1" a="1"/>
  <c r="M543" i="7" s="1"/>
  <c r="N539" i="7"/>
  <c r="M539" i="7" s="1" a="1"/>
  <c r="M539" i="7" s="1"/>
  <c r="N535" i="7"/>
  <c r="M535" i="7" s="1" a="1"/>
  <c r="M535" i="7" s="1"/>
  <c r="N531" i="7"/>
  <c r="M531" i="7" s="1" a="1"/>
  <c r="M531" i="7" s="1"/>
  <c r="N527" i="7"/>
  <c r="M527" i="7" s="1" a="1"/>
  <c r="M527" i="7" s="1"/>
  <c r="N523" i="7"/>
  <c r="M523" i="7" s="1" a="1"/>
  <c r="M523" i="7" s="1"/>
  <c r="N519" i="7"/>
  <c r="M519" i="7" s="1" a="1"/>
  <c r="M519" i="7" s="1"/>
  <c r="N515" i="7"/>
  <c r="M515" i="7" s="1" a="1"/>
  <c r="M515" i="7" s="1"/>
  <c r="N511" i="7"/>
  <c r="M511" i="7" s="1" a="1"/>
  <c r="M511" i="7" s="1"/>
  <c r="N507" i="7"/>
  <c r="M507" i="7" s="1" a="1"/>
  <c r="M507" i="7" s="1"/>
  <c r="N503" i="7"/>
  <c r="M503" i="7" s="1" a="1"/>
  <c r="M503" i="7" s="1"/>
  <c r="N499" i="7"/>
  <c r="M499" i="7" s="1" a="1"/>
  <c r="M499" i="7" s="1"/>
  <c r="N495" i="7"/>
  <c r="M495" i="7" s="1" a="1"/>
  <c r="M495" i="7" s="1"/>
  <c r="N491" i="7"/>
  <c r="M491" i="7" s="1" a="1"/>
  <c r="M491" i="7" s="1"/>
  <c r="N487" i="7"/>
  <c r="M487" i="7" s="1" a="1"/>
  <c r="M487" i="7" s="1"/>
  <c r="N483" i="7"/>
  <c r="M483" i="7" s="1" a="1"/>
  <c r="M483" i="7" s="1"/>
  <c r="N479" i="7"/>
  <c r="M479" i="7" s="1" a="1"/>
  <c r="M479" i="7" s="1"/>
  <c r="N475" i="7"/>
  <c r="M475" i="7" s="1" a="1"/>
  <c r="M475" i="7" s="1"/>
  <c r="N471" i="7"/>
  <c r="M471" i="7" s="1" a="1"/>
  <c r="M471" i="7" s="1"/>
  <c r="N467" i="7"/>
  <c r="M467" i="7" s="1" a="1"/>
  <c r="M467" i="7" s="1"/>
  <c r="N463" i="7"/>
  <c r="M463" i="7" s="1" a="1"/>
  <c r="M463" i="7" s="1"/>
  <c r="N459" i="7"/>
  <c r="M459" i="7" s="1" a="1"/>
  <c r="M459" i="7" s="1"/>
  <c r="N455" i="7"/>
  <c r="M455" i="7" s="1" a="1"/>
  <c r="M455" i="7" s="1"/>
  <c r="N451" i="7"/>
  <c r="M451" i="7" s="1" a="1"/>
  <c r="M451" i="7" s="1"/>
  <c r="N447" i="7"/>
  <c r="M447" i="7" s="1" a="1"/>
  <c r="M447" i="7" s="1"/>
  <c r="N443" i="7"/>
  <c r="M443" i="7" s="1" a="1"/>
  <c r="M443" i="7" s="1"/>
  <c r="N439" i="7"/>
  <c r="M439" i="7" s="1" a="1"/>
  <c r="M439" i="7" s="1"/>
  <c r="N435" i="7"/>
  <c r="M435" i="7" s="1" a="1"/>
  <c r="M435" i="7" s="1"/>
  <c r="N431" i="7"/>
  <c r="M431" i="7" s="1" a="1"/>
  <c r="M431" i="7" s="1"/>
  <c r="N427" i="7"/>
  <c r="M427" i="7" s="1" a="1"/>
  <c r="M427" i="7" s="1"/>
  <c r="N423" i="7"/>
  <c r="M423" i="7" s="1" a="1"/>
  <c r="M423" i="7" s="1"/>
  <c r="N419" i="7"/>
  <c r="M419" i="7" s="1" a="1"/>
  <c r="M419" i="7" s="1"/>
  <c r="N934" i="7"/>
  <c r="N930" i="7"/>
  <c r="N926" i="7"/>
  <c r="N922" i="7"/>
  <c r="N918" i="7"/>
  <c r="N914" i="7"/>
  <c r="N910" i="7"/>
  <c r="N906" i="7"/>
  <c r="N902" i="7"/>
  <c r="N898" i="7"/>
  <c r="N894" i="7"/>
  <c r="N890" i="7"/>
  <c r="N886" i="7"/>
  <c r="N882" i="7"/>
  <c r="N878" i="7"/>
  <c r="N874" i="7"/>
  <c r="N870" i="7"/>
  <c r="N866" i="7"/>
  <c r="N862" i="7"/>
  <c r="N858" i="7"/>
  <c r="N854" i="7"/>
  <c r="N850" i="7"/>
  <c r="N846" i="7"/>
  <c r="N842" i="7"/>
  <c r="N838" i="7"/>
  <c r="N834" i="7"/>
  <c r="N830" i="7"/>
  <c r="N826" i="7"/>
  <c r="N822" i="7"/>
  <c r="N818" i="7"/>
  <c r="N814" i="7"/>
  <c r="N810" i="7"/>
  <c r="N806" i="7"/>
  <c r="N802" i="7"/>
  <c r="N798" i="7"/>
  <c r="N794" i="7"/>
  <c r="N790" i="7"/>
  <c r="N786" i="7"/>
  <c r="N782" i="7"/>
  <c r="N778" i="7"/>
  <c r="N774" i="7"/>
  <c r="N770" i="7"/>
  <c r="N766" i="7"/>
  <c r="N762" i="7"/>
  <c r="N758" i="7"/>
  <c r="N754" i="7"/>
  <c r="N750" i="7"/>
  <c r="N746" i="7"/>
  <c r="N742" i="7"/>
  <c r="N738" i="7"/>
  <c r="N734" i="7"/>
  <c r="N730" i="7"/>
  <c r="N726" i="7"/>
  <c r="N722" i="7"/>
  <c r="N718" i="7"/>
  <c r="N714" i="7"/>
  <c r="N710" i="7"/>
  <c r="N706" i="7"/>
  <c r="N702" i="7"/>
  <c r="N698" i="7"/>
  <c r="N694" i="7"/>
  <c r="N690" i="7"/>
  <c r="N686" i="7"/>
  <c r="N682" i="7"/>
  <c r="N678" i="7"/>
  <c r="N674" i="7"/>
  <c r="N670" i="7"/>
  <c r="N666" i="7"/>
  <c r="N662" i="7"/>
  <c r="N658" i="7"/>
  <c r="N654" i="7"/>
  <c r="N650" i="7"/>
  <c r="N646" i="7"/>
  <c r="N642" i="7"/>
  <c r="N933" i="7"/>
  <c r="N929" i="7"/>
  <c r="N925" i="7"/>
  <c r="N921" i="7"/>
  <c r="N917" i="7"/>
  <c r="N913" i="7"/>
  <c r="N909" i="7"/>
  <c r="N905" i="7"/>
  <c r="N901" i="7"/>
  <c r="N897" i="7"/>
  <c r="N893" i="7"/>
  <c r="N889" i="7"/>
  <c r="N885" i="7"/>
  <c r="N881" i="7"/>
  <c r="N877" i="7"/>
  <c r="N873" i="7"/>
  <c r="N869" i="7"/>
  <c r="N865" i="7"/>
  <c r="N861" i="7"/>
  <c r="N857" i="7"/>
  <c r="N853" i="7"/>
  <c r="N849" i="7"/>
  <c r="N845" i="7"/>
  <c r="N841" i="7"/>
  <c r="N837" i="7"/>
  <c r="N833" i="7"/>
  <c r="N829" i="7"/>
  <c r="N825" i="7"/>
  <c r="N821" i="7"/>
  <c r="N817" i="7"/>
  <c r="N813" i="7"/>
  <c r="N809" i="7"/>
  <c r="N805" i="7"/>
  <c r="N801" i="7"/>
  <c r="N797" i="7"/>
  <c r="N793" i="7"/>
  <c r="N789" i="7"/>
  <c r="N785" i="7"/>
  <c r="N781" i="7"/>
  <c r="N777" i="7"/>
  <c r="N773" i="7"/>
  <c r="N769" i="7"/>
  <c r="N765" i="7"/>
  <c r="N761" i="7"/>
  <c r="N757" i="7"/>
  <c r="N753" i="7"/>
  <c r="N749" i="7"/>
  <c r="N745" i="7"/>
  <c r="N741" i="7"/>
  <c r="N737" i="7"/>
  <c r="N733" i="7"/>
  <c r="N729" i="7"/>
  <c r="N725" i="7"/>
  <c r="N721" i="7"/>
  <c r="N717" i="7"/>
  <c r="N713" i="7"/>
  <c r="N709" i="7"/>
  <c r="N705" i="7"/>
  <c r="N701" i="7"/>
  <c r="N697" i="7"/>
  <c r="N693" i="7"/>
  <c r="N689" i="7"/>
  <c r="N685" i="7"/>
  <c r="N681" i="7"/>
  <c r="N677" i="7"/>
  <c r="N673" i="7"/>
  <c r="N669" i="7"/>
  <c r="N665" i="7"/>
  <c r="N661" i="7"/>
  <c r="N657" i="7"/>
  <c r="N653" i="7"/>
  <c r="N649" i="7"/>
  <c r="N415" i="7"/>
  <c r="M415" i="7" s="1" a="1"/>
  <c r="M415" i="7" s="1"/>
  <c r="N411" i="7"/>
  <c r="M411" i="7" s="1" a="1"/>
  <c r="M411" i="7" s="1"/>
  <c r="N407" i="7"/>
  <c r="M407" i="7" s="1" a="1"/>
  <c r="M407" i="7" s="1"/>
  <c r="N403" i="7"/>
  <c r="M403" i="7" s="1" a="1"/>
  <c r="M403" i="7" s="1"/>
  <c r="N399" i="7"/>
  <c r="M399" i="7" s="1" a="1"/>
  <c r="M399" i="7" s="1"/>
  <c r="N395" i="7"/>
  <c r="M395" i="7" s="1" a="1"/>
  <c r="M395" i="7" s="1"/>
  <c r="N391" i="7"/>
  <c r="M391" i="7" s="1" a="1"/>
  <c r="M391" i="7" s="1"/>
  <c r="N387" i="7"/>
  <c r="M387" i="7" s="1" a="1"/>
  <c r="M387" i="7" s="1"/>
  <c r="N383" i="7"/>
  <c r="M383" i="7" s="1" a="1"/>
  <c r="M383" i="7" s="1"/>
  <c r="N379" i="7"/>
  <c r="M379" i="7" s="1" a="1"/>
  <c r="M379" i="7" s="1"/>
  <c r="N375" i="7"/>
  <c r="M375" i="7" s="1" a="1"/>
  <c r="M375" i="7" s="1"/>
  <c r="N371" i="7"/>
  <c r="M371" i="7" s="1" a="1"/>
  <c r="M371" i="7" s="1"/>
  <c r="N367" i="7"/>
  <c r="M367" i="7" s="1" a="1"/>
  <c r="M367" i="7" s="1"/>
  <c r="N363" i="7"/>
  <c r="M363" i="7" s="1" a="1"/>
  <c r="M363" i="7" s="1"/>
  <c r="N359" i="7"/>
  <c r="M359" i="7" s="1" a="1"/>
  <c r="M359" i="7" s="1"/>
  <c r="N355" i="7"/>
  <c r="M355" i="7" s="1" a="1"/>
  <c r="M355" i="7" s="1"/>
  <c r="N351" i="7"/>
  <c r="M351" i="7" s="1" a="1"/>
  <c r="M351" i="7" s="1"/>
  <c r="N347" i="7"/>
  <c r="M347" i="7" s="1" a="1"/>
  <c r="M347" i="7" s="1"/>
  <c r="N343" i="7"/>
  <c r="M343" i="7" s="1" a="1"/>
  <c r="M343" i="7" s="1"/>
  <c r="N339" i="7"/>
  <c r="M339" i="7" s="1" a="1"/>
  <c r="M339" i="7" s="1"/>
  <c r="N335" i="7"/>
  <c r="M335" i="7" s="1" a="1"/>
  <c r="M335" i="7" s="1"/>
  <c r="N331" i="7"/>
  <c r="M331" i="7" s="1" a="1"/>
  <c r="M331" i="7" s="1"/>
  <c r="N327" i="7"/>
  <c r="M327" i="7" s="1" a="1"/>
  <c r="M327" i="7" s="1"/>
  <c r="N323" i="7"/>
  <c r="M323" i="7" s="1" a="1"/>
  <c r="M323" i="7" s="1"/>
  <c r="N319" i="7"/>
  <c r="M319" i="7" s="1" a="1"/>
  <c r="M319" i="7" s="1"/>
  <c r="N315" i="7"/>
  <c r="M315" i="7" s="1" a="1"/>
  <c r="M315" i="7" s="1"/>
  <c r="N311" i="7"/>
  <c r="M311" i="7" s="1" a="1"/>
  <c r="M311" i="7" s="1"/>
  <c r="N307" i="7"/>
  <c r="M307" i="7" s="1" a="1"/>
  <c r="M307" i="7" s="1"/>
  <c r="N303" i="7"/>
  <c r="M303" i="7" s="1" a="1"/>
  <c r="M303" i="7" s="1"/>
  <c r="N299" i="7"/>
  <c r="M299" i="7" s="1" a="1"/>
  <c r="M299" i="7" s="1"/>
  <c r="N295" i="7"/>
  <c r="M295" i="7" s="1" a="1"/>
  <c r="M295" i="7" s="1"/>
  <c r="N291" i="7"/>
  <c r="M291" i="7" s="1" a="1"/>
  <c r="M291" i="7" s="1"/>
  <c r="N287" i="7"/>
  <c r="M287" i="7" s="1" a="1"/>
  <c r="M287" i="7" s="1"/>
  <c r="N283" i="7"/>
  <c r="M283" i="7" s="1" a="1"/>
  <c r="M283" i="7" s="1"/>
  <c r="N279" i="7"/>
  <c r="M279" i="7" s="1" a="1"/>
  <c r="M279" i="7" s="1"/>
  <c r="N275" i="7"/>
  <c r="M275" i="7" s="1" a="1"/>
  <c r="M275" i="7" s="1"/>
  <c r="N271" i="7"/>
  <c r="M271" i="7" s="1" a="1"/>
  <c r="M271" i="7" s="1"/>
  <c r="N267" i="7"/>
  <c r="M267" i="7" s="1" a="1"/>
  <c r="M267" i="7" s="1"/>
  <c r="N263" i="7"/>
  <c r="M263" i="7" s="1" a="1"/>
  <c r="M263" i="7" s="1"/>
  <c r="N259" i="7"/>
  <c r="M259" i="7" s="1" a="1"/>
  <c r="M259" i="7" s="1"/>
  <c r="N255" i="7"/>
  <c r="M255" i="7" s="1" a="1"/>
  <c r="M255" i="7" s="1"/>
  <c r="N251" i="7"/>
  <c r="M251" i="7" s="1" a="1"/>
  <c r="M251" i="7" s="1"/>
  <c r="N247" i="7"/>
  <c r="M247" i="7" s="1" a="1"/>
  <c r="M247" i="7" s="1"/>
  <c r="N243" i="7"/>
  <c r="M243" i="7" s="1" a="1"/>
  <c r="M243" i="7" s="1"/>
  <c r="N239" i="7"/>
  <c r="M239" i="7" s="1" a="1"/>
  <c r="M239" i="7" s="1"/>
  <c r="N235" i="7"/>
  <c r="M235" i="7" s="1" a="1"/>
  <c r="M235" i="7" s="1"/>
  <c r="N231" i="7"/>
  <c r="M231" i="7" s="1" a="1"/>
  <c r="M231" i="7" s="1"/>
  <c r="N227" i="7"/>
  <c r="M227" i="7" s="1" a="1"/>
  <c r="M227" i="7" s="1"/>
  <c r="N223" i="7"/>
  <c r="M223" i="7" s="1" a="1"/>
  <c r="M223" i="7" s="1"/>
  <c r="N219" i="7"/>
  <c r="M219" i="7" s="1" a="1"/>
  <c r="M219" i="7" s="1"/>
  <c r="N215" i="7"/>
  <c r="M215" i="7" s="1" a="1"/>
  <c r="M215" i="7" s="1"/>
  <c r="N211" i="7"/>
  <c r="M211" i="7" s="1" a="1"/>
  <c r="M211" i="7" s="1"/>
  <c r="N207" i="7"/>
  <c r="M207" i="7" s="1" a="1"/>
  <c r="M207" i="7" s="1"/>
  <c r="N203" i="7"/>
  <c r="M203" i="7" s="1" a="1"/>
  <c r="M203" i="7" s="1"/>
  <c r="N199" i="7"/>
  <c r="M199" i="7" s="1" a="1"/>
  <c r="M199" i="7" s="1"/>
  <c r="N195" i="7"/>
  <c r="M195" i="7" s="1" a="1"/>
  <c r="M195" i="7" s="1"/>
  <c r="N191" i="7"/>
  <c r="M191" i="7" s="1" a="1"/>
  <c r="M191" i="7" s="1"/>
  <c r="N187" i="7"/>
  <c r="M187" i="7" s="1" a="1"/>
  <c r="M187" i="7" s="1"/>
  <c r="N183" i="7"/>
  <c r="M183" i="7" s="1" a="1"/>
  <c r="M183" i="7" s="1"/>
  <c r="N179" i="7"/>
  <c r="M179" i="7" s="1" a="1"/>
  <c r="M179" i="7" s="1"/>
  <c r="N175" i="7"/>
  <c r="M175" i="7" s="1" a="1"/>
  <c r="M175" i="7" s="1"/>
  <c r="N171" i="7"/>
  <c r="M171" i="7" s="1" a="1"/>
  <c r="M171" i="7" s="1"/>
  <c r="N167" i="7"/>
  <c r="M167" i="7" s="1" a="1"/>
  <c r="M167" i="7" s="1"/>
  <c r="N163" i="7"/>
  <c r="M163" i="7" s="1" a="1"/>
  <c r="M163" i="7" s="1"/>
  <c r="N159" i="7"/>
  <c r="M159" i="7" s="1" a="1"/>
  <c r="M159" i="7" s="1"/>
  <c r="N155" i="7"/>
  <c r="M155" i="7" s="1" a="1"/>
  <c r="M155" i="7" s="1"/>
  <c r="N151" i="7"/>
  <c r="M151" i="7" s="1" a="1"/>
  <c r="M151" i="7" s="1"/>
  <c r="N147" i="7"/>
  <c r="M147" i="7" s="1" a="1"/>
  <c r="M147" i="7" s="1"/>
  <c r="N143" i="7"/>
  <c r="M143" i="7" s="1" a="1"/>
  <c r="M143" i="7" s="1"/>
  <c r="N139" i="7"/>
  <c r="M139" i="7" s="1" a="1"/>
  <c r="M139" i="7" s="1"/>
  <c r="N135" i="7"/>
  <c r="M135" i="7" s="1" a="1"/>
  <c r="M135" i="7" s="1"/>
  <c r="N131" i="7"/>
  <c r="M131" i="7" s="1" a="1"/>
  <c r="M131" i="7" s="1"/>
  <c r="N127" i="7"/>
  <c r="M127" i="7" s="1" a="1"/>
  <c r="M127" i="7" s="1"/>
  <c r="N123" i="7"/>
  <c r="M123" i="7" s="1" a="1"/>
  <c r="M123" i="7" s="1"/>
  <c r="N119" i="7"/>
  <c r="M119" i="7" s="1" a="1"/>
  <c r="M119" i="7" s="1"/>
  <c r="N115" i="7"/>
  <c r="M115" i="7" s="1" a="1"/>
  <c r="M115" i="7" s="1"/>
  <c r="N111" i="7"/>
  <c r="M111" i="7" s="1" a="1"/>
  <c r="M111" i="7" s="1"/>
  <c r="N107" i="7"/>
  <c r="M107" i="7" s="1" a="1"/>
  <c r="M107" i="7" s="1"/>
  <c r="N103" i="7"/>
  <c r="M103" i="7" s="1" a="1"/>
  <c r="M103" i="7" s="1"/>
  <c r="N99" i="7"/>
  <c r="M99" i="7" s="1" a="1"/>
  <c r="M99" i="7" s="1"/>
  <c r="N95" i="7"/>
  <c r="M95" i="7" s="1" a="1"/>
  <c r="M95" i="7" s="1"/>
  <c r="N91" i="7"/>
  <c r="M91" i="7" s="1" a="1"/>
  <c r="M91" i="7" s="1"/>
  <c r="N87" i="7"/>
  <c r="M87" i="7" s="1" a="1"/>
  <c r="M87" i="7" s="1"/>
  <c r="N83" i="7"/>
  <c r="M83" i="7" s="1" a="1"/>
  <c r="M83" i="7" s="1"/>
  <c r="N79" i="7"/>
  <c r="M79" i="7" s="1" a="1"/>
  <c r="M79" i="7" s="1"/>
  <c r="N75" i="7"/>
  <c r="M75" i="7" s="1" a="1"/>
  <c r="M75" i="7" s="1"/>
  <c r="N71" i="7"/>
  <c r="M71" i="7" s="1" a="1"/>
  <c r="M71" i="7" s="1"/>
  <c r="N67" i="7"/>
  <c r="M67" i="7" s="1" a="1"/>
  <c r="M67" i="7" s="1"/>
  <c r="N63" i="7"/>
  <c r="M63" i="7" s="1" a="1"/>
  <c r="M63" i="7" s="1"/>
  <c r="N59" i="7"/>
  <c r="M59" i="7" s="1" a="1"/>
  <c r="M59" i="7" s="1"/>
  <c r="N55" i="7"/>
  <c r="M55" i="7" s="1" a="1"/>
  <c r="M55" i="7" s="1"/>
  <c r="N51" i="7"/>
  <c r="M51" i="7" s="1" a="1"/>
  <c r="M51" i="7" s="1"/>
  <c r="N47" i="7"/>
  <c r="M47" i="7" s="1" a="1"/>
  <c r="M47" i="7" s="1"/>
  <c r="N43" i="7"/>
  <c r="M43" i="7" s="1" a="1"/>
  <c r="M43" i="7" s="1"/>
  <c r="N39" i="7"/>
  <c r="M39" i="7" s="1" a="1"/>
  <c r="M39" i="7" s="1"/>
  <c r="N35" i="7"/>
  <c r="M35" i="7" s="1" a="1"/>
  <c r="M35" i="7" s="1"/>
  <c r="N31" i="7"/>
  <c r="M31" i="7" s="1" a="1"/>
  <c r="M31" i="7" s="1"/>
  <c r="N27" i="7"/>
  <c r="M27" i="7" s="1" a="1"/>
  <c r="M27" i="7" s="1"/>
  <c r="N23" i="7"/>
  <c r="M23" i="7" s="1" a="1"/>
  <c r="M23" i="7" s="1"/>
  <c r="N19" i="7"/>
  <c r="M19" i="7" s="1" a="1"/>
  <c r="M19" i="7" s="1"/>
  <c r="N15" i="7"/>
  <c r="M15" i="7" s="1" a="1"/>
  <c r="M15" i="7" s="1"/>
  <c r="N11" i="7"/>
  <c r="M11" i="7" s="1" a="1"/>
  <c r="M11" i="7" s="1"/>
  <c r="N7" i="7"/>
  <c r="M7" i="7" s="1" a="1"/>
  <c r="M7" i="7" s="1"/>
  <c r="N3" i="7"/>
  <c r="M3" i="7" s="1" a="1"/>
  <c r="M3" i="7" s="1"/>
  <c r="N638" i="7"/>
  <c r="N634" i="7"/>
  <c r="N630" i="7"/>
  <c r="N626" i="7"/>
  <c r="N622" i="7"/>
  <c r="N618" i="7"/>
  <c r="N614" i="7"/>
  <c r="N610" i="7"/>
  <c r="N606" i="7"/>
  <c r="N602" i="7"/>
  <c r="N598" i="7"/>
  <c r="N594" i="7"/>
  <c r="N590" i="7"/>
  <c r="N586" i="7"/>
  <c r="N582" i="7"/>
  <c r="N578" i="7"/>
  <c r="N574" i="7"/>
  <c r="N570" i="7"/>
  <c r="N566" i="7"/>
  <c r="N562" i="7"/>
  <c r="N558" i="7"/>
  <c r="N554" i="7"/>
  <c r="N550" i="7"/>
  <c r="N546" i="7"/>
  <c r="N542" i="7"/>
  <c r="N538" i="7"/>
  <c r="N534" i="7"/>
  <c r="N530" i="7"/>
  <c r="N526" i="7"/>
  <c r="N522" i="7"/>
  <c r="N518" i="7"/>
  <c r="N514" i="7"/>
  <c r="N510" i="7"/>
  <c r="N506" i="7"/>
  <c r="N502" i="7"/>
  <c r="N498" i="7"/>
  <c r="N494" i="7"/>
  <c r="N490" i="7"/>
  <c r="N486" i="7"/>
  <c r="N482" i="7"/>
  <c r="N478" i="7"/>
  <c r="N474" i="7"/>
  <c r="N470" i="7"/>
  <c r="N466" i="7"/>
  <c r="N462" i="7"/>
  <c r="N458" i="7"/>
  <c r="N454" i="7"/>
  <c r="N450" i="7"/>
  <c r="N446" i="7"/>
  <c r="N442" i="7"/>
  <c r="N438" i="7"/>
  <c r="N434" i="7"/>
  <c r="N430" i="7"/>
  <c r="N426" i="7"/>
  <c r="N422" i="7"/>
  <c r="N418" i="7"/>
  <c r="N414" i="7"/>
  <c r="N410" i="7"/>
  <c r="N406" i="7"/>
  <c r="N402" i="7"/>
  <c r="N398" i="7"/>
  <c r="N394" i="7"/>
  <c r="N390" i="7"/>
  <c r="N386" i="7"/>
  <c r="N382" i="7"/>
  <c r="N378" i="7"/>
  <c r="N374" i="7"/>
  <c r="N370" i="7"/>
  <c r="N366" i="7"/>
  <c r="N362" i="7"/>
  <c r="N358" i="7"/>
  <c r="N354" i="7"/>
  <c r="N350" i="7"/>
  <c r="N346" i="7"/>
  <c r="N342" i="7"/>
  <c r="N338" i="7"/>
  <c r="N334" i="7"/>
  <c r="N330" i="7"/>
  <c r="N326" i="7"/>
  <c r="N322" i="7"/>
  <c r="N318" i="7"/>
  <c r="N314" i="7"/>
  <c r="N310" i="7"/>
  <c r="N306" i="7"/>
  <c r="N302" i="7"/>
  <c r="N298" i="7"/>
  <c r="N294" i="7"/>
  <c r="N290" i="7"/>
  <c r="N286" i="7"/>
  <c r="N282" i="7"/>
  <c r="N278" i="7"/>
  <c r="N274" i="7"/>
  <c r="N270" i="7"/>
  <c r="N266" i="7"/>
  <c r="N262" i="7"/>
  <c r="N258" i="7"/>
  <c r="N254" i="7"/>
  <c r="N250" i="7"/>
  <c r="N246" i="7"/>
  <c r="N242" i="7"/>
  <c r="N238" i="7"/>
  <c r="N234" i="7"/>
  <c r="N230" i="7"/>
  <c r="N226" i="7"/>
  <c r="N222" i="7"/>
  <c r="N218" i="7"/>
  <c r="N214" i="7"/>
  <c r="N210" i="7"/>
  <c r="N206" i="7"/>
  <c r="N202" i="7"/>
  <c r="N198" i="7"/>
  <c r="N194" i="7"/>
  <c r="N190" i="7"/>
  <c r="N186" i="7"/>
  <c r="N182" i="7"/>
  <c r="N178" i="7"/>
  <c r="N174" i="7"/>
  <c r="N170" i="7"/>
  <c r="N166" i="7"/>
  <c r="N162" i="7"/>
  <c r="N158" i="7"/>
  <c r="N154" i="7"/>
  <c r="N150" i="7"/>
  <c r="N146" i="7"/>
  <c r="N142" i="7"/>
  <c r="N138" i="7"/>
  <c r="N134" i="7"/>
  <c r="N130" i="7"/>
  <c r="N126" i="7"/>
  <c r="N122" i="7"/>
  <c r="N118" i="7"/>
  <c r="N114" i="7"/>
  <c r="N110" i="7"/>
  <c r="N106" i="7"/>
  <c r="N102" i="7"/>
  <c r="N98" i="7"/>
  <c r="N94" i="7"/>
  <c r="N90" i="7"/>
  <c r="N86" i="7"/>
  <c r="N82" i="7"/>
  <c r="N78" i="7"/>
  <c r="N74" i="7"/>
  <c r="N70" i="7"/>
  <c r="N66" i="7"/>
  <c r="N62" i="7"/>
  <c r="N58" i="7"/>
  <c r="N54" i="7"/>
  <c r="N50" i="7"/>
  <c r="N46" i="7"/>
  <c r="N42" i="7"/>
  <c r="N38" i="7"/>
  <c r="N34" i="7"/>
  <c r="N30" i="7"/>
  <c r="N26" i="7"/>
  <c r="N22" i="7"/>
  <c r="N18" i="7"/>
  <c r="N14" i="7"/>
  <c r="N10" i="7"/>
  <c r="N6" i="7"/>
  <c r="N645" i="7"/>
  <c r="N641" i="7"/>
  <c r="N637" i="7"/>
  <c r="N633" i="7"/>
  <c r="N629" i="7"/>
  <c r="N625" i="7"/>
  <c r="N621" i="7"/>
  <c r="N617" i="7"/>
  <c r="N613" i="7"/>
  <c r="N609" i="7"/>
  <c r="N605" i="7"/>
  <c r="N601" i="7"/>
  <c r="N597" i="7"/>
  <c r="N593" i="7"/>
  <c r="N589" i="7"/>
  <c r="N585" i="7"/>
  <c r="N581" i="7"/>
  <c r="N577" i="7"/>
  <c r="N573" i="7"/>
  <c r="N569" i="7"/>
  <c r="N565" i="7"/>
  <c r="N561" i="7"/>
  <c r="N557" i="7"/>
  <c r="N553" i="7"/>
  <c r="N549" i="7"/>
  <c r="N545" i="7"/>
  <c r="N541" i="7"/>
  <c r="N537" i="7"/>
  <c r="N533" i="7"/>
  <c r="N529" i="7"/>
  <c r="N525" i="7"/>
  <c r="N521" i="7"/>
  <c r="N517" i="7"/>
  <c r="N513" i="7"/>
  <c r="N509" i="7"/>
  <c r="N505" i="7"/>
  <c r="N501" i="7"/>
  <c r="N497" i="7"/>
  <c r="N493" i="7"/>
  <c r="N489" i="7"/>
  <c r="N485" i="7"/>
  <c r="N481" i="7"/>
  <c r="N477" i="7"/>
  <c r="N473" i="7"/>
  <c r="N469" i="7"/>
  <c r="N465" i="7"/>
  <c r="N461" i="7"/>
  <c r="N457" i="7"/>
  <c r="N453" i="7"/>
  <c r="N449" i="7"/>
  <c r="N445" i="7"/>
  <c r="N441" i="7"/>
  <c r="N437" i="7"/>
  <c r="N433" i="7"/>
  <c r="N429" i="7"/>
  <c r="N425" i="7"/>
  <c r="N421" i="7"/>
  <c r="N417" i="7"/>
  <c r="N413" i="7"/>
  <c r="N409" i="7"/>
  <c r="N405" i="7"/>
  <c r="N401" i="7"/>
  <c r="N397" i="7"/>
  <c r="N393" i="7"/>
  <c r="N389" i="7"/>
  <c r="N385" i="7"/>
  <c r="N381" i="7"/>
  <c r="N377" i="7"/>
  <c r="N373" i="7"/>
  <c r="N369" i="7"/>
  <c r="N365" i="7"/>
  <c r="N361" i="7"/>
  <c r="N357" i="7"/>
  <c r="N353" i="7"/>
  <c r="N349" i="7"/>
  <c r="N345" i="7"/>
  <c r="N341" i="7"/>
  <c r="N337" i="7"/>
  <c r="N333" i="7"/>
  <c r="N329" i="7"/>
  <c r="N325" i="7"/>
  <c r="N321" i="7"/>
  <c r="N317" i="7"/>
  <c r="N313" i="7"/>
  <c r="N309" i="7"/>
  <c r="N305" i="7"/>
  <c r="N301" i="7"/>
  <c r="N297" i="7"/>
  <c r="N293" i="7"/>
  <c r="N289" i="7"/>
  <c r="N285" i="7"/>
  <c r="N281" i="7"/>
  <c r="N277" i="7"/>
  <c r="N273" i="7"/>
  <c r="N269" i="7"/>
  <c r="N265" i="7"/>
  <c r="N261" i="7"/>
  <c r="N257" i="7"/>
  <c r="N253" i="7"/>
  <c r="N249" i="7"/>
  <c r="N245" i="7"/>
  <c r="N241" i="7"/>
  <c r="N237" i="7"/>
  <c r="N233" i="7"/>
  <c r="N229" i="7"/>
  <c r="N225" i="7"/>
  <c r="N221" i="7"/>
  <c r="N217" i="7"/>
  <c r="N213" i="7"/>
  <c r="N209" i="7"/>
  <c r="N205" i="7"/>
  <c r="N201" i="7"/>
  <c r="N197" i="7"/>
  <c r="N193" i="7"/>
  <c r="N189" i="7"/>
  <c r="N185" i="7"/>
  <c r="N181" i="7"/>
  <c r="N177" i="7"/>
  <c r="N173" i="7"/>
  <c r="N169" i="7"/>
  <c r="N165" i="7"/>
  <c r="N161" i="7"/>
  <c r="N157" i="7"/>
  <c r="N153" i="7"/>
  <c r="N149" i="7"/>
  <c r="N145" i="7"/>
  <c r="N141" i="7"/>
  <c r="N137" i="7"/>
  <c r="N133" i="7"/>
  <c r="N129" i="7"/>
  <c r="N125" i="7"/>
  <c r="N121" i="7"/>
  <c r="N117" i="7"/>
  <c r="N113" i="7"/>
  <c r="N109" i="7"/>
  <c r="N105" i="7"/>
  <c r="N101" i="7"/>
  <c r="N97" i="7"/>
  <c r="N93" i="7"/>
  <c r="N89" i="7"/>
  <c r="N85" i="7"/>
  <c r="N81" i="7"/>
  <c r="N77" i="7"/>
  <c r="N73" i="7"/>
  <c r="N69" i="7"/>
  <c r="N65" i="7"/>
  <c r="N61" i="7"/>
  <c r="N57" i="7"/>
  <c r="N53" i="7"/>
  <c r="N49" i="7"/>
  <c r="N45" i="7"/>
  <c r="N41" i="7"/>
  <c r="N37" i="7"/>
  <c r="N33" i="7"/>
  <c r="N29" i="7"/>
  <c r="N25" i="7"/>
  <c r="N21" i="7"/>
  <c r="N17" i="7"/>
  <c r="N13" i="7"/>
  <c r="N9" i="7"/>
  <c r="N5" i="7"/>
  <c r="N612" i="7"/>
  <c r="N608" i="7"/>
  <c r="N604" i="7"/>
  <c r="N600" i="7"/>
  <c r="N596" i="7"/>
  <c r="N592" i="7"/>
  <c r="N588" i="7"/>
  <c r="N584" i="7"/>
  <c r="N580" i="7"/>
  <c r="N576" i="7"/>
  <c r="N572" i="7"/>
  <c r="N568" i="7"/>
  <c r="N564" i="7"/>
  <c r="N560" i="7"/>
  <c r="N556" i="7"/>
  <c r="N552" i="7"/>
  <c r="N548" i="7"/>
  <c r="N544" i="7"/>
  <c r="N540" i="7"/>
  <c r="N536" i="7"/>
  <c r="N532" i="7"/>
  <c r="N528" i="7"/>
  <c r="N524" i="7"/>
  <c r="N520" i="7"/>
  <c r="N516" i="7"/>
  <c r="N512" i="7"/>
  <c r="N508" i="7"/>
  <c r="N504" i="7"/>
  <c r="N500" i="7"/>
  <c r="N496" i="7"/>
  <c r="N492" i="7"/>
  <c r="N488" i="7"/>
  <c r="N484" i="7"/>
  <c r="N480" i="7"/>
  <c r="N476" i="7"/>
  <c r="N472" i="7"/>
  <c r="N468" i="7"/>
  <c r="N464" i="7"/>
  <c r="N460" i="7"/>
  <c r="N456" i="7"/>
  <c r="N452" i="7"/>
  <c r="N448" i="7"/>
  <c r="N444" i="7"/>
  <c r="N440" i="7"/>
  <c r="N436" i="7"/>
  <c r="N432" i="7"/>
  <c r="N428" i="7"/>
  <c r="N424" i="7"/>
  <c r="N420" i="7"/>
  <c r="N416" i="7"/>
  <c r="N412" i="7"/>
  <c r="N408" i="7"/>
  <c r="N404" i="7"/>
  <c r="N400" i="7"/>
  <c r="N396" i="7"/>
  <c r="N392" i="7"/>
  <c r="N388" i="7"/>
  <c r="N384" i="7"/>
  <c r="N380" i="7"/>
  <c r="N376" i="7"/>
  <c r="N372" i="7"/>
  <c r="N368" i="7"/>
  <c r="N364" i="7"/>
  <c r="N360" i="7"/>
  <c r="N356" i="7"/>
  <c r="N352" i="7"/>
  <c r="N348" i="7"/>
  <c r="N344" i="7"/>
  <c r="N340" i="7"/>
  <c r="N336" i="7"/>
  <c r="N332" i="7"/>
  <c r="N328" i="7"/>
  <c r="N324" i="7"/>
  <c r="N320" i="7"/>
  <c r="N316" i="7"/>
  <c r="N312" i="7"/>
  <c r="N308" i="7"/>
  <c r="N304" i="7"/>
  <c r="N300" i="7"/>
  <c r="N296" i="7"/>
  <c r="N292" i="7"/>
  <c r="N288" i="7"/>
  <c r="N284" i="7"/>
  <c r="N280" i="7"/>
  <c r="N276" i="7"/>
  <c r="N272" i="7"/>
  <c r="N268" i="7"/>
  <c r="N264" i="7"/>
  <c r="N260" i="7"/>
  <c r="N256" i="7"/>
  <c r="N252" i="7"/>
  <c r="N248" i="7"/>
  <c r="N244" i="7"/>
  <c r="N240" i="7"/>
  <c r="N236" i="7"/>
  <c r="N232" i="7"/>
  <c r="N228" i="7"/>
  <c r="N224" i="7"/>
  <c r="N220" i="7"/>
  <c r="N216" i="7"/>
  <c r="N212" i="7"/>
  <c r="N208" i="7"/>
  <c r="N204" i="7"/>
  <c r="N200" i="7"/>
  <c r="N196" i="7"/>
  <c r="N192" i="7"/>
  <c r="N188" i="7"/>
  <c r="N184" i="7"/>
  <c r="N180" i="7"/>
  <c r="N176" i="7"/>
  <c r="N172" i="7"/>
  <c r="N168" i="7"/>
  <c r="N164" i="7"/>
  <c r="N160" i="7"/>
  <c r="N156" i="7"/>
  <c r="N152" i="7"/>
  <c r="N148" i="7"/>
  <c r="N144" i="7"/>
  <c r="N140" i="7"/>
  <c r="N136" i="7"/>
  <c r="N132" i="7"/>
  <c r="N128" i="7"/>
  <c r="N124" i="7"/>
  <c r="N120" i="7"/>
  <c r="N116" i="7"/>
  <c r="N112" i="7"/>
  <c r="N108" i="7"/>
  <c r="N104" i="7"/>
  <c r="N100" i="7"/>
  <c r="N96" i="7"/>
  <c r="N92" i="7"/>
  <c r="N88" i="7"/>
  <c r="N84" i="7"/>
  <c r="N80" i="7"/>
  <c r="N76" i="7"/>
  <c r="N72" i="7"/>
  <c r="N68" i="7"/>
  <c r="N64" i="7"/>
  <c r="N60" i="7"/>
  <c r="N56" i="7"/>
  <c r="N52" i="7"/>
  <c r="N48" i="7"/>
  <c r="N44" i="7"/>
  <c r="N40" i="7"/>
  <c r="N36" i="7"/>
  <c r="N32" i="7"/>
  <c r="N28" i="7"/>
  <c r="N24" i="7"/>
  <c r="N20" i="7"/>
  <c r="N16" i="7"/>
  <c r="N12" i="7"/>
  <c r="N8" i="7"/>
  <c r="N4" i="7"/>
  <c r="C2" i="7"/>
  <c r="P2" i="7"/>
  <c r="O2" i="7"/>
  <c r="Q2" i="7"/>
  <c r="K2" i="7"/>
  <c r="J2" i="7"/>
  <c r="I2" i="7"/>
  <c r="H2" i="7"/>
  <c r="G2" i="7"/>
  <c r="F2" i="7"/>
  <c r="E2" i="7"/>
  <c r="D2" i="7"/>
  <c r="B2" i="7"/>
  <c r="M943" i="7" l="1" a="1"/>
  <c r="M943" i="7" s="1"/>
  <c r="R943" i="7"/>
  <c r="M959" i="7" a="1"/>
  <c r="M959" i="7" s="1"/>
  <c r="R959" i="7"/>
  <c r="M975" i="7" a="1"/>
  <c r="M975" i="7" s="1"/>
  <c r="R975" i="7"/>
  <c r="M991" i="7" a="1"/>
  <c r="M991" i="7" s="1"/>
  <c r="R991" i="7"/>
  <c r="M1007" i="7" a="1"/>
  <c r="M1007" i="7" s="1"/>
  <c r="R1007" i="7"/>
  <c r="M1023" i="7" a="1"/>
  <c r="M1023" i="7" s="1"/>
  <c r="R1023" i="7"/>
  <c r="M1039" i="7" a="1"/>
  <c r="M1039" i="7" s="1"/>
  <c r="R1039" i="7"/>
  <c r="M1055" i="7" a="1"/>
  <c r="M1055" i="7" s="1"/>
  <c r="R1055" i="7"/>
  <c r="M1071" i="7" a="1"/>
  <c r="M1071" i="7" s="1"/>
  <c r="R1071" i="7"/>
  <c r="M1087" i="7" a="1"/>
  <c r="M1087" i="7" s="1"/>
  <c r="R1087" i="7"/>
  <c r="M1103" i="7" a="1"/>
  <c r="M1103" i="7" s="1"/>
  <c r="R1103" i="7"/>
  <c r="M1119" i="7" a="1"/>
  <c r="M1119" i="7" s="1"/>
  <c r="R1119" i="7"/>
  <c r="M1135" i="7" a="1"/>
  <c r="M1135" i="7" s="1"/>
  <c r="R1135" i="7"/>
  <c r="M1151" i="7" a="1"/>
  <c r="M1151" i="7" s="1"/>
  <c r="R1151" i="7"/>
  <c r="M1167" i="7" a="1"/>
  <c r="M1167" i="7" s="1"/>
  <c r="R1167" i="7"/>
  <c r="M948" i="7" a="1"/>
  <c r="M948" i="7" s="1"/>
  <c r="R948" i="7"/>
  <c r="M964" i="7" a="1"/>
  <c r="M964" i="7" s="1"/>
  <c r="R964" i="7"/>
  <c r="M980" i="7" a="1"/>
  <c r="M980" i="7" s="1"/>
  <c r="R980" i="7"/>
  <c r="M996" i="7" a="1"/>
  <c r="M996" i="7" s="1"/>
  <c r="R996" i="7"/>
  <c r="M1012" i="7" a="1"/>
  <c r="M1012" i="7" s="1"/>
  <c r="R1012" i="7"/>
  <c r="M1028" i="7" a="1"/>
  <c r="M1028" i="7" s="1"/>
  <c r="R1028" i="7"/>
  <c r="M1044" i="7" a="1"/>
  <c r="M1044" i="7" s="1"/>
  <c r="R1044" i="7"/>
  <c r="M1060" i="7" a="1"/>
  <c r="M1060" i="7" s="1"/>
  <c r="R1060" i="7"/>
  <c r="M1076" i="7" a="1"/>
  <c r="M1076" i="7" s="1"/>
  <c r="R1076" i="7"/>
  <c r="M1092" i="7" a="1"/>
  <c r="M1092" i="7" s="1"/>
  <c r="R1092" i="7"/>
  <c r="M1108" i="7" a="1"/>
  <c r="M1108" i="7" s="1"/>
  <c r="R1108" i="7"/>
  <c r="M1124" i="7" a="1"/>
  <c r="M1124" i="7" s="1"/>
  <c r="R1124" i="7"/>
  <c r="M1140" i="7" a="1"/>
  <c r="M1140" i="7" s="1"/>
  <c r="R1140" i="7"/>
  <c r="M1156" i="7" a="1"/>
  <c r="M1156" i="7" s="1"/>
  <c r="R1156" i="7"/>
  <c r="M1172" i="7" a="1"/>
  <c r="M1172" i="7" s="1"/>
  <c r="R1172" i="7"/>
  <c r="M1188" i="7" a="1"/>
  <c r="M1188" i="7" s="1"/>
  <c r="R1188" i="7"/>
  <c r="M1204" i="7" a="1"/>
  <c r="M1204" i="7" s="1"/>
  <c r="R1204" i="7"/>
  <c r="M1220" i="7" a="1"/>
  <c r="M1220" i="7" s="1"/>
  <c r="R1220" i="7"/>
  <c r="M1236" i="7" a="1"/>
  <c r="M1236" i="7" s="1"/>
  <c r="R1236" i="7"/>
  <c r="M1252" i="7" a="1"/>
  <c r="M1252" i="7" s="1"/>
  <c r="R1252" i="7"/>
  <c r="M1268" i="7" a="1"/>
  <c r="M1268" i="7" s="1"/>
  <c r="R1268" i="7"/>
  <c r="M1284" i="7" a="1"/>
  <c r="M1284" i="7" s="1"/>
  <c r="R1284" i="7"/>
  <c r="M1300" i="7" a="1"/>
  <c r="M1300" i="7" s="1"/>
  <c r="R1300" i="7"/>
  <c r="M1316" i="7" a="1"/>
  <c r="M1316" i="7" s="1"/>
  <c r="R1316" i="7"/>
  <c r="M1332" i="7" a="1"/>
  <c r="M1332" i="7" s="1"/>
  <c r="R1332" i="7"/>
  <c r="M1348" i="7" a="1"/>
  <c r="M1348" i="7" s="1"/>
  <c r="R1348" i="7"/>
  <c r="M1364" i="7" a="1"/>
  <c r="M1364" i="7" s="1"/>
  <c r="R1364" i="7"/>
  <c r="M1380" i="7" a="1"/>
  <c r="M1380" i="7" s="1"/>
  <c r="R1380" i="7"/>
  <c r="M945" i="7" a="1"/>
  <c r="M945" i="7" s="1"/>
  <c r="R945" i="7"/>
  <c r="M961" i="7" a="1"/>
  <c r="M961" i="7" s="1"/>
  <c r="R961" i="7"/>
  <c r="M977" i="7" a="1"/>
  <c r="M977" i="7" s="1"/>
  <c r="R977" i="7"/>
  <c r="M993" i="7" a="1"/>
  <c r="M993" i="7" s="1"/>
  <c r="R993" i="7"/>
  <c r="M1009" i="7" a="1"/>
  <c r="M1009" i="7" s="1"/>
  <c r="R1009" i="7"/>
  <c r="M1025" i="7" a="1"/>
  <c r="M1025" i="7" s="1"/>
  <c r="R1025" i="7"/>
  <c r="M1041" i="7" a="1"/>
  <c r="M1041" i="7" s="1"/>
  <c r="R1041" i="7"/>
  <c r="M1057" i="7" a="1"/>
  <c r="M1057" i="7" s="1"/>
  <c r="R1057" i="7"/>
  <c r="M1073" i="7" a="1"/>
  <c r="M1073" i="7" s="1"/>
  <c r="R1073" i="7"/>
  <c r="M1089" i="7" a="1"/>
  <c r="M1089" i="7" s="1"/>
  <c r="R1089" i="7"/>
  <c r="M1105" i="7" a="1"/>
  <c r="M1105" i="7" s="1"/>
  <c r="R1105" i="7"/>
  <c r="M1121" i="7" a="1"/>
  <c r="M1121" i="7" s="1"/>
  <c r="R1121" i="7"/>
  <c r="M1137" i="7" a="1"/>
  <c r="M1137" i="7" s="1"/>
  <c r="R1137" i="7"/>
  <c r="M1153" i="7" a="1"/>
  <c r="M1153" i="7" s="1"/>
  <c r="R1153" i="7"/>
  <c r="M1171" i="7" a="1"/>
  <c r="M1171" i="7" s="1"/>
  <c r="R1171" i="7"/>
  <c r="M1187" i="7" a="1"/>
  <c r="M1187" i="7" s="1"/>
  <c r="R1187" i="7"/>
  <c r="M1203" i="7" a="1"/>
  <c r="M1203" i="7" s="1"/>
  <c r="R1203" i="7"/>
  <c r="M1219" i="7" a="1"/>
  <c r="M1219" i="7" s="1"/>
  <c r="R1219" i="7"/>
  <c r="M1235" i="7" a="1"/>
  <c r="M1235" i="7" s="1"/>
  <c r="R1235" i="7"/>
  <c r="M1251" i="7" a="1"/>
  <c r="M1251" i="7" s="1"/>
  <c r="R1251" i="7"/>
  <c r="M1267" i="7" a="1"/>
  <c r="M1267" i="7" s="1"/>
  <c r="R1267" i="7"/>
  <c r="M1283" i="7" a="1"/>
  <c r="M1283" i="7" s="1"/>
  <c r="R1283" i="7"/>
  <c r="M1299" i="7" a="1"/>
  <c r="M1299" i="7" s="1"/>
  <c r="R1299" i="7"/>
  <c r="M1315" i="7" a="1"/>
  <c r="M1315" i="7" s="1"/>
  <c r="R1315" i="7"/>
  <c r="M1331" i="7" a="1"/>
  <c r="M1331" i="7" s="1"/>
  <c r="R1331" i="7"/>
  <c r="M1347" i="7" a="1"/>
  <c r="M1347" i="7" s="1"/>
  <c r="R1347" i="7"/>
  <c r="M1363" i="7" a="1"/>
  <c r="M1363" i="7" s="1"/>
  <c r="R1363" i="7"/>
  <c r="M1379" i="7" a="1"/>
  <c r="M1379" i="7" s="1"/>
  <c r="R1379" i="7"/>
  <c r="M1395" i="7" a="1"/>
  <c r="M1395" i="7" s="1"/>
  <c r="R1395" i="7"/>
  <c r="M1411" i="7" a="1"/>
  <c r="M1411" i="7" s="1"/>
  <c r="R1411" i="7"/>
  <c r="M1427" i="7" a="1"/>
  <c r="M1427" i="7" s="1"/>
  <c r="R1427" i="7"/>
  <c r="M1443" i="7" a="1"/>
  <c r="M1443" i="7" s="1"/>
  <c r="R1443" i="7"/>
  <c r="M1194" i="7" a="1"/>
  <c r="M1194" i="7" s="1"/>
  <c r="R1194" i="7"/>
  <c r="M1290" i="7" a="1"/>
  <c r="M1290" i="7" s="1"/>
  <c r="R1290" i="7"/>
  <c r="M1354" i="7" a="1"/>
  <c r="M1354" i="7" s="1"/>
  <c r="R1354" i="7"/>
  <c r="M1418" i="7" a="1"/>
  <c r="M1418" i="7" s="1"/>
  <c r="R1418" i="7"/>
  <c r="M1392" i="7" a="1"/>
  <c r="M1392" i="7" s="1"/>
  <c r="R1392" i="7"/>
  <c r="M1408" i="7" a="1"/>
  <c r="M1408" i="7" s="1"/>
  <c r="R1408" i="7"/>
  <c r="M1424" i="7" a="1"/>
  <c r="M1424" i="7" s="1"/>
  <c r="R1424" i="7"/>
  <c r="M1440" i="7" a="1"/>
  <c r="M1440" i="7" s="1"/>
  <c r="R1440" i="7"/>
  <c r="M1190" i="7" a="1"/>
  <c r="M1190" i="7" s="1"/>
  <c r="R1190" i="7"/>
  <c r="M1294" i="7" a="1"/>
  <c r="M1294" i="7" s="1"/>
  <c r="R1294" i="7"/>
  <c r="M1358" i="7" a="1"/>
  <c r="M1358" i="7" s="1"/>
  <c r="R1358" i="7"/>
  <c r="M1422" i="7" a="1"/>
  <c r="M1422" i="7" s="1"/>
  <c r="R1422" i="7"/>
  <c r="M1177" i="7" a="1"/>
  <c r="M1177" i="7" s="1"/>
  <c r="R1177" i="7"/>
  <c r="M1209" i="7" a="1"/>
  <c r="M1209" i="7" s="1"/>
  <c r="R1209" i="7"/>
  <c r="M1241" i="7" a="1"/>
  <c r="M1241" i="7" s="1"/>
  <c r="R1241" i="7"/>
  <c r="M1273" i="7" a="1"/>
  <c r="M1273" i="7" s="1"/>
  <c r="R1273" i="7"/>
  <c r="M1305" i="7" a="1"/>
  <c r="M1305" i="7" s="1"/>
  <c r="R1305" i="7"/>
  <c r="M1337" i="7" a="1"/>
  <c r="M1337" i="7" s="1"/>
  <c r="R1337" i="7"/>
  <c r="M1369" i="7" a="1"/>
  <c r="M1369" i="7" s="1"/>
  <c r="R1369" i="7"/>
  <c r="M1401" i="7" a="1"/>
  <c r="M1401" i="7" s="1"/>
  <c r="R1401" i="7"/>
  <c r="M1433" i="7" a="1"/>
  <c r="M1433" i="7" s="1"/>
  <c r="R1433" i="7"/>
  <c r="M1254" i="7" a="1"/>
  <c r="M1254" i="7" s="1"/>
  <c r="R1254" i="7"/>
  <c r="M1318" i="7" a="1"/>
  <c r="M1318" i="7" s="1"/>
  <c r="R1318" i="7"/>
  <c r="M1382" i="7" a="1"/>
  <c r="M1382" i="7" s="1"/>
  <c r="R1382" i="7"/>
  <c r="M1446" i="7" a="1"/>
  <c r="M1446" i="7" s="1"/>
  <c r="R1446" i="7"/>
  <c r="M974" i="7" a="1"/>
  <c r="M974" i="7" s="1"/>
  <c r="R974" i="7"/>
  <c r="M990" i="7" a="1"/>
  <c r="M990" i="7" s="1"/>
  <c r="R990" i="7"/>
  <c r="M1010" i="7" a="1"/>
  <c r="M1010" i="7" s="1"/>
  <c r="R1010" i="7"/>
  <c r="M1026" i="7" a="1"/>
  <c r="M1026" i="7" s="1"/>
  <c r="R1026" i="7"/>
  <c r="M1046" i="7" a="1"/>
  <c r="M1046" i="7" s="1"/>
  <c r="R1046" i="7"/>
  <c r="M1066" i="7" a="1"/>
  <c r="M1066" i="7" s="1"/>
  <c r="R1066" i="7"/>
  <c r="M1082" i="7" a="1"/>
  <c r="M1082" i="7" s="1"/>
  <c r="R1082" i="7"/>
  <c r="M1102" i="7" a="1"/>
  <c r="M1102" i="7" s="1"/>
  <c r="R1102" i="7"/>
  <c r="M1118" i="7" a="1"/>
  <c r="M1118" i="7" s="1"/>
  <c r="R1118" i="7"/>
  <c r="M1138" i="7" a="1"/>
  <c r="M1138" i="7" s="1"/>
  <c r="R1138" i="7"/>
  <c r="M1154" i="7" a="1"/>
  <c r="M1154" i="7" s="1"/>
  <c r="R1154" i="7"/>
  <c r="M1174" i="7" a="1"/>
  <c r="M1174" i="7" s="1"/>
  <c r="R1174" i="7"/>
  <c r="M1202" i="7" a="1"/>
  <c r="M1202" i="7" s="1"/>
  <c r="R1202" i="7"/>
  <c r="M1218" i="7" a="1"/>
  <c r="M1218" i="7" s="1"/>
  <c r="R1218" i="7"/>
  <c r="M1234" i="7" a="1"/>
  <c r="M1234" i="7" s="1"/>
  <c r="R1234" i="7"/>
  <c r="M1298" i="7" a="1"/>
  <c r="M1298" i="7" s="1"/>
  <c r="R1298" i="7"/>
  <c r="M1362" i="7" a="1"/>
  <c r="M1362" i="7" s="1"/>
  <c r="R1362" i="7"/>
  <c r="M1426" i="7" a="1"/>
  <c r="M1426" i="7" s="1"/>
  <c r="R1426" i="7"/>
  <c r="M947" i="7" a="1"/>
  <c r="M947" i="7" s="1"/>
  <c r="R947" i="7"/>
  <c r="M963" i="7" a="1"/>
  <c r="M963" i="7" s="1"/>
  <c r="R963" i="7"/>
  <c r="M979" i="7" a="1"/>
  <c r="M979" i="7" s="1"/>
  <c r="R979" i="7"/>
  <c r="M995" i="7" a="1"/>
  <c r="M995" i="7" s="1"/>
  <c r="R995" i="7"/>
  <c r="M1011" i="7" a="1"/>
  <c r="M1011" i="7" s="1"/>
  <c r="R1011" i="7"/>
  <c r="M1027" i="7" a="1"/>
  <c r="M1027" i="7" s="1"/>
  <c r="R1027" i="7"/>
  <c r="M1043" i="7" a="1"/>
  <c r="M1043" i="7" s="1"/>
  <c r="R1043" i="7"/>
  <c r="M1059" i="7" a="1"/>
  <c r="M1059" i="7" s="1"/>
  <c r="R1059" i="7"/>
  <c r="M1075" i="7" a="1"/>
  <c r="M1075" i="7" s="1"/>
  <c r="R1075" i="7"/>
  <c r="M1091" i="7" a="1"/>
  <c r="M1091" i="7" s="1"/>
  <c r="R1091" i="7"/>
  <c r="M1107" i="7" a="1"/>
  <c r="M1107" i="7" s="1"/>
  <c r="R1107" i="7"/>
  <c r="M1123" i="7" a="1"/>
  <c r="M1123" i="7" s="1"/>
  <c r="R1123" i="7"/>
  <c r="M1139" i="7" a="1"/>
  <c r="M1139" i="7" s="1"/>
  <c r="R1139" i="7"/>
  <c r="M1155" i="7" a="1"/>
  <c r="M1155" i="7" s="1"/>
  <c r="R1155" i="7"/>
  <c r="M936" i="7" a="1"/>
  <c r="M936" i="7" s="1"/>
  <c r="R936" i="7"/>
  <c r="M952" i="7" a="1"/>
  <c r="M952" i="7" s="1"/>
  <c r="R952" i="7"/>
  <c r="M968" i="7" a="1"/>
  <c r="M968" i="7" s="1"/>
  <c r="R968" i="7"/>
  <c r="M984" i="7" a="1"/>
  <c r="M984" i="7" s="1"/>
  <c r="R984" i="7"/>
  <c r="M1000" i="7" a="1"/>
  <c r="M1000" i="7" s="1"/>
  <c r="R1000" i="7"/>
  <c r="M1016" i="7" a="1"/>
  <c r="M1016" i="7" s="1"/>
  <c r="R1016" i="7"/>
  <c r="M1032" i="7" a="1"/>
  <c r="M1032" i="7" s="1"/>
  <c r="R1032" i="7"/>
  <c r="M1048" i="7" a="1"/>
  <c r="M1048" i="7" s="1"/>
  <c r="R1048" i="7"/>
  <c r="M1064" i="7" a="1"/>
  <c r="M1064" i="7" s="1"/>
  <c r="R1064" i="7"/>
  <c r="M1080" i="7" a="1"/>
  <c r="M1080" i="7" s="1"/>
  <c r="R1080" i="7"/>
  <c r="M1096" i="7" a="1"/>
  <c r="M1096" i="7" s="1"/>
  <c r="R1096" i="7"/>
  <c r="M1112" i="7" a="1"/>
  <c r="M1112" i="7" s="1"/>
  <c r="R1112" i="7"/>
  <c r="M1128" i="7" a="1"/>
  <c r="M1128" i="7" s="1"/>
  <c r="R1128" i="7"/>
  <c r="M1144" i="7" a="1"/>
  <c r="M1144" i="7" s="1"/>
  <c r="R1144" i="7"/>
  <c r="M1160" i="7" a="1"/>
  <c r="M1160" i="7" s="1"/>
  <c r="R1160" i="7"/>
  <c r="M1176" i="7" a="1"/>
  <c r="M1176" i="7" s="1"/>
  <c r="R1176" i="7"/>
  <c r="M1192" i="7" a="1"/>
  <c r="M1192" i="7" s="1"/>
  <c r="R1192" i="7"/>
  <c r="M1208" i="7" a="1"/>
  <c r="M1208" i="7" s="1"/>
  <c r="R1208" i="7"/>
  <c r="M1224" i="7" a="1"/>
  <c r="M1224" i="7" s="1"/>
  <c r="R1224" i="7"/>
  <c r="M1240" i="7" a="1"/>
  <c r="M1240" i="7" s="1"/>
  <c r="R1240" i="7"/>
  <c r="M1256" i="7" a="1"/>
  <c r="M1256" i="7" s="1"/>
  <c r="R1256" i="7"/>
  <c r="M1272" i="7" a="1"/>
  <c r="M1272" i="7" s="1"/>
  <c r="R1272" i="7"/>
  <c r="M1288" i="7" a="1"/>
  <c r="M1288" i="7" s="1"/>
  <c r="R1288" i="7"/>
  <c r="M1304" i="7" a="1"/>
  <c r="M1304" i="7" s="1"/>
  <c r="R1304" i="7"/>
  <c r="M1320" i="7" a="1"/>
  <c r="M1320" i="7" s="1"/>
  <c r="R1320" i="7"/>
  <c r="M1336" i="7" a="1"/>
  <c r="M1336" i="7" s="1"/>
  <c r="R1336" i="7"/>
  <c r="M1352" i="7" a="1"/>
  <c r="M1352" i="7" s="1"/>
  <c r="R1352" i="7"/>
  <c r="M1368" i="7" a="1"/>
  <c r="M1368" i="7" s="1"/>
  <c r="R1368" i="7"/>
  <c r="M1384" i="7" a="1"/>
  <c r="M1384" i="7" s="1"/>
  <c r="R1384" i="7"/>
  <c r="M949" i="7" a="1"/>
  <c r="M949" i="7" s="1"/>
  <c r="R949" i="7"/>
  <c r="M965" i="7" a="1"/>
  <c r="M965" i="7" s="1"/>
  <c r="R965" i="7"/>
  <c r="M981" i="7" a="1"/>
  <c r="M981" i="7" s="1"/>
  <c r="R981" i="7"/>
  <c r="M997" i="7" a="1"/>
  <c r="M997" i="7" s="1"/>
  <c r="R997" i="7"/>
  <c r="M1013" i="7" a="1"/>
  <c r="M1013" i="7" s="1"/>
  <c r="R1013" i="7"/>
  <c r="M1029" i="7" a="1"/>
  <c r="M1029" i="7" s="1"/>
  <c r="R1029" i="7"/>
  <c r="M1045" i="7" a="1"/>
  <c r="M1045" i="7" s="1"/>
  <c r="R1045" i="7"/>
  <c r="M1061" i="7" a="1"/>
  <c r="M1061" i="7" s="1"/>
  <c r="R1061" i="7"/>
  <c r="M1077" i="7" a="1"/>
  <c r="M1077" i="7" s="1"/>
  <c r="R1077" i="7"/>
  <c r="M1093" i="7" a="1"/>
  <c r="M1093" i="7" s="1"/>
  <c r="R1093" i="7"/>
  <c r="M1109" i="7" a="1"/>
  <c r="M1109" i="7" s="1"/>
  <c r="R1109" i="7"/>
  <c r="M1125" i="7" a="1"/>
  <c r="M1125" i="7" s="1"/>
  <c r="R1125" i="7"/>
  <c r="M1141" i="7" a="1"/>
  <c r="M1141" i="7" s="1"/>
  <c r="R1141" i="7"/>
  <c r="M1157" i="7" a="1"/>
  <c r="M1157" i="7" s="1"/>
  <c r="R1157" i="7"/>
  <c r="M1175" i="7" a="1"/>
  <c r="M1175" i="7" s="1"/>
  <c r="R1175" i="7"/>
  <c r="M1191" i="7" a="1"/>
  <c r="M1191" i="7" s="1"/>
  <c r="R1191" i="7"/>
  <c r="M1207" i="7" a="1"/>
  <c r="M1207" i="7" s="1"/>
  <c r="R1207" i="7"/>
  <c r="M1223" i="7" a="1"/>
  <c r="M1223" i="7" s="1"/>
  <c r="R1223" i="7"/>
  <c r="M1239" i="7" a="1"/>
  <c r="M1239" i="7" s="1"/>
  <c r="R1239" i="7"/>
  <c r="M1255" i="7" a="1"/>
  <c r="M1255" i="7" s="1"/>
  <c r="R1255" i="7"/>
  <c r="M1271" i="7" a="1"/>
  <c r="M1271" i="7" s="1"/>
  <c r="R1271" i="7"/>
  <c r="M1287" i="7" a="1"/>
  <c r="M1287" i="7" s="1"/>
  <c r="R1287" i="7"/>
  <c r="M1303" i="7" a="1"/>
  <c r="M1303" i="7" s="1"/>
  <c r="R1303" i="7"/>
  <c r="M1319" i="7" a="1"/>
  <c r="M1319" i="7" s="1"/>
  <c r="R1319" i="7"/>
  <c r="M1335" i="7" a="1"/>
  <c r="M1335" i="7" s="1"/>
  <c r="R1335" i="7"/>
  <c r="M1351" i="7" a="1"/>
  <c r="M1351" i="7" s="1"/>
  <c r="R1351" i="7"/>
  <c r="M1367" i="7" a="1"/>
  <c r="M1367" i="7" s="1"/>
  <c r="R1367" i="7"/>
  <c r="M1383" i="7" a="1"/>
  <c r="M1383" i="7" s="1"/>
  <c r="R1383" i="7"/>
  <c r="M1399" i="7" a="1"/>
  <c r="M1399" i="7" s="1"/>
  <c r="R1399" i="7"/>
  <c r="M1415" i="7" a="1"/>
  <c r="M1415" i="7" s="1"/>
  <c r="R1415" i="7"/>
  <c r="M1431" i="7" a="1"/>
  <c r="M1431" i="7" s="1"/>
  <c r="R1431" i="7"/>
  <c r="M1447" i="7" a="1"/>
  <c r="M1447" i="7" s="1"/>
  <c r="R1447" i="7"/>
  <c r="M1246" i="7" a="1"/>
  <c r="M1246" i="7" s="1"/>
  <c r="R1246" i="7"/>
  <c r="M1306" i="7" a="1"/>
  <c r="M1306" i="7" s="1"/>
  <c r="R1306" i="7"/>
  <c r="M1370" i="7" a="1"/>
  <c r="M1370" i="7" s="1"/>
  <c r="R1370" i="7"/>
  <c r="M1434" i="7" a="1"/>
  <c r="M1434" i="7" s="1"/>
  <c r="R1434" i="7"/>
  <c r="M1396" i="7" a="1"/>
  <c r="M1396" i="7" s="1"/>
  <c r="R1396" i="7"/>
  <c r="M1412" i="7" a="1"/>
  <c r="M1412" i="7" s="1"/>
  <c r="R1412" i="7"/>
  <c r="M1428" i="7" a="1"/>
  <c r="M1428" i="7" s="1"/>
  <c r="R1428" i="7"/>
  <c r="M1444" i="7" a="1"/>
  <c r="M1444" i="7" s="1"/>
  <c r="R1444" i="7"/>
  <c r="M1242" i="7" a="1"/>
  <c r="M1242" i="7" s="1"/>
  <c r="R1242" i="7"/>
  <c r="M1310" i="7" a="1"/>
  <c r="M1310" i="7" s="1"/>
  <c r="R1310" i="7"/>
  <c r="M1374" i="7" a="1"/>
  <c r="M1374" i="7" s="1"/>
  <c r="R1374" i="7"/>
  <c r="M1438" i="7" a="1"/>
  <c r="M1438" i="7" s="1"/>
  <c r="R1438" i="7"/>
  <c r="M1185" i="7" a="1"/>
  <c r="M1185" i="7" s="1"/>
  <c r="R1185" i="7"/>
  <c r="M1217" i="7" a="1"/>
  <c r="M1217" i="7" s="1"/>
  <c r="R1217" i="7"/>
  <c r="M1249" i="7" a="1"/>
  <c r="M1249" i="7" s="1"/>
  <c r="R1249" i="7"/>
  <c r="M1281" i="7" a="1"/>
  <c r="M1281" i="7" s="1"/>
  <c r="R1281" i="7"/>
  <c r="M1313" i="7" a="1"/>
  <c r="M1313" i="7" s="1"/>
  <c r="R1313" i="7"/>
  <c r="M1345" i="7" a="1"/>
  <c r="M1345" i="7" s="1"/>
  <c r="R1345" i="7"/>
  <c r="M1377" i="7" a="1"/>
  <c r="M1377" i="7" s="1"/>
  <c r="R1377" i="7"/>
  <c r="M1409" i="7" a="1"/>
  <c r="M1409" i="7" s="1"/>
  <c r="R1409" i="7"/>
  <c r="M1441" i="7" a="1"/>
  <c r="M1441" i="7" s="1"/>
  <c r="R1441" i="7"/>
  <c r="M1270" i="7" a="1"/>
  <c r="M1270" i="7" s="1"/>
  <c r="R1270" i="7"/>
  <c r="M1334" i="7" a="1"/>
  <c r="M1334" i="7" s="1"/>
  <c r="R1334" i="7"/>
  <c r="M1398" i="7" a="1"/>
  <c r="M1398" i="7" s="1"/>
  <c r="R1398" i="7"/>
  <c r="M978" i="7" a="1"/>
  <c r="M978" i="7" s="1"/>
  <c r="R978" i="7"/>
  <c r="M994" i="7" a="1"/>
  <c r="M994" i="7" s="1"/>
  <c r="R994" i="7"/>
  <c r="M1014" i="7" a="1"/>
  <c r="M1014" i="7" s="1"/>
  <c r="R1014" i="7"/>
  <c r="M1034" i="7" a="1"/>
  <c r="M1034" i="7" s="1"/>
  <c r="R1034" i="7"/>
  <c r="M1050" i="7" a="1"/>
  <c r="M1050" i="7" s="1"/>
  <c r="R1050" i="7"/>
  <c r="M1070" i="7" a="1"/>
  <c r="M1070" i="7" s="1"/>
  <c r="R1070" i="7"/>
  <c r="M1086" i="7" a="1"/>
  <c r="M1086" i="7" s="1"/>
  <c r="R1086" i="7"/>
  <c r="M1106" i="7" a="1"/>
  <c r="M1106" i="7" s="1"/>
  <c r="R1106" i="7"/>
  <c r="M1122" i="7" a="1"/>
  <c r="M1122" i="7" s="1"/>
  <c r="R1122" i="7"/>
  <c r="M1142" i="7" a="1"/>
  <c r="M1142" i="7" s="1"/>
  <c r="R1142" i="7"/>
  <c r="M1162" i="7" a="1"/>
  <c r="M1162" i="7" s="1"/>
  <c r="R1162" i="7"/>
  <c r="M1178" i="7" a="1"/>
  <c r="M1178" i="7" s="1"/>
  <c r="R1178" i="7"/>
  <c r="M1206" i="7" a="1"/>
  <c r="M1206" i="7" s="1"/>
  <c r="R1206" i="7"/>
  <c r="M1222" i="7" a="1"/>
  <c r="M1222" i="7" s="1"/>
  <c r="R1222" i="7"/>
  <c r="M1250" i="7" a="1"/>
  <c r="M1250" i="7" s="1"/>
  <c r="R1250" i="7"/>
  <c r="M1314" i="7" a="1"/>
  <c r="M1314" i="7" s="1"/>
  <c r="R1314" i="7"/>
  <c r="M1378" i="7" a="1"/>
  <c r="M1378" i="7" s="1"/>
  <c r="R1378" i="7"/>
  <c r="M1442" i="7" a="1"/>
  <c r="M1442" i="7" s="1"/>
  <c r="R1442" i="7"/>
  <c r="M951" i="7" a="1"/>
  <c r="M951" i="7" s="1"/>
  <c r="R951" i="7"/>
  <c r="M967" i="7" a="1"/>
  <c r="M967" i="7" s="1"/>
  <c r="R967" i="7"/>
  <c r="M983" i="7" a="1"/>
  <c r="M983" i="7" s="1"/>
  <c r="R983" i="7"/>
  <c r="M999" i="7" a="1"/>
  <c r="M999" i="7" s="1"/>
  <c r="R999" i="7"/>
  <c r="M1015" i="7" a="1"/>
  <c r="M1015" i="7" s="1"/>
  <c r="R1015" i="7"/>
  <c r="M1031" i="7" a="1"/>
  <c r="M1031" i="7" s="1"/>
  <c r="R1031" i="7"/>
  <c r="M1047" i="7" a="1"/>
  <c r="M1047" i="7" s="1"/>
  <c r="R1047" i="7"/>
  <c r="M1063" i="7" a="1"/>
  <c r="M1063" i="7" s="1"/>
  <c r="R1063" i="7"/>
  <c r="M1079" i="7" a="1"/>
  <c r="M1079" i="7" s="1"/>
  <c r="R1079" i="7"/>
  <c r="M1095" i="7" a="1"/>
  <c r="M1095" i="7" s="1"/>
  <c r="R1095" i="7"/>
  <c r="M1111" i="7" a="1"/>
  <c r="M1111" i="7" s="1"/>
  <c r="R1111" i="7"/>
  <c r="M1127" i="7" a="1"/>
  <c r="M1127" i="7" s="1"/>
  <c r="R1127" i="7"/>
  <c r="M1143" i="7" a="1"/>
  <c r="M1143" i="7" s="1"/>
  <c r="R1143" i="7"/>
  <c r="M1159" i="7" a="1"/>
  <c r="M1159" i="7" s="1"/>
  <c r="R1159" i="7"/>
  <c r="M940" i="7" a="1"/>
  <c r="M940" i="7" s="1"/>
  <c r="R940" i="7"/>
  <c r="M956" i="7" a="1"/>
  <c r="M956" i="7" s="1"/>
  <c r="R956" i="7"/>
  <c r="M972" i="7" a="1"/>
  <c r="M972" i="7" s="1"/>
  <c r="R972" i="7"/>
  <c r="M988" i="7" a="1"/>
  <c r="M988" i="7" s="1"/>
  <c r="R988" i="7"/>
  <c r="M1004" i="7" a="1"/>
  <c r="M1004" i="7" s="1"/>
  <c r="R1004" i="7"/>
  <c r="M1020" i="7" a="1"/>
  <c r="M1020" i="7" s="1"/>
  <c r="R1020" i="7"/>
  <c r="M1036" i="7" a="1"/>
  <c r="M1036" i="7" s="1"/>
  <c r="R1036" i="7"/>
  <c r="M1052" i="7" a="1"/>
  <c r="M1052" i="7" s="1"/>
  <c r="R1052" i="7"/>
  <c r="M1068" i="7" a="1"/>
  <c r="M1068" i="7" s="1"/>
  <c r="R1068" i="7"/>
  <c r="M1084" i="7" a="1"/>
  <c r="M1084" i="7" s="1"/>
  <c r="R1084" i="7"/>
  <c r="M1100" i="7" a="1"/>
  <c r="M1100" i="7" s="1"/>
  <c r="R1100" i="7"/>
  <c r="M1116" i="7" a="1"/>
  <c r="M1116" i="7" s="1"/>
  <c r="R1116" i="7"/>
  <c r="M1132" i="7" a="1"/>
  <c r="M1132" i="7" s="1"/>
  <c r="R1132" i="7"/>
  <c r="M1148" i="7" a="1"/>
  <c r="M1148" i="7" s="1"/>
  <c r="R1148" i="7"/>
  <c r="M1164" i="7" a="1"/>
  <c r="M1164" i="7" s="1"/>
  <c r="R1164" i="7"/>
  <c r="M1180" i="7" a="1"/>
  <c r="M1180" i="7" s="1"/>
  <c r="R1180" i="7"/>
  <c r="M1196" i="7" a="1"/>
  <c r="M1196" i="7" s="1"/>
  <c r="R1196" i="7"/>
  <c r="M1212" i="7" a="1"/>
  <c r="M1212" i="7" s="1"/>
  <c r="R1212" i="7"/>
  <c r="M1228" i="7" a="1"/>
  <c r="M1228" i="7" s="1"/>
  <c r="R1228" i="7"/>
  <c r="M1244" i="7" a="1"/>
  <c r="M1244" i="7" s="1"/>
  <c r="R1244" i="7"/>
  <c r="M1260" i="7" a="1"/>
  <c r="M1260" i="7" s="1"/>
  <c r="R1260" i="7"/>
  <c r="M1276" i="7" a="1"/>
  <c r="M1276" i="7" s="1"/>
  <c r="R1276" i="7"/>
  <c r="M1292" i="7" a="1"/>
  <c r="M1292" i="7" s="1"/>
  <c r="R1292" i="7"/>
  <c r="M1308" i="7" a="1"/>
  <c r="M1308" i="7" s="1"/>
  <c r="R1308" i="7"/>
  <c r="M1324" i="7" a="1"/>
  <c r="M1324" i="7" s="1"/>
  <c r="R1324" i="7"/>
  <c r="M1340" i="7" a="1"/>
  <c r="M1340" i="7" s="1"/>
  <c r="R1340" i="7"/>
  <c r="M1356" i="7" a="1"/>
  <c r="M1356" i="7" s="1"/>
  <c r="R1356" i="7"/>
  <c r="M1372" i="7" a="1"/>
  <c r="M1372" i="7" s="1"/>
  <c r="R1372" i="7"/>
  <c r="M937" i="7" a="1"/>
  <c r="M937" i="7" s="1"/>
  <c r="R937" i="7"/>
  <c r="M953" i="7" a="1"/>
  <c r="M953" i="7" s="1"/>
  <c r="R953" i="7"/>
  <c r="M969" i="7" a="1"/>
  <c r="M969" i="7" s="1"/>
  <c r="R969" i="7"/>
  <c r="M985" i="7" a="1"/>
  <c r="M985" i="7" s="1"/>
  <c r="R985" i="7"/>
  <c r="M1001" i="7" a="1"/>
  <c r="M1001" i="7" s="1"/>
  <c r="R1001" i="7"/>
  <c r="M1017" i="7" a="1"/>
  <c r="M1017" i="7" s="1"/>
  <c r="R1017" i="7"/>
  <c r="M1033" i="7" a="1"/>
  <c r="M1033" i="7" s="1"/>
  <c r="R1033" i="7"/>
  <c r="M1049" i="7" a="1"/>
  <c r="M1049" i="7" s="1"/>
  <c r="R1049" i="7"/>
  <c r="M1065" i="7" a="1"/>
  <c r="M1065" i="7" s="1"/>
  <c r="R1065" i="7"/>
  <c r="M1081" i="7" a="1"/>
  <c r="M1081" i="7" s="1"/>
  <c r="R1081" i="7"/>
  <c r="M1097" i="7" a="1"/>
  <c r="M1097" i="7" s="1"/>
  <c r="R1097" i="7"/>
  <c r="M1113" i="7" a="1"/>
  <c r="M1113" i="7" s="1"/>
  <c r="R1113" i="7"/>
  <c r="M1129" i="7" a="1"/>
  <c r="M1129" i="7" s="1"/>
  <c r="R1129" i="7"/>
  <c r="M1145" i="7" a="1"/>
  <c r="M1145" i="7" s="1"/>
  <c r="R1145" i="7"/>
  <c r="M1161" i="7" a="1"/>
  <c r="M1161" i="7" s="1"/>
  <c r="R1161" i="7"/>
  <c r="M1179" i="7" a="1"/>
  <c r="M1179" i="7" s="1"/>
  <c r="R1179" i="7"/>
  <c r="M1195" i="7" a="1"/>
  <c r="M1195" i="7" s="1"/>
  <c r="R1195" i="7"/>
  <c r="M1211" i="7" a="1"/>
  <c r="M1211" i="7" s="1"/>
  <c r="R1211" i="7"/>
  <c r="M1227" i="7" a="1"/>
  <c r="M1227" i="7" s="1"/>
  <c r="R1227" i="7"/>
  <c r="M1243" i="7" a="1"/>
  <c r="M1243" i="7" s="1"/>
  <c r="R1243" i="7"/>
  <c r="M1259" i="7" a="1"/>
  <c r="M1259" i="7" s="1"/>
  <c r="R1259" i="7"/>
  <c r="M1275" i="7" a="1"/>
  <c r="M1275" i="7" s="1"/>
  <c r="R1275" i="7"/>
  <c r="M1291" i="7" a="1"/>
  <c r="M1291" i="7" s="1"/>
  <c r="R1291" i="7"/>
  <c r="M1307" i="7" a="1"/>
  <c r="M1307" i="7" s="1"/>
  <c r="R1307" i="7"/>
  <c r="M1323" i="7" a="1"/>
  <c r="M1323" i="7" s="1"/>
  <c r="R1323" i="7"/>
  <c r="M1339" i="7" a="1"/>
  <c r="M1339" i="7" s="1"/>
  <c r="R1339" i="7"/>
  <c r="M1355" i="7" a="1"/>
  <c r="M1355" i="7" s="1"/>
  <c r="R1355" i="7"/>
  <c r="M1371" i="7" a="1"/>
  <c r="M1371" i="7" s="1"/>
  <c r="R1371" i="7"/>
  <c r="M1387" i="7" a="1"/>
  <c r="M1387" i="7" s="1"/>
  <c r="R1387" i="7"/>
  <c r="M1403" i="7" a="1"/>
  <c r="M1403" i="7" s="1"/>
  <c r="R1403" i="7"/>
  <c r="M1419" i="7" a="1"/>
  <c r="M1419" i="7" s="1"/>
  <c r="R1419" i="7"/>
  <c r="M1435" i="7" a="1"/>
  <c r="M1435" i="7" s="1"/>
  <c r="R1435" i="7"/>
  <c r="M1451" i="7" a="1"/>
  <c r="M1451" i="7" s="1"/>
  <c r="R1451" i="7"/>
  <c r="M1258" i="7" a="1"/>
  <c r="M1258" i="7" s="1"/>
  <c r="R1258" i="7"/>
  <c r="M1322" i="7" a="1"/>
  <c r="M1322" i="7" s="1"/>
  <c r="R1322" i="7"/>
  <c r="M1386" i="7" a="1"/>
  <c r="M1386" i="7" s="1"/>
  <c r="R1386" i="7"/>
  <c r="M1450" i="7" a="1"/>
  <c r="M1450" i="7" s="1"/>
  <c r="R1450" i="7"/>
  <c r="M1400" i="7" a="1"/>
  <c r="M1400" i="7" s="1"/>
  <c r="R1400" i="7"/>
  <c r="M1416" i="7" a="1"/>
  <c r="M1416" i="7" s="1"/>
  <c r="R1416" i="7"/>
  <c r="M1432" i="7" a="1"/>
  <c r="M1432" i="7" s="1"/>
  <c r="R1432" i="7"/>
  <c r="M1448" i="7" a="1"/>
  <c r="M1448" i="7" s="1"/>
  <c r="R1448" i="7"/>
  <c r="M1262" i="7" a="1"/>
  <c r="M1262" i="7" s="1"/>
  <c r="R1262" i="7"/>
  <c r="M1326" i="7" a="1"/>
  <c r="M1326" i="7" s="1"/>
  <c r="R1326" i="7"/>
  <c r="M1390" i="7" a="1"/>
  <c r="M1390" i="7" s="1"/>
  <c r="R1390" i="7"/>
  <c r="M1454" i="7" a="1"/>
  <c r="M1454" i="7" s="1"/>
  <c r="R1454" i="7"/>
  <c r="M1193" i="7" a="1"/>
  <c r="M1193" i="7" s="1"/>
  <c r="R1193" i="7"/>
  <c r="M1225" i="7" a="1"/>
  <c r="M1225" i="7" s="1"/>
  <c r="R1225" i="7"/>
  <c r="M1257" i="7" a="1"/>
  <c r="M1257" i="7" s="1"/>
  <c r="R1257" i="7"/>
  <c r="M1289" i="7" a="1"/>
  <c r="M1289" i="7" s="1"/>
  <c r="R1289" i="7"/>
  <c r="M1321" i="7" a="1"/>
  <c r="M1321" i="7" s="1"/>
  <c r="R1321" i="7"/>
  <c r="M1353" i="7" a="1"/>
  <c r="M1353" i="7" s="1"/>
  <c r="R1353" i="7"/>
  <c r="M1385" i="7" a="1"/>
  <c r="M1385" i="7" s="1"/>
  <c r="R1385" i="7"/>
  <c r="M1417" i="7" a="1"/>
  <c r="M1417" i="7" s="1"/>
  <c r="R1417" i="7"/>
  <c r="M1449" i="7" a="1"/>
  <c r="M1449" i="7" s="1"/>
  <c r="R1449" i="7"/>
  <c r="M1198" i="7" a="1"/>
  <c r="M1198" i="7" s="1"/>
  <c r="R1198" i="7"/>
  <c r="M1286" i="7" a="1"/>
  <c r="M1286" i="7" s="1"/>
  <c r="R1286" i="7"/>
  <c r="M1350" i="7" a="1"/>
  <c r="M1350" i="7" s="1"/>
  <c r="R1350" i="7"/>
  <c r="M1414" i="7" a="1"/>
  <c r="M1414" i="7" s="1"/>
  <c r="R1414" i="7"/>
  <c r="M982" i="7" a="1"/>
  <c r="M982" i="7" s="1"/>
  <c r="R982" i="7"/>
  <c r="M1002" i="7" a="1"/>
  <c r="M1002" i="7" s="1"/>
  <c r="R1002" i="7"/>
  <c r="M1018" i="7" a="1"/>
  <c r="M1018" i="7" s="1"/>
  <c r="R1018" i="7"/>
  <c r="M1038" i="7" a="1"/>
  <c r="M1038" i="7" s="1"/>
  <c r="R1038" i="7"/>
  <c r="M1054" i="7" a="1"/>
  <c r="M1054" i="7" s="1"/>
  <c r="R1054" i="7"/>
  <c r="M1074" i="7" a="1"/>
  <c r="M1074" i="7" s="1"/>
  <c r="R1074" i="7"/>
  <c r="M1090" i="7" a="1"/>
  <c r="M1090" i="7" s="1"/>
  <c r="R1090" i="7"/>
  <c r="M1110" i="7" a="1"/>
  <c r="M1110" i="7" s="1"/>
  <c r="R1110" i="7"/>
  <c r="M1130" i="7" a="1"/>
  <c r="M1130" i="7" s="1"/>
  <c r="R1130" i="7"/>
  <c r="M1146" i="7" a="1"/>
  <c r="M1146" i="7" s="1"/>
  <c r="R1146" i="7"/>
  <c r="M1166" i="7" a="1"/>
  <c r="M1166" i="7" s="1"/>
  <c r="R1166" i="7"/>
  <c r="M1182" i="7" a="1"/>
  <c r="M1182" i="7" s="1"/>
  <c r="R1182" i="7"/>
  <c r="M1210" i="7" a="1"/>
  <c r="M1210" i="7" s="1"/>
  <c r="R1210" i="7"/>
  <c r="M1226" i="7" a="1"/>
  <c r="M1226" i="7" s="1"/>
  <c r="R1226" i="7"/>
  <c r="M1266" i="7" a="1"/>
  <c r="M1266" i="7" s="1"/>
  <c r="R1266" i="7"/>
  <c r="M1330" i="7" a="1"/>
  <c r="M1330" i="7" s="1"/>
  <c r="R1330" i="7"/>
  <c r="M1394" i="7" a="1"/>
  <c r="M1394" i="7" s="1"/>
  <c r="R1394" i="7"/>
  <c r="M939" i="7" a="1"/>
  <c r="M939" i="7" s="1"/>
  <c r="R939" i="7"/>
  <c r="M955" i="7" a="1"/>
  <c r="M955" i="7" s="1"/>
  <c r="R955" i="7"/>
  <c r="M971" i="7" a="1"/>
  <c r="M971" i="7" s="1"/>
  <c r="R971" i="7"/>
  <c r="M987" i="7" a="1"/>
  <c r="M987" i="7" s="1"/>
  <c r="R987" i="7"/>
  <c r="M1003" i="7" a="1"/>
  <c r="M1003" i="7" s="1"/>
  <c r="R1003" i="7"/>
  <c r="M1019" i="7" a="1"/>
  <c r="M1019" i="7" s="1"/>
  <c r="R1019" i="7"/>
  <c r="M1035" i="7" a="1"/>
  <c r="M1035" i="7" s="1"/>
  <c r="R1035" i="7"/>
  <c r="M1051" i="7" a="1"/>
  <c r="M1051" i="7" s="1"/>
  <c r="R1051" i="7"/>
  <c r="M1067" i="7" a="1"/>
  <c r="M1067" i="7" s="1"/>
  <c r="R1067" i="7"/>
  <c r="M1083" i="7" a="1"/>
  <c r="M1083" i="7" s="1"/>
  <c r="R1083" i="7"/>
  <c r="M1099" i="7" a="1"/>
  <c r="M1099" i="7" s="1"/>
  <c r="R1099" i="7"/>
  <c r="M1115" i="7" a="1"/>
  <c r="M1115" i="7" s="1"/>
  <c r="R1115" i="7"/>
  <c r="M1131" i="7" a="1"/>
  <c r="M1131" i="7" s="1"/>
  <c r="R1131" i="7"/>
  <c r="M1147" i="7" a="1"/>
  <c r="M1147" i="7" s="1"/>
  <c r="R1147" i="7"/>
  <c r="M1163" i="7" a="1"/>
  <c r="M1163" i="7" s="1"/>
  <c r="R1163" i="7"/>
  <c r="M944" i="7" a="1"/>
  <c r="M944" i="7" s="1"/>
  <c r="R944" i="7"/>
  <c r="M960" i="7" a="1"/>
  <c r="M960" i="7" s="1"/>
  <c r="R960" i="7"/>
  <c r="M976" i="7" a="1"/>
  <c r="M976" i="7" s="1"/>
  <c r="R976" i="7"/>
  <c r="M992" i="7" a="1"/>
  <c r="M992" i="7" s="1"/>
  <c r="R992" i="7"/>
  <c r="M1008" i="7" a="1"/>
  <c r="M1008" i="7" s="1"/>
  <c r="R1008" i="7"/>
  <c r="M1024" i="7" a="1"/>
  <c r="M1024" i="7" s="1"/>
  <c r="R1024" i="7"/>
  <c r="M1040" i="7" a="1"/>
  <c r="M1040" i="7" s="1"/>
  <c r="R1040" i="7"/>
  <c r="M1056" i="7" a="1"/>
  <c r="M1056" i="7" s="1"/>
  <c r="R1056" i="7"/>
  <c r="M1072" i="7" a="1"/>
  <c r="M1072" i="7" s="1"/>
  <c r="R1072" i="7"/>
  <c r="M1088" i="7" a="1"/>
  <c r="M1088" i="7" s="1"/>
  <c r="R1088" i="7"/>
  <c r="M1104" i="7" a="1"/>
  <c r="M1104" i="7" s="1"/>
  <c r="R1104" i="7"/>
  <c r="M1120" i="7" a="1"/>
  <c r="M1120" i="7" s="1"/>
  <c r="R1120" i="7"/>
  <c r="M1136" i="7" a="1"/>
  <c r="M1136" i="7" s="1"/>
  <c r="R1136" i="7"/>
  <c r="M1152" i="7" a="1"/>
  <c r="M1152" i="7" s="1"/>
  <c r="R1152" i="7"/>
  <c r="M1168" i="7" a="1"/>
  <c r="M1168" i="7" s="1"/>
  <c r="R1168" i="7"/>
  <c r="M1184" i="7" a="1"/>
  <c r="M1184" i="7" s="1"/>
  <c r="R1184" i="7"/>
  <c r="M1200" i="7" a="1"/>
  <c r="M1200" i="7" s="1"/>
  <c r="R1200" i="7"/>
  <c r="M1216" i="7" a="1"/>
  <c r="M1216" i="7" s="1"/>
  <c r="R1216" i="7"/>
  <c r="M1232" i="7" a="1"/>
  <c r="M1232" i="7" s="1"/>
  <c r="R1232" i="7"/>
  <c r="M1248" i="7" a="1"/>
  <c r="M1248" i="7" s="1"/>
  <c r="R1248" i="7"/>
  <c r="M1264" i="7" a="1"/>
  <c r="M1264" i="7" s="1"/>
  <c r="R1264" i="7"/>
  <c r="M1280" i="7" a="1"/>
  <c r="M1280" i="7" s="1"/>
  <c r="R1280" i="7"/>
  <c r="M1296" i="7" a="1"/>
  <c r="M1296" i="7" s="1"/>
  <c r="R1296" i="7"/>
  <c r="M1312" i="7" a="1"/>
  <c r="M1312" i="7" s="1"/>
  <c r="R1312" i="7"/>
  <c r="M1328" i="7" a="1"/>
  <c r="M1328" i="7" s="1"/>
  <c r="R1328" i="7"/>
  <c r="M1344" i="7" a="1"/>
  <c r="M1344" i="7" s="1"/>
  <c r="R1344" i="7"/>
  <c r="M1360" i="7" a="1"/>
  <c r="M1360" i="7" s="1"/>
  <c r="R1360" i="7"/>
  <c r="M1376" i="7" a="1"/>
  <c r="M1376" i="7" s="1"/>
  <c r="R1376" i="7"/>
  <c r="M941" i="7" a="1"/>
  <c r="M941" i="7" s="1"/>
  <c r="R941" i="7"/>
  <c r="M957" i="7" a="1"/>
  <c r="M957" i="7" s="1"/>
  <c r="R957" i="7"/>
  <c r="M973" i="7" a="1"/>
  <c r="M973" i="7" s="1"/>
  <c r="R973" i="7"/>
  <c r="M989" i="7" a="1"/>
  <c r="M989" i="7" s="1"/>
  <c r="R989" i="7"/>
  <c r="M1005" i="7" a="1"/>
  <c r="M1005" i="7" s="1"/>
  <c r="R1005" i="7"/>
  <c r="M1021" i="7" a="1"/>
  <c r="M1021" i="7" s="1"/>
  <c r="R1021" i="7"/>
  <c r="M1037" i="7" a="1"/>
  <c r="M1037" i="7" s="1"/>
  <c r="R1037" i="7"/>
  <c r="M1053" i="7" a="1"/>
  <c r="M1053" i="7" s="1"/>
  <c r="R1053" i="7"/>
  <c r="M1069" i="7" a="1"/>
  <c r="M1069" i="7" s="1"/>
  <c r="R1069" i="7"/>
  <c r="M1085" i="7" a="1"/>
  <c r="M1085" i="7" s="1"/>
  <c r="R1085" i="7"/>
  <c r="M1101" i="7" a="1"/>
  <c r="M1101" i="7" s="1"/>
  <c r="R1101" i="7"/>
  <c r="M1117" i="7" a="1"/>
  <c r="M1117" i="7" s="1"/>
  <c r="R1117" i="7"/>
  <c r="M1133" i="7" a="1"/>
  <c r="M1133" i="7" s="1"/>
  <c r="R1133" i="7"/>
  <c r="M1149" i="7" a="1"/>
  <c r="M1149" i="7" s="1"/>
  <c r="R1149" i="7"/>
  <c r="M1165" i="7" a="1"/>
  <c r="M1165" i="7" s="1"/>
  <c r="R1165" i="7"/>
  <c r="M1183" i="7" a="1"/>
  <c r="M1183" i="7" s="1"/>
  <c r="R1183" i="7"/>
  <c r="M1199" i="7" a="1"/>
  <c r="M1199" i="7" s="1"/>
  <c r="R1199" i="7"/>
  <c r="M1215" i="7" a="1"/>
  <c r="M1215" i="7" s="1"/>
  <c r="R1215" i="7"/>
  <c r="M1231" i="7" a="1"/>
  <c r="M1231" i="7" s="1"/>
  <c r="R1231" i="7"/>
  <c r="M1247" i="7" a="1"/>
  <c r="M1247" i="7" s="1"/>
  <c r="R1247" i="7"/>
  <c r="M1263" i="7" a="1"/>
  <c r="M1263" i="7" s="1"/>
  <c r="R1263" i="7"/>
  <c r="M1279" i="7" a="1"/>
  <c r="M1279" i="7" s="1"/>
  <c r="R1279" i="7"/>
  <c r="M1295" i="7" a="1"/>
  <c r="M1295" i="7" s="1"/>
  <c r="R1295" i="7"/>
  <c r="M1311" i="7" a="1"/>
  <c r="M1311" i="7" s="1"/>
  <c r="R1311" i="7"/>
  <c r="M1327" i="7" a="1"/>
  <c r="M1327" i="7" s="1"/>
  <c r="R1327" i="7"/>
  <c r="M1343" i="7" a="1"/>
  <c r="M1343" i="7" s="1"/>
  <c r="R1343" i="7"/>
  <c r="M1359" i="7" a="1"/>
  <c r="M1359" i="7" s="1"/>
  <c r="R1359" i="7"/>
  <c r="M1375" i="7" a="1"/>
  <c r="M1375" i="7" s="1"/>
  <c r="R1375" i="7"/>
  <c r="M1391" i="7" a="1"/>
  <c r="M1391" i="7" s="1"/>
  <c r="R1391" i="7"/>
  <c r="R1407" i="7"/>
  <c r="M1407" i="7" a="1"/>
  <c r="M1407" i="7" s="1"/>
  <c r="R1423" i="7"/>
  <c r="M1423" i="7" a="1"/>
  <c r="M1423" i="7" s="1"/>
  <c r="M1439" i="7" a="1"/>
  <c r="M1439" i="7" s="1"/>
  <c r="R1439" i="7"/>
  <c r="R1455" i="7"/>
  <c r="M1455" i="7" a="1"/>
  <c r="M1455" i="7" s="1"/>
  <c r="M1274" i="7" a="1"/>
  <c r="M1274" i="7" s="1"/>
  <c r="R1274" i="7"/>
  <c r="M1338" i="7" a="1"/>
  <c r="M1338" i="7" s="1"/>
  <c r="R1338" i="7"/>
  <c r="M1402" i="7" a="1"/>
  <c r="M1402" i="7" s="1"/>
  <c r="R1402" i="7"/>
  <c r="M1388" i="7" a="1"/>
  <c r="M1388" i="7" s="1"/>
  <c r="R1388" i="7"/>
  <c r="M1404" i="7" a="1"/>
  <c r="M1404" i="7" s="1"/>
  <c r="R1404" i="7"/>
  <c r="M1420" i="7" a="1"/>
  <c r="M1420" i="7" s="1"/>
  <c r="R1420" i="7"/>
  <c r="M1436" i="7" a="1"/>
  <c r="M1436" i="7" s="1"/>
  <c r="R1436" i="7"/>
  <c r="M1452" i="7" a="1"/>
  <c r="M1452" i="7" s="1"/>
  <c r="R1452" i="7"/>
  <c r="M1278" i="7" a="1"/>
  <c r="M1278" i="7" s="1"/>
  <c r="R1278" i="7"/>
  <c r="M1342" i="7" a="1"/>
  <c r="M1342" i="7" s="1"/>
  <c r="R1342" i="7"/>
  <c r="M1406" i="7" a="1"/>
  <c r="M1406" i="7" s="1"/>
  <c r="R1406" i="7"/>
  <c r="M1169" i="7" a="1"/>
  <c r="M1169" i="7" s="1"/>
  <c r="R1169" i="7"/>
  <c r="M1201" i="7" a="1"/>
  <c r="M1201" i="7" s="1"/>
  <c r="R1201" i="7"/>
  <c r="M1233" i="7" a="1"/>
  <c r="M1233" i="7" s="1"/>
  <c r="R1233" i="7"/>
  <c r="M1265" i="7" a="1"/>
  <c r="M1265" i="7" s="1"/>
  <c r="R1265" i="7"/>
  <c r="M1297" i="7" a="1"/>
  <c r="M1297" i="7" s="1"/>
  <c r="R1297" i="7"/>
  <c r="M1329" i="7" a="1"/>
  <c r="M1329" i="7" s="1"/>
  <c r="R1329" i="7"/>
  <c r="M1361" i="7" a="1"/>
  <c r="M1361" i="7" s="1"/>
  <c r="R1361" i="7"/>
  <c r="M1393" i="7" a="1"/>
  <c r="M1393" i="7" s="1"/>
  <c r="R1393" i="7"/>
  <c r="M1425" i="7" a="1"/>
  <c r="M1425" i="7" s="1"/>
  <c r="R1425" i="7"/>
  <c r="M1238" i="7" a="1"/>
  <c r="M1238" i="7" s="1"/>
  <c r="R1238" i="7"/>
  <c r="M1302" i="7" a="1"/>
  <c r="M1302" i="7" s="1"/>
  <c r="R1302" i="7"/>
  <c r="M1366" i="7" a="1"/>
  <c r="M1366" i="7" s="1"/>
  <c r="R1366" i="7"/>
  <c r="M1430" i="7" a="1"/>
  <c r="M1430" i="7" s="1"/>
  <c r="R1430" i="7"/>
  <c r="M970" i="7" a="1"/>
  <c r="M970" i="7" s="1"/>
  <c r="R970" i="7"/>
  <c r="M986" i="7" a="1"/>
  <c r="M986" i="7" s="1"/>
  <c r="R986" i="7"/>
  <c r="M1006" i="7" a="1"/>
  <c r="M1006" i="7" s="1"/>
  <c r="R1006" i="7"/>
  <c r="M1022" i="7" a="1"/>
  <c r="M1022" i="7" s="1"/>
  <c r="R1022" i="7"/>
  <c r="M1042" i="7" a="1"/>
  <c r="M1042" i="7" s="1"/>
  <c r="R1042" i="7"/>
  <c r="M1058" i="7" a="1"/>
  <c r="M1058" i="7" s="1"/>
  <c r="R1058" i="7"/>
  <c r="M1078" i="7" a="1"/>
  <c r="M1078" i="7" s="1"/>
  <c r="R1078" i="7"/>
  <c r="M1098" i="7" a="1"/>
  <c r="M1098" i="7" s="1"/>
  <c r="R1098" i="7"/>
  <c r="M1114" i="7" a="1"/>
  <c r="M1114" i="7" s="1"/>
  <c r="R1114" i="7"/>
  <c r="M1134" i="7" a="1"/>
  <c r="M1134" i="7" s="1"/>
  <c r="R1134" i="7"/>
  <c r="M1150" i="7" a="1"/>
  <c r="M1150" i="7" s="1"/>
  <c r="R1150" i="7"/>
  <c r="M1170" i="7" a="1"/>
  <c r="M1170" i="7" s="1"/>
  <c r="R1170" i="7"/>
  <c r="M1186" i="7" a="1"/>
  <c r="M1186" i="7" s="1"/>
  <c r="R1186" i="7"/>
  <c r="M1214" i="7" a="1"/>
  <c r="M1214" i="7" s="1"/>
  <c r="R1214" i="7"/>
  <c r="M1230" i="7" a="1"/>
  <c r="M1230" i="7" s="1"/>
  <c r="R1230" i="7"/>
  <c r="M1282" i="7" a="1"/>
  <c r="M1282" i="7" s="1"/>
  <c r="R1282" i="7"/>
  <c r="M1346" i="7" a="1"/>
  <c r="M1346" i="7" s="1"/>
  <c r="R1346" i="7"/>
  <c r="M1410" i="7" a="1"/>
  <c r="M1410" i="7" s="1"/>
  <c r="R1410" i="7"/>
  <c r="R823" i="7"/>
  <c r="R851" i="7"/>
  <c r="R855" i="7"/>
  <c r="R867" i="7"/>
  <c r="R795" i="7"/>
  <c r="R799" i="7"/>
  <c r="R863" i="7"/>
  <c r="R815" i="7"/>
  <c r="R843" i="7"/>
  <c r="R827" i="7"/>
  <c r="R875" i="7"/>
  <c r="R715" i="7"/>
  <c r="R731" i="7"/>
  <c r="R747" i="7"/>
  <c r="R763" i="7"/>
  <c r="R779" i="7"/>
  <c r="R803" i="7"/>
  <c r="R831" i="7"/>
  <c r="R871" i="7"/>
  <c r="R907" i="7"/>
  <c r="R883" i="7"/>
  <c r="R919" i="7"/>
  <c r="R719" i="7"/>
  <c r="R735" i="7"/>
  <c r="R751" i="7"/>
  <c r="R767" i="7"/>
  <c r="R783" i="7"/>
  <c r="R807" i="7"/>
  <c r="R835" i="7"/>
  <c r="R887" i="7"/>
  <c r="R915" i="7"/>
  <c r="R891" i="7"/>
  <c r="R927" i="7"/>
  <c r="R723" i="7"/>
  <c r="R739" i="7"/>
  <c r="R755" i="7"/>
  <c r="R771" i="7"/>
  <c r="R787" i="7"/>
  <c r="R811" i="7"/>
  <c r="R847" i="7"/>
  <c r="R895" i="7"/>
  <c r="R923" i="7"/>
  <c r="R903" i="7"/>
  <c r="R935" i="7"/>
  <c r="R727" i="7"/>
  <c r="R743" i="7"/>
  <c r="R759" i="7"/>
  <c r="R775" i="7"/>
  <c r="R791" i="7"/>
  <c r="R819" i="7"/>
  <c r="R859" i="7"/>
  <c r="R899" i="7"/>
  <c r="R931" i="7"/>
  <c r="R911" i="7"/>
  <c r="R879" i="7"/>
  <c r="M36" i="7" a="1"/>
  <c r="M36" i="7" s="1"/>
  <c r="R36" i="7"/>
  <c r="M84" i="7" a="1"/>
  <c r="M84" i="7" s="1"/>
  <c r="R84" i="7"/>
  <c r="M24" i="7" a="1"/>
  <c r="M24" i="7" s="1"/>
  <c r="R24" i="7"/>
  <c r="M72" i="7" a="1"/>
  <c r="M72" i="7" s="1"/>
  <c r="R72" i="7"/>
  <c r="M120" i="7" a="1"/>
  <c r="M120" i="7" s="1"/>
  <c r="R120" i="7"/>
  <c r="M168" i="7" a="1"/>
  <c r="M168" i="7" s="1"/>
  <c r="R168" i="7"/>
  <c r="M216" i="7" a="1"/>
  <c r="M216" i="7" s="1"/>
  <c r="R216" i="7"/>
  <c r="M264" i="7" a="1"/>
  <c r="M264" i="7" s="1"/>
  <c r="R264" i="7"/>
  <c r="M312" i="7" a="1"/>
  <c r="M312" i="7" s="1"/>
  <c r="R312" i="7"/>
  <c r="M360" i="7" a="1"/>
  <c r="M360" i="7" s="1"/>
  <c r="R360" i="7"/>
  <c r="M392" i="7" a="1"/>
  <c r="M392" i="7" s="1"/>
  <c r="R392" i="7"/>
  <c r="M424" i="7" a="1"/>
  <c r="M424" i="7" s="1"/>
  <c r="R424" i="7"/>
  <c r="M456" i="7" a="1"/>
  <c r="M456" i="7" s="1"/>
  <c r="R456" i="7"/>
  <c r="M504" i="7" a="1"/>
  <c r="M504" i="7" s="1"/>
  <c r="R504" i="7"/>
  <c r="M520" i="7" a="1"/>
  <c r="M520" i="7" s="1"/>
  <c r="R520" i="7"/>
  <c r="M536" i="7" a="1"/>
  <c r="M536" i="7" s="1"/>
  <c r="R536" i="7"/>
  <c r="M568" i="7" a="1"/>
  <c r="M568" i="7" s="1"/>
  <c r="R568" i="7"/>
  <c r="M584" i="7" a="1"/>
  <c r="M584" i="7" s="1"/>
  <c r="R584" i="7"/>
  <c r="M600" i="7" a="1"/>
  <c r="M600" i="7" s="1"/>
  <c r="R600" i="7"/>
  <c r="M5" i="7" a="1"/>
  <c r="M5" i="7" s="1"/>
  <c r="R5" i="7"/>
  <c r="M21" i="7" a="1"/>
  <c r="M21" i="7" s="1"/>
  <c r="R21" i="7"/>
  <c r="M37" i="7" a="1"/>
  <c r="M37" i="7" s="1"/>
  <c r="R37" i="7"/>
  <c r="M53" i="7" a="1"/>
  <c r="M53" i="7" s="1"/>
  <c r="R53" i="7"/>
  <c r="M69" i="7" a="1"/>
  <c r="M69" i="7" s="1"/>
  <c r="R69" i="7"/>
  <c r="M85" i="7" a="1"/>
  <c r="M85" i="7" s="1"/>
  <c r="R85" i="7"/>
  <c r="M101" i="7" a="1"/>
  <c r="M101" i="7" s="1"/>
  <c r="R101" i="7"/>
  <c r="M117" i="7" a="1"/>
  <c r="M117" i="7" s="1"/>
  <c r="R117" i="7"/>
  <c r="M133" i="7" a="1"/>
  <c r="M133" i="7" s="1"/>
  <c r="R133" i="7"/>
  <c r="M149" i="7" a="1"/>
  <c r="M149" i="7" s="1"/>
  <c r="R149" i="7"/>
  <c r="M165" i="7" a="1"/>
  <c r="M165" i="7" s="1"/>
  <c r="R165" i="7"/>
  <c r="M181" i="7" a="1"/>
  <c r="M181" i="7" s="1"/>
  <c r="R181" i="7"/>
  <c r="M197" i="7" a="1"/>
  <c r="M197" i="7" s="1"/>
  <c r="R197" i="7"/>
  <c r="M213" i="7" a="1"/>
  <c r="M213" i="7" s="1"/>
  <c r="R213" i="7"/>
  <c r="M229" i="7" a="1"/>
  <c r="M229" i="7" s="1"/>
  <c r="R229" i="7"/>
  <c r="M245" i="7" a="1"/>
  <c r="M245" i="7" s="1"/>
  <c r="R245" i="7"/>
  <c r="M261" i="7" a="1"/>
  <c r="M261" i="7" s="1"/>
  <c r="R261" i="7"/>
  <c r="M277" i="7" a="1"/>
  <c r="M277" i="7" s="1"/>
  <c r="R277" i="7"/>
  <c r="M293" i="7" a="1"/>
  <c r="M293" i="7" s="1"/>
  <c r="R293" i="7"/>
  <c r="M309" i="7" a="1"/>
  <c r="M309" i="7" s="1"/>
  <c r="R309" i="7"/>
  <c r="M325" i="7" a="1"/>
  <c r="M325" i="7" s="1"/>
  <c r="R325" i="7"/>
  <c r="M341" i="7" a="1"/>
  <c r="M341" i="7" s="1"/>
  <c r="R341" i="7"/>
  <c r="M357" i="7" a="1"/>
  <c r="M357" i="7" s="1"/>
  <c r="R357" i="7"/>
  <c r="M373" i="7" a="1"/>
  <c r="M373" i="7" s="1"/>
  <c r="R373" i="7"/>
  <c r="M389" i="7" a="1"/>
  <c r="M389" i="7" s="1"/>
  <c r="R389" i="7"/>
  <c r="M405" i="7" a="1"/>
  <c r="M405" i="7" s="1"/>
  <c r="R405" i="7"/>
  <c r="M421" i="7" a="1"/>
  <c r="M421" i="7" s="1"/>
  <c r="R421" i="7"/>
  <c r="M437" i="7" a="1"/>
  <c r="M437" i="7" s="1"/>
  <c r="R437" i="7"/>
  <c r="M453" i="7" a="1"/>
  <c r="M453" i="7" s="1"/>
  <c r="R453" i="7"/>
  <c r="M469" i="7" a="1"/>
  <c r="M469" i="7" s="1"/>
  <c r="R469" i="7"/>
  <c r="M485" i="7" a="1"/>
  <c r="M485" i="7" s="1"/>
  <c r="R485" i="7"/>
  <c r="M501" i="7" a="1"/>
  <c r="M501" i="7" s="1"/>
  <c r="R501" i="7"/>
  <c r="M517" i="7" a="1"/>
  <c r="M517" i="7" s="1"/>
  <c r="R517" i="7"/>
  <c r="M533" i="7" a="1"/>
  <c r="M533" i="7" s="1"/>
  <c r="R533" i="7"/>
  <c r="M549" i="7" a="1"/>
  <c r="M549" i="7" s="1"/>
  <c r="R549" i="7"/>
  <c r="M565" i="7" a="1"/>
  <c r="M565" i="7" s="1"/>
  <c r="R565" i="7"/>
  <c r="M581" i="7" a="1"/>
  <c r="M581" i="7" s="1"/>
  <c r="R581" i="7"/>
  <c r="M597" i="7" a="1"/>
  <c r="M597" i="7" s="1"/>
  <c r="R597" i="7"/>
  <c r="M613" i="7" a="1"/>
  <c r="M613" i="7" s="1"/>
  <c r="R613" i="7"/>
  <c r="M629" i="7" a="1"/>
  <c r="M629" i="7" s="1"/>
  <c r="R629" i="7"/>
  <c r="M645" i="7" a="1"/>
  <c r="M645" i="7" s="1"/>
  <c r="R645" i="7"/>
  <c r="M18" i="7" a="1"/>
  <c r="M18" i="7" s="1"/>
  <c r="R18" i="7"/>
  <c r="M34" i="7" a="1"/>
  <c r="M34" i="7" s="1"/>
  <c r="R34" i="7"/>
  <c r="M50" i="7" a="1"/>
  <c r="M50" i="7" s="1"/>
  <c r="R50" i="7"/>
  <c r="M66" i="7" a="1"/>
  <c r="M66" i="7" s="1"/>
  <c r="R66" i="7"/>
  <c r="M82" i="7" a="1"/>
  <c r="M82" i="7" s="1"/>
  <c r="R82" i="7"/>
  <c r="M98" i="7" a="1"/>
  <c r="M98" i="7" s="1"/>
  <c r="R98" i="7"/>
  <c r="M114" i="7" a="1"/>
  <c r="M114" i="7" s="1"/>
  <c r="R114" i="7"/>
  <c r="M130" i="7" a="1"/>
  <c r="M130" i="7" s="1"/>
  <c r="R130" i="7"/>
  <c r="M146" i="7" a="1"/>
  <c r="M146" i="7" s="1"/>
  <c r="R146" i="7"/>
  <c r="M162" i="7" a="1"/>
  <c r="M162" i="7" s="1"/>
  <c r="R162" i="7"/>
  <c r="M178" i="7" a="1"/>
  <c r="M178" i="7" s="1"/>
  <c r="R178" i="7"/>
  <c r="M194" i="7" a="1"/>
  <c r="M194" i="7" s="1"/>
  <c r="R194" i="7"/>
  <c r="M210" i="7" a="1"/>
  <c r="M210" i="7" s="1"/>
  <c r="R210" i="7"/>
  <c r="M226" i="7" a="1"/>
  <c r="M226" i="7" s="1"/>
  <c r="R226" i="7"/>
  <c r="M242" i="7" a="1"/>
  <c r="M242" i="7" s="1"/>
  <c r="R242" i="7"/>
  <c r="M258" i="7" a="1"/>
  <c r="M258" i="7" s="1"/>
  <c r="R258" i="7"/>
  <c r="M274" i="7" a="1"/>
  <c r="M274" i="7" s="1"/>
  <c r="R274" i="7"/>
  <c r="M290" i="7" a="1"/>
  <c r="M290" i="7" s="1"/>
  <c r="R290" i="7"/>
  <c r="M306" i="7" a="1"/>
  <c r="M306" i="7" s="1"/>
  <c r="R306" i="7"/>
  <c r="M322" i="7" a="1"/>
  <c r="M322" i="7" s="1"/>
  <c r="R322" i="7"/>
  <c r="M338" i="7" a="1"/>
  <c r="M338" i="7" s="1"/>
  <c r="R338" i="7"/>
  <c r="M354" i="7" a="1"/>
  <c r="M354" i="7" s="1"/>
  <c r="R354" i="7"/>
  <c r="M370" i="7" a="1"/>
  <c r="M370" i="7" s="1"/>
  <c r="R370" i="7"/>
  <c r="M386" i="7" a="1"/>
  <c r="M386" i="7" s="1"/>
  <c r="R386" i="7"/>
  <c r="M402" i="7" a="1"/>
  <c r="M402" i="7" s="1"/>
  <c r="R402" i="7"/>
  <c r="M418" i="7" a="1"/>
  <c r="M418" i="7" s="1"/>
  <c r="R418" i="7"/>
  <c r="M434" i="7" a="1"/>
  <c r="M434" i="7" s="1"/>
  <c r="R434" i="7"/>
  <c r="M450" i="7" a="1"/>
  <c r="M450" i="7" s="1"/>
  <c r="R450" i="7"/>
  <c r="M466" i="7" a="1"/>
  <c r="M466" i="7" s="1"/>
  <c r="R466" i="7"/>
  <c r="M482" i="7" a="1"/>
  <c r="M482" i="7" s="1"/>
  <c r="R482" i="7"/>
  <c r="M498" i="7" a="1"/>
  <c r="M498" i="7" s="1"/>
  <c r="R498" i="7"/>
  <c r="M514" i="7" a="1"/>
  <c r="M514" i="7" s="1"/>
  <c r="R514" i="7"/>
  <c r="M530" i="7" a="1"/>
  <c r="M530" i="7" s="1"/>
  <c r="R530" i="7"/>
  <c r="M546" i="7" a="1"/>
  <c r="M546" i="7" s="1"/>
  <c r="R546" i="7"/>
  <c r="M562" i="7" a="1"/>
  <c r="M562" i="7" s="1"/>
  <c r="R562" i="7"/>
  <c r="M578" i="7" a="1"/>
  <c r="M578" i="7" s="1"/>
  <c r="R578" i="7"/>
  <c r="M594" i="7" a="1"/>
  <c r="M594" i="7" s="1"/>
  <c r="R594" i="7"/>
  <c r="M610" i="7" a="1"/>
  <c r="M610" i="7" s="1"/>
  <c r="R610" i="7"/>
  <c r="M626" i="7" a="1"/>
  <c r="M626" i="7" s="1"/>
  <c r="R626" i="7"/>
  <c r="M649" i="7" a="1"/>
  <c r="M649" i="7" s="1"/>
  <c r="R649" i="7"/>
  <c r="M665" i="7" a="1"/>
  <c r="M665" i="7" s="1"/>
  <c r="R665" i="7"/>
  <c r="M681" i="7" a="1"/>
  <c r="M681" i="7" s="1"/>
  <c r="R681" i="7"/>
  <c r="M697" i="7" a="1"/>
  <c r="M697" i="7" s="1"/>
  <c r="R697" i="7"/>
  <c r="M713" i="7" a="1"/>
  <c r="M713" i="7" s="1"/>
  <c r="R713" i="7"/>
  <c r="M729" i="7" a="1"/>
  <c r="M729" i="7" s="1"/>
  <c r="R729" i="7"/>
  <c r="M745" i="7" a="1"/>
  <c r="M745" i="7" s="1"/>
  <c r="R745" i="7"/>
  <c r="M761" i="7" a="1"/>
  <c r="M761" i="7" s="1"/>
  <c r="R761" i="7"/>
  <c r="M777" i="7" a="1"/>
  <c r="M777" i="7" s="1"/>
  <c r="R777" i="7"/>
  <c r="M793" i="7" a="1"/>
  <c r="M793" i="7" s="1"/>
  <c r="R793" i="7"/>
  <c r="M809" i="7" a="1"/>
  <c r="M809" i="7" s="1"/>
  <c r="R809" i="7"/>
  <c r="M825" i="7" a="1"/>
  <c r="M825" i="7" s="1"/>
  <c r="R825" i="7"/>
  <c r="M841" i="7" a="1"/>
  <c r="M841" i="7" s="1"/>
  <c r="R841" i="7"/>
  <c r="M857" i="7" a="1"/>
  <c r="M857" i="7" s="1"/>
  <c r="R857" i="7"/>
  <c r="M873" i="7" a="1"/>
  <c r="M873" i="7" s="1"/>
  <c r="R873" i="7"/>
  <c r="M889" i="7" a="1"/>
  <c r="M889" i="7" s="1"/>
  <c r="R889" i="7"/>
  <c r="M905" i="7" a="1"/>
  <c r="M905" i="7" s="1"/>
  <c r="R905" i="7"/>
  <c r="M921" i="7" a="1"/>
  <c r="M921" i="7" s="1"/>
  <c r="R921" i="7"/>
  <c r="M642" i="7" a="1"/>
  <c r="M642" i="7" s="1"/>
  <c r="R642" i="7"/>
  <c r="M658" i="7" a="1"/>
  <c r="M658" i="7" s="1"/>
  <c r="R658" i="7"/>
  <c r="M674" i="7" a="1"/>
  <c r="M674" i="7" s="1"/>
  <c r="R674" i="7"/>
  <c r="M690" i="7" a="1"/>
  <c r="M690" i="7" s="1"/>
  <c r="R690" i="7"/>
  <c r="M706" i="7" a="1"/>
  <c r="M706" i="7" s="1"/>
  <c r="R706" i="7"/>
  <c r="M722" i="7" a="1"/>
  <c r="M722" i="7" s="1"/>
  <c r="R722" i="7"/>
  <c r="M738" i="7" a="1"/>
  <c r="M738" i="7" s="1"/>
  <c r="R738" i="7"/>
  <c r="M754" i="7" a="1"/>
  <c r="M754" i="7" s="1"/>
  <c r="R754" i="7"/>
  <c r="M770" i="7" a="1"/>
  <c r="M770" i="7" s="1"/>
  <c r="R770" i="7"/>
  <c r="M786" i="7" a="1"/>
  <c r="M786" i="7" s="1"/>
  <c r="R786" i="7"/>
  <c r="M802" i="7" a="1"/>
  <c r="M802" i="7" s="1"/>
  <c r="R802" i="7"/>
  <c r="M818" i="7" a="1"/>
  <c r="M818" i="7" s="1"/>
  <c r="R818" i="7"/>
  <c r="M834" i="7" a="1"/>
  <c r="M834" i="7" s="1"/>
  <c r="R834" i="7"/>
  <c r="M850" i="7" a="1"/>
  <c r="M850" i="7" s="1"/>
  <c r="R850" i="7"/>
  <c r="M866" i="7" a="1"/>
  <c r="M866" i="7" s="1"/>
  <c r="R866" i="7"/>
  <c r="M882" i="7" a="1"/>
  <c r="M882" i="7" s="1"/>
  <c r="R882" i="7"/>
  <c r="M898" i="7" a="1"/>
  <c r="M898" i="7" s="1"/>
  <c r="R898" i="7"/>
  <c r="M914" i="7" a="1"/>
  <c r="M914" i="7" s="1"/>
  <c r="R914" i="7"/>
  <c r="M930" i="7" a="1"/>
  <c r="M930" i="7" s="1"/>
  <c r="R930" i="7"/>
  <c r="M616" i="7" a="1"/>
  <c r="M616" i="7" s="1"/>
  <c r="R616" i="7"/>
  <c r="M632" i="7" a="1"/>
  <c r="M632" i="7" s="1"/>
  <c r="R632" i="7"/>
  <c r="R55" i="7"/>
  <c r="R111" i="7"/>
  <c r="R167" i="7"/>
  <c r="R231" i="7"/>
  <c r="R287" i="7"/>
  <c r="R343" i="7"/>
  <c r="R399" i="7"/>
  <c r="R463" i="7"/>
  <c r="R519" i="7"/>
  <c r="R579" i="7"/>
  <c r="R635" i="7"/>
  <c r="R691" i="7"/>
  <c r="R43" i="7"/>
  <c r="R115" i="7"/>
  <c r="R191" i="7"/>
  <c r="R259" i="7"/>
  <c r="R331" i="7"/>
  <c r="R403" i="7"/>
  <c r="R471" i="7"/>
  <c r="R539" i="7"/>
  <c r="R627" i="7"/>
  <c r="R695" i="7"/>
  <c r="R71" i="7"/>
  <c r="R135" i="7"/>
  <c r="R203" i="7"/>
  <c r="R275" i="7"/>
  <c r="R347" i="7"/>
  <c r="R419" i="7"/>
  <c r="R487" i="7"/>
  <c r="R555" i="7"/>
  <c r="R623" i="7"/>
  <c r="R699" i="7"/>
  <c r="R39" i="7"/>
  <c r="R95" i="7"/>
  <c r="R151" i="7"/>
  <c r="R211" i="7"/>
  <c r="R267" i="7"/>
  <c r="R323" i="7"/>
  <c r="R391" i="7"/>
  <c r="R443" i="7"/>
  <c r="R499" i="7"/>
  <c r="R559" i="7"/>
  <c r="R615" i="7"/>
  <c r="R671" i="7"/>
  <c r="R920" i="7"/>
  <c r="R904" i="7"/>
  <c r="R664" i="7"/>
  <c r="R696" i="7"/>
  <c r="R728" i="7"/>
  <c r="R760" i="7"/>
  <c r="R792" i="7"/>
  <c r="R836" i="7"/>
  <c r="R884" i="7"/>
  <c r="M4" i="7" a="1"/>
  <c r="M4" i="7" s="1"/>
  <c r="R4" i="7"/>
  <c r="M52" i="7" a="1"/>
  <c r="M52" i="7" s="1"/>
  <c r="R52" i="7"/>
  <c r="M100" i="7" a="1"/>
  <c r="M100" i="7" s="1"/>
  <c r="R100" i="7"/>
  <c r="M148" i="7" a="1"/>
  <c r="M148" i="7" s="1"/>
  <c r="R148" i="7"/>
  <c r="M8" i="7" a="1"/>
  <c r="M8" i="7" s="1"/>
  <c r="R8" i="7"/>
  <c r="M56" i="7" a="1"/>
  <c r="M56" i="7" s="1"/>
  <c r="R56" i="7"/>
  <c r="M104" i="7" a="1"/>
  <c r="M104" i="7" s="1"/>
  <c r="R104" i="7"/>
  <c r="M152" i="7" a="1"/>
  <c r="M152" i="7" s="1"/>
  <c r="R152" i="7"/>
  <c r="M200" i="7" a="1"/>
  <c r="M200" i="7" s="1"/>
  <c r="R200" i="7"/>
  <c r="M232" i="7" a="1"/>
  <c r="M232" i="7" s="1"/>
  <c r="R232" i="7"/>
  <c r="M280" i="7" a="1"/>
  <c r="M280" i="7" s="1"/>
  <c r="R280" i="7"/>
  <c r="M328" i="7" a="1"/>
  <c r="M328" i="7" s="1"/>
  <c r="R328" i="7"/>
  <c r="M376" i="7" a="1"/>
  <c r="M376" i="7" s="1"/>
  <c r="R376" i="7"/>
  <c r="M408" i="7" a="1"/>
  <c r="M408" i="7" s="1"/>
  <c r="R408" i="7"/>
  <c r="M440" i="7" a="1"/>
  <c r="M440" i="7" s="1"/>
  <c r="R440" i="7"/>
  <c r="M472" i="7" a="1"/>
  <c r="M472" i="7" s="1"/>
  <c r="R472" i="7"/>
  <c r="M552" i="7" a="1"/>
  <c r="M552" i="7" s="1"/>
  <c r="R552" i="7"/>
  <c r="M12" i="7" a="1"/>
  <c r="M12" i="7" s="1"/>
  <c r="R12" i="7"/>
  <c r="M28" i="7" a="1"/>
  <c r="M28" i="7" s="1"/>
  <c r="R28" i="7"/>
  <c r="M44" i="7" a="1"/>
  <c r="M44" i="7" s="1"/>
  <c r="R44" i="7"/>
  <c r="M60" i="7" a="1"/>
  <c r="M60" i="7" s="1"/>
  <c r="R60" i="7"/>
  <c r="M76" i="7" a="1"/>
  <c r="M76" i="7" s="1"/>
  <c r="R76" i="7"/>
  <c r="M92" i="7" a="1"/>
  <c r="M92" i="7" s="1"/>
  <c r="R92" i="7"/>
  <c r="M108" i="7" a="1"/>
  <c r="M108" i="7" s="1"/>
  <c r="R108" i="7"/>
  <c r="M124" i="7" a="1"/>
  <c r="M124" i="7" s="1"/>
  <c r="R124" i="7"/>
  <c r="M140" i="7" a="1"/>
  <c r="M140" i="7" s="1"/>
  <c r="R140" i="7"/>
  <c r="M156" i="7" a="1"/>
  <c r="M156" i="7" s="1"/>
  <c r="R156" i="7"/>
  <c r="M172" i="7" a="1"/>
  <c r="M172" i="7" s="1"/>
  <c r="R172" i="7"/>
  <c r="M188" i="7" a="1"/>
  <c r="M188" i="7" s="1"/>
  <c r="R188" i="7"/>
  <c r="M204" i="7" a="1"/>
  <c r="M204" i="7" s="1"/>
  <c r="R204" i="7"/>
  <c r="M220" i="7" a="1"/>
  <c r="M220" i="7" s="1"/>
  <c r="R220" i="7"/>
  <c r="M236" i="7" a="1"/>
  <c r="M236" i="7" s="1"/>
  <c r="R236" i="7"/>
  <c r="M252" i="7" a="1"/>
  <c r="M252" i="7" s="1"/>
  <c r="R252" i="7"/>
  <c r="M268" i="7" a="1"/>
  <c r="M268" i="7" s="1"/>
  <c r="R268" i="7"/>
  <c r="M284" i="7" a="1"/>
  <c r="M284" i="7" s="1"/>
  <c r="R284" i="7"/>
  <c r="M300" i="7" a="1"/>
  <c r="M300" i="7" s="1"/>
  <c r="R300" i="7"/>
  <c r="M316" i="7" a="1"/>
  <c r="M316" i="7" s="1"/>
  <c r="R316" i="7"/>
  <c r="M332" i="7" a="1"/>
  <c r="M332" i="7" s="1"/>
  <c r="R332" i="7"/>
  <c r="M348" i="7" a="1"/>
  <c r="M348" i="7" s="1"/>
  <c r="R348" i="7"/>
  <c r="M364" i="7" a="1"/>
  <c r="M364" i="7" s="1"/>
  <c r="R364" i="7"/>
  <c r="M380" i="7" a="1"/>
  <c r="M380" i="7" s="1"/>
  <c r="R380" i="7"/>
  <c r="M396" i="7" a="1"/>
  <c r="M396" i="7" s="1"/>
  <c r="R396" i="7"/>
  <c r="M412" i="7" a="1"/>
  <c r="M412" i="7" s="1"/>
  <c r="R412" i="7"/>
  <c r="M428" i="7" a="1"/>
  <c r="M428" i="7" s="1"/>
  <c r="R428" i="7"/>
  <c r="M444" i="7" a="1"/>
  <c r="M444" i="7" s="1"/>
  <c r="R444" i="7"/>
  <c r="M460" i="7" a="1"/>
  <c r="M460" i="7" s="1"/>
  <c r="R460" i="7"/>
  <c r="M476" i="7" a="1"/>
  <c r="M476" i="7" s="1"/>
  <c r="R476" i="7"/>
  <c r="M492" i="7" a="1"/>
  <c r="M492" i="7" s="1"/>
  <c r="R492" i="7"/>
  <c r="M508" i="7" a="1"/>
  <c r="M508" i="7" s="1"/>
  <c r="R508" i="7"/>
  <c r="M524" i="7" a="1"/>
  <c r="M524" i="7" s="1"/>
  <c r="R524" i="7"/>
  <c r="M540" i="7" a="1"/>
  <c r="M540" i="7" s="1"/>
  <c r="R540" i="7"/>
  <c r="M556" i="7" a="1"/>
  <c r="M556" i="7" s="1"/>
  <c r="R556" i="7"/>
  <c r="M572" i="7" a="1"/>
  <c r="M572" i="7" s="1"/>
  <c r="R572" i="7"/>
  <c r="M588" i="7" a="1"/>
  <c r="M588" i="7" s="1"/>
  <c r="R588" i="7"/>
  <c r="M604" i="7" a="1"/>
  <c r="M604" i="7" s="1"/>
  <c r="R604" i="7"/>
  <c r="M9" i="7" a="1"/>
  <c r="M9" i="7" s="1"/>
  <c r="R9" i="7"/>
  <c r="M25" i="7" a="1"/>
  <c r="M25" i="7" s="1"/>
  <c r="R25" i="7"/>
  <c r="M41" i="7" a="1"/>
  <c r="M41" i="7" s="1"/>
  <c r="R41" i="7"/>
  <c r="M57" i="7" a="1"/>
  <c r="M57" i="7" s="1"/>
  <c r="R57" i="7"/>
  <c r="M73" i="7" a="1"/>
  <c r="M73" i="7" s="1"/>
  <c r="R73" i="7"/>
  <c r="M89" i="7" a="1"/>
  <c r="M89" i="7" s="1"/>
  <c r="R89" i="7"/>
  <c r="M105" i="7" a="1"/>
  <c r="M105" i="7" s="1"/>
  <c r="R105" i="7"/>
  <c r="M121" i="7" a="1"/>
  <c r="M121" i="7" s="1"/>
  <c r="R121" i="7"/>
  <c r="M137" i="7" a="1"/>
  <c r="M137" i="7" s="1"/>
  <c r="R137" i="7"/>
  <c r="M153" i="7" a="1"/>
  <c r="M153" i="7" s="1"/>
  <c r="R153" i="7"/>
  <c r="M169" i="7" a="1"/>
  <c r="M169" i="7" s="1"/>
  <c r="R169" i="7"/>
  <c r="M185" i="7" a="1"/>
  <c r="M185" i="7" s="1"/>
  <c r="R185" i="7"/>
  <c r="M201" i="7" a="1"/>
  <c r="M201" i="7" s="1"/>
  <c r="R201" i="7"/>
  <c r="M217" i="7" a="1"/>
  <c r="M217" i="7" s="1"/>
  <c r="R217" i="7"/>
  <c r="M233" i="7" a="1"/>
  <c r="M233" i="7" s="1"/>
  <c r="R233" i="7"/>
  <c r="M249" i="7" a="1"/>
  <c r="M249" i="7" s="1"/>
  <c r="R249" i="7"/>
  <c r="M265" i="7" a="1"/>
  <c r="M265" i="7" s="1"/>
  <c r="R265" i="7"/>
  <c r="M281" i="7" a="1"/>
  <c r="M281" i="7" s="1"/>
  <c r="R281" i="7"/>
  <c r="M297" i="7" a="1"/>
  <c r="M297" i="7" s="1"/>
  <c r="R297" i="7"/>
  <c r="M313" i="7" a="1"/>
  <c r="M313" i="7" s="1"/>
  <c r="R313" i="7"/>
  <c r="M329" i="7" a="1"/>
  <c r="M329" i="7" s="1"/>
  <c r="R329" i="7"/>
  <c r="M345" i="7" a="1"/>
  <c r="M345" i="7" s="1"/>
  <c r="R345" i="7"/>
  <c r="M361" i="7" a="1"/>
  <c r="M361" i="7" s="1"/>
  <c r="R361" i="7"/>
  <c r="M377" i="7" a="1"/>
  <c r="M377" i="7" s="1"/>
  <c r="R377" i="7"/>
  <c r="M393" i="7" a="1"/>
  <c r="M393" i="7" s="1"/>
  <c r="R393" i="7"/>
  <c r="M409" i="7" a="1"/>
  <c r="M409" i="7" s="1"/>
  <c r="R409" i="7"/>
  <c r="M425" i="7" a="1"/>
  <c r="M425" i="7" s="1"/>
  <c r="R425" i="7"/>
  <c r="M441" i="7" a="1"/>
  <c r="M441" i="7" s="1"/>
  <c r="R441" i="7"/>
  <c r="M457" i="7" a="1"/>
  <c r="M457" i="7" s="1"/>
  <c r="R457" i="7"/>
  <c r="M473" i="7" a="1"/>
  <c r="M473" i="7" s="1"/>
  <c r="R473" i="7"/>
  <c r="M489" i="7" a="1"/>
  <c r="M489" i="7" s="1"/>
  <c r="R489" i="7"/>
  <c r="M505" i="7" a="1"/>
  <c r="M505" i="7" s="1"/>
  <c r="R505" i="7"/>
  <c r="M521" i="7" a="1"/>
  <c r="M521" i="7" s="1"/>
  <c r="R521" i="7"/>
  <c r="M537" i="7" a="1"/>
  <c r="M537" i="7" s="1"/>
  <c r="R537" i="7"/>
  <c r="M553" i="7" a="1"/>
  <c r="M553" i="7" s="1"/>
  <c r="R553" i="7"/>
  <c r="M569" i="7" a="1"/>
  <c r="M569" i="7" s="1"/>
  <c r="R569" i="7"/>
  <c r="M585" i="7" a="1"/>
  <c r="M585" i="7" s="1"/>
  <c r="R585" i="7"/>
  <c r="M601" i="7" a="1"/>
  <c r="M601" i="7" s="1"/>
  <c r="R601" i="7"/>
  <c r="M617" i="7" a="1"/>
  <c r="M617" i="7" s="1"/>
  <c r="R617" i="7"/>
  <c r="M633" i="7" a="1"/>
  <c r="M633" i="7" s="1"/>
  <c r="R633" i="7"/>
  <c r="M6" i="7" a="1"/>
  <c r="M6" i="7" s="1"/>
  <c r="R6" i="7"/>
  <c r="M22" i="7" a="1"/>
  <c r="M22" i="7" s="1"/>
  <c r="R22" i="7"/>
  <c r="M38" i="7" a="1"/>
  <c r="M38" i="7" s="1"/>
  <c r="R38" i="7"/>
  <c r="M54" i="7" a="1"/>
  <c r="M54" i="7" s="1"/>
  <c r="R54" i="7"/>
  <c r="M70" i="7" a="1"/>
  <c r="M70" i="7" s="1"/>
  <c r="R70" i="7"/>
  <c r="M86" i="7" a="1"/>
  <c r="M86" i="7" s="1"/>
  <c r="R86" i="7"/>
  <c r="M102" i="7" a="1"/>
  <c r="M102" i="7" s="1"/>
  <c r="R102" i="7"/>
  <c r="M118" i="7" a="1"/>
  <c r="M118" i="7" s="1"/>
  <c r="R118" i="7"/>
  <c r="M134" i="7" a="1"/>
  <c r="M134" i="7" s="1"/>
  <c r="R134" i="7"/>
  <c r="M150" i="7" a="1"/>
  <c r="M150" i="7" s="1"/>
  <c r="R150" i="7"/>
  <c r="M166" i="7" a="1"/>
  <c r="M166" i="7" s="1"/>
  <c r="R166" i="7"/>
  <c r="M182" i="7" a="1"/>
  <c r="M182" i="7" s="1"/>
  <c r="R182" i="7"/>
  <c r="M198" i="7" a="1"/>
  <c r="M198" i="7" s="1"/>
  <c r="R198" i="7"/>
  <c r="M214" i="7" a="1"/>
  <c r="M214" i="7" s="1"/>
  <c r="R214" i="7"/>
  <c r="M230" i="7" a="1"/>
  <c r="M230" i="7" s="1"/>
  <c r="R230" i="7"/>
  <c r="M246" i="7" a="1"/>
  <c r="M246" i="7" s="1"/>
  <c r="R246" i="7"/>
  <c r="M262" i="7" a="1"/>
  <c r="M262" i="7" s="1"/>
  <c r="R262" i="7"/>
  <c r="M278" i="7" a="1"/>
  <c r="M278" i="7" s="1"/>
  <c r="R278" i="7"/>
  <c r="M294" i="7" a="1"/>
  <c r="M294" i="7" s="1"/>
  <c r="R294" i="7"/>
  <c r="M310" i="7" a="1"/>
  <c r="M310" i="7" s="1"/>
  <c r="R310" i="7"/>
  <c r="M326" i="7" a="1"/>
  <c r="M326" i="7" s="1"/>
  <c r="R326" i="7"/>
  <c r="M342" i="7" a="1"/>
  <c r="M342" i="7" s="1"/>
  <c r="R342" i="7"/>
  <c r="M358" i="7" a="1"/>
  <c r="M358" i="7" s="1"/>
  <c r="R358" i="7"/>
  <c r="M374" i="7" a="1"/>
  <c r="M374" i="7" s="1"/>
  <c r="R374" i="7"/>
  <c r="M390" i="7" a="1"/>
  <c r="M390" i="7" s="1"/>
  <c r="R390" i="7"/>
  <c r="M406" i="7" a="1"/>
  <c r="M406" i="7" s="1"/>
  <c r="R406" i="7"/>
  <c r="M422" i="7" a="1"/>
  <c r="M422" i="7" s="1"/>
  <c r="R422" i="7"/>
  <c r="M438" i="7" a="1"/>
  <c r="M438" i="7" s="1"/>
  <c r="R438" i="7"/>
  <c r="M454" i="7" a="1"/>
  <c r="M454" i="7" s="1"/>
  <c r="R454" i="7"/>
  <c r="M470" i="7" a="1"/>
  <c r="M470" i="7" s="1"/>
  <c r="R470" i="7"/>
  <c r="M486" i="7" a="1"/>
  <c r="M486" i="7" s="1"/>
  <c r="R486" i="7"/>
  <c r="M502" i="7" a="1"/>
  <c r="M502" i="7" s="1"/>
  <c r="R502" i="7"/>
  <c r="M518" i="7" a="1"/>
  <c r="M518" i="7" s="1"/>
  <c r="R518" i="7"/>
  <c r="M534" i="7" a="1"/>
  <c r="M534" i="7" s="1"/>
  <c r="R534" i="7"/>
  <c r="M550" i="7" a="1"/>
  <c r="M550" i="7" s="1"/>
  <c r="R550" i="7"/>
  <c r="M566" i="7" a="1"/>
  <c r="M566" i="7" s="1"/>
  <c r="R566" i="7"/>
  <c r="M582" i="7" a="1"/>
  <c r="M582" i="7" s="1"/>
  <c r="R582" i="7"/>
  <c r="M598" i="7" a="1"/>
  <c r="M598" i="7" s="1"/>
  <c r="R598" i="7"/>
  <c r="M614" i="7" a="1"/>
  <c r="M614" i="7" s="1"/>
  <c r="R614" i="7"/>
  <c r="M630" i="7" a="1"/>
  <c r="M630" i="7" s="1"/>
  <c r="R630" i="7"/>
  <c r="M653" i="7" a="1"/>
  <c r="M653" i="7" s="1"/>
  <c r="R653" i="7"/>
  <c r="M669" i="7" a="1"/>
  <c r="M669" i="7" s="1"/>
  <c r="R669" i="7"/>
  <c r="M685" i="7" a="1"/>
  <c r="M685" i="7" s="1"/>
  <c r="R685" i="7"/>
  <c r="M701" i="7" a="1"/>
  <c r="M701" i="7" s="1"/>
  <c r="R701" i="7"/>
  <c r="M717" i="7" a="1"/>
  <c r="M717" i="7" s="1"/>
  <c r="R717" i="7"/>
  <c r="M733" i="7" a="1"/>
  <c r="M733" i="7" s="1"/>
  <c r="R733" i="7"/>
  <c r="M749" i="7" a="1"/>
  <c r="M749" i="7" s="1"/>
  <c r="R749" i="7"/>
  <c r="M765" i="7" a="1"/>
  <c r="M765" i="7" s="1"/>
  <c r="R765" i="7"/>
  <c r="M781" i="7" a="1"/>
  <c r="M781" i="7" s="1"/>
  <c r="R781" i="7"/>
  <c r="M797" i="7" a="1"/>
  <c r="M797" i="7" s="1"/>
  <c r="R797" i="7"/>
  <c r="M813" i="7" a="1"/>
  <c r="M813" i="7" s="1"/>
  <c r="R813" i="7"/>
  <c r="M829" i="7" a="1"/>
  <c r="M829" i="7" s="1"/>
  <c r="R829" i="7"/>
  <c r="M845" i="7" a="1"/>
  <c r="M845" i="7" s="1"/>
  <c r="R845" i="7"/>
  <c r="M861" i="7" a="1"/>
  <c r="M861" i="7" s="1"/>
  <c r="R861" i="7"/>
  <c r="M877" i="7" a="1"/>
  <c r="M877" i="7" s="1"/>
  <c r="R877" i="7"/>
  <c r="M893" i="7" a="1"/>
  <c r="M893" i="7" s="1"/>
  <c r="R893" i="7"/>
  <c r="M909" i="7" a="1"/>
  <c r="M909" i="7" s="1"/>
  <c r="R909" i="7"/>
  <c r="M925" i="7" a="1"/>
  <c r="M925" i="7" s="1"/>
  <c r="R925" i="7"/>
  <c r="M646" i="7" a="1"/>
  <c r="M646" i="7" s="1"/>
  <c r="R646" i="7"/>
  <c r="M662" i="7" a="1"/>
  <c r="M662" i="7" s="1"/>
  <c r="R662" i="7"/>
  <c r="M678" i="7" a="1"/>
  <c r="M678" i="7" s="1"/>
  <c r="R678" i="7"/>
  <c r="M694" i="7" a="1"/>
  <c r="M694" i="7" s="1"/>
  <c r="R694" i="7"/>
  <c r="M710" i="7" a="1"/>
  <c r="M710" i="7" s="1"/>
  <c r="R710" i="7"/>
  <c r="M726" i="7" a="1"/>
  <c r="M726" i="7" s="1"/>
  <c r="R726" i="7"/>
  <c r="M742" i="7" a="1"/>
  <c r="M742" i="7" s="1"/>
  <c r="R742" i="7"/>
  <c r="M758" i="7" a="1"/>
  <c r="M758" i="7" s="1"/>
  <c r="R758" i="7"/>
  <c r="M774" i="7" a="1"/>
  <c r="M774" i="7" s="1"/>
  <c r="R774" i="7"/>
  <c r="M790" i="7" a="1"/>
  <c r="M790" i="7" s="1"/>
  <c r="R790" i="7"/>
  <c r="M806" i="7" a="1"/>
  <c r="M806" i="7" s="1"/>
  <c r="R806" i="7"/>
  <c r="M822" i="7" a="1"/>
  <c r="M822" i="7" s="1"/>
  <c r="R822" i="7"/>
  <c r="M838" i="7" a="1"/>
  <c r="M838" i="7" s="1"/>
  <c r="R838" i="7"/>
  <c r="M854" i="7" a="1"/>
  <c r="M854" i="7" s="1"/>
  <c r="R854" i="7"/>
  <c r="M870" i="7" a="1"/>
  <c r="M870" i="7" s="1"/>
  <c r="R870" i="7"/>
  <c r="M886" i="7" a="1"/>
  <c r="M886" i="7" s="1"/>
  <c r="R886" i="7"/>
  <c r="M902" i="7" a="1"/>
  <c r="M902" i="7" s="1"/>
  <c r="R902" i="7"/>
  <c r="M918" i="7" a="1"/>
  <c r="M918" i="7" s="1"/>
  <c r="R918" i="7"/>
  <c r="M934" i="7" a="1"/>
  <c r="M934" i="7" s="1"/>
  <c r="R934" i="7"/>
  <c r="M620" i="7" a="1"/>
  <c r="M620" i="7" s="1"/>
  <c r="R620" i="7"/>
  <c r="M636" i="7" a="1"/>
  <c r="M636" i="7" s="1"/>
  <c r="R636" i="7"/>
  <c r="M652" i="7" a="1"/>
  <c r="M652" i="7" s="1"/>
  <c r="R652" i="7"/>
  <c r="M668" i="7" a="1"/>
  <c r="M668" i="7" s="1"/>
  <c r="R668" i="7"/>
  <c r="M684" i="7" a="1"/>
  <c r="M684" i="7" s="1"/>
  <c r="R684" i="7"/>
  <c r="M700" i="7" a="1"/>
  <c r="M700" i="7" s="1"/>
  <c r="R700" i="7"/>
  <c r="M716" i="7" a="1"/>
  <c r="M716" i="7" s="1"/>
  <c r="R716" i="7"/>
  <c r="M732" i="7" a="1"/>
  <c r="M732" i="7" s="1"/>
  <c r="R732" i="7"/>
  <c r="M748" i="7" a="1"/>
  <c r="M748" i="7" s="1"/>
  <c r="R748" i="7"/>
  <c r="M764" i="7" a="1"/>
  <c r="M764" i="7" s="1"/>
  <c r="R764" i="7"/>
  <c r="M780" i="7" a="1"/>
  <c r="M780" i="7" s="1"/>
  <c r="R780" i="7"/>
  <c r="M796" i="7" a="1"/>
  <c r="M796" i="7" s="1"/>
  <c r="R796" i="7"/>
  <c r="M812" i="7" a="1"/>
  <c r="M812" i="7" s="1"/>
  <c r="R812" i="7"/>
  <c r="M828" i="7" a="1"/>
  <c r="M828" i="7" s="1"/>
  <c r="R828" i="7"/>
  <c r="M844" i="7" a="1"/>
  <c r="M844" i="7" s="1"/>
  <c r="R844" i="7"/>
  <c r="M860" i="7" a="1"/>
  <c r="M860" i="7" s="1"/>
  <c r="R860" i="7"/>
  <c r="M876" i="7" a="1"/>
  <c r="M876" i="7" s="1"/>
  <c r="R876" i="7"/>
  <c r="M892" i="7" a="1"/>
  <c r="M892" i="7" s="1"/>
  <c r="R892" i="7"/>
  <c r="M908" i="7" a="1"/>
  <c r="M908" i="7" s="1"/>
  <c r="R908" i="7"/>
  <c r="M924" i="7" a="1"/>
  <c r="M924" i="7" s="1"/>
  <c r="R924" i="7"/>
  <c r="R15" i="7"/>
  <c r="R63" i="7"/>
  <c r="R127" i="7"/>
  <c r="R183" i="7"/>
  <c r="R239" i="7"/>
  <c r="R303" i="7"/>
  <c r="R355" i="7"/>
  <c r="R415" i="7"/>
  <c r="R475" i="7"/>
  <c r="R535" i="7"/>
  <c r="R595" i="7"/>
  <c r="R651" i="7"/>
  <c r="R707" i="7"/>
  <c r="R67" i="7"/>
  <c r="R143" i="7"/>
  <c r="R207" i="7"/>
  <c r="R279" i="7"/>
  <c r="R351" i="7"/>
  <c r="R423" i="7"/>
  <c r="R483" i="7"/>
  <c r="R567" i="7"/>
  <c r="R643" i="7"/>
  <c r="R11" i="7"/>
  <c r="R83" i="7"/>
  <c r="R155" i="7"/>
  <c r="R219" i="7"/>
  <c r="R291" i="7"/>
  <c r="R367" i="7"/>
  <c r="R439" i="7"/>
  <c r="R507" i="7"/>
  <c r="R571" i="7"/>
  <c r="R639" i="7"/>
  <c r="R711" i="7"/>
  <c r="R51" i="7"/>
  <c r="R107" i="7"/>
  <c r="R163" i="7"/>
  <c r="R227" i="7"/>
  <c r="R283" i="7"/>
  <c r="R339" i="7"/>
  <c r="R407" i="7"/>
  <c r="R459" i="7"/>
  <c r="R515" i="7"/>
  <c r="R575" i="7"/>
  <c r="R631" i="7"/>
  <c r="R687" i="7"/>
  <c r="R808" i="7"/>
  <c r="R676" i="7"/>
  <c r="R708" i="7"/>
  <c r="R740" i="7"/>
  <c r="R772" i="7"/>
  <c r="R804" i="7"/>
  <c r="R840" i="7"/>
  <c r="R888" i="7"/>
  <c r="M40" i="7" a="1"/>
  <c r="M40" i="7" s="1"/>
  <c r="R40" i="7"/>
  <c r="M88" i="7" a="1"/>
  <c r="M88" i="7" s="1"/>
  <c r="R88" i="7"/>
  <c r="M136" i="7" a="1"/>
  <c r="M136" i="7" s="1"/>
  <c r="R136" i="7"/>
  <c r="M184" i="7" a="1"/>
  <c r="M184" i="7" s="1"/>
  <c r="R184" i="7"/>
  <c r="M248" i="7" a="1"/>
  <c r="M248" i="7" s="1"/>
  <c r="R248" i="7"/>
  <c r="M296" i="7" a="1"/>
  <c r="M296" i="7" s="1"/>
  <c r="R296" i="7"/>
  <c r="M344" i="7" a="1"/>
  <c r="M344" i="7" s="1"/>
  <c r="R344" i="7"/>
  <c r="M488" i="7" a="1"/>
  <c r="M488" i="7" s="1"/>
  <c r="R488" i="7"/>
  <c r="M16" i="7" a="1"/>
  <c r="M16" i="7" s="1"/>
  <c r="R16" i="7"/>
  <c r="M32" i="7" a="1"/>
  <c r="M32" i="7" s="1"/>
  <c r="R32" i="7"/>
  <c r="M48" i="7" a="1"/>
  <c r="M48" i="7" s="1"/>
  <c r="R48" i="7"/>
  <c r="M64" i="7" a="1"/>
  <c r="M64" i="7" s="1"/>
  <c r="R64" i="7"/>
  <c r="M80" i="7" a="1"/>
  <c r="M80" i="7" s="1"/>
  <c r="R80" i="7"/>
  <c r="M96" i="7" a="1"/>
  <c r="M96" i="7" s="1"/>
  <c r="R96" i="7"/>
  <c r="M112" i="7" a="1"/>
  <c r="M112" i="7" s="1"/>
  <c r="R112" i="7"/>
  <c r="M128" i="7" a="1"/>
  <c r="M128" i="7" s="1"/>
  <c r="R128" i="7"/>
  <c r="M144" i="7" a="1"/>
  <c r="M144" i="7" s="1"/>
  <c r="R144" i="7"/>
  <c r="M160" i="7" a="1"/>
  <c r="M160" i="7" s="1"/>
  <c r="R160" i="7"/>
  <c r="M176" i="7" a="1"/>
  <c r="M176" i="7" s="1"/>
  <c r="R176" i="7"/>
  <c r="M192" i="7" a="1"/>
  <c r="M192" i="7" s="1"/>
  <c r="R192" i="7"/>
  <c r="M208" i="7" a="1"/>
  <c r="M208" i="7" s="1"/>
  <c r="R208" i="7"/>
  <c r="M224" i="7" a="1"/>
  <c r="M224" i="7" s="1"/>
  <c r="R224" i="7"/>
  <c r="M240" i="7" a="1"/>
  <c r="M240" i="7" s="1"/>
  <c r="R240" i="7"/>
  <c r="M256" i="7" a="1"/>
  <c r="M256" i="7" s="1"/>
  <c r="R256" i="7"/>
  <c r="M272" i="7" a="1"/>
  <c r="M272" i="7" s="1"/>
  <c r="R272" i="7"/>
  <c r="M288" i="7" a="1"/>
  <c r="M288" i="7" s="1"/>
  <c r="R288" i="7"/>
  <c r="M304" i="7" a="1"/>
  <c r="M304" i="7" s="1"/>
  <c r="R304" i="7"/>
  <c r="M320" i="7" a="1"/>
  <c r="M320" i="7" s="1"/>
  <c r="R320" i="7"/>
  <c r="M336" i="7" a="1"/>
  <c r="M336" i="7" s="1"/>
  <c r="R336" i="7"/>
  <c r="M352" i="7" a="1"/>
  <c r="M352" i="7" s="1"/>
  <c r="R352" i="7"/>
  <c r="M368" i="7" a="1"/>
  <c r="M368" i="7" s="1"/>
  <c r="R368" i="7"/>
  <c r="M384" i="7" a="1"/>
  <c r="M384" i="7" s="1"/>
  <c r="R384" i="7"/>
  <c r="M400" i="7" a="1"/>
  <c r="M400" i="7" s="1"/>
  <c r="R400" i="7"/>
  <c r="M416" i="7" a="1"/>
  <c r="M416" i="7" s="1"/>
  <c r="R416" i="7"/>
  <c r="M432" i="7" a="1"/>
  <c r="M432" i="7" s="1"/>
  <c r="R432" i="7"/>
  <c r="M448" i="7" a="1"/>
  <c r="M448" i="7" s="1"/>
  <c r="R448" i="7"/>
  <c r="M464" i="7" a="1"/>
  <c r="M464" i="7" s="1"/>
  <c r="R464" i="7"/>
  <c r="M480" i="7" a="1"/>
  <c r="M480" i="7" s="1"/>
  <c r="R480" i="7"/>
  <c r="M496" i="7" a="1"/>
  <c r="M496" i="7" s="1"/>
  <c r="R496" i="7"/>
  <c r="M512" i="7" a="1"/>
  <c r="M512" i="7" s="1"/>
  <c r="R512" i="7"/>
  <c r="M528" i="7" a="1"/>
  <c r="M528" i="7" s="1"/>
  <c r="R528" i="7"/>
  <c r="M544" i="7" a="1"/>
  <c r="M544" i="7" s="1"/>
  <c r="R544" i="7"/>
  <c r="M560" i="7" a="1"/>
  <c r="M560" i="7" s="1"/>
  <c r="R560" i="7"/>
  <c r="M576" i="7" a="1"/>
  <c r="M576" i="7" s="1"/>
  <c r="R576" i="7"/>
  <c r="M592" i="7" a="1"/>
  <c r="M592" i="7" s="1"/>
  <c r="R592" i="7"/>
  <c r="M608" i="7" a="1"/>
  <c r="M608" i="7" s="1"/>
  <c r="R608" i="7"/>
  <c r="M13" i="7" a="1"/>
  <c r="M13" i="7" s="1"/>
  <c r="R13" i="7"/>
  <c r="M29" i="7" a="1"/>
  <c r="M29" i="7" s="1"/>
  <c r="R29" i="7"/>
  <c r="M45" i="7" a="1"/>
  <c r="M45" i="7" s="1"/>
  <c r="R45" i="7"/>
  <c r="M61" i="7" a="1"/>
  <c r="M61" i="7" s="1"/>
  <c r="R61" i="7"/>
  <c r="M77" i="7" a="1"/>
  <c r="M77" i="7" s="1"/>
  <c r="R77" i="7"/>
  <c r="M93" i="7" a="1"/>
  <c r="M93" i="7" s="1"/>
  <c r="R93" i="7"/>
  <c r="M109" i="7" a="1"/>
  <c r="M109" i="7" s="1"/>
  <c r="R109" i="7"/>
  <c r="M125" i="7" a="1"/>
  <c r="M125" i="7" s="1"/>
  <c r="R125" i="7"/>
  <c r="M141" i="7" a="1"/>
  <c r="M141" i="7" s="1"/>
  <c r="R141" i="7"/>
  <c r="M157" i="7" a="1"/>
  <c r="M157" i="7" s="1"/>
  <c r="R157" i="7"/>
  <c r="M173" i="7" a="1"/>
  <c r="M173" i="7" s="1"/>
  <c r="R173" i="7"/>
  <c r="M189" i="7" a="1"/>
  <c r="M189" i="7" s="1"/>
  <c r="R189" i="7"/>
  <c r="M205" i="7" a="1"/>
  <c r="M205" i="7" s="1"/>
  <c r="R205" i="7"/>
  <c r="M221" i="7" a="1"/>
  <c r="M221" i="7" s="1"/>
  <c r="R221" i="7"/>
  <c r="M237" i="7" a="1"/>
  <c r="M237" i="7" s="1"/>
  <c r="R237" i="7"/>
  <c r="M253" i="7" a="1"/>
  <c r="M253" i="7" s="1"/>
  <c r="R253" i="7"/>
  <c r="M269" i="7" a="1"/>
  <c r="M269" i="7" s="1"/>
  <c r="R269" i="7"/>
  <c r="M285" i="7" a="1"/>
  <c r="M285" i="7" s="1"/>
  <c r="R285" i="7"/>
  <c r="M301" i="7" a="1"/>
  <c r="M301" i="7" s="1"/>
  <c r="R301" i="7"/>
  <c r="M317" i="7" a="1"/>
  <c r="M317" i="7" s="1"/>
  <c r="R317" i="7"/>
  <c r="M333" i="7" a="1"/>
  <c r="M333" i="7" s="1"/>
  <c r="R333" i="7"/>
  <c r="M349" i="7" a="1"/>
  <c r="M349" i="7" s="1"/>
  <c r="R349" i="7"/>
  <c r="M365" i="7" a="1"/>
  <c r="M365" i="7" s="1"/>
  <c r="R365" i="7"/>
  <c r="M381" i="7" a="1"/>
  <c r="M381" i="7" s="1"/>
  <c r="R381" i="7"/>
  <c r="M397" i="7" a="1"/>
  <c r="M397" i="7" s="1"/>
  <c r="R397" i="7"/>
  <c r="M413" i="7" a="1"/>
  <c r="M413" i="7" s="1"/>
  <c r="R413" i="7"/>
  <c r="M429" i="7" a="1"/>
  <c r="M429" i="7" s="1"/>
  <c r="R429" i="7"/>
  <c r="M445" i="7" a="1"/>
  <c r="M445" i="7" s="1"/>
  <c r="R445" i="7"/>
  <c r="M461" i="7" a="1"/>
  <c r="M461" i="7" s="1"/>
  <c r="R461" i="7"/>
  <c r="M477" i="7" a="1"/>
  <c r="M477" i="7" s="1"/>
  <c r="R477" i="7"/>
  <c r="M493" i="7" a="1"/>
  <c r="M493" i="7" s="1"/>
  <c r="R493" i="7"/>
  <c r="M509" i="7" a="1"/>
  <c r="M509" i="7" s="1"/>
  <c r="R509" i="7"/>
  <c r="M525" i="7" a="1"/>
  <c r="M525" i="7" s="1"/>
  <c r="R525" i="7"/>
  <c r="M541" i="7" a="1"/>
  <c r="M541" i="7" s="1"/>
  <c r="R541" i="7"/>
  <c r="M557" i="7" a="1"/>
  <c r="M557" i="7" s="1"/>
  <c r="R557" i="7"/>
  <c r="M573" i="7" a="1"/>
  <c r="M573" i="7" s="1"/>
  <c r="R573" i="7"/>
  <c r="M589" i="7" a="1"/>
  <c r="M589" i="7" s="1"/>
  <c r="R589" i="7"/>
  <c r="M605" i="7" a="1"/>
  <c r="M605" i="7" s="1"/>
  <c r="R605" i="7"/>
  <c r="M621" i="7" a="1"/>
  <c r="M621" i="7" s="1"/>
  <c r="R621" i="7"/>
  <c r="M637" i="7" a="1"/>
  <c r="M637" i="7" s="1"/>
  <c r="R637" i="7"/>
  <c r="M10" i="7" a="1"/>
  <c r="M10" i="7" s="1"/>
  <c r="R10" i="7"/>
  <c r="M26" i="7" a="1"/>
  <c r="M26" i="7" s="1"/>
  <c r="R26" i="7"/>
  <c r="M42" i="7" a="1"/>
  <c r="M42" i="7" s="1"/>
  <c r="R42" i="7"/>
  <c r="M58" i="7" a="1"/>
  <c r="M58" i="7" s="1"/>
  <c r="R58" i="7"/>
  <c r="M74" i="7" a="1"/>
  <c r="M74" i="7" s="1"/>
  <c r="R74" i="7"/>
  <c r="M90" i="7" a="1"/>
  <c r="M90" i="7" s="1"/>
  <c r="R90" i="7"/>
  <c r="M106" i="7" a="1"/>
  <c r="M106" i="7" s="1"/>
  <c r="R106" i="7"/>
  <c r="M122" i="7" a="1"/>
  <c r="M122" i="7" s="1"/>
  <c r="R122" i="7"/>
  <c r="M138" i="7" a="1"/>
  <c r="M138" i="7" s="1"/>
  <c r="R138" i="7"/>
  <c r="M154" i="7" a="1"/>
  <c r="M154" i="7" s="1"/>
  <c r="R154" i="7"/>
  <c r="M170" i="7" a="1"/>
  <c r="M170" i="7" s="1"/>
  <c r="R170" i="7"/>
  <c r="M186" i="7" a="1"/>
  <c r="M186" i="7" s="1"/>
  <c r="R186" i="7"/>
  <c r="M202" i="7" a="1"/>
  <c r="M202" i="7" s="1"/>
  <c r="R202" i="7"/>
  <c r="M218" i="7" a="1"/>
  <c r="M218" i="7" s="1"/>
  <c r="R218" i="7"/>
  <c r="M234" i="7" a="1"/>
  <c r="M234" i="7" s="1"/>
  <c r="R234" i="7"/>
  <c r="M250" i="7" a="1"/>
  <c r="M250" i="7" s="1"/>
  <c r="R250" i="7"/>
  <c r="M266" i="7" a="1"/>
  <c r="M266" i="7" s="1"/>
  <c r="R266" i="7"/>
  <c r="M282" i="7" a="1"/>
  <c r="M282" i="7" s="1"/>
  <c r="R282" i="7"/>
  <c r="M298" i="7" a="1"/>
  <c r="M298" i="7" s="1"/>
  <c r="R298" i="7"/>
  <c r="M314" i="7" a="1"/>
  <c r="M314" i="7" s="1"/>
  <c r="R314" i="7"/>
  <c r="M330" i="7" a="1"/>
  <c r="M330" i="7" s="1"/>
  <c r="R330" i="7"/>
  <c r="M346" i="7" a="1"/>
  <c r="M346" i="7" s="1"/>
  <c r="R346" i="7"/>
  <c r="M362" i="7" a="1"/>
  <c r="M362" i="7" s="1"/>
  <c r="R362" i="7"/>
  <c r="M378" i="7" a="1"/>
  <c r="M378" i="7" s="1"/>
  <c r="R378" i="7"/>
  <c r="M394" i="7" a="1"/>
  <c r="M394" i="7" s="1"/>
  <c r="R394" i="7"/>
  <c r="M410" i="7" a="1"/>
  <c r="M410" i="7" s="1"/>
  <c r="R410" i="7"/>
  <c r="M426" i="7" a="1"/>
  <c r="M426" i="7" s="1"/>
  <c r="R426" i="7"/>
  <c r="M442" i="7" a="1"/>
  <c r="M442" i="7" s="1"/>
  <c r="R442" i="7"/>
  <c r="M458" i="7" a="1"/>
  <c r="M458" i="7" s="1"/>
  <c r="R458" i="7"/>
  <c r="M474" i="7" a="1"/>
  <c r="M474" i="7" s="1"/>
  <c r="R474" i="7"/>
  <c r="M490" i="7" a="1"/>
  <c r="M490" i="7" s="1"/>
  <c r="R490" i="7"/>
  <c r="M506" i="7" a="1"/>
  <c r="M506" i="7" s="1"/>
  <c r="R506" i="7"/>
  <c r="M522" i="7" a="1"/>
  <c r="M522" i="7" s="1"/>
  <c r="R522" i="7"/>
  <c r="M538" i="7" a="1"/>
  <c r="M538" i="7" s="1"/>
  <c r="R538" i="7"/>
  <c r="M554" i="7" a="1"/>
  <c r="M554" i="7" s="1"/>
  <c r="R554" i="7"/>
  <c r="M570" i="7" a="1"/>
  <c r="M570" i="7" s="1"/>
  <c r="R570" i="7"/>
  <c r="M586" i="7" a="1"/>
  <c r="M586" i="7" s="1"/>
  <c r="R586" i="7"/>
  <c r="M602" i="7" a="1"/>
  <c r="M602" i="7" s="1"/>
  <c r="R602" i="7"/>
  <c r="M618" i="7" a="1"/>
  <c r="M618" i="7" s="1"/>
  <c r="R618" i="7"/>
  <c r="M634" i="7" a="1"/>
  <c r="M634" i="7" s="1"/>
  <c r="R634" i="7"/>
  <c r="M657" i="7" a="1"/>
  <c r="M657" i="7" s="1"/>
  <c r="R657" i="7"/>
  <c r="M673" i="7" a="1"/>
  <c r="M673" i="7" s="1"/>
  <c r="R673" i="7"/>
  <c r="M689" i="7" a="1"/>
  <c r="M689" i="7" s="1"/>
  <c r="R689" i="7"/>
  <c r="M705" i="7" a="1"/>
  <c r="M705" i="7" s="1"/>
  <c r="R705" i="7"/>
  <c r="M721" i="7" a="1"/>
  <c r="M721" i="7" s="1"/>
  <c r="R721" i="7"/>
  <c r="M737" i="7" a="1"/>
  <c r="M737" i="7" s="1"/>
  <c r="R737" i="7"/>
  <c r="M753" i="7" a="1"/>
  <c r="M753" i="7" s="1"/>
  <c r="R753" i="7"/>
  <c r="M769" i="7" a="1"/>
  <c r="M769" i="7" s="1"/>
  <c r="R769" i="7"/>
  <c r="M785" i="7" a="1"/>
  <c r="M785" i="7" s="1"/>
  <c r="R785" i="7"/>
  <c r="M801" i="7" a="1"/>
  <c r="M801" i="7" s="1"/>
  <c r="R801" i="7"/>
  <c r="M817" i="7" a="1"/>
  <c r="M817" i="7" s="1"/>
  <c r="R817" i="7"/>
  <c r="M833" i="7" a="1"/>
  <c r="M833" i="7" s="1"/>
  <c r="R833" i="7"/>
  <c r="M849" i="7" a="1"/>
  <c r="M849" i="7" s="1"/>
  <c r="R849" i="7"/>
  <c r="M865" i="7" a="1"/>
  <c r="M865" i="7" s="1"/>
  <c r="R865" i="7"/>
  <c r="M881" i="7" a="1"/>
  <c r="M881" i="7" s="1"/>
  <c r="R881" i="7"/>
  <c r="M897" i="7" a="1"/>
  <c r="M897" i="7" s="1"/>
  <c r="R897" i="7"/>
  <c r="M913" i="7" a="1"/>
  <c r="M913" i="7" s="1"/>
  <c r="R913" i="7"/>
  <c r="M929" i="7" a="1"/>
  <c r="M929" i="7" s="1"/>
  <c r="R929" i="7"/>
  <c r="M650" i="7" a="1"/>
  <c r="M650" i="7" s="1"/>
  <c r="R650" i="7"/>
  <c r="M666" i="7" a="1"/>
  <c r="M666" i="7" s="1"/>
  <c r="R666" i="7"/>
  <c r="M682" i="7" a="1"/>
  <c r="M682" i="7" s="1"/>
  <c r="R682" i="7"/>
  <c r="M698" i="7" a="1"/>
  <c r="M698" i="7" s="1"/>
  <c r="R698" i="7"/>
  <c r="M714" i="7" a="1"/>
  <c r="M714" i="7" s="1"/>
  <c r="R714" i="7"/>
  <c r="M730" i="7" a="1"/>
  <c r="M730" i="7" s="1"/>
  <c r="R730" i="7"/>
  <c r="M746" i="7" a="1"/>
  <c r="M746" i="7" s="1"/>
  <c r="R746" i="7"/>
  <c r="M762" i="7" a="1"/>
  <c r="M762" i="7" s="1"/>
  <c r="R762" i="7"/>
  <c r="M778" i="7" a="1"/>
  <c r="M778" i="7" s="1"/>
  <c r="R778" i="7"/>
  <c r="M794" i="7" a="1"/>
  <c r="M794" i="7" s="1"/>
  <c r="R794" i="7"/>
  <c r="M810" i="7" a="1"/>
  <c r="M810" i="7" s="1"/>
  <c r="R810" i="7"/>
  <c r="M826" i="7" a="1"/>
  <c r="M826" i="7" s="1"/>
  <c r="R826" i="7"/>
  <c r="M842" i="7" a="1"/>
  <c r="M842" i="7" s="1"/>
  <c r="R842" i="7"/>
  <c r="M858" i="7" a="1"/>
  <c r="M858" i="7" s="1"/>
  <c r="R858" i="7"/>
  <c r="M874" i="7" a="1"/>
  <c r="M874" i="7" s="1"/>
  <c r="R874" i="7"/>
  <c r="M890" i="7" a="1"/>
  <c r="M890" i="7" s="1"/>
  <c r="R890" i="7"/>
  <c r="M906" i="7" a="1"/>
  <c r="M906" i="7" s="1"/>
  <c r="R906" i="7"/>
  <c r="M922" i="7" a="1"/>
  <c r="M922" i="7" s="1"/>
  <c r="R922" i="7"/>
  <c r="M624" i="7" a="1"/>
  <c r="M624" i="7" s="1"/>
  <c r="R624" i="7"/>
  <c r="M640" i="7" a="1"/>
  <c r="M640" i="7" s="1"/>
  <c r="R640" i="7"/>
  <c r="M656" i="7" a="1"/>
  <c r="M656" i="7" s="1"/>
  <c r="R656" i="7"/>
  <c r="M672" i="7" a="1"/>
  <c r="M672" i="7" s="1"/>
  <c r="R672" i="7"/>
  <c r="M688" i="7" a="1"/>
  <c r="M688" i="7" s="1"/>
  <c r="R688" i="7"/>
  <c r="M704" i="7" a="1"/>
  <c r="M704" i="7" s="1"/>
  <c r="R704" i="7"/>
  <c r="M720" i="7" a="1"/>
  <c r="M720" i="7" s="1"/>
  <c r="R720" i="7"/>
  <c r="M736" i="7" a="1"/>
  <c r="M736" i="7" s="1"/>
  <c r="R736" i="7"/>
  <c r="M752" i="7" a="1"/>
  <c r="M752" i="7" s="1"/>
  <c r="R752" i="7"/>
  <c r="M768" i="7" a="1"/>
  <c r="M768" i="7" s="1"/>
  <c r="R768" i="7"/>
  <c r="M784" i="7" a="1"/>
  <c r="M784" i="7" s="1"/>
  <c r="R784" i="7"/>
  <c r="M800" i="7" a="1"/>
  <c r="M800" i="7" s="1"/>
  <c r="R800" i="7"/>
  <c r="M816" i="7" a="1"/>
  <c r="M816" i="7" s="1"/>
  <c r="R816" i="7"/>
  <c r="M832" i="7" a="1"/>
  <c r="M832" i="7" s="1"/>
  <c r="R832" i="7"/>
  <c r="M848" i="7" a="1"/>
  <c r="M848" i="7" s="1"/>
  <c r="R848" i="7"/>
  <c r="M864" i="7" a="1"/>
  <c r="M864" i="7" s="1"/>
  <c r="R864" i="7"/>
  <c r="M880" i="7" a="1"/>
  <c r="M880" i="7" s="1"/>
  <c r="R880" i="7"/>
  <c r="M896" i="7" a="1"/>
  <c r="M896" i="7" s="1"/>
  <c r="R896" i="7"/>
  <c r="M912" i="7" a="1"/>
  <c r="M912" i="7" s="1"/>
  <c r="R912" i="7"/>
  <c r="M928" i="7" a="1"/>
  <c r="M928" i="7" s="1"/>
  <c r="R928" i="7"/>
  <c r="R23" i="7"/>
  <c r="R79" i="7"/>
  <c r="R131" i="7"/>
  <c r="R199" i="7"/>
  <c r="R255" i="7"/>
  <c r="R315" i="7"/>
  <c r="R375" i="7"/>
  <c r="R431" i="7"/>
  <c r="R495" i="7"/>
  <c r="R547" i="7"/>
  <c r="R603" i="7"/>
  <c r="R667" i="7"/>
  <c r="R3" i="7"/>
  <c r="R87" i="7"/>
  <c r="R159" i="7"/>
  <c r="R223" i="7"/>
  <c r="R295" i="7"/>
  <c r="R363" i="7"/>
  <c r="R435" i="7"/>
  <c r="R511" i="7"/>
  <c r="R583" i="7"/>
  <c r="R663" i="7"/>
  <c r="R31" i="7"/>
  <c r="R99" i="7"/>
  <c r="R175" i="7"/>
  <c r="R247" i="7"/>
  <c r="R319" i="7"/>
  <c r="R379" i="7"/>
  <c r="R455" i="7"/>
  <c r="R523" i="7"/>
  <c r="R587" i="7"/>
  <c r="R659" i="7"/>
  <c r="R7" i="7"/>
  <c r="R59" i="7"/>
  <c r="R123" i="7"/>
  <c r="R179" i="7"/>
  <c r="R235" i="7"/>
  <c r="R299" i="7"/>
  <c r="R359" i="7"/>
  <c r="R411" i="7"/>
  <c r="R479" i="7"/>
  <c r="R531" i="7"/>
  <c r="R591" i="7"/>
  <c r="R647" i="7"/>
  <c r="R703" i="7"/>
  <c r="R916" i="7"/>
  <c r="R648" i="7"/>
  <c r="R680" i="7"/>
  <c r="R712" i="7"/>
  <c r="R744" i="7"/>
  <c r="R776" i="7"/>
  <c r="R820" i="7"/>
  <c r="R852" i="7"/>
  <c r="R900" i="7"/>
  <c r="M20" i="7" a="1"/>
  <c r="M20" i="7" s="1"/>
  <c r="R20" i="7"/>
  <c r="M68" i="7" a="1"/>
  <c r="M68" i="7" s="1"/>
  <c r="R68" i="7"/>
  <c r="M116" i="7" a="1"/>
  <c r="M116" i="7" s="1"/>
  <c r="R116" i="7"/>
  <c r="M132" i="7" a="1"/>
  <c r="M132" i="7" s="1"/>
  <c r="R132" i="7"/>
  <c r="M164" i="7" a="1"/>
  <c r="M164" i="7" s="1"/>
  <c r="R164" i="7"/>
  <c r="M180" i="7" a="1"/>
  <c r="M180" i="7" s="1"/>
  <c r="R180" i="7"/>
  <c r="M196" i="7" a="1"/>
  <c r="M196" i="7" s="1"/>
  <c r="R196" i="7"/>
  <c r="M212" i="7" a="1"/>
  <c r="M212" i="7" s="1"/>
  <c r="R212" i="7"/>
  <c r="M228" i="7" a="1"/>
  <c r="M228" i="7" s="1"/>
  <c r="R228" i="7"/>
  <c r="M244" i="7" a="1"/>
  <c r="M244" i="7" s="1"/>
  <c r="R244" i="7"/>
  <c r="M260" i="7" a="1"/>
  <c r="M260" i="7" s="1"/>
  <c r="R260" i="7"/>
  <c r="M276" i="7" a="1"/>
  <c r="M276" i="7" s="1"/>
  <c r="R276" i="7"/>
  <c r="M292" i="7" a="1"/>
  <c r="M292" i="7" s="1"/>
  <c r="R292" i="7"/>
  <c r="M308" i="7" a="1"/>
  <c r="M308" i="7" s="1"/>
  <c r="R308" i="7"/>
  <c r="M324" i="7" a="1"/>
  <c r="M324" i="7" s="1"/>
  <c r="R324" i="7"/>
  <c r="M340" i="7" a="1"/>
  <c r="M340" i="7" s="1"/>
  <c r="R340" i="7"/>
  <c r="M356" i="7" a="1"/>
  <c r="M356" i="7" s="1"/>
  <c r="R356" i="7"/>
  <c r="M372" i="7" a="1"/>
  <c r="M372" i="7" s="1"/>
  <c r="R372" i="7"/>
  <c r="M388" i="7" a="1"/>
  <c r="M388" i="7" s="1"/>
  <c r="R388" i="7"/>
  <c r="M404" i="7" a="1"/>
  <c r="M404" i="7" s="1"/>
  <c r="R404" i="7"/>
  <c r="M420" i="7" a="1"/>
  <c r="M420" i="7" s="1"/>
  <c r="R420" i="7"/>
  <c r="M436" i="7" a="1"/>
  <c r="M436" i="7" s="1"/>
  <c r="R436" i="7"/>
  <c r="M452" i="7" a="1"/>
  <c r="M452" i="7" s="1"/>
  <c r="R452" i="7"/>
  <c r="M468" i="7" a="1"/>
  <c r="M468" i="7" s="1"/>
  <c r="R468" i="7"/>
  <c r="M484" i="7" a="1"/>
  <c r="M484" i="7" s="1"/>
  <c r="R484" i="7"/>
  <c r="M500" i="7" a="1"/>
  <c r="M500" i="7" s="1"/>
  <c r="R500" i="7"/>
  <c r="M516" i="7" a="1"/>
  <c r="M516" i="7" s="1"/>
  <c r="R516" i="7"/>
  <c r="M532" i="7" a="1"/>
  <c r="M532" i="7" s="1"/>
  <c r="R532" i="7"/>
  <c r="M548" i="7" a="1"/>
  <c r="M548" i="7" s="1"/>
  <c r="R548" i="7"/>
  <c r="M564" i="7" a="1"/>
  <c r="M564" i="7" s="1"/>
  <c r="R564" i="7"/>
  <c r="M580" i="7" a="1"/>
  <c r="M580" i="7" s="1"/>
  <c r="R580" i="7"/>
  <c r="M596" i="7" a="1"/>
  <c r="M596" i="7" s="1"/>
  <c r="R596" i="7"/>
  <c r="M612" i="7" a="1"/>
  <c r="M612" i="7" s="1"/>
  <c r="R612" i="7"/>
  <c r="M17" i="7" a="1"/>
  <c r="M17" i="7" s="1"/>
  <c r="R17" i="7"/>
  <c r="M33" i="7" a="1"/>
  <c r="M33" i="7" s="1"/>
  <c r="R33" i="7"/>
  <c r="M49" i="7" a="1"/>
  <c r="M49" i="7" s="1"/>
  <c r="R49" i="7"/>
  <c r="M65" i="7" a="1"/>
  <c r="M65" i="7" s="1"/>
  <c r="R65" i="7"/>
  <c r="M81" i="7" a="1"/>
  <c r="M81" i="7" s="1"/>
  <c r="R81" i="7"/>
  <c r="M97" i="7" a="1"/>
  <c r="M97" i="7" s="1"/>
  <c r="R97" i="7"/>
  <c r="M113" i="7" a="1"/>
  <c r="M113" i="7" s="1"/>
  <c r="R113" i="7"/>
  <c r="M129" i="7" a="1"/>
  <c r="M129" i="7" s="1"/>
  <c r="R129" i="7"/>
  <c r="M145" i="7" a="1"/>
  <c r="M145" i="7" s="1"/>
  <c r="R145" i="7"/>
  <c r="M161" i="7" a="1"/>
  <c r="M161" i="7" s="1"/>
  <c r="R161" i="7"/>
  <c r="M177" i="7" a="1"/>
  <c r="M177" i="7" s="1"/>
  <c r="R177" i="7"/>
  <c r="M193" i="7" a="1"/>
  <c r="M193" i="7" s="1"/>
  <c r="R193" i="7"/>
  <c r="M209" i="7" a="1"/>
  <c r="M209" i="7" s="1"/>
  <c r="R209" i="7"/>
  <c r="M225" i="7" a="1"/>
  <c r="M225" i="7" s="1"/>
  <c r="R225" i="7"/>
  <c r="M241" i="7" a="1"/>
  <c r="M241" i="7" s="1"/>
  <c r="R241" i="7"/>
  <c r="M257" i="7" a="1"/>
  <c r="M257" i="7" s="1"/>
  <c r="R257" i="7"/>
  <c r="M273" i="7" a="1"/>
  <c r="M273" i="7" s="1"/>
  <c r="R273" i="7"/>
  <c r="M289" i="7" a="1"/>
  <c r="M289" i="7" s="1"/>
  <c r="R289" i="7"/>
  <c r="M305" i="7" a="1"/>
  <c r="M305" i="7" s="1"/>
  <c r="R305" i="7"/>
  <c r="M321" i="7" a="1"/>
  <c r="M321" i="7" s="1"/>
  <c r="R321" i="7"/>
  <c r="M337" i="7" a="1"/>
  <c r="M337" i="7" s="1"/>
  <c r="R337" i="7"/>
  <c r="M353" i="7" a="1"/>
  <c r="M353" i="7" s="1"/>
  <c r="R353" i="7"/>
  <c r="M369" i="7" a="1"/>
  <c r="M369" i="7" s="1"/>
  <c r="R369" i="7"/>
  <c r="M385" i="7" a="1"/>
  <c r="M385" i="7" s="1"/>
  <c r="R385" i="7"/>
  <c r="M401" i="7" a="1"/>
  <c r="M401" i="7" s="1"/>
  <c r="R401" i="7"/>
  <c r="M417" i="7" a="1"/>
  <c r="M417" i="7" s="1"/>
  <c r="R417" i="7"/>
  <c r="M433" i="7" a="1"/>
  <c r="M433" i="7" s="1"/>
  <c r="R433" i="7"/>
  <c r="M449" i="7" a="1"/>
  <c r="M449" i="7" s="1"/>
  <c r="R449" i="7"/>
  <c r="M465" i="7" a="1"/>
  <c r="M465" i="7" s="1"/>
  <c r="R465" i="7"/>
  <c r="M481" i="7" a="1"/>
  <c r="M481" i="7" s="1"/>
  <c r="R481" i="7"/>
  <c r="M497" i="7" a="1"/>
  <c r="M497" i="7" s="1"/>
  <c r="R497" i="7"/>
  <c r="M513" i="7" a="1"/>
  <c r="M513" i="7" s="1"/>
  <c r="R513" i="7"/>
  <c r="M529" i="7" a="1"/>
  <c r="M529" i="7" s="1"/>
  <c r="R529" i="7"/>
  <c r="M545" i="7" a="1"/>
  <c r="M545" i="7" s="1"/>
  <c r="R545" i="7"/>
  <c r="M561" i="7" a="1"/>
  <c r="M561" i="7" s="1"/>
  <c r="R561" i="7"/>
  <c r="M577" i="7" a="1"/>
  <c r="M577" i="7" s="1"/>
  <c r="R577" i="7"/>
  <c r="M593" i="7" a="1"/>
  <c r="M593" i="7" s="1"/>
  <c r="R593" i="7"/>
  <c r="M609" i="7" a="1"/>
  <c r="M609" i="7" s="1"/>
  <c r="R609" i="7"/>
  <c r="M625" i="7" a="1"/>
  <c r="M625" i="7" s="1"/>
  <c r="R625" i="7"/>
  <c r="M641" i="7" a="1"/>
  <c r="M641" i="7" s="1"/>
  <c r="R641" i="7"/>
  <c r="M14" i="7" a="1"/>
  <c r="M14" i="7" s="1"/>
  <c r="R14" i="7"/>
  <c r="M30" i="7" a="1"/>
  <c r="M30" i="7" s="1"/>
  <c r="R30" i="7"/>
  <c r="M46" i="7" a="1"/>
  <c r="M46" i="7" s="1"/>
  <c r="R46" i="7"/>
  <c r="M62" i="7" a="1"/>
  <c r="M62" i="7" s="1"/>
  <c r="R62" i="7"/>
  <c r="M78" i="7" a="1"/>
  <c r="M78" i="7" s="1"/>
  <c r="R78" i="7"/>
  <c r="M94" i="7" a="1"/>
  <c r="M94" i="7" s="1"/>
  <c r="R94" i="7"/>
  <c r="M110" i="7" a="1"/>
  <c r="M110" i="7" s="1"/>
  <c r="R110" i="7"/>
  <c r="M126" i="7" a="1"/>
  <c r="M126" i="7" s="1"/>
  <c r="R126" i="7"/>
  <c r="M142" i="7" a="1"/>
  <c r="M142" i="7" s="1"/>
  <c r="R142" i="7"/>
  <c r="M158" i="7" a="1"/>
  <c r="M158" i="7" s="1"/>
  <c r="R158" i="7"/>
  <c r="M174" i="7" a="1"/>
  <c r="M174" i="7" s="1"/>
  <c r="R174" i="7"/>
  <c r="M190" i="7" a="1"/>
  <c r="M190" i="7" s="1"/>
  <c r="R190" i="7"/>
  <c r="M206" i="7" a="1"/>
  <c r="M206" i="7" s="1"/>
  <c r="R206" i="7"/>
  <c r="M222" i="7" a="1"/>
  <c r="M222" i="7" s="1"/>
  <c r="R222" i="7"/>
  <c r="M238" i="7" a="1"/>
  <c r="M238" i="7" s="1"/>
  <c r="R238" i="7"/>
  <c r="M254" i="7" a="1"/>
  <c r="M254" i="7" s="1"/>
  <c r="R254" i="7"/>
  <c r="M270" i="7" a="1"/>
  <c r="M270" i="7" s="1"/>
  <c r="R270" i="7"/>
  <c r="M286" i="7" a="1"/>
  <c r="M286" i="7" s="1"/>
  <c r="R286" i="7"/>
  <c r="M302" i="7" a="1"/>
  <c r="M302" i="7" s="1"/>
  <c r="R302" i="7"/>
  <c r="M318" i="7" a="1"/>
  <c r="M318" i="7" s="1"/>
  <c r="R318" i="7"/>
  <c r="M334" i="7" a="1"/>
  <c r="M334" i="7" s="1"/>
  <c r="R334" i="7"/>
  <c r="M350" i="7" a="1"/>
  <c r="M350" i="7" s="1"/>
  <c r="R350" i="7"/>
  <c r="M366" i="7" a="1"/>
  <c r="M366" i="7" s="1"/>
  <c r="R366" i="7"/>
  <c r="M382" i="7" a="1"/>
  <c r="M382" i="7" s="1"/>
  <c r="R382" i="7"/>
  <c r="M398" i="7" a="1"/>
  <c r="M398" i="7" s="1"/>
  <c r="R398" i="7"/>
  <c r="M414" i="7" a="1"/>
  <c r="M414" i="7" s="1"/>
  <c r="R414" i="7"/>
  <c r="M430" i="7" a="1"/>
  <c r="M430" i="7" s="1"/>
  <c r="R430" i="7"/>
  <c r="M446" i="7" a="1"/>
  <c r="M446" i="7" s="1"/>
  <c r="R446" i="7"/>
  <c r="M462" i="7" a="1"/>
  <c r="M462" i="7" s="1"/>
  <c r="R462" i="7"/>
  <c r="M478" i="7" a="1"/>
  <c r="M478" i="7" s="1"/>
  <c r="R478" i="7"/>
  <c r="M494" i="7" a="1"/>
  <c r="M494" i="7" s="1"/>
  <c r="R494" i="7"/>
  <c r="M510" i="7" a="1"/>
  <c r="M510" i="7" s="1"/>
  <c r="R510" i="7"/>
  <c r="M526" i="7" a="1"/>
  <c r="M526" i="7" s="1"/>
  <c r="R526" i="7"/>
  <c r="M542" i="7" a="1"/>
  <c r="M542" i="7" s="1"/>
  <c r="R542" i="7"/>
  <c r="M558" i="7" a="1"/>
  <c r="M558" i="7" s="1"/>
  <c r="R558" i="7"/>
  <c r="M574" i="7" a="1"/>
  <c r="M574" i="7" s="1"/>
  <c r="R574" i="7"/>
  <c r="M590" i="7" a="1"/>
  <c r="M590" i="7" s="1"/>
  <c r="R590" i="7"/>
  <c r="M606" i="7" a="1"/>
  <c r="M606" i="7" s="1"/>
  <c r="R606" i="7"/>
  <c r="M622" i="7" a="1"/>
  <c r="M622" i="7" s="1"/>
  <c r="R622" i="7"/>
  <c r="M638" i="7" a="1"/>
  <c r="M638" i="7" s="1"/>
  <c r="R638" i="7"/>
  <c r="M661" i="7" a="1"/>
  <c r="M661" i="7" s="1"/>
  <c r="R661" i="7"/>
  <c r="M677" i="7" a="1"/>
  <c r="M677" i="7" s="1"/>
  <c r="R677" i="7"/>
  <c r="M693" i="7" a="1"/>
  <c r="M693" i="7" s="1"/>
  <c r="R693" i="7"/>
  <c r="M709" i="7" a="1"/>
  <c r="M709" i="7" s="1"/>
  <c r="R709" i="7"/>
  <c r="M725" i="7" a="1"/>
  <c r="M725" i="7" s="1"/>
  <c r="R725" i="7"/>
  <c r="M741" i="7" a="1"/>
  <c r="M741" i="7" s="1"/>
  <c r="R741" i="7"/>
  <c r="M757" i="7" a="1"/>
  <c r="M757" i="7" s="1"/>
  <c r="R757" i="7"/>
  <c r="M773" i="7" a="1"/>
  <c r="M773" i="7" s="1"/>
  <c r="R773" i="7"/>
  <c r="M789" i="7" a="1"/>
  <c r="M789" i="7" s="1"/>
  <c r="R789" i="7"/>
  <c r="M805" i="7" a="1"/>
  <c r="M805" i="7" s="1"/>
  <c r="R805" i="7"/>
  <c r="M821" i="7" a="1"/>
  <c r="M821" i="7" s="1"/>
  <c r="R821" i="7"/>
  <c r="M837" i="7" a="1"/>
  <c r="M837" i="7" s="1"/>
  <c r="R837" i="7"/>
  <c r="M853" i="7" a="1"/>
  <c r="M853" i="7" s="1"/>
  <c r="R853" i="7"/>
  <c r="M869" i="7" a="1"/>
  <c r="M869" i="7" s="1"/>
  <c r="R869" i="7"/>
  <c r="M885" i="7" a="1"/>
  <c r="M885" i="7" s="1"/>
  <c r="R885" i="7"/>
  <c r="M901" i="7" a="1"/>
  <c r="M901" i="7" s="1"/>
  <c r="R901" i="7"/>
  <c r="M917" i="7" a="1"/>
  <c r="M917" i="7" s="1"/>
  <c r="R917" i="7"/>
  <c r="M933" i="7" a="1"/>
  <c r="M933" i="7" s="1"/>
  <c r="R933" i="7"/>
  <c r="M654" i="7" a="1"/>
  <c r="M654" i="7" s="1"/>
  <c r="R654" i="7"/>
  <c r="M670" i="7" a="1"/>
  <c r="M670" i="7" s="1"/>
  <c r="R670" i="7"/>
  <c r="M686" i="7" a="1"/>
  <c r="M686" i="7" s="1"/>
  <c r="R686" i="7"/>
  <c r="M702" i="7" a="1"/>
  <c r="M702" i="7" s="1"/>
  <c r="R702" i="7"/>
  <c r="M718" i="7" a="1"/>
  <c r="M718" i="7" s="1"/>
  <c r="R718" i="7"/>
  <c r="M734" i="7" a="1"/>
  <c r="M734" i="7" s="1"/>
  <c r="R734" i="7"/>
  <c r="M750" i="7" a="1"/>
  <c r="M750" i="7" s="1"/>
  <c r="R750" i="7"/>
  <c r="M766" i="7" a="1"/>
  <c r="M766" i="7" s="1"/>
  <c r="R766" i="7"/>
  <c r="M782" i="7" a="1"/>
  <c r="M782" i="7" s="1"/>
  <c r="R782" i="7"/>
  <c r="M798" i="7" a="1"/>
  <c r="M798" i="7" s="1"/>
  <c r="R798" i="7"/>
  <c r="M814" i="7" a="1"/>
  <c r="M814" i="7" s="1"/>
  <c r="R814" i="7"/>
  <c r="M830" i="7" a="1"/>
  <c r="M830" i="7" s="1"/>
  <c r="R830" i="7"/>
  <c r="M846" i="7" a="1"/>
  <c r="M846" i="7" s="1"/>
  <c r="R846" i="7"/>
  <c r="M862" i="7" a="1"/>
  <c r="M862" i="7" s="1"/>
  <c r="R862" i="7"/>
  <c r="M878" i="7" a="1"/>
  <c r="M878" i="7" s="1"/>
  <c r="R878" i="7"/>
  <c r="M894" i="7" a="1"/>
  <c r="M894" i="7" s="1"/>
  <c r="R894" i="7"/>
  <c r="M910" i="7" a="1"/>
  <c r="M910" i="7" s="1"/>
  <c r="R910" i="7"/>
  <c r="M926" i="7" a="1"/>
  <c r="M926" i="7" s="1"/>
  <c r="R926" i="7"/>
  <c r="M628" i="7" a="1"/>
  <c r="M628" i="7" s="1"/>
  <c r="R628" i="7"/>
  <c r="M644" i="7" a="1"/>
  <c r="M644" i="7" s="1"/>
  <c r="R644" i="7"/>
  <c r="R35" i="7"/>
  <c r="R91" i="7"/>
  <c r="R147" i="7"/>
  <c r="R215" i="7"/>
  <c r="R271" i="7"/>
  <c r="R327" i="7"/>
  <c r="R387" i="7"/>
  <c r="R447" i="7"/>
  <c r="R503" i="7"/>
  <c r="R563" i="7"/>
  <c r="R619" i="7"/>
  <c r="R675" i="7"/>
  <c r="R27" i="7"/>
  <c r="R103" i="7"/>
  <c r="R171" i="7"/>
  <c r="R243" i="7"/>
  <c r="R307" i="7"/>
  <c r="R383" i="7"/>
  <c r="R451" i="7"/>
  <c r="R527" i="7"/>
  <c r="R607" i="7"/>
  <c r="R679" i="7"/>
  <c r="R47" i="7"/>
  <c r="R119" i="7"/>
  <c r="R187" i="7"/>
  <c r="R263" i="7"/>
  <c r="R335" i="7"/>
  <c r="R395" i="7"/>
  <c r="R467" i="7"/>
  <c r="R543" i="7"/>
  <c r="R611" i="7"/>
  <c r="R683" i="7"/>
  <c r="R19" i="7"/>
  <c r="R75" i="7"/>
  <c r="R139" i="7"/>
  <c r="R195" i="7"/>
  <c r="R251" i="7"/>
  <c r="R311" i="7"/>
  <c r="R371" i="7"/>
  <c r="R427" i="7"/>
  <c r="R491" i="7"/>
  <c r="R551" i="7"/>
  <c r="R599" i="7"/>
  <c r="R655" i="7"/>
  <c r="R856" i="7"/>
  <c r="R868" i="7"/>
  <c r="R660" i="7"/>
  <c r="R692" i="7"/>
  <c r="R724" i="7"/>
  <c r="R756" i="7"/>
  <c r="R788" i="7"/>
  <c r="R824" i="7"/>
  <c r="R872" i="7"/>
  <c r="R932" i="7"/>
  <c r="N2" i="7"/>
  <c r="R2" i="7" s="1"/>
  <c r="M2" i="7" l="1" a="1"/>
  <c r="M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<sst xmlns="http://schemas.openxmlformats.org/spreadsheetml/2006/main" count="34324" uniqueCount="3500">
  <si>
    <t>FECHA INGRESO</t>
  </si>
  <si>
    <t>COD INGRESO</t>
  </si>
  <si>
    <t>SKU</t>
  </si>
  <si>
    <t>DESCRIPCION</t>
  </si>
  <si>
    <t>MARCA</t>
  </si>
  <si>
    <t>CATEGORIA</t>
  </si>
  <si>
    <t>SUBCATEGORIA</t>
  </si>
  <si>
    <t>SERIAL</t>
  </si>
  <si>
    <t>ESTADO</t>
  </si>
  <si>
    <t>MEDIDA</t>
  </si>
  <si>
    <t>UBICACION</t>
  </si>
  <si>
    <t>DPTO RESPONSABLE</t>
  </si>
  <si>
    <t>RANGO MIN</t>
  </si>
  <si>
    <t>PRECIO</t>
  </si>
  <si>
    <t>ALMACEN</t>
  </si>
  <si>
    <t>N° CONTROL</t>
  </si>
  <si>
    <t>FECHA</t>
  </si>
  <si>
    <t>MES</t>
  </si>
  <si>
    <t>N°  DE SOLICITUD</t>
  </si>
  <si>
    <t>ORDEN DE COMPRA</t>
  </si>
  <si>
    <t>F/N/I</t>
  </si>
  <si>
    <t xml:space="preserve">N° </t>
  </si>
  <si>
    <t>PROVEEDOR</t>
  </si>
  <si>
    <t>SUBCAT</t>
  </si>
  <si>
    <t>CANT</t>
  </si>
  <si>
    <t>AREA/DPTO</t>
  </si>
  <si>
    <t>QUIEN ENTREGA</t>
  </si>
  <si>
    <t>RETORNA</t>
  </si>
  <si>
    <t>PRODUCTO</t>
  </si>
  <si>
    <t>SUBCATG</t>
  </si>
  <si>
    <t xml:space="preserve">ALMACEN </t>
  </si>
  <si>
    <t>RESPONSABLE</t>
  </si>
  <si>
    <t>STATUS (1,2.3)</t>
  </si>
  <si>
    <t>CANT. TOTAL</t>
  </si>
  <si>
    <t>ENTRADAS</t>
  </si>
  <si>
    <t>SALIDAS</t>
  </si>
  <si>
    <t>P.UNITARIO</t>
  </si>
  <si>
    <t>P.TOTAL</t>
  </si>
  <si>
    <t>FECHA DE ADQUISICION</t>
  </si>
  <si>
    <t>FECHA DE ULTIMA ENTRADA</t>
  </si>
  <si>
    <t>FECHA DE ULTIMA SALIDA</t>
  </si>
  <si>
    <t>COMENTARIO</t>
  </si>
  <si>
    <t>FAB-0030</t>
  </si>
  <si>
    <t>FABRICACION</t>
  </si>
  <si>
    <t>DPTO RESPONSIBLE</t>
  </si>
  <si>
    <t>FAB-0031</t>
  </si>
  <si>
    <t>FAB-0032</t>
  </si>
  <si>
    <t>OBSERVACIONES</t>
  </si>
  <si>
    <t>MIN</t>
  </si>
  <si>
    <t>FAB-0033</t>
  </si>
  <si>
    <t>FAB-0034</t>
  </si>
  <si>
    <t>FAB-0035</t>
  </si>
  <si>
    <t>FAB-0001</t>
  </si>
  <si>
    <t>INV-2026</t>
  </si>
  <si>
    <t>CON-0001</t>
  </si>
  <si>
    <t xml:space="preserve">AGUA 355 ML </t>
  </si>
  <si>
    <t xml:space="preserve">MINALBA </t>
  </si>
  <si>
    <t>CONSUMIBLES</t>
  </si>
  <si>
    <t xml:space="preserve">ALIMENTOS </t>
  </si>
  <si>
    <t>N/A</t>
  </si>
  <si>
    <t>NUEVO</t>
  </si>
  <si>
    <t xml:space="preserve">UND </t>
  </si>
  <si>
    <t xml:space="preserve">CUARTO DE ALMACENAMIENTO </t>
  </si>
  <si>
    <t xml:space="preserve">CONSUMO GENERAL </t>
  </si>
  <si>
    <t>CON-0002</t>
  </si>
  <si>
    <t xml:space="preserve">AGUA 600 ML </t>
  </si>
  <si>
    <t>CON-0003</t>
  </si>
  <si>
    <t xml:space="preserve">NEVADA </t>
  </si>
  <si>
    <t>CON-0004</t>
  </si>
  <si>
    <t xml:space="preserve">JUGO DE MANZANA 250 ML </t>
  </si>
  <si>
    <t>YUKERY</t>
  </si>
  <si>
    <t>CON-0005</t>
  </si>
  <si>
    <t xml:space="preserve">JUGO DE DURAZNO 250 ML </t>
  </si>
  <si>
    <t>CON-0006</t>
  </si>
  <si>
    <t xml:space="preserve">JUGO DE PERA 250 ML </t>
  </si>
  <si>
    <t>CON-0007</t>
  </si>
  <si>
    <t xml:space="preserve">JABON LAVA MANOS </t>
  </si>
  <si>
    <t>AQUACID</t>
  </si>
  <si>
    <t>PRODUCTO DE LIMPIEZA</t>
  </si>
  <si>
    <t>LTS</t>
  </si>
  <si>
    <t>CON-0008</t>
  </si>
  <si>
    <t xml:space="preserve">DESENGRASANTE </t>
  </si>
  <si>
    <t>CON-0009</t>
  </si>
  <si>
    <t xml:space="preserve">JABON LAVA PLATOS </t>
  </si>
  <si>
    <t>CON-0010</t>
  </si>
  <si>
    <t>PAPEL HIGIENICO 9"</t>
  </si>
  <si>
    <t>SANITISU</t>
  </si>
  <si>
    <t xml:space="preserve">ROLLO </t>
  </si>
  <si>
    <t>CON-0011</t>
  </si>
  <si>
    <t xml:space="preserve">BOLSA DE BASURA 40 KG </t>
  </si>
  <si>
    <t>CON-0012</t>
  </si>
  <si>
    <t xml:space="preserve">BOLSA DE BASURA 30 KG </t>
  </si>
  <si>
    <t>CON-0013</t>
  </si>
  <si>
    <t xml:space="preserve">BOLSA DE PAPELEA 30 LTS </t>
  </si>
  <si>
    <t>CON-0014</t>
  </si>
  <si>
    <t xml:space="preserve">BOLSA CON ASA 30 LTS </t>
  </si>
  <si>
    <t>CON-0015</t>
  </si>
  <si>
    <t xml:space="preserve">ESPONJA BRILLO DE JABON </t>
  </si>
  <si>
    <t xml:space="preserve">IZY CLEAN </t>
  </si>
  <si>
    <t>CON-0016</t>
  </si>
  <si>
    <t xml:space="preserve">PAÑO TODO USO </t>
  </si>
  <si>
    <t>CON-0017</t>
  </si>
  <si>
    <t xml:space="preserve">ESPONJA CUIDA UÑAS </t>
  </si>
  <si>
    <t>CON-0018</t>
  </si>
  <si>
    <t xml:space="preserve">PANEL DECORATIVO ADHESIVO </t>
  </si>
  <si>
    <t xml:space="preserve">DECORACIÓN </t>
  </si>
  <si>
    <t>MTS</t>
  </si>
  <si>
    <t>CON-0019</t>
  </si>
  <si>
    <t>PASTILLA DE CLORO</t>
  </si>
  <si>
    <t>CON-0020</t>
  </si>
  <si>
    <t xml:space="preserve">TRAPOS MIXTOS </t>
  </si>
  <si>
    <t xml:space="preserve">KG </t>
  </si>
  <si>
    <t xml:space="preserve">OPERACIONES / MANTENIMIENTO </t>
  </si>
  <si>
    <t>CON-0021</t>
  </si>
  <si>
    <t xml:space="preserve">CARTELERA DE CORCHO </t>
  </si>
  <si>
    <t>PAPELERIA</t>
  </si>
  <si>
    <t>USADO</t>
  </si>
  <si>
    <t>CON-0022</t>
  </si>
  <si>
    <t xml:space="preserve">CORTINA DE TRAILER COLOR AZUL MARINO </t>
  </si>
  <si>
    <t>CON-0023</t>
  </si>
  <si>
    <t xml:space="preserve">CORTINA DE TRAILER COLRO AZUL MARINO CON CIERRE MAGICO </t>
  </si>
  <si>
    <t>CON-0024</t>
  </si>
  <si>
    <t xml:space="preserve">FORRO DE COLCHON TRAILER </t>
  </si>
  <si>
    <t>CON-0025</t>
  </si>
  <si>
    <t xml:space="preserve">GUANTES C/ BAÑO DE LATEX ANTICORTE  </t>
  </si>
  <si>
    <t xml:space="preserve">RAYO FLEX </t>
  </si>
  <si>
    <t xml:space="preserve">EQUIPOS DE PROTECCIÓN DE USO DIARIO </t>
  </si>
  <si>
    <t>PAR</t>
  </si>
  <si>
    <t>G4</t>
  </si>
  <si>
    <t xml:space="preserve">OPERACIONES </t>
  </si>
  <si>
    <t>CON-0026</t>
  </si>
  <si>
    <t xml:space="preserve">GUANTES DE CARNAZA PARA SOLDADOR </t>
  </si>
  <si>
    <t>INTOOL</t>
  </si>
  <si>
    <t>CON-0027</t>
  </si>
  <si>
    <t>ZAPATOS DE SOFTBOL T: 45</t>
  </si>
  <si>
    <t>EASTON</t>
  </si>
  <si>
    <t xml:space="preserve">JUEGOS </t>
  </si>
  <si>
    <t>G5</t>
  </si>
  <si>
    <t>CON-0028</t>
  </si>
  <si>
    <t>ZAPATOS DE SOFTBOL T: 46</t>
  </si>
  <si>
    <t>CON-0029</t>
  </si>
  <si>
    <t xml:space="preserve">PEGALOKA </t>
  </si>
  <si>
    <t>FERCO</t>
  </si>
  <si>
    <t xml:space="preserve">NUEVO </t>
  </si>
  <si>
    <t>UND</t>
  </si>
  <si>
    <t>3D</t>
  </si>
  <si>
    <t>CONSUMO GENERAL</t>
  </si>
  <si>
    <t>CON-0030</t>
  </si>
  <si>
    <t xml:space="preserve">BOLIGRAFO AZUL </t>
  </si>
  <si>
    <t xml:space="preserve">BALL POINT </t>
  </si>
  <si>
    <t>1B</t>
  </si>
  <si>
    <t>CON-0031</t>
  </si>
  <si>
    <t>MARCADOR ACRILICO NEGRO</t>
  </si>
  <si>
    <t>OFIMAK</t>
  </si>
  <si>
    <t>CON-0032</t>
  </si>
  <si>
    <t xml:space="preserve">MARCADOR ACRILICO AZUL </t>
  </si>
  <si>
    <t xml:space="preserve">ICONO </t>
  </si>
  <si>
    <t>CON-0033</t>
  </si>
  <si>
    <t xml:space="preserve">RESALTADOR VERDE </t>
  </si>
  <si>
    <t xml:space="preserve">OFIMAK </t>
  </si>
  <si>
    <t>CON-0034</t>
  </si>
  <si>
    <t xml:space="preserve">RESALTADOR NARANJA </t>
  </si>
  <si>
    <t>CON-0035</t>
  </si>
  <si>
    <t xml:space="preserve">MARCADOR PERMANENTE AZUL  </t>
  </si>
  <si>
    <t xml:space="preserve">SHARPIE </t>
  </si>
  <si>
    <t>CON-0036</t>
  </si>
  <si>
    <t xml:space="preserve">LAPIZ DE GRAFITO </t>
  </si>
  <si>
    <t xml:space="preserve">KORES </t>
  </si>
  <si>
    <t>CON-0037</t>
  </si>
  <si>
    <t>HOJAS AUTOADHESIVAS 76MM X 76MM</t>
  </si>
  <si>
    <t xml:space="preserve">CRISVI </t>
  </si>
  <si>
    <t>CON-0038</t>
  </si>
  <si>
    <t>HOJAS AUTOADHESIVAS 50MM X 50MM</t>
  </si>
  <si>
    <t>CON-0039</t>
  </si>
  <si>
    <t>BORRADOR DE GOMA</t>
  </si>
  <si>
    <t>CON-0040</t>
  </si>
  <si>
    <t>SACA GRAPAS</t>
  </si>
  <si>
    <t>WEIBO</t>
  </si>
  <si>
    <t>CON-0041</t>
  </si>
  <si>
    <t>HUELLERO</t>
  </si>
  <si>
    <t>CON-0042</t>
  </si>
  <si>
    <t>TINTA PARA ALMOHADILLA 24ML</t>
  </si>
  <si>
    <t>OFIART</t>
  </si>
  <si>
    <t>CON-0043</t>
  </si>
  <si>
    <t xml:space="preserve">BANDERINES DE INDICE </t>
  </si>
  <si>
    <t xml:space="preserve">POINTER </t>
  </si>
  <si>
    <t>CON-0044</t>
  </si>
  <si>
    <t xml:space="preserve">GRAPAS ONDULADAS </t>
  </si>
  <si>
    <t>FANAGRA</t>
  </si>
  <si>
    <t>CON-0045</t>
  </si>
  <si>
    <t xml:space="preserve">CLIP JUMBO </t>
  </si>
  <si>
    <t>FIXO</t>
  </si>
  <si>
    <t>CON-0046</t>
  </si>
  <si>
    <t xml:space="preserve">CLIP MARIPOSA #2 </t>
  </si>
  <si>
    <t>CON-0047</t>
  </si>
  <si>
    <t xml:space="preserve">MARCA PAGINAS </t>
  </si>
  <si>
    <t>CON-0048</t>
  </si>
  <si>
    <t xml:space="preserve">GRAPAS CORONA PLANA </t>
  </si>
  <si>
    <t>CON-0049</t>
  </si>
  <si>
    <t xml:space="preserve">ENGRAPADORA </t>
  </si>
  <si>
    <t>CON-0050</t>
  </si>
  <si>
    <t>BORRADOR DE PIZARRA ACRILICO</t>
  </si>
  <si>
    <t>CON-0051</t>
  </si>
  <si>
    <t>PRIMUS</t>
  </si>
  <si>
    <t>CON-0052</t>
  </si>
  <si>
    <t xml:space="preserve"> SACAPUNTAS CON DEPOSITO</t>
  </si>
  <si>
    <t>SMOKY COLOR</t>
  </si>
  <si>
    <t>CON-0053</t>
  </si>
  <si>
    <t>CON-0054</t>
  </si>
  <si>
    <t>PEGA EN BARRA</t>
  </si>
  <si>
    <t>CORES</t>
  </si>
  <si>
    <t>CON-0055</t>
  </si>
  <si>
    <t>LAMINA DE PLASTIUFICAR 80X110 MM</t>
  </si>
  <si>
    <t>CON-0056</t>
  </si>
  <si>
    <t>CLIP DE COLORES 50 MM</t>
  </si>
  <si>
    <t>CON-0057</t>
  </si>
  <si>
    <t>CLIP DE COLORES 33 MM (120PCS)</t>
  </si>
  <si>
    <t>CAJA</t>
  </si>
  <si>
    <t>CON-0058</t>
  </si>
  <si>
    <t>CLIP DE COLORES 33 MM (100PCS)</t>
  </si>
  <si>
    <t>CON-0059</t>
  </si>
  <si>
    <t xml:space="preserve">CINTA AHDESIBA </t>
  </si>
  <si>
    <t>CON-0060</t>
  </si>
  <si>
    <t xml:space="preserve">GANCHO PARA CARPETA </t>
  </si>
  <si>
    <t>CON-0061</t>
  </si>
  <si>
    <t xml:space="preserve">BARRA SUJETADORA PLASTICA PARA CARPETA TRANSPARENTE </t>
  </si>
  <si>
    <t>CON-0062</t>
  </si>
  <si>
    <t xml:space="preserve">CINTA DE EMBALAJE GRANDE </t>
  </si>
  <si>
    <t>ROLLO</t>
  </si>
  <si>
    <t>CON-0063</t>
  </si>
  <si>
    <t>LIBRO DE ACTAS (100 PAG)</t>
  </si>
  <si>
    <t>CON-0064</t>
  </si>
  <si>
    <t>CUADERNO DE UNA LINEA 100 H</t>
  </si>
  <si>
    <t xml:space="preserve">FAMA </t>
  </si>
  <si>
    <t>CON-0065</t>
  </si>
  <si>
    <t>COLORES (36 UND)</t>
  </si>
  <si>
    <t>CON-0066</t>
  </si>
  <si>
    <t xml:space="preserve">CHINCHETA </t>
  </si>
  <si>
    <t>CON-0067</t>
  </si>
  <si>
    <t>CARPETA MARRON TIPO CARTA</t>
  </si>
  <si>
    <t>1C</t>
  </si>
  <si>
    <t>CON-0068</t>
  </si>
  <si>
    <t>PAPEL FOTOGRAFICO</t>
  </si>
  <si>
    <t>CON-0069</t>
  </si>
  <si>
    <t>PAPEL FOTOGRAFICO ADHESIVO</t>
  </si>
  <si>
    <t>CRI SVI</t>
  </si>
  <si>
    <t>CON-0070</t>
  </si>
  <si>
    <t xml:space="preserve">PAPEL FOTOGRAFICO </t>
  </si>
  <si>
    <t>CON-0071</t>
  </si>
  <si>
    <t>LAMINA DE PLASTIFICAR 229  X 222MM</t>
  </si>
  <si>
    <t>CON-0072</t>
  </si>
  <si>
    <t xml:space="preserve">CARTULINA OPALINA TIPO CARTA </t>
  </si>
  <si>
    <t>CON-0073</t>
  </si>
  <si>
    <t xml:space="preserve">CARPETA MANILA TIPO CARTA </t>
  </si>
  <si>
    <t>CON-0074</t>
  </si>
  <si>
    <t xml:space="preserve">SOBRE MANILA TIPO CARTA </t>
  </si>
  <si>
    <t>CON-0075</t>
  </si>
  <si>
    <t>SEPARADORES DE COLORES (8 UND)</t>
  </si>
  <si>
    <t>SET</t>
  </si>
  <si>
    <t>CON-0076</t>
  </si>
  <si>
    <t xml:space="preserve">CARTA GRAFICA CIRCULAR PARA BARTON </t>
  </si>
  <si>
    <t>CON-0077</t>
  </si>
  <si>
    <t>FUNDAS PROTECTORAS TIPO CARTA</t>
  </si>
  <si>
    <t>STUDMARK</t>
  </si>
  <si>
    <t>CON-0078</t>
  </si>
  <si>
    <t xml:space="preserve">CARTULINA DE HILO </t>
  </si>
  <si>
    <t>1D</t>
  </si>
  <si>
    <t>CON-0079</t>
  </si>
  <si>
    <t xml:space="preserve">CARPETA MANILA TIPO OFICIO </t>
  </si>
  <si>
    <t>CON-0080</t>
  </si>
  <si>
    <t xml:space="preserve">SOBRE MANILA TIPO OFICIO </t>
  </si>
  <si>
    <t>CON-0081</t>
  </si>
  <si>
    <t xml:space="preserve">CARPETA MARRON TIPO OFICIO </t>
  </si>
  <si>
    <t>CON-0082</t>
  </si>
  <si>
    <t xml:space="preserve">PAPEL CARBON </t>
  </si>
  <si>
    <t>CON-0083</t>
  </si>
  <si>
    <t xml:space="preserve">FUNDAS PROTECTORAS TIPO CARTA </t>
  </si>
  <si>
    <t>CON-0084</t>
  </si>
  <si>
    <t>PORTA CARNET 5,5 X 8,5 CM</t>
  </si>
  <si>
    <t>CON-0085</t>
  </si>
  <si>
    <t xml:space="preserve">CINTA PARA PORTA CARNET </t>
  </si>
  <si>
    <t>CON-0086</t>
  </si>
  <si>
    <t xml:space="preserve">BRAZALETE PORTA CARNET FLUORESCENTE </t>
  </si>
  <si>
    <t>CON-0087</t>
  </si>
  <si>
    <t>CON-0088</t>
  </si>
  <si>
    <t>PORTA CARNET AZUL</t>
  </si>
  <si>
    <t>CON-0089</t>
  </si>
  <si>
    <t xml:space="preserve">PORTA CARNET NEGRO </t>
  </si>
  <si>
    <t>CON-0090</t>
  </si>
  <si>
    <t>PAPEL CONTACT</t>
  </si>
  <si>
    <t>CENTIMETROS</t>
  </si>
  <si>
    <t>ELE-0001</t>
  </si>
  <si>
    <t>TELEVISOR 32"</t>
  </si>
  <si>
    <t xml:space="preserve">PANASONIC </t>
  </si>
  <si>
    <t>ELECTRONICA_DE_CONSUMO</t>
  </si>
  <si>
    <t xml:space="preserve">TELEVISOR </t>
  </si>
  <si>
    <t>EXEB41038126</t>
  </si>
  <si>
    <t>ELE-0002</t>
  </si>
  <si>
    <t>EXBB41029485</t>
  </si>
  <si>
    <t>ELE-0003</t>
  </si>
  <si>
    <t xml:space="preserve">CORNETA DE SONIDO MODELO: MX-T50 </t>
  </si>
  <si>
    <t xml:space="preserve">SAMSUNG </t>
  </si>
  <si>
    <t xml:space="preserve">EQUIPO DE SONIDO </t>
  </si>
  <si>
    <t>CWEF14CX400398V</t>
  </si>
  <si>
    <t>ELE-0004</t>
  </si>
  <si>
    <t>FUENTE DE ALIMENTACION INDUSTRIAL PARA CARRIL DIN MODELO: DRA 240-24A</t>
  </si>
  <si>
    <t>CHINFA</t>
  </si>
  <si>
    <t xml:space="preserve">FUENTE DE PODER </t>
  </si>
  <si>
    <t>I3-2</t>
  </si>
  <si>
    <t>OPERACIONES</t>
  </si>
  <si>
    <t>ELE-0005</t>
  </si>
  <si>
    <t xml:space="preserve">CAMARA FOTOGRAFICA </t>
  </si>
  <si>
    <t xml:space="preserve">SONY </t>
  </si>
  <si>
    <t xml:space="preserve">EQUIPO DE VIDEO </t>
  </si>
  <si>
    <t>1E</t>
  </si>
  <si>
    <t>ELE-0006</t>
  </si>
  <si>
    <t>OLYMPUS</t>
  </si>
  <si>
    <t>EPP-0001</t>
  </si>
  <si>
    <t>CHALECO SALVAVIDAS TIPO V</t>
  </si>
  <si>
    <t>EPP</t>
  </si>
  <si>
    <t xml:space="preserve">EQUIPO DE PROTECCION ACUATICO </t>
  </si>
  <si>
    <t>L1</t>
  </si>
  <si>
    <t>EPP-0002</t>
  </si>
  <si>
    <t xml:space="preserve">IMPERMEABLE AMARILLO </t>
  </si>
  <si>
    <t xml:space="preserve">PROTECCION CORPORAL </t>
  </si>
  <si>
    <t>OPERACIONES / MANTENIMIENTO</t>
  </si>
  <si>
    <t>EPP-0003</t>
  </si>
  <si>
    <t xml:space="preserve">DELANTAL DE LABORATORIO </t>
  </si>
  <si>
    <t>L2</t>
  </si>
  <si>
    <t>EPP-0004</t>
  </si>
  <si>
    <t>EPP-0005</t>
  </si>
  <si>
    <t>MASCARA MEDIA CARA MODELO: 6200</t>
  </si>
  <si>
    <t>3M</t>
  </si>
  <si>
    <t>PROTECCIÓN FACIAL</t>
  </si>
  <si>
    <t>L3</t>
  </si>
  <si>
    <t>EPP-0006</t>
  </si>
  <si>
    <t>CINTURON ANTICAIDAS</t>
  </si>
  <si>
    <t>PRODUMIN</t>
  </si>
  <si>
    <t>EPP-0007</t>
  </si>
  <si>
    <t>TAPONES AUDITIVOS DE ESPONJA 1100</t>
  </si>
  <si>
    <t>PROTECCIÓN AUDITIVA</t>
  </si>
  <si>
    <t>L4</t>
  </si>
  <si>
    <t>EPP-0008</t>
  </si>
  <si>
    <t xml:space="preserve">BRAGA IMPERMEABLE PARA PINTAR </t>
  </si>
  <si>
    <t xml:space="preserve">SAFE WORK </t>
  </si>
  <si>
    <t>EPP-0009</t>
  </si>
  <si>
    <t xml:space="preserve">MACARILLA MEDIA CARA MODELO: 6200 </t>
  </si>
  <si>
    <t xml:space="preserve">3M </t>
  </si>
  <si>
    <t>G2</t>
  </si>
  <si>
    <t>EPP-0010</t>
  </si>
  <si>
    <t xml:space="preserve">CARTUCHO PARA VAPORES ORGANICOS Y GASES ACIDOS MODELO: 6003 </t>
  </si>
  <si>
    <t>EPP-0011</t>
  </si>
  <si>
    <t xml:space="preserve">LENTES DE SEGURIDAD TIPO AVISPA CLAROS </t>
  </si>
  <si>
    <t>PROTECCIÓN VISUAL</t>
  </si>
  <si>
    <t>EPP-0012</t>
  </si>
  <si>
    <t>LENTES DE SEGURIDAD TIPO AVISPA OSCUROS</t>
  </si>
  <si>
    <t>EPP-0013</t>
  </si>
  <si>
    <t>FILTRO 5N11</t>
  </si>
  <si>
    <t>EPP-0014</t>
  </si>
  <si>
    <t>RETENEDOR 0086</t>
  </si>
  <si>
    <t>EPP-0015</t>
  </si>
  <si>
    <t>BOTAS DE SEGURIDAD MEDIA CAÑA T: 43</t>
  </si>
  <si>
    <t xml:space="preserve">RED WING SHOES </t>
  </si>
  <si>
    <t xml:space="preserve">PROTECCIÓN DE PIES </t>
  </si>
  <si>
    <t>G3</t>
  </si>
  <si>
    <t>EPP-0016</t>
  </si>
  <si>
    <t>BOTAS DE SEGURIDAD MEDIA CAÑA T: 44</t>
  </si>
  <si>
    <t>EPP-0017</t>
  </si>
  <si>
    <t>MASCARA DE ESCAPE 3100</t>
  </si>
  <si>
    <t>DRAGER</t>
  </si>
  <si>
    <t>EPP-0018</t>
  </si>
  <si>
    <t xml:space="preserve">PROTECTOR AUDITIVO PARA CASCO </t>
  </si>
  <si>
    <t>BARCKLY</t>
  </si>
  <si>
    <t>EPP-0019</t>
  </si>
  <si>
    <t>BOTAS MEDIA CAÑA T: 42</t>
  </si>
  <si>
    <t>SICURA</t>
  </si>
  <si>
    <t>EPP-0020</t>
  </si>
  <si>
    <t>BOTAS MEDIA CAÑA T: 43</t>
  </si>
  <si>
    <t>EPP-0021</t>
  </si>
  <si>
    <t>BOTIN DE SEGURIDAD T: 38</t>
  </si>
  <si>
    <t>EPP-0022</t>
  </si>
  <si>
    <t>BOTIN DE SEGURIDAD T: 36</t>
  </si>
  <si>
    <t>EPP-0023</t>
  </si>
  <si>
    <t>BOTIN DE SEGURIDAD T: 44</t>
  </si>
  <si>
    <t>EPP-0024</t>
  </si>
  <si>
    <t xml:space="preserve">INVENSICA </t>
  </si>
  <si>
    <t>EPP-0025</t>
  </si>
  <si>
    <t>BOTA DE SEGURIDAD MEDIA CAÑA T: 43</t>
  </si>
  <si>
    <t>BERRENDO</t>
  </si>
  <si>
    <t>EPP-0026</t>
  </si>
  <si>
    <t>BOTA DE SEGURIDAD MEDIA CAÑA T: 40</t>
  </si>
  <si>
    <t>EPP-0027</t>
  </si>
  <si>
    <t>BOTA DE SEGURIDAD MEDIA CAÑA T: 39</t>
  </si>
  <si>
    <t>EPP-0028</t>
  </si>
  <si>
    <t>BRAGA EJECUTIVA AZUL REY T: 38</t>
  </si>
  <si>
    <t>SIHO</t>
  </si>
  <si>
    <t>EPP-0029</t>
  </si>
  <si>
    <t>BRAGA TELA IGNIFUGA AZUL MARINO T: 42</t>
  </si>
  <si>
    <t>CAROL</t>
  </si>
  <si>
    <t>EPP-0030</t>
  </si>
  <si>
    <t>BRAGA EJECUTIVA AZUL REY T: 40</t>
  </si>
  <si>
    <t>EPP-0031</t>
  </si>
  <si>
    <t>BRAGA EJECUTIVA AZUL MARINO T: 36</t>
  </si>
  <si>
    <t>EQU-0001</t>
  </si>
  <si>
    <t>COLLAR CERVICAL FORMA PILA TALLA L</t>
  </si>
  <si>
    <t xml:space="preserve">FORMA ELASTICA </t>
  </si>
  <si>
    <t>EQUIPO_MEDICO</t>
  </si>
  <si>
    <t xml:space="preserve">AMBULANCIA </t>
  </si>
  <si>
    <t>EQU-0002</t>
  </si>
  <si>
    <t xml:space="preserve">COLLAR CERVICAL FORMA </t>
  </si>
  <si>
    <t>AMBU</t>
  </si>
  <si>
    <t>EQU-0003</t>
  </si>
  <si>
    <t xml:space="preserve">INMOVILIZADOE DE PIERNA </t>
  </si>
  <si>
    <t>MAYFLOWER</t>
  </si>
  <si>
    <t>EQU-0004</t>
  </si>
  <si>
    <t xml:space="preserve">INMOVILIZADOR DE PIE </t>
  </si>
  <si>
    <t>EQU-0005</t>
  </si>
  <si>
    <t>INMOVILIZADOR DE ANTEBRAZO</t>
  </si>
  <si>
    <t>EQU-0006</t>
  </si>
  <si>
    <t xml:space="preserve">VASO HUMIFICADOR CON FILTRO </t>
  </si>
  <si>
    <t>KENXYN</t>
  </si>
  <si>
    <t>EQU-0007</t>
  </si>
  <si>
    <t>AIRIAL</t>
  </si>
  <si>
    <t>EQU-0008</t>
  </si>
  <si>
    <t>MAXIUM</t>
  </si>
  <si>
    <t>EQU-0009</t>
  </si>
  <si>
    <t xml:space="preserve">RESPIRADOR DE RESUCITACION </t>
  </si>
  <si>
    <t>EQU-0010</t>
  </si>
  <si>
    <t>CATETER INTRAVENOSO 18 G</t>
  </si>
  <si>
    <t>SENSIMEDICAL</t>
  </si>
  <si>
    <t>EQU-0011</t>
  </si>
  <si>
    <t>CATETER INTRAVENOSO 2 G</t>
  </si>
  <si>
    <t>NIPRO</t>
  </si>
  <si>
    <t>EQU-0012</t>
  </si>
  <si>
    <t>CATETER INTRAVENOSO 20G</t>
  </si>
  <si>
    <t>ANGIOCATH</t>
  </si>
  <si>
    <t>EQU-0013</t>
  </si>
  <si>
    <t xml:space="preserve">GERINGA 3CC </t>
  </si>
  <si>
    <t>ACTIMED</t>
  </si>
  <si>
    <t>EQU-0014</t>
  </si>
  <si>
    <t xml:space="preserve">GERINGA 1CC </t>
  </si>
  <si>
    <t>GAESCA</t>
  </si>
  <si>
    <t>EQU-0015</t>
  </si>
  <si>
    <t xml:space="preserve">GERINGA 10CC </t>
  </si>
  <si>
    <t>KXMEDICAL</t>
  </si>
  <si>
    <t>EQU-0016</t>
  </si>
  <si>
    <t>GERINGA 25CC</t>
  </si>
  <si>
    <t>EQU-0017</t>
  </si>
  <si>
    <t xml:space="preserve">MASCARA PARA NEBULIZAR </t>
  </si>
  <si>
    <t>EQU-0018</t>
  </si>
  <si>
    <t xml:space="preserve">CANULA NASAL </t>
  </si>
  <si>
    <t>EQU-0019</t>
  </si>
  <si>
    <t>MICROGOTERO</t>
  </si>
  <si>
    <t>KXSENSIMEDICAL</t>
  </si>
  <si>
    <t>EQU-0020</t>
  </si>
  <si>
    <t>MICROGOTERO  Y</t>
  </si>
  <si>
    <t>EQU-0021</t>
  </si>
  <si>
    <t xml:space="preserve">FRASCO RECOLECTOR DE ORINA </t>
  </si>
  <si>
    <t>DEXX</t>
  </si>
  <si>
    <t xml:space="preserve">RECOLECTOR </t>
  </si>
  <si>
    <t>EQU-0022</t>
  </si>
  <si>
    <t>PANTALLA PARA PROTECCION FACIAL</t>
  </si>
  <si>
    <t>SAFE WORK</t>
  </si>
  <si>
    <t xml:space="preserve">CARETA </t>
  </si>
  <si>
    <t>3I</t>
  </si>
  <si>
    <t xml:space="preserve">KARL FISCHER </t>
  </si>
  <si>
    <t>ARTEFACTO ELETRÓNICO</t>
  </si>
  <si>
    <t>MM-06-506</t>
  </si>
  <si>
    <t>DAÑADO</t>
  </si>
  <si>
    <t>K1</t>
  </si>
  <si>
    <t>FAB-0002</t>
  </si>
  <si>
    <t>MM-2002-399</t>
  </si>
  <si>
    <t>FAB-0003</t>
  </si>
  <si>
    <t>CONECTOR  1/2" NPT X 3/8" OD CON FERRULE Y TUERCA 3/8"</t>
  </si>
  <si>
    <t>SWAGELOK</t>
  </si>
  <si>
    <t>MATERIAL MECANICO</t>
  </si>
  <si>
    <t>K2</t>
  </si>
  <si>
    <t>FAB-0004</t>
  </si>
  <si>
    <t>VALVULA CHECK 3/8" 25 PSI (HEMBRA)</t>
  </si>
  <si>
    <t>FAB-0005</t>
  </si>
  <si>
    <t>VALVULA CHECK 3/8" 1/3 PSI (HEMBRA)</t>
  </si>
  <si>
    <t>FAB-0006</t>
  </si>
  <si>
    <t>CONECTOR  1/2" NPT X 3/8" OD SIN FERRULE Y TUERCA</t>
  </si>
  <si>
    <t>FAB-0007</t>
  </si>
  <si>
    <t>VALVULA DE PURGA 3/8" NPT MACHO  MODELO: SS-BVM4</t>
  </si>
  <si>
    <t>FAB-0008</t>
  </si>
  <si>
    <t>VALVULA DE PURGA 3/8" NPT MACHO  MODELO: SS-BVM4-SH (MARIPOSA)</t>
  </si>
  <si>
    <t>FAB-0009</t>
  </si>
  <si>
    <t xml:space="preserve">BUSHING DE ACTUADOR PARA PIN DE VALVULA 2" </t>
  </si>
  <si>
    <t>FAB-0010</t>
  </si>
  <si>
    <t xml:space="preserve">ARANDELA DE SEGURIDAD DE OVALO DE PDMETER </t>
  </si>
  <si>
    <t>FAB-0011</t>
  </si>
  <si>
    <t xml:space="preserve">ESPACIADORES DE ACERO INOXIDABLE </t>
  </si>
  <si>
    <t>K3</t>
  </si>
  <si>
    <t>FAB-0012</t>
  </si>
  <si>
    <t>FERRULE 3/8"</t>
  </si>
  <si>
    <t>FAB-0013</t>
  </si>
  <si>
    <t>BACK FERRULE 3/8"</t>
  </si>
  <si>
    <t>FAB-0014</t>
  </si>
  <si>
    <t>FERRULE 1/4"</t>
  </si>
  <si>
    <t>FAB-0015</t>
  </si>
  <si>
    <t>BACK FERRULE 1/4"</t>
  </si>
  <si>
    <t>FAB-0016</t>
  </si>
  <si>
    <t>FERRULE 1/2"</t>
  </si>
  <si>
    <t>FAB-0017</t>
  </si>
  <si>
    <t>BACK FERRULE 1/2"</t>
  </si>
  <si>
    <t>FAB-0018</t>
  </si>
  <si>
    <t>ADAPTADOR MACHO RECTO JIC A NPT</t>
  </si>
  <si>
    <t>FAB-0019</t>
  </si>
  <si>
    <t>FAB-0020</t>
  </si>
  <si>
    <t>FAB-0021</t>
  </si>
  <si>
    <t>FAB-0022</t>
  </si>
  <si>
    <t>CONECTOR RECTO HEMBRA 1/4" OD X 1/4" NPT CON FERRULE Y TUERCA 1/4"</t>
  </si>
  <si>
    <t>FAB-0023</t>
  </si>
  <si>
    <t xml:space="preserve">BUSHING 3/8" NPT X 1/4" OD </t>
  </si>
  <si>
    <t>FAB-0024</t>
  </si>
  <si>
    <t xml:space="preserve">TEE DE ALTA PRESION 3/8" NPT </t>
  </si>
  <si>
    <t>FAB-0025</t>
  </si>
  <si>
    <t xml:space="preserve">TEE DE ACERO INOXIDABLE HEMBRA 1/4" NPT </t>
  </si>
  <si>
    <t>FAB-0026</t>
  </si>
  <si>
    <t xml:space="preserve">TEE DE ACERO INOXIDABLE MACHO 3/8" OD </t>
  </si>
  <si>
    <t>FAB-0027</t>
  </si>
  <si>
    <t xml:space="preserve">TEE DE ACERO INOXIDABLLE  3/8" OD MACHO </t>
  </si>
  <si>
    <t>FAB-0028</t>
  </si>
  <si>
    <t>CODO MACHO 1/2" NPT X 3/8" OD</t>
  </si>
  <si>
    <t>FAB-0029</t>
  </si>
  <si>
    <t xml:space="preserve">CODO 3/8" NPT X 3/8" NPT </t>
  </si>
  <si>
    <t>CODO 1/4" NPT X 3/8" OD</t>
  </si>
  <si>
    <t>VALVULA CHECK 25 PSI (MACHO)</t>
  </si>
  <si>
    <t xml:space="preserve">BUSHING 3/8" NPT X 3/8" NPT </t>
  </si>
  <si>
    <t xml:space="preserve">BUSHING 1/2" NPT X 1/2" NPT </t>
  </si>
  <si>
    <t>REDAPT</t>
  </si>
  <si>
    <t xml:space="preserve">BUSHING 1/2" NPT X 3/4" NPT </t>
  </si>
  <si>
    <t xml:space="preserve">TUERCA 1/2" </t>
  </si>
  <si>
    <t>FAB-0036</t>
  </si>
  <si>
    <t xml:space="preserve">CONECTOR RECTO MACHO 1/4" NPT X 3/8" OD </t>
  </si>
  <si>
    <t>FAB-0037</t>
  </si>
  <si>
    <t xml:space="preserve">CONECTOR RECTO MACHO 3/8" NPT X 3/8" OD </t>
  </si>
  <si>
    <t>FAB-0038</t>
  </si>
  <si>
    <t xml:space="preserve">CRUZ DE ACERO INOXIDABLE 3/8" OD </t>
  </si>
  <si>
    <t>FAB-0039</t>
  </si>
  <si>
    <t>TUERCA 1/4"</t>
  </si>
  <si>
    <t>FAB-0040</t>
  </si>
  <si>
    <t>TUERCA 3/8"</t>
  </si>
  <si>
    <t>FAB-0041</t>
  </si>
  <si>
    <t>FAB-0042</t>
  </si>
  <si>
    <t>EMPACADURA 2" PARA FIGURAS DE CONEXIÓN HAMMER</t>
  </si>
  <si>
    <t>K4</t>
  </si>
  <si>
    <t>FAB-0043</t>
  </si>
  <si>
    <t>EMPACADURA 3" PARA FIGURAS DE CONEXIÓN HAMMER</t>
  </si>
  <si>
    <t>FAB-0044</t>
  </si>
  <si>
    <t>EMPACADURA 4" PARA FIGURAS DE CONEXIÓN HAMMER</t>
  </si>
  <si>
    <t>FAB-0045</t>
  </si>
  <si>
    <t xml:space="preserve">TUERCA 1/4" CON FERRULE / BACK FERRULE </t>
  </si>
  <si>
    <t>FAB-0046</t>
  </si>
  <si>
    <t>O-RING DE GOMA 2"</t>
  </si>
  <si>
    <t>FAB-0047</t>
  </si>
  <si>
    <t>O-RING DE GOMA 3"</t>
  </si>
  <si>
    <t>FAB-0048</t>
  </si>
  <si>
    <t>O-RING DE GOMA 4"</t>
  </si>
  <si>
    <t>FAB-0049</t>
  </si>
  <si>
    <t>O-RING DE GOMA 12"</t>
  </si>
  <si>
    <t>FAB-0050</t>
  </si>
  <si>
    <t>O-RING DE GOMA 13"</t>
  </si>
  <si>
    <t>FAB-0051</t>
  </si>
  <si>
    <t>O-RING DE GOMA 1/2"</t>
  </si>
  <si>
    <t>FAB-0052</t>
  </si>
  <si>
    <t>MANGUERA DETECTOR DE GASES</t>
  </si>
  <si>
    <t>FAB-0053</t>
  </si>
  <si>
    <t>BOCINA</t>
  </si>
  <si>
    <t>FAB-0054</t>
  </si>
  <si>
    <t>BUSHING OW-201</t>
  </si>
  <si>
    <t>FAB-0055</t>
  </si>
  <si>
    <t>SELLO DE TRANSMISOR</t>
  </si>
  <si>
    <t>FAB-0056</t>
  </si>
  <si>
    <t>ARANDELA PARA PDMETER 3/8"</t>
  </si>
  <si>
    <t>FAB-0057</t>
  </si>
  <si>
    <t xml:space="preserve">O-RING PARA JUNCTION BOX </t>
  </si>
  <si>
    <t>FAB-0058</t>
  </si>
  <si>
    <t>VALVULA DE TOMA DE MUESTRAS DE ALTA PRESION 3/8"</t>
  </si>
  <si>
    <t>FAB-0059</t>
  </si>
  <si>
    <t>ARANDELA PARA PDMETER 1/4"</t>
  </si>
  <si>
    <t>K5</t>
  </si>
  <si>
    <t>FAB-0060</t>
  </si>
  <si>
    <t xml:space="preserve">RETEN PARA ARANDELA DE PDMETER </t>
  </si>
  <si>
    <t>FAB-0061</t>
  </si>
  <si>
    <t>CAJA INDUSTRIAL MONTAJE SUPERFICIAL NEMA 12 850MM X 280MM X 560MM</t>
  </si>
  <si>
    <t>MATERIAL ELECTRICO</t>
  </si>
  <si>
    <t>FAB-0062</t>
  </si>
  <si>
    <t xml:space="preserve">DUCTO VERTICAL RANURADO PARA LA ORGANIZACIÓN DE CABLES DE COBRE Y FIBRA 4" X 5" X 80" COLOR NEGRO </t>
  </si>
  <si>
    <t xml:space="preserve">LEVITON </t>
  </si>
  <si>
    <t>FAB-0063</t>
  </si>
  <si>
    <t>PERNO 3/4" DE ACERO AL CARBON 153MM (SIN TUERCA)</t>
  </si>
  <si>
    <t>J4-2</t>
  </si>
  <si>
    <t>FAB-0064</t>
  </si>
  <si>
    <t>PERNO 1/2" DE ACERO AL CARBON 120MM (SIN TUERCA)</t>
  </si>
  <si>
    <t>FAB-0065</t>
  </si>
  <si>
    <t>PERNO 1/2" DE ACERO INOXIDABLE 120MM (SIN TUERCA)</t>
  </si>
  <si>
    <t>FAB-0066</t>
  </si>
  <si>
    <t>PERNO 3/4" DE ACERO INOXIDABLE 160MM (CON TUERCA)</t>
  </si>
  <si>
    <t>FAB-0067</t>
  </si>
  <si>
    <t>PERNO 1/2" DE ACERO INOXIDABLE 140MM (SIN TUERCA)</t>
  </si>
  <si>
    <t>FAB-0068</t>
  </si>
  <si>
    <t>FAB-0069</t>
  </si>
  <si>
    <t>PERNO 1/2" DE ACERO AL CARBON 150MM (SIN TUERCA)</t>
  </si>
  <si>
    <t>FAB-0070</t>
  </si>
  <si>
    <t>PERNO 1/2" DE ACERO INOXIDABLE 160MM (SIN TUERCA)</t>
  </si>
  <si>
    <t>FAB-0071</t>
  </si>
  <si>
    <t>PERNO 3/4" DE ACERO INOXIDABLE 153MM (SIN TUERCA)</t>
  </si>
  <si>
    <t>FAB-0072</t>
  </si>
  <si>
    <t>PERNO 1/2" DE ACERO AL CARBON 249MM (SIN TUERCA)</t>
  </si>
  <si>
    <t>FAB-0073</t>
  </si>
  <si>
    <t>PERNO 1/2" DE ACERO INOXIDABLE 140MM (CON TUERCA)</t>
  </si>
  <si>
    <t>FAB-0074</t>
  </si>
  <si>
    <t>PERNO 1/2" DE ACERO INOXIDABLE 180MM (CON TUERCA)</t>
  </si>
  <si>
    <t>FAB-0075</t>
  </si>
  <si>
    <t>PERNO 1/2" DE ACERO INOXIDABLE 110MM (SIN TUERCA)</t>
  </si>
  <si>
    <t>FAB-0076</t>
  </si>
  <si>
    <t>PERNO 1/2" DE ACERO INOXIDABLE 170MM (SIN TUERCA)</t>
  </si>
  <si>
    <t>FAB-0077</t>
  </si>
  <si>
    <t>PERNO 1/4" DE ACERO INOXIDABLE 160MM (CON TUERCA)</t>
  </si>
  <si>
    <t>FAB-0078</t>
  </si>
  <si>
    <t>PERNO 1/4" DE ACERO AL CARBON 160MM (CON TUERCA)</t>
  </si>
  <si>
    <t>FAB-0079</t>
  </si>
  <si>
    <t>PERNO 1/4" DE ACERO AL CARBON 200MM (CON TUERCA)</t>
  </si>
  <si>
    <t>FAB-0080</t>
  </si>
  <si>
    <t>PERNO 1/4" DE ACERO INOXIDABLE 160MM (SIN TUERCA)</t>
  </si>
  <si>
    <t>FAB-0081</t>
  </si>
  <si>
    <t>PERNO 1/2" DE ACERO AL CARBON 240MM (SIN TUERCA)</t>
  </si>
  <si>
    <t>FAB-0082</t>
  </si>
  <si>
    <t xml:space="preserve">TORNILLO 1/2" X 5" ACERO INOXIDABLE </t>
  </si>
  <si>
    <t>J3-1</t>
  </si>
  <si>
    <t>FAB-0083</t>
  </si>
  <si>
    <t xml:space="preserve">TORNILLO 5/8" X 2" DE ACERO INOXIDABLE </t>
  </si>
  <si>
    <t>FAB-0084</t>
  </si>
  <si>
    <t xml:space="preserve">TORNILLO 3/4" X 2" DE ACERO INOXIDABLE </t>
  </si>
  <si>
    <t>FAB-0085</t>
  </si>
  <si>
    <t xml:space="preserve">TORNILLO 5/8" X 4" </t>
  </si>
  <si>
    <t>FAB-0086</t>
  </si>
  <si>
    <t xml:space="preserve">TORNILLO 5/8" X 3" </t>
  </si>
  <si>
    <t>FAB-0087</t>
  </si>
  <si>
    <t xml:space="preserve">TORNILLO 1" X 6" </t>
  </si>
  <si>
    <t>FAB-0088</t>
  </si>
  <si>
    <t>EMPACADURA DE CORCHO CON AISLANTE DE CORROCION PARA ESPARRAGO 3/4"</t>
  </si>
  <si>
    <t xml:space="preserve">KIT </t>
  </si>
  <si>
    <t>J3-2</t>
  </si>
  <si>
    <t>FAB-0089</t>
  </si>
  <si>
    <t xml:space="preserve">SELLO DE PRENSA ESTOPA </t>
  </si>
  <si>
    <t>FAB-0090</t>
  </si>
  <si>
    <t xml:space="preserve">CUBIERTA DE TANQUE DE PURGA </t>
  </si>
  <si>
    <t>JUEGO</t>
  </si>
  <si>
    <t>FAB-0091</t>
  </si>
  <si>
    <t>PERNO 1/2" X 2,7" ACERO AL CARBON</t>
  </si>
  <si>
    <t>FAB-0092</t>
  </si>
  <si>
    <t>PERNO 1/2" X 2,7" ACERO INOXIDABLE</t>
  </si>
  <si>
    <t>FAB-0093</t>
  </si>
  <si>
    <t>SOPORTE DE TRANSMISOR (KIT)</t>
  </si>
  <si>
    <t>FAB-0094</t>
  </si>
  <si>
    <t xml:space="preserve">SOPORTE DE TRANSMISOR </t>
  </si>
  <si>
    <t>FAB-0095</t>
  </si>
  <si>
    <t>TAPON 2"</t>
  </si>
  <si>
    <t>J2-1</t>
  </si>
  <si>
    <t>FAB-0096</t>
  </si>
  <si>
    <t>TAPON 1-1/2"</t>
  </si>
  <si>
    <t>J2-2</t>
  </si>
  <si>
    <t>FAB-0097</t>
  </si>
  <si>
    <t>TAPON 1-1/4"</t>
  </si>
  <si>
    <t>FAB-0098</t>
  </si>
  <si>
    <t>TAPON 1"</t>
  </si>
  <si>
    <t>FAB-0099</t>
  </si>
  <si>
    <t>TAPON 1/2"</t>
  </si>
  <si>
    <t>FAB-0100</t>
  </si>
  <si>
    <t>BUSHING REDUCTOR 2" X 1"</t>
  </si>
  <si>
    <t>FAB-0101</t>
  </si>
  <si>
    <t>BUSHING REDUCTOR 1-1/2" X 1"</t>
  </si>
  <si>
    <t>FAB-0102</t>
  </si>
  <si>
    <t>BUSHING REDUCTOR 1-1/2" X 3/4"</t>
  </si>
  <si>
    <t>FAB-0103</t>
  </si>
  <si>
    <t>BUSHING REDUCTOR 2" X 1-1/2"</t>
  </si>
  <si>
    <t>FAB-0104</t>
  </si>
  <si>
    <t>CODO DE HIERRO 2" 3000PSI</t>
  </si>
  <si>
    <t>FAB-0105</t>
  </si>
  <si>
    <t>TEE DE HIERRO 2"</t>
  </si>
  <si>
    <t>FAB-0106</t>
  </si>
  <si>
    <t>CODO DE HIERRO 1" 3000PSI</t>
  </si>
  <si>
    <t>FAB-0107</t>
  </si>
  <si>
    <t xml:space="preserve">CONECTOR DE CHUPON PARA TRAILER </t>
  </si>
  <si>
    <t>ARTEFACTO ELECTRICO</t>
  </si>
  <si>
    <t>FAB-0108</t>
  </si>
  <si>
    <t xml:space="preserve">BUSHING REDUCTOR 1-1/2" X 3/4" </t>
  </si>
  <si>
    <t>FAB-0109</t>
  </si>
  <si>
    <t xml:space="preserve">BUSHING REDUCTOR 2" X 3/4" </t>
  </si>
  <si>
    <t>FAB-0110</t>
  </si>
  <si>
    <t xml:space="preserve">BUSHING REDUCTOR 2" X 1/2" </t>
  </si>
  <si>
    <t>FAB-0111</t>
  </si>
  <si>
    <t>NIPLE ROSCADO GALVANIZADO 1"</t>
  </si>
  <si>
    <t>FAB-0112</t>
  </si>
  <si>
    <t>NIPLE 1/2"</t>
  </si>
  <si>
    <t>FAB-0113</t>
  </si>
  <si>
    <t>NIPLE 3/4"</t>
  </si>
  <si>
    <t>FAB-0114</t>
  </si>
  <si>
    <t>CODO DE HIERRO 3/4"</t>
  </si>
  <si>
    <t>FAB-0115</t>
  </si>
  <si>
    <t>CONDUCTO ELECTRICO FLEXIBLE LIQUID-TIGHT</t>
  </si>
  <si>
    <t>J1-2</t>
  </si>
  <si>
    <t>FAB-0116</t>
  </si>
  <si>
    <t xml:space="preserve">PERFIL 9-1/2" DE ACERO GALVANIZADO </t>
  </si>
  <si>
    <t>FAB-0117</t>
  </si>
  <si>
    <t>THREADOLET (OLET ROSCADO) 8A105 SP-97 3M 1X 1 1/2" - 36 ACERO AL CARBON</t>
  </si>
  <si>
    <t>I4-1</t>
  </si>
  <si>
    <t>FAB-0118</t>
  </si>
  <si>
    <t>WELDOLET 1X4 1" 6000 A/SA 105N ACERO AL CARBON</t>
  </si>
  <si>
    <t>FAB-0119</t>
  </si>
  <si>
    <t>WELDOLET 4-8 X 1-1/2" 3000- A-105 ACERO AL CARBON</t>
  </si>
  <si>
    <t>FAB-0120</t>
  </si>
  <si>
    <t>CODO 2" 45° ACERO AL CARBON</t>
  </si>
  <si>
    <t>FAB-0121</t>
  </si>
  <si>
    <t>TAPA DE EXTREMO DE TUBERIA UV A/SA 234 WPB 2X5 ACERO AL CARBON</t>
  </si>
  <si>
    <t>FAB-0122</t>
  </si>
  <si>
    <t>SOCKOLET 36-4 X 1 1/2 3M A105N MSS SP-97 0219 ACERO AL CARBON</t>
  </si>
  <si>
    <t>FAB-0123</t>
  </si>
  <si>
    <t>THREADOLET 3/4" X 2 - 1/2" - 2" 3000 A 105N MSS SP-97 0219 ACERO AL CARBON</t>
  </si>
  <si>
    <t>FAB-0124</t>
  </si>
  <si>
    <t xml:space="preserve">WELDOLET  1 1/2" 6000 PSI ACERO AL CARBON </t>
  </si>
  <si>
    <t>FAB-0125</t>
  </si>
  <si>
    <t xml:space="preserve">THREADOLET DE ROSCA NPT 36-6 X 1 6000 A 105 ACERO AL CARBON </t>
  </si>
  <si>
    <t>FAB-0126</t>
  </si>
  <si>
    <t xml:space="preserve">CODO 90° 1 1/2" 3000 PSI ACERO AL CARBON </t>
  </si>
  <si>
    <t>FAB-0127</t>
  </si>
  <si>
    <t xml:space="preserve">CODO 90° 1 1/2" 3M SA/A 105 ACERO AL CARBON </t>
  </si>
  <si>
    <t>FAB-0128</t>
  </si>
  <si>
    <t xml:space="preserve">CODO 90° 1 1/2" 6000 A 105 ACERO AL CARBON </t>
  </si>
  <si>
    <t>FAB-0129</t>
  </si>
  <si>
    <t xml:space="preserve">CODO 90° 2 1/2" ACERO AL CARBON </t>
  </si>
  <si>
    <t>I4-2</t>
  </si>
  <si>
    <t>FAB-0130</t>
  </si>
  <si>
    <t xml:space="preserve">CODO 45° A 105 1/2 ACERO AL CARBON </t>
  </si>
  <si>
    <t>FAB-0131</t>
  </si>
  <si>
    <t>TROQUEL PARA DOBLADORA DE TUBO HIDRAULICA 3/4</t>
  </si>
  <si>
    <t>FAB-0132</t>
  </si>
  <si>
    <t>TROQUEL PARA DOBLADORA DE TUBO HIDRAULICA 1</t>
  </si>
  <si>
    <t>FAB-0133</t>
  </si>
  <si>
    <t>TROQUEL PARA DOBLADORA DE TUBO HIDRAULICA 32</t>
  </si>
  <si>
    <t>FAB-0134</t>
  </si>
  <si>
    <t>TROQUEL PARA DOBLADORA DE TUBO HIDRAULICA 1 1/2</t>
  </si>
  <si>
    <t>FAB-0135</t>
  </si>
  <si>
    <t>TROQUEL PARA DOBLADORA DE TUBO HIDRAULICA 50</t>
  </si>
  <si>
    <t>FAB-0136</t>
  </si>
  <si>
    <t xml:space="preserve">MANIFOLD DE INSTRUMENTACION DE 5 VALVULAS </t>
  </si>
  <si>
    <t xml:space="preserve">ROSEMOUNT </t>
  </si>
  <si>
    <t>FAB-0137</t>
  </si>
  <si>
    <t>OVALO DE PD METER 4"</t>
  </si>
  <si>
    <t>FAB-0138</t>
  </si>
  <si>
    <t>TRANSFORMADOR DE CONTROL ENCAPSULADO 750VA MODELO:  PH750MQMJ</t>
  </si>
  <si>
    <t xml:space="preserve">HAMMOND POWER SOLUCION </t>
  </si>
  <si>
    <t>FAB-0139</t>
  </si>
  <si>
    <t xml:space="preserve">PERNO HEXAGONAL 1/2" X 3" ACERO INOXIDABLE </t>
  </si>
  <si>
    <t>I3-1</t>
  </si>
  <si>
    <t>FAB-0140</t>
  </si>
  <si>
    <t>PERNO HEXAGONAL GALVANIZADO 5/16" X 3</t>
  </si>
  <si>
    <t>FAB-0141</t>
  </si>
  <si>
    <t>PERNO HEXAGONAL DE ACERO INOXIDABLE 3/4" X 4</t>
  </si>
  <si>
    <t>FAB-0142</t>
  </si>
  <si>
    <t>PERNO DE ACERO INOXIDABLE CABEZA HEXAGONAL CON TUERCA 3/8 - 16 X 5/8"</t>
  </si>
  <si>
    <t>FAB-0143</t>
  </si>
  <si>
    <t>TAPON ELECTRICO ROSCADO DE ALUMIIO 3/4"</t>
  </si>
  <si>
    <t>FAB-0144</t>
  </si>
  <si>
    <t>TAPON ROCADO HEXAGONAL DE ACERO INOXIDABLE 3/4"</t>
  </si>
  <si>
    <t>FAB-0145</t>
  </si>
  <si>
    <t>TAPON ROSCADO HEXAGONAL DE BRONCE 3/4"</t>
  </si>
  <si>
    <t>FAB-0146</t>
  </si>
  <si>
    <t>TAPON HEXAGONAL 3/4" DE HIERRO</t>
  </si>
  <si>
    <t>FAB-0147</t>
  </si>
  <si>
    <t xml:space="preserve">TAPON ROSCADO HEXAGONAL 1/2" DE HIERRO COLADO </t>
  </si>
  <si>
    <t>FAB-0148</t>
  </si>
  <si>
    <t>TAPON ROSCADO HEXAGONAL 1/2" DE ACERO INOXIDABLE</t>
  </si>
  <si>
    <t>FAB-0149</t>
  </si>
  <si>
    <t>TAPON ROSCADO HEXAGONAL 1/2" PARA TRANSMISORES DE ACERO INOXIDABLE</t>
  </si>
  <si>
    <t>FAB-0150</t>
  </si>
  <si>
    <t>TAPON MACHO GALVANIZADO 3/4"</t>
  </si>
  <si>
    <t>FAB-0151</t>
  </si>
  <si>
    <t>TAPON MACHO DE HIERRO 3/4"</t>
  </si>
  <si>
    <t>FAB-0152</t>
  </si>
  <si>
    <t>TAPON DE HIERRO DE ALTA PRESION 3/4"</t>
  </si>
  <si>
    <t>FAB-0153</t>
  </si>
  <si>
    <t>TAPON DE HIERRO DE ALTA PRESION 1/2"</t>
  </si>
  <si>
    <t>FAB-0154</t>
  </si>
  <si>
    <t>TAPON DE ACERO INOXIDABLE 1/2"</t>
  </si>
  <si>
    <t>FAB-0155</t>
  </si>
  <si>
    <t>TAPON MACHO DE HIERRO 1"</t>
  </si>
  <si>
    <t>FAB-0156</t>
  </si>
  <si>
    <t>TAPON DE HIERRO 1 1/2"</t>
  </si>
  <si>
    <t>FAB-0157</t>
  </si>
  <si>
    <t>TAPON DE ALUMINIO 1/2"</t>
  </si>
  <si>
    <t>FAB-0158</t>
  </si>
  <si>
    <t>TAPON DE ACERO INOXIDABLE DE ALTA PRESION 1/5"</t>
  </si>
  <si>
    <t>FAB-0159</t>
  </si>
  <si>
    <t>TAPON PARA TRANSMISOR 1/5"</t>
  </si>
  <si>
    <t>FAB-0160</t>
  </si>
  <si>
    <t>COLLAR DE EJE TIPO ABRAZADERA</t>
  </si>
  <si>
    <t>FAB-0161</t>
  </si>
  <si>
    <t xml:space="preserve">TUERCA HEXAGONAL DE PRESION DE ACERO </t>
  </si>
  <si>
    <t>FAB-0162</t>
  </si>
  <si>
    <t>TUERCA DE SEGRIDAD HEGAGONAL DE ACERO INOXIDABLE 3/16"</t>
  </si>
  <si>
    <t>FAB-0163</t>
  </si>
  <si>
    <t>TUERCA HEXAGONAL DE ROSCA INTERNA 1"</t>
  </si>
  <si>
    <t>FAB-0164</t>
  </si>
  <si>
    <t>TUERCA HEXAGONAL DE ROSCA INTERNA 3/4"</t>
  </si>
  <si>
    <t>FAB-0165</t>
  </si>
  <si>
    <t>TUERCA HEXAGONAL DE ROSCA INTERNA 1/2"</t>
  </si>
  <si>
    <t>FAB-0166</t>
  </si>
  <si>
    <t xml:space="preserve">TUERCA HEXAGONAL DE ROSCA DE ALUMINIO </t>
  </si>
  <si>
    <t>FAB-0167</t>
  </si>
  <si>
    <t xml:space="preserve">TUERCA DE PRESION </t>
  </si>
  <si>
    <t>FAB-0168</t>
  </si>
  <si>
    <t xml:space="preserve">TUERCA DE SEGURIDAD DE BRONCA </t>
  </si>
  <si>
    <t>FAB-0169</t>
  </si>
  <si>
    <t xml:space="preserve">TAPON DE ACERO DE PRESION </t>
  </si>
  <si>
    <t>FAB-0170</t>
  </si>
  <si>
    <t>TRANSMISOR DE PRESION DIFERENCIAL MODELO: EJX110B</t>
  </si>
  <si>
    <t>YOKOGAWA</t>
  </si>
  <si>
    <t>FAB-0171</t>
  </si>
  <si>
    <t xml:space="preserve">ACOPLE DE PD METER </t>
  </si>
  <si>
    <t>FAB-0172</t>
  </si>
  <si>
    <t>TORNILLO DOBLE ROSCA INTERNA 1"</t>
  </si>
  <si>
    <t>FAB-0173</t>
  </si>
  <si>
    <t xml:space="preserve">TORNILLO DE ACERO CON ARANDELA PARA SOPORTE DE TRANSMISOR </t>
  </si>
  <si>
    <t>FAB-0174</t>
  </si>
  <si>
    <t>TORNILLO DE ACERO AL CARBON 3/4</t>
  </si>
  <si>
    <t>FAB-0175</t>
  </si>
  <si>
    <t xml:space="preserve">LAMINA DE IDENTIFICACION DE ACERO INOXIDABLE </t>
  </si>
  <si>
    <t>FAB-0176</t>
  </si>
  <si>
    <t>LAMINA PARA SUJETAR BRAZO DE TRANSMISOR</t>
  </si>
  <si>
    <t>FAB-0177</t>
  </si>
  <si>
    <t>LAMINA PARA SUJETAR TUBING DE 1/4"</t>
  </si>
  <si>
    <t>FAB-0178</t>
  </si>
  <si>
    <t>LAMINA TIPO C PARA SUJETAR - MULTIUSOS</t>
  </si>
  <si>
    <t>FAB-0179</t>
  </si>
  <si>
    <t xml:space="preserve">LAMINILLA PERFORADA PARA MULTIUSOS </t>
  </si>
  <si>
    <t>FAB-0180</t>
  </si>
  <si>
    <t>LAMINA SUJETADOR DE PING DE OVALO</t>
  </si>
  <si>
    <t>FAB-0181</t>
  </si>
  <si>
    <t xml:space="preserve">LAMINILLA DE BRONCE PARA CAJETIN ELECTRICO </t>
  </si>
  <si>
    <t>FAB-0182</t>
  </si>
  <si>
    <t xml:space="preserve">COPILLA DE VALVULA DE PRESION </t>
  </si>
  <si>
    <t>FAB-0183</t>
  </si>
  <si>
    <t xml:space="preserve">LAMINILLA PARA SUJETAR CABLES ELECTRICOS </t>
  </si>
  <si>
    <t>FAB-0184</t>
  </si>
  <si>
    <t xml:space="preserve">ACOPLE MECANICO ACTUADOR </t>
  </si>
  <si>
    <t>FAB-0185</t>
  </si>
  <si>
    <t>TUERCA HEXAGONAL NEGRA DE GRADO 1 5/16"</t>
  </si>
  <si>
    <t>I2-1</t>
  </si>
  <si>
    <t>FAB-0186</t>
  </si>
  <si>
    <t>TUERCA HEXAGONAL DE HIERRO 32,30MM X 19,48MM</t>
  </si>
  <si>
    <t>FAB-0187</t>
  </si>
  <si>
    <t>TUERCA HEXAGONAL DE ACERO AL CARBONO 30,91MM X 16,57MM</t>
  </si>
  <si>
    <t>FAB-0188</t>
  </si>
  <si>
    <t>TUERCA HEXAGONAL DE ACERO AL CARBONO 26,30MM X 13,31MM</t>
  </si>
  <si>
    <t>FAB-0189</t>
  </si>
  <si>
    <t>TUERCA HEXAGONAL DE ACERO  AL CARBONO 23,64MM X 13,44MM</t>
  </si>
  <si>
    <t>FAB-0190</t>
  </si>
  <si>
    <t xml:space="preserve">TUERCA HEXAGONAL DE ACERO AL CARBONO 40,36MM X 22,31MM </t>
  </si>
  <si>
    <t>FAB-0191</t>
  </si>
  <si>
    <t>TUERCA HEXAGONAL DE ACERO AL CARBONO 44,91MM X 25,19MM</t>
  </si>
  <si>
    <t>FAB-0192</t>
  </si>
  <si>
    <t xml:space="preserve">TUERCA HEXAGONAL DE ACERO INOXIDABLE 30,90MM X 16,50MM </t>
  </si>
  <si>
    <t>FAB-0193</t>
  </si>
  <si>
    <t>TUERCA HEXAGONAL DE ACERO INOXIDABLE 27,80MM X 16,64MM</t>
  </si>
  <si>
    <t>FAB-0194</t>
  </si>
  <si>
    <t>TUERCA HEXAGONAL DE ACERO INOXIDABLE 35,66MM X 19,27MM</t>
  </si>
  <si>
    <t>FAB-0195</t>
  </si>
  <si>
    <t xml:space="preserve">TUERCA HEXAGONAL DE ACERO INOXIDABLE 37,60MM X 22,29MM </t>
  </si>
  <si>
    <t>FAB-0196</t>
  </si>
  <si>
    <t>TUERCA HEXAGONAL DE ACERO INOXIDABLE 44,63MM X 25,07MM</t>
  </si>
  <si>
    <t>FAB-0197</t>
  </si>
  <si>
    <t xml:space="preserve">TUERCA HEXAGONAL DE ACERO INOXIDABLE 40,63MM X 22MM </t>
  </si>
  <si>
    <t>FAB-0198</t>
  </si>
  <si>
    <t>ARANDELA DE PRESION DE ACERO AL CARBON 31,26MM X 19,50MM</t>
  </si>
  <si>
    <t>FAB-0199</t>
  </si>
  <si>
    <t>ARANDELA DE ACERO AL CARBON 36,28MM X 21,10MM</t>
  </si>
  <si>
    <t>FAB-0200</t>
  </si>
  <si>
    <t xml:space="preserve">ARANDELA DE ACERO INOXIDABLE 50,54MM X 20,63MM </t>
  </si>
  <si>
    <t>FAB-0201</t>
  </si>
  <si>
    <t xml:space="preserve">ARANDELA DE ACERO AL CARBON 50,85MM X 20,34MM </t>
  </si>
  <si>
    <t>FAB-0202</t>
  </si>
  <si>
    <t>ESPACIADOR HEXAGONAL MACHO-HEMBRA 6.4 X 38.2MM</t>
  </si>
  <si>
    <t>VER</t>
  </si>
  <si>
    <t>FAB-0203</t>
  </si>
  <si>
    <t>ESPACIADOR HEXAGONAL MACHO-HEMBRA 6.3 X 31.8MM</t>
  </si>
  <si>
    <t>FAB-0204</t>
  </si>
  <si>
    <t>ESPACIADOR HEXAGONAL MACHO-HEMBRA 6.3 X 50.6MM</t>
  </si>
  <si>
    <t>FAB-0205</t>
  </si>
  <si>
    <t>ESPACIADOR HEXAGONAL MACHO-HEMBRA 6.4 X 25.6MM</t>
  </si>
  <si>
    <t>FAB-0206</t>
  </si>
  <si>
    <t>ESPACIADOR HEXAGONAL MACHO-HEMBRA 6.4 X 41.4MM</t>
  </si>
  <si>
    <t>FAB-0207</t>
  </si>
  <si>
    <t>ESPACIADOR HEXAGONAL MACHO-HEMBRA 9.5 X 63.7MM</t>
  </si>
  <si>
    <t>FAB-0208</t>
  </si>
  <si>
    <t>ESPACIADOR HEXAGONAL MACHO-HEMBRA 15.9 X 61.9MM</t>
  </si>
  <si>
    <t>FAB-0209</t>
  </si>
  <si>
    <t>ESPACIADOR HEXAGONAL MACHO-HEMBRA 6.4 X 15.9MM</t>
  </si>
  <si>
    <t>FAB-0210</t>
  </si>
  <si>
    <t>ESPACIADOR HEXAGONAL MACHO-HEMBRA 6.4 X 38MM</t>
  </si>
  <si>
    <t>FAB-0211</t>
  </si>
  <si>
    <t>ESPACIADOR HEXAGONAL MACHO-HEMBRA 6.4 X 60.4MM</t>
  </si>
  <si>
    <t>FAB-0212</t>
  </si>
  <si>
    <t xml:space="preserve">ESPACIADOR HEXAGONAL MACHO-HEMBRA 6.3 X 7.8MM </t>
  </si>
  <si>
    <t>FAB-0213</t>
  </si>
  <si>
    <t xml:space="preserve">ESPACIADOR HEXAGONAL HEMBRA-MACHO 6.3 X 16MM </t>
  </si>
  <si>
    <t>FAB-0214</t>
  </si>
  <si>
    <t>ESPACIADOR HEXAGONAL HEMBRA-MACHO 6.4 X 35MM</t>
  </si>
  <si>
    <t>FAB-0215</t>
  </si>
  <si>
    <t>ESPACIADOR HEXAGONAL HEMBRA-MACHO 6.4 X 51MM</t>
  </si>
  <si>
    <t>FAB-0216</t>
  </si>
  <si>
    <t>ESPACIADOR HEXAGONAL HEMBRA-MACHO 6.4 X 28.7MM</t>
  </si>
  <si>
    <t>FAB-0217</t>
  </si>
  <si>
    <t>ESPACIADOR HEXAGONAL HEMBRA-MACHO 9.5 X 114.4MM</t>
  </si>
  <si>
    <t>FAB-0218</t>
  </si>
  <si>
    <t>ESPACIADOR HEXAGONAL HEMBRA-MACHO 9.4 X 82.7MM</t>
  </si>
  <si>
    <t>FAB-0219</t>
  </si>
  <si>
    <t>ESPACIADOR HEXAGONAL HEMBRA-MACHO 6.4 X 6.5MM</t>
  </si>
  <si>
    <t>FAB-0220</t>
  </si>
  <si>
    <t>ESPACIADOR HEXAGONAL HEMBRA-MACHO 6.4 X 9.7MM</t>
  </si>
  <si>
    <t>FAB-0221</t>
  </si>
  <si>
    <t>ESPACIADOR HEXAGONAL HEMBRA-MACHO 6.4 X 12.8MM</t>
  </si>
  <si>
    <t>FAB-0222</t>
  </si>
  <si>
    <t>ESPACIADOR HEXAGONAL HEMBRA-MACHO 6.4 X 19MM</t>
  </si>
  <si>
    <t>FAB-0223</t>
  </si>
  <si>
    <t>ESPACIADOR HEXAGONAL HEMBRA-MACHO 4.8 X 22.3MM</t>
  </si>
  <si>
    <t>FAB-0224</t>
  </si>
  <si>
    <t>ESPACIADOR HEXAGONAL HEMBRA-MACHO 4.7 X  4.8MM</t>
  </si>
  <si>
    <t>FAB-0225</t>
  </si>
  <si>
    <t>ESPACIADOR HEXAGONAL HEMBRA-MACHO 4.8 X 6.3MM</t>
  </si>
  <si>
    <t>FAB-0226</t>
  </si>
  <si>
    <t>ESPACIADOR HEXAGONAL HEMBRA-MACHO 6.4 X 22.3MM</t>
  </si>
  <si>
    <t>FAB-0227</t>
  </si>
  <si>
    <t>FAB-0228</t>
  </si>
  <si>
    <t>ESPACIADOR HEXAGONAL HEMBRA-HEMBRA 6.4 X 25.4MM</t>
  </si>
  <si>
    <t>FAB-0229</t>
  </si>
  <si>
    <t>ESPACIADOR HEXAGONAL HEMBRA-HEMBRA 6.4 X 31.2MM</t>
  </si>
  <si>
    <t>FAB-0230</t>
  </si>
  <si>
    <t>ESPACIADOR HEXAGONAL HEMBRA-HEMBRA 6.4 X 12.7MM</t>
  </si>
  <si>
    <t>FAB-0231</t>
  </si>
  <si>
    <t>ESPACIADOR HEXAGONAL HEMBRA-HEMBRA 6.4 X 19MM</t>
  </si>
  <si>
    <t>FAB-0232</t>
  </si>
  <si>
    <t>ESPACIADOR HEXAGONAL HEMBRA-HEMBRA 6.4 X 63.5MM</t>
  </si>
  <si>
    <t>FAB-0233</t>
  </si>
  <si>
    <t xml:space="preserve">ESPACIADOR HEXAGONAL HEMBRA-HEMBRA 6.4 X 25.5MM </t>
  </si>
  <si>
    <t>FAB-0234</t>
  </si>
  <si>
    <t>ESPACIADOR HEXAGONAL HEMBRA-HEMBRA 6.4 X 38.2MM</t>
  </si>
  <si>
    <t>FAB-0235</t>
  </si>
  <si>
    <t>ESPACIADOR HEXAGONAL HEMBRA-HEMBRA 6.4 X 114.4MM</t>
  </si>
  <si>
    <t>FAB-0236</t>
  </si>
  <si>
    <t xml:space="preserve">ESPACIADOR HEXAGONAL HEMBRA-HEMBRA 19 X 44.7MM </t>
  </si>
  <si>
    <t>FAB-0237</t>
  </si>
  <si>
    <t>ESPACIADOR HEXAGONAL HEMBRA-HEMBRA 4.8 X 4.9MM</t>
  </si>
  <si>
    <t>FAB-0238</t>
  </si>
  <si>
    <t xml:space="preserve">TUBING ROSCADO PDMETER </t>
  </si>
  <si>
    <t>FAB-0239</t>
  </si>
  <si>
    <t xml:space="preserve">ESPACIADOR EXAGONAL 9.5 X 12.8MM </t>
  </si>
  <si>
    <t>FAB-0240</t>
  </si>
  <si>
    <t>TEE (REVISAR)</t>
  </si>
  <si>
    <t>FAB-0241</t>
  </si>
  <si>
    <t xml:space="preserve">TUERCA DE INSERCION DE BACK PLAY </t>
  </si>
  <si>
    <t>FAB-0242</t>
  </si>
  <si>
    <t xml:space="preserve">TUERCA PARA TUBERIA CONDUIT 1" </t>
  </si>
  <si>
    <t>FAB-0243</t>
  </si>
  <si>
    <t xml:space="preserve">TUERCA PARA TUBERIA CONDUIT 1-3/16" </t>
  </si>
  <si>
    <t>FAB-0244</t>
  </si>
  <si>
    <t xml:space="preserve">TUERCA PARA TUBERIA CONDUIT 3/4" </t>
  </si>
  <si>
    <t>FAB-0245</t>
  </si>
  <si>
    <t xml:space="preserve">TUERCA PARA TUBERIA CONDUIT 2-1/4" </t>
  </si>
  <si>
    <t>FAB-0246</t>
  </si>
  <si>
    <t xml:space="preserve">TUERCA PARA TUBERIA CONDUIT 1-3/4" </t>
  </si>
  <si>
    <t>FAB-0247</t>
  </si>
  <si>
    <t>CODO GALVANIZADO 90° X 1/2"</t>
  </si>
  <si>
    <t>FAB-0248</t>
  </si>
  <si>
    <t>CODO GALVANIZADO 90° X 3/4"</t>
  </si>
  <si>
    <t>FAB-0249</t>
  </si>
  <si>
    <t xml:space="preserve">CONECTOR RECTO 1" </t>
  </si>
  <si>
    <t>FAB-0250</t>
  </si>
  <si>
    <t>LIGUID TIGHT 1/2"</t>
  </si>
  <si>
    <t>FAB-0251</t>
  </si>
  <si>
    <t>CONECTOR DE TUBO CON TORNILLO OPRESOR 1"</t>
  </si>
  <si>
    <t>FAB-0252</t>
  </si>
  <si>
    <t>CODO DE ACERO INOXIDABLE 1" (SOLDABLE)</t>
  </si>
  <si>
    <t>FAB-0253</t>
  </si>
  <si>
    <t>SOCOLECK DE ACERO INOXIDABLE 3/4"</t>
  </si>
  <si>
    <t>FAB-0254</t>
  </si>
  <si>
    <t>SOCOLECK DE ACERO INOXIDABLE 1/2"</t>
  </si>
  <si>
    <t>FAB-0255</t>
  </si>
  <si>
    <t>THEADOLET DE ACERO AL CARBON 1"</t>
  </si>
  <si>
    <t>FAB-0256</t>
  </si>
  <si>
    <t>WHELDOLET DE ACERO AL CARBON 1/2"</t>
  </si>
  <si>
    <t>FAB-0257</t>
  </si>
  <si>
    <t>WHELDOLET DE ACERO AL CARBON 1"</t>
  </si>
  <si>
    <t>FAB-0258</t>
  </si>
  <si>
    <t xml:space="preserve">CODO 45° PARA  TUBERIA DE ALTA PRESION 1/2" </t>
  </si>
  <si>
    <t>FAB-0259</t>
  </si>
  <si>
    <t>SOCKETWELD ACERO INOXIDABLE 3/4"</t>
  </si>
  <si>
    <t>FAB-0260</t>
  </si>
  <si>
    <t>SOCKETWELD ACERO INOXIDABLE 1/2"</t>
  </si>
  <si>
    <t>FAB-0261</t>
  </si>
  <si>
    <t>SOCKETWELD ACERO AL CARBON 1/2"</t>
  </si>
  <si>
    <t>FAB-0262</t>
  </si>
  <si>
    <t>THEDOLETH DE ACERO AL CARBON 1"</t>
  </si>
  <si>
    <t>FAB-0263</t>
  </si>
  <si>
    <t>VISCOSIMETRO MECANICO</t>
  </si>
  <si>
    <t>I1-1</t>
  </si>
  <si>
    <t>FAB-0264</t>
  </si>
  <si>
    <t xml:space="preserve">MANGUERA DE PURGA DE MPFM </t>
  </si>
  <si>
    <t>I1-2</t>
  </si>
  <si>
    <t>FAB-0265</t>
  </si>
  <si>
    <t>LAMINA DE MALLA PARA FILTRO</t>
  </si>
  <si>
    <t>FAB-0266</t>
  </si>
  <si>
    <t xml:space="preserve">BOMBA DE CEBADO MANUAL </t>
  </si>
  <si>
    <t>FAB-0267</t>
  </si>
  <si>
    <t xml:space="preserve">VARILLA DE ACERO INOXIDABLE PARA ANTENA DE SONDA DE INTERFACE </t>
  </si>
  <si>
    <t>FAB-0268</t>
  </si>
  <si>
    <t xml:space="preserve">TRANSMISOR DE PRESION 0-1000 PSI </t>
  </si>
  <si>
    <t>INSTRUMENTO DE MEDICION ELECTRICA</t>
  </si>
  <si>
    <t>FAB-0269</t>
  </si>
  <si>
    <t xml:space="preserve">SENSOR DE TEMPERATURA </t>
  </si>
  <si>
    <t>FAB-0270</t>
  </si>
  <si>
    <t>TRANSMISOR DE PRESION DE 0-250 H2O</t>
  </si>
  <si>
    <t>FAB-0271</t>
  </si>
  <si>
    <t>PLACA ORIFICIO 3"</t>
  </si>
  <si>
    <t>H2-2</t>
  </si>
  <si>
    <t>FAB-0272</t>
  </si>
  <si>
    <t>PLACA ORIFICIO 6"</t>
  </si>
  <si>
    <t>FAB-0273</t>
  </si>
  <si>
    <t>PLACA ORIFICIO 2"</t>
  </si>
  <si>
    <t>FAB-0274</t>
  </si>
  <si>
    <t>CARCASA ID</t>
  </si>
  <si>
    <t>H4-1</t>
  </si>
  <si>
    <t>FAB-0275</t>
  </si>
  <si>
    <t>SUJETADOR DE OW 34058</t>
  </si>
  <si>
    <t>FAB-0276</t>
  </si>
  <si>
    <t xml:space="preserve">ACOPLE DE ACTUADOR </t>
  </si>
  <si>
    <t>METROVAL</t>
  </si>
  <si>
    <t>FAB-0277</t>
  </si>
  <si>
    <t xml:space="preserve">ELEMENTOS DE PDMETER </t>
  </si>
  <si>
    <t>FAB-0278</t>
  </si>
  <si>
    <t xml:space="preserve">SOPORTE DE PDMETER </t>
  </si>
  <si>
    <t>FAB-0279</t>
  </si>
  <si>
    <t xml:space="preserve">TORNILLO DE CAMARA INTERNA DE PDMETER </t>
  </si>
  <si>
    <t>FAB-0280</t>
  </si>
  <si>
    <t>SOPORTE 4" DE OVALO DE PDMETER</t>
  </si>
  <si>
    <t>FAB-0281</t>
  </si>
  <si>
    <t>SOPORTE 2" DE OVALO DE PDMETER</t>
  </si>
  <si>
    <t>FAB-0282</t>
  </si>
  <si>
    <t xml:space="preserve">CROCHE DE MOTOR PARA ACTUADOR </t>
  </si>
  <si>
    <t>H2-1</t>
  </si>
  <si>
    <t>FAB-0283</t>
  </si>
  <si>
    <t>PRENSA ESTOPA 3/4"</t>
  </si>
  <si>
    <t>HAWKE</t>
  </si>
  <si>
    <t>H4-2</t>
  </si>
  <si>
    <t>FAB-0284</t>
  </si>
  <si>
    <t>PRENSA ESTOPA 1/2"</t>
  </si>
  <si>
    <t>FAB-0285</t>
  </si>
  <si>
    <t xml:space="preserve">SOPORTE DE CAJA NEMA </t>
  </si>
  <si>
    <t>H3-2</t>
  </si>
  <si>
    <t>FAB-0286</t>
  </si>
  <si>
    <t xml:space="preserve">MOTOR DE ACTUADOR </t>
  </si>
  <si>
    <t>FAB-0287</t>
  </si>
  <si>
    <t>AISLAMIENTO DE BRIDAS</t>
  </si>
  <si>
    <t>LINEBACKER</t>
  </si>
  <si>
    <t>KIT</t>
  </si>
  <si>
    <t>FAB-0288</t>
  </si>
  <si>
    <t xml:space="preserve">PLACA ORIFICIO </t>
  </si>
  <si>
    <t>FAB-0289</t>
  </si>
  <si>
    <t>CAJA PARA INTERCONEXION NEMA 4</t>
  </si>
  <si>
    <t>FAB-0290</t>
  </si>
  <si>
    <t>TRANSMISOR INALAMBRICO 800 PSI</t>
  </si>
  <si>
    <t xml:space="preserve">ROSSEMOUNT </t>
  </si>
  <si>
    <t>FAB-0291</t>
  </si>
  <si>
    <t xml:space="preserve">TRANSMISOR DE TEMPERATURA </t>
  </si>
  <si>
    <t>YOKOGAMA</t>
  </si>
  <si>
    <t>FAB-0292</t>
  </si>
  <si>
    <t xml:space="preserve">TRANSMISOR DE PRESION </t>
  </si>
  <si>
    <t>FAB-0293</t>
  </si>
  <si>
    <t xml:space="preserve">CADENA DE ACERO INOXIDABLE </t>
  </si>
  <si>
    <t>FAB-0294</t>
  </si>
  <si>
    <t>CONTROLADOR DE CARGA SOLAR</t>
  </si>
  <si>
    <t>KOMAES</t>
  </si>
  <si>
    <t>FAB-0295</t>
  </si>
  <si>
    <t>CORIOLIS</t>
  </si>
  <si>
    <t>FAB-0296</t>
  </si>
  <si>
    <t xml:space="preserve">ARGOLLA DE SUSPENSION </t>
  </si>
  <si>
    <t>FAB-0297</t>
  </si>
  <si>
    <t>SEPARADOR DE OW 2"</t>
  </si>
  <si>
    <t>FAB-0298</t>
  </si>
  <si>
    <t>EMBRAGUE DE SEGURIDAD PARA RUEDA FONICA DEL SENSOR DE PDMETER</t>
  </si>
  <si>
    <t>FAB-0299</t>
  </si>
  <si>
    <t>SHOUR 1/2"</t>
  </si>
  <si>
    <t>FAB-0300</t>
  </si>
  <si>
    <t>SHOUR 3/4"</t>
  </si>
  <si>
    <t>FAB-0301</t>
  </si>
  <si>
    <t>FUENTE DE PODER MODELO: TC1240-124J COD: CD0612305</t>
  </si>
  <si>
    <t xml:space="preserve">TRACO POWER </t>
  </si>
  <si>
    <t>MARTERIAL ELECTRONICO</t>
  </si>
  <si>
    <t>3A</t>
  </si>
  <si>
    <t>FAB-0302</t>
  </si>
  <si>
    <t>FUENTE DE PODER MODELO: TCL24-124DC</t>
  </si>
  <si>
    <t>FAB-0303</t>
  </si>
  <si>
    <t>FAB-0304</t>
  </si>
  <si>
    <t>FUENTE DE PODER MODELO: TCL060-124DC</t>
  </si>
  <si>
    <t>FAB-0305</t>
  </si>
  <si>
    <t>PEAKTRONICS MODELO: DHC-400</t>
  </si>
  <si>
    <t>FAB-0306</t>
  </si>
  <si>
    <t>FAB-0307</t>
  </si>
  <si>
    <t>FAB-0308</t>
  </si>
  <si>
    <t>FAB-0309</t>
  </si>
  <si>
    <t>FAB-0310</t>
  </si>
  <si>
    <t>FAB-0311</t>
  </si>
  <si>
    <t>FAB-0312</t>
  </si>
  <si>
    <t>FAB-0313</t>
  </si>
  <si>
    <t>FAB-0314</t>
  </si>
  <si>
    <t>FAB-0315</t>
  </si>
  <si>
    <t>PEAKTRONICS MODELO: SCC10-24VDC</t>
  </si>
  <si>
    <t>FAB-0316</t>
  </si>
  <si>
    <t>BARRERA DE SEGURIDAD MTL MODELO: KFD2-RR-EX1</t>
  </si>
  <si>
    <t xml:space="preserve">PEPPERL + FUCHS </t>
  </si>
  <si>
    <t>FAB-0317</t>
  </si>
  <si>
    <t>BARRERA DE SEGURIDAD MTL MODELO: KCD2-RR-EX1</t>
  </si>
  <si>
    <t>FAB-0318</t>
  </si>
  <si>
    <t>DISCO FLASH DRIVE</t>
  </si>
  <si>
    <t xml:space="preserve">SIMPLE TECH </t>
  </si>
  <si>
    <t>FAB-0319</t>
  </si>
  <si>
    <t xml:space="preserve">MODULO DE CONTROL PLC </t>
  </si>
  <si>
    <t>FAB-0320</t>
  </si>
  <si>
    <t>VENTILADOR DE PC MODELO: S0601012M-3M</t>
  </si>
  <si>
    <t>FAB-0321</t>
  </si>
  <si>
    <t>LECTOR DE TARJETA MULTIPLE</t>
  </si>
  <si>
    <t>CR01A909611</t>
  </si>
  <si>
    <t>FAB-0322</t>
  </si>
  <si>
    <t>CR01A901014</t>
  </si>
  <si>
    <t>FAB-0323</t>
  </si>
  <si>
    <t>CR01A902552</t>
  </si>
  <si>
    <t>FAB-0324</t>
  </si>
  <si>
    <t>BATTERY PACK MODELO: 2155002</t>
  </si>
  <si>
    <t>FAB-0325</t>
  </si>
  <si>
    <t xml:space="preserve">INTERFAZ DE DETECTOR DE PROXIMIDAD 2 CANALES MODELO: MTL5513 </t>
  </si>
  <si>
    <t>MTL TECNOLOGY</t>
  </si>
  <si>
    <t>FAB-0326</t>
  </si>
  <si>
    <t>INTERFAZ DE COMUNICACIÓN MODELO: ICM5</t>
  </si>
  <si>
    <t xml:space="preserve">RED LION </t>
  </si>
  <si>
    <t>FAB-0327</t>
  </si>
  <si>
    <t>INTERFAZ DE DETECTOR DE PROXIMIDAD MODELO:MTL5012</t>
  </si>
  <si>
    <t>FAB-0328</t>
  </si>
  <si>
    <t>FAB-0329</t>
  </si>
  <si>
    <t>AISLADOR DE PULSOS MODELO: MTL5051</t>
  </si>
  <si>
    <t>FAB-0330</t>
  </si>
  <si>
    <t>FAB-0331</t>
  </si>
  <si>
    <t>INTERFAZ DE COMUNICACIÓN MODELO: PSM-ME-RS232/RS485-P</t>
  </si>
  <si>
    <t>PHOENIX CONTACT</t>
  </si>
  <si>
    <t>FAB-0332</t>
  </si>
  <si>
    <t>MODULO DE PROTECCION CONTRA SOBRETENCIONES PARA RS-485</t>
  </si>
  <si>
    <t>FAB-0333</t>
  </si>
  <si>
    <t>BREAKER TRIFASICO MODELO: EBC50</t>
  </si>
  <si>
    <t>CHNT</t>
  </si>
  <si>
    <t>FAB-0334</t>
  </si>
  <si>
    <t>CONVERTIDOR OPTICO RS-232 A RS-422/485 MODELO: 485LDRC9</t>
  </si>
  <si>
    <t xml:space="preserve">B&amp;B ELECTRONICS </t>
  </si>
  <si>
    <t>FAB-0335</t>
  </si>
  <si>
    <t>BARRERA DE SEGURIDAD MODELO: INTRINSPAK 9001/01-280-280-101</t>
  </si>
  <si>
    <t>R.STAHL</t>
  </si>
  <si>
    <t>FAB-0336</t>
  </si>
  <si>
    <t>FAB-0337</t>
  </si>
  <si>
    <t>RELE DETECTOR DE PROXIMIDAD MODELO: 3012</t>
  </si>
  <si>
    <t xml:space="preserve">MTL INSTRUMENTS </t>
  </si>
  <si>
    <t>FAB-0338</t>
  </si>
  <si>
    <t>FUENTE DE PODER 24VDC 5A MODELO: ABL8 REM24050</t>
  </si>
  <si>
    <t xml:space="preserve">SCHNEIDER ELECTRIC </t>
  </si>
  <si>
    <t>FAB-0339</t>
  </si>
  <si>
    <t>DISPOSITIVO DE PROTECCION SOBRETENCIONES (PC) MODELO: JLSP-DC85/40</t>
  </si>
  <si>
    <t>JINLI</t>
  </si>
  <si>
    <t>M0024679003</t>
  </si>
  <si>
    <t>FAB-0340</t>
  </si>
  <si>
    <t>BARRERA DE SEGURIDAD DE DIODO SHUNT (BARRERA ZENER) MODELO: MTL710T</t>
  </si>
  <si>
    <t>MTL</t>
  </si>
  <si>
    <t>FAB-0341</t>
  </si>
  <si>
    <t>FAB-0342</t>
  </si>
  <si>
    <t>BARRERA DE SEGURIDAD DE DIODO SHUNT (BARRERA ZENER) MODELO: MTL787ST</t>
  </si>
  <si>
    <t>FAB-0343</t>
  </si>
  <si>
    <t>DISTRIBUCION DE ENERGIA DE LA RDC (RDC POWER DISTRIBUTION)</t>
  </si>
  <si>
    <t>3B</t>
  </si>
  <si>
    <t>FAB-0344</t>
  </si>
  <si>
    <t xml:space="preserve">TRAJETA DE EXPANSION ANALOGICA DE RDC </t>
  </si>
  <si>
    <t>FAB-0345</t>
  </si>
  <si>
    <t xml:space="preserve">TARJETA MODELO: VL-1260 </t>
  </si>
  <si>
    <t>VERSALOGIC</t>
  </si>
  <si>
    <t>FAB-0346</t>
  </si>
  <si>
    <t xml:space="preserve">PCA DE INTERFAZ DE SEÑAL ANALOGICA RDC </t>
  </si>
  <si>
    <t>FAB-0347</t>
  </si>
  <si>
    <t xml:space="preserve">ADAPTADOR COMPACT FLASH </t>
  </si>
  <si>
    <t>FAB-0348</t>
  </si>
  <si>
    <t xml:space="preserve">PCA DE ADQUISITION PAMS </t>
  </si>
  <si>
    <t>FAB-0349</t>
  </si>
  <si>
    <t>PCA DE SALIDA ANALOGICA / DIGITAL DAS PARA SOBREMESA / MONTAJE EN RACK</t>
  </si>
  <si>
    <t>DSAM4076</t>
  </si>
  <si>
    <t>FAB-0350</t>
  </si>
  <si>
    <t xml:space="preserve">VERSALOGIC, EUGENE, OREGON </t>
  </si>
  <si>
    <t>FAB-0351</t>
  </si>
  <si>
    <t>PCA CONVERTIDOR DE AC/DC DE LA PAMS</t>
  </si>
  <si>
    <t>FAB-0352</t>
  </si>
  <si>
    <t>PCA CONVERTIDOR DE AC/DC DE LA PAMS (SIN COMPONENTES)</t>
  </si>
  <si>
    <t>FAB-0353</t>
  </si>
  <si>
    <t>PLACA MODELO: CT-101A</t>
  </si>
  <si>
    <t xml:space="preserve">CHIA TIEN ELECTRONICS </t>
  </si>
  <si>
    <t>FAB-0354</t>
  </si>
  <si>
    <t>FUENTE DE ALIMENTACION MODELO: PMF-24V240WCGB</t>
  </si>
  <si>
    <t>DELTA ELECTRONICS</t>
  </si>
  <si>
    <t>F124240GB023070CZKG</t>
  </si>
  <si>
    <t>FAB-0355</t>
  </si>
  <si>
    <t>INTERFACE DE COMUNICACIÓN RDC</t>
  </si>
  <si>
    <t>FAB-0356</t>
  </si>
  <si>
    <t>ADAPTADOR PCI INALAMBRICO 300 MBPS MODELO: TL-WN851N</t>
  </si>
  <si>
    <t>TPLINK</t>
  </si>
  <si>
    <t>FAB-0357</t>
  </si>
  <si>
    <t xml:space="preserve">FUENTE GENERICA SIN CARCASA </t>
  </si>
  <si>
    <t>FAB-0358</t>
  </si>
  <si>
    <t xml:space="preserve">CONVERTIDOR REDUCTOR DE VOLTAJE 24-12V </t>
  </si>
  <si>
    <t>FAB-0359</t>
  </si>
  <si>
    <t xml:space="preserve">COMPACT / CABLE DE EXTRANSION DE DERECHA A IZQUIERDA </t>
  </si>
  <si>
    <t>ALLEN BRADLEY</t>
  </si>
  <si>
    <t>FAB-0360</t>
  </si>
  <si>
    <t xml:space="preserve">TARJETA MADRE </t>
  </si>
  <si>
    <t>FAB-0361</t>
  </si>
  <si>
    <t xml:space="preserve">INTERFACE DE COMUNICACIÓN </t>
  </si>
  <si>
    <t>KONTRON</t>
  </si>
  <si>
    <t>FAB-0362</t>
  </si>
  <si>
    <t>INTERFAZ DE COMUNICACIÓN SERIAL ULTRA-485</t>
  </si>
  <si>
    <t>FAB-0363</t>
  </si>
  <si>
    <t>FAB-0364</t>
  </si>
  <si>
    <t>CONJUNTO PLC</t>
  </si>
  <si>
    <t>FAB-0365</t>
  </si>
  <si>
    <t>TARJETA DE INTERFAZ DE ALIMENTACIÓN PAMS</t>
  </si>
  <si>
    <t>FAB-0366</t>
  </si>
  <si>
    <t>FUENTE DE ALIMENTACIÓN CONMUTADA DPP240-24-1</t>
  </si>
  <si>
    <t>TDK-LAMBDA</t>
  </si>
  <si>
    <t>120148-9601201201958</t>
  </si>
  <si>
    <t>FAB-0367</t>
  </si>
  <si>
    <t>CABLES COAXIAL NEGROS</t>
  </si>
  <si>
    <t>FAB-0368</t>
  </si>
  <si>
    <t>BACKPLAY CON SISTEMA PAMS</t>
  </si>
  <si>
    <t>FAB-0369</t>
  </si>
  <si>
    <t>TARJETA DE ENTRADA ANALÓGICA/DIGITAL (PC DAS) DASM4052</t>
  </si>
  <si>
    <t>AGAR CORPORATION</t>
  </si>
  <si>
    <t>3C</t>
  </si>
  <si>
    <t>FAB-0370</t>
  </si>
  <si>
    <t>JUEGO DE CABLES DE PUENTE (JUMPER WIRES)</t>
  </si>
  <si>
    <t>FAB-0371</t>
  </si>
  <si>
    <t>CABLE (BUS DE DATOS) AWM 2651</t>
  </si>
  <si>
    <t>LIAN YU</t>
  </si>
  <si>
    <t>E128076</t>
  </si>
  <si>
    <t>FAB-0372</t>
  </si>
  <si>
    <t>CABLE ADAPTADOR EN "Y"</t>
  </si>
  <si>
    <t>FAB-0373</t>
  </si>
  <si>
    <t>PROGRAMADOR Y DEPURADOR ST-LINK ST-LINK/V2</t>
  </si>
  <si>
    <t>STMICROELECTRONICS</t>
  </si>
  <si>
    <t>A 2020 02</t>
  </si>
  <si>
    <t>FAB-0374</t>
  </si>
  <si>
    <t>COMPONENTE DE INDICACIÓN (LED INDUSTRIAL)</t>
  </si>
  <si>
    <t>FAB-0375</t>
  </si>
  <si>
    <t>CABLE DE PUERTO SERIAL (COM) AWM 2651</t>
  </si>
  <si>
    <t>FAB-0376</t>
  </si>
  <si>
    <t>CABLE DE PUERTO SERIAL (COM) A1 F0104 / A1 0H231</t>
  </si>
  <si>
    <t>FAB-0377</t>
  </si>
  <si>
    <t>MÓDULO DE TRANSMISOR INDUSTRIAL 03031-0332-0003</t>
  </si>
  <si>
    <t>FAB-0378</t>
  </si>
  <si>
    <t>KIT DE MONTAJE Y ACCESORIOS (PROTECCIÓN)</t>
  </si>
  <si>
    <t>PROTEK</t>
  </si>
  <si>
    <t>FAB-0379</t>
  </si>
  <si>
    <t>CABLE DE PUERTO SERIAL DB9 MACHO</t>
  </si>
  <si>
    <t>FAB-0380</t>
  </si>
  <si>
    <t>PREAMPLIFICADOR DE SENSOR (SPEC TECH) PA-10/1-PNP</t>
  </si>
  <si>
    <t>SPEC TECH</t>
  </si>
  <si>
    <t>4011-02</t>
  </si>
  <si>
    <t>FAB-0381</t>
  </si>
  <si>
    <t>SWITCH INDUSTRIAL ETHERNET TI-E50</t>
  </si>
  <si>
    <t>TRENDNET</t>
  </si>
  <si>
    <t>FAB-0382</t>
  </si>
  <si>
    <t>SMART BOARD (TARJETA DE ENTRADAS ANALÓGICAS)</t>
  </si>
  <si>
    <t>FAB-0383</t>
  </si>
  <si>
    <t>MÓDULO DE PAMS 982.4</t>
  </si>
  <si>
    <t>FAB-0384</t>
  </si>
  <si>
    <t>BLOQUE DE TERMINALES ENCHUFABLE 9 POSICIONES</t>
  </si>
  <si>
    <t>FAB-0385</t>
  </si>
  <si>
    <t>BLOQUE DE TERMINALES ENCHUFABLE 10 POSICIONES</t>
  </si>
  <si>
    <t>FAB-0386</t>
  </si>
  <si>
    <t>BLOQUE DE TERMINALES ENCHUFABLE 6 POSICIONES</t>
  </si>
  <si>
    <t>FAB-0387</t>
  </si>
  <si>
    <t>BLOQUE DE TERMINALES ENCHUFABLE 5 POSICIONES</t>
  </si>
  <si>
    <t>FAB-0388</t>
  </si>
  <si>
    <t>BLOQUE DE TERMINALES ENCHUFABLE 4 POSICIONES</t>
  </si>
  <si>
    <t>FAB-0389</t>
  </si>
  <si>
    <t>BLOQUE DE TERMINALES ENCHUFABLE 3 POSICIONES</t>
  </si>
  <si>
    <t>FAB-0390</t>
  </si>
  <si>
    <t>BLOQUE DE TERMINALES ENCHUFABLE 2 POSICIONES</t>
  </si>
  <si>
    <t>FAB-0391</t>
  </si>
  <si>
    <t>BLOQUE DE TERMINALES ENCHUFABLE 8 POSICIONES</t>
  </si>
  <si>
    <t>FAB-0392</t>
  </si>
  <si>
    <t>BLOQUE DE TERMINALES ENCHUFABLE 17 POSICIONES</t>
  </si>
  <si>
    <t>FAB-0393</t>
  </si>
  <si>
    <t>BLOQUE DE TERMINALES ENCHUFABLE 7 POSICIONES</t>
  </si>
  <si>
    <t>FAB-0394</t>
  </si>
  <si>
    <t>PORTAFUSIBLE RIEL DIN</t>
  </si>
  <si>
    <t>FAB-0395</t>
  </si>
  <si>
    <t>BLOQUE DE TIERRA / CONEXIÓN</t>
  </si>
  <si>
    <t>FAB-0396</t>
  </si>
  <si>
    <t>BLOQUE DE TERMINALES DE PASO</t>
  </si>
  <si>
    <t>FAB-0397</t>
  </si>
  <si>
    <t>CONVERTIDOR DC-DC VHK100W-Q24-S24</t>
  </si>
  <si>
    <t>V-INFINITY</t>
  </si>
  <si>
    <t>FAB-0398</t>
  </si>
  <si>
    <t>ROUTER INALÁMBRICO DE CONSUMO TX2</t>
  </si>
  <si>
    <t>TENDA</t>
  </si>
  <si>
    <t>FAB-0399</t>
  </si>
  <si>
    <t>FUENTE DE ALIMENTACIÓN PSS1014E</t>
  </si>
  <si>
    <t>EATON</t>
  </si>
  <si>
    <t>FAB-0400</t>
  </si>
  <si>
    <t>PANTALLA LCD DAS1011</t>
  </si>
  <si>
    <t>AGAR CORP USA</t>
  </si>
  <si>
    <t>FAB-0401</t>
  </si>
  <si>
    <t>MÓDULOS PLC 1769-ASCII</t>
  </si>
  <si>
    <t>ALLEN-BRADLEY</t>
  </si>
  <si>
    <t>SV20S5RD</t>
  </si>
  <si>
    <t>FAB-0402</t>
  </si>
  <si>
    <t>CONVERTIDOR/RECEPTOR ADA-LVDS-RX-TWIN</t>
  </si>
  <si>
    <t>ES&amp;S SOLUTIONS</t>
  </si>
  <si>
    <t>FAB-0403</t>
  </si>
  <si>
    <t>COMPACT FLASH</t>
  </si>
  <si>
    <t>FAB-0404</t>
  </si>
  <si>
    <t>CONTROLADOR DE MOTOR DC DMC-100A</t>
  </si>
  <si>
    <t>PEAKTRONICS</t>
  </si>
  <si>
    <t>FAB-0405</t>
  </si>
  <si>
    <t>TARJETA TERMINAL COMUNICACIÓN RS-422 DASM4057</t>
  </si>
  <si>
    <t>FAB-0406</t>
  </si>
  <si>
    <t>INTERFAZ DE FLOPPY Y DISCO DURO PN: 130-0051</t>
  </si>
  <si>
    <t>LAVERSAB INC.</t>
  </si>
  <si>
    <t>FAB-0407</t>
  </si>
  <si>
    <t>TARJETA MPC555</t>
  </si>
  <si>
    <t>FAB-0408</t>
  </si>
  <si>
    <t>TARJETAS RAM</t>
  </si>
  <si>
    <t>FAB-0409</t>
  </si>
  <si>
    <t>TARJETA DE ADQUISICIÓN DE DATOS A/D AD12-8</t>
  </si>
  <si>
    <t>C2</t>
  </si>
  <si>
    <t>FAB-0410</t>
  </si>
  <si>
    <t>CONVERTIDOR DE INTERFAZ / COMUNICACIÓN</t>
  </si>
  <si>
    <t>HEXIN</t>
  </si>
  <si>
    <t>FAB-0411</t>
  </si>
  <si>
    <t>BULBO DE TEMPERATURA PT100</t>
  </si>
  <si>
    <t>FAB-0412</t>
  </si>
  <si>
    <t>BOMBILLOS 12V</t>
  </si>
  <si>
    <t>FAB-0413</t>
  </si>
  <si>
    <t>ID PUCK HART</t>
  </si>
  <si>
    <t>FAB-0414</t>
  </si>
  <si>
    <t>ID PUCK OW111079_A</t>
  </si>
  <si>
    <t>FAB-0415</t>
  </si>
  <si>
    <t>ID PUCK OW100H</t>
  </si>
  <si>
    <t>FAB-0416</t>
  </si>
  <si>
    <t>BUSHING 3/4 A 1/2</t>
  </si>
  <si>
    <t>FAB-0417</t>
  </si>
  <si>
    <t>CALIBRADOR DE PROCESOS DE DOCUMENTACION 744</t>
  </si>
  <si>
    <t xml:space="preserve">FLUKE </t>
  </si>
  <si>
    <t>2B</t>
  </si>
  <si>
    <t>FAB-0418</t>
  </si>
  <si>
    <t xml:space="preserve">ECHOMETER </t>
  </si>
  <si>
    <t>DM9450325</t>
  </si>
  <si>
    <t>2D</t>
  </si>
  <si>
    <t>HER-0001</t>
  </si>
  <si>
    <t>GANCHO MULTIFUERZA 230 KG</t>
  </si>
  <si>
    <t>HERRAMIENTAS_</t>
  </si>
  <si>
    <t xml:space="preserve">MATERIAL DE CONSTRUCCIÓN </t>
  </si>
  <si>
    <t>HER-0002</t>
  </si>
  <si>
    <t>GANCHO MULTIFUERZA 350 KG</t>
  </si>
  <si>
    <t>HER-0003</t>
  </si>
  <si>
    <t>CUERDA ELASTICA CON GANCHO 45CM</t>
  </si>
  <si>
    <t>HER-0004</t>
  </si>
  <si>
    <t>CUERDA ELASTICA CON GANCHO 65CM</t>
  </si>
  <si>
    <t>HER-0005</t>
  </si>
  <si>
    <t xml:space="preserve">SOPLADORA DE AIRE </t>
  </si>
  <si>
    <t>DOMOSA</t>
  </si>
  <si>
    <t xml:space="preserve">HERRAMIENTA ELÉCTRICA </t>
  </si>
  <si>
    <t>HER-0006</t>
  </si>
  <si>
    <t xml:space="preserve">INODORO </t>
  </si>
  <si>
    <t xml:space="preserve">VENCERAMICA </t>
  </si>
  <si>
    <t>HER-0007</t>
  </si>
  <si>
    <t>LAVAMANOS CON PEDESTAL</t>
  </si>
  <si>
    <t>HER-0008</t>
  </si>
  <si>
    <t xml:space="preserve">ESPEJO PARA BAÑO </t>
  </si>
  <si>
    <t xml:space="preserve">AQUA </t>
  </si>
  <si>
    <t>HER-0009</t>
  </si>
  <si>
    <t xml:space="preserve">HIDROJET </t>
  </si>
  <si>
    <t>DAEWO</t>
  </si>
  <si>
    <t xml:space="preserve">HERRAMIENTA DE MANO </t>
  </si>
  <si>
    <t>HER-0010</t>
  </si>
  <si>
    <t xml:space="preserve">EXTRACTOR DE AIRE </t>
  </si>
  <si>
    <t>TAURUS</t>
  </si>
  <si>
    <t>HER-0011</t>
  </si>
  <si>
    <t xml:space="preserve">BOLSO PARA ECHOMETER </t>
  </si>
  <si>
    <t>BAUER</t>
  </si>
  <si>
    <t xml:space="preserve">ALMACENAMIENTO </t>
  </si>
  <si>
    <t>HER-0012</t>
  </si>
  <si>
    <t xml:space="preserve">PERSIANA </t>
  </si>
  <si>
    <t>HER-0013</t>
  </si>
  <si>
    <t xml:space="preserve">MALETA RIGIDA GRIS - GRANDE </t>
  </si>
  <si>
    <t>HER-0014</t>
  </si>
  <si>
    <t xml:space="preserve">MALETA BEIGE GRANDE </t>
  </si>
  <si>
    <t>HER-0015</t>
  </si>
  <si>
    <t xml:space="preserve">MALETA RIGIDA NEGRA - GRANDE </t>
  </si>
  <si>
    <t>HER-0016</t>
  </si>
  <si>
    <t>MALETA RIGIDA NEGRA - PEQUEÑA</t>
  </si>
  <si>
    <t>HER-0017</t>
  </si>
  <si>
    <t xml:space="preserve">MALETA PLASTICA DE HERRAMIENTAS </t>
  </si>
  <si>
    <t xml:space="preserve">STANLEY </t>
  </si>
  <si>
    <t>HER-0018</t>
  </si>
  <si>
    <t>DESTORNILLADOR DE PALA 1,2 X 6,5 X 150 D-68167</t>
  </si>
  <si>
    <t>WISENT</t>
  </si>
  <si>
    <t>HER-0019</t>
  </si>
  <si>
    <t>DESTORNILLADOR DE PALA 1,0 X 5,5 X 125 D-68167</t>
  </si>
  <si>
    <t>HER-0020</t>
  </si>
  <si>
    <t>DESTORNILLADOR DE PALA 0,8 X 4,0 X 100 D-68167</t>
  </si>
  <si>
    <t>HER-0021</t>
  </si>
  <si>
    <t>DESTORNILLADOR DE PALA 0,4 X 2,5 X 75 D-68167</t>
  </si>
  <si>
    <t>HER-0022</t>
  </si>
  <si>
    <t>DESTORNILLADOR DE ESTRIAS PH1 X 80 D-68167</t>
  </si>
  <si>
    <t>HER-0023</t>
  </si>
  <si>
    <t>DESTORNILLADOR DE ESTRIAS PH2 X 100 D-68167</t>
  </si>
  <si>
    <t>HER-0024</t>
  </si>
  <si>
    <t xml:space="preserve">PROBADOR DE ELECTRICIDAD 220-250 </t>
  </si>
  <si>
    <t>KRAFTGRIP</t>
  </si>
  <si>
    <t>HER-0025</t>
  </si>
  <si>
    <t>PERSIANA MANIFLEX PVC 1" 120CM X 150CM</t>
  </si>
  <si>
    <t>ELEGANCE</t>
  </si>
  <si>
    <t xml:space="preserve">MATERIAL PVC </t>
  </si>
  <si>
    <t>HER-0026</t>
  </si>
  <si>
    <t xml:space="preserve">RETEN DE RODILLO </t>
  </si>
  <si>
    <t>HER-0027</t>
  </si>
  <si>
    <t xml:space="preserve">SEPARADOR PARA VIDRIO DE ACERO INOXIDABLE </t>
  </si>
  <si>
    <t>HER-0028</t>
  </si>
  <si>
    <t>TAPON DE ELECTRICIDAD MACHO PLG 1 1/2"</t>
  </si>
  <si>
    <t>HER-0029</t>
  </si>
  <si>
    <t>TAPON DE ELECTRICIDAD MACHO PLG 1"</t>
  </si>
  <si>
    <t>HER-0030</t>
  </si>
  <si>
    <t xml:space="preserve">ANILLO DE SELLADO </t>
  </si>
  <si>
    <t>HER-0031</t>
  </si>
  <si>
    <t xml:space="preserve">BISAGRAS BIDIMENCIONALES </t>
  </si>
  <si>
    <t>HER-0032</t>
  </si>
  <si>
    <t xml:space="preserve">MANGO DE VALVULA </t>
  </si>
  <si>
    <t>HER-0033</t>
  </si>
  <si>
    <t>VALVULA DE BOLA 2"</t>
  </si>
  <si>
    <t xml:space="preserve">METALES ALIADOS </t>
  </si>
  <si>
    <t>HER-0034</t>
  </si>
  <si>
    <t>VALVULA DE BOLA 1"</t>
  </si>
  <si>
    <t>CF</t>
  </si>
  <si>
    <t>HER-0035</t>
  </si>
  <si>
    <t>VALVULA DE BOLA 1/2"</t>
  </si>
  <si>
    <t>FP</t>
  </si>
  <si>
    <t>HER-0036</t>
  </si>
  <si>
    <t>VALVULA DE BOLA 3/4"</t>
  </si>
  <si>
    <t>HER-0037</t>
  </si>
  <si>
    <t>UNION CONDUIT UNIVERSAL 1-1/2" X 2-1/2"</t>
  </si>
  <si>
    <t>HER-0038</t>
  </si>
  <si>
    <t>UNION CONDUIT UNIVERSAL 1-1/2" X 2-1/2" C/ NIPLE ROSCADO 1-1/2"</t>
  </si>
  <si>
    <t>HER-0039</t>
  </si>
  <si>
    <t>UNION CONDUIT UNIVERSAL 1" X 1"</t>
  </si>
  <si>
    <t>HER-0040</t>
  </si>
  <si>
    <t xml:space="preserve">REDUCTOR 2" X 1" </t>
  </si>
  <si>
    <t>HER-0041</t>
  </si>
  <si>
    <t>CONECTOR DE COMPRESION DE ACERO 2" X 2"</t>
  </si>
  <si>
    <t>HER-0042</t>
  </si>
  <si>
    <t>SELLO CORTA FUEGO 1/2"</t>
  </si>
  <si>
    <t>HER-0043</t>
  </si>
  <si>
    <t>SELLO CORTA FUEGO 1"</t>
  </si>
  <si>
    <t>HER-0044</t>
  </si>
  <si>
    <t>MOTOR PARA NEVERA 115-127V</t>
  </si>
  <si>
    <t>EMBRACO</t>
  </si>
  <si>
    <t>J1-1</t>
  </si>
  <si>
    <t>HER-0045</t>
  </si>
  <si>
    <t xml:space="preserve">LLAVE 3" PARA HAMMER </t>
  </si>
  <si>
    <t>HER-0046</t>
  </si>
  <si>
    <t xml:space="preserve">PINTURA BLANCA PLASTICA PROFESIONAL </t>
  </si>
  <si>
    <t>SOLINTEX</t>
  </si>
  <si>
    <t>PINTURA</t>
  </si>
  <si>
    <t>CUÑETE</t>
  </si>
  <si>
    <t xml:space="preserve">MANTENIMIENTO </t>
  </si>
  <si>
    <t>HER-0047</t>
  </si>
  <si>
    <t xml:space="preserve">THINNER CRILICO </t>
  </si>
  <si>
    <t xml:space="preserve">PEGA SOLD </t>
  </si>
  <si>
    <t xml:space="preserve">GALON </t>
  </si>
  <si>
    <t>HER-0048</t>
  </si>
  <si>
    <t xml:space="preserve">PINTURA EPOXICA POLIURETANO PREPARADA SUNFIRE AZUL AGAR </t>
  </si>
  <si>
    <t>HER-0049</t>
  </si>
  <si>
    <t>ENDURECEDOR PARA PINTURA EPOXICA (1/4 GL)</t>
  </si>
  <si>
    <t>HER-0050</t>
  </si>
  <si>
    <t xml:space="preserve">FONDO EPOXICO GRIS </t>
  </si>
  <si>
    <t xml:space="preserve">PINTURA INTERNACIONAL </t>
  </si>
  <si>
    <t>HER-0051</t>
  </si>
  <si>
    <t xml:space="preserve">FONDO EPOXICO ROJO </t>
  </si>
  <si>
    <t>HER-0052</t>
  </si>
  <si>
    <t xml:space="preserve">ENDURECEDOR PARA FONDO EPOXICO </t>
  </si>
  <si>
    <t>HER-0053</t>
  </si>
  <si>
    <t xml:space="preserve">PINTURA OLEO BRILLANTE AZUL ALTLANTICO </t>
  </si>
  <si>
    <t>HER-0054</t>
  </si>
  <si>
    <t xml:space="preserve">PINTURA OLEO BRILLANTE BLANCO </t>
  </si>
  <si>
    <t>HER-0055</t>
  </si>
  <si>
    <t>PINTURA OLEO BRILLANTE GRIS (1/4 GL)</t>
  </si>
  <si>
    <t>HER-0056</t>
  </si>
  <si>
    <t>GRAPA FLEER</t>
  </si>
  <si>
    <t>HER-0057</t>
  </si>
  <si>
    <t xml:space="preserve">CINTA METRICA CON PUNTA DE PLOMO </t>
  </si>
  <si>
    <t>INSTRUMENTO DE MEDICIÓN</t>
  </si>
  <si>
    <t>HER-0058</t>
  </si>
  <si>
    <t>CINTA METRICA TAPOGRAFO</t>
  </si>
  <si>
    <t xml:space="preserve">COBRA </t>
  </si>
  <si>
    <t>HER-0059</t>
  </si>
  <si>
    <t xml:space="preserve">MARCO PARA RODILLO 9" </t>
  </si>
  <si>
    <t xml:space="preserve">ACCESORIO PARA PINTURA </t>
  </si>
  <si>
    <t>HER-0060</t>
  </si>
  <si>
    <t xml:space="preserve">FUNDA DE RODILLO 9" </t>
  </si>
  <si>
    <t>HER-0061</t>
  </si>
  <si>
    <t xml:space="preserve">FUNDA DE RODILLO 3" </t>
  </si>
  <si>
    <t>HER-0062</t>
  </si>
  <si>
    <t xml:space="preserve">BANDEJA PARA PINTURA </t>
  </si>
  <si>
    <t>HER-0063</t>
  </si>
  <si>
    <t xml:space="preserve">FLEJE DE SEGURIDAD DE ACERO </t>
  </si>
  <si>
    <t>HER-0064</t>
  </si>
  <si>
    <t xml:space="preserve">CINTA PASACABLES </t>
  </si>
  <si>
    <t>HER-0065</t>
  </si>
  <si>
    <t>BOMBA NEUMATICA</t>
  </si>
  <si>
    <t>HER-0066</t>
  </si>
  <si>
    <t xml:space="preserve">CAJA DE SALIDA </t>
  </si>
  <si>
    <t>KILLARK</t>
  </si>
  <si>
    <t>HER-0067</t>
  </si>
  <si>
    <t xml:space="preserve">BREAKER TRIFASICO 60AMP </t>
  </si>
  <si>
    <t>HER-0068</t>
  </si>
  <si>
    <t xml:space="preserve">CAJA DE SALIDA CONDUIT </t>
  </si>
  <si>
    <t>HER-0069</t>
  </si>
  <si>
    <t>ABRAZADERA DE DERIVACION 1-1/2"</t>
  </si>
  <si>
    <t>HER-0070</t>
  </si>
  <si>
    <t xml:space="preserve">PRESOSTATO </t>
  </si>
  <si>
    <t>HER-0071</t>
  </si>
  <si>
    <t>CEPILLO DE ALAMBRE</t>
  </si>
  <si>
    <t>HER-0072</t>
  </si>
  <si>
    <t>HER-0073</t>
  </si>
  <si>
    <t xml:space="preserve">DISCO DE CORTE EXTRAFINO 7" </t>
  </si>
  <si>
    <t>FORTEK</t>
  </si>
  <si>
    <t xml:space="preserve">HERRAMIENTA DE ABRASIÓN </t>
  </si>
  <si>
    <t>HER-0074</t>
  </si>
  <si>
    <t>DEWALT</t>
  </si>
  <si>
    <t>HER-0075</t>
  </si>
  <si>
    <t>DISCO DE CORTE 7" X 1/8"</t>
  </si>
  <si>
    <t>HER-0076</t>
  </si>
  <si>
    <t xml:space="preserve">DISCO DE DESBASTE 7" </t>
  </si>
  <si>
    <t>HER-0077</t>
  </si>
  <si>
    <t>DISCO DE DESBASTE 4-1/2"</t>
  </si>
  <si>
    <t>HER-0078</t>
  </si>
  <si>
    <t>DISCO DE CORTE EXTRAFINO 4-1/2"</t>
  </si>
  <si>
    <t>HER-0079</t>
  </si>
  <si>
    <t>DISCO DE LIJA GRANO 80 4-1/2"</t>
  </si>
  <si>
    <t>STRUGGER</t>
  </si>
  <si>
    <t>HER-0080</t>
  </si>
  <si>
    <t>DISCO DIAMANTADO PARA CONCRETO 4-1/2"</t>
  </si>
  <si>
    <t>COVO</t>
  </si>
  <si>
    <t>HER-0081</t>
  </si>
  <si>
    <t>CLASSIC</t>
  </si>
  <si>
    <t>HER-0082</t>
  </si>
  <si>
    <t>DISCO DIAMANTADO PARA CONCRETO 7"</t>
  </si>
  <si>
    <t>NORTON</t>
  </si>
  <si>
    <t>HER-0083</t>
  </si>
  <si>
    <t>TIEWRAP NEGRO 10"</t>
  </si>
  <si>
    <t>HER-0084</t>
  </si>
  <si>
    <t>TIEWRAP NEGRO 16"</t>
  </si>
  <si>
    <t>HER-0085</t>
  </si>
  <si>
    <t>TIEWRAP NEGRO 4"</t>
  </si>
  <si>
    <t>HER-0086</t>
  </si>
  <si>
    <t xml:space="preserve">RESISTENCIA ELECTRICA </t>
  </si>
  <si>
    <t>HER-0087</t>
  </si>
  <si>
    <t xml:space="preserve">ESPONJA MAGICA </t>
  </si>
  <si>
    <t>BOSQUE VERDE</t>
  </si>
  <si>
    <t>HER-0088</t>
  </si>
  <si>
    <t xml:space="preserve">ESPONJA ABRASIVA GRANO FINO </t>
  </si>
  <si>
    <t>HER-0089</t>
  </si>
  <si>
    <t>LIJA 150</t>
  </si>
  <si>
    <t>3G</t>
  </si>
  <si>
    <t>HER-0090</t>
  </si>
  <si>
    <t>LIJA 1200</t>
  </si>
  <si>
    <t>HER-0091</t>
  </si>
  <si>
    <t>LIJA 120</t>
  </si>
  <si>
    <t>HER-0092</t>
  </si>
  <si>
    <t>LIJA 100</t>
  </si>
  <si>
    <t>HER-0093</t>
  </si>
  <si>
    <t>PEGATAMKE</t>
  </si>
  <si>
    <t>PFT</t>
  </si>
  <si>
    <t>HER-0094</t>
  </si>
  <si>
    <t>PEGATAMKE TRANSPARENTE</t>
  </si>
  <si>
    <t>HER-0095</t>
  </si>
  <si>
    <t>EXACTO HOJILLA DE CORTE</t>
  </si>
  <si>
    <t xml:space="preserve">HERRAMIENTA DE CORTE </t>
  </si>
  <si>
    <t>3E</t>
  </si>
  <si>
    <t>HER-0096</t>
  </si>
  <si>
    <t>LLAVES TORX</t>
  </si>
  <si>
    <t>TOTAL</t>
  </si>
  <si>
    <t>HER-0097</t>
  </si>
  <si>
    <t>PINZA</t>
  </si>
  <si>
    <t>COBRA</t>
  </si>
  <si>
    <t>HER-0098</t>
  </si>
  <si>
    <t xml:space="preserve">LLAVE ALLEN VARIADA </t>
  </si>
  <si>
    <t>HER-0099</t>
  </si>
  <si>
    <t>TROQUEL MANUAL</t>
  </si>
  <si>
    <t>HER-0100</t>
  </si>
  <si>
    <t xml:space="preserve">PELA CABLES </t>
  </si>
  <si>
    <t>HER-0101</t>
  </si>
  <si>
    <t xml:space="preserve">CRIMPADORA PRENSA TERMINALES </t>
  </si>
  <si>
    <t>HER-0102</t>
  </si>
  <si>
    <t xml:space="preserve">LIJA PARA CERAMICA </t>
  </si>
  <si>
    <t>DEXTER</t>
  </si>
  <si>
    <t>HER-0103</t>
  </si>
  <si>
    <t>CORTA TUBING</t>
  </si>
  <si>
    <t>HER-0104</t>
  </si>
  <si>
    <t xml:space="preserve">BREAKER MONOFASICO  1 X 40 120/240V </t>
  </si>
  <si>
    <t>BTICINO</t>
  </si>
  <si>
    <t>HER-0105</t>
  </si>
  <si>
    <t xml:space="preserve">ESPACIADOR REDONDO DE METAL </t>
  </si>
  <si>
    <t>HER-0106</t>
  </si>
  <si>
    <t xml:space="preserve">SELLADOR DE SILICONA </t>
  </si>
  <si>
    <t>GRIVEN</t>
  </si>
  <si>
    <t>HER-0107</t>
  </si>
  <si>
    <t>ROLINERA 6201</t>
  </si>
  <si>
    <t xml:space="preserve">MATERIAL DE REFRIGERACIÓN </t>
  </si>
  <si>
    <t>MANTENIMIENTO</t>
  </si>
  <si>
    <t>HER-0108</t>
  </si>
  <si>
    <t xml:space="preserve">SELLADOR DE SILICONA BLANCO </t>
  </si>
  <si>
    <t>SILIPEX</t>
  </si>
  <si>
    <t>HER-0109</t>
  </si>
  <si>
    <t>SELLADOR DE SILICONA TRANSLUCIDO</t>
  </si>
  <si>
    <t>HER-0110</t>
  </si>
  <si>
    <t xml:space="preserve">PEGA EPOXICA </t>
  </si>
  <si>
    <t>VERSACHEM</t>
  </si>
  <si>
    <t>HER-0111</t>
  </si>
  <si>
    <t>SILICON PARA ALTAS TEMPERATURAS ROJO</t>
  </si>
  <si>
    <t>ZASC</t>
  </si>
  <si>
    <t>HER-0112</t>
  </si>
  <si>
    <t>SET DE ABRAZADERAS 10 PCS</t>
  </si>
  <si>
    <t>HANDTOOLS</t>
  </si>
  <si>
    <t>3F</t>
  </si>
  <si>
    <t>HER-0113</t>
  </si>
  <si>
    <t>ALAMBRE 24G</t>
  </si>
  <si>
    <t>HER-0114</t>
  </si>
  <si>
    <t xml:space="preserve">ESTAÑO </t>
  </si>
  <si>
    <t>HER-0115</t>
  </si>
  <si>
    <t>TUBO DE ESTAÑO 15G</t>
  </si>
  <si>
    <t>HER-0116</t>
  </si>
  <si>
    <t>ENCHUFE MACHO INDUSTRIAL</t>
  </si>
  <si>
    <t>HER-0117</t>
  </si>
  <si>
    <t xml:space="preserve">ENCHUFE TRIFASICO PARA EMPOTRAR </t>
  </si>
  <si>
    <t>HER-0118</t>
  </si>
  <si>
    <t xml:space="preserve">TERMOCONTRAIBLE GRUESO </t>
  </si>
  <si>
    <t>HER-0119</t>
  </si>
  <si>
    <t>TERMOCONTRAIBLE DELGADO</t>
  </si>
  <si>
    <t>CM</t>
  </si>
  <si>
    <t>HER-0120</t>
  </si>
  <si>
    <t>TEIPE NEGRO DE ELECTRICIDAD 33</t>
  </si>
  <si>
    <t>HER-0121</t>
  </si>
  <si>
    <t>TEIPE DE ALUMINIO 2"</t>
  </si>
  <si>
    <t>RGC</t>
  </si>
  <si>
    <t>HER-0122</t>
  </si>
  <si>
    <t>WADFOW</t>
  </si>
  <si>
    <t>HER-0123</t>
  </si>
  <si>
    <t>TEIPE DE GOMA 23</t>
  </si>
  <si>
    <t>HER-0124</t>
  </si>
  <si>
    <t xml:space="preserve">CINTA ADHESIVA DE TELA </t>
  </si>
  <si>
    <t>HER-0125</t>
  </si>
  <si>
    <t xml:space="preserve">CINTA DOBLE FAZ </t>
  </si>
  <si>
    <t>HER-0126</t>
  </si>
  <si>
    <t xml:space="preserve">ENCHUFE MACHO TIPO CHINO </t>
  </si>
  <si>
    <t xml:space="preserve">SEMILIC </t>
  </si>
  <si>
    <t>HER-0127</t>
  </si>
  <si>
    <t xml:space="preserve">ENCHUFE HEMBRA TIPO CHINO </t>
  </si>
  <si>
    <t>HER-0128</t>
  </si>
  <si>
    <t xml:space="preserve">ENCHUFE TRIFASICO MACHO </t>
  </si>
  <si>
    <t>HER-0129</t>
  </si>
  <si>
    <t xml:space="preserve">BREAKER MONOFASICO  1 X 20 120/240V </t>
  </si>
  <si>
    <t>3H</t>
  </si>
  <si>
    <t>HER-0130</t>
  </si>
  <si>
    <t xml:space="preserve">BREAKER BIFASICO  2 X 70 120/240V </t>
  </si>
  <si>
    <t>SIEMENS</t>
  </si>
  <si>
    <t>HER-0131</t>
  </si>
  <si>
    <t xml:space="preserve">BREAKER BIFASICO  2 X 50 120/240V </t>
  </si>
  <si>
    <t>TRIC</t>
  </si>
  <si>
    <t>HER-0132</t>
  </si>
  <si>
    <t xml:space="preserve">BREAKER BIFASICO 2X60 120/240V </t>
  </si>
  <si>
    <t>HER-0133</t>
  </si>
  <si>
    <t xml:space="preserve">BREAKER BIFASICO 2X50 120/240V </t>
  </si>
  <si>
    <t>HER-0134</t>
  </si>
  <si>
    <t xml:space="preserve">BREAKER BIFASICO 2X40 120/240V </t>
  </si>
  <si>
    <t>HER-0135</t>
  </si>
  <si>
    <t xml:space="preserve">TERMOSTATO DE AIRE ACONDICIONADO </t>
  </si>
  <si>
    <t xml:space="preserve">GEMLINE </t>
  </si>
  <si>
    <t>HER-0136</t>
  </si>
  <si>
    <t>TIEWRAP BLANCO 30"</t>
  </si>
  <si>
    <t>HER-0137</t>
  </si>
  <si>
    <t>SUICHE DE METAL ON/OFF</t>
  </si>
  <si>
    <t>HER-0138</t>
  </si>
  <si>
    <t xml:space="preserve">PROTECTOR DE VOLTAJE PARA AIE ACONDICIONADO 220V </t>
  </si>
  <si>
    <t xml:space="preserve">EXCELINE </t>
  </si>
  <si>
    <t>HER-0139</t>
  </si>
  <si>
    <t>RELE ALTERNADOR PARA SISTEMAS HIDRONEUMATICOS 120/220V</t>
  </si>
  <si>
    <t>HER-0140</t>
  </si>
  <si>
    <t xml:space="preserve">MULTIMETRO DIGITAL 6000AR </t>
  </si>
  <si>
    <t xml:space="preserve">ASTROAI </t>
  </si>
  <si>
    <t>2A</t>
  </si>
  <si>
    <t>HER-0141</t>
  </si>
  <si>
    <t>MULTIMETRO DIGITAL 6000AR</t>
  </si>
  <si>
    <t>HER-0142</t>
  </si>
  <si>
    <t>HER-0143</t>
  </si>
  <si>
    <t>HER-0144</t>
  </si>
  <si>
    <t>MULTIMETRO DIGITAL T-92 X000Y8LI2HF</t>
  </si>
  <si>
    <t>ELIKE</t>
  </si>
  <si>
    <t>HER-0145</t>
  </si>
  <si>
    <t xml:space="preserve">ELIKE </t>
  </si>
  <si>
    <t>HER-0146</t>
  </si>
  <si>
    <t>MULTIMETRO DIGITAL 37XR-A</t>
  </si>
  <si>
    <t xml:space="preserve">AMPROBE </t>
  </si>
  <si>
    <t>HER-0147</t>
  </si>
  <si>
    <t>HER-0148</t>
  </si>
  <si>
    <t>MULTIMETRO DIGITAL TMC-585</t>
  </si>
  <si>
    <t>TMC</t>
  </si>
  <si>
    <t>HER-0149</t>
  </si>
  <si>
    <t xml:space="preserve">HARD COMUNICATION PROTOCOL </t>
  </si>
  <si>
    <t xml:space="preserve">EMERSON </t>
  </si>
  <si>
    <t xml:space="preserve">HERRAMIENTA ELECTRONICA </t>
  </si>
  <si>
    <t>HER-0150</t>
  </si>
  <si>
    <t>HER-0151</t>
  </si>
  <si>
    <t>HER-0152</t>
  </si>
  <si>
    <t>DETECTOR MULTIGASES MODELO: PLT840</t>
  </si>
  <si>
    <t>PLT2408028406757</t>
  </si>
  <si>
    <t>HER-0153</t>
  </si>
  <si>
    <t>PLT2408028406397</t>
  </si>
  <si>
    <t>HER-0154</t>
  </si>
  <si>
    <t>PLT2408028406755</t>
  </si>
  <si>
    <t>HER-0155</t>
  </si>
  <si>
    <t>PLT2408028406655</t>
  </si>
  <si>
    <t>HER-0156</t>
  </si>
  <si>
    <t>LOOP CALIBRATOR 707</t>
  </si>
  <si>
    <t>HER-0157</t>
  </si>
  <si>
    <t>DENISMETRO DMA35 COD: ADV-ILAB-DD02</t>
  </si>
  <si>
    <t>ANTON PAAR</t>
  </si>
  <si>
    <t>HER-0158</t>
  </si>
  <si>
    <t>DENISMETRO DMA35 COD: ADV-ILAB-DD01</t>
  </si>
  <si>
    <t>HER-0159</t>
  </si>
  <si>
    <t>DETECTOR DE H2S MODELO: BWC2-H</t>
  </si>
  <si>
    <t>HONEYWELL</t>
  </si>
  <si>
    <t>5220BWC01241125354</t>
  </si>
  <si>
    <t>HER-0160</t>
  </si>
  <si>
    <t>5220BWC01241125365</t>
  </si>
  <si>
    <t>HER-0161</t>
  </si>
  <si>
    <t>LOOP CALIBRATOR</t>
  </si>
  <si>
    <t>DRUCK</t>
  </si>
  <si>
    <t>HER-0162</t>
  </si>
  <si>
    <t>MECHAS PARA PIEDRA DE ACERO AL CARBON CON PUNTA DE CARBURO 4MM - 12MM (9 UND)</t>
  </si>
  <si>
    <t xml:space="preserve">PARKSIDE </t>
  </si>
  <si>
    <t>HER-0163</t>
  </si>
  <si>
    <t>MECHAS MULTIFUNCIONALES 1,5MM - 8MM (9 UND)</t>
  </si>
  <si>
    <t>HER-0164</t>
  </si>
  <si>
    <t>TUERCA MARIPOSA M4 (SET)</t>
  </si>
  <si>
    <t>HER-0165</t>
  </si>
  <si>
    <t>TUERCA MARIPOSA M6 (SET)</t>
  </si>
  <si>
    <t>HER-0166</t>
  </si>
  <si>
    <t>TUERCA MARIPOSA M10 (SET)</t>
  </si>
  <si>
    <t>HER-0167</t>
  </si>
  <si>
    <t>TUERCA MARIPOSA M5 (SET)</t>
  </si>
  <si>
    <t>HER-0168</t>
  </si>
  <si>
    <t>TUERCA MARIPOSA M8 (SET)</t>
  </si>
  <si>
    <t>HER-0169</t>
  </si>
  <si>
    <t>TUERCA MARIPOSA M12 (SET)</t>
  </si>
  <si>
    <t>HER-0170</t>
  </si>
  <si>
    <t>TORNILLO PRISIONERO M6 (SET)</t>
  </si>
  <si>
    <t>HER-0171</t>
  </si>
  <si>
    <t>TORNILLO PRISIONERO M8 (SET)</t>
  </si>
  <si>
    <t>HER-0172</t>
  </si>
  <si>
    <t>TORNILLO PRISIONERO M3 (SET)</t>
  </si>
  <si>
    <t>HER-0173</t>
  </si>
  <si>
    <t>TORNILLO PRISIONERO M4 (SET)</t>
  </si>
  <si>
    <t>HER-0174</t>
  </si>
  <si>
    <t>TORNILLO PRISIONERO M5 (SET)</t>
  </si>
  <si>
    <t>HER-0175</t>
  </si>
  <si>
    <t>LLAVE ALLEN 1,5 (SET)</t>
  </si>
  <si>
    <t>HER-0176</t>
  </si>
  <si>
    <t>LLAVE ALLEN 2,5 (SET)</t>
  </si>
  <si>
    <t>HER-0177</t>
  </si>
  <si>
    <t>LLAVE ALLEN 4,0 (SET)</t>
  </si>
  <si>
    <t>HER-0178</t>
  </si>
  <si>
    <t>LLAVE ALLEN 2,0 (SET)</t>
  </si>
  <si>
    <t>HER-0179</t>
  </si>
  <si>
    <t>LLAVE ALLEN 3,0 (SET)</t>
  </si>
  <si>
    <t>HER-0180</t>
  </si>
  <si>
    <t>TRANSPORTADOR DIGITAL MODELO: HG10715</t>
  </si>
  <si>
    <t>HER-0181</t>
  </si>
  <si>
    <t>CALIBRADOR DIGITAL MODELO: HG10714</t>
  </si>
  <si>
    <t>HER-0182</t>
  </si>
  <si>
    <t>ESPATULAS PARA JUNTAS (9 PZAS)</t>
  </si>
  <si>
    <t>HER-0183</t>
  </si>
  <si>
    <t>MONTAJE CON TACOS METALICOS PARA MATERIALES HUECOS (31 PZAS)</t>
  </si>
  <si>
    <t>HER-0184</t>
  </si>
  <si>
    <t>PINZA AMPERIMETRICA 600V MODELO: PZM 2 B4</t>
  </si>
  <si>
    <t>HER-0185</t>
  </si>
  <si>
    <t xml:space="preserve">FUSIBLE PARA AUTO 5A  </t>
  </si>
  <si>
    <t>HER-0186</t>
  </si>
  <si>
    <t>FUSIBLE PARA AUTO 10A</t>
  </si>
  <si>
    <t>HER-0187</t>
  </si>
  <si>
    <t>FUSIBLE PARA AUTO 15A</t>
  </si>
  <si>
    <t>HER-0188</t>
  </si>
  <si>
    <t>FUSIBLE PARA AUTO 20A</t>
  </si>
  <si>
    <t>HER-0189</t>
  </si>
  <si>
    <t>FUSIBLE PARA AUTO 25A</t>
  </si>
  <si>
    <t>HER-0190</t>
  </si>
  <si>
    <t>FUSIBLE PARA AUTO 30A</t>
  </si>
  <si>
    <t>HER-0191</t>
  </si>
  <si>
    <t>HERRAMIENTA DE MOLETEADO MANUAL MODELO: K1-237</t>
  </si>
  <si>
    <t xml:space="preserve">KNURLCRAFT </t>
  </si>
  <si>
    <t>HER-0192</t>
  </si>
  <si>
    <t xml:space="preserve">VERNIER DIGITAL </t>
  </si>
  <si>
    <t>HER-0193</t>
  </si>
  <si>
    <t xml:space="preserve">PINZA DE ATERRAMIENTO 500 AMP </t>
  </si>
  <si>
    <t xml:space="preserve">ALFAWELD </t>
  </si>
  <si>
    <t>HER-0194</t>
  </si>
  <si>
    <t xml:space="preserve">BROCAS CONICAS </t>
  </si>
  <si>
    <t>HER-0195</t>
  </si>
  <si>
    <t>PINZA AMPERIMETRICA MODELO: UT202+</t>
  </si>
  <si>
    <t>UNI-T</t>
  </si>
  <si>
    <t>C233072556</t>
  </si>
  <si>
    <t>HER-0196</t>
  </si>
  <si>
    <t>CAUTIN 110V 200-450°C 60W</t>
  </si>
  <si>
    <t>SMRAZA</t>
  </si>
  <si>
    <t>HER-0197</t>
  </si>
  <si>
    <t>TERMOMETRO MODELO: 62 MINI</t>
  </si>
  <si>
    <t>HER-0198</t>
  </si>
  <si>
    <t>HER-0199</t>
  </si>
  <si>
    <t xml:space="preserve">TACHOMETER DIGITAL </t>
  </si>
  <si>
    <t>HER-0200</t>
  </si>
  <si>
    <t>PINZA AMPERIMETRICA MODELO: MT 87</t>
  </si>
  <si>
    <t>BECKER</t>
  </si>
  <si>
    <t>DAÑADA</t>
  </si>
  <si>
    <t>HER-0201</t>
  </si>
  <si>
    <t>HER-0202</t>
  </si>
  <si>
    <t xml:space="preserve">KIT DE CALIBRACION 110 </t>
  </si>
  <si>
    <t>HER-0203</t>
  </si>
  <si>
    <t xml:space="preserve">LLAVE DE TALADRO </t>
  </si>
  <si>
    <t>HER-0204</t>
  </si>
  <si>
    <t>MECHA PARA METAL 1MM (SET)</t>
  </si>
  <si>
    <t xml:space="preserve">BOSCH </t>
  </si>
  <si>
    <t>HER-0205</t>
  </si>
  <si>
    <t>MECHA PARA METAL 1.5MM (SET)</t>
  </si>
  <si>
    <t>HER-0206</t>
  </si>
  <si>
    <t>MECHA PARA METAL 2MM (SET)</t>
  </si>
  <si>
    <t>HER-0207</t>
  </si>
  <si>
    <t>MECHA PARA METAL 2.5MM (SET)</t>
  </si>
  <si>
    <t>HER-0208</t>
  </si>
  <si>
    <t>MECHA PARA METAL 3MM (SET)</t>
  </si>
  <si>
    <t>HER-0209</t>
  </si>
  <si>
    <t>MECHA PARA METAL 3.5MM (SET)</t>
  </si>
  <si>
    <t>HER-0210</t>
  </si>
  <si>
    <t>MECHA PARA METAL 4MM (SET)</t>
  </si>
  <si>
    <t>HER-0211</t>
  </si>
  <si>
    <t>MECHA PARA METAL 4.5MM (SET)</t>
  </si>
  <si>
    <t>HER-0212</t>
  </si>
  <si>
    <t>MECHA PARA METAL 5MM (SET)</t>
  </si>
  <si>
    <t>HER-0213</t>
  </si>
  <si>
    <t>MECHA PARA METAL 5.5MM (SET)</t>
  </si>
  <si>
    <t>HER-0214</t>
  </si>
  <si>
    <t>MECHA PARA METAL 6MM (SET)</t>
  </si>
  <si>
    <t>HER-0215</t>
  </si>
  <si>
    <t>MECHA PARA METAL 6.5MM (SET)</t>
  </si>
  <si>
    <t>HER-0216</t>
  </si>
  <si>
    <t>MECHA PARA METAL 7MM (SET)</t>
  </si>
  <si>
    <t>HER-0217</t>
  </si>
  <si>
    <t>MECHA PARA METAL 7.5MM (SET)</t>
  </si>
  <si>
    <t>HER-0218</t>
  </si>
  <si>
    <t>MECHA PARA METAL 8MM (SET)</t>
  </si>
  <si>
    <t>HER-0219</t>
  </si>
  <si>
    <t>MECHA PARA METAL 8.5MM (SET)</t>
  </si>
  <si>
    <t>HER-0220</t>
  </si>
  <si>
    <t>MECHA PARA METAL 9MM (SET)</t>
  </si>
  <si>
    <t>HER-0221</t>
  </si>
  <si>
    <t>MECHA PARA METAL 9.5MM (SET)</t>
  </si>
  <si>
    <t>HER-0222</t>
  </si>
  <si>
    <t>MECHA PARA METAL 10MM (SET)</t>
  </si>
  <si>
    <t>HER-0223</t>
  </si>
  <si>
    <t>MULTIMETRO DIGITAL MODELO: 463</t>
  </si>
  <si>
    <t>SIMPSON</t>
  </si>
  <si>
    <t>A32606</t>
  </si>
  <si>
    <t xml:space="preserve">USADO </t>
  </si>
  <si>
    <t>HER-0224</t>
  </si>
  <si>
    <t xml:space="preserve">TARRAJAS MACHO </t>
  </si>
  <si>
    <t>HER-0225</t>
  </si>
  <si>
    <t>TACHOMETER 2 IN 1 MODELO: UT372D</t>
  </si>
  <si>
    <t>HER-0226</t>
  </si>
  <si>
    <t>HER-0227</t>
  </si>
  <si>
    <t xml:space="preserve">LLAVE DE RUEDA </t>
  </si>
  <si>
    <t>HER-0228</t>
  </si>
  <si>
    <t xml:space="preserve">SARGENTO DE BARRA </t>
  </si>
  <si>
    <t>HER-0229</t>
  </si>
  <si>
    <t>REGLA MULTIUSOS</t>
  </si>
  <si>
    <t>HER-0230</t>
  </si>
  <si>
    <t>ESCUADRA RAPIDA</t>
  </si>
  <si>
    <t>HER-0231</t>
  </si>
  <si>
    <t>GENERADOR 110V</t>
  </si>
  <si>
    <t>HER-0232</t>
  </si>
  <si>
    <t>PONCHADORA</t>
  </si>
  <si>
    <t>HER-0233</t>
  </si>
  <si>
    <t xml:space="preserve">REGLETA 6 TOMAS </t>
  </si>
  <si>
    <t>HER-0234</t>
  </si>
  <si>
    <t xml:space="preserve">MALETIN UNIVERSAL DE ALUMINIO </t>
  </si>
  <si>
    <t>2E</t>
  </si>
  <si>
    <t>HER-0235</t>
  </si>
  <si>
    <t>DREMEL PROJECT TABLE MODELO: 887</t>
  </si>
  <si>
    <t>HER-0236</t>
  </si>
  <si>
    <t>DREMEL 300 SERIES (25 ACCESORIOS)</t>
  </si>
  <si>
    <t>HER-0237</t>
  </si>
  <si>
    <t xml:space="preserve">CAMARA INFRA ROJO CON ESTUCHE </t>
  </si>
  <si>
    <t>FLIR</t>
  </si>
  <si>
    <t>HER-0238</t>
  </si>
  <si>
    <t xml:space="preserve">HERRAMIENTA DE SOLDADURA EXOTERMICA </t>
  </si>
  <si>
    <t>THERMOWELD</t>
  </si>
  <si>
    <t>HER-0239</t>
  </si>
  <si>
    <t xml:space="preserve">SET  DE MECHAS Y PUNTAS </t>
  </si>
  <si>
    <t>BLACK + DECKER</t>
  </si>
  <si>
    <t>ILU-0001</t>
  </si>
  <si>
    <t>LINTERNA DE SEGURIDAD MULTIFUNCIONAL</t>
  </si>
  <si>
    <t>EDM</t>
  </si>
  <si>
    <t xml:space="preserve">ILUMINACION </t>
  </si>
  <si>
    <t>ILUMINACION PORTATIL</t>
  </si>
  <si>
    <t>ILU-0002</t>
  </si>
  <si>
    <t xml:space="preserve">LINTERNA INDUSTRIAL </t>
  </si>
  <si>
    <t>ENERGIZER</t>
  </si>
  <si>
    <t>ILU-0003</t>
  </si>
  <si>
    <t xml:space="preserve">LINTERNA LED PLASTICA </t>
  </si>
  <si>
    <t xml:space="preserve">PRETUL </t>
  </si>
  <si>
    <t>ILU-0004</t>
  </si>
  <si>
    <t>REFLECTOR DE HALOGENO 150W</t>
  </si>
  <si>
    <t>FERMETAL</t>
  </si>
  <si>
    <t xml:space="preserve">ILUMINACION FIJA </t>
  </si>
  <si>
    <t>ILU-0005</t>
  </si>
  <si>
    <t>LAMPARA RECARGABLE CON CARGADOR</t>
  </si>
  <si>
    <t>INF-0001</t>
  </si>
  <si>
    <t>IMPRESORA COLOR LASER JET MODELO: CP1215</t>
  </si>
  <si>
    <t>HP</t>
  </si>
  <si>
    <t xml:space="preserve">INFORMATICA </t>
  </si>
  <si>
    <t xml:space="preserve">IMPRESORAS </t>
  </si>
  <si>
    <t>CNB1319827</t>
  </si>
  <si>
    <t>AIT</t>
  </si>
  <si>
    <t>INF-0002</t>
  </si>
  <si>
    <t>IMPRESORA OFFICE JET MODELO: 7500A</t>
  </si>
  <si>
    <t>MY2A63105X</t>
  </si>
  <si>
    <t>INF-0003</t>
  </si>
  <si>
    <t>LAPTOP ELITEBOOK 840 G3 C/ CARGADOR</t>
  </si>
  <si>
    <t xml:space="preserve">COMPUTADORA </t>
  </si>
  <si>
    <t>5CG9041QM7</t>
  </si>
  <si>
    <t>INF-0004</t>
  </si>
  <si>
    <t>5CG9026QRB</t>
  </si>
  <si>
    <t>INF-0005</t>
  </si>
  <si>
    <t>LAPTOP IDEAPAD 1 C/ CARGADOR</t>
  </si>
  <si>
    <t xml:space="preserve">LENOVO </t>
  </si>
  <si>
    <t>PF4L54MQ</t>
  </si>
  <si>
    <t>INF-0006</t>
  </si>
  <si>
    <t>PY0054PV</t>
  </si>
  <si>
    <t>INF-0007</t>
  </si>
  <si>
    <t>PF4DSCQ6</t>
  </si>
  <si>
    <t>INF-0008</t>
  </si>
  <si>
    <t>PF4L6K92</t>
  </si>
  <si>
    <t>INF-0009</t>
  </si>
  <si>
    <t>KIT DE COMUNICACIÓN PLC</t>
  </si>
  <si>
    <t xml:space="preserve">PLACAS Y COMPONENTES </t>
  </si>
  <si>
    <t>LAB-0001</t>
  </si>
  <si>
    <t xml:space="preserve">ENVASE PARA TOMA DE MUESTRA </t>
  </si>
  <si>
    <t xml:space="preserve">LABORATORIO </t>
  </si>
  <si>
    <t xml:space="preserve">TOMA DE MUESTRA </t>
  </si>
  <si>
    <t>G1</t>
  </si>
  <si>
    <t>LAB-0002</t>
  </si>
  <si>
    <t xml:space="preserve">ENVASE DE VIDRIO PEQUEÑO PARA MUESTRAS </t>
  </si>
  <si>
    <t>LAB-0003</t>
  </si>
  <si>
    <t>GUANTES VERDES DE NITRILO</t>
  </si>
  <si>
    <t>LAB-0004</t>
  </si>
  <si>
    <t>FULL SAFETY</t>
  </si>
  <si>
    <t>LAB-0005</t>
  </si>
  <si>
    <t>GUANTES DE NITRILO 0598</t>
  </si>
  <si>
    <t xml:space="preserve">JUBA </t>
  </si>
  <si>
    <t>LAB-0006</t>
  </si>
  <si>
    <t>AMPOLLA HIDRANAL REACTIVA PARA KARL FISHER</t>
  </si>
  <si>
    <t>KAM</t>
  </si>
  <si>
    <t xml:space="preserve">REACTIVO QUÍMICO </t>
  </si>
  <si>
    <t>2C</t>
  </si>
  <si>
    <t>LAB-0007</t>
  </si>
  <si>
    <t>JERINGA HERMETICA A GAS 250ML</t>
  </si>
  <si>
    <t>HALMILTON</t>
  </si>
  <si>
    <t>LAB-0008</t>
  </si>
  <si>
    <t>LAB-0009</t>
  </si>
  <si>
    <t>AMPOLLA PARA ANALISIS VOLUMETRICO KARL FISHER COD: 09032</t>
  </si>
  <si>
    <t>LAB-0010</t>
  </si>
  <si>
    <t xml:space="preserve">SOLUCION ANALIZADOR DE HUMEDAD PARA KARL FISHER </t>
  </si>
  <si>
    <t>LAB-0011</t>
  </si>
  <si>
    <t xml:space="preserve">GOTERO PARA MUESTRA Y DESMULSIFICANTE </t>
  </si>
  <si>
    <t>LAB-0012</t>
  </si>
  <si>
    <t xml:space="preserve">HIDROMETRO DE VIDRIO 9-21 COD: 31402 </t>
  </si>
  <si>
    <t>WALKER</t>
  </si>
  <si>
    <t xml:space="preserve">INSTRUMENTO DE MEDICIÓN </t>
  </si>
  <si>
    <t>LAB-0013</t>
  </si>
  <si>
    <t>HIDROMETRO DE VIDRIO 19-31 COD: 31404</t>
  </si>
  <si>
    <t>LAB-0014</t>
  </si>
  <si>
    <t>HIDROMETRO DE VIDRIO 29-41 COD: 31406</t>
  </si>
  <si>
    <t>LAB-0015</t>
  </si>
  <si>
    <t>HIDROMETRO DE VIDRIO 1-11 COD: 31400</t>
  </si>
  <si>
    <t>LAB-0016</t>
  </si>
  <si>
    <t xml:space="preserve">PROBETA DE VIDRIO 100ML </t>
  </si>
  <si>
    <t>KIMAX</t>
  </si>
  <si>
    <t xml:space="preserve">INSTRUMENTO DE MEDICIÓN Y TRANSFERENCIA DE VOLUMEN </t>
  </si>
  <si>
    <t>LAB-0017</t>
  </si>
  <si>
    <t>PIREX</t>
  </si>
  <si>
    <t>LAB-0018</t>
  </si>
  <si>
    <t>ACTM</t>
  </si>
  <si>
    <t>LAB-0019</t>
  </si>
  <si>
    <t xml:space="preserve">PROBETA DE VIDRIO 50ML </t>
  </si>
  <si>
    <t>LAB-0020</t>
  </si>
  <si>
    <t>PROBETA DE ALUMINIO 50 ML</t>
  </si>
  <si>
    <t>LAB-0021</t>
  </si>
  <si>
    <t xml:space="preserve">SOLUCION GENERADORA PARA KARL FISHER </t>
  </si>
  <si>
    <t>LAB-0022</t>
  </si>
  <si>
    <t xml:space="preserve">VISOR DE LINEA </t>
  </si>
  <si>
    <t>MED-0001</t>
  </si>
  <si>
    <t>INYECTADORA 60ML</t>
  </si>
  <si>
    <t>GROSSMED</t>
  </si>
  <si>
    <t xml:space="preserve">MEDICAMENTOS </t>
  </si>
  <si>
    <t>INSTRUMENTO QUIRURGICO</t>
  </si>
  <si>
    <t>MED-0002</t>
  </si>
  <si>
    <t xml:space="preserve">LAFARCAINA </t>
  </si>
  <si>
    <t xml:space="preserve">ELMOR </t>
  </si>
  <si>
    <t>ANTISEPTICO</t>
  </si>
  <si>
    <t>1A</t>
  </si>
  <si>
    <t>MED-0003</t>
  </si>
  <si>
    <t xml:space="preserve">LOPERAMIDA </t>
  </si>
  <si>
    <t>GEAGAR</t>
  </si>
  <si>
    <t>ANTIDIARREICO</t>
  </si>
  <si>
    <t>MED-0004</t>
  </si>
  <si>
    <t>ACETAMINOFEN 650 MG</t>
  </si>
  <si>
    <t>PLUS ANDEX</t>
  </si>
  <si>
    <t>ANALGESICO</t>
  </si>
  <si>
    <t>MED-0005</t>
  </si>
  <si>
    <t xml:space="preserve">METAMIZOL ARISTO  575MG </t>
  </si>
  <si>
    <t>ARISTO PHARMA IBERIA</t>
  </si>
  <si>
    <t>MED-0006</t>
  </si>
  <si>
    <t xml:space="preserve">DOL GRIP </t>
  </si>
  <si>
    <t xml:space="preserve">CALOX </t>
  </si>
  <si>
    <t>ANTIGRIPAL</t>
  </si>
  <si>
    <t>MED-0007</t>
  </si>
  <si>
    <t xml:space="preserve">LORATADINA 10MG </t>
  </si>
  <si>
    <t xml:space="preserve">LA SANTE </t>
  </si>
  <si>
    <t>ANTIALERGICO</t>
  </si>
  <si>
    <t>MED-0008</t>
  </si>
  <si>
    <t xml:space="preserve">CETIRIZINA 10MG </t>
  </si>
  <si>
    <t>MED-0009</t>
  </si>
  <si>
    <t xml:space="preserve">IBUPROFENO 200 MG </t>
  </si>
  <si>
    <t>MED-0010</t>
  </si>
  <si>
    <t>TOBRASOL 5ML</t>
  </si>
  <si>
    <t>INNOVA</t>
  </si>
  <si>
    <t xml:space="preserve">OFTÁLMICO </t>
  </si>
  <si>
    <t>MED-0011</t>
  </si>
  <si>
    <t xml:space="preserve">CEFTRIAXONA </t>
  </si>
  <si>
    <t xml:space="preserve">KMPLUS </t>
  </si>
  <si>
    <t>ANTIBIOTICO</t>
  </si>
  <si>
    <t>MED-0012</t>
  </si>
  <si>
    <t xml:space="preserve">OMEPRAZOL </t>
  </si>
  <si>
    <t xml:space="preserve">GENVEN </t>
  </si>
  <si>
    <t xml:space="preserve">PROTECTOR GASTRICO  </t>
  </si>
  <si>
    <t>MED-0013</t>
  </si>
  <si>
    <t xml:space="preserve">TOBRAMICINA </t>
  </si>
  <si>
    <t xml:space="preserve">JMW </t>
  </si>
  <si>
    <t>MED-0014</t>
  </si>
  <si>
    <t xml:space="preserve">ADANTOL </t>
  </si>
  <si>
    <t xml:space="preserve">VARGAS </t>
  </si>
  <si>
    <t xml:space="preserve">ANTIHISTAMINICO </t>
  </si>
  <si>
    <t>MED-0015</t>
  </si>
  <si>
    <t xml:space="preserve">DENCORUB </t>
  </si>
  <si>
    <t>PONCE &amp; BENZO</t>
  </si>
  <si>
    <t>MED-0016</t>
  </si>
  <si>
    <t xml:space="preserve">PROTOSULFIL </t>
  </si>
  <si>
    <t xml:space="preserve">ROWE </t>
  </si>
  <si>
    <t>MED-0017</t>
  </si>
  <si>
    <t xml:space="preserve">BACITRACINA </t>
  </si>
  <si>
    <t>KIMICEG</t>
  </si>
  <si>
    <t>MED-0018</t>
  </si>
  <si>
    <t xml:space="preserve">RONAVA </t>
  </si>
  <si>
    <t>MED-0019</t>
  </si>
  <si>
    <t>VIOLETA DE GENCIANA</t>
  </si>
  <si>
    <t xml:space="preserve">FARMATODO </t>
  </si>
  <si>
    <t>MED-0020</t>
  </si>
  <si>
    <t xml:space="preserve">AZUL DE METILENO </t>
  </si>
  <si>
    <t>RECETTEMARK</t>
  </si>
  <si>
    <t>MED-0021</t>
  </si>
  <si>
    <t xml:space="preserve">VENDA ELASTICA 15CM </t>
  </si>
  <si>
    <t xml:space="preserve">PRIMEROS AUXILIOS </t>
  </si>
  <si>
    <t>MED-0022</t>
  </si>
  <si>
    <t xml:space="preserve">VENDA AUTOADHERENTE 15CM </t>
  </si>
  <si>
    <t>MED-0023</t>
  </si>
  <si>
    <t xml:space="preserve">PARACETAMOL CINFA EFERVESCENTE </t>
  </si>
  <si>
    <t>MED-0024</t>
  </si>
  <si>
    <t xml:space="preserve">OXIMETRO </t>
  </si>
  <si>
    <t>MED-0025</t>
  </si>
  <si>
    <t xml:space="preserve">TERMOMETRO DIGITAL  </t>
  </si>
  <si>
    <t xml:space="preserve">GIDAGUS </t>
  </si>
  <si>
    <t>MED-0026</t>
  </si>
  <si>
    <t xml:space="preserve">PINZA CON DIENTES DE RATON </t>
  </si>
  <si>
    <t>MED-0027</t>
  </si>
  <si>
    <t>AGUA OXIGENADA 500CM3</t>
  </si>
  <si>
    <t>MED-0028</t>
  </si>
  <si>
    <t xml:space="preserve">ALCOHOL ANTISEPTICO 950 ML </t>
  </si>
  <si>
    <t>MED-0029</t>
  </si>
  <si>
    <t xml:space="preserve">ALGODÓN HIDROFILO </t>
  </si>
  <si>
    <t>ALGOBAP</t>
  </si>
  <si>
    <t>MED-0030</t>
  </si>
  <si>
    <t>MERTHIOLATE 60ML</t>
  </si>
  <si>
    <t>MED-0031</t>
  </si>
  <si>
    <t>VENDA ELASTICA ORTOPEDICA 8CM</t>
  </si>
  <si>
    <t>SAITO</t>
  </si>
  <si>
    <t>MED-0032</t>
  </si>
  <si>
    <t xml:space="preserve">YODO </t>
  </si>
  <si>
    <t>MED-0033</t>
  </si>
  <si>
    <t>CURITAS MIXTAS</t>
  </si>
  <si>
    <t>BRIUTCARE</t>
  </si>
  <si>
    <t>MED-0034</t>
  </si>
  <si>
    <t xml:space="preserve">CURITAS FLEX </t>
  </si>
  <si>
    <t>MED-0035</t>
  </si>
  <si>
    <t>TENSIOMETRO DIGITAL</t>
  </si>
  <si>
    <t>MED-0036</t>
  </si>
  <si>
    <t>ESPONJA DE GASA 3" X 3"</t>
  </si>
  <si>
    <t xml:space="preserve">ALGOBAP </t>
  </si>
  <si>
    <t>MED-0037</t>
  </si>
  <si>
    <t>ESPONJA DE GASA 4" X 4"</t>
  </si>
  <si>
    <t>PRO-0001</t>
  </si>
  <si>
    <t xml:space="preserve">GLICERINA </t>
  </si>
  <si>
    <t>USP</t>
  </si>
  <si>
    <t xml:space="preserve">PRODUCTOS_QUIMICOS </t>
  </si>
  <si>
    <t>PRO-0002</t>
  </si>
  <si>
    <t xml:space="preserve">KEROSENE </t>
  </si>
  <si>
    <t xml:space="preserve">DILUYENTES Y SOLVENTES </t>
  </si>
  <si>
    <t>PRO-0003</t>
  </si>
  <si>
    <t>FLUIDO DE PURGA DOW COURNING</t>
  </si>
  <si>
    <t>KG</t>
  </si>
  <si>
    <t>H3-1</t>
  </si>
  <si>
    <t>PRO-0004</t>
  </si>
  <si>
    <t>LUBRICANTE NIQUEL ANTINSEIZE</t>
  </si>
  <si>
    <t xml:space="preserve">LUBRICACION </t>
  </si>
  <si>
    <t>SIS-0001</t>
  </si>
  <si>
    <t xml:space="preserve">TRIANGULO DE SEGURIDAD  </t>
  </si>
  <si>
    <t>SISTEMA_DE_SEGURIDAD</t>
  </si>
  <si>
    <t>SEÑALIZACIONES</t>
  </si>
  <si>
    <t>SIS-0002</t>
  </si>
  <si>
    <t>CINTA AMARILLA DE "PELIGRO"</t>
  </si>
  <si>
    <t>SIS-0003</t>
  </si>
  <si>
    <t>SEÑALIZACION "USE MASCARA PARA SOLDAR"</t>
  </si>
  <si>
    <t>SIS-0004</t>
  </si>
  <si>
    <t>SEÑALIZACION "USE PROTECTOR DE OIDOS"</t>
  </si>
  <si>
    <t>SIS-0005</t>
  </si>
  <si>
    <t>SEÑALIZACION "UTILICE EQUIPOS DE PROTECCION PERSONAL"</t>
  </si>
  <si>
    <t>SIS-0006</t>
  </si>
  <si>
    <t>SEÑALIZACION "EXTINTOR CONTRA INCENDIOS"</t>
  </si>
  <si>
    <t>SIS-0007</t>
  </si>
  <si>
    <t>SEÑALIZACION "DEPOSITE LOS PAPELES AQUI"</t>
  </si>
  <si>
    <t>SIS-0008</t>
  </si>
  <si>
    <t>SEÑALIZACION "VIA DE ESCAPE"</t>
  </si>
  <si>
    <t>SIS-0009</t>
  </si>
  <si>
    <t>SEÑALIZACION "USE CARETA"</t>
  </si>
  <si>
    <t>SIS-0010</t>
  </si>
  <si>
    <t>SEÑALIZACION PARA BAÑO "FIGURA MASCULINA"</t>
  </si>
  <si>
    <t>SIS-0011</t>
  </si>
  <si>
    <t>SEÑALIZACION "USE CASCO"</t>
  </si>
  <si>
    <t>SIS-0012</t>
  </si>
  <si>
    <t>SEÑALIZACION "USE GUANTES"</t>
  </si>
  <si>
    <t>SIS-0013</t>
  </si>
  <si>
    <t>SEÑALIZACION "USE ANTEOJOS"</t>
  </si>
  <si>
    <t>SIS-0014</t>
  </si>
  <si>
    <t>SEÑALIZACION "MANTENGA ESTA AREA LIMPIA Y ORDENADA"</t>
  </si>
  <si>
    <t>SIS-0015</t>
  </si>
  <si>
    <t>SEÑALIZACION "PUNTO DE REUNION"</t>
  </si>
  <si>
    <t>SIS-0016</t>
  </si>
  <si>
    <t>SEÑALIZACION "USE  BOTAS"</t>
  </si>
  <si>
    <t>SIS-0017</t>
  </si>
  <si>
    <t>SEÑALIZACION "PROHIBIDO FUMAR"</t>
  </si>
  <si>
    <t>SIS-0018</t>
  </si>
  <si>
    <t>SEÑALIZACION "ESCALERA"</t>
  </si>
  <si>
    <t>SIS-0019</t>
  </si>
  <si>
    <t>SEÑALIZACION "HALE"</t>
  </si>
  <si>
    <t>SIS-0020</t>
  </si>
  <si>
    <t>SEÑALIZACION "DESECHOS BIOLOGICOS"</t>
  </si>
  <si>
    <t>SIS-0021</t>
  </si>
  <si>
    <t>SEÑALIZACION "DESECHOS PELIGROSOS"</t>
  </si>
  <si>
    <t>SIS-0022</t>
  </si>
  <si>
    <t>SEÑALIZACION "BATERIAS USADAS"</t>
  </si>
  <si>
    <t>SIS-0023</t>
  </si>
  <si>
    <t>SEÑALIZACION "LAZO DE PRUEBAS DE TRANSMISION DE DATOS DE ALTA TENSION"</t>
  </si>
  <si>
    <t>SIS-0024</t>
  </si>
  <si>
    <t>SEÑALIZACION "DESECHOS INORGANICOS"</t>
  </si>
  <si>
    <t>SIS-0025</t>
  </si>
  <si>
    <t>SEÑALIZACION "RIESGO ELECTRICO"</t>
  </si>
  <si>
    <t>SIS-0026</t>
  </si>
  <si>
    <t xml:space="preserve">BOLA EXTINTOR DE FUEGO </t>
  </si>
  <si>
    <t xml:space="preserve">EQUIPO CONTRA INCENDIOS </t>
  </si>
  <si>
    <t>SIS-0027</t>
  </si>
  <si>
    <t xml:space="preserve">CINTURON DE SEGURIDAD CON CINTA REFLECTIVA </t>
  </si>
  <si>
    <t>SIS-0028</t>
  </si>
  <si>
    <t>EXTINTOR DE INCENDIO CO2</t>
  </si>
  <si>
    <t>MAP</t>
  </si>
  <si>
    <t>L5</t>
  </si>
  <si>
    <t>SIS-0029</t>
  </si>
  <si>
    <t>EXTINTOR DE INCENDIO 30LB</t>
  </si>
  <si>
    <t>SIS-0030</t>
  </si>
  <si>
    <t>AVISO DE SEGURIDAD (PUNTO DE CONCENTRACION)</t>
  </si>
  <si>
    <t>SIHO-A</t>
  </si>
  <si>
    <t>SIS-0031</t>
  </si>
  <si>
    <t>AVISO DE SEGURIDAD (USO OBLIGATORIO DE EPP)</t>
  </si>
  <si>
    <t>SIS-0032</t>
  </si>
  <si>
    <t xml:space="preserve">KIT ANTIDERRAME </t>
  </si>
  <si>
    <t>ANTIDERRAMES</t>
  </si>
  <si>
    <t>SIS-0033</t>
  </si>
  <si>
    <t xml:space="preserve">GANCHO PORTA EXTINTOR </t>
  </si>
  <si>
    <t>SIS-0034</t>
  </si>
  <si>
    <t>BASE PARA MANGA DE VIENTO</t>
  </si>
  <si>
    <t>SIS-0035</t>
  </si>
  <si>
    <t xml:space="preserve">MANGA DE VIENTO </t>
  </si>
  <si>
    <t>SIS-0036</t>
  </si>
  <si>
    <t xml:space="preserve">CINTA REFLECTIVA </t>
  </si>
  <si>
    <t>SIS-0037</t>
  </si>
  <si>
    <t xml:space="preserve">DETECTOR TERMICO </t>
  </si>
  <si>
    <t xml:space="preserve">SOVICA ELECTRONIC </t>
  </si>
  <si>
    <t xml:space="preserve">DETECTOR DE INCENDIOS </t>
  </si>
  <si>
    <t>SOL-0001</t>
  </si>
  <si>
    <t xml:space="preserve">DELANTAL DE SOLDADURA </t>
  </si>
  <si>
    <t xml:space="preserve">SOLDADURA </t>
  </si>
  <si>
    <t xml:space="preserve">EQUIPO DE PROTECCIÓN  </t>
  </si>
  <si>
    <t>SOL-0002</t>
  </si>
  <si>
    <t>SOL-0003</t>
  </si>
  <si>
    <t xml:space="preserve">CAMISA DE SOLDADURA </t>
  </si>
  <si>
    <t xml:space="preserve">BLACK STALLION </t>
  </si>
  <si>
    <t>SOL-0004</t>
  </si>
  <si>
    <t>TEL-0001</t>
  </si>
  <si>
    <t xml:space="preserve">CABLE DE RED </t>
  </si>
  <si>
    <t xml:space="preserve">TELECOMUNICACIONES </t>
  </si>
  <si>
    <t xml:space="preserve">ACCESORIO DE RED </t>
  </si>
  <si>
    <t>TEL-0002</t>
  </si>
  <si>
    <t>ADAPTADOR DE EMPALME BNC HEMBRA A HEMBRA</t>
  </si>
  <si>
    <t>ACCESORIO ELECTRÓNICO</t>
  </si>
  <si>
    <t xml:space="preserve">AIT  </t>
  </si>
  <si>
    <t>TEL-0003</t>
  </si>
  <si>
    <t xml:space="preserve">CONECTOR RCA MACHO AEREO DE METAL </t>
  </si>
  <si>
    <t>TEL-0004</t>
  </si>
  <si>
    <t xml:space="preserve">MICROLINK HART PROTOCOL  MODEM WITH RS-232 INTERFACE </t>
  </si>
  <si>
    <t xml:space="preserve">MICROFLEX </t>
  </si>
  <si>
    <t xml:space="preserve">EQUIPO DE RED </t>
  </si>
  <si>
    <t>UTE-0001</t>
  </si>
  <si>
    <t>TERMO DE 7 LTS</t>
  </si>
  <si>
    <t>POTAMITO</t>
  </si>
  <si>
    <t xml:space="preserve">UTENSILIOS_DE_COCINA </t>
  </si>
  <si>
    <t xml:space="preserve">ALMACENAMIENTO TÉRMICO </t>
  </si>
  <si>
    <t>UTE-0002</t>
  </si>
  <si>
    <t xml:space="preserve">TERMO DE 15 LTS </t>
  </si>
  <si>
    <t>UTE-0003</t>
  </si>
  <si>
    <t xml:space="preserve">TERMO DE 48 LTS </t>
  </si>
  <si>
    <t>UTE-0004</t>
  </si>
  <si>
    <t>CAFETERA 12 TAZAS MODELO: BVSTDCS12BN-013</t>
  </si>
  <si>
    <t>OSTER</t>
  </si>
  <si>
    <t>ELECTRODOMÉSTICO</t>
  </si>
  <si>
    <t>UTE-0005</t>
  </si>
  <si>
    <t xml:space="preserve">OLLA SOPERA </t>
  </si>
  <si>
    <t xml:space="preserve">PREPARACIÓN DE ALIMENTOS </t>
  </si>
  <si>
    <t>ALMACEN PRINCIPAL</t>
  </si>
  <si>
    <t>F</t>
  </si>
  <si>
    <t>TEL-0005</t>
  </si>
  <si>
    <t xml:space="preserve">CABLE DE CONEXIÓN A RADIO </t>
  </si>
  <si>
    <t>BINGFU</t>
  </si>
  <si>
    <t>ACCESORIO DE RED</t>
  </si>
  <si>
    <t>C4</t>
  </si>
  <si>
    <t>TEL-0006</t>
  </si>
  <si>
    <t xml:space="preserve">ANTENA OMNI-DIRECCIONAL ADHESIVA </t>
  </si>
  <si>
    <t>SUPERBAT</t>
  </si>
  <si>
    <t>TEL-0007</t>
  </si>
  <si>
    <t>EXTENSOR ADAPTADOR USB A RJ45</t>
  </si>
  <si>
    <t>TEL-0008</t>
  </si>
  <si>
    <t>CONECTOR RJ45 MACHO CAT 5E</t>
  </si>
  <si>
    <t>TEL-0009</t>
  </si>
  <si>
    <t>CONECTOR JACK CAT 6</t>
  </si>
  <si>
    <t xml:space="preserve">NEXXT SOLUTIONS </t>
  </si>
  <si>
    <t>TEL-0010</t>
  </si>
  <si>
    <t xml:space="preserve">PLACA DE PARED PARA CONECTOR RJ </t>
  </si>
  <si>
    <t>ACCESORIO</t>
  </si>
  <si>
    <t>TEL-0011</t>
  </si>
  <si>
    <t xml:space="preserve">CABLE DE AUDIO Y VIDEO </t>
  </si>
  <si>
    <t>TEL-0012</t>
  </si>
  <si>
    <t>PLACA DE PARED PARA CONECTOR RJ MACHO</t>
  </si>
  <si>
    <t>TEL-0013</t>
  </si>
  <si>
    <t>CONECTOR MACHO RCA</t>
  </si>
  <si>
    <t>TEL-0014</t>
  </si>
  <si>
    <t>AISLADOR DE BUCLE DE TIERRA (BALUN)</t>
  </si>
  <si>
    <t>ACCESORIO ELECTRONICO</t>
  </si>
  <si>
    <t>TEL-0015</t>
  </si>
  <si>
    <t>TRANSCEPTOR DE VIDEO PASIVO (VIDEO BALUN)</t>
  </si>
  <si>
    <t>TEL-0016</t>
  </si>
  <si>
    <t>TRANSCEPTOR DE PAR TRENZADO (BALUN DE VIDEO)</t>
  </si>
  <si>
    <t>TEL-0017</t>
  </si>
  <si>
    <t>TEL-0018</t>
  </si>
  <si>
    <t>ADAPTADOR VGA A BNC/RCA</t>
  </si>
  <si>
    <t>TEL-0019</t>
  </si>
  <si>
    <t xml:space="preserve">VIDEO BALUN PASIVO </t>
  </si>
  <si>
    <t>TEL-0020</t>
  </si>
  <si>
    <t xml:space="preserve">VIDEO BALUN PASIVO CONEXION DIRECTA </t>
  </si>
  <si>
    <t>TEL-0021</t>
  </si>
  <si>
    <t xml:space="preserve">ANTENA STARLINK </t>
  </si>
  <si>
    <t xml:space="preserve">STARLINK </t>
  </si>
  <si>
    <t>M1HT00174608</t>
  </si>
  <si>
    <t>D2-1</t>
  </si>
  <si>
    <t>TEL-0022</t>
  </si>
  <si>
    <t>M1HT00186396</t>
  </si>
  <si>
    <t>TEL-0023</t>
  </si>
  <si>
    <t>M1HT00956982</t>
  </si>
  <si>
    <t>TEL-0024</t>
  </si>
  <si>
    <t>M1HT01500056</t>
  </si>
  <si>
    <t>TEL-0025</t>
  </si>
  <si>
    <t xml:space="preserve">PROBADOR DE CABLES DE RED MULTIFUNCION </t>
  </si>
  <si>
    <t>D2-2</t>
  </si>
  <si>
    <t>TEL-0026</t>
  </si>
  <si>
    <t>SOPORTE UNIVERSAL PARA TELEFONO</t>
  </si>
  <si>
    <t>TEL-0027</t>
  </si>
  <si>
    <t>ANTENA NANOSTATION LOCO M2</t>
  </si>
  <si>
    <t xml:space="preserve">UBIQUITI </t>
  </si>
  <si>
    <t>TEL-0028</t>
  </si>
  <si>
    <t>HERRAMIENTA DE IMPACTO (PONCHADORA)</t>
  </si>
  <si>
    <t>WIREPLUS</t>
  </si>
  <si>
    <t>TEL-0029</t>
  </si>
  <si>
    <t>SWITCH FAST ETHERNET NWAY 24 PUERTOS MODELO: ENH924-AUT</t>
  </si>
  <si>
    <t>ENCORE</t>
  </si>
  <si>
    <t>TEL-0030</t>
  </si>
  <si>
    <t>CPE INALAMBRICO 2.4GHZ MODELO: TL-WA5210G</t>
  </si>
  <si>
    <t>TP-LINK</t>
  </si>
  <si>
    <t>10A61101810</t>
  </si>
  <si>
    <t>TEL-0031</t>
  </si>
  <si>
    <t>10B85402287</t>
  </si>
  <si>
    <t>TEL-0032</t>
  </si>
  <si>
    <t>ANTENA OMNIDIRECCIONAL DE ESCRITORIO PARA INTERIORES MODELO: TL-ANT2408C  TP-LINK</t>
  </si>
  <si>
    <t>137A1403013</t>
  </si>
  <si>
    <t>TEL-0033</t>
  </si>
  <si>
    <t>ROUTER 2.4 GHZ MODELO: WRT54G</t>
  </si>
  <si>
    <t>LINKSYS</t>
  </si>
  <si>
    <t>CDF70DC46368</t>
  </si>
  <si>
    <t>TEL-0034</t>
  </si>
  <si>
    <t>ROUTER MODELO: LP-550G</t>
  </si>
  <si>
    <t>LANPRO</t>
  </si>
  <si>
    <t>TEL-0035</t>
  </si>
  <si>
    <t>TARJETA DE RED WIFI MODELO: TL-WN651G</t>
  </si>
  <si>
    <t>TEL-0036</t>
  </si>
  <si>
    <t>TARJETA DE RED WIFI MODELO: TF-3239DL</t>
  </si>
  <si>
    <t>TEL-0037</t>
  </si>
  <si>
    <t xml:space="preserve">TARJETA DE INFERFAZ DE TELEFONIA ANALOGICA 8 PUERTOS </t>
  </si>
  <si>
    <t>DIGIUM</t>
  </si>
  <si>
    <t>DM3611020346</t>
  </si>
  <si>
    <t>TEL-0038</t>
  </si>
  <si>
    <t>TARJETA DE RED WIFI MODELO: TL-MR3420</t>
  </si>
  <si>
    <t>119B0108530</t>
  </si>
  <si>
    <t>D2-3</t>
  </si>
  <si>
    <t>TEL-0039</t>
  </si>
  <si>
    <t xml:space="preserve">DECODIFICADOR TV CON CONTROL </t>
  </si>
  <si>
    <t>MOVISTAR</t>
  </si>
  <si>
    <t>TEL-0040</t>
  </si>
  <si>
    <t>TELULAR MOVISTAR MODELO: SX5E</t>
  </si>
  <si>
    <t>0803118KD</t>
  </si>
  <si>
    <t>TEL-0041</t>
  </si>
  <si>
    <t>DECODIFICADOR STB DTH TECHNICOLOR</t>
  </si>
  <si>
    <t>TEL-0042</t>
  </si>
  <si>
    <t>ROUTER CELULAR INDUSTRIAL MODELO: WR11</t>
  </si>
  <si>
    <t>TEL-0043</t>
  </si>
  <si>
    <t>TEL-0044</t>
  </si>
  <si>
    <t>DM5410706124</t>
  </si>
  <si>
    <t>TEL-0045</t>
  </si>
  <si>
    <t>DM5410706564</t>
  </si>
  <si>
    <t>TEL-0046</t>
  </si>
  <si>
    <t>TARJETA DE RED WIFI MODELO:TL-WN353G</t>
  </si>
  <si>
    <t>TEL-0047</t>
  </si>
  <si>
    <t>TARJETA DE RED WIFI MODELO:TG-3269</t>
  </si>
  <si>
    <t>138C9800208</t>
  </si>
  <si>
    <t>TEL-0048</t>
  </si>
  <si>
    <t>TARJETA DE RED WIFI MODELO: DFE-538TX</t>
  </si>
  <si>
    <t>D-LINK</t>
  </si>
  <si>
    <t>0050BA89BAE6</t>
  </si>
  <si>
    <t>TEL-0049</t>
  </si>
  <si>
    <t xml:space="preserve">CABLE TELEFONICO CON CONECTORES RJ11 </t>
  </si>
  <si>
    <t>D1-2</t>
  </si>
  <si>
    <t>TEL-0050</t>
  </si>
  <si>
    <t>CABLE RS-232 HEMBRA A RJ11</t>
  </si>
  <si>
    <t>SOL-0005</t>
  </si>
  <si>
    <t xml:space="preserve">SOLDADURA LIQUIDA PVC 8 OZ </t>
  </si>
  <si>
    <t>TUBRICA</t>
  </si>
  <si>
    <t xml:space="preserve">MATERIAL DE APORTE </t>
  </si>
  <si>
    <t>E2-2</t>
  </si>
  <si>
    <t>SOL-0006</t>
  </si>
  <si>
    <t xml:space="preserve">SOLDADURA LIQUIDA PVC 2 OZ </t>
  </si>
  <si>
    <t>SOL-0007</t>
  </si>
  <si>
    <t xml:space="preserve">VIDRIO PARA CARETA DE SOLDADOR OSCURO </t>
  </si>
  <si>
    <t>SOL-0008</t>
  </si>
  <si>
    <t>BORA DE BRONZE</t>
  </si>
  <si>
    <t>GAS FLUX</t>
  </si>
  <si>
    <t>E4-1</t>
  </si>
  <si>
    <t>SOL-0009</t>
  </si>
  <si>
    <t xml:space="preserve">SELLADOR COMPUESTO EN POLVO </t>
  </si>
  <si>
    <t>COOPER</t>
  </si>
  <si>
    <t>SOL-0010</t>
  </si>
  <si>
    <t xml:space="preserve">SPRAY PENETRANTE PARA PRUBA DE SOLDADURA </t>
  </si>
  <si>
    <t>MAGNAFLUX</t>
  </si>
  <si>
    <t>SOL-0011</t>
  </si>
  <si>
    <t xml:space="preserve">SPRAY PENETRANTE CRACK1 ROJO </t>
  </si>
  <si>
    <t>WHALE SPRAY</t>
  </si>
  <si>
    <t>SOL-0012</t>
  </si>
  <si>
    <t xml:space="preserve">SPRAY PENETRANTE CRACK2 BLANCO </t>
  </si>
  <si>
    <t>SOL-0013</t>
  </si>
  <si>
    <t xml:space="preserve">SPRAY PENETRANTE CRACK3 TRANSPARENTE  </t>
  </si>
  <si>
    <t>SOL-0014</t>
  </si>
  <si>
    <t xml:space="preserve">ELECTRODO DE ACERO INOXCIDABLE </t>
  </si>
  <si>
    <t>LINCON GRINOX</t>
  </si>
  <si>
    <t>E1-2</t>
  </si>
  <si>
    <t>SIS-0038</t>
  </si>
  <si>
    <t>CAMARA DE SEGURIDAD WIFI 360° MODELO C500</t>
  </si>
  <si>
    <t>TAPO</t>
  </si>
  <si>
    <t xml:space="preserve">VIGILANCIA Y MONITOREO </t>
  </si>
  <si>
    <t>C3</t>
  </si>
  <si>
    <t>SIS-0039</t>
  </si>
  <si>
    <t>SIS-0040</t>
  </si>
  <si>
    <t>22494T6006663</t>
  </si>
  <si>
    <t>SIS-0041</t>
  </si>
  <si>
    <t>224A2C3006999</t>
  </si>
  <si>
    <t>SIS-0042</t>
  </si>
  <si>
    <t>CAMARA DE SEGURIDAD WIFI 360° MODELO C200</t>
  </si>
  <si>
    <t>22520J5007704</t>
  </si>
  <si>
    <t>SIS-0043</t>
  </si>
  <si>
    <t>MINI CAMARA MODELO: TTM-218</t>
  </si>
  <si>
    <t>CCTV</t>
  </si>
  <si>
    <t>TTM20092526</t>
  </si>
  <si>
    <t>SIS-0044</t>
  </si>
  <si>
    <t>CAMARA INFRAROJO MODELO: KR-60CM60C</t>
  </si>
  <si>
    <t>SIS-0045</t>
  </si>
  <si>
    <t xml:space="preserve">CAMARA WEB DE ALTA DEFINICION </t>
  </si>
  <si>
    <t>SIS-0046</t>
  </si>
  <si>
    <t>CAMARA INFRAROJO MODELO: UV-5906C</t>
  </si>
  <si>
    <t>SIS-0047</t>
  </si>
  <si>
    <t>SISTEMA DE CONTROL DE ACCESO MODELO: MITA F08</t>
  </si>
  <si>
    <t xml:space="preserve">ADVANCE </t>
  </si>
  <si>
    <t>CONTROL DE ACCESO</t>
  </si>
  <si>
    <t>SIS-0048</t>
  </si>
  <si>
    <t>TERMINAL DE RECONOCIMIENTO FACIAL MODELO: DS-K1T671M</t>
  </si>
  <si>
    <t>HIKVISION</t>
  </si>
  <si>
    <t>L05015829</t>
  </si>
  <si>
    <t>SIS-0049</t>
  </si>
  <si>
    <t>MONITOR DE VIDEOPORTERO MODELO: T-708C</t>
  </si>
  <si>
    <t>ETE</t>
  </si>
  <si>
    <t>PRO-0005</t>
  </si>
  <si>
    <t xml:space="preserve">VENENO AHUYENTAVES </t>
  </si>
  <si>
    <t xml:space="preserve">VENENO </t>
  </si>
  <si>
    <t>B3</t>
  </si>
  <si>
    <t>MED-0038</t>
  </si>
  <si>
    <t xml:space="preserve">CORIOLIS </t>
  </si>
  <si>
    <t xml:space="preserve">ROSEMONT </t>
  </si>
  <si>
    <t>F4-1</t>
  </si>
  <si>
    <t>LAB-0023</t>
  </si>
  <si>
    <t xml:space="preserve">PROBETA PLASTICA 1000 ML </t>
  </si>
  <si>
    <t xml:space="preserve">INSTRUMENTO DE MEDICION </t>
  </si>
  <si>
    <t>B4</t>
  </si>
  <si>
    <t>LAB-0024</t>
  </si>
  <si>
    <t xml:space="preserve">PROBETA DE VIDRIO 1000 ML </t>
  </si>
  <si>
    <t>LAB GLASS</t>
  </si>
  <si>
    <t>LAB-0025</t>
  </si>
  <si>
    <t>CITOGLAS</t>
  </si>
  <si>
    <t>INF-0010</t>
  </si>
  <si>
    <t xml:space="preserve">JACK DC CÁMARA PIN CENTRAL </t>
  </si>
  <si>
    <t>INF-0011</t>
  </si>
  <si>
    <t xml:space="preserve">PLUS DC CÁMARA TORNILLO </t>
  </si>
  <si>
    <t>INF-0012</t>
  </si>
  <si>
    <t>PLACA BASE 4 PUERTOS USB 2.0</t>
  </si>
  <si>
    <t>INF-0013</t>
  </si>
  <si>
    <t xml:space="preserve">CABLE CONVERTIDOR DE USB A RS485 </t>
  </si>
  <si>
    <t>PERIFERICOS</t>
  </si>
  <si>
    <t>INF-0014</t>
  </si>
  <si>
    <t xml:space="preserve">CABLE RCA CON CONECTOR S-VIDEO </t>
  </si>
  <si>
    <t>INF-0015</t>
  </si>
  <si>
    <t xml:space="preserve">CABLE DISPLAY DE DAS </t>
  </si>
  <si>
    <t>INF-0016</t>
  </si>
  <si>
    <t xml:space="preserve">CABLE SATA CON CLIP METALICO </t>
  </si>
  <si>
    <t>INF-0017</t>
  </si>
  <si>
    <t xml:space="preserve">CABLE ADAPTADOR PARA VENTILADOR DE ORDENADOR </t>
  </si>
  <si>
    <t>INF-0018</t>
  </si>
  <si>
    <t xml:space="preserve">CONECTOR JST PH DE 4 PINES CON CABLES </t>
  </si>
  <si>
    <t>INF-0019</t>
  </si>
  <si>
    <t xml:space="preserve">CABLE ADAPTADOR DE ALIMENTACION PCI EXPRESS DE 6 PINES A DOBLE MOLEX </t>
  </si>
  <si>
    <t>INF-0020</t>
  </si>
  <si>
    <t xml:space="preserve">CABLE ALTAVOZ DE DOS CONDUCTORES </t>
  </si>
  <si>
    <t>INF-0021</t>
  </si>
  <si>
    <t xml:space="preserve">ARNES DE CABLES </t>
  </si>
  <si>
    <t>INF-0022</t>
  </si>
  <si>
    <t xml:space="preserve">CABLE SATA </t>
  </si>
  <si>
    <t>INF-0023</t>
  </si>
  <si>
    <t xml:space="preserve">TERMISOR </t>
  </si>
  <si>
    <t>INF-0024</t>
  </si>
  <si>
    <t>CABLE ADAPTADOR Y (PS/2)</t>
  </si>
  <si>
    <t>INF-0025</t>
  </si>
  <si>
    <t xml:space="preserve">CABLE ADAPTADOR Y (PS/2) PARA TECLADO </t>
  </si>
  <si>
    <t>INF-0026</t>
  </si>
  <si>
    <t>CABLE ADAPTADOR DIVISOR PS/2</t>
  </si>
  <si>
    <t>INF-0027</t>
  </si>
  <si>
    <t>MONITOR  MODELO: ET-0025-B</t>
  </si>
  <si>
    <t>BENQ</t>
  </si>
  <si>
    <t>ETEIBOOI63SL0</t>
  </si>
  <si>
    <t>C5</t>
  </si>
  <si>
    <t>INF-0028</t>
  </si>
  <si>
    <t>IMPRESORA MODELO: B412C</t>
  </si>
  <si>
    <t>EPSON</t>
  </si>
  <si>
    <t>IMPRESORA</t>
  </si>
  <si>
    <t>Q7ZK010260</t>
  </si>
  <si>
    <t>INF-0029</t>
  </si>
  <si>
    <t>CPU</t>
  </si>
  <si>
    <t>D4-3</t>
  </si>
  <si>
    <t>INF-0030</t>
  </si>
  <si>
    <t>ECOTREND</t>
  </si>
  <si>
    <t>INF-0031</t>
  </si>
  <si>
    <t>MX23410007E</t>
  </si>
  <si>
    <t>INF-0032</t>
  </si>
  <si>
    <t>MONITOR MODELO: TFT185W80PS</t>
  </si>
  <si>
    <t>AOC</t>
  </si>
  <si>
    <t>AGXA9HA087059</t>
  </si>
  <si>
    <t>D4-2</t>
  </si>
  <si>
    <t>INF-0033</t>
  </si>
  <si>
    <t>MONITOR MODELO: 185LM00013</t>
  </si>
  <si>
    <t xml:space="preserve">DYOC9JA001772 </t>
  </si>
  <si>
    <t>INF-0034</t>
  </si>
  <si>
    <t>978B4BA004246</t>
  </si>
  <si>
    <t>INF-0035</t>
  </si>
  <si>
    <t>LAPTOP MODELO: CQ45-800LA</t>
  </si>
  <si>
    <t xml:space="preserve">COMPAQ </t>
  </si>
  <si>
    <t>5CG3131MDM</t>
  </si>
  <si>
    <t>INF-0036</t>
  </si>
  <si>
    <t>TECLADO MODELO: 1366</t>
  </si>
  <si>
    <t>MICROSOFT</t>
  </si>
  <si>
    <t>D4-1</t>
  </si>
  <si>
    <t>INF-0037</t>
  </si>
  <si>
    <t>TECLADO</t>
  </si>
  <si>
    <t>OMEGA</t>
  </si>
  <si>
    <t>INF-0038</t>
  </si>
  <si>
    <t>TECLADO MODELO: KB-0138</t>
  </si>
  <si>
    <t>GENIUS</t>
  </si>
  <si>
    <t>ZCE1A3201882</t>
  </si>
  <si>
    <t>INF-0039</t>
  </si>
  <si>
    <t>INF-0040</t>
  </si>
  <si>
    <t>INF-0041</t>
  </si>
  <si>
    <t>TECLADO MODELO: SCV PC-1005</t>
  </si>
  <si>
    <t>SONEVIEW</t>
  </si>
  <si>
    <t>K31001205000494</t>
  </si>
  <si>
    <t>INF-0042</t>
  </si>
  <si>
    <t>MODULO DE ENTRADA ANALOGICA CONTROLLOGIX 8 PUNTOS 1756-1F8 (SERIE A)</t>
  </si>
  <si>
    <t>D3-1</t>
  </si>
  <si>
    <t>INF-0043</t>
  </si>
  <si>
    <t>MODULO DE SALIDA ANALOGICA CONTROLLOGIX 8 PUNTOS 1756-OF8 (SERIE A)</t>
  </si>
  <si>
    <t>INF-0044</t>
  </si>
  <si>
    <t>MODULO DE COMUNICACIONES ETHERNET/IP CONTROLLOGIX 1756-ENBT (SERIE A)</t>
  </si>
  <si>
    <t>INF-0045</t>
  </si>
  <si>
    <t>MODULO DE PROCESADOR CONTROLLOGIX 5561 1756-L61</t>
  </si>
  <si>
    <t>D3-2</t>
  </si>
  <si>
    <t>INF-0046</t>
  </si>
  <si>
    <t>FUENTE DE ALIMENTACION 24VCC CONTROLLOGIX 1756-PB72 (SERIE C)</t>
  </si>
  <si>
    <t>INF-0047</t>
  </si>
  <si>
    <t>CHASIS CONTROLLOGIX 10 RANURAS 1756-A10 (SERIE C)</t>
  </si>
  <si>
    <t>INF-0048</t>
  </si>
  <si>
    <t>TERMINAL DE OPERADOR PANELVIEW PLUS 6 700 2711P-T7C4D8 (SERIE A)</t>
  </si>
  <si>
    <t>D3-3</t>
  </si>
  <si>
    <t>INF-0049</t>
  </si>
  <si>
    <t>MOUSE MODELO: M136</t>
  </si>
  <si>
    <t>DELUX</t>
  </si>
  <si>
    <t>INF-0050</t>
  </si>
  <si>
    <t xml:space="preserve">CLABLE USB A MICRO B RETRACTIBLE </t>
  </si>
  <si>
    <t xml:space="preserve">PICKENS </t>
  </si>
  <si>
    <t>INF-0051</t>
  </si>
  <si>
    <t>ETIQUETADORA MODELO: KL-60</t>
  </si>
  <si>
    <t>CASIO</t>
  </si>
  <si>
    <t>INF-0052</t>
  </si>
  <si>
    <t>CABLE EMISOR DE INFRAROJOS (IR BLASTER) MODELO: HP PART 5188-6293</t>
  </si>
  <si>
    <t>INF-0053</t>
  </si>
  <si>
    <t>DISCO DURO DIAMOND MAX PLUS 9 MODELO; 6Y080M0STD</t>
  </si>
  <si>
    <t xml:space="preserve">MAXTOR </t>
  </si>
  <si>
    <t>Y2L771EE</t>
  </si>
  <si>
    <t>INF-0054</t>
  </si>
  <si>
    <t>PLACA DE PRUEBAS MODELO: EIC-106</t>
  </si>
  <si>
    <t>MIYAKO</t>
  </si>
  <si>
    <t>INF-0055</t>
  </si>
  <si>
    <t>SERIAL I/O CARD</t>
  </si>
  <si>
    <t>INF-0056</t>
  </si>
  <si>
    <t xml:space="preserve">CARCASA EXTERNA PARA DISCO DURO </t>
  </si>
  <si>
    <t>IBM</t>
  </si>
  <si>
    <t>P017392</t>
  </si>
  <si>
    <t>INF-0057</t>
  </si>
  <si>
    <t xml:space="preserve">MIICRO CD </t>
  </si>
  <si>
    <t xml:space="preserve">KEY MEDIA </t>
  </si>
  <si>
    <t xml:space="preserve">DISPOSITIVO DE ALMACENAMIENO </t>
  </si>
  <si>
    <t>INF-0058</t>
  </si>
  <si>
    <t xml:space="preserve">BATERIA DE LAPTOP MODELO: PI06 </t>
  </si>
  <si>
    <t>6DGAK13CFNKIQ</t>
  </si>
  <si>
    <t>USADA</t>
  </si>
  <si>
    <t>INF-0059</t>
  </si>
  <si>
    <t>BATERIA DE LAPTOP MODELO: MU06</t>
  </si>
  <si>
    <t>6CGFL11BB3KPNP</t>
  </si>
  <si>
    <t>INF-0060</t>
  </si>
  <si>
    <t>DISCO DUROMODELO: ST31081A</t>
  </si>
  <si>
    <t xml:space="preserve">SEAGATE </t>
  </si>
  <si>
    <t>000175P0170028</t>
  </si>
  <si>
    <t>INF-0061</t>
  </si>
  <si>
    <t xml:space="preserve">MODULO DE LLENADO DE RANURA PARATARJETA 1756-N2 SERIE B </t>
  </si>
  <si>
    <t>INF-0062</t>
  </si>
  <si>
    <t xml:space="preserve">MODULO DE LLENADO DE RANURA PARATARJETA 1756-TBCH SERIE A </t>
  </si>
  <si>
    <t>INF-0063</t>
  </si>
  <si>
    <t xml:space="preserve">CABLE VGA MACHO A MACHO </t>
  </si>
  <si>
    <t>INF-0064</t>
  </si>
  <si>
    <t xml:space="preserve">CABLE VGA CON CONECTOR DE RED </t>
  </si>
  <si>
    <t>INF-0065</t>
  </si>
  <si>
    <t>CABLE CONVERTIDOR DE USB A RR-232</t>
  </si>
  <si>
    <t>INF-0066</t>
  </si>
  <si>
    <t xml:space="preserve">CABLE DE ALIMENTACION C2G </t>
  </si>
  <si>
    <t>INF-0067</t>
  </si>
  <si>
    <t xml:space="preserve">CABLE RS-232 HEMBRA A RJ45 MACHO </t>
  </si>
  <si>
    <t>INF-0068</t>
  </si>
  <si>
    <t xml:space="preserve">CABLE VGA PARA MONITOR </t>
  </si>
  <si>
    <t>INF-0069</t>
  </si>
  <si>
    <t xml:space="preserve">CABLE VGA HEMBRA A HEMBRA </t>
  </si>
  <si>
    <t>INF-0070</t>
  </si>
  <si>
    <t xml:space="preserve">CABLE PARA IMPRESORA </t>
  </si>
  <si>
    <t>INF-0071</t>
  </si>
  <si>
    <t>CABLE DE ALIMENTACION</t>
  </si>
  <si>
    <t>INF-0072</t>
  </si>
  <si>
    <t xml:space="preserve">CABLE RS-232 HEMBRA A MACHO </t>
  </si>
  <si>
    <t>INF-0073</t>
  </si>
  <si>
    <t xml:space="preserve">CABLE MULTIPLE VGA/IMPRESORA </t>
  </si>
  <si>
    <t>INF-0074</t>
  </si>
  <si>
    <t xml:space="preserve">FUENTE DE PODER DE CPU </t>
  </si>
  <si>
    <t>D1-3</t>
  </si>
  <si>
    <t>ILU-0006</t>
  </si>
  <si>
    <t>BOMBILLOS RECARGABLES 60 W</t>
  </si>
  <si>
    <t>NALY</t>
  </si>
  <si>
    <t>E1-1</t>
  </si>
  <si>
    <t>ILU-0007</t>
  </si>
  <si>
    <t>FUENTE DE ALIMENTACION DE CARRIL MAGNETICO PARA ILUMINACION MODELO: PJ-48100N-L</t>
  </si>
  <si>
    <t>BJ LIGHT</t>
  </si>
  <si>
    <t>ILU-0008</t>
  </si>
  <si>
    <t>LUMINARIA DE CARRIL MAGNETICO 18 W MODELO: CX20-G533</t>
  </si>
  <si>
    <t>ILU-0009</t>
  </si>
  <si>
    <t>LUMINARIA DE CARRIL MAGNETICO 30 W MODELO: CX20-FG600L</t>
  </si>
  <si>
    <t>ILU-0010</t>
  </si>
  <si>
    <t xml:space="preserve">LAMPARA TIPO REFLECTOR PARA EXTERIORES 100W </t>
  </si>
  <si>
    <t>ILU-0011</t>
  </si>
  <si>
    <t>LAMPARA RECARGABLE CON PANEL SOLAR MODELO: T8300</t>
  </si>
  <si>
    <t>F&amp;M</t>
  </si>
  <si>
    <t>ILU-0012</t>
  </si>
  <si>
    <t>APLIQUE DE TECHO PARA 2 TOMAS DE LUZ</t>
  </si>
  <si>
    <t>ILU-0013</t>
  </si>
  <si>
    <t>TUBO CIRCULAR FLOURESENTE F32X32W</t>
  </si>
  <si>
    <t>LS ELECTRONICA</t>
  </si>
  <si>
    <t>ILU-0014</t>
  </si>
  <si>
    <t xml:space="preserve">LAMPARA CIRCULAR ELECTRONICA </t>
  </si>
  <si>
    <t>ILU-0015</t>
  </si>
  <si>
    <t>APLIQUE DE TECHO PARA LAMPARA CIRCULAR</t>
  </si>
  <si>
    <t>ILU-0016</t>
  </si>
  <si>
    <t>BOMBILLO AHORRADOR DE ENERGIA CLASE A 85W</t>
  </si>
  <si>
    <t>MA ELECTRIC</t>
  </si>
  <si>
    <t>ILUMINACIÓN</t>
  </si>
  <si>
    <t>HER-0240</t>
  </si>
  <si>
    <t>LLAVE DE TUBO 36"</t>
  </si>
  <si>
    <t>STANLEY</t>
  </si>
  <si>
    <t>D5</t>
  </si>
  <si>
    <t>HER-0241</t>
  </si>
  <si>
    <t xml:space="preserve">RIDGID </t>
  </si>
  <si>
    <t>HER-0242</t>
  </si>
  <si>
    <t>LLAVE DE TUBO 24"</t>
  </si>
  <si>
    <t>HER-0243</t>
  </si>
  <si>
    <t>ADAPTADOR DE CORERIENTE AC/DC MODELO: FJ-66#</t>
  </si>
  <si>
    <t xml:space="preserve">MATERIAL ELECTRICO </t>
  </si>
  <si>
    <t>HER-0244</t>
  </si>
  <si>
    <t xml:space="preserve">CABLE MARCADOR TIPO ANILLO </t>
  </si>
  <si>
    <t>HER-0245</t>
  </si>
  <si>
    <t xml:space="preserve">MANDARRIA DE BRONCE 8LB </t>
  </si>
  <si>
    <t>E5</t>
  </si>
  <si>
    <t>HER-0246</t>
  </si>
  <si>
    <t>MANDARRIA DE BRONCE 4 LB</t>
  </si>
  <si>
    <t>HER-0247</t>
  </si>
  <si>
    <t xml:space="preserve">ESLINGA 4" </t>
  </si>
  <si>
    <t>HER-0248</t>
  </si>
  <si>
    <t>ESLINGA 3"</t>
  </si>
  <si>
    <t>HER-0249</t>
  </si>
  <si>
    <t>ESLINGA 1"</t>
  </si>
  <si>
    <t>HER-0250</t>
  </si>
  <si>
    <t xml:space="preserve">ESLINGA 1" CON RATCHE </t>
  </si>
  <si>
    <t>HER-0251</t>
  </si>
  <si>
    <t>RATCHE 4"</t>
  </si>
  <si>
    <t>HER-0252</t>
  </si>
  <si>
    <t>RATCHE 3"</t>
  </si>
  <si>
    <t>HER-0253</t>
  </si>
  <si>
    <t>RATCHE 2"</t>
  </si>
  <si>
    <t>HER-0254</t>
  </si>
  <si>
    <t>RATCHE 1"</t>
  </si>
  <si>
    <t>HER-0255</t>
  </si>
  <si>
    <t>LLAVE COMBINADA 37MM</t>
  </si>
  <si>
    <t>URREA</t>
  </si>
  <si>
    <t>E4-2</t>
  </si>
  <si>
    <t>HER-0256</t>
  </si>
  <si>
    <t>LLAVE COMBINADA 32MM</t>
  </si>
  <si>
    <t>HER-0257</t>
  </si>
  <si>
    <t>LLAVE COMBINADA 30MM</t>
  </si>
  <si>
    <t>HER-0258</t>
  </si>
  <si>
    <t>LLAVE COMBINADA 1-1/8"</t>
  </si>
  <si>
    <t>HER-0259</t>
  </si>
  <si>
    <t>LLAVE AJUSTABLE 12"</t>
  </si>
  <si>
    <t>HER-0260</t>
  </si>
  <si>
    <t>LLAVE COMBINADA 1"</t>
  </si>
  <si>
    <t>HER-0261</t>
  </si>
  <si>
    <t>LLAVE COMBINADA 15/16"</t>
  </si>
  <si>
    <t>HER-0262</t>
  </si>
  <si>
    <t>LLAVE COMBINADA 7/8"</t>
  </si>
  <si>
    <t>HER-0263</t>
  </si>
  <si>
    <t>LLAVE COMBINADA 13/16"</t>
  </si>
  <si>
    <t>HER-0264</t>
  </si>
  <si>
    <t>LLAVE COMBINADA 3/4"</t>
  </si>
  <si>
    <t>HER-0265</t>
  </si>
  <si>
    <t>LLAVE COMBINADA 5/8"</t>
  </si>
  <si>
    <t>HER-0266</t>
  </si>
  <si>
    <t>LLAVE COMBINADA 9/16"</t>
  </si>
  <si>
    <t>HER-0267</t>
  </si>
  <si>
    <t>LLAVE ESTRIADA ACODADA 16-17MM</t>
  </si>
  <si>
    <t>HER-0268</t>
  </si>
  <si>
    <t>LLAVE COMBINADA 11/16"</t>
  </si>
  <si>
    <t>HER-0269</t>
  </si>
  <si>
    <t>LLAVE AJUSTABLE 8"</t>
  </si>
  <si>
    <t>HER-0270</t>
  </si>
  <si>
    <t>LLAVE DE TUBO 12"</t>
  </si>
  <si>
    <t>HER-0271</t>
  </si>
  <si>
    <t xml:space="preserve">LLAVE COMBINADA 14MM </t>
  </si>
  <si>
    <t>HER-0272</t>
  </si>
  <si>
    <t>LLAVE COMBINADA 1/2"</t>
  </si>
  <si>
    <t>HER-0273</t>
  </si>
  <si>
    <t>LLAVE COMBINADA 3/8"</t>
  </si>
  <si>
    <t>HER-0274</t>
  </si>
  <si>
    <t>LLAVE COMBINADA 1-13/16</t>
  </si>
  <si>
    <t>HER-0275</t>
  </si>
  <si>
    <t>LLAVE COMBINADA 1-5/8"</t>
  </si>
  <si>
    <t>HER-0276</t>
  </si>
  <si>
    <t>LLAVE COMBINADA 1-7/8"</t>
  </si>
  <si>
    <t>HER-0277</t>
  </si>
  <si>
    <t>LLAVE COMBINADA 1-7/16"</t>
  </si>
  <si>
    <t>HER-0278</t>
  </si>
  <si>
    <t>LLAVE COMBINADA 1-1/4</t>
  </si>
  <si>
    <t>HER-0279</t>
  </si>
  <si>
    <t>LLAVE COMBINADA 23MM</t>
  </si>
  <si>
    <t>HER-0280</t>
  </si>
  <si>
    <t>LLAVE COMBINADA 22MM</t>
  </si>
  <si>
    <t>HER-0281</t>
  </si>
  <si>
    <t>LLAVE COMBINADA 21MM</t>
  </si>
  <si>
    <t>HER-0282</t>
  </si>
  <si>
    <t>LLAVE COMBINADA 19MM</t>
  </si>
  <si>
    <t>HER-0283</t>
  </si>
  <si>
    <t xml:space="preserve">LLAVE DE GANCHO </t>
  </si>
  <si>
    <t>HER-0284</t>
  </si>
  <si>
    <t>LLAVE DE TUBO 18"</t>
  </si>
  <si>
    <t>HER-0285</t>
  </si>
  <si>
    <t>RATCHE 19MM</t>
  </si>
  <si>
    <t>HER-0286</t>
  </si>
  <si>
    <t>DADO 1-7/8"</t>
  </si>
  <si>
    <t>HER-0287</t>
  </si>
  <si>
    <t>DADO 13/16"</t>
  </si>
  <si>
    <t>HER-0288</t>
  </si>
  <si>
    <t xml:space="preserve">ABRE ROSCA </t>
  </si>
  <si>
    <t>HER-0289</t>
  </si>
  <si>
    <t xml:space="preserve">BARRA DE ATERRAMIENTO DE BRONCE </t>
  </si>
  <si>
    <t>HER-0290</t>
  </si>
  <si>
    <t xml:space="preserve">LLAVE COMBINADA 32MM </t>
  </si>
  <si>
    <t>PETROCEDEÑO</t>
  </si>
  <si>
    <t>HER-0291</t>
  </si>
  <si>
    <t xml:space="preserve">LLAVE COMBINADA 1-1/4" </t>
  </si>
  <si>
    <t>HER-0292</t>
  </si>
  <si>
    <t>HER-0293</t>
  </si>
  <si>
    <t>HER-0294</t>
  </si>
  <si>
    <t>HER-0295</t>
  </si>
  <si>
    <t>LLAVE COMBINADA 1/8"</t>
  </si>
  <si>
    <t>HER-0296</t>
  </si>
  <si>
    <t>LLAVE COMBINADA 1-5/16"</t>
  </si>
  <si>
    <t>HER-0297</t>
  </si>
  <si>
    <t>HER-0298</t>
  </si>
  <si>
    <t>LLAVE DE GOLPE 1-7/16"</t>
  </si>
  <si>
    <t>PROTO</t>
  </si>
  <si>
    <t>HER-0299</t>
  </si>
  <si>
    <t xml:space="preserve">CEPILLO DE ALAMBRE </t>
  </si>
  <si>
    <t>HER-0300</t>
  </si>
  <si>
    <t xml:space="preserve">MALETA NEGRA PESURIZADA </t>
  </si>
  <si>
    <t>E4-3</t>
  </si>
  <si>
    <t>HER-0301</t>
  </si>
  <si>
    <t>DOBLA TUBING 3/4"</t>
  </si>
  <si>
    <t>E3-2</t>
  </si>
  <si>
    <t>HER-0302</t>
  </si>
  <si>
    <t>DOBLA TUBING 1/2"</t>
  </si>
  <si>
    <t>HER-0303</t>
  </si>
  <si>
    <t>DOBLA TUBING 1/4"</t>
  </si>
  <si>
    <t>HER-0304</t>
  </si>
  <si>
    <t>DOBLA TUBING 3/8"</t>
  </si>
  <si>
    <t>HER-0305</t>
  </si>
  <si>
    <t xml:space="preserve">EXTRACTOR INDUSTRIAL </t>
  </si>
  <si>
    <t>HER-0306</t>
  </si>
  <si>
    <t xml:space="preserve">CORTA TUBING 50MM </t>
  </si>
  <si>
    <t>HER-0307</t>
  </si>
  <si>
    <t>CORTA TUBING 1/8"-2"</t>
  </si>
  <si>
    <t>HER-0308</t>
  </si>
  <si>
    <t xml:space="preserve">CEPILLO DE CARPINTERIA </t>
  </si>
  <si>
    <t>HER-0309</t>
  </si>
  <si>
    <t>CALADORA</t>
  </si>
  <si>
    <t>HER-0310</t>
  </si>
  <si>
    <t>CAUTIN 110V-150W</t>
  </si>
  <si>
    <t>HER-0311</t>
  </si>
  <si>
    <t>SOPLADOR MODELO: TKEB-23</t>
  </si>
  <si>
    <t>TAKIMA</t>
  </si>
  <si>
    <t>TK043737</t>
  </si>
  <si>
    <t>HER-0312</t>
  </si>
  <si>
    <t xml:space="preserve">HOMOGENEIZADOR </t>
  </si>
  <si>
    <t>KAM CONTROLS</t>
  </si>
  <si>
    <t>25-01796</t>
  </si>
  <si>
    <t>HER-0313</t>
  </si>
  <si>
    <t>TALADRO 18V 1/4"</t>
  </si>
  <si>
    <t xml:space="preserve">DEWALT </t>
  </si>
  <si>
    <t>HER-0314</t>
  </si>
  <si>
    <t>TALADRO 18V 1/2"</t>
  </si>
  <si>
    <t>HER-0315</t>
  </si>
  <si>
    <t>NIVEL 120CM</t>
  </si>
  <si>
    <t>HER-0316</t>
  </si>
  <si>
    <t xml:space="preserve">PATA DE CABRA </t>
  </si>
  <si>
    <t>HER-0317</t>
  </si>
  <si>
    <t xml:space="preserve">CEGUETA </t>
  </si>
  <si>
    <t>HER-0318</t>
  </si>
  <si>
    <t xml:space="preserve">CORTA FLEJE </t>
  </si>
  <si>
    <t>HER-0319</t>
  </si>
  <si>
    <t xml:space="preserve">CONECTOR CARGADOR DE BATERIA </t>
  </si>
  <si>
    <t>HER-0320</t>
  </si>
  <si>
    <t>PINZA DE METAL</t>
  </si>
  <si>
    <t>HER-0321</t>
  </si>
  <si>
    <t xml:space="preserve">TORNILLO DE BRIDA HEXAGONAL AUTOPERFORANTE 12,5MM </t>
  </si>
  <si>
    <t>E2-3</t>
  </si>
  <si>
    <t>HER-0322</t>
  </si>
  <si>
    <t xml:space="preserve">TORNILLO 2,9MM </t>
  </si>
  <si>
    <t>HER-0323</t>
  </si>
  <si>
    <t xml:space="preserve">TORNILLO 2,8MM </t>
  </si>
  <si>
    <t>HER-0324</t>
  </si>
  <si>
    <t xml:space="preserve">ANILLO RETENEDOR 20MM ACERO INOXIDABLE </t>
  </si>
  <si>
    <t>HER-0325</t>
  </si>
  <si>
    <t xml:space="preserve">ANILLO RETENEDOR 14MM ACERO INOXIDABLE </t>
  </si>
  <si>
    <t>HER-0326</t>
  </si>
  <si>
    <t xml:space="preserve">TORNILLO 3,66MM </t>
  </si>
  <si>
    <t>HER-0327</t>
  </si>
  <si>
    <t xml:space="preserve">ARANDELA 3,66MM </t>
  </si>
  <si>
    <t>HER-0328</t>
  </si>
  <si>
    <t xml:space="preserve">TORNILLO 3,8MM </t>
  </si>
  <si>
    <t>HER-0329</t>
  </si>
  <si>
    <t>TORNILLO 3,76MM</t>
  </si>
  <si>
    <t>HER-0330</t>
  </si>
  <si>
    <t xml:space="preserve">TORNILLO DE HIERRO 3,8 MM </t>
  </si>
  <si>
    <t>HER-0331</t>
  </si>
  <si>
    <t xml:space="preserve">ARANDELA DE HIERRO 3,8 MM </t>
  </si>
  <si>
    <t>HER-0332</t>
  </si>
  <si>
    <t xml:space="preserve">TORNILLO ACERADO 2,8MM </t>
  </si>
  <si>
    <t>HER-0333</t>
  </si>
  <si>
    <t>TORNILLO AUTOROSCANTE 2,66MM</t>
  </si>
  <si>
    <t>HER-0334</t>
  </si>
  <si>
    <t xml:space="preserve">TORNILLO 3,20 MM </t>
  </si>
  <si>
    <t>HER-0335</t>
  </si>
  <si>
    <t xml:space="preserve">TORNILLO 3,33MM </t>
  </si>
  <si>
    <t>HER-0336</t>
  </si>
  <si>
    <t>TORNILLO DRYWALL 1"</t>
  </si>
  <si>
    <t>HER-0337</t>
  </si>
  <si>
    <t>TORNILLO DRYWALL 1-1/2"</t>
  </si>
  <si>
    <t>HER-0338</t>
  </si>
  <si>
    <t>RAMPLUG 3/16"</t>
  </si>
  <si>
    <t>HER-0339</t>
  </si>
  <si>
    <t>RAMPLUG 1/4"</t>
  </si>
  <si>
    <t>HER-0340</t>
  </si>
  <si>
    <t>RAMPLUG 3/32"</t>
  </si>
  <si>
    <t>HER-0341</t>
  </si>
  <si>
    <t>TORNILLO DRYWALL 3"</t>
  </si>
  <si>
    <t>HER-0342</t>
  </si>
  <si>
    <t>HER-0343</t>
  </si>
  <si>
    <t xml:space="preserve">CONEXIÓN PARA COMPRESOR </t>
  </si>
  <si>
    <t>HER-0344</t>
  </si>
  <si>
    <t xml:space="preserve">PINZA DE COBRE PARA SOLDADURA </t>
  </si>
  <si>
    <t>HER-0345</t>
  </si>
  <si>
    <t xml:space="preserve">BOQUILLA DE SOLDADURA </t>
  </si>
  <si>
    <t>HER-0346</t>
  </si>
  <si>
    <t xml:space="preserve">VALVULA DE SERVICIO </t>
  </si>
  <si>
    <t>HER-0347</t>
  </si>
  <si>
    <t xml:space="preserve">CODO DE COBRE PARA TUBERIA DE REFRIGERACION </t>
  </si>
  <si>
    <t>HER-0348</t>
  </si>
  <si>
    <t>CAPACITOR 10 µf</t>
  </si>
  <si>
    <t>MAXWELL</t>
  </si>
  <si>
    <t>HER-0349</t>
  </si>
  <si>
    <t xml:space="preserve">VENE US </t>
  </si>
  <si>
    <t>HER-0350</t>
  </si>
  <si>
    <t>CAPACITOR 12.5 µf</t>
  </si>
  <si>
    <t>HER-0351</t>
  </si>
  <si>
    <t>HKM</t>
  </si>
  <si>
    <t>HER-0352</t>
  </si>
  <si>
    <t>CAPACITOR 3.5 µf</t>
  </si>
  <si>
    <t>ELECTRONIC US</t>
  </si>
  <si>
    <t>HER-0353</t>
  </si>
  <si>
    <t>CAPACITOR 2 µf</t>
  </si>
  <si>
    <t>HER-0354</t>
  </si>
  <si>
    <t>HER-0355</t>
  </si>
  <si>
    <t>EVERWELL</t>
  </si>
  <si>
    <t>HER-0356</t>
  </si>
  <si>
    <t xml:space="preserve">ABRAZADERA 32MM </t>
  </si>
  <si>
    <t>HER-0357</t>
  </si>
  <si>
    <t xml:space="preserve">ABRAZADERA 57MM </t>
  </si>
  <si>
    <t>HER-0358</t>
  </si>
  <si>
    <t xml:space="preserve">ABRADERA 19MM </t>
  </si>
  <si>
    <t>HER-0359</t>
  </si>
  <si>
    <t>CLAVO DE ACERO 3,5 X 2"</t>
  </si>
  <si>
    <t>HER-0360</t>
  </si>
  <si>
    <t xml:space="preserve">CLAVO DE PARED 2,0 X 1" </t>
  </si>
  <si>
    <t>HER-0361</t>
  </si>
  <si>
    <t xml:space="preserve">TIZA DE HERRERIA </t>
  </si>
  <si>
    <t>HER-0362</t>
  </si>
  <si>
    <t xml:space="preserve">MACHO DE ROSCAR </t>
  </si>
  <si>
    <t>HER-0363</t>
  </si>
  <si>
    <t xml:space="preserve">PUNTA DE TALADRO </t>
  </si>
  <si>
    <t xml:space="preserve">WOLFCRAFT </t>
  </si>
  <si>
    <t>HER-0364</t>
  </si>
  <si>
    <t>MECHA PARA CONCRETO 3/16</t>
  </si>
  <si>
    <t>HER-0365</t>
  </si>
  <si>
    <t>MECHA PARA CONCRETO 9/32</t>
  </si>
  <si>
    <t>HER-0366</t>
  </si>
  <si>
    <t>MECHA PARA CONCRETO 1/4</t>
  </si>
  <si>
    <t>HER-0367</t>
  </si>
  <si>
    <t>MECHA PARA CONCRETO 5/16</t>
  </si>
  <si>
    <t>HER-0368</t>
  </si>
  <si>
    <t>MECHA PARA CONCRETO 5/8</t>
  </si>
  <si>
    <t>HER-0369</t>
  </si>
  <si>
    <t>HER-0370</t>
  </si>
  <si>
    <t>MECHA PARA CONCRETO 3/8</t>
  </si>
  <si>
    <t>HER-0371</t>
  </si>
  <si>
    <t>HER-0372</t>
  </si>
  <si>
    <t>MECHA PARA METAL 1/4</t>
  </si>
  <si>
    <t>HER-0373</t>
  </si>
  <si>
    <t>MECHA PARA METAL 5/16</t>
  </si>
  <si>
    <t>HER-0374</t>
  </si>
  <si>
    <t>MECHA PARA METAL 1/2</t>
  </si>
  <si>
    <t>HER-0375</t>
  </si>
  <si>
    <t>HER-0376</t>
  </si>
  <si>
    <t>BISAGRA</t>
  </si>
  <si>
    <t>HER-0377</t>
  </si>
  <si>
    <t xml:space="preserve">HEMBRILLA ELECTRICA </t>
  </si>
  <si>
    <t>CISA</t>
  </si>
  <si>
    <t>HER-0378</t>
  </si>
  <si>
    <t>CEMENTO CONTACTO 43 473CM3</t>
  </si>
  <si>
    <t>HER-0379</t>
  </si>
  <si>
    <t>YEE PVC 3"</t>
  </si>
  <si>
    <t>HER-0380</t>
  </si>
  <si>
    <t>YEE PVC 2" X 1-1/2"</t>
  </si>
  <si>
    <t>HER-0381</t>
  </si>
  <si>
    <t>TEE PVC 2"</t>
  </si>
  <si>
    <t>HER-0382</t>
  </si>
  <si>
    <t>REDUCCION PVC 2" A 2-1/2"</t>
  </si>
  <si>
    <t>HER-0383</t>
  </si>
  <si>
    <t>UNION PVC 3"</t>
  </si>
  <si>
    <t>HER-0384</t>
  </si>
  <si>
    <t xml:space="preserve">CODO PVC 50MM </t>
  </si>
  <si>
    <t>HER-0385</t>
  </si>
  <si>
    <t>CODO PVC 1"</t>
  </si>
  <si>
    <t>HER-0386</t>
  </si>
  <si>
    <t>UNION PVC 1"</t>
  </si>
  <si>
    <t>HER-0387</t>
  </si>
  <si>
    <t>VALVULA DE PASO PVC 1"</t>
  </si>
  <si>
    <t>HER-0388</t>
  </si>
  <si>
    <t xml:space="preserve">MANGA DE ESPUMA </t>
  </si>
  <si>
    <t>SHOP.VAC</t>
  </si>
  <si>
    <t>HER-0389</t>
  </si>
  <si>
    <t>ACTUADOR ELECTRICO SERIE 92</t>
  </si>
  <si>
    <t>E1-4</t>
  </si>
  <si>
    <t>HER-0390</t>
  </si>
  <si>
    <t xml:space="preserve">CORREA DE FLEJADO DE CABLE </t>
  </si>
  <si>
    <t>HER-0391</t>
  </si>
  <si>
    <t>CATALIZADOR PARA PRODUCTOS DE POLIURETANO</t>
  </si>
  <si>
    <t>CARBOLINE</t>
  </si>
  <si>
    <t>HER-0392</t>
  </si>
  <si>
    <t>CINTA AISLANTE DE PVC BLANCA</t>
  </si>
  <si>
    <t>HER-0393</t>
  </si>
  <si>
    <t>WIDIA</t>
  </si>
  <si>
    <t>HER-0394</t>
  </si>
  <si>
    <t>TUBO DE AHDESIVO SELLADOR</t>
  </si>
  <si>
    <t>LAO CHUAN JIANG</t>
  </si>
  <si>
    <t>HER-0395</t>
  </si>
  <si>
    <t xml:space="preserve">TUBO SELLADOR DE SILICONA </t>
  </si>
  <si>
    <t>SAI SHUO</t>
  </si>
  <si>
    <t>HER-0396</t>
  </si>
  <si>
    <t>CEPILLO DE COPA TRENZADA 4"</t>
  </si>
  <si>
    <t>HER-0397</t>
  </si>
  <si>
    <t>CEPILLO DE COPA TRENZADA 5/8"</t>
  </si>
  <si>
    <t>HER-0398</t>
  </si>
  <si>
    <t xml:space="preserve">CAJA DE TRANSPORTE DE 18'' </t>
  </si>
  <si>
    <t>HOMELITE</t>
  </si>
  <si>
    <t>HER-0399</t>
  </si>
  <si>
    <t>BALASTRO ELECTRONICO 3X32 W</t>
  </si>
  <si>
    <t>HER-0400</t>
  </si>
  <si>
    <t>ESTUCHE DE PLASTICO MOLDEADO MODELO: C1600</t>
  </si>
  <si>
    <t>FLUKE</t>
  </si>
  <si>
    <t>HER-0401</t>
  </si>
  <si>
    <t>EXTRACTOR DE AIRE MODELO AQP-21675</t>
  </si>
  <si>
    <t>V-TEG</t>
  </si>
  <si>
    <t>HER-0402</t>
  </si>
  <si>
    <t>EXTRACTOR DE AIRE PLASTICO 10'' MODELO: APB25B2</t>
  </si>
  <si>
    <t>BAYAN LIGHTING</t>
  </si>
  <si>
    <t>E1-3</t>
  </si>
  <si>
    <t>HER-0403</t>
  </si>
  <si>
    <t xml:space="preserve">EXTRACTOR DE AIRE DE PLASTICO 10'' </t>
  </si>
  <si>
    <t>STAR</t>
  </si>
  <si>
    <t>HER-0404</t>
  </si>
  <si>
    <t xml:space="preserve">TABLERO DE ELECTRICIDAD BIFASICO 8 CTOS </t>
  </si>
  <si>
    <t>BTIZINO</t>
  </si>
  <si>
    <t>HER-0405</t>
  </si>
  <si>
    <t xml:space="preserve">PANEL ELECTRICO PRINCIPAL 125 AMP 8 ESPACIOS 16 CIRCUITOS </t>
  </si>
  <si>
    <t>GENERAL ELECTRIC</t>
  </si>
  <si>
    <t>HER-0406</t>
  </si>
  <si>
    <t>CALENTADOR DE AGUA ELECTRONICO MODELO: CE-11W4</t>
  </si>
  <si>
    <t>TERMOTRONIC</t>
  </si>
  <si>
    <t>HER-0407</t>
  </si>
  <si>
    <t xml:space="preserve">LONA DE TOLDO </t>
  </si>
  <si>
    <t>F1-2</t>
  </si>
  <si>
    <t>HER-0408</t>
  </si>
  <si>
    <t>TAPA CIEGA</t>
  </si>
  <si>
    <t>IGOTO</t>
  </si>
  <si>
    <t>HER-0409</t>
  </si>
  <si>
    <t xml:space="preserve">TOMA CORRIENTE </t>
  </si>
  <si>
    <t>HER-0410</t>
  </si>
  <si>
    <t xml:space="preserve">INTERRUPTOR 2X1  </t>
  </si>
  <si>
    <t>HER-0411</t>
  </si>
  <si>
    <t xml:space="preserve">CAJETIN DE TOMA CORRIENTE SUPERFICIAL </t>
  </si>
  <si>
    <t>PANDUIT</t>
  </si>
  <si>
    <t>HER-0412</t>
  </si>
  <si>
    <t xml:space="preserve">PANEL DE CONEXIÓN </t>
  </si>
  <si>
    <t xml:space="preserve">PANDUIT </t>
  </si>
  <si>
    <t>HER-0413</t>
  </si>
  <si>
    <t xml:space="preserve">PLACA DE ITERRUPTOR </t>
  </si>
  <si>
    <t>HER-0414</t>
  </si>
  <si>
    <t xml:space="preserve">PANEL MODULAR </t>
  </si>
  <si>
    <t>HER-0415</t>
  </si>
  <si>
    <t xml:space="preserve">CANALETA 4" PARA TUBERIA PVC </t>
  </si>
  <si>
    <t>HER-0416</t>
  </si>
  <si>
    <t xml:space="preserve">CANALETA 1" PARA TUBERIA PVC </t>
  </si>
  <si>
    <t>HER-0417</t>
  </si>
  <si>
    <t>ACTUADOR ELECTRICO MODELO: SM-1020-H-160-X-0-0-0</t>
  </si>
  <si>
    <t xml:space="preserve">JORDAN </t>
  </si>
  <si>
    <t>54752B07</t>
  </si>
  <si>
    <t>HER-0418</t>
  </si>
  <si>
    <t xml:space="preserve">LLAVE DE CRUZ </t>
  </si>
  <si>
    <t>F5</t>
  </si>
  <si>
    <t>HER-0419</t>
  </si>
  <si>
    <t>CIZALLA</t>
  </si>
  <si>
    <t>HER-0420</t>
  </si>
  <si>
    <t>LLAVE DE RUEDAS</t>
  </si>
  <si>
    <t>HER-0421</t>
  </si>
  <si>
    <t>PALANCA  DE GATO</t>
  </si>
  <si>
    <t>HER-0422</t>
  </si>
  <si>
    <t xml:space="preserve">PALANCA DE VALVULA </t>
  </si>
  <si>
    <t>HER-0423</t>
  </si>
  <si>
    <t xml:space="preserve">PALA DE CONSTRUCCION </t>
  </si>
  <si>
    <t>HER-0424</t>
  </si>
  <si>
    <t xml:space="preserve">MACHETE </t>
  </si>
  <si>
    <t>HER-0425</t>
  </si>
  <si>
    <t>SEÑORITA INDUSTRIAL</t>
  </si>
  <si>
    <t xml:space="preserve">HERRAMIENTA MECANICA </t>
  </si>
  <si>
    <t>F4-2</t>
  </si>
  <si>
    <t>FAB-0419</t>
  </si>
  <si>
    <t xml:space="preserve">CARPETA AZUL 1" </t>
  </si>
  <si>
    <t>AGAR</t>
  </si>
  <si>
    <t xml:space="preserve">MANUAL </t>
  </si>
  <si>
    <t>A1/A2/A3</t>
  </si>
  <si>
    <t>FAB-0420</t>
  </si>
  <si>
    <t>CARPETA AZUL 2"</t>
  </si>
  <si>
    <t>A3</t>
  </si>
  <si>
    <t>FAB-0421</t>
  </si>
  <si>
    <t>TERMINAL ELECTRICO HEMBRA AMARILLO 250 (12-10 AWG)</t>
  </si>
  <si>
    <t>FAB-0422</t>
  </si>
  <si>
    <t>TERMINAL ELECTRICO DE ANILLO ROJO 3/16 (22-16 AWG)</t>
  </si>
  <si>
    <t>FAB-0423</t>
  </si>
  <si>
    <t>TERMINAL ELECTRICO DE ANILLO AZUL 5/16 (16-14 AWG)</t>
  </si>
  <si>
    <t>FAB-0424</t>
  </si>
  <si>
    <t>TERMINAL ELECTRICO DE ANILLO AZUL 1/4 (16-14 AWG)</t>
  </si>
  <si>
    <t>FAB-0425</t>
  </si>
  <si>
    <t>TERMINAL ELECTRICO DE ANILLO AZUL 3/16 (16/14 AWG)</t>
  </si>
  <si>
    <t>FAB-0426</t>
  </si>
  <si>
    <t>TERMINAL ELECTRICO HEMBRA ROJO 250 (22-16 AWG)</t>
  </si>
  <si>
    <t>FAB-0427</t>
  </si>
  <si>
    <t>TERMINAL ELECTRICO DE PUNTA AZUL (14-16 AWG)</t>
  </si>
  <si>
    <t>FAB-0428</t>
  </si>
  <si>
    <t>TERMINAL ELECTRICO DE PUNTA ROJO (14 AWG)</t>
  </si>
  <si>
    <t>FAB-0429</t>
  </si>
  <si>
    <t xml:space="preserve">TERMINAL ELECTRICO DE LATON TIPO HORQUILLA </t>
  </si>
  <si>
    <t>FAB-0430</t>
  </si>
  <si>
    <t>TERMINAL ELECTRICO DE HORQUILLA ROJO (22-16 AWG)</t>
  </si>
  <si>
    <t>FAB-0431</t>
  </si>
  <si>
    <t xml:space="preserve">FUSIBLE 0.5A </t>
  </si>
  <si>
    <t>FAB-0432</t>
  </si>
  <si>
    <t xml:space="preserve">FUSIBLE 1A </t>
  </si>
  <si>
    <t>FAB-0433</t>
  </si>
  <si>
    <t xml:space="preserve">FUSIBLE 2A </t>
  </si>
  <si>
    <t>FAB-0434</t>
  </si>
  <si>
    <t xml:space="preserve">FUSIBLE 2.5A </t>
  </si>
  <si>
    <t>FAB-0435</t>
  </si>
  <si>
    <t xml:space="preserve">FUSIBLE 4A </t>
  </si>
  <si>
    <t>FAB-0436</t>
  </si>
  <si>
    <t xml:space="preserve">FUSIBLE 6A </t>
  </si>
  <si>
    <t>FAB-0437</t>
  </si>
  <si>
    <t xml:space="preserve">FUSIBLE 6.3A </t>
  </si>
  <si>
    <t>FAB-0438</t>
  </si>
  <si>
    <t xml:space="preserve">FUSIBLE 8A </t>
  </si>
  <si>
    <t>FAB-0439</t>
  </si>
  <si>
    <t xml:space="preserve">FUSIBLE 10A </t>
  </si>
  <si>
    <t>FAB-0440</t>
  </si>
  <si>
    <t xml:space="preserve">MEMORIA EPROM </t>
  </si>
  <si>
    <t>MATERIAL ELECTRONICO</t>
  </si>
  <si>
    <t>FAB-0441</t>
  </si>
  <si>
    <t xml:space="preserve">CIRCUITO INTEGRADO PAQUETE DUAL IN - LINE </t>
  </si>
  <si>
    <t>FAB-0442</t>
  </si>
  <si>
    <t>DIODO ZENER 2A</t>
  </si>
  <si>
    <t>FAB-0443</t>
  </si>
  <si>
    <t>FUSIBLE TIPO RESISTENCIA 3/4A</t>
  </si>
  <si>
    <t>FAB-0444</t>
  </si>
  <si>
    <t xml:space="preserve">FUSIBLE TIPO RESISTENCIA 1/4A </t>
  </si>
  <si>
    <t>FAB-0445</t>
  </si>
  <si>
    <t xml:space="preserve">FUSIBLE TIPO RESISTENCIA 1/8A </t>
  </si>
  <si>
    <t>FAB-0446</t>
  </si>
  <si>
    <t xml:space="preserve">FUSIBLE TIPO RESISTENCIA 1/16A </t>
  </si>
  <si>
    <t>FAB-0447</t>
  </si>
  <si>
    <t>FILTRO PASAMUROS DE INTERFERENCIA ELECTROMAGNETICA/RADIOFRECUENCIA</t>
  </si>
  <si>
    <t>FAB-0448</t>
  </si>
  <si>
    <t>RESISTENCIA 15K</t>
  </si>
  <si>
    <t>FAB-0449</t>
  </si>
  <si>
    <t>RESISTENCIA 1K</t>
  </si>
  <si>
    <t>FAB-0450</t>
  </si>
  <si>
    <t xml:space="preserve">EMBOLO DE BOLA CON RESORTE </t>
  </si>
  <si>
    <t xml:space="preserve">MATERIAL MECANICO </t>
  </si>
  <si>
    <t>FAB-0451</t>
  </si>
  <si>
    <t>RESISTENCIA BOBINADA DE POTENCIA 5W</t>
  </si>
  <si>
    <t>COLBER</t>
  </si>
  <si>
    <t>FAB-0452</t>
  </si>
  <si>
    <t>MICROMINI FUSIBLE DE ACCION ULTRARRAPIDA 15MA 125V</t>
  </si>
  <si>
    <t>LITTELFUSE</t>
  </si>
  <si>
    <t>FAB-0453</t>
  </si>
  <si>
    <t>BOMBILLA MINIATURA 6V 4W</t>
  </si>
  <si>
    <t>BLICK</t>
  </si>
  <si>
    <t>FAB-0454</t>
  </si>
  <si>
    <t>BOMBILLA MINIATURA BA9S 12V 4W</t>
  </si>
  <si>
    <t>FAB-0455</t>
  </si>
  <si>
    <t xml:space="preserve">BOMBILLA DE BAYONETA </t>
  </si>
  <si>
    <t>FAB-0456</t>
  </si>
  <si>
    <t>BOMBILLA MINIATURA CON BASE TIPO CUÑA</t>
  </si>
  <si>
    <t>FAB-0457</t>
  </si>
  <si>
    <t>BOMBILLA INCANDESCENTE MINIATURA TIPO CUÑA</t>
  </si>
  <si>
    <t>FAB-0458</t>
  </si>
  <si>
    <t>CARCASA DE SENSOR OW-0200</t>
  </si>
  <si>
    <t>1526/4</t>
  </si>
  <si>
    <t>FAB-0459</t>
  </si>
  <si>
    <t>SELLO RADIAL COD:28687</t>
  </si>
  <si>
    <t>SKF</t>
  </si>
  <si>
    <t>E3-3</t>
  </si>
  <si>
    <t>FAB-0460</t>
  </si>
  <si>
    <t>SELLO RADIAL COD: 27370</t>
  </si>
  <si>
    <t>FAB-0461</t>
  </si>
  <si>
    <t>SEELO RADIAL COD: 33712</t>
  </si>
  <si>
    <t>FAB-0462</t>
  </si>
  <si>
    <t>RODAMIENTO DE RODILLO CILINDRICO DE UNA HILERA COD: NU215-E-XL-M1</t>
  </si>
  <si>
    <t>FAG</t>
  </si>
  <si>
    <t>FAB-0463</t>
  </si>
  <si>
    <t>RODAMIENTO DE RODILLO CILINDRICO DE UNA HILERA COD: NJ218-E-XL-M1A</t>
  </si>
  <si>
    <t>FAB-0464</t>
  </si>
  <si>
    <t>RODAMIENTO DE RODILLO CILINDRICO DE UNA HILERA COD: 29420-E1-XL</t>
  </si>
  <si>
    <t>FAB-0465</t>
  </si>
  <si>
    <t xml:space="preserve">TORNILLOS VARIOS </t>
  </si>
  <si>
    <t>FAB-0466</t>
  </si>
  <si>
    <t xml:space="preserve">TORNILLO 9MM ROSCA GRUESA </t>
  </si>
  <si>
    <t>FAB-0467</t>
  </si>
  <si>
    <t xml:space="preserve">TORNILLO 9MM ROSCA FINA </t>
  </si>
  <si>
    <t>FAB-0468</t>
  </si>
  <si>
    <t xml:space="preserve">TORNILLO 5,30MM ROSCA FINA </t>
  </si>
  <si>
    <t>FAB-0469</t>
  </si>
  <si>
    <t xml:space="preserve">TORNILLO CORTADO 8,3 MM ROSCA GRUESA </t>
  </si>
  <si>
    <t>FAB-0470</t>
  </si>
  <si>
    <t>TORNILLO 5,5MM CON CABEZA TIPO ALLEN</t>
  </si>
  <si>
    <t>FAB-0471</t>
  </si>
  <si>
    <t xml:space="preserve">TORNILLO 12,5MM CON TUERCA </t>
  </si>
  <si>
    <t>FAB-0472</t>
  </si>
  <si>
    <t xml:space="preserve">TORNILLO 9MMM EXTENDIDO ROSCA DE UN EXTREMO </t>
  </si>
  <si>
    <t>FAB-0473</t>
  </si>
  <si>
    <t xml:space="preserve">TORNILLO DE AFINACION 5MM </t>
  </si>
  <si>
    <t>FAB-0474</t>
  </si>
  <si>
    <t>TORNILLO 14MM ROSCA FINA ACERO INOXIDABLE</t>
  </si>
  <si>
    <t>FAB-0475</t>
  </si>
  <si>
    <t xml:space="preserve">TORNILLO 14MM ROSCA FINA ACERO AL CARBON </t>
  </si>
  <si>
    <t>FAB-0476</t>
  </si>
  <si>
    <t>TORNILLO 14MM ROSCA FINA DE HIERRO</t>
  </si>
  <si>
    <t>FAB-0477</t>
  </si>
  <si>
    <t>SOPORTE DE ROSCA INTERNA Y EXTERNA 2,55MM</t>
  </si>
  <si>
    <t>FAB-0478</t>
  </si>
  <si>
    <t xml:space="preserve">TIEWRAP DE MUESTRA </t>
  </si>
  <si>
    <t>IDENTIFICACION</t>
  </si>
  <si>
    <t>FAB-0479</t>
  </si>
  <si>
    <t>TRANSMISOR DE PRESION MODELO: SA200</t>
  </si>
  <si>
    <t>SMART-ALEK</t>
  </si>
  <si>
    <t>F1-1</t>
  </si>
  <si>
    <t>FAB-0480</t>
  </si>
  <si>
    <t xml:space="preserve">EMPACADURA 4" 600 </t>
  </si>
  <si>
    <t xml:space="preserve">FLEXITALICA </t>
  </si>
  <si>
    <t>F2-2</t>
  </si>
  <si>
    <t>FAB-0481</t>
  </si>
  <si>
    <t>EMPACADURA 3" 300</t>
  </si>
  <si>
    <t>FAB-0482</t>
  </si>
  <si>
    <t>FAB-0483</t>
  </si>
  <si>
    <t>EMPACADURA 10" 600</t>
  </si>
  <si>
    <t>FAB-0484</t>
  </si>
  <si>
    <t xml:space="preserve">EMPACADURA 6" 600 </t>
  </si>
  <si>
    <t>FAB-0485</t>
  </si>
  <si>
    <t>EMPACADURA 6" 900</t>
  </si>
  <si>
    <t>FAB-0486</t>
  </si>
  <si>
    <t>FAB-0487</t>
  </si>
  <si>
    <t>EMPACADURA 4" 150</t>
  </si>
  <si>
    <t>FAB-0488</t>
  </si>
  <si>
    <t>EMPACADURA 8" 150</t>
  </si>
  <si>
    <t>FAB-0489</t>
  </si>
  <si>
    <t>EMPACADURA 6" 300</t>
  </si>
  <si>
    <t>FAB-0490</t>
  </si>
  <si>
    <t>EMPACADURA 8" 300</t>
  </si>
  <si>
    <t>FAB-0491</t>
  </si>
  <si>
    <t>EMPACADURA 10" 300</t>
  </si>
  <si>
    <t>FAB-0492</t>
  </si>
  <si>
    <t>EMPACADURA 10" 150</t>
  </si>
  <si>
    <t>FAB-0493</t>
  </si>
  <si>
    <t>EMPACADURA 1" 1/2</t>
  </si>
  <si>
    <t>FAB-0494</t>
  </si>
  <si>
    <t>EMPACADURA 2" 150</t>
  </si>
  <si>
    <t>FAB-0495</t>
  </si>
  <si>
    <t xml:space="preserve"> EMPACADURA 2" 600</t>
  </si>
  <si>
    <t>FAB-0496</t>
  </si>
  <si>
    <t>EMPACADURA 1" 3/600</t>
  </si>
  <si>
    <t>FAB-0497</t>
  </si>
  <si>
    <t>EMPACADURA 1/2" 3/600</t>
  </si>
  <si>
    <t>FAB-0498</t>
  </si>
  <si>
    <t xml:space="preserve">REDUCCION BUSHING TIPO BOTELLA </t>
  </si>
  <si>
    <t>F2-1</t>
  </si>
  <si>
    <t>FAB-0499</t>
  </si>
  <si>
    <t xml:space="preserve">VALVULA DE RETENCION 1 1/2" - 800 </t>
  </si>
  <si>
    <t>FAB-0500</t>
  </si>
  <si>
    <t xml:space="preserve">REDUCCION DE ACERO AL CARBON 2" X 3" </t>
  </si>
  <si>
    <t>FAB-0501</t>
  </si>
  <si>
    <t>REDUCCION DE ACERO AL CARBON 16-10 X 3"</t>
  </si>
  <si>
    <t>FAB-0502</t>
  </si>
  <si>
    <t xml:space="preserve">REDUCCION DE ACERO AL CARBON 4" X 2"  </t>
  </si>
  <si>
    <t>FAB-0503</t>
  </si>
  <si>
    <t xml:space="preserve">REDUCCION DE ACERO AL CARBON 3" X 2"  </t>
  </si>
  <si>
    <t>FAB-0504</t>
  </si>
  <si>
    <t>TEE DE ACERO AL CARBON 2"</t>
  </si>
  <si>
    <t>FAB-0505</t>
  </si>
  <si>
    <t xml:space="preserve">ESPACIADOR PARA OW </t>
  </si>
  <si>
    <t>FAB-0506</t>
  </si>
  <si>
    <t xml:space="preserve">SELLO CONDUCTOR VERTICAL HORIZONTAL 2" </t>
  </si>
  <si>
    <t>FAB-0507</t>
  </si>
  <si>
    <t xml:space="preserve">CAJETIN DE 2 ENTRADAS 1" TIPO L </t>
  </si>
  <si>
    <t>F3-2</t>
  </si>
  <si>
    <t>FAB-0508</t>
  </si>
  <si>
    <t xml:space="preserve">CAJETIN 3  ENTRADAS TIPO T  </t>
  </si>
  <si>
    <t>F3-1</t>
  </si>
  <si>
    <t>FAB-0509</t>
  </si>
  <si>
    <t xml:space="preserve">CAJETIN TIPO LB </t>
  </si>
  <si>
    <t>FAB-0510</t>
  </si>
  <si>
    <t xml:space="preserve">CAJETIN TIPO T 1 1/2" </t>
  </si>
  <si>
    <t>FAB-0511</t>
  </si>
  <si>
    <t xml:space="preserve">CAJETIN TIPO T 1/2" </t>
  </si>
  <si>
    <t>FAB-0512</t>
  </si>
  <si>
    <t xml:space="preserve">CAJETIN HORIZONTAL 2 ENTRADAS TIPO C 1/2" </t>
  </si>
  <si>
    <t>FAB-0513</t>
  </si>
  <si>
    <t xml:space="preserve">CAJETIN METALICO HEXAGONAL </t>
  </si>
  <si>
    <t>FAB-0514</t>
  </si>
  <si>
    <t xml:space="preserve">CAJETIN METALICO RECTANGULAR </t>
  </si>
  <si>
    <t>FAB-0515</t>
  </si>
  <si>
    <t xml:space="preserve">CAJETIN 1" TIPO LR  </t>
  </si>
  <si>
    <t>FAB-0516</t>
  </si>
  <si>
    <t xml:space="preserve">CAJETIN LINEAL 2" </t>
  </si>
  <si>
    <t>FAB-0517</t>
  </si>
  <si>
    <t>ANILLO DE EMPALME 1/2"</t>
  </si>
  <si>
    <t>FAB-0518</t>
  </si>
  <si>
    <t>CONECTOR ELECTRICO 1"</t>
  </si>
  <si>
    <t>FAB-0519</t>
  </si>
  <si>
    <t>CONECTOR ELECTRICO 3/4"</t>
  </si>
  <si>
    <t>FAB-0520</t>
  </si>
  <si>
    <t>CONECTOR ELECTRICO 2"</t>
  </si>
  <si>
    <t>FAB-0521</t>
  </si>
  <si>
    <t>ANILLO GALVANIZADO 2"</t>
  </si>
  <si>
    <t>FAB-0522</t>
  </si>
  <si>
    <t>ANILLO GALVANIZADO DE 1" - 3/4"</t>
  </si>
  <si>
    <t>FAB-0523</t>
  </si>
  <si>
    <t>NIPLE COMNBINADO 1/2"</t>
  </si>
  <si>
    <t>FAB-0524</t>
  </si>
  <si>
    <t>ANILLO GALVANIZADO DE 1" - 1/8"</t>
  </si>
  <si>
    <t>FAB-0525</t>
  </si>
  <si>
    <t>CAJETIN TIPO L E 2"</t>
  </si>
  <si>
    <t>FAB-0526</t>
  </si>
  <si>
    <t>AISLADOR DE CERAMICA CON TORNILLOS</t>
  </si>
  <si>
    <t>FAB-0527</t>
  </si>
  <si>
    <t xml:space="preserve">ARNES DE SEGURIDAD </t>
  </si>
  <si>
    <t>FAB-0528</t>
  </si>
  <si>
    <t xml:space="preserve">GANCHO DE SEGURIDAD PARA ARNES </t>
  </si>
  <si>
    <t>ELE-0007</t>
  </si>
  <si>
    <t xml:space="preserve">PANEL SOLAR 40-W </t>
  </si>
  <si>
    <t>DA-1</t>
  </si>
  <si>
    <t>ELE-0008</t>
  </si>
  <si>
    <t>ESTACION DE PODER PORTATIL MODELO: HP500</t>
  </si>
  <si>
    <t>ELE-0009</t>
  </si>
  <si>
    <t xml:space="preserve">MICROFONO </t>
  </si>
  <si>
    <t>UNIXON</t>
  </si>
  <si>
    <t>ELE-0010</t>
  </si>
  <si>
    <t xml:space="preserve">PROYECTOR DE VIDEO </t>
  </si>
  <si>
    <t>INFOCUS</t>
  </si>
  <si>
    <t>3GW94800229</t>
  </si>
  <si>
    <t>ELE-0011</t>
  </si>
  <si>
    <t xml:space="preserve">REGULADOR DE VOLTAJE ELECTRICO 115VAC 8 PUERTOS </t>
  </si>
  <si>
    <t>TECAM</t>
  </si>
  <si>
    <t>WZ4125216411</t>
  </si>
  <si>
    <t>ELE-0012</t>
  </si>
  <si>
    <t>UNIDAD DE DISTRIBUCION DE ENERGIA MODELO: LP-RU70-107PDU</t>
  </si>
  <si>
    <t>CON-0091</t>
  </si>
  <si>
    <t>BALON DE KICKINGBALL</t>
  </si>
  <si>
    <t xml:space="preserve">TAMANACO </t>
  </si>
  <si>
    <t>A4</t>
  </si>
  <si>
    <t>CON-0092</t>
  </si>
  <si>
    <t xml:space="preserve">MAC GREGOR </t>
  </si>
  <si>
    <t>CON-0093</t>
  </si>
  <si>
    <t>JOGGER</t>
  </si>
  <si>
    <t>CON-0094</t>
  </si>
  <si>
    <t xml:space="preserve">BALON DE VOLEYBALL </t>
  </si>
  <si>
    <t>CON-0095</t>
  </si>
  <si>
    <t xml:space="preserve">POINT REGENT </t>
  </si>
  <si>
    <t>CON-0096</t>
  </si>
  <si>
    <t xml:space="preserve">JENGA MINI </t>
  </si>
  <si>
    <t>CON-0097</t>
  </si>
  <si>
    <t xml:space="preserve">CARTAS DE NAIPES </t>
  </si>
  <si>
    <t xml:space="preserve">FOURNIER </t>
  </si>
  <si>
    <t>CON-0098</t>
  </si>
  <si>
    <t xml:space="preserve">CARTAS DE UNO </t>
  </si>
  <si>
    <t>CON-0099</t>
  </si>
  <si>
    <t xml:space="preserve">RAQUETA DE PING PONG </t>
  </si>
  <si>
    <t>VICTORY</t>
  </si>
  <si>
    <t>CON-0100</t>
  </si>
  <si>
    <t xml:space="preserve">MALLA DE PING PONG </t>
  </si>
  <si>
    <t>CON-0101</t>
  </si>
  <si>
    <t xml:space="preserve">BINGO 100 CARTONES </t>
  </si>
  <si>
    <t>CON-0102</t>
  </si>
  <si>
    <t xml:space="preserve">BOLAS CRIOLLAS </t>
  </si>
  <si>
    <t>FABOCCA</t>
  </si>
  <si>
    <t>CON-0103</t>
  </si>
  <si>
    <t>PROTECTOR DE INGLE</t>
  </si>
  <si>
    <t>CON-0104</t>
  </si>
  <si>
    <t>CARPETA BLANCA 3 AROS 3"</t>
  </si>
  <si>
    <t>ESFER</t>
  </si>
  <si>
    <t xml:space="preserve">PAPELERIA </t>
  </si>
  <si>
    <t>B2</t>
  </si>
  <si>
    <t>CON-0105</t>
  </si>
  <si>
    <t>CARPETA BLANCA 3 AROS 2"</t>
  </si>
  <si>
    <t>CON-0106</t>
  </si>
  <si>
    <t>CARPETA BLANCA 3 AROS 1-1/2"</t>
  </si>
  <si>
    <t>CON-0107</t>
  </si>
  <si>
    <t>CARPETA BLANCA 3 AROS 1"</t>
  </si>
  <si>
    <t>CON-0108</t>
  </si>
  <si>
    <t>CARPETA NEGRA TIPO CARTA</t>
  </si>
  <si>
    <t>KAISER</t>
  </si>
  <si>
    <t>B5</t>
  </si>
  <si>
    <t xml:space="preserve">FINANZAS </t>
  </si>
  <si>
    <t>CON-0109</t>
  </si>
  <si>
    <t>TONER NEGRO CE314A</t>
  </si>
  <si>
    <t xml:space="preserve">STAMPRINT </t>
  </si>
  <si>
    <t>C1</t>
  </si>
  <si>
    <t>CON-0110</t>
  </si>
  <si>
    <t>TONER NEGRO 53A</t>
  </si>
  <si>
    <t>CON-0111</t>
  </si>
  <si>
    <t xml:space="preserve">TONER NEGRO 35A </t>
  </si>
  <si>
    <t>CON-0112</t>
  </si>
  <si>
    <t>TONER YELLOW 201A/202A/045/054</t>
  </si>
  <si>
    <t xml:space="preserve">MAXIPRINT </t>
  </si>
  <si>
    <t>CON-0113</t>
  </si>
  <si>
    <t>TONER MAGENTA 201A/202A/045/054</t>
  </si>
  <si>
    <t>CON-0114</t>
  </si>
  <si>
    <t>TONER MAGENTA CF503A/202</t>
  </si>
  <si>
    <t xml:space="preserve">PRINTLINE </t>
  </si>
  <si>
    <t>CON-0115</t>
  </si>
  <si>
    <t>TONER YELOW CF502A.202</t>
  </si>
  <si>
    <t>CON-0116</t>
  </si>
  <si>
    <t>TONER BLACK CF500A.CRG054</t>
  </si>
  <si>
    <t>CON-0117</t>
  </si>
  <si>
    <t xml:space="preserve">CARTUCHO DE TINTA MAGENTA 920 XL </t>
  </si>
  <si>
    <t>CON-0118</t>
  </si>
  <si>
    <t xml:space="preserve">CARTUCHO DE TINTA CIAN 920 XL </t>
  </si>
  <si>
    <t>CON-0119</t>
  </si>
  <si>
    <t xml:space="preserve">CARTUCHO DE TINTA YELLOW 920 XL </t>
  </si>
  <si>
    <t>CON-0120</t>
  </si>
  <si>
    <t xml:space="preserve">CARTUCHO DE TINTA BLACK 920 XL </t>
  </si>
  <si>
    <t>CON-0121</t>
  </si>
  <si>
    <t>CARTUCHO DE TINTA TRICOLOR 122</t>
  </si>
  <si>
    <t>CON-0122</t>
  </si>
  <si>
    <t>CARTUCHO DE TINTA TRICOLOR 22</t>
  </si>
  <si>
    <t>CON-0123</t>
  </si>
  <si>
    <t>CARTUCHO DE TINTA BLACK 122</t>
  </si>
  <si>
    <t>CON-0124</t>
  </si>
  <si>
    <t>CARTUCHO DE TINTA MAGENTA 81N</t>
  </si>
  <si>
    <t>CON-0125</t>
  </si>
  <si>
    <t>CON-0126</t>
  </si>
  <si>
    <t>CARTUCHO DE TINTA MAGENTA 195-I</t>
  </si>
  <si>
    <t>CON-0127</t>
  </si>
  <si>
    <t>CARTUCHO DE TINTA BLACK 195-I</t>
  </si>
  <si>
    <t>CON-0128</t>
  </si>
  <si>
    <t>CARTUCHO DE TINTA CYAN 195-I</t>
  </si>
  <si>
    <t>CON-0129</t>
  </si>
  <si>
    <t>CARTUCHO DE TINTA YELLOW 195-I</t>
  </si>
  <si>
    <t>CON-0130</t>
  </si>
  <si>
    <t>CARTUCHO DE TINTA BLACK 21</t>
  </si>
  <si>
    <t>PRINTON</t>
  </si>
  <si>
    <t>CON-0131</t>
  </si>
  <si>
    <t>CON-0132</t>
  </si>
  <si>
    <t xml:space="preserve">CARTUCHO DE TINTA LIGHT MAGENTA </t>
  </si>
  <si>
    <t>CON-0133</t>
  </si>
  <si>
    <t>CARTUCHO DE TINTA CYAN</t>
  </si>
  <si>
    <t>CON-0134</t>
  </si>
  <si>
    <t xml:space="preserve">TINTA COLOR BLACK </t>
  </si>
  <si>
    <t xml:space="preserve">UV INK </t>
  </si>
  <si>
    <t>CON-0135</t>
  </si>
  <si>
    <t xml:space="preserve">TINTA COLOR YELLOW </t>
  </si>
  <si>
    <t>CON-0136</t>
  </si>
  <si>
    <t xml:space="preserve">TINTA COLOR MAGENTA </t>
  </si>
  <si>
    <t>CON-0137</t>
  </si>
  <si>
    <t xml:space="preserve">TINTA COLOR CYAN </t>
  </si>
  <si>
    <t>CON-0138</t>
  </si>
  <si>
    <t>TINTA COLOR CYAN T6642</t>
  </si>
  <si>
    <t>VENSPEED</t>
  </si>
  <si>
    <t>CON-0139</t>
  </si>
  <si>
    <t>TINTA COLOR MAGENTA T6643</t>
  </si>
  <si>
    <t>CON-0140</t>
  </si>
  <si>
    <t>TINTA COLOR YELLOW T6644</t>
  </si>
  <si>
    <t>CON-0141</t>
  </si>
  <si>
    <t xml:space="preserve">EPSON </t>
  </si>
  <si>
    <t>CON-0142</t>
  </si>
  <si>
    <t>CON-0143</t>
  </si>
  <si>
    <t xml:space="preserve">BULK INK </t>
  </si>
  <si>
    <t>CON-0144</t>
  </si>
  <si>
    <t>CON-0145</t>
  </si>
  <si>
    <t>CON-0146</t>
  </si>
  <si>
    <t xml:space="preserve">TINTA COLOR LIGHT CYAN </t>
  </si>
  <si>
    <t>CON-0147</t>
  </si>
  <si>
    <t>TINTA COLOR MAGENTA</t>
  </si>
  <si>
    <t xml:space="preserve">PRINTON </t>
  </si>
  <si>
    <t>CON-0148</t>
  </si>
  <si>
    <t>CON-0149</t>
  </si>
  <si>
    <t xml:space="preserve">TINTA COLOR LIGHT MAGENTA </t>
  </si>
  <si>
    <t>CON-0150</t>
  </si>
  <si>
    <t xml:space="preserve">TINTA DE RECAMBIO MAGENTA 504 </t>
  </si>
  <si>
    <t>CON-0151</t>
  </si>
  <si>
    <t xml:space="preserve">TINTA DE RECAMBIO YELLOW 504 </t>
  </si>
  <si>
    <t>CON-0152</t>
  </si>
  <si>
    <t xml:space="preserve">TINTA DE RECAMBIO CYAN 504 </t>
  </si>
  <si>
    <t>CON-0153</t>
  </si>
  <si>
    <t xml:space="preserve">TINTA DE RECAMBIO BLACK 504 </t>
  </si>
  <si>
    <t>CON-0154</t>
  </si>
  <si>
    <t>BATERIA 9V</t>
  </si>
  <si>
    <t xml:space="preserve">LUMISTAR </t>
  </si>
  <si>
    <t>PILAS</t>
  </si>
  <si>
    <t>CON-0155</t>
  </si>
  <si>
    <t xml:space="preserve">BATERIA 9V </t>
  </si>
  <si>
    <t>EBL</t>
  </si>
  <si>
    <t>CON-0156</t>
  </si>
  <si>
    <t>PILA TAMAÑO D 13A - 1.5V</t>
  </si>
  <si>
    <t xml:space="preserve">GP </t>
  </si>
  <si>
    <t>CON-0157</t>
  </si>
  <si>
    <t xml:space="preserve">PILA MN27 27A - 12V </t>
  </si>
  <si>
    <t>CON-0158</t>
  </si>
  <si>
    <t>BATERIA DE LITHIUM 220MAH / 3V</t>
  </si>
  <si>
    <t>CON-0159</t>
  </si>
  <si>
    <t>BATERIA DE IONES DE LITIO PARA DELL VOSTRO 1310</t>
  </si>
  <si>
    <t>EN-20260227-091417</t>
  </si>
  <si>
    <t>FAB-0529</t>
  </si>
  <si>
    <t>CCC</t>
  </si>
  <si>
    <t>MAQUINA ROTATIVA</t>
  </si>
  <si>
    <t>FAB-0530</t>
  </si>
  <si>
    <t>MAQUINA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</si>
</sst>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9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ont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2" xfId="0" applyFont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/>
    </xf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14" fontId="0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Border="1" applyAlignment="1">
      <alignment horizontal="left"/>
    </xf>
    <xf numFmtId="0" fontId="0" fillId="0" borderId="5" xfId="0" applyNumberFormat="1" applyFont="1" applyBorder="1" applyAlignment="1">
      <alignment horizontal="left" vertical="top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/>
    <xf numFmtId="11" fontId="0" fillId="0" borderId="0" xfId="0" applyNumberFormat="1" applyFont="1" applyAlignment="1"/>
    <xf numFmtId="11" fontId="0" fillId="0" borderId="5" xfId="0" applyNumberFormat="1" applyFont="1" applyFill="1" applyBorder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left"/>
    </xf>
    <xf numFmtId="0" fontId="0" fillId="0" borderId="7" xfId="0" applyNumberFormat="1" applyFont="1" applyBorder="1" applyAlignment="1">
      <alignment horizontal="left" vertical="top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 vertical="center"/>
    </xf>
    <xf numFmtId="14" fontId="0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75">
    <dxf>
      <numFmt numFmtId="165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64" formatCode="mmmm"/>
      <alignment horizontal="center" textRotation="0" indent="0" justifyLastLine="0" shrinkToFit="0" readingOrder="0"/>
    </dxf>
    <dxf>
      <numFmt numFmtId="165" formatCode="m/d/yyyy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ENTRADA-style" pivot="0" count="3" xr9:uid="{00000000-0011-0000-FFFF-FFFF00000000}">
      <tableStyleElement type="headerRow" dxfId="74"/>
      <tableStyleElement type="firstRowStripe" dxfId="73"/>
      <tableStyleElement type="secondRowStripe" dxfId="72"/>
    </tableStyle>
    <tableStyle name="SALIDA-style" pivot="0" count="3" xr9:uid="{00000000-0011-0000-FFFF-FFFF01000000}">
      <tableStyleElement type="headerRow" dxfId="71"/>
      <tableStyleElement type="firstRowStripe" dxfId="70"/>
      <tableStyleElement type="secondRowStrip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D0606-5015-4FF3-AD1C-AF003DDA5630}" name="TablaINVENTARIO" displayName="TablaINVENTARIO" ref="A1:O1457" totalsRowShown="0" headerRowDxfId="68" dataDxfId="66" headerRowBorderDxfId="67" tableBorderDxfId="65" totalsRowBorderDxfId="64">
  <autoFilter ref="A1:O1457" xr:uid="{C26D0606-5015-4FF3-AD1C-AF003DDA5630}"/>
  <tableColumns count="15">
    <tableColumn id="1" xr3:uid="{F9FB30EF-4EDE-4360-AA30-A437CF0896E9}" name="FECHA INGRESO" dataDxfId="63"/>
    <tableColumn id="2" xr3:uid="{D42BF16D-B90D-4CA4-9B5B-1AC5E23F5B62}" name="COD INGRESO" dataDxfId="62"/>
    <tableColumn id="3" xr3:uid="{F2F2B90D-E3F7-4672-8F14-E9E78CA024AF}" name="SKU" dataDxfId="61"/>
    <tableColumn id="4" xr3:uid="{17C958F1-BBBD-4FDC-879F-AA66A95AD260}" name="DESCRIPCION" dataDxfId="60"/>
    <tableColumn id="5" xr3:uid="{56C3C41F-5101-4A63-BAC7-0F4CFDBB1D04}" name="MARCA" dataDxfId="59"/>
    <tableColumn id="6" xr3:uid="{0BDBF19C-B640-4C95-96E5-98C5861D1DF7}" name="CATEGORIA" dataDxfId="58"/>
    <tableColumn id="7" xr3:uid="{9569F31C-5361-4D9D-BAA1-A84872991F67}" name="SUBCATEGORIA" dataDxfId="57"/>
    <tableColumn id="8" xr3:uid="{50A0586E-166E-439F-A3FD-BBA2BFFDAC0D}" name="SERIAL" dataDxfId="56"/>
    <tableColumn id="9" xr3:uid="{B22CBDA8-BB96-4639-97D0-32F6B7EC35B2}" name="ESTADO" dataDxfId="55"/>
    <tableColumn id="10" xr3:uid="{DEECDF66-260B-46CC-BC04-F1E6879185AA}" name="MEDIDA" dataDxfId="54"/>
    <tableColumn id="11" xr3:uid="{B2A1E40B-6C2E-426F-8C15-3AD5E4342D17}" name="UBICACION" dataDxfId="53"/>
    <tableColumn id="12" xr3:uid="{021BE43B-3FDE-4AF8-A735-14933483E5C1}" name="DPTO RESPONSABLE" dataDxfId="52"/>
    <tableColumn id="13" xr3:uid="{F0B68DD3-F6B1-4787-A988-1FFE46B27D04}" name="RANGO MIN" dataDxfId="51"/>
    <tableColumn id="14" xr3:uid="{EF1E5AE4-DE39-48AC-A334-25D5B30018DC}" name="PRECIO" dataDxfId="50"/>
    <tableColumn id="15" xr3:uid="{A8FB1BBA-1CE1-4120-9826-C62C0BE2B15C}" name="ALMACEN" dataDxfId="4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F2C52-81D5-4994-830B-26EEF0B57250}" name="TablaENTRADA" displayName="TablaENTRADA" ref="A1:U1457" totalsRowShown="0" headerRowDxfId="48">
  <autoFilter ref="A1:U1457" xr:uid="{681F2C52-81D5-4994-830B-26EEF0B57250}"/>
  <tableColumns count="21">
    <tableColumn id="1" xr3:uid="{49CCCCF0-9CE5-4B4B-948C-F60A83504259}" name="N° CONTROL"/>
    <tableColumn id="2" xr3:uid="{8837B85A-5116-4D2D-887C-D9AAC4E49F2B}" name="FECHA" dataDxfId="47"/>
    <tableColumn id="3" xr3:uid="{B87D3F84-38C8-4A94-9FD8-ABD05AAEB185}" name="MES" dataDxfId="46">
      <calculatedColumnFormula>TablaENTRADA[[#This Row],[FECHA]]</calculatedColumnFormula>
    </tableColumn>
    <tableColumn id="4" xr3:uid="{9B4F0474-23C2-4C54-BECD-D7012CC5296F}" name="N°  DE SOLICITUD"/>
    <tableColumn id="5" xr3:uid="{9513EAF4-C217-485E-91A2-86EC5AE9C83B}" name="ORDEN DE COMPRA"/>
    <tableColumn id="6" xr3:uid="{325CB121-DB1D-4725-82A2-A156DE242EAD}" name="F/N/I"/>
    <tableColumn id="7" xr3:uid="{00085A57-1EFB-46E3-AADF-7EED212085CE}" name="N° "/>
    <tableColumn id="8" xr3:uid="{469A6EB4-84AF-41FF-B71E-E4FA25BFB1F7}" name="PROVEEDOR"/>
    <tableColumn id="9" xr3:uid="{ADAC4A86-87FB-4704-AFD2-B7B795DA57B0}" name="SKU"/>
    <tableColumn id="10" xr3:uid="{A430ED67-5179-4D13-ADBC-59C304553CC0}" name="DESCRIPCION"/>
    <tableColumn id="11" xr3:uid="{608B0F1E-DEB8-492D-8AD6-2CFD300B299C}" name="MARCA"/>
    <tableColumn id="12" xr3:uid="{AE9EC4CA-09CE-4B9E-8C4D-32347EA1C197}" name="CATEGORIA"/>
    <tableColumn id="13" xr3:uid="{2303D590-460B-47A5-B66A-62A5DCF99DBD}" name="SUBCAT"/>
    <tableColumn id="14" xr3:uid="{BE5571FA-257D-4614-946D-1FCC19C250DA}" name="SERIAL"/>
    <tableColumn id="15" xr3:uid="{B09665A5-7D70-46A9-8DAE-5FD039F62320}" name="ESTADO"/>
    <tableColumn id="16" xr3:uid="{1BC3EFEC-EEB6-4BB4-900D-EC4434B1B9DF}" name="MEDIDA"/>
    <tableColumn id="17" xr3:uid="{AF133CF8-1FCA-475B-99C0-93241E160356}" name="CANT"/>
    <tableColumn id="19" xr3:uid="{1A296BC0-719F-4EC9-BF03-D7728F63E0AF}" name="UBICACION"/>
    <tableColumn id="20" xr3:uid="{4C3E5EE1-924A-4941-ACDA-84DC441BBFEE}" name="DPTO RESPONSIBLE"/>
    <tableColumn id="18" xr3:uid="{006CC17B-F542-4EA4-9B59-20992B80171E}" name="PRECIO" dataDxfId="45"/>
    <tableColumn id="21" xr3:uid="{3C684FA3-D6E2-43D6-B349-2E459A22C2B1}" name="COMENTARIO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9DB75-E1DF-40C3-9B08-D0657B61DFFB}" name="TablaSALIDA" displayName="TablaSALIDA" ref="A1:R2" totalsRowShown="0" headerRowDxfId="44" dataDxfId="43">
  <autoFilter ref="A1:R2" xr:uid="{4619DB75-E1DF-40C3-9B08-D0657B61DFFB}"/>
  <tableColumns count="18">
    <tableColumn id="1" xr3:uid="{75350F03-7EA0-4663-86C8-36FD77AE480E}" name="N° CONTROL" dataDxfId="42"/>
    <tableColumn id="2" xr3:uid="{614F6F1B-E365-4E13-98B2-7844BF7F9E4B}" name="FECHA" dataDxfId="41"/>
    <tableColumn id="3" xr3:uid="{D13F7292-465F-49E4-9B60-11FE043CA4DC}" name="MES" dataDxfId="40"/>
    <tableColumn id="4" xr3:uid="{4B63C632-E761-4117-A15A-1D8AFE35DE26}" name="RESPONSABLE" dataDxfId="39"/>
    <tableColumn id="5" xr3:uid="{FDD13BF0-D21B-4B45-8349-D1DC851B712F}" name="AREA/DPTO" dataDxfId="38"/>
    <tableColumn id="6" xr3:uid="{1CCB6AC2-EBCC-4DF8-9D30-3D35FE25C0F5}" name="QUIEN ENTREGA" dataDxfId="37"/>
    <tableColumn id="7" xr3:uid="{0FC70B2E-6020-415D-9185-001BF47AB50D}" name="SKU" dataDxfId="36"/>
    <tableColumn id="8" xr3:uid="{7FA461BE-F7C5-4D54-A0EF-5A88D5534937}" name="DESCRIPCION" dataDxfId="35"/>
    <tableColumn id="9" xr3:uid="{FCF30B11-119B-4400-B31E-BD32CCE09B4A}" name="MARCA" dataDxfId="34"/>
    <tableColumn id="10" xr3:uid="{CD3526CB-0F75-4C35-BE24-B51E847B3637}" name="CATEGORIA" dataDxfId="33"/>
    <tableColumn id="11" xr3:uid="{321BB121-EF3F-4C4E-A5F0-79FBC8F394FF}" name="SUBCAT" dataDxfId="32"/>
    <tableColumn id="12" xr3:uid="{6FE86D63-74F2-43EB-900E-8F1244C9124B}" name="SERIAL" dataDxfId="31"/>
    <tableColumn id="13" xr3:uid="{26C97967-311B-4923-9B5B-7D3967F3B5C5}" name="ESTADO" dataDxfId="30"/>
    <tableColumn id="14" xr3:uid="{F8C3AEEC-4267-4D3B-93B8-9BA097EB9BC8}" name="MEDIDA" dataDxfId="29"/>
    <tableColumn id="15" xr3:uid="{7AD5D7D6-5827-4477-B447-9FC3073BBDEA}" name="CANT" dataDxfId="28"/>
    <tableColumn id="17" xr3:uid="{2342343F-33B0-4758-B7C0-6F023431D64C}" name="UBICACION" dataDxfId="27"/>
    <tableColumn id="18" xr3:uid="{DCF7EEE5-7B85-4226-BD8F-901EDB7C2C6C}" name="RETORNA" dataDxfId="26"/>
    <tableColumn id="19" xr3:uid="{7431C4B0-FAFA-4377-B2D8-B4E9F5464BB8}" name="OBSERVACIONES" dataDxfId="25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5987A9-07F5-40E4-B4C0-5114C7527FA3}" name="TablaSTOCKINV" displayName="TablaSTOCKINV" ref="A1:U1457" totalsRowShown="0" headerRowDxfId="24" headerRowBorderDxfId="23" tableBorderDxfId="22" totalsRowBorderDxfId="21">
  <autoFilter ref="A1:U1457" xr:uid="{B35987A9-07F5-40E4-B4C0-5114C7527FA3}"/>
  <tableColumns count="21">
    <tableColumn id="1" xr3:uid="{0C3ACC47-24D3-4AC0-86D7-463951CAEDC6}" name="SKU" dataDxfId="20"/>
    <tableColumn id="2" xr3:uid="{E2E348B2-3C21-4E82-9601-B7DEBBF99750}" name="PRODUCTO" dataDxfId="19">
      <calculatedColumnFormula>_xlfn.XLOOKUP(TablaSTOCKINV[[#This Row],[SKU]],TablaINVENTARIO[SKU],TablaINVENTARIO[DESCRIPCION])</calculatedColumnFormula>
    </tableColumn>
    <tableColumn id="3" xr3:uid="{B27C4358-298D-46BE-BEE5-69312D04A876}" name="MARCA" dataDxfId="18">
      <calculatedColumnFormula>_xlfn.XLOOKUP(TablaSTOCKINV[[#This Row],[SKU]],TablaINVENTARIO[SKU],TablaINVENTARIO[MARCA])</calculatedColumnFormula>
    </tableColumn>
    <tableColumn id="4" xr3:uid="{41C2BF82-F102-4360-BF63-F50FAA77C691}" name="CATEGORIA" dataDxfId="17">
      <calculatedColumnFormula>_xlfn.XLOOKUP(TablaSTOCKINV[[#This Row],[SKU]],TablaINVENTARIO[SKU],TablaINVENTARIO[CATEGORIA])</calculatedColumnFormula>
    </tableColumn>
    <tableColumn id="5" xr3:uid="{C8FCB7F4-E1E0-4C35-A69F-864E01EB19A2}" name="SUBCATG" dataDxfId="16">
      <calculatedColumnFormula>_xlfn.XLOOKUP(TablaSTOCKINV[[#This Row],[SKU]],TablaINVENTARIO[SKU],TablaINVENTARIO[SUBCATEGORIA])</calculatedColumnFormula>
    </tableColumn>
    <tableColumn id="6" xr3:uid="{BC39695A-8505-42DA-9977-487F24670C7A}" name="ESTADO" dataDxfId="15">
      <calculatedColumnFormula>_xlfn.XLOOKUP(TablaSTOCKINV[[#This Row],[SKU]],TablaINVENTARIO[SKU],TablaINVENTARIO[ESTADO])</calculatedColumnFormula>
    </tableColumn>
    <tableColumn id="7" xr3:uid="{10AAE8F7-362B-4A13-B245-33289DF77182}" name="MEDIDA" dataDxfId="14">
      <calculatedColumnFormula>_xlfn.XLOOKUP(TablaSTOCKINV[[#This Row],[SKU]],TablaINVENTARIO[SKU],TablaINVENTARIO[MEDIDA])</calculatedColumnFormula>
    </tableColumn>
    <tableColumn id="8" xr3:uid="{84984FB2-B1B6-4ED2-9A83-0AE716ADB8F6}" name="SERIAL" dataDxfId="13">
      <calculatedColumnFormula>_xlfn.XLOOKUP(TablaSTOCKINV[[#This Row],[SKU]],TablaINVENTARIO[SKU],TablaINVENTARIO[SERIAL])</calculatedColumnFormula>
    </tableColumn>
    <tableColumn id="9" xr3:uid="{625E73A3-1456-4A40-BDD5-35DBD2BF065D}" name="ALMACEN " dataDxfId="12">
      <calculatedColumnFormula>_xlfn.XLOOKUP(TablaSTOCKINV[[#This Row],[SKU]],TablaINVENTARIO[SKU],TablaINVENTARIO[ALMACEN])</calculatedColumnFormula>
    </tableColumn>
    <tableColumn id="10" xr3:uid="{32CC1630-9C43-4871-B89B-595DC7EE9C99}" name="UBICACION" dataDxfId="11">
      <calculatedColumnFormula>_xlfn.XLOOKUP(TablaSTOCKINV[[#This Row],[SKU]],TablaINVENTARIO[SKU],TablaINVENTARIO[UBICACION])</calculatedColumnFormula>
    </tableColumn>
    <tableColumn id="11" xr3:uid="{72273771-5732-4293-938F-C8B91CB368C2}" name="DPTO RESPONSABLE" dataDxfId="10">
      <calculatedColumnFormula>_xlfn.XLOOKUP(TablaSTOCKINV[[#This Row],[SKU]],TablaINVENTARIO[SKU],TablaINVENTARIO[DPTO RESPONSABLE])</calculatedColumnFormula>
    </tableColumn>
    <tableColumn id="21" xr3:uid="{309DD095-1FF7-4EEF-93B2-7F94662171DC}" name="MIN" dataDxfId="9">
      <calculatedColumnFormula>_xlfn.XLOOKUP(TablaSTOCKINV[[#This Row],[SKU]],TablaINVENTARIO[SKU],TablaINVENTARIO[RANGO MIN])</calculatedColumnFormula>
    </tableColumn>
    <tableColumn id="12" xr3:uid="{DB7D4E17-9360-4C02-93ED-54B540989B69}" name="STATUS (1,2.3)" dataDxfId="8">
      <calculatedColumnFormula array="1">_xlfn.IFS(TablaSTOCKINV[[#This Row],[CANT. TOTAL]]&lt;=0,1,TablaSTOCKINV[[#This Row],[CANT. TOTAL]]&lt;=TablaSTOCKINV[[#This Row],[MIN]],2,TablaSTOCKINV[[#This Row],[CANT. TOTAL]]&gt;TablaSTOCKINV[[#This Row],[MIN]],3)</calculatedColumnFormula>
    </tableColumn>
    <tableColumn id="13" xr3:uid="{9AFD97C8-0F32-4F7A-91E5-121C7660EBCB}" name="CANT. TOTAL" dataDxfId="7">
      <calculatedColumnFormula>TablaSTOCKINV[[#This Row],[ENTRADAS]]-TablaSTOCKINV[[#This Row],[SALIDAS]]</calculatedColumnFormula>
    </tableColumn>
    <tableColumn id="14" xr3:uid="{D4100010-1949-4D92-9B85-7B651D06A79A}" name="ENTRADAS" dataDxfId="6">
      <calculatedColumnFormula>SUMIFS(TablaENTRADA[CANT],TablaENTRADA[SKU],TablaSTOCKINV[[#This Row],[SKU]])</calculatedColumnFormula>
    </tableColumn>
    <tableColumn id="15" xr3:uid="{229EE744-FBFA-4CAF-8EF0-C13A2485BF0F}" name="SALIDAS" dataDxfId="5">
      <calculatedColumnFormula>SUMIFS(TablaSALIDA[CANT],TablaSALIDA[SKU],TablaSTOCKINV[[#This Row],[SKU]])</calculatedColumnFormula>
    </tableColumn>
    <tableColumn id="16" xr3:uid="{B88CCBC3-7395-435F-B382-74BB3A04F985}" name="P.UNITARIO" dataDxfId="4">
      <calculatedColumnFormula>_xlfn.XLOOKUP(TablaSTOCKINV[[#This Row],[SKU]],TablaINVENTARIO[SKU],TablaINVENTARIO[PRECIO])</calculatedColumnFormula>
    </tableColumn>
    <tableColumn id="17" xr3:uid="{F0882495-082A-4A68-8D47-D3B2E36BB358}" name="P.TOTAL" dataDxfId="3">
      <calculatedColumnFormula>TablaSTOCKINV[[#This Row],[P.UNITARIO]]*TablaSTOCKINV[[#This Row],[CANT. TOTAL]]</calculatedColumnFormula>
    </tableColumn>
    <tableColumn id="18" xr3:uid="{FC4004F2-83D1-4277-8673-9BAB8FB4EA6E}" name="FECHA DE ADQUISICION" dataDxfId="2">
      <calculatedColumnFormula>_xlfn.XLOOKUP(TablaSTOCKINV[[#This Row],[SKU]],TablaINVENTARIO[SKU],TablaINVENTARIO[FECHA INGRESO])</calculatedColumnFormula>
    </tableColumn>
    <tableColumn id="19" xr3:uid="{D9E6E3E7-0FB3-455C-A325-216AC224E299}" name="FECHA DE ULTIMA ENTRADA" dataDxfId="1">
      <calculatedColumnFormula>_xlfn.XLOOKUP(TablaSTOCKINV[[#This Row],[SKU]],TablaENTRADA[SKU],TablaENTRADA[FECHA],,0,-1)</calculatedColumnFormula>
    </tableColumn>
    <tableColumn id="20" xr3:uid="{30DEF73E-55C3-438E-B44B-F79292CC6585}" name="FECHA DE ULTIMA SALIDA" dataDxfId="0">
      <calculatedColumnFormula>IFERROR((_xlfn.XLOOKUP(TablaSTOCKINV[[#This Row],[SKU]],TablaSALIDA[SKU],TablaSALIDA[FECHA],,0,-1))," " 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Z1457"/>
  <sheetViews>
    <sheetView workbookViewId="0">
      <pane ySplit="1" topLeftCell="A2" activePane="bottomLeft" state="frozen"/>
      <selection pane="bottomLeft" activeCell="C2" sqref="C2:F1455"/>
    </sheetView>
  </sheetViews>
  <sheetFormatPr baseColWidth="10" defaultColWidth="14.44140625" defaultRowHeight="15" customHeight="1" x14ac:dyDescent="0.3"/>
  <cols>
    <col min="1" max="1" width="16.33203125" customWidth="1"/>
    <col min="2" max="2" width="17.33203125" bestFit="1" customWidth="1"/>
    <col min="3" max="3" width="14.6640625" customWidth="1"/>
    <col min="4" max="4" width="42.6640625" customWidth="1"/>
    <col min="5" max="5" width="20.44140625" customWidth="1"/>
    <col min="6" max="6" width="26.33203125" bestFit="1" customWidth="1"/>
    <col min="7" max="7" width="33.33203125" customWidth="1"/>
    <col min="8" max="8" width="10.33203125" customWidth="1"/>
    <col min="9" max="9" width="9.88671875" customWidth="1"/>
    <col min="10" max="10" width="14.109375" customWidth="1"/>
    <col min="11" max="11" width="28.5546875" bestFit="1" customWidth="1"/>
    <col min="12" max="12" width="31" bestFit="1" customWidth="1"/>
    <col min="13" max="13" width="13.33203125" customWidth="1"/>
    <col min="14" max="14" width="9.109375" customWidth="1"/>
    <col min="15" max="15" width="19.33203125" customWidth="1"/>
    <col min="16" max="26" width="8.88671875" customWidth="1"/>
  </cols>
  <sheetData>
    <row r="1" spans="1:26" ht="45.7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8" customFormat="1" ht="14.25" customHeight="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26" ht="14.25" customHeight="1" x14ac:dyDescent="0.3">
      <c r="A3" s="31">
        <v>46023</v>
      </c>
      <c r="B3" s="27" t="s">
        <v>53</v>
      </c>
      <c r="C3" s="27" t="s">
        <v>2260</v>
      </c>
      <c r="D3" s="27" t="s">
        <v>2261</v>
      </c>
      <c r="E3" s="27" t="s">
        <v>2262</v>
      </c>
      <c r="F3" s="27" t="s">
        <v>2263</v>
      </c>
      <c r="G3" s="27" t="s">
        <v>2264</v>
      </c>
      <c r="H3" s="27" t="s">
        <v>59</v>
      </c>
      <c r="I3" s="27" t="s">
        <v>116</v>
      </c>
      <c r="J3" s="27" t="s">
        <v>61</v>
      </c>
      <c r="K3" s="39" t="s">
        <v>62</v>
      </c>
      <c r="L3" s="41" t="s">
        <v>63</v>
      </c>
      <c r="M3" s="27"/>
      <c r="N3" s="27"/>
      <c r="O3" s="28" t="s">
        <v>2276</v>
      </c>
    </row>
    <row r="4" spans="1:26" ht="14.25" customHeight="1" x14ac:dyDescent="0.3">
      <c r="A4" s="31">
        <v>46023</v>
      </c>
      <c r="B4" s="27" t="s">
        <v>53</v>
      </c>
      <c r="C4" s="27" t="s">
        <v>2265</v>
      </c>
      <c r="D4" s="27" t="s">
        <v>2266</v>
      </c>
      <c r="E4" s="27" t="s">
        <v>2262</v>
      </c>
      <c r="F4" s="27" t="s">
        <v>2263</v>
      </c>
      <c r="G4" s="27" t="s">
        <v>2264</v>
      </c>
      <c r="H4" s="27" t="s">
        <v>59</v>
      </c>
      <c r="I4" s="27" t="s">
        <v>116</v>
      </c>
      <c r="J4" s="27" t="s">
        <v>61</v>
      </c>
      <c r="K4" s="39" t="s">
        <v>62</v>
      </c>
      <c r="L4" s="41" t="s">
        <v>63</v>
      </c>
      <c r="M4" s="27"/>
      <c r="N4" s="27"/>
      <c r="O4" s="28" t="s">
        <v>2276</v>
      </c>
    </row>
    <row r="5" spans="1:26" ht="14.25" customHeight="1" x14ac:dyDescent="0.3">
      <c r="A5" s="31">
        <v>46023</v>
      </c>
      <c r="B5" s="27" t="s">
        <v>53</v>
      </c>
      <c r="C5" s="27" t="s">
        <v>2267</v>
      </c>
      <c r="D5" s="27" t="s">
        <v>2268</v>
      </c>
      <c r="E5" s="27" t="s">
        <v>2262</v>
      </c>
      <c r="F5" s="27" t="s">
        <v>2263</v>
      </c>
      <c r="G5" s="27" t="s">
        <v>2264</v>
      </c>
      <c r="H5" s="27" t="s">
        <v>59</v>
      </c>
      <c r="I5" s="27" t="s">
        <v>116</v>
      </c>
      <c r="J5" s="27" t="s">
        <v>61</v>
      </c>
      <c r="K5" s="39" t="s">
        <v>62</v>
      </c>
      <c r="L5" s="41" t="s">
        <v>63</v>
      </c>
      <c r="M5" s="27"/>
      <c r="N5" s="27"/>
      <c r="O5" s="28" t="s">
        <v>2276</v>
      </c>
    </row>
    <row r="6" spans="1:26" ht="14.25" customHeight="1" x14ac:dyDescent="0.3">
      <c r="A6" s="31">
        <v>46023</v>
      </c>
      <c r="B6" s="27" t="s">
        <v>53</v>
      </c>
      <c r="C6" s="27" t="s">
        <v>2269</v>
      </c>
      <c r="D6" s="27" t="s">
        <v>2270</v>
      </c>
      <c r="E6" s="27" t="s">
        <v>2271</v>
      </c>
      <c r="F6" s="27" t="s">
        <v>2263</v>
      </c>
      <c r="G6" s="27" t="s">
        <v>2272</v>
      </c>
      <c r="H6" s="27" t="s">
        <v>59</v>
      </c>
      <c r="I6" s="27" t="s">
        <v>116</v>
      </c>
      <c r="J6" s="27" t="s">
        <v>61</v>
      </c>
      <c r="K6" s="39" t="s">
        <v>62</v>
      </c>
      <c r="L6" s="41" t="s">
        <v>63</v>
      </c>
      <c r="M6" s="27"/>
      <c r="N6" s="27"/>
      <c r="O6" s="28" t="s">
        <v>2276</v>
      </c>
    </row>
    <row r="7" spans="1:26" ht="14.25" customHeight="1" x14ac:dyDescent="0.3">
      <c r="A7" s="31">
        <v>46023</v>
      </c>
      <c r="B7" s="27" t="s">
        <v>53</v>
      </c>
      <c r="C7" s="27" t="s">
        <v>2273</v>
      </c>
      <c r="D7" s="27" t="s">
        <v>2274</v>
      </c>
      <c r="E7" s="27" t="s">
        <v>59</v>
      </c>
      <c r="F7" s="27" t="s">
        <v>2263</v>
      </c>
      <c r="G7" s="27" t="s">
        <v>2275</v>
      </c>
      <c r="H7" s="27" t="s">
        <v>59</v>
      </c>
      <c r="I7" s="27" t="s">
        <v>116</v>
      </c>
      <c r="J7" s="27" t="s">
        <v>61</v>
      </c>
      <c r="K7" s="39" t="s">
        <v>62</v>
      </c>
      <c r="L7" s="41" t="s">
        <v>63</v>
      </c>
      <c r="M7" s="27"/>
      <c r="N7" s="27"/>
      <c r="O7" s="28" t="s">
        <v>2276</v>
      </c>
    </row>
    <row r="8" spans="1:26" ht="14.25" customHeight="1" x14ac:dyDescent="0.3">
      <c r="A8" s="31">
        <v>46023</v>
      </c>
      <c r="B8" s="27" t="s">
        <v>53</v>
      </c>
      <c r="C8" s="27" t="s">
        <v>2246</v>
      </c>
      <c r="D8" s="27" t="s">
        <v>2247</v>
      </c>
      <c r="E8" s="27" t="s">
        <v>59</v>
      </c>
      <c r="F8" s="27" t="s">
        <v>2248</v>
      </c>
      <c r="G8" s="27" t="s">
        <v>2249</v>
      </c>
      <c r="H8" s="27" t="s">
        <v>59</v>
      </c>
      <c r="I8" s="27" t="s">
        <v>143</v>
      </c>
      <c r="J8" s="27" t="s">
        <v>144</v>
      </c>
      <c r="K8" s="39" t="s">
        <v>1008</v>
      </c>
      <c r="L8" s="41" t="s">
        <v>309</v>
      </c>
      <c r="M8" s="27"/>
      <c r="N8" s="27"/>
      <c r="O8" s="28" t="s">
        <v>2276</v>
      </c>
    </row>
    <row r="9" spans="1:26" ht="14.25" customHeight="1" x14ac:dyDescent="0.3">
      <c r="A9" s="31">
        <v>46023</v>
      </c>
      <c r="B9" s="27" t="s">
        <v>53</v>
      </c>
      <c r="C9" s="27" t="s">
        <v>2250</v>
      </c>
      <c r="D9" s="27" t="s">
        <v>2251</v>
      </c>
      <c r="E9" s="27" t="s">
        <v>59</v>
      </c>
      <c r="F9" s="27" t="s">
        <v>2248</v>
      </c>
      <c r="G9" s="27" t="s">
        <v>2252</v>
      </c>
      <c r="H9" s="27" t="s">
        <v>59</v>
      </c>
      <c r="I9" s="27" t="s">
        <v>143</v>
      </c>
      <c r="J9" s="27" t="s">
        <v>61</v>
      </c>
      <c r="K9" s="39" t="s">
        <v>1366</v>
      </c>
      <c r="L9" s="41" t="s">
        <v>2253</v>
      </c>
      <c r="M9" s="27"/>
      <c r="N9" s="27"/>
      <c r="O9" s="28" t="s">
        <v>2276</v>
      </c>
    </row>
    <row r="10" spans="1:26" ht="14.25" customHeight="1" x14ac:dyDescent="0.3">
      <c r="A10" s="31">
        <v>46023</v>
      </c>
      <c r="B10" s="27" t="s">
        <v>53</v>
      </c>
      <c r="C10" s="27" t="s">
        <v>2254</v>
      </c>
      <c r="D10" s="27" t="s">
        <v>2255</v>
      </c>
      <c r="E10" s="27" t="s">
        <v>59</v>
      </c>
      <c r="F10" s="27" t="s">
        <v>2248</v>
      </c>
      <c r="G10" s="27" t="s">
        <v>2252</v>
      </c>
      <c r="H10" s="27" t="s">
        <v>59</v>
      </c>
      <c r="I10" s="27" t="s">
        <v>143</v>
      </c>
      <c r="J10" s="27" t="s">
        <v>61</v>
      </c>
      <c r="K10" s="39" t="s">
        <v>1366</v>
      </c>
      <c r="L10" s="41" t="s">
        <v>2253</v>
      </c>
      <c r="M10" s="27"/>
      <c r="N10" s="27"/>
      <c r="O10" s="28" t="s">
        <v>2276</v>
      </c>
    </row>
    <row r="11" spans="1:26" ht="14.25" customHeight="1" x14ac:dyDescent="0.3">
      <c r="A11" s="31">
        <v>46023</v>
      </c>
      <c r="B11" s="27" t="s">
        <v>53</v>
      </c>
      <c r="C11" s="27" t="s">
        <v>2256</v>
      </c>
      <c r="D11" s="27" t="s">
        <v>2257</v>
      </c>
      <c r="E11" s="27" t="s">
        <v>2258</v>
      </c>
      <c r="F11" s="27" t="s">
        <v>2248</v>
      </c>
      <c r="G11" s="27" t="s">
        <v>2259</v>
      </c>
      <c r="H11" s="27" t="s">
        <v>59</v>
      </c>
      <c r="I11" s="27" t="s">
        <v>60</v>
      </c>
      <c r="J11" s="27" t="s">
        <v>61</v>
      </c>
      <c r="K11" s="39" t="s">
        <v>1366</v>
      </c>
      <c r="L11" s="41" t="s">
        <v>129</v>
      </c>
      <c r="M11" s="27"/>
      <c r="N11" s="27"/>
      <c r="O11" s="28" t="s">
        <v>2276</v>
      </c>
    </row>
    <row r="12" spans="1:26" ht="14.25" customHeight="1" x14ac:dyDescent="0.3">
      <c r="A12" s="31">
        <v>46023</v>
      </c>
      <c r="B12" s="27" t="s">
        <v>53</v>
      </c>
      <c r="C12" s="27" t="s">
        <v>2278</v>
      </c>
      <c r="D12" s="27" t="s">
        <v>2279</v>
      </c>
      <c r="E12" s="27" t="s">
        <v>2280</v>
      </c>
      <c r="F12" s="27" t="s">
        <v>2248</v>
      </c>
      <c r="G12" s="27" t="s">
        <v>2281</v>
      </c>
      <c r="H12" s="27" t="s">
        <v>59</v>
      </c>
      <c r="I12" s="27" t="s">
        <v>143</v>
      </c>
      <c r="J12" s="27" t="s">
        <v>144</v>
      </c>
      <c r="K12" s="39" t="s">
        <v>2282</v>
      </c>
      <c r="L12" s="41" t="s">
        <v>1953</v>
      </c>
      <c r="M12" s="27"/>
      <c r="N12" s="27"/>
      <c r="O12" s="28" t="s">
        <v>2276</v>
      </c>
    </row>
    <row r="13" spans="1:26" ht="14.25" customHeight="1" x14ac:dyDescent="0.3">
      <c r="A13" s="31">
        <v>46023</v>
      </c>
      <c r="B13" s="27" t="s">
        <v>53</v>
      </c>
      <c r="C13" s="27" t="s">
        <v>2283</v>
      </c>
      <c r="D13" s="27" t="s">
        <v>2284</v>
      </c>
      <c r="E13" s="27" t="s">
        <v>2285</v>
      </c>
      <c r="F13" s="27" t="s">
        <v>2248</v>
      </c>
      <c r="G13" s="27" t="s">
        <v>2281</v>
      </c>
      <c r="H13" s="27" t="s">
        <v>59</v>
      </c>
      <c r="I13" s="27" t="s">
        <v>143</v>
      </c>
      <c r="J13" s="27" t="s">
        <v>144</v>
      </c>
      <c r="K13" s="39" t="s">
        <v>2282</v>
      </c>
      <c r="L13" s="41" t="s">
        <v>1953</v>
      </c>
      <c r="M13" s="27"/>
      <c r="N13" s="27"/>
      <c r="O13" s="28" t="s">
        <v>2276</v>
      </c>
    </row>
    <row r="14" spans="1:26" ht="14.25" customHeight="1" x14ac:dyDescent="0.3">
      <c r="A14" s="31">
        <v>46023</v>
      </c>
      <c r="B14" s="27" t="s">
        <v>53</v>
      </c>
      <c r="C14" s="27" t="s">
        <v>2286</v>
      </c>
      <c r="D14" s="27" t="s">
        <v>2287</v>
      </c>
      <c r="E14" s="27" t="s">
        <v>59</v>
      </c>
      <c r="F14" s="27" t="s">
        <v>2248</v>
      </c>
      <c r="G14" s="27" t="s">
        <v>2281</v>
      </c>
      <c r="H14" s="27" t="s">
        <v>59</v>
      </c>
      <c r="I14" s="27" t="s">
        <v>143</v>
      </c>
      <c r="J14" s="27" t="s">
        <v>144</v>
      </c>
      <c r="K14" s="39" t="s">
        <v>2282</v>
      </c>
      <c r="L14" s="41" t="s">
        <v>1953</v>
      </c>
      <c r="M14" s="27"/>
      <c r="N14" s="27"/>
      <c r="O14" s="28" t="s">
        <v>2276</v>
      </c>
    </row>
    <row r="15" spans="1:26" ht="14.25" customHeight="1" x14ac:dyDescent="0.3">
      <c r="A15" s="31">
        <v>46023</v>
      </c>
      <c r="B15" s="27" t="s">
        <v>53</v>
      </c>
      <c r="C15" s="27" t="s">
        <v>2288</v>
      </c>
      <c r="D15" s="27" t="s">
        <v>2289</v>
      </c>
      <c r="E15" s="27" t="s">
        <v>59</v>
      </c>
      <c r="F15" s="27" t="s">
        <v>2248</v>
      </c>
      <c r="G15" s="27" t="s">
        <v>2281</v>
      </c>
      <c r="H15" s="27" t="s">
        <v>59</v>
      </c>
      <c r="I15" s="27" t="s">
        <v>143</v>
      </c>
      <c r="J15" s="27" t="s">
        <v>144</v>
      </c>
      <c r="K15" s="39" t="s">
        <v>2282</v>
      </c>
      <c r="L15" s="41" t="s">
        <v>1953</v>
      </c>
      <c r="M15" s="27"/>
      <c r="N15" s="27"/>
      <c r="O15" s="28" t="s">
        <v>2276</v>
      </c>
    </row>
    <row r="16" spans="1:26" ht="14.25" customHeight="1" x14ac:dyDescent="0.3">
      <c r="A16" s="31">
        <v>46023</v>
      </c>
      <c r="B16" s="27" t="s">
        <v>53</v>
      </c>
      <c r="C16" s="27" t="s">
        <v>2290</v>
      </c>
      <c r="D16" s="27" t="s">
        <v>2291</v>
      </c>
      <c r="E16" s="27" t="s">
        <v>2292</v>
      </c>
      <c r="F16" s="27" t="s">
        <v>2248</v>
      </c>
      <c r="G16" s="27" t="s">
        <v>2281</v>
      </c>
      <c r="H16" s="27" t="s">
        <v>59</v>
      </c>
      <c r="I16" s="27" t="s">
        <v>143</v>
      </c>
      <c r="J16" s="27" t="s">
        <v>144</v>
      </c>
      <c r="K16" s="39" t="s">
        <v>2282</v>
      </c>
      <c r="L16" s="41" t="s">
        <v>1953</v>
      </c>
      <c r="M16" s="27"/>
      <c r="N16" s="27"/>
      <c r="O16" s="28" t="s">
        <v>2276</v>
      </c>
    </row>
    <row r="17" spans="1:15" ht="14.25" customHeight="1" x14ac:dyDescent="0.3">
      <c r="A17" s="31">
        <v>46023</v>
      </c>
      <c r="B17" s="27" t="s">
        <v>53</v>
      </c>
      <c r="C17" s="27" t="s">
        <v>2293</v>
      </c>
      <c r="D17" s="27" t="s">
        <v>2294</v>
      </c>
      <c r="E17" s="27" t="s">
        <v>2292</v>
      </c>
      <c r="F17" s="27" t="s">
        <v>2248</v>
      </c>
      <c r="G17" s="27" t="s">
        <v>2295</v>
      </c>
      <c r="H17" s="27" t="s">
        <v>59</v>
      </c>
      <c r="I17" s="27" t="s">
        <v>143</v>
      </c>
      <c r="J17" s="27" t="s">
        <v>144</v>
      </c>
      <c r="K17" s="39" t="s">
        <v>2282</v>
      </c>
      <c r="L17" s="41" t="s">
        <v>1953</v>
      </c>
      <c r="M17" s="27"/>
      <c r="N17" s="27"/>
      <c r="O17" s="28" t="s">
        <v>2276</v>
      </c>
    </row>
    <row r="18" spans="1:15" ht="14.25" customHeight="1" x14ac:dyDescent="0.3">
      <c r="A18" s="31">
        <v>46023</v>
      </c>
      <c r="B18" s="27" t="s">
        <v>53</v>
      </c>
      <c r="C18" s="27" t="s">
        <v>2296</v>
      </c>
      <c r="D18" s="27" t="s">
        <v>2297</v>
      </c>
      <c r="E18" s="27" t="s">
        <v>59</v>
      </c>
      <c r="F18" s="27" t="s">
        <v>2248</v>
      </c>
      <c r="G18" s="27" t="s">
        <v>2295</v>
      </c>
      <c r="H18" s="27" t="s">
        <v>59</v>
      </c>
      <c r="I18" s="27" t="s">
        <v>143</v>
      </c>
      <c r="J18" s="27" t="s">
        <v>144</v>
      </c>
      <c r="K18" s="39" t="s">
        <v>2282</v>
      </c>
      <c r="L18" s="41" t="s">
        <v>1953</v>
      </c>
      <c r="M18" s="27"/>
      <c r="N18" s="27"/>
      <c r="O18" s="28" t="s">
        <v>2276</v>
      </c>
    </row>
    <row r="19" spans="1:15" ht="14.25" customHeight="1" x14ac:dyDescent="0.3">
      <c r="A19" s="31">
        <v>46023</v>
      </c>
      <c r="B19" s="27" t="s">
        <v>53</v>
      </c>
      <c r="C19" s="27" t="s">
        <v>2298</v>
      </c>
      <c r="D19" s="27" t="s">
        <v>2299</v>
      </c>
      <c r="E19" s="27" t="s">
        <v>59</v>
      </c>
      <c r="F19" s="27" t="s">
        <v>2248</v>
      </c>
      <c r="G19" s="27" t="s">
        <v>2295</v>
      </c>
      <c r="H19" s="27" t="s">
        <v>59</v>
      </c>
      <c r="I19" s="27" t="s">
        <v>143</v>
      </c>
      <c r="J19" s="27" t="s">
        <v>144</v>
      </c>
      <c r="K19" s="39" t="s">
        <v>2282</v>
      </c>
      <c r="L19" s="41" t="s">
        <v>1953</v>
      </c>
      <c r="M19" s="27"/>
      <c r="N19" s="27"/>
      <c r="O19" s="28" t="s">
        <v>2276</v>
      </c>
    </row>
    <row r="20" spans="1:15" ht="14.25" customHeight="1" x14ac:dyDescent="0.3">
      <c r="A20" s="31">
        <v>46023</v>
      </c>
      <c r="B20" s="27" t="s">
        <v>53</v>
      </c>
      <c r="C20" s="27" t="s">
        <v>2300</v>
      </c>
      <c r="D20" s="27" t="s">
        <v>2301</v>
      </c>
      <c r="E20" s="27" t="s">
        <v>59</v>
      </c>
      <c r="F20" s="27" t="s">
        <v>2248</v>
      </c>
      <c r="G20" s="27" t="s">
        <v>2295</v>
      </c>
      <c r="H20" s="27" t="s">
        <v>59</v>
      </c>
      <c r="I20" s="27" t="s">
        <v>143</v>
      </c>
      <c r="J20" s="27" t="s">
        <v>144</v>
      </c>
      <c r="K20" s="39" t="s">
        <v>2282</v>
      </c>
      <c r="L20" s="41" t="s">
        <v>1953</v>
      </c>
      <c r="M20" s="27"/>
      <c r="N20" s="27"/>
      <c r="O20" s="28" t="s">
        <v>2276</v>
      </c>
    </row>
    <row r="21" spans="1:15" ht="14.25" customHeight="1" x14ac:dyDescent="0.3">
      <c r="A21" s="31">
        <v>46023</v>
      </c>
      <c r="B21" s="27" t="s">
        <v>53</v>
      </c>
      <c r="C21" s="27" t="s">
        <v>2302</v>
      </c>
      <c r="D21" s="27" t="s">
        <v>2303</v>
      </c>
      <c r="E21" s="27" t="s">
        <v>59</v>
      </c>
      <c r="F21" s="27" t="s">
        <v>2248</v>
      </c>
      <c r="G21" s="27" t="s">
        <v>2304</v>
      </c>
      <c r="H21" s="27" t="s">
        <v>59</v>
      </c>
      <c r="I21" s="27" t="s">
        <v>143</v>
      </c>
      <c r="J21" s="27" t="s">
        <v>144</v>
      </c>
      <c r="K21" s="39" t="s">
        <v>2282</v>
      </c>
      <c r="L21" s="41" t="s">
        <v>1953</v>
      </c>
      <c r="M21" s="27"/>
      <c r="N21" s="27"/>
      <c r="O21" s="28" t="s">
        <v>2276</v>
      </c>
    </row>
    <row r="22" spans="1:15" ht="14.25" customHeight="1" x14ac:dyDescent="0.3">
      <c r="A22" s="31">
        <v>46023</v>
      </c>
      <c r="B22" s="27" t="s">
        <v>53</v>
      </c>
      <c r="C22" s="27" t="s">
        <v>2305</v>
      </c>
      <c r="D22" s="27" t="s">
        <v>2306</v>
      </c>
      <c r="E22" s="27" t="s">
        <v>59</v>
      </c>
      <c r="F22" s="27" t="s">
        <v>2248</v>
      </c>
      <c r="G22" s="27" t="s">
        <v>2304</v>
      </c>
      <c r="H22" s="27" t="s">
        <v>59</v>
      </c>
      <c r="I22" s="27" t="s">
        <v>143</v>
      </c>
      <c r="J22" s="27" t="s">
        <v>144</v>
      </c>
      <c r="K22" s="39" t="s">
        <v>2282</v>
      </c>
      <c r="L22" s="41" t="s">
        <v>1953</v>
      </c>
      <c r="M22" s="27"/>
      <c r="N22" s="27"/>
      <c r="O22" s="28" t="s">
        <v>2276</v>
      </c>
    </row>
    <row r="23" spans="1:15" ht="14.25" customHeight="1" x14ac:dyDescent="0.3">
      <c r="A23" s="31">
        <v>46023</v>
      </c>
      <c r="B23" s="27" t="s">
        <v>53</v>
      </c>
      <c r="C23" s="27" t="s">
        <v>2307</v>
      </c>
      <c r="D23" s="27" t="s">
        <v>2308</v>
      </c>
      <c r="E23" s="27" t="s">
        <v>59</v>
      </c>
      <c r="F23" s="27" t="s">
        <v>2248</v>
      </c>
      <c r="G23" s="27" t="s">
        <v>2304</v>
      </c>
      <c r="H23" s="27" t="s">
        <v>59</v>
      </c>
      <c r="I23" s="27" t="s">
        <v>143</v>
      </c>
      <c r="J23" s="27" t="s">
        <v>144</v>
      </c>
      <c r="K23" s="39" t="s">
        <v>2282</v>
      </c>
      <c r="L23" s="41" t="s">
        <v>1953</v>
      </c>
      <c r="M23" s="27"/>
      <c r="N23" s="27"/>
      <c r="O23" s="28" t="s">
        <v>2276</v>
      </c>
    </row>
    <row r="24" spans="1:15" ht="14.25" customHeight="1" x14ac:dyDescent="0.3">
      <c r="A24" s="31">
        <v>46023</v>
      </c>
      <c r="B24" s="27" t="s">
        <v>53</v>
      </c>
      <c r="C24" s="27" t="s">
        <v>2309</v>
      </c>
      <c r="D24" s="27" t="s">
        <v>2287</v>
      </c>
      <c r="E24" s="27" t="s">
        <v>59</v>
      </c>
      <c r="F24" s="27" t="s">
        <v>2248</v>
      </c>
      <c r="G24" s="27" t="s">
        <v>2281</v>
      </c>
      <c r="H24" s="27" t="s">
        <v>59</v>
      </c>
      <c r="I24" s="27" t="s">
        <v>116</v>
      </c>
      <c r="J24" s="27" t="s">
        <v>144</v>
      </c>
      <c r="K24" s="39" t="s">
        <v>2282</v>
      </c>
      <c r="L24" s="41" t="s">
        <v>1953</v>
      </c>
      <c r="M24" s="27"/>
      <c r="N24" s="27"/>
      <c r="O24" s="28" t="s">
        <v>2276</v>
      </c>
    </row>
    <row r="25" spans="1:15" ht="14.25" customHeight="1" x14ac:dyDescent="0.3">
      <c r="A25" s="31">
        <v>46023</v>
      </c>
      <c r="B25" s="27" t="s">
        <v>53</v>
      </c>
      <c r="C25" s="27" t="s">
        <v>2310</v>
      </c>
      <c r="D25" s="27" t="s">
        <v>2311</v>
      </c>
      <c r="E25" s="27" t="s">
        <v>59</v>
      </c>
      <c r="F25" s="27" t="s">
        <v>2248</v>
      </c>
      <c r="G25" s="27" t="s">
        <v>2295</v>
      </c>
      <c r="H25" s="27" t="s">
        <v>59</v>
      </c>
      <c r="I25" s="27" t="s">
        <v>143</v>
      </c>
      <c r="J25" s="27" t="s">
        <v>144</v>
      </c>
      <c r="K25" s="39" t="s">
        <v>2282</v>
      </c>
      <c r="L25" s="41" t="s">
        <v>1953</v>
      </c>
      <c r="M25" s="27"/>
      <c r="N25" s="27"/>
      <c r="O25" s="28" t="s">
        <v>2276</v>
      </c>
    </row>
    <row r="26" spans="1:15" ht="14.25" customHeight="1" x14ac:dyDescent="0.3">
      <c r="A26" s="31">
        <v>46023</v>
      </c>
      <c r="B26" s="27" t="s">
        <v>53</v>
      </c>
      <c r="C26" s="27" t="s">
        <v>2312</v>
      </c>
      <c r="D26" s="27" t="s">
        <v>2313</v>
      </c>
      <c r="E26" s="27" t="s">
        <v>59</v>
      </c>
      <c r="F26" s="27" t="s">
        <v>2248</v>
      </c>
      <c r="G26" s="27" t="s">
        <v>2304</v>
      </c>
      <c r="H26" s="27" t="s">
        <v>59</v>
      </c>
      <c r="I26" s="27" t="s">
        <v>143</v>
      </c>
      <c r="J26" s="27" t="s">
        <v>144</v>
      </c>
      <c r="K26" s="39" t="s">
        <v>2282</v>
      </c>
      <c r="L26" s="41" t="s">
        <v>1953</v>
      </c>
      <c r="M26" s="27"/>
      <c r="N26" s="27"/>
      <c r="O26" s="28" t="s">
        <v>2276</v>
      </c>
    </row>
    <row r="27" spans="1:15" ht="14.25" customHeight="1" x14ac:dyDescent="0.3">
      <c r="A27" s="31">
        <v>46023</v>
      </c>
      <c r="B27" s="27" t="s">
        <v>53</v>
      </c>
      <c r="C27" s="27" t="s">
        <v>2314</v>
      </c>
      <c r="D27" s="27" t="s">
        <v>2315</v>
      </c>
      <c r="E27" s="27" t="s">
        <v>59</v>
      </c>
      <c r="F27" s="27" t="s">
        <v>2248</v>
      </c>
      <c r="G27" s="27" t="s">
        <v>2304</v>
      </c>
      <c r="H27" s="27" t="s">
        <v>59</v>
      </c>
      <c r="I27" s="27" t="s">
        <v>143</v>
      </c>
      <c r="J27" s="27" t="s">
        <v>144</v>
      </c>
      <c r="K27" s="39" t="s">
        <v>2282</v>
      </c>
      <c r="L27" s="41" t="s">
        <v>1953</v>
      </c>
      <c r="M27" s="27"/>
      <c r="N27" s="27"/>
      <c r="O27" s="28" t="s">
        <v>2276</v>
      </c>
    </row>
    <row r="28" spans="1:15" ht="14.25" customHeight="1" x14ac:dyDescent="0.3">
      <c r="A28" s="31">
        <v>46023</v>
      </c>
      <c r="B28" s="27" t="s">
        <v>53</v>
      </c>
      <c r="C28" s="27" t="s">
        <v>2316</v>
      </c>
      <c r="D28" s="27" t="s">
        <v>2317</v>
      </c>
      <c r="E28" s="27" t="s">
        <v>2318</v>
      </c>
      <c r="F28" s="27" t="s">
        <v>2248</v>
      </c>
      <c r="G28" s="27" t="s">
        <v>2259</v>
      </c>
      <c r="H28" s="27" t="s">
        <v>2319</v>
      </c>
      <c r="I28" s="27" t="s">
        <v>116</v>
      </c>
      <c r="J28" s="27" t="s">
        <v>144</v>
      </c>
      <c r="K28" s="39" t="s">
        <v>2320</v>
      </c>
      <c r="L28" s="41" t="s">
        <v>1953</v>
      </c>
      <c r="M28" s="27"/>
      <c r="N28" s="27"/>
      <c r="O28" s="28" t="s">
        <v>2276</v>
      </c>
    </row>
    <row r="29" spans="1:15" ht="14.25" customHeight="1" x14ac:dyDescent="0.3">
      <c r="A29" s="31">
        <v>46023</v>
      </c>
      <c r="B29" s="27" t="s">
        <v>53</v>
      </c>
      <c r="C29" s="27" t="s">
        <v>2321</v>
      </c>
      <c r="D29" s="27" t="s">
        <v>2317</v>
      </c>
      <c r="E29" s="27" t="s">
        <v>2318</v>
      </c>
      <c r="F29" s="27" t="s">
        <v>2248</v>
      </c>
      <c r="G29" s="27" t="s">
        <v>2259</v>
      </c>
      <c r="H29" s="27" t="s">
        <v>2322</v>
      </c>
      <c r="I29" s="27" t="s">
        <v>116</v>
      </c>
      <c r="J29" s="27" t="s">
        <v>144</v>
      </c>
      <c r="K29" s="39" t="s">
        <v>2320</v>
      </c>
      <c r="L29" s="41" t="s">
        <v>1953</v>
      </c>
      <c r="M29" s="27"/>
      <c r="N29" s="27"/>
      <c r="O29" s="28" t="s">
        <v>2276</v>
      </c>
    </row>
    <row r="30" spans="1:15" ht="14.25" customHeight="1" x14ac:dyDescent="0.3">
      <c r="A30" s="31">
        <v>46023</v>
      </c>
      <c r="B30" s="27" t="s">
        <v>53</v>
      </c>
      <c r="C30" s="27" t="s">
        <v>2323</v>
      </c>
      <c r="D30" s="27" t="s">
        <v>2317</v>
      </c>
      <c r="E30" s="27" t="s">
        <v>2318</v>
      </c>
      <c r="F30" s="27" t="s">
        <v>2248</v>
      </c>
      <c r="G30" s="27" t="s">
        <v>2259</v>
      </c>
      <c r="H30" s="27" t="s">
        <v>2324</v>
      </c>
      <c r="I30" s="27" t="s">
        <v>116</v>
      </c>
      <c r="J30" s="27" t="s">
        <v>144</v>
      </c>
      <c r="K30" s="39" t="s">
        <v>2320</v>
      </c>
      <c r="L30" s="41" t="s">
        <v>1953</v>
      </c>
      <c r="M30" s="27"/>
      <c r="N30" s="27"/>
      <c r="O30" s="28" t="s">
        <v>2276</v>
      </c>
    </row>
    <row r="31" spans="1:15" ht="14.25" customHeight="1" x14ac:dyDescent="0.3">
      <c r="A31" s="31">
        <v>46023</v>
      </c>
      <c r="B31" s="27" t="s">
        <v>53</v>
      </c>
      <c r="C31" s="27" t="s">
        <v>2325</v>
      </c>
      <c r="D31" s="27" t="s">
        <v>2317</v>
      </c>
      <c r="E31" s="27" t="s">
        <v>2318</v>
      </c>
      <c r="F31" s="27" t="s">
        <v>2248</v>
      </c>
      <c r="G31" s="27" t="s">
        <v>2259</v>
      </c>
      <c r="H31" s="27" t="s">
        <v>2326</v>
      </c>
      <c r="I31" s="27" t="s">
        <v>116</v>
      </c>
      <c r="J31" s="27" t="s">
        <v>144</v>
      </c>
      <c r="K31" s="39" t="s">
        <v>2320</v>
      </c>
      <c r="L31" s="41" t="s">
        <v>1953</v>
      </c>
      <c r="M31" s="27"/>
      <c r="N31" s="27"/>
      <c r="O31" s="28" t="s">
        <v>2276</v>
      </c>
    </row>
    <row r="32" spans="1:15" ht="14.25" customHeight="1" x14ac:dyDescent="0.3">
      <c r="A32" s="31">
        <v>46023</v>
      </c>
      <c r="B32" s="27" t="s">
        <v>53</v>
      </c>
      <c r="C32" s="27" t="s">
        <v>2327</v>
      </c>
      <c r="D32" s="27" t="s">
        <v>2328</v>
      </c>
      <c r="E32" s="27" t="s">
        <v>59</v>
      </c>
      <c r="F32" s="27" t="s">
        <v>2248</v>
      </c>
      <c r="G32" s="27" t="s">
        <v>2281</v>
      </c>
      <c r="H32" s="27" t="s">
        <v>59</v>
      </c>
      <c r="I32" s="27" t="s">
        <v>116</v>
      </c>
      <c r="J32" s="27" t="s">
        <v>144</v>
      </c>
      <c r="K32" s="39" t="s">
        <v>2329</v>
      </c>
      <c r="L32" s="41" t="s">
        <v>1953</v>
      </c>
      <c r="M32" s="27"/>
      <c r="N32" s="27"/>
      <c r="O32" s="28" t="s">
        <v>2276</v>
      </c>
    </row>
    <row r="33" spans="1:15" ht="14.25" customHeight="1" x14ac:dyDescent="0.3">
      <c r="A33" s="31">
        <v>46023</v>
      </c>
      <c r="B33" s="27" t="s">
        <v>53</v>
      </c>
      <c r="C33" s="27" t="s">
        <v>2330</v>
      </c>
      <c r="D33" s="27" t="s">
        <v>2331</v>
      </c>
      <c r="E33" s="27" t="s">
        <v>59</v>
      </c>
      <c r="F33" s="27" t="s">
        <v>2248</v>
      </c>
      <c r="G33" s="27" t="s">
        <v>2295</v>
      </c>
      <c r="H33" s="27" t="s">
        <v>59</v>
      </c>
      <c r="I33" s="27" t="s">
        <v>116</v>
      </c>
      <c r="J33" s="27" t="s">
        <v>144</v>
      </c>
      <c r="K33" s="39" t="s">
        <v>2329</v>
      </c>
      <c r="L33" s="41" t="s">
        <v>1953</v>
      </c>
      <c r="M33" s="27"/>
      <c r="N33" s="27"/>
      <c r="O33" s="28" t="s">
        <v>2276</v>
      </c>
    </row>
    <row r="34" spans="1:15" ht="14.25" customHeight="1" x14ac:dyDescent="0.3">
      <c r="A34" s="31">
        <v>46023</v>
      </c>
      <c r="B34" s="27" t="s">
        <v>53</v>
      </c>
      <c r="C34" s="27" t="s">
        <v>2332</v>
      </c>
      <c r="D34" s="27" t="s">
        <v>2333</v>
      </c>
      <c r="E34" s="27" t="s">
        <v>2334</v>
      </c>
      <c r="F34" s="27" t="s">
        <v>2248</v>
      </c>
      <c r="G34" s="27" t="s">
        <v>2259</v>
      </c>
      <c r="H34" s="27" t="s">
        <v>59</v>
      </c>
      <c r="I34" s="27" t="s">
        <v>143</v>
      </c>
      <c r="J34" s="27" t="s">
        <v>144</v>
      </c>
      <c r="K34" s="39" t="s">
        <v>2329</v>
      </c>
      <c r="L34" s="41" t="s">
        <v>1953</v>
      </c>
      <c r="M34" s="27"/>
      <c r="N34" s="27"/>
      <c r="O34" s="28" t="s">
        <v>2276</v>
      </c>
    </row>
    <row r="35" spans="1:15" ht="14.25" customHeight="1" x14ac:dyDescent="0.3">
      <c r="A35" s="31">
        <v>46023</v>
      </c>
      <c r="B35" s="27" t="s">
        <v>53</v>
      </c>
      <c r="C35" s="27" t="s">
        <v>2335</v>
      </c>
      <c r="D35" s="27" t="s">
        <v>2336</v>
      </c>
      <c r="E35" s="27" t="s">
        <v>2337</v>
      </c>
      <c r="F35" s="27" t="s">
        <v>2248</v>
      </c>
      <c r="G35" s="27" t="s">
        <v>2295</v>
      </c>
      <c r="H35" s="27" t="s">
        <v>59</v>
      </c>
      <c r="I35" s="27" t="s">
        <v>116</v>
      </c>
      <c r="J35" s="27" t="s">
        <v>144</v>
      </c>
      <c r="K35" s="39" t="s">
        <v>2329</v>
      </c>
      <c r="L35" s="41" t="s">
        <v>1953</v>
      </c>
      <c r="M35" s="27"/>
      <c r="N35" s="27"/>
      <c r="O35" s="28" t="s">
        <v>2276</v>
      </c>
    </row>
    <row r="36" spans="1:15" ht="14.25" customHeight="1" x14ac:dyDescent="0.3">
      <c r="A36" s="31">
        <v>46023</v>
      </c>
      <c r="B36" s="27" t="s">
        <v>53</v>
      </c>
      <c r="C36" s="27" t="s">
        <v>2338</v>
      </c>
      <c r="D36" s="27" t="s">
        <v>2339</v>
      </c>
      <c r="E36" s="27" t="s">
        <v>2340</v>
      </c>
      <c r="F36" s="27" t="s">
        <v>2248</v>
      </c>
      <c r="G36" s="27" t="s">
        <v>2259</v>
      </c>
      <c r="H36" s="50">
        <v>11200000000000</v>
      </c>
      <c r="I36" s="27" t="s">
        <v>116</v>
      </c>
      <c r="J36" s="27" t="s">
        <v>144</v>
      </c>
      <c r="K36" s="39" t="s">
        <v>2329</v>
      </c>
      <c r="L36" s="41" t="s">
        <v>1953</v>
      </c>
      <c r="M36" s="27"/>
      <c r="N36" s="27"/>
      <c r="O36" s="28" t="s">
        <v>2276</v>
      </c>
    </row>
    <row r="37" spans="1:15" ht="14.25" customHeight="1" x14ac:dyDescent="0.3">
      <c r="A37" s="31">
        <v>46023</v>
      </c>
      <c r="B37" s="27" t="s">
        <v>53</v>
      </c>
      <c r="C37" s="27" t="s">
        <v>2341</v>
      </c>
      <c r="D37" s="27" t="s">
        <v>2342</v>
      </c>
      <c r="E37" s="27" t="s">
        <v>2343</v>
      </c>
      <c r="F37" s="27" t="s">
        <v>2248</v>
      </c>
      <c r="G37" s="27" t="s">
        <v>2259</v>
      </c>
      <c r="H37" s="27" t="s">
        <v>2344</v>
      </c>
      <c r="I37" s="27" t="s">
        <v>116</v>
      </c>
      <c r="J37" s="27" t="s">
        <v>144</v>
      </c>
      <c r="K37" s="39" t="s">
        <v>2329</v>
      </c>
      <c r="L37" s="41" t="s">
        <v>1953</v>
      </c>
      <c r="M37" s="27"/>
      <c r="N37" s="27"/>
      <c r="O37" s="28" t="s">
        <v>2276</v>
      </c>
    </row>
    <row r="38" spans="1:15" ht="14.25" customHeight="1" x14ac:dyDescent="0.3">
      <c r="A38" s="31">
        <v>46023</v>
      </c>
      <c r="B38" s="27" t="s">
        <v>53</v>
      </c>
      <c r="C38" s="27" t="s">
        <v>2345</v>
      </c>
      <c r="D38" s="27" t="s">
        <v>2342</v>
      </c>
      <c r="E38" s="27" t="s">
        <v>2343</v>
      </c>
      <c r="F38" s="27" t="s">
        <v>2248</v>
      </c>
      <c r="G38" s="27" t="s">
        <v>2259</v>
      </c>
      <c r="H38" s="27" t="s">
        <v>2346</v>
      </c>
      <c r="I38" s="27" t="s">
        <v>116</v>
      </c>
      <c r="J38" s="27" t="s">
        <v>144</v>
      </c>
      <c r="K38" s="39" t="s">
        <v>2329</v>
      </c>
      <c r="L38" s="41" t="s">
        <v>1953</v>
      </c>
      <c r="M38" s="27"/>
      <c r="N38" s="27"/>
      <c r="O38" s="28" t="s">
        <v>2276</v>
      </c>
    </row>
    <row r="39" spans="1:15" ht="14.25" customHeight="1" x14ac:dyDescent="0.3">
      <c r="A39" s="31">
        <v>46023</v>
      </c>
      <c r="B39" s="27" t="s">
        <v>53</v>
      </c>
      <c r="C39" s="27" t="s">
        <v>2347</v>
      </c>
      <c r="D39" s="27" t="s">
        <v>2348</v>
      </c>
      <c r="E39" s="27"/>
      <c r="F39" s="27" t="s">
        <v>2248</v>
      </c>
      <c r="G39" s="27" t="s">
        <v>2259</v>
      </c>
      <c r="H39" s="27" t="s">
        <v>2349</v>
      </c>
      <c r="I39" s="27" t="s">
        <v>116</v>
      </c>
      <c r="J39" s="27" t="s">
        <v>144</v>
      </c>
      <c r="K39" s="39" t="s">
        <v>2329</v>
      </c>
      <c r="L39" s="41" t="s">
        <v>1953</v>
      </c>
      <c r="M39" s="27"/>
      <c r="N39" s="27"/>
      <c r="O39" s="28" t="s">
        <v>2276</v>
      </c>
    </row>
    <row r="40" spans="1:15" ht="14.25" customHeight="1" x14ac:dyDescent="0.3">
      <c r="A40" s="31">
        <v>46023</v>
      </c>
      <c r="B40" s="27" t="s">
        <v>53</v>
      </c>
      <c r="C40" s="27" t="s">
        <v>2350</v>
      </c>
      <c r="D40" s="27" t="s">
        <v>2351</v>
      </c>
      <c r="E40" s="27" t="s">
        <v>2352</v>
      </c>
      <c r="F40" s="27" t="s">
        <v>2248</v>
      </c>
      <c r="G40" s="27" t="s">
        <v>2259</v>
      </c>
      <c r="H40" s="27" t="s">
        <v>2353</v>
      </c>
      <c r="I40" s="27" t="s">
        <v>116</v>
      </c>
      <c r="J40" s="27" t="s">
        <v>144</v>
      </c>
      <c r="K40" s="39" t="s">
        <v>2329</v>
      </c>
      <c r="L40" s="41" t="s">
        <v>1953</v>
      </c>
      <c r="M40" s="27"/>
      <c r="N40" s="27"/>
      <c r="O40" s="28" t="s">
        <v>2276</v>
      </c>
    </row>
    <row r="41" spans="1:15" ht="14.25" customHeight="1" x14ac:dyDescent="0.3">
      <c r="A41" s="31">
        <v>46023</v>
      </c>
      <c r="B41" s="27" t="s">
        <v>53</v>
      </c>
      <c r="C41" s="27" t="s">
        <v>2354</v>
      </c>
      <c r="D41" s="27" t="s">
        <v>2355</v>
      </c>
      <c r="E41" s="27" t="s">
        <v>2356</v>
      </c>
      <c r="F41" s="27" t="s">
        <v>2248</v>
      </c>
      <c r="G41" s="27" t="s">
        <v>2259</v>
      </c>
      <c r="H41" s="27">
        <v>8846003449</v>
      </c>
      <c r="I41" s="27" t="s">
        <v>116</v>
      </c>
      <c r="J41" s="27" t="s">
        <v>144</v>
      </c>
      <c r="K41" s="39" t="s">
        <v>2329</v>
      </c>
      <c r="L41" s="41" t="s">
        <v>1953</v>
      </c>
      <c r="M41" s="27"/>
      <c r="N41" s="27"/>
      <c r="O41" s="28" t="s">
        <v>2276</v>
      </c>
    </row>
    <row r="42" spans="1:15" ht="14.25" customHeight="1" x14ac:dyDescent="0.3">
      <c r="A42" s="31">
        <v>46023</v>
      </c>
      <c r="B42" s="27" t="s">
        <v>53</v>
      </c>
      <c r="C42" s="27" t="s">
        <v>2357</v>
      </c>
      <c r="D42" s="27" t="s">
        <v>2358</v>
      </c>
      <c r="E42" s="27" t="s">
        <v>2343</v>
      </c>
      <c r="F42" s="27" t="s">
        <v>2248</v>
      </c>
      <c r="G42" s="27" t="s">
        <v>2259</v>
      </c>
      <c r="H42" s="27">
        <v>10369103429</v>
      </c>
      <c r="I42" s="27" t="s">
        <v>116</v>
      </c>
      <c r="J42" s="27" t="s">
        <v>144</v>
      </c>
      <c r="K42" s="39" t="s">
        <v>2329</v>
      </c>
      <c r="L42" s="41" t="s">
        <v>1953</v>
      </c>
      <c r="M42" s="27"/>
      <c r="N42" s="27"/>
      <c r="O42" s="28" t="s">
        <v>2276</v>
      </c>
    </row>
    <row r="43" spans="1:15" ht="14.25" customHeight="1" x14ac:dyDescent="0.3">
      <c r="A43" s="31">
        <v>46023</v>
      </c>
      <c r="B43" s="27" t="s">
        <v>53</v>
      </c>
      <c r="C43" s="27" t="s">
        <v>2359</v>
      </c>
      <c r="D43" s="27" t="s">
        <v>2360</v>
      </c>
      <c r="E43" s="27" t="s">
        <v>2343</v>
      </c>
      <c r="F43" s="27" t="s">
        <v>2248</v>
      </c>
      <c r="G43" s="27" t="s">
        <v>2259</v>
      </c>
      <c r="H43" s="50">
        <v>2150000000000</v>
      </c>
      <c r="I43" s="27" t="s">
        <v>116</v>
      </c>
      <c r="J43" s="27" t="s">
        <v>144</v>
      </c>
      <c r="K43" s="39" t="s">
        <v>2329</v>
      </c>
      <c r="L43" s="41" t="s">
        <v>1953</v>
      </c>
      <c r="M43" s="27"/>
      <c r="N43" s="27"/>
      <c r="O43" s="28" t="s">
        <v>2276</v>
      </c>
    </row>
    <row r="44" spans="1:15" ht="14.25" customHeight="1" x14ac:dyDescent="0.3">
      <c r="A44" s="31">
        <v>46023</v>
      </c>
      <c r="B44" s="27" t="s">
        <v>53</v>
      </c>
      <c r="C44" s="27" t="s">
        <v>2361</v>
      </c>
      <c r="D44" s="27" t="s">
        <v>2362</v>
      </c>
      <c r="E44" s="27" t="s">
        <v>2363</v>
      </c>
      <c r="F44" s="27" t="s">
        <v>2248</v>
      </c>
      <c r="G44" s="27" t="s">
        <v>2249</v>
      </c>
      <c r="H44" s="27" t="s">
        <v>2364</v>
      </c>
      <c r="I44" s="27" t="s">
        <v>143</v>
      </c>
      <c r="J44" s="27" t="s">
        <v>144</v>
      </c>
      <c r="K44" s="39" t="s">
        <v>2329</v>
      </c>
      <c r="L44" s="41" t="s">
        <v>1953</v>
      </c>
      <c r="M44" s="27"/>
      <c r="N44" s="27"/>
      <c r="O44" s="28" t="s">
        <v>2276</v>
      </c>
    </row>
    <row r="45" spans="1:15" ht="14.25" customHeight="1" x14ac:dyDescent="0.3">
      <c r="A45" s="31">
        <v>46023</v>
      </c>
      <c r="B45" s="27" t="s">
        <v>53</v>
      </c>
      <c r="C45" s="27" t="s">
        <v>2365</v>
      </c>
      <c r="D45" s="27" t="s">
        <v>2366</v>
      </c>
      <c r="E45" s="27" t="s">
        <v>2343</v>
      </c>
      <c r="F45" s="27" t="s">
        <v>2248</v>
      </c>
      <c r="G45" s="27" t="s">
        <v>2259</v>
      </c>
      <c r="H45" s="27" t="s">
        <v>2367</v>
      </c>
      <c r="I45" s="27" t="s">
        <v>143</v>
      </c>
      <c r="J45" s="27" t="s">
        <v>144</v>
      </c>
      <c r="K45" s="39" t="s">
        <v>2368</v>
      </c>
      <c r="L45" s="41" t="s">
        <v>1953</v>
      </c>
      <c r="M45" s="27"/>
      <c r="N45" s="27"/>
      <c r="O45" s="28" t="s">
        <v>2276</v>
      </c>
    </row>
    <row r="46" spans="1:15" ht="14.25" customHeight="1" x14ac:dyDescent="0.3">
      <c r="A46" s="31">
        <v>46023</v>
      </c>
      <c r="B46" s="27" t="s">
        <v>53</v>
      </c>
      <c r="C46" s="27" t="s">
        <v>2369</v>
      </c>
      <c r="D46" s="27" t="s">
        <v>2370</v>
      </c>
      <c r="E46" s="27" t="s">
        <v>2371</v>
      </c>
      <c r="F46" s="27" t="s">
        <v>2248</v>
      </c>
      <c r="G46" s="27" t="s">
        <v>2295</v>
      </c>
      <c r="H46" s="50">
        <v>614000000000</v>
      </c>
      <c r="I46" s="27" t="s">
        <v>116</v>
      </c>
      <c r="J46" s="27" t="s">
        <v>144</v>
      </c>
      <c r="K46" s="39" t="s">
        <v>2368</v>
      </c>
      <c r="L46" s="41" t="s">
        <v>1953</v>
      </c>
      <c r="M46" s="27"/>
      <c r="N46" s="27"/>
      <c r="O46" s="28" t="s">
        <v>2276</v>
      </c>
    </row>
    <row r="47" spans="1:15" ht="15" customHeight="1" x14ac:dyDescent="0.3">
      <c r="A47" s="31">
        <v>46023</v>
      </c>
      <c r="B47" s="27" t="s">
        <v>53</v>
      </c>
      <c r="C47" s="27" t="s">
        <v>2372</v>
      </c>
      <c r="D47" s="27" t="s">
        <v>2373</v>
      </c>
      <c r="E47" s="27" t="s">
        <v>2371</v>
      </c>
      <c r="F47" s="27" t="s">
        <v>2248</v>
      </c>
      <c r="G47" s="27" t="s">
        <v>2259</v>
      </c>
      <c r="H47" s="27" t="s">
        <v>2374</v>
      </c>
      <c r="I47" s="27" t="s">
        <v>116</v>
      </c>
      <c r="J47" s="27" t="s">
        <v>144</v>
      </c>
      <c r="K47" s="39" t="s">
        <v>2368</v>
      </c>
      <c r="L47" s="41" t="s">
        <v>1953</v>
      </c>
      <c r="M47" s="27"/>
      <c r="N47" s="27"/>
      <c r="O47" s="28" t="s">
        <v>2276</v>
      </c>
    </row>
    <row r="48" spans="1:15" ht="15" customHeight="1" x14ac:dyDescent="0.3">
      <c r="A48" s="31">
        <v>46023</v>
      </c>
      <c r="B48" s="27" t="s">
        <v>53</v>
      </c>
      <c r="C48" s="27" t="s">
        <v>2375</v>
      </c>
      <c r="D48" s="27" t="s">
        <v>2376</v>
      </c>
      <c r="E48" s="27" t="s">
        <v>2371</v>
      </c>
      <c r="F48" s="27" t="s">
        <v>2248</v>
      </c>
      <c r="G48" s="27" t="s">
        <v>2295</v>
      </c>
      <c r="H48" s="50">
        <v>16800000000000</v>
      </c>
      <c r="I48" s="27" t="s">
        <v>116</v>
      </c>
      <c r="J48" s="27" t="s">
        <v>144</v>
      </c>
      <c r="K48" s="39" t="s">
        <v>2368</v>
      </c>
      <c r="L48" s="41" t="s">
        <v>1953</v>
      </c>
      <c r="M48" s="27"/>
      <c r="N48" s="27"/>
      <c r="O48" s="28" t="s">
        <v>2276</v>
      </c>
    </row>
    <row r="49" spans="1:15" ht="15" customHeight="1" x14ac:dyDescent="0.3">
      <c r="A49" s="31">
        <v>46023</v>
      </c>
      <c r="B49" s="27" t="s">
        <v>53</v>
      </c>
      <c r="C49" s="27" t="s">
        <v>2377</v>
      </c>
      <c r="D49" s="27" t="s">
        <v>2378</v>
      </c>
      <c r="E49" s="27" t="s">
        <v>2363</v>
      </c>
      <c r="F49" s="27" t="s">
        <v>2248</v>
      </c>
      <c r="G49" s="27" t="s">
        <v>2259</v>
      </c>
      <c r="H49" s="27">
        <v>749431</v>
      </c>
      <c r="I49" s="27" t="s">
        <v>116</v>
      </c>
      <c r="J49" s="27" t="s">
        <v>144</v>
      </c>
      <c r="K49" s="39" t="s">
        <v>2368</v>
      </c>
      <c r="L49" s="41" t="s">
        <v>1953</v>
      </c>
      <c r="M49" s="27"/>
      <c r="N49" s="27"/>
      <c r="O49" s="28" t="s">
        <v>2276</v>
      </c>
    </row>
    <row r="50" spans="1:15" ht="15" customHeight="1" x14ac:dyDescent="0.3">
      <c r="A50" s="31">
        <v>46023</v>
      </c>
      <c r="B50" s="27" t="s">
        <v>53</v>
      </c>
      <c r="C50" s="27" t="s">
        <v>2379</v>
      </c>
      <c r="D50" s="27" t="s">
        <v>2378</v>
      </c>
      <c r="E50" s="27" t="s">
        <v>2363</v>
      </c>
      <c r="F50" s="27" t="s">
        <v>2248</v>
      </c>
      <c r="G50" s="27" t="s">
        <v>2259</v>
      </c>
      <c r="H50" s="27">
        <v>748715</v>
      </c>
      <c r="I50" s="27" t="s">
        <v>116</v>
      </c>
      <c r="J50" s="27" t="s">
        <v>144</v>
      </c>
      <c r="K50" s="39" t="s">
        <v>2368</v>
      </c>
      <c r="L50" s="41" t="s">
        <v>1953</v>
      </c>
      <c r="M50" s="27"/>
      <c r="N50" s="27"/>
      <c r="O50" s="28" t="s">
        <v>2276</v>
      </c>
    </row>
    <row r="51" spans="1:15" ht="15" customHeight="1" x14ac:dyDescent="0.3">
      <c r="A51" s="31">
        <v>46023</v>
      </c>
      <c r="B51" s="27" t="s">
        <v>53</v>
      </c>
      <c r="C51" s="27" t="s">
        <v>2380</v>
      </c>
      <c r="D51" s="27" t="s">
        <v>2362</v>
      </c>
      <c r="E51" s="27" t="s">
        <v>2363</v>
      </c>
      <c r="F51" s="27" t="s">
        <v>2248</v>
      </c>
      <c r="G51" s="27" t="s">
        <v>2249</v>
      </c>
      <c r="H51" s="27" t="s">
        <v>2381</v>
      </c>
      <c r="I51" s="27" t="s">
        <v>143</v>
      </c>
      <c r="J51" s="27" t="s">
        <v>144</v>
      </c>
      <c r="K51" s="39" t="s">
        <v>2368</v>
      </c>
      <c r="L51" s="41" t="s">
        <v>1953</v>
      </c>
      <c r="M51" s="27"/>
      <c r="N51" s="27"/>
      <c r="O51" s="28" t="s">
        <v>2276</v>
      </c>
    </row>
    <row r="52" spans="1:15" ht="15" customHeight="1" x14ac:dyDescent="0.3">
      <c r="A52" s="31">
        <v>46023</v>
      </c>
      <c r="B52" s="27" t="s">
        <v>53</v>
      </c>
      <c r="C52" s="27" t="s">
        <v>2382</v>
      </c>
      <c r="D52" s="27" t="s">
        <v>2362</v>
      </c>
      <c r="E52" s="27" t="s">
        <v>2363</v>
      </c>
      <c r="F52" s="27" t="s">
        <v>2248</v>
      </c>
      <c r="G52" s="27" t="s">
        <v>2249</v>
      </c>
      <c r="H52" s="27" t="s">
        <v>2383</v>
      </c>
      <c r="I52" s="27" t="s">
        <v>143</v>
      </c>
      <c r="J52" s="27" t="s">
        <v>144</v>
      </c>
      <c r="K52" s="39" t="s">
        <v>2368</v>
      </c>
      <c r="L52" s="41" t="s">
        <v>1953</v>
      </c>
      <c r="M52" s="27"/>
      <c r="N52" s="27"/>
      <c r="O52" s="28" t="s">
        <v>2276</v>
      </c>
    </row>
    <row r="53" spans="1:15" ht="15" customHeight="1" x14ac:dyDescent="0.3">
      <c r="A53" s="31">
        <v>46023</v>
      </c>
      <c r="B53" s="27" t="s">
        <v>53</v>
      </c>
      <c r="C53" s="27" t="s">
        <v>2384</v>
      </c>
      <c r="D53" s="27" t="s">
        <v>2385</v>
      </c>
      <c r="E53" s="27" t="s">
        <v>2343</v>
      </c>
      <c r="F53" s="27" t="s">
        <v>2248</v>
      </c>
      <c r="G53" s="27" t="s">
        <v>2259</v>
      </c>
      <c r="H53" s="27">
        <v>10661402584</v>
      </c>
      <c r="I53" s="27" t="s">
        <v>143</v>
      </c>
      <c r="J53" s="27" t="s">
        <v>144</v>
      </c>
      <c r="K53" s="39" t="s">
        <v>2368</v>
      </c>
      <c r="L53" s="41" t="s">
        <v>1953</v>
      </c>
      <c r="M53" s="27"/>
      <c r="N53" s="27"/>
      <c r="O53" s="28" t="s">
        <v>2276</v>
      </c>
    </row>
    <row r="54" spans="1:15" ht="15" customHeight="1" x14ac:dyDescent="0.3">
      <c r="A54" s="31">
        <v>46023</v>
      </c>
      <c r="B54" s="27" t="s">
        <v>53</v>
      </c>
      <c r="C54" s="27" t="s">
        <v>2386</v>
      </c>
      <c r="D54" s="27" t="s">
        <v>2387</v>
      </c>
      <c r="E54" s="27" t="s">
        <v>2343</v>
      </c>
      <c r="F54" s="27" t="s">
        <v>2248</v>
      </c>
      <c r="G54" s="27" t="s">
        <v>2259</v>
      </c>
      <c r="H54" s="27" t="s">
        <v>2388</v>
      </c>
      <c r="I54" s="27" t="s">
        <v>143</v>
      </c>
      <c r="J54" s="27" t="s">
        <v>144</v>
      </c>
      <c r="K54" s="39" t="s">
        <v>2368</v>
      </c>
      <c r="L54" s="41" t="s">
        <v>1953</v>
      </c>
      <c r="M54" s="27"/>
      <c r="N54" s="27"/>
      <c r="O54" s="28" t="s">
        <v>2276</v>
      </c>
    </row>
    <row r="55" spans="1:15" ht="15" customHeight="1" x14ac:dyDescent="0.3">
      <c r="A55" s="31">
        <v>46023</v>
      </c>
      <c r="B55" s="27" t="s">
        <v>53</v>
      </c>
      <c r="C55" s="27" t="s">
        <v>2389</v>
      </c>
      <c r="D55" s="27" t="s">
        <v>2390</v>
      </c>
      <c r="E55" s="27" t="s">
        <v>2391</v>
      </c>
      <c r="F55" s="27" t="s">
        <v>2248</v>
      </c>
      <c r="G55" s="27" t="s">
        <v>2259</v>
      </c>
      <c r="H55" s="27" t="s">
        <v>2392</v>
      </c>
      <c r="I55" s="27" t="s">
        <v>143</v>
      </c>
      <c r="J55" s="27" t="s">
        <v>144</v>
      </c>
      <c r="K55" s="39" t="s">
        <v>2368</v>
      </c>
      <c r="L55" s="41" t="s">
        <v>1953</v>
      </c>
      <c r="M55" s="27"/>
      <c r="N55" s="27"/>
      <c r="O55" s="28" t="s">
        <v>2276</v>
      </c>
    </row>
    <row r="56" spans="1:15" ht="15" customHeight="1" x14ac:dyDescent="0.3">
      <c r="A56" s="31">
        <v>46023</v>
      </c>
      <c r="B56" s="27" t="s">
        <v>53</v>
      </c>
      <c r="C56" s="27" t="s">
        <v>2393</v>
      </c>
      <c r="D56" s="27" t="s">
        <v>2394</v>
      </c>
      <c r="E56" s="27" t="s">
        <v>59</v>
      </c>
      <c r="F56" s="27" t="s">
        <v>2248</v>
      </c>
      <c r="G56" s="27" t="s">
        <v>2249</v>
      </c>
      <c r="H56" s="27" t="s">
        <v>59</v>
      </c>
      <c r="I56" s="27" t="s">
        <v>143</v>
      </c>
      <c r="J56" s="27" t="s">
        <v>144</v>
      </c>
      <c r="K56" s="39" t="s">
        <v>2395</v>
      </c>
      <c r="L56" s="41" t="s">
        <v>1953</v>
      </c>
      <c r="M56" s="27"/>
      <c r="N56" s="27"/>
      <c r="O56" s="28" t="s">
        <v>2276</v>
      </c>
    </row>
    <row r="57" spans="1:15" ht="15" customHeight="1" x14ac:dyDescent="0.3">
      <c r="A57" s="31">
        <v>46023</v>
      </c>
      <c r="B57" s="27" t="s">
        <v>53</v>
      </c>
      <c r="C57" s="27" t="s">
        <v>2396</v>
      </c>
      <c r="D57" s="27" t="s">
        <v>2397</v>
      </c>
      <c r="E57" s="27" t="s">
        <v>59</v>
      </c>
      <c r="F57" s="27" t="s">
        <v>2248</v>
      </c>
      <c r="G57" s="27" t="s">
        <v>2249</v>
      </c>
      <c r="H57" s="27" t="s">
        <v>59</v>
      </c>
      <c r="I57" s="27" t="s">
        <v>143</v>
      </c>
      <c r="J57" s="27" t="s">
        <v>144</v>
      </c>
      <c r="K57" s="39" t="s">
        <v>2395</v>
      </c>
      <c r="L57" s="41" t="s">
        <v>1953</v>
      </c>
      <c r="M57" s="27"/>
      <c r="N57" s="27"/>
      <c r="O57" s="28" t="s">
        <v>2276</v>
      </c>
    </row>
    <row r="58" spans="1:15" ht="15" customHeight="1" x14ac:dyDescent="0.3">
      <c r="A58" s="31">
        <v>46023</v>
      </c>
      <c r="B58" s="27" t="s">
        <v>53</v>
      </c>
      <c r="C58" s="27" t="s">
        <v>2237</v>
      </c>
      <c r="D58" s="27" t="s">
        <v>2238</v>
      </c>
      <c r="E58" s="27" t="s">
        <v>59</v>
      </c>
      <c r="F58" s="27" t="s">
        <v>2239</v>
      </c>
      <c r="G58" s="27" t="s">
        <v>2240</v>
      </c>
      <c r="H58" s="27" t="s">
        <v>59</v>
      </c>
      <c r="I58" s="27" t="s">
        <v>60</v>
      </c>
      <c r="J58" s="27" t="s">
        <v>144</v>
      </c>
      <c r="K58" s="39" t="s">
        <v>328</v>
      </c>
      <c r="L58" s="41" t="s">
        <v>1632</v>
      </c>
      <c r="M58" s="27"/>
      <c r="N58" s="27"/>
      <c r="O58" s="28" t="s">
        <v>2276</v>
      </c>
    </row>
    <row r="59" spans="1:15" ht="15" customHeight="1" x14ac:dyDescent="0.3">
      <c r="A59" s="31">
        <v>46023</v>
      </c>
      <c r="B59" s="27" t="s">
        <v>53</v>
      </c>
      <c r="C59" s="27" t="s">
        <v>2241</v>
      </c>
      <c r="D59" s="27" t="s">
        <v>2238</v>
      </c>
      <c r="E59" s="27" t="s">
        <v>59</v>
      </c>
      <c r="F59" s="27" t="s">
        <v>2239</v>
      </c>
      <c r="G59" s="27" t="s">
        <v>2240</v>
      </c>
      <c r="H59" s="27" t="s">
        <v>59</v>
      </c>
      <c r="I59" s="27" t="s">
        <v>116</v>
      </c>
      <c r="J59" s="27" t="s">
        <v>144</v>
      </c>
      <c r="K59" s="39" t="s">
        <v>328</v>
      </c>
      <c r="L59" s="41" t="s">
        <v>1632</v>
      </c>
      <c r="M59" s="27"/>
      <c r="N59" s="27"/>
      <c r="O59" s="28" t="s">
        <v>2276</v>
      </c>
    </row>
    <row r="60" spans="1:15" ht="15" customHeight="1" x14ac:dyDescent="0.3">
      <c r="A60" s="31">
        <v>46023</v>
      </c>
      <c r="B60" s="27" t="s">
        <v>53</v>
      </c>
      <c r="C60" s="27" t="s">
        <v>2242</v>
      </c>
      <c r="D60" s="27" t="s">
        <v>2243</v>
      </c>
      <c r="E60" s="27" t="s">
        <v>2244</v>
      </c>
      <c r="F60" s="27" t="s">
        <v>2239</v>
      </c>
      <c r="G60" s="27" t="s">
        <v>2240</v>
      </c>
      <c r="H60" s="27" t="s">
        <v>59</v>
      </c>
      <c r="I60" s="27" t="s">
        <v>60</v>
      </c>
      <c r="J60" s="27" t="s">
        <v>144</v>
      </c>
      <c r="K60" s="39" t="s">
        <v>328</v>
      </c>
      <c r="L60" s="41" t="s">
        <v>1632</v>
      </c>
      <c r="M60" s="27"/>
      <c r="N60" s="27"/>
      <c r="O60" s="28" t="s">
        <v>2276</v>
      </c>
    </row>
    <row r="61" spans="1:15" ht="15" customHeight="1" x14ac:dyDescent="0.3">
      <c r="A61" s="31">
        <v>46023</v>
      </c>
      <c r="B61" s="27" t="s">
        <v>53</v>
      </c>
      <c r="C61" s="27" t="s">
        <v>2245</v>
      </c>
      <c r="D61" s="27" t="s">
        <v>131</v>
      </c>
      <c r="E61" s="27" t="s">
        <v>59</v>
      </c>
      <c r="F61" s="27" t="s">
        <v>2239</v>
      </c>
      <c r="G61" s="27" t="s">
        <v>2240</v>
      </c>
      <c r="H61" s="27" t="s">
        <v>59</v>
      </c>
      <c r="I61" s="27" t="s">
        <v>60</v>
      </c>
      <c r="J61" s="27" t="s">
        <v>127</v>
      </c>
      <c r="K61" s="39" t="s">
        <v>1980</v>
      </c>
      <c r="L61" s="41" t="s">
        <v>1632</v>
      </c>
      <c r="M61" s="27"/>
      <c r="N61" s="27"/>
      <c r="O61" s="28" t="s">
        <v>2276</v>
      </c>
    </row>
    <row r="62" spans="1:15" ht="15" customHeight="1" x14ac:dyDescent="0.3">
      <c r="A62" s="31">
        <v>46023</v>
      </c>
      <c r="B62" s="27" t="s">
        <v>53</v>
      </c>
      <c r="C62" s="27" t="s">
        <v>2398</v>
      </c>
      <c r="D62" s="27" t="s">
        <v>2399</v>
      </c>
      <c r="E62" s="27" t="s">
        <v>2400</v>
      </c>
      <c r="F62" s="27" t="s">
        <v>2239</v>
      </c>
      <c r="G62" s="27" t="s">
        <v>2401</v>
      </c>
      <c r="H62" s="27" t="s">
        <v>59</v>
      </c>
      <c r="I62" s="27" t="s">
        <v>116</v>
      </c>
      <c r="J62" s="27" t="s">
        <v>144</v>
      </c>
      <c r="K62" s="39" t="s">
        <v>2402</v>
      </c>
      <c r="L62" s="41" t="s">
        <v>1487</v>
      </c>
      <c r="M62" s="27"/>
      <c r="N62" s="27"/>
      <c r="O62" s="28" t="s">
        <v>2276</v>
      </c>
    </row>
    <row r="63" spans="1:15" ht="15" customHeight="1" x14ac:dyDescent="0.3">
      <c r="A63" s="31">
        <v>46023</v>
      </c>
      <c r="B63" s="27" t="s">
        <v>53</v>
      </c>
      <c r="C63" s="27" t="s">
        <v>2403</v>
      </c>
      <c r="D63" s="27" t="s">
        <v>2404</v>
      </c>
      <c r="E63" s="27" t="s">
        <v>2400</v>
      </c>
      <c r="F63" s="27" t="s">
        <v>2239</v>
      </c>
      <c r="G63" s="27" t="s">
        <v>2401</v>
      </c>
      <c r="H63" s="27" t="s">
        <v>59</v>
      </c>
      <c r="I63" s="27" t="s">
        <v>116</v>
      </c>
      <c r="J63" s="27" t="s">
        <v>144</v>
      </c>
      <c r="K63" s="39" t="s">
        <v>2402</v>
      </c>
      <c r="L63" s="41" t="s">
        <v>1487</v>
      </c>
      <c r="M63" s="27"/>
      <c r="N63" s="27"/>
      <c r="O63" s="28" t="s">
        <v>2276</v>
      </c>
    </row>
    <row r="64" spans="1:15" ht="15" customHeight="1" x14ac:dyDescent="0.3">
      <c r="A64" s="31">
        <v>46023</v>
      </c>
      <c r="B64" s="27" t="s">
        <v>53</v>
      </c>
      <c r="C64" s="27" t="s">
        <v>2405</v>
      </c>
      <c r="D64" s="27" t="s">
        <v>2406</v>
      </c>
      <c r="E64" s="27" t="s">
        <v>59</v>
      </c>
      <c r="F64" s="27" t="s">
        <v>2239</v>
      </c>
      <c r="G64" s="27" t="s">
        <v>2240</v>
      </c>
      <c r="H64" s="27" t="s">
        <v>59</v>
      </c>
      <c r="I64" s="27" t="s">
        <v>143</v>
      </c>
      <c r="J64" s="27" t="s">
        <v>144</v>
      </c>
      <c r="K64" s="39" t="s">
        <v>2402</v>
      </c>
      <c r="L64" s="41" t="s">
        <v>1487</v>
      </c>
      <c r="M64" s="27"/>
      <c r="N64" s="27"/>
      <c r="O64" s="28" t="s">
        <v>2276</v>
      </c>
    </row>
    <row r="65" spans="1:15" ht="15" customHeight="1" x14ac:dyDescent="0.3">
      <c r="A65" s="31">
        <v>46023</v>
      </c>
      <c r="B65" s="27" t="s">
        <v>53</v>
      </c>
      <c r="C65" s="27" t="s">
        <v>2407</v>
      </c>
      <c r="D65" s="27" t="s">
        <v>2408</v>
      </c>
      <c r="E65" s="27" t="s">
        <v>2409</v>
      </c>
      <c r="F65" s="27" t="s">
        <v>2239</v>
      </c>
      <c r="G65" s="27" t="s">
        <v>2401</v>
      </c>
      <c r="H65" s="27" t="s">
        <v>59</v>
      </c>
      <c r="I65" s="27" t="s">
        <v>116</v>
      </c>
      <c r="J65" s="27" t="s">
        <v>144</v>
      </c>
      <c r="K65" s="39" t="s">
        <v>2410</v>
      </c>
      <c r="L65" s="41" t="s">
        <v>1487</v>
      </c>
      <c r="M65" s="27"/>
      <c r="N65" s="27"/>
      <c r="O65" s="28" t="s">
        <v>2276</v>
      </c>
    </row>
    <row r="66" spans="1:15" ht="15" customHeight="1" x14ac:dyDescent="0.3">
      <c r="A66" s="31">
        <v>46023</v>
      </c>
      <c r="B66" s="27" t="s">
        <v>53</v>
      </c>
      <c r="C66" s="27" t="s">
        <v>2411</v>
      </c>
      <c r="D66" s="27" t="s">
        <v>2412</v>
      </c>
      <c r="E66" s="27" t="s">
        <v>2413</v>
      </c>
      <c r="F66" s="27" t="s">
        <v>2239</v>
      </c>
      <c r="G66" s="27" t="s">
        <v>2401</v>
      </c>
      <c r="H66" s="27" t="s">
        <v>59</v>
      </c>
      <c r="I66" s="27" t="s">
        <v>143</v>
      </c>
      <c r="J66" s="27" t="s">
        <v>144</v>
      </c>
      <c r="K66" s="39" t="s">
        <v>2410</v>
      </c>
      <c r="L66" s="41" t="s">
        <v>1487</v>
      </c>
      <c r="M66" s="27"/>
      <c r="N66" s="27"/>
      <c r="O66" s="28" t="s">
        <v>2276</v>
      </c>
    </row>
    <row r="67" spans="1:15" ht="15" customHeight="1" x14ac:dyDescent="0.3">
      <c r="A67" s="31">
        <v>46023</v>
      </c>
      <c r="B67" s="27" t="s">
        <v>53</v>
      </c>
      <c r="C67" s="27" t="s">
        <v>2414</v>
      </c>
      <c r="D67" s="27" t="s">
        <v>2415</v>
      </c>
      <c r="E67" s="27" t="s">
        <v>2416</v>
      </c>
      <c r="F67" s="27" t="s">
        <v>2239</v>
      </c>
      <c r="G67" s="27" t="s">
        <v>2401</v>
      </c>
      <c r="H67" s="27" t="s">
        <v>59</v>
      </c>
      <c r="I67" s="27" t="s">
        <v>116</v>
      </c>
      <c r="J67" s="27" t="s">
        <v>144</v>
      </c>
      <c r="K67" s="39" t="s">
        <v>2410</v>
      </c>
      <c r="L67" s="41" t="s">
        <v>1487</v>
      </c>
      <c r="M67" s="27"/>
      <c r="N67" s="27"/>
      <c r="O67" s="28" t="s">
        <v>2276</v>
      </c>
    </row>
    <row r="68" spans="1:15" ht="15" customHeight="1" x14ac:dyDescent="0.3">
      <c r="A68" s="31">
        <v>46023</v>
      </c>
      <c r="B68" s="27" t="s">
        <v>53</v>
      </c>
      <c r="C68" s="27" t="s">
        <v>2417</v>
      </c>
      <c r="D68" s="27" t="s">
        <v>2418</v>
      </c>
      <c r="E68" s="27" t="s">
        <v>2419</v>
      </c>
      <c r="F68" s="27" t="s">
        <v>2239</v>
      </c>
      <c r="G68" s="27" t="s">
        <v>2401</v>
      </c>
      <c r="H68" s="27" t="s">
        <v>59</v>
      </c>
      <c r="I68" s="27" t="s">
        <v>116</v>
      </c>
      <c r="J68" s="27" t="s">
        <v>144</v>
      </c>
      <c r="K68" s="39" t="s">
        <v>2410</v>
      </c>
      <c r="L68" s="41" t="s">
        <v>1487</v>
      </c>
      <c r="M68" s="27"/>
      <c r="N68" s="27"/>
      <c r="O68" s="28" t="s">
        <v>2276</v>
      </c>
    </row>
    <row r="69" spans="1:15" ht="15" customHeight="1" x14ac:dyDescent="0.3">
      <c r="A69" s="31">
        <v>46023</v>
      </c>
      <c r="B69" s="27" t="s">
        <v>53</v>
      </c>
      <c r="C69" s="27" t="s">
        <v>2420</v>
      </c>
      <c r="D69" s="27" t="s">
        <v>2421</v>
      </c>
      <c r="E69" s="27" t="s">
        <v>2419</v>
      </c>
      <c r="F69" s="27" t="s">
        <v>2239</v>
      </c>
      <c r="G69" s="27" t="s">
        <v>2401</v>
      </c>
      <c r="H69" s="27" t="s">
        <v>59</v>
      </c>
      <c r="I69" s="27" t="s">
        <v>116</v>
      </c>
      <c r="J69" s="27" t="s">
        <v>144</v>
      </c>
      <c r="K69" s="39" t="s">
        <v>2410</v>
      </c>
      <c r="L69" s="41" t="s">
        <v>1487</v>
      </c>
      <c r="M69" s="27"/>
      <c r="N69" s="27"/>
      <c r="O69" s="28" t="s">
        <v>2276</v>
      </c>
    </row>
    <row r="70" spans="1:15" ht="15" customHeight="1" x14ac:dyDescent="0.3">
      <c r="A70" s="31">
        <v>46023</v>
      </c>
      <c r="B70" s="27" t="s">
        <v>53</v>
      </c>
      <c r="C70" s="27" t="s">
        <v>2422</v>
      </c>
      <c r="D70" s="27" t="s">
        <v>2423</v>
      </c>
      <c r="E70" s="27" t="s">
        <v>2419</v>
      </c>
      <c r="F70" s="27" t="s">
        <v>2239</v>
      </c>
      <c r="G70" s="27" t="s">
        <v>2401</v>
      </c>
      <c r="H70" s="27" t="s">
        <v>59</v>
      </c>
      <c r="I70" s="27" t="s">
        <v>116</v>
      </c>
      <c r="J70" s="27" t="s">
        <v>144</v>
      </c>
      <c r="K70" s="39" t="s">
        <v>2410</v>
      </c>
      <c r="L70" s="41" t="s">
        <v>1487</v>
      </c>
      <c r="M70" s="27"/>
      <c r="N70" s="27"/>
      <c r="O70" s="28" t="s">
        <v>2276</v>
      </c>
    </row>
    <row r="71" spans="1:15" ht="15" customHeight="1" x14ac:dyDescent="0.3">
      <c r="A71" s="31">
        <v>46023</v>
      </c>
      <c r="B71" s="27" t="s">
        <v>53</v>
      </c>
      <c r="C71" s="27" t="s">
        <v>2424</v>
      </c>
      <c r="D71" s="27" t="s">
        <v>2425</v>
      </c>
      <c r="E71" s="27" t="s">
        <v>2426</v>
      </c>
      <c r="F71" s="27" t="s">
        <v>2239</v>
      </c>
      <c r="G71" s="27" t="s">
        <v>2401</v>
      </c>
      <c r="H71" s="27" t="s">
        <v>59</v>
      </c>
      <c r="I71" s="27" t="s">
        <v>143</v>
      </c>
      <c r="J71" s="27" t="s">
        <v>144</v>
      </c>
      <c r="K71" s="39" t="s">
        <v>2427</v>
      </c>
      <c r="L71" s="41" t="s">
        <v>1487</v>
      </c>
      <c r="M71" s="27"/>
      <c r="N71" s="27"/>
      <c r="O71" s="28" t="s">
        <v>2276</v>
      </c>
    </row>
    <row r="72" spans="1:15" ht="15" customHeight="1" x14ac:dyDescent="0.3">
      <c r="A72" s="31">
        <v>46023</v>
      </c>
      <c r="B72" s="27" t="s">
        <v>53</v>
      </c>
      <c r="C72" s="27" t="s">
        <v>2154</v>
      </c>
      <c r="D72" s="27" t="s">
        <v>2155</v>
      </c>
      <c r="E72" s="27" t="s">
        <v>59</v>
      </c>
      <c r="F72" s="27" t="s">
        <v>2156</v>
      </c>
      <c r="G72" s="27" t="s">
        <v>2157</v>
      </c>
      <c r="H72" s="27" t="s">
        <v>59</v>
      </c>
      <c r="I72" s="27" t="s">
        <v>468</v>
      </c>
      <c r="J72" s="27" t="s">
        <v>144</v>
      </c>
      <c r="K72" s="39" t="s">
        <v>328</v>
      </c>
      <c r="L72" s="41" t="s">
        <v>1632</v>
      </c>
      <c r="M72" s="27"/>
      <c r="N72" s="27"/>
      <c r="O72" s="28" t="s">
        <v>2276</v>
      </c>
    </row>
    <row r="73" spans="1:15" ht="15" customHeight="1" x14ac:dyDescent="0.3">
      <c r="A73" s="31">
        <v>46023</v>
      </c>
      <c r="B73" s="27" t="s">
        <v>53</v>
      </c>
      <c r="C73" s="27" t="s">
        <v>2158</v>
      </c>
      <c r="D73" s="27" t="s">
        <v>2159</v>
      </c>
      <c r="E73" s="27" t="s">
        <v>59</v>
      </c>
      <c r="F73" s="27" t="s">
        <v>2156</v>
      </c>
      <c r="G73" s="27" t="s">
        <v>2157</v>
      </c>
      <c r="H73" s="27" t="s">
        <v>59</v>
      </c>
      <c r="I73" s="27" t="s">
        <v>60</v>
      </c>
      <c r="J73" s="27" t="s">
        <v>228</v>
      </c>
      <c r="K73" s="39" t="s">
        <v>328</v>
      </c>
      <c r="L73" s="41" t="s">
        <v>395</v>
      </c>
      <c r="M73" s="27"/>
      <c r="N73" s="27"/>
      <c r="O73" s="28" t="s">
        <v>2276</v>
      </c>
    </row>
    <row r="74" spans="1:15" ht="15" customHeight="1" x14ac:dyDescent="0.3">
      <c r="A74" s="31">
        <v>46023</v>
      </c>
      <c r="B74" s="27" t="s">
        <v>53</v>
      </c>
      <c r="C74" s="27" t="s">
        <v>2160</v>
      </c>
      <c r="D74" s="27" t="s">
        <v>2161</v>
      </c>
      <c r="E74" s="27" t="s">
        <v>59</v>
      </c>
      <c r="F74" s="27" t="s">
        <v>2156</v>
      </c>
      <c r="G74" s="27" t="s">
        <v>2157</v>
      </c>
      <c r="H74" s="27" t="s">
        <v>59</v>
      </c>
      <c r="I74" s="27" t="s">
        <v>116</v>
      </c>
      <c r="J74" s="27" t="s">
        <v>61</v>
      </c>
      <c r="K74" s="39" t="s">
        <v>328</v>
      </c>
      <c r="L74" s="41" t="s">
        <v>395</v>
      </c>
      <c r="M74" s="27"/>
      <c r="N74" s="27"/>
      <c r="O74" s="28" t="s">
        <v>2276</v>
      </c>
    </row>
    <row r="75" spans="1:15" ht="15" customHeight="1" x14ac:dyDescent="0.3">
      <c r="A75" s="31">
        <v>46023</v>
      </c>
      <c r="B75" s="27" t="s">
        <v>53</v>
      </c>
      <c r="C75" s="27" t="s">
        <v>2162</v>
      </c>
      <c r="D75" s="27" t="s">
        <v>2163</v>
      </c>
      <c r="E75" s="27" t="s">
        <v>59</v>
      </c>
      <c r="F75" s="27" t="s">
        <v>2156</v>
      </c>
      <c r="G75" s="27" t="s">
        <v>2157</v>
      </c>
      <c r="H75" s="27" t="s">
        <v>59</v>
      </c>
      <c r="I75" s="27" t="s">
        <v>116</v>
      </c>
      <c r="J75" s="27" t="s">
        <v>61</v>
      </c>
      <c r="K75" s="39" t="s">
        <v>328</v>
      </c>
      <c r="L75" s="41" t="s">
        <v>395</v>
      </c>
      <c r="M75" s="27"/>
      <c r="N75" s="27"/>
      <c r="O75" s="28" t="s">
        <v>2276</v>
      </c>
    </row>
    <row r="76" spans="1:15" ht="15" customHeight="1" x14ac:dyDescent="0.3">
      <c r="A76" s="31">
        <v>46023</v>
      </c>
      <c r="B76" s="27" t="s">
        <v>53</v>
      </c>
      <c r="C76" s="27" t="s">
        <v>2164</v>
      </c>
      <c r="D76" s="27" t="s">
        <v>2165</v>
      </c>
      <c r="E76" s="27" t="s">
        <v>59</v>
      </c>
      <c r="F76" s="27" t="s">
        <v>2156</v>
      </c>
      <c r="G76" s="27" t="s">
        <v>2157</v>
      </c>
      <c r="H76" s="27" t="s">
        <v>59</v>
      </c>
      <c r="I76" s="27" t="s">
        <v>116</v>
      </c>
      <c r="J76" s="27" t="s">
        <v>61</v>
      </c>
      <c r="K76" s="39" t="s">
        <v>328</v>
      </c>
      <c r="L76" s="41" t="s">
        <v>395</v>
      </c>
      <c r="M76" s="27"/>
      <c r="N76" s="27"/>
      <c r="O76" s="28" t="s">
        <v>2276</v>
      </c>
    </row>
    <row r="77" spans="1:15" ht="15" customHeight="1" x14ac:dyDescent="0.3">
      <c r="A77" s="31">
        <v>46023</v>
      </c>
      <c r="B77" s="27" t="s">
        <v>53</v>
      </c>
      <c r="C77" s="27" t="s">
        <v>2166</v>
      </c>
      <c r="D77" s="27" t="s">
        <v>2167</v>
      </c>
      <c r="E77" s="27" t="s">
        <v>59</v>
      </c>
      <c r="F77" s="27" t="s">
        <v>2156</v>
      </c>
      <c r="G77" s="27" t="s">
        <v>2157</v>
      </c>
      <c r="H77" s="27" t="s">
        <v>59</v>
      </c>
      <c r="I77" s="27" t="s">
        <v>116</v>
      </c>
      <c r="J77" s="27" t="s">
        <v>61</v>
      </c>
      <c r="K77" s="39" t="s">
        <v>328</v>
      </c>
      <c r="L77" s="41" t="s">
        <v>395</v>
      </c>
      <c r="M77" s="27"/>
      <c r="N77" s="27"/>
      <c r="O77" s="28" t="s">
        <v>2276</v>
      </c>
    </row>
    <row r="78" spans="1:15" ht="15" customHeight="1" x14ac:dyDescent="0.3">
      <c r="A78" s="31">
        <v>46023</v>
      </c>
      <c r="B78" s="27" t="s">
        <v>53</v>
      </c>
      <c r="C78" s="27" t="s">
        <v>2168</v>
      </c>
      <c r="D78" s="27" t="s">
        <v>2169</v>
      </c>
      <c r="E78" s="27" t="s">
        <v>59</v>
      </c>
      <c r="F78" s="27" t="s">
        <v>2156</v>
      </c>
      <c r="G78" s="27" t="s">
        <v>2157</v>
      </c>
      <c r="H78" s="27" t="s">
        <v>59</v>
      </c>
      <c r="I78" s="27" t="s">
        <v>116</v>
      </c>
      <c r="J78" s="27" t="s">
        <v>61</v>
      </c>
      <c r="K78" s="39" t="s">
        <v>328</v>
      </c>
      <c r="L78" s="41" t="s">
        <v>395</v>
      </c>
      <c r="M78" s="27"/>
      <c r="N78" s="27"/>
      <c r="O78" s="28" t="s">
        <v>2276</v>
      </c>
    </row>
    <row r="79" spans="1:15" ht="15" customHeight="1" x14ac:dyDescent="0.3">
      <c r="A79" s="31">
        <v>46023</v>
      </c>
      <c r="B79" s="27" t="s">
        <v>53</v>
      </c>
      <c r="C79" s="27" t="s">
        <v>2170</v>
      </c>
      <c r="D79" s="27" t="s">
        <v>2171</v>
      </c>
      <c r="E79" s="27" t="s">
        <v>59</v>
      </c>
      <c r="F79" s="27" t="s">
        <v>2156</v>
      </c>
      <c r="G79" s="27" t="s">
        <v>2157</v>
      </c>
      <c r="H79" s="27" t="s">
        <v>59</v>
      </c>
      <c r="I79" s="27" t="s">
        <v>116</v>
      </c>
      <c r="J79" s="27" t="s">
        <v>61</v>
      </c>
      <c r="K79" s="39" t="s">
        <v>328</v>
      </c>
      <c r="L79" s="41" t="s">
        <v>395</v>
      </c>
      <c r="M79" s="27"/>
      <c r="N79" s="27"/>
      <c r="O79" s="28" t="s">
        <v>2276</v>
      </c>
    </row>
    <row r="80" spans="1:15" ht="15" customHeight="1" x14ac:dyDescent="0.3">
      <c r="A80" s="31">
        <v>46023</v>
      </c>
      <c r="B80" s="27" t="s">
        <v>53</v>
      </c>
      <c r="C80" s="27" t="s">
        <v>2172</v>
      </c>
      <c r="D80" s="27" t="s">
        <v>2173</v>
      </c>
      <c r="E80" s="27" t="s">
        <v>59</v>
      </c>
      <c r="F80" s="27" t="s">
        <v>2156</v>
      </c>
      <c r="G80" s="27" t="s">
        <v>2157</v>
      </c>
      <c r="H80" s="27" t="s">
        <v>59</v>
      </c>
      <c r="I80" s="27" t="s">
        <v>60</v>
      </c>
      <c r="J80" s="27" t="s">
        <v>61</v>
      </c>
      <c r="K80" s="39" t="s">
        <v>328</v>
      </c>
      <c r="L80" s="41" t="s">
        <v>395</v>
      </c>
      <c r="M80" s="27"/>
      <c r="N80" s="27"/>
      <c r="O80" s="28" t="s">
        <v>2276</v>
      </c>
    </row>
    <row r="81" spans="1:15" ht="15" customHeight="1" x14ac:dyDescent="0.3">
      <c r="A81" s="31">
        <v>46023</v>
      </c>
      <c r="B81" s="27" t="s">
        <v>53</v>
      </c>
      <c r="C81" s="27" t="s">
        <v>2174</v>
      </c>
      <c r="D81" s="27" t="s">
        <v>2175</v>
      </c>
      <c r="E81" s="27" t="s">
        <v>59</v>
      </c>
      <c r="F81" s="27" t="s">
        <v>2156</v>
      </c>
      <c r="G81" s="27" t="s">
        <v>2157</v>
      </c>
      <c r="H81" s="27" t="s">
        <v>59</v>
      </c>
      <c r="I81" s="27" t="s">
        <v>116</v>
      </c>
      <c r="J81" s="27" t="s">
        <v>61</v>
      </c>
      <c r="K81" s="39" t="s">
        <v>328</v>
      </c>
      <c r="L81" s="41" t="s">
        <v>395</v>
      </c>
      <c r="M81" s="27"/>
      <c r="N81" s="27"/>
      <c r="O81" s="28" t="s">
        <v>2276</v>
      </c>
    </row>
    <row r="82" spans="1:15" ht="15" customHeight="1" x14ac:dyDescent="0.3">
      <c r="A82" s="31">
        <v>46023</v>
      </c>
      <c r="B82" s="27" t="s">
        <v>53</v>
      </c>
      <c r="C82" s="27" t="s">
        <v>2176</v>
      </c>
      <c r="D82" s="27" t="s">
        <v>2177</v>
      </c>
      <c r="E82" s="27" t="s">
        <v>59</v>
      </c>
      <c r="F82" s="27" t="s">
        <v>2156</v>
      </c>
      <c r="G82" s="27" t="s">
        <v>2157</v>
      </c>
      <c r="H82" s="27" t="s">
        <v>59</v>
      </c>
      <c r="I82" s="27" t="s">
        <v>60</v>
      </c>
      <c r="J82" s="27" t="s">
        <v>61</v>
      </c>
      <c r="K82" s="39" t="s">
        <v>328</v>
      </c>
      <c r="L82" s="41" t="s">
        <v>395</v>
      </c>
      <c r="M82" s="27"/>
      <c r="N82" s="27"/>
      <c r="O82" s="28" t="s">
        <v>2276</v>
      </c>
    </row>
    <row r="83" spans="1:15" ht="15" customHeight="1" x14ac:dyDescent="0.3">
      <c r="A83" s="31">
        <v>46023</v>
      </c>
      <c r="B83" s="27" t="s">
        <v>53</v>
      </c>
      <c r="C83" s="27" t="s">
        <v>2178</v>
      </c>
      <c r="D83" s="27" t="s">
        <v>2179</v>
      </c>
      <c r="E83" s="27" t="s">
        <v>59</v>
      </c>
      <c r="F83" s="27" t="s">
        <v>2156</v>
      </c>
      <c r="G83" s="27" t="s">
        <v>2157</v>
      </c>
      <c r="H83" s="27" t="s">
        <v>59</v>
      </c>
      <c r="I83" s="27" t="s">
        <v>60</v>
      </c>
      <c r="J83" s="27" t="s">
        <v>61</v>
      </c>
      <c r="K83" s="39" t="s">
        <v>328</v>
      </c>
      <c r="L83" s="41" t="s">
        <v>395</v>
      </c>
      <c r="M83" s="27"/>
      <c r="N83" s="27"/>
      <c r="O83" s="28" t="s">
        <v>2276</v>
      </c>
    </row>
    <row r="84" spans="1:15" ht="15" customHeight="1" x14ac:dyDescent="0.3">
      <c r="A84" s="31">
        <v>46023</v>
      </c>
      <c r="B84" s="27" t="s">
        <v>53</v>
      </c>
      <c r="C84" s="27" t="s">
        <v>2180</v>
      </c>
      <c r="D84" s="27" t="s">
        <v>2181</v>
      </c>
      <c r="E84" s="27" t="s">
        <v>59</v>
      </c>
      <c r="F84" s="27" t="s">
        <v>2156</v>
      </c>
      <c r="G84" s="27" t="s">
        <v>2157</v>
      </c>
      <c r="H84" s="27" t="s">
        <v>59</v>
      </c>
      <c r="I84" s="27" t="s">
        <v>116</v>
      </c>
      <c r="J84" s="27" t="s">
        <v>61</v>
      </c>
      <c r="K84" s="39" t="s">
        <v>328</v>
      </c>
      <c r="L84" s="41" t="s">
        <v>395</v>
      </c>
      <c r="M84" s="27"/>
      <c r="N84" s="27"/>
      <c r="O84" s="28" t="s">
        <v>2276</v>
      </c>
    </row>
    <row r="85" spans="1:15" ht="15" customHeight="1" x14ac:dyDescent="0.3">
      <c r="A85" s="31">
        <v>46023</v>
      </c>
      <c r="B85" s="27" t="s">
        <v>53</v>
      </c>
      <c r="C85" s="27" t="s">
        <v>2182</v>
      </c>
      <c r="D85" s="27" t="s">
        <v>2183</v>
      </c>
      <c r="E85" s="27" t="s">
        <v>59</v>
      </c>
      <c r="F85" s="27" t="s">
        <v>2156</v>
      </c>
      <c r="G85" s="27" t="s">
        <v>2157</v>
      </c>
      <c r="H85" s="27" t="s">
        <v>59</v>
      </c>
      <c r="I85" s="27" t="s">
        <v>116</v>
      </c>
      <c r="J85" s="27" t="s">
        <v>61</v>
      </c>
      <c r="K85" s="39" t="s">
        <v>328</v>
      </c>
      <c r="L85" s="41" t="s">
        <v>395</v>
      </c>
      <c r="M85" s="27"/>
      <c r="N85" s="27"/>
      <c r="O85" s="28" t="s">
        <v>2276</v>
      </c>
    </row>
    <row r="86" spans="1:15" ht="15" customHeight="1" x14ac:dyDescent="0.3">
      <c r="A86" s="31">
        <v>46023</v>
      </c>
      <c r="B86" s="27" t="s">
        <v>53</v>
      </c>
      <c r="C86" s="27" t="s">
        <v>2184</v>
      </c>
      <c r="D86" s="27" t="s">
        <v>2185</v>
      </c>
      <c r="E86" s="27" t="s">
        <v>59</v>
      </c>
      <c r="F86" s="27" t="s">
        <v>2156</v>
      </c>
      <c r="G86" s="27" t="s">
        <v>2157</v>
      </c>
      <c r="H86" s="27" t="s">
        <v>59</v>
      </c>
      <c r="I86" s="27" t="s">
        <v>60</v>
      </c>
      <c r="J86" s="27" t="s">
        <v>61</v>
      </c>
      <c r="K86" s="39" t="s">
        <v>328</v>
      </c>
      <c r="L86" s="41" t="s">
        <v>395</v>
      </c>
      <c r="M86" s="27"/>
      <c r="N86" s="27"/>
      <c r="O86" s="28" t="s">
        <v>2276</v>
      </c>
    </row>
    <row r="87" spans="1:15" ht="15" customHeight="1" x14ac:dyDescent="0.3">
      <c r="A87" s="31">
        <v>46023</v>
      </c>
      <c r="B87" s="27" t="s">
        <v>53</v>
      </c>
      <c r="C87" s="27" t="s">
        <v>2186</v>
      </c>
      <c r="D87" s="27" t="s">
        <v>2187</v>
      </c>
      <c r="E87" s="27" t="s">
        <v>59</v>
      </c>
      <c r="F87" s="27" t="s">
        <v>2156</v>
      </c>
      <c r="G87" s="27" t="s">
        <v>2157</v>
      </c>
      <c r="H87" s="27" t="s">
        <v>59</v>
      </c>
      <c r="I87" s="27" t="s">
        <v>116</v>
      </c>
      <c r="J87" s="27" t="s">
        <v>61</v>
      </c>
      <c r="K87" s="39" t="s">
        <v>328</v>
      </c>
      <c r="L87" s="41" t="s">
        <v>395</v>
      </c>
      <c r="M87" s="27"/>
      <c r="N87" s="27"/>
      <c r="O87" s="28" t="s">
        <v>2276</v>
      </c>
    </row>
    <row r="88" spans="1:15" ht="15" customHeight="1" x14ac:dyDescent="0.3">
      <c r="A88" s="31">
        <v>46023</v>
      </c>
      <c r="B88" s="27" t="s">
        <v>53</v>
      </c>
      <c r="C88" s="27" t="s">
        <v>2188</v>
      </c>
      <c r="D88" s="27" t="s">
        <v>2189</v>
      </c>
      <c r="E88" s="27" t="s">
        <v>59</v>
      </c>
      <c r="F88" s="27" t="s">
        <v>2156</v>
      </c>
      <c r="G88" s="27" t="s">
        <v>2157</v>
      </c>
      <c r="H88" s="27" t="s">
        <v>59</v>
      </c>
      <c r="I88" s="27" t="s">
        <v>116</v>
      </c>
      <c r="J88" s="27" t="s">
        <v>61</v>
      </c>
      <c r="K88" s="39" t="s">
        <v>328</v>
      </c>
      <c r="L88" s="41" t="s">
        <v>395</v>
      </c>
      <c r="M88" s="27"/>
      <c r="N88" s="27"/>
      <c r="O88" s="28" t="s">
        <v>2276</v>
      </c>
    </row>
    <row r="89" spans="1:15" ht="15" customHeight="1" x14ac:dyDescent="0.3">
      <c r="A89" s="31">
        <v>46023</v>
      </c>
      <c r="B89" s="27" t="s">
        <v>53</v>
      </c>
      <c r="C89" s="27" t="s">
        <v>2190</v>
      </c>
      <c r="D89" s="27" t="s">
        <v>2191</v>
      </c>
      <c r="E89" s="27" t="s">
        <v>59</v>
      </c>
      <c r="F89" s="27" t="s">
        <v>2156</v>
      </c>
      <c r="G89" s="27" t="s">
        <v>2157</v>
      </c>
      <c r="H89" s="27" t="s">
        <v>59</v>
      </c>
      <c r="I89" s="27" t="s">
        <v>116</v>
      </c>
      <c r="J89" s="27" t="s">
        <v>61</v>
      </c>
      <c r="K89" s="39" t="s">
        <v>328</v>
      </c>
      <c r="L89" s="41" t="s">
        <v>395</v>
      </c>
      <c r="M89" s="27"/>
      <c r="N89" s="27"/>
      <c r="O89" s="28" t="s">
        <v>2276</v>
      </c>
    </row>
    <row r="90" spans="1:15" ht="15" customHeight="1" x14ac:dyDescent="0.3">
      <c r="A90" s="31">
        <v>46023</v>
      </c>
      <c r="B90" s="27" t="s">
        <v>53</v>
      </c>
      <c r="C90" s="27" t="s">
        <v>2192</v>
      </c>
      <c r="D90" s="27" t="s">
        <v>2193</v>
      </c>
      <c r="E90" s="27" t="s">
        <v>59</v>
      </c>
      <c r="F90" s="27" t="s">
        <v>2156</v>
      </c>
      <c r="G90" s="27" t="s">
        <v>2157</v>
      </c>
      <c r="H90" s="27" t="s">
        <v>59</v>
      </c>
      <c r="I90" s="27" t="s">
        <v>116</v>
      </c>
      <c r="J90" s="27" t="s">
        <v>61</v>
      </c>
      <c r="K90" s="39" t="s">
        <v>328</v>
      </c>
      <c r="L90" s="41" t="s">
        <v>395</v>
      </c>
      <c r="M90" s="27"/>
      <c r="N90" s="27"/>
      <c r="O90" s="28" t="s">
        <v>2276</v>
      </c>
    </row>
    <row r="91" spans="1:15" ht="15" customHeight="1" x14ac:dyDescent="0.3">
      <c r="A91" s="31">
        <v>46023</v>
      </c>
      <c r="B91" s="27" t="s">
        <v>53</v>
      </c>
      <c r="C91" s="27" t="s">
        <v>2194</v>
      </c>
      <c r="D91" s="27" t="s">
        <v>2195</v>
      </c>
      <c r="E91" s="27" t="s">
        <v>59</v>
      </c>
      <c r="F91" s="27" t="s">
        <v>2156</v>
      </c>
      <c r="G91" s="27" t="s">
        <v>2157</v>
      </c>
      <c r="H91" s="27" t="s">
        <v>59</v>
      </c>
      <c r="I91" s="27" t="s">
        <v>60</v>
      </c>
      <c r="J91" s="27" t="s">
        <v>61</v>
      </c>
      <c r="K91" s="39" t="s">
        <v>328</v>
      </c>
      <c r="L91" s="41" t="s">
        <v>395</v>
      </c>
      <c r="M91" s="27"/>
      <c r="N91" s="27"/>
      <c r="O91" s="28" t="s">
        <v>2276</v>
      </c>
    </row>
    <row r="92" spans="1:15" ht="15" customHeight="1" x14ac:dyDescent="0.3">
      <c r="A92" s="31">
        <v>46023</v>
      </c>
      <c r="B92" s="27" t="s">
        <v>53</v>
      </c>
      <c r="C92" s="27" t="s">
        <v>2196</v>
      </c>
      <c r="D92" s="27" t="s">
        <v>2197</v>
      </c>
      <c r="E92" s="27" t="s">
        <v>59</v>
      </c>
      <c r="F92" s="27" t="s">
        <v>2156</v>
      </c>
      <c r="G92" s="27" t="s">
        <v>2157</v>
      </c>
      <c r="H92" s="27" t="s">
        <v>59</v>
      </c>
      <c r="I92" s="27" t="s">
        <v>116</v>
      </c>
      <c r="J92" s="27" t="s">
        <v>61</v>
      </c>
      <c r="K92" s="39" t="s">
        <v>328</v>
      </c>
      <c r="L92" s="41" t="s">
        <v>395</v>
      </c>
      <c r="M92" s="27"/>
      <c r="N92" s="27"/>
      <c r="O92" s="28" t="s">
        <v>2276</v>
      </c>
    </row>
    <row r="93" spans="1:15" ht="15" customHeight="1" x14ac:dyDescent="0.3">
      <c r="A93" s="31">
        <v>46023</v>
      </c>
      <c r="B93" s="27" t="s">
        <v>53</v>
      </c>
      <c r="C93" s="27" t="s">
        <v>2198</v>
      </c>
      <c r="D93" s="27" t="s">
        <v>2199</v>
      </c>
      <c r="E93" s="27" t="s">
        <v>59</v>
      </c>
      <c r="F93" s="27" t="s">
        <v>2156</v>
      </c>
      <c r="G93" s="27" t="s">
        <v>2157</v>
      </c>
      <c r="H93" s="27" t="s">
        <v>59</v>
      </c>
      <c r="I93" s="27" t="s">
        <v>116</v>
      </c>
      <c r="J93" s="27" t="s">
        <v>61</v>
      </c>
      <c r="K93" s="39" t="s">
        <v>328</v>
      </c>
      <c r="L93" s="41" t="s">
        <v>395</v>
      </c>
      <c r="M93" s="27"/>
      <c r="N93" s="27"/>
      <c r="O93" s="28" t="s">
        <v>2276</v>
      </c>
    </row>
    <row r="94" spans="1:15" ht="15" customHeight="1" x14ac:dyDescent="0.3">
      <c r="A94" s="31">
        <v>46023</v>
      </c>
      <c r="B94" s="27" t="s">
        <v>53</v>
      </c>
      <c r="C94" s="27" t="s">
        <v>2200</v>
      </c>
      <c r="D94" s="27" t="s">
        <v>2201</v>
      </c>
      <c r="E94" s="27" t="s">
        <v>59</v>
      </c>
      <c r="F94" s="27" t="s">
        <v>2156</v>
      </c>
      <c r="G94" s="27" t="s">
        <v>2157</v>
      </c>
      <c r="H94" s="27" t="s">
        <v>59</v>
      </c>
      <c r="I94" s="27" t="s">
        <v>116</v>
      </c>
      <c r="J94" s="27" t="s">
        <v>61</v>
      </c>
      <c r="K94" s="39" t="s">
        <v>328</v>
      </c>
      <c r="L94" s="41" t="s">
        <v>395</v>
      </c>
      <c r="M94" s="27"/>
      <c r="N94" s="27"/>
      <c r="O94" s="28" t="s">
        <v>2276</v>
      </c>
    </row>
    <row r="95" spans="1:15" ht="15" customHeight="1" x14ac:dyDescent="0.3">
      <c r="A95" s="31">
        <v>46023</v>
      </c>
      <c r="B95" s="27" t="s">
        <v>53</v>
      </c>
      <c r="C95" s="27" t="s">
        <v>2202</v>
      </c>
      <c r="D95" s="27" t="s">
        <v>2203</v>
      </c>
      <c r="E95" s="27" t="s">
        <v>59</v>
      </c>
      <c r="F95" s="27" t="s">
        <v>2156</v>
      </c>
      <c r="G95" s="27" t="s">
        <v>2157</v>
      </c>
      <c r="H95" s="27" t="s">
        <v>59</v>
      </c>
      <c r="I95" s="27" t="s">
        <v>116</v>
      </c>
      <c r="J95" s="27" t="s">
        <v>61</v>
      </c>
      <c r="K95" s="39" t="s">
        <v>328</v>
      </c>
      <c r="L95" s="41" t="s">
        <v>395</v>
      </c>
      <c r="M95" s="27"/>
      <c r="N95" s="27"/>
      <c r="O95" s="28" t="s">
        <v>2276</v>
      </c>
    </row>
    <row r="96" spans="1:15" ht="15" customHeight="1" x14ac:dyDescent="0.3">
      <c r="A96" s="31">
        <v>46023</v>
      </c>
      <c r="B96" s="27" t="s">
        <v>53</v>
      </c>
      <c r="C96" s="27" t="s">
        <v>2204</v>
      </c>
      <c r="D96" s="27" t="s">
        <v>2205</v>
      </c>
      <c r="E96" s="27" t="s">
        <v>59</v>
      </c>
      <c r="F96" s="27" t="s">
        <v>2156</v>
      </c>
      <c r="G96" s="27" t="s">
        <v>2157</v>
      </c>
      <c r="H96" s="27" t="s">
        <v>59</v>
      </c>
      <c r="I96" s="27" t="s">
        <v>116</v>
      </c>
      <c r="J96" s="27" t="s">
        <v>61</v>
      </c>
      <c r="K96" s="39" t="s">
        <v>328</v>
      </c>
      <c r="L96" s="41" t="s">
        <v>395</v>
      </c>
      <c r="M96" s="27"/>
      <c r="N96" s="27"/>
      <c r="O96" s="28" t="s">
        <v>2276</v>
      </c>
    </row>
    <row r="97" spans="1:15" ht="15" customHeight="1" x14ac:dyDescent="0.3">
      <c r="A97" s="31">
        <v>46023</v>
      </c>
      <c r="B97" s="27" t="s">
        <v>53</v>
      </c>
      <c r="C97" s="27" t="s">
        <v>2206</v>
      </c>
      <c r="D97" s="27" t="s">
        <v>2207</v>
      </c>
      <c r="E97" s="27" t="s">
        <v>59</v>
      </c>
      <c r="F97" s="27" t="s">
        <v>2156</v>
      </c>
      <c r="G97" s="27" t="s">
        <v>2208</v>
      </c>
      <c r="H97" s="27" t="s">
        <v>59</v>
      </c>
      <c r="I97" s="27" t="s">
        <v>60</v>
      </c>
      <c r="J97" s="27" t="s">
        <v>144</v>
      </c>
      <c r="K97" s="39" t="s">
        <v>334</v>
      </c>
      <c r="L97" s="41" t="s">
        <v>309</v>
      </c>
      <c r="M97" s="27"/>
      <c r="N97" s="27"/>
      <c r="O97" s="28" t="s">
        <v>2276</v>
      </c>
    </row>
    <row r="98" spans="1:15" ht="15" customHeight="1" x14ac:dyDescent="0.3">
      <c r="A98" s="31">
        <v>46023</v>
      </c>
      <c r="B98" s="27" t="s">
        <v>53</v>
      </c>
      <c r="C98" s="27" t="s">
        <v>2209</v>
      </c>
      <c r="D98" s="27" t="s">
        <v>2210</v>
      </c>
      <c r="E98" s="27" t="s">
        <v>59</v>
      </c>
      <c r="F98" s="27" t="s">
        <v>2156</v>
      </c>
      <c r="G98" s="27" t="s">
        <v>2157</v>
      </c>
      <c r="H98" s="27" t="s">
        <v>59</v>
      </c>
      <c r="I98" s="27" t="s">
        <v>116</v>
      </c>
      <c r="J98" s="27" t="s">
        <v>144</v>
      </c>
      <c r="K98" s="39" t="s">
        <v>334</v>
      </c>
      <c r="L98" s="41" t="s">
        <v>395</v>
      </c>
      <c r="M98" s="27"/>
      <c r="N98" s="27"/>
      <c r="O98" s="28" t="s">
        <v>2276</v>
      </c>
    </row>
    <row r="99" spans="1:15" ht="15" customHeight="1" x14ac:dyDescent="0.3">
      <c r="A99" s="31">
        <v>46023</v>
      </c>
      <c r="B99" s="27" t="s">
        <v>53</v>
      </c>
      <c r="C99" s="27" t="s">
        <v>2211</v>
      </c>
      <c r="D99" s="27" t="s">
        <v>2212</v>
      </c>
      <c r="E99" s="27" t="s">
        <v>2213</v>
      </c>
      <c r="F99" s="27" t="s">
        <v>2156</v>
      </c>
      <c r="G99" s="27" t="s">
        <v>2208</v>
      </c>
      <c r="H99" s="27" t="s">
        <v>59</v>
      </c>
      <c r="I99" s="27" t="s">
        <v>60</v>
      </c>
      <c r="J99" s="27" t="s">
        <v>144</v>
      </c>
      <c r="K99" s="39" t="s">
        <v>2214</v>
      </c>
      <c r="L99" s="41" t="s">
        <v>309</v>
      </c>
      <c r="M99" s="27"/>
      <c r="N99" s="27"/>
      <c r="O99" s="28" t="s">
        <v>2276</v>
      </c>
    </row>
    <row r="100" spans="1:15" ht="15" customHeight="1" x14ac:dyDescent="0.3">
      <c r="A100" s="31">
        <v>46023</v>
      </c>
      <c r="B100" s="27" t="s">
        <v>53</v>
      </c>
      <c r="C100" s="27" t="s">
        <v>2215</v>
      </c>
      <c r="D100" s="27" t="s">
        <v>2216</v>
      </c>
      <c r="E100" s="27" t="s">
        <v>59</v>
      </c>
      <c r="F100" s="27" t="s">
        <v>2156</v>
      </c>
      <c r="G100" s="27" t="s">
        <v>2208</v>
      </c>
      <c r="H100" s="27" t="s">
        <v>59</v>
      </c>
      <c r="I100" s="27" t="s">
        <v>60</v>
      </c>
      <c r="J100" s="27" t="s">
        <v>144</v>
      </c>
      <c r="K100" s="39" t="s">
        <v>2214</v>
      </c>
      <c r="L100" s="41" t="s">
        <v>309</v>
      </c>
      <c r="M100" s="27"/>
      <c r="N100" s="27"/>
      <c r="O100" s="28" t="s">
        <v>2276</v>
      </c>
    </row>
    <row r="101" spans="1:15" ht="15" customHeight="1" x14ac:dyDescent="0.3">
      <c r="A101" s="31">
        <v>46023</v>
      </c>
      <c r="B101" s="27" t="s">
        <v>53</v>
      </c>
      <c r="C101" s="27" t="s">
        <v>2217</v>
      </c>
      <c r="D101" s="27" t="s">
        <v>2218</v>
      </c>
      <c r="E101" s="27" t="s">
        <v>59</v>
      </c>
      <c r="F101" s="27" t="s">
        <v>2156</v>
      </c>
      <c r="G101" s="27" t="s">
        <v>2157</v>
      </c>
      <c r="H101" s="27" t="s">
        <v>59</v>
      </c>
      <c r="I101" s="27" t="s">
        <v>60</v>
      </c>
      <c r="J101" s="27" t="s">
        <v>61</v>
      </c>
      <c r="K101" s="39" t="s">
        <v>62</v>
      </c>
      <c r="L101" s="41" t="s">
        <v>2219</v>
      </c>
      <c r="M101" s="27"/>
      <c r="N101" s="27"/>
      <c r="O101" s="28" t="s">
        <v>2276</v>
      </c>
    </row>
    <row r="102" spans="1:15" ht="15" customHeight="1" x14ac:dyDescent="0.3">
      <c r="A102" s="31">
        <v>46023</v>
      </c>
      <c r="B102" s="27" t="s">
        <v>53</v>
      </c>
      <c r="C102" s="27" t="s">
        <v>2220</v>
      </c>
      <c r="D102" s="27" t="s">
        <v>2221</v>
      </c>
      <c r="E102" s="27" t="s">
        <v>59</v>
      </c>
      <c r="F102" s="27" t="s">
        <v>2156</v>
      </c>
      <c r="G102" s="27" t="s">
        <v>2157</v>
      </c>
      <c r="H102" s="27" t="s">
        <v>59</v>
      </c>
      <c r="I102" s="27" t="s">
        <v>60</v>
      </c>
      <c r="J102" s="27" t="s">
        <v>61</v>
      </c>
      <c r="K102" s="39" t="s">
        <v>62</v>
      </c>
      <c r="L102" s="41" t="s">
        <v>2219</v>
      </c>
      <c r="M102" s="27"/>
      <c r="N102" s="27"/>
      <c r="O102" s="28" t="s">
        <v>2276</v>
      </c>
    </row>
    <row r="103" spans="1:15" ht="15" customHeight="1" x14ac:dyDescent="0.3">
      <c r="A103" s="31">
        <v>46023</v>
      </c>
      <c r="B103" s="27" t="s">
        <v>53</v>
      </c>
      <c r="C103" s="27" t="s">
        <v>2222</v>
      </c>
      <c r="D103" s="27" t="s">
        <v>2223</v>
      </c>
      <c r="E103" s="27" t="s">
        <v>59</v>
      </c>
      <c r="F103" s="27" t="s">
        <v>2156</v>
      </c>
      <c r="G103" s="27" t="s">
        <v>2224</v>
      </c>
      <c r="H103" s="27" t="s">
        <v>59</v>
      </c>
      <c r="I103" s="27" t="s">
        <v>60</v>
      </c>
      <c r="J103" s="27" t="s">
        <v>1067</v>
      </c>
      <c r="K103" s="39" t="s">
        <v>62</v>
      </c>
      <c r="L103" s="41" t="s">
        <v>309</v>
      </c>
      <c r="M103" s="27"/>
      <c r="N103" s="27"/>
      <c r="O103" s="28" t="s">
        <v>2276</v>
      </c>
    </row>
    <row r="104" spans="1:15" ht="15" customHeight="1" x14ac:dyDescent="0.3">
      <c r="A104" s="31">
        <v>46023</v>
      </c>
      <c r="B104" s="27" t="s">
        <v>53</v>
      </c>
      <c r="C104" s="27" t="s">
        <v>2225</v>
      </c>
      <c r="D104" s="27" t="s">
        <v>2226</v>
      </c>
      <c r="E104" s="27" t="s">
        <v>59</v>
      </c>
      <c r="F104" s="27" t="s">
        <v>2156</v>
      </c>
      <c r="G104" s="27" t="s">
        <v>2208</v>
      </c>
      <c r="H104" s="27" t="s">
        <v>59</v>
      </c>
      <c r="I104" s="27" t="s">
        <v>143</v>
      </c>
      <c r="J104" s="27" t="s">
        <v>144</v>
      </c>
      <c r="K104" s="39" t="s">
        <v>886</v>
      </c>
      <c r="L104" s="41" t="s">
        <v>309</v>
      </c>
      <c r="M104" s="27"/>
      <c r="N104" s="27"/>
      <c r="O104" s="28" t="s">
        <v>2276</v>
      </c>
    </row>
    <row r="105" spans="1:15" ht="15" customHeight="1" x14ac:dyDescent="0.3">
      <c r="A105" s="31">
        <v>46023</v>
      </c>
      <c r="B105" s="27" t="s">
        <v>53</v>
      </c>
      <c r="C105" s="27" t="s">
        <v>2227</v>
      </c>
      <c r="D105" s="27" t="s">
        <v>2228</v>
      </c>
      <c r="E105" s="27" t="s">
        <v>59</v>
      </c>
      <c r="F105" s="27" t="s">
        <v>2156</v>
      </c>
      <c r="G105" s="27" t="s">
        <v>2157</v>
      </c>
      <c r="H105" s="27" t="s">
        <v>59</v>
      </c>
      <c r="I105" s="27" t="s">
        <v>60</v>
      </c>
      <c r="J105" s="27" t="s">
        <v>61</v>
      </c>
      <c r="K105" s="39" t="s">
        <v>1980</v>
      </c>
      <c r="L105" s="41" t="s">
        <v>129</v>
      </c>
      <c r="M105" s="27"/>
      <c r="N105" s="27"/>
      <c r="O105" s="28" t="s">
        <v>2276</v>
      </c>
    </row>
    <row r="106" spans="1:15" ht="15" customHeight="1" x14ac:dyDescent="0.3">
      <c r="A106" s="31">
        <v>46023</v>
      </c>
      <c r="B106" s="27" t="s">
        <v>53</v>
      </c>
      <c r="C106" s="27" t="s">
        <v>2229</v>
      </c>
      <c r="D106" s="27" t="s">
        <v>2230</v>
      </c>
      <c r="E106" s="27" t="s">
        <v>59</v>
      </c>
      <c r="F106" s="27" t="s">
        <v>2156</v>
      </c>
      <c r="G106" s="27" t="s">
        <v>2157</v>
      </c>
      <c r="H106" s="27" t="s">
        <v>59</v>
      </c>
      <c r="I106" s="27" t="s">
        <v>60</v>
      </c>
      <c r="J106" s="27" t="s">
        <v>61</v>
      </c>
      <c r="K106" s="39" t="s">
        <v>348</v>
      </c>
      <c r="L106" s="41" t="s">
        <v>129</v>
      </c>
      <c r="M106" s="27"/>
      <c r="N106" s="27"/>
      <c r="O106" s="28" t="s">
        <v>2276</v>
      </c>
    </row>
    <row r="107" spans="1:15" ht="15" customHeight="1" x14ac:dyDescent="0.3">
      <c r="A107" s="31">
        <v>46023</v>
      </c>
      <c r="B107" s="27" t="s">
        <v>53</v>
      </c>
      <c r="C107" s="27" t="s">
        <v>2231</v>
      </c>
      <c r="D107" s="27" t="s">
        <v>2232</v>
      </c>
      <c r="E107" s="27" t="s">
        <v>332</v>
      </c>
      <c r="F107" s="27" t="s">
        <v>2156</v>
      </c>
      <c r="G107" s="27" t="s">
        <v>2157</v>
      </c>
      <c r="H107" s="27" t="s">
        <v>59</v>
      </c>
      <c r="I107" s="27" t="s">
        <v>143</v>
      </c>
      <c r="J107" s="27" t="s">
        <v>106</v>
      </c>
      <c r="K107" s="39" t="s">
        <v>464</v>
      </c>
      <c r="L107" s="41" t="s">
        <v>325</v>
      </c>
      <c r="M107" s="27"/>
      <c r="N107" s="27"/>
      <c r="O107" s="28" t="s">
        <v>2276</v>
      </c>
    </row>
    <row r="108" spans="1:15" ht="15" customHeight="1" x14ac:dyDescent="0.3">
      <c r="A108" s="31">
        <v>46023</v>
      </c>
      <c r="B108" s="27" t="s">
        <v>53</v>
      </c>
      <c r="C108" s="27" t="s">
        <v>2233</v>
      </c>
      <c r="D108" s="27" t="s">
        <v>2234</v>
      </c>
      <c r="E108" s="27" t="s">
        <v>2235</v>
      </c>
      <c r="F108" s="27" t="s">
        <v>2156</v>
      </c>
      <c r="G108" s="27" t="s">
        <v>2236</v>
      </c>
      <c r="H108" s="27" t="s">
        <v>59</v>
      </c>
      <c r="I108" s="27" t="s">
        <v>116</v>
      </c>
      <c r="J108" s="27" t="s">
        <v>144</v>
      </c>
      <c r="K108" s="39" t="s">
        <v>145</v>
      </c>
      <c r="L108" s="41" t="s">
        <v>395</v>
      </c>
      <c r="M108" s="27"/>
      <c r="N108" s="27"/>
      <c r="O108" s="28" t="s">
        <v>2276</v>
      </c>
    </row>
    <row r="109" spans="1:15" ht="15" customHeight="1" x14ac:dyDescent="0.3">
      <c r="A109" s="31">
        <v>46023</v>
      </c>
      <c r="B109" s="27" t="s">
        <v>53</v>
      </c>
      <c r="C109" s="27" t="s">
        <v>2428</v>
      </c>
      <c r="D109" s="27" t="s">
        <v>2429</v>
      </c>
      <c r="E109" s="27" t="s">
        <v>2430</v>
      </c>
      <c r="F109" s="27" t="s">
        <v>2156</v>
      </c>
      <c r="G109" s="27" t="s">
        <v>2431</v>
      </c>
      <c r="H109" s="50">
        <v>2250000000000</v>
      </c>
      <c r="I109" s="27" t="s">
        <v>143</v>
      </c>
      <c r="J109" s="27" t="s">
        <v>144</v>
      </c>
      <c r="K109" s="39" t="s">
        <v>2432</v>
      </c>
      <c r="L109" s="41" t="s">
        <v>1953</v>
      </c>
      <c r="M109" s="27"/>
      <c r="N109" s="27"/>
      <c r="O109" s="28" t="s">
        <v>2276</v>
      </c>
    </row>
    <row r="110" spans="1:15" ht="15" customHeight="1" x14ac:dyDescent="0.3">
      <c r="A110" s="31">
        <v>46023</v>
      </c>
      <c r="B110" s="27" t="s">
        <v>53</v>
      </c>
      <c r="C110" s="27" t="s">
        <v>2433</v>
      </c>
      <c r="D110" s="27" t="s">
        <v>2429</v>
      </c>
      <c r="E110" s="27" t="s">
        <v>2430</v>
      </c>
      <c r="F110" s="27" t="s">
        <v>2156</v>
      </c>
      <c r="G110" s="27" t="s">
        <v>2431</v>
      </c>
      <c r="H110" s="50">
        <v>2250000000000</v>
      </c>
      <c r="I110" s="27" t="s">
        <v>143</v>
      </c>
      <c r="J110" s="27" t="s">
        <v>144</v>
      </c>
      <c r="K110" s="39" t="s">
        <v>2432</v>
      </c>
      <c r="L110" s="41" t="s">
        <v>1953</v>
      </c>
      <c r="M110" s="27"/>
      <c r="N110" s="27"/>
      <c r="O110" s="28" t="s">
        <v>2276</v>
      </c>
    </row>
    <row r="111" spans="1:15" ht="15" customHeight="1" x14ac:dyDescent="0.3">
      <c r="A111" s="31">
        <v>46023</v>
      </c>
      <c r="B111" s="27" t="s">
        <v>53</v>
      </c>
      <c r="C111" s="27" t="s">
        <v>2434</v>
      </c>
      <c r="D111" s="27" t="s">
        <v>2429</v>
      </c>
      <c r="E111" s="27" t="s">
        <v>2430</v>
      </c>
      <c r="F111" s="27" t="s">
        <v>2156</v>
      </c>
      <c r="G111" s="27" t="s">
        <v>2431</v>
      </c>
      <c r="H111" s="27" t="s">
        <v>2435</v>
      </c>
      <c r="I111" s="27" t="s">
        <v>116</v>
      </c>
      <c r="J111" s="27" t="s">
        <v>144</v>
      </c>
      <c r="K111" s="39" t="s">
        <v>2432</v>
      </c>
      <c r="L111" s="41" t="s">
        <v>1953</v>
      </c>
      <c r="M111" s="27"/>
      <c r="N111" s="27"/>
      <c r="O111" s="28" t="s">
        <v>2276</v>
      </c>
    </row>
    <row r="112" spans="1:15" ht="15" customHeight="1" x14ac:dyDescent="0.3">
      <c r="A112" s="31">
        <v>46023</v>
      </c>
      <c r="B112" s="27" t="s">
        <v>53</v>
      </c>
      <c r="C112" s="27" t="s">
        <v>2436</v>
      </c>
      <c r="D112" s="27" t="s">
        <v>2429</v>
      </c>
      <c r="E112" s="27" t="s">
        <v>2430</v>
      </c>
      <c r="F112" s="27" t="s">
        <v>2156</v>
      </c>
      <c r="G112" s="27" t="s">
        <v>2431</v>
      </c>
      <c r="H112" s="27" t="s">
        <v>2437</v>
      </c>
      <c r="I112" s="27" t="s">
        <v>116</v>
      </c>
      <c r="J112" s="27" t="s">
        <v>144</v>
      </c>
      <c r="K112" s="39" t="s">
        <v>2432</v>
      </c>
      <c r="L112" s="41" t="s">
        <v>1953</v>
      </c>
      <c r="M112" s="27"/>
      <c r="N112" s="27"/>
      <c r="O112" s="28" t="s">
        <v>2276</v>
      </c>
    </row>
    <row r="113" spans="1:15" ht="15" customHeight="1" x14ac:dyDescent="0.3">
      <c r="A113" s="31">
        <v>46023</v>
      </c>
      <c r="B113" s="27" t="s">
        <v>53</v>
      </c>
      <c r="C113" s="27" t="s">
        <v>2438</v>
      </c>
      <c r="D113" s="27" t="s">
        <v>2439</v>
      </c>
      <c r="E113" s="27" t="s">
        <v>2430</v>
      </c>
      <c r="F113" s="27" t="s">
        <v>2156</v>
      </c>
      <c r="G113" s="27" t="s">
        <v>2431</v>
      </c>
      <c r="H113" s="27" t="s">
        <v>2440</v>
      </c>
      <c r="I113" s="27" t="s">
        <v>143</v>
      </c>
      <c r="J113" s="27" t="s">
        <v>144</v>
      </c>
      <c r="K113" s="39" t="s">
        <v>2432</v>
      </c>
      <c r="L113" s="41" t="s">
        <v>1953</v>
      </c>
      <c r="M113" s="27"/>
      <c r="N113" s="27"/>
      <c r="O113" s="28" t="s">
        <v>2276</v>
      </c>
    </row>
    <row r="114" spans="1:15" ht="15" customHeight="1" x14ac:dyDescent="0.3">
      <c r="A114" s="31">
        <v>46023</v>
      </c>
      <c r="B114" s="27" t="s">
        <v>53</v>
      </c>
      <c r="C114" s="27" t="s">
        <v>2441</v>
      </c>
      <c r="D114" s="27" t="s">
        <v>2442</v>
      </c>
      <c r="E114" s="27" t="s">
        <v>2443</v>
      </c>
      <c r="F114" s="27" t="s">
        <v>2156</v>
      </c>
      <c r="G114" s="27" t="s">
        <v>2431</v>
      </c>
      <c r="H114" s="27" t="s">
        <v>2444</v>
      </c>
      <c r="I114" s="27" t="s">
        <v>116</v>
      </c>
      <c r="J114" s="27" t="s">
        <v>144</v>
      </c>
      <c r="K114" s="39" t="s">
        <v>2282</v>
      </c>
      <c r="L114" s="41" t="s">
        <v>1953</v>
      </c>
      <c r="M114" s="27"/>
      <c r="N114" s="27"/>
      <c r="O114" s="28" t="s">
        <v>2276</v>
      </c>
    </row>
    <row r="115" spans="1:15" ht="15" customHeight="1" x14ac:dyDescent="0.3">
      <c r="A115" s="31">
        <v>46023</v>
      </c>
      <c r="B115" s="27" t="s">
        <v>53</v>
      </c>
      <c r="C115" s="27" t="s">
        <v>2445</v>
      </c>
      <c r="D115" s="27" t="s">
        <v>2446</v>
      </c>
      <c r="E115" s="27" t="s">
        <v>59</v>
      </c>
      <c r="F115" s="27" t="s">
        <v>2156</v>
      </c>
      <c r="G115" s="27" t="s">
        <v>2431</v>
      </c>
      <c r="H115" s="50">
        <v>1310000000000</v>
      </c>
      <c r="I115" s="27" t="s">
        <v>468</v>
      </c>
      <c r="J115" s="27" t="s">
        <v>144</v>
      </c>
      <c r="K115" s="39" t="s">
        <v>2282</v>
      </c>
      <c r="L115" s="41" t="s">
        <v>1953</v>
      </c>
      <c r="M115" s="27"/>
      <c r="N115" s="27"/>
      <c r="O115" s="28" t="s">
        <v>2276</v>
      </c>
    </row>
    <row r="116" spans="1:15" ht="15" customHeight="1" x14ac:dyDescent="0.3">
      <c r="A116" s="31">
        <v>46023</v>
      </c>
      <c r="B116" s="27" t="s">
        <v>53</v>
      </c>
      <c r="C116" s="27" t="s">
        <v>2447</v>
      </c>
      <c r="D116" s="27" t="s">
        <v>2448</v>
      </c>
      <c r="E116" s="27" t="s">
        <v>59</v>
      </c>
      <c r="F116" s="27" t="s">
        <v>2156</v>
      </c>
      <c r="G116" s="27" t="s">
        <v>2431</v>
      </c>
      <c r="H116" s="27" t="s">
        <v>59</v>
      </c>
      <c r="I116" s="27" t="s">
        <v>116</v>
      </c>
      <c r="J116" s="27" t="s">
        <v>144</v>
      </c>
      <c r="K116" s="39" t="s">
        <v>2282</v>
      </c>
      <c r="L116" s="41" t="s">
        <v>1953</v>
      </c>
      <c r="M116" s="27"/>
      <c r="N116" s="27"/>
      <c r="O116" s="28" t="s">
        <v>2276</v>
      </c>
    </row>
    <row r="117" spans="1:15" ht="15" customHeight="1" x14ac:dyDescent="0.3">
      <c r="A117" s="31">
        <v>46023</v>
      </c>
      <c r="B117" s="27" t="s">
        <v>53</v>
      </c>
      <c r="C117" s="27" t="s">
        <v>2449</v>
      </c>
      <c r="D117" s="27" t="s">
        <v>2450</v>
      </c>
      <c r="E117" s="27" t="s">
        <v>59</v>
      </c>
      <c r="F117" s="27" t="s">
        <v>2156</v>
      </c>
      <c r="G117" s="27" t="s">
        <v>2431</v>
      </c>
      <c r="H117" s="50">
        <v>201000000000</v>
      </c>
      <c r="I117" s="27" t="s">
        <v>116</v>
      </c>
      <c r="J117" s="27" t="s">
        <v>144</v>
      </c>
      <c r="K117" s="39" t="s">
        <v>2282</v>
      </c>
      <c r="L117" s="41" t="s">
        <v>1953</v>
      </c>
      <c r="M117" s="27"/>
      <c r="N117" s="27"/>
      <c r="O117" s="28" t="s">
        <v>2276</v>
      </c>
    </row>
    <row r="118" spans="1:15" ht="15" customHeight="1" x14ac:dyDescent="0.3">
      <c r="A118" s="31">
        <v>46023</v>
      </c>
      <c r="B118" s="27" t="s">
        <v>53</v>
      </c>
      <c r="C118" s="27" t="s">
        <v>2451</v>
      </c>
      <c r="D118" s="27" t="s">
        <v>2452</v>
      </c>
      <c r="E118" s="27" t="s">
        <v>2453</v>
      </c>
      <c r="F118" s="27" t="s">
        <v>2156</v>
      </c>
      <c r="G118" s="27" t="s">
        <v>2454</v>
      </c>
      <c r="H118" s="50">
        <v>2630000000000</v>
      </c>
      <c r="I118" s="27" t="s">
        <v>116</v>
      </c>
      <c r="J118" s="27" t="s">
        <v>144</v>
      </c>
      <c r="K118" s="39" t="s">
        <v>2329</v>
      </c>
      <c r="L118" s="41" t="s">
        <v>1953</v>
      </c>
      <c r="M118" s="27"/>
      <c r="N118" s="27"/>
      <c r="O118" s="28" t="s">
        <v>2276</v>
      </c>
    </row>
    <row r="119" spans="1:15" ht="15" customHeight="1" x14ac:dyDescent="0.3">
      <c r="A119" s="31">
        <v>46023</v>
      </c>
      <c r="B119" s="27" t="s">
        <v>53</v>
      </c>
      <c r="C119" s="27" t="s">
        <v>2455</v>
      </c>
      <c r="D119" s="27" t="s">
        <v>2456</v>
      </c>
      <c r="E119" s="27" t="s">
        <v>2457</v>
      </c>
      <c r="F119" s="27" t="s">
        <v>2156</v>
      </c>
      <c r="G119" s="27" t="s">
        <v>2454</v>
      </c>
      <c r="H119" s="27" t="s">
        <v>2458</v>
      </c>
      <c r="I119" s="27" t="s">
        <v>143</v>
      </c>
      <c r="J119" s="27" t="s">
        <v>144</v>
      </c>
      <c r="K119" s="39" t="s">
        <v>2329</v>
      </c>
      <c r="L119" s="41" t="s">
        <v>1953</v>
      </c>
      <c r="M119" s="27"/>
      <c r="N119" s="27"/>
      <c r="O119" s="28" t="s">
        <v>2276</v>
      </c>
    </row>
    <row r="120" spans="1:15" ht="15" customHeight="1" x14ac:dyDescent="0.3">
      <c r="A120" s="31">
        <v>46023</v>
      </c>
      <c r="B120" s="27" t="s">
        <v>53</v>
      </c>
      <c r="C120" s="27" t="s">
        <v>2459</v>
      </c>
      <c r="D120" s="27" t="s">
        <v>2460</v>
      </c>
      <c r="E120" s="27" t="s">
        <v>2461</v>
      </c>
      <c r="F120" s="27" t="s">
        <v>2156</v>
      </c>
      <c r="G120" s="27" t="s">
        <v>2454</v>
      </c>
      <c r="H120" s="27" t="s">
        <v>59</v>
      </c>
      <c r="I120" s="27" t="s">
        <v>468</v>
      </c>
      <c r="J120" s="27" t="s">
        <v>144</v>
      </c>
      <c r="K120" s="39" t="s">
        <v>2368</v>
      </c>
      <c r="L120" s="41" t="s">
        <v>1953</v>
      </c>
      <c r="M120" s="27"/>
      <c r="N120" s="27"/>
      <c r="O120" s="28" t="s">
        <v>2276</v>
      </c>
    </row>
    <row r="121" spans="1:15" ht="15" customHeight="1" x14ac:dyDescent="0.3">
      <c r="A121" s="31">
        <v>46023</v>
      </c>
      <c r="B121" s="27" t="s">
        <v>53</v>
      </c>
      <c r="C121" s="27" t="s">
        <v>2140</v>
      </c>
      <c r="D121" s="27" t="s">
        <v>2141</v>
      </c>
      <c r="E121" s="27" t="s">
        <v>2142</v>
      </c>
      <c r="F121" s="27" t="s">
        <v>2143</v>
      </c>
      <c r="G121" s="27" t="s">
        <v>2141</v>
      </c>
      <c r="H121" s="27" t="s">
        <v>59</v>
      </c>
      <c r="I121" s="27" t="s">
        <v>60</v>
      </c>
      <c r="J121" s="27" t="s">
        <v>79</v>
      </c>
      <c r="K121" s="39" t="s">
        <v>62</v>
      </c>
      <c r="L121" s="41" t="s">
        <v>63</v>
      </c>
      <c r="M121" s="27"/>
      <c r="N121" s="27"/>
      <c r="O121" s="28" t="s">
        <v>2276</v>
      </c>
    </row>
    <row r="122" spans="1:15" ht="15" customHeight="1" x14ac:dyDescent="0.3">
      <c r="A122" s="31">
        <v>46023</v>
      </c>
      <c r="B122" s="27" t="s">
        <v>53</v>
      </c>
      <c r="C122" s="27" t="s">
        <v>2144</v>
      </c>
      <c r="D122" s="27" t="s">
        <v>2145</v>
      </c>
      <c r="E122" s="27" t="s">
        <v>2145</v>
      </c>
      <c r="F122" s="27" t="s">
        <v>2143</v>
      </c>
      <c r="G122" s="27" t="s">
        <v>2146</v>
      </c>
      <c r="H122" s="27" t="s">
        <v>59</v>
      </c>
      <c r="I122" s="27" t="s">
        <v>60</v>
      </c>
      <c r="J122" s="27" t="s">
        <v>79</v>
      </c>
      <c r="K122" s="39" t="s">
        <v>62</v>
      </c>
      <c r="L122" s="41" t="s">
        <v>63</v>
      </c>
      <c r="M122" s="27"/>
      <c r="N122" s="27"/>
      <c r="O122" s="28" t="s">
        <v>2276</v>
      </c>
    </row>
    <row r="123" spans="1:15" ht="15" customHeight="1" x14ac:dyDescent="0.3">
      <c r="A123" s="31">
        <v>46023</v>
      </c>
      <c r="B123" s="27" t="s">
        <v>53</v>
      </c>
      <c r="C123" s="27" t="s">
        <v>2147</v>
      </c>
      <c r="D123" s="27" t="s">
        <v>2148</v>
      </c>
      <c r="E123" s="27" t="s">
        <v>59</v>
      </c>
      <c r="F123" s="27" t="s">
        <v>2143</v>
      </c>
      <c r="G123" s="27" t="s">
        <v>2146</v>
      </c>
      <c r="H123" s="27" t="s">
        <v>59</v>
      </c>
      <c r="I123" s="27" t="s">
        <v>60</v>
      </c>
      <c r="J123" s="27" t="s">
        <v>2149</v>
      </c>
      <c r="K123" s="39" t="s">
        <v>2150</v>
      </c>
      <c r="L123" s="41" t="s">
        <v>309</v>
      </c>
      <c r="M123" s="27"/>
      <c r="N123" s="27"/>
      <c r="O123" s="28" t="s">
        <v>2276</v>
      </c>
    </row>
    <row r="124" spans="1:15" ht="15" customHeight="1" x14ac:dyDescent="0.3">
      <c r="A124" s="31">
        <v>46023</v>
      </c>
      <c r="B124" s="27" t="s">
        <v>53</v>
      </c>
      <c r="C124" s="27" t="s">
        <v>2151</v>
      </c>
      <c r="D124" s="27" t="s">
        <v>2152</v>
      </c>
      <c r="E124" s="27" t="s">
        <v>59</v>
      </c>
      <c r="F124" s="27" t="s">
        <v>2143</v>
      </c>
      <c r="G124" s="27" t="s">
        <v>2153</v>
      </c>
      <c r="H124" s="27" t="s">
        <v>59</v>
      </c>
      <c r="I124" s="27" t="s">
        <v>116</v>
      </c>
      <c r="J124" s="27" t="s">
        <v>61</v>
      </c>
      <c r="K124" s="39" t="s">
        <v>1370</v>
      </c>
      <c r="L124" s="41" t="s">
        <v>309</v>
      </c>
      <c r="M124" s="27"/>
      <c r="N124" s="27"/>
      <c r="O124" s="28" t="s">
        <v>2276</v>
      </c>
    </row>
    <row r="125" spans="1:15" ht="15" customHeight="1" x14ac:dyDescent="0.3">
      <c r="A125" s="31">
        <v>46023</v>
      </c>
      <c r="B125" s="27" t="s">
        <v>53</v>
      </c>
      <c r="C125" s="27" t="s">
        <v>2462</v>
      </c>
      <c r="D125" s="27" t="s">
        <v>2463</v>
      </c>
      <c r="E125" s="27" t="s">
        <v>59</v>
      </c>
      <c r="F125" s="27" t="s">
        <v>2143</v>
      </c>
      <c r="G125" s="27" t="s">
        <v>2464</v>
      </c>
      <c r="H125" s="27" t="s">
        <v>59</v>
      </c>
      <c r="I125" s="27" t="s">
        <v>143</v>
      </c>
      <c r="J125" s="27" t="s">
        <v>144</v>
      </c>
      <c r="K125" s="39" t="s">
        <v>2465</v>
      </c>
      <c r="L125" s="41" t="s">
        <v>2219</v>
      </c>
      <c r="M125" s="27"/>
      <c r="N125" s="27"/>
      <c r="O125" s="28" t="s">
        <v>2276</v>
      </c>
    </row>
    <row r="126" spans="1:15" ht="15" customHeight="1" x14ac:dyDescent="0.3">
      <c r="A126" s="31">
        <v>46023</v>
      </c>
      <c r="B126" s="27" t="s">
        <v>53</v>
      </c>
      <c r="C126" s="27" t="s">
        <v>2031</v>
      </c>
      <c r="D126" s="27" t="s">
        <v>2032</v>
      </c>
      <c r="E126" s="27" t="s">
        <v>2033</v>
      </c>
      <c r="F126" s="27" t="s">
        <v>2034</v>
      </c>
      <c r="G126" s="27" t="s">
        <v>2035</v>
      </c>
      <c r="H126" s="27" t="s">
        <v>59</v>
      </c>
      <c r="I126" s="27" t="s">
        <v>60</v>
      </c>
      <c r="J126" s="27" t="s">
        <v>144</v>
      </c>
      <c r="K126" s="39" t="s">
        <v>341</v>
      </c>
      <c r="L126" s="41" t="s">
        <v>309</v>
      </c>
      <c r="M126" s="27"/>
      <c r="N126" s="27"/>
      <c r="O126" s="28" t="s">
        <v>2276</v>
      </c>
    </row>
    <row r="127" spans="1:15" ht="15" customHeight="1" x14ac:dyDescent="0.3">
      <c r="A127" s="31">
        <v>46023</v>
      </c>
      <c r="B127" s="27" t="s">
        <v>53</v>
      </c>
      <c r="C127" s="27" t="s">
        <v>2036</v>
      </c>
      <c r="D127" s="27" t="s">
        <v>2037</v>
      </c>
      <c r="E127" s="27" t="s">
        <v>2038</v>
      </c>
      <c r="F127" s="27" t="s">
        <v>2034</v>
      </c>
      <c r="G127" s="27" t="s">
        <v>2039</v>
      </c>
      <c r="H127" s="27" t="s">
        <v>59</v>
      </c>
      <c r="I127" s="27" t="s">
        <v>143</v>
      </c>
      <c r="J127" s="27" t="s">
        <v>61</v>
      </c>
      <c r="K127" s="39" t="s">
        <v>2040</v>
      </c>
      <c r="L127" s="41" t="s">
        <v>63</v>
      </c>
      <c r="M127" s="27"/>
      <c r="N127" s="27"/>
      <c r="O127" s="28" t="s">
        <v>2276</v>
      </c>
    </row>
    <row r="128" spans="1:15" ht="15" customHeight="1" x14ac:dyDescent="0.3">
      <c r="A128" s="31">
        <v>46023</v>
      </c>
      <c r="B128" s="27" t="s">
        <v>53</v>
      </c>
      <c r="C128" s="27" t="s">
        <v>2041</v>
      </c>
      <c r="D128" s="27" t="s">
        <v>2042</v>
      </c>
      <c r="E128" s="27" t="s">
        <v>2043</v>
      </c>
      <c r="F128" s="27" t="s">
        <v>2034</v>
      </c>
      <c r="G128" s="27" t="s">
        <v>2044</v>
      </c>
      <c r="H128" s="27" t="s">
        <v>59</v>
      </c>
      <c r="I128" s="27" t="s">
        <v>143</v>
      </c>
      <c r="J128" s="27" t="s">
        <v>61</v>
      </c>
      <c r="K128" s="39" t="s">
        <v>2040</v>
      </c>
      <c r="L128" s="41" t="s">
        <v>63</v>
      </c>
      <c r="M128" s="27"/>
      <c r="N128" s="27"/>
      <c r="O128" s="28" t="s">
        <v>2276</v>
      </c>
    </row>
    <row r="129" spans="1:15" ht="15" customHeight="1" x14ac:dyDescent="0.3">
      <c r="A129" s="31">
        <v>46023</v>
      </c>
      <c r="B129" s="27" t="s">
        <v>53</v>
      </c>
      <c r="C129" s="27" t="s">
        <v>2045</v>
      </c>
      <c r="D129" s="27" t="s">
        <v>2046</v>
      </c>
      <c r="E129" s="27" t="s">
        <v>2047</v>
      </c>
      <c r="F129" s="27" t="s">
        <v>2034</v>
      </c>
      <c r="G129" s="27" t="s">
        <v>2048</v>
      </c>
      <c r="H129" s="27" t="s">
        <v>59</v>
      </c>
      <c r="I129" s="27" t="s">
        <v>143</v>
      </c>
      <c r="J129" s="27" t="s">
        <v>61</v>
      </c>
      <c r="K129" s="39" t="s">
        <v>2040</v>
      </c>
      <c r="L129" s="41" t="s">
        <v>63</v>
      </c>
      <c r="M129" s="27"/>
      <c r="N129" s="27"/>
      <c r="O129" s="28" t="s">
        <v>2276</v>
      </c>
    </row>
    <row r="130" spans="1:15" ht="15" customHeight="1" x14ac:dyDescent="0.3">
      <c r="A130" s="31">
        <v>46023</v>
      </c>
      <c r="B130" s="27" t="s">
        <v>53</v>
      </c>
      <c r="C130" s="27" t="s">
        <v>2049</v>
      </c>
      <c r="D130" s="27" t="s">
        <v>2050</v>
      </c>
      <c r="E130" s="27" t="s">
        <v>2051</v>
      </c>
      <c r="F130" s="27" t="s">
        <v>2034</v>
      </c>
      <c r="G130" s="27" t="s">
        <v>2048</v>
      </c>
      <c r="H130" s="27" t="s">
        <v>59</v>
      </c>
      <c r="I130" s="27" t="s">
        <v>143</v>
      </c>
      <c r="J130" s="27" t="s">
        <v>61</v>
      </c>
      <c r="K130" s="39" t="s">
        <v>2040</v>
      </c>
      <c r="L130" s="41" t="s">
        <v>63</v>
      </c>
      <c r="M130" s="27"/>
      <c r="N130" s="27"/>
      <c r="O130" s="28" t="s">
        <v>2276</v>
      </c>
    </row>
    <row r="131" spans="1:15" ht="15" customHeight="1" x14ac:dyDescent="0.3">
      <c r="A131" s="31">
        <v>46023</v>
      </c>
      <c r="B131" s="27" t="s">
        <v>53</v>
      </c>
      <c r="C131" s="27" t="s">
        <v>2052</v>
      </c>
      <c r="D131" s="27" t="s">
        <v>2053</v>
      </c>
      <c r="E131" s="27" t="s">
        <v>2054</v>
      </c>
      <c r="F131" s="27" t="s">
        <v>2034</v>
      </c>
      <c r="G131" s="27" t="s">
        <v>2055</v>
      </c>
      <c r="H131" s="27" t="s">
        <v>59</v>
      </c>
      <c r="I131" s="27" t="s">
        <v>143</v>
      </c>
      <c r="J131" s="27" t="s">
        <v>61</v>
      </c>
      <c r="K131" s="39" t="s">
        <v>2040</v>
      </c>
      <c r="L131" s="41" t="s">
        <v>63</v>
      </c>
      <c r="M131" s="27"/>
      <c r="N131" s="27"/>
      <c r="O131" s="28" t="s">
        <v>2276</v>
      </c>
    </row>
    <row r="132" spans="1:15" ht="15" customHeight="1" x14ac:dyDescent="0.3">
      <c r="A132" s="31">
        <v>46023</v>
      </c>
      <c r="B132" s="27" t="s">
        <v>53</v>
      </c>
      <c r="C132" s="27" t="s">
        <v>2056</v>
      </c>
      <c r="D132" s="27" t="s">
        <v>2057</v>
      </c>
      <c r="E132" s="27" t="s">
        <v>2058</v>
      </c>
      <c r="F132" s="27" t="s">
        <v>2034</v>
      </c>
      <c r="G132" s="27" t="s">
        <v>2059</v>
      </c>
      <c r="H132" s="27" t="s">
        <v>59</v>
      </c>
      <c r="I132" s="27" t="s">
        <v>143</v>
      </c>
      <c r="J132" s="27" t="s">
        <v>61</v>
      </c>
      <c r="K132" s="39" t="s">
        <v>2040</v>
      </c>
      <c r="L132" s="41" t="s">
        <v>63</v>
      </c>
      <c r="M132" s="27"/>
      <c r="N132" s="27"/>
      <c r="O132" s="28" t="s">
        <v>2276</v>
      </c>
    </row>
    <row r="133" spans="1:15" ht="15" customHeight="1" x14ac:dyDescent="0.3">
      <c r="A133" s="31">
        <v>46023</v>
      </c>
      <c r="B133" s="27" t="s">
        <v>53</v>
      </c>
      <c r="C133" s="27" t="s">
        <v>2060</v>
      </c>
      <c r="D133" s="27" t="s">
        <v>2061</v>
      </c>
      <c r="E133" s="27" t="s">
        <v>2058</v>
      </c>
      <c r="F133" s="27" t="s">
        <v>2034</v>
      </c>
      <c r="G133" s="27" t="s">
        <v>2059</v>
      </c>
      <c r="H133" s="27" t="s">
        <v>59</v>
      </c>
      <c r="I133" s="27" t="s">
        <v>143</v>
      </c>
      <c r="J133" s="27" t="s">
        <v>61</v>
      </c>
      <c r="K133" s="39" t="s">
        <v>2040</v>
      </c>
      <c r="L133" s="41" t="s">
        <v>63</v>
      </c>
      <c r="M133" s="27"/>
      <c r="N133" s="27"/>
      <c r="O133" s="28" t="s">
        <v>2276</v>
      </c>
    </row>
    <row r="134" spans="1:15" ht="15" customHeight="1" x14ac:dyDescent="0.3">
      <c r="A134" s="31">
        <v>46023</v>
      </c>
      <c r="B134" s="27" t="s">
        <v>53</v>
      </c>
      <c r="C134" s="27" t="s">
        <v>2062</v>
      </c>
      <c r="D134" s="27" t="s">
        <v>2063</v>
      </c>
      <c r="E134" s="27" t="s">
        <v>2058</v>
      </c>
      <c r="F134" s="27" t="s">
        <v>2034</v>
      </c>
      <c r="G134" s="27" t="s">
        <v>2048</v>
      </c>
      <c r="H134" s="27" t="s">
        <v>59</v>
      </c>
      <c r="I134" s="27" t="s">
        <v>143</v>
      </c>
      <c r="J134" s="27" t="s">
        <v>61</v>
      </c>
      <c r="K134" s="39" t="s">
        <v>2040</v>
      </c>
      <c r="L134" s="41" t="s">
        <v>63</v>
      </c>
      <c r="M134" s="27"/>
      <c r="N134" s="27"/>
      <c r="O134" s="28" t="s">
        <v>2276</v>
      </c>
    </row>
    <row r="135" spans="1:15" ht="15" customHeight="1" x14ac:dyDescent="0.3">
      <c r="A135" s="31">
        <v>46023</v>
      </c>
      <c r="B135" s="27" t="s">
        <v>53</v>
      </c>
      <c r="C135" s="27" t="s">
        <v>2064</v>
      </c>
      <c r="D135" s="27" t="s">
        <v>2065</v>
      </c>
      <c r="E135" s="27" t="s">
        <v>2066</v>
      </c>
      <c r="F135" s="27" t="s">
        <v>2034</v>
      </c>
      <c r="G135" s="27" t="s">
        <v>2067</v>
      </c>
      <c r="H135" s="27" t="s">
        <v>59</v>
      </c>
      <c r="I135" s="27" t="s">
        <v>143</v>
      </c>
      <c r="J135" s="27" t="s">
        <v>61</v>
      </c>
      <c r="K135" s="39" t="s">
        <v>2040</v>
      </c>
      <c r="L135" s="41" t="s">
        <v>63</v>
      </c>
      <c r="M135" s="27"/>
      <c r="N135" s="27"/>
      <c r="O135" s="28" t="s">
        <v>2276</v>
      </c>
    </row>
    <row r="136" spans="1:15" ht="15" customHeight="1" x14ac:dyDescent="0.3">
      <c r="A136" s="31">
        <v>46023</v>
      </c>
      <c r="B136" s="27" t="s">
        <v>53</v>
      </c>
      <c r="C136" s="27" t="s">
        <v>2068</v>
      </c>
      <c r="D136" s="27" t="s">
        <v>2069</v>
      </c>
      <c r="E136" s="27" t="s">
        <v>2070</v>
      </c>
      <c r="F136" s="27" t="s">
        <v>2034</v>
      </c>
      <c r="G136" s="27" t="s">
        <v>2071</v>
      </c>
      <c r="H136" s="27" t="s">
        <v>59</v>
      </c>
      <c r="I136" s="27" t="s">
        <v>143</v>
      </c>
      <c r="J136" s="27" t="s">
        <v>61</v>
      </c>
      <c r="K136" s="39" t="s">
        <v>2040</v>
      </c>
      <c r="L136" s="41" t="s">
        <v>63</v>
      </c>
      <c r="M136" s="27"/>
      <c r="N136" s="27"/>
      <c r="O136" s="28" t="s">
        <v>2276</v>
      </c>
    </row>
    <row r="137" spans="1:15" ht="15" customHeight="1" x14ac:dyDescent="0.3">
      <c r="A137" s="31">
        <v>46023</v>
      </c>
      <c r="B137" s="27" t="s">
        <v>53</v>
      </c>
      <c r="C137" s="27" t="s">
        <v>2072</v>
      </c>
      <c r="D137" s="27" t="s">
        <v>2073</v>
      </c>
      <c r="E137" s="27" t="s">
        <v>2074</v>
      </c>
      <c r="F137" s="27" t="s">
        <v>2034</v>
      </c>
      <c r="G137" s="27" t="s">
        <v>2075</v>
      </c>
      <c r="H137" s="27" t="s">
        <v>59</v>
      </c>
      <c r="I137" s="27" t="s">
        <v>143</v>
      </c>
      <c r="J137" s="27" t="s">
        <v>61</v>
      </c>
      <c r="K137" s="39" t="s">
        <v>2040</v>
      </c>
      <c r="L137" s="41" t="s">
        <v>63</v>
      </c>
      <c r="M137" s="27"/>
      <c r="N137" s="27"/>
      <c r="O137" s="28" t="s">
        <v>2276</v>
      </c>
    </row>
    <row r="138" spans="1:15" ht="15" customHeight="1" x14ac:dyDescent="0.3">
      <c r="A138" s="31">
        <v>46023</v>
      </c>
      <c r="B138" s="27" t="s">
        <v>53</v>
      </c>
      <c r="C138" s="27" t="s">
        <v>2076</v>
      </c>
      <c r="D138" s="27" t="s">
        <v>2077</v>
      </c>
      <c r="E138" s="27" t="s">
        <v>2078</v>
      </c>
      <c r="F138" s="27" t="s">
        <v>2034</v>
      </c>
      <c r="G138" s="27" t="s">
        <v>2067</v>
      </c>
      <c r="H138" s="27" t="s">
        <v>59</v>
      </c>
      <c r="I138" s="27" t="s">
        <v>143</v>
      </c>
      <c r="J138" s="27" t="s">
        <v>61</v>
      </c>
      <c r="K138" s="39" t="s">
        <v>2040</v>
      </c>
      <c r="L138" s="41" t="s">
        <v>63</v>
      </c>
      <c r="M138" s="27"/>
      <c r="N138" s="27"/>
      <c r="O138" s="28" t="s">
        <v>2276</v>
      </c>
    </row>
    <row r="139" spans="1:15" ht="15" customHeight="1" x14ac:dyDescent="0.3">
      <c r="A139" s="31">
        <v>46023</v>
      </c>
      <c r="B139" s="27" t="s">
        <v>53</v>
      </c>
      <c r="C139" s="27" t="s">
        <v>2079</v>
      </c>
      <c r="D139" s="27" t="s">
        <v>2080</v>
      </c>
      <c r="E139" s="27" t="s">
        <v>2081</v>
      </c>
      <c r="F139" s="27" t="s">
        <v>2034</v>
      </c>
      <c r="G139" s="27" t="s">
        <v>2082</v>
      </c>
      <c r="H139" s="27" t="s">
        <v>59</v>
      </c>
      <c r="I139" s="27" t="s">
        <v>143</v>
      </c>
      <c r="J139" s="27" t="s">
        <v>61</v>
      </c>
      <c r="K139" s="39" t="s">
        <v>2040</v>
      </c>
      <c r="L139" s="41" t="s">
        <v>63</v>
      </c>
      <c r="M139" s="27"/>
      <c r="N139" s="27"/>
      <c r="O139" s="28" t="s">
        <v>2276</v>
      </c>
    </row>
    <row r="140" spans="1:15" ht="15" customHeight="1" x14ac:dyDescent="0.3">
      <c r="A140" s="31">
        <v>46023</v>
      </c>
      <c r="B140" s="27" t="s">
        <v>53</v>
      </c>
      <c r="C140" s="27" t="s">
        <v>2083</v>
      </c>
      <c r="D140" s="27" t="s">
        <v>2084</v>
      </c>
      <c r="E140" s="27" t="s">
        <v>2085</v>
      </c>
      <c r="F140" s="27" t="s">
        <v>2034</v>
      </c>
      <c r="G140" s="27" t="s">
        <v>2048</v>
      </c>
      <c r="H140" s="27" t="s">
        <v>59</v>
      </c>
      <c r="I140" s="27" t="s">
        <v>143</v>
      </c>
      <c r="J140" s="27" t="s">
        <v>61</v>
      </c>
      <c r="K140" s="39" t="s">
        <v>2040</v>
      </c>
      <c r="L140" s="41" t="s">
        <v>63</v>
      </c>
      <c r="M140" s="27"/>
      <c r="N140" s="27"/>
      <c r="O140" s="28" t="s">
        <v>2276</v>
      </c>
    </row>
    <row r="141" spans="1:15" ht="15" customHeight="1" x14ac:dyDescent="0.3">
      <c r="A141" s="31">
        <v>46023</v>
      </c>
      <c r="B141" s="27" t="s">
        <v>53</v>
      </c>
      <c r="C141" s="27" t="s">
        <v>2086</v>
      </c>
      <c r="D141" s="27" t="s">
        <v>2087</v>
      </c>
      <c r="E141" s="27" t="s">
        <v>2088</v>
      </c>
      <c r="F141" s="27" t="s">
        <v>2034</v>
      </c>
      <c r="G141" s="27" t="s">
        <v>2071</v>
      </c>
      <c r="H141" s="27" t="s">
        <v>59</v>
      </c>
      <c r="I141" s="27" t="s">
        <v>143</v>
      </c>
      <c r="J141" s="27" t="s">
        <v>61</v>
      </c>
      <c r="K141" s="39" t="s">
        <v>2040</v>
      </c>
      <c r="L141" s="41" t="s">
        <v>63</v>
      </c>
      <c r="M141" s="27"/>
      <c r="N141" s="27"/>
      <c r="O141" s="28" t="s">
        <v>2276</v>
      </c>
    </row>
    <row r="142" spans="1:15" ht="15" customHeight="1" x14ac:dyDescent="0.3">
      <c r="A142" s="31">
        <v>46023</v>
      </c>
      <c r="B142" s="27" t="s">
        <v>53</v>
      </c>
      <c r="C142" s="27" t="s">
        <v>2089</v>
      </c>
      <c r="D142" s="27" t="s">
        <v>2090</v>
      </c>
      <c r="E142" s="27" t="s">
        <v>2091</v>
      </c>
      <c r="F142" s="27" t="s">
        <v>2034</v>
      </c>
      <c r="G142" s="27" t="s">
        <v>2071</v>
      </c>
      <c r="H142" s="27" t="s">
        <v>59</v>
      </c>
      <c r="I142" s="27" t="s">
        <v>143</v>
      </c>
      <c r="J142" s="27" t="s">
        <v>61</v>
      </c>
      <c r="K142" s="39" t="s">
        <v>2040</v>
      </c>
      <c r="L142" s="41" t="s">
        <v>63</v>
      </c>
      <c r="M142" s="27"/>
      <c r="N142" s="27"/>
      <c r="O142" s="28" t="s">
        <v>2276</v>
      </c>
    </row>
    <row r="143" spans="1:15" ht="15" customHeight="1" x14ac:dyDescent="0.3">
      <c r="A143" s="31">
        <v>46023</v>
      </c>
      <c r="B143" s="27" t="s">
        <v>53</v>
      </c>
      <c r="C143" s="27" t="s">
        <v>2092</v>
      </c>
      <c r="D143" s="27" t="s">
        <v>2090</v>
      </c>
      <c r="E143" s="27" t="s">
        <v>2093</v>
      </c>
      <c r="F143" s="27" t="s">
        <v>2034</v>
      </c>
      <c r="G143" s="27" t="s">
        <v>2071</v>
      </c>
      <c r="H143" s="27" t="s">
        <v>59</v>
      </c>
      <c r="I143" s="27" t="s">
        <v>143</v>
      </c>
      <c r="J143" s="27" t="s">
        <v>61</v>
      </c>
      <c r="K143" s="39" t="s">
        <v>2040</v>
      </c>
      <c r="L143" s="41" t="s">
        <v>63</v>
      </c>
      <c r="M143" s="27"/>
      <c r="N143" s="27"/>
      <c r="O143" s="28" t="s">
        <v>2276</v>
      </c>
    </row>
    <row r="144" spans="1:15" ht="15" customHeight="1" x14ac:dyDescent="0.3">
      <c r="A144" s="31">
        <v>46023</v>
      </c>
      <c r="B144" s="27" t="s">
        <v>53</v>
      </c>
      <c r="C144" s="27" t="s">
        <v>2094</v>
      </c>
      <c r="D144" s="27" t="s">
        <v>2095</v>
      </c>
      <c r="E144" s="27" t="s">
        <v>2096</v>
      </c>
      <c r="F144" s="27" t="s">
        <v>2034</v>
      </c>
      <c r="G144" s="27" t="s">
        <v>2039</v>
      </c>
      <c r="H144" s="27" t="s">
        <v>59</v>
      </c>
      <c r="I144" s="27" t="s">
        <v>143</v>
      </c>
      <c r="J144" s="27" t="s">
        <v>61</v>
      </c>
      <c r="K144" s="39" t="s">
        <v>2040</v>
      </c>
      <c r="L144" s="41" t="s">
        <v>63</v>
      </c>
      <c r="M144" s="27"/>
      <c r="N144" s="27"/>
      <c r="O144" s="28" t="s">
        <v>2276</v>
      </c>
    </row>
    <row r="145" spans="1:15" ht="15" customHeight="1" x14ac:dyDescent="0.3">
      <c r="A145" s="31">
        <v>46023</v>
      </c>
      <c r="B145" s="27" t="s">
        <v>53</v>
      </c>
      <c r="C145" s="27" t="s">
        <v>2097</v>
      </c>
      <c r="D145" s="27" t="s">
        <v>2098</v>
      </c>
      <c r="E145" s="27" t="s">
        <v>2099</v>
      </c>
      <c r="F145" s="27" t="s">
        <v>2034</v>
      </c>
      <c r="G145" s="27" t="s">
        <v>2039</v>
      </c>
      <c r="H145" s="27" t="s">
        <v>59</v>
      </c>
      <c r="I145" s="27" t="s">
        <v>143</v>
      </c>
      <c r="J145" s="27" t="s">
        <v>61</v>
      </c>
      <c r="K145" s="39" t="s">
        <v>2040</v>
      </c>
      <c r="L145" s="41" t="s">
        <v>63</v>
      </c>
      <c r="M145" s="27"/>
      <c r="N145" s="27"/>
      <c r="O145" s="28" t="s">
        <v>2276</v>
      </c>
    </row>
    <row r="146" spans="1:15" ht="15" customHeight="1" x14ac:dyDescent="0.3">
      <c r="A146" s="31">
        <v>46023</v>
      </c>
      <c r="B146" s="27" t="s">
        <v>53</v>
      </c>
      <c r="C146" s="27" t="s">
        <v>2100</v>
      </c>
      <c r="D146" s="27" t="s">
        <v>2101</v>
      </c>
      <c r="E146" s="27" t="s">
        <v>59</v>
      </c>
      <c r="F146" s="27" t="s">
        <v>2034</v>
      </c>
      <c r="G146" s="27" t="s">
        <v>2102</v>
      </c>
      <c r="H146" s="27" t="s">
        <v>59</v>
      </c>
      <c r="I146" s="27" t="s">
        <v>143</v>
      </c>
      <c r="J146" s="27" t="s">
        <v>61</v>
      </c>
      <c r="K146" s="39" t="s">
        <v>2040</v>
      </c>
      <c r="L146" s="41" t="s">
        <v>63</v>
      </c>
      <c r="M146" s="27"/>
      <c r="N146" s="27"/>
      <c r="O146" s="28" t="s">
        <v>2276</v>
      </c>
    </row>
    <row r="147" spans="1:15" ht="15" customHeight="1" x14ac:dyDescent="0.3">
      <c r="A147" s="31">
        <v>46023</v>
      </c>
      <c r="B147" s="27" t="s">
        <v>53</v>
      </c>
      <c r="C147" s="27" t="s">
        <v>2103</v>
      </c>
      <c r="D147" s="27" t="s">
        <v>2104</v>
      </c>
      <c r="E147" s="27" t="s">
        <v>59</v>
      </c>
      <c r="F147" s="27" t="s">
        <v>2034</v>
      </c>
      <c r="G147" s="27" t="s">
        <v>2102</v>
      </c>
      <c r="H147" s="27" t="s">
        <v>59</v>
      </c>
      <c r="I147" s="27" t="s">
        <v>143</v>
      </c>
      <c r="J147" s="27" t="s">
        <v>61</v>
      </c>
      <c r="K147" s="39" t="s">
        <v>2040</v>
      </c>
      <c r="L147" s="41" t="s">
        <v>63</v>
      </c>
      <c r="M147" s="27"/>
      <c r="N147" s="27"/>
      <c r="O147" s="28" t="s">
        <v>2276</v>
      </c>
    </row>
    <row r="148" spans="1:15" ht="15" customHeight="1" x14ac:dyDescent="0.3">
      <c r="A148" s="31">
        <v>46023</v>
      </c>
      <c r="B148" s="27" t="s">
        <v>53</v>
      </c>
      <c r="C148" s="27" t="s">
        <v>2105</v>
      </c>
      <c r="D148" s="27" t="s">
        <v>2106</v>
      </c>
      <c r="E148" s="27" t="s">
        <v>59</v>
      </c>
      <c r="F148" s="27" t="s">
        <v>2034</v>
      </c>
      <c r="G148" s="27" t="s">
        <v>2048</v>
      </c>
      <c r="H148" s="27" t="s">
        <v>59</v>
      </c>
      <c r="I148" s="27" t="s">
        <v>143</v>
      </c>
      <c r="J148" s="27" t="s">
        <v>61</v>
      </c>
      <c r="K148" s="39" t="s">
        <v>2040</v>
      </c>
      <c r="L148" s="41" t="s">
        <v>63</v>
      </c>
      <c r="M148" s="27"/>
      <c r="N148" s="27"/>
      <c r="O148" s="28" t="s">
        <v>2276</v>
      </c>
    </row>
    <row r="149" spans="1:15" ht="15" customHeight="1" x14ac:dyDescent="0.3">
      <c r="A149" s="31">
        <v>46023</v>
      </c>
      <c r="B149" s="27" t="s">
        <v>53</v>
      </c>
      <c r="C149" s="27" t="s">
        <v>2107</v>
      </c>
      <c r="D149" s="27" t="s">
        <v>2108</v>
      </c>
      <c r="E149" s="27" t="s">
        <v>59</v>
      </c>
      <c r="F149" s="27" t="s">
        <v>2034</v>
      </c>
      <c r="G149" s="27" t="s">
        <v>2102</v>
      </c>
      <c r="H149" s="27" t="s">
        <v>59</v>
      </c>
      <c r="I149" s="27" t="s">
        <v>143</v>
      </c>
      <c r="J149" s="27" t="s">
        <v>61</v>
      </c>
      <c r="K149" s="39" t="s">
        <v>2040</v>
      </c>
      <c r="L149" s="41" t="s">
        <v>63</v>
      </c>
      <c r="M149" s="27"/>
      <c r="N149" s="27"/>
      <c r="O149" s="28" t="s">
        <v>2276</v>
      </c>
    </row>
    <row r="150" spans="1:15" ht="15" customHeight="1" x14ac:dyDescent="0.3">
      <c r="A150" s="31">
        <v>46023</v>
      </c>
      <c r="B150" s="27" t="s">
        <v>53</v>
      </c>
      <c r="C150" s="27" t="s">
        <v>2109</v>
      </c>
      <c r="D150" s="27" t="s">
        <v>2110</v>
      </c>
      <c r="E150" s="27" t="s">
        <v>2111</v>
      </c>
      <c r="F150" s="27" t="s">
        <v>2034</v>
      </c>
      <c r="G150" s="27" t="s">
        <v>2102</v>
      </c>
      <c r="H150" s="27" t="s">
        <v>59</v>
      </c>
      <c r="I150" s="27" t="s">
        <v>143</v>
      </c>
      <c r="J150" s="27" t="s">
        <v>61</v>
      </c>
      <c r="K150" s="39" t="s">
        <v>2040</v>
      </c>
      <c r="L150" s="41" t="s">
        <v>63</v>
      </c>
      <c r="M150" s="27"/>
      <c r="N150" s="27"/>
      <c r="O150" s="28" t="s">
        <v>2276</v>
      </c>
    </row>
    <row r="151" spans="1:15" ht="15" customHeight="1" x14ac:dyDescent="0.3">
      <c r="A151" s="31">
        <v>46023</v>
      </c>
      <c r="B151" s="27" t="s">
        <v>53</v>
      </c>
      <c r="C151" s="27" t="s">
        <v>2112</v>
      </c>
      <c r="D151" s="27" t="s">
        <v>2113</v>
      </c>
      <c r="E151" s="27" t="s">
        <v>59</v>
      </c>
      <c r="F151" s="27" t="s">
        <v>2034</v>
      </c>
      <c r="G151" s="27" t="s">
        <v>2035</v>
      </c>
      <c r="H151" s="27" t="s">
        <v>59</v>
      </c>
      <c r="I151" s="27" t="s">
        <v>143</v>
      </c>
      <c r="J151" s="27" t="s">
        <v>61</v>
      </c>
      <c r="K151" s="39" t="s">
        <v>2040</v>
      </c>
      <c r="L151" s="41" t="s">
        <v>63</v>
      </c>
      <c r="M151" s="27"/>
      <c r="N151" s="27"/>
      <c r="O151" s="28" t="s">
        <v>2276</v>
      </c>
    </row>
    <row r="152" spans="1:15" ht="15" customHeight="1" x14ac:dyDescent="0.3">
      <c r="A152" s="31">
        <v>46023</v>
      </c>
      <c r="B152" s="27" t="s">
        <v>53</v>
      </c>
      <c r="C152" s="27" t="s">
        <v>2114</v>
      </c>
      <c r="D152" s="27" t="s">
        <v>2115</v>
      </c>
      <c r="E152" s="27" t="s">
        <v>2096</v>
      </c>
      <c r="F152" s="27" t="s">
        <v>2034</v>
      </c>
      <c r="G152" s="27" t="s">
        <v>2039</v>
      </c>
      <c r="H152" s="27" t="s">
        <v>59</v>
      </c>
      <c r="I152" s="27" t="s">
        <v>143</v>
      </c>
      <c r="J152" s="27" t="s">
        <v>61</v>
      </c>
      <c r="K152" s="39" t="s">
        <v>2040</v>
      </c>
      <c r="L152" s="41" t="s">
        <v>63</v>
      </c>
      <c r="M152" s="27"/>
      <c r="N152" s="27"/>
      <c r="O152" s="28" t="s">
        <v>2276</v>
      </c>
    </row>
    <row r="153" spans="1:15" ht="15" customHeight="1" x14ac:dyDescent="0.3">
      <c r="A153" s="31">
        <v>46023</v>
      </c>
      <c r="B153" s="27" t="s">
        <v>53</v>
      </c>
      <c r="C153" s="27" t="s">
        <v>2116</v>
      </c>
      <c r="D153" s="27" t="s">
        <v>2117</v>
      </c>
      <c r="E153" s="27" t="s">
        <v>2096</v>
      </c>
      <c r="F153" s="27" t="s">
        <v>2034</v>
      </c>
      <c r="G153" s="27" t="s">
        <v>2039</v>
      </c>
      <c r="H153" s="27" t="s">
        <v>59</v>
      </c>
      <c r="I153" s="27" t="s">
        <v>143</v>
      </c>
      <c r="J153" s="27" t="s">
        <v>61</v>
      </c>
      <c r="K153" s="39" t="s">
        <v>2040</v>
      </c>
      <c r="L153" s="41" t="s">
        <v>63</v>
      </c>
      <c r="M153" s="27"/>
      <c r="N153" s="27"/>
      <c r="O153" s="28" t="s">
        <v>2276</v>
      </c>
    </row>
    <row r="154" spans="1:15" ht="15" customHeight="1" x14ac:dyDescent="0.3">
      <c r="A154" s="31">
        <v>46023</v>
      </c>
      <c r="B154" s="27" t="s">
        <v>53</v>
      </c>
      <c r="C154" s="27" t="s">
        <v>2118</v>
      </c>
      <c r="D154" s="27" t="s">
        <v>2119</v>
      </c>
      <c r="E154" s="27" t="s">
        <v>2120</v>
      </c>
      <c r="F154" s="27" t="s">
        <v>2034</v>
      </c>
      <c r="G154" s="27" t="s">
        <v>2102</v>
      </c>
      <c r="H154" s="27" t="s">
        <v>59</v>
      </c>
      <c r="I154" s="27" t="s">
        <v>143</v>
      </c>
      <c r="J154" s="27" t="s">
        <v>61</v>
      </c>
      <c r="K154" s="39" t="s">
        <v>2040</v>
      </c>
      <c r="L154" s="41" t="s">
        <v>63</v>
      </c>
      <c r="M154" s="27"/>
      <c r="N154" s="27"/>
      <c r="O154" s="28" t="s">
        <v>2276</v>
      </c>
    </row>
    <row r="155" spans="1:15" ht="15" customHeight="1" x14ac:dyDescent="0.3">
      <c r="A155" s="31">
        <v>46023</v>
      </c>
      <c r="B155" s="27" t="s">
        <v>53</v>
      </c>
      <c r="C155" s="27" t="s">
        <v>2121</v>
      </c>
      <c r="D155" s="27" t="s">
        <v>2122</v>
      </c>
      <c r="E155" s="27" t="s">
        <v>2081</v>
      </c>
      <c r="F155" s="27" t="s">
        <v>2034</v>
      </c>
      <c r="G155" s="27" t="s">
        <v>2102</v>
      </c>
      <c r="H155" s="27" t="s">
        <v>59</v>
      </c>
      <c r="I155" s="27" t="s">
        <v>143</v>
      </c>
      <c r="J155" s="27" t="s">
        <v>61</v>
      </c>
      <c r="K155" s="39" t="s">
        <v>2040</v>
      </c>
      <c r="L155" s="41" t="s">
        <v>63</v>
      </c>
      <c r="M155" s="27"/>
      <c r="N155" s="27"/>
      <c r="O155" s="28" t="s">
        <v>2276</v>
      </c>
    </row>
    <row r="156" spans="1:15" ht="15" customHeight="1" x14ac:dyDescent="0.3">
      <c r="A156" s="31">
        <v>46023</v>
      </c>
      <c r="B156" s="27" t="s">
        <v>53</v>
      </c>
      <c r="C156" s="27" t="s">
        <v>2123</v>
      </c>
      <c r="D156" s="27" t="s">
        <v>2124</v>
      </c>
      <c r="E156" s="27" t="s">
        <v>2125</v>
      </c>
      <c r="F156" s="27" t="s">
        <v>2034</v>
      </c>
      <c r="G156" s="27" t="s">
        <v>2102</v>
      </c>
      <c r="H156" s="27" t="s">
        <v>59</v>
      </c>
      <c r="I156" s="27" t="s">
        <v>143</v>
      </c>
      <c r="J156" s="27" t="s">
        <v>61</v>
      </c>
      <c r="K156" s="39" t="s">
        <v>2040</v>
      </c>
      <c r="L156" s="41" t="s">
        <v>63</v>
      </c>
      <c r="M156" s="27"/>
      <c r="N156" s="27"/>
      <c r="O156" s="28" t="s">
        <v>2276</v>
      </c>
    </row>
    <row r="157" spans="1:15" ht="15" customHeight="1" x14ac:dyDescent="0.3">
      <c r="A157" s="31">
        <v>46023</v>
      </c>
      <c r="B157" s="27" t="s">
        <v>53</v>
      </c>
      <c r="C157" s="27" t="s">
        <v>2126</v>
      </c>
      <c r="D157" s="27" t="s">
        <v>2127</v>
      </c>
      <c r="E157" s="27" t="s">
        <v>59</v>
      </c>
      <c r="F157" s="27" t="s">
        <v>2034</v>
      </c>
      <c r="G157" s="27" t="s">
        <v>2039</v>
      </c>
      <c r="H157" s="27" t="s">
        <v>59</v>
      </c>
      <c r="I157" s="27" t="s">
        <v>143</v>
      </c>
      <c r="J157" s="27" t="s">
        <v>61</v>
      </c>
      <c r="K157" s="39" t="s">
        <v>2040</v>
      </c>
      <c r="L157" s="41" t="s">
        <v>63</v>
      </c>
      <c r="M157" s="27"/>
      <c r="N157" s="27"/>
      <c r="O157" s="28" t="s">
        <v>2276</v>
      </c>
    </row>
    <row r="158" spans="1:15" ht="15" customHeight="1" x14ac:dyDescent="0.3">
      <c r="A158" s="31">
        <v>46023</v>
      </c>
      <c r="B158" s="27" t="s">
        <v>53</v>
      </c>
      <c r="C158" s="27" t="s">
        <v>2128</v>
      </c>
      <c r="D158" s="27" t="s">
        <v>2129</v>
      </c>
      <c r="E158" s="27" t="s">
        <v>2130</v>
      </c>
      <c r="F158" s="27" t="s">
        <v>2034</v>
      </c>
      <c r="G158" s="27" t="s">
        <v>2102</v>
      </c>
      <c r="H158" s="27" t="s">
        <v>59</v>
      </c>
      <c r="I158" s="27" t="s">
        <v>143</v>
      </c>
      <c r="J158" s="27" t="s">
        <v>61</v>
      </c>
      <c r="K158" s="39" t="s">
        <v>2040</v>
      </c>
      <c r="L158" s="41" t="s">
        <v>63</v>
      </c>
      <c r="M158" s="27"/>
      <c r="N158" s="27"/>
      <c r="O158" s="28" t="s">
        <v>2276</v>
      </c>
    </row>
    <row r="159" spans="1:15" ht="15" customHeight="1" x14ac:dyDescent="0.3">
      <c r="A159" s="31">
        <v>46023</v>
      </c>
      <c r="B159" s="27" t="s">
        <v>53</v>
      </c>
      <c r="C159" s="27" t="s">
        <v>2131</v>
      </c>
      <c r="D159" s="27" t="s">
        <v>2132</v>
      </c>
      <c r="E159" s="27" t="s">
        <v>2130</v>
      </c>
      <c r="F159" s="27" t="s">
        <v>2034</v>
      </c>
      <c r="G159" s="27" t="s">
        <v>2102</v>
      </c>
      <c r="H159" s="27" t="s">
        <v>59</v>
      </c>
      <c r="I159" s="27" t="s">
        <v>143</v>
      </c>
      <c r="J159" s="27" t="s">
        <v>61</v>
      </c>
      <c r="K159" s="39" t="s">
        <v>2040</v>
      </c>
      <c r="L159" s="41" t="s">
        <v>63</v>
      </c>
      <c r="M159" s="27"/>
      <c r="N159" s="27"/>
      <c r="O159" s="28" t="s">
        <v>2276</v>
      </c>
    </row>
    <row r="160" spans="1:15" ht="15" customHeight="1" x14ac:dyDescent="0.3">
      <c r="A160" s="31">
        <v>46023</v>
      </c>
      <c r="B160" s="27" t="s">
        <v>53</v>
      </c>
      <c r="C160" s="27" t="s">
        <v>2133</v>
      </c>
      <c r="D160" s="27" t="s">
        <v>2134</v>
      </c>
      <c r="E160" s="27" t="s">
        <v>59</v>
      </c>
      <c r="F160" s="27" t="s">
        <v>2034</v>
      </c>
      <c r="G160" s="27" t="s">
        <v>2102</v>
      </c>
      <c r="H160" s="27" t="s">
        <v>59</v>
      </c>
      <c r="I160" s="27" t="s">
        <v>143</v>
      </c>
      <c r="J160" s="27" t="s">
        <v>61</v>
      </c>
      <c r="K160" s="39" t="s">
        <v>2040</v>
      </c>
      <c r="L160" s="41" t="s">
        <v>63</v>
      </c>
      <c r="M160" s="27"/>
      <c r="N160" s="27"/>
      <c r="O160" s="28" t="s">
        <v>2276</v>
      </c>
    </row>
    <row r="161" spans="1:15" ht="15" customHeight="1" x14ac:dyDescent="0.3">
      <c r="A161" s="31">
        <v>46023</v>
      </c>
      <c r="B161" s="27" t="s">
        <v>53</v>
      </c>
      <c r="C161" s="27" t="s">
        <v>2135</v>
      </c>
      <c r="D161" s="27" t="s">
        <v>2136</v>
      </c>
      <c r="E161" s="27" t="s">
        <v>2137</v>
      </c>
      <c r="F161" s="27" t="s">
        <v>2034</v>
      </c>
      <c r="G161" s="27" t="s">
        <v>2102</v>
      </c>
      <c r="H161" s="27" t="s">
        <v>59</v>
      </c>
      <c r="I161" s="27" t="s">
        <v>143</v>
      </c>
      <c r="J161" s="27" t="s">
        <v>61</v>
      </c>
      <c r="K161" s="39" t="s">
        <v>2040</v>
      </c>
      <c r="L161" s="41" t="s">
        <v>63</v>
      </c>
      <c r="M161" s="27"/>
      <c r="N161" s="27"/>
      <c r="O161" s="28" t="s">
        <v>2276</v>
      </c>
    </row>
    <row r="162" spans="1:15" ht="15" customHeight="1" x14ac:dyDescent="0.3">
      <c r="A162" s="31">
        <v>46023</v>
      </c>
      <c r="B162" s="27" t="s">
        <v>53</v>
      </c>
      <c r="C162" s="27" t="s">
        <v>2138</v>
      </c>
      <c r="D162" s="27" t="s">
        <v>2139</v>
      </c>
      <c r="E162" s="27" t="s">
        <v>2137</v>
      </c>
      <c r="F162" s="27" t="s">
        <v>2034</v>
      </c>
      <c r="G162" s="27" t="s">
        <v>2102</v>
      </c>
      <c r="H162" s="27" t="s">
        <v>59</v>
      </c>
      <c r="I162" s="27" t="s">
        <v>143</v>
      </c>
      <c r="J162" s="27" t="s">
        <v>61</v>
      </c>
      <c r="K162" s="39" t="s">
        <v>2040</v>
      </c>
      <c r="L162" s="41" t="s">
        <v>63</v>
      </c>
      <c r="M162" s="27"/>
      <c r="N162" s="27"/>
      <c r="O162" s="28" t="s">
        <v>2276</v>
      </c>
    </row>
    <row r="163" spans="1:15" ht="15" customHeight="1" x14ac:dyDescent="0.3">
      <c r="A163" s="31">
        <v>46023</v>
      </c>
      <c r="B163" s="27" t="s">
        <v>53</v>
      </c>
      <c r="C163" s="27" t="s">
        <v>2466</v>
      </c>
      <c r="D163" s="27" t="s">
        <v>2467</v>
      </c>
      <c r="E163" s="27" t="s">
        <v>2468</v>
      </c>
      <c r="F163" s="27" t="s">
        <v>2034</v>
      </c>
      <c r="G163" s="27" t="s">
        <v>1020</v>
      </c>
      <c r="H163" s="27" t="s">
        <v>59</v>
      </c>
      <c r="I163" s="27" t="s">
        <v>143</v>
      </c>
      <c r="J163" s="27" t="s">
        <v>144</v>
      </c>
      <c r="K163" s="39" t="s">
        <v>2469</v>
      </c>
      <c r="L163" s="41" t="s">
        <v>129</v>
      </c>
      <c r="M163" s="27"/>
      <c r="N163" s="27"/>
      <c r="O163" s="28" t="s">
        <v>2276</v>
      </c>
    </row>
    <row r="164" spans="1:15" ht="15" customHeight="1" x14ac:dyDescent="0.3">
      <c r="A164" s="31">
        <v>46023</v>
      </c>
      <c r="B164" s="27" t="s">
        <v>53</v>
      </c>
      <c r="C164" s="27" t="s">
        <v>1976</v>
      </c>
      <c r="D164" s="27" t="s">
        <v>1977</v>
      </c>
      <c r="E164" s="27" t="s">
        <v>59</v>
      </c>
      <c r="F164" s="27" t="s">
        <v>1978</v>
      </c>
      <c r="G164" s="27" t="s">
        <v>1979</v>
      </c>
      <c r="H164" s="27" t="s">
        <v>59</v>
      </c>
      <c r="I164" s="27" t="s">
        <v>116</v>
      </c>
      <c r="J164" s="27" t="s">
        <v>61</v>
      </c>
      <c r="K164" s="39" t="s">
        <v>1980</v>
      </c>
      <c r="L164" s="41" t="s">
        <v>129</v>
      </c>
      <c r="M164" s="27"/>
      <c r="N164" s="27"/>
      <c r="O164" s="28" t="s">
        <v>2276</v>
      </c>
    </row>
    <row r="165" spans="1:15" ht="15" customHeight="1" x14ac:dyDescent="0.3">
      <c r="A165" s="31">
        <v>46023</v>
      </c>
      <c r="B165" s="27" t="s">
        <v>53</v>
      </c>
      <c r="C165" s="27" t="s">
        <v>1981</v>
      </c>
      <c r="D165" s="27" t="s">
        <v>1982</v>
      </c>
      <c r="E165" s="27" t="s">
        <v>59</v>
      </c>
      <c r="F165" s="27" t="s">
        <v>1978</v>
      </c>
      <c r="G165" s="27" t="s">
        <v>1979</v>
      </c>
      <c r="H165" s="27" t="s">
        <v>59</v>
      </c>
      <c r="I165" s="27" t="s">
        <v>116</v>
      </c>
      <c r="J165" s="27" t="s">
        <v>61</v>
      </c>
      <c r="K165" s="39" t="s">
        <v>1980</v>
      </c>
      <c r="L165" s="41" t="s">
        <v>129</v>
      </c>
      <c r="M165" s="27"/>
      <c r="N165" s="27"/>
      <c r="O165" s="28" t="s">
        <v>2276</v>
      </c>
    </row>
    <row r="166" spans="1:15" ht="15" customHeight="1" x14ac:dyDescent="0.3">
      <c r="A166" s="31">
        <v>46023</v>
      </c>
      <c r="B166" s="27" t="s">
        <v>53</v>
      </c>
      <c r="C166" s="27" t="s">
        <v>1983</v>
      </c>
      <c r="D166" s="27" t="s">
        <v>1984</v>
      </c>
      <c r="E166" s="27" t="s">
        <v>462</v>
      </c>
      <c r="F166" s="27" t="s">
        <v>1978</v>
      </c>
      <c r="G166" s="27" t="s">
        <v>1979</v>
      </c>
      <c r="H166" s="27" t="s">
        <v>59</v>
      </c>
      <c r="I166" s="27" t="s">
        <v>60</v>
      </c>
      <c r="J166" s="27" t="s">
        <v>127</v>
      </c>
      <c r="K166" s="39" t="s">
        <v>348</v>
      </c>
      <c r="L166" s="41" t="s">
        <v>129</v>
      </c>
      <c r="M166" s="27"/>
      <c r="N166" s="27"/>
      <c r="O166" s="28" t="s">
        <v>2276</v>
      </c>
    </row>
    <row r="167" spans="1:15" ht="15" customHeight="1" x14ac:dyDescent="0.3">
      <c r="A167" s="31">
        <v>46023</v>
      </c>
      <c r="B167" s="27" t="s">
        <v>53</v>
      </c>
      <c r="C167" s="27" t="s">
        <v>1985</v>
      </c>
      <c r="D167" s="27" t="s">
        <v>1984</v>
      </c>
      <c r="E167" s="27" t="s">
        <v>1986</v>
      </c>
      <c r="F167" s="27" t="s">
        <v>1978</v>
      </c>
      <c r="G167" s="27" t="s">
        <v>1979</v>
      </c>
      <c r="H167" s="27" t="s">
        <v>59</v>
      </c>
      <c r="I167" s="27" t="s">
        <v>60</v>
      </c>
      <c r="J167" s="27" t="s">
        <v>127</v>
      </c>
      <c r="K167" s="39" t="s">
        <v>348</v>
      </c>
      <c r="L167" s="41" t="s">
        <v>129</v>
      </c>
      <c r="M167" s="27"/>
      <c r="N167" s="27"/>
      <c r="O167" s="28" t="s">
        <v>2276</v>
      </c>
    </row>
    <row r="168" spans="1:15" ht="15" customHeight="1" x14ac:dyDescent="0.3">
      <c r="A168" s="31">
        <v>46023</v>
      </c>
      <c r="B168" s="27" t="s">
        <v>53</v>
      </c>
      <c r="C168" s="27" t="s">
        <v>1987</v>
      </c>
      <c r="D168" s="27" t="s">
        <v>1988</v>
      </c>
      <c r="E168" s="27" t="s">
        <v>1989</v>
      </c>
      <c r="F168" s="27" t="s">
        <v>1978</v>
      </c>
      <c r="G168" s="27" t="s">
        <v>1979</v>
      </c>
      <c r="H168" s="27" t="s">
        <v>59</v>
      </c>
      <c r="I168" s="27" t="s">
        <v>60</v>
      </c>
      <c r="J168" s="27" t="s">
        <v>127</v>
      </c>
      <c r="K168" s="39" t="s">
        <v>364</v>
      </c>
      <c r="L168" s="41" t="s">
        <v>129</v>
      </c>
      <c r="M168" s="27"/>
      <c r="N168" s="27"/>
      <c r="O168" s="28" t="s">
        <v>2276</v>
      </c>
    </row>
    <row r="169" spans="1:15" ht="15" customHeight="1" x14ac:dyDescent="0.3">
      <c r="A169" s="31">
        <v>46023</v>
      </c>
      <c r="B169" s="27" t="s">
        <v>53</v>
      </c>
      <c r="C169" s="27" t="s">
        <v>1990</v>
      </c>
      <c r="D169" s="27" t="s">
        <v>1991</v>
      </c>
      <c r="E169" s="27" t="s">
        <v>1992</v>
      </c>
      <c r="F169" s="27" t="s">
        <v>1978</v>
      </c>
      <c r="G169" s="27" t="s">
        <v>1993</v>
      </c>
      <c r="H169" s="27" t="s">
        <v>59</v>
      </c>
      <c r="I169" s="27" t="s">
        <v>60</v>
      </c>
      <c r="J169" s="27" t="s">
        <v>61</v>
      </c>
      <c r="K169" s="39" t="s">
        <v>1994</v>
      </c>
      <c r="L169" s="41" t="s">
        <v>129</v>
      </c>
      <c r="M169" s="27"/>
      <c r="N169" s="27"/>
      <c r="O169" s="28" t="s">
        <v>2276</v>
      </c>
    </row>
    <row r="170" spans="1:15" ht="15" customHeight="1" x14ac:dyDescent="0.3">
      <c r="A170" s="31">
        <v>46023</v>
      </c>
      <c r="B170" s="27" t="s">
        <v>53</v>
      </c>
      <c r="C170" s="27" t="s">
        <v>1995</v>
      </c>
      <c r="D170" s="27" t="s">
        <v>1996</v>
      </c>
      <c r="E170" s="27" t="s">
        <v>1997</v>
      </c>
      <c r="F170" s="27" t="s">
        <v>1978</v>
      </c>
      <c r="G170" s="27" t="s">
        <v>1993</v>
      </c>
      <c r="H170" s="27" t="s">
        <v>59</v>
      </c>
      <c r="I170" s="27" t="s">
        <v>60</v>
      </c>
      <c r="J170" s="27" t="s">
        <v>61</v>
      </c>
      <c r="K170" s="39" t="s">
        <v>1994</v>
      </c>
      <c r="L170" s="41" t="s">
        <v>309</v>
      </c>
      <c r="M170" s="27"/>
      <c r="N170" s="27"/>
      <c r="O170" s="28" t="s">
        <v>2276</v>
      </c>
    </row>
    <row r="171" spans="1:15" ht="15" customHeight="1" x14ac:dyDescent="0.3">
      <c r="A171" s="31">
        <v>46023</v>
      </c>
      <c r="B171" s="27" t="s">
        <v>53</v>
      </c>
      <c r="C171" s="27" t="s">
        <v>1998</v>
      </c>
      <c r="D171" s="27" t="s">
        <v>1996</v>
      </c>
      <c r="E171" s="27" t="s">
        <v>1997</v>
      </c>
      <c r="F171" s="27" t="s">
        <v>1978</v>
      </c>
      <c r="G171" s="27" t="s">
        <v>1993</v>
      </c>
      <c r="H171" s="27" t="s">
        <v>59</v>
      </c>
      <c r="I171" s="27" t="s">
        <v>116</v>
      </c>
      <c r="J171" s="27" t="s">
        <v>61</v>
      </c>
      <c r="K171" s="39" t="s">
        <v>1994</v>
      </c>
      <c r="L171" s="41" t="s">
        <v>309</v>
      </c>
      <c r="M171" s="27"/>
      <c r="N171" s="27"/>
      <c r="O171" s="28" t="s">
        <v>2276</v>
      </c>
    </row>
    <row r="172" spans="1:15" ht="15" customHeight="1" x14ac:dyDescent="0.3">
      <c r="A172" s="31">
        <v>46023</v>
      </c>
      <c r="B172" s="27" t="s">
        <v>53</v>
      </c>
      <c r="C172" s="27" t="s">
        <v>1999</v>
      </c>
      <c r="D172" s="27" t="s">
        <v>2000</v>
      </c>
      <c r="E172" s="27" t="s">
        <v>1992</v>
      </c>
      <c r="F172" s="27" t="s">
        <v>1978</v>
      </c>
      <c r="G172" s="27" t="s">
        <v>1993</v>
      </c>
      <c r="H172" s="27" t="s">
        <v>59</v>
      </c>
      <c r="I172" s="27" t="s">
        <v>60</v>
      </c>
      <c r="J172" s="27" t="s">
        <v>61</v>
      </c>
      <c r="K172" s="39" t="s">
        <v>1994</v>
      </c>
      <c r="L172" s="41" t="s">
        <v>309</v>
      </c>
      <c r="M172" s="27"/>
      <c r="N172" s="27"/>
      <c r="O172" s="28" t="s">
        <v>2276</v>
      </c>
    </row>
    <row r="173" spans="1:15" ht="15" customHeight="1" x14ac:dyDescent="0.3">
      <c r="A173" s="31">
        <v>46023</v>
      </c>
      <c r="B173" s="27" t="s">
        <v>53</v>
      </c>
      <c r="C173" s="27" t="s">
        <v>2001</v>
      </c>
      <c r="D173" s="27" t="s">
        <v>2002</v>
      </c>
      <c r="E173" s="27" t="s">
        <v>1992</v>
      </c>
      <c r="F173" s="27" t="s">
        <v>1978</v>
      </c>
      <c r="G173" s="27" t="s">
        <v>1993</v>
      </c>
      <c r="H173" s="27" t="s">
        <v>59</v>
      </c>
      <c r="I173" s="27" t="s">
        <v>60</v>
      </c>
      <c r="J173" s="27" t="s">
        <v>61</v>
      </c>
      <c r="K173" s="39" t="s">
        <v>1994</v>
      </c>
      <c r="L173" s="41" t="s">
        <v>309</v>
      </c>
      <c r="M173" s="27"/>
      <c r="N173" s="27"/>
      <c r="O173" s="28" t="s">
        <v>2276</v>
      </c>
    </row>
    <row r="174" spans="1:15" ht="15" customHeight="1" x14ac:dyDescent="0.3">
      <c r="A174" s="31">
        <v>46023</v>
      </c>
      <c r="B174" s="27" t="s">
        <v>53</v>
      </c>
      <c r="C174" s="27" t="s">
        <v>2003</v>
      </c>
      <c r="D174" s="27" t="s">
        <v>2004</v>
      </c>
      <c r="E174" s="27" t="s">
        <v>59</v>
      </c>
      <c r="F174" s="27" t="s">
        <v>1978</v>
      </c>
      <c r="G174" s="27" t="s">
        <v>1993</v>
      </c>
      <c r="H174" s="27" t="s">
        <v>59</v>
      </c>
      <c r="I174" s="27" t="s">
        <v>60</v>
      </c>
      <c r="J174" s="27" t="s">
        <v>61</v>
      </c>
      <c r="K174" s="39" t="s">
        <v>1994</v>
      </c>
      <c r="L174" s="41" t="s">
        <v>309</v>
      </c>
      <c r="M174" s="27"/>
      <c r="N174" s="27"/>
      <c r="O174" s="28" t="s">
        <v>2276</v>
      </c>
    </row>
    <row r="175" spans="1:15" ht="15" customHeight="1" x14ac:dyDescent="0.3">
      <c r="A175" s="31">
        <v>46023</v>
      </c>
      <c r="B175" s="27" t="s">
        <v>53</v>
      </c>
      <c r="C175" s="27" t="s">
        <v>2005</v>
      </c>
      <c r="D175" s="27" t="s">
        <v>2006</v>
      </c>
      <c r="E175" s="27" t="s">
        <v>2007</v>
      </c>
      <c r="F175" s="27" t="s">
        <v>1978</v>
      </c>
      <c r="G175" s="27" t="s">
        <v>2008</v>
      </c>
      <c r="H175" s="27" t="s">
        <v>59</v>
      </c>
      <c r="I175" s="27" t="s">
        <v>60</v>
      </c>
      <c r="J175" s="27" t="s">
        <v>61</v>
      </c>
      <c r="K175" s="39" t="s">
        <v>1994</v>
      </c>
      <c r="L175" s="41" t="s">
        <v>309</v>
      </c>
      <c r="M175" s="27"/>
      <c r="N175" s="27"/>
      <c r="O175" s="28" t="s">
        <v>2276</v>
      </c>
    </row>
    <row r="176" spans="1:15" ht="15" customHeight="1" x14ac:dyDescent="0.3">
      <c r="A176" s="31">
        <v>46023</v>
      </c>
      <c r="B176" s="27" t="s">
        <v>53</v>
      </c>
      <c r="C176" s="27" t="s">
        <v>2009</v>
      </c>
      <c r="D176" s="27" t="s">
        <v>2010</v>
      </c>
      <c r="E176" s="27" t="s">
        <v>2007</v>
      </c>
      <c r="F176" s="27" t="s">
        <v>1978</v>
      </c>
      <c r="G176" s="27" t="s">
        <v>2008</v>
      </c>
      <c r="H176" s="27" t="s">
        <v>59</v>
      </c>
      <c r="I176" s="27" t="s">
        <v>60</v>
      </c>
      <c r="J176" s="27" t="s">
        <v>61</v>
      </c>
      <c r="K176" s="39" t="s">
        <v>1994</v>
      </c>
      <c r="L176" s="41" t="s">
        <v>309</v>
      </c>
      <c r="M176" s="27"/>
      <c r="N176" s="27"/>
      <c r="O176" s="28" t="s">
        <v>2276</v>
      </c>
    </row>
    <row r="177" spans="1:15" ht="15" customHeight="1" x14ac:dyDescent="0.3">
      <c r="A177" s="31">
        <v>46023</v>
      </c>
      <c r="B177" s="27" t="s">
        <v>53</v>
      </c>
      <c r="C177" s="27" t="s">
        <v>2011</v>
      </c>
      <c r="D177" s="27" t="s">
        <v>2012</v>
      </c>
      <c r="E177" s="27" t="s">
        <v>2007</v>
      </c>
      <c r="F177" s="27" t="s">
        <v>1978</v>
      </c>
      <c r="G177" s="27" t="s">
        <v>2008</v>
      </c>
      <c r="H177" s="27" t="s">
        <v>59</v>
      </c>
      <c r="I177" s="27" t="s">
        <v>60</v>
      </c>
      <c r="J177" s="27" t="s">
        <v>61</v>
      </c>
      <c r="K177" s="39" t="s">
        <v>1994</v>
      </c>
      <c r="L177" s="41" t="s">
        <v>309</v>
      </c>
      <c r="M177" s="27"/>
      <c r="N177" s="27"/>
      <c r="O177" s="28" t="s">
        <v>2276</v>
      </c>
    </row>
    <row r="178" spans="1:15" ht="15" customHeight="1" x14ac:dyDescent="0.3">
      <c r="A178" s="31">
        <v>46023</v>
      </c>
      <c r="B178" s="27" t="s">
        <v>53</v>
      </c>
      <c r="C178" s="27" t="s">
        <v>2013</v>
      </c>
      <c r="D178" s="27" t="s">
        <v>2014</v>
      </c>
      <c r="E178" s="27" t="s">
        <v>2007</v>
      </c>
      <c r="F178" s="27" t="s">
        <v>1978</v>
      </c>
      <c r="G178" s="27" t="s">
        <v>2008</v>
      </c>
      <c r="H178" s="27" t="s">
        <v>59</v>
      </c>
      <c r="I178" s="27" t="s">
        <v>60</v>
      </c>
      <c r="J178" s="27" t="s">
        <v>61</v>
      </c>
      <c r="K178" s="39" t="s">
        <v>1994</v>
      </c>
      <c r="L178" s="41" t="s">
        <v>309</v>
      </c>
      <c r="M178" s="27"/>
      <c r="N178" s="27"/>
      <c r="O178" s="28" t="s">
        <v>2276</v>
      </c>
    </row>
    <row r="179" spans="1:15" ht="15" customHeight="1" x14ac:dyDescent="0.3">
      <c r="A179" s="31">
        <v>46023</v>
      </c>
      <c r="B179" s="27" t="s">
        <v>53</v>
      </c>
      <c r="C179" s="27" t="s">
        <v>2015</v>
      </c>
      <c r="D179" s="27" t="s">
        <v>2016</v>
      </c>
      <c r="E179" s="27" t="s">
        <v>2017</v>
      </c>
      <c r="F179" s="27" t="s">
        <v>1978</v>
      </c>
      <c r="G179" s="27" t="s">
        <v>2018</v>
      </c>
      <c r="H179" s="27" t="s">
        <v>59</v>
      </c>
      <c r="I179" s="27" t="s">
        <v>116</v>
      </c>
      <c r="J179" s="27" t="s">
        <v>61</v>
      </c>
      <c r="K179" s="39" t="s">
        <v>1994</v>
      </c>
      <c r="L179" s="41" t="s">
        <v>309</v>
      </c>
      <c r="M179" s="27"/>
      <c r="N179" s="27"/>
      <c r="O179" s="28" t="s">
        <v>2276</v>
      </c>
    </row>
    <row r="180" spans="1:15" ht="15" customHeight="1" x14ac:dyDescent="0.3">
      <c r="A180" s="31">
        <v>46023</v>
      </c>
      <c r="B180" s="27" t="s">
        <v>53</v>
      </c>
      <c r="C180" s="27" t="s">
        <v>2019</v>
      </c>
      <c r="D180" s="27" t="s">
        <v>2016</v>
      </c>
      <c r="E180" s="27" t="s">
        <v>2020</v>
      </c>
      <c r="F180" s="27" t="s">
        <v>1978</v>
      </c>
      <c r="G180" s="27" t="s">
        <v>2018</v>
      </c>
      <c r="H180" s="27" t="s">
        <v>59</v>
      </c>
      <c r="I180" s="27" t="s">
        <v>116</v>
      </c>
      <c r="J180" s="27" t="s">
        <v>61</v>
      </c>
      <c r="K180" s="39" t="s">
        <v>1994</v>
      </c>
      <c r="L180" s="41" t="s">
        <v>309</v>
      </c>
      <c r="M180" s="27"/>
      <c r="N180" s="27"/>
      <c r="O180" s="28" t="s">
        <v>2276</v>
      </c>
    </row>
    <row r="181" spans="1:15" ht="15" customHeight="1" x14ac:dyDescent="0.3">
      <c r="A181" s="31">
        <v>46023</v>
      </c>
      <c r="B181" s="27" t="s">
        <v>53</v>
      </c>
      <c r="C181" s="27" t="s">
        <v>2021</v>
      </c>
      <c r="D181" s="27" t="s">
        <v>2016</v>
      </c>
      <c r="E181" s="27" t="s">
        <v>2022</v>
      </c>
      <c r="F181" s="27" t="s">
        <v>1978</v>
      </c>
      <c r="G181" s="27" t="s">
        <v>2018</v>
      </c>
      <c r="H181" s="27" t="s">
        <v>59</v>
      </c>
      <c r="I181" s="27" t="s">
        <v>116</v>
      </c>
      <c r="J181" s="27" t="s">
        <v>61</v>
      </c>
      <c r="K181" s="39" t="s">
        <v>1994</v>
      </c>
      <c r="L181" s="41" t="s">
        <v>309</v>
      </c>
      <c r="M181" s="27"/>
      <c r="N181" s="27"/>
      <c r="O181" s="28" t="s">
        <v>2276</v>
      </c>
    </row>
    <row r="182" spans="1:15" ht="15" customHeight="1" x14ac:dyDescent="0.3">
      <c r="A182" s="31">
        <v>46023</v>
      </c>
      <c r="B182" s="27" t="s">
        <v>53</v>
      </c>
      <c r="C182" s="27" t="s">
        <v>2023</v>
      </c>
      <c r="D182" s="27" t="s">
        <v>2024</v>
      </c>
      <c r="E182" s="27" t="s">
        <v>2017</v>
      </c>
      <c r="F182" s="27" t="s">
        <v>1978</v>
      </c>
      <c r="G182" s="27" t="s">
        <v>2018</v>
      </c>
      <c r="H182" s="27" t="s">
        <v>59</v>
      </c>
      <c r="I182" s="27" t="s">
        <v>116</v>
      </c>
      <c r="J182" s="27" t="s">
        <v>61</v>
      </c>
      <c r="K182" s="39" t="s">
        <v>1994</v>
      </c>
      <c r="L182" s="41" t="s">
        <v>309</v>
      </c>
      <c r="M182" s="27"/>
      <c r="N182" s="27"/>
      <c r="O182" s="28" t="s">
        <v>2276</v>
      </c>
    </row>
    <row r="183" spans="1:15" ht="15" customHeight="1" x14ac:dyDescent="0.3">
      <c r="A183" s="31">
        <v>46023</v>
      </c>
      <c r="B183" s="27" t="s">
        <v>53</v>
      </c>
      <c r="C183" s="27" t="s">
        <v>2025</v>
      </c>
      <c r="D183" s="27" t="s">
        <v>2026</v>
      </c>
      <c r="E183" s="27" t="s">
        <v>59</v>
      </c>
      <c r="F183" s="27" t="s">
        <v>1978</v>
      </c>
      <c r="G183" s="27" t="s">
        <v>2018</v>
      </c>
      <c r="H183" s="27" t="s">
        <v>59</v>
      </c>
      <c r="I183" s="27" t="s">
        <v>116</v>
      </c>
      <c r="J183" s="27" t="s">
        <v>61</v>
      </c>
      <c r="K183" s="39" t="s">
        <v>1994</v>
      </c>
      <c r="L183" s="41" t="s">
        <v>309</v>
      </c>
      <c r="M183" s="27"/>
      <c r="N183" s="27"/>
      <c r="O183" s="28" t="s">
        <v>2276</v>
      </c>
    </row>
    <row r="184" spans="1:15" ht="15" customHeight="1" x14ac:dyDescent="0.3">
      <c r="A184" s="31">
        <v>46023</v>
      </c>
      <c r="B184" s="27" t="s">
        <v>53</v>
      </c>
      <c r="C184" s="27" t="s">
        <v>2027</v>
      </c>
      <c r="D184" s="27" t="s">
        <v>2028</v>
      </c>
      <c r="E184" s="27" t="s">
        <v>59</v>
      </c>
      <c r="F184" s="27" t="s">
        <v>1978</v>
      </c>
      <c r="G184" s="27" t="s">
        <v>1993</v>
      </c>
      <c r="H184" s="27" t="s">
        <v>59</v>
      </c>
      <c r="I184" s="27" t="s">
        <v>60</v>
      </c>
      <c r="J184" s="27" t="s">
        <v>61</v>
      </c>
      <c r="K184" s="39" t="s">
        <v>1370</v>
      </c>
      <c r="L184" s="41" t="s">
        <v>309</v>
      </c>
      <c r="M184" s="27"/>
      <c r="N184" s="27"/>
      <c r="O184" s="28" t="s">
        <v>2276</v>
      </c>
    </row>
    <row r="185" spans="1:15" ht="15" customHeight="1" x14ac:dyDescent="0.3">
      <c r="A185" s="31">
        <v>46023</v>
      </c>
      <c r="B185" s="27" t="s">
        <v>53</v>
      </c>
      <c r="C185" s="27" t="s">
        <v>2029</v>
      </c>
      <c r="D185" s="27" t="s">
        <v>2030</v>
      </c>
      <c r="E185" s="27" t="s">
        <v>59</v>
      </c>
      <c r="F185" s="27" t="s">
        <v>1978</v>
      </c>
      <c r="G185" s="27" t="s">
        <v>2008</v>
      </c>
      <c r="H185" s="27" t="s">
        <v>59</v>
      </c>
      <c r="I185" s="27" t="s">
        <v>116</v>
      </c>
      <c r="J185" s="27" t="s">
        <v>61</v>
      </c>
      <c r="K185" s="39" t="s">
        <v>1370</v>
      </c>
      <c r="L185" s="41" t="s">
        <v>309</v>
      </c>
      <c r="M185" s="27"/>
      <c r="N185" s="27"/>
      <c r="O185" s="28" t="s">
        <v>2276</v>
      </c>
    </row>
    <row r="186" spans="1:15" ht="15" customHeight="1" x14ac:dyDescent="0.3">
      <c r="A186" s="31">
        <v>46023</v>
      </c>
      <c r="B186" s="27" t="s">
        <v>53</v>
      </c>
      <c r="C186" s="27" t="s">
        <v>2470</v>
      </c>
      <c r="D186" s="27" t="s">
        <v>2471</v>
      </c>
      <c r="E186" s="27" t="s">
        <v>59</v>
      </c>
      <c r="F186" s="27" t="s">
        <v>1978</v>
      </c>
      <c r="G186" s="27" t="s">
        <v>2472</v>
      </c>
      <c r="H186" s="27" t="s">
        <v>59</v>
      </c>
      <c r="I186" s="27" t="s">
        <v>116</v>
      </c>
      <c r="J186" s="27" t="s">
        <v>144</v>
      </c>
      <c r="K186" s="39" t="s">
        <v>2473</v>
      </c>
      <c r="L186" s="41" t="s">
        <v>309</v>
      </c>
      <c r="M186" s="27"/>
      <c r="N186" s="27"/>
      <c r="O186" s="28" t="s">
        <v>2276</v>
      </c>
    </row>
    <row r="187" spans="1:15" ht="15" customHeight="1" x14ac:dyDescent="0.3">
      <c r="A187" s="31">
        <v>46023</v>
      </c>
      <c r="B187" s="27" t="s">
        <v>53</v>
      </c>
      <c r="C187" s="27" t="s">
        <v>2474</v>
      </c>
      <c r="D187" s="27" t="s">
        <v>2475</v>
      </c>
      <c r="E187" s="27" t="s">
        <v>2476</v>
      </c>
      <c r="F187" s="27" t="s">
        <v>1978</v>
      </c>
      <c r="G187" s="27" t="s">
        <v>2472</v>
      </c>
      <c r="H187" s="27" t="s">
        <v>59</v>
      </c>
      <c r="I187" s="27" t="s">
        <v>116</v>
      </c>
      <c r="J187" s="27" t="s">
        <v>144</v>
      </c>
      <c r="K187" s="39" t="s">
        <v>2473</v>
      </c>
      <c r="L187" s="41" t="s">
        <v>309</v>
      </c>
      <c r="M187" s="27"/>
      <c r="N187" s="27"/>
      <c r="O187" s="28" t="s">
        <v>2276</v>
      </c>
    </row>
    <row r="188" spans="1:15" ht="15" customHeight="1" x14ac:dyDescent="0.3">
      <c r="A188" s="31">
        <v>46023</v>
      </c>
      <c r="B188" s="27" t="s">
        <v>53</v>
      </c>
      <c r="C188" s="27" t="s">
        <v>2477</v>
      </c>
      <c r="D188" s="27" t="s">
        <v>2475</v>
      </c>
      <c r="E188" s="27" t="s">
        <v>2478</v>
      </c>
      <c r="F188" s="27" t="s">
        <v>1978</v>
      </c>
      <c r="G188" s="27" t="s">
        <v>2472</v>
      </c>
      <c r="H188" s="27" t="s">
        <v>59</v>
      </c>
      <c r="I188" s="27" t="s">
        <v>116</v>
      </c>
      <c r="J188" s="27" t="s">
        <v>144</v>
      </c>
      <c r="K188" s="39" t="s">
        <v>2473</v>
      </c>
      <c r="L188" s="41" t="s">
        <v>309</v>
      </c>
      <c r="M188" s="27"/>
      <c r="N188" s="27"/>
      <c r="O188" s="28" t="s">
        <v>2276</v>
      </c>
    </row>
    <row r="189" spans="1:15" ht="15" customHeight="1" x14ac:dyDescent="0.3">
      <c r="A189" s="31">
        <v>46023</v>
      </c>
      <c r="B189" s="27" t="s">
        <v>53</v>
      </c>
      <c r="C189" s="27" t="s">
        <v>1947</v>
      </c>
      <c r="D189" s="27" t="s">
        <v>1948</v>
      </c>
      <c r="E189" s="27" t="s">
        <v>1949</v>
      </c>
      <c r="F189" s="27" t="s">
        <v>1950</v>
      </c>
      <c r="G189" s="27" t="s">
        <v>1951</v>
      </c>
      <c r="H189" s="27" t="s">
        <v>1952</v>
      </c>
      <c r="I189" s="27" t="s">
        <v>116</v>
      </c>
      <c r="J189" s="27" t="s">
        <v>61</v>
      </c>
      <c r="K189" s="39" t="s">
        <v>62</v>
      </c>
      <c r="L189" s="41" t="s">
        <v>1953</v>
      </c>
      <c r="M189" s="27"/>
      <c r="N189" s="27"/>
      <c r="O189" s="28" t="s">
        <v>2276</v>
      </c>
    </row>
    <row r="190" spans="1:15" ht="15" customHeight="1" x14ac:dyDescent="0.3">
      <c r="A190" s="31">
        <v>46023</v>
      </c>
      <c r="B190" s="27" t="s">
        <v>53</v>
      </c>
      <c r="C190" s="27" t="s">
        <v>1954</v>
      </c>
      <c r="D190" s="27" t="s">
        <v>1955</v>
      </c>
      <c r="E190" s="27" t="s">
        <v>1949</v>
      </c>
      <c r="F190" s="27" t="s">
        <v>1950</v>
      </c>
      <c r="G190" s="27" t="s">
        <v>1951</v>
      </c>
      <c r="H190" s="27" t="s">
        <v>1956</v>
      </c>
      <c r="I190" s="27" t="s">
        <v>116</v>
      </c>
      <c r="J190" s="27" t="s">
        <v>61</v>
      </c>
      <c r="K190" s="39" t="s">
        <v>62</v>
      </c>
      <c r="L190" s="41" t="s">
        <v>1953</v>
      </c>
      <c r="M190" s="27"/>
      <c r="N190" s="27"/>
      <c r="O190" s="28" t="s">
        <v>2276</v>
      </c>
    </row>
    <row r="191" spans="1:15" ht="15" customHeight="1" x14ac:dyDescent="0.3">
      <c r="A191" s="31">
        <v>46023</v>
      </c>
      <c r="B191" s="27" t="s">
        <v>53</v>
      </c>
      <c r="C191" s="27" t="s">
        <v>1957</v>
      </c>
      <c r="D191" s="27" t="s">
        <v>1958</v>
      </c>
      <c r="E191" s="27" t="s">
        <v>1949</v>
      </c>
      <c r="F191" s="27" t="s">
        <v>1950</v>
      </c>
      <c r="G191" s="27" t="s">
        <v>1959</v>
      </c>
      <c r="H191" s="27" t="s">
        <v>1960</v>
      </c>
      <c r="I191" s="27" t="s">
        <v>116</v>
      </c>
      <c r="J191" s="27" t="s">
        <v>61</v>
      </c>
      <c r="K191" s="39" t="s">
        <v>1713</v>
      </c>
      <c r="L191" s="41" t="s">
        <v>129</v>
      </c>
      <c r="M191" s="27"/>
      <c r="N191" s="27"/>
      <c r="O191" s="28" t="s">
        <v>2276</v>
      </c>
    </row>
    <row r="192" spans="1:15" ht="15" customHeight="1" x14ac:dyDescent="0.3">
      <c r="A192" s="31">
        <v>46023</v>
      </c>
      <c r="B192" s="27" t="s">
        <v>53</v>
      </c>
      <c r="C192" s="27" t="s">
        <v>1961</v>
      </c>
      <c r="D192" s="27" t="s">
        <v>1958</v>
      </c>
      <c r="E192" s="27" t="s">
        <v>1949</v>
      </c>
      <c r="F192" s="27" t="s">
        <v>1950</v>
      </c>
      <c r="G192" s="27" t="s">
        <v>1959</v>
      </c>
      <c r="H192" s="27" t="s">
        <v>1962</v>
      </c>
      <c r="I192" s="27" t="s">
        <v>116</v>
      </c>
      <c r="J192" s="27" t="s">
        <v>61</v>
      </c>
      <c r="K192" s="39" t="s">
        <v>1713</v>
      </c>
      <c r="L192" s="41" t="s">
        <v>129</v>
      </c>
      <c r="M192" s="27"/>
      <c r="N192" s="27"/>
      <c r="O192" s="28" t="s">
        <v>2276</v>
      </c>
    </row>
    <row r="193" spans="1:15" ht="15" customHeight="1" x14ac:dyDescent="0.3">
      <c r="A193" s="31">
        <v>46023</v>
      </c>
      <c r="B193" s="27" t="s">
        <v>53</v>
      </c>
      <c r="C193" s="27" t="s">
        <v>1963</v>
      </c>
      <c r="D193" s="27" t="s">
        <v>1964</v>
      </c>
      <c r="E193" s="27" t="s">
        <v>1965</v>
      </c>
      <c r="F193" s="27" t="s">
        <v>1950</v>
      </c>
      <c r="G193" s="27" t="s">
        <v>1959</v>
      </c>
      <c r="H193" s="27" t="s">
        <v>1966</v>
      </c>
      <c r="I193" s="27" t="s">
        <v>116</v>
      </c>
      <c r="J193" s="27" t="s">
        <v>61</v>
      </c>
      <c r="K193" s="39" t="s">
        <v>1713</v>
      </c>
      <c r="L193" s="41" t="s">
        <v>129</v>
      </c>
      <c r="M193" s="27"/>
      <c r="N193" s="27"/>
      <c r="O193" s="28" t="s">
        <v>2276</v>
      </c>
    </row>
    <row r="194" spans="1:15" ht="15" customHeight="1" x14ac:dyDescent="0.3">
      <c r="A194" s="31">
        <v>46023</v>
      </c>
      <c r="B194" s="27" t="s">
        <v>53</v>
      </c>
      <c r="C194" s="27" t="s">
        <v>1967</v>
      </c>
      <c r="D194" s="27" t="s">
        <v>1964</v>
      </c>
      <c r="E194" s="27" t="s">
        <v>1965</v>
      </c>
      <c r="F194" s="27" t="s">
        <v>1950</v>
      </c>
      <c r="G194" s="27" t="s">
        <v>1959</v>
      </c>
      <c r="H194" s="27" t="s">
        <v>1968</v>
      </c>
      <c r="I194" s="27" t="s">
        <v>116</v>
      </c>
      <c r="J194" s="27" t="s">
        <v>61</v>
      </c>
      <c r="K194" s="39" t="s">
        <v>1713</v>
      </c>
      <c r="L194" s="41" t="s">
        <v>129</v>
      </c>
      <c r="M194" s="27"/>
      <c r="N194" s="27"/>
      <c r="O194" s="28" t="s">
        <v>2276</v>
      </c>
    </row>
    <row r="195" spans="1:15" ht="15" customHeight="1" x14ac:dyDescent="0.3">
      <c r="A195" s="31">
        <v>46023</v>
      </c>
      <c r="B195" s="27" t="s">
        <v>53</v>
      </c>
      <c r="C195" s="27" t="s">
        <v>1969</v>
      </c>
      <c r="D195" s="27" t="s">
        <v>1964</v>
      </c>
      <c r="E195" s="27" t="s">
        <v>1965</v>
      </c>
      <c r="F195" s="27" t="s">
        <v>1950</v>
      </c>
      <c r="G195" s="27" t="s">
        <v>1959</v>
      </c>
      <c r="H195" s="27" t="s">
        <v>1970</v>
      </c>
      <c r="I195" s="27" t="s">
        <v>116</v>
      </c>
      <c r="J195" s="27" t="s">
        <v>61</v>
      </c>
      <c r="K195" s="39" t="s">
        <v>1713</v>
      </c>
      <c r="L195" s="41" t="s">
        <v>129</v>
      </c>
      <c r="M195" s="27"/>
      <c r="N195" s="27"/>
      <c r="O195" s="28" t="s">
        <v>2276</v>
      </c>
    </row>
    <row r="196" spans="1:15" ht="15" customHeight="1" x14ac:dyDescent="0.3">
      <c r="A196" s="31">
        <v>46023</v>
      </c>
      <c r="B196" s="27" t="s">
        <v>53</v>
      </c>
      <c r="C196" s="27" t="s">
        <v>1971</v>
      </c>
      <c r="D196" s="27" t="s">
        <v>1964</v>
      </c>
      <c r="E196" s="27" t="s">
        <v>1965</v>
      </c>
      <c r="F196" s="27" t="s">
        <v>1950</v>
      </c>
      <c r="G196" s="27" t="s">
        <v>1959</v>
      </c>
      <c r="H196" s="27" t="s">
        <v>1972</v>
      </c>
      <c r="I196" s="27" t="s">
        <v>116</v>
      </c>
      <c r="J196" s="27" t="s">
        <v>61</v>
      </c>
      <c r="K196" s="39" t="s">
        <v>1713</v>
      </c>
      <c r="L196" s="41" t="s">
        <v>129</v>
      </c>
      <c r="M196" s="27"/>
      <c r="N196" s="27"/>
      <c r="O196" s="28" t="s">
        <v>2276</v>
      </c>
    </row>
    <row r="197" spans="1:15" ht="15" customHeight="1" x14ac:dyDescent="0.3">
      <c r="A197" s="31">
        <v>46023</v>
      </c>
      <c r="B197" s="27" t="s">
        <v>53</v>
      </c>
      <c r="C197" s="27" t="s">
        <v>1973</v>
      </c>
      <c r="D197" s="27" t="s">
        <v>1974</v>
      </c>
      <c r="E197" s="27" t="s">
        <v>59</v>
      </c>
      <c r="F197" s="27" t="s">
        <v>1950</v>
      </c>
      <c r="G197" s="27" t="s">
        <v>1975</v>
      </c>
      <c r="H197" s="27" t="s">
        <v>59</v>
      </c>
      <c r="I197" s="27" t="s">
        <v>116</v>
      </c>
      <c r="J197" s="27" t="s">
        <v>1067</v>
      </c>
      <c r="K197" s="39" t="s">
        <v>1370</v>
      </c>
      <c r="L197" s="41" t="s">
        <v>309</v>
      </c>
      <c r="M197" s="27"/>
      <c r="N197" s="27"/>
      <c r="O197" s="28" t="s">
        <v>2276</v>
      </c>
    </row>
    <row r="198" spans="1:15" ht="15" customHeight="1" x14ac:dyDescent="0.3">
      <c r="A198" s="31">
        <v>46023</v>
      </c>
      <c r="B198" s="27" t="s">
        <v>53</v>
      </c>
      <c r="C198" s="27" t="s">
        <v>2479</v>
      </c>
      <c r="D198" s="27" t="s">
        <v>2480</v>
      </c>
      <c r="E198" s="27" t="s">
        <v>2292</v>
      </c>
      <c r="F198" s="27" t="s">
        <v>1950</v>
      </c>
      <c r="G198" s="27" t="s">
        <v>1975</v>
      </c>
      <c r="H198" s="27" t="s">
        <v>59</v>
      </c>
      <c r="I198" s="27" t="s">
        <v>143</v>
      </c>
      <c r="J198" s="27" t="s">
        <v>144</v>
      </c>
      <c r="K198" s="39" t="s">
        <v>2282</v>
      </c>
      <c r="L198" s="41" t="s">
        <v>1953</v>
      </c>
      <c r="M198" s="27"/>
      <c r="N198" s="27"/>
      <c r="O198" s="28" t="s">
        <v>2276</v>
      </c>
    </row>
    <row r="199" spans="1:15" ht="15" customHeight="1" x14ac:dyDescent="0.3">
      <c r="A199" s="31">
        <v>46023</v>
      </c>
      <c r="B199" s="27" t="s">
        <v>53</v>
      </c>
      <c r="C199" s="27" t="s">
        <v>2481</v>
      </c>
      <c r="D199" s="27" t="s">
        <v>2482</v>
      </c>
      <c r="E199" s="27" t="s">
        <v>2292</v>
      </c>
      <c r="F199" s="27" t="s">
        <v>1950</v>
      </c>
      <c r="G199" s="27" t="s">
        <v>1975</v>
      </c>
      <c r="H199" s="27" t="s">
        <v>59</v>
      </c>
      <c r="I199" s="27" t="s">
        <v>143</v>
      </c>
      <c r="J199" s="27" t="s">
        <v>144</v>
      </c>
      <c r="K199" s="39" t="s">
        <v>2282</v>
      </c>
      <c r="L199" s="41" t="s">
        <v>1953</v>
      </c>
      <c r="M199" s="27"/>
      <c r="N199" s="27"/>
      <c r="O199" s="28" t="s">
        <v>2276</v>
      </c>
    </row>
    <row r="200" spans="1:15" ht="15" customHeight="1" x14ac:dyDescent="0.3">
      <c r="A200" s="31">
        <v>46023</v>
      </c>
      <c r="B200" s="27" t="s">
        <v>53</v>
      </c>
      <c r="C200" s="27" t="s">
        <v>2483</v>
      </c>
      <c r="D200" s="27" t="s">
        <v>2484</v>
      </c>
      <c r="E200" s="27" t="s">
        <v>59</v>
      </c>
      <c r="F200" s="27" t="s">
        <v>1950</v>
      </c>
      <c r="G200" s="27" t="s">
        <v>1975</v>
      </c>
      <c r="H200" s="27" t="s">
        <v>59</v>
      </c>
      <c r="I200" s="27" t="s">
        <v>143</v>
      </c>
      <c r="J200" s="27" t="s">
        <v>144</v>
      </c>
      <c r="K200" s="39" t="s">
        <v>2282</v>
      </c>
      <c r="L200" s="41" t="s">
        <v>1953</v>
      </c>
      <c r="M200" s="27"/>
      <c r="N200" s="27"/>
      <c r="O200" s="28" t="s">
        <v>2276</v>
      </c>
    </row>
    <row r="201" spans="1:15" ht="15" customHeight="1" x14ac:dyDescent="0.3">
      <c r="A201" s="31">
        <v>46023</v>
      </c>
      <c r="B201" s="27" t="s">
        <v>53</v>
      </c>
      <c r="C201" s="27" t="s">
        <v>2485</v>
      </c>
      <c r="D201" s="27" t="s">
        <v>2486</v>
      </c>
      <c r="E201" s="27" t="s">
        <v>59</v>
      </c>
      <c r="F201" s="27" t="s">
        <v>1950</v>
      </c>
      <c r="G201" s="27" t="s">
        <v>2487</v>
      </c>
      <c r="H201" s="27" t="s">
        <v>59</v>
      </c>
      <c r="I201" s="27" t="s">
        <v>116</v>
      </c>
      <c r="J201" s="27" t="s">
        <v>144</v>
      </c>
      <c r="K201" s="39" t="s">
        <v>2282</v>
      </c>
      <c r="L201" s="41" t="s">
        <v>1953</v>
      </c>
      <c r="M201" s="27"/>
      <c r="N201" s="27"/>
      <c r="O201" s="28" t="s">
        <v>2276</v>
      </c>
    </row>
    <row r="202" spans="1:15" ht="15" customHeight="1" x14ac:dyDescent="0.3">
      <c r="A202" s="31">
        <v>46023</v>
      </c>
      <c r="B202" s="27" t="s">
        <v>53</v>
      </c>
      <c r="C202" s="27" t="s">
        <v>2488</v>
      </c>
      <c r="D202" s="27" t="s">
        <v>2489</v>
      </c>
      <c r="E202" s="27" t="s">
        <v>59</v>
      </c>
      <c r="F202" s="27" t="s">
        <v>1950</v>
      </c>
      <c r="G202" s="27" t="s">
        <v>2487</v>
      </c>
      <c r="H202" s="27" t="s">
        <v>59</v>
      </c>
      <c r="I202" s="27" t="s">
        <v>116</v>
      </c>
      <c r="J202" s="27" t="s">
        <v>144</v>
      </c>
      <c r="K202" s="39" t="s">
        <v>2282</v>
      </c>
      <c r="L202" s="41" t="s">
        <v>1953</v>
      </c>
      <c r="M202" s="27"/>
      <c r="N202" s="27"/>
      <c r="O202" s="28" t="s">
        <v>2276</v>
      </c>
    </row>
    <row r="203" spans="1:15" ht="15" customHeight="1" x14ac:dyDescent="0.3">
      <c r="A203" s="31">
        <v>46023</v>
      </c>
      <c r="B203" s="27" t="s">
        <v>53</v>
      </c>
      <c r="C203" s="27" t="s">
        <v>2490</v>
      </c>
      <c r="D203" s="27" t="s">
        <v>2491</v>
      </c>
      <c r="E203" s="27" t="s">
        <v>59</v>
      </c>
      <c r="F203" s="27" t="s">
        <v>1950</v>
      </c>
      <c r="G203" s="27" t="s">
        <v>1975</v>
      </c>
      <c r="H203" s="27" t="s">
        <v>59</v>
      </c>
      <c r="I203" s="27" t="s">
        <v>116</v>
      </c>
      <c r="J203" s="27" t="s">
        <v>144</v>
      </c>
      <c r="K203" s="39" t="s">
        <v>2282</v>
      </c>
      <c r="L203" s="41" t="s">
        <v>1953</v>
      </c>
      <c r="M203" s="27"/>
      <c r="N203" s="27"/>
      <c r="O203" s="28" t="s">
        <v>2276</v>
      </c>
    </row>
    <row r="204" spans="1:15" ht="15" customHeight="1" x14ac:dyDescent="0.3">
      <c r="A204" s="31">
        <v>46023</v>
      </c>
      <c r="B204" s="27" t="s">
        <v>53</v>
      </c>
      <c r="C204" s="27" t="s">
        <v>2492</v>
      </c>
      <c r="D204" s="27" t="s">
        <v>2493</v>
      </c>
      <c r="E204" s="27" t="s">
        <v>59</v>
      </c>
      <c r="F204" s="27" t="s">
        <v>1950</v>
      </c>
      <c r="G204" s="27" t="s">
        <v>1975</v>
      </c>
      <c r="H204" s="27" t="s">
        <v>59</v>
      </c>
      <c r="I204" s="27" t="s">
        <v>116</v>
      </c>
      <c r="J204" s="27" t="s">
        <v>144</v>
      </c>
      <c r="K204" s="39" t="s">
        <v>2282</v>
      </c>
      <c r="L204" s="41" t="s">
        <v>1953</v>
      </c>
      <c r="M204" s="27"/>
      <c r="N204" s="27"/>
      <c r="O204" s="28" t="s">
        <v>2276</v>
      </c>
    </row>
    <row r="205" spans="1:15" ht="15" customHeight="1" x14ac:dyDescent="0.3">
      <c r="A205" s="31">
        <v>46023</v>
      </c>
      <c r="B205" s="27" t="s">
        <v>53</v>
      </c>
      <c r="C205" s="27" t="s">
        <v>2494</v>
      </c>
      <c r="D205" s="27" t="s">
        <v>2495</v>
      </c>
      <c r="E205" s="27" t="s">
        <v>59</v>
      </c>
      <c r="F205" s="27" t="s">
        <v>1950</v>
      </c>
      <c r="G205" s="27" t="s">
        <v>1959</v>
      </c>
      <c r="H205" s="27" t="s">
        <v>59</v>
      </c>
      <c r="I205" s="27" t="s">
        <v>143</v>
      </c>
      <c r="J205" s="27" t="s">
        <v>144</v>
      </c>
      <c r="K205" s="39" t="s">
        <v>2282</v>
      </c>
      <c r="L205" s="41" t="s">
        <v>1953</v>
      </c>
      <c r="M205" s="27"/>
      <c r="N205" s="27"/>
      <c r="O205" s="28" t="s">
        <v>2276</v>
      </c>
    </row>
    <row r="206" spans="1:15" ht="15" customHeight="1" x14ac:dyDescent="0.3">
      <c r="A206" s="31">
        <v>46023</v>
      </c>
      <c r="B206" s="27" t="s">
        <v>53</v>
      </c>
      <c r="C206" s="27" t="s">
        <v>2496</v>
      </c>
      <c r="D206" s="27" t="s">
        <v>2497</v>
      </c>
      <c r="E206" s="27" t="s">
        <v>59</v>
      </c>
      <c r="F206" s="27" t="s">
        <v>1950</v>
      </c>
      <c r="G206" s="27" t="s">
        <v>1959</v>
      </c>
      <c r="H206" s="27" t="s">
        <v>59</v>
      </c>
      <c r="I206" s="27" t="s">
        <v>143</v>
      </c>
      <c r="J206" s="27" t="s">
        <v>144</v>
      </c>
      <c r="K206" s="39" t="s">
        <v>2282</v>
      </c>
      <c r="L206" s="41" t="s">
        <v>1953</v>
      </c>
      <c r="M206" s="27"/>
      <c r="N206" s="27"/>
      <c r="O206" s="28" t="s">
        <v>2276</v>
      </c>
    </row>
    <row r="207" spans="1:15" ht="15" customHeight="1" x14ac:dyDescent="0.3">
      <c r="A207" s="31">
        <v>46023</v>
      </c>
      <c r="B207" s="27" t="s">
        <v>53</v>
      </c>
      <c r="C207" s="27" t="s">
        <v>2498</v>
      </c>
      <c r="D207" s="27" t="s">
        <v>2499</v>
      </c>
      <c r="E207" s="27" t="s">
        <v>59</v>
      </c>
      <c r="F207" s="27" t="s">
        <v>1950</v>
      </c>
      <c r="G207" s="27" t="s">
        <v>1959</v>
      </c>
      <c r="H207" s="27" t="s">
        <v>59</v>
      </c>
      <c r="I207" s="27" t="s">
        <v>143</v>
      </c>
      <c r="J207" s="27" t="s">
        <v>144</v>
      </c>
      <c r="K207" s="39" t="s">
        <v>2282</v>
      </c>
      <c r="L207" s="41" t="s">
        <v>1953</v>
      </c>
      <c r="M207" s="27"/>
      <c r="N207" s="27"/>
      <c r="O207" s="28" t="s">
        <v>2276</v>
      </c>
    </row>
    <row r="208" spans="1:15" ht="15" customHeight="1" x14ac:dyDescent="0.3">
      <c r="A208" s="31">
        <v>46023</v>
      </c>
      <c r="B208" s="27" t="s">
        <v>53</v>
      </c>
      <c r="C208" s="27" t="s">
        <v>2500</v>
      </c>
      <c r="D208" s="27" t="s">
        <v>2501</v>
      </c>
      <c r="E208" s="27" t="s">
        <v>59</v>
      </c>
      <c r="F208" s="27" t="s">
        <v>1950</v>
      </c>
      <c r="G208" s="27" t="s">
        <v>1959</v>
      </c>
      <c r="H208" s="27" t="s">
        <v>59</v>
      </c>
      <c r="I208" s="27" t="s">
        <v>143</v>
      </c>
      <c r="J208" s="27" t="s">
        <v>144</v>
      </c>
      <c r="K208" s="39" t="s">
        <v>2282</v>
      </c>
      <c r="L208" s="41" t="s">
        <v>1953</v>
      </c>
      <c r="M208" s="27"/>
      <c r="N208" s="27"/>
      <c r="O208" s="28" t="s">
        <v>2276</v>
      </c>
    </row>
    <row r="209" spans="1:15" ht="15" customHeight="1" x14ac:dyDescent="0.3">
      <c r="A209" s="31">
        <v>46023</v>
      </c>
      <c r="B209" s="27" t="s">
        <v>53</v>
      </c>
      <c r="C209" s="27" t="s">
        <v>2502</v>
      </c>
      <c r="D209" s="27" t="s">
        <v>2503</v>
      </c>
      <c r="E209" s="27" t="s">
        <v>59</v>
      </c>
      <c r="F209" s="27" t="s">
        <v>1950</v>
      </c>
      <c r="G209" s="27" t="s">
        <v>1959</v>
      </c>
      <c r="H209" s="27" t="s">
        <v>59</v>
      </c>
      <c r="I209" s="27" t="s">
        <v>143</v>
      </c>
      <c r="J209" s="27" t="s">
        <v>144</v>
      </c>
      <c r="K209" s="39" t="s">
        <v>2282</v>
      </c>
      <c r="L209" s="41" t="s">
        <v>1953</v>
      </c>
      <c r="M209" s="27"/>
      <c r="N209" s="27"/>
      <c r="O209" s="28" t="s">
        <v>2276</v>
      </c>
    </row>
    <row r="210" spans="1:15" ht="15" customHeight="1" x14ac:dyDescent="0.3">
      <c r="A210" s="31">
        <v>46023</v>
      </c>
      <c r="B210" s="27" t="s">
        <v>53</v>
      </c>
      <c r="C210" s="27" t="s">
        <v>2504</v>
      </c>
      <c r="D210" s="27" t="s">
        <v>2505</v>
      </c>
      <c r="E210" s="27" t="s">
        <v>59</v>
      </c>
      <c r="F210" s="27" t="s">
        <v>1950</v>
      </c>
      <c r="G210" s="27" t="s">
        <v>1959</v>
      </c>
      <c r="H210" s="27" t="s">
        <v>59</v>
      </c>
      <c r="I210" s="27" t="s">
        <v>143</v>
      </c>
      <c r="J210" s="27" t="s">
        <v>144</v>
      </c>
      <c r="K210" s="39" t="s">
        <v>2282</v>
      </c>
      <c r="L210" s="41" t="s">
        <v>1953</v>
      </c>
      <c r="M210" s="27"/>
      <c r="N210" s="27"/>
      <c r="O210" s="28" t="s">
        <v>2276</v>
      </c>
    </row>
    <row r="211" spans="1:15" ht="15" customHeight="1" x14ac:dyDescent="0.3">
      <c r="A211" s="31">
        <v>46023</v>
      </c>
      <c r="B211" s="27" t="s">
        <v>53</v>
      </c>
      <c r="C211" s="27" t="s">
        <v>2506</v>
      </c>
      <c r="D211" s="27" t="s">
        <v>2507</v>
      </c>
      <c r="E211" s="27" t="s">
        <v>59</v>
      </c>
      <c r="F211" s="27" t="s">
        <v>1950</v>
      </c>
      <c r="G211" s="27" t="s">
        <v>1959</v>
      </c>
      <c r="H211" s="27" t="s">
        <v>59</v>
      </c>
      <c r="I211" s="27" t="s">
        <v>143</v>
      </c>
      <c r="J211" s="27" t="s">
        <v>144</v>
      </c>
      <c r="K211" s="39" t="s">
        <v>2282</v>
      </c>
      <c r="L211" s="41" t="s">
        <v>1953</v>
      </c>
      <c r="M211" s="27"/>
      <c r="N211" s="27"/>
      <c r="O211" s="28" t="s">
        <v>2276</v>
      </c>
    </row>
    <row r="212" spans="1:15" ht="15" customHeight="1" x14ac:dyDescent="0.3">
      <c r="A212" s="31">
        <v>46023</v>
      </c>
      <c r="B212" s="27" t="s">
        <v>53</v>
      </c>
      <c r="C212" s="27" t="s">
        <v>2508</v>
      </c>
      <c r="D212" s="27" t="s">
        <v>2509</v>
      </c>
      <c r="E212" s="27" t="s">
        <v>59</v>
      </c>
      <c r="F212" s="27" t="s">
        <v>1950</v>
      </c>
      <c r="G212" s="27" t="s">
        <v>1975</v>
      </c>
      <c r="H212" s="27" t="s">
        <v>59</v>
      </c>
      <c r="I212" s="27" t="s">
        <v>143</v>
      </c>
      <c r="J212" s="27" t="s">
        <v>144</v>
      </c>
      <c r="K212" s="39" t="s">
        <v>2282</v>
      </c>
      <c r="L212" s="41" t="s">
        <v>1953</v>
      </c>
      <c r="M212" s="27"/>
      <c r="N212" s="27"/>
      <c r="O212" s="28" t="s">
        <v>2276</v>
      </c>
    </row>
    <row r="213" spans="1:15" ht="15" customHeight="1" x14ac:dyDescent="0.3">
      <c r="A213" s="31">
        <v>46023</v>
      </c>
      <c r="B213" s="27" t="s">
        <v>53</v>
      </c>
      <c r="C213" s="27" t="s">
        <v>2510</v>
      </c>
      <c r="D213" s="27" t="s">
        <v>2511</v>
      </c>
      <c r="E213" s="27" t="s">
        <v>59</v>
      </c>
      <c r="F213" s="27" t="s">
        <v>1950</v>
      </c>
      <c r="G213" s="27" t="s">
        <v>1975</v>
      </c>
      <c r="H213" s="27" t="s">
        <v>59</v>
      </c>
      <c r="I213" s="27" t="s">
        <v>143</v>
      </c>
      <c r="J213" s="27" t="s">
        <v>144</v>
      </c>
      <c r="K213" s="39" t="s">
        <v>2282</v>
      </c>
      <c r="L213" s="41" t="s">
        <v>1953</v>
      </c>
      <c r="M213" s="27"/>
      <c r="N213" s="27"/>
      <c r="O213" s="28" t="s">
        <v>2276</v>
      </c>
    </row>
    <row r="214" spans="1:15" ht="15" customHeight="1" x14ac:dyDescent="0.3">
      <c r="A214" s="31">
        <v>46023</v>
      </c>
      <c r="B214" s="27" t="s">
        <v>53</v>
      </c>
      <c r="C214" s="27" t="s">
        <v>2512</v>
      </c>
      <c r="D214" s="27" t="s">
        <v>2513</v>
      </c>
      <c r="E214" s="27" t="s">
        <v>59</v>
      </c>
      <c r="F214" s="27" t="s">
        <v>1950</v>
      </c>
      <c r="G214" s="27" t="s">
        <v>1975</v>
      </c>
      <c r="H214" s="27" t="s">
        <v>59</v>
      </c>
      <c r="I214" s="27" t="s">
        <v>143</v>
      </c>
      <c r="J214" s="27" t="s">
        <v>144</v>
      </c>
      <c r="K214" s="39" t="s">
        <v>2282</v>
      </c>
      <c r="L214" s="41" t="s">
        <v>1953</v>
      </c>
      <c r="M214" s="27"/>
      <c r="N214" s="27"/>
      <c r="O214" s="28" t="s">
        <v>2276</v>
      </c>
    </row>
    <row r="215" spans="1:15" ht="15" customHeight="1" x14ac:dyDescent="0.3">
      <c r="A215" s="31">
        <v>46023</v>
      </c>
      <c r="B215" s="27" t="s">
        <v>53</v>
      </c>
      <c r="C215" s="27" t="s">
        <v>2514</v>
      </c>
      <c r="D215" s="27" t="s">
        <v>2515</v>
      </c>
      <c r="E215" s="27" t="s">
        <v>2516</v>
      </c>
      <c r="F215" s="27" t="s">
        <v>1950</v>
      </c>
      <c r="G215" s="27" t="s">
        <v>1959</v>
      </c>
      <c r="H215" s="27" t="s">
        <v>2517</v>
      </c>
      <c r="I215" s="27" t="s">
        <v>143</v>
      </c>
      <c r="J215" s="27" t="s">
        <v>144</v>
      </c>
      <c r="K215" s="39" t="s">
        <v>2518</v>
      </c>
      <c r="L215" s="41" t="s">
        <v>1953</v>
      </c>
      <c r="M215" s="27"/>
      <c r="N215" s="27"/>
      <c r="O215" s="28" t="s">
        <v>2276</v>
      </c>
    </row>
    <row r="216" spans="1:15" ht="15" customHeight="1" x14ac:dyDescent="0.3">
      <c r="A216" s="31">
        <v>46023</v>
      </c>
      <c r="B216" s="27" t="s">
        <v>53</v>
      </c>
      <c r="C216" s="27" t="s">
        <v>2519</v>
      </c>
      <c r="D216" s="27" t="s">
        <v>2520</v>
      </c>
      <c r="E216" s="27" t="s">
        <v>2521</v>
      </c>
      <c r="F216" s="27" t="s">
        <v>1950</v>
      </c>
      <c r="G216" s="27" t="s">
        <v>2522</v>
      </c>
      <c r="H216" s="27" t="s">
        <v>2523</v>
      </c>
      <c r="I216" s="27" t="s">
        <v>116</v>
      </c>
      <c r="J216" s="27" t="s">
        <v>144</v>
      </c>
      <c r="K216" s="39" t="s">
        <v>2518</v>
      </c>
      <c r="L216" s="41" t="s">
        <v>1953</v>
      </c>
      <c r="M216" s="27"/>
      <c r="N216" s="27"/>
      <c r="O216" s="28" t="s">
        <v>2276</v>
      </c>
    </row>
    <row r="217" spans="1:15" ht="15" customHeight="1" x14ac:dyDescent="0.3">
      <c r="A217" s="31">
        <v>46023</v>
      </c>
      <c r="B217" s="27" t="s">
        <v>53</v>
      </c>
      <c r="C217" s="27" t="s">
        <v>2524</v>
      </c>
      <c r="D217" s="27" t="s">
        <v>2525</v>
      </c>
      <c r="E217" s="27" t="s">
        <v>59</v>
      </c>
      <c r="F217" s="27" t="s">
        <v>1950</v>
      </c>
      <c r="G217" s="27" t="s">
        <v>1959</v>
      </c>
      <c r="H217" s="27" t="s">
        <v>59</v>
      </c>
      <c r="I217" s="27" t="s">
        <v>468</v>
      </c>
      <c r="J217" s="27" t="s">
        <v>144</v>
      </c>
      <c r="K217" s="39" t="s">
        <v>2526</v>
      </c>
      <c r="L217" s="41" t="s">
        <v>1953</v>
      </c>
      <c r="M217" s="27"/>
      <c r="N217" s="27"/>
      <c r="O217" s="28" t="s">
        <v>2276</v>
      </c>
    </row>
    <row r="218" spans="1:15" ht="15" customHeight="1" x14ac:dyDescent="0.3">
      <c r="A218" s="31">
        <v>46023</v>
      </c>
      <c r="B218" s="27" t="s">
        <v>53</v>
      </c>
      <c r="C218" s="27" t="s">
        <v>2527</v>
      </c>
      <c r="D218" s="27" t="s">
        <v>2525</v>
      </c>
      <c r="E218" s="27" t="s">
        <v>2528</v>
      </c>
      <c r="F218" s="27" t="s">
        <v>1950</v>
      </c>
      <c r="G218" s="27" t="s">
        <v>1959</v>
      </c>
      <c r="H218" s="27">
        <v>34696</v>
      </c>
      <c r="I218" s="27" t="s">
        <v>116</v>
      </c>
      <c r="J218" s="27" t="s">
        <v>144</v>
      </c>
      <c r="K218" s="39" t="s">
        <v>2526</v>
      </c>
      <c r="L218" s="41" t="s">
        <v>1953</v>
      </c>
      <c r="M218" s="27"/>
      <c r="N218" s="27"/>
      <c r="O218" s="28" t="s">
        <v>2276</v>
      </c>
    </row>
    <row r="219" spans="1:15" ht="15" customHeight="1" x14ac:dyDescent="0.3">
      <c r="A219" s="31">
        <v>46023</v>
      </c>
      <c r="B219" s="27" t="s">
        <v>53</v>
      </c>
      <c r="C219" s="27" t="s">
        <v>2529</v>
      </c>
      <c r="D219" s="27" t="s">
        <v>2525</v>
      </c>
      <c r="E219" s="27" t="s">
        <v>1949</v>
      </c>
      <c r="F219" s="27" t="s">
        <v>1950</v>
      </c>
      <c r="G219" s="27" t="s">
        <v>1959</v>
      </c>
      <c r="H219" s="27" t="s">
        <v>2530</v>
      </c>
      <c r="I219" s="27" t="s">
        <v>116</v>
      </c>
      <c r="J219" s="27" t="s">
        <v>144</v>
      </c>
      <c r="K219" s="39" t="s">
        <v>2526</v>
      </c>
      <c r="L219" s="41" t="s">
        <v>1953</v>
      </c>
      <c r="M219" s="27"/>
      <c r="N219" s="27"/>
      <c r="O219" s="28" t="s">
        <v>2276</v>
      </c>
    </row>
    <row r="220" spans="1:15" ht="15" customHeight="1" x14ac:dyDescent="0.3">
      <c r="A220" s="31">
        <v>46023</v>
      </c>
      <c r="B220" s="27" t="s">
        <v>53</v>
      </c>
      <c r="C220" s="27" t="s">
        <v>2531</v>
      </c>
      <c r="D220" s="27" t="s">
        <v>2532</v>
      </c>
      <c r="E220" s="27" t="s">
        <v>2533</v>
      </c>
      <c r="F220" s="27" t="s">
        <v>1950</v>
      </c>
      <c r="G220" s="27" t="s">
        <v>1959</v>
      </c>
      <c r="H220" s="27" t="s">
        <v>2534</v>
      </c>
      <c r="I220" s="27" t="s">
        <v>116</v>
      </c>
      <c r="J220" s="27" t="s">
        <v>144</v>
      </c>
      <c r="K220" s="39" t="s">
        <v>2535</v>
      </c>
      <c r="L220" s="41" t="s">
        <v>1953</v>
      </c>
      <c r="M220" s="27"/>
      <c r="N220" s="27"/>
      <c r="O220" s="28" t="s">
        <v>2276</v>
      </c>
    </row>
    <row r="221" spans="1:15" ht="15" customHeight="1" x14ac:dyDescent="0.3">
      <c r="A221" s="31">
        <v>46023</v>
      </c>
      <c r="B221" s="27" t="s">
        <v>53</v>
      </c>
      <c r="C221" s="27" t="s">
        <v>2536</v>
      </c>
      <c r="D221" s="27" t="s">
        <v>2537</v>
      </c>
      <c r="E221" s="27" t="s">
        <v>2533</v>
      </c>
      <c r="F221" s="27" t="s">
        <v>1950</v>
      </c>
      <c r="G221" s="27" t="s">
        <v>1959</v>
      </c>
      <c r="H221" s="27" t="s">
        <v>2538</v>
      </c>
      <c r="I221" s="27" t="s">
        <v>116</v>
      </c>
      <c r="J221" s="27" t="s">
        <v>144</v>
      </c>
      <c r="K221" s="39" t="s">
        <v>2535</v>
      </c>
      <c r="L221" s="41" t="s">
        <v>1953</v>
      </c>
      <c r="M221" s="27"/>
      <c r="N221" s="27"/>
      <c r="O221" s="28" t="s">
        <v>2276</v>
      </c>
    </row>
    <row r="222" spans="1:15" ht="15" customHeight="1" x14ac:dyDescent="0.3">
      <c r="A222" s="31">
        <v>46023</v>
      </c>
      <c r="B222" s="27" t="s">
        <v>53</v>
      </c>
      <c r="C222" s="27" t="s">
        <v>2539</v>
      </c>
      <c r="D222" s="27" t="s">
        <v>2537</v>
      </c>
      <c r="E222" s="27" t="s">
        <v>2533</v>
      </c>
      <c r="F222" s="27" t="s">
        <v>1950</v>
      </c>
      <c r="G222" s="27" t="s">
        <v>1959</v>
      </c>
      <c r="H222" s="27" t="s">
        <v>2540</v>
      </c>
      <c r="I222" s="27" t="s">
        <v>116</v>
      </c>
      <c r="J222" s="27" t="s">
        <v>144</v>
      </c>
      <c r="K222" s="39" t="s">
        <v>2535</v>
      </c>
      <c r="L222" s="41" t="s">
        <v>1953</v>
      </c>
      <c r="M222" s="27"/>
      <c r="N222" s="27"/>
      <c r="O222" s="28" t="s">
        <v>2276</v>
      </c>
    </row>
    <row r="223" spans="1:15" ht="15" customHeight="1" x14ac:dyDescent="0.3">
      <c r="A223" s="31">
        <v>46023</v>
      </c>
      <c r="B223" s="27" t="s">
        <v>53</v>
      </c>
      <c r="C223" s="27" t="s">
        <v>2541</v>
      </c>
      <c r="D223" s="27" t="s">
        <v>2542</v>
      </c>
      <c r="E223" s="27" t="s">
        <v>2543</v>
      </c>
      <c r="F223" s="27" t="s">
        <v>1950</v>
      </c>
      <c r="G223" s="27" t="s">
        <v>1959</v>
      </c>
      <c r="H223" s="27" t="s">
        <v>2544</v>
      </c>
      <c r="I223" s="27" t="s">
        <v>468</v>
      </c>
      <c r="J223" s="27" t="s">
        <v>144</v>
      </c>
      <c r="K223" s="39" t="s">
        <v>2535</v>
      </c>
      <c r="L223" s="41" t="s">
        <v>1953</v>
      </c>
      <c r="M223" s="27"/>
      <c r="N223" s="27"/>
      <c r="O223" s="28" t="s">
        <v>2276</v>
      </c>
    </row>
    <row r="224" spans="1:15" ht="15" customHeight="1" x14ac:dyDescent="0.3">
      <c r="A224" s="31">
        <v>46023</v>
      </c>
      <c r="B224" s="27" t="s">
        <v>53</v>
      </c>
      <c r="C224" s="27" t="s">
        <v>2545</v>
      </c>
      <c r="D224" s="27" t="s">
        <v>2546</v>
      </c>
      <c r="E224" s="27" t="s">
        <v>2547</v>
      </c>
      <c r="F224" s="27" t="s">
        <v>1950</v>
      </c>
      <c r="G224" s="27" t="s">
        <v>2487</v>
      </c>
      <c r="H224" s="27">
        <v>65806352201</v>
      </c>
      <c r="I224" s="27" t="s">
        <v>116</v>
      </c>
      <c r="J224" s="27" t="s">
        <v>144</v>
      </c>
      <c r="K224" s="39" t="s">
        <v>2548</v>
      </c>
      <c r="L224" s="41" t="s">
        <v>1953</v>
      </c>
      <c r="M224" s="27"/>
      <c r="N224" s="27"/>
      <c r="O224" s="28" t="s">
        <v>2276</v>
      </c>
    </row>
    <row r="225" spans="1:15" ht="15" customHeight="1" x14ac:dyDescent="0.3">
      <c r="A225" s="31">
        <v>46023</v>
      </c>
      <c r="B225" s="27" t="s">
        <v>53</v>
      </c>
      <c r="C225" s="27" t="s">
        <v>2549</v>
      </c>
      <c r="D225" s="27" t="s">
        <v>2550</v>
      </c>
      <c r="E225" s="27" t="s">
        <v>2551</v>
      </c>
      <c r="F225" s="27" t="s">
        <v>1950</v>
      </c>
      <c r="G225" s="27" t="s">
        <v>2487</v>
      </c>
      <c r="H225" s="27">
        <v>20104400747</v>
      </c>
      <c r="I225" s="27" t="s">
        <v>116</v>
      </c>
      <c r="J225" s="27" t="s">
        <v>144</v>
      </c>
      <c r="K225" s="39" t="s">
        <v>2548</v>
      </c>
      <c r="L225" s="41" t="s">
        <v>1953</v>
      </c>
      <c r="M225" s="27"/>
      <c r="N225" s="27"/>
      <c r="O225" s="28" t="s">
        <v>2276</v>
      </c>
    </row>
    <row r="226" spans="1:15" ht="15" customHeight="1" x14ac:dyDescent="0.3">
      <c r="A226" s="31">
        <v>46023</v>
      </c>
      <c r="B226" s="27" t="s">
        <v>53</v>
      </c>
      <c r="C226" s="27" t="s">
        <v>2552</v>
      </c>
      <c r="D226" s="27" t="s">
        <v>2553</v>
      </c>
      <c r="E226" s="27" t="s">
        <v>2554</v>
      </c>
      <c r="F226" s="27" t="s">
        <v>1950</v>
      </c>
      <c r="G226" s="27" t="s">
        <v>2487</v>
      </c>
      <c r="H226" s="27" t="s">
        <v>2555</v>
      </c>
      <c r="I226" s="27" t="s">
        <v>116</v>
      </c>
      <c r="J226" s="27" t="s">
        <v>144</v>
      </c>
      <c r="K226" s="39" t="s">
        <v>2548</v>
      </c>
      <c r="L226" s="41" t="s">
        <v>1953</v>
      </c>
      <c r="M226" s="27"/>
      <c r="N226" s="27"/>
      <c r="O226" s="28" t="s">
        <v>2276</v>
      </c>
    </row>
    <row r="227" spans="1:15" ht="15" customHeight="1" x14ac:dyDescent="0.3">
      <c r="A227" s="31">
        <v>46023</v>
      </c>
      <c r="B227" s="27" t="s">
        <v>53</v>
      </c>
      <c r="C227" s="27" t="s">
        <v>2556</v>
      </c>
      <c r="D227" s="27" t="s">
        <v>2546</v>
      </c>
      <c r="E227" s="27" t="s">
        <v>2547</v>
      </c>
      <c r="F227" s="27" t="s">
        <v>1950</v>
      </c>
      <c r="G227" s="27" t="s">
        <v>2487</v>
      </c>
      <c r="H227" s="27">
        <v>65805921445</v>
      </c>
      <c r="I227" s="27" t="s">
        <v>116</v>
      </c>
      <c r="J227" s="27" t="s">
        <v>144</v>
      </c>
      <c r="K227" s="39" t="s">
        <v>2548</v>
      </c>
      <c r="L227" s="41" t="s">
        <v>1953</v>
      </c>
      <c r="M227" s="27"/>
      <c r="N227" s="27"/>
      <c r="O227" s="28" t="s">
        <v>2276</v>
      </c>
    </row>
    <row r="228" spans="1:15" ht="15" customHeight="1" x14ac:dyDescent="0.3">
      <c r="A228" s="31">
        <v>46023</v>
      </c>
      <c r="B228" s="27" t="s">
        <v>53</v>
      </c>
      <c r="C228" s="27" t="s">
        <v>2557</v>
      </c>
      <c r="D228" s="27" t="s">
        <v>2546</v>
      </c>
      <c r="E228" s="27" t="s">
        <v>2547</v>
      </c>
      <c r="F228" s="27" t="s">
        <v>1950</v>
      </c>
      <c r="G228" s="27" t="s">
        <v>2487</v>
      </c>
      <c r="H228" s="27">
        <v>65806352429</v>
      </c>
      <c r="I228" s="27" t="s">
        <v>116</v>
      </c>
      <c r="J228" s="27" t="s">
        <v>144</v>
      </c>
      <c r="K228" s="39" t="s">
        <v>2548</v>
      </c>
      <c r="L228" s="41" t="s">
        <v>1953</v>
      </c>
      <c r="M228" s="27"/>
      <c r="N228" s="27"/>
      <c r="O228" s="28" t="s">
        <v>2276</v>
      </c>
    </row>
    <row r="229" spans="1:15" ht="15" customHeight="1" x14ac:dyDescent="0.3">
      <c r="A229" s="31">
        <v>46023</v>
      </c>
      <c r="B229" s="27" t="s">
        <v>53</v>
      </c>
      <c r="C229" s="27" t="s">
        <v>2558</v>
      </c>
      <c r="D229" s="27" t="s">
        <v>2559</v>
      </c>
      <c r="E229" s="27" t="s">
        <v>2560</v>
      </c>
      <c r="F229" s="27" t="s">
        <v>1950</v>
      </c>
      <c r="G229" s="27" t="s">
        <v>2487</v>
      </c>
      <c r="H229" s="27" t="s">
        <v>2561</v>
      </c>
      <c r="I229" s="27" t="s">
        <v>116</v>
      </c>
      <c r="J229" s="27" t="s">
        <v>144</v>
      </c>
      <c r="K229" s="39" t="s">
        <v>2548</v>
      </c>
      <c r="L229" s="41" t="s">
        <v>1953</v>
      </c>
      <c r="M229" s="27"/>
      <c r="N229" s="27"/>
      <c r="O229" s="28" t="s">
        <v>2276</v>
      </c>
    </row>
    <row r="230" spans="1:15" ht="15" customHeight="1" x14ac:dyDescent="0.3">
      <c r="A230" s="31">
        <v>46023</v>
      </c>
      <c r="B230" s="27" t="s">
        <v>53</v>
      </c>
      <c r="C230" s="27" t="s">
        <v>2562</v>
      </c>
      <c r="D230" s="27" t="s">
        <v>2563</v>
      </c>
      <c r="E230" s="27" t="s">
        <v>1326</v>
      </c>
      <c r="F230" s="27" t="s">
        <v>1950</v>
      </c>
      <c r="G230" s="27" t="s">
        <v>1975</v>
      </c>
      <c r="H230" s="27" t="s">
        <v>59</v>
      </c>
      <c r="I230" s="27" t="s">
        <v>143</v>
      </c>
      <c r="J230" s="27" t="s">
        <v>144</v>
      </c>
      <c r="K230" s="39" t="s">
        <v>2564</v>
      </c>
      <c r="L230" s="41" t="s">
        <v>1953</v>
      </c>
      <c r="M230" s="27"/>
      <c r="N230" s="27"/>
      <c r="O230" s="28" t="s">
        <v>2276</v>
      </c>
    </row>
    <row r="231" spans="1:15" ht="15" customHeight="1" x14ac:dyDescent="0.3">
      <c r="A231" s="31">
        <v>46023</v>
      </c>
      <c r="B231" s="27" t="s">
        <v>53</v>
      </c>
      <c r="C231" s="27" t="s">
        <v>2565</v>
      </c>
      <c r="D231" s="27" t="s">
        <v>2566</v>
      </c>
      <c r="E231" s="27" t="s">
        <v>1326</v>
      </c>
      <c r="F231" s="27" t="s">
        <v>1950</v>
      </c>
      <c r="G231" s="27" t="s">
        <v>1975</v>
      </c>
      <c r="H231" s="27" t="s">
        <v>59</v>
      </c>
      <c r="I231" s="27" t="s">
        <v>143</v>
      </c>
      <c r="J231" s="27" t="s">
        <v>144</v>
      </c>
      <c r="K231" s="39" t="s">
        <v>2564</v>
      </c>
      <c r="L231" s="41" t="s">
        <v>1953</v>
      </c>
      <c r="M231" s="27"/>
      <c r="N231" s="27"/>
      <c r="O231" s="28" t="s">
        <v>2276</v>
      </c>
    </row>
    <row r="232" spans="1:15" ht="15" customHeight="1" x14ac:dyDescent="0.3">
      <c r="A232" s="31">
        <v>46023</v>
      </c>
      <c r="B232" s="27" t="s">
        <v>53</v>
      </c>
      <c r="C232" s="27" t="s">
        <v>2567</v>
      </c>
      <c r="D232" s="27" t="s">
        <v>2568</v>
      </c>
      <c r="E232" s="27" t="s">
        <v>1326</v>
      </c>
      <c r="F232" s="27" t="s">
        <v>1950</v>
      </c>
      <c r="G232" s="27" t="s">
        <v>1975</v>
      </c>
      <c r="H232" s="27" t="s">
        <v>59</v>
      </c>
      <c r="I232" s="27" t="s">
        <v>143</v>
      </c>
      <c r="J232" s="27" t="s">
        <v>144</v>
      </c>
      <c r="K232" s="39" t="s">
        <v>2564</v>
      </c>
      <c r="L232" s="41" t="s">
        <v>1953</v>
      </c>
      <c r="M232" s="27"/>
      <c r="N232" s="27"/>
      <c r="O232" s="28" t="s">
        <v>2276</v>
      </c>
    </row>
    <row r="233" spans="1:15" ht="15" customHeight="1" x14ac:dyDescent="0.3">
      <c r="A233" s="31">
        <v>46023</v>
      </c>
      <c r="B233" s="27" t="s">
        <v>53</v>
      </c>
      <c r="C233" s="27" t="s">
        <v>2569</v>
      </c>
      <c r="D233" s="27" t="s">
        <v>2570</v>
      </c>
      <c r="E233" s="27" t="s">
        <v>1326</v>
      </c>
      <c r="F233" s="27" t="s">
        <v>1950</v>
      </c>
      <c r="G233" s="27" t="s">
        <v>1975</v>
      </c>
      <c r="H233" s="27" t="s">
        <v>59</v>
      </c>
      <c r="I233" s="27" t="s">
        <v>143</v>
      </c>
      <c r="J233" s="27" t="s">
        <v>144</v>
      </c>
      <c r="K233" s="39" t="s">
        <v>2571</v>
      </c>
      <c r="L233" s="41" t="s">
        <v>1953</v>
      </c>
      <c r="M233" s="27"/>
      <c r="N233" s="27"/>
      <c r="O233" s="28" t="s">
        <v>2276</v>
      </c>
    </row>
    <row r="234" spans="1:15" ht="15" customHeight="1" x14ac:dyDescent="0.3">
      <c r="A234" s="31">
        <v>46023</v>
      </c>
      <c r="B234" s="27" t="s">
        <v>53</v>
      </c>
      <c r="C234" s="27" t="s">
        <v>2572</v>
      </c>
      <c r="D234" s="27" t="s">
        <v>2573</v>
      </c>
      <c r="E234" s="27" t="s">
        <v>1326</v>
      </c>
      <c r="F234" s="27" t="s">
        <v>1950</v>
      </c>
      <c r="G234" s="27" t="s">
        <v>1975</v>
      </c>
      <c r="H234" s="27" t="s">
        <v>59</v>
      </c>
      <c r="I234" s="27" t="s">
        <v>143</v>
      </c>
      <c r="J234" s="27" t="s">
        <v>144</v>
      </c>
      <c r="K234" s="39" t="s">
        <v>2571</v>
      </c>
      <c r="L234" s="41" t="s">
        <v>1953</v>
      </c>
      <c r="M234" s="27"/>
      <c r="N234" s="27"/>
      <c r="O234" s="28" t="s">
        <v>2276</v>
      </c>
    </row>
    <row r="235" spans="1:15" ht="15" customHeight="1" x14ac:dyDescent="0.3">
      <c r="A235" s="31">
        <v>46023</v>
      </c>
      <c r="B235" s="27" t="s">
        <v>53</v>
      </c>
      <c r="C235" s="27" t="s">
        <v>2574</v>
      </c>
      <c r="D235" s="27" t="s">
        <v>2575</v>
      </c>
      <c r="E235" s="27" t="s">
        <v>1326</v>
      </c>
      <c r="F235" s="27" t="s">
        <v>1950</v>
      </c>
      <c r="G235" s="27" t="s">
        <v>1975</v>
      </c>
      <c r="H235" s="27" t="s">
        <v>59</v>
      </c>
      <c r="I235" s="27" t="s">
        <v>143</v>
      </c>
      <c r="J235" s="27" t="s">
        <v>144</v>
      </c>
      <c r="K235" s="39" t="s">
        <v>2571</v>
      </c>
      <c r="L235" s="41" t="s">
        <v>1953</v>
      </c>
      <c r="M235" s="27"/>
      <c r="N235" s="27"/>
      <c r="O235" s="28" t="s">
        <v>2276</v>
      </c>
    </row>
    <row r="236" spans="1:15" ht="15" customHeight="1" x14ac:dyDescent="0.3">
      <c r="A236" s="31">
        <v>46023</v>
      </c>
      <c r="B236" s="27" t="s">
        <v>53</v>
      </c>
      <c r="C236" s="27" t="s">
        <v>2576</v>
      </c>
      <c r="D236" s="27" t="s">
        <v>2577</v>
      </c>
      <c r="E236" s="27" t="s">
        <v>1326</v>
      </c>
      <c r="F236" s="27" t="s">
        <v>1950</v>
      </c>
      <c r="G236" s="27" t="s">
        <v>1975</v>
      </c>
      <c r="H236" s="27" t="s">
        <v>59</v>
      </c>
      <c r="I236" s="27" t="s">
        <v>143</v>
      </c>
      <c r="J236" s="27" t="s">
        <v>144</v>
      </c>
      <c r="K236" s="39" t="s">
        <v>2578</v>
      </c>
      <c r="L236" s="41" t="s">
        <v>1953</v>
      </c>
      <c r="M236" s="27"/>
      <c r="N236" s="27"/>
      <c r="O236" s="28" t="s">
        <v>2276</v>
      </c>
    </row>
    <row r="237" spans="1:15" ht="15" customHeight="1" x14ac:dyDescent="0.3">
      <c r="A237" s="31">
        <v>46023</v>
      </c>
      <c r="B237" s="27" t="s">
        <v>53</v>
      </c>
      <c r="C237" s="27" t="s">
        <v>2579</v>
      </c>
      <c r="D237" s="27" t="s">
        <v>2580</v>
      </c>
      <c r="E237" s="27" t="s">
        <v>2581</v>
      </c>
      <c r="F237" s="27" t="s">
        <v>1950</v>
      </c>
      <c r="G237" s="27" t="s">
        <v>2487</v>
      </c>
      <c r="H237" s="27" t="s">
        <v>59</v>
      </c>
      <c r="I237" s="27" t="s">
        <v>116</v>
      </c>
      <c r="J237" s="27" t="s">
        <v>144</v>
      </c>
      <c r="K237" s="39" t="s">
        <v>2329</v>
      </c>
      <c r="L237" s="41" t="s">
        <v>1953</v>
      </c>
      <c r="M237" s="27"/>
      <c r="N237" s="27"/>
      <c r="O237" s="28" t="s">
        <v>2276</v>
      </c>
    </row>
    <row r="238" spans="1:15" ht="15" customHeight="1" x14ac:dyDescent="0.3">
      <c r="A238" s="31">
        <v>46023</v>
      </c>
      <c r="B238" s="27" t="s">
        <v>53</v>
      </c>
      <c r="C238" s="27" t="s">
        <v>2582</v>
      </c>
      <c r="D238" s="27" t="s">
        <v>2583</v>
      </c>
      <c r="E238" s="27" t="s">
        <v>2584</v>
      </c>
      <c r="F238" s="27" t="s">
        <v>1950</v>
      </c>
      <c r="G238" s="27" t="s">
        <v>2487</v>
      </c>
      <c r="H238" s="27" t="s">
        <v>59</v>
      </c>
      <c r="I238" s="27" t="s">
        <v>116</v>
      </c>
      <c r="J238" s="27" t="s">
        <v>144</v>
      </c>
      <c r="K238" s="39" t="s">
        <v>2329</v>
      </c>
      <c r="L238" s="41" t="s">
        <v>1953</v>
      </c>
      <c r="M238" s="27"/>
      <c r="N238" s="27"/>
      <c r="O238" s="28" t="s">
        <v>2276</v>
      </c>
    </row>
    <row r="239" spans="1:15" ht="15" customHeight="1" x14ac:dyDescent="0.3">
      <c r="A239" s="31">
        <v>46023</v>
      </c>
      <c r="B239" s="27" t="s">
        <v>53</v>
      </c>
      <c r="C239" s="27" t="s">
        <v>2585</v>
      </c>
      <c r="D239" s="27" t="s">
        <v>2586</v>
      </c>
      <c r="E239" s="27" t="s">
        <v>2587</v>
      </c>
      <c r="F239" s="27" t="s">
        <v>1950</v>
      </c>
      <c r="G239" s="27" t="s">
        <v>2487</v>
      </c>
      <c r="H239" s="27" t="s">
        <v>59</v>
      </c>
      <c r="I239" s="27" t="s">
        <v>116</v>
      </c>
      <c r="J239" s="27" t="s">
        <v>144</v>
      </c>
      <c r="K239" s="39" t="s">
        <v>2329</v>
      </c>
      <c r="L239" s="41" t="s">
        <v>1953</v>
      </c>
      <c r="M239" s="27"/>
      <c r="N239" s="27"/>
      <c r="O239" s="28" t="s">
        <v>2276</v>
      </c>
    </row>
    <row r="240" spans="1:15" ht="15" customHeight="1" x14ac:dyDescent="0.3">
      <c r="A240" s="31">
        <v>46023</v>
      </c>
      <c r="B240" s="27" t="s">
        <v>53</v>
      </c>
      <c r="C240" s="27" t="s">
        <v>2588</v>
      </c>
      <c r="D240" s="27" t="s">
        <v>2589</v>
      </c>
      <c r="E240" s="27" t="s">
        <v>59</v>
      </c>
      <c r="F240" s="27" t="s">
        <v>1950</v>
      </c>
      <c r="G240" s="27" t="s">
        <v>2487</v>
      </c>
      <c r="H240" s="27" t="s">
        <v>59</v>
      </c>
      <c r="I240" s="27" t="s">
        <v>143</v>
      </c>
      <c r="J240" s="27" t="s">
        <v>144</v>
      </c>
      <c r="K240" s="39" t="s">
        <v>2329</v>
      </c>
      <c r="L240" s="41" t="s">
        <v>1953</v>
      </c>
      <c r="M240" s="27"/>
      <c r="N240" s="27"/>
      <c r="O240" s="28" t="s">
        <v>2276</v>
      </c>
    </row>
    <row r="241" spans="1:15" ht="15" customHeight="1" x14ac:dyDescent="0.3">
      <c r="A241" s="31">
        <v>46023</v>
      </c>
      <c r="B241" s="27" t="s">
        <v>53</v>
      </c>
      <c r="C241" s="27" t="s">
        <v>2590</v>
      </c>
      <c r="D241" s="27" t="s">
        <v>2591</v>
      </c>
      <c r="E241" s="27" t="s">
        <v>2592</v>
      </c>
      <c r="F241" s="27" t="s">
        <v>1950</v>
      </c>
      <c r="G241" s="27" t="s">
        <v>1975</v>
      </c>
      <c r="H241" s="27" t="s">
        <v>2593</v>
      </c>
      <c r="I241" s="27" t="s">
        <v>116</v>
      </c>
      <c r="J241" s="27" t="s">
        <v>144</v>
      </c>
      <c r="K241" s="39" t="s">
        <v>2368</v>
      </c>
      <c r="L241" s="41" t="s">
        <v>1953</v>
      </c>
      <c r="M241" s="27"/>
      <c r="N241" s="27"/>
      <c r="O241" s="28" t="s">
        <v>2276</v>
      </c>
    </row>
    <row r="242" spans="1:15" ht="15" customHeight="1" x14ac:dyDescent="0.3">
      <c r="A242" s="31">
        <v>46023</v>
      </c>
      <c r="B242" s="27" t="s">
        <v>53</v>
      </c>
      <c r="C242" s="27" t="s">
        <v>2594</v>
      </c>
      <c r="D242" s="27" t="s">
        <v>2595</v>
      </c>
      <c r="E242" s="27" t="s">
        <v>2596</v>
      </c>
      <c r="F242" s="27" t="s">
        <v>1950</v>
      </c>
      <c r="G242" s="27" t="s">
        <v>1975</v>
      </c>
      <c r="H242" s="27" t="s">
        <v>59</v>
      </c>
      <c r="I242" s="27" t="s">
        <v>116</v>
      </c>
      <c r="J242" s="27" t="s">
        <v>144</v>
      </c>
      <c r="K242" s="39" t="s">
        <v>2368</v>
      </c>
      <c r="L242" s="41" t="s">
        <v>1953</v>
      </c>
      <c r="M242" s="27"/>
      <c r="N242" s="27"/>
      <c r="O242" s="28" t="s">
        <v>2276</v>
      </c>
    </row>
    <row r="243" spans="1:15" ht="15" customHeight="1" x14ac:dyDescent="0.3">
      <c r="A243" s="31">
        <v>46023</v>
      </c>
      <c r="B243" s="27" t="s">
        <v>53</v>
      </c>
      <c r="C243" s="27" t="s">
        <v>2597</v>
      </c>
      <c r="D243" s="27" t="s">
        <v>2598</v>
      </c>
      <c r="E243" s="27" t="s">
        <v>59</v>
      </c>
      <c r="F243" s="27" t="s">
        <v>1950</v>
      </c>
      <c r="G243" s="27" t="s">
        <v>2487</v>
      </c>
      <c r="H243" s="27" t="s">
        <v>59</v>
      </c>
      <c r="I243" s="27" t="s">
        <v>116</v>
      </c>
      <c r="J243" s="27" t="s">
        <v>144</v>
      </c>
      <c r="K243" s="39" t="s">
        <v>2368</v>
      </c>
      <c r="L243" s="41" t="s">
        <v>1953</v>
      </c>
      <c r="M243" s="27"/>
      <c r="N243" s="27"/>
      <c r="O243" s="28" t="s">
        <v>2276</v>
      </c>
    </row>
    <row r="244" spans="1:15" ht="15" customHeight="1" x14ac:dyDescent="0.3">
      <c r="A244" s="31">
        <v>46023</v>
      </c>
      <c r="B244" s="27" t="s">
        <v>53</v>
      </c>
      <c r="C244" s="27" t="s">
        <v>2599</v>
      </c>
      <c r="D244" s="27" t="s">
        <v>2600</v>
      </c>
      <c r="E244" s="27" t="s">
        <v>2601</v>
      </c>
      <c r="F244" s="27" t="s">
        <v>1950</v>
      </c>
      <c r="G244" s="27" t="s">
        <v>2487</v>
      </c>
      <c r="H244" s="27" t="s">
        <v>2602</v>
      </c>
      <c r="I244" s="27" t="s">
        <v>116</v>
      </c>
      <c r="J244" s="27" t="s">
        <v>144</v>
      </c>
      <c r="K244" s="39" t="s">
        <v>2368</v>
      </c>
      <c r="L244" s="41" t="s">
        <v>1953</v>
      </c>
      <c r="M244" s="27"/>
      <c r="N244" s="27"/>
      <c r="O244" s="28" t="s">
        <v>2276</v>
      </c>
    </row>
    <row r="245" spans="1:15" ht="15" customHeight="1" x14ac:dyDescent="0.3">
      <c r="A245" s="31">
        <v>46023</v>
      </c>
      <c r="B245" s="27" t="s">
        <v>53</v>
      </c>
      <c r="C245" s="27" t="s">
        <v>2603</v>
      </c>
      <c r="D245" s="27" t="s">
        <v>2604</v>
      </c>
      <c r="E245" s="27" t="s">
        <v>2605</v>
      </c>
      <c r="F245" s="27" t="s">
        <v>1950</v>
      </c>
      <c r="G245" s="27" t="s">
        <v>2606</v>
      </c>
      <c r="H245" s="27" t="s">
        <v>59</v>
      </c>
      <c r="I245" s="27" t="s">
        <v>143</v>
      </c>
      <c r="J245" s="27" t="s">
        <v>144</v>
      </c>
      <c r="K245" s="39" t="s">
        <v>2368</v>
      </c>
      <c r="L245" s="41" t="s">
        <v>1953</v>
      </c>
      <c r="M245" s="27"/>
      <c r="N245" s="27"/>
      <c r="O245" s="28" t="s">
        <v>2276</v>
      </c>
    </row>
    <row r="246" spans="1:15" ht="15" customHeight="1" x14ac:dyDescent="0.3">
      <c r="A246" s="31">
        <v>46023</v>
      </c>
      <c r="B246" s="27" t="s">
        <v>53</v>
      </c>
      <c r="C246" s="27" t="s">
        <v>2607</v>
      </c>
      <c r="D246" s="27" t="s">
        <v>2608</v>
      </c>
      <c r="E246" s="27" t="s">
        <v>1949</v>
      </c>
      <c r="F246" s="27" t="s">
        <v>1950</v>
      </c>
      <c r="G246" s="27" t="s">
        <v>1959</v>
      </c>
      <c r="H246" s="27" t="s">
        <v>2609</v>
      </c>
      <c r="I246" s="27" t="s">
        <v>2610</v>
      </c>
      <c r="J246" s="27" t="s">
        <v>144</v>
      </c>
      <c r="K246" s="39" t="s">
        <v>2368</v>
      </c>
      <c r="L246" s="41" t="s">
        <v>1953</v>
      </c>
      <c r="M246" s="27"/>
      <c r="N246" s="27"/>
      <c r="O246" s="28" t="s">
        <v>2276</v>
      </c>
    </row>
    <row r="247" spans="1:15" ht="15" customHeight="1" x14ac:dyDescent="0.3">
      <c r="A247" s="31">
        <v>46023</v>
      </c>
      <c r="B247" s="27" t="s">
        <v>53</v>
      </c>
      <c r="C247" s="27" t="s">
        <v>2611</v>
      </c>
      <c r="D247" s="27" t="s">
        <v>2612</v>
      </c>
      <c r="E247" s="27" t="s">
        <v>1949</v>
      </c>
      <c r="F247" s="27" t="s">
        <v>1950</v>
      </c>
      <c r="G247" s="27" t="s">
        <v>1959</v>
      </c>
      <c r="H247" s="27" t="s">
        <v>2613</v>
      </c>
      <c r="I247" s="27" t="s">
        <v>2610</v>
      </c>
      <c r="J247" s="27" t="s">
        <v>144</v>
      </c>
      <c r="K247" s="39" t="s">
        <v>2368</v>
      </c>
      <c r="L247" s="41" t="s">
        <v>1953</v>
      </c>
      <c r="M247" s="27"/>
      <c r="N247" s="27"/>
      <c r="O247" s="28" t="s">
        <v>2276</v>
      </c>
    </row>
    <row r="248" spans="1:15" ht="15" customHeight="1" x14ac:dyDescent="0.3">
      <c r="A248" s="31">
        <v>46023</v>
      </c>
      <c r="B248" s="27" t="s">
        <v>53</v>
      </c>
      <c r="C248" s="27" t="s">
        <v>2614</v>
      </c>
      <c r="D248" s="27" t="s">
        <v>2615</v>
      </c>
      <c r="E248" s="27" t="s">
        <v>2616</v>
      </c>
      <c r="F248" s="27" t="s">
        <v>1950</v>
      </c>
      <c r="G248" s="27" t="s">
        <v>1975</v>
      </c>
      <c r="H248" s="27" t="s">
        <v>2617</v>
      </c>
      <c r="I248" s="27" t="s">
        <v>116</v>
      </c>
      <c r="J248" s="27" t="s">
        <v>144</v>
      </c>
      <c r="K248" s="39" t="s">
        <v>2368</v>
      </c>
      <c r="L248" s="41" t="s">
        <v>1953</v>
      </c>
      <c r="M248" s="27"/>
      <c r="N248" s="27"/>
      <c r="O248" s="28" t="s">
        <v>2276</v>
      </c>
    </row>
    <row r="249" spans="1:15" ht="15" customHeight="1" x14ac:dyDescent="0.3">
      <c r="A249" s="31">
        <v>46023</v>
      </c>
      <c r="B249" s="27" t="s">
        <v>53</v>
      </c>
      <c r="C249" s="27" t="s">
        <v>2618</v>
      </c>
      <c r="D249" s="27" t="s">
        <v>2619</v>
      </c>
      <c r="E249" s="27" t="s">
        <v>1326</v>
      </c>
      <c r="F249" s="27" t="s">
        <v>1950</v>
      </c>
      <c r="G249" s="27" t="s">
        <v>1975</v>
      </c>
      <c r="H249" s="27" t="s">
        <v>59</v>
      </c>
      <c r="I249" s="27" t="s">
        <v>143</v>
      </c>
      <c r="J249" s="27" t="s">
        <v>144</v>
      </c>
      <c r="K249" s="39" t="s">
        <v>2368</v>
      </c>
      <c r="L249" s="41" t="s">
        <v>1953</v>
      </c>
      <c r="M249" s="27"/>
      <c r="N249" s="27"/>
      <c r="O249" s="28" t="s">
        <v>2276</v>
      </c>
    </row>
    <row r="250" spans="1:15" ht="15" customHeight="1" x14ac:dyDescent="0.3">
      <c r="A250" s="31">
        <v>46023</v>
      </c>
      <c r="B250" s="27" t="s">
        <v>53</v>
      </c>
      <c r="C250" s="27" t="s">
        <v>2620</v>
      </c>
      <c r="D250" s="27" t="s">
        <v>2621</v>
      </c>
      <c r="E250" s="27" t="s">
        <v>1326</v>
      </c>
      <c r="F250" s="27" t="s">
        <v>1950</v>
      </c>
      <c r="G250" s="27" t="s">
        <v>1975</v>
      </c>
      <c r="H250" s="27" t="s">
        <v>59</v>
      </c>
      <c r="I250" s="27" t="s">
        <v>143</v>
      </c>
      <c r="J250" s="27" t="s">
        <v>144</v>
      </c>
      <c r="K250" s="39" t="s">
        <v>2368</v>
      </c>
      <c r="L250" s="41" t="s">
        <v>1953</v>
      </c>
      <c r="M250" s="27"/>
      <c r="N250" s="27"/>
      <c r="O250" s="28" t="s">
        <v>2276</v>
      </c>
    </row>
    <row r="251" spans="1:15" ht="15" customHeight="1" x14ac:dyDescent="0.3">
      <c r="A251" s="31">
        <v>46023</v>
      </c>
      <c r="B251" s="27" t="s">
        <v>53</v>
      </c>
      <c r="C251" s="27" t="s">
        <v>2622</v>
      </c>
      <c r="D251" s="27" t="s">
        <v>2623</v>
      </c>
      <c r="E251" s="27" t="s">
        <v>59</v>
      </c>
      <c r="F251" s="27" t="s">
        <v>1950</v>
      </c>
      <c r="G251" s="27" t="s">
        <v>2487</v>
      </c>
      <c r="H251" s="27" t="s">
        <v>59</v>
      </c>
      <c r="I251" s="27" t="s">
        <v>143</v>
      </c>
      <c r="J251" s="27" t="s">
        <v>144</v>
      </c>
      <c r="K251" s="39" t="s">
        <v>2395</v>
      </c>
      <c r="L251" s="41" t="s">
        <v>1953</v>
      </c>
      <c r="M251" s="27"/>
      <c r="N251" s="27"/>
      <c r="O251" s="28" t="s">
        <v>2276</v>
      </c>
    </row>
    <row r="252" spans="1:15" ht="15" customHeight="1" x14ac:dyDescent="0.3">
      <c r="A252" s="31">
        <v>46023</v>
      </c>
      <c r="B252" s="27" t="s">
        <v>53</v>
      </c>
      <c r="C252" s="27" t="s">
        <v>2624</v>
      </c>
      <c r="D252" s="27" t="s">
        <v>2625</v>
      </c>
      <c r="E252" s="27" t="s">
        <v>59</v>
      </c>
      <c r="F252" s="27" t="s">
        <v>1950</v>
      </c>
      <c r="G252" s="27" t="s">
        <v>2487</v>
      </c>
      <c r="H252" s="27" t="s">
        <v>59</v>
      </c>
      <c r="I252" s="27" t="s">
        <v>143</v>
      </c>
      <c r="J252" s="27" t="s">
        <v>144</v>
      </c>
      <c r="K252" s="39" t="s">
        <v>2395</v>
      </c>
      <c r="L252" s="41" t="s">
        <v>1953</v>
      </c>
      <c r="M252" s="27"/>
      <c r="N252" s="27"/>
      <c r="O252" s="28" t="s">
        <v>2276</v>
      </c>
    </row>
    <row r="253" spans="1:15" ht="15" customHeight="1" x14ac:dyDescent="0.3">
      <c r="A253" s="31">
        <v>46023</v>
      </c>
      <c r="B253" s="27" t="s">
        <v>53</v>
      </c>
      <c r="C253" s="27" t="s">
        <v>2626</v>
      </c>
      <c r="D253" s="27" t="s">
        <v>2627</v>
      </c>
      <c r="E253" s="27" t="s">
        <v>59</v>
      </c>
      <c r="F253" s="27" t="s">
        <v>1950</v>
      </c>
      <c r="G253" s="27" t="s">
        <v>2487</v>
      </c>
      <c r="H253" s="27" t="s">
        <v>59</v>
      </c>
      <c r="I253" s="27" t="s">
        <v>143</v>
      </c>
      <c r="J253" s="27" t="s">
        <v>144</v>
      </c>
      <c r="K253" s="39" t="s">
        <v>2395</v>
      </c>
      <c r="L253" s="41" t="s">
        <v>1953</v>
      </c>
      <c r="M253" s="27"/>
      <c r="N253" s="27"/>
      <c r="O253" s="28" t="s">
        <v>2276</v>
      </c>
    </row>
    <row r="254" spans="1:15" ht="15" customHeight="1" x14ac:dyDescent="0.3">
      <c r="A254" s="31">
        <v>46023</v>
      </c>
      <c r="B254" s="27" t="s">
        <v>53</v>
      </c>
      <c r="C254" s="27" t="s">
        <v>2628</v>
      </c>
      <c r="D254" s="27" t="s">
        <v>2629</v>
      </c>
      <c r="E254" s="27" t="s">
        <v>59</v>
      </c>
      <c r="F254" s="27" t="s">
        <v>1950</v>
      </c>
      <c r="G254" s="27" t="s">
        <v>2487</v>
      </c>
      <c r="H254" s="27" t="s">
        <v>59</v>
      </c>
      <c r="I254" s="27" t="s">
        <v>143</v>
      </c>
      <c r="J254" s="27" t="s">
        <v>144</v>
      </c>
      <c r="K254" s="39" t="s">
        <v>2395</v>
      </c>
      <c r="L254" s="41" t="s">
        <v>1953</v>
      </c>
      <c r="M254" s="27"/>
      <c r="N254" s="27"/>
      <c r="O254" s="28" t="s">
        <v>2276</v>
      </c>
    </row>
    <row r="255" spans="1:15" ht="15" customHeight="1" x14ac:dyDescent="0.3">
      <c r="A255" s="31">
        <v>46023</v>
      </c>
      <c r="B255" s="27" t="s">
        <v>53</v>
      </c>
      <c r="C255" s="27" t="s">
        <v>2630</v>
      </c>
      <c r="D255" s="27" t="s">
        <v>2631</v>
      </c>
      <c r="E255" s="27" t="s">
        <v>59</v>
      </c>
      <c r="F255" s="27" t="s">
        <v>1950</v>
      </c>
      <c r="G255" s="27" t="s">
        <v>2487</v>
      </c>
      <c r="H255" s="27" t="s">
        <v>59</v>
      </c>
      <c r="I255" s="27" t="s">
        <v>143</v>
      </c>
      <c r="J255" s="27" t="s">
        <v>144</v>
      </c>
      <c r="K255" s="39" t="s">
        <v>2395</v>
      </c>
      <c r="L255" s="41" t="s">
        <v>1953</v>
      </c>
      <c r="M255" s="27"/>
      <c r="N255" s="27"/>
      <c r="O255" s="28" t="s">
        <v>2276</v>
      </c>
    </row>
    <row r="256" spans="1:15" ht="15" customHeight="1" x14ac:dyDescent="0.3">
      <c r="A256" s="31">
        <v>46023</v>
      </c>
      <c r="B256" s="27" t="s">
        <v>53</v>
      </c>
      <c r="C256" s="27" t="s">
        <v>2632</v>
      </c>
      <c r="D256" s="27" t="s">
        <v>2633</v>
      </c>
      <c r="E256" s="27" t="s">
        <v>59</v>
      </c>
      <c r="F256" s="27" t="s">
        <v>1950</v>
      </c>
      <c r="G256" s="27" t="s">
        <v>2487</v>
      </c>
      <c r="H256" s="27" t="s">
        <v>59</v>
      </c>
      <c r="I256" s="27" t="s">
        <v>116</v>
      </c>
      <c r="J256" s="27" t="s">
        <v>144</v>
      </c>
      <c r="K256" s="39" t="s">
        <v>2395</v>
      </c>
      <c r="L256" s="41" t="s">
        <v>1953</v>
      </c>
      <c r="M256" s="27"/>
      <c r="N256" s="27"/>
      <c r="O256" s="28" t="s">
        <v>2276</v>
      </c>
    </row>
    <row r="257" spans="1:15" ht="15" customHeight="1" x14ac:dyDescent="0.3">
      <c r="A257" s="31">
        <v>46023</v>
      </c>
      <c r="B257" s="27" t="s">
        <v>53</v>
      </c>
      <c r="C257" s="27" t="s">
        <v>2634</v>
      </c>
      <c r="D257" s="27" t="s">
        <v>2635</v>
      </c>
      <c r="E257" s="27" t="s">
        <v>59</v>
      </c>
      <c r="F257" s="27" t="s">
        <v>1950</v>
      </c>
      <c r="G257" s="27" t="s">
        <v>2487</v>
      </c>
      <c r="H257" s="27" t="s">
        <v>59</v>
      </c>
      <c r="I257" s="27" t="s">
        <v>116</v>
      </c>
      <c r="J257" s="27" t="s">
        <v>144</v>
      </c>
      <c r="K257" s="39" t="s">
        <v>2395</v>
      </c>
      <c r="L257" s="41" t="s">
        <v>1953</v>
      </c>
      <c r="M257" s="27"/>
      <c r="N257" s="27"/>
      <c r="O257" s="28" t="s">
        <v>2276</v>
      </c>
    </row>
    <row r="258" spans="1:15" ht="15" customHeight="1" x14ac:dyDescent="0.3">
      <c r="A258" s="31">
        <v>46023</v>
      </c>
      <c r="B258" s="27" t="s">
        <v>53</v>
      </c>
      <c r="C258" s="27" t="s">
        <v>2636</v>
      </c>
      <c r="D258" s="27" t="s">
        <v>2637</v>
      </c>
      <c r="E258" s="27" t="s">
        <v>59</v>
      </c>
      <c r="F258" s="27" t="s">
        <v>1950</v>
      </c>
      <c r="G258" s="27" t="s">
        <v>2487</v>
      </c>
      <c r="H258" s="27" t="s">
        <v>59</v>
      </c>
      <c r="I258" s="27" t="s">
        <v>116</v>
      </c>
      <c r="J258" s="27" t="s">
        <v>144</v>
      </c>
      <c r="K258" s="39" t="s">
        <v>2395</v>
      </c>
      <c r="L258" s="41" t="s">
        <v>1953</v>
      </c>
      <c r="M258" s="27"/>
      <c r="N258" s="27"/>
      <c r="O258" s="28" t="s">
        <v>2276</v>
      </c>
    </row>
    <row r="259" spans="1:15" ht="15" customHeight="1" x14ac:dyDescent="0.3">
      <c r="A259" s="31">
        <v>46023</v>
      </c>
      <c r="B259" s="27" t="s">
        <v>53</v>
      </c>
      <c r="C259" s="27" t="s">
        <v>2638</v>
      </c>
      <c r="D259" s="27" t="s">
        <v>2639</v>
      </c>
      <c r="E259" s="27" t="s">
        <v>59</v>
      </c>
      <c r="F259" s="27" t="s">
        <v>1950</v>
      </c>
      <c r="G259" s="27" t="s">
        <v>2487</v>
      </c>
      <c r="H259" s="27" t="s">
        <v>59</v>
      </c>
      <c r="I259" s="27" t="s">
        <v>116</v>
      </c>
      <c r="J259" s="27" t="s">
        <v>144</v>
      </c>
      <c r="K259" s="39" t="s">
        <v>2395</v>
      </c>
      <c r="L259" s="41" t="s">
        <v>1953</v>
      </c>
      <c r="M259" s="27"/>
      <c r="N259" s="27"/>
      <c r="O259" s="28" t="s">
        <v>2276</v>
      </c>
    </row>
    <row r="260" spans="1:15" ht="15" customHeight="1" x14ac:dyDescent="0.3">
      <c r="A260" s="31">
        <v>46023</v>
      </c>
      <c r="B260" s="27" t="s">
        <v>53</v>
      </c>
      <c r="C260" s="27" t="s">
        <v>2640</v>
      </c>
      <c r="D260" s="27" t="s">
        <v>2641</v>
      </c>
      <c r="E260" s="27" t="s">
        <v>59</v>
      </c>
      <c r="F260" s="27" t="s">
        <v>1950</v>
      </c>
      <c r="G260" s="27" t="s">
        <v>2487</v>
      </c>
      <c r="H260" s="27" t="s">
        <v>59</v>
      </c>
      <c r="I260" s="27" t="s">
        <v>143</v>
      </c>
      <c r="J260" s="27" t="s">
        <v>144</v>
      </c>
      <c r="K260" s="39" t="s">
        <v>2395</v>
      </c>
      <c r="L260" s="41" t="s">
        <v>1953</v>
      </c>
      <c r="M260" s="27"/>
      <c r="N260" s="27"/>
      <c r="O260" s="28" t="s">
        <v>2276</v>
      </c>
    </row>
    <row r="261" spans="1:15" ht="15" customHeight="1" x14ac:dyDescent="0.3">
      <c r="A261" s="31">
        <v>46023</v>
      </c>
      <c r="B261" s="27" t="s">
        <v>53</v>
      </c>
      <c r="C261" s="27" t="s">
        <v>2642</v>
      </c>
      <c r="D261" s="27" t="s">
        <v>2643</v>
      </c>
      <c r="E261" s="27" t="s">
        <v>59</v>
      </c>
      <c r="F261" s="27" t="s">
        <v>1950</v>
      </c>
      <c r="G261" s="27" t="s">
        <v>2487</v>
      </c>
      <c r="H261" s="27" t="s">
        <v>59</v>
      </c>
      <c r="I261" s="27" t="s">
        <v>116</v>
      </c>
      <c r="J261" s="27" t="s">
        <v>144</v>
      </c>
      <c r="K261" s="39" t="s">
        <v>2395</v>
      </c>
      <c r="L261" s="41" t="s">
        <v>1953</v>
      </c>
      <c r="M261" s="27"/>
      <c r="N261" s="27"/>
      <c r="O261" s="28" t="s">
        <v>2276</v>
      </c>
    </row>
    <row r="262" spans="1:15" ht="15" customHeight="1" x14ac:dyDescent="0.3">
      <c r="A262" s="31">
        <v>46023</v>
      </c>
      <c r="B262" s="27" t="s">
        <v>53</v>
      </c>
      <c r="C262" s="27" t="s">
        <v>2644</v>
      </c>
      <c r="D262" s="27" t="s">
        <v>2645</v>
      </c>
      <c r="E262" s="27" t="s">
        <v>59</v>
      </c>
      <c r="F262" s="27" t="s">
        <v>1950</v>
      </c>
      <c r="G262" s="27" t="s">
        <v>1959</v>
      </c>
      <c r="H262" s="27" t="s">
        <v>59</v>
      </c>
      <c r="I262" s="27" t="s">
        <v>116</v>
      </c>
      <c r="J262" s="27" t="s">
        <v>144</v>
      </c>
      <c r="K262" s="39" t="s">
        <v>2646</v>
      </c>
      <c r="L262" s="41" t="s">
        <v>1953</v>
      </c>
      <c r="M262" s="27"/>
      <c r="N262" s="27"/>
      <c r="O262" s="28" t="s">
        <v>2276</v>
      </c>
    </row>
    <row r="263" spans="1:15" ht="15" customHeight="1" x14ac:dyDescent="0.3">
      <c r="A263" s="31">
        <v>46023</v>
      </c>
      <c r="B263" s="27" t="s">
        <v>53</v>
      </c>
      <c r="C263" s="27" t="s">
        <v>1930</v>
      </c>
      <c r="D263" s="27" t="s">
        <v>1931</v>
      </c>
      <c r="E263" s="27" t="s">
        <v>1932</v>
      </c>
      <c r="F263" s="27" t="s">
        <v>1933</v>
      </c>
      <c r="G263" s="27" t="s">
        <v>1934</v>
      </c>
      <c r="H263" s="27" t="s">
        <v>59</v>
      </c>
      <c r="I263" s="27" t="s">
        <v>60</v>
      </c>
      <c r="J263" s="27" t="s">
        <v>144</v>
      </c>
      <c r="K263" s="39" t="s">
        <v>334</v>
      </c>
      <c r="L263" s="41" t="s">
        <v>395</v>
      </c>
      <c r="M263" s="27"/>
      <c r="N263" s="27"/>
      <c r="O263" s="28" t="s">
        <v>2276</v>
      </c>
    </row>
    <row r="264" spans="1:15" ht="15" customHeight="1" x14ac:dyDescent="0.3">
      <c r="A264" s="31">
        <v>46023</v>
      </c>
      <c r="B264" s="27" t="s">
        <v>53</v>
      </c>
      <c r="C264" s="27" t="s">
        <v>1935</v>
      </c>
      <c r="D264" s="27" t="s">
        <v>1936</v>
      </c>
      <c r="E264" s="27" t="s">
        <v>1937</v>
      </c>
      <c r="F264" s="27" t="s">
        <v>1933</v>
      </c>
      <c r="G264" s="27" t="s">
        <v>1934</v>
      </c>
      <c r="H264" s="27" t="s">
        <v>59</v>
      </c>
      <c r="I264" s="27" t="s">
        <v>143</v>
      </c>
      <c r="J264" s="27" t="s">
        <v>144</v>
      </c>
      <c r="K264" s="39" t="s">
        <v>1685</v>
      </c>
      <c r="L264" s="41" t="s">
        <v>309</v>
      </c>
      <c r="M264" s="27"/>
      <c r="N264" s="27"/>
      <c r="O264" s="28" t="s">
        <v>2276</v>
      </c>
    </row>
    <row r="265" spans="1:15" ht="15" customHeight="1" x14ac:dyDescent="0.3">
      <c r="A265" s="31">
        <v>46023</v>
      </c>
      <c r="B265" s="27" t="s">
        <v>53</v>
      </c>
      <c r="C265" s="27" t="s">
        <v>1938</v>
      </c>
      <c r="D265" s="27" t="s">
        <v>1939</v>
      </c>
      <c r="E265" s="27" t="s">
        <v>1940</v>
      </c>
      <c r="F265" s="27" t="s">
        <v>1933</v>
      </c>
      <c r="G265" s="27" t="s">
        <v>1934</v>
      </c>
      <c r="H265" s="27" t="s">
        <v>59</v>
      </c>
      <c r="I265" s="27" t="s">
        <v>116</v>
      </c>
      <c r="J265" s="27" t="s">
        <v>61</v>
      </c>
      <c r="K265" s="39" t="s">
        <v>1685</v>
      </c>
      <c r="L265" s="41" t="s">
        <v>1632</v>
      </c>
      <c r="M265" s="27"/>
      <c r="N265" s="27"/>
      <c r="O265" s="28" t="s">
        <v>2276</v>
      </c>
    </row>
    <row r="266" spans="1:15" ht="15" customHeight="1" x14ac:dyDescent="0.3">
      <c r="A266" s="31">
        <v>46023</v>
      </c>
      <c r="B266" s="27" t="s">
        <v>53</v>
      </c>
      <c r="C266" s="27" t="s">
        <v>1941</v>
      </c>
      <c r="D266" s="27" t="s">
        <v>1942</v>
      </c>
      <c r="E266" s="27" t="s">
        <v>1943</v>
      </c>
      <c r="F266" s="27" t="s">
        <v>1933</v>
      </c>
      <c r="G266" s="27" t="s">
        <v>1944</v>
      </c>
      <c r="H266" s="27" t="s">
        <v>59</v>
      </c>
      <c r="I266" s="27" t="s">
        <v>143</v>
      </c>
      <c r="J266" s="27" t="s">
        <v>61</v>
      </c>
      <c r="K266" s="39" t="s">
        <v>1685</v>
      </c>
      <c r="L266" s="41" t="s">
        <v>1632</v>
      </c>
      <c r="M266" s="27"/>
      <c r="N266" s="27"/>
      <c r="O266" s="28" t="s">
        <v>2276</v>
      </c>
    </row>
    <row r="267" spans="1:15" ht="15" customHeight="1" x14ac:dyDescent="0.3">
      <c r="A267" s="31">
        <v>46023</v>
      </c>
      <c r="B267" s="27" t="s">
        <v>53</v>
      </c>
      <c r="C267" s="27" t="s">
        <v>1945</v>
      </c>
      <c r="D267" s="27" t="s">
        <v>1946</v>
      </c>
      <c r="E267" s="27" t="s">
        <v>1763</v>
      </c>
      <c r="F267" s="27" t="s">
        <v>1933</v>
      </c>
      <c r="G267" s="27" t="s">
        <v>1934</v>
      </c>
      <c r="H267" s="27" t="s">
        <v>59</v>
      </c>
      <c r="I267" s="27" t="s">
        <v>60</v>
      </c>
      <c r="J267" s="27" t="s">
        <v>61</v>
      </c>
      <c r="K267" s="39" t="s">
        <v>1370</v>
      </c>
      <c r="L267" s="41" t="s">
        <v>309</v>
      </c>
      <c r="M267" s="27"/>
      <c r="N267" s="27"/>
      <c r="O267" s="28" t="s">
        <v>2276</v>
      </c>
    </row>
    <row r="268" spans="1:15" ht="15" customHeight="1" x14ac:dyDescent="0.3">
      <c r="A268" s="31">
        <v>46023</v>
      </c>
      <c r="B268" s="27" t="s">
        <v>53</v>
      </c>
      <c r="C268" s="27" t="s">
        <v>2647</v>
      </c>
      <c r="D268" s="27" t="s">
        <v>2648</v>
      </c>
      <c r="E268" s="27" t="s">
        <v>2649</v>
      </c>
      <c r="F268" s="27" t="s">
        <v>1933</v>
      </c>
      <c r="G268" s="27" t="s">
        <v>1934</v>
      </c>
      <c r="H268" s="27" t="s">
        <v>59</v>
      </c>
      <c r="I268" s="27" t="s">
        <v>143</v>
      </c>
      <c r="J268" s="27" t="s">
        <v>144</v>
      </c>
      <c r="K268" s="39" t="s">
        <v>2650</v>
      </c>
      <c r="L268" s="41" t="s">
        <v>1487</v>
      </c>
      <c r="M268" s="27"/>
      <c r="N268" s="27"/>
      <c r="O268" s="28" t="s">
        <v>2276</v>
      </c>
    </row>
    <row r="269" spans="1:15" ht="15" customHeight="1" x14ac:dyDescent="0.3">
      <c r="A269" s="31">
        <v>46023</v>
      </c>
      <c r="B269" s="27" t="s">
        <v>53</v>
      </c>
      <c r="C269" s="27" t="s">
        <v>2651</v>
      </c>
      <c r="D269" s="27" t="s">
        <v>2652</v>
      </c>
      <c r="E269" s="27" t="s">
        <v>2653</v>
      </c>
      <c r="F269" s="27" t="s">
        <v>1933</v>
      </c>
      <c r="G269" s="27" t="s">
        <v>1944</v>
      </c>
      <c r="H269" s="27" t="s">
        <v>59</v>
      </c>
      <c r="I269" s="27" t="s">
        <v>143</v>
      </c>
      <c r="J269" s="27" t="s">
        <v>144</v>
      </c>
      <c r="K269" s="39" t="s">
        <v>2650</v>
      </c>
      <c r="L269" s="41" t="s">
        <v>1487</v>
      </c>
      <c r="M269" s="27"/>
      <c r="N269" s="27"/>
      <c r="O269" s="28" t="s">
        <v>2276</v>
      </c>
    </row>
    <row r="270" spans="1:15" ht="15" customHeight="1" x14ac:dyDescent="0.3">
      <c r="A270" s="31">
        <v>46023</v>
      </c>
      <c r="B270" s="27" t="s">
        <v>53</v>
      </c>
      <c r="C270" s="27" t="s">
        <v>2654</v>
      </c>
      <c r="D270" s="27" t="s">
        <v>2655</v>
      </c>
      <c r="E270" s="27" t="s">
        <v>2653</v>
      </c>
      <c r="F270" s="27" t="s">
        <v>1933</v>
      </c>
      <c r="G270" s="27" t="s">
        <v>1944</v>
      </c>
      <c r="H270" s="27" t="s">
        <v>59</v>
      </c>
      <c r="I270" s="27" t="s">
        <v>143</v>
      </c>
      <c r="J270" s="27" t="s">
        <v>144</v>
      </c>
      <c r="K270" s="39" t="s">
        <v>2650</v>
      </c>
      <c r="L270" s="41" t="s">
        <v>1487</v>
      </c>
      <c r="M270" s="27"/>
      <c r="N270" s="27"/>
      <c r="O270" s="28" t="s">
        <v>2276</v>
      </c>
    </row>
    <row r="271" spans="1:15" ht="15" customHeight="1" x14ac:dyDescent="0.3">
      <c r="A271" s="31">
        <v>46023</v>
      </c>
      <c r="B271" s="27" t="s">
        <v>53</v>
      </c>
      <c r="C271" s="27" t="s">
        <v>2656</v>
      </c>
      <c r="D271" s="27" t="s">
        <v>2657</v>
      </c>
      <c r="E271" s="27" t="s">
        <v>2653</v>
      </c>
      <c r="F271" s="27" t="s">
        <v>1933</v>
      </c>
      <c r="G271" s="27" t="s">
        <v>1944</v>
      </c>
      <c r="H271" s="27" t="s">
        <v>59</v>
      </c>
      <c r="I271" s="27" t="s">
        <v>143</v>
      </c>
      <c r="J271" s="27" t="s">
        <v>144</v>
      </c>
      <c r="K271" s="39" t="s">
        <v>2650</v>
      </c>
      <c r="L271" s="41" t="s">
        <v>1487</v>
      </c>
      <c r="M271" s="27"/>
      <c r="N271" s="27"/>
      <c r="O271" s="28" t="s">
        <v>2276</v>
      </c>
    </row>
    <row r="272" spans="1:15" ht="15" customHeight="1" x14ac:dyDescent="0.3">
      <c r="A272" s="31">
        <v>46023</v>
      </c>
      <c r="B272" s="27" t="s">
        <v>53</v>
      </c>
      <c r="C272" s="27" t="s">
        <v>2658</v>
      </c>
      <c r="D272" s="27" t="s">
        <v>2659</v>
      </c>
      <c r="E272" s="27" t="s">
        <v>2653</v>
      </c>
      <c r="F272" s="27" t="s">
        <v>1933</v>
      </c>
      <c r="G272" s="27" t="s">
        <v>1944</v>
      </c>
      <c r="H272" s="27" t="s">
        <v>59</v>
      </c>
      <c r="I272" s="27" t="s">
        <v>143</v>
      </c>
      <c r="J272" s="27" t="s">
        <v>144</v>
      </c>
      <c r="K272" s="39" t="s">
        <v>2427</v>
      </c>
      <c r="L272" s="41" t="s">
        <v>1487</v>
      </c>
      <c r="M272" s="27"/>
      <c r="N272" s="27"/>
      <c r="O272" s="28" t="s">
        <v>2276</v>
      </c>
    </row>
    <row r="273" spans="1:15" ht="15" customHeight="1" x14ac:dyDescent="0.3">
      <c r="A273" s="31">
        <v>46023</v>
      </c>
      <c r="B273" s="27" t="s">
        <v>53</v>
      </c>
      <c r="C273" s="27" t="s">
        <v>2660</v>
      </c>
      <c r="D273" s="27" t="s">
        <v>2661</v>
      </c>
      <c r="E273" s="27" t="s">
        <v>2662</v>
      </c>
      <c r="F273" s="27" t="s">
        <v>1933</v>
      </c>
      <c r="G273" s="27" t="s">
        <v>1934</v>
      </c>
      <c r="H273" s="27" t="s">
        <v>59</v>
      </c>
      <c r="I273" s="27" t="s">
        <v>143</v>
      </c>
      <c r="J273" s="27" t="s">
        <v>144</v>
      </c>
      <c r="K273" s="39" t="s">
        <v>2427</v>
      </c>
      <c r="L273" s="41" t="s">
        <v>63</v>
      </c>
      <c r="M273" s="27"/>
      <c r="N273" s="27"/>
      <c r="O273" s="28" t="s">
        <v>2276</v>
      </c>
    </row>
    <row r="274" spans="1:15" ht="15" customHeight="1" x14ac:dyDescent="0.3">
      <c r="A274" s="31">
        <v>46023</v>
      </c>
      <c r="B274" s="27" t="s">
        <v>53</v>
      </c>
      <c r="C274" s="27" t="s">
        <v>2663</v>
      </c>
      <c r="D274" s="27" t="s">
        <v>2664</v>
      </c>
      <c r="E274" s="27" t="s">
        <v>59</v>
      </c>
      <c r="F274" s="27" t="s">
        <v>1933</v>
      </c>
      <c r="G274" s="27" t="s">
        <v>1944</v>
      </c>
      <c r="H274" s="27" t="s">
        <v>59</v>
      </c>
      <c r="I274" s="27" t="s">
        <v>143</v>
      </c>
      <c r="J274" s="27" t="s">
        <v>144</v>
      </c>
      <c r="K274" s="39" t="s">
        <v>2427</v>
      </c>
      <c r="L274" s="41" t="s">
        <v>63</v>
      </c>
      <c r="M274" s="27"/>
      <c r="N274" s="27"/>
      <c r="O274" s="28" t="s">
        <v>2276</v>
      </c>
    </row>
    <row r="275" spans="1:15" ht="15" customHeight="1" x14ac:dyDescent="0.3">
      <c r="A275" s="31">
        <v>46023</v>
      </c>
      <c r="B275" s="27" t="s">
        <v>53</v>
      </c>
      <c r="C275" s="27" t="s">
        <v>2665</v>
      </c>
      <c r="D275" s="27" t="s">
        <v>2666</v>
      </c>
      <c r="E275" s="27" t="s">
        <v>2667</v>
      </c>
      <c r="F275" s="27" t="s">
        <v>1933</v>
      </c>
      <c r="G275" s="27" t="s">
        <v>1944</v>
      </c>
      <c r="H275" s="27" t="s">
        <v>59</v>
      </c>
      <c r="I275" s="27" t="s">
        <v>143</v>
      </c>
      <c r="J275" s="27" t="s">
        <v>144</v>
      </c>
      <c r="K275" s="39" t="s">
        <v>2427</v>
      </c>
      <c r="L275" s="41" t="s">
        <v>63</v>
      </c>
      <c r="M275" s="27"/>
      <c r="N275" s="27"/>
      <c r="O275" s="28" t="s">
        <v>2276</v>
      </c>
    </row>
    <row r="276" spans="1:15" ht="15" customHeight="1" x14ac:dyDescent="0.3">
      <c r="A276" s="31">
        <v>46023</v>
      </c>
      <c r="B276" s="27" t="s">
        <v>53</v>
      </c>
      <c r="C276" s="27" t="s">
        <v>2668</v>
      </c>
      <c r="D276" s="27" t="s">
        <v>2669</v>
      </c>
      <c r="E276" s="27" t="s">
        <v>1943</v>
      </c>
      <c r="F276" s="27" t="s">
        <v>1933</v>
      </c>
      <c r="G276" s="27" t="s">
        <v>1944</v>
      </c>
      <c r="H276" s="27" t="s">
        <v>59</v>
      </c>
      <c r="I276" s="27" t="s">
        <v>143</v>
      </c>
      <c r="J276" s="27" t="s">
        <v>144</v>
      </c>
      <c r="K276" s="39" t="s">
        <v>2427</v>
      </c>
      <c r="L276" s="41" t="s">
        <v>63</v>
      </c>
      <c r="M276" s="27"/>
      <c r="N276" s="27"/>
      <c r="O276" s="28" t="s">
        <v>2276</v>
      </c>
    </row>
    <row r="277" spans="1:15" ht="15" customHeight="1" x14ac:dyDescent="0.3">
      <c r="A277" s="31">
        <v>46023</v>
      </c>
      <c r="B277" s="27" t="s">
        <v>53</v>
      </c>
      <c r="C277" s="27" t="s">
        <v>2670</v>
      </c>
      <c r="D277" s="27" t="s">
        <v>2671</v>
      </c>
      <c r="E277" s="27" t="s">
        <v>59</v>
      </c>
      <c r="F277" s="27" t="s">
        <v>1933</v>
      </c>
      <c r="G277" s="27" t="s">
        <v>1944</v>
      </c>
      <c r="H277" s="27" t="s">
        <v>59</v>
      </c>
      <c r="I277" s="27" t="s">
        <v>468</v>
      </c>
      <c r="J277" s="27" t="s">
        <v>144</v>
      </c>
      <c r="K277" s="39" t="s">
        <v>2427</v>
      </c>
      <c r="L277" s="41" t="s">
        <v>63</v>
      </c>
      <c r="M277" s="27"/>
      <c r="N277" s="27"/>
      <c r="O277" s="28" t="s">
        <v>2276</v>
      </c>
    </row>
    <row r="278" spans="1:15" ht="15" customHeight="1" x14ac:dyDescent="0.3">
      <c r="A278" s="31">
        <v>46023</v>
      </c>
      <c r="B278" s="27" t="s">
        <v>53</v>
      </c>
      <c r="C278" s="27" t="s">
        <v>2672</v>
      </c>
      <c r="D278" s="27" t="s">
        <v>2673</v>
      </c>
      <c r="E278" s="27" t="s">
        <v>2674</v>
      </c>
      <c r="F278" s="27" t="s">
        <v>2675</v>
      </c>
      <c r="G278" s="27" t="s">
        <v>1944</v>
      </c>
      <c r="H278" s="27" t="s">
        <v>59</v>
      </c>
      <c r="I278" s="27" t="s">
        <v>116</v>
      </c>
      <c r="J278" s="27" t="s">
        <v>144</v>
      </c>
      <c r="K278" s="39" t="s">
        <v>2465</v>
      </c>
      <c r="L278" s="41" t="s">
        <v>63</v>
      </c>
      <c r="M278" s="27"/>
      <c r="N278" s="27"/>
      <c r="O278" s="28" t="s">
        <v>2276</v>
      </c>
    </row>
    <row r="279" spans="1:15" ht="15" customHeight="1" x14ac:dyDescent="0.3">
      <c r="A279" s="31">
        <v>46023</v>
      </c>
      <c r="B279" s="27" t="s">
        <v>53</v>
      </c>
      <c r="C279" s="27" t="s">
        <v>1371</v>
      </c>
      <c r="D279" s="27" t="s">
        <v>1372</v>
      </c>
      <c r="E279" s="27" t="s">
        <v>59</v>
      </c>
      <c r="F279" s="27" t="s">
        <v>1373</v>
      </c>
      <c r="G279" s="27" t="s">
        <v>1374</v>
      </c>
      <c r="H279" s="27" t="s">
        <v>59</v>
      </c>
      <c r="I279" s="27" t="s">
        <v>60</v>
      </c>
      <c r="J279" s="27" t="s">
        <v>144</v>
      </c>
      <c r="K279" s="39" t="s">
        <v>334</v>
      </c>
      <c r="L279" s="41" t="s">
        <v>309</v>
      </c>
      <c r="M279" s="27"/>
      <c r="N279" s="27"/>
      <c r="O279" s="28" t="s">
        <v>2276</v>
      </c>
    </row>
    <row r="280" spans="1:15" ht="15" customHeight="1" x14ac:dyDescent="0.3">
      <c r="A280" s="31">
        <v>46023</v>
      </c>
      <c r="B280" s="27" t="s">
        <v>53</v>
      </c>
      <c r="C280" s="27" t="s">
        <v>1375</v>
      </c>
      <c r="D280" s="27" t="s">
        <v>1376</v>
      </c>
      <c r="E280" s="27" t="s">
        <v>59</v>
      </c>
      <c r="F280" s="27" t="s">
        <v>1373</v>
      </c>
      <c r="G280" s="27" t="s">
        <v>1374</v>
      </c>
      <c r="H280" s="27" t="s">
        <v>59</v>
      </c>
      <c r="I280" s="27" t="s">
        <v>60</v>
      </c>
      <c r="J280" s="27" t="s">
        <v>144</v>
      </c>
      <c r="K280" s="39" t="s">
        <v>334</v>
      </c>
      <c r="L280" s="41" t="s">
        <v>309</v>
      </c>
      <c r="M280" s="27"/>
      <c r="N280" s="27"/>
      <c r="O280" s="28" t="s">
        <v>2276</v>
      </c>
    </row>
    <row r="281" spans="1:15" ht="15" customHeight="1" x14ac:dyDescent="0.3">
      <c r="A281" s="31">
        <v>46023</v>
      </c>
      <c r="B281" s="27" t="s">
        <v>53</v>
      </c>
      <c r="C281" s="27" t="s">
        <v>1377</v>
      </c>
      <c r="D281" s="27" t="s">
        <v>1378</v>
      </c>
      <c r="E281" s="27" t="s">
        <v>59</v>
      </c>
      <c r="F281" s="27" t="s">
        <v>1373</v>
      </c>
      <c r="G281" s="27" t="s">
        <v>1374</v>
      </c>
      <c r="H281" s="27" t="s">
        <v>59</v>
      </c>
      <c r="I281" s="27" t="s">
        <v>60</v>
      </c>
      <c r="J281" s="27" t="s">
        <v>144</v>
      </c>
      <c r="K281" s="39" t="s">
        <v>334</v>
      </c>
      <c r="L281" s="41" t="s">
        <v>309</v>
      </c>
      <c r="M281" s="27"/>
      <c r="N281" s="27"/>
      <c r="O281" s="28" t="s">
        <v>2276</v>
      </c>
    </row>
    <row r="282" spans="1:15" ht="15" customHeight="1" x14ac:dyDescent="0.3">
      <c r="A282" s="31">
        <v>46023</v>
      </c>
      <c r="B282" s="27" t="s">
        <v>53</v>
      </c>
      <c r="C282" s="27" t="s">
        <v>1379</v>
      </c>
      <c r="D282" s="27" t="s">
        <v>1380</v>
      </c>
      <c r="E282" s="27" t="s">
        <v>59</v>
      </c>
      <c r="F282" s="27" t="s">
        <v>1373</v>
      </c>
      <c r="G282" s="27" t="s">
        <v>1374</v>
      </c>
      <c r="H282" s="27" t="s">
        <v>59</v>
      </c>
      <c r="I282" s="27" t="s">
        <v>60</v>
      </c>
      <c r="J282" s="27" t="s">
        <v>144</v>
      </c>
      <c r="K282" s="39" t="s">
        <v>334</v>
      </c>
      <c r="L282" s="41" t="s">
        <v>309</v>
      </c>
      <c r="M282" s="27"/>
      <c r="N282" s="27"/>
      <c r="O282" s="28" t="s">
        <v>2276</v>
      </c>
    </row>
    <row r="283" spans="1:15" ht="15" customHeight="1" x14ac:dyDescent="0.3">
      <c r="A283" s="31">
        <v>46023</v>
      </c>
      <c r="B283" s="27" t="s">
        <v>53</v>
      </c>
      <c r="C283" s="27" t="s">
        <v>1381</v>
      </c>
      <c r="D283" s="27" t="s">
        <v>1382</v>
      </c>
      <c r="E283" s="27" t="s">
        <v>1383</v>
      </c>
      <c r="F283" s="27" t="s">
        <v>1373</v>
      </c>
      <c r="G283" s="27" t="s">
        <v>1384</v>
      </c>
      <c r="H283" s="27">
        <v>26024120022</v>
      </c>
      <c r="I283" s="27" t="s">
        <v>116</v>
      </c>
      <c r="J283" s="27" t="s">
        <v>61</v>
      </c>
      <c r="K283" s="39" t="s">
        <v>62</v>
      </c>
      <c r="L283" s="41" t="s">
        <v>63</v>
      </c>
      <c r="M283" s="27"/>
      <c r="N283" s="27"/>
      <c r="O283" s="28" t="s">
        <v>2276</v>
      </c>
    </row>
    <row r="284" spans="1:15" ht="15" customHeight="1" x14ac:dyDescent="0.3">
      <c r="A284" s="31">
        <v>46023</v>
      </c>
      <c r="B284" s="27" t="s">
        <v>53</v>
      </c>
      <c r="C284" s="27" t="s">
        <v>1385</v>
      </c>
      <c r="D284" s="27" t="s">
        <v>1386</v>
      </c>
      <c r="E284" s="27" t="s">
        <v>1387</v>
      </c>
      <c r="F284" s="27" t="s">
        <v>1373</v>
      </c>
      <c r="G284" s="27" t="s">
        <v>1374</v>
      </c>
      <c r="H284" s="27" t="s">
        <v>59</v>
      </c>
      <c r="I284" s="27" t="s">
        <v>116</v>
      </c>
      <c r="J284" s="27" t="s">
        <v>61</v>
      </c>
      <c r="K284" s="39" t="s">
        <v>62</v>
      </c>
      <c r="L284" s="41" t="s">
        <v>63</v>
      </c>
      <c r="M284" s="27"/>
      <c r="N284" s="27"/>
      <c r="O284" s="28" t="s">
        <v>2276</v>
      </c>
    </row>
    <row r="285" spans="1:15" ht="15" customHeight="1" x14ac:dyDescent="0.3">
      <c r="A285" s="31">
        <v>46023</v>
      </c>
      <c r="B285" s="27" t="s">
        <v>53</v>
      </c>
      <c r="C285" s="27" t="s">
        <v>1388</v>
      </c>
      <c r="D285" s="27" t="s">
        <v>1389</v>
      </c>
      <c r="E285" s="27" t="s">
        <v>1387</v>
      </c>
      <c r="F285" s="27" t="s">
        <v>1373</v>
      </c>
      <c r="G285" s="27" t="s">
        <v>1374</v>
      </c>
      <c r="H285" s="27" t="s">
        <v>59</v>
      </c>
      <c r="I285" s="27" t="s">
        <v>116</v>
      </c>
      <c r="J285" s="27" t="s">
        <v>61</v>
      </c>
      <c r="K285" s="39" t="s">
        <v>62</v>
      </c>
      <c r="L285" s="41" t="s">
        <v>63</v>
      </c>
      <c r="M285" s="27"/>
      <c r="N285" s="27"/>
      <c r="O285" s="28" t="s">
        <v>2276</v>
      </c>
    </row>
    <row r="286" spans="1:15" ht="15" customHeight="1" x14ac:dyDescent="0.3">
      <c r="A286" s="31">
        <v>46023</v>
      </c>
      <c r="B286" s="27" t="s">
        <v>53</v>
      </c>
      <c r="C286" s="27" t="s">
        <v>1390</v>
      </c>
      <c r="D286" s="27" t="s">
        <v>1391</v>
      </c>
      <c r="E286" s="27" t="s">
        <v>1392</v>
      </c>
      <c r="F286" s="27" t="s">
        <v>1373</v>
      </c>
      <c r="G286" s="27" t="s">
        <v>1374</v>
      </c>
      <c r="H286" s="27" t="s">
        <v>59</v>
      </c>
      <c r="I286" s="27" t="s">
        <v>60</v>
      </c>
      <c r="J286" s="27" t="s">
        <v>61</v>
      </c>
      <c r="K286" s="39" t="s">
        <v>62</v>
      </c>
      <c r="L286" s="41" t="s">
        <v>63</v>
      </c>
      <c r="M286" s="27"/>
      <c r="N286" s="27"/>
      <c r="O286" s="28" t="s">
        <v>2276</v>
      </c>
    </row>
    <row r="287" spans="1:15" ht="15" customHeight="1" x14ac:dyDescent="0.3">
      <c r="A287" s="31">
        <v>46023</v>
      </c>
      <c r="B287" s="27" t="s">
        <v>53</v>
      </c>
      <c r="C287" s="27" t="s">
        <v>1393</v>
      </c>
      <c r="D287" s="27" t="s">
        <v>1394</v>
      </c>
      <c r="E287" s="27" t="s">
        <v>1395</v>
      </c>
      <c r="F287" s="27" t="s">
        <v>1373</v>
      </c>
      <c r="G287" s="27" t="s">
        <v>1396</v>
      </c>
      <c r="H287" s="27" t="s">
        <v>59</v>
      </c>
      <c r="I287" s="27" t="s">
        <v>116</v>
      </c>
      <c r="J287" s="27" t="s">
        <v>61</v>
      </c>
      <c r="K287" s="39" t="s">
        <v>62</v>
      </c>
      <c r="L287" s="41" t="s">
        <v>112</v>
      </c>
      <c r="M287" s="27"/>
      <c r="N287" s="27"/>
      <c r="O287" s="28" t="s">
        <v>2276</v>
      </c>
    </row>
    <row r="288" spans="1:15" ht="15" customHeight="1" x14ac:dyDescent="0.3">
      <c r="A288" s="31">
        <v>46023</v>
      </c>
      <c r="B288" s="27" t="s">
        <v>53</v>
      </c>
      <c r="C288" s="27" t="s">
        <v>1397</v>
      </c>
      <c r="D288" s="27" t="s">
        <v>1398</v>
      </c>
      <c r="E288" s="27" t="s">
        <v>1399</v>
      </c>
      <c r="F288" s="27" t="s">
        <v>1373</v>
      </c>
      <c r="G288" s="27" t="s">
        <v>1384</v>
      </c>
      <c r="H288" s="27" t="s">
        <v>59</v>
      </c>
      <c r="I288" s="27" t="s">
        <v>116</v>
      </c>
      <c r="J288" s="27" t="s">
        <v>61</v>
      </c>
      <c r="K288" s="39" t="s">
        <v>62</v>
      </c>
      <c r="L288" s="41" t="s">
        <v>63</v>
      </c>
      <c r="M288" s="27"/>
      <c r="N288" s="27"/>
      <c r="O288" s="28" t="s">
        <v>2276</v>
      </c>
    </row>
    <row r="289" spans="1:15" ht="15" customHeight="1" x14ac:dyDescent="0.3">
      <c r="A289" s="31">
        <v>46023</v>
      </c>
      <c r="B289" s="27" t="s">
        <v>53</v>
      </c>
      <c r="C289" s="27" t="s">
        <v>1400</v>
      </c>
      <c r="D289" s="27" t="s">
        <v>1401</v>
      </c>
      <c r="E289" s="27" t="s">
        <v>1402</v>
      </c>
      <c r="F289" s="27" t="s">
        <v>1373</v>
      </c>
      <c r="G289" s="27" t="s">
        <v>1403</v>
      </c>
      <c r="H289" s="27" t="s">
        <v>59</v>
      </c>
      <c r="I289" s="27" t="s">
        <v>60</v>
      </c>
      <c r="J289" s="27" t="s">
        <v>61</v>
      </c>
      <c r="K289" s="39" t="s">
        <v>62</v>
      </c>
      <c r="L289" s="41" t="s">
        <v>309</v>
      </c>
      <c r="M289" s="27"/>
      <c r="N289" s="27"/>
      <c r="O289" s="28" t="s">
        <v>2276</v>
      </c>
    </row>
    <row r="290" spans="1:15" ht="15" customHeight="1" x14ac:dyDescent="0.3">
      <c r="A290" s="31">
        <v>46023</v>
      </c>
      <c r="B290" s="27" t="s">
        <v>53</v>
      </c>
      <c r="C290" s="27" t="s">
        <v>1404</v>
      </c>
      <c r="D290" s="27" t="s">
        <v>1405</v>
      </c>
      <c r="E290" s="27" t="s">
        <v>59</v>
      </c>
      <c r="F290" s="27" t="s">
        <v>1373</v>
      </c>
      <c r="G290" s="27" t="s">
        <v>1374</v>
      </c>
      <c r="H290" s="27" t="s">
        <v>59</v>
      </c>
      <c r="I290" s="27" t="s">
        <v>60</v>
      </c>
      <c r="J290" s="27" t="s">
        <v>61</v>
      </c>
      <c r="K290" s="39" t="s">
        <v>62</v>
      </c>
      <c r="L290" s="41" t="s">
        <v>63</v>
      </c>
      <c r="M290" s="27"/>
      <c r="N290" s="27"/>
      <c r="O290" s="28" t="s">
        <v>2276</v>
      </c>
    </row>
    <row r="291" spans="1:15" ht="15" customHeight="1" x14ac:dyDescent="0.3">
      <c r="A291" s="31">
        <v>46023</v>
      </c>
      <c r="B291" s="27" t="s">
        <v>53</v>
      </c>
      <c r="C291" s="27" t="s">
        <v>1406</v>
      </c>
      <c r="D291" s="27" t="s">
        <v>1407</v>
      </c>
      <c r="E291" s="27" t="s">
        <v>59</v>
      </c>
      <c r="F291" s="27" t="s">
        <v>1373</v>
      </c>
      <c r="G291" s="27" t="s">
        <v>1403</v>
      </c>
      <c r="H291" s="27" t="s">
        <v>59</v>
      </c>
      <c r="I291" s="27" t="s">
        <v>116</v>
      </c>
      <c r="J291" s="27" t="s">
        <v>61</v>
      </c>
      <c r="K291" s="39" t="s">
        <v>62</v>
      </c>
      <c r="L291" s="41" t="s">
        <v>309</v>
      </c>
      <c r="M291" s="27"/>
      <c r="N291" s="27"/>
      <c r="O291" s="28" t="s">
        <v>2276</v>
      </c>
    </row>
    <row r="292" spans="1:15" ht="15" customHeight="1" x14ac:dyDescent="0.3">
      <c r="A292" s="31">
        <v>46023</v>
      </c>
      <c r="B292" s="27" t="s">
        <v>53</v>
      </c>
      <c r="C292" s="27" t="s">
        <v>1408</v>
      </c>
      <c r="D292" s="27" t="s">
        <v>1409</v>
      </c>
      <c r="E292" s="27" t="s">
        <v>59</v>
      </c>
      <c r="F292" s="27" t="s">
        <v>1373</v>
      </c>
      <c r="G292" s="27" t="s">
        <v>1403</v>
      </c>
      <c r="H292" s="27" t="s">
        <v>59</v>
      </c>
      <c r="I292" s="27" t="s">
        <v>468</v>
      </c>
      <c r="J292" s="27" t="s">
        <v>61</v>
      </c>
      <c r="K292" s="39" t="s">
        <v>62</v>
      </c>
      <c r="L292" s="41" t="s">
        <v>309</v>
      </c>
      <c r="M292" s="27"/>
      <c r="N292" s="27"/>
      <c r="O292" s="28" t="s">
        <v>2276</v>
      </c>
    </row>
    <row r="293" spans="1:15" ht="15" customHeight="1" x14ac:dyDescent="0.3">
      <c r="A293" s="31">
        <v>46023</v>
      </c>
      <c r="B293" s="27" t="s">
        <v>53</v>
      </c>
      <c r="C293" s="27" t="s">
        <v>1410</v>
      </c>
      <c r="D293" s="27" t="s">
        <v>1411</v>
      </c>
      <c r="E293" s="27" t="s">
        <v>59</v>
      </c>
      <c r="F293" s="27" t="s">
        <v>1373</v>
      </c>
      <c r="G293" s="27" t="s">
        <v>1403</v>
      </c>
      <c r="H293" s="27" t="s">
        <v>59</v>
      </c>
      <c r="I293" s="27" t="s">
        <v>116</v>
      </c>
      <c r="J293" s="27" t="s">
        <v>61</v>
      </c>
      <c r="K293" s="39" t="s">
        <v>62</v>
      </c>
      <c r="L293" s="41" t="s">
        <v>309</v>
      </c>
      <c r="M293" s="27"/>
      <c r="N293" s="27"/>
      <c r="O293" s="28" t="s">
        <v>2276</v>
      </c>
    </row>
    <row r="294" spans="1:15" ht="15" customHeight="1" x14ac:dyDescent="0.3">
      <c r="A294" s="31">
        <v>46023</v>
      </c>
      <c r="B294" s="27" t="s">
        <v>53</v>
      </c>
      <c r="C294" s="27" t="s">
        <v>1412</v>
      </c>
      <c r="D294" s="27" t="s">
        <v>1413</v>
      </c>
      <c r="E294" s="27" t="s">
        <v>59</v>
      </c>
      <c r="F294" s="27" t="s">
        <v>1373</v>
      </c>
      <c r="G294" s="27" t="s">
        <v>1403</v>
      </c>
      <c r="H294" s="27" t="s">
        <v>59</v>
      </c>
      <c r="I294" s="27" t="s">
        <v>116</v>
      </c>
      <c r="J294" s="27" t="s">
        <v>61</v>
      </c>
      <c r="K294" s="39" t="s">
        <v>62</v>
      </c>
      <c r="L294" s="41" t="s">
        <v>309</v>
      </c>
      <c r="M294" s="27"/>
      <c r="N294" s="27"/>
      <c r="O294" s="28" t="s">
        <v>2276</v>
      </c>
    </row>
    <row r="295" spans="1:15" ht="15" customHeight="1" x14ac:dyDescent="0.3">
      <c r="A295" s="31">
        <v>46023</v>
      </c>
      <c r="B295" s="27" t="s">
        <v>53</v>
      </c>
      <c r="C295" s="27" t="s">
        <v>1414</v>
      </c>
      <c r="D295" s="27" t="s">
        <v>1415</v>
      </c>
      <c r="E295" s="27" t="s">
        <v>1416</v>
      </c>
      <c r="F295" s="27" t="s">
        <v>1373</v>
      </c>
      <c r="G295" s="27" t="s">
        <v>1403</v>
      </c>
      <c r="H295" s="27" t="s">
        <v>59</v>
      </c>
      <c r="I295" s="27" t="s">
        <v>60</v>
      </c>
      <c r="J295" s="27" t="s">
        <v>61</v>
      </c>
      <c r="K295" s="39" t="s">
        <v>62</v>
      </c>
      <c r="L295" s="41" t="s">
        <v>309</v>
      </c>
      <c r="M295" s="27"/>
      <c r="N295" s="27"/>
      <c r="O295" s="28" t="s">
        <v>2276</v>
      </c>
    </row>
    <row r="296" spans="1:15" ht="15" customHeight="1" x14ac:dyDescent="0.3">
      <c r="A296" s="31">
        <v>46023</v>
      </c>
      <c r="B296" s="27" t="s">
        <v>53</v>
      </c>
      <c r="C296" s="27" t="s">
        <v>1417</v>
      </c>
      <c r="D296" s="27" t="s">
        <v>1418</v>
      </c>
      <c r="E296" s="27" t="s">
        <v>1419</v>
      </c>
      <c r="F296" s="27" t="s">
        <v>1373</v>
      </c>
      <c r="G296" s="27" t="s">
        <v>1396</v>
      </c>
      <c r="H296" s="27" t="s">
        <v>59</v>
      </c>
      <c r="I296" s="27" t="s">
        <v>60</v>
      </c>
      <c r="J296" s="27" t="s">
        <v>61</v>
      </c>
      <c r="K296" s="39" t="s">
        <v>62</v>
      </c>
      <c r="L296" s="41" t="s">
        <v>309</v>
      </c>
      <c r="M296" s="27"/>
      <c r="N296" s="27"/>
      <c r="O296" s="28" t="s">
        <v>2276</v>
      </c>
    </row>
    <row r="297" spans="1:15" ht="15" customHeight="1" x14ac:dyDescent="0.3">
      <c r="A297" s="31">
        <v>46023</v>
      </c>
      <c r="B297" s="27" t="s">
        <v>53</v>
      </c>
      <c r="C297" s="27" t="s">
        <v>1420</v>
      </c>
      <c r="D297" s="27" t="s">
        <v>1421</v>
      </c>
      <c r="E297" s="27" t="s">
        <v>1419</v>
      </c>
      <c r="F297" s="27" t="s">
        <v>1373</v>
      </c>
      <c r="G297" s="27" t="s">
        <v>1396</v>
      </c>
      <c r="H297" s="27" t="s">
        <v>59</v>
      </c>
      <c r="I297" s="27" t="s">
        <v>60</v>
      </c>
      <c r="J297" s="27" t="s">
        <v>61</v>
      </c>
      <c r="K297" s="39" t="s">
        <v>62</v>
      </c>
      <c r="L297" s="41" t="s">
        <v>309</v>
      </c>
      <c r="M297" s="27"/>
      <c r="N297" s="27"/>
      <c r="O297" s="28" t="s">
        <v>2276</v>
      </c>
    </row>
    <row r="298" spans="1:15" ht="15" customHeight="1" x14ac:dyDescent="0.3">
      <c r="A298" s="31">
        <v>46023</v>
      </c>
      <c r="B298" s="27" t="s">
        <v>53</v>
      </c>
      <c r="C298" s="27" t="s">
        <v>1422</v>
      </c>
      <c r="D298" s="27" t="s">
        <v>1423</v>
      </c>
      <c r="E298" s="27" t="s">
        <v>1419</v>
      </c>
      <c r="F298" s="27" t="s">
        <v>1373</v>
      </c>
      <c r="G298" s="27" t="s">
        <v>1396</v>
      </c>
      <c r="H298" s="27" t="s">
        <v>59</v>
      </c>
      <c r="I298" s="27" t="s">
        <v>60</v>
      </c>
      <c r="J298" s="27" t="s">
        <v>61</v>
      </c>
      <c r="K298" s="39" t="s">
        <v>62</v>
      </c>
      <c r="L298" s="41" t="s">
        <v>309</v>
      </c>
      <c r="M298" s="27"/>
      <c r="N298" s="27"/>
      <c r="O298" s="28" t="s">
        <v>2276</v>
      </c>
    </row>
    <row r="299" spans="1:15" ht="15" customHeight="1" x14ac:dyDescent="0.3">
      <c r="A299" s="31">
        <v>46023</v>
      </c>
      <c r="B299" s="27" t="s">
        <v>53</v>
      </c>
      <c r="C299" s="27" t="s">
        <v>1424</v>
      </c>
      <c r="D299" s="27" t="s">
        <v>1425</v>
      </c>
      <c r="E299" s="27" t="s">
        <v>1419</v>
      </c>
      <c r="F299" s="27" t="s">
        <v>1373</v>
      </c>
      <c r="G299" s="27" t="s">
        <v>1396</v>
      </c>
      <c r="H299" s="27" t="s">
        <v>59</v>
      </c>
      <c r="I299" s="27" t="s">
        <v>60</v>
      </c>
      <c r="J299" s="27" t="s">
        <v>61</v>
      </c>
      <c r="K299" s="39" t="s">
        <v>62</v>
      </c>
      <c r="L299" s="41" t="s">
        <v>309</v>
      </c>
      <c r="M299" s="27"/>
      <c r="N299" s="27"/>
      <c r="O299" s="28" t="s">
        <v>2276</v>
      </c>
    </row>
    <row r="300" spans="1:15" ht="15" customHeight="1" x14ac:dyDescent="0.3">
      <c r="A300" s="31">
        <v>46023</v>
      </c>
      <c r="B300" s="27" t="s">
        <v>53</v>
      </c>
      <c r="C300" s="27" t="s">
        <v>1426</v>
      </c>
      <c r="D300" s="27" t="s">
        <v>1427</v>
      </c>
      <c r="E300" s="27" t="s">
        <v>1419</v>
      </c>
      <c r="F300" s="27" t="s">
        <v>1373</v>
      </c>
      <c r="G300" s="27" t="s">
        <v>1396</v>
      </c>
      <c r="H300" s="27" t="s">
        <v>59</v>
      </c>
      <c r="I300" s="27" t="s">
        <v>60</v>
      </c>
      <c r="J300" s="27" t="s">
        <v>61</v>
      </c>
      <c r="K300" s="39" t="s">
        <v>62</v>
      </c>
      <c r="L300" s="41" t="s">
        <v>309</v>
      </c>
      <c r="M300" s="27"/>
      <c r="N300" s="27"/>
      <c r="O300" s="28" t="s">
        <v>2276</v>
      </c>
    </row>
    <row r="301" spans="1:15" ht="15" customHeight="1" x14ac:dyDescent="0.3">
      <c r="A301" s="31">
        <v>46023</v>
      </c>
      <c r="B301" s="27" t="s">
        <v>53</v>
      </c>
      <c r="C301" s="27" t="s">
        <v>1428</v>
      </c>
      <c r="D301" s="27" t="s">
        <v>1429</v>
      </c>
      <c r="E301" s="27" t="s">
        <v>1419</v>
      </c>
      <c r="F301" s="27" t="s">
        <v>1373</v>
      </c>
      <c r="G301" s="27" t="s">
        <v>1396</v>
      </c>
      <c r="H301" s="27" t="s">
        <v>59</v>
      </c>
      <c r="I301" s="27" t="s">
        <v>60</v>
      </c>
      <c r="J301" s="27" t="s">
        <v>61</v>
      </c>
      <c r="K301" s="39" t="s">
        <v>62</v>
      </c>
      <c r="L301" s="41" t="s">
        <v>309</v>
      </c>
      <c r="M301" s="27"/>
      <c r="N301" s="27"/>
      <c r="O301" s="28" t="s">
        <v>2276</v>
      </c>
    </row>
    <row r="302" spans="1:15" ht="15" customHeight="1" x14ac:dyDescent="0.3">
      <c r="A302" s="31">
        <v>46023</v>
      </c>
      <c r="B302" s="27" t="s">
        <v>53</v>
      </c>
      <c r="C302" s="27" t="s">
        <v>1430</v>
      </c>
      <c r="D302" s="27" t="s">
        <v>1431</v>
      </c>
      <c r="E302" s="27" t="s">
        <v>1432</v>
      </c>
      <c r="F302" s="27" t="s">
        <v>1373</v>
      </c>
      <c r="G302" s="27" t="s">
        <v>1396</v>
      </c>
      <c r="H302" s="27" t="s">
        <v>59</v>
      </c>
      <c r="I302" s="27" t="s">
        <v>60</v>
      </c>
      <c r="J302" s="27" t="s">
        <v>61</v>
      </c>
      <c r="K302" s="39" t="s">
        <v>62</v>
      </c>
      <c r="L302" s="41" t="s">
        <v>309</v>
      </c>
      <c r="M302" s="27"/>
      <c r="N302" s="27"/>
      <c r="O302" s="28" t="s">
        <v>2276</v>
      </c>
    </row>
    <row r="303" spans="1:15" ht="15" customHeight="1" x14ac:dyDescent="0.3">
      <c r="A303" s="31">
        <v>46023</v>
      </c>
      <c r="B303" s="27" t="s">
        <v>53</v>
      </c>
      <c r="C303" s="27" t="s">
        <v>1433</v>
      </c>
      <c r="D303" s="27" t="s">
        <v>1434</v>
      </c>
      <c r="E303" s="27" t="s">
        <v>1435</v>
      </c>
      <c r="F303" s="27" t="s">
        <v>1373</v>
      </c>
      <c r="G303" s="27" t="s">
        <v>1436</v>
      </c>
      <c r="H303" s="27" t="s">
        <v>59</v>
      </c>
      <c r="I303" s="27" t="s">
        <v>60</v>
      </c>
      <c r="J303" s="27" t="s">
        <v>61</v>
      </c>
      <c r="K303" s="39" t="s">
        <v>62</v>
      </c>
      <c r="L303" s="41" t="s">
        <v>63</v>
      </c>
      <c r="M303" s="27"/>
      <c r="N303" s="27"/>
      <c r="O303" s="28" t="s">
        <v>2276</v>
      </c>
    </row>
    <row r="304" spans="1:15" ht="15" customHeight="1" x14ac:dyDescent="0.3">
      <c r="A304" s="31">
        <v>46023</v>
      </c>
      <c r="B304" s="27" t="s">
        <v>53</v>
      </c>
      <c r="C304" s="27" t="s">
        <v>1437</v>
      </c>
      <c r="D304" s="27" t="s">
        <v>1438</v>
      </c>
      <c r="E304" s="27" t="s">
        <v>59</v>
      </c>
      <c r="F304" s="27" t="s">
        <v>1373</v>
      </c>
      <c r="G304" s="27" t="s">
        <v>1374</v>
      </c>
      <c r="H304" s="27" t="s">
        <v>59</v>
      </c>
      <c r="I304" s="27" t="s">
        <v>143</v>
      </c>
      <c r="J304" s="27" t="s">
        <v>144</v>
      </c>
      <c r="K304" s="39" t="s">
        <v>631</v>
      </c>
      <c r="L304" s="41" t="s">
        <v>325</v>
      </c>
      <c r="M304" s="27"/>
      <c r="N304" s="27"/>
      <c r="O304" s="28" t="s">
        <v>2276</v>
      </c>
    </row>
    <row r="305" spans="1:15" ht="15" customHeight="1" x14ac:dyDescent="0.3">
      <c r="A305" s="31">
        <v>46023</v>
      </c>
      <c r="B305" s="27" t="s">
        <v>53</v>
      </c>
      <c r="C305" s="27" t="s">
        <v>1439</v>
      </c>
      <c r="D305" s="27" t="s">
        <v>1440</v>
      </c>
      <c r="E305" s="27" t="s">
        <v>59</v>
      </c>
      <c r="F305" s="27" t="s">
        <v>1373</v>
      </c>
      <c r="G305" s="27" t="s">
        <v>1374</v>
      </c>
      <c r="H305" s="27" t="s">
        <v>59</v>
      </c>
      <c r="I305" s="27" t="s">
        <v>143</v>
      </c>
      <c r="J305" s="27" t="s">
        <v>144</v>
      </c>
      <c r="K305" s="39" t="s">
        <v>631</v>
      </c>
      <c r="L305" s="41" t="s">
        <v>325</v>
      </c>
      <c r="M305" s="27"/>
      <c r="N305" s="27"/>
      <c r="O305" s="28" t="s">
        <v>2276</v>
      </c>
    </row>
    <row r="306" spans="1:15" ht="15" customHeight="1" x14ac:dyDescent="0.3">
      <c r="A306" s="31">
        <v>46023</v>
      </c>
      <c r="B306" s="27" t="s">
        <v>53</v>
      </c>
      <c r="C306" s="27" t="s">
        <v>1441</v>
      </c>
      <c r="D306" s="27" t="s">
        <v>1442</v>
      </c>
      <c r="E306" s="27" t="s">
        <v>59</v>
      </c>
      <c r="F306" s="27" t="s">
        <v>1373</v>
      </c>
      <c r="G306" s="27" t="s">
        <v>587</v>
      </c>
      <c r="H306" s="27" t="s">
        <v>59</v>
      </c>
      <c r="I306" s="27" t="s">
        <v>116</v>
      </c>
      <c r="J306" s="27" t="s">
        <v>144</v>
      </c>
      <c r="K306" s="39" t="s">
        <v>631</v>
      </c>
      <c r="L306" s="41" t="s">
        <v>129</v>
      </c>
      <c r="M306" s="27"/>
      <c r="N306" s="27"/>
      <c r="O306" s="28" t="s">
        <v>2276</v>
      </c>
    </row>
    <row r="307" spans="1:15" ht="15" customHeight="1" x14ac:dyDescent="0.3">
      <c r="A307" s="31">
        <v>46023</v>
      </c>
      <c r="B307" s="27" t="s">
        <v>53</v>
      </c>
      <c r="C307" s="27" t="s">
        <v>1443</v>
      </c>
      <c r="D307" s="27" t="s">
        <v>1444</v>
      </c>
      <c r="E307" s="27" t="s">
        <v>59</v>
      </c>
      <c r="F307" s="27" t="s">
        <v>1373</v>
      </c>
      <c r="G307" s="27" t="s">
        <v>587</v>
      </c>
      <c r="H307" s="27" t="s">
        <v>59</v>
      </c>
      <c r="I307" s="27" t="s">
        <v>116</v>
      </c>
      <c r="J307" s="27" t="s">
        <v>144</v>
      </c>
      <c r="K307" s="39" t="s">
        <v>631</v>
      </c>
      <c r="L307" s="41" t="s">
        <v>129</v>
      </c>
      <c r="M307" s="27"/>
      <c r="N307" s="27"/>
      <c r="O307" s="28" t="s">
        <v>2276</v>
      </c>
    </row>
    <row r="308" spans="1:15" ht="15" customHeight="1" x14ac:dyDescent="0.3">
      <c r="A308" s="31">
        <v>46023</v>
      </c>
      <c r="B308" s="27" t="s">
        <v>53</v>
      </c>
      <c r="C308" s="27" t="s">
        <v>1445</v>
      </c>
      <c r="D308" s="27" t="s">
        <v>1446</v>
      </c>
      <c r="E308" s="27" t="s">
        <v>59</v>
      </c>
      <c r="F308" s="27" t="s">
        <v>1373</v>
      </c>
      <c r="G308" s="27" t="s">
        <v>1374</v>
      </c>
      <c r="H308" s="27" t="s">
        <v>59</v>
      </c>
      <c r="I308" s="27" t="s">
        <v>143</v>
      </c>
      <c r="J308" s="27" t="s">
        <v>144</v>
      </c>
      <c r="K308" s="39" t="s">
        <v>645</v>
      </c>
      <c r="L308" s="41" t="s">
        <v>309</v>
      </c>
      <c r="M308" s="27"/>
      <c r="N308" s="27"/>
      <c r="O308" s="28" t="s">
        <v>2276</v>
      </c>
    </row>
    <row r="309" spans="1:15" ht="15" customHeight="1" x14ac:dyDescent="0.3">
      <c r="A309" s="31">
        <v>46023</v>
      </c>
      <c r="B309" s="27" t="s">
        <v>53</v>
      </c>
      <c r="C309" s="27" t="s">
        <v>1447</v>
      </c>
      <c r="D309" s="27" t="s">
        <v>1448</v>
      </c>
      <c r="E309" s="27" t="s">
        <v>59</v>
      </c>
      <c r="F309" s="27" t="s">
        <v>1373</v>
      </c>
      <c r="G309" s="27" t="s">
        <v>1374</v>
      </c>
      <c r="H309" s="27" t="s">
        <v>59</v>
      </c>
      <c r="I309" s="27" t="s">
        <v>143</v>
      </c>
      <c r="J309" s="27" t="s">
        <v>258</v>
      </c>
      <c r="K309" s="39" t="s">
        <v>645</v>
      </c>
      <c r="L309" s="41" t="s">
        <v>309</v>
      </c>
      <c r="M309" s="27"/>
      <c r="N309" s="27"/>
      <c r="O309" s="28" t="s">
        <v>2276</v>
      </c>
    </row>
    <row r="310" spans="1:15" ht="15" customHeight="1" x14ac:dyDescent="0.3">
      <c r="A310" s="31">
        <v>46023</v>
      </c>
      <c r="B310" s="27" t="s">
        <v>53</v>
      </c>
      <c r="C310" s="27" t="s">
        <v>1449</v>
      </c>
      <c r="D310" s="27" t="s">
        <v>1450</v>
      </c>
      <c r="E310" s="27" t="s">
        <v>59</v>
      </c>
      <c r="F310" s="27" t="s">
        <v>1373</v>
      </c>
      <c r="G310" s="27" t="s">
        <v>1396</v>
      </c>
      <c r="H310" s="27" t="s">
        <v>59</v>
      </c>
      <c r="I310" s="27" t="s">
        <v>116</v>
      </c>
      <c r="J310" s="27" t="s">
        <v>144</v>
      </c>
      <c r="K310" s="39" t="s">
        <v>645</v>
      </c>
      <c r="L310" s="41" t="s">
        <v>129</v>
      </c>
      <c r="M310" s="27"/>
      <c r="N310" s="27"/>
      <c r="O310" s="28" t="s">
        <v>2276</v>
      </c>
    </row>
    <row r="311" spans="1:15" ht="15" customHeight="1" x14ac:dyDescent="0.3">
      <c r="A311" s="31">
        <v>46023</v>
      </c>
      <c r="B311" s="27" t="s">
        <v>53</v>
      </c>
      <c r="C311" s="27" t="s">
        <v>1451</v>
      </c>
      <c r="D311" s="27" t="s">
        <v>1452</v>
      </c>
      <c r="E311" s="27" t="s">
        <v>1453</v>
      </c>
      <c r="F311" s="27" t="s">
        <v>1373</v>
      </c>
      <c r="G311" s="27" t="s">
        <v>1396</v>
      </c>
      <c r="H311" s="27" t="s">
        <v>59</v>
      </c>
      <c r="I311" s="27" t="s">
        <v>143</v>
      </c>
      <c r="J311" s="27" t="s">
        <v>144</v>
      </c>
      <c r="K311" s="39" t="s">
        <v>664</v>
      </c>
      <c r="L311" s="41" t="s">
        <v>129</v>
      </c>
      <c r="M311" s="27"/>
      <c r="N311" s="27"/>
      <c r="O311" s="28" t="s">
        <v>2276</v>
      </c>
    </row>
    <row r="312" spans="1:15" ht="15" customHeight="1" x14ac:dyDescent="0.3">
      <c r="A312" s="31">
        <v>46023</v>
      </c>
      <c r="B312" s="27" t="s">
        <v>53</v>
      </c>
      <c r="C312" s="27" t="s">
        <v>1454</v>
      </c>
      <c r="D312" s="27" t="s">
        <v>1455</v>
      </c>
      <c r="E312" s="27" t="s">
        <v>1456</v>
      </c>
      <c r="F312" s="27" t="s">
        <v>1373</v>
      </c>
      <c r="G312" s="27" t="s">
        <v>1396</v>
      </c>
      <c r="H312" s="27" t="s">
        <v>59</v>
      </c>
      <c r="I312" s="27" t="s">
        <v>143</v>
      </c>
      <c r="J312" s="27" t="s">
        <v>144</v>
      </c>
      <c r="K312" s="39" t="s">
        <v>664</v>
      </c>
      <c r="L312" s="41" t="s">
        <v>129</v>
      </c>
      <c r="M312" s="27"/>
      <c r="N312" s="27"/>
      <c r="O312" s="28" t="s">
        <v>2276</v>
      </c>
    </row>
    <row r="313" spans="1:15" ht="15" customHeight="1" x14ac:dyDescent="0.3">
      <c r="A313" s="31">
        <v>46023</v>
      </c>
      <c r="B313" s="27" t="s">
        <v>53</v>
      </c>
      <c r="C313" s="27" t="s">
        <v>1457</v>
      </c>
      <c r="D313" s="27" t="s">
        <v>1458</v>
      </c>
      <c r="E313" s="27" t="s">
        <v>1459</v>
      </c>
      <c r="F313" s="27" t="s">
        <v>1373</v>
      </c>
      <c r="G313" s="27" t="s">
        <v>1396</v>
      </c>
      <c r="H313" s="27" t="s">
        <v>59</v>
      </c>
      <c r="I313" s="27" t="s">
        <v>116</v>
      </c>
      <c r="J313" s="27" t="s">
        <v>144</v>
      </c>
      <c r="K313" s="39" t="s">
        <v>664</v>
      </c>
      <c r="L313" s="41" t="s">
        <v>129</v>
      </c>
      <c r="M313" s="27"/>
      <c r="N313" s="27"/>
      <c r="O313" s="28" t="s">
        <v>2276</v>
      </c>
    </row>
    <row r="314" spans="1:15" ht="15" customHeight="1" x14ac:dyDescent="0.3">
      <c r="A314" s="31">
        <v>46023</v>
      </c>
      <c r="B314" s="27" t="s">
        <v>53</v>
      </c>
      <c r="C314" s="27" t="s">
        <v>1460</v>
      </c>
      <c r="D314" s="27" t="s">
        <v>1461</v>
      </c>
      <c r="E314" s="27" t="s">
        <v>1459</v>
      </c>
      <c r="F314" s="27" t="s">
        <v>1373</v>
      </c>
      <c r="G314" s="27" t="s">
        <v>1396</v>
      </c>
      <c r="H314" s="27" t="s">
        <v>59</v>
      </c>
      <c r="I314" s="27" t="s">
        <v>116</v>
      </c>
      <c r="J314" s="27" t="s">
        <v>144</v>
      </c>
      <c r="K314" s="39" t="s">
        <v>664</v>
      </c>
      <c r="L314" s="41" t="s">
        <v>129</v>
      </c>
      <c r="M314" s="27"/>
      <c r="N314" s="27"/>
      <c r="O314" s="28" t="s">
        <v>2276</v>
      </c>
    </row>
    <row r="315" spans="1:15" ht="15" customHeight="1" x14ac:dyDescent="0.3">
      <c r="A315" s="31">
        <v>46023</v>
      </c>
      <c r="B315" s="27" t="s">
        <v>53</v>
      </c>
      <c r="C315" s="27" t="s">
        <v>1462</v>
      </c>
      <c r="D315" s="27" t="s">
        <v>1463</v>
      </c>
      <c r="E315" s="27" t="s">
        <v>59</v>
      </c>
      <c r="F315" s="27" t="s">
        <v>1373</v>
      </c>
      <c r="G315" s="27" t="s">
        <v>587</v>
      </c>
      <c r="H315" s="27" t="s">
        <v>59</v>
      </c>
      <c r="I315" s="27" t="s">
        <v>143</v>
      </c>
      <c r="J315" s="27" t="s">
        <v>61</v>
      </c>
      <c r="K315" s="39" t="s">
        <v>664</v>
      </c>
      <c r="L315" s="41" t="s">
        <v>129</v>
      </c>
      <c r="M315" s="27"/>
      <c r="N315" s="27"/>
      <c r="O315" s="28" t="s">
        <v>2276</v>
      </c>
    </row>
    <row r="316" spans="1:15" ht="15" customHeight="1" x14ac:dyDescent="0.3">
      <c r="A316" s="31">
        <v>46023</v>
      </c>
      <c r="B316" s="27" t="s">
        <v>53</v>
      </c>
      <c r="C316" s="27" t="s">
        <v>1464</v>
      </c>
      <c r="D316" s="27" t="s">
        <v>1465</v>
      </c>
      <c r="E316" s="27" t="s">
        <v>59</v>
      </c>
      <c r="F316" s="27" t="s">
        <v>1373</v>
      </c>
      <c r="G316" s="27" t="s">
        <v>587</v>
      </c>
      <c r="H316" s="27" t="s">
        <v>59</v>
      </c>
      <c r="I316" s="27" t="s">
        <v>143</v>
      </c>
      <c r="J316" s="27" t="s">
        <v>61</v>
      </c>
      <c r="K316" s="39" t="s">
        <v>664</v>
      </c>
      <c r="L316" s="41" t="s">
        <v>129</v>
      </c>
      <c r="M316" s="27"/>
      <c r="N316" s="27"/>
      <c r="O316" s="28" t="s">
        <v>2276</v>
      </c>
    </row>
    <row r="317" spans="1:15" ht="15" customHeight="1" x14ac:dyDescent="0.3">
      <c r="A317" s="31">
        <v>46023</v>
      </c>
      <c r="B317" s="27" t="s">
        <v>53</v>
      </c>
      <c r="C317" s="27" t="s">
        <v>1466</v>
      </c>
      <c r="D317" s="27" t="s">
        <v>1467</v>
      </c>
      <c r="E317" s="27" t="s">
        <v>59</v>
      </c>
      <c r="F317" s="27" t="s">
        <v>1373</v>
      </c>
      <c r="G317" s="27" t="s">
        <v>587</v>
      </c>
      <c r="H317" s="27" t="s">
        <v>59</v>
      </c>
      <c r="I317" s="27" t="s">
        <v>143</v>
      </c>
      <c r="J317" s="27" t="s">
        <v>61</v>
      </c>
      <c r="K317" s="39" t="s">
        <v>664</v>
      </c>
      <c r="L317" s="41" t="s">
        <v>129</v>
      </c>
      <c r="M317" s="27"/>
      <c r="N317" s="27"/>
      <c r="O317" s="28" t="s">
        <v>2276</v>
      </c>
    </row>
    <row r="318" spans="1:15" ht="15" customHeight="1" x14ac:dyDescent="0.3">
      <c r="A318" s="31">
        <v>46023</v>
      </c>
      <c r="B318" s="27" t="s">
        <v>53</v>
      </c>
      <c r="C318" s="27" t="s">
        <v>1468</v>
      </c>
      <c r="D318" s="27" t="s">
        <v>1469</v>
      </c>
      <c r="E318" s="27" t="s">
        <v>59</v>
      </c>
      <c r="F318" s="27" t="s">
        <v>1373</v>
      </c>
      <c r="G318" s="27" t="s">
        <v>587</v>
      </c>
      <c r="H318" s="27" t="s">
        <v>59</v>
      </c>
      <c r="I318" s="27" t="s">
        <v>143</v>
      </c>
      <c r="J318" s="27" t="s">
        <v>61</v>
      </c>
      <c r="K318" s="39" t="s">
        <v>664</v>
      </c>
      <c r="L318" s="41" t="s">
        <v>129</v>
      </c>
      <c r="M318" s="27"/>
      <c r="N318" s="27"/>
      <c r="O318" s="28" t="s">
        <v>2276</v>
      </c>
    </row>
    <row r="319" spans="1:15" ht="15" customHeight="1" x14ac:dyDescent="0.3">
      <c r="A319" s="31">
        <v>46023</v>
      </c>
      <c r="B319" s="27" t="s">
        <v>53</v>
      </c>
      <c r="C319" s="27" t="s">
        <v>1470</v>
      </c>
      <c r="D319" s="27" t="s">
        <v>1471</v>
      </c>
      <c r="E319" s="27" t="s">
        <v>59</v>
      </c>
      <c r="F319" s="27" t="s">
        <v>1373</v>
      </c>
      <c r="G319" s="27" t="s">
        <v>587</v>
      </c>
      <c r="H319" s="27" t="s">
        <v>59</v>
      </c>
      <c r="I319" s="27" t="s">
        <v>143</v>
      </c>
      <c r="J319" s="27" t="s">
        <v>61</v>
      </c>
      <c r="K319" s="39" t="s">
        <v>664</v>
      </c>
      <c r="L319" s="41" t="s">
        <v>129</v>
      </c>
      <c r="M319" s="27"/>
      <c r="N319" s="27"/>
      <c r="O319" s="28" t="s">
        <v>2276</v>
      </c>
    </row>
    <row r="320" spans="1:15" ht="15" customHeight="1" x14ac:dyDescent="0.3">
      <c r="A320" s="31">
        <v>46023</v>
      </c>
      <c r="B320" s="27" t="s">
        <v>53</v>
      </c>
      <c r="C320" s="27" t="s">
        <v>1472</v>
      </c>
      <c r="D320" s="27" t="s">
        <v>1473</v>
      </c>
      <c r="E320" s="27" t="s">
        <v>59</v>
      </c>
      <c r="F320" s="27" t="s">
        <v>1373</v>
      </c>
      <c r="G320" s="27" t="s">
        <v>587</v>
      </c>
      <c r="H320" s="27" t="s">
        <v>59</v>
      </c>
      <c r="I320" s="27" t="s">
        <v>143</v>
      </c>
      <c r="J320" s="27" t="s">
        <v>61</v>
      </c>
      <c r="K320" s="39" t="s">
        <v>661</v>
      </c>
      <c r="L320" s="41" t="s">
        <v>129</v>
      </c>
      <c r="M320" s="27"/>
      <c r="N320" s="27"/>
      <c r="O320" s="28" t="s">
        <v>2276</v>
      </c>
    </row>
    <row r="321" spans="1:15" ht="15" customHeight="1" x14ac:dyDescent="0.3">
      <c r="A321" s="31">
        <v>46023</v>
      </c>
      <c r="B321" s="27" t="s">
        <v>53</v>
      </c>
      <c r="C321" s="27" t="s">
        <v>1474</v>
      </c>
      <c r="D321" s="27" t="s">
        <v>1475</v>
      </c>
      <c r="E321" s="27" t="s">
        <v>59</v>
      </c>
      <c r="F321" s="27" t="s">
        <v>1373</v>
      </c>
      <c r="G321" s="27" t="s">
        <v>587</v>
      </c>
      <c r="H321" s="27" t="s">
        <v>59</v>
      </c>
      <c r="I321" s="27" t="s">
        <v>143</v>
      </c>
      <c r="J321" s="27" t="s">
        <v>61</v>
      </c>
      <c r="K321" s="39" t="s">
        <v>661</v>
      </c>
      <c r="L321" s="41" t="s">
        <v>129</v>
      </c>
      <c r="M321" s="27"/>
      <c r="N321" s="27"/>
      <c r="O321" s="28" t="s">
        <v>2276</v>
      </c>
    </row>
    <row r="322" spans="1:15" ht="15" customHeight="1" x14ac:dyDescent="0.3">
      <c r="A322" s="31">
        <v>46023</v>
      </c>
      <c r="B322" s="27" t="s">
        <v>53</v>
      </c>
      <c r="C322" s="27" t="s">
        <v>1476</v>
      </c>
      <c r="D322" s="27" t="s">
        <v>1477</v>
      </c>
      <c r="E322" s="27" t="s">
        <v>1478</v>
      </c>
      <c r="F322" s="27" t="s">
        <v>1373</v>
      </c>
      <c r="G322" s="27" t="s">
        <v>587</v>
      </c>
      <c r="H322" s="27" t="s">
        <v>59</v>
      </c>
      <c r="I322" s="27" t="s">
        <v>143</v>
      </c>
      <c r="J322" s="27" t="s">
        <v>144</v>
      </c>
      <c r="K322" s="39" t="s">
        <v>1479</v>
      </c>
      <c r="L322" s="41" t="s">
        <v>129</v>
      </c>
      <c r="M322" s="27"/>
      <c r="N322" s="27"/>
      <c r="O322" s="28" t="s">
        <v>2276</v>
      </c>
    </row>
    <row r="323" spans="1:15" ht="15" customHeight="1" x14ac:dyDescent="0.3">
      <c r="A323" s="31">
        <v>46023</v>
      </c>
      <c r="B323" s="27" t="s">
        <v>53</v>
      </c>
      <c r="C323" s="27" t="s">
        <v>1480</v>
      </c>
      <c r="D323" s="27" t="s">
        <v>1481</v>
      </c>
      <c r="E323" s="27" t="s">
        <v>59</v>
      </c>
      <c r="F323" s="27" t="s">
        <v>1373</v>
      </c>
      <c r="G323" s="27" t="s">
        <v>1396</v>
      </c>
      <c r="H323" s="27" t="s">
        <v>59</v>
      </c>
      <c r="I323" s="27" t="s">
        <v>116</v>
      </c>
      <c r="J323" s="27" t="s">
        <v>144</v>
      </c>
      <c r="K323" s="39" t="s">
        <v>661</v>
      </c>
      <c r="L323" s="41" t="s">
        <v>129</v>
      </c>
      <c r="M323" s="27"/>
      <c r="N323" s="27"/>
      <c r="O323" s="28" t="s">
        <v>2276</v>
      </c>
    </row>
    <row r="324" spans="1:15" ht="15" customHeight="1" x14ac:dyDescent="0.3">
      <c r="A324" s="31">
        <v>46023</v>
      </c>
      <c r="B324" s="27" t="s">
        <v>53</v>
      </c>
      <c r="C324" s="27" t="s">
        <v>1482</v>
      </c>
      <c r="D324" s="27" t="s">
        <v>1483</v>
      </c>
      <c r="E324" s="27" t="s">
        <v>1484</v>
      </c>
      <c r="F324" s="27" t="s">
        <v>1373</v>
      </c>
      <c r="G324" s="27" t="s">
        <v>1485</v>
      </c>
      <c r="H324" s="27" t="s">
        <v>59</v>
      </c>
      <c r="I324" s="27" t="s">
        <v>143</v>
      </c>
      <c r="J324" s="27" t="s">
        <v>1486</v>
      </c>
      <c r="K324" s="39" t="s">
        <v>709</v>
      </c>
      <c r="L324" s="41" t="s">
        <v>1487</v>
      </c>
      <c r="M324" s="27"/>
      <c r="N324" s="27"/>
      <c r="O324" s="28" t="s">
        <v>2276</v>
      </c>
    </row>
    <row r="325" spans="1:15" ht="15" customHeight="1" x14ac:dyDescent="0.3">
      <c r="A325" s="31">
        <v>46023</v>
      </c>
      <c r="B325" s="27" t="s">
        <v>53</v>
      </c>
      <c r="C325" s="27" t="s">
        <v>1488</v>
      </c>
      <c r="D325" s="27" t="s">
        <v>1489</v>
      </c>
      <c r="E325" s="27" t="s">
        <v>1490</v>
      </c>
      <c r="F325" s="27" t="s">
        <v>1373</v>
      </c>
      <c r="G325" s="27" t="s">
        <v>1374</v>
      </c>
      <c r="H325" s="27" t="s">
        <v>59</v>
      </c>
      <c r="I325" s="27" t="s">
        <v>143</v>
      </c>
      <c r="J325" s="27" t="s">
        <v>1491</v>
      </c>
      <c r="K325" s="39" t="s">
        <v>709</v>
      </c>
      <c r="L325" s="41" t="s">
        <v>112</v>
      </c>
      <c r="M325" s="27"/>
      <c r="N325" s="27"/>
      <c r="O325" s="28" t="s">
        <v>2276</v>
      </c>
    </row>
    <row r="326" spans="1:15" ht="15" customHeight="1" x14ac:dyDescent="0.3">
      <c r="A326" s="31">
        <v>46023</v>
      </c>
      <c r="B326" s="27" t="s">
        <v>53</v>
      </c>
      <c r="C326" s="27" t="s">
        <v>1492</v>
      </c>
      <c r="D326" s="27" t="s">
        <v>1493</v>
      </c>
      <c r="E326" s="27" t="s">
        <v>59</v>
      </c>
      <c r="F326" s="27" t="s">
        <v>1373</v>
      </c>
      <c r="G326" s="27" t="s">
        <v>1485</v>
      </c>
      <c r="H326" s="27" t="s">
        <v>59</v>
      </c>
      <c r="I326" s="27" t="s">
        <v>143</v>
      </c>
      <c r="J326" s="27" t="s">
        <v>1491</v>
      </c>
      <c r="K326" s="39" t="s">
        <v>757</v>
      </c>
      <c r="L326" s="41" t="s">
        <v>309</v>
      </c>
      <c r="M326" s="27"/>
      <c r="N326" s="27"/>
      <c r="O326" s="28" t="s">
        <v>2276</v>
      </c>
    </row>
    <row r="327" spans="1:15" ht="15" customHeight="1" x14ac:dyDescent="0.3">
      <c r="A327" s="31">
        <v>46023</v>
      </c>
      <c r="B327" s="27" t="s">
        <v>53</v>
      </c>
      <c r="C327" s="27" t="s">
        <v>1494</v>
      </c>
      <c r="D327" s="27" t="s">
        <v>1495</v>
      </c>
      <c r="E327" s="27" t="s">
        <v>59</v>
      </c>
      <c r="F327" s="27" t="s">
        <v>1373</v>
      </c>
      <c r="G327" s="27" t="s">
        <v>1485</v>
      </c>
      <c r="H327" s="27" t="s">
        <v>59</v>
      </c>
      <c r="I327" s="27" t="s">
        <v>143</v>
      </c>
      <c r="J327" s="27" t="s">
        <v>144</v>
      </c>
      <c r="K327" s="39" t="s">
        <v>757</v>
      </c>
      <c r="L327" s="41" t="s">
        <v>309</v>
      </c>
      <c r="M327" s="27"/>
      <c r="N327" s="27"/>
      <c r="O327" s="28" t="s">
        <v>2276</v>
      </c>
    </row>
    <row r="328" spans="1:15" ht="15" customHeight="1" x14ac:dyDescent="0.3">
      <c r="A328" s="31">
        <v>46023</v>
      </c>
      <c r="B328" s="27" t="s">
        <v>53</v>
      </c>
      <c r="C328" s="27" t="s">
        <v>1496</v>
      </c>
      <c r="D328" s="27" t="s">
        <v>1497</v>
      </c>
      <c r="E328" s="27" t="s">
        <v>1498</v>
      </c>
      <c r="F328" s="27" t="s">
        <v>1373</v>
      </c>
      <c r="G328" s="27" t="s">
        <v>1485</v>
      </c>
      <c r="H328" s="27" t="s">
        <v>59</v>
      </c>
      <c r="I328" s="27" t="s">
        <v>143</v>
      </c>
      <c r="J328" s="27" t="s">
        <v>1491</v>
      </c>
      <c r="K328" s="39" t="s">
        <v>757</v>
      </c>
      <c r="L328" s="41" t="s">
        <v>309</v>
      </c>
      <c r="M328" s="27"/>
      <c r="N328" s="27"/>
      <c r="O328" s="28" t="s">
        <v>2276</v>
      </c>
    </row>
    <row r="329" spans="1:15" ht="15" customHeight="1" x14ac:dyDescent="0.3">
      <c r="A329" s="31">
        <v>46023</v>
      </c>
      <c r="B329" s="27" t="s">
        <v>53</v>
      </c>
      <c r="C329" s="27" t="s">
        <v>1499</v>
      </c>
      <c r="D329" s="27" t="s">
        <v>1500</v>
      </c>
      <c r="E329" s="27" t="s">
        <v>1498</v>
      </c>
      <c r="F329" s="27" t="s">
        <v>1373</v>
      </c>
      <c r="G329" s="27" t="s">
        <v>1485</v>
      </c>
      <c r="H329" s="27" t="s">
        <v>59</v>
      </c>
      <c r="I329" s="27" t="s">
        <v>143</v>
      </c>
      <c r="J329" s="27" t="s">
        <v>1491</v>
      </c>
      <c r="K329" s="39" t="s">
        <v>757</v>
      </c>
      <c r="L329" s="41" t="s">
        <v>309</v>
      </c>
      <c r="M329" s="27"/>
      <c r="N329" s="27"/>
      <c r="O329" s="28" t="s">
        <v>2276</v>
      </c>
    </row>
    <row r="330" spans="1:15" ht="15" customHeight="1" x14ac:dyDescent="0.3">
      <c r="A330" s="31">
        <v>46023</v>
      </c>
      <c r="B330" s="27" t="s">
        <v>53</v>
      </c>
      <c r="C330" s="27" t="s">
        <v>1501</v>
      </c>
      <c r="D330" s="27" t="s">
        <v>1502</v>
      </c>
      <c r="E330" s="27" t="s">
        <v>1498</v>
      </c>
      <c r="F330" s="27" t="s">
        <v>1373</v>
      </c>
      <c r="G330" s="27" t="s">
        <v>1485</v>
      </c>
      <c r="H330" s="27" t="s">
        <v>59</v>
      </c>
      <c r="I330" s="27" t="s">
        <v>143</v>
      </c>
      <c r="J330" s="27" t="s">
        <v>1491</v>
      </c>
      <c r="K330" s="39" t="s">
        <v>757</v>
      </c>
      <c r="L330" s="41" t="s">
        <v>309</v>
      </c>
      <c r="M330" s="27"/>
      <c r="N330" s="27"/>
      <c r="O330" s="28" t="s">
        <v>2276</v>
      </c>
    </row>
    <row r="331" spans="1:15" ht="15" customHeight="1" x14ac:dyDescent="0.3">
      <c r="A331" s="31">
        <v>46023</v>
      </c>
      <c r="B331" s="27" t="s">
        <v>53</v>
      </c>
      <c r="C331" s="27" t="s">
        <v>1503</v>
      </c>
      <c r="D331" s="27" t="s">
        <v>1504</v>
      </c>
      <c r="E331" s="27" t="s">
        <v>1484</v>
      </c>
      <c r="F331" s="27" t="s">
        <v>1373</v>
      </c>
      <c r="G331" s="27" t="s">
        <v>1485</v>
      </c>
      <c r="H331" s="27" t="s">
        <v>59</v>
      </c>
      <c r="I331" s="27" t="s">
        <v>143</v>
      </c>
      <c r="J331" s="27" t="s">
        <v>1491</v>
      </c>
      <c r="K331" s="39" t="s">
        <v>757</v>
      </c>
      <c r="L331" s="41" t="s">
        <v>309</v>
      </c>
      <c r="M331" s="27"/>
      <c r="N331" s="27"/>
      <c r="O331" s="28" t="s">
        <v>2276</v>
      </c>
    </row>
    <row r="332" spans="1:15" ht="15" customHeight="1" x14ac:dyDescent="0.3">
      <c r="A332" s="31">
        <v>46023</v>
      </c>
      <c r="B332" s="27" t="s">
        <v>53</v>
      </c>
      <c r="C332" s="27" t="s">
        <v>1505</v>
      </c>
      <c r="D332" s="27" t="s">
        <v>1506</v>
      </c>
      <c r="E332" s="27" t="s">
        <v>1484</v>
      </c>
      <c r="F332" s="27" t="s">
        <v>1373</v>
      </c>
      <c r="G332" s="27" t="s">
        <v>1485</v>
      </c>
      <c r="H332" s="27" t="s">
        <v>59</v>
      </c>
      <c r="I332" s="27" t="s">
        <v>143</v>
      </c>
      <c r="J332" s="27" t="s">
        <v>1491</v>
      </c>
      <c r="K332" s="39" t="s">
        <v>757</v>
      </c>
      <c r="L332" s="41" t="s">
        <v>309</v>
      </c>
      <c r="M332" s="27"/>
      <c r="N332" s="27"/>
      <c r="O332" s="28" t="s">
        <v>2276</v>
      </c>
    </row>
    <row r="333" spans="1:15" ht="15" customHeight="1" x14ac:dyDescent="0.3">
      <c r="A333" s="31">
        <v>46023</v>
      </c>
      <c r="B333" s="27" t="s">
        <v>53</v>
      </c>
      <c r="C333" s="27" t="s">
        <v>1507</v>
      </c>
      <c r="D333" s="27" t="s">
        <v>1508</v>
      </c>
      <c r="E333" s="27" t="s">
        <v>1484</v>
      </c>
      <c r="F333" s="27" t="s">
        <v>1373</v>
      </c>
      <c r="G333" s="27" t="s">
        <v>1485</v>
      </c>
      <c r="H333" s="27" t="s">
        <v>59</v>
      </c>
      <c r="I333" s="27" t="s">
        <v>143</v>
      </c>
      <c r="J333" s="27" t="s">
        <v>144</v>
      </c>
      <c r="K333" s="39" t="s">
        <v>757</v>
      </c>
      <c r="L333" s="41" t="s">
        <v>309</v>
      </c>
      <c r="M333" s="27"/>
      <c r="N333" s="27"/>
      <c r="O333" s="28" t="s">
        <v>2276</v>
      </c>
    </row>
    <row r="334" spans="1:15" ht="15" customHeight="1" x14ac:dyDescent="0.3">
      <c r="A334" s="31">
        <v>46023</v>
      </c>
      <c r="B334" s="27" t="s">
        <v>53</v>
      </c>
      <c r="C334" s="27" t="s">
        <v>1509</v>
      </c>
      <c r="D334" s="27" t="s">
        <v>1510</v>
      </c>
      <c r="E334" s="27" t="s">
        <v>59</v>
      </c>
      <c r="F334" s="27" t="s">
        <v>1373</v>
      </c>
      <c r="G334" s="27" t="s">
        <v>1374</v>
      </c>
      <c r="H334" s="27" t="s">
        <v>59</v>
      </c>
      <c r="I334" s="27" t="s">
        <v>143</v>
      </c>
      <c r="J334" s="27" t="s">
        <v>144</v>
      </c>
      <c r="K334" s="39" t="s">
        <v>757</v>
      </c>
      <c r="L334" s="41" t="s">
        <v>309</v>
      </c>
      <c r="M334" s="27"/>
      <c r="N334" s="27"/>
      <c r="O334" s="28" t="s">
        <v>2276</v>
      </c>
    </row>
    <row r="335" spans="1:15" ht="15" customHeight="1" x14ac:dyDescent="0.3">
      <c r="A335" s="31">
        <v>46023</v>
      </c>
      <c r="B335" s="27" t="s">
        <v>53</v>
      </c>
      <c r="C335" s="27" t="s">
        <v>1511</v>
      </c>
      <c r="D335" s="27" t="s">
        <v>1512</v>
      </c>
      <c r="E335" s="27" t="s">
        <v>59</v>
      </c>
      <c r="F335" s="27" t="s">
        <v>1373</v>
      </c>
      <c r="G335" s="27" t="s">
        <v>1513</v>
      </c>
      <c r="H335" s="27" t="s">
        <v>59</v>
      </c>
      <c r="I335" s="27" t="s">
        <v>116</v>
      </c>
      <c r="J335" s="27" t="s">
        <v>144</v>
      </c>
      <c r="K335" s="39" t="s">
        <v>308</v>
      </c>
      <c r="L335" s="41" t="s">
        <v>309</v>
      </c>
      <c r="M335" s="27"/>
      <c r="N335" s="27"/>
      <c r="O335" s="28" t="s">
        <v>2276</v>
      </c>
    </row>
    <row r="336" spans="1:15" ht="15" customHeight="1" x14ac:dyDescent="0.3">
      <c r="A336" s="31">
        <v>46023</v>
      </c>
      <c r="B336" s="27" t="s">
        <v>53</v>
      </c>
      <c r="C336" s="27" t="s">
        <v>1514</v>
      </c>
      <c r="D336" s="27" t="s">
        <v>1515</v>
      </c>
      <c r="E336" s="27" t="s">
        <v>1516</v>
      </c>
      <c r="F336" s="27" t="s">
        <v>1373</v>
      </c>
      <c r="G336" s="27" t="s">
        <v>1513</v>
      </c>
      <c r="H336" s="27" t="s">
        <v>59</v>
      </c>
      <c r="I336" s="27" t="s">
        <v>116</v>
      </c>
      <c r="J336" s="27" t="s">
        <v>144</v>
      </c>
      <c r="K336" s="39" t="s">
        <v>308</v>
      </c>
      <c r="L336" s="41" t="s">
        <v>309</v>
      </c>
      <c r="M336" s="27"/>
      <c r="N336" s="27"/>
      <c r="O336" s="28" t="s">
        <v>2276</v>
      </c>
    </row>
    <row r="337" spans="1:15" ht="15" customHeight="1" x14ac:dyDescent="0.3">
      <c r="A337" s="31">
        <v>46023</v>
      </c>
      <c r="B337" s="27" t="s">
        <v>53</v>
      </c>
      <c r="C337" s="27" t="s">
        <v>1517</v>
      </c>
      <c r="D337" s="27" t="s">
        <v>1518</v>
      </c>
      <c r="E337" s="27" t="s">
        <v>59</v>
      </c>
      <c r="F337" s="27" t="s">
        <v>1373</v>
      </c>
      <c r="G337" s="27" t="s">
        <v>1519</v>
      </c>
      <c r="H337" s="27" t="s">
        <v>59</v>
      </c>
      <c r="I337" s="27" t="s">
        <v>143</v>
      </c>
      <c r="J337" s="27" t="s">
        <v>144</v>
      </c>
      <c r="K337" s="39" t="s">
        <v>308</v>
      </c>
      <c r="L337" s="41" t="s">
        <v>112</v>
      </c>
      <c r="M337" s="27"/>
      <c r="N337" s="27"/>
      <c r="O337" s="28" t="s">
        <v>2276</v>
      </c>
    </row>
    <row r="338" spans="1:15" ht="15" customHeight="1" x14ac:dyDescent="0.3">
      <c r="A338" s="31">
        <v>46023</v>
      </c>
      <c r="B338" s="27" t="s">
        <v>53</v>
      </c>
      <c r="C338" s="27" t="s">
        <v>1520</v>
      </c>
      <c r="D338" s="27" t="s">
        <v>1521</v>
      </c>
      <c r="E338" s="27" t="s">
        <v>59</v>
      </c>
      <c r="F338" s="27" t="s">
        <v>1373</v>
      </c>
      <c r="G338" s="27" t="s">
        <v>1519</v>
      </c>
      <c r="H338" s="27" t="s">
        <v>59</v>
      </c>
      <c r="I338" s="27" t="s">
        <v>143</v>
      </c>
      <c r="J338" s="27" t="s">
        <v>144</v>
      </c>
      <c r="K338" s="39" t="s">
        <v>308</v>
      </c>
      <c r="L338" s="41" t="s">
        <v>112</v>
      </c>
      <c r="M338" s="27"/>
      <c r="N338" s="27"/>
      <c r="O338" s="28" t="s">
        <v>2276</v>
      </c>
    </row>
    <row r="339" spans="1:15" ht="15" customHeight="1" x14ac:dyDescent="0.3">
      <c r="A339" s="31">
        <v>46023</v>
      </c>
      <c r="B339" s="27" t="s">
        <v>53</v>
      </c>
      <c r="C339" s="27" t="s">
        <v>1522</v>
      </c>
      <c r="D339" s="27" t="s">
        <v>1523</v>
      </c>
      <c r="E339" s="27" t="s">
        <v>59</v>
      </c>
      <c r="F339" s="27" t="s">
        <v>1373</v>
      </c>
      <c r="G339" s="27" t="s">
        <v>1519</v>
      </c>
      <c r="H339" s="27" t="s">
        <v>59</v>
      </c>
      <c r="I339" s="27" t="s">
        <v>143</v>
      </c>
      <c r="J339" s="27" t="s">
        <v>144</v>
      </c>
      <c r="K339" s="39" t="s">
        <v>308</v>
      </c>
      <c r="L339" s="41" t="s">
        <v>112</v>
      </c>
      <c r="M339" s="27"/>
      <c r="N339" s="27"/>
      <c r="O339" s="28" t="s">
        <v>2276</v>
      </c>
    </row>
    <row r="340" spans="1:15" ht="15" customHeight="1" x14ac:dyDescent="0.3">
      <c r="A340" s="31">
        <v>46023</v>
      </c>
      <c r="B340" s="27" t="s">
        <v>53</v>
      </c>
      <c r="C340" s="27" t="s">
        <v>1524</v>
      </c>
      <c r="D340" s="27" t="s">
        <v>1525</v>
      </c>
      <c r="E340" s="27" t="s">
        <v>59</v>
      </c>
      <c r="F340" s="27" t="s">
        <v>1373</v>
      </c>
      <c r="G340" s="27" t="s">
        <v>1519</v>
      </c>
      <c r="H340" s="27" t="s">
        <v>59</v>
      </c>
      <c r="I340" s="27" t="s">
        <v>143</v>
      </c>
      <c r="J340" s="27" t="s">
        <v>144</v>
      </c>
      <c r="K340" s="39" t="s">
        <v>308</v>
      </c>
      <c r="L340" s="41" t="s">
        <v>112</v>
      </c>
      <c r="M340" s="27"/>
      <c r="N340" s="27"/>
      <c r="O340" s="28" t="s">
        <v>2276</v>
      </c>
    </row>
    <row r="341" spans="1:15" ht="15" customHeight="1" x14ac:dyDescent="0.3">
      <c r="A341" s="31">
        <v>46023</v>
      </c>
      <c r="B341" s="27" t="s">
        <v>53</v>
      </c>
      <c r="C341" s="27" t="s">
        <v>1526</v>
      </c>
      <c r="D341" s="27" t="s">
        <v>1527</v>
      </c>
      <c r="E341" s="27" t="s">
        <v>59</v>
      </c>
      <c r="F341" s="27" t="s">
        <v>1373</v>
      </c>
      <c r="G341" s="27" t="s">
        <v>1374</v>
      </c>
      <c r="H341" s="27" t="s">
        <v>59</v>
      </c>
      <c r="I341" s="27" t="s">
        <v>143</v>
      </c>
      <c r="J341" s="27" t="s">
        <v>87</v>
      </c>
      <c r="K341" s="39" t="s">
        <v>308</v>
      </c>
      <c r="L341" s="41" t="s">
        <v>309</v>
      </c>
      <c r="M341" s="27"/>
      <c r="N341" s="27"/>
      <c r="O341" s="28" t="s">
        <v>2276</v>
      </c>
    </row>
    <row r="342" spans="1:15" ht="15" customHeight="1" x14ac:dyDescent="0.3">
      <c r="A342" s="31">
        <v>46023</v>
      </c>
      <c r="B342" s="27" t="s">
        <v>53</v>
      </c>
      <c r="C342" s="27" t="s">
        <v>1528</v>
      </c>
      <c r="D342" s="27" t="s">
        <v>1529</v>
      </c>
      <c r="E342" s="27" t="s">
        <v>59</v>
      </c>
      <c r="F342" s="27" t="s">
        <v>1373</v>
      </c>
      <c r="G342" s="27" t="s">
        <v>1396</v>
      </c>
      <c r="H342" s="27" t="s">
        <v>59</v>
      </c>
      <c r="I342" s="27" t="s">
        <v>116</v>
      </c>
      <c r="J342" s="27" t="s">
        <v>61</v>
      </c>
      <c r="K342" s="39" t="s">
        <v>308</v>
      </c>
      <c r="L342" s="41" t="s">
        <v>309</v>
      </c>
      <c r="M342" s="27"/>
      <c r="N342" s="27"/>
      <c r="O342" s="28" t="s">
        <v>2276</v>
      </c>
    </row>
    <row r="343" spans="1:15" ht="15" customHeight="1" x14ac:dyDescent="0.3">
      <c r="A343" s="31">
        <v>46023</v>
      </c>
      <c r="B343" s="27" t="s">
        <v>53</v>
      </c>
      <c r="C343" s="27" t="s">
        <v>1530</v>
      </c>
      <c r="D343" s="27" t="s">
        <v>1531</v>
      </c>
      <c r="E343" s="27" t="s">
        <v>59</v>
      </c>
      <c r="F343" s="27" t="s">
        <v>1373</v>
      </c>
      <c r="G343" s="27" t="s">
        <v>587</v>
      </c>
      <c r="H343" s="27">
        <v>269</v>
      </c>
      <c r="I343" s="27" t="s">
        <v>116</v>
      </c>
      <c r="J343" s="27" t="s">
        <v>144</v>
      </c>
      <c r="K343" s="39" t="s">
        <v>1008</v>
      </c>
      <c r="L343" s="41" t="s">
        <v>309</v>
      </c>
      <c r="M343" s="27"/>
      <c r="N343" s="27"/>
      <c r="O343" s="28" t="s">
        <v>2276</v>
      </c>
    </row>
    <row r="344" spans="1:15" ht="15" customHeight="1" x14ac:dyDescent="0.3">
      <c r="A344" s="31">
        <v>46023</v>
      </c>
      <c r="B344" s="27" t="s">
        <v>53</v>
      </c>
      <c r="C344" s="27" t="s">
        <v>1532</v>
      </c>
      <c r="D344" s="27" t="s">
        <v>1533</v>
      </c>
      <c r="E344" s="27" t="s">
        <v>1534</v>
      </c>
      <c r="F344" s="27" t="s">
        <v>1373</v>
      </c>
      <c r="G344" s="27" t="s">
        <v>587</v>
      </c>
      <c r="H344" s="27" t="s">
        <v>59</v>
      </c>
      <c r="I344" s="27" t="s">
        <v>116</v>
      </c>
      <c r="J344" s="27" t="s">
        <v>144</v>
      </c>
      <c r="K344" s="39" t="s">
        <v>1008</v>
      </c>
      <c r="L344" s="41" t="s">
        <v>309</v>
      </c>
      <c r="M344" s="27"/>
      <c r="N344" s="27"/>
      <c r="O344" s="28" t="s">
        <v>2276</v>
      </c>
    </row>
    <row r="345" spans="1:15" ht="15" customHeight="1" x14ac:dyDescent="0.3">
      <c r="A345" s="31">
        <v>46023</v>
      </c>
      <c r="B345" s="27" t="s">
        <v>53</v>
      </c>
      <c r="C345" s="27" t="s">
        <v>1535</v>
      </c>
      <c r="D345" s="27" t="s">
        <v>1536</v>
      </c>
      <c r="E345" s="27" t="s">
        <v>59</v>
      </c>
      <c r="F345" s="27" t="s">
        <v>1373</v>
      </c>
      <c r="G345" s="27" t="s">
        <v>587</v>
      </c>
      <c r="H345" s="27" t="s">
        <v>59</v>
      </c>
      <c r="I345" s="27" t="s">
        <v>143</v>
      </c>
      <c r="J345" s="27" t="s">
        <v>144</v>
      </c>
      <c r="K345" s="39" t="s">
        <v>1011</v>
      </c>
      <c r="L345" s="41" t="s">
        <v>309</v>
      </c>
      <c r="M345" s="27"/>
      <c r="N345" s="27"/>
      <c r="O345" s="28" t="s">
        <v>2276</v>
      </c>
    </row>
    <row r="346" spans="1:15" ht="15" customHeight="1" x14ac:dyDescent="0.3">
      <c r="A346" s="31">
        <v>46023</v>
      </c>
      <c r="B346" s="27" t="s">
        <v>53</v>
      </c>
      <c r="C346" s="27" t="s">
        <v>1537</v>
      </c>
      <c r="D346" s="27" t="s">
        <v>1538</v>
      </c>
      <c r="E346" s="27" t="s">
        <v>59</v>
      </c>
      <c r="F346" s="27" t="s">
        <v>1373</v>
      </c>
      <c r="G346" s="27" t="s">
        <v>587</v>
      </c>
      <c r="H346" s="27" t="s">
        <v>59</v>
      </c>
      <c r="I346" s="27" t="s">
        <v>143</v>
      </c>
      <c r="J346" s="27" t="s">
        <v>144</v>
      </c>
      <c r="K346" s="39" t="s">
        <v>1011</v>
      </c>
      <c r="L346" s="41" t="s">
        <v>309</v>
      </c>
      <c r="M346" s="27"/>
      <c r="N346" s="27"/>
      <c r="O346" s="28" t="s">
        <v>2276</v>
      </c>
    </row>
    <row r="347" spans="1:15" ht="15" customHeight="1" x14ac:dyDescent="0.3">
      <c r="A347" s="31">
        <v>46023</v>
      </c>
      <c r="B347" s="27" t="s">
        <v>53</v>
      </c>
      <c r="C347" s="27" t="s">
        <v>1539</v>
      </c>
      <c r="D347" s="27" t="s">
        <v>1540</v>
      </c>
      <c r="E347" s="27" t="s">
        <v>59</v>
      </c>
      <c r="F347" s="27" t="s">
        <v>1373</v>
      </c>
      <c r="G347" s="27" t="s">
        <v>1436</v>
      </c>
      <c r="H347" s="27" t="s">
        <v>59</v>
      </c>
      <c r="I347" s="27" t="s">
        <v>116</v>
      </c>
      <c r="J347" s="27" t="s">
        <v>144</v>
      </c>
      <c r="K347" s="39" t="s">
        <v>1008</v>
      </c>
      <c r="L347" s="41" t="s">
        <v>309</v>
      </c>
      <c r="M347" s="27"/>
      <c r="N347" s="27"/>
      <c r="O347" s="28" t="s">
        <v>2276</v>
      </c>
    </row>
    <row r="348" spans="1:15" ht="15" customHeight="1" x14ac:dyDescent="0.3">
      <c r="A348" s="31">
        <v>46023</v>
      </c>
      <c r="B348" s="27" t="s">
        <v>53</v>
      </c>
      <c r="C348" s="27" t="s">
        <v>1541</v>
      </c>
      <c r="D348" s="27" t="s">
        <v>1542</v>
      </c>
      <c r="E348" s="27" t="s">
        <v>59</v>
      </c>
      <c r="F348" s="27" t="s">
        <v>1373</v>
      </c>
      <c r="G348" s="27" t="s">
        <v>587</v>
      </c>
      <c r="H348" s="27" t="s">
        <v>59</v>
      </c>
      <c r="I348" s="27" t="s">
        <v>60</v>
      </c>
      <c r="J348" s="27" t="s">
        <v>61</v>
      </c>
      <c r="K348" s="39" t="s">
        <v>1052</v>
      </c>
      <c r="L348" s="41" t="s">
        <v>309</v>
      </c>
      <c r="M348" s="27"/>
      <c r="N348" s="27"/>
      <c r="O348" s="28" t="s">
        <v>2276</v>
      </c>
    </row>
    <row r="349" spans="1:15" ht="15" customHeight="1" x14ac:dyDescent="0.3">
      <c r="A349" s="31">
        <v>46023</v>
      </c>
      <c r="B349" s="27" t="s">
        <v>53</v>
      </c>
      <c r="C349" s="27" t="s">
        <v>1543</v>
      </c>
      <c r="D349" s="27" t="s">
        <v>1544</v>
      </c>
      <c r="E349" s="27" t="s">
        <v>59</v>
      </c>
      <c r="F349" s="27" t="s">
        <v>1373</v>
      </c>
      <c r="G349" s="27" t="s">
        <v>1396</v>
      </c>
      <c r="H349" s="27" t="s">
        <v>59</v>
      </c>
      <c r="I349" s="27" t="s">
        <v>143</v>
      </c>
      <c r="J349" s="27" t="s">
        <v>144</v>
      </c>
      <c r="K349" s="39" t="s">
        <v>464</v>
      </c>
      <c r="L349" s="41" t="s">
        <v>325</v>
      </c>
      <c r="M349" s="27"/>
      <c r="N349" s="27"/>
      <c r="O349" s="28" t="s">
        <v>2276</v>
      </c>
    </row>
    <row r="350" spans="1:15" ht="15" customHeight="1" x14ac:dyDescent="0.3">
      <c r="A350" s="31">
        <v>46023</v>
      </c>
      <c r="B350" s="27" t="s">
        <v>53</v>
      </c>
      <c r="C350" s="27" t="s">
        <v>1545</v>
      </c>
      <c r="D350" s="27" t="s">
        <v>1544</v>
      </c>
      <c r="E350" s="27" t="s">
        <v>59</v>
      </c>
      <c r="F350" s="27" t="s">
        <v>1373</v>
      </c>
      <c r="G350" s="27" t="s">
        <v>1396</v>
      </c>
      <c r="H350" s="27" t="s">
        <v>59</v>
      </c>
      <c r="I350" s="27" t="s">
        <v>116</v>
      </c>
      <c r="J350" s="27" t="s">
        <v>144</v>
      </c>
      <c r="K350" s="39" t="s">
        <v>464</v>
      </c>
      <c r="L350" s="41" t="s">
        <v>325</v>
      </c>
      <c r="M350" s="27"/>
      <c r="N350" s="27"/>
      <c r="O350" s="28" t="s">
        <v>2276</v>
      </c>
    </row>
    <row r="351" spans="1:15" ht="15" customHeight="1" x14ac:dyDescent="0.3">
      <c r="A351" s="31">
        <v>46023</v>
      </c>
      <c r="B351" s="27" t="s">
        <v>53</v>
      </c>
      <c r="C351" s="27" t="s">
        <v>1546</v>
      </c>
      <c r="D351" s="27" t="s">
        <v>1547</v>
      </c>
      <c r="E351" s="27" t="s">
        <v>1548</v>
      </c>
      <c r="F351" s="27" t="s">
        <v>1373</v>
      </c>
      <c r="G351" s="27" t="s">
        <v>1549</v>
      </c>
      <c r="H351" s="27" t="s">
        <v>59</v>
      </c>
      <c r="I351" s="27" t="s">
        <v>143</v>
      </c>
      <c r="J351" s="27" t="s">
        <v>144</v>
      </c>
      <c r="K351" s="39" t="s">
        <v>464</v>
      </c>
      <c r="L351" s="41" t="s">
        <v>325</v>
      </c>
      <c r="M351" s="27"/>
      <c r="N351" s="27"/>
      <c r="O351" s="28" t="s">
        <v>2276</v>
      </c>
    </row>
    <row r="352" spans="1:15" ht="15" customHeight="1" x14ac:dyDescent="0.3">
      <c r="A352" s="31">
        <v>46023</v>
      </c>
      <c r="B352" s="27" t="s">
        <v>53</v>
      </c>
      <c r="C352" s="27" t="s">
        <v>1550</v>
      </c>
      <c r="D352" s="27" t="s">
        <v>1547</v>
      </c>
      <c r="E352" s="27" t="s">
        <v>1551</v>
      </c>
      <c r="F352" s="27" t="s">
        <v>1373</v>
      </c>
      <c r="G352" s="27" t="s">
        <v>1549</v>
      </c>
      <c r="H352" s="27" t="s">
        <v>59</v>
      </c>
      <c r="I352" s="27" t="s">
        <v>143</v>
      </c>
      <c r="J352" s="27" t="s">
        <v>144</v>
      </c>
      <c r="K352" s="39" t="s">
        <v>464</v>
      </c>
      <c r="L352" s="41" t="s">
        <v>325</v>
      </c>
      <c r="M352" s="27"/>
      <c r="N352" s="27"/>
      <c r="O352" s="28" t="s">
        <v>2276</v>
      </c>
    </row>
    <row r="353" spans="1:15" ht="15" customHeight="1" x14ac:dyDescent="0.3">
      <c r="A353" s="31">
        <v>46023</v>
      </c>
      <c r="B353" s="27" t="s">
        <v>53</v>
      </c>
      <c r="C353" s="27" t="s">
        <v>1552</v>
      </c>
      <c r="D353" s="27" t="s">
        <v>1553</v>
      </c>
      <c r="E353" s="27" t="s">
        <v>1551</v>
      </c>
      <c r="F353" s="27" t="s">
        <v>1373</v>
      </c>
      <c r="G353" s="27" t="s">
        <v>1549</v>
      </c>
      <c r="H353" s="27" t="s">
        <v>59</v>
      </c>
      <c r="I353" s="27" t="s">
        <v>143</v>
      </c>
      <c r="J353" s="27" t="s">
        <v>144</v>
      </c>
      <c r="K353" s="39" t="s">
        <v>464</v>
      </c>
      <c r="L353" s="41" t="s">
        <v>325</v>
      </c>
      <c r="M353" s="27"/>
      <c r="N353" s="27"/>
      <c r="O353" s="28" t="s">
        <v>2276</v>
      </c>
    </row>
    <row r="354" spans="1:15" ht="15" customHeight="1" x14ac:dyDescent="0.3">
      <c r="A354" s="31">
        <v>46023</v>
      </c>
      <c r="B354" s="27" t="s">
        <v>53</v>
      </c>
      <c r="C354" s="27" t="s">
        <v>1554</v>
      </c>
      <c r="D354" s="27" t="s">
        <v>1555</v>
      </c>
      <c r="E354" s="27" t="s">
        <v>1551</v>
      </c>
      <c r="F354" s="27" t="s">
        <v>1373</v>
      </c>
      <c r="G354" s="27" t="s">
        <v>1549</v>
      </c>
      <c r="H354" s="27" t="s">
        <v>59</v>
      </c>
      <c r="I354" s="27" t="s">
        <v>143</v>
      </c>
      <c r="J354" s="27" t="s">
        <v>144</v>
      </c>
      <c r="K354" s="39" t="s">
        <v>464</v>
      </c>
      <c r="L354" s="41" t="s">
        <v>325</v>
      </c>
      <c r="M354" s="27"/>
      <c r="N354" s="27"/>
      <c r="O354" s="28" t="s">
        <v>2276</v>
      </c>
    </row>
    <row r="355" spans="1:15" ht="15" customHeight="1" x14ac:dyDescent="0.3">
      <c r="A355" s="31">
        <v>46023</v>
      </c>
      <c r="B355" s="27" t="s">
        <v>53</v>
      </c>
      <c r="C355" s="27" t="s">
        <v>1556</v>
      </c>
      <c r="D355" s="27" t="s">
        <v>1557</v>
      </c>
      <c r="E355" s="27" t="s">
        <v>1551</v>
      </c>
      <c r="F355" s="27" t="s">
        <v>1373</v>
      </c>
      <c r="G355" s="27" t="s">
        <v>1549</v>
      </c>
      <c r="H355" s="27" t="s">
        <v>59</v>
      </c>
      <c r="I355" s="27" t="s">
        <v>143</v>
      </c>
      <c r="J355" s="27" t="s">
        <v>144</v>
      </c>
      <c r="K355" s="39" t="s">
        <v>464</v>
      </c>
      <c r="L355" s="41" t="s">
        <v>325</v>
      </c>
      <c r="M355" s="27"/>
      <c r="N355" s="27"/>
      <c r="O355" s="28" t="s">
        <v>2276</v>
      </c>
    </row>
    <row r="356" spans="1:15" ht="15" customHeight="1" x14ac:dyDescent="0.3">
      <c r="A356" s="31">
        <v>46023</v>
      </c>
      <c r="B356" s="27" t="s">
        <v>53</v>
      </c>
      <c r="C356" s="27" t="s">
        <v>1558</v>
      </c>
      <c r="D356" s="27" t="s">
        <v>1559</v>
      </c>
      <c r="E356" s="27" t="s">
        <v>1551</v>
      </c>
      <c r="F356" s="27" t="s">
        <v>1373</v>
      </c>
      <c r="G356" s="27" t="s">
        <v>1549</v>
      </c>
      <c r="H356" s="27" t="s">
        <v>59</v>
      </c>
      <c r="I356" s="27" t="s">
        <v>143</v>
      </c>
      <c r="J356" s="27" t="s">
        <v>144</v>
      </c>
      <c r="K356" s="39" t="s">
        <v>464</v>
      </c>
      <c r="L356" s="41" t="s">
        <v>325</v>
      </c>
      <c r="M356" s="27"/>
      <c r="N356" s="27"/>
      <c r="O356" s="28" t="s">
        <v>2276</v>
      </c>
    </row>
    <row r="357" spans="1:15" ht="15" customHeight="1" x14ac:dyDescent="0.3">
      <c r="A357" s="31">
        <v>46023</v>
      </c>
      <c r="B357" s="27" t="s">
        <v>53</v>
      </c>
      <c r="C357" s="27" t="s">
        <v>1560</v>
      </c>
      <c r="D357" s="27" t="s">
        <v>1561</v>
      </c>
      <c r="E357" s="27" t="s">
        <v>1562</v>
      </c>
      <c r="F357" s="27" t="s">
        <v>1373</v>
      </c>
      <c r="G357" s="27" t="s">
        <v>1374</v>
      </c>
      <c r="H357" s="27" t="s">
        <v>59</v>
      </c>
      <c r="I357" s="27" t="s">
        <v>143</v>
      </c>
      <c r="J357" s="27" t="s">
        <v>144</v>
      </c>
      <c r="K357" s="39" t="s">
        <v>464</v>
      </c>
      <c r="L357" s="41" t="s">
        <v>325</v>
      </c>
      <c r="M357" s="27"/>
      <c r="N357" s="27"/>
      <c r="O357" s="28" t="s">
        <v>2276</v>
      </c>
    </row>
    <row r="358" spans="1:15" ht="15" customHeight="1" x14ac:dyDescent="0.3">
      <c r="A358" s="31">
        <v>46023</v>
      </c>
      <c r="B358" s="27" t="s">
        <v>53</v>
      </c>
      <c r="C358" s="27" t="s">
        <v>1563</v>
      </c>
      <c r="D358" s="27" t="s">
        <v>1564</v>
      </c>
      <c r="E358" s="27" t="s">
        <v>1565</v>
      </c>
      <c r="F358" s="27" t="s">
        <v>1373</v>
      </c>
      <c r="G358" s="27" t="s">
        <v>1374</v>
      </c>
      <c r="H358" s="27" t="s">
        <v>59</v>
      </c>
      <c r="I358" s="27" t="s">
        <v>143</v>
      </c>
      <c r="J358" s="27" t="s">
        <v>144</v>
      </c>
      <c r="K358" s="39" t="s">
        <v>464</v>
      </c>
      <c r="L358" s="41" t="s">
        <v>325</v>
      </c>
      <c r="M358" s="27"/>
      <c r="N358" s="27"/>
      <c r="O358" s="28" t="s">
        <v>2276</v>
      </c>
    </row>
    <row r="359" spans="1:15" ht="15" customHeight="1" x14ac:dyDescent="0.3">
      <c r="A359" s="31">
        <v>46023</v>
      </c>
      <c r="B359" s="27" t="s">
        <v>53</v>
      </c>
      <c r="C359" s="27" t="s">
        <v>1566</v>
      </c>
      <c r="D359" s="27" t="s">
        <v>1564</v>
      </c>
      <c r="E359" s="27" t="s">
        <v>1567</v>
      </c>
      <c r="F359" s="27" t="s">
        <v>1373</v>
      </c>
      <c r="G359" s="27" t="s">
        <v>1374</v>
      </c>
      <c r="H359" s="27" t="s">
        <v>59</v>
      </c>
      <c r="I359" s="27" t="s">
        <v>143</v>
      </c>
      <c r="J359" s="27" t="s">
        <v>144</v>
      </c>
      <c r="K359" s="39" t="s">
        <v>464</v>
      </c>
      <c r="L359" s="41" t="s">
        <v>325</v>
      </c>
      <c r="M359" s="27"/>
      <c r="N359" s="27"/>
      <c r="O359" s="28" t="s">
        <v>2276</v>
      </c>
    </row>
    <row r="360" spans="1:15" ht="15" customHeight="1" x14ac:dyDescent="0.3">
      <c r="A360" s="31">
        <v>46023</v>
      </c>
      <c r="B360" s="27" t="s">
        <v>53</v>
      </c>
      <c r="C360" s="27" t="s">
        <v>1568</v>
      </c>
      <c r="D360" s="27" t="s">
        <v>1569</v>
      </c>
      <c r="E360" s="27" t="s">
        <v>1570</v>
      </c>
      <c r="F360" s="27" t="s">
        <v>1373</v>
      </c>
      <c r="G360" s="27" t="s">
        <v>1374</v>
      </c>
      <c r="H360" s="27" t="s">
        <v>59</v>
      </c>
      <c r="I360" s="27" t="s">
        <v>143</v>
      </c>
      <c r="J360" s="27" t="s">
        <v>144</v>
      </c>
      <c r="K360" s="39" t="s">
        <v>464</v>
      </c>
      <c r="L360" s="41" t="s">
        <v>325</v>
      </c>
      <c r="M360" s="27"/>
      <c r="N360" s="27"/>
      <c r="O360" s="28" t="s">
        <v>2276</v>
      </c>
    </row>
    <row r="361" spans="1:15" ht="15" customHeight="1" x14ac:dyDescent="0.3">
      <c r="A361" s="31">
        <v>46023</v>
      </c>
      <c r="B361" s="27" t="s">
        <v>53</v>
      </c>
      <c r="C361" s="27" t="s">
        <v>1571</v>
      </c>
      <c r="D361" s="27" t="s">
        <v>1572</v>
      </c>
      <c r="E361" s="27" t="s">
        <v>59</v>
      </c>
      <c r="F361" s="27" t="s">
        <v>1373</v>
      </c>
      <c r="G361" s="27" t="s">
        <v>1374</v>
      </c>
      <c r="H361" s="27" t="s">
        <v>59</v>
      </c>
      <c r="I361" s="27" t="s">
        <v>143</v>
      </c>
      <c r="J361" s="27" t="s">
        <v>144</v>
      </c>
      <c r="K361" s="39" t="s">
        <v>464</v>
      </c>
      <c r="L361" s="41" t="s">
        <v>325</v>
      </c>
      <c r="M361" s="27"/>
      <c r="N361" s="27"/>
      <c r="O361" s="28" t="s">
        <v>2276</v>
      </c>
    </row>
    <row r="362" spans="1:15" ht="15" customHeight="1" x14ac:dyDescent="0.3">
      <c r="A362" s="31">
        <v>46023</v>
      </c>
      <c r="B362" s="27" t="s">
        <v>53</v>
      </c>
      <c r="C362" s="27" t="s">
        <v>1573</v>
      </c>
      <c r="D362" s="27" t="s">
        <v>1574</v>
      </c>
      <c r="E362" s="27" t="s">
        <v>59</v>
      </c>
      <c r="F362" s="27" t="s">
        <v>1373</v>
      </c>
      <c r="G362" s="27" t="s">
        <v>1374</v>
      </c>
      <c r="H362" s="27" t="s">
        <v>59</v>
      </c>
      <c r="I362" s="27" t="s">
        <v>143</v>
      </c>
      <c r="J362" s="27" t="s">
        <v>144</v>
      </c>
      <c r="K362" s="39" t="s">
        <v>464</v>
      </c>
      <c r="L362" s="41" t="s">
        <v>325</v>
      </c>
      <c r="M362" s="27"/>
      <c r="N362" s="27"/>
      <c r="O362" s="28" t="s">
        <v>2276</v>
      </c>
    </row>
    <row r="363" spans="1:15" ht="15" customHeight="1" x14ac:dyDescent="0.3">
      <c r="A363" s="31">
        <v>46023</v>
      </c>
      <c r="B363" s="27" t="s">
        <v>53</v>
      </c>
      <c r="C363" s="27" t="s">
        <v>1575</v>
      </c>
      <c r="D363" s="27" t="s">
        <v>1576</v>
      </c>
      <c r="E363" s="27" t="s">
        <v>59</v>
      </c>
      <c r="F363" s="27" t="s">
        <v>1373</v>
      </c>
      <c r="G363" s="27" t="s">
        <v>1374</v>
      </c>
      <c r="H363" s="27" t="s">
        <v>59</v>
      </c>
      <c r="I363" s="27" t="s">
        <v>143</v>
      </c>
      <c r="J363" s="27" t="s">
        <v>144</v>
      </c>
      <c r="K363" s="39" t="s">
        <v>464</v>
      </c>
      <c r="L363" s="41" t="s">
        <v>325</v>
      </c>
      <c r="M363" s="27"/>
      <c r="N363" s="27"/>
      <c r="O363" s="28" t="s">
        <v>2276</v>
      </c>
    </row>
    <row r="364" spans="1:15" ht="15" customHeight="1" x14ac:dyDescent="0.3">
      <c r="A364" s="31">
        <v>46023</v>
      </c>
      <c r="B364" s="27" t="s">
        <v>53</v>
      </c>
      <c r="C364" s="27" t="s">
        <v>1577</v>
      </c>
      <c r="D364" s="27" t="s">
        <v>1578</v>
      </c>
      <c r="E364" s="27" t="s">
        <v>59</v>
      </c>
      <c r="F364" s="27" t="s">
        <v>1373</v>
      </c>
      <c r="G364" s="27" t="s">
        <v>587</v>
      </c>
      <c r="H364" s="27" t="s">
        <v>59</v>
      </c>
      <c r="I364" s="27" t="s">
        <v>143</v>
      </c>
      <c r="J364" s="27" t="s">
        <v>144</v>
      </c>
      <c r="K364" s="39" t="s">
        <v>464</v>
      </c>
      <c r="L364" s="41" t="s">
        <v>325</v>
      </c>
      <c r="M364" s="27"/>
      <c r="N364" s="27"/>
      <c r="O364" s="28" t="s">
        <v>2276</v>
      </c>
    </row>
    <row r="365" spans="1:15" ht="15" customHeight="1" x14ac:dyDescent="0.3">
      <c r="A365" s="31">
        <v>46023</v>
      </c>
      <c r="B365" s="27" t="s">
        <v>53</v>
      </c>
      <c r="C365" s="27" t="s">
        <v>1579</v>
      </c>
      <c r="D365" s="27" t="s">
        <v>1580</v>
      </c>
      <c r="E365" s="27" t="s">
        <v>1581</v>
      </c>
      <c r="F365" s="27" t="s">
        <v>1373</v>
      </c>
      <c r="G365" s="27" t="s">
        <v>1374</v>
      </c>
      <c r="H365" s="27" t="s">
        <v>59</v>
      </c>
      <c r="I365" s="27" t="s">
        <v>143</v>
      </c>
      <c r="J365" s="27" t="s">
        <v>144</v>
      </c>
      <c r="K365" s="39" t="s">
        <v>464</v>
      </c>
      <c r="L365" s="41" t="s">
        <v>325</v>
      </c>
      <c r="M365" s="27"/>
      <c r="N365" s="27"/>
      <c r="O365" s="28" t="s">
        <v>2276</v>
      </c>
    </row>
    <row r="366" spans="1:15" ht="15" customHeight="1" x14ac:dyDescent="0.3">
      <c r="A366" s="31">
        <v>46023</v>
      </c>
      <c r="B366" s="27" t="s">
        <v>53</v>
      </c>
      <c r="C366" s="27" t="s">
        <v>1582</v>
      </c>
      <c r="D366" s="27" t="s">
        <v>1583</v>
      </c>
      <c r="E366" s="27" t="s">
        <v>1581</v>
      </c>
      <c r="F366" s="27" t="s">
        <v>1373</v>
      </c>
      <c r="G366" s="27" t="s">
        <v>1374</v>
      </c>
      <c r="H366" s="27" t="s">
        <v>59</v>
      </c>
      <c r="I366" s="27" t="s">
        <v>143</v>
      </c>
      <c r="J366" s="27" t="s">
        <v>144</v>
      </c>
      <c r="K366" s="39" t="s">
        <v>464</v>
      </c>
      <c r="L366" s="41" t="s">
        <v>325</v>
      </c>
      <c r="M366" s="27"/>
      <c r="N366" s="27"/>
      <c r="O366" s="28" t="s">
        <v>2276</v>
      </c>
    </row>
    <row r="367" spans="1:15" ht="15" customHeight="1" x14ac:dyDescent="0.3">
      <c r="A367" s="31">
        <v>46023</v>
      </c>
      <c r="B367" s="27" t="s">
        <v>53</v>
      </c>
      <c r="C367" s="27" t="s">
        <v>1584</v>
      </c>
      <c r="D367" s="27" t="s">
        <v>1585</v>
      </c>
      <c r="E367" s="27" t="s">
        <v>59</v>
      </c>
      <c r="F367" s="27" t="s">
        <v>1373</v>
      </c>
      <c r="G367" s="27" t="s">
        <v>1374</v>
      </c>
      <c r="H367" s="27" t="s">
        <v>59</v>
      </c>
      <c r="I367" s="27" t="s">
        <v>143</v>
      </c>
      <c r="J367" s="27" t="s">
        <v>144</v>
      </c>
      <c r="K367" s="39" t="s">
        <v>1586</v>
      </c>
      <c r="L367" s="41" t="s">
        <v>325</v>
      </c>
      <c r="M367" s="27"/>
      <c r="N367" s="27"/>
      <c r="O367" s="28" t="s">
        <v>2276</v>
      </c>
    </row>
    <row r="368" spans="1:15" ht="15" customHeight="1" x14ac:dyDescent="0.3">
      <c r="A368" s="31">
        <v>46023</v>
      </c>
      <c r="B368" s="27" t="s">
        <v>53</v>
      </c>
      <c r="C368" s="27" t="s">
        <v>1587</v>
      </c>
      <c r="D368" s="27" t="s">
        <v>1588</v>
      </c>
      <c r="E368" s="27" t="s">
        <v>59</v>
      </c>
      <c r="F368" s="27" t="s">
        <v>1373</v>
      </c>
      <c r="G368" s="27" t="s">
        <v>1374</v>
      </c>
      <c r="H368" s="27" t="s">
        <v>59</v>
      </c>
      <c r="I368" s="27" t="s">
        <v>143</v>
      </c>
      <c r="J368" s="27" t="s">
        <v>144</v>
      </c>
      <c r="K368" s="39" t="s">
        <v>1586</v>
      </c>
      <c r="L368" s="41" t="s">
        <v>325</v>
      </c>
      <c r="M368" s="27"/>
      <c r="N368" s="27"/>
      <c r="O368" s="28" t="s">
        <v>2276</v>
      </c>
    </row>
    <row r="369" spans="1:15" ht="15" customHeight="1" x14ac:dyDescent="0.3">
      <c r="A369" s="31">
        <v>46023</v>
      </c>
      <c r="B369" s="27" t="s">
        <v>53</v>
      </c>
      <c r="C369" s="27" t="s">
        <v>1589</v>
      </c>
      <c r="D369" s="27" t="s">
        <v>1590</v>
      </c>
      <c r="E369" s="27" t="s">
        <v>59</v>
      </c>
      <c r="F369" s="27" t="s">
        <v>1373</v>
      </c>
      <c r="G369" s="27" t="s">
        <v>1374</v>
      </c>
      <c r="H369" s="27" t="s">
        <v>59</v>
      </c>
      <c r="I369" s="27" t="s">
        <v>143</v>
      </c>
      <c r="J369" s="27" t="s">
        <v>144</v>
      </c>
      <c r="K369" s="39" t="s">
        <v>1586</v>
      </c>
      <c r="L369" s="41" t="s">
        <v>325</v>
      </c>
      <c r="M369" s="27"/>
      <c r="N369" s="27"/>
      <c r="O369" s="28" t="s">
        <v>2276</v>
      </c>
    </row>
    <row r="370" spans="1:15" ht="15" customHeight="1" x14ac:dyDescent="0.3">
      <c r="A370" s="31">
        <v>46023</v>
      </c>
      <c r="B370" s="27" t="s">
        <v>53</v>
      </c>
      <c r="C370" s="27" t="s">
        <v>1591</v>
      </c>
      <c r="D370" s="27" t="s">
        <v>1592</v>
      </c>
      <c r="E370" s="27" t="s">
        <v>59</v>
      </c>
      <c r="F370" s="27" t="s">
        <v>1373</v>
      </c>
      <c r="G370" s="27" t="s">
        <v>1374</v>
      </c>
      <c r="H370" s="27" t="s">
        <v>59</v>
      </c>
      <c r="I370" s="27" t="s">
        <v>143</v>
      </c>
      <c r="J370" s="27" t="s">
        <v>144</v>
      </c>
      <c r="K370" s="39" t="s">
        <v>1586</v>
      </c>
      <c r="L370" s="41" t="s">
        <v>325</v>
      </c>
      <c r="M370" s="27"/>
      <c r="N370" s="27"/>
      <c r="O370" s="28" t="s">
        <v>2276</v>
      </c>
    </row>
    <row r="371" spans="1:15" ht="15" customHeight="1" x14ac:dyDescent="0.3">
      <c r="A371" s="31">
        <v>46023</v>
      </c>
      <c r="B371" s="27" t="s">
        <v>53</v>
      </c>
      <c r="C371" s="27" t="s">
        <v>1593</v>
      </c>
      <c r="D371" s="27" t="s">
        <v>1594</v>
      </c>
      <c r="E371" s="27" t="s">
        <v>1595</v>
      </c>
      <c r="F371" s="27" t="s">
        <v>1373</v>
      </c>
      <c r="G371" s="27" t="s">
        <v>1374</v>
      </c>
      <c r="H371" s="27" t="s">
        <v>59</v>
      </c>
      <c r="I371" s="27" t="s">
        <v>143</v>
      </c>
      <c r="J371" s="27" t="s">
        <v>144</v>
      </c>
      <c r="K371" s="39" t="s">
        <v>1586</v>
      </c>
      <c r="L371" s="41" t="s">
        <v>325</v>
      </c>
      <c r="M371" s="27"/>
      <c r="N371" s="27"/>
      <c r="O371" s="28" t="s">
        <v>2276</v>
      </c>
    </row>
    <row r="372" spans="1:15" ht="15" customHeight="1" x14ac:dyDescent="0.3">
      <c r="A372" s="31">
        <v>46023</v>
      </c>
      <c r="B372" s="27" t="s">
        <v>53</v>
      </c>
      <c r="C372" s="27" t="s">
        <v>1596</v>
      </c>
      <c r="D372" s="27" t="s">
        <v>1597</v>
      </c>
      <c r="E372" s="27" t="s">
        <v>1595</v>
      </c>
      <c r="F372" s="27" t="s">
        <v>1373</v>
      </c>
      <c r="G372" s="27" t="s">
        <v>1374</v>
      </c>
      <c r="H372" s="27" t="s">
        <v>59</v>
      </c>
      <c r="I372" s="27" t="s">
        <v>143</v>
      </c>
      <c r="J372" s="27" t="s">
        <v>144</v>
      </c>
      <c r="K372" s="39" t="s">
        <v>1586</v>
      </c>
      <c r="L372" s="41" t="s">
        <v>325</v>
      </c>
      <c r="M372" s="27"/>
      <c r="N372" s="27"/>
      <c r="O372" s="28" t="s">
        <v>2276</v>
      </c>
    </row>
    <row r="373" spans="1:15" ht="15" customHeight="1" x14ac:dyDescent="0.3">
      <c r="A373" s="31">
        <v>46023</v>
      </c>
      <c r="B373" s="27" t="s">
        <v>53</v>
      </c>
      <c r="C373" s="27" t="s">
        <v>1598</v>
      </c>
      <c r="D373" s="27" t="s">
        <v>1599</v>
      </c>
      <c r="E373" s="27" t="s">
        <v>59</v>
      </c>
      <c r="F373" s="27" t="s">
        <v>1373</v>
      </c>
      <c r="G373" s="27" t="s">
        <v>1600</v>
      </c>
      <c r="H373" s="27" t="s">
        <v>59</v>
      </c>
      <c r="I373" s="27" t="s">
        <v>116</v>
      </c>
      <c r="J373" s="27" t="s">
        <v>144</v>
      </c>
      <c r="K373" s="39" t="s">
        <v>1601</v>
      </c>
      <c r="L373" s="41" t="s">
        <v>325</v>
      </c>
      <c r="M373" s="27"/>
      <c r="N373" s="27"/>
      <c r="O373" s="28" t="s">
        <v>2276</v>
      </c>
    </row>
    <row r="374" spans="1:15" ht="15" customHeight="1" x14ac:dyDescent="0.3">
      <c r="A374" s="31">
        <v>46023</v>
      </c>
      <c r="B374" s="27" t="s">
        <v>53</v>
      </c>
      <c r="C374" s="27" t="s">
        <v>1602</v>
      </c>
      <c r="D374" s="27" t="s">
        <v>1603</v>
      </c>
      <c r="E374" s="27" t="s">
        <v>1604</v>
      </c>
      <c r="F374" s="27" t="s">
        <v>1373</v>
      </c>
      <c r="G374" s="27" t="s">
        <v>1396</v>
      </c>
      <c r="H374" s="27" t="s">
        <v>59</v>
      </c>
      <c r="I374" s="27" t="s">
        <v>116</v>
      </c>
      <c r="J374" s="27" t="s">
        <v>650</v>
      </c>
      <c r="K374" s="39" t="s">
        <v>1601</v>
      </c>
      <c r="L374" s="41" t="s">
        <v>325</v>
      </c>
      <c r="M374" s="27"/>
      <c r="N374" s="27"/>
      <c r="O374" s="28" t="s">
        <v>2276</v>
      </c>
    </row>
    <row r="375" spans="1:15" ht="15" customHeight="1" x14ac:dyDescent="0.3">
      <c r="A375" s="31">
        <v>46023</v>
      </c>
      <c r="B375" s="27" t="s">
        <v>53</v>
      </c>
      <c r="C375" s="27" t="s">
        <v>1605</v>
      </c>
      <c r="D375" s="27" t="s">
        <v>1606</v>
      </c>
      <c r="E375" s="27" t="s">
        <v>1607</v>
      </c>
      <c r="F375" s="27" t="s">
        <v>1373</v>
      </c>
      <c r="G375" s="27" t="s">
        <v>1396</v>
      </c>
      <c r="H375" s="27" t="s">
        <v>59</v>
      </c>
      <c r="I375" s="27" t="s">
        <v>116</v>
      </c>
      <c r="J375" s="27" t="s">
        <v>144</v>
      </c>
      <c r="K375" s="39" t="s">
        <v>1601</v>
      </c>
      <c r="L375" s="41" t="s">
        <v>325</v>
      </c>
      <c r="M375" s="27"/>
      <c r="N375" s="27"/>
      <c r="O375" s="28" t="s">
        <v>2276</v>
      </c>
    </row>
    <row r="376" spans="1:15" ht="15" customHeight="1" x14ac:dyDescent="0.3">
      <c r="A376" s="31">
        <v>46023</v>
      </c>
      <c r="B376" s="27" t="s">
        <v>53</v>
      </c>
      <c r="C376" s="27" t="s">
        <v>1608</v>
      </c>
      <c r="D376" s="27" t="s">
        <v>1609</v>
      </c>
      <c r="E376" s="27" t="s">
        <v>59</v>
      </c>
      <c r="F376" s="27" t="s">
        <v>1373</v>
      </c>
      <c r="G376" s="27" t="s">
        <v>1396</v>
      </c>
      <c r="H376" s="27" t="s">
        <v>59</v>
      </c>
      <c r="I376" s="27" t="s">
        <v>116</v>
      </c>
      <c r="J376" s="27" t="s">
        <v>144</v>
      </c>
      <c r="K376" s="39" t="s">
        <v>1601</v>
      </c>
      <c r="L376" s="41" t="s">
        <v>325</v>
      </c>
      <c r="M376" s="27"/>
      <c r="N376" s="27"/>
      <c r="O376" s="28" t="s">
        <v>2276</v>
      </c>
    </row>
    <row r="377" spans="1:15" ht="15" customHeight="1" x14ac:dyDescent="0.3">
      <c r="A377" s="31">
        <v>46023</v>
      </c>
      <c r="B377" s="27" t="s">
        <v>53</v>
      </c>
      <c r="C377" s="27" t="s">
        <v>1610</v>
      </c>
      <c r="D377" s="27" t="s">
        <v>1611</v>
      </c>
      <c r="E377" s="27" t="s">
        <v>59</v>
      </c>
      <c r="F377" s="27" t="s">
        <v>1373</v>
      </c>
      <c r="G377" s="27" t="s">
        <v>1396</v>
      </c>
      <c r="H377" s="27" t="s">
        <v>59</v>
      </c>
      <c r="I377" s="27" t="s">
        <v>116</v>
      </c>
      <c r="J377" s="27" t="s">
        <v>650</v>
      </c>
      <c r="K377" s="39" t="s">
        <v>1601</v>
      </c>
      <c r="L377" s="41" t="s">
        <v>325</v>
      </c>
      <c r="M377" s="27"/>
      <c r="N377" s="27"/>
      <c r="O377" s="28" t="s">
        <v>2276</v>
      </c>
    </row>
    <row r="378" spans="1:15" ht="15" customHeight="1" x14ac:dyDescent="0.3">
      <c r="A378" s="31">
        <v>46023</v>
      </c>
      <c r="B378" s="27" t="s">
        <v>53</v>
      </c>
      <c r="C378" s="27" t="s">
        <v>1612</v>
      </c>
      <c r="D378" s="27" t="s">
        <v>1613</v>
      </c>
      <c r="E378" s="27" t="s">
        <v>59</v>
      </c>
      <c r="F378" s="27" t="s">
        <v>1373</v>
      </c>
      <c r="G378" s="27" t="s">
        <v>1396</v>
      </c>
      <c r="H378" s="27" t="s">
        <v>59</v>
      </c>
      <c r="I378" s="27" t="s">
        <v>116</v>
      </c>
      <c r="J378" s="27" t="s">
        <v>144</v>
      </c>
      <c r="K378" s="39" t="s">
        <v>1601</v>
      </c>
      <c r="L378" s="41" t="s">
        <v>325</v>
      </c>
      <c r="M378" s="27"/>
      <c r="N378" s="27"/>
      <c r="O378" s="28" t="s">
        <v>2276</v>
      </c>
    </row>
    <row r="379" spans="1:15" ht="15" customHeight="1" x14ac:dyDescent="0.3">
      <c r="A379" s="31">
        <v>46023</v>
      </c>
      <c r="B379" s="27" t="s">
        <v>53</v>
      </c>
      <c r="C379" s="27" t="s">
        <v>1614</v>
      </c>
      <c r="D379" s="27" t="s">
        <v>1615</v>
      </c>
      <c r="E379" s="27" t="s">
        <v>59</v>
      </c>
      <c r="F379" s="27" t="s">
        <v>1373</v>
      </c>
      <c r="G379" s="27" t="s">
        <v>1396</v>
      </c>
      <c r="H379" s="27" t="s">
        <v>59</v>
      </c>
      <c r="I379" s="27" t="s">
        <v>116</v>
      </c>
      <c r="J379" s="27" t="s">
        <v>144</v>
      </c>
      <c r="K379" s="39" t="s">
        <v>1601</v>
      </c>
      <c r="L379" s="41" t="s">
        <v>325</v>
      </c>
      <c r="M379" s="27"/>
      <c r="N379" s="27"/>
      <c r="O379" s="28" t="s">
        <v>2276</v>
      </c>
    </row>
    <row r="380" spans="1:15" ht="15" customHeight="1" x14ac:dyDescent="0.3">
      <c r="A380" s="31">
        <v>46023</v>
      </c>
      <c r="B380" s="27" t="s">
        <v>53</v>
      </c>
      <c r="C380" s="27" t="s">
        <v>1616</v>
      </c>
      <c r="D380" s="27" t="s">
        <v>1617</v>
      </c>
      <c r="E380" s="27" t="s">
        <v>1618</v>
      </c>
      <c r="F380" s="27" t="s">
        <v>1373</v>
      </c>
      <c r="G380" s="27" t="s">
        <v>1396</v>
      </c>
      <c r="H380" s="27" t="s">
        <v>59</v>
      </c>
      <c r="I380" s="27" t="s">
        <v>143</v>
      </c>
      <c r="J380" s="27" t="s">
        <v>144</v>
      </c>
      <c r="K380" s="39" t="s">
        <v>1601</v>
      </c>
      <c r="L380" s="41" t="s">
        <v>325</v>
      </c>
      <c r="M380" s="27"/>
      <c r="N380" s="27"/>
      <c r="O380" s="28" t="s">
        <v>2276</v>
      </c>
    </row>
    <row r="381" spans="1:15" ht="15" customHeight="1" x14ac:dyDescent="0.3">
      <c r="A381" s="31">
        <v>46023</v>
      </c>
      <c r="B381" s="27" t="s">
        <v>53</v>
      </c>
      <c r="C381" s="27" t="s">
        <v>1619</v>
      </c>
      <c r="D381" s="27" t="s">
        <v>1620</v>
      </c>
      <c r="E381" s="27" t="s">
        <v>1416</v>
      </c>
      <c r="F381" s="27" t="s">
        <v>1373</v>
      </c>
      <c r="G381" s="27" t="s">
        <v>1396</v>
      </c>
      <c r="H381" s="27" t="s">
        <v>59</v>
      </c>
      <c r="I381" s="27" t="s">
        <v>116</v>
      </c>
      <c r="J381" s="27" t="s">
        <v>144</v>
      </c>
      <c r="K381" s="39" t="s">
        <v>1601</v>
      </c>
      <c r="L381" s="41" t="s">
        <v>325</v>
      </c>
      <c r="M381" s="27"/>
      <c r="N381" s="27"/>
      <c r="O381" s="28" t="s">
        <v>2276</v>
      </c>
    </row>
    <row r="382" spans="1:15" ht="15" customHeight="1" x14ac:dyDescent="0.3">
      <c r="A382" s="31">
        <v>46023</v>
      </c>
      <c r="B382" s="27" t="s">
        <v>53</v>
      </c>
      <c r="C382" s="27" t="s">
        <v>1621</v>
      </c>
      <c r="D382" s="27" t="s">
        <v>1622</v>
      </c>
      <c r="E382" s="27" t="s">
        <v>1623</v>
      </c>
      <c r="F382" s="27" t="s">
        <v>1373</v>
      </c>
      <c r="G382" s="27" t="s">
        <v>587</v>
      </c>
      <c r="H382" s="27" t="s">
        <v>59</v>
      </c>
      <c r="I382" s="27" t="s">
        <v>116</v>
      </c>
      <c r="J382" s="27" t="s">
        <v>144</v>
      </c>
      <c r="K382" s="39" t="s">
        <v>145</v>
      </c>
      <c r="L382" s="41" t="s">
        <v>325</v>
      </c>
      <c r="M382" s="27"/>
      <c r="N382" s="27"/>
      <c r="O382" s="28" t="s">
        <v>2276</v>
      </c>
    </row>
    <row r="383" spans="1:15" ht="15" customHeight="1" x14ac:dyDescent="0.3">
      <c r="A383" s="31">
        <v>46023</v>
      </c>
      <c r="B383" s="27" t="s">
        <v>53</v>
      </c>
      <c r="C383" s="27" t="s">
        <v>1624</v>
      </c>
      <c r="D383" s="27" t="s">
        <v>1625</v>
      </c>
      <c r="E383" s="27" t="s">
        <v>59</v>
      </c>
      <c r="F383" s="27" t="s">
        <v>1373</v>
      </c>
      <c r="G383" s="27" t="s">
        <v>1374</v>
      </c>
      <c r="H383" s="27" t="s">
        <v>59</v>
      </c>
      <c r="I383" s="27" t="s">
        <v>143</v>
      </c>
      <c r="J383" s="27" t="s">
        <v>61</v>
      </c>
      <c r="K383" s="39" t="s">
        <v>145</v>
      </c>
      <c r="L383" s="41" t="s">
        <v>325</v>
      </c>
      <c r="M383" s="27"/>
      <c r="N383" s="27"/>
      <c r="O383" s="28" t="s">
        <v>2276</v>
      </c>
    </row>
    <row r="384" spans="1:15" ht="15" customHeight="1" x14ac:dyDescent="0.3">
      <c r="A384" s="31">
        <v>46023</v>
      </c>
      <c r="B384" s="27" t="s">
        <v>53</v>
      </c>
      <c r="C384" s="27" t="s">
        <v>1626</v>
      </c>
      <c r="D384" s="27" t="s">
        <v>1627</v>
      </c>
      <c r="E384" s="27" t="s">
        <v>1628</v>
      </c>
      <c r="F384" s="27" t="s">
        <v>1373</v>
      </c>
      <c r="G384" s="27" t="s">
        <v>1374</v>
      </c>
      <c r="H384" s="27" t="s">
        <v>59</v>
      </c>
      <c r="I384" s="27" t="s">
        <v>116</v>
      </c>
      <c r="J384" s="27" t="s">
        <v>144</v>
      </c>
      <c r="K384" s="39" t="s">
        <v>145</v>
      </c>
      <c r="L384" s="41" t="s">
        <v>309</v>
      </c>
      <c r="M384" s="27"/>
      <c r="N384" s="27"/>
      <c r="O384" s="28" t="s">
        <v>2276</v>
      </c>
    </row>
    <row r="385" spans="1:15" ht="15" customHeight="1" x14ac:dyDescent="0.3">
      <c r="A385" s="31">
        <v>46023</v>
      </c>
      <c r="B385" s="27" t="s">
        <v>53</v>
      </c>
      <c r="C385" s="27" t="s">
        <v>1629</v>
      </c>
      <c r="D385" s="27" t="s">
        <v>1630</v>
      </c>
      <c r="E385" s="27" t="s">
        <v>59</v>
      </c>
      <c r="F385" s="27" t="s">
        <v>1373</v>
      </c>
      <c r="G385" s="27" t="s">
        <v>1631</v>
      </c>
      <c r="H385" s="27" t="s">
        <v>59</v>
      </c>
      <c r="I385" s="27" t="s">
        <v>116</v>
      </c>
      <c r="J385" s="27" t="s">
        <v>144</v>
      </c>
      <c r="K385" s="39" t="s">
        <v>145</v>
      </c>
      <c r="L385" s="41" t="s">
        <v>1632</v>
      </c>
      <c r="M385" s="27"/>
      <c r="N385" s="27"/>
      <c r="O385" s="28" t="s">
        <v>2276</v>
      </c>
    </row>
    <row r="386" spans="1:15" ht="15" customHeight="1" x14ac:dyDescent="0.3">
      <c r="A386" s="31">
        <v>46023</v>
      </c>
      <c r="B386" s="27" t="s">
        <v>53</v>
      </c>
      <c r="C386" s="27" t="s">
        <v>1633</v>
      </c>
      <c r="D386" s="27" t="s">
        <v>1634</v>
      </c>
      <c r="E386" s="27" t="s">
        <v>1635</v>
      </c>
      <c r="F386" s="27" t="s">
        <v>1373</v>
      </c>
      <c r="G386" s="27" t="s">
        <v>1374</v>
      </c>
      <c r="H386" s="27" t="s">
        <v>59</v>
      </c>
      <c r="I386" s="27" t="s">
        <v>116</v>
      </c>
      <c r="J386" s="27" t="s">
        <v>144</v>
      </c>
      <c r="K386" s="39" t="s">
        <v>145</v>
      </c>
      <c r="L386" s="41" t="s">
        <v>309</v>
      </c>
      <c r="M386" s="27"/>
      <c r="N386" s="27"/>
      <c r="O386" s="28" t="s">
        <v>2276</v>
      </c>
    </row>
    <row r="387" spans="1:15" ht="15" customHeight="1" x14ac:dyDescent="0.3">
      <c r="A387" s="31">
        <v>46023</v>
      </c>
      <c r="B387" s="27" t="s">
        <v>53</v>
      </c>
      <c r="C387" s="27" t="s">
        <v>1636</v>
      </c>
      <c r="D387" s="27" t="s">
        <v>1637</v>
      </c>
      <c r="E387" s="27" t="s">
        <v>1635</v>
      </c>
      <c r="F387" s="27" t="s">
        <v>1373</v>
      </c>
      <c r="G387" s="27" t="s">
        <v>1374</v>
      </c>
      <c r="H387" s="27" t="s">
        <v>59</v>
      </c>
      <c r="I387" s="27" t="s">
        <v>116</v>
      </c>
      <c r="J387" s="27" t="s">
        <v>144</v>
      </c>
      <c r="K387" s="39" t="s">
        <v>145</v>
      </c>
      <c r="L387" s="41" t="s">
        <v>309</v>
      </c>
      <c r="M387" s="27"/>
      <c r="N387" s="27"/>
      <c r="O387" s="28" t="s">
        <v>2276</v>
      </c>
    </row>
    <row r="388" spans="1:15" ht="15" customHeight="1" x14ac:dyDescent="0.3">
      <c r="A388" s="31">
        <v>46023</v>
      </c>
      <c r="B388" s="27" t="s">
        <v>53</v>
      </c>
      <c r="C388" s="27" t="s">
        <v>1638</v>
      </c>
      <c r="D388" s="27" t="s">
        <v>1639</v>
      </c>
      <c r="E388" s="27" t="s">
        <v>1640</v>
      </c>
      <c r="F388" s="27" t="s">
        <v>1373</v>
      </c>
      <c r="G388" s="27" t="s">
        <v>1374</v>
      </c>
      <c r="H388" s="27" t="s">
        <v>59</v>
      </c>
      <c r="I388" s="27" t="s">
        <v>143</v>
      </c>
      <c r="J388" s="27" t="s">
        <v>144</v>
      </c>
      <c r="K388" s="39" t="s">
        <v>145</v>
      </c>
      <c r="L388" s="41" t="s">
        <v>309</v>
      </c>
      <c r="M388" s="27"/>
      <c r="N388" s="27"/>
      <c r="O388" s="28" t="s">
        <v>2276</v>
      </c>
    </row>
    <row r="389" spans="1:15" ht="15" customHeight="1" x14ac:dyDescent="0.3">
      <c r="A389" s="31">
        <v>46023</v>
      </c>
      <c r="B389" s="27" t="s">
        <v>53</v>
      </c>
      <c r="C389" s="27" t="s">
        <v>1641</v>
      </c>
      <c r="D389" s="27" t="s">
        <v>1642</v>
      </c>
      <c r="E389" s="27" t="s">
        <v>1643</v>
      </c>
      <c r="F389" s="27" t="s">
        <v>1373</v>
      </c>
      <c r="G389" s="27" t="s">
        <v>1374</v>
      </c>
      <c r="H389" s="27" t="s">
        <v>59</v>
      </c>
      <c r="I389" s="27" t="s">
        <v>116</v>
      </c>
      <c r="J389" s="27" t="s">
        <v>144</v>
      </c>
      <c r="K389" s="39" t="s">
        <v>145</v>
      </c>
      <c r="L389" s="41" t="s">
        <v>309</v>
      </c>
      <c r="M389" s="27"/>
      <c r="N389" s="27"/>
      <c r="O389" s="28" t="s">
        <v>2276</v>
      </c>
    </row>
    <row r="390" spans="1:15" ht="15" customHeight="1" x14ac:dyDescent="0.3">
      <c r="A390" s="31">
        <v>46023</v>
      </c>
      <c r="B390" s="27" t="s">
        <v>53</v>
      </c>
      <c r="C390" s="27" t="s">
        <v>1644</v>
      </c>
      <c r="D390" s="27" t="s">
        <v>1645</v>
      </c>
      <c r="E390" s="27" t="s">
        <v>1646</v>
      </c>
      <c r="F390" s="27" t="s">
        <v>1373</v>
      </c>
      <c r="G390" s="27" t="s">
        <v>1374</v>
      </c>
      <c r="H390" s="27" t="s">
        <v>59</v>
      </c>
      <c r="I390" s="27" t="s">
        <v>143</v>
      </c>
      <c r="J390" s="27" t="s">
        <v>258</v>
      </c>
      <c r="K390" s="39" t="s">
        <v>1647</v>
      </c>
      <c r="L390" s="41" t="s">
        <v>309</v>
      </c>
      <c r="M390" s="27"/>
      <c r="N390" s="27"/>
      <c r="O390" s="28" t="s">
        <v>2276</v>
      </c>
    </row>
    <row r="391" spans="1:15" ht="15" customHeight="1" x14ac:dyDescent="0.3">
      <c r="A391" s="31">
        <v>46023</v>
      </c>
      <c r="B391" s="27" t="s">
        <v>53</v>
      </c>
      <c r="C391" s="27" t="s">
        <v>1648</v>
      </c>
      <c r="D391" s="27" t="s">
        <v>1649</v>
      </c>
      <c r="E391" s="27" t="s">
        <v>59</v>
      </c>
      <c r="F391" s="27" t="s">
        <v>1373</v>
      </c>
      <c r="G391" s="27" t="s">
        <v>1374</v>
      </c>
      <c r="H391" s="27" t="s">
        <v>59</v>
      </c>
      <c r="I391" s="27" t="s">
        <v>143</v>
      </c>
      <c r="J391" s="27" t="s">
        <v>228</v>
      </c>
      <c r="K391" s="39" t="s">
        <v>1647</v>
      </c>
      <c r="L391" s="41" t="s">
        <v>309</v>
      </c>
      <c r="M391" s="27"/>
      <c r="N391" s="27"/>
      <c r="O391" s="28" t="s">
        <v>2276</v>
      </c>
    </row>
    <row r="392" spans="1:15" ht="15" customHeight="1" x14ac:dyDescent="0.3">
      <c r="A392" s="31">
        <v>46023</v>
      </c>
      <c r="B392" s="27" t="s">
        <v>53</v>
      </c>
      <c r="C392" s="27" t="s">
        <v>1650</v>
      </c>
      <c r="D392" s="27" t="s">
        <v>1651</v>
      </c>
      <c r="E392" s="27" t="s">
        <v>59</v>
      </c>
      <c r="F392" s="27" t="s">
        <v>1373</v>
      </c>
      <c r="G392" s="27" t="s">
        <v>1374</v>
      </c>
      <c r="H392" s="27" t="s">
        <v>59</v>
      </c>
      <c r="I392" s="27" t="s">
        <v>143</v>
      </c>
      <c r="J392" s="27" t="s">
        <v>228</v>
      </c>
      <c r="K392" s="39" t="s">
        <v>1647</v>
      </c>
      <c r="L392" s="41" t="s">
        <v>309</v>
      </c>
      <c r="M392" s="27"/>
      <c r="N392" s="27"/>
      <c r="O392" s="28" t="s">
        <v>2276</v>
      </c>
    </row>
    <row r="393" spans="1:15" ht="15" customHeight="1" x14ac:dyDescent="0.3">
      <c r="A393" s="31">
        <v>46023</v>
      </c>
      <c r="B393" s="27" t="s">
        <v>53</v>
      </c>
      <c r="C393" s="27" t="s">
        <v>1652</v>
      </c>
      <c r="D393" s="27" t="s">
        <v>1653</v>
      </c>
      <c r="E393" s="27" t="s">
        <v>59</v>
      </c>
      <c r="F393" s="27" t="s">
        <v>1373</v>
      </c>
      <c r="G393" s="27" t="s">
        <v>1374</v>
      </c>
      <c r="H393" s="27" t="s">
        <v>59</v>
      </c>
      <c r="I393" s="27" t="s">
        <v>143</v>
      </c>
      <c r="J393" s="27" t="s">
        <v>144</v>
      </c>
      <c r="K393" s="39" t="s">
        <v>1647</v>
      </c>
      <c r="L393" s="41" t="s">
        <v>309</v>
      </c>
      <c r="M393" s="27"/>
      <c r="N393" s="27"/>
      <c r="O393" s="28" t="s">
        <v>2276</v>
      </c>
    </row>
    <row r="394" spans="1:15" ht="15" customHeight="1" x14ac:dyDescent="0.3">
      <c r="A394" s="31">
        <v>46023</v>
      </c>
      <c r="B394" s="27" t="s">
        <v>53</v>
      </c>
      <c r="C394" s="27" t="s">
        <v>1654</v>
      </c>
      <c r="D394" s="27" t="s">
        <v>1655</v>
      </c>
      <c r="E394" s="27" t="s">
        <v>59</v>
      </c>
      <c r="F394" s="27" t="s">
        <v>1373</v>
      </c>
      <c r="G394" s="27" t="s">
        <v>587</v>
      </c>
      <c r="H394" s="27" t="s">
        <v>59</v>
      </c>
      <c r="I394" s="27" t="s">
        <v>143</v>
      </c>
      <c r="J394" s="27" t="s">
        <v>144</v>
      </c>
      <c r="K394" s="39" t="s">
        <v>1647</v>
      </c>
      <c r="L394" s="41" t="s">
        <v>309</v>
      </c>
      <c r="M394" s="27"/>
      <c r="N394" s="27"/>
      <c r="O394" s="28" t="s">
        <v>2276</v>
      </c>
    </row>
    <row r="395" spans="1:15" ht="15" customHeight="1" x14ac:dyDescent="0.3">
      <c r="A395" s="31">
        <v>46023</v>
      </c>
      <c r="B395" s="27" t="s">
        <v>53</v>
      </c>
      <c r="C395" s="27" t="s">
        <v>1656</v>
      </c>
      <c r="D395" s="27" t="s">
        <v>1657</v>
      </c>
      <c r="E395" s="27" t="s">
        <v>59</v>
      </c>
      <c r="F395" s="27" t="s">
        <v>1373</v>
      </c>
      <c r="G395" s="27" t="s">
        <v>587</v>
      </c>
      <c r="H395" s="27" t="s">
        <v>59</v>
      </c>
      <c r="I395" s="27" t="s">
        <v>143</v>
      </c>
      <c r="J395" s="27" t="s">
        <v>144</v>
      </c>
      <c r="K395" s="39" t="s">
        <v>1647</v>
      </c>
      <c r="L395" s="41" t="s">
        <v>309</v>
      </c>
      <c r="M395" s="27"/>
      <c r="N395" s="27"/>
      <c r="O395" s="28" t="s">
        <v>2276</v>
      </c>
    </row>
    <row r="396" spans="1:15" ht="15" customHeight="1" x14ac:dyDescent="0.3">
      <c r="A396" s="31">
        <v>46023</v>
      </c>
      <c r="B396" s="27" t="s">
        <v>53</v>
      </c>
      <c r="C396" s="27" t="s">
        <v>1658</v>
      </c>
      <c r="D396" s="27" t="s">
        <v>1659</v>
      </c>
      <c r="E396" s="27" t="s">
        <v>59</v>
      </c>
      <c r="F396" s="27" t="s">
        <v>1373</v>
      </c>
      <c r="G396" s="27" t="s">
        <v>587</v>
      </c>
      <c r="H396" s="27" t="s">
        <v>59</v>
      </c>
      <c r="I396" s="27" t="s">
        <v>143</v>
      </c>
      <c r="J396" s="27" t="s">
        <v>106</v>
      </c>
      <c r="K396" s="39" t="s">
        <v>1647</v>
      </c>
      <c r="L396" s="41" t="s">
        <v>309</v>
      </c>
      <c r="M396" s="27"/>
      <c r="N396" s="27"/>
      <c r="O396" s="28" t="s">
        <v>2276</v>
      </c>
    </row>
    <row r="397" spans="1:15" ht="15" customHeight="1" x14ac:dyDescent="0.3">
      <c r="A397" s="31">
        <v>46023</v>
      </c>
      <c r="B397" s="27" t="s">
        <v>53</v>
      </c>
      <c r="C397" s="27" t="s">
        <v>1660</v>
      </c>
      <c r="D397" s="27" t="s">
        <v>1661</v>
      </c>
      <c r="E397" s="27" t="s">
        <v>59</v>
      </c>
      <c r="F397" s="27" t="s">
        <v>1373</v>
      </c>
      <c r="G397" s="27" t="s">
        <v>587</v>
      </c>
      <c r="H397" s="27" t="s">
        <v>59</v>
      </c>
      <c r="I397" s="27" t="s">
        <v>143</v>
      </c>
      <c r="J397" s="27" t="s">
        <v>1662</v>
      </c>
      <c r="K397" s="39" t="s">
        <v>1647</v>
      </c>
      <c r="L397" s="41" t="s">
        <v>309</v>
      </c>
      <c r="M397" s="27"/>
      <c r="N397" s="27"/>
      <c r="O397" s="28" t="s">
        <v>2276</v>
      </c>
    </row>
    <row r="398" spans="1:15" ht="15" customHeight="1" x14ac:dyDescent="0.3">
      <c r="A398" s="31">
        <v>46023</v>
      </c>
      <c r="B398" s="27" t="s">
        <v>53</v>
      </c>
      <c r="C398" s="27" t="s">
        <v>1663</v>
      </c>
      <c r="D398" s="27" t="s">
        <v>1664</v>
      </c>
      <c r="E398" s="27" t="s">
        <v>347</v>
      </c>
      <c r="F398" s="27" t="s">
        <v>1373</v>
      </c>
      <c r="G398" s="27" t="s">
        <v>587</v>
      </c>
      <c r="H398" s="27" t="s">
        <v>59</v>
      </c>
      <c r="I398" s="27" t="s">
        <v>143</v>
      </c>
      <c r="J398" s="27" t="s">
        <v>144</v>
      </c>
      <c r="K398" s="39" t="s">
        <v>1647</v>
      </c>
      <c r="L398" s="41" t="s">
        <v>309</v>
      </c>
      <c r="M398" s="27"/>
      <c r="N398" s="27"/>
      <c r="O398" s="28" t="s">
        <v>2276</v>
      </c>
    </row>
    <row r="399" spans="1:15" ht="15" customHeight="1" x14ac:dyDescent="0.3">
      <c r="A399" s="31">
        <v>46023</v>
      </c>
      <c r="B399" s="27" t="s">
        <v>53</v>
      </c>
      <c r="C399" s="27" t="s">
        <v>1665</v>
      </c>
      <c r="D399" s="27" t="s">
        <v>1666</v>
      </c>
      <c r="E399" s="27" t="s">
        <v>1667</v>
      </c>
      <c r="F399" s="27" t="s">
        <v>1373</v>
      </c>
      <c r="G399" s="27" t="s">
        <v>1631</v>
      </c>
      <c r="H399" s="27" t="s">
        <v>59</v>
      </c>
      <c r="I399" s="27" t="s">
        <v>143</v>
      </c>
      <c r="J399" s="27" t="s">
        <v>144</v>
      </c>
      <c r="K399" s="39" t="s">
        <v>1647</v>
      </c>
      <c r="L399" s="41" t="s">
        <v>309</v>
      </c>
      <c r="M399" s="27"/>
      <c r="N399" s="27"/>
      <c r="O399" s="28" t="s">
        <v>2276</v>
      </c>
    </row>
    <row r="400" spans="1:15" ht="15" customHeight="1" x14ac:dyDescent="0.3">
      <c r="A400" s="31">
        <v>46023</v>
      </c>
      <c r="B400" s="27" t="s">
        <v>53</v>
      </c>
      <c r="C400" s="27" t="s">
        <v>1668</v>
      </c>
      <c r="D400" s="27" t="s">
        <v>1666</v>
      </c>
      <c r="E400" s="27" t="s">
        <v>1669</v>
      </c>
      <c r="F400" s="27" t="s">
        <v>1373</v>
      </c>
      <c r="G400" s="27" t="s">
        <v>1631</v>
      </c>
      <c r="H400" s="27" t="s">
        <v>59</v>
      </c>
      <c r="I400" s="27" t="s">
        <v>143</v>
      </c>
      <c r="J400" s="27" t="s">
        <v>144</v>
      </c>
      <c r="K400" s="39" t="s">
        <v>1647</v>
      </c>
      <c r="L400" s="41" t="s">
        <v>309</v>
      </c>
      <c r="M400" s="27"/>
      <c r="N400" s="27"/>
      <c r="O400" s="28" t="s">
        <v>2276</v>
      </c>
    </row>
    <row r="401" spans="1:15" ht="15" customHeight="1" x14ac:dyDescent="0.3">
      <c r="A401" s="31">
        <v>46023</v>
      </c>
      <c r="B401" s="27" t="s">
        <v>53</v>
      </c>
      <c r="C401" s="27" t="s">
        <v>1670</v>
      </c>
      <c r="D401" s="27" t="s">
        <v>1671</v>
      </c>
      <c r="E401" s="27" t="s">
        <v>347</v>
      </c>
      <c r="F401" s="27" t="s">
        <v>1373</v>
      </c>
      <c r="G401" s="27" t="s">
        <v>587</v>
      </c>
      <c r="H401" s="27" t="s">
        <v>59</v>
      </c>
      <c r="I401" s="27" t="s">
        <v>143</v>
      </c>
      <c r="J401" s="27" t="s">
        <v>144</v>
      </c>
      <c r="K401" s="39" t="s">
        <v>1647</v>
      </c>
      <c r="L401" s="41" t="s">
        <v>309</v>
      </c>
      <c r="M401" s="27"/>
      <c r="N401" s="27"/>
      <c r="O401" s="28" t="s">
        <v>2276</v>
      </c>
    </row>
    <row r="402" spans="1:15" ht="15" customHeight="1" x14ac:dyDescent="0.3">
      <c r="A402" s="31">
        <v>46023</v>
      </c>
      <c r="B402" s="27" t="s">
        <v>53</v>
      </c>
      <c r="C402" s="27" t="s">
        <v>1672</v>
      </c>
      <c r="D402" s="27" t="s">
        <v>1673</v>
      </c>
      <c r="E402" s="27" t="s">
        <v>347</v>
      </c>
      <c r="F402" s="27" t="s">
        <v>1373</v>
      </c>
      <c r="G402" s="27" t="s">
        <v>1374</v>
      </c>
      <c r="H402" s="27" t="s">
        <v>59</v>
      </c>
      <c r="I402" s="27" t="s">
        <v>116</v>
      </c>
      <c r="J402" s="27" t="s">
        <v>144</v>
      </c>
      <c r="K402" s="39" t="s">
        <v>1647</v>
      </c>
      <c r="L402" s="41" t="s">
        <v>309</v>
      </c>
      <c r="M402" s="27"/>
      <c r="N402" s="27"/>
      <c r="O402" s="28" t="s">
        <v>2276</v>
      </c>
    </row>
    <row r="403" spans="1:15" ht="15" customHeight="1" x14ac:dyDescent="0.3">
      <c r="A403" s="31">
        <v>46023</v>
      </c>
      <c r="B403" s="27" t="s">
        <v>53</v>
      </c>
      <c r="C403" s="27" t="s">
        <v>1674</v>
      </c>
      <c r="D403" s="27" t="s">
        <v>1675</v>
      </c>
      <c r="E403" s="27" t="s">
        <v>347</v>
      </c>
      <c r="F403" s="27" t="s">
        <v>1373</v>
      </c>
      <c r="G403" s="27" t="s">
        <v>1374</v>
      </c>
      <c r="H403" s="27" t="s">
        <v>59</v>
      </c>
      <c r="I403" s="27" t="s">
        <v>116</v>
      </c>
      <c r="J403" s="27" t="s">
        <v>144</v>
      </c>
      <c r="K403" s="39" t="s">
        <v>1647</v>
      </c>
      <c r="L403" s="41" t="s">
        <v>309</v>
      </c>
      <c r="M403" s="27"/>
      <c r="N403" s="27"/>
      <c r="O403" s="28" t="s">
        <v>2276</v>
      </c>
    </row>
    <row r="404" spans="1:15" ht="15" customHeight="1" x14ac:dyDescent="0.3">
      <c r="A404" s="31">
        <v>46023</v>
      </c>
      <c r="B404" s="27" t="s">
        <v>53</v>
      </c>
      <c r="C404" s="27" t="s">
        <v>1676</v>
      </c>
      <c r="D404" s="27" t="s">
        <v>1677</v>
      </c>
      <c r="E404" s="27" t="s">
        <v>1678</v>
      </c>
      <c r="F404" s="27" t="s">
        <v>1373</v>
      </c>
      <c r="G404" s="27" t="s">
        <v>587</v>
      </c>
      <c r="H404" s="27" t="s">
        <v>59</v>
      </c>
      <c r="I404" s="27" t="s">
        <v>143</v>
      </c>
      <c r="J404" s="27" t="s">
        <v>144</v>
      </c>
      <c r="K404" s="39" t="s">
        <v>1647</v>
      </c>
      <c r="L404" s="41" t="s">
        <v>1632</v>
      </c>
      <c r="M404" s="27"/>
      <c r="N404" s="27"/>
      <c r="O404" s="28" t="s">
        <v>2276</v>
      </c>
    </row>
    <row r="405" spans="1:15" ht="15" customHeight="1" x14ac:dyDescent="0.3">
      <c r="A405" s="31">
        <v>46023</v>
      </c>
      <c r="B405" s="27" t="s">
        <v>53</v>
      </c>
      <c r="C405" s="27" t="s">
        <v>1679</v>
      </c>
      <c r="D405" s="27" t="s">
        <v>1680</v>
      </c>
      <c r="E405" s="27" t="s">
        <v>1678</v>
      </c>
      <c r="F405" s="27" t="s">
        <v>1373</v>
      </c>
      <c r="G405" s="27" t="s">
        <v>587</v>
      </c>
      <c r="H405" s="27" t="s">
        <v>59</v>
      </c>
      <c r="I405" s="27" t="s">
        <v>143</v>
      </c>
      <c r="J405" s="27" t="s">
        <v>144</v>
      </c>
      <c r="K405" s="39" t="s">
        <v>1647</v>
      </c>
      <c r="L405" s="41" t="s">
        <v>1632</v>
      </c>
      <c r="M405" s="27"/>
      <c r="N405" s="27"/>
      <c r="O405" s="28" t="s">
        <v>2276</v>
      </c>
    </row>
    <row r="406" spans="1:15" ht="15" customHeight="1" x14ac:dyDescent="0.3">
      <c r="A406" s="31">
        <v>46023</v>
      </c>
      <c r="B406" s="27" t="s">
        <v>53</v>
      </c>
      <c r="C406" s="27" t="s">
        <v>1681</v>
      </c>
      <c r="D406" s="27" t="s">
        <v>1682</v>
      </c>
      <c r="E406" s="27" t="s">
        <v>59</v>
      </c>
      <c r="F406" s="27" t="s">
        <v>1373</v>
      </c>
      <c r="G406" s="27" t="s">
        <v>587</v>
      </c>
      <c r="H406" s="27" t="s">
        <v>59</v>
      </c>
      <c r="I406" s="27" t="s">
        <v>143</v>
      </c>
      <c r="J406" s="27" t="s">
        <v>144</v>
      </c>
      <c r="K406" s="39" t="s">
        <v>1647</v>
      </c>
      <c r="L406" s="41" t="s">
        <v>1632</v>
      </c>
      <c r="M406" s="27"/>
      <c r="N406" s="27"/>
      <c r="O406" s="28" t="s">
        <v>2276</v>
      </c>
    </row>
    <row r="407" spans="1:15" ht="15" customHeight="1" x14ac:dyDescent="0.3">
      <c r="A407" s="31">
        <v>46023</v>
      </c>
      <c r="B407" s="27" t="s">
        <v>53</v>
      </c>
      <c r="C407" s="27" t="s">
        <v>1683</v>
      </c>
      <c r="D407" s="27" t="s">
        <v>1684</v>
      </c>
      <c r="E407" s="27" t="s">
        <v>1623</v>
      </c>
      <c r="F407" s="27" t="s">
        <v>1373</v>
      </c>
      <c r="G407" s="27" t="s">
        <v>587</v>
      </c>
      <c r="H407" s="27" t="s">
        <v>59</v>
      </c>
      <c r="I407" s="27" t="s">
        <v>116</v>
      </c>
      <c r="J407" s="27" t="s">
        <v>144</v>
      </c>
      <c r="K407" s="39" t="s">
        <v>1685</v>
      </c>
      <c r="L407" s="41" t="s">
        <v>1632</v>
      </c>
      <c r="M407" s="27"/>
      <c r="N407" s="27"/>
      <c r="O407" s="28" t="s">
        <v>2276</v>
      </c>
    </row>
    <row r="408" spans="1:15" ht="15" customHeight="1" x14ac:dyDescent="0.3">
      <c r="A408" s="31">
        <v>46023</v>
      </c>
      <c r="B408" s="27" t="s">
        <v>53</v>
      </c>
      <c r="C408" s="27" t="s">
        <v>1686</v>
      </c>
      <c r="D408" s="27" t="s">
        <v>1687</v>
      </c>
      <c r="E408" s="27" t="s">
        <v>1688</v>
      </c>
      <c r="F408" s="27" t="s">
        <v>1373</v>
      </c>
      <c r="G408" s="27" t="s">
        <v>587</v>
      </c>
      <c r="H408" s="27" t="s">
        <v>59</v>
      </c>
      <c r="I408" s="27" t="s">
        <v>143</v>
      </c>
      <c r="J408" s="27" t="s">
        <v>144</v>
      </c>
      <c r="K408" s="39" t="s">
        <v>1685</v>
      </c>
      <c r="L408" s="41" t="s">
        <v>1632</v>
      </c>
      <c r="M408" s="27"/>
      <c r="N408" s="27"/>
      <c r="O408" s="28" t="s">
        <v>2276</v>
      </c>
    </row>
    <row r="409" spans="1:15" ht="15" customHeight="1" x14ac:dyDescent="0.3">
      <c r="A409" s="31">
        <v>46023</v>
      </c>
      <c r="B409" s="27" t="s">
        <v>53</v>
      </c>
      <c r="C409" s="27" t="s">
        <v>1689</v>
      </c>
      <c r="D409" s="27" t="s">
        <v>1690</v>
      </c>
      <c r="E409" s="27" t="s">
        <v>1691</v>
      </c>
      <c r="F409" s="27" t="s">
        <v>1373</v>
      </c>
      <c r="G409" s="27" t="s">
        <v>587</v>
      </c>
      <c r="H409" s="27" t="s">
        <v>59</v>
      </c>
      <c r="I409" s="27" t="s">
        <v>143</v>
      </c>
      <c r="J409" s="27" t="s">
        <v>144</v>
      </c>
      <c r="K409" s="39" t="s">
        <v>1685</v>
      </c>
      <c r="L409" s="41" t="s">
        <v>1632</v>
      </c>
      <c r="M409" s="27"/>
      <c r="N409" s="27"/>
      <c r="O409" s="28" t="s">
        <v>2276</v>
      </c>
    </row>
    <row r="410" spans="1:15" ht="15" customHeight="1" x14ac:dyDescent="0.3">
      <c r="A410" s="31">
        <v>46023</v>
      </c>
      <c r="B410" s="27" t="s">
        <v>53</v>
      </c>
      <c r="C410" s="27" t="s">
        <v>1692</v>
      </c>
      <c r="D410" s="27" t="s">
        <v>1693</v>
      </c>
      <c r="E410" s="27" t="s">
        <v>1623</v>
      </c>
      <c r="F410" s="27" t="s">
        <v>1373</v>
      </c>
      <c r="G410" s="27" t="s">
        <v>587</v>
      </c>
      <c r="H410" s="27" t="s">
        <v>59</v>
      </c>
      <c r="I410" s="27" t="s">
        <v>143</v>
      </c>
      <c r="J410" s="27" t="s">
        <v>144</v>
      </c>
      <c r="K410" s="39" t="s">
        <v>1685</v>
      </c>
      <c r="L410" s="41" t="s">
        <v>1632</v>
      </c>
      <c r="M410" s="27"/>
      <c r="N410" s="27"/>
      <c r="O410" s="28" t="s">
        <v>2276</v>
      </c>
    </row>
    <row r="411" spans="1:15" ht="15" customHeight="1" x14ac:dyDescent="0.3">
      <c r="A411" s="31">
        <v>46023</v>
      </c>
      <c r="B411" s="27" t="s">
        <v>53</v>
      </c>
      <c r="C411" s="27" t="s">
        <v>1694</v>
      </c>
      <c r="D411" s="27" t="s">
        <v>1695</v>
      </c>
      <c r="E411" s="27" t="s">
        <v>1623</v>
      </c>
      <c r="F411" s="27" t="s">
        <v>1373</v>
      </c>
      <c r="G411" s="27" t="s">
        <v>587</v>
      </c>
      <c r="H411" s="27" t="s">
        <v>59</v>
      </c>
      <c r="I411" s="27" t="s">
        <v>143</v>
      </c>
      <c r="J411" s="27" t="s">
        <v>144</v>
      </c>
      <c r="K411" s="39" t="s">
        <v>1685</v>
      </c>
      <c r="L411" s="41" t="s">
        <v>1632</v>
      </c>
      <c r="M411" s="27"/>
      <c r="N411" s="27"/>
      <c r="O411" s="28" t="s">
        <v>2276</v>
      </c>
    </row>
    <row r="412" spans="1:15" ht="15" customHeight="1" x14ac:dyDescent="0.3">
      <c r="A412" s="31">
        <v>46023</v>
      </c>
      <c r="B412" s="27" t="s">
        <v>53</v>
      </c>
      <c r="C412" s="27" t="s">
        <v>1696</v>
      </c>
      <c r="D412" s="27" t="s">
        <v>1697</v>
      </c>
      <c r="E412" s="27" t="s">
        <v>1623</v>
      </c>
      <c r="F412" s="27" t="s">
        <v>1373</v>
      </c>
      <c r="G412" s="27" t="s">
        <v>587</v>
      </c>
      <c r="H412" s="27" t="s">
        <v>59</v>
      </c>
      <c r="I412" s="27" t="s">
        <v>143</v>
      </c>
      <c r="J412" s="27" t="s">
        <v>144</v>
      </c>
      <c r="K412" s="39" t="s">
        <v>1685</v>
      </c>
      <c r="L412" s="41" t="s">
        <v>1632</v>
      </c>
      <c r="M412" s="27"/>
      <c r="N412" s="27"/>
      <c r="O412" s="28" t="s">
        <v>2276</v>
      </c>
    </row>
    <row r="413" spans="1:15" ht="15" customHeight="1" x14ac:dyDescent="0.3">
      <c r="A413" s="31">
        <v>46023</v>
      </c>
      <c r="B413" s="27" t="s">
        <v>53</v>
      </c>
      <c r="C413" s="27" t="s">
        <v>1698</v>
      </c>
      <c r="D413" s="27" t="s">
        <v>1699</v>
      </c>
      <c r="E413" s="27" t="s">
        <v>1700</v>
      </c>
      <c r="F413" s="27" t="s">
        <v>1373</v>
      </c>
      <c r="G413" s="27" t="s">
        <v>1631</v>
      </c>
      <c r="H413" s="27" t="s">
        <v>59</v>
      </c>
      <c r="I413" s="27" t="s">
        <v>143</v>
      </c>
      <c r="J413" s="27" t="s">
        <v>144</v>
      </c>
      <c r="K413" s="39" t="s">
        <v>1685</v>
      </c>
      <c r="L413" s="41" t="s">
        <v>1632</v>
      </c>
      <c r="M413" s="27"/>
      <c r="N413" s="27"/>
      <c r="O413" s="28" t="s">
        <v>2276</v>
      </c>
    </row>
    <row r="414" spans="1:15" ht="15" customHeight="1" x14ac:dyDescent="0.3">
      <c r="A414" s="31">
        <v>46023</v>
      </c>
      <c r="B414" s="27" t="s">
        <v>53</v>
      </c>
      <c r="C414" s="27" t="s">
        <v>1701</v>
      </c>
      <c r="D414" s="27" t="s">
        <v>1702</v>
      </c>
      <c r="E414" s="27" t="s">
        <v>59</v>
      </c>
      <c r="F414" s="27" t="s">
        <v>1373</v>
      </c>
      <c r="G414" s="27" t="s">
        <v>1374</v>
      </c>
      <c r="H414" s="27" t="s">
        <v>59</v>
      </c>
      <c r="I414" s="27" t="s">
        <v>143</v>
      </c>
      <c r="J414" s="27" t="s">
        <v>144</v>
      </c>
      <c r="K414" s="39" t="s">
        <v>1685</v>
      </c>
      <c r="L414" s="41" t="s">
        <v>1632</v>
      </c>
      <c r="M414" s="27"/>
      <c r="N414" s="27"/>
      <c r="O414" s="28" t="s">
        <v>2276</v>
      </c>
    </row>
    <row r="415" spans="1:15" ht="15" customHeight="1" x14ac:dyDescent="0.3">
      <c r="A415" s="31">
        <v>46023</v>
      </c>
      <c r="B415" s="27" t="s">
        <v>53</v>
      </c>
      <c r="C415" s="27" t="s">
        <v>1703</v>
      </c>
      <c r="D415" s="27" t="s">
        <v>1704</v>
      </c>
      <c r="E415" s="27" t="s">
        <v>59</v>
      </c>
      <c r="F415" s="27" t="s">
        <v>1373</v>
      </c>
      <c r="G415" s="27" t="s">
        <v>587</v>
      </c>
      <c r="H415" s="27" t="s">
        <v>59</v>
      </c>
      <c r="I415" s="27" t="s">
        <v>143</v>
      </c>
      <c r="J415" s="27" t="s">
        <v>144</v>
      </c>
      <c r="K415" s="39" t="s">
        <v>1685</v>
      </c>
      <c r="L415" s="41" t="s">
        <v>1632</v>
      </c>
      <c r="M415" s="27"/>
      <c r="N415" s="27"/>
      <c r="O415" s="28" t="s">
        <v>2276</v>
      </c>
    </row>
    <row r="416" spans="1:15" ht="15" customHeight="1" x14ac:dyDescent="0.3">
      <c r="A416" s="31">
        <v>46023</v>
      </c>
      <c r="B416" s="27" t="s">
        <v>53</v>
      </c>
      <c r="C416" s="27" t="s">
        <v>1705</v>
      </c>
      <c r="D416" s="27" t="s">
        <v>1706</v>
      </c>
      <c r="E416" s="27" t="s">
        <v>1707</v>
      </c>
      <c r="F416" s="27" t="s">
        <v>1373</v>
      </c>
      <c r="G416" s="27" t="s">
        <v>587</v>
      </c>
      <c r="H416" s="27" t="s">
        <v>59</v>
      </c>
      <c r="I416" s="27" t="s">
        <v>143</v>
      </c>
      <c r="J416" s="27" t="s">
        <v>144</v>
      </c>
      <c r="K416" s="39" t="s">
        <v>1685</v>
      </c>
      <c r="L416" s="41" t="s">
        <v>1632</v>
      </c>
      <c r="M416" s="27"/>
      <c r="N416" s="27"/>
      <c r="O416" s="28" t="s">
        <v>2276</v>
      </c>
    </row>
    <row r="417" spans="1:15" ht="15" customHeight="1" x14ac:dyDescent="0.3">
      <c r="A417" s="31">
        <v>46023</v>
      </c>
      <c r="B417" s="27" t="s">
        <v>53</v>
      </c>
      <c r="C417" s="27" t="s">
        <v>1708</v>
      </c>
      <c r="D417" s="27" t="s">
        <v>1709</v>
      </c>
      <c r="E417" s="27" t="s">
        <v>1707</v>
      </c>
      <c r="F417" s="27" t="s">
        <v>1373</v>
      </c>
      <c r="G417" s="27" t="s">
        <v>587</v>
      </c>
      <c r="H417" s="27" t="s">
        <v>59</v>
      </c>
      <c r="I417" s="27" t="s">
        <v>143</v>
      </c>
      <c r="J417" s="27" t="s">
        <v>144</v>
      </c>
      <c r="K417" s="39" t="s">
        <v>1685</v>
      </c>
      <c r="L417" s="41" t="s">
        <v>1632</v>
      </c>
      <c r="M417" s="27"/>
      <c r="N417" s="27"/>
      <c r="O417" s="28" t="s">
        <v>2276</v>
      </c>
    </row>
    <row r="418" spans="1:15" ht="15" customHeight="1" x14ac:dyDescent="0.3">
      <c r="A418" s="31">
        <v>46023</v>
      </c>
      <c r="B418" s="27" t="s">
        <v>53</v>
      </c>
      <c r="C418" s="27" t="s">
        <v>1710</v>
      </c>
      <c r="D418" s="27" t="s">
        <v>1711</v>
      </c>
      <c r="E418" s="27" t="s">
        <v>1712</v>
      </c>
      <c r="F418" s="27" t="s">
        <v>1373</v>
      </c>
      <c r="G418" s="27" t="s">
        <v>1513</v>
      </c>
      <c r="H418" s="27">
        <v>2411535985</v>
      </c>
      <c r="I418" s="27" t="s">
        <v>116</v>
      </c>
      <c r="J418" s="27" t="s">
        <v>61</v>
      </c>
      <c r="K418" s="39" t="s">
        <v>1713</v>
      </c>
      <c r="L418" s="41" t="s">
        <v>129</v>
      </c>
      <c r="M418" s="27"/>
      <c r="N418" s="27"/>
      <c r="O418" s="28" t="s">
        <v>2276</v>
      </c>
    </row>
    <row r="419" spans="1:15" ht="15" customHeight="1" x14ac:dyDescent="0.3">
      <c r="A419" s="31">
        <v>46023</v>
      </c>
      <c r="B419" s="27" t="s">
        <v>53</v>
      </c>
      <c r="C419" s="27" t="s">
        <v>1714</v>
      </c>
      <c r="D419" s="27" t="s">
        <v>1715</v>
      </c>
      <c r="E419" s="27" t="s">
        <v>1712</v>
      </c>
      <c r="F419" s="27" t="s">
        <v>1373</v>
      </c>
      <c r="G419" s="27" t="s">
        <v>1513</v>
      </c>
      <c r="H419" s="27">
        <v>2411435481</v>
      </c>
      <c r="I419" s="27" t="s">
        <v>116</v>
      </c>
      <c r="J419" s="27" t="s">
        <v>61</v>
      </c>
      <c r="K419" s="39" t="s">
        <v>1713</v>
      </c>
      <c r="L419" s="41" t="s">
        <v>129</v>
      </c>
      <c r="M419" s="27"/>
      <c r="N419" s="27"/>
      <c r="O419" s="28" t="s">
        <v>2276</v>
      </c>
    </row>
    <row r="420" spans="1:15" ht="15" customHeight="1" x14ac:dyDescent="0.3">
      <c r="A420" s="31">
        <v>46023</v>
      </c>
      <c r="B420" s="27" t="s">
        <v>53</v>
      </c>
      <c r="C420" s="27" t="s">
        <v>1716</v>
      </c>
      <c r="D420" s="27" t="s">
        <v>1715</v>
      </c>
      <c r="E420" s="27" t="s">
        <v>1712</v>
      </c>
      <c r="F420" s="27" t="s">
        <v>1373</v>
      </c>
      <c r="G420" s="27" t="s">
        <v>1513</v>
      </c>
      <c r="H420" s="27">
        <v>2401529171</v>
      </c>
      <c r="I420" s="27" t="s">
        <v>116</v>
      </c>
      <c r="J420" s="27" t="s">
        <v>61</v>
      </c>
      <c r="K420" s="39" t="s">
        <v>1713</v>
      </c>
      <c r="L420" s="41" t="s">
        <v>129</v>
      </c>
      <c r="M420" s="27"/>
      <c r="N420" s="27"/>
      <c r="O420" s="28" t="s">
        <v>2276</v>
      </c>
    </row>
    <row r="421" spans="1:15" ht="15" customHeight="1" x14ac:dyDescent="0.3">
      <c r="A421" s="31">
        <v>46023</v>
      </c>
      <c r="B421" s="27" t="s">
        <v>53</v>
      </c>
      <c r="C421" s="27" t="s">
        <v>1717</v>
      </c>
      <c r="D421" s="27" t="s">
        <v>1715</v>
      </c>
      <c r="E421" s="27" t="s">
        <v>1712</v>
      </c>
      <c r="F421" s="27" t="s">
        <v>1373</v>
      </c>
      <c r="G421" s="27" t="s">
        <v>1513</v>
      </c>
      <c r="H421" s="27">
        <v>2401528932</v>
      </c>
      <c r="I421" s="27" t="s">
        <v>116</v>
      </c>
      <c r="J421" s="27" t="s">
        <v>61</v>
      </c>
      <c r="K421" s="39" t="s">
        <v>1713</v>
      </c>
      <c r="L421" s="41" t="s">
        <v>129</v>
      </c>
      <c r="M421" s="27"/>
      <c r="N421" s="27"/>
      <c r="O421" s="28" t="s">
        <v>2276</v>
      </c>
    </row>
    <row r="422" spans="1:15" ht="15" customHeight="1" x14ac:dyDescent="0.3">
      <c r="A422" s="31">
        <v>46023</v>
      </c>
      <c r="B422" s="27" t="s">
        <v>53</v>
      </c>
      <c r="C422" s="27" t="s">
        <v>1718</v>
      </c>
      <c r="D422" s="27" t="s">
        <v>1719</v>
      </c>
      <c r="E422" s="27" t="s">
        <v>1720</v>
      </c>
      <c r="F422" s="27" t="s">
        <v>1373</v>
      </c>
      <c r="G422" s="27" t="s">
        <v>1513</v>
      </c>
      <c r="H422" s="27" t="s">
        <v>59</v>
      </c>
      <c r="I422" s="27" t="s">
        <v>116</v>
      </c>
      <c r="J422" s="27" t="s">
        <v>61</v>
      </c>
      <c r="K422" s="39" t="s">
        <v>1713</v>
      </c>
      <c r="L422" s="41" t="s">
        <v>129</v>
      </c>
      <c r="M422" s="27"/>
      <c r="N422" s="27"/>
      <c r="O422" s="28" t="s">
        <v>2276</v>
      </c>
    </row>
    <row r="423" spans="1:15" ht="15" customHeight="1" x14ac:dyDescent="0.3">
      <c r="A423" s="31">
        <v>46023</v>
      </c>
      <c r="B423" s="27" t="s">
        <v>53</v>
      </c>
      <c r="C423" s="27" t="s">
        <v>1721</v>
      </c>
      <c r="D423" s="27" t="s">
        <v>1719</v>
      </c>
      <c r="E423" s="27" t="s">
        <v>1722</v>
      </c>
      <c r="F423" s="27" t="s">
        <v>1373</v>
      </c>
      <c r="G423" s="27" t="s">
        <v>1513</v>
      </c>
      <c r="H423" s="27" t="s">
        <v>59</v>
      </c>
      <c r="I423" s="27" t="s">
        <v>468</v>
      </c>
      <c r="J423" s="27" t="s">
        <v>61</v>
      </c>
      <c r="K423" s="39" t="s">
        <v>1713</v>
      </c>
      <c r="L423" s="41" t="s">
        <v>129</v>
      </c>
      <c r="M423" s="27"/>
      <c r="N423" s="27"/>
      <c r="O423" s="28" t="s">
        <v>2276</v>
      </c>
    </row>
    <row r="424" spans="1:15" ht="15" customHeight="1" x14ac:dyDescent="0.3">
      <c r="A424" s="31">
        <v>46023</v>
      </c>
      <c r="B424" s="27" t="s">
        <v>53</v>
      </c>
      <c r="C424" s="27" t="s">
        <v>1723</v>
      </c>
      <c r="D424" s="27" t="s">
        <v>1724</v>
      </c>
      <c r="E424" s="27" t="s">
        <v>1725</v>
      </c>
      <c r="F424" s="27" t="s">
        <v>1373</v>
      </c>
      <c r="G424" s="27" t="s">
        <v>1513</v>
      </c>
      <c r="H424" s="27">
        <v>130403299</v>
      </c>
      <c r="I424" s="27" t="s">
        <v>116</v>
      </c>
      <c r="J424" s="27" t="s">
        <v>61</v>
      </c>
      <c r="K424" s="39" t="s">
        <v>1713</v>
      </c>
      <c r="L424" s="41" t="s">
        <v>129</v>
      </c>
      <c r="M424" s="27"/>
      <c r="N424" s="27"/>
      <c r="O424" s="28" t="s">
        <v>2276</v>
      </c>
    </row>
    <row r="425" spans="1:15" ht="15" customHeight="1" x14ac:dyDescent="0.3">
      <c r="A425" s="31">
        <v>46023</v>
      </c>
      <c r="B425" s="27" t="s">
        <v>53</v>
      </c>
      <c r="C425" s="27" t="s">
        <v>1726</v>
      </c>
      <c r="D425" s="27" t="s">
        <v>1724</v>
      </c>
      <c r="E425" s="27" t="s">
        <v>1725</v>
      </c>
      <c r="F425" s="27" t="s">
        <v>1373</v>
      </c>
      <c r="G425" s="27" t="s">
        <v>1513</v>
      </c>
      <c r="H425" s="27">
        <v>2401529171</v>
      </c>
      <c r="I425" s="27" t="s">
        <v>116</v>
      </c>
      <c r="J425" s="27" t="s">
        <v>61</v>
      </c>
      <c r="K425" s="39" t="s">
        <v>1713</v>
      </c>
      <c r="L425" s="41" t="s">
        <v>129</v>
      </c>
      <c r="M425" s="27"/>
      <c r="N425" s="27"/>
      <c r="O425" s="28" t="s">
        <v>2276</v>
      </c>
    </row>
    <row r="426" spans="1:15" ht="15" customHeight="1" x14ac:dyDescent="0.3">
      <c r="A426" s="31">
        <v>46023</v>
      </c>
      <c r="B426" s="27" t="s">
        <v>53</v>
      </c>
      <c r="C426" s="27" t="s">
        <v>1727</v>
      </c>
      <c r="D426" s="27" t="s">
        <v>1728</v>
      </c>
      <c r="E426" s="27" t="s">
        <v>1729</v>
      </c>
      <c r="F426" s="27" t="s">
        <v>1373</v>
      </c>
      <c r="G426" s="27" t="s">
        <v>1513</v>
      </c>
      <c r="H426" s="27" t="s">
        <v>59</v>
      </c>
      <c r="I426" s="27" t="s">
        <v>468</v>
      </c>
      <c r="J426" s="27" t="s">
        <v>61</v>
      </c>
      <c r="K426" s="39" t="s">
        <v>1713</v>
      </c>
      <c r="L426" s="41" t="s">
        <v>129</v>
      </c>
      <c r="M426" s="27"/>
      <c r="N426" s="27"/>
      <c r="O426" s="28" t="s">
        <v>2276</v>
      </c>
    </row>
    <row r="427" spans="1:15" ht="15" customHeight="1" x14ac:dyDescent="0.3">
      <c r="A427" s="31">
        <v>46023</v>
      </c>
      <c r="B427" s="27" t="s">
        <v>53</v>
      </c>
      <c r="C427" s="27" t="s">
        <v>1730</v>
      </c>
      <c r="D427" s="27" t="s">
        <v>1731</v>
      </c>
      <c r="E427" s="27" t="s">
        <v>1732</v>
      </c>
      <c r="F427" s="27" t="s">
        <v>1373</v>
      </c>
      <c r="G427" s="27" t="s">
        <v>1733</v>
      </c>
      <c r="H427" s="27">
        <v>11124883</v>
      </c>
      <c r="I427" s="27" t="s">
        <v>468</v>
      </c>
      <c r="J427" s="27" t="s">
        <v>61</v>
      </c>
      <c r="K427" s="39" t="s">
        <v>1713</v>
      </c>
      <c r="L427" s="41" t="s">
        <v>129</v>
      </c>
      <c r="M427" s="27"/>
      <c r="N427" s="27"/>
      <c r="O427" s="28" t="s">
        <v>2276</v>
      </c>
    </row>
    <row r="428" spans="1:15" ht="15" customHeight="1" x14ac:dyDescent="0.3">
      <c r="A428" s="31">
        <v>46023</v>
      </c>
      <c r="B428" s="27" t="s">
        <v>53</v>
      </c>
      <c r="C428" s="27" t="s">
        <v>1734</v>
      </c>
      <c r="D428" s="27" t="s">
        <v>1731</v>
      </c>
      <c r="E428" s="27" t="s">
        <v>1732</v>
      </c>
      <c r="F428" s="27" t="s">
        <v>1373</v>
      </c>
      <c r="G428" s="27" t="s">
        <v>1733</v>
      </c>
      <c r="H428" s="27">
        <v>11124797</v>
      </c>
      <c r="I428" s="27" t="s">
        <v>116</v>
      </c>
      <c r="J428" s="27" t="s">
        <v>61</v>
      </c>
      <c r="K428" s="39" t="s">
        <v>1713</v>
      </c>
      <c r="L428" s="41" t="s">
        <v>129</v>
      </c>
      <c r="M428" s="27"/>
      <c r="N428" s="27"/>
      <c r="O428" s="28" t="s">
        <v>2276</v>
      </c>
    </row>
    <row r="429" spans="1:15" ht="15" customHeight="1" x14ac:dyDescent="0.3">
      <c r="A429" s="31">
        <v>46023</v>
      </c>
      <c r="B429" s="27" t="s">
        <v>53</v>
      </c>
      <c r="C429" s="27" t="s">
        <v>1735</v>
      </c>
      <c r="D429" s="27" t="s">
        <v>1731</v>
      </c>
      <c r="E429" s="27" t="s">
        <v>1732</v>
      </c>
      <c r="F429" s="27" t="s">
        <v>1373</v>
      </c>
      <c r="G429" s="27" t="s">
        <v>1733</v>
      </c>
      <c r="H429" s="27">
        <v>11124883</v>
      </c>
      <c r="I429" s="27" t="s">
        <v>116</v>
      </c>
      <c r="J429" s="27" t="s">
        <v>61</v>
      </c>
      <c r="K429" s="39" t="s">
        <v>1713</v>
      </c>
      <c r="L429" s="41" t="s">
        <v>129</v>
      </c>
      <c r="M429" s="27"/>
      <c r="N429" s="27"/>
      <c r="O429" s="28" t="s">
        <v>2276</v>
      </c>
    </row>
    <row r="430" spans="1:15" ht="15" customHeight="1" x14ac:dyDescent="0.3">
      <c r="A430" s="31">
        <v>46023</v>
      </c>
      <c r="B430" s="27" t="s">
        <v>53</v>
      </c>
      <c r="C430" s="27" t="s">
        <v>1736</v>
      </c>
      <c r="D430" s="27" t="s">
        <v>1737</v>
      </c>
      <c r="E430" s="27" t="s">
        <v>59</v>
      </c>
      <c r="F430" s="27" t="s">
        <v>1373</v>
      </c>
      <c r="G430" s="27" t="s">
        <v>1733</v>
      </c>
      <c r="H430" s="27" t="s">
        <v>1738</v>
      </c>
      <c r="I430" s="27" t="s">
        <v>116</v>
      </c>
      <c r="J430" s="27" t="s">
        <v>61</v>
      </c>
      <c r="K430" s="39" t="s">
        <v>1713</v>
      </c>
      <c r="L430" s="41" t="s">
        <v>129</v>
      </c>
      <c r="M430" s="27"/>
      <c r="N430" s="27"/>
      <c r="O430" s="28" t="s">
        <v>2276</v>
      </c>
    </row>
    <row r="431" spans="1:15" ht="15" customHeight="1" x14ac:dyDescent="0.3">
      <c r="A431" s="31">
        <v>46023</v>
      </c>
      <c r="B431" s="27" t="s">
        <v>53</v>
      </c>
      <c r="C431" s="27" t="s">
        <v>1739</v>
      </c>
      <c r="D431" s="27" t="s">
        <v>1737</v>
      </c>
      <c r="E431" s="27" t="s">
        <v>59</v>
      </c>
      <c r="F431" s="27" t="s">
        <v>1373</v>
      </c>
      <c r="G431" s="27" t="s">
        <v>1733</v>
      </c>
      <c r="H431" s="27" t="s">
        <v>1740</v>
      </c>
      <c r="I431" s="27" t="s">
        <v>116</v>
      </c>
      <c r="J431" s="27" t="s">
        <v>61</v>
      </c>
      <c r="K431" s="39" t="s">
        <v>1713</v>
      </c>
      <c r="L431" s="41" t="s">
        <v>129</v>
      </c>
      <c r="M431" s="27"/>
      <c r="N431" s="27"/>
      <c r="O431" s="28" t="s">
        <v>2276</v>
      </c>
    </row>
    <row r="432" spans="1:15" ht="15" customHeight="1" x14ac:dyDescent="0.3">
      <c r="A432" s="31">
        <v>46023</v>
      </c>
      <c r="B432" s="27" t="s">
        <v>53</v>
      </c>
      <c r="C432" s="27" t="s">
        <v>1741</v>
      </c>
      <c r="D432" s="27" t="s">
        <v>1737</v>
      </c>
      <c r="E432" s="27" t="s">
        <v>59</v>
      </c>
      <c r="F432" s="27" t="s">
        <v>1373</v>
      </c>
      <c r="G432" s="27" t="s">
        <v>1733</v>
      </c>
      <c r="H432" s="27" t="s">
        <v>1742</v>
      </c>
      <c r="I432" s="27" t="s">
        <v>116</v>
      </c>
      <c r="J432" s="27" t="s">
        <v>61</v>
      </c>
      <c r="K432" s="39" t="s">
        <v>1713</v>
      </c>
      <c r="L432" s="41" t="s">
        <v>129</v>
      </c>
      <c r="M432" s="27"/>
      <c r="N432" s="27"/>
      <c r="O432" s="28" t="s">
        <v>2276</v>
      </c>
    </row>
    <row r="433" spans="1:15" ht="15" customHeight="1" x14ac:dyDescent="0.3">
      <c r="A433" s="31">
        <v>46023</v>
      </c>
      <c r="B433" s="27" t="s">
        <v>53</v>
      </c>
      <c r="C433" s="27" t="s">
        <v>1743</v>
      </c>
      <c r="D433" s="27" t="s">
        <v>1737</v>
      </c>
      <c r="E433" s="27" t="s">
        <v>59</v>
      </c>
      <c r="F433" s="27" t="s">
        <v>1373</v>
      </c>
      <c r="G433" s="27" t="s">
        <v>1733</v>
      </c>
      <c r="H433" s="27" t="s">
        <v>1744</v>
      </c>
      <c r="I433" s="27" t="s">
        <v>116</v>
      </c>
      <c r="J433" s="27" t="s">
        <v>61</v>
      </c>
      <c r="K433" s="39" t="s">
        <v>1713</v>
      </c>
      <c r="L433" s="41" t="s">
        <v>129</v>
      </c>
      <c r="M433" s="27"/>
      <c r="N433" s="27"/>
      <c r="O433" s="28" t="s">
        <v>2276</v>
      </c>
    </row>
    <row r="434" spans="1:15" ht="15" customHeight="1" x14ac:dyDescent="0.3">
      <c r="A434" s="31">
        <v>46023</v>
      </c>
      <c r="B434" s="27" t="s">
        <v>53</v>
      </c>
      <c r="C434" s="27" t="s">
        <v>1745</v>
      </c>
      <c r="D434" s="27" t="s">
        <v>1746</v>
      </c>
      <c r="E434" s="27" t="s">
        <v>1365</v>
      </c>
      <c r="F434" s="27" t="s">
        <v>1373</v>
      </c>
      <c r="G434" s="27" t="s">
        <v>1733</v>
      </c>
      <c r="H434" s="27">
        <v>8206063</v>
      </c>
      <c r="I434" s="27" t="s">
        <v>116</v>
      </c>
      <c r="J434" s="27" t="s">
        <v>61</v>
      </c>
      <c r="K434" s="39" t="s">
        <v>1713</v>
      </c>
      <c r="L434" s="41" t="s">
        <v>129</v>
      </c>
      <c r="M434" s="27"/>
      <c r="N434" s="27"/>
      <c r="O434" s="28" t="s">
        <v>2276</v>
      </c>
    </row>
    <row r="435" spans="1:15" ht="15" customHeight="1" x14ac:dyDescent="0.3">
      <c r="A435" s="31">
        <v>46023</v>
      </c>
      <c r="B435" s="27" t="s">
        <v>53</v>
      </c>
      <c r="C435" s="27" t="s">
        <v>1747</v>
      </c>
      <c r="D435" s="27" t="s">
        <v>1748</v>
      </c>
      <c r="E435" s="27" t="s">
        <v>1749</v>
      </c>
      <c r="F435" s="27" t="s">
        <v>1373</v>
      </c>
      <c r="G435" s="27" t="s">
        <v>1513</v>
      </c>
      <c r="H435" s="27" t="s">
        <v>59</v>
      </c>
      <c r="I435" s="27" t="s">
        <v>116</v>
      </c>
      <c r="J435" s="27" t="s">
        <v>61</v>
      </c>
      <c r="K435" s="39" t="s">
        <v>1713</v>
      </c>
      <c r="L435" s="41" t="s">
        <v>129</v>
      </c>
      <c r="M435" s="27"/>
      <c r="N435" s="27"/>
      <c r="O435" s="28" t="s">
        <v>2276</v>
      </c>
    </row>
    <row r="436" spans="1:15" ht="15" customHeight="1" x14ac:dyDescent="0.3">
      <c r="A436" s="31">
        <v>46023</v>
      </c>
      <c r="B436" s="27" t="s">
        <v>53</v>
      </c>
      <c r="C436" s="27" t="s">
        <v>1750</v>
      </c>
      <c r="D436" s="27" t="s">
        <v>1751</v>
      </c>
      <c r="E436" s="27" t="s">
        <v>1749</v>
      </c>
      <c r="F436" s="27" t="s">
        <v>1373</v>
      </c>
      <c r="G436" s="27" t="s">
        <v>1513</v>
      </c>
      <c r="H436" s="27" t="s">
        <v>59</v>
      </c>
      <c r="I436" s="27" t="s">
        <v>116</v>
      </c>
      <c r="J436" s="27" t="s">
        <v>61</v>
      </c>
      <c r="K436" s="39" t="s">
        <v>1713</v>
      </c>
      <c r="L436" s="41" t="s">
        <v>129</v>
      </c>
      <c r="M436" s="27"/>
      <c r="N436" s="27"/>
      <c r="O436" s="28" t="s">
        <v>2276</v>
      </c>
    </row>
    <row r="437" spans="1:15" ht="15" customHeight="1" x14ac:dyDescent="0.3">
      <c r="A437" s="31">
        <v>46023</v>
      </c>
      <c r="B437" s="27" t="s">
        <v>53</v>
      </c>
      <c r="C437" s="27" t="s">
        <v>1752</v>
      </c>
      <c r="D437" s="27" t="s">
        <v>1753</v>
      </c>
      <c r="E437" s="27" t="s">
        <v>1754</v>
      </c>
      <c r="F437" s="27" t="s">
        <v>1373</v>
      </c>
      <c r="G437" s="27" t="s">
        <v>1733</v>
      </c>
      <c r="H437" s="27" t="s">
        <v>1755</v>
      </c>
      <c r="I437" s="27" t="s">
        <v>116</v>
      </c>
      <c r="J437" s="27" t="s">
        <v>61</v>
      </c>
      <c r="K437" s="39" t="s">
        <v>1713</v>
      </c>
      <c r="L437" s="41" t="s">
        <v>129</v>
      </c>
      <c r="M437" s="27"/>
      <c r="N437" s="27"/>
      <c r="O437" s="28" t="s">
        <v>2276</v>
      </c>
    </row>
    <row r="438" spans="1:15" ht="15" customHeight="1" x14ac:dyDescent="0.3">
      <c r="A438" s="31">
        <v>46023</v>
      </c>
      <c r="B438" s="27" t="s">
        <v>53</v>
      </c>
      <c r="C438" s="27" t="s">
        <v>1756</v>
      </c>
      <c r="D438" s="27" t="s">
        <v>1753</v>
      </c>
      <c r="E438" s="27" t="s">
        <v>1754</v>
      </c>
      <c r="F438" s="27" t="s">
        <v>1373</v>
      </c>
      <c r="G438" s="27" t="s">
        <v>1733</v>
      </c>
      <c r="H438" s="27" t="s">
        <v>1757</v>
      </c>
      <c r="I438" s="27" t="s">
        <v>116</v>
      </c>
      <c r="J438" s="27" t="s">
        <v>61</v>
      </c>
      <c r="K438" s="39" t="s">
        <v>1713</v>
      </c>
      <c r="L438" s="41" t="s">
        <v>129</v>
      </c>
      <c r="M438" s="27"/>
      <c r="N438" s="27"/>
      <c r="O438" s="28" t="s">
        <v>2276</v>
      </c>
    </row>
    <row r="439" spans="1:15" ht="15" customHeight="1" x14ac:dyDescent="0.3">
      <c r="A439" s="31">
        <v>46023</v>
      </c>
      <c r="B439" s="27" t="s">
        <v>53</v>
      </c>
      <c r="C439" s="27" t="s">
        <v>1758</v>
      </c>
      <c r="D439" s="27" t="s">
        <v>1759</v>
      </c>
      <c r="E439" s="27" t="s">
        <v>1760</v>
      </c>
      <c r="F439" s="27" t="s">
        <v>1373</v>
      </c>
      <c r="G439" s="27" t="s">
        <v>1733</v>
      </c>
      <c r="H439" s="27" t="s">
        <v>59</v>
      </c>
      <c r="I439" s="27" t="s">
        <v>116</v>
      </c>
      <c r="J439" s="27" t="s">
        <v>61</v>
      </c>
      <c r="K439" s="39" t="s">
        <v>1713</v>
      </c>
      <c r="L439" s="41" t="s">
        <v>129</v>
      </c>
      <c r="M439" s="27"/>
      <c r="N439" s="27"/>
      <c r="O439" s="28" t="s">
        <v>2276</v>
      </c>
    </row>
    <row r="440" spans="1:15" ht="15" customHeight="1" x14ac:dyDescent="0.3">
      <c r="A440" s="31">
        <v>46023</v>
      </c>
      <c r="B440" s="27" t="s">
        <v>53</v>
      </c>
      <c r="C440" s="27" t="s">
        <v>1761</v>
      </c>
      <c r="D440" s="27" t="s">
        <v>1762</v>
      </c>
      <c r="E440" s="27" t="s">
        <v>1763</v>
      </c>
      <c r="F440" s="27" t="s">
        <v>1373</v>
      </c>
      <c r="G440" s="27" t="s">
        <v>1374</v>
      </c>
      <c r="H440" s="27" t="s">
        <v>59</v>
      </c>
      <c r="I440" s="27" t="s">
        <v>60</v>
      </c>
      <c r="J440" s="27" t="s">
        <v>258</v>
      </c>
      <c r="K440" s="39" t="s">
        <v>1366</v>
      </c>
      <c r="L440" s="41" t="s">
        <v>129</v>
      </c>
      <c r="M440" s="27"/>
      <c r="N440" s="27"/>
      <c r="O440" s="28" t="s">
        <v>2276</v>
      </c>
    </row>
    <row r="441" spans="1:15" ht="15" customHeight="1" x14ac:dyDescent="0.3">
      <c r="A441" s="31">
        <v>46023</v>
      </c>
      <c r="B441" s="27" t="s">
        <v>53</v>
      </c>
      <c r="C441" s="27" t="s">
        <v>1764</v>
      </c>
      <c r="D441" s="27" t="s">
        <v>1765</v>
      </c>
      <c r="E441" s="27" t="s">
        <v>1763</v>
      </c>
      <c r="F441" s="27" t="s">
        <v>1373</v>
      </c>
      <c r="G441" s="27" t="s">
        <v>1374</v>
      </c>
      <c r="H441" s="27" t="s">
        <v>59</v>
      </c>
      <c r="I441" s="27" t="s">
        <v>60</v>
      </c>
      <c r="J441" s="27" t="s">
        <v>258</v>
      </c>
      <c r="K441" s="39" t="s">
        <v>1366</v>
      </c>
      <c r="L441" s="41" t="s">
        <v>129</v>
      </c>
      <c r="M441" s="27"/>
      <c r="N441" s="27"/>
      <c r="O441" s="28" t="s">
        <v>2276</v>
      </c>
    </row>
    <row r="442" spans="1:15" ht="15" customHeight="1" x14ac:dyDescent="0.3">
      <c r="A442" s="31">
        <v>46023</v>
      </c>
      <c r="B442" s="27" t="s">
        <v>53</v>
      </c>
      <c r="C442" s="27" t="s">
        <v>1766</v>
      </c>
      <c r="D442" s="27" t="s">
        <v>1767</v>
      </c>
      <c r="E442" s="27" t="s">
        <v>1763</v>
      </c>
      <c r="F442" s="27" t="s">
        <v>1373</v>
      </c>
      <c r="G442" s="27" t="s">
        <v>1374</v>
      </c>
      <c r="H442" s="27" t="s">
        <v>59</v>
      </c>
      <c r="I442" s="27" t="s">
        <v>60</v>
      </c>
      <c r="J442" s="27" t="s">
        <v>61</v>
      </c>
      <c r="K442" s="39" t="s">
        <v>1366</v>
      </c>
      <c r="L442" s="41" t="s">
        <v>129</v>
      </c>
      <c r="M442" s="27"/>
      <c r="N442" s="27"/>
      <c r="O442" s="28" t="s">
        <v>2276</v>
      </c>
    </row>
    <row r="443" spans="1:15" ht="15" customHeight="1" x14ac:dyDescent="0.3">
      <c r="A443" s="31">
        <v>46023</v>
      </c>
      <c r="B443" s="27" t="s">
        <v>53</v>
      </c>
      <c r="C443" s="27" t="s">
        <v>1768</v>
      </c>
      <c r="D443" s="27" t="s">
        <v>1769</v>
      </c>
      <c r="E443" s="27" t="s">
        <v>1763</v>
      </c>
      <c r="F443" s="27" t="s">
        <v>1373</v>
      </c>
      <c r="G443" s="27" t="s">
        <v>1374</v>
      </c>
      <c r="H443" s="27" t="s">
        <v>59</v>
      </c>
      <c r="I443" s="27" t="s">
        <v>60</v>
      </c>
      <c r="J443" s="27" t="s">
        <v>61</v>
      </c>
      <c r="K443" s="39" t="s">
        <v>1366</v>
      </c>
      <c r="L443" s="41" t="s">
        <v>129</v>
      </c>
      <c r="M443" s="27"/>
      <c r="N443" s="27"/>
      <c r="O443" s="28" t="s">
        <v>2276</v>
      </c>
    </row>
    <row r="444" spans="1:15" ht="15" customHeight="1" x14ac:dyDescent="0.3">
      <c r="A444" s="31">
        <v>46023</v>
      </c>
      <c r="B444" s="27" t="s">
        <v>53</v>
      </c>
      <c r="C444" s="27" t="s">
        <v>1770</v>
      </c>
      <c r="D444" s="27" t="s">
        <v>1771</v>
      </c>
      <c r="E444" s="27" t="s">
        <v>1763</v>
      </c>
      <c r="F444" s="27" t="s">
        <v>1373</v>
      </c>
      <c r="G444" s="27" t="s">
        <v>1374</v>
      </c>
      <c r="H444" s="27" t="s">
        <v>59</v>
      </c>
      <c r="I444" s="27" t="s">
        <v>60</v>
      </c>
      <c r="J444" s="27" t="s">
        <v>61</v>
      </c>
      <c r="K444" s="39" t="s">
        <v>1366</v>
      </c>
      <c r="L444" s="41" t="s">
        <v>129</v>
      </c>
      <c r="M444" s="27"/>
      <c r="N444" s="27"/>
      <c r="O444" s="28" t="s">
        <v>2276</v>
      </c>
    </row>
    <row r="445" spans="1:15" ht="15" customHeight="1" x14ac:dyDescent="0.3">
      <c r="A445" s="31">
        <v>46023</v>
      </c>
      <c r="B445" s="27" t="s">
        <v>53</v>
      </c>
      <c r="C445" s="27" t="s">
        <v>1772</v>
      </c>
      <c r="D445" s="27" t="s">
        <v>1773</v>
      </c>
      <c r="E445" s="27" t="s">
        <v>1763</v>
      </c>
      <c r="F445" s="27" t="s">
        <v>1373</v>
      </c>
      <c r="G445" s="27" t="s">
        <v>1374</v>
      </c>
      <c r="H445" s="27" t="s">
        <v>59</v>
      </c>
      <c r="I445" s="27" t="s">
        <v>60</v>
      </c>
      <c r="J445" s="27" t="s">
        <v>61</v>
      </c>
      <c r="K445" s="39" t="s">
        <v>1366</v>
      </c>
      <c r="L445" s="41" t="s">
        <v>129</v>
      </c>
      <c r="M445" s="27"/>
      <c r="N445" s="27"/>
      <c r="O445" s="28" t="s">
        <v>2276</v>
      </c>
    </row>
    <row r="446" spans="1:15" ht="15" customHeight="1" x14ac:dyDescent="0.3">
      <c r="A446" s="31">
        <v>46023</v>
      </c>
      <c r="B446" s="27" t="s">
        <v>53</v>
      </c>
      <c r="C446" s="27" t="s">
        <v>1774</v>
      </c>
      <c r="D446" s="27" t="s">
        <v>1775</v>
      </c>
      <c r="E446" s="27" t="s">
        <v>1763</v>
      </c>
      <c r="F446" s="27" t="s">
        <v>1373</v>
      </c>
      <c r="G446" s="27" t="s">
        <v>1374</v>
      </c>
      <c r="H446" s="27" t="s">
        <v>59</v>
      </c>
      <c r="I446" s="27" t="s">
        <v>60</v>
      </c>
      <c r="J446" s="27" t="s">
        <v>61</v>
      </c>
      <c r="K446" s="39" t="s">
        <v>1366</v>
      </c>
      <c r="L446" s="41" t="s">
        <v>129</v>
      </c>
      <c r="M446" s="27"/>
      <c r="N446" s="27"/>
      <c r="O446" s="28" t="s">
        <v>2276</v>
      </c>
    </row>
    <row r="447" spans="1:15" ht="15" customHeight="1" x14ac:dyDescent="0.3">
      <c r="A447" s="31">
        <v>46023</v>
      </c>
      <c r="B447" s="27" t="s">
        <v>53</v>
      </c>
      <c r="C447" s="27" t="s">
        <v>1776</v>
      </c>
      <c r="D447" s="27" t="s">
        <v>1777</v>
      </c>
      <c r="E447" s="27" t="s">
        <v>1763</v>
      </c>
      <c r="F447" s="27" t="s">
        <v>1373</v>
      </c>
      <c r="G447" s="27" t="s">
        <v>1374</v>
      </c>
      <c r="H447" s="27" t="s">
        <v>59</v>
      </c>
      <c r="I447" s="27" t="s">
        <v>60</v>
      </c>
      <c r="J447" s="27" t="s">
        <v>61</v>
      </c>
      <c r="K447" s="39" t="s">
        <v>1366</v>
      </c>
      <c r="L447" s="41" t="s">
        <v>129</v>
      </c>
      <c r="M447" s="27"/>
      <c r="N447" s="27"/>
      <c r="O447" s="28" t="s">
        <v>2276</v>
      </c>
    </row>
    <row r="448" spans="1:15" ht="15" customHeight="1" x14ac:dyDescent="0.3">
      <c r="A448" s="31">
        <v>46023</v>
      </c>
      <c r="B448" s="27" t="s">
        <v>53</v>
      </c>
      <c r="C448" s="27" t="s">
        <v>1778</v>
      </c>
      <c r="D448" s="27" t="s">
        <v>1779</v>
      </c>
      <c r="E448" s="27" t="s">
        <v>1763</v>
      </c>
      <c r="F448" s="27" t="s">
        <v>1373</v>
      </c>
      <c r="G448" s="27" t="s">
        <v>1374</v>
      </c>
      <c r="H448" s="27" t="s">
        <v>59</v>
      </c>
      <c r="I448" s="27" t="s">
        <v>60</v>
      </c>
      <c r="J448" s="27" t="s">
        <v>61</v>
      </c>
      <c r="K448" s="39" t="s">
        <v>1366</v>
      </c>
      <c r="L448" s="41" t="s">
        <v>129</v>
      </c>
      <c r="M448" s="27"/>
      <c r="N448" s="27"/>
      <c r="O448" s="28" t="s">
        <v>2276</v>
      </c>
    </row>
    <row r="449" spans="1:15" ht="15" customHeight="1" x14ac:dyDescent="0.3">
      <c r="A449" s="31">
        <v>46023</v>
      </c>
      <c r="B449" s="27" t="s">
        <v>53</v>
      </c>
      <c r="C449" s="27" t="s">
        <v>1780</v>
      </c>
      <c r="D449" s="27" t="s">
        <v>1781</v>
      </c>
      <c r="E449" s="27" t="s">
        <v>1763</v>
      </c>
      <c r="F449" s="27" t="s">
        <v>1373</v>
      </c>
      <c r="G449" s="27" t="s">
        <v>1374</v>
      </c>
      <c r="H449" s="27" t="s">
        <v>59</v>
      </c>
      <c r="I449" s="27" t="s">
        <v>60</v>
      </c>
      <c r="J449" s="27" t="s">
        <v>61</v>
      </c>
      <c r="K449" s="39" t="s">
        <v>1366</v>
      </c>
      <c r="L449" s="41" t="s">
        <v>129</v>
      </c>
      <c r="M449" s="27"/>
      <c r="N449" s="27"/>
      <c r="O449" s="28" t="s">
        <v>2276</v>
      </c>
    </row>
    <row r="450" spans="1:15" ht="15" customHeight="1" x14ac:dyDescent="0.3">
      <c r="A450" s="31">
        <v>46023</v>
      </c>
      <c r="B450" s="27" t="s">
        <v>53</v>
      </c>
      <c r="C450" s="27" t="s">
        <v>1782</v>
      </c>
      <c r="D450" s="27" t="s">
        <v>1783</v>
      </c>
      <c r="E450" s="27" t="s">
        <v>1763</v>
      </c>
      <c r="F450" s="27" t="s">
        <v>1373</v>
      </c>
      <c r="G450" s="27" t="s">
        <v>1374</v>
      </c>
      <c r="H450" s="27" t="s">
        <v>59</v>
      </c>
      <c r="I450" s="27" t="s">
        <v>60</v>
      </c>
      <c r="J450" s="27" t="s">
        <v>61</v>
      </c>
      <c r="K450" s="39" t="s">
        <v>1366</v>
      </c>
      <c r="L450" s="41" t="s">
        <v>129</v>
      </c>
      <c r="M450" s="27"/>
      <c r="N450" s="27"/>
      <c r="O450" s="28" t="s">
        <v>2276</v>
      </c>
    </row>
    <row r="451" spans="1:15" ht="15" customHeight="1" x14ac:dyDescent="0.3">
      <c r="A451" s="31">
        <v>46023</v>
      </c>
      <c r="B451" s="27" t="s">
        <v>53</v>
      </c>
      <c r="C451" s="27" t="s">
        <v>1784</v>
      </c>
      <c r="D451" s="27" t="s">
        <v>1785</v>
      </c>
      <c r="E451" s="27" t="s">
        <v>1763</v>
      </c>
      <c r="F451" s="27" t="s">
        <v>1373</v>
      </c>
      <c r="G451" s="27" t="s">
        <v>1374</v>
      </c>
      <c r="H451" s="27" t="s">
        <v>59</v>
      </c>
      <c r="I451" s="27" t="s">
        <v>60</v>
      </c>
      <c r="J451" s="27" t="s">
        <v>61</v>
      </c>
      <c r="K451" s="39" t="s">
        <v>1366</v>
      </c>
      <c r="L451" s="41" t="s">
        <v>129</v>
      </c>
      <c r="M451" s="27"/>
      <c r="N451" s="27"/>
      <c r="O451" s="28" t="s">
        <v>2276</v>
      </c>
    </row>
    <row r="452" spans="1:15" ht="15" customHeight="1" x14ac:dyDescent="0.3">
      <c r="A452" s="31">
        <v>46023</v>
      </c>
      <c r="B452" s="27" t="s">
        <v>53</v>
      </c>
      <c r="C452" s="27" t="s">
        <v>1786</v>
      </c>
      <c r="D452" s="27" t="s">
        <v>1787</v>
      </c>
      <c r="E452" s="27" t="s">
        <v>1763</v>
      </c>
      <c r="F452" s="27" t="s">
        <v>1373</v>
      </c>
      <c r="G452" s="27" t="s">
        <v>1374</v>
      </c>
      <c r="H452" s="27" t="s">
        <v>59</v>
      </c>
      <c r="I452" s="27" t="s">
        <v>60</v>
      </c>
      <c r="J452" s="27" t="s">
        <v>61</v>
      </c>
      <c r="K452" s="39" t="s">
        <v>1366</v>
      </c>
      <c r="L452" s="41" t="s">
        <v>129</v>
      </c>
      <c r="M452" s="27"/>
      <c r="N452" s="27"/>
      <c r="O452" s="28" t="s">
        <v>2276</v>
      </c>
    </row>
    <row r="453" spans="1:15" ht="15" customHeight="1" x14ac:dyDescent="0.3">
      <c r="A453" s="31">
        <v>46023</v>
      </c>
      <c r="B453" s="27" t="s">
        <v>53</v>
      </c>
      <c r="C453" s="27" t="s">
        <v>1788</v>
      </c>
      <c r="D453" s="27" t="s">
        <v>1789</v>
      </c>
      <c r="E453" s="27" t="s">
        <v>1763</v>
      </c>
      <c r="F453" s="27" t="s">
        <v>1373</v>
      </c>
      <c r="G453" s="27" t="s">
        <v>1396</v>
      </c>
      <c r="H453" s="27" t="s">
        <v>59</v>
      </c>
      <c r="I453" s="27" t="s">
        <v>60</v>
      </c>
      <c r="J453" s="27" t="s">
        <v>61</v>
      </c>
      <c r="K453" s="39" t="s">
        <v>1366</v>
      </c>
      <c r="L453" s="41" t="s">
        <v>129</v>
      </c>
      <c r="M453" s="27"/>
      <c r="N453" s="27"/>
      <c r="O453" s="28" t="s">
        <v>2276</v>
      </c>
    </row>
    <row r="454" spans="1:15" ht="15" customHeight="1" x14ac:dyDescent="0.3">
      <c r="A454" s="31">
        <v>46023</v>
      </c>
      <c r="B454" s="27" t="s">
        <v>53</v>
      </c>
      <c r="C454" s="27" t="s">
        <v>1790</v>
      </c>
      <c r="D454" s="27" t="s">
        <v>1791</v>
      </c>
      <c r="E454" s="27" t="s">
        <v>1763</v>
      </c>
      <c r="F454" s="27" t="s">
        <v>1373</v>
      </c>
      <c r="G454" s="27" t="s">
        <v>1396</v>
      </c>
      <c r="H454" s="27" t="s">
        <v>59</v>
      </c>
      <c r="I454" s="27" t="s">
        <v>60</v>
      </c>
      <c r="J454" s="27" t="s">
        <v>61</v>
      </c>
      <c r="K454" s="39" t="s">
        <v>1366</v>
      </c>
      <c r="L454" s="41" t="s">
        <v>129</v>
      </c>
      <c r="M454" s="27"/>
      <c r="N454" s="27"/>
      <c r="O454" s="28" t="s">
        <v>2276</v>
      </c>
    </row>
    <row r="455" spans="1:15" ht="15" customHeight="1" x14ac:dyDescent="0.3">
      <c r="A455" s="31">
        <v>46023</v>
      </c>
      <c r="B455" s="27" t="s">
        <v>53</v>
      </c>
      <c r="C455" s="27" t="s">
        <v>1792</v>
      </c>
      <c r="D455" s="27" t="s">
        <v>1793</v>
      </c>
      <c r="E455" s="27" t="s">
        <v>1763</v>
      </c>
      <c r="F455" s="27" t="s">
        <v>1373</v>
      </c>
      <c r="G455" s="27" t="s">
        <v>1396</v>
      </c>
      <c r="H455" s="27" t="s">
        <v>59</v>
      </c>
      <c r="I455" s="27" t="s">
        <v>60</v>
      </c>
      <c r="J455" s="27" t="s">
        <v>61</v>
      </c>
      <c r="K455" s="39" t="s">
        <v>1366</v>
      </c>
      <c r="L455" s="41" t="s">
        <v>129</v>
      </c>
      <c r="M455" s="27"/>
      <c r="N455" s="27"/>
      <c r="O455" s="28" t="s">
        <v>2276</v>
      </c>
    </row>
    <row r="456" spans="1:15" ht="15" customHeight="1" x14ac:dyDescent="0.3">
      <c r="A456" s="31">
        <v>46023</v>
      </c>
      <c r="B456" s="27" t="s">
        <v>53</v>
      </c>
      <c r="C456" s="27" t="s">
        <v>1794</v>
      </c>
      <c r="D456" s="27" t="s">
        <v>1795</v>
      </c>
      <c r="E456" s="27" t="s">
        <v>1763</v>
      </c>
      <c r="F456" s="27" t="s">
        <v>1373</v>
      </c>
      <c r="G456" s="27" t="s">
        <v>1396</v>
      </c>
      <c r="H456" s="27" t="s">
        <v>59</v>
      </c>
      <c r="I456" s="27" t="s">
        <v>60</v>
      </c>
      <c r="J456" s="27" t="s">
        <v>61</v>
      </c>
      <c r="K456" s="39" t="s">
        <v>1366</v>
      </c>
      <c r="L456" s="41" t="s">
        <v>129</v>
      </c>
      <c r="M456" s="27"/>
      <c r="N456" s="27"/>
      <c r="O456" s="28" t="s">
        <v>2276</v>
      </c>
    </row>
    <row r="457" spans="1:15" ht="15" customHeight="1" x14ac:dyDescent="0.3">
      <c r="A457" s="31">
        <v>46023</v>
      </c>
      <c r="B457" s="27" t="s">
        <v>53</v>
      </c>
      <c r="C457" s="27" t="s">
        <v>1796</v>
      </c>
      <c r="D457" s="27" t="s">
        <v>1797</v>
      </c>
      <c r="E457" s="27" t="s">
        <v>1763</v>
      </c>
      <c r="F457" s="27" t="s">
        <v>1373</v>
      </c>
      <c r="G457" s="27" t="s">
        <v>1396</v>
      </c>
      <c r="H457" s="27" t="s">
        <v>59</v>
      </c>
      <c r="I457" s="27" t="s">
        <v>60</v>
      </c>
      <c r="J457" s="27" t="s">
        <v>61</v>
      </c>
      <c r="K457" s="39" t="s">
        <v>1366</v>
      </c>
      <c r="L457" s="41" t="s">
        <v>129</v>
      </c>
      <c r="M457" s="27"/>
      <c r="N457" s="27"/>
      <c r="O457" s="28" t="s">
        <v>2276</v>
      </c>
    </row>
    <row r="458" spans="1:15" ht="15" customHeight="1" x14ac:dyDescent="0.3">
      <c r="A458" s="31">
        <v>46023</v>
      </c>
      <c r="B458" s="27" t="s">
        <v>53</v>
      </c>
      <c r="C458" s="27" t="s">
        <v>1798</v>
      </c>
      <c r="D458" s="27" t="s">
        <v>1799</v>
      </c>
      <c r="E458" s="27" t="s">
        <v>1763</v>
      </c>
      <c r="F458" s="27" t="s">
        <v>1373</v>
      </c>
      <c r="G458" s="27" t="s">
        <v>1396</v>
      </c>
      <c r="H458" s="27" t="s">
        <v>59</v>
      </c>
      <c r="I458" s="27" t="s">
        <v>60</v>
      </c>
      <c r="J458" s="27" t="s">
        <v>61</v>
      </c>
      <c r="K458" s="39" t="s">
        <v>1366</v>
      </c>
      <c r="L458" s="41" t="s">
        <v>129</v>
      </c>
      <c r="M458" s="27"/>
      <c r="N458" s="27"/>
      <c r="O458" s="28" t="s">
        <v>2276</v>
      </c>
    </row>
    <row r="459" spans="1:15" ht="15" customHeight="1" x14ac:dyDescent="0.3">
      <c r="A459" s="31">
        <v>46023</v>
      </c>
      <c r="B459" s="27" t="s">
        <v>53</v>
      </c>
      <c r="C459" s="27" t="s">
        <v>1800</v>
      </c>
      <c r="D459" s="27" t="s">
        <v>1801</v>
      </c>
      <c r="E459" s="27" t="s">
        <v>1763</v>
      </c>
      <c r="F459" s="27" t="s">
        <v>1373</v>
      </c>
      <c r="G459" s="27" t="s">
        <v>1396</v>
      </c>
      <c r="H459" s="27" t="s">
        <v>59</v>
      </c>
      <c r="I459" s="27" t="s">
        <v>60</v>
      </c>
      <c r="J459" s="27" t="s">
        <v>61</v>
      </c>
      <c r="K459" s="39" t="s">
        <v>1366</v>
      </c>
      <c r="L459" s="41" t="s">
        <v>129</v>
      </c>
      <c r="M459" s="27"/>
      <c r="N459" s="27"/>
      <c r="O459" s="28" t="s">
        <v>2276</v>
      </c>
    </row>
    <row r="460" spans="1:15" ht="15" customHeight="1" x14ac:dyDescent="0.3">
      <c r="A460" s="31">
        <v>46023</v>
      </c>
      <c r="B460" s="27" t="s">
        <v>53</v>
      </c>
      <c r="C460" s="27" t="s">
        <v>1802</v>
      </c>
      <c r="D460" s="27" t="s">
        <v>1803</v>
      </c>
      <c r="E460" s="27" t="s">
        <v>1763</v>
      </c>
      <c r="F460" s="27" t="s">
        <v>1373</v>
      </c>
      <c r="G460" s="27" t="s">
        <v>1396</v>
      </c>
      <c r="H460" s="27" t="s">
        <v>59</v>
      </c>
      <c r="I460" s="27" t="s">
        <v>60</v>
      </c>
      <c r="J460" s="27" t="s">
        <v>258</v>
      </c>
      <c r="K460" s="39" t="s">
        <v>1366</v>
      </c>
      <c r="L460" s="41" t="s">
        <v>129</v>
      </c>
      <c r="M460" s="27"/>
      <c r="N460" s="27"/>
      <c r="O460" s="28" t="s">
        <v>2276</v>
      </c>
    </row>
    <row r="461" spans="1:15" ht="15" customHeight="1" x14ac:dyDescent="0.3">
      <c r="A461" s="31">
        <v>46023</v>
      </c>
      <c r="B461" s="27" t="s">
        <v>53</v>
      </c>
      <c r="C461" s="27" t="s">
        <v>1804</v>
      </c>
      <c r="D461" s="27" t="s">
        <v>1805</v>
      </c>
      <c r="E461" s="27" t="s">
        <v>1763</v>
      </c>
      <c r="F461" s="27" t="s">
        <v>1373</v>
      </c>
      <c r="G461" s="27" t="s">
        <v>1396</v>
      </c>
      <c r="H461" s="27" t="s">
        <v>59</v>
      </c>
      <c r="I461" s="27" t="s">
        <v>60</v>
      </c>
      <c r="J461" s="27" t="s">
        <v>258</v>
      </c>
      <c r="K461" s="39" t="s">
        <v>1366</v>
      </c>
      <c r="L461" s="41" t="s">
        <v>129</v>
      </c>
      <c r="M461" s="27"/>
      <c r="N461" s="27"/>
      <c r="O461" s="28" t="s">
        <v>2276</v>
      </c>
    </row>
    <row r="462" spans="1:15" ht="15" customHeight="1" x14ac:dyDescent="0.3">
      <c r="A462" s="31">
        <v>46023</v>
      </c>
      <c r="B462" s="27" t="s">
        <v>53</v>
      </c>
      <c r="C462" s="27" t="s">
        <v>1806</v>
      </c>
      <c r="D462" s="27" t="s">
        <v>1807</v>
      </c>
      <c r="E462" s="27" t="s">
        <v>1763</v>
      </c>
      <c r="F462" s="27" t="s">
        <v>1373</v>
      </c>
      <c r="G462" s="27" t="s">
        <v>1396</v>
      </c>
      <c r="H462" s="27">
        <v>52419</v>
      </c>
      <c r="I462" s="27" t="s">
        <v>116</v>
      </c>
      <c r="J462" s="27" t="s">
        <v>61</v>
      </c>
      <c r="K462" s="39" t="s">
        <v>1366</v>
      </c>
      <c r="L462" s="41" t="s">
        <v>129</v>
      </c>
      <c r="M462" s="27"/>
      <c r="N462" s="27"/>
      <c r="O462" s="28" t="s">
        <v>2276</v>
      </c>
    </row>
    <row r="463" spans="1:15" ht="15" customHeight="1" x14ac:dyDescent="0.3">
      <c r="A463" s="31">
        <v>46023</v>
      </c>
      <c r="B463" s="27" t="s">
        <v>53</v>
      </c>
      <c r="C463" s="27" t="s">
        <v>1808</v>
      </c>
      <c r="D463" s="27" t="s">
        <v>1809</v>
      </c>
      <c r="E463" s="27" t="s">
        <v>1669</v>
      </c>
      <c r="F463" s="27" t="s">
        <v>1373</v>
      </c>
      <c r="G463" s="27" t="s">
        <v>1733</v>
      </c>
      <c r="H463" s="27" t="s">
        <v>59</v>
      </c>
      <c r="I463" s="27" t="s">
        <v>60</v>
      </c>
      <c r="J463" s="27" t="s">
        <v>61</v>
      </c>
      <c r="K463" s="39" t="s">
        <v>1366</v>
      </c>
      <c r="L463" s="41" t="s">
        <v>1632</v>
      </c>
      <c r="M463" s="27"/>
      <c r="N463" s="27"/>
      <c r="O463" s="28" t="s">
        <v>2276</v>
      </c>
    </row>
    <row r="464" spans="1:15" ht="15" customHeight="1" x14ac:dyDescent="0.3">
      <c r="A464" s="31">
        <v>46023</v>
      </c>
      <c r="B464" s="27" t="s">
        <v>53</v>
      </c>
      <c r="C464" s="27" t="s">
        <v>1810</v>
      </c>
      <c r="D464" s="27" t="s">
        <v>1811</v>
      </c>
      <c r="E464" s="27" t="s">
        <v>1669</v>
      </c>
      <c r="F464" s="27" t="s">
        <v>1373</v>
      </c>
      <c r="G464" s="27" t="s">
        <v>1733</v>
      </c>
      <c r="H464" s="27" t="s">
        <v>59</v>
      </c>
      <c r="I464" s="27" t="s">
        <v>60</v>
      </c>
      <c r="J464" s="27" t="s">
        <v>61</v>
      </c>
      <c r="K464" s="39" t="s">
        <v>1366</v>
      </c>
      <c r="L464" s="41" t="s">
        <v>1632</v>
      </c>
      <c r="M464" s="27"/>
      <c r="N464" s="27"/>
      <c r="O464" s="28" t="s">
        <v>2276</v>
      </c>
    </row>
    <row r="465" spans="1:15" ht="15" customHeight="1" x14ac:dyDescent="0.3">
      <c r="A465" s="31">
        <v>46023</v>
      </c>
      <c r="B465" s="27" t="s">
        <v>53</v>
      </c>
      <c r="C465" s="27" t="s">
        <v>1812</v>
      </c>
      <c r="D465" s="27" t="s">
        <v>1813</v>
      </c>
      <c r="E465" s="27" t="s">
        <v>1669</v>
      </c>
      <c r="F465" s="27" t="s">
        <v>1373</v>
      </c>
      <c r="G465" s="27" t="s">
        <v>1733</v>
      </c>
      <c r="H465" s="27" t="s">
        <v>59</v>
      </c>
      <c r="I465" s="27" t="s">
        <v>60</v>
      </c>
      <c r="J465" s="27" t="s">
        <v>61</v>
      </c>
      <c r="K465" s="39" t="s">
        <v>1366</v>
      </c>
      <c r="L465" s="41" t="s">
        <v>1632</v>
      </c>
      <c r="M465" s="27"/>
      <c r="N465" s="27"/>
      <c r="O465" s="28" t="s">
        <v>2276</v>
      </c>
    </row>
    <row r="466" spans="1:15" ht="15" customHeight="1" x14ac:dyDescent="0.3">
      <c r="A466" s="31">
        <v>46023</v>
      </c>
      <c r="B466" s="27" t="s">
        <v>53</v>
      </c>
      <c r="C466" s="27" t="s">
        <v>1814</v>
      </c>
      <c r="D466" s="27" t="s">
        <v>1815</v>
      </c>
      <c r="E466" s="27" t="s">
        <v>1669</v>
      </c>
      <c r="F466" s="27" t="s">
        <v>1373</v>
      </c>
      <c r="G466" s="27" t="s">
        <v>1733</v>
      </c>
      <c r="H466" s="27" t="s">
        <v>59</v>
      </c>
      <c r="I466" s="27" t="s">
        <v>60</v>
      </c>
      <c r="J466" s="27" t="s">
        <v>61</v>
      </c>
      <c r="K466" s="39" t="s">
        <v>1366</v>
      </c>
      <c r="L466" s="41" t="s">
        <v>1632</v>
      </c>
      <c r="M466" s="27"/>
      <c r="N466" s="27"/>
      <c r="O466" s="28" t="s">
        <v>2276</v>
      </c>
    </row>
    <row r="467" spans="1:15" ht="15" customHeight="1" x14ac:dyDescent="0.3">
      <c r="A467" s="31">
        <v>46023</v>
      </c>
      <c r="B467" s="27" t="s">
        <v>53</v>
      </c>
      <c r="C467" s="27" t="s">
        <v>1816</v>
      </c>
      <c r="D467" s="27" t="s">
        <v>1817</v>
      </c>
      <c r="E467" s="27" t="s">
        <v>1669</v>
      </c>
      <c r="F467" s="27" t="s">
        <v>1373</v>
      </c>
      <c r="G467" s="27" t="s">
        <v>1733</v>
      </c>
      <c r="H467" s="27" t="s">
        <v>59</v>
      </c>
      <c r="I467" s="27" t="s">
        <v>60</v>
      </c>
      <c r="J467" s="27" t="s">
        <v>61</v>
      </c>
      <c r="K467" s="39" t="s">
        <v>1366</v>
      </c>
      <c r="L467" s="41" t="s">
        <v>1632</v>
      </c>
      <c r="M467" s="27"/>
      <c r="N467" s="27"/>
      <c r="O467" s="28" t="s">
        <v>2276</v>
      </c>
    </row>
    <row r="468" spans="1:15" ht="15" customHeight="1" x14ac:dyDescent="0.3">
      <c r="A468" s="31">
        <v>46023</v>
      </c>
      <c r="B468" s="27" t="s">
        <v>53</v>
      </c>
      <c r="C468" s="27" t="s">
        <v>1818</v>
      </c>
      <c r="D468" s="27" t="s">
        <v>1819</v>
      </c>
      <c r="E468" s="27" t="s">
        <v>1669</v>
      </c>
      <c r="F468" s="27" t="s">
        <v>1373</v>
      </c>
      <c r="G468" s="27" t="s">
        <v>1733</v>
      </c>
      <c r="H468" s="27" t="s">
        <v>59</v>
      </c>
      <c r="I468" s="27" t="s">
        <v>60</v>
      </c>
      <c r="J468" s="27" t="s">
        <v>61</v>
      </c>
      <c r="K468" s="39" t="s">
        <v>1366</v>
      </c>
      <c r="L468" s="41" t="s">
        <v>1632</v>
      </c>
      <c r="M468" s="27"/>
      <c r="N468" s="27"/>
      <c r="O468" s="28" t="s">
        <v>2276</v>
      </c>
    </row>
    <row r="469" spans="1:15" ht="15" customHeight="1" x14ac:dyDescent="0.3">
      <c r="A469" s="31">
        <v>46023</v>
      </c>
      <c r="B469" s="27" t="s">
        <v>53</v>
      </c>
      <c r="C469" s="27" t="s">
        <v>1820</v>
      </c>
      <c r="D469" s="27" t="s">
        <v>1821</v>
      </c>
      <c r="E469" s="27" t="s">
        <v>1822</v>
      </c>
      <c r="F469" s="27" t="s">
        <v>1373</v>
      </c>
      <c r="G469" s="27" t="s">
        <v>1396</v>
      </c>
      <c r="H469" s="27" t="s">
        <v>59</v>
      </c>
      <c r="I469" s="27" t="s">
        <v>60</v>
      </c>
      <c r="J469" s="27" t="s">
        <v>1067</v>
      </c>
      <c r="K469" s="39" t="s">
        <v>1366</v>
      </c>
      <c r="L469" s="41" t="s">
        <v>129</v>
      </c>
      <c r="M469" s="27"/>
      <c r="N469" s="27"/>
      <c r="O469" s="28" t="s">
        <v>2276</v>
      </c>
    </row>
    <row r="470" spans="1:15" ht="15" customHeight="1" x14ac:dyDescent="0.3">
      <c r="A470" s="31">
        <v>46023</v>
      </c>
      <c r="B470" s="27" t="s">
        <v>53</v>
      </c>
      <c r="C470" s="27" t="s">
        <v>1823</v>
      </c>
      <c r="D470" s="27" t="s">
        <v>1824</v>
      </c>
      <c r="E470" s="27" t="s">
        <v>1416</v>
      </c>
      <c r="F470" s="27" t="s">
        <v>1373</v>
      </c>
      <c r="G470" s="27" t="s">
        <v>1513</v>
      </c>
      <c r="H470" s="27" t="s">
        <v>59</v>
      </c>
      <c r="I470" s="27" t="s">
        <v>60</v>
      </c>
      <c r="J470" s="27" t="s">
        <v>61</v>
      </c>
      <c r="K470" s="39" t="s">
        <v>1366</v>
      </c>
      <c r="L470" s="41" t="s">
        <v>129</v>
      </c>
      <c r="M470" s="27"/>
      <c r="N470" s="27"/>
      <c r="O470" s="28" t="s">
        <v>2276</v>
      </c>
    </row>
    <row r="471" spans="1:15" ht="15" customHeight="1" x14ac:dyDescent="0.3">
      <c r="A471" s="31">
        <v>46023</v>
      </c>
      <c r="B471" s="27" t="s">
        <v>53</v>
      </c>
      <c r="C471" s="27" t="s">
        <v>1825</v>
      </c>
      <c r="D471" s="27" t="s">
        <v>1826</v>
      </c>
      <c r="E471" s="27" t="s">
        <v>1827</v>
      </c>
      <c r="F471" s="27" t="s">
        <v>1373</v>
      </c>
      <c r="G471" s="27" t="s">
        <v>1384</v>
      </c>
      <c r="H471" s="27" t="s">
        <v>59</v>
      </c>
      <c r="I471" s="27" t="s">
        <v>60</v>
      </c>
      <c r="J471" s="27" t="s">
        <v>61</v>
      </c>
      <c r="K471" s="39" t="s">
        <v>1366</v>
      </c>
      <c r="L471" s="41" t="s">
        <v>1632</v>
      </c>
      <c r="M471" s="27"/>
      <c r="N471" s="27"/>
      <c r="O471" s="28" t="s">
        <v>2276</v>
      </c>
    </row>
    <row r="472" spans="1:15" ht="15" customHeight="1" x14ac:dyDescent="0.3">
      <c r="A472" s="31">
        <v>46023</v>
      </c>
      <c r="B472" s="27" t="s">
        <v>53</v>
      </c>
      <c r="C472" s="27" t="s">
        <v>1828</v>
      </c>
      <c r="D472" s="27" t="s">
        <v>1829</v>
      </c>
      <c r="E472" s="27" t="s">
        <v>59</v>
      </c>
      <c r="F472" s="27" t="s">
        <v>1373</v>
      </c>
      <c r="G472" s="27" t="s">
        <v>1396</v>
      </c>
      <c r="H472" s="27" t="s">
        <v>59</v>
      </c>
      <c r="I472" s="27" t="s">
        <v>60</v>
      </c>
      <c r="J472" s="27" t="s">
        <v>1067</v>
      </c>
      <c r="K472" s="39" t="s">
        <v>1366</v>
      </c>
      <c r="L472" s="41" t="s">
        <v>129</v>
      </c>
      <c r="M472" s="27"/>
      <c r="N472" s="27"/>
      <c r="O472" s="28" t="s">
        <v>2276</v>
      </c>
    </row>
    <row r="473" spans="1:15" ht="15" customHeight="1" x14ac:dyDescent="0.3">
      <c r="A473" s="31">
        <v>46023</v>
      </c>
      <c r="B473" s="27" t="s">
        <v>53</v>
      </c>
      <c r="C473" s="27" t="s">
        <v>1830</v>
      </c>
      <c r="D473" s="27" t="s">
        <v>1831</v>
      </c>
      <c r="E473" s="27" t="s">
        <v>1832</v>
      </c>
      <c r="F473" s="27" t="s">
        <v>1373</v>
      </c>
      <c r="G473" s="27" t="s">
        <v>1513</v>
      </c>
      <c r="H473" s="27" t="s">
        <v>1833</v>
      </c>
      <c r="I473" s="27" t="s">
        <v>116</v>
      </c>
      <c r="J473" s="27" t="s">
        <v>61</v>
      </c>
      <c r="K473" s="39" t="s">
        <v>1366</v>
      </c>
      <c r="L473" s="41" t="s">
        <v>129</v>
      </c>
      <c r="M473" s="27"/>
      <c r="N473" s="27"/>
      <c r="O473" s="28" t="s">
        <v>2276</v>
      </c>
    </row>
    <row r="474" spans="1:15" ht="15" customHeight="1" x14ac:dyDescent="0.3">
      <c r="A474" s="31">
        <v>46023</v>
      </c>
      <c r="B474" s="27" t="s">
        <v>53</v>
      </c>
      <c r="C474" s="27" t="s">
        <v>1834</v>
      </c>
      <c r="D474" s="27" t="s">
        <v>1835</v>
      </c>
      <c r="E474" s="27" t="s">
        <v>1836</v>
      </c>
      <c r="F474" s="27" t="s">
        <v>1373</v>
      </c>
      <c r="G474" s="27" t="s">
        <v>1396</v>
      </c>
      <c r="H474" s="27" t="s">
        <v>59</v>
      </c>
      <c r="I474" s="27" t="s">
        <v>116</v>
      </c>
      <c r="J474" s="27" t="s">
        <v>61</v>
      </c>
      <c r="K474" s="39" t="s">
        <v>1366</v>
      </c>
      <c r="L474" s="41" t="s">
        <v>129</v>
      </c>
      <c r="M474" s="27"/>
      <c r="N474" s="27"/>
      <c r="O474" s="28" t="s">
        <v>2276</v>
      </c>
    </row>
    <row r="475" spans="1:15" ht="15" customHeight="1" x14ac:dyDescent="0.3">
      <c r="A475" s="31">
        <v>46023</v>
      </c>
      <c r="B475" s="27" t="s">
        <v>53</v>
      </c>
      <c r="C475" s="27" t="s">
        <v>1837</v>
      </c>
      <c r="D475" s="27" t="s">
        <v>1838</v>
      </c>
      <c r="E475" s="27" t="s">
        <v>1365</v>
      </c>
      <c r="F475" s="27" t="s">
        <v>1373</v>
      </c>
      <c r="G475" s="27" t="s">
        <v>1513</v>
      </c>
      <c r="H475" s="27">
        <v>90940315</v>
      </c>
      <c r="I475" s="27" t="s">
        <v>116</v>
      </c>
      <c r="J475" s="27" t="s">
        <v>61</v>
      </c>
      <c r="K475" s="39" t="s">
        <v>1366</v>
      </c>
      <c r="L475" s="41" t="s">
        <v>129</v>
      </c>
      <c r="M475" s="27"/>
      <c r="N475" s="27"/>
      <c r="O475" s="28" t="s">
        <v>2276</v>
      </c>
    </row>
    <row r="476" spans="1:15" ht="15" customHeight="1" x14ac:dyDescent="0.3">
      <c r="A476" s="31">
        <v>46023</v>
      </c>
      <c r="B476" s="27" t="s">
        <v>53</v>
      </c>
      <c r="C476" s="27" t="s">
        <v>1839</v>
      </c>
      <c r="D476" s="27" t="s">
        <v>1838</v>
      </c>
      <c r="E476" s="27" t="s">
        <v>1365</v>
      </c>
      <c r="F476" s="27" t="s">
        <v>1373</v>
      </c>
      <c r="G476" s="27" t="s">
        <v>1513</v>
      </c>
      <c r="H476" s="27">
        <v>90940134</v>
      </c>
      <c r="I476" s="27" t="s">
        <v>116</v>
      </c>
      <c r="J476" s="27" t="s">
        <v>61</v>
      </c>
      <c r="K476" s="39" t="s">
        <v>1366</v>
      </c>
      <c r="L476" s="41" t="s">
        <v>129</v>
      </c>
      <c r="M476" s="27"/>
      <c r="N476" s="27"/>
      <c r="O476" s="28" t="s">
        <v>2276</v>
      </c>
    </row>
    <row r="477" spans="1:15" ht="15" customHeight="1" x14ac:dyDescent="0.3">
      <c r="A477" s="31">
        <v>46023</v>
      </c>
      <c r="B477" s="27" t="s">
        <v>53</v>
      </c>
      <c r="C477" s="27" t="s">
        <v>1840</v>
      </c>
      <c r="D477" s="27" t="s">
        <v>1841</v>
      </c>
      <c r="E477" s="27" t="s">
        <v>59</v>
      </c>
      <c r="F477" s="27" t="s">
        <v>1373</v>
      </c>
      <c r="G477" s="27" t="s">
        <v>1513</v>
      </c>
      <c r="H477" s="27" t="s">
        <v>59</v>
      </c>
      <c r="I477" s="27" t="s">
        <v>116</v>
      </c>
      <c r="J477" s="27" t="s">
        <v>61</v>
      </c>
      <c r="K477" s="39" t="s">
        <v>1366</v>
      </c>
      <c r="L477" s="41" t="s">
        <v>129</v>
      </c>
      <c r="M477" s="27"/>
      <c r="N477" s="27"/>
      <c r="O477" s="28" t="s">
        <v>2276</v>
      </c>
    </row>
    <row r="478" spans="1:15" ht="15" customHeight="1" x14ac:dyDescent="0.3">
      <c r="A478" s="31">
        <v>46023</v>
      </c>
      <c r="B478" s="27" t="s">
        <v>53</v>
      </c>
      <c r="C478" s="27" t="s">
        <v>1842</v>
      </c>
      <c r="D478" s="27" t="s">
        <v>1843</v>
      </c>
      <c r="E478" s="27" t="s">
        <v>1844</v>
      </c>
      <c r="F478" s="27" t="s">
        <v>1373</v>
      </c>
      <c r="G478" s="27" t="s">
        <v>1513</v>
      </c>
      <c r="H478" s="27">
        <v>8001833</v>
      </c>
      <c r="I478" s="27" t="s">
        <v>1845</v>
      </c>
      <c r="J478" s="27" t="s">
        <v>61</v>
      </c>
      <c r="K478" s="39" t="s">
        <v>1366</v>
      </c>
      <c r="L478" s="41" t="s">
        <v>129</v>
      </c>
      <c r="M478" s="27"/>
      <c r="N478" s="27"/>
      <c r="O478" s="28" t="s">
        <v>2276</v>
      </c>
    </row>
    <row r="479" spans="1:15" ht="15" customHeight="1" x14ac:dyDescent="0.3">
      <c r="A479" s="31">
        <v>46023</v>
      </c>
      <c r="B479" s="27" t="s">
        <v>53</v>
      </c>
      <c r="C479" s="27" t="s">
        <v>1846</v>
      </c>
      <c r="D479" s="27" t="s">
        <v>1843</v>
      </c>
      <c r="E479" s="27" t="s">
        <v>1844</v>
      </c>
      <c r="F479" s="27" t="s">
        <v>1373</v>
      </c>
      <c r="G479" s="27" t="s">
        <v>1513</v>
      </c>
      <c r="H479" s="27">
        <v>8101008</v>
      </c>
      <c r="I479" s="27" t="s">
        <v>1845</v>
      </c>
      <c r="J479" s="27" t="s">
        <v>61</v>
      </c>
      <c r="K479" s="39" t="s">
        <v>1366</v>
      </c>
      <c r="L479" s="41" t="s">
        <v>129</v>
      </c>
      <c r="M479" s="27"/>
      <c r="N479" s="27"/>
      <c r="O479" s="28" t="s">
        <v>2276</v>
      </c>
    </row>
    <row r="480" spans="1:15" ht="15" customHeight="1" x14ac:dyDescent="0.3">
      <c r="A480" s="31">
        <v>46023</v>
      </c>
      <c r="B480" s="27" t="s">
        <v>53</v>
      </c>
      <c r="C480" s="27" t="s">
        <v>1847</v>
      </c>
      <c r="D480" s="27" t="s">
        <v>1848</v>
      </c>
      <c r="E480" s="27" t="s">
        <v>59</v>
      </c>
      <c r="F480" s="27" t="s">
        <v>1373</v>
      </c>
      <c r="G480" s="27" t="s">
        <v>1733</v>
      </c>
      <c r="H480" s="27" t="s">
        <v>59</v>
      </c>
      <c r="I480" s="27" t="s">
        <v>116</v>
      </c>
      <c r="J480" s="27" t="s">
        <v>61</v>
      </c>
      <c r="K480" s="39" t="s">
        <v>1366</v>
      </c>
      <c r="L480" s="41" t="s">
        <v>129</v>
      </c>
      <c r="M480" s="27"/>
      <c r="N480" s="27"/>
      <c r="O480" s="28" t="s">
        <v>2276</v>
      </c>
    </row>
    <row r="481" spans="1:15" ht="15" customHeight="1" x14ac:dyDescent="0.3">
      <c r="A481" s="31">
        <v>46023</v>
      </c>
      <c r="B481" s="27" t="s">
        <v>53</v>
      </c>
      <c r="C481" s="27" t="s">
        <v>1849</v>
      </c>
      <c r="D481" s="27" t="s">
        <v>1850</v>
      </c>
      <c r="E481" s="27" t="s">
        <v>59</v>
      </c>
      <c r="F481" s="27" t="s">
        <v>1373</v>
      </c>
      <c r="G481" s="27" t="s">
        <v>1396</v>
      </c>
      <c r="H481" s="27" t="s">
        <v>59</v>
      </c>
      <c r="I481" s="27" t="s">
        <v>116</v>
      </c>
      <c r="J481" s="27" t="s">
        <v>61</v>
      </c>
      <c r="K481" s="39" t="s">
        <v>1366</v>
      </c>
      <c r="L481" s="41" t="s">
        <v>325</v>
      </c>
      <c r="M481" s="27"/>
      <c r="N481" s="27"/>
      <c r="O481" s="28" t="s">
        <v>2276</v>
      </c>
    </row>
    <row r="482" spans="1:15" ht="15" customHeight="1" x14ac:dyDescent="0.3">
      <c r="A482" s="31">
        <v>46023</v>
      </c>
      <c r="B482" s="27" t="s">
        <v>53</v>
      </c>
      <c r="C482" s="27" t="s">
        <v>1851</v>
      </c>
      <c r="D482" s="27" t="s">
        <v>1852</v>
      </c>
      <c r="E482" s="27" t="s">
        <v>1853</v>
      </c>
      <c r="F482" s="27" t="s">
        <v>1373</v>
      </c>
      <c r="G482" s="27" t="s">
        <v>1374</v>
      </c>
      <c r="H482" s="27" t="s">
        <v>59</v>
      </c>
      <c r="I482" s="27" t="s">
        <v>116</v>
      </c>
      <c r="J482" s="27" t="s">
        <v>61</v>
      </c>
      <c r="K482" s="39" t="s">
        <v>1366</v>
      </c>
      <c r="L482" s="41" t="s">
        <v>325</v>
      </c>
      <c r="M482" s="27"/>
      <c r="N482" s="27"/>
      <c r="O482" s="28" t="s">
        <v>2276</v>
      </c>
    </row>
    <row r="483" spans="1:15" ht="15" customHeight="1" x14ac:dyDescent="0.3">
      <c r="A483" s="31">
        <v>46023</v>
      </c>
      <c r="B483" s="27" t="s">
        <v>53</v>
      </c>
      <c r="C483" s="27" t="s">
        <v>1854</v>
      </c>
      <c r="D483" s="27" t="s">
        <v>1855</v>
      </c>
      <c r="E483" s="27" t="s">
        <v>1853</v>
      </c>
      <c r="F483" s="27" t="s">
        <v>1373</v>
      </c>
      <c r="G483" s="27" t="s">
        <v>1374</v>
      </c>
      <c r="H483" s="27" t="s">
        <v>59</v>
      </c>
      <c r="I483" s="27" t="s">
        <v>116</v>
      </c>
      <c r="J483" s="27" t="s">
        <v>61</v>
      </c>
      <c r="K483" s="39" t="s">
        <v>1366</v>
      </c>
      <c r="L483" s="41" t="s">
        <v>325</v>
      </c>
      <c r="M483" s="27"/>
      <c r="N483" s="27"/>
      <c r="O483" s="28" t="s">
        <v>2276</v>
      </c>
    </row>
    <row r="484" spans="1:15" ht="15" customHeight="1" x14ac:dyDescent="0.3">
      <c r="A484" s="31">
        <v>46023</v>
      </c>
      <c r="B484" s="27" t="s">
        <v>53</v>
      </c>
      <c r="C484" s="27" t="s">
        <v>1856</v>
      </c>
      <c r="D484" s="27" t="s">
        <v>1857</v>
      </c>
      <c r="E484" s="27" t="s">
        <v>1853</v>
      </c>
      <c r="F484" s="27" t="s">
        <v>1373</v>
      </c>
      <c r="G484" s="27" t="s">
        <v>1374</v>
      </c>
      <c r="H484" s="27" t="s">
        <v>59</v>
      </c>
      <c r="I484" s="27" t="s">
        <v>116</v>
      </c>
      <c r="J484" s="27" t="s">
        <v>61</v>
      </c>
      <c r="K484" s="39" t="s">
        <v>1366</v>
      </c>
      <c r="L484" s="41" t="s">
        <v>325</v>
      </c>
      <c r="M484" s="27"/>
      <c r="N484" s="27"/>
      <c r="O484" s="28" t="s">
        <v>2276</v>
      </c>
    </row>
    <row r="485" spans="1:15" ht="15" customHeight="1" x14ac:dyDescent="0.3">
      <c r="A485" s="31">
        <v>46023</v>
      </c>
      <c r="B485" s="27" t="s">
        <v>53</v>
      </c>
      <c r="C485" s="27" t="s">
        <v>1858</v>
      </c>
      <c r="D485" s="27" t="s">
        <v>1859</v>
      </c>
      <c r="E485" s="27" t="s">
        <v>1853</v>
      </c>
      <c r="F485" s="27" t="s">
        <v>1373</v>
      </c>
      <c r="G485" s="27" t="s">
        <v>1374</v>
      </c>
      <c r="H485" s="27" t="s">
        <v>59</v>
      </c>
      <c r="I485" s="27" t="s">
        <v>116</v>
      </c>
      <c r="J485" s="27" t="s">
        <v>61</v>
      </c>
      <c r="K485" s="39" t="s">
        <v>1366</v>
      </c>
      <c r="L485" s="41" t="s">
        <v>325</v>
      </c>
      <c r="M485" s="27"/>
      <c r="N485" s="27"/>
      <c r="O485" s="28" t="s">
        <v>2276</v>
      </c>
    </row>
    <row r="486" spans="1:15" ht="15" customHeight="1" x14ac:dyDescent="0.3">
      <c r="A486" s="31">
        <v>46023</v>
      </c>
      <c r="B486" s="27" t="s">
        <v>53</v>
      </c>
      <c r="C486" s="27" t="s">
        <v>1860</v>
      </c>
      <c r="D486" s="27" t="s">
        <v>1861</v>
      </c>
      <c r="E486" s="27" t="s">
        <v>1853</v>
      </c>
      <c r="F486" s="27" t="s">
        <v>1373</v>
      </c>
      <c r="G486" s="27" t="s">
        <v>1374</v>
      </c>
      <c r="H486" s="27" t="s">
        <v>59</v>
      </c>
      <c r="I486" s="27" t="s">
        <v>116</v>
      </c>
      <c r="J486" s="27" t="s">
        <v>61</v>
      </c>
      <c r="K486" s="39" t="s">
        <v>1366</v>
      </c>
      <c r="L486" s="41" t="s">
        <v>325</v>
      </c>
      <c r="M486" s="27"/>
      <c r="N486" s="27"/>
      <c r="O486" s="28" t="s">
        <v>2276</v>
      </c>
    </row>
    <row r="487" spans="1:15" ht="15" customHeight="1" x14ac:dyDescent="0.3">
      <c r="A487" s="31">
        <v>46023</v>
      </c>
      <c r="B487" s="27" t="s">
        <v>53</v>
      </c>
      <c r="C487" s="27" t="s">
        <v>1862</v>
      </c>
      <c r="D487" s="27" t="s">
        <v>1863</v>
      </c>
      <c r="E487" s="27" t="s">
        <v>1853</v>
      </c>
      <c r="F487" s="27" t="s">
        <v>1373</v>
      </c>
      <c r="G487" s="27" t="s">
        <v>1374</v>
      </c>
      <c r="H487" s="27" t="s">
        <v>59</v>
      </c>
      <c r="I487" s="27" t="s">
        <v>116</v>
      </c>
      <c r="J487" s="27" t="s">
        <v>61</v>
      </c>
      <c r="K487" s="39" t="s">
        <v>1366</v>
      </c>
      <c r="L487" s="41" t="s">
        <v>325</v>
      </c>
      <c r="M487" s="27"/>
      <c r="N487" s="27"/>
      <c r="O487" s="28" t="s">
        <v>2276</v>
      </c>
    </row>
    <row r="488" spans="1:15" ht="15" customHeight="1" x14ac:dyDescent="0.3">
      <c r="A488" s="31">
        <v>46023</v>
      </c>
      <c r="B488" s="27" t="s">
        <v>53</v>
      </c>
      <c r="C488" s="27" t="s">
        <v>1864</v>
      </c>
      <c r="D488" s="27" t="s">
        <v>1865</v>
      </c>
      <c r="E488" s="27" t="s">
        <v>1853</v>
      </c>
      <c r="F488" s="27" t="s">
        <v>1373</v>
      </c>
      <c r="G488" s="27" t="s">
        <v>1374</v>
      </c>
      <c r="H488" s="27" t="s">
        <v>59</v>
      </c>
      <c r="I488" s="27" t="s">
        <v>116</v>
      </c>
      <c r="J488" s="27" t="s">
        <v>61</v>
      </c>
      <c r="K488" s="39" t="s">
        <v>1366</v>
      </c>
      <c r="L488" s="41" t="s">
        <v>325</v>
      </c>
      <c r="M488" s="27"/>
      <c r="N488" s="27"/>
      <c r="O488" s="28" t="s">
        <v>2276</v>
      </c>
    </row>
    <row r="489" spans="1:15" ht="15" customHeight="1" x14ac:dyDescent="0.3">
      <c r="A489" s="31">
        <v>46023</v>
      </c>
      <c r="B489" s="27" t="s">
        <v>53</v>
      </c>
      <c r="C489" s="27" t="s">
        <v>1866</v>
      </c>
      <c r="D489" s="27" t="s">
        <v>1867</v>
      </c>
      <c r="E489" s="27" t="s">
        <v>1853</v>
      </c>
      <c r="F489" s="27" t="s">
        <v>1373</v>
      </c>
      <c r="G489" s="27" t="s">
        <v>1374</v>
      </c>
      <c r="H489" s="27" t="s">
        <v>59</v>
      </c>
      <c r="I489" s="27" t="s">
        <v>116</v>
      </c>
      <c r="J489" s="27" t="s">
        <v>61</v>
      </c>
      <c r="K489" s="39" t="s">
        <v>1366</v>
      </c>
      <c r="L489" s="41" t="s">
        <v>325</v>
      </c>
      <c r="M489" s="27"/>
      <c r="N489" s="27"/>
      <c r="O489" s="28" t="s">
        <v>2276</v>
      </c>
    </row>
    <row r="490" spans="1:15" ht="15" customHeight="1" x14ac:dyDescent="0.3">
      <c r="A490" s="31">
        <v>46023</v>
      </c>
      <c r="B490" s="27" t="s">
        <v>53</v>
      </c>
      <c r="C490" s="27" t="s">
        <v>1868</v>
      </c>
      <c r="D490" s="27" t="s">
        <v>1869</v>
      </c>
      <c r="E490" s="27" t="s">
        <v>1853</v>
      </c>
      <c r="F490" s="27" t="s">
        <v>1373</v>
      </c>
      <c r="G490" s="27" t="s">
        <v>1374</v>
      </c>
      <c r="H490" s="27" t="s">
        <v>59</v>
      </c>
      <c r="I490" s="27" t="s">
        <v>116</v>
      </c>
      <c r="J490" s="27" t="s">
        <v>61</v>
      </c>
      <c r="K490" s="39" t="s">
        <v>1366</v>
      </c>
      <c r="L490" s="41" t="s">
        <v>325</v>
      </c>
      <c r="M490" s="27"/>
      <c r="N490" s="27"/>
      <c r="O490" s="28" t="s">
        <v>2276</v>
      </c>
    </row>
    <row r="491" spans="1:15" ht="15" customHeight="1" x14ac:dyDescent="0.3">
      <c r="A491" s="31">
        <v>46023</v>
      </c>
      <c r="B491" s="27" t="s">
        <v>53</v>
      </c>
      <c r="C491" s="27" t="s">
        <v>1870</v>
      </c>
      <c r="D491" s="27" t="s">
        <v>1871</v>
      </c>
      <c r="E491" s="27" t="s">
        <v>1853</v>
      </c>
      <c r="F491" s="27" t="s">
        <v>1373</v>
      </c>
      <c r="G491" s="27" t="s">
        <v>1374</v>
      </c>
      <c r="H491" s="27" t="s">
        <v>59</v>
      </c>
      <c r="I491" s="27" t="s">
        <v>116</v>
      </c>
      <c r="J491" s="27" t="s">
        <v>61</v>
      </c>
      <c r="K491" s="39" t="s">
        <v>1366</v>
      </c>
      <c r="L491" s="41" t="s">
        <v>325</v>
      </c>
      <c r="M491" s="27"/>
      <c r="N491" s="27"/>
      <c r="O491" s="28" t="s">
        <v>2276</v>
      </c>
    </row>
    <row r="492" spans="1:15" ht="15" customHeight="1" x14ac:dyDescent="0.3">
      <c r="A492" s="31">
        <v>46023</v>
      </c>
      <c r="B492" s="27" t="s">
        <v>53</v>
      </c>
      <c r="C492" s="27" t="s">
        <v>1872</v>
      </c>
      <c r="D492" s="27" t="s">
        <v>1873</v>
      </c>
      <c r="E492" s="27" t="s">
        <v>1853</v>
      </c>
      <c r="F492" s="27" t="s">
        <v>1373</v>
      </c>
      <c r="G492" s="27" t="s">
        <v>1374</v>
      </c>
      <c r="H492" s="27" t="s">
        <v>59</v>
      </c>
      <c r="I492" s="27" t="s">
        <v>116</v>
      </c>
      <c r="J492" s="27" t="s">
        <v>61</v>
      </c>
      <c r="K492" s="39" t="s">
        <v>1366</v>
      </c>
      <c r="L492" s="41" t="s">
        <v>325</v>
      </c>
      <c r="M492" s="27"/>
      <c r="N492" s="27"/>
      <c r="O492" s="28" t="s">
        <v>2276</v>
      </c>
    </row>
    <row r="493" spans="1:15" ht="15" customHeight="1" x14ac:dyDescent="0.3">
      <c r="A493" s="31">
        <v>46023</v>
      </c>
      <c r="B493" s="27" t="s">
        <v>53</v>
      </c>
      <c r="C493" s="27" t="s">
        <v>1874</v>
      </c>
      <c r="D493" s="27" t="s">
        <v>1875</v>
      </c>
      <c r="E493" s="27" t="s">
        <v>1853</v>
      </c>
      <c r="F493" s="27" t="s">
        <v>1373</v>
      </c>
      <c r="G493" s="27" t="s">
        <v>1374</v>
      </c>
      <c r="H493" s="27" t="s">
        <v>59</v>
      </c>
      <c r="I493" s="27" t="s">
        <v>116</v>
      </c>
      <c r="J493" s="27" t="s">
        <v>61</v>
      </c>
      <c r="K493" s="39" t="s">
        <v>1366</v>
      </c>
      <c r="L493" s="41" t="s">
        <v>325</v>
      </c>
      <c r="M493" s="27"/>
      <c r="N493" s="27"/>
      <c r="O493" s="28" t="s">
        <v>2276</v>
      </c>
    </row>
    <row r="494" spans="1:15" ht="15" customHeight="1" x14ac:dyDescent="0.3">
      <c r="A494" s="31">
        <v>46023</v>
      </c>
      <c r="B494" s="27" t="s">
        <v>53</v>
      </c>
      <c r="C494" s="27" t="s">
        <v>1876</v>
      </c>
      <c r="D494" s="27" t="s">
        <v>1877</v>
      </c>
      <c r="E494" s="27" t="s">
        <v>1853</v>
      </c>
      <c r="F494" s="27" t="s">
        <v>1373</v>
      </c>
      <c r="G494" s="27" t="s">
        <v>1374</v>
      </c>
      <c r="H494" s="27" t="s">
        <v>59</v>
      </c>
      <c r="I494" s="27" t="s">
        <v>116</v>
      </c>
      <c r="J494" s="27" t="s">
        <v>61</v>
      </c>
      <c r="K494" s="39" t="s">
        <v>1366</v>
      </c>
      <c r="L494" s="41" t="s">
        <v>325</v>
      </c>
      <c r="M494" s="27"/>
      <c r="N494" s="27"/>
      <c r="O494" s="28" t="s">
        <v>2276</v>
      </c>
    </row>
    <row r="495" spans="1:15" ht="15" customHeight="1" x14ac:dyDescent="0.3">
      <c r="A495" s="31">
        <v>46023</v>
      </c>
      <c r="B495" s="27" t="s">
        <v>53</v>
      </c>
      <c r="C495" s="27" t="s">
        <v>1878</v>
      </c>
      <c r="D495" s="27" t="s">
        <v>1879</v>
      </c>
      <c r="E495" s="27" t="s">
        <v>1853</v>
      </c>
      <c r="F495" s="27" t="s">
        <v>1373</v>
      </c>
      <c r="G495" s="27" t="s">
        <v>1374</v>
      </c>
      <c r="H495" s="27" t="s">
        <v>59</v>
      </c>
      <c r="I495" s="27" t="s">
        <v>116</v>
      </c>
      <c r="J495" s="27" t="s">
        <v>61</v>
      </c>
      <c r="K495" s="39" t="s">
        <v>1366</v>
      </c>
      <c r="L495" s="41" t="s">
        <v>325</v>
      </c>
      <c r="M495" s="27"/>
      <c r="N495" s="27"/>
      <c r="O495" s="28" t="s">
        <v>2276</v>
      </c>
    </row>
    <row r="496" spans="1:15" ht="15" customHeight="1" x14ac:dyDescent="0.3">
      <c r="A496" s="31">
        <v>46023</v>
      </c>
      <c r="B496" s="27" t="s">
        <v>53</v>
      </c>
      <c r="C496" s="27" t="s">
        <v>1880</v>
      </c>
      <c r="D496" s="27" t="s">
        <v>1881</v>
      </c>
      <c r="E496" s="27" t="s">
        <v>1853</v>
      </c>
      <c r="F496" s="27" t="s">
        <v>1373</v>
      </c>
      <c r="G496" s="27" t="s">
        <v>1374</v>
      </c>
      <c r="H496" s="27" t="s">
        <v>59</v>
      </c>
      <c r="I496" s="27" t="s">
        <v>116</v>
      </c>
      <c r="J496" s="27" t="s">
        <v>61</v>
      </c>
      <c r="K496" s="39" t="s">
        <v>1366</v>
      </c>
      <c r="L496" s="41" t="s">
        <v>325</v>
      </c>
      <c r="M496" s="27"/>
      <c r="N496" s="27"/>
      <c r="O496" s="28" t="s">
        <v>2276</v>
      </c>
    </row>
    <row r="497" spans="1:15" ht="15" customHeight="1" x14ac:dyDescent="0.3">
      <c r="A497" s="31">
        <v>46023</v>
      </c>
      <c r="B497" s="27" t="s">
        <v>53</v>
      </c>
      <c r="C497" s="27" t="s">
        <v>1882</v>
      </c>
      <c r="D497" s="27" t="s">
        <v>1883</v>
      </c>
      <c r="E497" s="27" t="s">
        <v>1853</v>
      </c>
      <c r="F497" s="27" t="s">
        <v>1373</v>
      </c>
      <c r="G497" s="27" t="s">
        <v>1374</v>
      </c>
      <c r="H497" s="27" t="s">
        <v>59</v>
      </c>
      <c r="I497" s="27" t="s">
        <v>116</v>
      </c>
      <c r="J497" s="27" t="s">
        <v>61</v>
      </c>
      <c r="K497" s="39" t="s">
        <v>1366</v>
      </c>
      <c r="L497" s="41" t="s">
        <v>325</v>
      </c>
      <c r="M497" s="27"/>
      <c r="N497" s="27"/>
      <c r="O497" s="28" t="s">
        <v>2276</v>
      </c>
    </row>
    <row r="498" spans="1:15" ht="15" customHeight="1" x14ac:dyDescent="0.3">
      <c r="A498" s="31">
        <v>46023</v>
      </c>
      <c r="B498" s="27" t="s">
        <v>53</v>
      </c>
      <c r="C498" s="27" t="s">
        <v>1884</v>
      </c>
      <c r="D498" s="27" t="s">
        <v>1885</v>
      </c>
      <c r="E498" s="27" t="s">
        <v>1853</v>
      </c>
      <c r="F498" s="27" t="s">
        <v>1373</v>
      </c>
      <c r="G498" s="27" t="s">
        <v>1374</v>
      </c>
      <c r="H498" s="27" t="s">
        <v>59</v>
      </c>
      <c r="I498" s="27" t="s">
        <v>116</v>
      </c>
      <c r="J498" s="27" t="s">
        <v>61</v>
      </c>
      <c r="K498" s="39" t="s">
        <v>1366</v>
      </c>
      <c r="L498" s="41" t="s">
        <v>325</v>
      </c>
      <c r="M498" s="27"/>
      <c r="N498" s="27"/>
      <c r="O498" s="28" t="s">
        <v>2276</v>
      </c>
    </row>
    <row r="499" spans="1:15" ht="15" customHeight="1" x14ac:dyDescent="0.3">
      <c r="A499" s="31">
        <v>46023</v>
      </c>
      <c r="B499" s="27" t="s">
        <v>53</v>
      </c>
      <c r="C499" s="27" t="s">
        <v>1886</v>
      </c>
      <c r="D499" s="27" t="s">
        <v>1887</v>
      </c>
      <c r="E499" s="27" t="s">
        <v>1853</v>
      </c>
      <c r="F499" s="27" t="s">
        <v>1373</v>
      </c>
      <c r="G499" s="27" t="s">
        <v>1374</v>
      </c>
      <c r="H499" s="27" t="s">
        <v>59</v>
      </c>
      <c r="I499" s="27" t="s">
        <v>116</v>
      </c>
      <c r="J499" s="27" t="s">
        <v>61</v>
      </c>
      <c r="K499" s="39" t="s">
        <v>1366</v>
      </c>
      <c r="L499" s="41" t="s">
        <v>325</v>
      </c>
      <c r="M499" s="27"/>
      <c r="N499" s="27"/>
      <c r="O499" s="28" t="s">
        <v>2276</v>
      </c>
    </row>
    <row r="500" spans="1:15" ht="15" customHeight="1" x14ac:dyDescent="0.3">
      <c r="A500" s="31">
        <v>46023</v>
      </c>
      <c r="B500" s="27" t="s">
        <v>53</v>
      </c>
      <c r="C500" s="27" t="s">
        <v>1888</v>
      </c>
      <c r="D500" s="27" t="s">
        <v>1889</v>
      </c>
      <c r="E500" s="27" t="s">
        <v>1853</v>
      </c>
      <c r="F500" s="27" t="s">
        <v>1373</v>
      </c>
      <c r="G500" s="27" t="s">
        <v>1374</v>
      </c>
      <c r="H500" s="27" t="s">
        <v>59</v>
      </c>
      <c r="I500" s="27" t="s">
        <v>116</v>
      </c>
      <c r="J500" s="27" t="s">
        <v>61</v>
      </c>
      <c r="K500" s="39" t="s">
        <v>1366</v>
      </c>
      <c r="L500" s="41" t="s">
        <v>325</v>
      </c>
      <c r="M500" s="27"/>
      <c r="N500" s="27"/>
      <c r="O500" s="28" t="s">
        <v>2276</v>
      </c>
    </row>
    <row r="501" spans="1:15" ht="15" customHeight="1" x14ac:dyDescent="0.3">
      <c r="A501" s="31">
        <v>46023</v>
      </c>
      <c r="B501" s="27" t="s">
        <v>53</v>
      </c>
      <c r="C501" s="27" t="s">
        <v>1890</v>
      </c>
      <c r="D501" s="27" t="s">
        <v>1891</v>
      </c>
      <c r="E501" s="27" t="s">
        <v>1892</v>
      </c>
      <c r="F501" s="27" t="s">
        <v>1373</v>
      </c>
      <c r="G501" s="27" t="s">
        <v>1513</v>
      </c>
      <c r="H501" s="27" t="s">
        <v>1893</v>
      </c>
      <c r="I501" s="27" t="s">
        <v>1894</v>
      </c>
      <c r="J501" s="27" t="s">
        <v>61</v>
      </c>
      <c r="K501" s="39" t="s">
        <v>1366</v>
      </c>
      <c r="L501" s="41" t="s">
        <v>129</v>
      </c>
      <c r="M501" s="27"/>
      <c r="N501" s="27"/>
      <c r="O501" s="28" t="s">
        <v>2276</v>
      </c>
    </row>
    <row r="502" spans="1:15" ht="15" customHeight="1" x14ac:dyDescent="0.3">
      <c r="A502" s="31">
        <v>46023</v>
      </c>
      <c r="B502" s="27" t="s">
        <v>53</v>
      </c>
      <c r="C502" s="27" t="s">
        <v>1895</v>
      </c>
      <c r="D502" s="27" t="s">
        <v>1896</v>
      </c>
      <c r="E502" s="27" t="s">
        <v>59</v>
      </c>
      <c r="F502" s="27" t="s">
        <v>1373</v>
      </c>
      <c r="G502" s="27" t="s">
        <v>1396</v>
      </c>
      <c r="H502" s="27" t="s">
        <v>59</v>
      </c>
      <c r="I502" s="27" t="s">
        <v>116</v>
      </c>
      <c r="J502" s="27" t="s">
        <v>650</v>
      </c>
      <c r="K502" s="39" t="s">
        <v>1366</v>
      </c>
      <c r="L502" s="41" t="s">
        <v>129</v>
      </c>
      <c r="M502" s="27"/>
      <c r="N502" s="27"/>
      <c r="O502" s="28" t="s">
        <v>2276</v>
      </c>
    </row>
    <row r="503" spans="1:15" ht="15" customHeight="1" x14ac:dyDescent="0.3">
      <c r="A503" s="31">
        <v>46023</v>
      </c>
      <c r="B503" s="27" t="s">
        <v>53</v>
      </c>
      <c r="C503" s="27" t="s">
        <v>1897</v>
      </c>
      <c r="D503" s="27" t="s">
        <v>1898</v>
      </c>
      <c r="E503" s="27" t="s">
        <v>1832</v>
      </c>
      <c r="F503" s="27" t="s">
        <v>1373</v>
      </c>
      <c r="G503" s="27" t="s">
        <v>1513</v>
      </c>
      <c r="H503" s="27">
        <v>7925</v>
      </c>
      <c r="I503" s="27" t="s">
        <v>116</v>
      </c>
      <c r="J503" s="27" t="s">
        <v>61</v>
      </c>
      <c r="K503" s="39" t="s">
        <v>1366</v>
      </c>
      <c r="L503" s="41" t="s">
        <v>129</v>
      </c>
      <c r="M503" s="27"/>
      <c r="N503" s="27"/>
      <c r="O503" s="28" t="s">
        <v>2276</v>
      </c>
    </row>
    <row r="504" spans="1:15" ht="15" customHeight="1" x14ac:dyDescent="0.3">
      <c r="A504" s="31">
        <v>46023</v>
      </c>
      <c r="B504" s="27" t="s">
        <v>53</v>
      </c>
      <c r="C504" s="27" t="s">
        <v>1899</v>
      </c>
      <c r="D504" s="27" t="s">
        <v>1898</v>
      </c>
      <c r="E504" s="27" t="s">
        <v>1832</v>
      </c>
      <c r="F504" s="27" t="s">
        <v>1373</v>
      </c>
      <c r="G504" s="27" t="s">
        <v>1513</v>
      </c>
      <c r="H504" s="27">
        <v>7926</v>
      </c>
      <c r="I504" s="27" t="s">
        <v>116</v>
      </c>
      <c r="J504" s="27" t="s">
        <v>61</v>
      </c>
      <c r="K504" s="39" t="s">
        <v>1366</v>
      </c>
      <c r="L504" s="41" t="s">
        <v>129</v>
      </c>
      <c r="M504" s="27"/>
      <c r="N504" s="27"/>
      <c r="O504" s="28" t="s">
        <v>2276</v>
      </c>
    </row>
    <row r="505" spans="1:15" ht="15" customHeight="1" x14ac:dyDescent="0.3">
      <c r="A505" s="31">
        <v>46023</v>
      </c>
      <c r="B505" s="27" t="s">
        <v>53</v>
      </c>
      <c r="C505" s="27" t="s">
        <v>1900</v>
      </c>
      <c r="D505" s="27" t="s">
        <v>1901</v>
      </c>
      <c r="E505" s="27" t="s">
        <v>59</v>
      </c>
      <c r="F505" s="27" t="s">
        <v>1373</v>
      </c>
      <c r="G505" s="27" t="s">
        <v>1396</v>
      </c>
      <c r="H505" s="27" t="s">
        <v>59</v>
      </c>
      <c r="I505" s="27" t="s">
        <v>116</v>
      </c>
      <c r="J505" s="27" t="s">
        <v>61</v>
      </c>
      <c r="K505" s="39" t="s">
        <v>1370</v>
      </c>
      <c r="L505" s="41" t="s">
        <v>309</v>
      </c>
      <c r="M505" s="27"/>
      <c r="N505" s="27"/>
      <c r="O505" s="28" t="s">
        <v>2276</v>
      </c>
    </row>
    <row r="506" spans="1:15" ht="15" customHeight="1" x14ac:dyDescent="0.3">
      <c r="A506" s="31">
        <v>46023</v>
      </c>
      <c r="B506" s="27" t="s">
        <v>53</v>
      </c>
      <c r="C506" s="27" t="s">
        <v>1902</v>
      </c>
      <c r="D506" s="27" t="s">
        <v>1903</v>
      </c>
      <c r="E506" s="27" t="s">
        <v>1419</v>
      </c>
      <c r="F506" s="27" t="s">
        <v>1373</v>
      </c>
      <c r="G506" s="27" t="s">
        <v>1396</v>
      </c>
      <c r="H506" s="27" t="s">
        <v>59</v>
      </c>
      <c r="I506" s="27" t="s">
        <v>60</v>
      </c>
      <c r="J506" s="27" t="s">
        <v>61</v>
      </c>
      <c r="K506" s="39" t="s">
        <v>1370</v>
      </c>
      <c r="L506" s="41" t="s">
        <v>309</v>
      </c>
      <c r="M506" s="27"/>
      <c r="N506" s="27"/>
      <c r="O506" s="28" t="s">
        <v>2276</v>
      </c>
    </row>
    <row r="507" spans="1:15" ht="15" customHeight="1" x14ac:dyDescent="0.3">
      <c r="A507" s="31">
        <v>46023</v>
      </c>
      <c r="B507" s="27" t="s">
        <v>53</v>
      </c>
      <c r="C507" s="27" t="s">
        <v>1904</v>
      </c>
      <c r="D507" s="27" t="s">
        <v>1905</v>
      </c>
      <c r="E507" s="27" t="s">
        <v>1763</v>
      </c>
      <c r="F507" s="27" t="s">
        <v>1373</v>
      </c>
      <c r="G507" s="27" t="s">
        <v>1396</v>
      </c>
      <c r="H507" s="27" t="s">
        <v>59</v>
      </c>
      <c r="I507" s="27" t="s">
        <v>60</v>
      </c>
      <c r="J507" s="27" t="s">
        <v>61</v>
      </c>
      <c r="K507" s="39" t="s">
        <v>1370</v>
      </c>
      <c r="L507" s="41" t="s">
        <v>309</v>
      </c>
      <c r="M507" s="27"/>
      <c r="N507" s="27"/>
      <c r="O507" s="28" t="s">
        <v>2276</v>
      </c>
    </row>
    <row r="508" spans="1:15" ht="15" customHeight="1" x14ac:dyDescent="0.3">
      <c r="A508" s="31">
        <v>46023</v>
      </c>
      <c r="B508" s="27" t="s">
        <v>53</v>
      </c>
      <c r="C508" s="27" t="s">
        <v>1906</v>
      </c>
      <c r="D508" s="27" t="s">
        <v>1907</v>
      </c>
      <c r="E508" s="27" t="s">
        <v>1763</v>
      </c>
      <c r="F508" s="27" t="s">
        <v>1373</v>
      </c>
      <c r="G508" s="27" t="s">
        <v>1396</v>
      </c>
      <c r="H508" s="27" t="s">
        <v>59</v>
      </c>
      <c r="I508" s="27" t="s">
        <v>60</v>
      </c>
      <c r="J508" s="27" t="s">
        <v>61</v>
      </c>
      <c r="K508" s="39" t="s">
        <v>1370</v>
      </c>
      <c r="L508" s="41" t="s">
        <v>309</v>
      </c>
      <c r="M508" s="27"/>
      <c r="N508" s="27"/>
      <c r="O508" s="28" t="s">
        <v>2276</v>
      </c>
    </row>
    <row r="509" spans="1:15" ht="15" customHeight="1" x14ac:dyDescent="0.3">
      <c r="A509" s="31">
        <v>46023</v>
      </c>
      <c r="B509" s="27" t="s">
        <v>53</v>
      </c>
      <c r="C509" s="27" t="s">
        <v>1908</v>
      </c>
      <c r="D509" s="27" t="s">
        <v>1909</v>
      </c>
      <c r="E509" s="27" t="s">
        <v>59</v>
      </c>
      <c r="F509" s="27" t="s">
        <v>1373</v>
      </c>
      <c r="G509" s="27" t="s">
        <v>587</v>
      </c>
      <c r="H509" s="27" t="s">
        <v>59</v>
      </c>
      <c r="I509" s="27" t="s">
        <v>116</v>
      </c>
      <c r="J509" s="27" t="s">
        <v>61</v>
      </c>
      <c r="K509" s="39" t="s">
        <v>1370</v>
      </c>
      <c r="L509" s="41" t="s">
        <v>309</v>
      </c>
      <c r="M509" s="27"/>
      <c r="N509" s="27"/>
      <c r="O509" s="28" t="s">
        <v>2276</v>
      </c>
    </row>
    <row r="510" spans="1:15" ht="15" customHeight="1" x14ac:dyDescent="0.3">
      <c r="A510" s="31">
        <v>46023</v>
      </c>
      <c r="B510" s="27" t="s">
        <v>53</v>
      </c>
      <c r="C510" s="27" t="s">
        <v>1910</v>
      </c>
      <c r="D510" s="27" t="s">
        <v>1911</v>
      </c>
      <c r="E510" s="27" t="s">
        <v>59</v>
      </c>
      <c r="F510" s="27" t="s">
        <v>1373</v>
      </c>
      <c r="G510" s="27" t="s">
        <v>1396</v>
      </c>
      <c r="H510" s="27" t="s">
        <v>59</v>
      </c>
      <c r="I510" s="27" t="s">
        <v>116</v>
      </c>
      <c r="J510" s="27" t="s">
        <v>1067</v>
      </c>
      <c r="K510" s="39" t="s">
        <v>1370</v>
      </c>
      <c r="L510" s="41" t="s">
        <v>309</v>
      </c>
      <c r="M510" s="27"/>
      <c r="N510" s="27"/>
      <c r="O510" s="28" t="s">
        <v>2276</v>
      </c>
    </row>
    <row r="511" spans="1:15" ht="15" customHeight="1" x14ac:dyDescent="0.3">
      <c r="A511" s="31">
        <v>46023</v>
      </c>
      <c r="B511" s="27" t="s">
        <v>53</v>
      </c>
      <c r="C511" s="27" t="s">
        <v>1912</v>
      </c>
      <c r="D511" s="27" t="s">
        <v>1913</v>
      </c>
      <c r="E511" s="27" t="s">
        <v>59</v>
      </c>
      <c r="F511" s="27" t="s">
        <v>1373</v>
      </c>
      <c r="G511" s="27" t="s">
        <v>587</v>
      </c>
      <c r="H511" s="27" t="s">
        <v>59</v>
      </c>
      <c r="I511" s="27" t="s">
        <v>116</v>
      </c>
      <c r="J511" s="27" t="s">
        <v>61</v>
      </c>
      <c r="K511" s="39" t="s">
        <v>1370</v>
      </c>
      <c r="L511" s="41" t="s">
        <v>309</v>
      </c>
      <c r="M511" s="27"/>
      <c r="N511" s="27"/>
      <c r="O511" s="28" t="s">
        <v>2276</v>
      </c>
    </row>
    <row r="512" spans="1:15" ht="15" customHeight="1" x14ac:dyDescent="0.3">
      <c r="A512" s="31">
        <v>46023</v>
      </c>
      <c r="B512" s="27" t="s">
        <v>53</v>
      </c>
      <c r="C512" s="27" t="s">
        <v>1914</v>
      </c>
      <c r="D512" s="27" t="s">
        <v>1915</v>
      </c>
      <c r="E512" s="27" t="s">
        <v>59</v>
      </c>
      <c r="F512" s="27" t="s">
        <v>1373</v>
      </c>
      <c r="G512" s="27" t="s">
        <v>1403</v>
      </c>
      <c r="H512" s="27" t="s">
        <v>59</v>
      </c>
      <c r="I512" s="27" t="s">
        <v>60</v>
      </c>
      <c r="J512" s="27" t="s">
        <v>61</v>
      </c>
      <c r="K512" s="39" t="s">
        <v>1916</v>
      </c>
      <c r="L512" s="41" t="s">
        <v>309</v>
      </c>
      <c r="M512" s="27"/>
      <c r="N512" s="27"/>
      <c r="O512" s="28" t="s">
        <v>2276</v>
      </c>
    </row>
    <row r="513" spans="1:15" ht="15" customHeight="1" x14ac:dyDescent="0.3">
      <c r="A513" s="31">
        <v>46023</v>
      </c>
      <c r="B513" s="27" t="s">
        <v>53</v>
      </c>
      <c r="C513" s="27" t="s">
        <v>1917</v>
      </c>
      <c r="D513" s="27" t="s">
        <v>1918</v>
      </c>
      <c r="E513" s="27" t="s">
        <v>59</v>
      </c>
      <c r="F513" s="27" t="s">
        <v>1373</v>
      </c>
      <c r="G513" s="27" t="s">
        <v>1374</v>
      </c>
      <c r="H513" s="27" t="s">
        <v>59</v>
      </c>
      <c r="I513" s="27" t="s">
        <v>116</v>
      </c>
      <c r="J513" s="27" t="s">
        <v>61</v>
      </c>
      <c r="K513" s="39" t="s">
        <v>1916</v>
      </c>
      <c r="L513" s="41" t="s">
        <v>309</v>
      </c>
      <c r="M513" s="27"/>
      <c r="N513" s="27"/>
      <c r="O513" s="28" t="s">
        <v>2276</v>
      </c>
    </row>
    <row r="514" spans="1:15" ht="15" customHeight="1" x14ac:dyDescent="0.3">
      <c r="A514" s="31">
        <v>46023</v>
      </c>
      <c r="B514" s="27" t="s">
        <v>53</v>
      </c>
      <c r="C514" s="27" t="s">
        <v>1919</v>
      </c>
      <c r="D514" s="27" t="s">
        <v>1920</v>
      </c>
      <c r="E514" s="27" t="s">
        <v>59</v>
      </c>
      <c r="F514" s="27" t="s">
        <v>1373</v>
      </c>
      <c r="G514" s="27" t="s">
        <v>587</v>
      </c>
      <c r="H514" s="27" t="s">
        <v>59</v>
      </c>
      <c r="I514" s="27" t="s">
        <v>116</v>
      </c>
      <c r="J514" s="27" t="s">
        <v>1067</v>
      </c>
      <c r="K514" s="39" t="s">
        <v>1370</v>
      </c>
      <c r="L514" s="41" t="s">
        <v>309</v>
      </c>
      <c r="M514" s="27"/>
      <c r="N514" s="27"/>
      <c r="O514" s="28" t="s">
        <v>2276</v>
      </c>
    </row>
    <row r="515" spans="1:15" ht="15" customHeight="1" x14ac:dyDescent="0.3">
      <c r="A515" s="31">
        <v>46023</v>
      </c>
      <c r="B515" s="27" t="s">
        <v>53</v>
      </c>
      <c r="C515" s="27" t="s">
        <v>1921</v>
      </c>
      <c r="D515" s="27" t="s">
        <v>1922</v>
      </c>
      <c r="E515" s="27" t="s">
        <v>1923</v>
      </c>
      <c r="F515" s="27" t="s">
        <v>1373</v>
      </c>
      <c r="G515" s="27" t="s">
        <v>587</v>
      </c>
      <c r="H515" s="27">
        <v>393022419</v>
      </c>
      <c r="I515" s="27" t="s">
        <v>116</v>
      </c>
      <c r="J515" s="27" t="s">
        <v>61</v>
      </c>
      <c r="K515" s="39" t="s">
        <v>1370</v>
      </c>
      <c r="L515" s="41" t="s">
        <v>309</v>
      </c>
      <c r="M515" s="27"/>
      <c r="N515" s="27"/>
      <c r="O515" s="28" t="s">
        <v>2276</v>
      </c>
    </row>
    <row r="516" spans="1:15" ht="15" customHeight="1" x14ac:dyDescent="0.3">
      <c r="A516" s="31">
        <v>46023</v>
      </c>
      <c r="B516" s="27" t="s">
        <v>53</v>
      </c>
      <c r="C516" s="27" t="s">
        <v>1924</v>
      </c>
      <c r="D516" s="27" t="s">
        <v>1925</v>
      </c>
      <c r="E516" s="27" t="s">
        <v>1926</v>
      </c>
      <c r="F516" s="27" t="s">
        <v>1373</v>
      </c>
      <c r="G516" s="27" t="s">
        <v>1396</v>
      </c>
      <c r="H516" s="27" t="s">
        <v>59</v>
      </c>
      <c r="I516" s="27" t="s">
        <v>116</v>
      </c>
      <c r="J516" s="27" t="s">
        <v>61</v>
      </c>
      <c r="K516" s="39" t="s">
        <v>1370</v>
      </c>
      <c r="L516" s="41" t="s">
        <v>309</v>
      </c>
      <c r="M516" s="27"/>
      <c r="N516" s="27"/>
      <c r="O516" s="28" t="s">
        <v>2276</v>
      </c>
    </row>
    <row r="517" spans="1:15" ht="15" customHeight="1" x14ac:dyDescent="0.3">
      <c r="A517" s="31">
        <v>46023</v>
      </c>
      <c r="B517" s="27" t="s">
        <v>53</v>
      </c>
      <c r="C517" s="27" t="s">
        <v>1927</v>
      </c>
      <c r="D517" s="27" t="s">
        <v>1928</v>
      </c>
      <c r="E517" s="27" t="s">
        <v>1929</v>
      </c>
      <c r="F517" s="27" t="s">
        <v>1373</v>
      </c>
      <c r="G517" s="27" t="s">
        <v>1396</v>
      </c>
      <c r="H517" s="27" t="s">
        <v>59</v>
      </c>
      <c r="I517" s="27" t="s">
        <v>116</v>
      </c>
      <c r="J517" s="27" t="s">
        <v>258</v>
      </c>
      <c r="K517" s="39" t="s">
        <v>1916</v>
      </c>
      <c r="L517" s="41" t="s">
        <v>309</v>
      </c>
      <c r="M517" s="27"/>
      <c r="N517" s="27"/>
      <c r="O517" s="28" t="s">
        <v>2276</v>
      </c>
    </row>
    <row r="518" spans="1:15" ht="15" customHeight="1" x14ac:dyDescent="0.3">
      <c r="A518" s="31">
        <v>46023</v>
      </c>
      <c r="B518" s="27" t="s">
        <v>53</v>
      </c>
      <c r="C518" s="27" t="s">
        <v>2676</v>
      </c>
      <c r="D518" s="27" t="s">
        <v>2677</v>
      </c>
      <c r="E518" s="27" t="s">
        <v>2678</v>
      </c>
      <c r="F518" s="27" t="s">
        <v>1373</v>
      </c>
      <c r="G518" s="27" t="s">
        <v>1396</v>
      </c>
      <c r="H518" s="27" t="s">
        <v>59</v>
      </c>
      <c r="I518" s="27" t="s">
        <v>116</v>
      </c>
      <c r="J518" s="27" t="s">
        <v>144</v>
      </c>
      <c r="K518" s="39" t="s">
        <v>2679</v>
      </c>
      <c r="L518" s="41" t="s">
        <v>112</v>
      </c>
      <c r="M518" s="27"/>
      <c r="N518" s="27"/>
      <c r="O518" s="28" t="s">
        <v>2276</v>
      </c>
    </row>
    <row r="519" spans="1:15" ht="15" customHeight="1" x14ac:dyDescent="0.3">
      <c r="A519" s="31">
        <v>46023</v>
      </c>
      <c r="B519" s="27" t="s">
        <v>53</v>
      </c>
      <c r="C519" s="27" t="s">
        <v>2680</v>
      </c>
      <c r="D519" s="27" t="s">
        <v>2677</v>
      </c>
      <c r="E519" s="27" t="s">
        <v>2681</v>
      </c>
      <c r="F519" s="27" t="s">
        <v>1373</v>
      </c>
      <c r="G519" s="27" t="s">
        <v>1396</v>
      </c>
      <c r="H519" s="27" t="s">
        <v>59</v>
      </c>
      <c r="I519" s="27" t="s">
        <v>116</v>
      </c>
      <c r="J519" s="27" t="s">
        <v>144</v>
      </c>
      <c r="K519" s="39" t="s">
        <v>2679</v>
      </c>
      <c r="L519" s="41" t="s">
        <v>112</v>
      </c>
      <c r="M519" s="27"/>
      <c r="N519" s="27"/>
      <c r="O519" s="28" t="s">
        <v>2276</v>
      </c>
    </row>
    <row r="520" spans="1:15" ht="15" customHeight="1" x14ac:dyDescent="0.3">
      <c r="A520" s="31">
        <v>46023</v>
      </c>
      <c r="B520" s="27" t="s">
        <v>53</v>
      </c>
      <c r="C520" s="27" t="s">
        <v>2682</v>
      </c>
      <c r="D520" s="27" t="s">
        <v>2683</v>
      </c>
      <c r="E520" s="27" t="s">
        <v>1416</v>
      </c>
      <c r="F520" s="27" t="s">
        <v>1373</v>
      </c>
      <c r="G520" s="27" t="s">
        <v>1396</v>
      </c>
      <c r="H520" s="27" t="s">
        <v>59</v>
      </c>
      <c r="I520" s="27" t="s">
        <v>116</v>
      </c>
      <c r="J520" s="27" t="s">
        <v>144</v>
      </c>
      <c r="K520" s="39" t="s">
        <v>2679</v>
      </c>
      <c r="L520" s="41" t="s">
        <v>112</v>
      </c>
      <c r="M520" s="27"/>
      <c r="N520" s="27"/>
      <c r="O520" s="28" t="s">
        <v>2276</v>
      </c>
    </row>
    <row r="521" spans="1:15" ht="15" customHeight="1" x14ac:dyDescent="0.3">
      <c r="A521" s="31">
        <v>46023</v>
      </c>
      <c r="B521" s="27" t="s">
        <v>53</v>
      </c>
      <c r="C521" s="27" t="s">
        <v>2684</v>
      </c>
      <c r="D521" s="27" t="s">
        <v>2685</v>
      </c>
      <c r="E521" s="27" t="s">
        <v>59</v>
      </c>
      <c r="F521" s="27" t="s">
        <v>1373</v>
      </c>
      <c r="G521" s="27" t="s">
        <v>2686</v>
      </c>
      <c r="H521" s="27" t="s">
        <v>59</v>
      </c>
      <c r="I521" s="27" t="s">
        <v>468</v>
      </c>
      <c r="J521" s="27" t="s">
        <v>144</v>
      </c>
      <c r="K521" s="39" t="s">
        <v>2329</v>
      </c>
      <c r="L521" s="41" t="s">
        <v>1953</v>
      </c>
      <c r="M521" s="27"/>
      <c r="N521" s="27"/>
      <c r="O521" s="28" t="s">
        <v>2276</v>
      </c>
    </row>
    <row r="522" spans="1:15" ht="15" customHeight="1" x14ac:dyDescent="0.3">
      <c r="A522" s="31">
        <v>46023</v>
      </c>
      <c r="B522" s="27" t="s">
        <v>53</v>
      </c>
      <c r="C522" s="27" t="s">
        <v>2687</v>
      </c>
      <c r="D522" s="27" t="s">
        <v>2688</v>
      </c>
      <c r="E522" s="27" t="s">
        <v>59</v>
      </c>
      <c r="F522" s="27" t="s">
        <v>1373</v>
      </c>
      <c r="G522" s="27" t="s">
        <v>2686</v>
      </c>
      <c r="H522" s="27" t="s">
        <v>59</v>
      </c>
      <c r="I522" s="27" t="s">
        <v>143</v>
      </c>
      <c r="J522" s="27" t="s">
        <v>144</v>
      </c>
      <c r="K522" s="39" t="s">
        <v>2368</v>
      </c>
      <c r="L522" s="41" t="s">
        <v>1953</v>
      </c>
      <c r="M522" s="27"/>
      <c r="N522" s="27"/>
      <c r="O522" s="28" t="s">
        <v>2276</v>
      </c>
    </row>
    <row r="523" spans="1:15" ht="15" customHeight="1" x14ac:dyDescent="0.3">
      <c r="A523" s="31">
        <v>46023</v>
      </c>
      <c r="B523" s="27" t="s">
        <v>53</v>
      </c>
      <c r="C523" s="27" t="s">
        <v>2689</v>
      </c>
      <c r="D523" s="27" t="s">
        <v>2690</v>
      </c>
      <c r="E523" s="27" t="s">
        <v>59</v>
      </c>
      <c r="F523" s="27" t="s">
        <v>1373</v>
      </c>
      <c r="G523" s="27" t="s">
        <v>1396</v>
      </c>
      <c r="H523" s="27" t="s">
        <v>59</v>
      </c>
      <c r="I523" s="27" t="s">
        <v>116</v>
      </c>
      <c r="J523" s="27" t="s">
        <v>144</v>
      </c>
      <c r="K523" s="39" t="s">
        <v>2691</v>
      </c>
      <c r="L523" s="41" t="s">
        <v>129</v>
      </c>
      <c r="M523" s="27"/>
      <c r="N523" s="27"/>
      <c r="O523" s="28" t="s">
        <v>2276</v>
      </c>
    </row>
    <row r="524" spans="1:15" ht="15" customHeight="1" x14ac:dyDescent="0.3">
      <c r="A524" s="31">
        <v>46023</v>
      </c>
      <c r="B524" s="27" t="s">
        <v>53</v>
      </c>
      <c r="C524" s="27" t="s">
        <v>2692</v>
      </c>
      <c r="D524" s="27" t="s">
        <v>2693</v>
      </c>
      <c r="E524" s="27" t="s">
        <v>59</v>
      </c>
      <c r="F524" s="27" t="s">
        <v>1373</v>
      </c>
      <c r="G524" s="27" t="s">
        <v>1396</v>
      </c>
      <c r="H524" s="27" t="s">
        <v>59</v>
      </c>
      <c r="I524" s="27" t="s">
        <v>116</v>
      </c>
      <c r="J524" s="27" t="s">
        <v>144</v>
      </c>
      <c r="K524" s="39" t="s">
        <v>2691</v>
      </c>
      <c r="L524" s="41" t="s">
        <v>129</v>
      </c>
      <c r="M524" s="27"/>
      <c r="N524" s="27"/>
      <c r="O524" s="28" t="s">
        <v>2276</v>
      </c>
    </row>
    <row r="525" spans="1:15" ht="15" customHeight="1" x14ac:dyDescent="0.3">
      <c r="A525" s="31">
        <v>46023</v>
      </c>
      <c r="B525" s="27" t="s">
        <v>53</v>
      </c>
      <c r="C525" s="27" t="s">
        <v>2694</v>
      </c>
      <c r="D525" s="27" t="s">
        <v>2695</v>
      </c>
      <c r="E525" s="27" t="s">
        <v>59</v>
      </c>
      <c r="F525" s="27" t="s">
        <v>1373</v>
      </c>
      <c r="G525" s="27" t="s">
        <v>1396</v>
      </c>
      <c r="H525" s="27" t="s">
        <v>59</v>
      </c>
      <c r="I525" s="27" t="s">
        <v>116</v>
      </c>
      <c r="J525" s="27" t="s">
        <v>144</v>
      </c>
      <c r="K525" s="39" t="s">
        <v>2410</v>
      </c>
      <c r="L525" s="41" t="s">
        <v>112</v>
      </c>
      <c r="M525" s="27"/>
      <c r="N525" s="27"/>
      <c r="O525" s="28" t="s">
        <v>2276</v>
      </c>
    </row>
    <row r="526" spans="1:15" ht="15" customHeight="1" x14ac:dyDescent="0.3">
      <c r="A526" s="31">
        <v>46023</v>
      </c>
      <c r="B526" s="27" t="s">
        <v>53</v>
      </c>
      <c r="C526" s="27" t="s">
        <v>2696</v>
      </c>
      <c r="D526" s="27" t="s">
        <v>2697</v>
      </c>
      <c r="E526" s="27" t="s">
        <v>59</v>
      </c>
      <c r="F526" s="27" t="s">
        <v>1373</v>
      </c>
      <c r="G526" s="27" t="s">
        <v>1396</v>
      </c>
      <c r="H526" s="27" t="s">
        <v>59</v>
      </c>
      <c r="I526" s="27" t="s">
        <v>116</v>
      </c>
      <c r="J526" s="27" t="s">
        <v>144</v>
      </c>
      <c r="K526" s="39" t="s">
        <v>2410</v>
      </c>
      <c r="L526" s="41" t="s">
        <v>112</v>
      </c>
      <c r="M526" s="27"/>
      <c r="N526" s="27"/>
      <c r="O526" s="28" t="s">
        <v>2276</v>
      </c>
    </row>
    <row r="527" spans="1:15" ht="15" customHeight="1" x14ac:dyDescent="0.3">
      <c r="A527" s="31">
        <v>46023</v>
      </c>
      <c r="B527" s="27" t="s">
        <v>53</v>
      </c>
      <c r="C527" s="27" t="s">
        <v>2698</v>
      </c>
      <c r="D527" s="27" t="s">
        <v>2699</v>
      </c>
      <c r="E527" s="27" t="s">
        <v>59</v>
      </c>
      <c r="F527" s="27" t="s">
        <v>1373</v>
      </c>
      <c r="G527" s="27" t="s">
        <v>1396</v>
      </c>
      <c r="H527" s="27" t="s">
        <v>59</v>
      </c>
      <c r="I527" s="27" t="s">
        <v>116</v>
      </c>
      <c r="J527" s="27" t="s">
        <v>144</v>
      </c>
      <c r="K527" s="39" t="s">
        <v>2410</v>
      </c>
      <c r="L527" s="41" t="s">
        <v>112</v>
      </c>
      <c r="M527" s="27"/>
      <c r="N527" s="27"/>
      <c r="O527" s="28" t="s">
        <v>2276</v>
      </c>
    </row>
    <row r="528" spans="1:15" ht="15" customHeight="1" x14ac:dyDescent="0.3">
      <c r="A528" s="31">
        <v>46023</v>
      </c>
      <c r="B528" s="27" t="s">
        <v>53</v>
      </c>
      <c r="C528" s="27" t="s">
        <v>2700</v>
      </c>
      <c r="D528" s="27" t="s">
        <v>2701</v>
      </c>
      <c r="E528" s="27" t="s">
        <v>59</v>
      </c>
      <c r="F528" s="27" t="s">
        <v>1373</v>
      </c>
      <c r="G528" s="27" t="s">
        <v>1396</v>
      </c>
      <c r="H528" s="27" t="s">
        <v>59</v>
      </c>
      <c r="I528" s="27" t="s">
        <v>116</v>
      </c>
      <c r="J528" s="27" t="s">
        <v>144</v>
      </c>
      <c r="K528" s="39" t="s">
        <v>2410</v>
      </c>
      <c r="L528" s="41" t="s">
        <v>112</v>
      </c>
      <c r="M528" s="27"/>
      <c r="N528" s="27"/>
      <c r="O528" s="28" t="s">
        <v>2276</v>
      </c>
    </row>
    <row r="529" spans="1:15" ht="15" customHeight="1" x14ac:dyDescent="0.3">
      <c r="A529" s="31">
        <v>46023</v>
      </c>
      <c r="B529" s="27" t="s">
        <v>53</v>
      </c>
      <c r="C529" s="27" t="s">
        <v>2702</v>
      </c>
      <c r="D529" s="27" t="s">
        <v>2703</v>
      </c>
      <c r="E529" s="27" t="s">
        <v>59</v>
      </c>
      <c r="F529" s="27" t="s">
        <v>1373</v>
      </c>
      <c r="G529" s="27" t="s">
        <v>1396</v>
      </c>
      <c r="H529" s="27" t="s">
        <v>59</v>
      </c>
      <c r="I529" s="27" t="s">
        <v>116</v>
      </c>
      <c r="J529" s="27" t="s">
        <v>144</v>
      </c>
      <c r="K529" s="39" t="s">
        <v>2410</v>
      </c>
      <c r="L529" s="41" t="s">
        <v>112</v>
      </c>
      <c r="M529" s="27"/>
      <c r="N529" s="27"/>
      <c r="O529" s="28" t="s">
        <v>2276</v>
      </c>
    </row>
    <row r="530" spans="1:15" ht="15" customHeight="1" x14ac:dyDescent="0.3">
      <c r="A530" s="31">
        <v>46023</v>
      </c>
      <c r="B530" s="27" t="s">
        <v>53</v>
      </c>
      <c r="C530" s="27" t="s">
        <v>2704</v>
      </c>
      <c r="D530" s="27" t="s">
        <v>2705</v>
      </c>
      <c r="E530" s="27" t="s">
        <v>59</v>
      </c>
      <c r="F530" s="27" t="s">
        <v>1373</v>
      </c>
      <c r="G530" s="27" t="s">
        <v>1396</v>
      </c>
      <c r="H530" s="27" t="s">
        <v>59</v>
      </c>
      <c r="I530" s="27" t="s">
        <v>116</v>
      </c>
      <c r="J530" s="27" t="s">
        <v>144</v>
      </c>
      <c r="K530" s="39" t="s">
        <v>2410</v>
      </c>
      <c r="L530" s="41" t="s">
        <v>112</v>
      </c>
      <c r="M530" s="27"/>
      <c r="N530" s="27"/>
      <c r="O530" s="28" t="s">
        <v>2276</v>
      </c>
    </row>
    <row r="531" spans="1:15" ht="15" customHeight="1" x14ac:dyDescent="0.3">
      <c r="A531" s="31">
        <v>46023</v>
      </c>
      <c r="B531" s="27" t="s">
        <v>53</v>
      </c>
      <c r="C531" s="27" t="s">
        <v>2706</v>
      </c>
      <c r="D531" s="27" t="s">
        <v>2707</v>
      </c>
      <c r="E531" s="27" t="s">
        <v>59</v>
      </c>
      <c r="F531" s="27" t="s">
        <v>1373</v>
      </c>
      <c r="G531" s="27" t="s">
        <v>1396</v>
      </c>
      <c r="H531" s="27" t="s">
        <v>59</v>
      </c>
      <c r="I531" s="27" t="s">
        <v>116</v>
      </c>
      <c r="J531" s="27" t="s">
        <v>144</v>
      </c>
      <c r="K531" s="39" t="s">
        <v>2410</v>
      </c>
      <c r="L531" s="41" t="s">
        <v>112</v>
      </c>
      <c r="M531" s="27"/>
      <c r="N531" s="27"/>
      <c r="O531" s="28" t="s">
        <v>2276</v>
      </c>
    </row>
    <row r="532" spans="1:15" ht="15" customHeight="1" x14ac:dyDescent="0.3">
      <c r="A532" s="31">
        <v>46023</v>
      </c>
      <c r="B532" s="27" t="s">
        <v>53</v>
      </c>
      <c r="C532" s="27" t="s">
        <v>2708</v>
      </c>
      <c r="D532" s="27" t="s">
        <v>2709</v>
      </c>
      <c r="E532" s="27" t="s">
        <v>59</v>
      </c>
      <c r="F532" s="27" t="s">
        <v>1373</v>
      </c>
      <c r="G532" s="27" t="s">
        <v>1396</v>
      </c>
      <c r="H532" s="27" t="s">
        <v>59</v>
      </c>
      <c r="I532" s="27" t="s">
        <v>116</v>
      </c>
      <c r="J532" s="27" t="s">
        <v>144</v>
      </c>
      <c r="K532" s="39" t="s">
        <v>2410</v>
      </c>
      <c r="L532" s="41" t="s">
        <v>112</v>
      </c>
      <c r="M532" s="27"/>
      <c r="N532" s="27"/>
      <c r="O532" s="28" t="s">
        <v>2276</v>
      </c>
    </row>
    <row r="533" spans="1:15" ht="15" customHeight="1" x14ac:dyDescent="0.3">
      <c r="A533" s="31">
        <v>46023</v>
      </c>
      <c r="B533" s="27" t="s">
        <v>53</v>
      </c>
      <c r="C533" s="27" t="s">
        <v>2710</v>
      </c>
      <c r="D533" s="27" t="s">
        <v>2711</v>
      </c>
      <c r="E533" s="27" t="s">
        <v>2712</v>
      </c>
      <c r="F533" s="27" t="s">
        <v>1373</v>
      </c>
      <c r="G533" s="27" t="s">
        <v>1396</v>
      </c>
      <c r="H533" s="27" t="s">
        <v>59</v>
      </c>
      <c r="I533" s="27" t="s">
        <v>116</v>
      </c>
      <c r="J533" s="27" t="s">
        <v>144</v>
      </c>
      <c r="K533" s="39" t="s">
        <v>2713</v>
      </c>
      <c r="L533" s="41" t="s">
        <v>112</v>
      </c>
      <c r="M533" s="27"/>
      <c r="N533" s="27"/>
      <c r="O533" s="28" t="s">
        <v>2276</v>
      </c>
    </row>
    <row r="534" spans="1:15" ht="15" customHeight="1" x14ac:dyDescent="0.3">
      <c r="A534" s="31">
        <v>46023</v>
      </c>
      <c r="B534" s="27" t="s">
        <v>53</v>
      </c>
      <c r="C534" s="27" t="s">
        <v>2714</v>
      </c>
      <c r="D534" s="27" t="s">
        <v>2715</v>
      </c>
      <c r="E534" s="27" t="s">
        <v>2678</v>
      </c>
      <c r="F534" s="27" t="s">
        <v>1373</v>
      </c>
      <c r="G534" s="27" t="s">
        <v>1396</v>
      </c>
      <c r="H534" s="27" t="s">
        <v>59</v>
      </c>
      <c r="I534" s="27" t="s">
        <v>116</v>
      </c>
      <c r="J534" s="27" t="s">
        <v>144</v>
      </c>
      <c r="K534" s="39" t="s">
        <v>2713</v>
      </c>
      <c r="L534" s="41" t="s">
        <v>112</v>
      </c>
      <c r="M534" s="27"/>
      <c r="N534" s="27"/>
      <c r="O534" s="28" t="s">
        <v>2276</v>
      </c>
    </row>
    <row r="535" spans="1:15" ht="15" customHeight="1" x14ac:dyDescent="0.3">
      <c r="A535" s="31">
        <v>46023</v>
      </c>
      <c r="B535" s="27" t="s">
        <v>53</v>
      </c>
      <c r="C535" s="27" t="s">
        <v>2716</v>
      </c>
      <c r="D535" s="27" t="s">
        <v>2717</v>
      </c>
      <c r="E535" s="27" t="s">
        <v>2678</v>
      </c>
      <c r="F535" s="27" t="s">
        <v>1373</v>
      </c>
      <c r="G535" s="27" t="s">
        <v>1396</v>
      </c>
      <c r="H535" s="27" t="s">
        <v>59</v>
      </c>
      <c r="I535" s="27" t="s">
        <v>116</v>
      </c>
      <c r="J535" s="27" t="s">
        <v>144</v>
      </c>
      <c r="K535" s="39" t="s">
        <v>2713</v>
      </c>
      <c r="L535" s="41" t="s">
        <v>112</v>
      </c>
      <c r="M535" s="27"/>
      <c r="N535" s="27"/>
      <c r="O535" s="28" t="s">
        <v>2276</v>
      </c>
    </row>
    <row r="536" spans="1:15" ht="15" customHeight="1" x14ac:dyDescent="0.3">
      <c r="A536" s="31">
        <v>46023</v>
      </c>
      <c r="B536" s="27" t="s">
        <v>53</v>
      </c>
      <c r="C536" s="27" t="s">
        <v>2718</v>
      </c>
      <c r="D536" s="27" t="s">
        <v>2719</v>
      </c>
      <c r="E536" s="27" t="s">
        <v>2678</v>
      </c>
      <c r="F536" s="27" t="s">
        <v>1373</v>
      </c>
      <c r="G536" s="27" t="s">
        <v>1396</v>
      </c>
      <c r="H536" s="27" t="s">
        <v>59</v>
      </c>
      <c r="I536" s="27" t="s">
        <v>116</v>
      </c>
      <c r="J536" s="27" t="s">
        <v>144</v>
      </c>
      <c r="K536" s="39" t="s">
        <v>2713</v>
      </c>
      <c r="L536" s="41" t="s">
        <v>112</v>
      </c>
      <c r="M536" s="27"/>
      <c r="N536" s="27"/>
      <c r="O536" s="28" t="s">
        <v>2276</v>
      </c>
    </row>
    <row r="537" spans="1:15" ht="15" customHeight="1" x14ac:dyDescent="0.3">
      <c r="A537" s="31">
        <v>46023</v>
      </c>
      <c r="B537" s="27" t="s">
        <v>53</v>
      </c>
      <c r="C537" s="27" t="s">
        <v>2720</v>
      </c>
      <c r="D537" s="27" t="s">
        <v>2721</v>
      </c>
      <c r="E537" s="27" t="s">
        <v>2678</v>
      </c>
      <c r="F537" s="27" t="s">
        <v>1373</v>
      </c>
      <c r="G537" s="27" t="s">
        <v>1396</v>
      </c>
      <c r="H537" s="27" t="s">
        <v>59</v>
      </c>
      <c r="I537" s="27" t="s">
        <v>116</v>
      </c>
      <c r="J537" s="27" t="s">
        <v>144</v>
      </c>
      <c r="K537" s="39" t="s">
        <v>2713</v>
      </c>
      <c r="L537" s="41" t="s">
        <v>112</v>
      </c>
      <c r="M537" s="27"/>
      <c r="N537" s="27"/>
      <c r="O537" s="28" t="s">
        <v>2276</v>
      </c>
    </row>
    <row r="538" spans="1:15" ht="15" customHeight="1" x14ac:dyDescent="0.3">
      <c r="A538" s="31">
        <v>46023</v>
      </c>
      <c r="B538" s="27" t="s">
        <v>53</v>
      </c>
      <c r="C538" s="27" t="s">
        <v>2722</v>
      </c>
      <c r="D538" s="27" t="s">
        <v>2723</v>
      </c>
      <c r="E538" s="27" t="s">
        <v>2678</v>
      </c>
      <c r="F538" s="27" t="s">
        <v>1373</v>
      </c>
      <c r="G538" s="27" t="s">
        <v>1396</v>
      </c>
      <c r="H538" s="27" t="s">
        <v>59</v>
      </c>
      <c r="I538" s="27" t="s">
        <v>116</v>
      </c>
      <c r="J538" s="27" t="s">
        <v>144</v>
      </c>
      <c r="K538" s="39" t="s">
        <v>2713</v>
      </c>
      <c r="L538" s="41" t="s">
        <v>112</v>
      </c>
      <c r="M538" s="27"/>
      <c r="N538" s="27"/>
      <c r="O538" s="28" t="s">
        <v>2276</v>
      </c>
    </row>
    <row r="539" spans="1:15" ht="15" customHeight="1" x14ac:dyDescent="0.3">
      <c r="A539" s="31">
        <v>46023</v>
      </c>
      <c r="B539" s="27" t="s">
        <v>53</v>
      </c>
      <c r="C539" s="27" t="s">
        <v>2724</v>
      </c>
      <c r="D539" s="27" t="s">
        <v>2725</v>
      </c>
      <c r="E539" s="27" t="s">
        <v>2678</v>
      </c>
      <c r="F539" s="27" t="s">
        <v>1373</v>
      </c>
      <c r="G539" s="27" t="s">
        <v>1396</v>
      </c>
      <c r="H539" s="27" t="s">
        <v>59</v>
      </c>
      <c r="I539" s="27" t="s">
        <v>116</v>
      </c>
      <c r="J539" s="27" t="s">
        <v>144</v>
      </c>
      <c r="K539" s="39" t="s">
        <v>2713</v>
      </c>
      <c r="L539" s="41" t="s">
        <v>112</v>
      </c>
      <c r="M539" s="27"/>
      <c r="N539" s="27"/>
      <c r="O539" s="28" t="s">
        <v>2276</v>
      </c>
    </row>
    <row r="540" spans="1:15" ht="15" customHeight="1" x14ac:dyDescent="0.3">
      <c r="A540" s="31">
        <v>46023</v>
      </c>
      <c r="B540" s="27" t="s">
        <v>53</v>
      </c>
      <c r="C540" s="27" t="s">
        <v>2726</v>
      </c>
      <c r="D540" s="27" t="s">
        <v>2727</v>
      </c>
      <c r="E540" s="27" t="s">
        <v>2678</v>
      </c>
      <c r="F540" s="27" t="s">
        <v>1373</v>
      </c>
      <c r="G540" s="27" t="s">
        <v>1396</v>
      </c>
      <c r="H540" s="27" t="s">
        <v>59</v>
      </c>
      <c r="I540" s="27" t="s">
        <v>116</v>
      </c>
      <c r="J540" s="27" t="s">
        <v>144</v>
      </c>
      <c r="K540" s="39" t="s">
        <v>2713</v>
      </c>
      <c r="L540" s="41" t="s">
        <v>112</v>
      </c>
      <c r="M540" s="27"/>
      <c r="N540" s="27"/>
      <c r="O540" s="28" t="s">
        <v>2276</v>
      </c>
    </row>
    <row r="541" spans="1:15" ht="15" customHeight="1" x14ac:dyDescent="0.3">
      <c r="A541" s="31">
        <v>46023</v>
      </c>
      <c r="B541" s="27" t="s">
        <v>53</v>
      </c>
      <c r="C541" s="27" t="s">
        <v>2728</v>
      </c>
      <c r="D541" s="27" t="s">
        <v>2729</v>
      </c>
      <c r="E541" s="27" t="s">
        <v>2678</v>
      </c>
      <c r="F541" s="27" t="s">
        <v>1373</v>
      </c>
      <c r="G541" s="27" t="s">
        <v>1396</v>
      </c>
      <c r="H541" s="27" t="s">
        <v>59</v>
      </c>
      <c r="I541" s="27" t="s">
        <v>116</v>
      </c>
      <c r="J541" s="27" t="s">
        <v>144</v>
      </c>
      <c r="K541" s="39" t="s">
        <v>2713</v>
      </c>
      <c r="L541" s="41" t="s">
        <v>112</v>
      </c>
      <c r="M541" s="27"/>
      <c r="N541" s="27"/>
      <c r="O541" s="28" t="s">
        <v>2276</v>
      </c>
    </row>
    <row r="542" spans="1:15" ht="15" customHeight="1" x14ac:dyDescent="0.3">
      <c r="A542" s="31">
        <v>46023</v>
      </c>
      <c r="B542" s="27" t="s">
        <v>53</v>
      </c>
      <c r="C542" s="27" t="s">
        <v>2730</v>
      </c>
      <c r="D542" s="27" t="s">
        <v>2731</v>
      </c>
      <c r="E542" s="27" t="s">
        <v>2678</v>
      </c>
      <c r="F542" s="27" t="s">
        <v>1373</v>
      </c>
      <c r="G542" s="27" t="s">
        <v>1396</v>
      </c>
      <c r="H542" s="27" t="s">
        <v>59</v>
      </c>
      <c r="I542" s="27" t="s">
        <v>116</v>
      </c>
      <c r="J542" s="27" t="s">
        <v>144</v>
      </c>
      <c r="K542" s="39" t="s">
        <v>2713</v>
      </c>
      <c r="L542" s="41" t="s">
        <v>112</v>
      </c>
      <c r="M542" s="27"/>
      <c r="N542" s="27"/>
      <c r="O542" s="28" t="s">
        <v>2276</v>
      </c>
    </row>
    <row r="543" spans="1:15" ht="15" customHeight="1" x14ac:dyDescent="0.3">
      <c r="A543" s="31">
        <v>46023</v>
      </c>
      <c r="B543" s="27" t="s">
        <v>53</v>
      </c>
      <c r="C543" s="27" t="s">
        <v>2732</v>
      </c>
      <c r="D543" s="27" t="s">
        <v>2733</v>
      </c>
      <c r="E543" s="27" t="s">
        <v>2678</v>
      </c>
      <c r="F543" s="27" t="s">
        <v>1373</v>
      </c>
      <c r="G543" s="27" t="s">
        <v>1396</v>
      </c>
      <c r="H543" s="27" t="s">
        <v>59</v>
      </c>
      <c r="I543" s="27" t="s">
        <v>116</v>
      </c>
      <c r="J543" s="27" t="s">
        <v>144</v>
      </c>
      <c r="K543" s="39" t="s">
        <v>2713</v>
      </c>
      <c r="L543" s="41" t="s">
        <v>112</v>
      </c>
      <c r="M543" s="27"/>
      <c r="N543" s="27"/>
      <c r="O543" s="28" t="s">
        <v>2276</v>
      </c>
    </row>
    <row r="544" spans="1:15" ht="15" customHeight="1" x14ac:dyDescent="0.3">
      <c r="A544" s="31">
        <v>46023</v>
      </c>
      <c r="B544" s="27" t="s">
        <v>53</v>
      </c>
      <c r="C544" s="27" t="s">
        <v>2734</v>
      </c>
      <c r="D544" s="27" t="s">
        <v>2735</v>
      </c>
      <c r="E544" s="27" t="s">
        <v>2678</v>
      </c>
      <c r="F544" s="27" t="s">
        <v>1373</v>
      </c>
      <c r="G544" s="27" t="s">
        <v>1396</v>
      </c>
      <c r="H544" s="27" t="s">
        <v>59</v>
      </c>
      <c r="I544" s="27" t="s">
        <v>116</v>
      </c>
      <c r="J544" s="27" t="s">
        <v>144</v>
      </c>
      <c r="K544" s="39" t="s">
        <v>2713</v>
      </c>
      <c r="L544" s="41" t="s">
        <v>112</v>
      </c>
      <c r="M544" s="27"/>
      <c r="N544" s="27"/>
      <c r="O544" s="28" t="s">
        <v>2276</v>
      </c>
    </row>
    <row r="545" spans="1:15" ht="15" customHeight="1" x14ac:dyDescent="0.3">
      <c r="A545" s="31">
        <v>46023</v>
      </c>
      <c r="B545" s="27" t="s">
        <v>53</v>
      </c>
      <c r="C545" s="27" t="s">
        <v>2736</v>
      </c>
      <c r="D545" s="27" t="s">
        <v>2737</v>
      </c>
      <c r="E545" s="27" t="s">
        <v>2678</v>
      </c>
      <c r="F545" s="27" t="s">
        <v>1373</v>
      </c>
      <c r="G545" s="27" t="s">
        <v>1396</v>
      </c>
      <c r="H545" s="27" t="s">
        <v>59</v>
      </c>
      <c r="I545" s="27" t="s">
        <v>116</v>
      </c>
      <c r="J545" s="27" t="s">
        <v>144</v>
      </c>
      <c r="K545" s="39" t="s">
        <v>2713</v>
      </c>
      <c r="L545" s="41" t="s">
        <v>112</v>
      </c>
      <c r="M545" s="27"/>
      <c r="N545" s="27"/>
      <c r="O545" s="28" t="s">
        <v>2276</v>
      </c>
    </row>
    <row r="546" spans="1:15" ht="15" customHeight="1" x14ac:dyDescent="0.3">
      <c r="A546" s="31">
        <v>46023</v>
      </c>
      <c r="B546" s="27" t="s">
        <v>53</v>
      </c>
      <c r="C546" s="27" t="s">
        <v>2738</v>
      </c>
      <c r="D546" s="27" t="s">
        <v>2739</v>
      </c>
      <c r="E546" s="27" t="s">
        <v>2678</v>
      </c>
      <c r="F546" s="27" t="s">
        <v>1373</v>
      </c>
      <c r="G546" s="27" t="s">
        <v>1396</v>
      </c>
      <c r="H546" s="27" t="s">
        <v>59</v>
      </c>
      <c r="I546" s="27" t="s">
        <v>116</v>
      </c>
      <c r="J546" s="27" t="s">
        <v>144</v>
      </c>
      <c r="K546" s="39" t="s">
        <v>2713</v>
      </c>
      <c r="L546" s="41" t="s">
        <v>112</v>
      </c>
      <c r="M546" s="27"/>
      <c r="N546" s="27"/>
      <c r="O546" s="28" t="s">
        <v>2276</v>
      </c>
    </row>
    <row r="547" spans="1:15" ht="15" customHeight="1" x14ac:dyDescent="0.3">
      <c r="A547" s="31">
        <v>46023</v>
      </c>
      <c r="B547" s="27" t="s">
        <v>53</v>
      </c>
      <c r="C547" s="27" t="s">
        <v>2740</v>
      </c>
      <c r="D547" s="27" t="s">
        <v>2741</v>
      </c>
      <c r="E547" s="27" t="s">
        <v>2678</v>
      </c>
      <c r="F547" s="27" t="s">
        <v>1373</v>
      </c>
      <c r="G547" s="27" t="s">
        <v>1396</v>
      </c>
      <c r="H547" s="27" t="s">
        <v>59</v>
      </c>
      <c r="I547" s="27" t="s">
        <v>116</v>
      </c>
      <c r="J547" s="27" t="s">
        <v>144</v>
      </c>
      <c r="K547" s="39" t="s">
        <v>2713</v>
      </c>
      <c r="L547" s="41" t="s">
        <v>112</v>
      </c>
      <c r="M547" s="27"/>
      <c r="N547" s="27"/>
      <c r="O547" s="28" t="s">
        <v>2276</v>
      </c>
    </row>
    <row r="548" spans="1:15" ht="15" customHeight="1" x14ac:dyDescent="0.3">
      <c r="A548" s="31">
        <v>46023</v>
      </c>
      <c r="B548" s="27" t="s">
        <v>53</v>
      </c>
      <c r="C548" s="27" t="s">
        <v>2742</v>
      </c>
      <c r="D548" s="27" t="s">
        <v>2743</v>
      </c>
      <c r="E548" s="27" t="s">
        <v>2678</v>
      </c>
      <c r="F548" s="27" t="s">
        <v>1373</v>
      </c>
      <c r="G548" s="27" t="s">
        <v>1396</v>
      </c>
      <c r="H548" s="27" t="s">
        <v>59</v>
      </c>
      <c r="I548" s="27" t="s">
        <v>116</v>
      </c>
      <c r="J548" s="27" t="s">
        <v>144</v>
      </c>
      <c r="K548" s="39" t="s">
        <v>2713</v>
      </c>
      <c r="L548" s="41" t="s">
        <v>112</v>
      </c>
      <c r="M548" s="27"/>
      <c r="N548" s="27"/>
      <c r="O548" s="28" t="s">
        <v>2276</v>
      </c>
    </row>
    <row r="549" spans="1:15" ht="15" customHeight="1" x14ac:dyDescent="0.3">
      <c r="A549" s="31">
        <v>46023</v>
      </c>
      <c r="B549" s="27" t="s">
        <v>53</v>
      </c>
      <c r="C549" s="27" t="s">
        <v>2744</v>
      </c>
      <c r="D549" s="27" t="s">
        <v>2745</v>
      </c>
      <c r="E549" s="27" t="s">
        <v>2678</v>
      </c>
      <c r="F549" s="27" t="s">
        <v>1373</v>
      </c>
      <c r="G549" s="27" t="s">
        <v>1396</v>
      </c>
      <c r="H549" s="27" t="s">
        <v>59</v>
      </c>
      <c r="I549" s="27" t="s">
        <v>116</v>
      </c>
      <c r="J549" s="27" t="s">
        <v>144</v>
      </c>
      <c r="K549" s="39" t="s">
        <v>2713</v>
      </c>
      <c r="L549" s="41" t="s">
        <v>112</v>
      </c>
      <c r="M549" s="27"/>
      <c r="N549" s="27"/>
      <c r="O549" s="28" t="s">
        <v>2276</v>
      </c>
    </row>
    <row r="550" spans="1:15" ht="15" customHeight="1" x14ac:dyDescent="0.3">
      <c r="A550" s="31">
        <v>46023</v>
      </c>
      <c r="B550" s="27" t="s">
        <v>53</v>
      </c>
      <c r="C550" s="27" t="s">
        <v>2746</v>
      </c>
      <c r="D550" s="27" t="s">
        <v>2747</v>
      </c>
      <c r="E550" s="27" t="s">
        <v>2678</v>
      </c>
      <c r="F550" s="27" t="s">
        <v>1373</v>
      </c>
      <c r="G550" s="27" t="s">
        <v>1396</v>
      </c>
      <c r="H550" s="27" t="s">
        <v>59</v>
      </c>
      <c r="I550" s="27" t="s">
        <v>116</v>
      </c>
      <c r="J550" s="27" t="s">
        <v>144</v>
      </c>
      <c r="K550" s="39" t="s">
        <v>2713</v>
      </c>
      <c r="L550" s="41" t="s">
        <v>112</v>
      </c>
      <c r="M550" s="27"/>
      <c r="N550" s="27"/>
      <c r="O550" s="28" t="s">
        <v>2276</v>
      </c>
    </row>
    <row r="551" spans="1:15" ht="15" customHeight="1" x14ac:dyDescent="0.3">
      <c r="A551" s="31">
        <v>46023</v>
      </c>
      <c r="B551" s="27" t="s">
        <v>53</v>
      </c>
      <c r="C551" s="27" t="s">
        <v>2748</v>
      </c>
      <c r="D551" s="27" t="s">
        <v>2749</v>
      </c>
      <c r="E551" s="27" t="s">
        <v>2678</v>
      </c>
      <c r="F551" s="27" t="s">
        <v>1373</v>
      </c>
      <c r="G551" s="27" t="s">
        <v>1396</v>
      </c>
      <c r="H551" s="27" t="s">
        <v>59</v>
      </c>
      <c r="I551" s="27" t="s">
        <v>116</v>
      </c>
      <c r="J551" s="27" t="s">
        <v>144</v>
      </c>
      <c r="K551" s="39" t="s">
        <v>2713</v>
      </c>
      <c r="L551" s="41" t="s">
        <v>112</v>
      </c>
      <c r="M551" s="27"/>
      <c r="N551" s="27"/>
      <c r="O551" s="28" t="s">
        <v>2276</v>
      </c>
    </row>
    <row r="552" spans="1:15" ht="15" customHeight="1" x14ac:dyDescent="0.3">
      <c r="A552" s="31">
        <v>46023</v>
      </c>
      <c r="B552" s="27" t="s">
        <v>53</v>
      </c>
      <c r="C552" s="27" t="s">
        <v>2750</v>
      </c>
      <c r="D552" s="27" t="s">
        <v>2751</v>
      </c>
      <c r="E552" s="27" t="s">
        <v>2678</v>
      </c>
      <c r="F552" s="27" t="s">
        <v>1373</v>
      </c>
      <c r="G552" s="27" t="s">
        <v>1396</v>
      </c>
      <c r="H552" s="27" t="s">
        <v>59</v>
      </c>
      <c r="I552" s="27" t="s">
        <v>116</v>
      </c>
      <c r="J552" s="27" t="s">
        <v>144</v>
      </c>
      <c r="K552" s="39" t="s">
        <v>2713</v>
      </c>
      <c r="L552" s="41" t="s">
        <v>112</v>
      </c>
      <c r="M552" s="27"/>
      <c r="N552" s="27"/>
      <c r="O552" s="28" t="s">
        <v>2276</v>
      </c>
    </row>
    <row r="553" spans="1:15" ht="15" customHeight="1" x14ac:dyDescent="0.3">
      <c r="A553" s="31">
        <v>46023</v>
      </c>
      <c r="B553" s="27" t="s">
        <v>53</v>
      </c>
      <c r="C553" s="27" t="s">
        <v>2752</v>
      </c>
      <c r="D553" s="27" t="s">
        <v>2753</v>
      </c>
      <c r="E553" s="27" t="s">
        <v>2678</v>
      </c>
      <c r="F553" s="27" t="s">
        <v>1373</v>
      </c>
      <c r="G553" s="27" t="s">
        <v>1396</v>
      </c>
      <c r="H553" s="27" t="s">
        <v>59</v>
      </c>
      <c r="I553" s="27" t="s">
        <v>116</v>
      </c>
      <c r="J553" s="27" t="s">
        <v>144</v>
      </c>
      <c r="K553" s="39" t="s">
        <v>2713</v>
      </c>
      <c r="L553" s="41" t="s">
        <v>112</v>
      </c>
      <c r="M553" s="27"/>
      <c r="N553" s="27"/>
      <c r="O553" s="28" t="s">
        <v>2276</v>
      </c>
    </row>
    <row r="554" spans="1:15" ht="15" customHeight="1" x14ac:dyDescent="0.3">
      <c r="A554" s="31">
        <v>46023</v>
      </c>
      <c r="B554" s="27" t="s">
        <v>53</v>
      </c>
      <c r="C554" s="27" t="s">
        <v>2754</v>
      </c>
      <c r="D554" s="27" t="s">
        <v>2755</v>
      </c>
      <c r="E554" s="27" t="s">
        <v>2678</v>
      </c>
      <c r="F554" s="27" t="s">
        <v>1373</v>
      </c>
      <c r="G554" s="27" t="s">
        <v>1396</v>
      </c>
      <c r="H554" s="27" t="s">
        <v>59</v>
      </c>
      <c r="I554" s="27" t="s">
        <v>116</v>
      </c>
      <c r="J554" s="27" t="s">
        <v>144</v>
      </c>
      <c r="K554" s="39" t="s">
        <v>2713</v>
      </c>
      <c r="L554" s="41" t="s">
        <v>112</v>
      </c>
      <c r="M554" s="27"/>
      <c r="N554" s="27"/>
      <c r="O554" s="28" t="s">
        <v>2276</v>
      </c>
    </row>
    <row r="555" spans="1:15" ht="15" customHeight="1" x14ac:dyDescent="0.3">
      <c r="A555" s="31">
        <v>46023</v>
      </c>
      <c r="B555" s="27" t="s">
        <v>53</v>
      </c>
      <c r="C555" s="27" t="s">
        <v>2756</v>
      </c>
      <c r="D555" s="27" t="s">
        <v>2757</v>
      </c>
      <c r="E555" s="27" t="s">
        <v>2678</v>
      </c>
      <c r="F555" s="27" t="s">
        <v>1373</v>
      </c>
      <c r="G555" s="27" t="s">
        <v>1396</v>
      </c>
      <c r="H555" s="27" t="s">
        <v>59</v>
      </c>
      <c r="I555" s="27" t="s">
        <v>116</v>
      </c>
      <c r="J555" s="27" t="s">
        <v>144</v>
      </c>
      <c r="K555" s="39" t="s">
        <v>2713</v>
      </c>
      <c r="L555" s="41" t="s">
        <v>112</v>
      </c>
      <c r="M555" s="27"/>
      <c r="N555" s="27"/>
      <c r="O555" s="28" t="s">
        <v>2276</v>
      </c>
    </row>
    <row r="556" spans="1:15" ht="15" customHeight="1" x14ac:dyDescent="0.3">
      <c r="A556" s="31">
        <v>46023</v>
      </c>
      <c r="B556" s="27" t="s">
        <v>53</v>
      </c>
      <c r="C556" s="27" t="s">
        <v>2758</v>
      </c>
      <c r="D556" s="27" t="s">
        <v>2759</v>
      </c>
      <c r="E556" s="27" t="s">
        <v>2678</v>
      </c>
      <c r="F556" s="27" t="s">
        <v>1373</v>
      </c>
      <c r="G556" s="27" t="s">
        <v>1396</v>
      </c>
      <c r="H556" s="27" t="s">
        <v>59</v>
      </c>
      <c r="I556" s="27" t="s">
        <v>116</v>
      </c>
      <c r="J556" s="27" t="s">
        <v>144</v>
      </c>
      <c r="K556" s="39" t="s">
        <v>2713</v>
      </c>
      <c r="L556" s="41" t="s">
        <v>112</v>
      </c>
      <c r="M556" s="27"/>
      <c r="N556" s="27"/>
      <c r="O556" s="28" t="s">
        <v>2276</v>
      </c>
    </row>
    <row r="557" spans="1:15" ht="15" customHeight="1" x14ac:dyDescent="0.3">
      <c r="A557" s="31">
        <v>46023</v>
      </c>
      <c r="B557" s="27" t="s">
        <v>53</v>
      </c>
      <c r="C557" s="27" t="s">
        <v>2760</v>
      </c>
      <c r="D557" s="27" t="s">
        <v>2761</v>
      </c>
      <c r="E557" s="27" t="s">
        <v>2678</v>
      </c>
      <c r="F557" s="27" t="s">
        <v>1373</v>
      </c>
      <c r="G557" s="27" t="s">
        <v>1396</v>
      </c>
      <c r="H557" s="27" t="s">
        <v>59</v>
      </c>
      <c r="I557" s="27" t="s">
        <v>116</v>
      </c>
      <c r="J557" s="27" t="s">
        <v>144</v>
      </c>
      <c r="K557" s="39" t="s">
        <v>2713</v>
      </c>
      <c r="L557" s="41" t="s">
        <v>112</v>
      </c>
      <c r="M557" s="27"/>
      <c r="N557" s="27"/>
      <c r="O557" s="28" t="s">
        <v>2276</v>
      </c>
    </row>
    <row r="558" spans="1:15" ht="15" customHeight="1" x14ac:dyDescent="0.3">
      <c r="A558" s="31">
        <v>46023</v>
      </c>
      <c r="B558" s="27" t="s">
        <v>53</v>
      </c>
      <c r="C558" s="27" t="s">
        <v>2762</v>
      </c>
      <c r="D558" s="27" t="s">
        <v>2763</v>
      </c>
      <c r="E558" s="27" t="s">
        <v>2678</v>
      </c>
      <c r="F558" s="27" t="s">
        <v>1373</v>
      </c>
      <c r="G558" s="27" t="s">
        <v>1396</v>
      </c>
      <c r="H558" s="27" t="s">
        <v>59</v>
      </c>
      <c r="I558" s="27" t="s">
        <v>116</v>
      </c>
      <c r="J558" s="27" t="s">
        <v>144</v>
      </c>
      <c r="K558" s="39" t="s">
        <v>2713</v>
      </c>
      <c r="L558" s="41" t="s">
        <v>112</v>
      </c>
      <c r="M558" s="27"/>
      <c r="N558" s="27"/>
      <c r="O558" s="28" t="s">
        <v>2276</v>
      </c>
    </row>
    <row r="559" spans="1:15" ht="15" customHeight="1" x14ac:dyDescent="0.3">
      <c r="A559" s="31">
        <v>46023</v>
      </c>
      <c r="B559" s="27" t="s">
        <v>53</v>
      </c>
      <c r="C559" s="27" t="s">
        <v>2764</v>
      </c>
      <c r="D559" s="27" t="s">
        <v>2765</v>
      </c>
      <c r="E559" s="27" t="s">
        <v>2678</v>
      </c>
      <c r="F559" s="27" t="s">
        <v>1373</v>
      </c>
      <c r="G559" s="27" t="s">
        <v>1396</v>
      </c>
      <c r="H559" s="27" t="s">
        <v>59</v>
      </c>
      <c r="I559" s="27" t="s">
        <v>116</v>
      </c>
      <c r="J559" s="27" t="s">
        <v>144</v>
      </c>
      <c r="K559" s="39" t="s">
        <v>2713</v>
      </c>
      <c r="L559" s="41" t="s">
        <v>112</v>
      </c>
      <c r="M559" s="27"/>
      <c r="N559" s="27"/>
      <c r="O559" s="28" t="s">
        <v>2276</v>
      </c>
    </row>
    <row r="560" spans="1:15" ht="15" customHeight="1" x14ac:dyDescent="0.3">
      <c r="A560" s="31">
        <v>46023</v>
      </c>
      <c r="B560" s="27" t="s">
        <v>53</v>
      </c>
      <c r="C560" s="27" t="s">
        <v>2766</v>
      </c>
      <c r="D560" s="27" t="s">
        <v>2767</v>
      </c>
      <c r="E560" s="27" t="s">
        <v>2678</v>
      </c>
      <c r="F560" s="27" t="s">
        <v>1373</v>
      </c>
      <c r="G560" s="27" t="s">
        <v>1396</v>
      </c>
      <c r="H560" s="27" t="s">
        <v>59</v>
      </c>
      <c r="I560" s="27" t="s">
        <v>116</v>
      </c>
      <c r="J560" s="27" t="s">
        <v>144</v>
      </c>
      <c r="K560" s="39" t="s">
        <v>2713</v>
      </c>
      <c r="L560" s="41" t="s">
        <v>112</v>
      </c>
      <c r="M560" s="27"/>
      <c r="N560" s="27"/>
      <c r="O560" s="28" t="s">
        <v>2276</v>
      </c>
    </row>
    <row r="561" spans="1:15" ht="15" customHeight="1" x14ac:dyDescent="0.3">
      <c r="A561" s="31">
        <v>46023</v>
      </c>
      <c r="B561" s="27" t="s">
        <v>53</v>
      </c>
      <c r="C561" s="27" t="s">
        <v>2768</v>
      </c>
      <c r="D561" s="27" t="s">
        <v>2769</v>
      </c>
      <c r="E561" s="27" t="s">
        <v>59</v>
      </c>
      <c r="F561" s="27" t="s">
        <v>1373</v>
      </c>
      <c r="G561" s="27" t="s">
        <v>1396</v>
      </c>
      <c r="H561" s="27" t="s">
        <v>59</v>
      </c>
      <c r="I561" s="27" t="s">
        <v>116</v>
      </c>
      <c r="J561" s="27" t="s">
        <v>144</v>
      </c>
      <c r="K561" s="39" t="s">
        <v>2713</v>
      </c>
      <c r="L561" s="41" t="s">
        <v>112</v>
      </c>
      <c r="M561" s="27"/>
      <c r="N561" s="27"/>
      <c r="O561" s="28" t="s">
        <v>2276</v>
      </c>
    </row>
    <row r="562" spans="1:15" ht="15" customHeight="1" x14ac:dyDescent="0.3">
      <c r="A562" s="31">
        <v>46023</v>
      </c>
      <c r="B562" s="27" t="s">
        <v>53</v>
      </c>
      <c r="C562" s="27" t="s">
        <v>2770</v>
      </c>
      <c r="D562" s="27" t="s">
        <v>2771</v>
      </c>
      <c r="E562" s="27" t="s">
        <v>2678</v>
      </c>
      <c r="F562" s="27" t="s">
        <v>1373</v>
      </c>
      <c r="G562" s="27" t="s">
        <v>1396</v>
      </c>
      <c r="H562" s="27" t="s">
        <v>59</v>
      </c>
      <c r="I562" s="27" t="s">
        <v>116</v>
      </c>
      <c r="J562" s="27" t="s">
        <v>144</v>
      </c>
      <c r="K562" s="39" t="s">
        <v>2713</v>
      </c>
      <c r="L562" s="41" t="s">
        <v>112</v>
      </c>
      <c r="M562" s="27"/>
      <c r="N562" s="27"/>
      <c r="O562" s="28" t="s">
        <v>2276</v>
      </c>
    </row>
    <row r="563" spans="1:15" ht="15" customHeight="1" x14ac:dyDescent="0.3">
      <c r="A563" s="31">
        <v>46023</v>
      </c>
      <c r="B563" s="27" t="s">
        <v>53</v>
      </c>
      <c r="C563" s="27" t="s">
        <v>2772</v>
      </c>
      <c r="D563" s="27" t="s">
        <v>2773</v>
      </c>
      <c r="E563" s="27" t="s">
        <v>2678</v>
      </c>
      <c r="F563" s="27" t="s">
        <v>1373</v>
      </c>
      <c r="G563" s="27" t="s">
        <v>1396</v>
      </c>
      <c r="H563" s="27" t="s">
        <v>59</v>
      </c>
      <c r="I563" s="27" t="s">
        <v>116</v>
      </c>
      <c r="J563" s="27" t="s">
        <v>144</v>
      </c>
      <c r="K563" s="39" t="s">
        <v>2713</v>
      </c>
      <c r="L563" s="41" t="s">
        <v>112</v>
      </c>
      <c r="M563" s="27"/>
      <c r="N563" s="27"/>
      <c r="O563" s="28" t="s">
        <v>2276</v>
      </c>
    </row>
    <row r="564" spans="1:15" ht="15" customHeight="1" x14ac:dyDescent="0.3">
      <c r="A564" s="31">
        <v>46023</v>
      </c>
      <c r="B564" s="27" t="s">
        <v>53</v>
      </c>
      <c r="C564" s="27" t="s">
        <v>2774</v>
      </c>
      <c r="D564" s="27" t="s">
        <v>2775</v>
      </c>
      <c r="E564" s="27" t="s">
        <v>2678</v>
      </c>
      <c r="F564" s="27" t="s">
        <v>1373</v>
      </c>
      <c r="G564" s="27" t="s">
        <v>1396</v>
      </c>
      <c r="H564" s="27" t="s">
        <v>59</v>
      </c>
      <c r="I564" s="27" t="s">
        <v>116</v>
      </c>
      <c r="J564" s="27" t="s">
        <v>144</v>
      </c>
      <c r="K564" s="39" t="s">
        <v>2713</v>
      </c>
      <c r="L564" s="41" t="s">
        <v>112</v>
      </c>
      <c r="M564" s="27"/>
      <c r="N564" s="27"/>
      <c r="O564" s="28" t="s">
        <v>2276</v>
      </c>
    </row>
    <row r="565" spans="1:15" ht="15" customHeight="1" x14ac:dyDescent="0.3">
      <c r="A565" s="31">
        <v>46023</v>
      </c>
      <c r="B565" s="27" t="s">
        <v>53</v>
      </c>
      <c r="C565" s="27" t="s">
        <v>2776</v>
      </c>
      <c r="D565" s="27" t="s">
        <v>2777</v>
      </c>
      <c r="E565" s="27" t="s">
        <v>2678</v>
      </c>
      <c r="F565" s="27" t="s">
        <v>1373</v>
      </c>
      <c r="G565" s="27" t="s">
        <v>1396</v>
      </c>
      <c r="H565" s="27" t="s">
        <v>59</v>
      </c>
      <c r="I565" s="27" t="s">
        <v>116</v>
      </c>
      <c r="J565" s="27" t="s">
        <v>144</v>
      </c>
      <c r="K565" s="39" t="s">
        <v>2713</v>
      </c>
      <c r="L565" s="41" t="s">
        <v>112</v>
      </c>
      <c r="M565" s="27"/>
      <c r="N565" s="27"/>
      <c r="O565" s="28" t="s">
        <v>2276</v>
      </c>
    </row>
    <row r="566" spans="1:15" ht="15" customHeight="1" x14ac:dyDescent="0.3">
      <c r="A566" s="31">
        <v>46023</v>
      </c>
      <c r="B566" s="27" t="s">
        <v>53</v>
      </c>
      <c r="C566" s="27" t="s">
        <v>2778</v>
      </c>
      <c r="D566" s="27" t="s">
        <v>2779</v>
      </c>
      <c r="E566" s="27" t="s">
        <v>59</v>
      </c>
      <c r="F566" s="27" t="s">
        <v>1373</v>
      </c>
      <c r="G566" s="27" t="s">
        <v>1396</v>
      </c>
      <c r="H566" s="27" t="s">
        <v>59</v>
      </c>
      <c r="I566" s="27" t="s">
        <v>116</v>
      </c>
      <c r="J566" s="27" t="s">
        <v>144</v>
      </c>
      <c r="K566" s="39" t="s">
        <v>2713</v>
      </c>
      <c r="L566" s="41" t="s">
        <v>112</v>
      </c>
      <c r="M566" s="27"/>
      <c r="N566" s="27"/>
      <c r="O566" s="28" t="s">
        <v>2276</v>
      </c>
    </row>
    <row r="567" spans="1:15" ht="15" customHeight="1" x14ac:dyDescent="0.3">
      <c r="A567" s="31">
        <v>46023</v>
      </c>
      <c r="B567" s="27" t="s">
        <v>53</v>
      </c>
      <c r="C567" s="27" t="s">
        <v>2780</v>
      </c>
      <c r="D567" s="27" t="s">
        <v>2781</v>
      </c>
      <c r="E567" s="27" t="s">
        <v>59</v>
      </c>
      <c r="F567" s="27" t="s">
        <v>1373</v>
      </c>
      <c r="G567" s="27" t="s">
        <v>1396</v>
      </c>
      <c r="H567" s="27" t="s">
        <v>59</v>
      </c>
      <c r="I567" s="27" t="s">
        <v>116</v>
      </c>
      <c r="J567" s="27" t="s">
        <v>144</v>
      </c>
      <c r="K567" s="39" t="s">
        <v>2713</v>
      </c>
      <c r="L567" s="41" t="s">
        <v>129</v>
      </c>
      <c r="M567" s="27"/>
      <c r="N567" s="27"/>
      <c r="O567" s="28" t="s">
        <v>2276</v>
      </c>
    </row>
    <row r="568" spans="1:15" ht="15" customHeight="1" x14ac:dyDescent="0.3">
      <c r="A568" s="31">
        <v>46023</v>
      </c>
      <c r="B568" s="27" t="s">
        <v>53</v>
      </c>
      <c r="C568" s="27" t="s">
        <v>2782</v>
      </c>
      <c r="D568" s="27" t="s">
        <v>2783</v>
      </c>
      <c r="E568" s="27" t="s">
        <v>1416</v>
      </c>
      <c r="F568" s="27" t="s">
        <v>1373</v>
      </c>
      <c r="G568" s="27" t="s">
        <v>1396</v>
      </c>
      <c r="H568" s="27" t="s">
        <v>59</v>
      </c>
      <c r="I568" s="27" t="s">
        <v>116</v>
      </c>
      <c r="J568" s="27" t="s">
        <v>144</v>
      </c>
      <c r="K568" s="39" t="s">
        <v>2713</v>
      </c>
      <c r="L568" s="41" t="s">
        <v>2784</v>
      </c>
      <c r="M568" s="27"/>
      <c r="N568" s="27"/>
      <c r="O568" s="28" t="s">
        <v>2276</v>
      </c>
    </row>
    <row r="569" spans="1:15" ht="15" customHeight="1" x14ac:dyDescent="0.3">
      <c r="A569" s="31">
        <v>46023</v>
      </c>
      <c r="B569" s="27" t="s">
        <v>53</v>
      </c>
      <c r="C569" s="27" t="s">
        <v>2785</v>
      </c>
      <c r="D569" s="27" t="s">
        <v>2786</v>
      </c>
      <c r="E569" s="27" t="s">
        <v>1416</v>
      </c>
      <c r="F569" s="27" t="s">
        <v>1373</v>
      </c>
      <c r="G569" s="27" t="s">
        <v>1396</v>
      </c>
      <c r="H569" s="27" t="s">
        <v>59</v>
      </c>
      <c r="I569" s="27" t="s">
        <v>116</v>
      </c>
      <c r="J569" s="27" t="s">
        <v>144</v>
      </c>
      <c r="K569" s="39" t="s">
        <v>2713</v>
      </c>
      <c r="L569" s="41" t="s">
        <v>2784</v>
      </c>
      <c r="M569" s="27"/>
      <c r="N569" s="27"/>
      <c r="O569" s="28" t="s">
        <v>2276</v>
      </c>
    </row>
    <row r="570" spans="1:15" ht="15" customHeight="1" x14ac:dyDescent="0.3">
      <c r="A570" s="31">
        <v>46023</v>
      </c>
      <c r="B570" s="27" t="s">
        <v>53</v>
      </c>
      <c r="C570" s="27" t="s">
        <v>2787</v>
      </c>
      <c r="D570" s="27" t="s">
        <v>2717</v>
      </c>
      <c r="E570" s="27" t="s">
        <v>1416</v>
      </c>
      <c r="F570" s="27" t="s">
        <v>1373</v>
      </c>
      <c r="G570" s="27" t="s">
        <v>1396</v>
      </c>
      <c r="H570" s="27" t="s">
        <v>59</v>
      </c>
      <c r="I570" s="27" t="s">
        <v>116</v>
      </c>
      <c r="J570" s="27" t="s">
        <v>144</v>
      </c>
      <c r="K570" s="39" t="s">
        <v>2713</v>
      </c>
      <c r="L570" s="41" t="s">
        <v>2784</v>
      </c>
      <c r="M570" s="27"/>
      <c r="N570" s="27"/>
      <c r="O570" s="28" t="s">
        <v>2276</v>
      </c>
    </row>
    <row r="571" spans="1:15" ht="15" customHeight="1" x14ac:dyDescent="0.3">
      <c r="A571" s="31">
        <v>46023</v>
      </c>
      <c r="B571" s="27" t="s">
        <v>53</v>
      </c>
      <c r="C571" s="27" t="s">
        <v>2788</v>
      </c>
      <c r="D571" s="27" t="s">
        <v>2757</v>
      </c>
      <c r="E571" s="27" t="s">
        <v>1416</v>
      </c>
      <c r="F571" s="27" t="s">
        <v>1373</v>
      </c>
      <c r="G571" s="27" t="s">
        <v>1396</v>
      </c>
      <c r="H571" s="27" t="s">
        <v>59</v>
      </c>
      <c r="I571" s="27" t="s">
        <v>116</v>
      </c>
      <c r="J571" s="27" t="s">
        <v>144</v>
      </c>
      <c r="K571" s="39" t="s">
        <v>2713</v>
      </c>
      <c r="L571" s="41" t="s">
        <v>2784</v>
      </c>
      <c r="M571" s="27"/>
      <c r="N571" s="27"/>
      <c r="O571" s="28" t="s">
        <v>2276</v>
      </c>
    </row>
    <row r="572" spans="1:15" ht="15" customHeight="1" x14ac:dyDescent="0.3">
      <c r="A572" s="31">
        <v>46023</v>
      </c>
      <c r="B572" s="27" t="s">
        <v>53</v>
      </c>
      <c r="C572" s="27" t="s">
        <v>2789</v>
      </c>
      <c r="D572" s="27" t="s">
        <v>2753</v>
      </c>
      <c r="E572" s="27" t="s">
        <v>1416</v>
      </c>
      <c r="F572" s="27" t="s">
        <v>1373</v>
      </c>
      <c r="G572" s="27" t="s">
        <v>1396</v>
      </c>
      <c r="H572" s="27" t="s">
        <v>59</v>
      </c>
      <c r="I572" s="27" t="s">
        <v>116</v>
      </c>
      <c r="J572" s="27" t="s">
        <v>144</v>
      </c>
      <c r="K572" s="39" t="s">
        <v>2713</v>
      </c>
      <c r="L572" s="41" t="s">
        <v>2784</v>
      </c>
      <c r="M572" s="27"/>
      <c r="N572" s="27"/>
      <c r="O572" s="28" t="s">
        <v>2276</v>
      </c>
    </row>
    <row r="573" spans="1:15" ht="15" customHeight="1" x14ac:dyDescent="0.3">
      <c r="A573" s="31">
        <v>46023</v>
      </c>
      <c r="B573" s="27" t="s">
        <v>53</v>
      </c>
      <c r="C573" s="27" t="s">
        <v>2790</v>
      </c>
      <c r="D573" s="27" t="s">
        <v>2791</v>
      </c>
      <c r="E573" s="27" t="s">
        <v>1416</v>
      </c>
      <c r="F573" s="27" t="s">
        <v>1373</v>
      </c>
      <c r="G573" s="27" t="s">
        <v>1396</v>
      </c>
      <c r="H573" s="27" t="s">
        <v>59</v>
      </c>
      <c r="I573" s="27" t="s">
        <v>116</v>
      </c>
      <c r="J573" s="27" t="s">
        <v>144</v>
      </c>
      <c r="K573" s="39" t="s">
        <v>2713</v>
      </c>
      <c r="L573" s="41" t="s">
        <v>2784</v>
      </c>
      <c r="M573" s="27"/>
      <c r="N573" s="27"/>
      <c r="O573" s="28" t="s">
        <v>2276</v>
      </c>
    </row>
    <row r="574" spans="1:15" ht="15" customHeight="1" x14ac:dyDescent="0.3">
      <c r="A574" s="31">
        <v>46023</v>
      </c>
      <c r="B574" s="27" t="s">
        <v>53</v>
      </c>
      <c r="C574" s="27" t="s">
        <v>2792</v>
      </c>
      <c r="D574" s="27" t="s">
        <v>2793</v>
      </c>
      <c r="E574" s="27" t="s">
        <v>1416</v>
      </c>
      <c r="F574" s="27" t="s">
        <v>1373</v>
      </c>
      <c r="G574" s="27" t="s">
        <v>1396</v>
      </c>
      <c r="H574" s="27" t="s">
        <v>59</v>
      </c>
      <c r="I574" s="27" t="s">
        <v>116</v>
      </c>
      <c r="J574" s="27" t="s">
        <v>144</v>
      </c>
      <c r="K574" s="39" t="s">
        <v>2713</v>
      </c>
      <c r="L574" s="41" t="s">
        <v>2784</v>
      </c>
      <c r="M574" s="27"/>
      <c r="N574" s="27"/>
      <c r="O574" s="28" t="s">
        <v>2276</v>
      </c>
    </row>
    <row r="575" spans="1:15" ht="15" customHeight="1" x14ac:dyDescent="0.3">
      <c r="A575" s="31">
        <v>46023</v>
      </c>
      <c r="B575" s="27" t="s">
        <v>53</v>
      </c>
      <c r="C575" s="27" t="s">
        <v>2794</v>
      </c>
      <c r="D575" s="27" t="s">
        <v>2683</v>
      </c>
      <c r="E575" s="27" t="s">
        <v>1416</v>
      </c>
      <c r="F575" s="27" t="s">
        <v>1373</v>
      </c>
      <c r="G575" s="27" t="s">
        <v>1396</v>
      </c>
      <c r="H575" s="27" t="s">
        <v>59</v>
      </c>
      <c r="I575" s="27" t="s">
        <v>116</v>
      </c>
      <c r="J575" s="27" t="s">
        <v>144</v>
      </c>
      <c r="K575" s="39" t="s">
        <v>2713</v>
      </c>
      <c r="L575" s="41" t="s">
        <v>2784</v>
      </c>
      <c r="M575" s="27"/>
      <c r="N575" s="27"/>
      <c r="O575" s="28" t="s">
        <v>2276</v>
      </c>
    </row>
    <row r="576" spans="1:15" ht="15" customHeight="1" x14ac:dyDescent="0.3">
      <c r="A576" s="31">
        <v>46023</v>
      </c>
      <c r="B576" s="27" t="s">
        <v>53</v>
      </c>
      <c r="C576" s="27" t="s">
        <v>2795</v>
      </c>
      <c r="D576" s="27" t="s">
        <v>2796</v>
      </c>
      <c r="E576" s="27" t="s">
        <v>2797</v>
      </c>
      <c r="F576" s="27" t="s">
        <v>1373</v>
      </c>
      <c r="G576" s="27" t="s">
        <v>1396</v>
      </c>
      <c r="H576" s="27" t="s">
        <v>59</v>
      </c>
      <c r="I576" s="27" t="s">
        <v>116</v>
      </c>
      <c r="J576" s="27" t="s">
        <v>144</v>
      </c>
      <c r="K576" s="39" t="s">
        <v>2713</v>
      </c>
      <c r="L576" s="41" t="s">
        <v>2784</v>
      </c>
      <c r="M576" s="27"/>
      <c r="N576" s="27"/>
      <c r="O576" s="28" t="s">
        <v>2276</v>
      </c>
    </row>
    <row r="577" spans="1:15" ht="15" customHeight="1" x14ac:dyDescent="0.3">
      <c r="A577" s="31">
        <v>46023</v>
      </c>
      <c r="B577" s="27" t="s">
        <v>53</v>
      </c>
      <c r="C577" s="27" t="s">
        <v>2798</v>
      </c>
      <c r="D577" s="27" t="s">
        <v>2799</v>
      </c>
      <c r="E577" s="27" t="s">
        <v>59</v>
      </c>
      <c r="F577" s="27" t="s">
        <v>1373</v>
      </c>
      <c r="G577" s="27" t="s">
        <v>1396</v>
      </c>
      <c r="H577" s="27" t="s">
        <v>59</v>
      </c>
      <c r="I577" s="27" t="s">
        <v>116</v>
      </c>
      <c r="J577" s="27" t="s">
        <v>144</v>
      </c>
      <c r="K577" s="39" t="s">
        <v>2713</v>
      </c>
      <c r="L577" s="41" t="s">
        <v>2784</v>
      </c>
      <c r="M577" s="27"/>
      <c r="N577" s="27"/>
      <c r="O577" s="28" t="s">
        <v>2276</v>
      </c>
    </row>
    <row r="578" spans="1:15" ht="15" customHeight="1" x14ac:dyDescent="0.3">
      <c r="A578" s="31">
        <v>46023</v>
      </c>
      <c r="B578" s="27" t="s">
        <v>53</v>
      </c>
      <c r="C578" s="27" t="s">
        <v>2800</v>
      </c>
      <c r="D578" s="27" t="s">
        <v>2801</v>
      </c>
      <c r="E578" s="27" t="s">
        <v>59</v>
      </c>
      <c r="F578" s="27" t="s">
        <v>1373</v>
      </c>
      <c r="G578" s="27" t="s">
        <v>1396</v>
      </c>
      <c r="H578" s="27" t="s">
        <v>59</v>
      </c>
      <c r="I578" s="27" t="s">
        <v>116</v>
      </c>
      <c r="J578" s="27" t="s">
        <v>144</v>
      </c>
      <c r="K578" s="39" t="s">
        <v>2802</v>
      </c>
      <c r="L578" s="41" t="s">
        <v>2784</v>
      </c>
      <c r="M578" s="27"/>
      <c r="N578" s="27"/>
      <c r="O578" s="28" t="s">
        <v>2276</v>
      </c>
    </row>
    <row r="579" spans="1:15" ht="15" customHeight="1" x14ac:dyDescent="0.3">
      <c r="A579" s="31">
        <v>46023</v>
      </c>
      <c r="B579" s="27" t="s">
        <v>53</v>
      </c>
      <c r="C579" s="27" t="s">
        <v>2803</v>
      </c>
      <c r="D579" s="27" t="s">
        <v>2804</v>
      </c>
      <c r="E579" s="27" t="s">
        <v>59</v>
      </c>
      <c r="F579" s="27" t="s">
        <v>1373</v>
      </c>
      <c r="G579" s="27" t="s">
        <v>1396</v>
      </c>
      <c r="H579" s="27" t="s">
        <v>59</v>
      </c>
      <c r="I579" s="27" t="s">
        <v>116</v>
      </c>
      <c r="J579" s="27" t="s">
        <v>144</v>
      </c>
      <c r="K579" s="39" t="s">
        <v>2805</v>
      </c>
      <c r="L579" s="41" t="s">
        <v>129</v>
      </c>
      <c r="M579" s="27"/>
      <c r="N579" s="27"/>
      <c r="O579" s="28" t="s">
        <v>2276</v>
      </c>
    </row>
    <row r="580" spans="1:15" ht="15" customHeight="1" x14ac:dyDescent="0.3">
      <c r="A580" s="31">
        <v>46023</v>
      </c>
      <c r="B580" s="27" t="s">
        <v>53</v>
      </c>
      <c r="C580" s="27" t="s">
        <v>2806</v>
      </c>
      <c r="D580" s="27" t="s">
        <v>2807</v>
      </c>
      <c r="E580" s="27" t="s">
        <v>59</v>
      </c>
      <c r="F580" s="27" t="s">
        <v>1373</v>
      </c>
      <c r="G580" s="27" t="s">
        <v>1396</v>
      </c>
      <c r="H580" s="27" t="s">
        <v>59</v>
      </c>
      <c r="I580" s="27" t="s">
        <v>116</v>
      </c>
      <c r="J580" s="27" t="s">
        <v>144</v>
      </c>
      <c r="K580" s="39" t="s">
        <v>2805</v>
      </c>
      <c r="L580" s="41" t="s">
        <v>129</v>
      </c>
      <c r="M580" s="27"/>
      <c r="N580" s="27"/>
      <c r="O580" s="28" t="s">
        <v>2276</v>
      </c>
    </row>
    <row r="581" spans="1:15" ht="15" customHeight="1" x14ac:dyDescent="0.3">
      <c r="A581" s="31">
        <v>46023</v>
      </c>
      <c r="B581" s="27" t="s">
        <v>53</v>
      </c>
      <c r="C581" s="27" t="s">
        <v>2808</v>
      </c>
      <c r="D581" s="27" t="s">
        <v>2809</v>
      </c>
      <c r="E581" s="27" t="s">
        <v>59</v>
      </c>
      <c r="F581" s="27" t="s">
        <v>1373</v>
      </c>
      <c r="G581" s="27" t="s">
        <v>1396</v>
      </c>
      <c r="H581" s="27" t="s">
        <v>59</v>
      </c>
      <c r="I581" s="27" t="s">
        <v>116</v>
      </c>
      <c r="J581" s="27" t="s">
        <v>144</v>
      </c>
      <c r="K581" s="39" t="s">
        <v>2805</v>
      </c>
      <c r="L581" s="41" t="s">
        <v>129</v>
      </c>
      <c r="M581" s="27"/>
      <c r="N581" s="27"/>
      <c r="O581" s="28" t="s">
        <v>2276</v>
      </c>
    </row>
    <row r="582" spans="1:15" ht="15" customHeight="1" x14ac:dyDescent="0.3">
      <c r="A582" s="31">
        <v>46023</v>
      </c>
      <c r="B582" s="27" t="s">
        <v>53</v>
      </c>
      <c r="C582" s="27" t="s">
        <v>2810</v>
      </c>
      <c r="D582" s="27" t="s">
        <v>2811</v>
      </c>
      <c r="E582" s="27" t="s">
        <v>59</v>
      </c>
      <c r="F582" s="27" t="s">
        <v>1373</v>
      </c>
      <c r="G582" s="27" t="s">
        <v>1396</v>
      </c>
      <c r="H582" s="27" t="s">
        <v>59</v>
      </c>
      <c r="I582" s="27" t="s">
        <v>116</v>
      </c>
      <c r="J582" s="27" t="s">
        <v>144</v>
      </c>
      <c r="K582" s="39" t="s">
        <v>2805</v>
      </c>
      <c r="L582" s="41" t="s">
        <v>129</v>
      </c>
      <c r="M582" s="27"/>
      <c r="N582" s="27"/>
      <c r="O582" s="28" t="s">
        <v>2276</v>
      </c>
    </row>
    <row r="583" spans="1:15" ht="15" customHeight="1" x14ac:dyDescent="0.3">
      <c r="A583" s="31">
        <v>46023</v>
      </c>
      <c r="B583" s="27" t="s">
        <v>53</v>
      </c>
      <c r="C583" s="27" t="s">
        <v>2812</v>
      </c>
      <c r="D583" s="27" t="s">
        <v>2813</v>
      </c>
      <c r="E583" s="27" t="s">
        <v>59</v>
      </c>
      <c r="F583" s="27" t="s">
        <v>1373</v>
      </c>
      <c r="G583" s="27" t="s">
        <v>1396</v>
      </c>
      <c r="H583" s="27" t="s">
        <v>59</v>
      </c>
      <c r="I583" s="27" t="s">
        <v>116</v>
      </c>
      <c r="J583" s="27" t="s">
        <v>144</v>
      </c>
      <c r="K583" s="39" t="s">
        <v>2805</v>
      </c>
      <c r="L583" s="41" t="s">
        <v>129</v>
      </c>
      <c r="M583" s="27"/>
      <c r="N583" s="27"/>
      <c r="O583" s="28" t="s">
        <v>2276</v>
      </c>
    </row>
    <row r="584" spans="1:15" ht="15" customHeight="1" x14ac:dyDescent="0.3">
      <c r="A584" s="31">
        <v>46023</v>
      </c>
      <c r="B584" s="27" t="s">
        <v>53</v>
      </c>
      <c r="C584" s="27" t="s">
        <v>2814</v>
      </c>
      <c r="D584" s="27" t="s">
        <v>2815</v>
      </c>
      <c r="E584" s="27" t="s">
        <v>59</v>
      </c>
      <c r="F584" s="27" t="s">
        <v>1373</v>
      </c>
      <c r="G584" s="27" t="s">
        <v>1396</v>
      </c>
      <c r="H584" s="27" t="s">
        <v>59</v>
      </c>
      <c r="I584" s="27" t="s">
        <v>116</v>
      </c>
      <c r="J584" s="27" t="s">
        <v>144</v>
      </c>
      <c r="K584" s="39" t="s">
        <v>2805</v>
      </c>
      <c r="L584" s="41" t="s">
        <v>129</v>
      </c>
      <c r="M584" s="27"/>
      <c r="N584" s="27"/>
      <c r="O584" s="28" t="s">
        <v>2276</v>
      </c>
    </row>
    <row r="585" spans="1:15" ht="15" customHeight="1" x14ac:dyDescent="0.3">
      <c r="A585" s="31">
        <v>46023</v>
      </c>
      <c r="B585" s="27" t="s">
        <v>53</v>
      </c>
      <c r="C585" s="27" t="s">
        <v>2816</v>
      </c>
      <c r="D585" s="27" t="s">
        <v>2817</v>
      </c>
      <c r="E585" s="27" t="s">
        <v>59</v>
      </c>
      <c r="F585" s="27" t="s">
        <v>1373</v>
      </c>
      <c r="G585" s="27" t="s">
        <v>1396</v>
      </c>
      <c r="H585" s="27" t="s">
        <v>59</v>
      </c>
      <c r="I585" s="27" t="s">
        <v>116</v>
      </c>
      <c r="J585" s="27" t="s">
        <v>144</v>
      </c>
      <c r="K585" s="39" t="s">
        <v>2805</v>
      </c>
      <c r="L585" s="41" t="s">
        <v>129</v>
      </c>
      <c r="M585" s="27"/>
      <c r="N585" s="27"/>
      <c r="O585" s="28" t="s">
        <v>2276</v>
      </c>
    </row>
    <row r="586" spans="1:15" ht="15" customHeight="1" x14ac:dyDescent="0.3">
      <c r="A586" s="31">
        <v>46023</v>
      </c>
      <c r="B586" s="27" t="s">
        <v>53</v>
      </c>
      <c r="C586" s="27" t="s">
        <v>2818</v>
      </c>
      <c r="D586" s="27" t="s">
        <v>2819</v>
      </c>
      <c r="E586" s="27" t="s">
        <v>59</v>
      </c>
      <c r="F586" s="27" t="s">
        <v>1373</v>
      </c>
      <c r="G586" s="27" t="s">
        <v>1396</v>
      </c>
      <c r="H586" s="27" t="s">
        <v>59</v>
      </c>
      <c r="I586" s="27" t="s">
        <v>116</v>
      </c>
      <c r="J586" s="27" t="s">
        <v>144</v>
      </c>
      <c r="K586" s="39" t="s">
        <v>2805</v>
      </c>
      <c r="L586" s="41" t="s">
        <v>129</v>
      </c>
      <c r="M586" s="27"/>
      <c r="N586" s="27"/>
      <c r="O586" s="28" t="s">
        <v>2276</v>
      </c>
    </row>
    <row r="587" spans="1:15" ht="15" customHeight="1" x14ac:dyDescent="0.3">
      <c r="A587" s="31">
        <v>46023</v>
      </c>
      <c r="B587" s="27" t="s">
        <v>53</v>
      </c>
      <c r="C587" s="27" t="s">
        <v>2820</v>
      </c>
      <c r="D587" s="27" t="s">
        <v>2821</v>
      </c>
      <c r="E587" s="27" t="s">
        <v>59</v>
      </c>
      <c r="F587" s="27" t="s">
        <v>1373</v>
      </c>
      <c r="G587" s="27" t="s">
        <v>1396</v>
      </c>
      <c r="H587" s="27" t="s">
        <v>59</v>
      </c>
      <c r="I587" s="27" t="s">
        <v>116</v>
      </c>
      <c r="J587" s="27" t="s">
        <v>144</v>
      </c>
      <c r="K587" s="39" t="s">
        <v>2805</v>
      </c>
      <c r="L587" s="41" t="s">
        <v>129</v>
      </c>
      <c r="M587" s="27"/>
      <c r="N587" s="27"/>
      <c r="O587" s="28" t="s">
        <v>2276</v>
      </c>
    </row>
    <row r="588" spans="1:15" ht="15" customHeight="1" x14ac:dyDescent="0.3">
      <c r="A588" s="31">
        <v>46023</v>
      </c>
      <c r="B588" s="27" t="s">
        <v>53</v>
      </c>
      <c r="C588" s="27" t="s">
        <v>2822</v>
      </c>
      <c r="D588" s="27" t="s">
        <v>2823</v>
      </c>
      <c r="E588" s="27" t="s">
        <v>59</v>
      </c>
      <c r="F588" s="27" t="s">
        <v>1373</v>
      </c>
      <c r="G588" s="27" t="s">
        <v>1396</v>
      </c>
      <c r="H588" s="27" t="s">
        <v>59</v>
      </c>
      <c r="I588" s="27" t="s">
        <v>116</v>
      </c>
      <c r="J588" s="27" t="s">
        <v>144</v>
      </c>
      <c r="K588" s="39" t="s">
        <v>2805</v>
      </c>
      <c r="L588" s="41" t="s">
        <v>129</v>
      </c>
      <c r="M588" s="27"/>
      <c r="N588" s="27"/>
      <c r="O588" s="28" t="s">
        <v>2276</v>
      </c>
    </row>
    <row r="589" spans="1:15" ht="15" customHeight="1" x14ac:dyDescent="0.3">
      <c r="A589" s="31">
        <v>46023</v>
      </c>
      <c r="B589" s="27" t="s">
        <v>53</v>
      </c>
      <c r="C589" s="27" t="s">
        <v>2824</v>
      </c>
      <c r="D589" s="27" t="s">
        <v>2825</v>
      </c>
      <c r="E589" s="27" t="s">
        <v>2826</v>
      </c>
      <c r="F589" s="27" t="s">
        <v>1373</v>
      </c>
      <c r="G589" s="27" t="s">
        <v>1396</v>
      </c>
      <c r="H589" s="27" t="s">
        <v>2827</v>
      </c>
      <c r="I589" s="27" t="s">
        <v>116</v>
      </c>
      <c r="J589" s="27" t="s">
        <v>144</v>
      </c>
      <c r="K589" s="39" t="s">
        <v>2805</v>
      </c>
      <c r="L589" s="41" t="s">
        <v>129</v>
      </c>
      <c r="M589" s="27"/>
      <c r="N589" s="27"/>
      <c r="O589" s="28" t="s">
        <v>2276</v>
      </c>
    </row>
    <row r="590" spans="1:15" ht="15" customHeight="1" x14ac:dyDescent="0.3">
      <c r="A590" s="31">
        <v>46023</v>
      </c>
      <c r="B590" s="27" t="s">
        <v>53</v>
      </c>
      <c r="C590" s="27" t="s">
        <v>2828</v>
      </c>
      <c r="D590" s="27" t="s">
        <v>2829</v>
      </c>
      <c r="E590" s="27" t="s">
        <v>2830</v>
      </c>
      <c r="F590" s="27" t="s">
        <v>1373</v>
      </c>
      <c r="G590" s="27" t="s">
        <v>1396</v>
      </c>
      <c r="H590" s="27" t="s">
        <v>2831</v>
      </c>
      <c r="I590" s="27" t="s">
        <v>116</v>
      </c>
      <c r="J590" s="27" t="s">
        <v>144</v>
      </c>
      <c r="K590" s="39" t="s">
        <v>2805</v>
      </c>
      <c r="L590" s="41" t="s">
        <v>129</v>
      </c>
      <c r="M590" s="27"/>
      <c r="N590" s="27"/>
      <c r="O590" s="28" t="s">
        <v>2276</v>
      </c>
    </row>
    <row r="591" spans="1:15" ht="15" customHeight="1" x14ac:dyDescent="0.3">
      <c r="A591" s="31">
        <v>46023</v>
      </c>
      <c r="B591" s="27" t="s">
        <v>53</v>
      </c>
      <c r="C591" s="27" t="s">
        <v>2832</v>
      </c>
      <c r="D591" s="27" t="s">
        <v>2833</v>
      </c>
      <c r="E591" s="27" t="s">
        <v>2834</v>
      </c>
      <c r="F591" s="27" t="s">
        <v>1373</v>
      </c>
      <c r="G591" s="27" t="s">
        <v>1396</v>
      </c>
      <c r="H591" s="27">
        <v>29252</v>
      </c>
      <c r="I591" s="27" t="s">
        <v>116</v>
      </c>
      <c r="J591" s="27" t="s">
        <v>144</v>
      </c>
      <c r="K591" s="39" t="s">
        <v>2805</v>
      </c>
      <c r="L591" s="41" t="s">
        <v>129</v>
      </c>
      <c r="M591" s="27"/>
      <c r="N591" s="27"/>
      <c r="O591" s="28" t="s">
        <v>2276</v>
      </c>
    </row>
    <row r="592" spans="1:15" ht="15" customHeight="1" x14ac:dyDescent="0.3">
      <c r="A592" s="31">
        <v>46023</v>
      </c>
      <c r="B592" s="27" t="s">
        <v>53</v>
      </c>
      <c r="C592" s="27" t="s">
        <v>2835</v>
      </c>
      <c r="D592" s="27" t="s">
        <v>2836</v>
      </c>
      <c r="E592" s="27" t="s">
        <v>2834</v>
      </c>
      <c r="F592" s="27" t="s">
        <v>1373</v>
      </c>
      <c r="G592" s="27" t="s">
        <v>1396</v>
      </c>
      <c r="H592" s="27">
        <v>566867</v>
      </c>
      <c r="I592" s="27" t="s">
        <v>116</v>
      </c>
      <c r="J592" s="27" t="s">
        <v>144</v>
      </c>
      <c r="K592" s="39" t="s">
        <v>2805</v>
      </c>
      <c r="L592" s="41" t="s">
        <v>129</v>
      </c>
      <c r="M592" s="27"/>
      <c r="N592" s="27"/>
      <c r="O592" s="28" t="s">
        <v>2276</v>
      </c>
    </row>
    <row r="593" spans="1:15" ht="15" customHeight="1" x14ac:dyDescent="0.3">
      <c r="A593" s="31">
        <v>46023</v>
      </c>
      <c r="B593" s="27" t="s">
        <v>53</v>
      </c>
      <c r="C593" s="27" t="s">
        <v>2837</v>
      </c>
      <c r="D593" s="27" t="s">
        <v>2838</v>
      </c>
      <c r="E593" s="27" t="s">
        <v>59</v>
      </c>
      <c r="F593" s="27" t="s">
        <v>1373</v>
      </c>
      <c r="G593" s="27" t="s">
        <v>1396</v>
      </c>
      <c r="H593" s="27" t="s">
        <v>59</v>
      </c>
      <c r="I593" s="27" t="s">
        <v>116</v>
      </c>
      <c r="J593" s="27" t="s">
        <v>144</v>
      </c>
      <c r="K593" s="39" t="s">
        <v>2805</v>
      </c>
      <c r="L593" s="41" t="s">
        <v>129</v>
      </c>
      <c r="M593" s="27"/>
      <c r="N593" s="27"/>
      <c r="O593" s="28" t="s">
        <v>2276</v>
      </c>
    </row>
    <row r="594" spans="1:15" ht="15" customHeight="1" x14ac:dyDescent="0.3">
      <c r="A594" s="31">
        <v>46023</v>
      </c>
      <c r="B594" s="27" t="s">
        <v>53</v>
      </c>
      <c r="C594" s="27" t="s">
        <v>2839</v>
      </c>
      <c r="D594" s="27" t="s">
        <v>2840</v>
      </c>
      <c r="E594" s="27" t="s">
        <v>59</v>
      </c>
      <c r="F594" s="27" t="s">
        <v>1373</v>
      </c>
      <c r="G594" s="27" t="s">
        <v>1396</v>
      </c>
      <c r="H594" s="27" t="s">
        <v>59</v>
      </c>
      <c r="I594" s="27" t="s">
        <v>116</v>
      </c>
      <c r="J594" s="27" t="s">
        <v>144</v>
      </c>
      <c r="K594" s="39" t="s">
        <v>2805</v>
      </c>
      <c r="L594" s="41" t="s">
        <v>129</v>
      </c>
      <c r="M594" s="27"/>
      <c r="N594" s="27"/>
      <c r="O594" s="28" t="s">
        <v>2276</v>
      </c>
    </row>
    <row r="595" spans="1:15" ht="15" customHeight="1" x14ac:dyDescent="0.3">
      <c r="A595" s="31">
        <v>46023</v>
      </c>
      <c r="B595" s="27" t="s">
        <v>53</v>
      </c>
      <c r="C595" s="27" t="s">
        <v>2841</v>
      </c>
      <c r="D595" s="27" t="s">
        <v>2842</v>
      </c>
      <c r="E595" s="27" t="s">
        <v>59</v>
      </c>
      <c r="F595" s="27" t="s">
        <v>1373</v>
      </c>
      <c r="G595" s="27" t="s">
        <v>1396</v>
      </c>
      <c r="H595" s="27" t="s">
        <v>59</v>
      </c>
      <c r="I595" s="27" t="s">
        <v>116</v>
      </c>
      <c r="J595" s="27" t="s">
        <v>144</v>
      </c>
      <c r="K595" s="39" t="s">
        <v>2805</v>
      </c>
      <c r="L595" s="41" t="s">
        <v>129</v>
      </c>
      <c r="M595" s="27"/>
      <c r="N595" s="27"/>
      <c r="O595" s="28" t="s">
        <v>2276</v>
      </c>
    </row>
    <row r="596" spans="1:15" ht="15" customHeight="1" x14ac:dyDescent="0.3">
      <c r="A596" s="31">
        <v>46023</v>
      </c>
      <c r="B596" s="27" t="s">
        <v>53</v>
      </c>
      <c r="C596" s="27" t="s">
        <v>2843</v>
      </c>
      <c r="D596" s="27" t="s">
        <v>2844</v>
      </c>
      <c r="E596" s="27" t="s">
        <v>59</v>
      </c>
      <c r="F596" s="27" t="s">
        <v>1373</v>
      </c>
      <c r="G596" s="27" t="s">
        <v>1396</v>
      </c>
      <c r="H596" s="27" t="s">
        <v>59</v>
      </c>
      <c r="I596" s="27" t="s">
        <v>116</v>
      </c>
      <c r="J596" s="27" t="s">
        <v>144</v>
      </c>
      <c r="K596" s="39" t="s">
        <v>2805</v>
      </c>
      <c r="L596" s="41" t="s">
        <v>129</v>
      </c>
      <c r="M596" s="27"/>
      <c r="N596" s="27"/>
      <c r="O596" s="28" t="s">
        <v>2276</v>
      </c>
    </row>
    <row r="597" spans="1:15" ht="15" customHeight="1" x14ac:dyDescent="0.3">
      <c r="A597" s="31">
        <v>46023</v>
      </c>
      <c r="B597" s="27" t="s">
        <v>53</v>
      </c>
      <c r="C597" s="27" t="s">
        <v>2845</v>
      </c>
      <c r="D597" s="27" t="s">
        <v>2846</v>
      </c>
      <c r="E597" s="27" t="s">
        <v>59</v>
      </c>
      <c r="F597" s="27" t="s">
        <v>1373</v>
      </c>
      <c r="G597" s="27" t="s">
        <v>1396</v>
      </c>
      <c r="H597" s="27" t="s">
        <v>59</v>
      </c>
      <c r="I597" s="27" t="s">
        <v>116</v>
      </c>
      <c r="J597" s="27" t="s">
        <v>144</v>
      </c>
      <c r="K597" s="39" t="s">
        <v>2805</v>
      </c>
      <c r="L597" s="41" t="s">
        <v>129</v>
      </c>
      <c r="M597" s="27"/>
      <c r="N597" s="27"/>
      <c r="O597" s="28" t="s">
        <v>2276</v>
      </c>
    </row>
    <row r="598" spans="1:15" ht="15" customHeight="1" x14ac:dyDescent="0.3">
      <c r="A598" s="31">
        <v>46023</v>
      </c>
      <c r="B598" s="27" t="s">
        <v>53</v>
      </c>
      <c r="C598" s="27" t="s">
        <v>2847</v>
      </c>
      <c r="D598" s="27" t="s">
        <v>2848</v>
      </c>
      <c r="E598" s="27" t="s">
        <v>59</v>
      </c>
      <c r="F598" s="27" t="s">
        <v>1373</v>
      </c>
      <c r="G598" s="27" t="s">
        <v>1396</v>
      </c>
      <c r="H598" s="27" t="s">
        <v>59</v>
      </c>
      <c r="I598" s="27" t="s">
        <v>116</v>
      </c>
      <c r="J598" s="27" t="s">
        <v>144</v>
      </c>
      <c r="K598" s="39" t="s">
        <v>2805</v>
      </c>
      <c r="L598" s="41" t="s">
        <v>129</v>
      </c>
      <c r="M598" s="27"/>
      <c r="N598" s="27"/>
      <c r="O598" s="28" t="s">
        <v>2276</v>
      </c>
    </row>
    <row r="599" spans="1:15" ht="15" customHeight="1" x14ac:dyDescent="0.3">
      <c r="A599" s="31">
        <v>46023</v>
      </c>
      <c r="B599" s="27" t="s">
        <v>53</v>
      </c>
      <c r="C599" s="27" t="s">
        <v>2849</v>
      </c>
      <c r="D599" s="27" t="s">
        <v>2850</v>
      </c>
      <c r="E599" s="27" t="s">
        <v>59</v>
      </c>
      <c r="F599" s="27" t="s">
        <v>1373</v>
      </c>
      <c r="G599" s="27" t="s">
        <v>1374</v>
      </c>
      <c r="H599" s="27" t="s">
        <v>59</v>
      </c>
      <c r="I599" s="27" t="s">
        <v>143</v>
      </c>
      <c r="J599" s="27" t="s">
        <v>144</v>
      </c>
      <c r="K599" s="39" t="s">
        <v>2851</v>
      </c>
      <c r="L599" s="41" t="s">
        <v>129</v>
      </c>
      <c r="M599" s="27"/>
      <c r="N599" s="27"/>
      <c r="O599" s="28" t="s">
        <v>2276</v>
      </c>
    </row>
    <row r="600" spans="1:15" ht="15" customHeight="1" x14ac:dyDescent="0.3">
      <c r="A600" s="31">
        <v>46023</v>
      </c>
      <c r="B600" s="27" t="s">
        <v>53</v>
      </c>
      <c r="C600" s="27" t="s">
        <v>2852</v>
      </c>
      <c r="D600" s="27" t="s">
        <v>2853</v>
      </c>
      <c r="E600" s="27" t="s">
        <v>59</v>
      </c>
      <c r="F600" s="27" t="s">
        <v>1373</v>
      </c>
      <c r="G600" s="27" t="s">
        <v>1374</v>
      </c>
      <c r="H600" s="27" t="s">
        <v>59</v>
      </c>
      <c r="I600" s="27" t="s">
        <v>143</v>
      </c>
      <c r="J600" s="27" t="s">
        <v>144</v>
      </c>
      <c r="K600" s="39" t="s">
        <v>2851</v>
      </c>
      <c r="L600" s="41" t="s">
        <v>129</v>
      </c>
      <c r="M600" s="27"/>
      <c r="N600" s="27"/>
      <c r="O600" s="28" t="s">
        <v>2276</v>
      </c>
    </row>
    <row r="601" spans="1:15" ht="15" customHeight="1" x14ac:dyDescent="0.3">
      <c r="A601" s="31">
        <v>46023</v>
      </c>
      <c r="B601" s="27" t="s">
        <v>53</v>
      </c>
      <c r="C601" s="27" t="s">
        <v>2854</v>
      </c>
      <c r="D601" s="27" t="s">
        <v>2855</v>
      </c>
      <c r="E601" s="27" t="s">
        <v>59</v>
      </c>
      <c r="F601" s="27" t="s">
        <v>1373</v>
      </c>
      <c r="G601" s="27" t="s">
        <v>1374</v>
      </c>
      <c r="H601" s="27" t="s">
        <v>59</v>
      </c>
      <c r="I601" s="27" t="s">
        <v>143</v>
      </c>
      <c r="J601" s="27" t="s">
        <v>144</v>
      </c>
      <c r="K601" s="39" t="s">
        <v>2851</v>
      </c>
      <c r="L601" s="41" t="s">
        <v>129</v>
      </c>
      <c r="M601" s="27"/>
      <c r="N601" s="27"/>
      <c r="O601" s="28" t="s">
        <v>2276</v>
      </c>
    </row>
    <row r="602" spans="1:15" ht="15" customHeight="1" x14ac:dyDescent="0.3">
      <c r="A602" s="31">
        <v>46023</v>
      </c>
      <c r="B602" s="27" t="s">
        <v>53</v>
      </c>
      <c r="C602" s="27" t="s">
        <v>2856</v>
      </c>
      <c r="D602" s="27" t="s">
        <v>2857</v>
      </c>
      <c r="E602" s="27" t="s">
        <v>59</v>
      </c>
      <c r="F602" s="27" t="s">
        <v>1373</v>
      </c>
      <c r="G602" s="27" t="s">
        <v>1374</v>
      </c>
      <c r="H602" s="27" t="s">
        <v>59</v>
      </c>
      <c r="I602" s="27" t="s">
        <v>143</v>
      </c>
      <c r="J602" s="27" t="s">
        <v>144</v>
      </c>
      <c r="K602" s="39" t="s">
        <v>2851</v>
      </c>
      <c r="L602" s="41" t="s">
        <v>129</v>
      </c>
      <c r="M602" s="27"/>
      <c r="N602" s="27"/>
      <c r="O602" s="28" t="s">
        <v>2276</v>
      </c>
    </row>
    <row r="603" spans="1:15" ht="15" customHeight="1" x14ac:dyDescent="0.3">
      <c r="A603" s="31">
        <v>46023</v>
      </c>
      <c r="B603" s="27" t="s">
        <v>53</v>
      </c>
      <c r="C603" s="27" t="s">
        <v>2858</v>
      </c>
      <c r="D603" s="27" t="s">
        <v>2859</v>
      </c>
      <c r="E603" s="27" t="s">
        <v>59</v>
      </c>
      <c r="F603" s="27" t="s">
        <v>1373</v>
      </c>
      <c r="G603" s="27" t="s">
        <v>1374</v>
      </c>
      <c r="H603" s="27" t="s">
        <v>59</v>
      </c>
      <c r="I603" s="27" t="s">
        <v>143</v>
      </c>
      <c r="J603" s="27" t="s">
        <v>144</v>
      </c>
      <c r="K603" s="39" t="s">
        <v>2851</v>
      </c>
      <c r="L603" s="41" t="s">
        <v>129</v>
      </c>
      <c r="M603" s="27"/>
      <c r="N603" s="27"/>
      <c r="O603" s="28" t="s">
        <v>2276</v>
      </c>
    </row>
    <row r="604" spans="1:15" ht="15" customHeight="1" x14ac:dyDescent="0.3">
      <c r="A604" s="31">
        <v>46023</v>
      </c>
      <c r="B604" s="27" t="s">
        <v>53</v>
      </c>
      <c r="C604" s="27" t="s">
        <v>2860</v>
      </c>
      <c r="D604" s="27" t="s">
        <v>2861</v>
      </c>
      <c r="E604" s="27" t="s">
        <v>59</v>
      </c>
      <c r="F604" s="27" t="s">
        <v>1373</v>
      </c>
      <c r="G604" s="27" t="s">
        <v>1374</v>
      </c>
      <c r="H604" s="27" t="s">
        <v>59</v>
      </c>
      <c r="I604" s="27" t="s">
        <v>143</v>
      </c>
      <c r="J604" s="27" t="s">
        <v>144</v>
      </c>
      <c r="K604" s="39" t="s">
        <v>2851</v>
      </c>
      <c r="L604" s="41" t="s">
        <v>129</v>
      </c>
      <c r="M604" s="27"/>
      <c r="N604" s="27"/>
      <c r="O604" s="28" t="s">
        <v>2276</v>
      </c>
    </row>
    <row r="605" spans="1:15" ht="15" customHeight="1" x14ac:dyDescent="0.3">
      <c r="A605" s="31">
        <v>46023</v>
      </c>
      <c r="B605" s="27" t="s">
        <v>53</v>
      </c>
      <c r="C605" s="27" t="s">
        <v>2862</v>
      </c>
      <c r="D605" s="27" t="s">
        <v>2863</v>
      </c>
      <c r="E605" s="27" t="s">
        <v>59</v>
      </c>
      <c r="F605" s="27" t="s">
        <v>1373</v>
      </c>
      <c r="G605" s="27" t="s">
        <v>1374</v>
      </c>
      <c r="H605" s="27" t="s">
        <v>59</v>
      </c>
      <c r="I605" s="27" t="s">
        <v>143</v>
      </c>
      <c r="J605" s="27" t="s">
        <v>144</v>
      </c>
      <c r="K605" s="39" t="s">
        <v>2851</v>
      </c>
      <c r="L605" s="41" t="s">
        <v>129</v>
      </c>
      <c r="M605" s="27"/>
      <c r="N605" s="27"/>
      <c r="O605" s="28" t="s">
        <v>2276</v>
      </c>
    </row>
    <row r="606" spans="1:15" ht="15" customHeight="1" x14ac:dyDescent="0.3">
      <c r="A606" s="31">
        <v>46023</v>
      </c>
      <c r="B606" s="27" t="s">
        <v>53</v>
      </c>
      <c r="C606" s="27" t="s">
        <v>2864</v>
      </c>
      <c r="D606" s="27" t="s">
        <v>2865</v>
      </c>
      <c r="E606" s="27" t="s">
        <v>59</v>
      </c>
      <c r="F606" s="27" t="s">
        <v>1373</v>
      </c>
      <c r="G606" s="27" t="s">
        <v>1374</v>
      </c>
      <c r="H606" s="27" t="s">
        <v>59</v>
      </c>
      <c r="I606" s="27" t="s">
        <v>143</v>
      </c>
      <c r="J606" s="27" t="s">
        <v>144</v>
      </c>
      <c r="K606" s="39" t="s">
        <v>2851</v>
      </c>
      <c r="L606" s="41" t="s">
        <v>129</v>
      </c>
      <c r="M606" s="27"/>
      <c r="N606" s="27"/>
      <c r="O606" s="28" t="s">
        <v>2276</v>
      </c>
    </row>
    <row r="607" spans="1:15" ht="15" customHeight="1" x14ac:dyDescent="0.3">
      <c r="A607" s="31">
        <v>46023</v>
      </c>
      <c r="B607" s="27" t="s">
        <v>53</v>
      </c>
      <c r="C607" s="27" t="s">
        <v>2866</v>
      </c>
      <c r="D607" s="27" t="s">
        <v>2867</v>
      </c>
      <c r="E607" s="27" t="s">
        <v>59</v>
      </c>
      <c r="F607" s="27" t="s">
        <v>1373</v>
      </c>
      <c r="G607" s="27" t="s">
        <v>1374</v>
      </c>
      <c r="H607" s="27" t="s">
        <v>59</v>
      </c>
      <c r="I607" s="27" t="s">
        <v>143</v>
      </c>
      <c r="J607" s="27" t="s">
        <v>144</v>
      </c>
      <c r="K607" s="39" t="s">
        <v>2851</v>
      </c>
      <c r="L607" s="41" t="s">
        <v>129</v>
      </c>
      <c r="M607" s="27"/>
      <c r="N607" s="27"/>
      <c r="O607" s="28" t="s">
        <v>2276</v>
      </c>
    </row>
    <row r="608" spans="1:15" ht="15" customHeight="1" x14ac:dyDescent="0.3">
      <c r="A608" s="31">
        <v>46023</v>
      </c>
      <c r="B608" s="27" t="s">
        <v>53</v>
      </c>
      <c r="C608" s="27" t="s">
        <v>2868</v>
      </c>
      <c r="D608" s="27" t="s">
        <v>2869</v>
      </c>
      <c r="E608" s="27" t="s">
        <v>59</v>
      </c>
      <c r="F608" s="27" t="s">
        <v>1373</v>
      </c>
      <c r="G608" s="27" t="s">
        <v>1374</v>
      </c>
      <c r="H608" s="27" t="s">
        <v>59</v>
      </c>
      <c r="I608" s="27" t="s">
        <v>143</v>
      </c>
      <c r="J608" s="27" t="s">
        <v>144</v>
      </c>
      <c r="K608" s="39" t="s">
        <v>2851</v>
      </c>
      <c r="L608" s="41" t="s">
        <v>129</v>
      </c>
      <c r="M608" s="27"/>
      <c r="N608" s="27"/>
      <c r="O608" s="28" t="s">
        <v>2276</v>
      </c>
    </row>
    <row r="609" spans="1:15" ht="15" customHeight="1" x14ac:dyDescent="0.3">
      <c r="A609" s="31">
        <v>46023</v>
      </c>
      <c r="B609" s="27" t="s">
        <v>53</v>
      </c>
      <c r="C609" s="27" t="s">
        <v>2870</v>
      </c>
      <c r="D609" s="27" t="s">
        <v>2871</v>
      </c>
      <c r="E609" s="27" t="s">
        <v>59</v>
      </c>
      <c r="F609" s="27" t="s">
        <v>1373</v>
      </c>
      <c r="G609" s="27" t="s">
        <v>1374</v>
      </c>
      <c r="H609" s="27" t="s">
        <v>59</v>
      </c>
      <c r="I609" s="27" t="s">
        <v>143</v>
      </c>
      <c r="J609" s="27" t="s">
        <v>144</v>
      </c>
      <c r="K609" s="39" t="s">
        <v>2851</v>
      </c>
      <c r="L609" s="41" t="s">
        <v>129</v>
      </c>
      <c r="M609" s="27"/>
      <c r="N609" s="27"/>
      <c r="O609" s="28" t="s">
        <v>2276</v>
      </c>
    </row>
    <row r="610" spans="1:15" ht="15" customHeight="1" x14ac:dyDescent="0.3">
      <c r="A610" s="31">
        <v>46023</v>
      </c>
      <c r="B610" s="27" t="s">
        <v>53</v>
      </c>
      <c r="C610" s="27" t="s">
        <v>2872</v>
      </c>
      <c r="D610" s="27" t="s">
        <v>2873</v>
      </c>
      <c r="E610" s="27" t="s">
        <v>59</v>
      </c>
      <c r="F610" s="27" t="s">
        <v>1373</v>
      </c>
      <c r="G610" s="27" t="s">
        <v>1374</v>
      </c>
      <c r="H610" s="27" t="s">
        <v>59</v>
      </c>
      <c r="I610" s="27" t="s">
        <v>143</v>
      </c>
      <c r="J610" s="27" t="s">
        <v>144</v>
      </c>
      <c r="K610" s="39" t="s">
        <v>2851</v>
      </c>
      <c r="L610" s="41" t="s">
        <v>129</v>
      </c>
      <c r="M610" s="27"/>
      <c r="N610" s="27"/>
      <c r="O610" s="28" t="s">
        <v>2276</v>
      </c>
    </row>
    <row r="611" spans="1:15" ht="15" customHeight="1" x14ac:dyDescent="0.3">
      <c r="A611" s="31">
        <v>46023</v>
      </c>
      <c r="B611" s="27" t="s">
        <v>53</v>
      </c>
      <c r="C611" s="27" t="s">
        <v>2874</v>
      </c>
      <c r="D611" s="27" t="s">
        <v>2875</v>
      </c>
      <c r="E611" s="27" t="s">
        <v>59</v>
      </c>
      <c r="F611" s="27" t="s">
        <v>1373</v>
      </c>
      <c r="G611" s="27" t="s">
        <v>1374</v>
      </c>
      <c r="H611" s="27" t="s">
        <v>59</v>
      </c>
      <c r="I611" s="27" t="s">
        <v>143</v>
      </c>
      <c r="J611" s="27" t="s">
        <v>144</v>
      </c>
      <c r="K611" s="39" t="s">
        <v>2851</v>
      </c>
      <c r="L611" s="41" t="s">
        <v>129</v>
      </c>
      <c r="M611" s="27"/>
      <c r="N611" s="27"/>
      <c r="O611" s="28" t="s">
        <v>2276</v>
      </c>
    </row>
    <row r="612" spans="1:15" ht="15" customHeight="1" x14ac:dyDescent="0.3">
      <c r="A612" s="31">
        <v>46023</v>
      </c>
      <c r="B612" s="27" t="s">
        <v>53</v>
      </c>
      <c r="C612" s="27" t="s">
        <v>2876</v>
      </c>
      <c r="D612" s="27" t="s">
        <v>2877</v>
      </c>
      <c r="E612" s="27" t="s">
        <v>59</v>
      </c>
      <c r="F612" s="27" t="s">
        <v>1373</v>
      </c>
      <c r="G612" s="27" t="s">
        <v>1374</v>
      </c>
      <c r="H612" s="27" t="s">
        <v>59</v>
      </c>
      <c r="I612" s="27" t="s">
        <v>143</v>
      </c>
      <c r="J612" s="27" t="s">
        <v>144</v>
      </c>
      <c r="K612" s="39" t="s">
        <v>2851</v>
      </c>
      <c r="L612" s="41" t="s">
        <v>129</v>
      </c>
      <c r="M612" s="27"/>
      <c r="N612" s="27"/>
      <c r="O612" s="28" t="s">
        <v>2276</v>
      </c>
    </row>
    <row r="613" spans="1:15" ht="15" customHeight="1" x14ac:dyDescent="0.3">
      <c r="A613" s="31">
        <v>46023</v>
      </c>
      <c r="B613" s="27" t="s">
        <v>53</v>
      </c>
      <c r="C613" s="27" t="s">
        <v>2878</v>
      </c>
      <c r="D613" s="27" t="s">
        <v>2879</v>
      </c>
      <c r="E613" s="27" t="s">
        <v>59</v>
      </c>
      <c r="F613" s="27" t="s">
        <v>1373</v>
      </c>
      <c r="G613" s="27" t="s">
        <v>1374</v>
      </c>
      <c r="H613" s="27" t="s">
        <v>59</v>
      </c>
      <c r="I613" s="27" t="s">
        <v>143</v>
      </c>
      <c r="J613" s="27" t="s">
        <v>144</v>
      </c>
      <c r="K613" s="39" t="s">
        <v>2851</v>
      </c>
      <c r="L613" s="41" t="s">
        <v>129</v>
      </c>
      <c r="M613" s="27"/>
      <c r="N613" s="27"/>
      <c r="O613" s="28" t="s">
        <v>2276</v>
      </c>
    </row>
    <row r="614" spans="1:15" ht="15" customHeight="1" x14ac:dyDescent="0.3">
      <c r="A614" s="31">
        <v>46023</v>
      </c>
      <c r="B614" s="27" t="s">
        <v>53</v>
      </c>
      <c r="C614" s="27" t="s">
        <v>2880</v>
      </c>
      <c r="D614" s="27" t="s">
        <v>2881</v>
      </c>
      <c r="E614" s="27" t="s">
        <v>59</v>
      </c>
      <c r="F614" s="27" t="s">
        <v>1373</v>
      </c>
      <c r="G614" s="27" t="s">
        <v>1374</v>
      </c>
      <c r="H614" s="27" t="s">
        <v>59</v>
      </c>
      <c r="I614" s="27" t="s">
        <v>143</v>
      </c>
      <c r="J614" s="27" t="s">
        <v>144</v>
      </c>
      <c r="K614" s="39" t="s">
        <v>2851</v>
      </c>
      <c r="L614" s="41" t="s">
        <v>1632</v>
      </c>
      <c r="M614" s="27"/>
      <c r="N614" s="27"/>
      <c r="O614" s="28" t="s">
        <v>2276</v>
      </c>
    </row>
    <row r="615" spans="1:15" ht="15" customHeight="1" x14ac:dyDescent="0.3">
      <c r="A615" s="31">
        <v>46023</v>
      </c>
      <c r="B615" s="27" t="s">
        <v>53</v>
      </c>
      <c r="C615" s="27" t="s">
        <v>2882</v>
      </c>
      <c r="D615" s="27" t="s">
        <v>2883</v>
      </c>
      <c r="E615" s="27" t="s">
        <v>59</v>
      </c>
      <c r="F615" s="27" t="s">
        <v>1373</v>
      </c>
      <c r="G615" s="27" t="s">
        <v>1374</v>
      </c>
      <c r="H615" s="27" t="s">
        <v>59</v>
      </c>
      <c r="I615" s="27" t="s">
        <v>143</v>
      </c>
      <c r="J615" s="27" t="s">
        <v>144</v>
      </c>
      <c r="K615" s="39" t="s">
        <v>2851</v>
      </c>
      <c r="L615" s="41" t="s">
        <v>1632</v>
      </c>
      <c r="M615" s="27"/>
      <c r="N615" s="27"/>
      <c r="O615" s="28" t="s">
        <v>2276</v>
      </c>
    </row>
    <row r="616" spans="1:15" ht="15" customHeight="1" x14ac:dyDescent="0.3">
      <c r="A616" s="31">
        <v>46023</v>
      </c>
      <c r="B616" s="27" t="s">
        <v>53</v>
      </c>
      <c r="C616" s="27" t="s">
        <v>2884</v>
      </c>
      <c r="D616" s="27" t="s">
        <v>2885</v>
      </c>
      <c r="E616" s="27" t="s">
        <v>59</v>
      </c>
      <c r="F616" s="27" t="s">
        <v>1373</v>
      </c>
      <c r="G616" s="27" t="s">
        <v>1374</v>
      </c>
      <c r="H616" s="27" t="s">
        <v>59</v>
      </c>
      <c r="I616" s="27" t="s">
        <v>143</v>
      </c>
      <c r="J616" s="27" t="s">
        <v>144</v>
      </c>
      <c r="K616" s="39" t="s">
        <v>2402</v>
      </c>
      <c r="L616" s="41" t="s">
        <v>1632</v>
      </c>
      <c r="M616" s="27"/>
      <c r="N616" s="27"/>
      <c r="O616" s="28" t="s">
        <v>2276</v>
      </c>
    </row>
    <row r="617" spans="1:15" ht="15" customHeight="1" x14ac:dyDescent="0.3">
      <c r="A617" s="31">
        <v>46023</v>
      </c>
      <c r="B617" s="27" t="s">
        <v>53</v>
      </c>
      <c r="C617" s="27" t="s">
        <v>2886</v>
      </c>
      <c r="D617" s="27" t="s">
        <v>2887</v>
      </c>
      <c r="E617" s="27" t="s">
        <v>59</v>
      </c>
      <c r="F617" s="27" t="s">
        <v>1373</v>
      </c>
      <c r="G617" s="27" t="s">
        <v>1374</v>
      </c>
      <c r="H617" s="27" t="s">
        <v>59</v>
      </c>
      <c r="I617" s="27" t="s">
        <v>143</v>
      </c>
      <c r="J617" s="27" t="s">
        <v>144</v>
      </c>
      <c r="K617" s="39" t="s">
        <v>2402</v>
      </c>
      <c r="L617" s="41" t="s">
        <v>1632</v>
      </c>
      <c r="M617" s="27"/>
      <c r="N617" s="27"/>
      <c r="O617" s="28" t="s">
        <v>2276</v>
      </c>
    </row>
    <row r="618" spans="1:15" ht="15" customHeight="1" x14ac:dyDescent="0.3">
      <c r="A618" s="31">
        <v>46023</v>
      </c>
      <c r="B618" s="27" t="s">
        <v>53</v>
      </c>
      <c r="C618" s="27" t="s">
        <v>2888</v>
      </c>
      <c r="D618" s="27" t="s">
        <v>2889</v>
      </c>
      <c r="E618" s="27" t="s">
        <v>59</v>
      </c>
      <c r="F618" s="27" t="s">
        <v>1373</v>
      </c>
      <c r="G618" s="27" t="s">
        <v>1374</v>
      </c>
      <c r="H618" s="27" t="s">
        <v>59</v>
      </c>
      <c r="I618" s="27" t="s">
        <v>143</v>
      </c>
      <c r="J618" s="27" t="s">
        <v>144</v>
      </c>
      <c r="K618" s="39" t="s">
        <v>2402</v>
      </c>
      <c r="L618" s="41" t="s">
        <v>1632</v>
      </c>
      <c r="M618" s="27"/>
      <c r="N618" s="27"/>
      <c r="O618" s="28" t="s">
        <v>2276</v>
      </c>
    </row>
    <row r="619" spans="1:15" ht="15" customHeight="1" x14ac:dyDescent="0.3">
      <c r="A619" s="31">
        <v>46023</v>
      </c>
      <c r="B619" s="27" t="s">
        <v>53</v>
      </c>
      <c r="C619" s="27" t="s">
        <v>2890</v>
      </c>
      <c r="D619" s="27" t="s">
        <v>2891</v>
      </c>
      <c r="E619" s="27" t="s">
        <v>59</v>
      </c>
      <c r="F619" s="27" t="s">
        <v>1373</v>
      </c>
      <c r="G619" s="27" t="s">
        <v>1374</v>
      </c>
      <c r="H619" s="27" t="s">
        <v>59</v>
      </c>
      <c r="I619" s="27" t="s">
        <v>143</v>
      </c>
      <c r="J619" s="27" t="s">
        <v>144</v>
      </c>
      <c r="K619" s="39" t="s">
        <v>2402</v>
      </c>
      <c r="L619" s="41" t="s">
        <v>1632</v>
      </c>
      <c r="M619" s="27"/>
      <c r="N619" s="27"/>
      <c r="O619" s="28" t="s">
        <v>2276</v>
      </c>
    </row>
    <row r="620" spans="1:15" ht="15" customHeight="1" x14ac:dyDescent="0.3">
      <c r="A620" s="31">
        <v>46023</v>
      </c>
      <c r="B620" s="27" t="s">
        <v>53</v>
      </c>
      <c r="C620" s="27" t="s">
        <v>2892</v>
      </c>
      <c r="D620" s="27" t="s">
        <v>2883</v>
      </c>
      <c r="E620" s="27" t="s">
        <v>59</v>
      </c>
      <c r="F620" s="27" t="s">
        <v>1373</v>
      </c>
      <c r="G620" s="27" t="s">
        <v>1631</v>
      </c>
      <c r="H620" s="27" t="s">
        <v>59</v>
      </c>
      <c r="I620" s="27" t="s">
        <v>143</v>
      </c>
      <c r="J620" s="27" t="s">
        <v>144</v>
      </c>
      <c r="K620" s="39" t="s">
        <v>2402</v>
      </c>
      <c r="L620" s="41" t="s">
        <v>1632</v>
      </c>
      <c r="M620" s="27"/>
      <c r="N620" s="27"/>
      <c r="O620" s="28" t="s">
        <v>2276</v>
      </c>
    </row>
    <row r="621" spans="1:15" ht="15" customHeight="1" x14ac:dyDescent="0.3">
      <c r="A621" s="31">
        <v>46023</v>
      </c>
      <c r="B621" s="27" t="s">
        <v>53</v>
      </c>
      <c r="C621" s="27" t="s">
        <v>2893</v>
      </c>
      <c r="D621" s="27" t="s">
        <v>2894</v>
      </c>
      <c r="E621" s="27" t="s">
        <v>59</v>
      </c>
      <c r="F621" s="27" t="s">
        <v>1373</v>
      </c>
      <c r="G621" s="27" t="s">
        <v>1631</v>
      </c>
      <c r="H621" s="27" t="s">
        <v>59</v>
      </c>
      <c r="I621" s="27" t="s">
        <v>143</v>
      </c>
      <c r="J621" s="27" t="s">
        <v>144</v>
      </c>
      <c r="K621" s="39" t="s">
        <v>2402</v>
      </c>
      <c r="L621" s="41" t="s">
        <v>1632</v>
      </c>
      <c r="M621" s="27"/>
      <c r="N621" s="27"/>
      <c r="O621" s="28" t="s">
        <v>2276</v>
      </c>
    </row>
    <row r="622" spans="1:15" ht="15" customHeight="1" x14ac:dyDescent="0.3">
      <c r="A622" s="31">
        <v>46023</v>
      </c>
      <c r="B622" s="27" t="s">
        <v>53</v>
      </c>
      <c r="C622" s="27" t="s">
        <v>2895</v>
      </c>
      <c r="D622" s="27" t="s">
        <v>2896</v>
      </c>
      <c r="E622" s="27" t="s">
        <v>59</v>
      </c>
      <c r="F622" s="27" t="s">
        <v>1373</v>
      </c>
      <c r="G622" s="27" t="s">
        <v>1631</v>
      </c>
      <c r="H622" s="27" t="s">
        <v>59</v>
      </c>
      <c r="I622" s="27" t="s">
        <v>143</v>
      </c>
      <c r="J622" s="27" t="s">
        <v>144</v>
      </c>
      <c r="K622" s="39" t="s">
        <v>2402</v>
      </c>
      <c r="L622" s="41" t="s">
        <v>1632</v>
      </c>
      <c r="M622" s="27"/>
      <c r="N622" s="27"/>
      <c r="O622" s="28" t="s">
        <v>2276</v>
      </c>
    </row>
    <row r="623" spans="1:15" ht="15" customHeight="1" x14ac:dyDescent="0.3">
      <c r="A623" s="31">
        <v>46023</v>
      </c>
      <c r="B623" s="27" t="s">
        <v>53</v>
      </c>
      <c r="C623" s="27" t="s">
        <v>2897</v>
      </c>
      <c r="D623" s="27" t="s">
        <v>2898</v>
      </c>
      <c r="E623" s="27" t="s">
        <v>59</v>
      </c>
      <c r="F623" s="27" t="s">
        <v>1373</v>
      </c>
      <c r="G623" s="27" t="s">
        <v>1631</v>
      </c>
      <c r="H623" s="27" t="s">
        <v>59</v>
      </c>
      <c r="I623" s="27" t="s">
        <v>116</v>
      </c>
      <c r="J623" s="27" t="s">
        <v>144</v>
      </c>
      <c r="K623" s="39" t="s">
        <v>2402</v>
      </c>
      <c r="L623" s="41" t="s">
        <v>1632</v>
      </c>
      <c r="M623" s="27"/>
      <c r="N623" s="27"/>
      <c r="O623" s="28" t="s">
        <v>2276</v>
      </c>
    </row>
    <row r="624" spans="1:15" ht="15" customHeight="1" x14ac:dyDescent="0.3">
      <c r="A624" s="31">
        <v>46023</v>
      </c>
      <c r="B624" s="27" t="s">
        <v>53</v>
      </c>
      <c r="C624" s="27" t="s">
        <v>2899</v>
      </c>
      <c r="D624" s="27" t="s">
        <v>2900</v>
      </c>
      <c r="E624" s="27" t="s">
        <v>59</v>
      </c>
      <c r="F624" s="27" t="s">
        <v>1373</v>
      </c>
      <c r="G624" s="27" t="s">
        <v>1631</v>
      </c>
      <c r="H624" s="27" t="s">
        <v>59</v>
      </c>
      <c r="I624" s="27" t="s">
        <v>143</v>
      </c>
      <c r="J624" s="27" t="s">
        <v>144</v>
      </c>
      <c r="K624" s="39" t="s">
        <v>2402</v>
      </c>
      <c r="L624" s="41" t="s">
        <v>1632</v>
      </c>
      <c r="M624" s="27"/>
      <c r="N624" s="27"/>
      <c r="O624" s="28" t="s">
        <v>2276</v>
      </c>
    </row>
    <row r="625" spans="1:15" ht="15" customHeight="1" x14ac:dyDescent="0.3">
      <c r="A625" s="31">
        <v>46023</v>
      </c>
      <c r="B625" s="27" t="s">
        <v>53</v>
      </c>
      <c r="C625" s="27" t="s">
        <v>2901</v>
      </c>
      <c r="D625" s="27" t="s">
        <v>2902</v>
      </c>
      <c r="E625" s="27" t="s">
        <v>59</v>
      </c>
      <c r="F625" s="27" t="s">
        <v>1373</v>
      </c>
      <c r="G625" s="27" t="s">
        <v>1631</v>
      </c>
      <c r="H625" s="27" t="s">
        <v>59</v>
      </c>
      <c r="I625" s="27" t="s">
        <v>143</v>
      </c>
      <c r="J625" s="27" t="s">
        <v>144</v>
      </c>
      <c r="K625" s="39" t="s">
        <v>2402</v>
      </c>
      <c r="L625" s="41" t="s">
        <v>1632</v>
      </c>
      <c r="M625" s="27"/>
      <c r="N625" s="27"/>
      <c r="O625" s="28" t="s">
        <v>2276</v>
      </c>
    </row>
    <row r="626" spans="1:15" ht="15" customHeight="1" x14ac:dyDescent="0.3">
      <c r="A626" s="31">
        <v>46023</v>
      </c>
      <c r="B626" s="27" t="s">
        <v>53</v>
      </c>
      <c r="C626" s="27" t="s">
        <v>2903</v>
      </c>
      <c r="D626" s="27" t="s">
        <v>2904</v>
      </c>
      <c r="E626" s="27" t="s">
        <v>2905</v>
      </c>
      <c r="F626" s="27" t="s">
        <v>1373</v>
      </c>
      <c r="G626" s="27" t="s">
        <v>1631</v>
      </c>
      <c r="H626" s="27" t="s">
        <v>59</v>
      </c>
      <c r="I626" s="27" t="s">
        <v>143</v>
      </c>
      <c r="J626" s="27" t="s">
        <v>144</v>
      </c>
      <c r="K626" s="39" t="s">
        <v>2402</v>
      </c>
      <c r="L626" s="41" t="s">
        <v>1632</v>
      </c>
      <c r="M626" s="27"/>
      <c r="N626" s="27"/>
      <c r="O626" s="28" t="s">
        <v>2276</v>
      </c>
    </row>
    <row r="627" spans="1:15" ht="15" customHeight="1" x14ac:dyDescent="0.3">
      <c r="A627" s="31">
        <v>46023</v>
      </c>
      <c r="B627" s="27" t="s">
        <v>53</v>
      </c>
      <c r="C627" s="27" t="s">
        <v>2906</v>
      </c>
      <c r="D627" s="27" t="s">
        <v>2904</v>
      </c>
      <c r="E627" s="27" t="s">
        <v>2907</v>
      </c>
      <c r="F627" s="27" t="s">
        <v>1373</v>
      </c>
      <c r="G627" s="27" t="s">
        <v>1631</v>
      </c>
      <c r="H627" s="27" t="s">
        <v>59</v>
      </c>
      <c r="I627" s="27" t="s">
        <v>143</v>
      </c>
      <c r="J627" s="27" t="s">
        <v>144</v>
      </c>
      <c r="K627" s="39" t="s">
        <v>2402</v>
      </c>
      <c r="L627" s="41" t="s">
        <v>1632</v>
      </c>
      <c r="M627" s="27"/>
      <c r="N627" s="27"/>
      <c r="O627" s="28" t="s">
        <v>2276</v>
      </c>
    </row>
    <row r="628" spans="1:15" ht="15" customHeight="1" x14ac:dyDescent="0.3">
      <c r="A628" s="31">
        <v>46023</v>
      </c>
      <c r="B628" s="27" t="s">
        <v>53</v>
      </c>
      <c r="C628" s="27" t="s">
        <v>2908</v>
      </c>
      <c r="D628" s="27" t="s">
        <v>2909</v>
      </c>
      <c r="E628" s="27" t="s">
        <v>2907</v>
      </c>
      <c r="F628" s="27" t="s">
        <v>1373</v>
      </c>
      <c r="G628" s="27" t="s">
        <v>1631</v>
      </c>
      <c r="H628" s="27" t="s">
        <v>59</v>
      </c>
      <c r="I628" s="27" t="s">
        <v>143</v>
      </c>
      <c r="J628" s="27" t="s">
        <v>144</v>
      </c>
      <c r="K628" s="39" t="s">
        <v>2402</v>
      </c>
      <c r="L628" s="41" t="s">
        <v>1632</v>
      </c>
      <c r="M628" s="27"/>
      <c r="N628" s="27"/>
      <c r="O628" s="28" t="s">
        <v>2276</v>
      </c>
    </row>
    <row r="629" spans="1:15" ht="15" customHeight="1" x14ac:dyDescent="0.3">
      <c r="A629" s="31">
        <v>46023</v>
      </c>
      <c r="B629" s="27" t="s">
        <v>53</v>
      </c>
      <c r="C629" s="27" t="s">
        <v>2910</v>
      </c>
      <c r="D629" s="27" t="s">
        <v>2904</v>
      </c>
      <c r="E629" s="27" t="s">
        <v>2911</v>
      </c>
      <c r="F629" s="27" t="s">
        <v>1373</v>
      </c>
      <c r="G629" s="27" t="s">
        <v>1631</v>
      </c>
      <c r="H629" s="27" t="s">
        <v>59</v>
      </c>
      <c r="I629" s="27" t="s">
        <v>143</v>
      </c>
      <c r="J629" s="27" t="s">
        <v>144</v>
      </c>
      <c r="K629" s="39" t="s">
        <v>2402</v>
      </c>
      <c r="L629" s="41" t="s">
        <v>1632</v>
      </c>
      <c r="M629" s="27"/>
      <c r="N629" s="27"/>
      <c r="O629" s="28" t="s">
        <v>2276</v>
      </c>
    </row>
    <row r="630" spans="1:15" ht="15" customHeight="1" x14ac:dyDescent="0.3">
      <c r="A630" s="31">
        <v>46023</v>
      </c>
      <c r="B630" s="27" t="s">
        <v>53</v>
      </c>
      <c r="C630" s="27" t="s">
        <v>2912</v>
      </c>
      <c r="D630" s="27" t="s">
        <v>2913</v>
      </c>
      <c r="E630" s="27" t="s">
        <v>2914</v>
      </c>
      <c r="F630" s="27" t="s">
        <v>1373</v>
      </c>
      <c r="G630" s="27" t="s">
        <v>1631</v>
      </c>
      <c r="H630" s="27" t="s">
        <v>59</v>
      </c>
      <c r="I630" s="27" t="s">
        <v>143</v>
      </c>
      <c r="J630" s="27" t="s">
        <v>144</v>
      </c>
      <c r="K630" s="39" t="s">
        <v>2402</v>
      </c>
      <c r="L630" s="41" t="s">
        <v>1632</v>
      </c>
      <c r="M630" s="27"/>
      <c r="N630" s="27"/>
      <c r="O630" s="28" t="s">
        <v>2276</v>
      </c>
    </row>
    <row r="631" spans="1:15" ht="15" customHeight="1" x14ac:dyDescent="0.3">
      <c r="A631" s="31">
        <v>46023</v>
      </c>
      <c r="B631" s="27" t="s">
        <v>53</v>
      </c>
      <c r="C631" s="27" t="s">
        <v>2915</v>
      </c>
      <c r="D631" s="27" t="s">
        <v>2916</v>
      </c>
      <c r="E631" s="27" t="s">
        <v>2914</v>
      </c>
      <c r="F631" s="27" t="s">
        <v>1373</v>
      </c>
      <c r="G631" s="27" t="s">
        <v>1631</v>
      </c>
      <c r="H631" s="27" t="s">
        <v>59</v>
      </c>
      <c r="I631" s="27" t="s">
        <v>143</v>
      </c>
      <c r="J631" s="27" t="s">
        <v>144</v>
      </c>
      <c r="K631" s="39" t="s">
        <v>2402</v>
      </c>
      <c r="L631" s="41" t="s">
        <v>1632</v>
      </c>
      <c r="M631" s="27"/>
      <c r="N631" s="27"/>
      <c r="O631" s="28" t="s">
        <v>2276</v>
      </c>
    </row>
    <row r="632" spans="1:15" ht="15" customHeight="1" x14ac:dyDescent="0.3">
      <c r="A632" s="31">
        <v>46023</v>
      </c>
      <c r="B632" s="27" t="s">
        <v>53</v>
      </c>
      <c r="C632" s="27" t="s">
        <v>2917</v>
      </c>
      <c r="D632" s="27" t="s">
        <v>2916</v>
      </c>
      <c r="E632" s="27" t="s">
        <v>59</v>
      </c>
      <c r="F632" s="27" t="s">
        <v>1373</v>
      </c>
      <c r="G632" s="27" t="s">
        <v>1631</v>
      </c>
      <c r="H632" s="27" t="s">
        <v>59</v>
      </c>
      <c r="I632" s="27" t="s">
        <v>143</v>
      </c>
      <c r="J632" s="27" t="s">
        <v>144</v>
      </c>
      <c r="K632" s="39" t="s">
        <v>2402</v>
      </c>
      <c r="L632" s="41" t="s">
        <v>1632</v>
      </c>
      <c r="M632" s="27"/>
      <c r="N632" s="27"/>
      <c r="O632" s="28" t="s">
        <v>2276</v>
      </c>
    </row>
    <row r="633" spans="1:15" ht="15" customHeight="1" x14ac:dyDescent="0.3">
      <c r="A633" s="31">
        <v>46023</v>
      </c>
      <c r="B633" s="27" t="s">
        <v>53</v>
      </c>
      <c r="C633" s="27" t="s">
        <v>2918</v>
      </c>
      <c r="D633" s="27" t="s">
        <v>2904</v>
      </c>
      <c r="E633" s="27" t="s">
        <v>2919</v>
      </c>
      <c r="F633" s="27" t="s">
        <v>1373</v>
      </c>
      <c r="G633" s="27" t="s">
        <v>1631</v>
      </c>
      <c r="H633" s="27" t="s">
        <v>59</v>
      </c>
      <c r="I633" s="27" t="s">
        <v>143</v>
      </c>
      <c r="J633" s="27" t="s">
        <v>144</v>
      </c>
      <c r="K633" s="39" t="s">
        <v>2402</v>
      </c>
      <c r="L633" s="41" t="s">
        <v>1632</v>
      </c>
      <c r="M633" s="27"/>
      <c r="N633" s="27"/>
      <c r="O633" s="28" t="s">
        <v>2276</v>
      </c>
    </row>
    <row r="634" spans="1:15" ht="15" customHeight="1" x14ac:dyDescent="0.3">
      <c r="A634" s="31">
        <v>46023</v>
      </c>
      <c r="B634" s="27" t="s">
        <v>53</v>
      </c>
      <c r="C634" s="27" t="s">
        <v>2920</v>
      </c>
      <c r="D634" s="27" t="s">
        <v>2921</v>
      </c>
      <c r="E634" s="27" t="s">
        <v>59</v>
      </c>
      <c r="F634" s="27" t="s">
        <v>1373</v>
      </c>
      <c r="G634" s="27" t="s">
        <v>1374</v>
      </c>
      <c r="H634" s="27" t="s">
        <v>59</v>
      </c>
      <c r="I634" s="27" t="s">
        <v>143</v>
      </c>
      <c r="J634" s="27" t="s">
        <v>144</v>
      </c>
      <c r="K634" s="39" t="s">
        <v>2851</v>
      </c>
      <c r="L634" s="41" t="s">
        <v>1632</v>
      </c>
      <c r="M634" s="27"/>
      <c r="N634" s="27"/>
      <c r="O634" s="28" t="s">
        <v>2276</v>
      </c>
    </row>
    <row r="635" spans="1:15" ht="15" customHeight="1" x14ac:dyDescent="0.3">
      <c r="A635" s="31">
        <v>46023</v>
      </c>
      <c r="B635" s="27" t="s">
        <v>53</v>
      </c>
      <c r="C635" s="27" t="s">
        <v>2922</v>
      </c>
      <c r="D635" s="27" t="s">
        <v>2923</v>
      </c>
      <c r="E635" s="27" t="s">
        <v>59</v>
      </c>
      <c r="F635" s="27" t="s">
        <v>1373</v>
      </c>
      <c r="G635" s="27" t="s">
        <v>1374</v>
      </c>
      <c r="H635" s="27" t="s">
        <v>59</v>
      </c>
      <c r="I635" s="27" t="s">
        <v>143</v>
      </c>
      <c r="J635" s="27" t="s">
        <v>144</v>
      </c>
      <c r="K635" s="39" t="s">
        <v>2851</v>
      </c>
      <c r="L635" s="41" t="s">
        <v>1632</v>
      </c>
      <c r="M635" s="27"/>
      <c r="N635" s="27"/>
      <c r="O635" s="28" t="s">
        <v>2276</v>
      </c>
    </row>
    <row r="636" spans="1:15" ht="15" customHeight="1" x14ac:dyDescent="0.3">
      <c r="A636" s="31">
        <v>46023</v>
      </c>
      <c r="B636" s="27" t="s">
        <v>53</v>
      </c>
      <c r="C636" s="27" t="s">
        <v>2924</v>
      </c>
      <c r="D636" s="27" t="s">
        <v>2925</v>
      </c>
      <c r="E636" s="27" t="s">
        <v>59</v>
      </c>
      <c r="F636" s="27" t="s">
        <v>1373</v>
      </c>
      <c r="G636" s="27" t="s">
        <v>1374</v>
      </c>
      <c r="H636" s="27" t="s">
        <v>59</v>
      </c>
      <c r="I636" s="27" t="s">
        <v>143</v>
      </c>
      <c r="J636" s="27" t="s">
        <v>144</v>
      </c>
      <c r="K636" s="39" t="s">
        <v>2851</v>
      </c>
      <c r="L636" s="41" t="s">
        <v>1632</v>
      </c>
      <c r="M636" s="27"/>
      <c r="N636" s="27"/>
      <c r="O636" s="28" t="s">
        <v>2276</v>
      </c>
    </row>
    <row r="637" spans="1:15" ht="15" customHeight="1" x14ac:dyDescent="0.3">
      <c r="A637" s="31">
        <v>46023</v>
      </c>
      <c r="B637" s="27" t="s">
        <v>53</v>
      </c>
      <c r="C637" s="27" t="s">
        <v>2926</v>
      </c>
      <c r="D637" s="27" t="s">
        <v>2927</v>
      </c>
      <c r="E637" s="27" t="s">
        <v>59</v>
      </c>
      <c r="F637" s="27" t="s">
        <v>1373</v>
      </c>
      <c r="G637" s="27" t="s">
        <v>1374</v>
      </c>
      <c r="H637" s="27" t="s">
        <v>59</v>
      </c>
      <c r="I637" s="27" t="s">
        <v>143</v>
      </c>
      <c r="J637" s="27" t="s">
        <v>144</v>
      </c>
      <c r="K637" s="39" t="s">
        <v>2851</v>
      </c>
      <c r="L637" s="41" t="s">
        <v>1487</v>
      </c>
      <c r="M637" s="27"/>
      <c r="N637" s="27"/>
      <c r="O637" s="28" t="s">
        <v>2276</v>
      </c>
    </row>
    <row r="638" spans="1:15" ht="15" customHeight="1" x14ac:dyDescent="0.3">
      <c r="A638" s="31">
        <v>46023</v>
      </c>
      <c r="B638" s="27" t="s">
        <v>53</v>
      </c>
      <c r="C638" s="27" t="s">
        <v>2928</v>
      </c>
      <c r="D638" s="27" t="s">
        <v>2929</v>
      </c>
      <c r="E638" s="27" t="s">
        <v>59</v>
      </c>
      <c r="F638" s="27" t="s">
        <v>1373</v>
      </c>
      <c r="G638" s="27" t="s">
        <v>1374</v>
      </c>
      <c r="H638" s="27" t="s">
        <v>59</v>
      </c>
      <c r="I638" s="27" t="s">
        <v>143</v>
      </c>
      <c r="J638" s="27" t="s">
        <v>144</v>
      </c>
      <c r="K638" s="39" t="s">
        <v>2851</v>
      </c>
      <c r="L638" s="41" t="s">
        <v>1487</v>
      </c>
      <c r="M638" s="27"/>
      <c r="N638" s="27"/>
      <c r="O638" s="28" t="s">
        <v>2276</v>
      </c>
    </row>
    <row r="639" spans="1:15" ht="15" customHeight="1" x14ac:dyDescent="0.3">
      <c r="A639" s="31">
        <v>46023</v>
      </c>
      <c r="B639" s="27" t="s">
        <v>53</v>
      </c>
      <c r="C639" s="27" t="s">
        <v>2930</v>
      </c>
      <c r="D639" s="27" t="s">
        <v>2931</v>
      </c>
      <c r="E639" s="27" t="s">
        <v>59</v>
      </c>
      <c r="F639" s="27" t="s">
        <v>1373</v>
      </c>
      <c r="G639" s="27" t="s">
        <v>1374</v>
      </c>
      <c r="H639" s="27" t="s">
        <v>59</v>
      </c>
      <c r="I639" s="27" t="s">
        <v>143</v>
      </c>
      <c r="J639" s="27" t="s">
        <v>144</v>
      </c>
      <c r="K639" s="39" t="s">
        <v>2851</v>
      </c>
      <c r="L639" s="41" t="s">
        <v>1487</v>
      </c>
      <c r="M639" s="27"/>
      <c r="N639" s="27"/>
      <c r="O639" s="28" t="s">
        <v>2276</v>
      </c>
    </row>
    <row r="640" spans="1:15" ht="15" customHeight="1" x14ac:dyDescent="0.3">
      <c r="A640" s="31">
        <v>46023</v>
      </c>
      <c r="B640" s="27" t="s">
        <v>53</v>
      </c>
      <c r="C640" s="27" t="s">
        <v>2932</v>
      </c>
      <c r="D640" s="27" t="s">
        <v>2933</v>
      </c>
      <c r="E640" s="27" t="s">
        <v>59</v>
      </c>
      <c r="F640" s="27" t="s">
        <v>1373</v>
      </c>
      <c r="G640" s="27" t="s">
        <v>1374</v>
      </c>
      <c r="H640" s="27" t="s">
        <v>59</v>
      </c>
      <c r="I640" s="27" t="s">
        <v>143</v>
      </c>
      <c r="J640" s="27" t="s">
        <v>144</v>
      </c>
      <c r="K640" s="39" t="s">
        <v>2851</v>
      </c>
      <c r="L640" s="41" t="s">
        <v>1487</v>
      </c>
      <c r="M640" s="27"/>
      <c r="N640" s="27"/>
      <c r="O640" s="28" t="s">
        <v>2276</v>
      </c>
    </row>
    <row r="641" spans="1:15" ht="15" customHeight="1" x14ac:dyDescent="0.3">
      <c r="A641" s="31">
        <v>46023</v>
      </c>
      <c r="B641" s="27" t="s">
        <v>53</v>
      </c>
      <c r="C641" s="27" t="s">
        <v>2934</v>
      </c>
      <c r="D641" s="27" t="s">
        <v>2935</v>
      </c>
      <c r="E641" s="27" t="s">
        <v>2936</v>
      </c>
      <c r="F641" s="27" t="s">
        <v>1373</v>
      </c>
      <c r="G641" s="27" t="s">
        <v>1374</v>
      </c>
      <c r="H641" s="27" t="s">
        <v>59</v>
      </c>
      <c r="I641" s="27" t="s">
        <v>143</v>
      </c>
      <c r="J641" s="27" t="s">
        <v>144</v>
      </c>
      <c r="K641" s="39" t="s">
        <v>2851</v>
      </c>
      <c r="L641" s="41" t="s">
        <v>1487</v>
      </c>
      <c r="M641" s="27"/>
      <c r="N641" s="27"/>
      <c r="O641" s="28" t="s">
        <v>2276</v>
      </c>
    </row>
    <row r="642" spans="1:15" ht="15" customHeight="1" x14ac:dyDescent="0.3">
      <c r="A642" s="31">
        <v>46023</v>
      </c>
      <c r="B642" s="27" t="s">
        <v>53</v>
      </c>
      <c r="C642" s="27" t="s">
        <v>2937</v>
      </c>
      <c r="D642" s="27" t="s">
        <v>2938</v>
      </c>
      <c r="E642" s="27" t="s">
        <v>59</v>
      </c>
      <c r="F642" s="27" t="s">
        <v>1373</v>
      </c>
      <c r="G642" s="27" t="s">
        <v>1374</v>
      </c>
      <c r="H642" s="27" t="s">
        <v>59</v>
      </c>
      <c r="I642" s="27" t="s">
        <v>116</v>
      </c>
      <c r="J642" s="27" t="s">
        <v>144</v>
      </c>
      <c r="K642" s="39" t="s">
        <v>2402</v>
      </c>
      <c r="L642" s="41" t="s">
        <v>1632</v>
      </c>
      <c r="M642" s="27"/>
      <c r="N642" s="27"/>
      <c r="O642" s="28" t="s">
        <v>2276</v>
      </c>
    </row>
    <row r="643" spans="1:15" ht="15" customHeight="1" x14ac:dyDescent="0.3">
      <c r="A643" s="31">
        <v>46023</v>
      </c>
      <c r="B643" s="27" t="s">
        <v>53</v>
      </c>
      <c r="C643" s="27" t="s">
        <v>2939</v>
      </c>
      <c r="D643" s="27" t="s">
        <v>2940</v>
      </c>
      <c r="E643" s="27" t="s">
        <v>59</v>
      </c>
      <c r="F643" s="27" t="s">
        <v>1373</v>
      </c>
      <c r="G643" s="27" t="s">
        <v>1374</v>
      </c>
      <c r="H643" s="27" t="s">
        <v>59</v>
      </c>
      <c r="I643" s="27" t="s">
        <v>116</v>
      </c>
      <c r="J643" s="27" t="s">
        <v>144</v>
      </c>
      <c r="K643" s="39" t="s">
        <v>2402</v>
      </c>
      <c r="L643" s="41" t="s">
        <v>1632</v>
      </c>
      <c r="M643" s="27"/>
      <c r="N643" s="27"/>
      <c r="O643" s="28" t="s">
        <v>2276</v>
      </c>
    </row>
    <row r="644" spans="1:15" ht="15" customHeight="1" x14ac:dyDescent="0.3">
      <c r="A644" s="31">
        <v>46023</v>
      </c>
      <c r="B644" s="27" t="s">
        <v>53</v>
      </c>
      <c r="C644" s="27" t="s">
        <v>2941</v>
      </c>
      <c r="D644" s="27" t="s">
        <v>2942</v>
      </c>
      <c r="E644" s="27" t="s">
        <v>59</v>
      </c>
      <c r="F644" s="27" t="s">
        <v>1373</v>
      </c>
      <c r="G644" s="27" t="s">
        <v>1374</v>
      </c>
      <c r="H644" s="27" t="s">
        <v>59</v>
      </c>
      <c r="I644" s="27" t="s">
        <v>116</v>
      </c>
      <c r="J644" s="27" t="s">
        <v>144</v>
      </c>
      <c r="K644" s="39" t="s">
        <v>2402</v>
      </c>
      <c r="L644" s="41" t="s">
        <v>1632</v>
      </c>
      <c r="M644" s="27"/>
      <c r="N644" s="27"/>
      <c r="O644" s="28" t="s">
        <v>2276</v>
      </c>
    </row>
    <row r="645" spans="1:15" ht="15" customHeight="1" x14ac:dyDescent="0.3">
      <c r="A645" s="31">
        <v>46023</v>
      </c>
      <c r="B645" s="27" t="s">
        <v>53</v>
      </c>
      <c r="C645" s="27" t="s">
        <v>2943</v>
      </c>
      <c r="D645" s="27" t="s">
        <v>2944</v>
      </c>
      <c r="E645" s="27" t="s">
        <v>59</v>
      </c>
      <c r="F645" s="27" t="s">
        <v>1373</v>
      </c>
      <c r="G645" s="27" t="s">
        <v>1374</v>
      </c>
      <c r="H645" s="27" t="s">
        <v>59</v>
      </c>
      <c r="I645" s="27" t="s">
        <v>116</v>
      </c>
      <c r="J645" s="27" t="s">
        <v>144</v>
      </c>
      <c r="K645" s="39" t="s">
        <v>2402</v>
      </c>
      <c r="L645" s="41" t="s">
        <v>1632</v>
      </c>
      <c r="M645" s="27"/>
      <c r="N645" s="27"/>
      <c r="O645" s="28" t="s">
        <v>2276</v>
      </c>
    </row>
    <row r="646" spans="1:15" ht="15" customHeight="1" x14ac:dyDescent="0.3">
      <c r="A646" s="31">
        <v>46023</v>
      </c>
      <c r="B646" s="27" t="s">
        <v>53</v>
      </c>
      <c r="C646" s="27" t="s">
        <v>2945</v>
      </c>
      <c r="D646" s="27" t="s">
        <v>2946</v>
      </c>
      <c r="E646" s="27" t="s">
        <v>59</v>
      </c>
      <c r="F646" s="27" t="s">
        <v>1373</v>
      </c>
      <c r="G646" s="27" t="s">
        <v>1374</v>
      </c>
      <c r="H646" s="27" t="s">
        <v>59</v>
      </c>
      <c r="I646" s="27" t="s">
        <v>116</v>
      </c>
      <c r="J646" s="27" t="s">
        <v>144</v>
      </c>
      <c r="K646" s="39" t="s">
        <v>2402</v>
      </c>
      <c r="L646" s="41" t="s">
        <v>1632</v>
      </c>
      <c r="M646" s="27"/>
      <c r="N646" s="27"/>
      <c r="O646" s="28" t="s">
        <v>2276</v>
      </c>
    </row>
    <row r="647" spans="1:15" ht="15" customHeight="1" x14ac:dyDescent="0.3">
      <c r="A647" s="31">
        <v>46023</v>
      </c>
      <c r="B647" s="27" t="s">
        <v>53</v>
      </c>
      <c r="C647" s="27" t="s">
        <v>2947</v>
      </c>
      <c r="D647" s="27" t="s">
        <v>2938</v>
      </c>
      <c r="E647" s="27" t="s">
        <v>59</v>
      </c>
      <c r="F647" s="27" t="s">
        <v>1373</v>
      </c>
      <c r="G647" s="27" t="s">
        <v>1374</v>
      </c>
      <c r="H647" s="27" t="s">
        <v>59</v>
      </c>
      <c r="I647" s="27" t="s">
        <v>116</v>
      </c>
      <c r="J647" s="27" t="s">
        <v>144</v>
      </c>
      <c r="K647" s="39" t="s">
        <v>2402</v>
      </c>
      <c r="L647" s="41" t="s">
        <v>1632</v>
      </c>
      <c r="M647" s="27"/>
      <c r="N647" s="27"/>
      <c r="O647" s="28" t="s">
        <v>2276</v>
      </c>
    </row>
    <row r="648" spans="1:15" ht="15" customHeight="1" x14ac:dyDescent="0.3">
      <c r="A648" s="31">
        <v>46023</v>
      </c>
      <c r="B648" s="27" t="s">
        <v>53</v>
      </c>
      <c r="C648" s="27" t="s">
        <v>2948</v>
      </c>
      <c r="D648" s="27" t="s">
        <v>2949</v>
      </c>
      <c r="E648" s="27" t="s">
        <v>59</v>
      </c>
      <c r="F648" s="27" t="s">
        <v>1373</v>
      </c>
      <c r="G648" s="27" t="s">
        <v>1374</v>
      </c>
      <c r="H648" s="27" t="s">
        <v>59</v>
      </c>
      <c r="I648" s="27" t="s">
        <v>116</v>
      </c>
      <c r="J648" s="27" t="s">
        <v>144</v>
      </c>
      <c r="K648" s="39" t="s">
        <v>2402</v>
      </c>
      <c r="L648" s="41" t="s">
        <v>1632</v>
      </c>
      <c r="M648" s="27"/>
      <c r="N648" s="27"/>
      <c r="O648" s="28" t="s">
        <v>2276</v>
      </c>
    </row>
    <row r="649" spans="1:15" ht="15" customHeight="1" x14ac:dyDescent="0.3">
      <c r="A649" s="31">
        <v>46023</v>
      </c>
      <c r="B649" s="27" t="s">
        <v>53</v>
      </c>
      <c r="C649" s="27" t="s">
        <v>2950</v>
      </c>
      <c r="D649" s="27" t="s">
        <v>2949</v>
      </c>
      <c r="E649" s="27" t="s">
        <v>59</v>
      </c>
      <c r="F649" s="27" t="s">
        <v>1373</v>
      </c>
      <c r="G649" s="27" t="s">
        <v>1374</v>
      </c>
      <c r="H649" s="27" t="s">
        <v>59</v>
      </c>
      <c r="I649" s="27" t="s">
        <v>116</v>
      </c>
      <c r="J649" s="27" t="s">
        <v>144</v>
      </c>
      <c r="K649" s="39" t="s">
        <v>2402</v>
      </c>
      <c r="L649" s="41" t="s">
        <v>1632</v>
      </c>
      <c r="M649" s="27"/>
      <c r="N649" s="27"/>
      <c r="O649" s="28" t="s">
        <v>2276</v>
      </c>
    </row>
    <row r="650" spans="1:15" ht="15" customHeight="1" x14ac:dyDescent="0.3">
      <c r="A650" s="31">
        <v>46023</v>
      </c>
      <c r="B650" s="27" t="s">
        <v>53</v>
      </c>
      <c r="C650" s="27" t="s">
        <v>2951</v>
      </c>
      <c r="D650" s="27" t="s">
        <v>2952</v>
      </c>
      <c r="E650" s="27" t="s">
        <v>59</v>
      </c>
      <c r="F650" s="27" t="s">
        <v>1373</v>
      </c>
      <c r="G650" s="27" t="s">
        <v>1374</v>
      </c>
      <c r="H650" s="27" t="s">
        <v>59</v>
      </c>
      <c r="I650" s="27" t="s">
        <v>116</v>
      </c>
      <c r="J650" s="27" t="s">
        <v>144</v>
      </c>
      <c r="K650" s="39" t="s">
        <v>2402</v>
      </c>
      <c r="L650" s="41" t="s">
        <v>1632</v>
      </c>
      <c r="M650" s="27"/>
      <c r="N650" s="27"/>
      <c r="O650" s="28" t="s">
        <v>2276</v>
      </c>
    </row>
    <row r="651" spans="1:15" ht="15" customHeight="1" x14ac:dyDescent="0.3">
      <c r="A651" s="31">
        <v>46023</v>
      </c>
      <c r="B651" s="27" t="s">
        <v>53</v>
      </c>
      <c r="C651" s="27" t="s">
        <v>2953</v>
      </c>
      <c r="D651" s="27" t="s">
        <v>2954</v>
      </c>
      <c r="E651" s="27" t="s">
        <v>59</v>
      </c>
      <c r="F651" s="27" t="s">
        <v>1373</v>
      </c>
      <c r="G651" s="27" t="s">
        <v>1374</v>
      </c>
      <c r="H651" s="27" t="s">
        <v>59</v>
      </c>
      <c r="I651" s="27" t="s">
        <v>116</v>
      </c>
      <c r="J651" s="27" t="s">
        <v>144</v>
      </c>
      <c r="K651" s="39" t="s">
        <v>2402</v>
      </c>
      <c r="L651" s="41" t="s">
        <v>1632</v>
      </c>
      <c r="M651" s="27"/>
      <c r="N651" s="27"/>
      <c r="O651" s="28" t="s">
        <v>2276</v>
      </c>
    </row>
    <row r="652" spans="1:15" ht="15" customHeight="1" x14ac:dyDescent="0.3">
      <c r="A652" s="31">
        <v>46023</v>
      </c>
      <c r="B652" s="27" t="s">
        <v>53</v>
      </c>
      <c r="C652" s="27" t="s">
        <v>2955</v>
      </c>
      <c r="D652" s="27" t="s">
        <v>2956</v>
      </c>
      <c r="E652" s="27" t="s">
        <v>59</v>
      </c>
      <c r="F652" s="27" t="s">
        <v>1373</v>
      </c>
      <c r="G652" s="27" t="s">
        <v>1374</v>
      </c>
      <c r="H652" s="27" t="s">
        <v>59</v>
      </c>
      <c r="I652" s="27" t="s">
        <v>116</v>
      </c>
      <c r="J652" s="27" t="s">
        <v>144</v>
      </c>
      <c r="K652" s="39" t="s">
        <v>2402</v>
      </c>
      <c r="L652" s="41" t="s">
        <v>1632</v>
      </c>
      <c r="M652" s="27"/>
      <c r="N652" s="27"/>
      <c r="O652" s="28" t="s">
        <v>2276</v>
      </c>
    </row>
    <row r="653" spans="1:15" ht="15" customHeight="1" x14ac:dyDescent="0.3">
      <c r="A653" s="31">
        <v>46023</v>
      </c>
      <c r="B653" s="27" t="s">
        <v>53</v>
      </c>
      <c r="C653" s="27" t="s">
        <v>2957</v>
      </c>
      <c r="D653" s="27" t="s">
        <v>2952</v>
      </c>
      <c r="E653" s="27" t="s">
        <v>59</v>
      </c>
      <c r="F653" s="27" t="s">
        <v>1373</v>
      </c>
      <c r="G653" s="27" t="s">
        <v>1374</v>
      </c>
      <c r="H653" s="27" t="s">
        <v>59</v>
      </c>
      <c r="I653" s="27" t="s">
        <v>116</v>
      </c>
      <c r="J653" s="27" t="s">
        <v>144</v>
      </c>
      <c r="K653" s="39" t="s">
        <v>2402</v>
      </c>
      <c r="L653" s="41" t="s">
        <v>1632</v>
      </c>
      <c r="M653" s="27"/>
      <c r="N653" s="27"/>
      <c r="O653" s="28" t="s">
        <v>2276</v>
      </c>
    </row>
    <row r="654" spans="1:15" ht="15" customHeight="1" x14ac:dyDescent="0.3">
      <c r="A654" s="31">
        <v>46023</v>
      </c>
      <c r="B654" s="27" t="s">
        <v>53</v>
      </c>
      <c r="C654" s="27" t="s">
        <v>2958</v>
      </c>
      <c r="D654" s="27" t="s">
        <v>2959</v>
      </c>
      <c r="E654" s="27" t="s">
        <v>59</v>
      </c>
      <c r="F654" s="27" t="s">
        <v>1373</v>
      </c>
      <c r="G654" s="27" t="s">
        <v>1374</v>
      </c>
      <c r="H654" s="27" t="s">
        <v>59</v>
      </c>
      <c r="I654" s="27" t="s">
        <v>116</v>
      </c>
      <c r="J654" s="27" t="s">
        <v>144</v>
      </c>
      <c r="K654" s="39" t="s">
        <v>2650</v>
      </c>
      <c r="L654" s="41" t="s">
        <v>1632</v>
      </c>
      <c r="M654" s="27"/>
      <c r="N654" s="27"/>
      <c r="O654" s="28" t="s">
        <v>2276</v>
      </c>
    </row>
    <row r="655" spans="1:15" ht="15" customHeight="1" x14ac:dyDescent="0.3">
      <c r="A655" s="31">
        <v>46023</v>
      </c>
      <c r="B655" s="27" t="s">
        <v>53</v>
      </c>
      <c r="C655" s="27" t="s">
        <v>2960</v>
      </c>
      <c r="D655" s="27" t="s">
        <v>2961</v>
      </c>
      <c r="E655" s="27" t="s">
        <v>2962</v>
      </c>
      <c r="F655" s="27" t="s">
        <v>1373</v>
      </c>
      <c r="G655" s="27" t="s">
        <v>1374</v>
      </c>
      <c r="H655" s="27" t="s">
        <v>59</v>
      </c>
      <c r="I655" s="27" t="s">
        <v>116</v>
      </c>
      <c r="J655" s="27" t="s">
        <v>144</v>
      </c>
      <c r="K655" s="39" t="s">
        <v>2402</v>
      </c>
      <c r="L655" s="41" t="s">
        <v>1632</v>
      </c>
      <c r="M655" s="27"/>
      <c r="N655" s="27"/>
      <c r="O655" s="28" t="s">
        <v>2276</v>
      </c>
    </row>
    <row r="656" spans="1:15" ht="15" customHeight="1" x14ac:dyDescent="0.3">
      <c r="A656" s="31">
        <v>46023</v>
      </c>
      <c r="B656" s="27" t="s">
        <v>53</v>
      </c>
      <c r="C656" s="27" t="s">
        <v>2963</v>
      </c>
      <c r="D656" s="27" t="s">
        <v>2964</v>
      </c>
      <c r="E656" s="27" t="s">
        <v>1490</v>
      </c>
      <c r="F656" s="27" t="s">
        <v>1373</v>
      </c>
      <c r="G656" s="27" t="s">
        <v>1374</v>
      </c>
      <c r="H656" s="27" t="s">
        <v>59</v>
      </c>
      <c r="I656" s="27" t="s">
        <v>116</v>
      </c>
      <c r="J656" s="27" t="s">
        <v>144</v>
      </c>
      <c r="K656" s="39" t="s">
        <v>2402</v>
      </c>
      <c r="L656" s="41" t="s">
        <v>1487</v>
      </c>
      <c r="M656" s="27"/>
      <c r="N656" s="27"/>
      <c r="O656" s="28" t="s">
        <v>2276</v>
      </c>
    </row>
    <row r="657" spans="1:15" ht="15" customHeight="1" x14ac:dyDescent="0.3">
      <c r="A657" s="31">
        <v>46023</v>
      </c>
      <c r="B657" s="27" t="s">
        <v>53</v>
      </c>
      <c r="C657" s="27" t="s">
        <v>2965</v>
      </c>
      <c r="D657" s="27" t="s">
        <v>2966</v>
      </c>
      <c r="E657" s="27" t="s">
        <v>59</v>
      </c>
      <c r="F657" s="27" t="s">
        <v>1373</v>
      </c>
      <c r="G657" s="27" t="s">
        <v>1436</v>
      </c>
      <c r="H657" s="27" t="s">
        <v>59</v>
      </c>
      <c r="I657" s="27" t="s">
        <v>116</v>
      </c>
      <c r="J657" s="27" t="s">
        <v>144</v>
      </c>
      <c r="K657" s="39" t="s">
        <v>2402</v>
      </c>
      <c r="L657" s="41" t="s">
        <v>1487</v>
      </c>
      <c r="M657" s="27"/>
      <c r="N657" s="27"/>
      <c r="O657" s="28" t="s">
        <v>2276</v>
      </c>
    </row>
    <row r="658" spans="1:15" ht="15" customHeight="1" x14ac:dyDescent="0.3">
      <c r="A658" s="31">
        <v>46023</v>
      </c>
      <c r="B658" s="27" t="s">
        <v>53</v>
      </c>
      <c r="C658" s="27" t="s">
        <v>2967</v>
      </c>
      <c r="D658" s="27" t="s">
        <v>2968</v>
      </c>
      <c r="E658" s="27" t="s">
        <v>59</v>
      </c>
      <c r="F658" s="27" t="s">
        <v>1373</v>
      </c>
      <c r="G658" s="27" t="s">
        <v>1436</v>
      </c>
      <c r="H658" s="27" t="s">
        <v>59</v>
      </c>
      <c r="I658" s="27" t="s">
        <v>116</v>
      </c>
      <c r="J658" s="27" t="s">
        <v>144</v>
      </c>
      <c r="K658" s="39" t="s">
        <v>2402</v>
      </c>
      <c r="L658" s="41" t="s">
        <v>1487</v>
      </c>
      <c r="M658" s="27"/>
      <c r="N658" s="27"/>
      <c r="O658" s="28" t="s">
        <v>2276</v>
      </c>
    </row>
    <row r="659" spans="1:15" ht="15" customHeight="1" x14ac:dyDescent="0.3">
      <c r="A659" s="31">
        <v>46023</v>
      </c>
      <c r="B659" s="27" t="s">
        <v>53</v>
      </c>
      <c r="C659" s="27" t="s">
        <v>2969</v>
      </c>
      <c r="D659" s="27" t="s">
        <v>2970</v>
      </c>
      <c r="E659" s="27" t="s">
        <v>59</v>
      </c>
      <c r="F659" s="27" t="s">
        <v>1373</v>
      </c>
      <c r="G659" s="27" t="s">
        <v>1436</v>
      </c>
      <c r="H659" s="27" t="s">
        <v>59</v>
      </c>
      <c r="I659" s="27" t="s">
        <v>116</v>
      </c>
      <c r="J659" s="27" t="s">
        <v>144</v>
      </c>
      <c r="K659" s="39" t="s">
        <v>2402</v>
      </c>
      <c r="L659" s="41" t="s">
        <v>1487</v>
      </c>
      <c r="M659" s="27"/>
      <c r="N659" s="27"/>
      <c r="O659" s="28" t="s">
        <v>2276</v>
      </c>
    </row>
    <row r="660" spans="1:15" ht="15" customHeight="1" x14ac:dyDescent="0.3">
      <c r="A660" s="31">
        <v>46023</v>
      </c>
      <c r="B660" s="27" t="s">
        <v>53</v>
      </c>
      <c r="C660" s="27" t="s">
        <v>2971</v>
      </c>
      <c r="D660" s="27" t="s">
        <v>2972</v>
      </c>
      <c r="E660" s="27" t="s">
        <v>59</v>
      </c>
      <c r="F660" s="27" t="s">
        <v>1373</v>
      </c>
      <c r="G660" s="27" t="s">
        <v>1436</v>
      </c>
      <c r="H660" s="27" t="s">
        <v>59</v>
      </c>
      <c r="I660" s="27" t="s">
        <v>116</v>
      </c>
      <c r="J660" s="27" t="s">
        <v>144</v>
      </c>
      <c r="K660" s="39" t="s">
        <v>2402</v>
      </c>
      <c r="L660" s="41" t="s">
        <v>1487</v>
      </c>
      <c r="M660" s="27"/>
      <c r="N660" s="27"/>
      <c r="O660" s="28" t="s">
        <v>2276</v>
      </c>
    </row>
    <row r="661" spans="1:15" ht="15" customHeight="1" x14ac:dyDescent="0.3">
      <c r="A661" s="31">
        <v>46023</v>
      </c>
      <c r="B661" s="27" t="s">
        <v>53</v>
      </c>
      <c r="C661" s="27" t="s">
        <v>2973</v>
      </c>
      <c r="D661" s="27" t="s">
        <v>2974</v>
      </c>
      <c r="E661" s="27" t="s">
        <v>59</v>
      </c>
      <c r="F661" s="27" t="s">
        <v>1373</v>
      </c>
      <c r="G661" s="27" t="s">
        <v>1436</v>
      </c>
      <c r="H661" s="27" t="s">
        <v>59</v>
      </c>
      <c r="I661" s="27" t="s">
        <v>116</v>
      </c>
      <c r="J661" s="27" t="s">
        <v>144</v>
      </c>
      <c r="K661" s="39" t="s">
        <v>2402</v>
      </c>
      <c r="L661" s="41" t="s">
        <v>1487</v>
      </c>
      <c r="M661" s="27"/>
      <c r="N661" s="27"/>
      <c r="O661" s="28" t="s">
        <v>2276</v>
      </c>
    </row>
    <row r="662" spans="1:15" ht="15" customHeight="1" x14ac:dyDescent="0.3">
      <c r="A662" s="31">
        <v>46023</v>
      </c>
      <c r="B662" s="27" t="s">
        <v>53</v>
      </c>
      <c r="C662" s="27" t="s">
        <v>2975</v>
      </c>
      <c r="D662" s="27" t="s">
        <v>2976</v>
      </c>
      <c r="E662" s="27" t="s">
        <v>59</v>
      </c>
      <c r="F662" s="27" t="s">
        <v>1373</v>
      </c>
      <c r="G662" s="27" t="s">
        <v>1436</v>
      </c>
      <c r="H662" s="27" t="s">
        <v>59</v>
      </c>
      <c r="I662" s="27" t="s">
        <v>116</v>
      </c>
      <c r="J662" s="27" t="s">
        <v>144</v>
      </c>
      <c r="K662" s="39" t="s">
        <v>2402</v>
      </c>
      <c r="L662" s="41" t="s">
        <v>1487</v>
      </c>
      <c r="M662" s="27"/>
      <c r="N662" s="27"/>
      <c r="O662" s="28" t="s">
        <v>2276</v>
      </c>
    </row>
    <row r="663" spans="1:15" ht="15" customHeight="1" x14ac:dyDescent="0.3">
      <c r="A663" s="31">
        <v>46023</v>
      </c>
      <c r="B663" s="27" t="s">
        <v>53</v>
      </c>
      <c r="C663" s="27" t="s">
        <v>2977</v>
      </c>
      <c r="D663" s="27" t="s">
        <v>2978</v>
      </c>
      <c r="E663" s="27" t="s">
        <v>59</v>
      </c>
      <c r="F663" s="27" t="s">
        <v>1373</v>
      </c>
      <c r="G663" s="27" t="s">
        <v>1436</v>
      </c>
      <c r="H663" s="27" t="s">
        <v>59</v>
      </c>
      <c r="I663" s="27" t="s">
        <v>116</v>
      </c>
      <c r="J663" s="27" t="s">
        <v>144</v>
      </c>
      <c r="K663" s="39" t="s">
        <v>2402</v>
      </c>
      <c r="L663" s="41" t="s">
        <v>1487</v>
      </c>
      <c r="M663" s="27"/>
      <c r="N663" s="27"/>
      <c r="O663" s="28" t="s">
        <v>2276</v>
      </c>
    </row>
    <row r="664" spans="1:15" ht="15" customHeight="1" x14ac:dyDescent="0.3">
      <c r="A664" s="31">
        <v>46023</v>
      </c>
      <c r="B664" s="27" t="s">
        <v>53</v>
      </c>
      <c r="C664" s="27" t="s">
        <v>2979</v>
      </c>
      <c r="D664" s="27" t="s">
        <v>2980</v>
      </c>
      <c r="E664" s="27" t="s">
        <v>59</v>
      </c>
      <c r="F664" s="27" t="s">
        <v>1373</v>
      </c>
      <c r="G664" s="27" t="s">
        <v>1436</v>
      </c>
      <c r="H664" s="27" t="s">
        <v>59</v>
      </c>
      <c r="I664" s="27" t="s">
        <v>143</v>
      </c>
      <c r="J664" s="27" t="s">
        <v>144</v>
      </c>
      <c r="K664" s="39" t="s">
        <v>2402</v>
      </c>
      <c r="L664" s="41" t="s">
        <v>1487</v>
      </c>
      <c r="M664" s="27"/>
      <c r="N664" s="27"/>
      <c r="O664" s="28" t="s">
        <v>2276</v>
      </c>
    </row>
    <row r="665" spans="1:15" ht="15" customHeight="1" x14ac:dyDescent="0.3">
      <c r="A665" s="31">
        <v>46023</v>
      </c>
      <c r="B665" s="27" t="s">
        <v>53</v>
      </c>
      <c r="C665" s="27" t="s">
        <v>2981</v>
      </c>
      <c r="D665" s="27" t="s">
        <v>2982</v>
      </c>
      <c r="E665" s="27" t="s">
        <v>59</v>
      </c>
      <c r="F665" s="27" t="s">
        <v>1373</v>
      </c>
      <c r="G665" s="27" t="s">
        <v>1436</v>
      </c>
      <c r="H665" s="27" t="s">
        <v>59</v>
      </c>
      <c r="I665" s="27" t="s">
        <v>143</v>
      </c>
      <c r="J665" s="27" t="s">
        <v>144</v>
      </c>
      <c r="K665" s="39" t="s">
        <v>2402</v>
      </c>
      <c r="L665" s="41" t="s">
        <v>1487</v>
      </c>
      <c r="M665" s="27"/>
      <c r="N665" s="27"/>
      <c r="O665" s="28" t="s">
        <v>2276</v>
      </c>
    </row>
    <row r="666" spans="1:15" ht="15" customHeight="1" x14ac:dyDescent="0.3">
      <c r="A666" s="31">
        <v>46023</v>
      </c>
      <c r="B666" s="27" t="s">
        <v>53</v>
      </c>
      <c r="C666" s="27" t="s">
        <v>2983</v>
      </c>
      <c r="D666" s="27" t="s">
        <v>2984</v>
      </c>
      <c r="E666" s="27" t="s">
        <v>2985</v>
      </c>
      <c r="F666" s="27" t="s">
        <v>1373</v>
      </c>
      <c r="G666" s="27" t="s">
        <v>1374</v>
      </c>
      <c r="H666" s="27" t="s">
        <v>59</v>
      </c>
      <c r="I666" s="27" t="s">
        <v>143</v>
      </c>
      <c r="J666" s="27" t="s">
        <v>144</v>
      </c>
      <c r="K666" s="39" t="s">
        <v>2851</v>
      </c>
      <c r="L666" s="41" t="s">
        <v>1487</v>
      </c>
      <c r="M666" s="27"/>
      <c r="N666" s="27"/>
      <c r="O666" s="28" t="s">
        <v>2276</v>
      </c>
    </row>
    <row r="667" spans="1:15" ht="15" customHeight="1" x14ac:dyDescent="0.3">
      <c r="A667" s="31">
        <v>46023</v>
      </c>
      <c r="B667" s="27" t="s">
        <v>53</v>
      </c>
      <c r="C667" s="27" t="s">
        <v>2986</v>
      </c>
      <c r="D667" s="27" t="s">
        <v>2987</v>
      </c>
      <c r="E667" s="27" t="s">
        <v>59</v>
      </c>
      <c r="F667" s="27" t="s">
        <v>1373</v>
      </c>
      <c r="G667" s="27" t="s">
        <v>587</v>
      </c>
      <c r="H667" s="27" t="s">
        <v>59</v>
      </c>
      <c r="I667" s="27" t="s">
        <v>116</v>
      </c>
      <c r="J667" s="27" t="s">
        <v>144</v>
      </c>
      <c r="K667" s="39" t="s">
        <v>2988</v>
      </c>
      <c r="L667" s="41" t="s">
        <v>129</v>
      </c>
      <c r="M667" s="27"/>
      <c r="N667" s="27"/>
      <c r="O667" s="28" t="s">
        <v>2276</v>
      </c>
    </row>
    <row r="668" spans="1:15" ht="15" customHeight="1" x14ac:dyDescent="0.3">
      <c r="A668" s="31">
        <v>46023</v>
      </c>
      <c r="B668" s="27" t="s">
        <v>53</v>
      </c>
      <c r="C668" s="27" t="s">
        <v>2989</v>
      </c>
      <c r="D668" s="27" t="s">
        <v>2990</v>
      </c>
      <c r="E668" s="27" t="s">
        <v>59</v>
      </c>
      <c r="F668" s="27" t="s">
        <v>1373</v>
      </c>
      <c r="G668" s="27" t="s">
        <v>1396</v>
      </c>
      <c r="H668" s="27" t="s">
        <v>59</v>
      </c>
      <c r="I668" s="27" t="s">
        <v>116</v>
      </c>
      <c r="J668" s="27" t="s">
        <v>144</v>
      </c>
      <c r="K668" s="39" t="s">
        <v>2410</v>
      </c>
      <c r="L668" s="41" t="s">
        <v>129</v>
      </c>
      <c r="M668" s="27"/>
      <c r="N668" s="27"/>
      <c r="O668" s="28" t="s">
        <v>2276</v>
      </c>
    </row>
    <row r="669" spans="1:15" ht="15" customHeight="1" x14ac:dyDescent="0.3">
      <c r="A669" s="31">
        <v>46023</v>
      </c>
      <c r="B669" s="27" t="s">
        <v>53</v>
      </c>
      <c r="C669" s="27" t="s">
        <v>2991</v>
      </c>
      <c r="D669" s="27" t="s">
        <v>2992</v>
      </c>
      <c r="E669" s="27" t="s">
        <v>2993</v>
      </c>
      <c r="F669" s="27" t="s">
        <v>1373</v>
      </c>
      <c r="G669" s="27" t="s">
        <v>1519</v>
      </c>
      <c r="H669" s="27" t="s">
        <v>59</v>
      </c>
      <c r="I669" s="27" t="s">
        <v>143</v>
      </c>
      <c r="J669" s="27" t="s">
        <v>144</v>
      </c>
      <c r="K669" s="39" t="s">
        <v>757</v>
      </c>
      <c r="L669" s="41" t="s">
        <v>129</v>
      </c>
      <c r="M669" s="27"/>
      <c r="N669" s="27"/>
      <c r="O669" s="28" t="s">
        <v>2276</v>
      </c>
    </row>
    <row r="670" spans="1:15" ht="15" customHeight="1" x14ac:dyDescent="0.3">
      <c r="A670" s="31">
        <v>46023</v>
      </c>
      <c r="B670" s="27" t="s">
        <v>53</v>
      </c>
      <c r="C670" s="27" t="s">
        <v>2994</v>
      </c>
      <c r="D670" s="27" t="s">
        <v>2995</v>
      </c>
      <c r="E670" s="27" t="s">
        <v>59</v>
      </c>
      <c r="F670" s="27" t="s">
        <v>1373</v>
      </c>
      <c r="G670" s="27" t="s">
        <v>1396</v>
      </c>
      <c r="H670" s="27" t="s">
        <v>59</v>
      </c>
      <c r="I670" s="27" t="s">
        <v>143</v>
      </c>
      <c r="J670" s="27" t="s">
        <v>144</v>
      </c>
      <c r="K670" s="39" t="s">
        <v>2427</v>
      </c>
      <c r="L670" s="41" t="s">
        <v>112</v>
      </c>
      <c r="M670" s="27"/>
      <c r="N670" s="27"/>
      <c r="O670" s="28" t="s">
        <v>2276</v>
      </c>
    </row>
    <row r="671" spans="1:15" ht="15" customHeight="1" x14ac:dyDescent="0.3">
      <c r="A671" s="31">
        <v>46023</v>
      </c>
      <c r="B671" s="27" t="s">
        <v>53</v>
      </c>
      <c r="C671" s="27" t="s">
        <v>2996</v>
      </c>
      <c r="D671" s="27" t="s">
        <v>2997</v>
      </c>
      <c r="E671" s="27" t="s">
        <v>2997</v>
      </c>
      <c r="F671" s="27" t="s">
        <v>1373</v>
      </c>
      <c r="G671" s="27" t="s">
        <v>1396</v>
      </c>
      <c r="H671" s="27" t="s">
        <v>59</v>
      </c>
      <c r="I671" s="27" t="s">
        <v>116</v>
      </c>
      <c r="J671" s="27" t="s">
        <v>144</v>
      </c>
      <c r="K671" s="39" t="s">
        <v>2427</v>
      </c>
      <c r="L671" s="41" t="s">
        <v>1487</v>
      </c>
      <c r="M671" s="27"/>
      <c r="N671" s="27"/>
      <c r="O671" s="28" t="s">
        <v>2276</v>
      </c>
    </row>
    <row r="672" spans="1:15" ht="15" customHeight="1" x14ac:dyDescent="0.3">
      <c r="A672" s="31">
        <v>46023</v>
      </c>
      <c r="B672" s="27" t="s">
        <v>53</v>
      </c>
      <c r="C672" s="27" t="s">
        <v>2998</v>
      </c>
      <c r="D672" s="27" t="s">
        <v>2999</v>
      </c>
      <c r="E672" s="27" t="s">
        <v>3000</v>
      </c>
      <c r="F672" s="27" t="s">
        <v>1373</v>
      </c>
      <c r="G672" s="27" t="s">
        <v>1374</v>
      </c>
      <c r="H672" s="27" t="s">
        <v>59</v>
      </c>
      <c r="I672" s="27" t="s">
        <v>143</v>
      </c>
      <c r="J672" s="27" t="s">
        <v>144</v>
      </c>
      <c r="K672" s="39" t="s">
        <v>2427</v>
      </c>
      <c r="L672" s="41" t="s">
        <v>1487</v>
      </c>
      <c r="M672" s="27"/>
      <c r="N672" s="27"/>
      <c r="O672" s="28" t="s">
        <v>2276</v>
      </c>
    </row>
    <row r="673" spans="1:15" ht="15" customHeight="1" x14ac:dyDescent="0.3">
      <c r="A673" s="31">
        <v>46023</v>
      </c>
      <c r="B673" s="27" t="s">
        <v>53</v>
      </c>
      <c r="C673" s="27" t="s">
        <v>3001</v>
      </c>
      <c r="D673" s="27" t="s">
        <v>3002</v>
      </c>
      <c r="E673" s="27" t="s">
        <v>3003</v>
      </c>
      <c r="F673" s="27" t="s">
        <v>1373</v>
      </c>
      <c r="G673" s="27" t="s">
        <v>1374</v>
      </c>
      <c r="H673" s="27" t="s">
        <v>59</v>
      </c>
      <c r="I673" s="27" t="s">
        <v>143</v>
      </c>
      <c r="J673" s="27" t="s">
        <v>144</v>
      </c>
      <c r="K673" s="39" t="s">
        <v>2650</v>
      </c>
      <c r="L673" s="41" t="s">
        <v>1487</v>
      </c>
      <c r="M673" s="27"/>
      <c r="N673" s="27"/>
      <c r="O673" s="28" t="s">
        <v>2276</v>
      </c>
    </row>
    <row r="674" spans="1:15" ht="15" customHeight="1" x14ac:dyDescent="0.3">
      <c r="A674" s="31">
        <v>46023</v>
      </c>
      <c r="B674" s="27" t="s">
        <v>53</v>
      </c>
      <c r="C674" s="27" t="s">
        <v>3004</v>
      </c>
      <c r="D674" s="27" t="s">
        <v>3005</v>
      </c>
      <c r="E674" s="27" t="s">
        <v>1562</v>
      </c>
      <c r="F674" s="27" t="s">
        <v>1373</v>
      </c>
      <c r="G674" s="27" t="s">
        <v>1549</v>
      </c>
      <c r="H674" s="27" t="s">
        <v>59</v>
      </c>
      <c r="I674" s="27" t="s">
        <v>143</v>
      </c>
      <c r="J674" s="27" t="s">
        <v>144</v>
      </c>
      <c r="K674" s="39" t="s">
        <v>2650</v>
      </c>
      <c r="L674" s="41" t="s">
        <v>1487</v>
      </c>
      <c r="M674" s="27"/>
      <c r="N674" s="27"/>
      <c r="O674" s="28" t="s">
        <v>2276</v>
      </c>
    </row>
    <row r="675" spans="1:15" ht="15" customHeight="1" x14ac:dyDescent="0.3">
      <c r="A675" s="31">
        <v>46023</v>
      </c>
      <c r="B675" s="27" t="s">
        <v>53</v>
      </c>
      <c r="C675" s="27" t="s">
        <v>3006</v>
      </c>
      <c r="D675" s="27" t="s">
        <v>3007</v>
      </c>
      <c r="E675" s="27" t="s">
        <v>1562</v>
      </c>
      <c r="F675" s="27" t="s">
        <v>1373</v>
      </c>
      <c r="G675" s="27" t="s">
        <v>1549</v>
      </c>
      <c r="H675" s="27" t="s">
        <v>59</v>
      </c>
      <c r="I675" s="27" t="s">
        <v>143</v>
      </c>
      <c r="J675" s="27" t="s">
        <v>144</v>
      </c>
      <c r="K675" s="39" t="s">
        <v>2650</v>
      </c>
      <c r="L675" s="41" t="s">
        <v>1487</v>
      </c>
      <c r="M675" s="27"/>
      <c r="N675" s="27"/>
      <c r="O675" s="28" t="s">
        <v>2276</v>
      </c>
    </row>
    <row r="676" spans="1:15" ht="15" customHeight="1" x14ac:dyDescent="0.3">
      <c r="A676" s="31">
        <v>46023</v>
      </c>
      <c r="B676" s="27" t="s">
        <v>53</v>
      </c>
      <c r="C676" s="27" t="s">
        <v>3008</v>
      </c>
      <c r="D676" s="27" t="s">
        <v>3009</v>
      </c>
      <c r="E676" s="27" t="s">
        <v>3010</v>
      </c>
      <c r="F676" s="27" t="s">
        <v>1373</v>
      </c>
      <c r="G676" s="27" t="s">
        <v>1403</v>
      </c>
      <c r="H676" s="27" t="s">
        <v>59</v>
      </c>
      <c r="I676" s="27" t="s">
        <v>116</v>
      </c>
      <c r="J676" s="27" t="s">
        <v>144</v>
      </c>
      <c r="K676" s="39" t="s">
        <v>2650</v>
      </c>
      <c r="L676" s="41" t="s">
        <v>1487</v>
      </c>
      <c r="M676" s="27"/>
      <c r="N676" s="27"/>
      <c r="O676" s="28" t="s">
        <v>2276</v>
      </c>
    </row>
    <row r="677" spans="1:15" ht="15" customHeight="1" x14ac:dyDescent="0.3">
      <c r="A677" s="31">
        <v>46023</v>
      </c>
      <c r="B677" s="27" t="s">
        <v>53</v>
      </c>
      <c r="C677" s="27" t="s">
        <v>3011</v>
      </c>
      <c r="D677" s="27" t="s">
        <v>3012</v>
      </c>
      <c r="E677" s="27" t="s">
        <v>1943</v>
      </c>
      <c r="F677" s="27" t="s">
        <v>1373</v>
      </c>
      <c r="G677" s="27" t="s">
        <v>587</v>
      </c>
      <c r="H677" s="27" t="s">
        <v>59</v>
      </c>
      <c r="I677" s="27" t="s">
        <v>116</v>
      </c>
      <c r="J677" s="27" t="s">
        <v>144</v>
      </c>
      <c r="K677" s="39" t="s">
        <v>2650</v>
      </c>
      <c r="L677" s="41" t="s">
        <v>1487</v>
      </c>
      <c r="M677" s="27"/>
      <c r="N677" s="27"/>
      <c r="O677" s="28" t="s">
        <v>2276</v>
      </c>
    </row>
    <row r="678" spans="1:15" ht="15" customHeight="1" x14ac:dyDescent="0.3">
      <c r="A678" s="31">
        <v>46023</v>
      </c>
      <c r="B678" s="27" t="s">
        <v>53</v>
      </c>
      <c r="C678" s="27" t="s">
        <v>3013</v>
      </c>
      <c r="D678" s="27" t="s">
        <v>3014</v>
      </c>
      <c r="E678" s="27" t="s">
        <v>3015</v>
      </c>
      <c r="F678" s="27" t="s">
        <v>1373</v>
      </c>
      <c r="G678" s="27" t="s">
        <v>1403</v>
      </c>
      <c r="H678" s="27" t="s">
        <v>59</v>
      </c>
      <c r="I678" s="27" t="s">
        <v>116</v>
      </c>
      <c r="J678" s="27" t="s">
        <v>144</v>
      </c>
      <c r="K678" s="39" t="s">
        <v>2427</v>
      </c>
      <c r="L678" s="41" t="s">
        <v>1487</v>
      </c>
      <c r="M678" s="27"/>
      <c r="N678" s="27"/>
      <c r="O678" s="28" t="s">
        <v>2276</v>
      </c>
    </row>
    <row r="679" spans="1:15" ht="15" customHeight="1" x14ac:dyDescent="0.3">
      <c r="A679" s="31">
        <v>46023</v>
      </c>
      <c r="B679" s="27" t="s">
        <v>53</v>
      </c>
      <c r="C679" s="27" t="s">
        <v>3016</v>
      </c>
      <c r="D679" s="27" t="s">
        <v>3017</v>
      </c>
      <c r="E679" s="27" t="s">
        <v>3018</v>
      </c>
      <c r="F679" s="27" t="s">
        <v>1373</v>
      </c>
      <c r="G679" s="27" t="s">
        <v>1384</v>
      </c>
      <c r="H679" s="27" t="s">
        <v>59</v>
      </c>
      <c r="I679" s="27" t="s">
        <v>143</v>
      </c>
      <c r="J679" s="27" t="s">
        <v>144</v>
      </c>
      <c r="K679" s="39" t="s">
        <v>2427</v>
      </c>
      <c r="L679" s="41" t="s">
        <v>63</v>
      </c>
      <c r="M679" s="27"/>
      <c r="N679" s="27"/>
      <c r="O679" s="28" t="s">
        <v>2276</v>
      </c>
    </row>
    <row r="680" spans="1:15" ht="15" customHeight="1" x14ac:dyDescent="0.3">
      <c r="A680" s="31">
        <v>46023</v>
      </c>
      <c r="B680" s="27" t="s">
        <v>53</v>
      </c>
      <c r="C680" s="27" t="s">
        <v>3019</v>
      </c>
      <c r="D680" s="27" t="s">
        <v>3020</v>
      </c>
      <c r="E680" s="27" t="s">
        <v>3021</v>
      </c>
      <c r="F680" s="27" t="s">
        <v>1373</v>
      </c>
      <c r="G680" s="27" t="s">
        <v>1384</v>
      </c>
      <c r="H680" s="27" t="s">
        <v>59</v>
      </c>
      <c r="I680" s="27" t="s">
        <v>143</v>
      </c>
      <c r="J680" s="27" t="s">
        <v>144</v>
      </c>
      <c r="K680" s="39" t="s">
        <v>3022</v>
      </c>
      <c r="L680" s="41" t="s">
        <v>63</v>
      </c>
      <c r="M680" s="27"/>
      <c r="N680" s="27"/>
      <c r="O680" s="28" t="s">
        <v>2276</v>
      </c>
    </row>
    <row r="681" spans="1:15" ht="15" customHeight="1" x14ac:dyDescent="0.3">
      <c r="A681" s="31">
        <v>46023</v>
      </c>
      <c r="B681" s="27" t="s">
        <v>53</v>
      </c>
      <c r="C681" s="27" t="s">
        <v>3023</v>
      </c>
      <c r="D681" s="27" t="s">
        <v>3024</v>
      </c>
      <c r="E681" s="27" t="s">
        <v>3025</v>
      </c>
      <c r="F681" s="27" t="s">
        <v>1373</v>
      </c>
      <c r="G681" s="27" t="s">
        <v>1384</v>
      </c>
      <c r="H681" s="27" t="s">
        <v>59</v>
      </c>
      <c r="I681" s="27" t="s">
        <v>143</v>
      </c>
      <c r="J681" s="27" t="s">
        <v>144</v>
      </c>
      <c r="K681" s="39" t="s">
        <v>3022</v>
      </c>
      <c r="L681" s="41" t="s">
        <v>63</v>
      </c>
      <c r="M681" s="27"/>
      <c r="N681" s="27"/>
      <c r="O681" s="28" t="s">
        <v>2276</v>
      </c>
    </row>
    <row r="682" spans="1:15" ht="15" customHeight="1" x14ac:dyDescent="0.3">
      <c r="A682" s="31">
        <v>46023</v>
      </c>
      <c r="B682" s="27" t="s">
        <v>53</v>
      </c>
      <c r="C682" s="27" t="s">
        <v>3026</v>
      </c>
      <c r="D682" s="27" t="s">
        <v>3027</v>
      </c>
      <c r="E682" s="27" t="s">
        <v>3028</v>
      </c>
      <c r="F682" s="27" t="s">
        <v>1373</v>
      </c>
      <c r="G682" s="27" t="s">
        <v>587</v>
      </c>
      <c r="H682" s="27" t="s">
        <v>59</v>
      </c>
      <c r="I682" s="27" t="s">
        <v>143</v>
      </c>
      <c r="J682" s="27" t="s">
        <v>144</v>
      </c>
      <c r="K682" s="39" t="s">
        <v>3022</v>
      </c>
      <c r="L682" s="41" t="s">
        <v>63</v>
      </c>
      <c r="M682" s="27"/>
      <c r="N682" s="27"/>
      <c r="O682" s="28" t="s">
        <v>2276</v>
      </c>
    </row>
    <row r="683" spans="1:15" ht="15" customHeight="1" x14ac:dyDescent="0.3">
      <c r="A683" s="31">
        <v>46023</v>
      </c>
      <c r="B683" s="27" t="s">
        <v>53</v>
      </c>
      <c r="C683" s="27" t="s">
        <v>3029</v>
      </c>
      <c r="D683" s="27" t="s">
        <v>3030</v>
      </c>
      <c r="E683" s="27" t="s">
        <v>3031</v>
      </c>
      <c r="F683" s="27" t="s">
        <v>1373</v>
      </c>
      <c r="G683" s="27" t="s">
        <v>587</v>
      </c>
      <c r="H683" s="27" t="s">
        <v>59</v>
      </c>
      <c r="I683" s="27" t="s">
        <v>143</v>
      </c>
      <c r="J683" s="27" t="s">
        <v>144</v>
      </c>
      <c r="K683" s="39" t="s">
        <v>3022</v>
      </c>
      <c r="L683" s="41" t="s">
        <v>63</v>
      </c>
      <c r="M683" s="27"/>
      <c r="N683" s="27"/>
      <c r="O683" s="28" t="s">
        <v>2276</v>
      </c>
    </row>
    <row r="684" spans="1:15" ht="15" customHeight="1" x14ac:dyDescent="0.3">
      <c r="A684" s="31">
        <v>46023</v>
      </c>
      <c r="B684" s="27" t="s">
        <v>53</v>
      </c>
      <c r="C684" s="27" t="s">
        <v>3032</v>
      </c>
      <c r="D684" s="27" t="s">
        <v>3033</v>
      </c>
      <c r="E684" s="27" t="s">
        <v>3034</v>
      </c>
      <c r="F684" s="27" t="s">
        <v>1373</v>
      </c>
      <c r="G684" s="27" t="s">
        <v>1384</v>
      </c>
      <c r="H684" s="27">
        <v>645025</v>
      </c>
      <c r="I684" s="27" t="s">
        <v>143</v>
      </c>
      <c r="J684" s="27" t="s">
        <v>144</v>
      </c>
      <c r="K684" s="39" t="s">
        <v>3022</v>
      </c>
      <c r="L684" s="41" t="s">
        <v>63</v>
      </c>
      <c r="M684" s="27"/>
      <c r="N684" s="27"/>
      <c r="O684" s="28" t="s">
        <v>2276</v>
      </c>
    </row>
    <row r="685" spans="1:15" ht="15" customHeight="1" x14ac:dyDescent="0.3">
      <c r="A685" s="31">
        <v>46023</v>
      </c>
      <c r="B685" s="27" t="s">
        <v>53</v>
      </c>
      <c r="C685" s="27" t="s">
        <v>3035</v>
      </c>
      <c r="D685" s="27" t="s">
        <v>3036</v>
      </c>
      <c r="E685" s="27" t="s">
        <v>59</v>
      </c>
      <c r="F685" s="27" t="s">
        <v>1373</v>
      </c>
      <c r="G685" s="27" t="s">
        <v>1374</v>
      </c>
      <c r="H685" s="27" t="s">
        <v>59</v>
      </c>
      <c r="I685" s="27" t="s">
        <v>116</v>
      </c>
      <c r="J685" s="27" t="s">
        <v>144</v>
      </c>
      <c r="K685" s="39" t="s">
        <v>3037</v>
      </c>
      <c r="L685" s="41" t="s">
        <v>63</v>
      </c>
      <c r="M685" s="27"/>
      <c r="N685" s="27"/>
      <c r="O685" s="28" t="s">
        <v>2276</v>
      </c>
    </row>
    <row r="686" spans="1:15" ht="15" customHeight="1" x14ac:dyDescent="0.3">
      <c r="A686" s="31">
        <v>46023</v>
      </c>
      <c r="B686" s="27" t="s">
        <v>53</v>
      </c>
      <c r="C686" s="27" t="s">
        <v>3038</v>
      </c>
      <c r="D686" s="27" t="s">
        <v>3039</v>
      </c>
      <c r="E686" s="27" t="s">
        <v>3040</v>
      </c>
      <c r="F686" s="27" t="s">
        <v>1373</v>
      </c>
      <c r="G686" s="27" t="s">
        <v>587</v>
      </c>
      <c r="H686" s="27" t="s">
        <v>59</v>
      </c>
      <c r="I686" s="27" t="s">
        <v>143</v>
      </c>
      <c r="J686" s="27" t="s">
        <v>144</v>
      </c>
      <c r="K686" s="39" t="s">
        <v>3037</v>
      </c>
      <c r="L686" s="41" t="s">
        <v>63</v>
      </c>
      <c r="M686" s="27"/>
      <c r="N686" s="27"/>
      <c r="O686" s="28" t="s">
        <v>2276</v>
      </c>
    </row>
    <row r="687" spans="1:15" ht="15" customHeight="1" x14ac:dyDescent="0.3">
      <c r="A687" s="31">
        <v>46023</v>
      </c>
      <c r="B687" s="27" t="s">
        <v>53</v>
      </c>
      <c r="C687" s="27" t="s">
        <v>3041</v>
      </c>
      <c r="D687" s="27" t="s">
        <v>3042</v>
      </c>
      <c r="E687" s="27" t="s">
        <v>3040</v>
      </c>
      <c r="F687" s="27" t="s">
        <v>1373</v>
      </c>
      <c r="G687" s="27" t="s">
        <v>587</v>
      </c>
      <c r="H687" s="27" t="s">
        <v>59</v>
      </c>
      <c r="I687" s="27" t="s">
        <v>143</v>
      </c>
      <c r="J687" s="27" t="s">
        <v>144</v>
      </c>
      <c r="K687" s="39" t="s">
        <v>3037</v>
      </c>
      <c r="L687" s="41" t="s">
        <v>63</v>
      </c>
      <c r="M687" s="27"/>
      <c r="N687" s="27"/>
      <c r="O687" s="28" t="s">
        <v>2276</v>
      </c>
    </row>
    <row r="688" spans="1:15" ht="15" customHeight="1" x14ac:dyDescent="0.3">
      <c r="A688" s="31">
        <v>46023</v>
      </c>
      <c r="B688" s="27" t="s">
        <v>53</v>
      </c>
      <c r="C688" s="27" t="s">
        <v>3043</v>
      </c>
      <c r="D688" s="27" t="s">
        <v>3044</v>
      </c>
      <c r="E688" s="27" t="s">
        <v>3040</v>
      </c>
      <c r="F688" s="27" t="s">
        <v>1373</v>
      </c>
      <c r="G688" s="27" t="s">
        <v>587</v>
      </c>
      <c r="H688" s="27" t="s">
        <v>59</v>
      </c>
      <c r="I688" s="27" t="s">
        <v>143</v>
      </c>
      <c r="J688" s="27" t="s">
        <v>144</v>
      </c>
      <c r="K688" s="39" t="s">
        <v>3037</v>
      </c>
      <c r="L688" s="41" t="s">
        <v>63</v>
      </c>
      <c r="M688" s="27"/>
      <c r="N688" s="27"/>
      <c r="O688" s="28" t="s">
        <v>2276</v>
      </c>
    </row>
    <row r="689" spans="1:15" ht="15" customHeight="1" x14ac:dyDescent="0.3">
      <c r="A689" s="31">
        <v>46023</v>
      </c>
      <c r="B689" s="27" t="s">
        <v>53</v>
      </c>
      <c r="C689" s="27" t="s">
        <v>3045</v>
      </c>
      <c r="D689" s="27" t="s">
        <v>3046</v>
      </c>
      <c r="E689" s="27" t="s">
        <v>3047</v>
      </c>
      <c r="F689" s="27" t="s">
        <v>1373</v>
      </c>
      <c r="G689" s="27" t="s">
        <v>587</v>
      </c>
      <c r="H689" s="27" t="s">
        <v>59</v>
      </c>
      <c r="I689" s="27" t="s">
        <v>143</v>
      </c>
      <c r="J689" s="27" t="s">
        <v>144</v>
      </c>
      <c r="K689" s="39" t="s">
        <v>3037</v>
      </c>
      <c r="L689" s="41" t="s">
        <v>63</v>
      </c>
      <c r="M689" s="27"/>
      <c r="N689" s="27"/>
      <c r="O689" s="28" t="s">
        <v>2276</v>
      </c>
    </row>
    <row r="690" spans="1:15" ht="15" customHeight="1" x14ac:dyDescent="0.3">
      <c r="A690" s="31">
        <v>46023</v>
      </c>
      <c r="B690" s="27" t="s">
        <v>53</v>
      </c>
      <c r="C690" s="27" t="s">
        <v>3048</v>
      </c>
      <c r="D690" s="27" t="s">
        <v>3049</v>
      </c>
      <c r="E690" s="27" t="s">
        <v>3050</v>
      </c>
      <c r="F690" s="27" t="s">
        <v>1373</v>
      </c>
      <c r="G690" s="27" t="s">
        <v>587</v>
      </c>
      <c r="H690" s="27" t="s">
        <v>59</v>
      </c>
      <c r="I690" s="27" t="s">
        <v>143</v>
      </c>
      <c r="J690" s="27" t="s">
        <v>144</v>
      </c>
      <c r="K690" s="39" t="s">
        <v>3037</v>
      </c>
      <c r="L690" s="41" t="s">
        <v>63</v>
      </c>
      <c r="M690" s="27"/>
      <c r="N690" s="27"/>
      <c r="O690" s="28" t="s">
        <v>2276</v>
      </c>
    </row>
    <row r="691" spans="1:15" ht="15" customHeight="1" x14ac:dyDescent="0.3">
      <c r="A691" s="31">
        <v>46023</v>
      </c>
      <c r="B691" s="27" t="s">
        <v>53</v>
      </c>
      <c r="C691" s="27" t="s">
        <v>3051</v>
      </c>
      <c r="D691" s="27" t="s">
        <v>3052</v>
      </c>
      <c r="E691" s="27" t="s">
        <v>3050</v>
      </c>
      <c r="F691" s="27" t="s">
        <v>1373</v>
      </c>
      <c r="G691" s="27" t="s">
        <v>587</v>
      </c>
      <c r="H691" s="27" t="s">
        <v>59</v>
      </c>
      <c r="I691" s="27" t="s">
        <v>143</v>
      </c>
      <c r="J691" s="27" t="s">
        <v>144</v>
      </c>
      <c r="K691" s="39" t="s">
        <v>3037</v>
      </c>
      <c r="L691" s="41" t="s">
        <v>63</v>
      </c>
      <c r="M691" s="27"/>
      <c r="N691" s="27"/>
      <c r="O691" s="28" t="s">
        <v>2276</v>
      </c>
    </row>
    <row r="692" spans="1:15" ht="15" customHeight="1" x14ac:dyDescent="0.3">
      <c r="A692" s="31">
        <v>46023</v>
      </c>
      <c r="B692" s="27" t="s">
        <v>53</v>
      </c>
      <c r="C692" s="27" t="s">
        <v>3053</v>
      </c>
      <c r="D692" s="27" t="s">
        <v>3054</v>
      </c>
      <c r="E692" s="27" t="s">
        <v>3050</v>
      </c>
      <c r="F692" s="27" t="s">
        <v>1373</v>
      </c>
      <c r="G692" s="27" t="s">
        <v>587</v>
      </c>
      <c r="H692" s="27" t="s">
        <v>59</v>
      </c>
      <c r="I692" s="27" t="s">
        <v>143</v>
      </c>
      <c r="J692" s="27" t="s">
        <v>144</v>
      </c>
      <c r="K692" s="39" t="s">
        <v>3037</v>
      </c>
      <c r="L692" s="41" t="s">
        <v>63</v>
      </c>
      <c r="M692" s="27"/>
      <c r="N692" s="27"/>
      <c r="O692" s="28" t="s">
        <v>2276</v>
      </c>
    </row>
    <row r="693" spans="1:15" ht="15" customHeight="1" x14ac:dyDescent="0.3">
      <c r="A693" s="31">
        <v>46023</v>
      </c>
      <c r="B693" s="27" t="s">
        <v>53</v>
      </c>
      <c r="C693" s="27" t="s">
        <v>3055</v>
      </c>
      <c r="D693" s="27" t="s">
        <v>3056</v>
      </c>
      <c r="E693" s="27" t="s">
        <v>59</v>
      </c>
      <c r="F693" s="27" t="s">
        <v>1373</v>
      </c>
      <c r="G693" s="27" t="s">
        <v>1374</v>
      </c>
      <c r="H693" s="27" t="s">
        <v>59</v>
      </c>
      <c r="I693" s="27" t="s">
        <v>143</v>
      </c>
      <c r="J693" s="27" t="s">
        <v>144</v>
      </c>
      <c r="K693" s="39" t="s">
        <v>3037</v>
      </c>
      <c r="L693" s="41" t="s">
        <v>63</v>
      </c>
      <c r="M693" s="27"/>
      <c r="N693" s="27"/>
      <c r="O693" s="28" t="s">
        <v>2276</v>
      </c>
    </row>
    <row r="694" spans="1:15" ht="15" customHeight="1" x14ac:dyDescent="0.3">
      <c r="A694" s="31">
        <v>46023</v>
      </c>
      <c r="B694" s="27" t="s">
        <v>53</v>
      </c>
      <c r="C694" s="27" t="s">
        <v>3057</v>
      </c>
      <c r="D694" s="27" t="s">
        <v>3058</v>
      </c>
      <c r="E694" s="27" t="s">
        <v>59</v>
      </c>
      <c r="F694" s="27" t="s">
        <v>1373</v>
      </c>
      <c r="G694" s="27" t="s">
        <v>1374</v>
      </c>
      <c r="H694" s="27" t="s">
        <v>59</v>
      </c>
      <c r="I694" s="27" t="s">
        <v>143</v>
      </c>
      <c r="J694" s="27" t="s">
        <v>144</v>
      </c>
      <c r="K694" s="39" t="s">
        <v>3037</v>
      </c>
      <c r="L694" s="41" t="s">
        <v>63</v>
      </c>
      <c r="M694" s="27"/>
      <c r="N694" s="27"/>
      <c r="O694" s="28" t="s">
        <v>2276</v>
      </c>
    </row>
    <row r="695" spans="1:15" ht="15" customHeight="1" x14ac:dyDescent="0.3">
      <c r="A695" s="31">
        <v>46023</v>
      </c>
      <c r="B695" s="27" t="s">
        <v>53</v>
      </c>
      <c r="C695" s="27" t="s">
        <v>3059</v>
      </c>
      <c r="D695" s="27" t="s">
        <v>3060</v>
      </c>
      <c r="E695" s="27" t="s">
        <v>3061</v>
      </c>
      <c r="F695" s="27" t="s">
        <v>1373</v>
      </c>
      <c r="G695" s="27" t="s">
        <v>1384</v>
      </c>
      <c r="H695" s="27" t="s">
        <v>3062</v>
      </c>
      <c r="I695" s="27" t="s">
        <v>116</v>
      </c>
      <c r="J695" s="27" t="s">
        <v>144</v>
      </c>
      <c r="K695" s="39" t="s">
        <v>3037</v>
      </c>
      <c r="L695" s="41" t="s">
        <v>63</v>
      </c>
      <c r="M695" s="27"/>
      <c r="N695" s="27"/>
      <c r="O695" s="28" t="s">
        <v>2276</v>
      </c>
    </row>
    <row r="696" spans="1:15" ht="15" customHeight="1" x14ac:dyDescent="0.3">
      <c r="A696" s="31">
        <v>46023</v>
      </c>
      <c r="B696" s="27" t="s">
        <v>53</v>
      </c>
      <c r="C696" s="27" t="s">
        <v>3063</v>
      </c>
      <c r="D696" s="27" t="s">
        <v>3064</v>
      </c>
      <c r="E696" s="27" t="s">
        <v>59</v>
      </c>
      <c r="F696" s="27" t="s">
        <v>1373</v>
      </c>
      <c r="G696" s="27" t="s">
        <v>1396</v>
      </c>
      <c r="H696" s="27" t="s">
        <v>59</v>
      </c>
      <c r="I696" s="27" t="s">
        <v>116</v>
      </c>
      <c r="J696" s="27" t="s">
        <v>144</v>
      </c>
      <c r="K696" s="39" t="s">
        <v>3065</v>
      </c>
      <c r="L696" s="41" t="s">
        <v>112</v>
      </c>
      <c r="M696" s="27"/>
      <c r="N696" s="27"/>
      <c r="O696" s="28" t="s">
        <v>2276</v>
      </c>
    </row>
    <row r="697" spans="1:15" ht="15" customHeight="1" x14ac:dyDescent="0.3">
      <c r="A697" s="31">
        <v>46023</v>
      </c>
      <c r="B697" s="27" t="s">
        <v>53</v>
      </c>
      <c r="C697" s="27" t="s">
        <v>3066</v>
      </c>
      <c r="D697" s="27" t="s">
        <v>3067</v>
      </c>
      <c r="E697" s="27" t="s">
        <v>59</v>
      </c>
      <c r="F697" s="27" t="s">
        <v>1373</v>
      </c>
      <c r="G697" s="27" t="s">
        <v>1396</v>
      </c>
      <c r="H697" s="27" t="s">
        <v>59</v>
      </c>
      <c r="I697" s="27" t="s">
        <v>116</v>
      </c>
      <c r="J697" s="27" t="s">
        <v>144</v>
      </c>
      <c r="K697" s="39" t="s">
        <v>3065</v>
      </c>
      <c r="L697" s="41" t="s">
        <v>112</v>
      </c>
      <c r="M697" s="27"/>
      <c r="N697" s="27"/>
      <c r="O697" s="28" t="s">
        <v>2276</v>
      </c>
    </row>
    <row r="698" spans="1:15" ht="15" customHeight="1" x14ac:dyDescent="0.3">
      <c r="A698" s="31">
        <v>46023</v>
      </c>
      <c r="B698" s="27" t="s">
        <v>53</v>
      </c>
      <c r="C698" s="27" t="s">
        <v>3068</v>
      </c>
      <c r="D698" s="27" t="s">
        <v>3069</v>
      </c>
      <c r="E698" s="27" t="s">
        <v>59</v>
      </c>
      <c r="F698" s="27" t="s">
        <v>1373</v>
      </c>
      <c r="G698" s="27" t="s">
        <v>1396</v>
      </c>
      <c r="H698" s="27" t="s">
        <v>59</v>
      </c>
      <c r="I698" s="27" t="s">
        <v>116</v>
      </c>
      <c r="J698" s="27" t="s">
        <v>144</v>
      </c>
      <c r="K698" s="39" t="s">
        <v>3065</v>
      </c>
      <c r="L698" s="41" t="s">
        <v>112</v>
      </c>
      <c r="M698" s="27"/>
      <c r="N698" s="27"/>
      <c r="O698" s="28" t="s">
        <v>2276</v>
      </c>
    </row>
    <row r="699" spans="1:15" ht="15" customHeight="1" x14ac:dyDescent="0.3">
      <c r="A699" s="31">
        <v>46023</v>
      </c>
      <c r="B699" s="27" t="s">
        <v>53</v>
      </c>
      <c r="C699" s="27" t="s">
        <v>3070</v>
      </c>
      <c r="D699" s="27" t="s">
        <v>3071</v>
      </c>
      <c r="E699" s="27" t="s">
        <v>59</v>
      </c>
      <c r="F699" s="27" t="s">
        <v>1373</v>
      </c>
      <c r="G699" s="27" t="s">
        <v>1396</v>
      </c>
      <c r="H699" s="27" t="s">
        <v>59</v>
      </c>
      <c r="I699" s="27" t="s">
        <v>116</v>
      </c>
      <c r="J699" s="27" t="s">
        <v>144</v>
      </c>
      <c r="K699" s="39" t="s">
        <v>3065</v>
      </c>
      <c r="L699" s="41" t="s">
        <v>112</v>
      </c>
      <c r="M699" s="27"/>
      <c r="N699" s="27"/>
      <c r="O699" s="28" t="s">
        <v>2276</v>
      </c>
    </row>
    <row r="700" spans="1:15" ht="15" customHeight="1" x14ac:dyDescent="0.3">
      <c r="A700" s="31">
        <v>46023</v>
      </c>
      <c r="B700" s="27" t="s">
        <v>53</v>
      </c>
      <c r="C700" s="27" t="s">
        <v>3072</v>
      </c>
      <c r="D700" s="27" t="s">
        <v>3073</v>
      </c>
      <c r="E700" s="27" t="s">
        <v>59</v>
      </c>
      <c r="F700" s="27" t="s">
        <v>1373</v>
      </c>
      <c r="G700" s="27" t="s">
        <v>1396</v>
      </c>
      <c r="H700" s="27" t="s">
        <v>59</v>
      </c>
      <c r="I700" s="27" t="s">
        <v>116</v>
      </c>
      <c r="J700" s="27" t="s">
        <v>144</v>
      </c>
      <c r="K700" s="39" t="s">
        <v>3065</v>
      </c>
      <c r="L700" s="41" t="s">
        <v>112</v>
      </c>
      <c r="M700" s="27"/>
      <c r="N700" s="27"/>
      <c r="O700" s="28" t="s">
        <v>2276</v>
      </c>
    </row>
    <row r="701" spans="1:15" ht="15" customHeight="1" x14ac:dyDescent="0.3">
      <c r="A701" s="31">
        <v>46023</v>
      </c>
      <c r="B701" s="27" t="s">
        <v>53</v>
      </c>
      <c r="C701" s="27" t="s">
        <v>3074</v>
      </c>
      <c r="D701" s="27" t="s">
        <v>3075</v>
      </c>
      <c r="E701" s="27" t="s">
        <v>59</v>
      </c>
      <c r="F701" s="27" t="s">
        <v>1373</v>
      </c>
      <c r="G701" s="27" t="s">
        <v>1396</v>
      </c>
      <c r="H701" s="27" t="s">
        <v>59</v>
      </c>
      <c r="I701" s="27" t="s">
        <v>116</v>
      </c>
      <c r="J701" s="27" t="s">
        <v>144</v>
      </c>
      <c r="K701" s="39" t="s">
        <v>3065</v>
      </c>
      <c r="L701" s="41" t="s">
        <v>112</v>
      </c>
      <c r="M701" s="27"/>
      <c r="N701" s="27"/>
      <c r="O701" s="28" t="s">
        <v>2276</v>
      </c>
    </row>
    <row r="702" spans="1:15" ht="15" customHeight="1" x14ac:dyDescent="0.3">
      <c r="A702" s="31">
        <v>46023</v>
      </c>
      <c r="B702" s="27" t="s">
        <v>53</v>
      </c>
      <c r="C702" s="27" t="s">
        <v>3076</v>
      </c>
      <c r="D702" s="27" t="s">
        <v>3077</v>
      </c>
      <c r="E702" s="27" t="s">
        <v>59</v>
      </c>
      <c r="F702" s="27" t="s">
        <v>1373</v>
      </c>
      <c r="G702" s="27" t="s">
        <v>1396</v>
      </c>
      <c r="H702" s="27" t="s">
        <v>59</v>
      </c>
      <c r="I702" s="27" t="s">
        <v>116</v>
      </c>
      <c r="J702" s="27" t="s">
        <v>144</v>
      </c>
      <c r="K702" s="39" t="s">
        <v>3065</v>
      </c>
      <c r="L702" s="41" t="s">
        <v>112</v>
      </c>
      <c r="M702" s="27"/>
      <c r="N702" s="27"/>
      <c r="O702" s="28" t="s">
        <v>2276</v>
      </c>
    </row>
    <row r="703" spans="1:15" ht="15" customHeight="1" x14ac:dyDescent="0.3">
      <c r="A703" s="31">
        <v>46023</v>
      </c>
      <c r="B703" s="27" t="s">
        <v>53</v>
      </c>
      <c r="C703" s="27" t="s">
        <v>3078</v>
      </c>
      <c r="D703" s="27" t="s">
        <v>3079</v>
      </c>
      <c r="E703" s="27" t="s">
        <v>59</v>
      </c>
      <c r="F703" s="27" t="s">
        <v>1373</v>
      </c>
      <c r="G703" s="27" t="s">
        <v>3080</v>
      </c>
      <c r="H703" s="27" t="s">
        <v>59</v>
      </c>
      <c r="I703" s="27" t="s">
        <v>116</v>
      </c>
      <c r="J703" s="27" t="s">
        <v>144</v>
      </c>
      <c r="K703" s="39" t="s">
        <v>3081</v>
      </c>
      <c r="L703" s="41" t="s">
        <v>112</v>
      </c>
      <c r="M703" s="27"/>
      <c r="N703" s="27"/>
      <c r="O703" s="28" t="s">
        <v>2276</v>
      </c>
    </row>
    <row r="704" spans="1:15" ht="15" customHeight="1" x14ac:dyDescent="0.3">
      <c r="A704" s="31">
        <v>46023</v>
      </c>
      <c r="B704" s="27" t="s">
        <v>53</v>
      </c>
      <c r="C704" s="27" t="s">
        <v>52</v>
      </c>
      <c r="D704" s="27" t="s">
        <v>465</v>
      </c>
      <c r="E704" s="27" t="s">
        <v>59</v>
      </c>
      <c r="F704" s="27" t="s">
        <v>43</v>
      </c>
      <c r="G704" s="27" t="s">
        <v>466</v>
      </c>
      <c r="H704" s="27" t="s">
        <v>467</v>
      </c>
      <c r="I704" s="27" t="s">
        <v>468</v>
      </c>
      <c r="J704" s="27" t="s">
        <v>61</v>
      </c>
      <c r="K704" s="39" t="s">
        <v>469</v>
      </c>
      <c r="L704" s="41" t="s">
        <v>129</v>
      </c>
      <c r="M704" s="27"/>
      <c r="N704" s="27"/>
      <c r="O704" s="28" t="s">
        <v>2276</v>
      </c>
    </row>
    <row r="705" spans="1:15" ht="15" customHeight="1" x14ac:dyDescent="0.3">
      <c r="A705" s="31">
        <v>46023</v>
      </c>
      <c r="B705" s="27" t="s">
        <v>53</v>
      </c>
      <c r="C705" s="27" t="s">
        <v>470</v>
      </c>
      <c r="D705" s="27" t="s">
        <v>465</v>
      </c>
      <c r="E705" s="27" t="s">
        <v>59</v>
      </c>
      <c r="F705" s="27" t="s">
        <v>43</v>
      </c>
      <c r="G705" s="27" t="s">
        <v>466</v>
      </c>
      <c r="H705" s="27" t="s">
        <v>471</v>
      </c>
      <c r="I705" s="27" t="s">
        <v>116</v>
      </c>
      <c r="J705" s="27" t="s">
        <v>61</v>
      </c>
      <c r="K705" s="39" t="s">
        <v>469</v>
      </c>
      <c r="L705" s="41" t="s">
        <v>129</v>
      </c>
      <c r="M705" s="27"/>
      <c r="N705" s="27"/>
      <c r="O705" s="28" t="s">
        <v>2276</v>
      </c>
    </row>
    <row r="706" spans="1:15" ht="15" customHeight="1" x14ac:dyDescent="0.3">
      <c r="A706" s="31">
        <v>46023</v>
      </c>
      <c r="B706" s="27" t="s">
        <v>53</v>
      </c>
      <c r="C706" s="27" t="s">
        <v>472</v>
      </c>
      <c r="D706" s="27" t="s">
        <v>473</v>
      </c>
      <c r="E706" s="27" t="s">
        <v>474</v>
      </c>
      <c r="F706" s="27" t="s">
        <v>43</v>
      </c>
      <c r="G706" s="27" t="s">
        <v>475</v>
      </c>
      <c r="H706" s="27" t="s">
        <v>59</v>
      </c>
      <c r="I706" s="27" t="s">
        <v>60</v>
      </c>
      <c r="J706" s="27" t="s">
        <v>61</v>
      </c>
      <c r="K706" s="39" t="s">
        <v>476</v>
      </c>
      <c r="L706" s="41" t="s">
        <v>129</v>
      </c>
      <c r="M706" s="27"/>
      <c r="N706" s="27"/>
      <c r="O706" s="28" t="s">
        <v>2276</v>
      </c>
    </row>
    <row r="707" spans="1:15" ht="15" customHeight="1" x14ac:dyDescent="0.3">
      <c r="A707" s="31">
        <v>46023</v>
      </c>
      <c r="B707" s="27" t="s">
        <v>53</v>
      </c>
      <c r="C707" s="27" t="s">
        <v>477</v>
      </c>
      <c r="D707" s="27" t="s">
        <v>478</v>
      </c>
      <c r="E707" s="27" t="s">
        <v>474</v>
      </c>
      <c r="F707" s="27" t="s">
        <v>43</v>
      </c>
      <c r="G707" s="27" t="s">
        <v>475</v>
      </c>
      <c r="H707" s="27" t="s">
        <v>59</v>
      </c>
      <c r="I707" s="27" t="s">
        <v>60</v>
      </c>
      <c r="J707" s="27" t="s">
        <v>61</v>
      </c>
      <c r="K707" s="39" t="s">
        <v>476</v>
      </c>
      <c r="L707" s="41" t="s">
        <v>129</v>
      </c>
      <c r="M707" s="27"/>
      <c r="N707" s="27"/>
      <c r="O707" s="28" t="s">
        <v>2276</v>
      </c>
    </row>
    <row r="708" spans="1:15" ht="15" customHeight="1" x14ac:dyDescent="0.3">
      <c r="A708" s="31">
        <v>46023</v>
      </c>
      <c r="B708" s="27" t="s">
        <v>53</v>
      </c>
      <c r="C708" s="27" t="s">
        <v>479</v>
      </c>
      <c r="D708" s="27" t="s">
        <v>480</v>
      </c>
      <c r="E708" s="27" t="s">
        <v>474</v>
      </c>
      <c r="F708" s="27" t="s">
        <v>43</v>
      </c>
      <c r="G708" s="27" t="s">
        <v>475</v>
      </c>
      <c r="H708" s="27" t="s">
        <v>59</v>
      </c>
      <c r="I708" s="27" t="s">
        <v>60</v>
      </c>
      <c r="J708" s="27" t="s">
        <v>61</v>
      </c>
      <c r="K708" s="39" t="s">
        <v>476</v>
      </c>
      <c r="L708" s="41" t="s">
        <v>129</v>
      </c>
      <c r="M708" s="27"/>
      <c r="N708" s="27"/>
      <c r="O708" s="28" t="s">
        <v>2276</v>
      </c>
    </row>
    <row r="709" spans="1:15" ht="15" customHeight="1" x14ac:dyDescent="0.3">
      <c r="A709" s="31">
        <v>46023</v>
      </c>
      <c r="B709" s="27" t="s">
        <v>53</v>
      </c>
      <c r="C709" s="27" t="s">
        <v>481</v>
      </c>
      <c r="D709" s="27" t="s">
        <v>482</v>
      </c>
      <c r="E709" s="27" t="s">
        <v>474</v>
      </c>
      <c r="F709" s="27" t="s">
        <v>43</v>
      </c>
      <c r="G709" s="27" t="s">
        <v>475</v>
      </c>
      <c r="H709" s="27" t="s">
        <v>59</v>
      </c>
      <c r="I709" s="27" t="s">
        <v>60</v>
      </c>
      <c r="J709" s="27" t="s">
        <v>61</v>
      </c>
      <c r="K709" s="39" t="s">
        <v>476</v>
      </c>
      <c r="L709" s="41" t="s">
        <v>129</v>
      </c>
      <c r="M709" s="27"/>
      <c r="N709" s="27"/>
      <c r="O709" s="28" t="s">
        <v>2276</v>
      </c>
    </row>
    <row r="710" spans="1:15" ht="15" customHeight="1" x14ac:dyDescent="0.3">
      <c r="A710" s="31">
        <v>46023</v>
      </c>
      <c r="B710" s="27" t="s">
        <v>53</v>
      </c>
      <c r="C710" s="27" t="s">
        <v>483</v>
      </c>
      <c r="D710" s="27" t="s">
        <v>484</v>
      </c>
      <c r="E710" s="27" t="s">
        <v>474</v>
      </c>
      <c r="F710" s="27" t="s">
        <v>43</v>
      </c>
      <c r="G710" s="27" t="s">
        <v>475</v>
      </c>
      <c r="H710" s="27" t="s">
        <v>59</v>
      </c>
      <c r="I710" s="27" t="s">
        <v>60</v>
      </c>
      <c r="J710" s="27" t="s">
        <v>61</v>
      </c>
      <c r="K710" s="39" t="s">
        <v>476</v>
      </c>
      <c r="L710" s="41" t="s">
        <v>129</v>
      </c>
      <c r="M710" s="27"/>
      <c r="N710" s="27"/>
      <c r="O710" s="28" t="s">
        <v>2276</v>
      </c>
    </row>
    <row r="711" spans="1:15" ht="15" customHeight="1" x14ac:dyDescent="0.3">
      <c r="A711" s="31">
        <v>46023</v>
      </c>
      <c r="B711" s="27" t="s">
        <v>53</v>
      </c>
      <c r="C711" s="27" t="s">
        <v>485</v>
      </c>
      <c r="D711" s="27" t="s">
        <v>486</v>
      </c>
      <c r="E711" s="27" t="s">
        <v>474</v>
      </c>
      <c r="F711" s="27" t="s">
        <v>43</v>
      </c>
      <c r="G711" s="27" t="s">
        <v>475</v>
      </c>
      <c r="H711" s="27" t="s">
        <v>59</v>
      </c>
      <c r="I711" s="27" t="s">
        <v>60</v>
      </c>
      <c r="J711" s="27" t="s">
        <v>61</v>
      </c>
      <c r="K711" s="39" t="s">
        <v>476</v>
      </c>
      <c r="L711" s="41" t="s">
        <v>129</v>
      </c>
      <c r="M711" s="27"/>
      <c r="N711" s="27"/>
      <c r="O711" s="28" t="s">
        <v>2276</v>
      </c>
    </row>
    <row r="712" spans="1:15" ht="15" customHeight="1" x14ac:dyDescent="0.3">
      <c r="A712" s="31">
        <v>46023</v>
      </c>
      <c r="B712" s="27" t="s">
        <v>53</v>
      </c>
      <c r="C712" s="27" t="s">
        <v>487</v>
      </c>
      <c r="D712" s="27" t="s">
        <v>488</v>
      </c>
      <c r="E712" s="27" t="s">
        <v>59</v>
      </c>
      <c r="F712" s="27" t="s">
        <v>43</v>
      </c>
      <c r="G712" s="27" t="s">
        <v>475</v>
      </c>
      <c r="H712" s="27" t="s">
        <v>59</v>
      </c>
      <c r="I712" s="27" t="s">
        <v>60</v>
      </c>
      <c r="J712" s="27" t="s">
        <v>61</v>
      </c>
      <c r="K712" s="39" t="s">
        <v>476</v>
      </c>
      <c r="L712" s="41" t="s">
        <v>129</v>
      </c>
      <c r="M712" s="27"/>
      <c r="N712" s="27"/>
      <c r="O712" s="28" t="s">
        <v>2276</v>
      </c>
    </row>
    <row r="713" spans="1:15" ht="15" customHeight="1" x14ac:dyDescent="0.3">
      <c r="A713" s="31">
        <v>46023</v>
      </c>
      <c r="B713" s="27" t="s">
        <v>53</v>
      </c>
      <c r="C713" s="27" t="s">
        <v>489</v>
      </c>
      <c r="D713" s="27" t="s">
        <v>490</v>
      </c>
      <c r="E713" s="27" t="s">
        <v>59</v>
      </c>
      <c r="F713" s="27" t="s">
        <v>43</v>
      </c>
      <c r="G713" s="27" t="s">
        <v>475</v>
      </c>
      <c r="H713" s="27" t="s">
        <v>59</v>
      </c>
      <c r="I713" s="27" t="s">
        <v>60</v>
      </c>
      <c r="J713" s="27" t="s">
        <v>61</v>
      </c>
      <c r="K713" s="39" t="s">
        <v>476</v>
      </c>
      <c r="L713" s="41" t="s">
        <v>129</v>
      </c>
      <c r="M713" s="27"/>
      <c r="N713" s="27"/>
      <c r="O713" s="28" t="s">
        <v>2276</v>
      </c>
    </row>
    <row r="714" spans="1:15" ht="15" customHeight="1" x14ac:dyDescent="0.3">
      <c r="A714" s="31">
        <v>46023</v>
      </c>
      <c r="B714" s="27" t="s">
        <v>53</v>
      </c>
      <c r="C714" s="27" t="s">
        <v>491</v>
      </c>
      <c r="D714" s="27" t="s">
        <v>492</v>
      </c>
      <c r="E714" s="27" t="s">
        <v>59</v>
      </c>
      <c r="F714" s="27" t="s">
        <v>43</v>
      </c>
      <c r="G714" s="27" t="s">
        <v>475</v>
      </c>
      <c r="H714" s="27" t="s">
        <v>59</v>
      </c>
      <c r="I714" s="27" t="s">
        <v>60</v>
      </c>
      <c r="J714" s="27" t="s">
        <v>61</v>
      </c>
      <c r="K714" s="39" t="s">
        <v>493</v>
      </c>
      <c r="L714" s="41" t="s">
        <v>129</v>
      </c>
      <c r="M714" s="27"/>
      <c r="N714" s="27"/>
      <c r="O714" s="28" t="s">
        <v>2276</v>
      </c>
    </row>
    <row r="715" spans="1:15" ht="15" customHeight="1" x14ac:dyDescent="0.3">
      <c r="A715" s="31">
        <v>46023</v>
      </c>
      <c r="B715" s="27" t="s">
        <v>53</v>
      </c>
      <c r="C715" s="27" t="s">
        <v>494</v>
      </c>
      <c r="D715" s="27" t="s">
        <v>495</v>
      </c>
      <c r="E715" s="27" t="s">
        <v>59</v>
      </c>
      <c r="F715" s="27" t="s">
        <v>43</v>
      </c>
      <c r="G715" s="27" t="s">
        <v>475</v>
      </c>
      <c r="H715" s="27" t="s">
        <v>59</v>
      </c>
      <c r="I715" s="27" t="s">
        <v>60</v>
      </c>
      <c r="J715" s="27" t="s">
        <v>61</v>
      </c>
      <c r="K715" s="39" t="s">
        <v>493</v>
      </c>
      <c r="L715" s="41" t="s">
        <v>129</v>
      </c>
      <c r="M715" s="27"/>
      <c r="N715" s="27"/>
      <c r="O715" s="28" t="s">
        <v>2276</v>
      </c>
    </row>
    <row r="716" spans="1:15" ht="15" customHeight="1" x14ac:dyDescent="0.3">
      <c r="A716" s="31">
        <v>46023</v>
      </c>
      <c r="B716" s="27" t="s">
        <v>53</v>
      </c>
      <c r="C716" s="27" t="s">
        <v>496</v>
      </c>
      <c r="D716" s="27" t="s">
        <v>497</v>
      </c>
      <c r="E716" s="27" t="s">
        <v>59</v>
      </c>
      <c r="F716" s="27" t="s">
        <v>43</v>
      </c>
      <c r="G716" s="27" t="s">
        <v>475</v>
      </c>
      <c r="H716" s="27" t="s">
        <v>59</v>
      </c>
      <c r="I716" s="27" t="s">
        <v>60</v>
      </c>
      <c r="J716" s="27" t="s">
        <v>61</v>
      </c>
      <c r="K716" s="39" t="s">
        <v>493</v>
      </c>
      <c r="L716" s="41" t="s">
        <v>129</v>
      </c>
      <c r="M716" s="27"/>
      <c r="N716" s="27"/>
      <c r="O716" s="28" t="s">
        <v>2276</v>
      </c>
    </row>
    <row r="717" spans="1:15" ht="15" customHeight="1" x14ac:dyDescent="0.3">
      <c r="A717" s="31">
        <v>46023</v>
      </c>
      <c r="B717" s="27" t="s">
        <v>53</v>
      </c>
      <c r="C717" s="27" t="s">
        <v>498</v>
      </c>
      <c r="D717" s="27" t="s">
        <v>499</v>
      </c>
      <c r="E717" s="27" t="s">
        <v>59</v>
      </c>
      <c r="F717" s="27" t="s">
        <v>43</v>
      </c>
      <c r="G717" s="27" t="s">
        <v>475</v>
      </c>
      <c r="H717" s="27" t="s">
        <v>59</v>
      </c>
      <c r="I717" s="27" t="s">
        <v>60</v>
      </c>
      <c r="J717" s="27" t="s">
        <v>61</v>
      </c>
      <c r="K717" s="39" t="s">
        <v>493</v>
      </c>
      <c r="L717" s="41" t="s">
        <v>129</v>
      </c>
      <c r="M717" s="27"/>
      <c r="N717" s="27"/>
      <c r="O717" s="28" t="s">
        <v>2276</v>
      </c>
    </row>
    <row r="718" spans="1:15" ht="15" customHeight="1" x14ac:dyDescent="0.3">
      <c r="A718" s="31">
        <v>46023</v>
      </c>
      <c r="B718" s="27" t="s">
        <v>53</v>
      </c>
      <c r="C718" s="27" t="s">
        <v>500</v>
      </c>
      <c r="D718" s="27" t="s">
        <v>501</v>
      </c>
      <c r="E718" s="27" t="s">
        <v>59</v>
      </c>
      <c r="F718" s="27" t="s">
        <v>43</v>
      </c>
      <c r="G718" s="27" t="s">
        <v>475</v>
      </c>
      <c r="H718" s="27" t="s">
        <v>59</v>
      </c>
      <c r="I718" s="27" t="s">
        <v>60</v>
      </c>
      <c r="J718" s="27" t="s">
        <v>61</v>
      </c>
      <c r="K718" s="39" t="s">
        <v>493</v>
      </c>
      <c r="L718" s="41" t="s">
        <v>129</v>
      </c>
      <c r="M718" s="27"/>
      <c r="N718" s="27"/>
      <c r="O718" s="28" t="s">
        <v>2276</v>
      </c>
    </row>
    <row r="719" spans="1:15" ht="15" customHeight="1" x14ac:dyDescent="0.3">
      <c r="A719" s="31">
        <v>46023</v>
      </c>
      <c r="B719" s="27" t="s">
        <v>53</v>
      </c>
      <c r="C719" s="27" t="s">
        <v>502</v>
      </c>
      <c r="D719" s="27" t="s">
        <v>503</v>
      </c>
      <c r="E719" s="27" t="s">
        <v>59</v>
      </c>
      <c r="F719" s="27" t="s">
        <v>43</v>
      </c>
      <c r="G719" s="27" t="s">
        <v>475</v>
      </c>
      <c r="H719" s="27" t="s">
        <v>59</v>
      </c>
      <c r="I719" s="27" t="s">
        <v>60</v>
      </c>
      <c r="J719" s="27" t="s">
        <v>61</v>
      </c>
      <c r="K719" s="39" t="s">
        <v>493</v>
      </c>
      <c r="L719" s="41" t="s">
        <v>129</v>
      </c>
      <c r="M719" s="27"/>
      <c r="N719" s="27"/>
      <c r="O719" s="28" t="s">
        <v>2276</v>
      </c>
    </row>
    <row r="720" spans="1:15" ht="15" customHeight="1" x14ac:dyDescent="0.3">
      <c r="A720" s="31">
        <v>46023</v>
      </c>
      <c r="B720" s="27" t="s">
        <v>53</v>
      </c>
      <c r="C720" s="27" t="s">
        <v>504</v>
      </c>
      <c r="D720" s="27" t="s">
        <v>505</v>
      </c>
      <c r="E720" s="27" t="s">
        <v>59</v>
      </c>
      <c r="F720" s="27" t="s">
        <v>43</v>
      </c>
      <c r="G720" s="27" t="s">
        <v>475</v>
      </c>
      <c r="H720" s="27" t="s">
        <v>59</v>
      </c>
      <c r="I720" s="27" t="s">
        <v>60</v>
      </c>
      <c r="J720" s="27" t="s">
        <v>61</v>
      </c>
      <c r="K720" s="39" t="s">
        <v>493</v>
      </c>
      <c r="L720" s="41" t="s">
        <v>129</v>
      </c>
      <c r="M720" s="27"/>
      <c r="N720" s="27"/>
      <c r="O720" s="28" t="s">
        <v>2276</v>
      </c>
    </row>
    <row r="721" spans="1:15" ht="15" customHeight="1" x14ac:dyDescent="0.3">
      <c r="A721" s="31">
        <v>46023</v>
      </c>
      <c r="B721" s="27" t="s">
        <v>53</v>
      </c>
      <c r="C721" s="27" t="s">
        <v>506</v>
      </c>
      <c r="D721" s="27" t="s">
        <v>507</v>
      </c>
      <c r="E721" s="27" t="s">
        <v>59</v>
      </c>
      <c r="F721" s="27" t="s">
        <v>43</v>
      </c>
      <c r="G721" s="27" t="s">
        <v>475</v>
      </c>
      <c r="H721" s="27" t="s">
        <v>59</v>
      </c>
      <c r="I721" s="27" t="s">
        <v>60</v>
      </c>
      <c r="J721" s="27" t="s">
        <v>61</v>
      </c>
      <c r="K721" s="39" t="s">
        <v>493</v>
      </c>
      <c r="L721" s="41" t="s">
        <v>129</v>
      </c>
      <c r="M721" s="27"/>
      <c r="N721" s="27"/>
      <c r="O721" s="28" t="s">
        <v>2276</v>
      </c>
    </row>
    <row r="722" spans="1:15" ht="15" customHeight="1" x14ac:dyDescent="0.3">
      <c r="A722" s="31">
        <v>46023</v>
      </c>
      <c r="B722" s="27" t="s">
        <v>53</v>
      </c>
      <c r="C722" s="27" t="s">
        <v>508</v>
      </c>
      <c r="D722" s="27" t="s">
        <v>484</v>
      </c>
      <c r="E722" s="27" t="s">
        <v>474</v>
      </c>
      <c r="F722" s="27" t="s">
        <v>43</v>
      </c>
      <c r="G722" s="27" t="s">
        <v>475</v>
      </c>
      <c r="H722" s="27" t="s">
        <v>59</v>
      </c>
      <c r="I722" s="27" t="s">
        <v>116</v>
      </c>
      <c r="J722" s="27" t="s">
        <v>61</v>
      </c>
      <c r="K722" s="39" t="s">
        <v>493</v>
      </c>
      <c r="L722" s="41" t="s">
        <v>129</v>
      </c>
      <c r="M722" s="27"/>
      <c r="N722" s="27"/>
      <c r="O722" s="28" t="s">
        <v>2276</v>
      </c>
    </row>
    <row r="723" spans="1:15" ht="15" customHeight="1" x14ac:dyDescent="0.3">
      <c r="A723" s="31">
        <v>46023</v>
      </c>
      <c r="B723" s="27" t="s">
        <v>53</v>
      </c>
      <c r="C723" s="27" t="s">
        <v>509</v>
      </c>
      <c r="D723" s="27" t="s">
        <v>480</v>
      </c>
      <c r="E723" s="27" t="s">
        <v>474</v>
      </c>
      <c r="F723" s="27" t="s">
        <v>43</v>
      </c>
      <c r="G723" s="27" t="s">
        <v>475</v>
      </c>
      <c r="H723" s="27" t="s">
        <v>59</v>
      </c>
      <c r="I723" s="27" t="s">
        <v>116</v>
      </c>
      <c r="J723" s="27" t="s">
        <v>61</v>
      </c>
      <c r="K723" s="39" t="s">
        <v>493</v>
      </c>
      <c r="L723" s="41" t="s">
        <v>129</v>
      </c>
      <c r="M723" s="27"/>
      <c r="N723" s="27"/>
      <c r="O723" s="28" t="s">
        <v>2276</v>
      </c>
    </row>
    <row r="724" spans="1:15" ht="15" customHeight="1" x14ac:dyDescent="0.3">
      <c r="A724" s="31">
        <v>46023</v>
      </c>
      <c r="B724" s="27" t="s">
        <v>53</v>
      </c>
      <c r="C724" s="27" t="s">
        <v>510</v>
      </c>
      <c r="D724" s="27" t="s">
        <v>478</v>
      </c>
      <c r="E724" s="27" t="s">
        <v>474</v>
      </c>
      <c r="F724" s="27" t="s">
        <v>43</v>
      </c>
      <c r="G724" s="27" t="s">
        <v>475</v>
      </c>
      <c r="H724" s="27" t="s">
        <v>59</v>
      </c>
      <c r="I724" s="27" t="s">
        <v>116</v>
      </c>
      <c r="J724" s="27" t="s">
        <v>61</v>
      </c>
      <c r="K724" s="39" t="s">
        <v>493</v>
      </c>
      <c r="L724" s="41" t="s">
        <v>129</v>
      </c>
      <c r="M724" s="27"/>
      <c r="N724" s="27"/>
      <c r="O724" s="28" t="s">
        <v>2276</v>
      </c>
    </row>
    <row r="725" spans="1:15" ht="15" customHeight="1" x14ac:dyDescent="0.3">
      <c r="A725" s="31">
        <v>46023</v>
      </c>
      <c r="B725" s="27" t="s">
        <v>53</v>
      </c>
      <c r="C725" s="27" t="s">
        <v>511</v>
      </c>
      <c r="D725" s="27" t="s">
        <v>512</v>
      </c>
      <c r="E725" s="27" t="s">
        <v>474</v>
      </c>
      <c r="F725" s="27" t="s">
        <v>43</v>
      </c>
      <c r="G725" s="27" t="s">
        <v>475</v>
      </c>
      <c r="H725" s="27" t="s">
        <v>59</v>
      </c>
      <c r="I725" s="27" t="s">
        <v>60</v>
      </c>
      <c r="J725" s="27" t="s">
        <v>61</v>
      </c>
      <c r="K725" s="39" t="s">
        <v>493</v>
      </c>
      <c r="L725" s="41" t="s">
        <v>129</v>
      </c>
      <c r="M725" s="27"/>
      <c r="N725" s="27"/>
      <c r="O725" s="28" t="s">
        <v>2276</v>
      </c>
    </row>
    <row r="726" spans="1:15" ht="15" customHeight="1" x14ac:dyDescent="0.3">
      <c r="A726" s="31">
        <v>46023</v>
      </c>
      <c r="B726" s="27" t="s">
        <v>53</v>
      </c>
      <c r="C726" s="27" t="s">
        <v>513</v>
      </c>
      <c r="D726" s="27" t="s">
        <v>514</v>
      </c>
      <c r="E726" s="27" t="s">
        <v>474</v>
      </c>
      <c r="F726" s="27" t="s">
        <v>43</v>
      </c>
      <c r="G726" s="27" t="s">
        <v>475</v>
      </c>
      <c r="H726" s="27" t="s">
        <v>59</v>
      </c>
      <c r="I726" s="27" t="s">
        <v>60</v>
      </c>
      <c r="J726" s="27" t="s">
        <v>61</v>
      </c>
      <c r="K726" s="39" t="s">
        <v>493</v>
      </c>
      <c r="L726" s="41" t="s">
        <v>129</v>
      </c>
      <c r="M726" s="27"/>
      <c r="N726" s="27"/>
      <c r="O726" s="28" t="s">
        <v>2276</v>
      </c>
    </row>
    <row r="727" spans="1:15" ht="15" customHeight="1" x14ac:dyDescent="0.3">
      <c r="A727" s="31">
        <v>46023</v>
      </c>
      <c r="B727" s="27" t="s">
        <v>53</v>
      </c>
      <c r="C727" s="27" t="s">
        <v>515</v>
      </c>
      <c r="D727" s="27" t="s">
        <v>516</v>
      </c>
      <c r="E727" s="27" t="s">
        <v>59</v>
      </c>
      <c r="F727" s="27" t="s">
        <v>43</v>
      </c>
      <c r="G727" s="27" t="s">
        <v>475</v>
      </c>
      <c r="H727" s="27" t="s">
        <v>59</v>
      </c>
      <c r="I727" s="27" t="s">
        <v>116</v>
      </c>
      <c r="J727" s="27" t="s">
        <v>61</v>
      </c>
      <c r="K727" s="39" t="s">
        <v>493</v>
      </c>
      <c r="L727" s="41" t="s">
        <v>129</v>
      </c>
      <c r="M727" s="27"/>
      <c r="N727" s="27"/>
      <c r="O727" s="28" t="s">
        <v>2276</v>
      </c>
    </row>
    <row r="728" spans="1:15" ht="15" customHeight="1" x14ac:dyDescent="0.3">
      <c r="A728" s="31">
        <v>46023</v>
      </c>
      <c r="B728" s="27" t="s">
        <v>53</v>
      </c>
      <c r="C728" s="27" t="s">
        <v>517</v>
      </c>
      <c r="D728" s="27" t="s">
        <v>518</v>
      </c>
      <c r="E728" s="27" t="s">
        <v>474</v>
      </c>
      <c r="F728" s="27" t="s">
        <v>43</v>
      </c>
      <c r="G728" s="27" t="s">
        <v>475</v>
      </c>
      <c r="H728" s="27" t="s">
        <v>59</v>
      </c>
      <c r="I728" s="27" t="s">
        <v>60</v>
      </c>
      <c r="J728" s="27" t="s">
        <v>61</v>
      </c>
      <c r="K728" s="39" t="s">
        <v>493</v>
      </c>
      <c r="L728" s="41" t="s">
        <v>129</v>
      </c>
      <c r="M728" s="27"/>
      <c r="N728" s="27"/>
      <c r="O728" s="28" t="s">
        <v>2276</v>
      </c>
    </row>
    <row r="729" spans="1:15" ht="15" customHeight="1" x14ac:dyDescent="0.3">
      <c r="A729" s="31">
        <v>46023</v>
      </c>
      <c r="B729" s="27" t="s">
        <v>53</v>
      </c>
      <c r="C729" s="27" t="s">
        <v>519</v>
      </c>
      <c r="D729" s="27" t="s">
        <v>520</v>
      </c>
      <c r="E729" s="27" t="s">
        <v>474</v>
      </c>
      <c r="F729" s="27" t="s">
        <v>43</v>
      </c>
      <c r="G729" s="27" t="s">
        <v>475</v>
      </c>
      <c r="H729" s="27" t="s">
        <v>59</v>
      </c>
      <c r="I729" s="27" t="s">
        <v>60</v>
      </c>
      <c r="J729" s="27" t="s">
        <v>61</v>
      </c>
      <c r="K729" s="39" t="s">
        <v>493</v>
      </c>
      <c r="L729" s="41" t="s">
        <v>129</v>
      </c>
      <c r="M729" s="27"/>
      <c r="N729" s="27"/>
      <c r="O729" s="28" t="s">
        <v>2276</v>
      </c>
    </row>
    <row r="730" spans="1:15" ht="15" customHeight="1" x14ac:dyDescent="0.3">
      <c r="A730" s="31">
        <v>46023</v>
      </c>
      <c r="B730" s="27" t="s">
        <v>53</v>
      </c>
      <c r="C730" s="27" t="s">
        <v>521</v>
      </c>
      <c r="D730" s="27" t="s">
        <v>522</v>
      </c>
      <c r="E730" s="27" t="s">
        <v>474</v>
      </c>
      <c r="F730" s="27" t="s">
        <v>43</v>
      </c>
      <c r="G730" s="27" t="s">
        <v>475</v>
      </c>
      <c r="H730" s="27" t="s">
        <v>59</v>
      </c>
      <c r="I730" s="27" t="s">
        <v>116</v>
      </c>
      <c r="J730" s="27" t="s">
        <v>61</v>
      </c>
      <c r="K730" s="39" t="s">
        <v>493</v>
      </c>
      <c r="L730" s="41" t="s">
        <v>129</v>
      </c>
      <c r="M730" s="27"/>
      <c r="N730" s="27"/>
      <c r="O730" s="28" t="s">
        <v>2276</v>
      </c>
    </row>
    <row r="731" spans="1:15" ht="15" customHeight="1" x14ac:dyDescent="0.3">
      <c r="A731" s="31">
        <v>46023</v>
      </c>
      <c r="B731" s="27" t="s">
        <v>53</v>
      </c>
      <c r="C731" s="27" t="s">
        <v>523</v>
      </c>
      <c r="D731" s="27" t="s">
        <v>524</v>
      </c>
      <c r="E731" s="27" t="s">
        <v>474</v>
      </c>
      <c r="F731" s="27" t="s">
        <v>43</v>
      </c>
      <c r="G731" s="27" t="s">
        <v>475</v>
      </c>
      <c r="H731" s="27" t="s">
        <v>59</v>
      </c>
      <c r="I731" s="27" t="s">
        <v>60</v>
      </c>
      <c r="J731" s="27" t="s">
        <v>61</v>
      </c>
      <c r="K731" s="39" t="s">
        <v>493</v>
      </c>
      <c r="L731" s="41" t="s">
        <v>129</v>
      </c>
      <c r="M731" s="27"/>
      <c r="N731" s="27"/>
      <c r="O731" s="28" t="s">
        <v>2276</v>
      </c>
    </row>
    <row r="732" spans="1:15" ht="15" customHeight="1" x14ac:dyDescent="0.3">
      <c r="A732" s="31">
        <v>46023</v>
      </c>
      <c r="B732" s="27" t="s">
        <v>53</v>
      </c>
      <c r="C732" s="27" t="s">
        <v>525</v>
      </c>
      <c r="D732" s="27" t="s">
        <v>526</v>
      </c>
      <c r="E732" s="27" t="s">
        <v>474</v>
      </c>
      <c r="F732" s="27" t="s">
        <v>43</v>
      </c>
      <c r="G732" s="27" t="s">
        <v>475</v>
      </c>
      <c r="H732" s="27" t="s">
        <v>59</v>
      </c>
      <c r="I732" s="27" t="s">
        <v>60</v>
      </c>
      <c r="J732" s="27" t="s">
        <v>61</v>
      </c>
      <c r="K732" s="39" t="s">
        <v>493</v>
      </c>
      <c r="L732" s="41" t="s">
        <v>129</v>
      </c>
      <c r="M732" s="27"/>
      <c r="N732" s="27"/>
      <c r="O732" s="28" t="s">
        <v>2276</v>
      </c>
    </row>
    <row r="733" spans="1:15" ht="15" customHeight="1" x14ac:dyDescent="0.3">
      <c r="A733" s="31">
        <v>46023</v>
      </c>
      <c r="B733" s="27" t="s">
        <v>53</v>
      </c>
      <c r="C733" s="27" t="s">
        <v>42</v>
      </c>
      <c r="D733" s="27" t="s">
        <v>527</v>
      </c>
      <c r="E733" s="27" t="s">
        <v>474</v>
      </c>
      <c r="F733" s="27" t="s">
        <v>43</v>
      </c>
      <c r="G733" s="27" t="s">
        <v>475</v>
      </c>
      <c r="H733" s="27" t="s">
        <v>59</v>
      </c>
      <c r="I733" s="27" t="s">
        <v>60</v>
      </c>
      <c r="J733" s="27" t="s">
        <v>61</v>
      </c>
      <c r="K733" s="39" t="s">
        <v>493</v>
      </c>
      <c r="L733" s="41" t="s">
        <v>129</v>
      </c>
      <c r="M733" s="27"/>
      <c r="N733" s="27"/>
      <c r="O733" s="28" t="s">
        <v>2276</v>
      </c>
    </row>
    <row r="734" spans="1:15" ht="15" customHeight="1" x14ac:dyDescent="0.3">
      <c r="A734" s="31">
        <v>46023</v>
      </c>
      <c r="B734" s="27" t="s">
        <v>53</v>
      </c>
      <c r="C734" s="27" t="s">
        <v>45</v>
      </c>
      <c r="D734" s="27" t="s">
        <v>528</v>
      </c>
      <c r="E734" s="27" t="s">
        <v>474</v>
      </c>
      <c r="F734" s="27" t="s">
        <v>43</v>
      </c>
      <c r="G734" s="27" t="s">
        <v>475</v>
      </c>
      <c r="H734" s="27" t="s">
        <v>59</v>
      </c>
      <c r="I734" s="27" t="s">
        <v>116</v>
      </c>
      <c r="J734" s="27" t="s">
        <v>61</v>
      </c>
      <c r="K734" s="39" t="s">
        <v>493</v>
      </c>
      <c r="L734" s="41" t="s">
        <v>129</v>
      </c>
      <c r="M734" s="27"/>
      <c r="N734" s="27"/>
      <c r="O734" s="28" t="s">
        <v>2276</v>
      </c>
    </row>
    <row r="735" spans="1:15" ht="15" customHeight="1" x14ac:dyDescent="0.3">
      <c r="A735" s="31">
        <v>46023</v>
      </c>
      <c r="B735" s="27" t="s">
        <v>53</v>
      </c>
      <c r="C735" s="27" t="s">
        <v>46</v>
      </c>
      <c r="D735" s="27" t="s">
        <v>529</v>
      </c>
      <c r="E735" s="27" t="s">
        <v>474</v>
      </c>
      <c r="F735" s="27" t="s">
        <v>43</v>
      </c>
      <c r="G735" s="27" t="s">
        <v>475</v>
      </c>
      <c r="H735" s="27" t="s">
        <v>59</v>
      </c>
      <c r="I735" s="27" t="s">
        <v>116</v>
      </c>
      <c r="J735" s="27" t="s">
        <v>61</v>
      </c>
      <c r="K735" s="39" t="s">
        <v>493</v>
      </c>
      <c r="L735" s="41" t="s">
        <v>129</v>
      </c>
      <c r="M735" s="27"/>
      <c r="N735" s="27"/>
      <c r="O735" s="28" t="s">
        <v>2276</v>
      </c>
    </row>
    <row r="736" spans="1:15" ht="15" customHeight="1" x14ac:dyDescent="0.3">
      <c r="A736" s="31">
        <v>46023</v>
      </c>
      <c r="B736" s="27" t="s">
        <v>53</v>
      </c>
      <c r="C736" s="27" t="s">
        <v>49</v>
      </c>
      <c r="D736" s="27" t="s">
        <v>530</v>
      </c>
      <c r="E736" s="27" t="s">
        <v>531</v>
      </c>
      <c r="F736" s="27" t="s">
        <v>43</v>
      </c>
      <c r="G736" s="27" t="s">
        <v>475</v>
      </c>
      <c r="H736" s="27" t="s">
        <v>59</v>
      </c>
      <c r="I736" s="27" t="s">
        <v>116</v>
      </c>
      <c r="J736" s="27" t="s">
        <v>61</v>
      </c>
      <c r="K736" s="39" t="s">
        <v>493</v>
      </c>
      <c r="L736" s="41" t="s">
        <v>129</v>
      </c>
      <c r="M736" s="27"/>
      <c r="N736" s="27"/>
      <c r="O736" s="28" t="s">
        <v>2276</v>
      </c>
    </row>
    <row r="737" spans="1:15" ht="15" customHeight="1" x14ac:dyDescent="0.3">
      <c r="A737" s="31">
        <v>46023</v>
      </c>
      <c r="B737" s="27" t="s">
        <v>53</v>
      </c>
      <c r="C737" s="27" t="s">
        <v>50</v>
      </c>
      <c r="D737" s="27" t="s">
        <v>532</v>
      </c>
      <c r="E737" s="27" t="s">
        <v>59</v>
      </c>
      <c r="F737" s="27" t="s">
        <v>43</v>
      </c>
      <c r="G737" s="27" t="s">
        <v>475</v>
      </c>
      <c r="H737" s="27" t="s">
        <v>59</v>
      </c>
      <c r="I737" s="27" t="s">
        <v>60</v>
      </c>
      <c r="J737" s="27" t="s">
        <v>61</v>
      </c>
      <c r="K737" s="39" t="s">
        <v>493</v>
      </c>
      <c r="L737" s="41" t="s">
        <v>129</v>
      </c>
      <c r="M737" s="27"/>
      <c r="N737" s="27"/>
      <c r="O737" s="28" t="s">
        <v>2276</v>
      </c>
    </row>
    <row r="738" spans="1:15" ht="15" customHeight="1" x14ac:dyDescent="0.3">
      <c r="A738" s="31">
        <v>46023</v>
      </c>
      <c r="B738" s="27" t="s">
        <v>53</v>
      </c>
      <c r="C738" s="27" t="s">
        <v>51</v>
      </c>
      <c r="D738" s="27" t="s">
        <v>533</v>
      </c>
      <c r="E738" s="27" t="s">
        <v>474</v>
      </c>
      <c r="F738" s="27" t="s">
        <v>43</v>
      </c>
      <c r="G738" s="27" t="s">
        <v>475</v>
      </c>
      <c r="H738" s="27" t="s">
        <v>59</v>
      </c>
      <c r="I738" s="27" t="s">
        <v>60</v>
      </c>
      <c r="J738" s="27" t="s">
        <v>61</v>
      </c>
      <c r="K738" s="39" t="s">
        <v>493</v>
      </c>
      <c r="L738" s="41" t="s">
        <v>129</v>
      </c>
      <c r="M738" s="27"/>
      <c r="N738" s="27"/>
      <c r="O738" s="28" t="s">
        <v>2276</v>
      </c>
    </row>
    <row r="739" spans="1:15" ht="15" customHeight="1" x14ac:dyDescent="0.3">
      <c r="A739" s="31">
        <v>46023</v>
      </c>
      <c r="B739" s="27" t="s">
        <v>53</v>
      </c>
      <c r="C739" s="27" t="s">
        <v>534</v>
      </c>
      <c r="D739" s="27" t="s">
        <v>535</v>
      </c>
      <c r="E739" s="27" t="s">
        <v>474</v>
      </c>
      <c r="F739" s="27" t="s">
        <v>43</v>
      </c>
      <c r="G739" s="27" t="s">
        <v>475</v>
      </c>
      <c r="H739" s="27" t="s">
        <v>59</v>
      </c>
      <c r="I739" s="27" t="s">
        <v>60</v>
      </c>
      <c r="J739" s="27" t="s">
        <v>61</v>
      </c>
      <c r="K739" s="39" t="s">
        <v>493</v>
      </c>
      <c r="L739" s="41" t="s">
        <v>129</v>
      </c>
      <c r="M739" s="27"/>
      <c r="N739" s="27"/>
      <c r="O739" s="28" t="s">
        <v>2276</v>
      </c>
    </row>
    <row r="740" spans="1:15" ht="15" customHeight="1" x14ac:dyDescent="0.3">
      <c r="A740" s="31">
        <v>46023</v>
      </c>
      <c r="B740" s="27" t="s">
        <v>53</v>
      </c>
      <c r="C740" s="27" t="s">
        <v>536</v>
      </c>
      <c r="D740" s="27" t="s">
        <v>537</v>
      </c>
      <c r="E740" s="27" t="s">
        <v>474</v>
      </c>
      <c r="F740" s="27" t="s">
        <v>43</v>
      </c>
      <c r="G740" s="27" t="s">
        <v>475</v>
      </c>
      <c r="H740" s="27" t="s">
        <v>59</v>
      </c>
      <c r="I740" s="27" t="s">
        <v>60</v>
      </c>
      <c r="J740" s="27" t="s">
        <v>61</v>
      </c>
      <c r="K740" s="39" t="s">
        <v>493</v>
      </c>
      <c r="L740" s="41" t="s">
        <v>129</v>
      </c>
      <c r="M740" s="27"/>
      <c r="N740" s="27"/>
      <c r="O740" s="28" t="s">
        <v>2276</v>
      </c>
    </row>
    <row r="741" spans="1:15" ht="15" customHeight="1" x14ac:dyDescent="0.3">
      <c r="A741" s="31">
        <v>46023</v>
      </c>
      <c r="B741" s="27" t="s">
        <v>53</v>
      </c>
      <c r="C741" s="27" t="s">
        <v>538</v>
      </c>
      <c r="D741" s="27" t="s">
        <v>539</v>
      </c>
      <c r="E741" s="27" t="s">
        <v>474</v>
      </c>
      <c r="F741" s="27" t="s">
        <v>43</v>
      </c>
      <c r="G741" s="27" t="s">
        <v>475</v>
      </c>
      <c r="H741" s="27" t="s">
        <v>59</v>
      </c>
      <c r="I741" s="27" t="s">
        <v>60</v>
      </c>
      <c r="J741" s="27" t="s">
        <v>61</v>
      </c>
      <c r="K741" s="39" t="s">
        <v>493</v>
      </c>
      <c r="L741" s="41" t="s">
        <v>129</v>
      </c>
      <c r="M741" s="27"/>
      <c r="N741" s="27"/>
      <c r="O741" s="28" t="s">
        <v>2276</v>
      </c>
    </row>
    <row r="742" spans="1:15" ht="15" customHeight="1" x14ac:dyDescent="0.3">
      <c r="A742" s="31">
        <v>46023</v>
      </c>
      <c r="B742" s="27" t="s">
        <v>53</v>
      </c>
      <c r="C742" s="27" t="s">
        <v>540</v>
      </c>
      <c r="D742" s="27" t="s">
        <v>541</v>
      </c>
      <c r="E742" s="27" t="s">
        <v>474</v>
      </c>
      <c r="F742" s="27" t="s">
        <v>43</v>
      </c>
      <c r="G742" s="27" t="s">
        <v>475</v>
      </c>
      <c r="H742" s="27" t="s">
        <v>59</v>
      </c>
      <c r="I742" s="27" t="s">
        <v>60</v>
      </c>
      <c r="J742" s="27" t="s">
        <v>61</v>
      </c>
      <c r="K742" s="39" t="s">
        <v>493</v>
      </c>
      <c r="L742" s="41" t="s">
        <v>129</v>
      </c>
      <c r="M742" s="27"/>
      <c r="N742" s="27"/>
      <c r="O742" s="28" t="s">
        <v>2276</v>
      </c>
    </row>
    <row r="743" spans="1:15" ht="15" customHeight="1" x14ac:dyDescent="0.3">
      <c r="A743" s="31">
        <v>46023</v>
      </c>
      <c r="B743" s="27" t="s">
        <v>53</v>
      </c>
      <c r="C743" s="27" t="s">
        <v>542</v>
      </c>
      <c r="D743" s="27" t="s">
        <v>543</v>
      </c>
      <c r="E743" s="27" t="s">
        <v>474</v>
      </c>
      <c r="F743" s="27" t="s">
        <v>43</v>
      </c>
      <c r="G743" s="27" t="s">
        <v>475</v>
      </c>
      <c r="H743" s="27" t="s">
        <v>59</v>
      </c>
      <c r="I743" s="27" t="s">
        <v>60</v>
      </c>
      <c r="J743" s="27" t="s">
        <v>61</v>
      </c>
      <c r="K743" s="39" t="s">
        <v>493</v>
      </c>
      <c r="L743" s="41" t="s">
        <v>129</v>
      </c>
      <c r="M743" s="27"/>
      <c r="N743" s="27"/>
      <c r="O743" s="28" t="s">
        <v>2276</v>
      </c>
    </row>
    <row r="744" spans="1:15" ht="15" customHeight="1" x14ac:dyDescent="0.3">
      <c r="A744" s="31">
        <v>46023</v>
      </c>
      <c r="B744" s="27" t="s">
        <v>53</v>
      </c>
      <c r="C744" s="27" t="s">
        <v>544</v>
      </c>
      <c r="D744" s="27" t="s">
        <v>533</v>
      </c>
      <c r="E744" s="27" t="s">
        <v>474</v>
      </c>
      <c r="F744" s="27" t="s">
        <v>43</v>
      </c>
      <c r="G744" s="27" t="s">
        <v>475</v>
      </c>
      <c r="H744" s="27" t="s">
        <v>59</v>
      </c>
      <c r="I744" s="27" t="s">
        <v>60</v>
      </c>
      <c r="J744" s="27" t="s">
        <v>61</v>
      </c>
      <c r="K744" s="39" t="s">
        <v>493</v>
      </c>
      <c r="L744" s="41" t="s">
        <v>129</v>
      </c>
      <c r="M744" s="27"/>
      <c r="N744" s="27"/>
      <c r="O744" s="28" t="s">
        <v>2276</v>
      </c>
    </row>
    <row r="745" spans="1:15" ht="15" customHeight="1" x14ac:dyDescent="0.3">
      <c r="A745" s="31">
        <v>46023</v>
      </c>
      <c r="B745" s="27" t="s">
        <v>53</v>
      </c>
      <c r="C745" s="27" t="s">
        <v>545</v>
      </c>
      <c r="D745" s="27" t="s">
        <v>546</v>
      </c>
      <c r="E745" s="27" t="s">
        <v>59</v>
      </c>
      <c r="F745" s="27" t="s">
        <v>43</v>
      </c>
      <c r="G745" s="27" t="s">
        <v>475</v>
      </c>
      <c r="H745" s="27" t="s">
        <v>59</v>
      </c>
      <c r="I745" s="27" t="s">
        <v>60</v>
      </c>
      <c r="J745" s="27" t="s">
        <v>61</v>
      </c>
      <c r="K745" s="39" t="s">
        <v>547</v>
      </c>
      <c r="L745" s="41" t="s">
        <v>129</v>
      </c>
      <c r="M745" s="27"/>
      <c r="N745" s="27"/>
      <c r="O745" s="28" t="s">
        <v>2276</v>
      </c>
    </row>
    <row r="746" spans="1:15" ht="15" customHeight="1" x14ac:dyDescent="0.3">
      <c r="A746" s="31">
        <v>46023</v>
      </c>
      <c r="B746" s="27" t="s">
        <v>53</v>
      </c>
      <c r="C746" s="27" t="s">
        <v>548</v>
      </c>
      <c r="D746" s="27" t="s">
        <v>549</v>
      </c>
      <c r="E746" s="27" t="s">
        <v>59</v>
      </c>
      <c r="F746" s="27" t="s">
        <v>43</v>
      </c>
      <c r="G746" s="27" t="s">
        <v>475</v>
      </c>
      <c r="H746" s="27" t="s">
        <v>59</v>
      </c>
      <c r="I746" s="27" t="s">
        <v>60</v>
      </c>
      <c r="J746" s="27" t="s">
        <v>61</v>
      </c>
      <c r="K746" s="39" t="s">
        <v>547</v>
      </c>
      <c r="L746" s="41" t="s">
        <v>129</v>
      </c>
      <c r="M746" s="27"/>
      <c r="N746" s="27"/>
      <c r="O746" s="28" t="s">
        <v>2276</v>
      </c>
    </row>
    <row r="747" spans="1:15" ht="15" customHeight="1" x14ac:dyDescent="0.3">
      <c r="A747" s="31">
        <v>46023</v>
      </c>
      <c r="B747" s="27" t="s">
        <v>53</v>
      </c>
      <c r="C747" s="27" t="s">
        <v>550</v>
      </c>
      <c r="D747" s="27" t="s">
        <v>551</v>
      </c>
      <c r="E747" s="27" t="s">
        <v>59</v>
      </c>
      <c r="F747" s="27" t="s">
        <v>43</v>
      </c>
      <c r="G747" s="27" t="s">
        <v>475</v>
      </c>
      <c r="H747" s="27" t="s">
        <v>59</v>
      </c>
      <c r="I747" s="27" t="s">
        <v>60</v>
      </c>
      <c r="J747" s="27" t="s">
        <v>61</v>
      </c>
      <c r="K747" s="39" t="s">
        <v>547</v>
      </c>
      <c r="L747" s="41" t="s">
        <v>129</v>
      </c>
      <c r="M747" s="27"/>
      <c r="N747" s="27"/>
      <c r="O747" s="28" t="s">
        <v>2276</v>
      </c>
    </row>
    <row r="748" spans="1:15" ht="15" customHeight="1" x14ac:dyDescent="0.3">
      <c r="A748" s="31">
        <v>46023</v>
      </c>
      <c r="B748" s="27" t="s">
        <v>53</v>
      </c>
      <c r="C748" s="27" t="s">
        <v>552</v>
      </c>
      <c r="D748" s="27" t="s">
        <v>553</v>
      </c>
      <c r="E748" s="27" t="s">
        <v>474</v>
      </c>
      <c r="F748" s="27" t="s">
        <v>43</v>
      </c>
      <c r="G748" s="27" t="s">
        <v>475</v>
      </c>
      <c r="H748" s="27" t="s">
        <v>59</v>
      </c>
      <c r="I748" s="27" t="s">
        <v>60</v>
      </c>
      <c r="J748" s="27" t="s">
        <v>61</v>
      </c>
      <c r="K748" s="39" t="s">
        <v>547</v>
      </c>
      <c r="L748" s="41" t="s">
        <v>129</v>
      </c>
      <c r="M748" s="27"/>
      <c r="N748" s="27"/>
      <c r="O748" s="28" t="s">
        <v>2276</v>
      </c>
    </row>
    <row r="749" spans="1:15" ht="15" customHeight="1" x14ac:dyDescent="0.3">
      <c r="A749" s="31">
        <v>46023</v>
      </c>
      <c r="B749" s="27" t="s">
        <v>53</v>
      </c>
      <c r="C749" s="27" t="s">
        <v>554</v>
      </c>
      <c r="D749" s="27" t="s">
        <v>555</v>
      </c>
      <c r="E749" s="27" t="s">
        <v>59</v>
      </c>
      <c r="F749" s="27" t="s">
        <v>43</v>
      </c>
      <c r="G749" s="27" t="s">
        <v>475</v>
      </c>
      <c r="H749" s="27" t="s">
        <v>59</v>
      </c>
      <c r="I749" s="27" t="s">
        <v>60</v>
      </c>
      <c r="J749" s="27" t="s">
        <v>61</v>
      </c>
      <c r="K749" s="39" t="s">
        <v>547</v>
      </c>
      <c r="L749" s="41" t="s">
        <v>129</v>
      </c>
      <c r="M749" s="27"/>
      <c r="N749" s="27"/>
      <c r="O749" s="28" t="s">
        <v>2276</v>
      </c>
    </row>
    <row r="750" spans="1:15" ht="15" customHeight="1" x14ac:dyDescent="0.3">
      <c r="A750" s="31">
        <v>46023</v>
      </c>
      <c r="B750" s="27" t="s">
        <v>53</v>
      </c>
      <c r="C750" s="27" t="s">
        <v>556</v>
      </c>
      <c r="D750" s="27" t="s">
        <v>557</v>
      </c>
      <c r="E750" s="27" t="s">
        <v>59</v>
      </c>
      <c r="F750" s="27" t="s">
        <v>43</v>
      </c>
      <c r="G750" s="27" t="s">
        <v>475</v>
      </c>
      <c r="H750" s="27" t="s">
        <v>59</v>
      </c>
      <c r="I750" s="27" t="s">
        <v>60</v>
      </c>
      <c r="J750" s="27" t="s">
        <v>61</v>
      </c>
      <c r="K750" s="39" t="s">
        <v>547</v>
      </c>
      <c r="L750" s="41" t="s">
        <v>129</v>
      </c>
      <c r="M750" s="27"/>
      <c r="N750" s="27"/>
      <c r="O750" s="28" t="s">
        <v>2276</v>
      </c>
    </row>
    <row r="751" spans="1:15" ht="15" customHeight="1" x14ac:dyDescent="0.3">
      <c r="A751" s="31">
        <v>46023</v>
      </c>
      <c r="B751" s="27" t="s">
        <v>53</v>
      </c>
      <c r="C751" s="27" t="s">
        <v>558</v>
      </c>
      <c r="D751" s="27" t="s">
        <v>559</v>
      </c>
      <c r="E751" s="27" t="s">
        <v>59</v>
      </c>
      <c r="F751" s="27" t="s">
        <v>43</v>
      </c>
      <c r="G751" s="27" t="s">
        <v>475</v>
      </c>
      <c r="H751" s="27" t="s">
        <v>59</v>
      </c>
      <c r="I751" s="27" t="s">
        <v>60</v>
      </c>
      <c r="J751" s="27" t="s">
        <v>61</v>
      </c>
      <c r="K751" s="39" t="s">
        <v>547</v>
      </c>
      <c r="L751" s="41" t="s">
        <v>129</v>
      </c>
      <c r="M751" s="27"/>
      <c r="N751" s="27"/>
      <c r="O751" s="28" t="s">
        <v>2276</v>
      </c>
    </row>
    <row r="752" spans="1:15" ht="15" customHeight="1" x14ac:dyDescent="0.3">
      <c r="A752" s="31">
        <v>46023</v>
      </c>
      <c r="B752" s="27" t="s">
        <v>53</v>
      </c>
      <c r="C752" s="27" t="s">
        <v>560</v>
      </c>
      <c r="D752" s="27" t="s">
        <v>561</v>
      </c>
      <c r="E752" s="27" t="s">
        <v>59</v>
      </c>
      <c r="F752" s="27" t="s">
        <v>43</v>
      </c>
      <c r="G752" s="27" t="s">
        <v>475</v>
      </c>
      <c r="H752" s="27" t="s">
        <v>59</v>
      </c>
      <c r="I752" s="27" t="s">
        <v>60</v>
      </c>
      <c r="J752" s="27" t="s">
        <v>61</v>
      </c>
      <c r="K752" s="39" t="s">
        <v>547</v>
      </c>
      <c r="L752" s="41" t="s">
        <v>129</v>
      </c>
      <c r="M752" s="27"/>
      <c r="N752" s="27"/>
      <c r="O752" s="28" t="s">
        <v>2276</v>
      </c>
    </row>
    <row r="753" spans="1:15" ht="15" customHeight="1" x14ac:dyDescent="0.3">
      <c r="A753" s="31">
        <v>46023</v>
      </c>
      <c r="B753" s="27" t="s">
        <v>53</v>
      </c>
      <c r="C753" s="27" t="s">
        <v>562</v>
      </c>
      <c r="D753" s="27" t="s">
        <v>563</v>
      </c>
      <c r="E753" s="27" t="s">
        <v>59</v>
      </c>
      <c r="F753" s="27" t="s">
        <v>43</v>
      </c>
      <c r="G753" s="27" t="s">
        <v>475</v>
      </c>
      <c r="H753" s="27" t="s">
        <v>59</v>
      </c>
      <c r="I753" s="27" t="s">
        <v>60</v>
      </c>
      <c r="J753" s="27" t="s">
        <v>61</v>
      </c>
      <c r="K753" s="39" t="s">
        <v>547</v>
      </c>
      <c r="L753" s="41" t="s">
        <v>129</v>
      </c>
      <c r="M753" s="27"/>
      <c r="N753" s="27"/>
      <c r="O753" s="28" t="s">
        <v>2276</v>
      </c>
    </row>
    <row r="754" spans="1:15" ht="15" customHeight="1" x14ac:dyDescent="0.3">
      <c r="A754" s="31">
        <v>46023</v>
      </c>
      <c r="B754" s="27" t="s">
        <v>53</v>
      </c>
      <c r="C754" s="27" t="s">
        <v>564</v>
      </c>
      <c r="D754" s="27" t="s">
        <v>565</v>
      </c>
      <c r="E754" s="27" t="s">
        <v>59</v>
      </c>
      <c r="F754" s="27" t="s">
        <v>43</v>
      </c>
      <c r="G754" s="27" t="s">
        <v>475</v>
      </c>
      <c r="H754" s="27" t="s">
        <v>59</v>
      </c>
      <c r="I754" s="27" t="s">
        <v>60</v>
      </c>
      <c r="J754" s="27" t="s">
        <v>61</v>
      </c>
      <c r="K754" s="39" t="s">
        <v>547</v>
      </c>
      <c r="L754" s="41" t="s">
        <v>129</v>
      </c>
      <c r="M754" s="27"/>
      <c r="N754" s="27"/>
      <c r="O754" s="28" t="s">
        <v>2276</v>
      </c>
    </row>
    <row r="755" spans="1:15" ht="15" customHeight="1" x14ac:dyDescent="0.3">
      <c r="A755" s="31">
        <v>46023</v>
      </c>
      <c r="B755" s="27" t="s">
        <v>53</v>
      </c>
      <c r="C755" s="27" t="s">
        <v>566</v>
      </c>
      <c r="D755" s="27" t="s">
        <v>567</v>
      </c>
      <c r="E755" s="27" t="s">
        <v>59</v>
      </c>
      <c r="F755" s="27" t="s">
        <v>43</v>
      </c>
      <c r="G755" s="27" t="s">
        <v>475</v>
      </c>
      <c r="H755" s="27" t="s">
        <v>59</v>
      </c>
      <c r="I755" s="27" t="s">
        <v>116</v>
      </c>
      <c r="J755" s="27" t="s">
        <v>61</v>
      </c>
      <c r="K755" s="39" t="s">
        <v>547</v>
      </c>
      <c r="L755" s="41" t="s">
        <v>129</v>
      </c>
      <c r="M755" s="27"/>
      <c r="N755" s="27"/>
      <c r="O755" s="28" t="s">
        <v>2276</v>
      </c>
    </row>
    <row r="756" spans="1:15" ht="15" customHeight="1" x14ac:dyDescent="0.3">
      <c r="A756" s="31">
        <v>46023</v>
      </c>
      <c r="B756" s="27" t="s">
        <v>53</v>
      </c>
      <c r="C756" s="27" t="s">
        <v>568</v>
      </c>
      <c r="D756" s="27" t="s">
        <v>569</v>
      </c>
      <c r="E756" s="27" t="s">
        <v>59</v>
      </c>
      <c r="F756" s="27" t="s">
        <v>43</v>
      </c>
      <c r="G756" s="27" t="s">
        <v>475</v>
      </c>
      <c r="H756" s="27" t="s">
        <v>59</v>
      </c>
      <c r="I756" s="27" t="s">
        <v>116</v>
      </c>
      <c r="J756" s="27" t="s">
        <v>61</v>
      </c>
      <c r="K756" s="39" t="s">
        <v>547</v>
      </c>
      <c r="L756" s="41" t="s">
        <v>129</v>
      </c>
      <c r="M756" s="27"/>
      <c r="N756" s="27"/>
      <c r="O756" s="28" t="s">
        <v>2276</v>
      </c>
    </row>
    <row r="757" spans="1:15" ht="15" customHeight="1" x14ac:dyDescent="0.3">
      <c r="A757" s="31">
        <v>46023</v>
      </c>
      <c r="B757" s="27" t="s">
        <v>53</v>
      </c>
      <c r="C757" s="27" t="s">
        <v>570</v>
      </c>
      <c r="D757" s="27" t="s">
        <v>571</v>
      </c>
      <c r="E757" s="27" t="s">
        <v>59</v>
      </c>
      <c r="F757" s="27" t="s">
        <v>43</v>
      </c>
      <c r="G757" s="27" t="s">
        <v>475</v>
      </c>
      <c r="H757" s="27" t="s">
        <v>59</v>
      </c>
      <c r="I757" s="27" t="s">
        <v>60</v>
      </c>
      <c r="J757" s="27" t="s">
        <v>61</v>
      </c>
      <c r="K757" s="39" t="s">
        <v>547</v>
      </c>
      <c r="L757" s="41" t="s">
        <v>129</v>
      </c>
      <c r="M757" s="27"/>
      <c r="N757" s="27"/>
      <c r="O757" s="28" t="s">
        <v>2276</v>
      </c>
    </row>
    <row r="758" spans="1:15" ht="15" customHeight="1" x14ac:dyDescent="0.3">
      <c r="A758" s="31">
        <v>46023</v>
      </c>
      <c r="B758" s="27" t="s">
        <v>53</v>
      </c>
      <c r="C758" s="27" t="s">
        <v>572</v>
      </c>
      <c r="D758" s="27" t="s">
        <v>573</v>
      </c>
      <c r="E758" s="27" t="s">
        <v>59</v>
      </c>
      <c r="F758" s="27" t="s">
        <v>43</v>
      </c>
      <c r="G758" s="27" t="s">
        <v>475</v>
      </c>
      <c r="H758" s="27" t="s">
        <v>59</v>
      </c>
      <c r="I758" s="27" t="s">
        <v>60</v>
      </c>
      <c r="J758" s="27" t="s">
        <v>61</v>
      </c>
      <c r="K758" s="39" t="s">
        <v>547</v>
      </c>
      <c r="L758" s="41" t="s">
        <v>129</v>
      </c>
      <c r="M758" s="27"/>
      <c r="N758" s="27"/>
      <c r="O758" s="28" t="s">
        <v>2276</v>
      </c>
    </row>
    <row r="759" spans="1:15" ht="15" customHeight="1" x14ac:dyDescent="0.3">
      <c r="A759" s="31">
        <v>46023</v>
      </c>
      <c r="B759" s="27" t="s">
        <v>53</v>
      </c>
      <c r="C759" s="27" t="s">
        <v>574</v>
      </c>
      <c r="D759" s="27" t="s">
        <v>575</v>
      </c>
      <c r="E759" s="27" t="s">
        <v>59</v>
      </c>
      <c r="F759" s="27" t="s">
        <v>43</v>
      </c>
      <c r="G759" s="27" t="s">
        <v>475</v>
      </c>
      <c r="H759" s="27" t="s">
        <v>59</v>
      </c>
      <c r="I759" s="27" t="s">
        <v>60</v>
      </c>
      <c r="J759" s="27" t="s">
        <v>61</v>
      </c>
      <c r="K759" s="39" t="s">
        <v>547</v>
      </c>
      <c r="L759" s="41" t="s">
        <v>129</v>
      </c>
      <c r="M759" s="27"/>
      <c r="N759" s="27"/>
      <c r="O759" s="28" t="s">
        <v>2276</v>
      </c>
    </row>
    <row r="760" spans="1:15" ht="15" customHeight="1" x14ac:dyDescent="0.3">
      <c r="A760" s="31">
        <v>46023</v>
      </c>
      <c r="B760" s="27" t="s">
        <v>53</v>
      </c>
      <c r="C760" s="27" t="s">
        <v>576</v>
      </c>
      <c r="D760" s="27" t="s">
        <v>577</v>
      </c>
      <c r="E760" s="27" t="s">
        <v>59</v>
      </c>
      <c r="F760" s="27" t="s">
        <v>43</v>
      </c>
      <c r="G760" s="27" t="s">
        <v>475</v>
      </c>
      <c r="H760" s="27" t="s">
        <v>59</v>
      </c>
      <c r="I760" s="27" t="s">
        <v>60</v>
      </c>
      <c r="J760" s="27" t="s">
        <v>61</v>
      </c>
      <c r="K760" s="39" t="s">
        <v>547</v>
      </c>
      <c r="L760" s="41" t="s">
        <v>129</v>
      </c>
      <c r="M760" s="27"/>
      <c r="N760" s="27"/>
      <c r="O760" s="28" t="s">
        <v>2276</v>
      </c>
    </row>
    <row r="761" spans="1:15" ht="15" customHeight="1" x14ac:dyDescent="0.3">
      <c r="A761" s="31">
        <v>46023</v>
      </c>
      <c r="B761" s="27" t="s">
        <v>53</v>
      </c>
      <c r="C761" s="27" t="s">
        <v>578</v>
      </c>
      <c r="D761" s="27" t="s">
        <v>579</v>
      </c>
      <c r="E761" s="27" t="s">
        <v>474</v>
      </c>
      <c r="F761" s="27" t="s">
        <v>43</v>
      </c>
      <c r="G761" s="27" t="s">
        <v>475</v>
      </c>
      <c r="H761" s="27" t="s">
        <v>59</v>
      </c>
      <c r="I761" s="27" t="s">
        <v>60</v>
      </c>
      <c r="J761" s="27" t="s">
        <v>61</v>
      </c>
      <c r="K761" s="39" t="s">
        <v>547</v>
      </c>
      <c r="L761" s="41" t="s">
        <v>129</v>
      </c>
      <c r="M761" s="27"/>
      <c r="N761" s="27"/>
      <c r="O761" s="28" t="s">
        <v>2276</v>
      </c>
    </row>
    <row r="762" spans="1:15" ht="15" customHeight="1" x14ac:dyDescent="0.3">
      <c r="A762" s="31">
        <v>46023</v>
      </c>
      <c r="B762" s="27" t="s">
        <v>53</v>
      </c>
      <c r="C762" s="27" t="s">
        <v>580</v>
      </c>
      <c r="D762" s="27" t="s">
        <v>581</v>
      </c>
      <c r="E762" s="27" t="s">
        <v>59</v>
      </c>
      <c r="F762" s="27" t="s">
        <v>43</v>
      </c>
      <c r="G762" s="27" t="s">
        <v>475</v>
      </c>
      <c r="H762" s="27" t="s">
        <v>59</v>
      </c>
      <c r="I762" s="27" t="s">
        <v>60</v>
      </c>
      <c r="J762" s="27" t="s">
        <v>61</v>
      </c>
      <c r="K762" s="39" t="s">
        <v>582</v>
      </c>
      <c r="L762" s="41" t="s">
        <v>129</v>
      </c>
      <c r="M762" s="27"/>
      <c r="N762" s="27"/>
      <c r="O762" s="28" t="s">
        <v>2276</v>
      </c>
    </row>
    <row r="763" spans="1:15" ht="15" customHeight="1" x14ac:dyDescent="0.3">
      <c r="A763" s="31">
        <v>46023</v>
      </c>
      <c r="B763" s="27" t="s">
        <v>53</v>
      </c>
      <c r="C763" s="27" t="s">
        <v>583</v>
      </c>
      <c r="D763" s="27" t="s">
        <v>584</v>
      </c>
      <c r="E763" s="27" t="s">
        <v>59</v>
      </c>
      <c r="F763" s="27" t="s">
        <v>43</v>
      </c>
      <c r="G763" s="27" t="s">
        <v>475</v>
      </c>
      <c r="H763" s="27" t="s">
        <v>59</v>
      </c>
      <c r="I763" s="27" t="s">
        <v>143</v>
      </c>
      <c r="J763" s="27" t="s">
        <v>61</v>
      </c>
      <c r="K763" s="39" t="s">
        <v>582</v>
      </c>
      <c r="L763" s="41" t="s">
        <v>129</v>
      </c>
      <c r="M763" s="27"/>
      <c r="N763" s="27"/>
      <c r="O763" s="28" t="s">
        <v>2276</v>
      </c>
    </row>
    <row r="764" spans="1:15" ht="15" customHeight="1" x14ac:dyDescent="0.3">
      <c r="A764" s="31">
        <v>46023</v>
      </c>
      <c r="B764" s="27" t="s">
        <v>53</v>
      </c>
      <c r="C764" s="27" t="s">
        <v>585</v>
      </c>
      <c r="D764" s="27" t="s">
        <v>586</v>
      </c>
      <c r="E764" s="27" t="s">
        <v>59</v>
      </c>
      <c r="F764" s="27" t="s">
        <v>43</v>
      </c>
      <c r="G764" s="27" t="s">
        <v>587</v>
      </c>
      <c r="H764" s="27" t="s">
        <v>59</v>
      </c>
      <c r="I764" s="27" t="s">
        <v>60</v>
      </c>
      <c r="J764" s="27" t="s">
        <v>61</v>
      </c>
      <c r="K764" s="39" t="s">
        <v>62</v>
      </c>
      <c r="L764" s="41" t="s">
        <v>309</v>
      </c>
      <c r="M764" s="27"/>
      <c r="N764" s="27"/>
      <c r="O764" s="28" t="s">
        <v>2276</v>
      </c>
    </row>
    <row r="765" spans="1:15" ht="15" customHeight="1" x14ac:dyDescent="0.3">
      <c r="A765" s="31">
        <v>46023</v>
      </c>
      <c r="B765" s="27" t="s">
        <v>53</v>
      </c>
      <c r="C765" s="27" t="s">
        <v>588</v>
      </c>
      <c r="D765" s="27" t="s">
        <v>589</v>
      </c>
      <c r="E765" s="27" t="s">
        <v>590</v>
      </c>
      <c r="F765" s="27" t="s">
        <v>43</v>
      </c>
      <c r="G765" s="27" t="s">
        <v>587</v>
      </c>
      <c r="H765" s="27" t="s">
        <v>59</v>
      </c>
      <c r="I765" s="27" t="s">
        <v>60</v>
      </c>
      <c r="J765" s="27" t="s">
        <v>61</v>
      </c>
      <c r="K765" s="39" t="s">
        <v>62</v>
      </c>
      <c r="L765" s="41" t="s">
        <v>309</v>
      </c>
      <c r="M765" s="27"/>
      <c r="N765" s="27"/>
      <c r="O765" s="28" t="s">
        <v>2276</v>
      </c>
    </row>
    <row r="766" spans="1:15" ht="15" customHeight="1" x14ac:dyDescent="0.3">
      <c r="A766" s="31">
        <v>46023</v>
      </c>
      <c r="B766" s="27" t="s">
        <v>53</v>
      </c>
      <c r="C766" s="27" t="s">
        <v>591</v>
      </c>
      <c r="D766" s="27" t="s">
        <v>592</v>
      </c>
      <c r="E766" s="27" t="s">
        <v>59</v>
      </c>
      <c r="F766" s="27" t="s">
        <v>43</v>
      </c>
      <c r="G766" s="27" t="s">
        <v>475</v>
      </c>
      <c r="H766" s="27" t="s">
        <v>59</v>
      </c>
      <c r="I766" s="27" t="s">
        <v>143</v>
      </c>
      <c r="J766" s="27" t="s">
        <v>144</v>
      </c>
      <c r="K766" s="39" t="s">
        <v>593</v>
      </c>
      <c r="L766" s="41" t="s">
        <v>129</v>
      </c>
      <c r="M766" s="27"/>
      <c r="N766" s="27"/>
      <c r="O766" s="28" t="s">
        <v>2276</v>
      </c>
    </row>
    <row r="767" spans="1:15" ht="15" customHeight="1" x14ac:dyDescent="0.3">
      <c r="A767" s="31">
        <v>46023</v>
      </c>
      <c r="B767" s="27" t="s">
        <v>53</v>
      </c>
      <c r="C767" s="27" t="s">
        <v>594</v>
      </c>
      <c r="D767" s="27" t="s">
        <v>595</v>
      </c>
      <c r="E767" s="27" t="s">
        <v>59</v>
      </c>
      <c r="F767" s="27" t="s">
        <v>43</v>
      </c>
      <c r="G767" s="27" t="s">
        <v>475</v>
      </c>
      <c r="H767" s="27" t="s">
        <v>59</v>
      </c>
      <c r="I767" s="27" t="s">
        <v>143</v>
      </c>
      <c r="J767" s="27" t="s">
        <v>144</v>
      </c>
      <c r="K767" s="39" t="s">
        <v>593</v>
      </c>
      <c r="L767" s="41" t="s">
        <v>129</v>
      </c>
      <c r="M767" s="27"/>
      <c r="N767" s="27"/>
      <c r="O767" s="28" t="s">
        <v>2276</v>
      </c>
    </row>
    <row r="768" spans="1:15" ht="15" customHeight="1" x14ac:dyDescent="0.3">
      <c r="A768" s="31">
        <v>46023</v>
      </c>
      <c r="B768" s="27" t="s">
        <v>53</v>
      </c>
      <c r="C768" s="27" t="s">
        <v>596</v>
      </c>
      <c r="D768" s="27" t="s">
        <v>597</v>
      </c>
      <c r="E768" s="27" t="s">
        <v>59</v>
      </c>
      <c r="F768" s="27" t="s">
        <v>43</v>
      </c>
      <c r="G768" s="27" t="s">
        <v>475</v>
      </c>
      <c r="H768" s="27" t="s">
        <v>59</v>
      </c>
      <c r="I768" s="27" t="s">
        <v>143</v>
      </c>
      <c r="J768" s="27" t="s">
        <v>144</v>
      </c>
      <c r="K768" s="39" t="s">
        <v>593</v>
      </c>
      <c r="L768" s="41" t="s">
        <v>129</v>
      </c>
      <c r="M768" s="27"/>
      <c r="N768" s="27"/>
      <c r="O768" s="28" t="s">
        <v>2276</v>
      </c>
    </row>
    <row r="769" spans="1:15" ht="15" customHeight="1" x14ac:dyDescent="0.3">
      <c r="A769" s="31">
        <v>46023</v>
      </c>
      <c r="B769" s="27" t="s">
        <v>53</v>
      </c>
      <c r="C769" s="27" t="s">
        <v>598</v>
      </c>
      <c r="D769" s="27" t="s">
        <v>599</v>
      </c>
      <c r="E769" s="27" t="s">
        <v>59</v>
      </c>
      <c r="F769" s="27" t="s">
        <v>43</v>
      </c>
      <c r="G769" s="27" t="s">
        <v>475</v>
      </c>
      <c r="H769" s="27" t="s">
        <v>59</v>
      </c>
      <c r="I769" s="27" t="s">
        <v>143</v>
      </c>
      <c r="J769" s="27" t="s">
        <v>144</v>
      </c>
      <c r="K769" s="39" t="s">
        <v>593</v>
      </c>
      <c r="L769" s="41" t="s">
        <v>129</v>
      </c>
      <c r="M769" s="27"/>
      <c r="N769" s="27"/>
      <c r="O769" s="28" t="s">
        <v>2276</v>
      </c>
    </row>
    <row r="770" spans="1:15" ht="15" customHeight="1" x14ac:dyDescent="0.3">
      <c r="A770" s="31">
        <v>46023</v>
      </c>
      <c r="B770" s="27" t="s">
        <v>53</v>
      </c>
      <c r="C770" s="27" t="s">
        <v>600</v>
      </c>
      <c r="D770" s="27" t="s">
        <v>601</v>
      </c>
      <c r="E770" s="27" t="s">
        <v>59</v>
      </c>
      <c r="F770" s="27" t="s">
        <v>43</v>
      </c>
      <c r="G770" s="27" t="s">
        <v>475</v>
      </c>
      <c r="H770" s="27" t="s">
        <v>59</v>
      </c>
      <c r="I770" s="27" t="s">
        <v>143</v>
      </c>
      <c r="J770" s="27" t="s">
        <v>144</v>
      </c>
      <c r="K770" s="39" t="s">
        <v>593</v>
      </c>
      <c r="L770" s="41" t="s">
        <v>129</v>
      </c>
      <c r="M770" s="27"/>
      <c r="N770" s="27"/>
      <c r="O770" s="28" t="s">
        <v>2276</v>
      </c>
    </row>
    <row r="771" spans="1:15" ht="15" customHeight="1" x14ac:dyDescent="0.3">
      <c r="A771" s="31">
        <v>46023</v>
      </c>
      <c r="B771" s="27" t="s">
        <v>53</v>
      </c>
      <c r="C771" s="27" t="s">
        <v>602</v>
      </c>
      <c r="D771" s="27" t="s">
        <v>597</v>
      </c>
      <c r="E771" s="27" t="s">
        <v>59</v>
      </c>
      <c r="F771" s="27" t="s">
        <v>43</v>
      </c>
      <c r="G771" s="27" t="s">
        <v>475</v>
      </c>
      <c r="H771" s="27" t="s">
        <v>59</v>
      </c>
      <c r="I771" s="27" t="s">
        <v>143</v>
      </c>
      <c r="J771" s="27" t="s">
        <v>144</v>
      </c>
      <c r="K771" s="39" t="s">
        <v>593</v>
      </c>
      <c r="L771" s="41" t="s">
        <v>129</v>
      </c>
      <c r="M771" s="27"/>
      <c r="N771" s="27"/>
      <c r="O771" s="28" t="s">
        <v>2276</v>
      </c>
    </row>
    <row r="772" spans="1:15" ht="15" customHeight="1" x14ac:dyDescent="0.3">
      <c r="A772" s="31">
        <v>46023</v>
      </c>
      <c r="B772" s="27" t="s">
        <v>53</v>
      </c>
      <c r="C772" s="27" t="s">
        <v>603</v>
      </c>
      <c r="D772" s="27" t="s">
        <v>604</v>
      </c>
      <c r="E772" s="27" t="s">
        <v>59</v>
      </c>
      <c r="F772" s="27" t="s">
        <v>43</v>
      </c>
      <c r="G772" s="27" t="s">
        <v>475</v>
      </c>
      <c r="H772" s="27" t="s">
        <v>59</v>
      </c>
      <c r="I772" s="27" t="s">
        <v>143</v>
      </c>
      <c r="J772" s="27" t="s">
        <v>144</v>
      </c>
      <c r="K772" s="39" t="s">
        <v>593</v>
      </c>
      <c r="L772" s="41" t="s">
        <v>129</v>
      </c>
      <c r="M772" s="27"/>
      <c r="N772" s="27"/>
      <c r="O772" s="28" t="s">
        <v>2276</v>
      </c>
    </row>
    <row r="773" spans="1:15" ht="15" customHeight="1" x14ac:dyDescent="0.3">
      <c r="A773" s="31">
        <v>46023</v>
      </c>
      <c r="B773" s="27" t="s">
        <v>53</v>
      </c>
      <c r="C773" s="27" t="s">
        <v>605</v>
      </c>
      <c r="D773" s="27" t="s">
        <v>606</v>
      </c>
      <c r="E773" s="27" t="s">
        <v>59</v>
      </c>
      <c r="F773" s="27" t="s">
        <v>43</v>
      </c>
      <c r="G773" s="27" t="s">
        <v>475</v>
      </c>
      <c r="H773" s="27" t="s">
        <v>59</v>
      </c>
      <c r="I773" s="27" t="s">
        <v>143</v>
      </c>
      <c r="J773" s="27" t="s">
        <v>144</v>
      </c>
      <c r="K773" s="39" t="s">
        <v>593</v>
      </c>
      <c r="L773" s="41" t="s">
        <v>129</v>
      </c>
      <c r="M773" s="27"/>
      <c r="N773" s="27"/>
      <c r="O773" s="28" t="s">
        <v>2276</v>
      </c>
    </row>
    <row r="774" spans="1:15" ht="15" customHeight="1" x14ac:dyDescent="0.3">
      <c r="A774" s="31">
        <v>46023</v>
      </c>
      <c r="B774" s="27" t="s">
        <v>53</v>
      </c>
      <c r="C774" s="27" t="s">
        <v>607</v>
      </c>
      <c r="D774" s="27" t="s">
        <v>608</v>
      </c>
      <c r="E774" s="27" t="s">
        <v>59</v>
      </c>
      <c r="F774" s="27" t="s">
        <v>43</v>
      </c>
      <c r="G774" s="27" t="s">
        <v>475</v>
      </c>
      <c r="H774" s="27" t="s">
        <v>59</v>
      </c>
      <c r="I774" s="27" t="s">
        <v>143</v>
      </c>
      <c r="J774" s="27" t="s">
        <v>144</v>
      </c>
      <c r="K774" s="39" t="s">
        <v>593</v>
      </c>
      <c r="L774" s="41" t="s">
        <v>129</v>
      </c>
      <c r="M774" s="27"/>
      <c r="N774" s="27"/>
      <c r="O774" s="28" t="s">
        <v>2276</v>
      </c>
    </row>
    <row r="775" spans="1:15" ht="15" customHeight="1" x14ac:dyDescent="0.3">
      <c r="A775" s="31">
        <v>46023</v>
      </c>
      <c r="B775" s="27" t="s">
        <v>53</v>
      </c>
      <c r="C775" s="27" t="s">
        <v>609</v>
      </c>
      <c r="D775" s="27" t="s">
        <v>610</v>
      </c>
      <c r="E775" s="27" t="s">
        <v>59</v>
      </c>
      <c r="F775" s="27" t="s">
        <v>43</v>
      </c>
      <c r="G775" s="27" t="s">
        <v>475</v>
      </c>
      <c r="H775" s="27" t="s">
        <v>59</v>
      </c>
      <c r="I775" s="27" t="s">
        <v>143</v>
      </c>
      <c r="J775" s="27" t="s">
        <v>144</v>
      </c>
      <c r="K775" s="39" t="s">
        <v>593</v>
      </c>
      <c r="L775" s="41" t="s">
        <v>129</v>
      </c>
      <c r="M775" s="27"/>
      <c r="N775" s="27"/>
      <c r="O775" s="28" t="s">
        <v>2276</v>
      </c>
    </row>
    <row r="776" spans="1:15" ht="15" customHeight="1" x14ac:dyDescent="0.3">
      <c r="A776" s="31">
        <v>46023</v>
      </c>
      <c r="B776" s="27" t="s">
        <v>53</v>
      </c>
      <c r="C776" s="27" t="s">
        <v>611</v>
      </c>
      <c r="D776" s="27" t="s">
        <v>612</v>
      </c>
      <c r="E776" s="27" t="s">
        <v>59</v>
      </c>
      <c r="F776" s="27" t="s">
        <v>43</v>
      </c>
      <c r="G776" s="27" t="s">
        <v>475</v>
      </c>
      <c r="H776" s="27" t="s">
        <v>59</v>
      </c>
      <c r="I776" s="27" t="s">
        <v>143</v>
      </c>
      <c r="J776" s="27" t="s">
        <v>144</v>
      </c>
      <c r="K776" s="39" t="s">
        <v>593</v>
      </c>
      <c r="L776" s="41" t="s">
        <v>129</v>
      </c>
      <c r="M776" s="27"/>
      <c r="N776" s="27"/>
      <c r="O776" s="28" t="s">
        <v>2276</v>
      </c>
    </row>
    <row r="777" spans="1:15" ht="15" customHeight="1" x14ac:dyDescent="0.3">
      <c r="A777" s="31">
        <v>46023</v>
      </c>
      <c r="B777" s="27" t="s">
        <v>53</v>
      </c>
      <c r="C777" s="27" t="s">
        <v>613</v>
      </c>
      <c r="D777" s="27" t="s">
        <v>614</v>
      </c>
      <c r="E777" s="27" t="s">
        <v>59</v>
      </c>
      <c r="F777" s="27" t="s">
        <v>43</v>
      </c>
      <c r="G777" s="27" t="s">
        <v>475</v>
      </c>
      <c r="H777" s="27" t="s">
        <v>59</v>
      </c>
      <c r="I777" s="27" t="s">
        <v>143</v>
      </c>
      <c r="J777" s="27" t="s">
        <v>144</v>
      </c>
      <c r="K777" s="39" t="s">
        <v>593</v>
      </c>
      <c r="L777" s="41" t="s">
        <v>129</v>
      </c>
      <c r="M777" s="27"/>
      <c r="N777" s="27"/>
      <c r="O777" s="28" t="s">
        <v>2276</v>
      </c>
    </row>
    <row r="778" spans="1:15" ht="15" customHeight="1" x14ac:dyDescent="0.3">
      <c r="A778" s="31">
        <v>46023</v>
      </c>
      <c r="B778" s="27" t="s">
        <v>53</v>
      </c>
      <c r="C778" s="27" t="s">
        <v>615</v>
      </c>
      <c r="D778" s="27" t="s">
        <v>616</v>
      </c>
      <c r="E778" s="27" t="s">
        <v>59</v>
      </c>
      <c r="F778" s="27" t="s">
        <v>43</v>
      </c>
      <c r="G778" s="27" t="s">
        <v>475</v>
      </c>
      <c r="H778" s="27" t="s">
        <v>59</v>
      </c>
      <c r="I778" s="27" t="s">
        <v>143</v>
      </c>
      <c r="J778" s="27" t="s">
        <v>144</v>
      </c>
      <c r="K778" s="39" t="s">
        <v>593</v>
      </c>
      <c r="L778" s="41" t="s">
        <v>129</v>
      </c>
      <c r="M778" s="27"/>
      <c r="N778" s="27"/>
      <c r="O778" s="28" t="s">
        <v>2276</v>
      </c>
    </row>
    <row r="779" spans="1:15" ht="15" customHeight="1" x14ac:dyDescent="0.3">
      <c r="A779" s="31">
        <v>46023</v>
      </c>
      <c r="B779" s="27" t="s">
        <v>53</v>
      </c>
      <c r="C779" s="27" t="s">
        <v>617</v>
      </c>
      <c r="D779" s="27" t="s">
        <v>618</v>
      </c>
      <c r="E779" s="27" t="s">
        <v>59</v>
      </c>
      <c r="F779" s="27" t="s">
        <v>43</v>
      </c>
      <c r="G779" s="27" t="s">
        <v>475</v>
      </c>
      <c r="H779" s="27" t="s">
        <v>59</v>
      </c>
      <c r="I779" s="27" t="s">
        <v>143</v>
      </c>
      <c r="J779" s="27" t="s">
        <v>144</v>
      </c>
      <c r="K779" s="39" t="s">
        <v>593</v>
      </c>
      <c r="L779" s="41" t="s">
        <v>129</v>
      </c>
      <c r="M779" s="27"/>
      <c r="N779" s="27"/>
      <c r="O779" s="28" t="s">
        <v>2276</v>
      </c>
    </row>
    <row r="780" spans="1:15" ht="15" customHeight="1" x14ac:dyDescent="0.3">
      <c r="A780" s="31">
        <v>46023</v>
      </c>
      <c r="B780" s="27" t="s">
        <v>53</v>
      </c>
      <c r="C780" s="27" t="s">
        <v>619</v>
      </c>
      <c r="D780" s="27" t="s">
        <v>620</v>
      </c>
      <c r="E780" s="27" t="s">
        <v>59</v>
      </c>
      <c r="F780" s="27" t="s">
        <v>43</v>
      </c>
      <c r="G780" s="27" t="s">
        <v>475</v>
      </c>
      <c r="H780" s="27" t="s">
        <v>59</v>
      </c>
      <c r="I780" s="27" t="s">
        <v>143</v>
      </c>
      <c r="J780" s="27" t="s">
        <v>144</v>
      </c>
      <c r="K780" s="39" t="s">
        <v>593</v>
      </c>
      <c r="L780" s="41" t="s">
        <v>129</v>
      </c>
      <c r="M780" s="27"/>
      <c r="N780" s="27"/>
      <c r="O780" s="28" t="s">
        <v>2276</v>
      </c>
    </row>
    <row r="781" spans="1:15" ht="15" customHeight="1" x14ac:dyDescent="0.3">
      <c r="A781" s="31">
        <v>46023</v>
      </c>
      <c r="B781" s="27" t="s">
        <v>53</v>
      </c>
      <c r="C781" s="27" t="s">
        <v>621</v>
      </c>
      <c r="D781" s="27" t="s">
        <v>622</v>
      </c>
      <c r="E781" s="27" t="s">
        <v>59</v>
      </c>
      <c r="F781" s="27" t="s">
        <v>43</v>
      </c>
      <c r="G781" s="27" t="s">
        <v>475</v>
      </c>
      <c r="H781" s="27" t="s">
        <v>59</v>
      </c>
      <c r="I781" s="27" t="s">
        <v>143</v>
      </c>
      <c r="J781" s="27" t="s">
        <v>144</v>
      </c>
      <c r="K781" s="39" t="s">
        <v>593</v>
      </c>
      <c r="L781" s="41" t="s">
        <v>129</v>
      </c>
      <c r="M781" s="27"/>
      <c r="N781" s="27"/>
      <c r="O781" s="28" t="s">
        <v>2276</v>
      </c>
    </row>
    <row r="782" spans="1:15" ht="15" customHeight="1" x14ac:dyDescent="0.3">
      <c r="A782" s="31">
        <v>46023</v>
      </c>
      <c r="B782" s="27" t="s">
        <v>53</v>
      </c>
      <c r="C782" s="27" t="s">
        <v>623</v>
      </c>
      <c r="D782" s="27" t="s">
        <v>624</v>
      </c>
      <c r="E782" s="27" t="s">
        <v>59</v>
      </c>
      <c r="F782" s="27" t="s">
        <v>43</v>
      </c>
      <c r="G782" s="27" t="s">
        <v>475</v>
      </c>
      <c r="H782" s="27" t="s">
        <v>59</v>
      </c>
      <c r="I782" s="27" t="s">
        <v>143</v>
      </c>
      <c r="J782" s="27" t="s">
        <v>144</v>
      </c>
      <c r="K782" s="39" t="s">
        <v>593</v>
      </c>
      <c r="L782" s="41" t="s">
        <v>129</v>
      </c>
      <c r="M782" s="27"/>
      <c r="N782" s="27"/>
      <c r="O782" s="28" t="s">
        <v>2276</v>
      </c>
    </row>
    <row r="783" spans="1:15" ht="15" customHeight="1" x14ac:dyDescent="0.3">
      <c r="A783" s="31">
        <v>46023</v>
      </c>
      <c r="B783" s="27" t="s">
        <v>53</v>
      </c>
      <c r="C783" s="27" t="s">
        <v>625</v>
      </c>
      <c r="D783" s="27" t="s">
        <v>626</v>
      </c>
      <c r="E783" s="27" t="s">
        <v>59</v>
      </c>
      <c r="F783" s="27" t="s">
        <v>43</v>
      </c>
      <c r="G783" s="27" t="s">
        <v>475</v>
      </c>
      <c r="H783" s="27" t="s">
        <v>59</v>
      </c>
      <c r="I783" s="27" t="s">
        <v>143</v>
      </c>
      <c r="J783" s="27" t="s">
        <v>144</v>
      </c>
      <c r="K783" s="39" t="s">
        <v>593</v>
      </c>
      <c r="L783" s="41" t="s">
        <v>129</v>
      </c>
      <c r="M783" s="27"/>
      <c r="N783" s="27"/>
      <c r="O783" s="28" t="s">
        <v>2276</v>
      </c>
    </row>
    <row r="784" spans="1:15" ht="15" customHeight="1" x14ac:dyDescent="0.3">
      <c r="A784" s="31">
        <v>46023</v>
      </c>
      <c r="B784" s="27" t="s">
        <v>53</v>
      </c>
      <c r="C784" s="27" t="s">
        <v>627</v>
      </c>
      <c r="D784" s="27" t="s">
        <v>628</v>
      </c>
      <c r="E784" s="27" t="s">
        <v>59</v>
      </c>
      <c r="F784" s="27" t="s">
        <v>43</v>
      </c>
      <c r="G784" s="27" t="s">
        <v>475</v>
      </c>
      <c r="H784" s="27" t="s">
        <v>59</v>
      </c>
      <c r="I784" s="27" t="s">
        <v>143</v>
      </c>
      <c r="J784" s="27" t="s">
        <v>144</v>
      </c>
      <c r="K784" s="39" t="s">
        <v>593</v>
      </c>
      <c r="L784" s="41" t="s">
        <v>129</v>
      </c>
      <c r="M784" s="27"/>
      <c r="N784" s="27"/>
      <c r="O784" s="28" t="s">
        <v>2276</v>
      </c>
    </row>
    <row r="785" spans="1:15" ht="15" customHeight="1" x14ac:dyDescent="0.3">
      <c r="A785" s="31">
        <v>46023</v>
      </c>
      <c r="B785" s="27" t="s">
        <v>53</v>
      </c>
      <c r="C785" s="27" t="s">
        <v>629</v>
      </c>
      <c r="D785" s="27" t="s">
        <v>630</v>
      </c>
      <c r="E785" s="27" t="s">
        <v>59</v>
      </c>
      <c r="F785" s="27" t="s">
        <v>43</v>
      </c>
      <c r="G785" s="27" t="s">
        <v>475</v>
      </c>
      <c r="H785" s="27" t="s">
        <v>59</v>
      </c>
      <c r="I785" s="27" t="s">
        <v>116</v>
      </c>
      <c r="J785" s="27" t="s">
        <v>144</v>
      </c>
      <c r="K785" s="39" t="s">
        <v>631</v>
      </c>
      <c r="L785" s="41" t="s">
        <v>129</v>
      </c>
      <c r="M785" s="27"/>
      <c r="N785" s="27"/>
      <c r="O785" s="28" t="s">
        <v>2276</v>
      </c>
    </row>
    <row r="786" spans="1:15" ht="15" customHeight="1" x14ac:dyDescent="0.3">
      <c r="A786" s="31">
        <v>46023</v>
      </c>
      <c r="B786" s="27" t="s">
        <v>53</v>
      </c>
      <c r="C786" s="27" t="s">
        <v>632</v>
      </c>
      <c r="D786" s="27" t="s">
        <v>633</v>
      </c>
      <c r="E786" s="27" t="s">
        <v>59</v>
      </c>
      <c r="F786" s="27" t="s">
        <v>43</v>
      </c>
      <c r="G786" s="27" t="s">
        <v>475</v>
      </c>
      <c r="H786" s="27" t="s">
        <v>59</v>
      </c>
      <c r="I786" s="27" t="s">
        <v>116</v>
      </c>
      <c r="J786" s="27" t="s">
        <v>144</v>
      </c>
      <c r="K786" s="39" t="s">
        <v>631</v>
      </c>
      <c r="L786" s="41" t="s">
        <v>129</v>
      </c>
      <c r="M786" s="27"/>
      <c r="N786" s="27"/>
      <c r="O786" s="28" t="s">
        <v>2276</v>
      </c>
    </row>
    <row r="787" spans="1:15" ht="15" customHeight="1" x14ac:dyDescent="0.3">
      <c r="A787" s="31">
        <v>46023</v>
      </c>
      <c r="B787" s="27" t="s">
        <v>53</v>
      </c>
      <c r="C787" s="27" t="s">
        <v>634</v>
      </c>
      <c r="D787" s="27" t="s">
        <v>635</v>
      </c>
      <c r="E787" s="27" t="s">
        <v>59</v>
      </c>
      <c r="F787" s="27" t="s">
        <v>43</v>
      </c>
      <c r="G787" s="27" t="s">
        <v>475</v>
      </c>
      <c r="H787" s="27" t="s">
        <v>59</v>
      </c>
      <c r="I787" s="27" t="s">
        <v>116</v>
      </c>
      <c r="J787" s="27" t="s">
        <v>144</v>
      </c>
      <c r="K787" s="39" t="s">
        <v>631</v>
      </c>
      <c r="L787" s="41" t="s">
        <v>129</v>
      </c>
      <c r="M787" s="27"/>
      <c r="N787" s="27"/>
      <c r="O787" s="28" t="s">
        <v>2276</v>
      </c>
    </row>
    <row r="788" spans="1:15" ht="15" customHeight="1" x14ac:dyDescent="0.3">
      <c r="A788" s="31">
        <v>46023</v>
      </c>
      <c r="B788" s="27" t="s">
        <v>53</v>
      </c>
      <c r="C788" s="27" t="s">
        <v>636</v>
      </c>
      <c r="D788" s="27" t="s">
        <v>637</v>
      </c>
      <c r="E788" s="27" t="s">
        <v>59</v>
      </c>
      <c r="F788" s="27" t="s">
        <v>43</v>
      </c>
      <c r="G788" s="27" t="s">
        <v>475</v>
      </c>
      <c r="H788" s="27" t="s">
        <v>59</v>
      </c>
      <c r="I788" s="27" t="s">
        <v>143</v>
      </c>
      <c r="J788" s="27" t="s">
        <v>144</v>
      </c>
      <c r="K788" s="39" t="s">
        <v>631</v>
      </c>
      <c r="L788" s="41" t="s">
        <v>129</v>
      </c>
      <c r="M788" s="27"/>
      <c r="N788" s="27"/>
      <c r="O788" s="28" t="s">
        <v>2276</v>
      </c>
    </row>
    <row r="789" spans="1:15" ht="15" customHeight="1" x14ac:dyDescent="0.3">
      <c r="A789" s="31">
        <v>46023</v>
      </c>
      <c r="B789" s="27" t="s">
        <v>53</v>
      </c>
      <c r="C789" s="27" t="s">
        <v>638</v>
      </c>
      <c r="D789" s="27" t="s">
        <v>639</v>
      </c>
      <c r="E789" s="27" t="s">
        <v>59</v>
      </c>
      <c r="F789" s="27" t="s">
        <v>43</v>
      </c>
      <c r="G789" s="27" t="s">
        <v>475</v>
      </c>
      <c r="H789" s="27" t="s">
        <v>59</v>
      </c>
      <c r="I789" s="27" t="s">
        <v>143</v>
      </c>
      <c r="J789" s="27" t="s">
        <v>144</v>
      </c>
      <c r="K789" s="39" t="s">
        <v>631</v>
      </c>
      <c r="L789" s="41" t="s">
        <v>129</v>
      </c>
      <c r="M789" s="27"/>
      <c r="N789" s="27"/>
      <c r="O789" s="28" t="s">
        <v>2276</v>
      </c>
    </row>
    <row r="790" spans="1:15" ht="15" customHeight="1" x14ac:dyDescent="0.3">
      <c r="A790" s="31">
        <v>46023</v>
      </c>
      <c r="B790" s="27" t="s">
        <v>53</v>
      </c>
      <c r="C790" s="27" t="s">
        <v>640</v>
      </c>
      <c r="D790" s="27" t="s">
        <v>641</v>
      </c>
      <c r="E790" s="27" t="s">
        <v>59</v>
      </c>
      <c r="F790" s="27" t="s">
        <v>43</v>
      </c>
      <c r="G790" s="27" t="s">
        <v>475</v>
      </c>
      <c r="H790" s="27" t="s">
        <v>59</v>
      </c>
      <c r="I790" s="27" t="s">
        <v>143</v>
      </c>
      <c r="J790" s="27" t="s">
        <v>144</v>
      </c>
      <c r="K790" s="39" t="s">
        <v>631</v>
      </c>
      <c r="L790" s="41" t="s">
        <v>129</v>
      </c>
      <c r="M790" s="27"/>
      <c r="N790" s="27"/>
      <c r="O790" s="28" t="s">
        <v>2276</v>
      </c>
    </row>
    <row r="791" spans="1:15" ht="15" customHeight="1" x14ac:dyDescent="0.3">
      <c r="A791" s="31">
        <v>46023</v>
      </c>
      <c r="B791" s="27" t="s">
        <v>53</v>
      </c>
      <c r="C791" s="27" t="s">
        <v>642</v>
      </c>
      <c r="D791" s="27" t="s">
        <v>643</v>
      </c>
      <c r="E791" s="27" t="s">
        <v>59</v>
      </c>
      <c r="F791" s="27" t="s">
        <v>43</v>
      </c>
      <c r="G791" s="27" t="s">
        <v>475</v>
      </c>
      <c r="H791" s="27" t="s">
        <v>59</v>
      </c>
      <c r="I791" s="27" t="s">
        <v>143</v>
      </c>
      <c r="J791" s="27" t="s">
        <v>644</v>
      </c>
      <c r="K791" s="39" t="s">
        <v>645</v>
      </c>
      <c r="L791" s="41" t="s">
        <v>129</v>
      </c>
      <c r="M791" s="27"/>
      <c r="N791" s="27"/>
      <c r="O791" s="28" t="s">
        <v>2276</v>
      </c>
    </row>
    <row r="792" spans="1:15" ht="15" customHeight="1" x14ac:dyDescent="0.3">
      <c r="A792" s="31">
        <v>46023</v>
      </c>
      <c r="B792" s="27" t="s">
        <v>53</v>
      </c>
      <c r="C792" s="27" t="s">
        <v>646</v>
      </c>
      <c r="D792" s="27" t="s">
        <v>647</v>
      </c>
      <c r="E792" s="27" t="s">
        <v>59</v>
      </c>
      <c r="F792" s="27" t="s">
        <v>43</v>
      </c>
      <c r="G792" s="27" t="s">
        <v>475</v>
      </c>
      <c r="H792" s="27" t="s">
        <v>59</v>
      </c>
      <c r="I792" s="27" t="s">
        <v>143</v>
      </c>
      <c r="J792" s="27" t="s">
        <v>144</v>
      </c>
      <c r="K792" s="39" t="s">
        <v>645</v>
      </c>
      <c r="L792" s="41" t="s">
        <v>129</v>
      </c>
      <c r="M792" s="27"/>
      <c r="N792" s="27"/>
      <c r="O792" s="28" t="s">
        <v>2276</v>
      </c>
    </row>
    <row r="793" spans="1:15" ht="15" customHeight="1" x14ac:dyDescent="0.3">
      <c r="A793" s="31">
        <v>46023</v>
      </c>
      <c r="B793" s="27" t="s">
        <v>53</v>
      </c>
      <c r="C793" s="27" t="s">
        <v>648</v>
      </c>
      <c r="D793" s="27" t="s">
        <v>649</v>
      </c>
      <c r="E793" s="27" t="s">
        <v>59</v>
      </c>
      <c r="F793" s="27" t="s">
        <v>43</v>
      </c>
      <c r="G793" s="27" t="s">
        <v>475</v>
      </c>
      <c r="H793" s="27" t="s">
        <v>59</v>
      </c>
      <c r="I793" s="27" t="s">
        <v>116</v>
      </c>
      <c r="J793" s="27" t="s">
        <v>650</v>
      </c>
      <c r="K793" s="39" t="s">
        <v>645</v>
      </c>
      <c r="L793" s="41" t="s">
        <v>129</v>
      </c>
      <c r="M793" s="27"/>
      <c r="N793" s="27"/>
      <c r="O793" s="28" t="s">
        <v>2276</v>
      </c>
    </row>
    <row r="794" spans="1:15" ht="15" customHeight="1" x14ac:dyDescent="0.3">
      <c r="A794" s="31">
        <v>46023</v>
      </c>
      <c r="B794" s="27" t="s">
        <v>53</v>
      </c>
      <c r="C794" s="27" t="s">
        <v>651</v>
      </c>
      <c r="D794" s="27" t="s">
        <v>652</v>
      </c>
      <c r="E794" s="27" t="s">
        <v>59</v>
      </c>
      <c r="F794" s="27" t="s">
        <v>43</v>
      </c>
      <c r="G794" s="27" t="s">
        <v>475</v>
      </c>
      <c r="H794" s="27" t="s">
        <v>59</v>
      </c>
      <c r="I794" s="27" t="s">
        <v>143</v>
      </c>
      <c r="J794" s="27" t="s">
        <v>144</v>
      </c>
      <c r="K794" s="39" t="s">
        <v>645</v>
      </c>
      <c r="L794" s="41" t="s">
        <v>129</v>
      </c>
      <c r="M794" s="27"/>
      <c r="N794" s="27"/>
      <c r="O794" s="28" t="s">
        <v>2276</v>
      </c>
    </row>
    <row r="795" spans="1:15" ht="15" customHeight="1" x14ac:dyDescent="0.3">
      <c r="A795" s="31">
        <v>46023</v>
      </c>
      <c r="B795" s="27" t="s">
        <v>53</v>
      </c>
      <c r="C795" s="27" t="s">
        <v>653</v>
      </c>
      <c r="D795" s="27" t="s">
        <v>654</v>
      </c>
      <c r="E795" s="27" t="s">
        <v>59</v>
      </c>
      <c r="F795" s="27" t="s">
        <v>43</v>
      </c>
      <c r="G795" s="27" t="s">
        <v>475</v>
      </c>
      <c r="H795" s="27" t="s">
        <v>59</v>
      </c>
      <c r="I795" s="27" t="s">
        <v>143</v>
      </c>
      <c r="J795" s="27" t="s">
        <v>144</v>
      </c>
      <c r="K795" s="39" t="s">
        <v>645</v>
      </c>
      <c r="L795" s="41" t="s">
        <v>129</v>
      </c>
      <c r="M795" s="27"/>
      <c r="N795" s="27"/>
      <c r="O795" s="28" t="s">
        <v>2276</v>
      </c>
    </row>
    <row r="796" spans="1:15" ht="15" customHeight="1" x14ac:dyDescent="0.3">
      <c r="A796" s="31">
        <v>46023</v>
      </c>
      <c r="B796" s="27" t="s">
        <v>53</v>
      </c>
      <c r="C796" s="27" t="s">
        <v>655</v>
      </c>
      <c r="D796" s="27" t="s">
        <v>656</v>
      </c>
      <c r="E796" s="27" t="s">
        <v>59</v>
      </c>
      <c r="F796" s="27" t="s">
        <v>43</v>
      </c>
      <c r="G796" s="27" t="s">
        <v>475</v>
      </c>
      <c r="H796" s="27" t="s">
        <v>59</v>
      </c>
      <c r="I796" s="27" t="s">
        <v>143</v>
      </c>
      <c r="J796" s="27" t="s">
        <v>644</v>
      </c>
      <c r="K796" s="39" t="s">
        <v>645</v>
      </c>
      <c r="L796" s="41" t="s">
        <v>129</v>
      </c>
      <c r="M796" s="27"/>
      <c r="N796" s="27"/>
      <c r="O796" s="28" t="s">
        <v>2276</v>
      </c>
    </row>
    <row r="797" spans="1:15" ht="15" customHeight="1" x14ac:dyDescent="0.3">
      <c r="A797" s="31">
        <v>46023</v>
      </c>
      <c r="B797" s="27" t="s">
        <v>53</v>
      </c>
      <c r="C797" s="27" t="s">
        <v>657</v>
      </c>
      <c r="D797" s="27" t="s">
        <v>658</v>
      </c>
      <c r="E797" s="27" t="s">
        <v>59</v>
      </c>
      <c r="F797" s="27" t="s">
        <v>43</v>
      </c>
      <c r="G797" s="27" t="s">
        <v>475</v>
      </c>
      <c r="H797" s="27" t="s">
        <v>59</v>
      </c>
      <c r="I797" s="27" t="s">
        <v>143</v>
      </c>
      <c r="J797" s="27" t="s">
        <v>61</v>
      </c>
      <c r="K797" s="39" t="s">
        <v>645</v>
      </c>
      <c r="L797" s="41" t="s">
        <v>129</v>
      </c>
      <c r="M797" s="27"/>
      <c r="N797" s="27"/>
      <c r="O797" s="28" t="s">
        <v>2276</v>
      </c>
    </row>
    <row r="798" spans="1:15" ht="15" customHeight="1" x14ac:dyDescent="0.3">
      <c r="A798" s="31">
        <v>46023</v>
      </c>
      <c r="B798" s="27" t="s">
        <v>53</v>
      </c>
      <c r="C798" s="27" t="s">
        <v>659</v>
      </c>
      <c r="D798" s="27" t="s">
        <v>660</v>
      </c>
      <c r="E798" s="27" t="s">
        <v>59</v>
      </c>
      <c r="F798" s="27" t="s">
        <v>43</v>
      </c>
      <c r="G798" s="27" t="s">
        <v>475</v>
      </c>
      <c r="H798" s="27" t="s">
        <v>59</v>
      </c>
      <c r="I798" s="27" t="s">
        <v>116</v>
      </c>
      <c r="J798" s="27" t="s">
        <v>61</v>
      </c>
      <c r="K798" s="39" t="s">
        <v>661</v>
      </c>
      <c r="L798" s="41" t="s">
        <v>129</v>
      </c>
      <c r="M798" s="27"/>
      <c r="N798" s="27"/>
      <c r="O798" s="28" t="s">
        <v>2276</v>
      </c>
    </row>
    <row r="799" spans="1:15" ht="15" customHeight="1" x14ac:dyDescent="0.3">
      <c r="A799" s="31">
        <v>46023</v>
      </c>
      <c r="B799" s="27" t="s">
        <v>53</v>
      </c>
      <c r="C799" s="27" t="s">
        <v>662</v>
      </c>
      <c r="D799" s="27" t="s">
        <v>663</v>
      </c>
      <c r="E799" s="27" t="s">
        <v>59</v>
      </c>
      <c r="F799" s="27" t="s">
        <v>43</v>
      </c>
      <c r="G799" s="27" t="s">
        <v>475</v>
      </c>
      <c r="H799" s="27" t="s">
        <v>59</v>
      </c>
      <c r="I799" s="27" t="s">
        <v>116</v>
      </c>
      <c r="J799" s="27" t="s">
        <v>61</v>
      </c>
      <c r="K799" s="39" t="s">
        <v>664</v>
      </c>
      <c r="L799" s="41" t="s">
        <v>129</v>
      </c>
      <c r="M799" s="27"/>
      <c r="N799" s="27"/>
      <c r="O799" s="28" t="s">
        <v>2276</v>
      </c>
    </row>
    <row r="800" spans="1:15" ht="15" customHeight="1" x14ac:dyDescent="0.3">
      <c r="A800" s="31">
        <v>46023</v>
      </c>
      <c r="B800" s="27" t="s">
        <v>53</v>
      </c>
      <c r="C800" s="27" t="s">
        <v>665</v>
      </c>
      <c r="D800" s="27" t="s">
        <v>666</v>
      </c>
      <c r="E800" s="27" t="s">
        <v>59</v>
      </c>
      <c r="F800" s="27" t="s">
        <v>43</v>
      </c>
      <c r="G800" s="27" t="s">
        <v>475</v>
      </c>
      <c r="H800" s="27" t="s">
        <v>59</v>
      </c>
      <c r="I800" s="27" t="s">
        <v>116</v>
      </c>
      <c r="J800" s="27" t="s">
        <v>61</v>
      </c>
      <c r="K800" s="39" t="s">
        <v>664</v>
      </c>
      <c r="L800" s="41" t="s">
        <v>129</v>
      </c>
      <c r="M800" s="27"/>
      <c r="N800" s="27"/>
      <c r="O800" s="28" t="s">
        <v>2276</v>
      </c>
    </row>
    <row r="801" spans="1:15" ht="15" customHeight="1" x14ac:dyDescent="0.3">
      <c r="A801" s="31">
        <v>46023</v>
      </c>
      <c r="B801" s="27" t="s">
        <v>53</v>
      </c>
      <c r="C801" s="27" t="s">
        <v>667</v>
      </c>
      <c r="D801" s="27" t="s">
        <v>668</v>
      </c>
      <c r="E801" s="27" t="s">
        <v>59</v>
      </c>
      <c r="F801" s="27" t="s">
        <v>43</v>
      </c>
      <c r="G801" s="27" t="s">
        <v>475</v>
      </c>
      <c r="H801" s="27" t="s">
        <v>59</v>
      </c>
      <c r="I801" s="27" t="s">
        <v>116</v>
      </c>
      <c r="J801" s="27" t="s">
        <v>61</v>
      </c>
      <c r="K801" s="39" t="s">
        <v>664</v>
      </c>
      <c r="L801" s="41" t="s">
        <v>129</v>
      </c>
      <c r="M801" s="27"/>
      <c r="N801" s="27"/>
      <c r="O801" s="28" t="s">
        <v>2276</v>
      </c>
    </row>
    <row r="802" spans="1:15" ht="15" customHeight="1" x14ac:dyDescent="0.3">
      <c r="A802" s="31">
        <v>46023</v>
      </c>
      <c r="B802" s="27" t="s">
        <v>53</v>
      </c>
      <c r="C802" s="27" t="s">
        <v>669</v>
      </c>
      <c r="D802" s="27" t="s">
        <v>670</v>
      </c>
      <c r="E802" s="27" t="s">
        <v>59</v>
      </c>
      <c r="F802" s="27" t="s">
        <v>43</v>
      </c>
      <c r="G802" s="27" t="s">
        <v>475</v>
      </c>
      <c r="H802" s="27" t="s">
        <v>59</v>
      </c>
      <c r="I802" s="27" t="s">
        <v>116</v>
      </c>
      <c r="J802" s="27" t="s">
        <v>61</v>
      </c>
      <c r="K802" s="39" t="s">
        <v>664</v>
      </c>
      <c r="L802" s="41" t="s">
        <v>129</v>
      </c>
      <c r="M802" s="27"/>
      <c r="N802" s="27"/>
      <c r="O802" s="28" t="s">
        <v>2276</v>
      </c>
    </row>
    <row r="803" spans="1:15" ht="15" customHeight="1" x14ac:dyDescent="0.3">
      <c r="A803" s="31">
        <v>46023</v>
      </c>
      <c r="B803" s="27" t="s">
        <v>53</v>
      </c>
      <c r="C803" s="27" t="s">
        <v>671</v>
      </c>
      <c r="D803" s="27" t="s">
        <v>672</v>
      </c>
      <c r="E803" s="27" t="s">
        <v>59</v>
      </c>
      <c r="F803" s="27" t="s">
        <v>43</v>
      </c>
      <c r="G803" s="27" t="s">
        <v>475</v>
      </c>
      <c r="H803" s="27" t="s">
        <v>59</v>
      </c>
      <c r="I803" s="27" t="s">
        <v>116</v>
      </c>
      <c r="J803" s="27" t="s">
        <v>61</v>
      </c>
      <c r="K803" s="39" t="s">
        <v>664</v>
      </c>
      <c r="L803" s="41" t="s">
        <v>129</v>
      </c>
      <c r="M803" s="27"/>
      <c r="N803" s="27"/>
      <c r="O803" s="28" t="s">
        <v>2276</v>
      </c>
    </row>
    <row r="804" spans="1:15" ht="15" customHeight="1" x14ac:dyDescent="0.3">
      <c r="A804" s="31">
        <v>46023</v>
      </c>
      <c r="B804" s="27" t="s">
        <v>53</v>
      </c>
      <c r="C804" s="27" t="s">
        <v>673</v>
      </c>
      <c r="D804" s="27" t="s">
        <v>674</v>
      </c>
      <c r="E804" s="27" t="s">
        <v>59</v>
      </c>
      <c r="F804" s="27" t="s">
        <v>43</v>
      </c>
      <c r="G804" s="27" t="s">
        <v>475</v>
      </c>
      <c r="H804" s="27" t="s">
        <v>59</v>
      </c>
      <c r="I804" s="27" t="s">
        <v>116</v>
      </c>
      <c r="J804" s="27" t="s">
        <v>61</v>
      </c>
      <c r="K804" s="39" t="s">
        <v>664</v>
      </c>
      <c r="L804" s="41" t="s">
        <v>129</v>
      </c>
      <c r="M804" s="27"/>
      <c r="N804" s="27"/>
      <c r="O804" s="28" t="s">
        <v>2276</v>
      </c>
    </row>
    <row r="805" spans="1:15" ht="15" customHeight="1" x14ac:dyDescent="0.3">
      <c r="A805" s="31">
        <v>46023</v>
      </c>
      <c r="B805" s="27" t="s">
        <v>53</v>
      </c>
      <c r="C805" s="27" t="s">
        <v>675</v>
      </c>
      <c r="D805" s="27" t="s">
        <v>676</v>
      </c>
      <c r="E805" s="27" t="s">
        <v>59</v>
      </c>
      <c r="F805" s="27" t="s">
        <v>43</v>
      </c>
      <c r="G805" s="27" t="s">
        <v>475</v>
      </c>
      <c r="H805" s="27" t="s">
        <v>59</v>
      </c>
      <c r="I805" s="27" t="s">
        <v>116</v>
      </c>
      <c r="J805" s="27" t="s">
        <v>61</v>
      </c>
      <c r="K805" s="39" t="s">
        <v>664</v>
      </c>
      <c r="L805" s="41" t="s">
        <v>129</v>
      </c>
      <c r="M805" s="27"/>
      <c r="N805" s="27"/>
      <c r="O805" s="28" t="s">
        <v>2276</v>
      </c>
    </row>
    <row r="806" spans="1:15" ht="15" customHeight="1" x14ac:dyDescent="0.3">
      <c r="A806" s="31">
        <v>46023</v>
      </c>
      <c r="B806" s="27" t="s">
        <v>53</v>
      </c>
      <c r="C806" s="27" t="s">
        <v>677</v>
      </c>
      <c r="D806" s="27" t="s">
        <v>678</v>
      </c>
      <c r="E806" s="27" t="s">
        <v>59</v>
      </c>
      <c r="F806" s="27" t="s">
        <v>43</v>
      </c>
      <c r="G806" s="27" t="s">
        <v>475</v>
      </c>
      <c r="H806" s="27" t="s">
        <v>59</v>
      </c>
      <c r="I806" s="27" t="s">
        <v>116</v>
      </c>
      <c r="J806" s="27" t="s">
        <v>61</v>
      </c>
      <c r="K806" s="39" t="s">
        <v>664</v>
      </c>
      <c r="L806" s="41" t="s">
        <v>129</v>
      </c>
      <c r="M806" s="27"/>
      <c r="N806" s="27"/>
      <c r="O806" s="28" t="s">
        <v>2276</v>
      </c>
    </row>
    <row r="807" spans="1:15" ht="15" customHeight="1" x14ac:dyDescent="0.3">
      <c r="A807" s="31">
        <v>46023</v>
      </c>
      <c r="B807" s="27" t="s">
        <v>53</v>
      </c>
      <c r="C807" s="27" t="s">
        <v>679</v>
      </c>
      <c r="D807" s="27" t="s">
        <v>680</v>
      </c>
      <c r="E807" s="27" t="s">
        <v>59</v>
      </c>
      <c r="F807" s="27" t="s">
        <v>43</v>
      </c>
      <c r="G807" s="27" t="s">
        <v>475</v>
      </c>
      <c r="H807" s="27" t="s">
        <v>59</v>
      </c>
      <c r="I807" s="27" t="s">
        <v>116</v>
      </c>
      <c r="J807" s="27" t="s">
        <v>61</v>
      </c>
      <c r="K807" s="39" t="s">
        <v>664</v>
      </c>
      <c r="L807" s="41" t="s">
        <v>129</v>
      </c>
      <c r="M807" s="27"/>
      <c r="N807" s="27"/>
      <c r="O807" s="28" t="s">
        <v>2276</v>
      </c>
    </row>
    <row r="808" spans="1:15" ht="15" customHeight="1" x14ac:dyDescent="0.3">
      <c r="A808" s="31">
        <v>46023</v>
      </c>
      <c r="B808" s="27" t="s">
        <v>53</v>
      </c>
      <c r="C808" s="27" t="s">
        <v>681</v>
      </c>
      <c r="D808" s="27" t="s">
        <v>682</v>
      </c>
      <c r="E808" s="27" t="s">
        <v>59</v>
      </c>
      <c r="F808" s="27" t="s">
        <v>43</v>
      </c>
      <c r="G808" s="27" t="s">
        <v>475</v>
      </c>
      <c r="H808" s="27" t="s">
        <v>59</v>
      </c>
      <c r="I808" s="27" t="s">
        <v>116</v>
      </c>
      <c r="J808" s="27" t="s">
        <v>61</v>
      </c>
      <c r="K808" s="39" t="s">
        <v>664</v>
      </c>
      <c r="L808" s="41" t="s">
        <v>129</v>
      </c>
      <c r="M808" s="27"/>
      <c r="N808" s="27"/>
      <c r="O808" s="28" t="s">
        <v>2276</v>
      </c>
    </row>
    <row r="809" spans="1:15" ht="15" customHeight="1" x14ac:dyDescent="0.3">
      <c r="A809" s="31">
        <v>46023</v>
      </c>
      <c r="B809" s="27" t="s">
        <v>53</v>
      </c>
      <c r="C809" s="27" t="s">
        <v>683</v>
      </c>
      <c r="D809" s="27" t="s">
        <v>684</v>
      </c>
      <c r="E809" s="27" t="s">
        <v>59</v>
      </c>
      <c r="F809" s="27" t="s">
        <v>43</v>
      </c>
      <c r="G809" s="27" t="s">
        <v>475</v>
      </c>
      <c r="H809" s="27" t="s">
        <v>59</v>
      </c>
      <c r="I809" s="27" t="s">
        <v>116</v>
      </c>
      <c r="J809" s="27" t="s">
        <v>61</v>
      </c>
      <c r="K809" s="39" t="s">
        <v>664</v>
      </c>
      <c r="L809" s="41" t="s">
        <v>129</v>
      </c>
      <c r="M809" s="27"/>
      <c r="N809" s="27"/>
      <c r="O809" s="28" t="s">
        <v>2276</v>
      </c>
    </row>
    <row r="810" spans="1:15" ht="15" customHeight="1" x14ac:dyDescent="0.3">
      <c r="A810" s="31">
        <v>46023</v>
      </c>
      <c r="B810" s="27" t="s">
        <v>53</v>
      </c>
      <c r="C810" s="27" t="s">
        <v>685</v>
      </c>
      <c r="D810" s="27" t="s">
        <v>686</v>
      </c>
      <c r="E810" s="27" t="s">
        <v>59</v>
      </c>
      <c r="F810" s="27" t="s">
        <v>43</v>
      </c>
      <c r="G810" s="27" t="s">
        <v>687</v>
      </c>
      <c r="H810" s="27" t="s">
        <v>59</v>
      </c>
      <c r="I810" s="27" t="s">
        <v>116</v>
      </c>
      <c r="J810" s="27" t="s">
        <v>61</v>
      </c>
      <c r="K810" s="39" t="s">
        <v>664</v>
      </c>
      <c r="L810" s="41" t="s">
        <v>129</v>
      </c>
      <c r="M810" s="27"/>
      <c r="N810" s="27"/>
      <c r="O810" s="28" t="s">
        <v>2276</v>
      </c>
    </row>
    <row r="811" spans="1:15" ht="15" customHeight="1" x14ac:dyDescent="0.3">
      <c r="A811" s="31">
        <v>46023</v>
      </c>
      <c r="B811" s="27" t="s">
        <v>53</v>
      </c>
      <c r="C811" s="27" t="s">
        <v>688</v>
      </c>
      <c r="D811" s="27" t="s">
        <v>689</v>
      </c>
      <c r="E811" s="27" t="s">
        <v>59</v>
      </c>
      <c r="F811" s="27" t="s">
        <v>43</v>
      </c>
      <c r="G811" s="27" t="s">
        <v>475</v>
      </c>
      <c r="H811" s="27" t="s">
        <v>59</v>
      </c>
      <c r="I811" s="27" t="s">
        <v>116</v>
      </c>
      <c r="J811" s="27" t="s">
        <v>61</v>
      </c>
      <c r="K811" s="39" t="s">
        <v>661</v>
      </c>
      <c r="L811" s="41" t="s">
        <v>129</v>
      </c>
      <c r="M811" s="27"/>
      <c r="N811" s="27"/>
      <c r="O811" s="28" t="s">
        <v>2276</v>
      </c>
    </row>
    <row r="812" spans="1:15" ht="15" customHeight="1" x14ac:dyDescent="0.3">
      <c r="A812" s="31">
        <v>46023</v>
      </c>
      <c r="B812" s="27" t="s">
        <v>53</v>
      </c>
      <c r="C812" s="27" t="s">
        <v>690</v>
      </c>
      <c r="D812" s="27" t="s">
        <v>691</v>
      </c>
      <c r="E812" s="27" t="s">
        <v>59</v>
      </c>
      <c r="F812" s="27" t="s">
        <v>43</v>
      </c>
      <c r="G812" s="27" t="s">
        <v>475</v>
      </c>
      <c r="H812" s="27" t="s">
        <v>59</v>
      </c>
      <c r="I812" s="27" t="s">
        <v>116</v>
      </c>
      <c r="J812" s="27" t="s">
        <v>61</v>
      </c>
      <c r="K812" s="39" t="s">
        <v>661</v>
      </c>
      <c r="L812" s="41" t="s">
        <v>129</v>
      </c>
      <c r="M812" s="27"/>
      <c r="N812" s="27"/>
      <c r="O812" s="28" t="s">
        <v>2276</v>
      </c>
    </row>
    <row r="813" spans="1:15" ht="15" customHeight="1" x14ac:dyDescent="0.3">
      <c r="A813" s="31">
        <v>46023</v>
      </c>
      <c r="B813" s="27" t="s">
        <v>53</v>
      </c>
      <c r="C813" s="27" t="s">
        <v>692</v>
      </c>
      <c r="D813" s="27" t="s">
        <v>693</v>
      </c>
      <c r="E813" s="27" t="s">
        <v>59</v>
      </c>
      <c r="F813" s="27" t="s">
        <v>43</v>
      </c>
      <c r="G813" s="27" t="s">
        <v>475</v>
      </c>
      <c r="H813" s="27" t="s">
        <v>59</v>
      </c>
      <c r="I813" s="27" t="s">
        <v>116</v>
      </c>
      <c r="J813" s="27" t="s">
        <v>61</v>
      </c>
      <c r="K813" s="39" t="s">
        <v>661</v>
      </c>
      <c r="L813" s="41" t="s">
        <v>129</v>
      </c>
      <c r="M813" s="27"/>
      <c r="N813" s="27"/>
      <c r="O813" s="28" t="s">
        <v>2276</v>
      </c>
    </row>
    <row r="814" spans="1:15" ht="15" customHeight="1" x14ac:dyDescent="0.3">
      <c r="A814" s="31">
        <v>46023</v>
      </c>
      <c r="B814" s="27" t="s">
        <v>53</v>
      </c>
      <c r="C814" s="27" t="s">
        <v>694</v>
      </c>
      <c r="D814" s="27" t="s">
        <v>695</v>
      </c>
      <c r="E814" s="27" t="s">
        <v>59</v>
      </c>
      <c r="F814" s="27" t="s">
        <v>43</v>
      </c>
      <c r="G814" s="27" t="s">
        <v>475</v>
      </c>
      <c r="H814" s="27" t="s">
        <v>59</v>
      </c>
      <c r="I814" s="27" t="s">
        <v>143</v>
      </c>
      <c r="J814" s="27" t="s">
        <v>61</v>
      </c>
      <c r="K814" s="39" t="s">
        <v>661</v>
      </c>
      <c r="L814" s="41" t="s">
        <v>129</v>
      </c>
      <c r="M814" s="27"/>
      <c r="N814" s="27"/>
      <c r="O814" s="28" t="s">
        <v>2276</v>
      </c>
    </row>
    <row r="815" spans="1:15" ht="15" customHeight="1" x14ac:dyDescent="0.3">
      <c r="A815" s="31">
        <v>46023</v>
      </c>
      <c r="B815" s="27" t="s">
        <v>53</v>
      </c>
      <c r="C815" s="27" t="s">
        <v>696</v>
      </c>
      <c r="D815" s="27" t="s">
        <v>697</v>
      </c>
      <c r="E815" s="27" t="s">
        <v>59</v>
      </c>
      <c r="F815" s="27" t="s">
        <v>43</v>
      </c>
      <c r="G815" s="27" t="s">
        <v>475</v>
      </c>
      <c r="H815" s="27" t="s">
        <v>59</v>
      </c>
      <c r="I815" s="27" t="s">
        <v>143</v>
      </c>
      <c r="J815" s="27" t="s">
        <v>61</v>
      </c>
      <c r="K815" s="39" t="s">
        <v>661</v>
      </c>
      <c r="L815" s="41" t="s">
        <v>129</v>
      </c>
      <c r="M815" s="27"/>
      <c r="N815" s="27"/>
      <c r="O815" s="28" t="s">
        <v>2276</v>
      </c>
    </row>
    <row r="816" spans="1:15" ht="15" customHeight="1" x14ac:dyDescent="0.3">
      <c r="A816" s="31">
        <v>46023</v>
      </c>
      <c r="B816" s="27" t="s">
        <v>53</v>
      </c>
      <c r="C816" s="27" t="s">
        <v>698</v>
      </c>
      <c r="D816" s="27" t="s">
        <v>699</v>
      </c>
      <c r="E816" s="27" t="s">
        <v>59</v>
      </c>
      <c r="F816" s="27" t="s">
        <v>43</v>
      </c>
      <c r="G816" s="27" t="s">
        <v>475</v>
      </c>
      <c r="H816" s="27" t="s">
        <v>59</v>
      </c>
      <c r="I816" s="27" t="s">
        <v>143</v>
      </c>
      <c r="J816" s="27" t="s">
        <v>61</v>
      </c>
      <c r="K816" s="39" t="s">
        <v>661</v>
      </c>
      <c r="L816" s="41" t="s">
        <v>129</v>
      </c>
      <c r="M816" s="27"/>
      <c r="N816" s="27"/>
      <c r="O816" s="28" t="s">
        <v>2276</v>
      </c>
    </row>
    <row r="817" spans="1:15" ht="15" customHeight="1" x14ac:dyDescent="0.3">
      <c r="A817" s="31">
        <v>46023</v>
      </c>
      <c r="B817" s="27" t="s">
        <v>53</v>
      </c>
      <c r="C817" s="27" t="s">
        <v>700</v>
      </c>
      <c r="D817" s="27" t="s">
        <v>701</v>
      </c>
      <c r="E817" s="27" t="s">
        <v>59</v>
      </c>
      <c r="F817" s="27" t="s">
        <v>43</v>
      </c>
      <c r="G817" s="27" t="s">
        <v>475</v>
      </c>
      <c r="H817" s="27" t="s">
        <v>59</v>
      </c>
      <c r="I817" s="27" t="s">
        <v>116</v>
      </c>
      <c r="J817" s="27" t="s">
        <v>61</v>
      </c>
      <c r="K817" s="39" t="s">
        <v>664</v>
      </c>
      <c r="L817" s="41" t="s">
        <v>129</v>
      </c>
      <c r="M817" s="27"/>
      <c r="N817" s="27"/>
      <c r="O817" s="28" t="s">
        <v>2276</v>
      </c>
    </row>
    <row r="818" spans="1:15" ht="15" customHeight="1" x14ac:dyDescent="0.3">
      <c r="A818" s="31">
        <v>46023</v>
      </c>
      <c r="B818" s="27" t="s">
        <v>53</v>
      </c>
      <c r="C818" s="27" t="s">
        <v>702</v>
      </c>
      <c r="D818" s="27" t="s">
        <v>703</v>
      </c>
      <c r="E818" s="27" t="s">
        <v>59</v>
      </c>
      <c r="F818" s="27" t="s">
        <v>43</v>
      </c>
      <c r="G818" s="27" t="s">
        <v>587</v>
      </c>
      <c r="H818" s="27" t="s">
        <v>59</v>
      </c>
      <c r="I818" s="27" t="s">
        <v>143</v>
      </c>
      <c r="J818" s="27" t="s">
        <v>228</v>
      </c>
      <c r="K818" s="39" t="s">
        <v>704</v>
      </c>
      <c r="L818" s="41" t="s">
        <v>129</v>
      </c>
      <c r="M818" s="27"/>
      <c r="N818" s="27"/>
      <c r="O818" s="28" t="s">
        <v>2276</v>
      </c>
    </row>
    <row r="819" spans="1:15" ht="15" customHeight="1" x14ac:dyDescent="0.3">
      <c r="A819" s="31">
        <v>46023</v>
      </c>
      <c r="B819" s="27" t="s">
        <v>53</v>
      </c>
      <c r="C819" s="27" t="s">
        <v>705</v>
      </c>
      <c r="D819" s="27" t="s">
        <v>706</v>
      </c>
      <c r="E819" s="27" t="s">
        <v>59</v>
      </c>
      <c r="F819" s="27" t="s">
        <v>43</v>
      </c>
      <c r="G819" s="27" t="s">
        <v>475</v>
      </c>
      <c r="H819" s="27" t="s">
        <v>59</v>
      </c>
      <c r="I819" s="27" t="s">
        <v>143</v>
      </c>
      <c r="J819" s="27" t="s">
        <v>61</v>
      </c>
      <c r="K819" s="39" t="s">
        <v>661</v>
      </c>
      <c r="L819" s="41" t="s">
        <v>129</v>
      </c>
      <c r="M819" s="27"/>
      <c r="N819" s="27"/>
      <c r="O819" s="28" t="s">
        <v>2276</v>
      </c>
    </row>
    <row r="820" spans="1:15" ht="15" customHeight="1" x14ac:dyDescent="0.3">
      <c r="A820" s="31">
        <v>46023</v>
      </c>
      <c r="B820" s="27" t="s">
        <v>53</v>
      </c>
      <c r="C820" s="27" t="s">
        <v>707</v>
      </c>
      <c r="D820" s="27" t="s">
        <v>708</v>
      </c>
      <c r="E820" s="27" t="s">
        <v>59</v>
      </c>
      <c r="F820" s="27" t="s">
        <v>43</v>
      </c>
      <c r="G820" s="27" t="s">
        <v>475</v>
      </c>
      <c r="H820" s="27" t="s">
        <v>59</v>
      </c>
      <c r="I820" s="27" t="s">
        <v>143</v>
      </c>
      <c r="J820" s="27" t="s">
        <v>144</v>
      </c>
      <c r="K820" s="39" t="s">
        <v>709</v>
      </c>
      <c r="L820" s="41" t="s">
        <v>309</v>
      </c>
      <c r="M820" s="27"/>
      <c r="N820" s="27"/>
      <c r="O820" s="28" t="s">
        <v>2276</v>
      </c>
    </row>
    <row r="821" spans="1:15" ht="15" customHeight="1" x14ac:dyDescent="0.3">
      <c r="A821" s="31">
        <v>46023</v>
      </c>
      <c r="B821" s="27" t="s">
        <v>53</v>
      </c>
      <c r="C821" s="27" t="s">
        <v>710</v>
      </c>
      <c r="D821" s="27" t="s">
        <v>711</v>
      </c>
      <c r="E821" s="27" t="s">
        <v>59</v>
      </c>
      <c r="F821" s="27" t="s">
        <v>43</v>
      </c>
      <c r="G821" s="27" t="s">
        <v>475</v>
      </c>
      <c r="H821" s="27" t="s">
        <v>59</v>
      </c>
      <c r="I821" s="27" t="s">
        <v>143</v>
      </c>
      <c r="J821" s="27" t="s">
        <v>144</v>
      </c>
      <c r="K821" s="39" t="s">
        <v>709</v>
      </c>
      <c r="L821" s="41" t="s">
        <v>309</v>
      </c>
      <c r="M821" s="27"/>
      <c r="N821" s="27"/>
      <c r="O821" s="28" t="s">
        <v>2276</v>
      </c>
    </row>
    <row r="822" spans="1:15" ht="15" customHeight="1" x14ac:dyDescent="0.3">
      <c r="A822" s="31">
        <v>46023</v>
      </c>
      <c r="B822" s="27" t="s">
        <v>53</v>
      </c>
      <c r="C822" s="27" t="s">
        <v>712</v>
      </c>
      <c r="D822" s="27" t="s">
        <v>713</v>
      </c>
      <c r="E822" s="27" t="s">
        <v>59</v>
      </c>
      <c r="F822" s="27" t="s">
        <v>43</v>
      </c>
      <c r="G822" s="27" t="s">
        <v>475</v>
      </c>
      <c r="H822" s="27" t="s">
        <v>59</v>
      </c>
      <c r="I822" s="27" t="s">
        <v>143</v>
      </c>
      <c r="J822" s="27" t="s">
        <v>144</v>
      </c>
      <c r="K822" s="39" t="s">
        <v>709</v>
      </c>
      <c r="L822" s="41" t="s">
        <v>309</v>
      </c>
      <c r="M822" s="27"/>
      <c r="N822" s="27"/>
      <c r="O822" s="28" t="s">
        <v>2276</v>
      </c>
    </row>
    <row r="823" spans="1:15" ht="15" customHeight="1" x14ac:dyDescent="0.3">
      <c r="A823" s="31">
        <v>46023</v>
      </c>
      <c r="B823" s="27" t="s">
        <v>53</v>
      </c>
      <c r="C823" s="27" t="s">
        <v>714</v>
      </c>
      <c r="D823" s="27" t="s">
        <v>715</v>
      </c>
      <c r="E823" s="27" t="s">
        <v>59</v>
      </c>
      <c r="F823" s="27" t="s">
        <v>43</v>
      </c>
      <c r="G823" s="27" t="s">
        <v>475</v>
      </c>
      <c r="H823" s="27" t="s">
        <v>59</v>
      </c>
      <c r="I823" s="27" t="s">
        <v>143</v>
      </c>
      <c r="J823" s="27" t="s">
        <v>144</v>
      </c>
      <c r="K823" s="39" t="s">
        <v>709</v>
      </c>
      <c r="L823" s="41" t="s">
        <v>309</v>
      </c>
      <c r="M823" s="27"/>
      <c r="N823" s="27"/>
      <c r="O823" s="28" t="s">
        <v>2276</v>
      </c>
    </row>
    <row r="824" spans="1:15" ht="15" customHeight="1" x14ac:dyDescent="0.3">
      <c r="A824" s="31">
        <v>46023</v>
      </c>
      <c r="B824" s="27" t="s">
        <v>53</v>
      </c>
      <c r="C824" s="27" t="s">
        <v>716</v>
      </c>
      <c r="D824" s="27" t="s">
        <v>717</v>
      </c>
      <c r="E824" s="27" t="s">
        <v>59</v>
      </c>
      <c r="F824" s="27" t="s">
        <v>43</v>
      </c>
      <c r="G824" s="27" t="s">
        <v>475</v>
      </c>
      <c r="H824" s="27" t="s">
        <v>59</v>
      </c>
      <c r="I824" s="27" t="s">
        <v>143</v>
      </c>
      <c r="J824" s="27" t="s">
        <v>144</v>
      </c>
      <c r="K824" s="39" t="s">
        <v>709</v>
      </c>
      <c r="L824" s="41" t="s">
        <v>309</v>
      </c>
      <c r="M824" s="27"/>
      <c r="N824" s="27"/>
      <c r="O824" s="28" t="s">
        <v>2276</v>
      </c>
    </row>
    <row r="825" spans="1:15" ht="15" customHeight="1" x14ac:dyDescent="0.3">
      <c r="A825" s="31">
        <v>46023</v>
      </c>
      <c r="B825" s="27" t="s">
        <v>53</v>
      </c>
      <c r="C825" s="27" t="s">
        <v>718</v>
      </c>
      <c r="D825" s="27" t="s">
        <v>719</v>
      </c>
      <c r="E825" s="27" t="s">
        <v>59</v>
      </c>
      <c r="F825" s="27" t="s">
        <v>43</v>
      </c>
      <c r="G825" s="27" t="s">
        <v>475</v>
      </c>
      <c r="H825" s="27" t="s">
        <v>59</v>
      </c>
      <c r="I825" s="27" t="s">
        <v>143</v>
      </c>
      <c r="J825" s="27" t="s">
        <v>144</v>
      </c>
      <c r="K825" s="39" t="s">
        <v>709</v>
      </c>
      <c r="L825" s="41" t="s">
        <v>309</v>
      </c>
      <c r="M825" s="27"/>
      <c r="N825" s="27"/>
      <c r="O825" s="28" t="s">
        <v>2276</v>
      </c>
    </row>
    <row r="826" spans="1:15" ht="15" customHeight="1" x14ac:dyDescent="0.3">
      <c r="A826" s="31">
        <v>46023</v>
      </c>
      <c r="B826" s="27" t="s">
        <v>53</v>
      </c>
      <c r="C826" s="27" t="s">
        <v>720</v>
      </c>
      <c r="D826" s="27" t="s">
        <v>721</v>
      </c>
      <c r="E826" s="27" t="s">
        <v>59</v>
      </c>
      <c r="F826" s="27" t="s">
        <v>43</v>
      </c>
      <c r="G826" s="27" t="s">
        <v>475</v>
      </c>
      <c r="H826" s="27" t="s">
        <v>59</v>
      </c>
      <c r="I826" s="27" t="s">
        <v>143</v>
      </c>
      <c r="J826" s="27" t="s">
        <v>144</v>
      </c>
      <c r="K826" s="39" t="s">
        <v>709</v>
      </c>
      <c r="L826" s="41" t="s">
        <v>309</v>
      </c>
      <c r="M826" s="27"/>
      <c r="N826" s="27"/>
      <c r="O826" s="28" t="s">
        <v>2276</v>
      </c>
    </row>
    <row r="827" spans="1:15" ht="15" customHeight="1" x14ac:dyDescent="0.3">
      <c r="A827" s="31">
        <v>46023</v>
      </c>
      <c r="B827" s="27" t="s">
        <v>53</v>
      </c>
      <c r="C827" s="27" t="s">
        <v>722</v>
      </c>
      <c r="D827" s="27" t="s">
        <v>723</v>
      </c>
      <c r="E827" s="27" t="s">
        <v>59</v>
      </c>
      <c r="F827" s="27" t="s">
        <v>43</v>
      </c>
      <c r="G827" s="27" t="s">
        <v>475</v>
      </c>
      <c r="H827" s="27" t="s">
        <v>59</v>
      </c>
      <c r="I827" s="27" t="s">
        <v>143</v>
      </c>
      <c r="J827" s="27" t="s">
        <v>144</v>
      </c>
      <c r="K827" s="39" t="s">
        <v>709</v>
      </c>
      <c r="L827" s="41" t="s">
        <v>309</v>
      </c>
      <c r="M827" s="27"/>
      <c r="N827" s="27"/>
      <c r="O827" s="28" t="s">
        <v>2276</v>
      </c>
    </row>
    <row r="828" spans="1:15" ht="15" customHeight="1" x14ac:dyDescent="0.3">
      <c r="A828" s="31">
        <v>46023</v>
      </c>
      <c r="B828" s="27" t="s">
        <v>53</v>
      </c>
      <c r="C828" s="27" t="s">
        <v>724</v>
      </c>
      <c r="D828" s="27" t="s">
        <v>725</v>
      </c>
      <c r="E828" s="27" t="s">
        <v>59</v>
      </c>
      <c r="F828" s="27" t="s">
        <v>43</v>
      </c>
      <c r="G828" s="27" t="s">
        <v>475</v>
      </c>
      <c r="H828" s="27" t="s">
        <v>59</v>
      </c>
      <c r="I828" s="27" t="s">
        <v>143</v>
      </c>
      <c r="J828" s="27" t="s">
        <v>144</v>
      </c>
      <c r="K828" s="39" t="s">
        <v>709</v>
      </c>
      <c r="L828" s="41" t="s">
        <v>309</v>
      </c>
      <c r="M828" s="27"/>
      <c r="N828" s="27"/>
      <c r="O828" s="28" t="s">
        <v>2276</v>
      </c>
    </row>
    <row r="829" spans="1:15" ht="15" customHeight="1" x14ac:dyDescent="0.3">
      <c r="A829" s="31">
        <v>46023</v>
      </c>
      <c r="B829" s="27" t="s">
        <v>53</v>
      </c>
      <c r="C829" s="27" t="s">
        <v>726</v>
      </c>
      <c r="D829" s="27" t="s">
        <v>727</v>
      </c>
      <c r="E829" s="27" t="s">
        <v>59</v>
      </c>
      <c r="F829" s="27" t="s">
        <v>43</v>
      </c>
      <c r="G829" s="27" t="s">
        <v>475</v>
      </c>
      <c r="H829" s="27" t="s">
        <v>59</v>
      </c>
      <c r="I829" s="27" t="s">
        <v>143</v>
      </c>
      <c r="J829" s="27" t="s">
        <v>144</v>
      </c>
      <c r="K829" s="39" t="s">
        <v>709</v>
      </c>
      <c r="L829" s="41" t="s">
        <v>309</v>
      </c>
      <c r="M829" s="27"/>
      <c r="N829" s="27"/>
      <c r="O829" s="28" t="s">
        <v>2276</v>
      </c>
    </row>
    <row r="830" spans="1:15" ht="15" customHeight="1" x14ac:dyDescent="0.3">
      <c r="A830" s="31">
        <v>46023</v>
      </c>
      <c r="B830" s="27" t="s">
        <v>53</v>
      </c>
      <c r="C830" s="27" t="s">
        <v>728</v>
      </c>
      <c r="D830" s="27" t="s">
        <v>729</v>
      </c>
      <c r="E830" s="27" t="s">
        <v>59</v>
      </c>
      <c r="F830" s="27" t="s">
        <v>43</v>
      </c>
      <c r="G830" s="27" t="s">
        <v>475</v>
      </c>
      <c r="H830" s="27" t="s">
        <v>59</v>
      </c>
      <c r="I830" s="27" t="s">
        <v>143</v>
      </c>
      <c r="J830" s="27" t="s">
        <v>144</v>
      </c>
      <c r="K830" s="39" t="s">
        <v>709</v>
      </c>
      <c r="L830" s="41" t="s">
        <v>309</v>
      </c>
      <c r="M830" s="27"/>
      <c r="N830" s="27"/>
      <c r="O830" s="28" t="s">
        <v>2276</v>
      </c>
    </row>
    <row r="831" spans="1:15" ht="15" customHeight="1" x14ac:dyDescent="0.3">
      <c r="A831" s="31">
        <v>46023</v>
      </c>
      <c r="B831" s="27" t="s">
        <v>53</v>
      </c>
      <c r="C831" s="27" t="s">
        <v>730</v>
      </c>
      <c r="D831" s="27" t="s">
        <v>731</v>
      </c>
      <c r="E831" s="27" t="s">
        <v>59</v>
      </c>
      <c r="F831" s="27" t="s">
        <v>43</v>
      </c>
      <c r="G831" s="27" t="s">
        <v>475</v>
      </c>
      <c r="H831" s="27" t="s">
        <v>59</v>
      </c>
      <c r="I831" s="27" t="s">
        <v>143</v>
      </c>
      <c r="J831" s="27" t="s">
        <v>144</v>
      </c>
      <c r="K831" s="39" t="s">
        <v>709</v>
      </c>
      <c r="L831" s="41" t="s">
        <v>309</v>
      </c>
      <c r="M831" s="27"/>
      <c r="N831" s="27"/>
      <c r="O831" s="28" t="s">
        <v>2276</v>
      </c>
    </row>
    <row r="832" spans="1:15" ht="15" customHeight="1" x14ac:dyDescent="0.3">
      <c r="A832" s="31">
        <v>46023</v>
      </c>
      <c r="B832" s="27" t="s">
        <v>53</v>
      </c>
      <c r="C832" s="27" t="s">
        <v>732</v>
      </c>
      <c r="D832" s="27" t="s">
        <v>733</v>
      </c>
      <c r="E832" s="27" t="s">
        <v>59</v>
      </c>
      <c r="F832" s="27" t="s">
        <v>43</v>
      </c>
      <c r="G832" s="27" t="s">
        <v>475</v>
      </c>
      <c r="H832" s="27" t="s">
        <v>59</v>
      </c>
      <c r="I832" s="27" t="s">
        <v>143</v>
      </c>
      <c r="J832" s="27" t="s">
        <v>144</v>
      </c>
      <c r="K832" s="39" t="s">
        <v>734</v>
      </c>
      <c r="L832" s="41" t="s">
        <v>309</v>
      </c>
      <c r="M832" s="27"/>
      <c r="N832" s="27"/>
      <c r="O832" s="28" t="s">
        <v>2276</v>
      </c>
    </row>
    <row r="833" spans="1:15" ht="15" customHeight="1" x14ac:dyDescent="0.3">
      <c r="A833" s="31">
        <v>46023</v>
      </c>
      <c r="B833" s="27" t="s">
        <v>53</v>
      </c>
      <c r="C833" s="27" t="s">
        <v>735</v>
      </c>
      <c r="D833" s="27" t="s">
        <v>736</v>
      </c>
      <c r="E833" s="27" t="s">
        <v>59</v>
      </c>
      <c r="F833" s="27" t="s">
        <v>43</v>
      </c>
      <c r="G833" s="27" t="s">
        <v>475</v>
      </c>
      <c r="H833" s="27" t="s">
        <v>59</v>
      </c>
      <c r="I833" s="27" t="s">
        <v>143</v>
      </c>
      <c r="J833" s="27" t="s">
        <v>144</v>
      </c>
      <c r="K833" s="39" t="s">
        <v>734</v>
      </c>
      <c r="L833" s="41" t="s">
        <v>309</v>
      </c>
      <c r="M833" s="27"/>
      <c r="N833" s="27"/>
      <c r="O833" s="28" t="s">
        <v>2276</v>
      </c>
    </row>
    <row r="834" spans="1:15" ht="15" customHeight="1" x14ac:dyDescent="0.3">
      <c r="A834" s="31">
        <v>46023</v>
      </c>
      <c r="B834" s="27" t="s">
        <v>53</v>
      </c>
      <c r="C834" s="27" t="s">
        <v>737</v>
      </c>
      <c r="D834" s="27" t="s">
        <v>738</v>
      </c>
      <c r="E834" s="27" t="s">
        <v>59</v>
      </c>
      <c r="F834" s="27" t="s">
        <v>43</v>
      </c>
      <c r="G834" s="27" t="s">
        <v>475</v>
      </c>
      <c r="H834" s="27" t="s">
        <v>59</v>
      </c>
      <c r="I834" s="27" t="s">
        <v>143</v>
      </c>
      <c r="J834" s="27" t="s">
        <v>144</v>
      </c>
      <c r="K834" s="39" t="s">
        <v>734</v>
      </c>
      <c r="L834" s="41" t="s">
        <v>309</v>
      </c>
      <c r="M834" s="27"/>
      <c r="N834" s="27"/>
      <c r="O834" s="28" t="s">
        <v>2276</v>
      </c>
    </row>
    <row r="835" spans="1:15" ht="15" customHeight="1" x14ac:dyDescent="0.3">
      <c r="A835" s="31">
        <v>46023</v>
      </c>
      <c r="B835" s="27" t="s">
        <v>53</v>
      </c>
      <c r="C835" s="27" t="s">
        <v>739</v>
      </c>
      <c r="D835" s="27" t="s">
        <v>740</v>
      </c>
      <c r="E835" s="27" t="s">
        <v>59</v>
      </c>
      <c r="F835" s="27" t="s">
        <v>43</v>
      </c>
      <c r="G835" s="27" t="s">
        <v>475</v>
      </c>
      <c r="H835" s="27" t="s">
        <v>59</v>
      </c>
      <c r="I835" s="27" t="s">
        <v>143</v>
      </c>
      <c r="J835" s="27" t="s">
        <v>144</v>
      </c>
      <c r="K835" s="39" t="s">
        <v>734</v>
      </c>
      <c r="L835" s="41" t="s">
        <v>309</v>
      </c>
      <c r="M835" s="27"/>
      <c r="N835" s="27"/>
      <c r="O835" s="28" t="s">
        <v>2276</v>
      </c>
    </row>
    <row r="836" spans="1:15" ht="15" customHeight="1" x14ac:dyDescent="0.3">
      <c r="A836" s="31">
        <v>46023</v>
      </c>
      <c r="B836" s="27" t="s">
        <v>53</v>
      </c>
      <c r="C836" s="27" t="s">
        <v>741</v>
      </c>
      <c r="D836" s="27" t="s">
        <v>742</v>
      </c>
      <c r="E836" s="27" t="s">
        <v>59</v>
      </c>
      <c r="F836" s="27" t="s">
        <v>43</v>
      </c>
      <c r="G836" s="27" t="s">
        <v>475</v>
      </c>
      <c r="H836" s="27" t="s">
        <v>59</v>
      </c>
      <c r="I836" s="27" t="s">
        <v>143</v>
      </c>
      <c r="J836" s="27" t="s">
        <v>144</v>
      </c>
      <c r="K836" s="39" t="s">
        <v>734</v>
      </c>
      <c r="L836" s="41" t="s">
        <v>309</v>
      </c>
      <c r="M836" s="27"/>
      <c r="N836" s="27"/>
      <c r="O836" s="28" t="s">
        <v>2276</v>
      </c>
    </row>
    <row r="837" spans="1:15" ht="15" customHeight="1" x14ac:dyDescent="0.3">
      <c r="A837" s="31">
        <v>46023</v>
      </c>
      <c r="B837" s="27" t="s">
        <v>53</v>
      </c>
      <c r="C837" s="27" t="s">
        <v>743</v>
      </c>
      <c r="D837" s="27" t="s">
        <v>744</v>
      </c>
      <c r="E837" s="27" t="s">
        <v>59</v>
      </c>
      <c r="F837" s="27" t="s">
        <v>43</v>
      </c>
      <c r="G837" s="27" t="s">
        <v>475</v>
      </c>
      <c r="H837" s="27" t="s">
        <v>59</v>
      </c>
      <c r="I837" s="27" t="s">
        <v>143</v>
      </c>
      <c r="J837" s="27" t="s">
        <v>144</v>
      </c>
      <c r="K837" s="39" t="s">
        <v>734</v>
      </c>
      <c r="L837" s="41" t="s">
        <v>309</v>
      </c>
      <c r="M837" s="27"/>
      <c r="N837" s="27"/>
      <c r="O837" s="28" t="s">
        <v>2276</v>
      </c>
    </row>
    <row r="838" spans="1:15" ht="15" customHeight="1" x14ac:dyDescent="0.3">
      <c r="A838" s="31">
        <v>46023</v>
      </c>
      <c r="B838" s="27" t="s">
        <v>53</v>
      </c>
      <c r="C838" s="27" t="s">
        <v>745</v>
      </c>
      <c r="D838" s="27" t="s">
        <v>746</v>
      </c>
      <c r="E838" s="27" t="s">
        <v>59</v>
      </c>
      <c r="F838" s="27" t="s">
        <v>43</v>
      </c>
      <c r="G838" s="27" t="s">
        <v>475</v>
      </c>
      <c r="H838" s="27" t="s">
        <v>59</v>
      </c>
      <c r="I838" s="27" t="s">
        <v>143</v>
      </c>
      <c r="J838" s="27" t="s">
        <v>144</v>
      </c>
      <c r="K838" s="39" t="s">
        <v>734</v>
      </c>
      <c r="L838" s="41" t="s">
        <v>309</v>
      </c>
      <c r="M838" s="27"/>
      <c r="N838" s="27"/>
      <c r="O838" s="28" t="s">
        <v>2276</v>
      </c>
    </row>
    <row r="839" spans="1:15" ht="15" customHeight="1" x14ac:dyDescent="0.3">
      <c r="A839" s="31">
        <v>46023</v>
      </c>
      <c r="B839" s="27" t="s">
        <v>53</v>
      </c>
      <c r="C839" s="27" t="s">
        <v>747</v>
      </c>
      <c r="D839" s="27" t="s">
        <v>748</v>
      </c>
      <c r="E839" s="27" t="s">
        <v>749</v>
      </c>
      <c r="F839" s="27" t="s">
        <v>43</v>
      </c>
      <c r="G839" s="27" t="s">
        <v>475</v>
      </c>
      <c r="H839" s="27" t="s">
        <v>59</v>
      </c>
      <c r="I839" s="27" t="s">
        <v>143</v>
      </c>
      <c r="J839" s="27" t="s">
        <v>144</v>
      </c>
      <c r="K839" s="39" t="s">
        <v>734</v>
      </c>
      <c r="L839" s="41" t="s">
        <v>309</v>
      </c>
      <c r="M839" s="27"/>
      <c r="N839" s="27"/>
      <c r="O839" s="28" t="s">
        <v>2276</v>
      </c>
    </row>
    <row r="840" spans="1:15" ht="15" customHeight="1" x14ac:dyDescent="0.3">
      <c r="A840" s="31">
        <v>46023</v>
      </c>
      <c r="B840" s="27" t="s">
        <v>53</v>
      </c>
      <c r="C840" s="27" t="s">
        <v>750</v>
      </c>
      <c r="D840" s="27" t="s">
        <v>751</v>
      </c>
      <c r="E840" s="27" t="s">
        <v>59</v>
      </c>
      <c r="F840" s="27" t="s">
        <v>43</v>
      </c>
      <c r="G840" s="27" t="s">
        <v>475</v>
      </c>
      <c r="H840" s="27" t="s">
        <v>59</v>
      </c>
      <c r="I840" s="27" t="s">
        <v>143</v>
      </c>
      <c r="J840" s="27" t="s">
        <v>144</v>
      </c>
      <c r="K840" s="39" t="s">
        <v>734</v>
      </c>
      <c r="L840" s="41" t="s">
        <v>309</v>
      </c>
      <c r="M840" s="27"/>
      <c r="N840" s="27"/>
      <c r="O840" s="28" t="s">
        <v>2276</v>
      </c>
    </row>
    <row r="841" spans="1:15" ht="15" customHeight="1" x14ac:dyDescent="0.3">
      <c r="A841" s="31">
        <v>46023</v>
      </c>
      <c r="B841" s="27" t="s">
        <v>53</v>
      </c>
      <c r="C841" s="27" t="s">
        <v>752</v>
      </c>
      <c r="D841" s="27" t="s">
        <v>753</v>
      </c>
      <c r="E841" s="27" t="s">
        <v>754</v>
      </c>
      <c r="F841" s="27" t="s">
        <v>43</v>
      </c>
      <c r="G841" s="27" t="s">
        <v>687</v>
      </c>
      <c r="H841" s="27" t="s">
        <v>59</v>
      </c>
      <c r="I841" s="27" t="s">
        <v>116</v>
      </c>
      <c r="J841" s="27" t="s">
        <v>144</v>
      </c>
      <c r="K841" s="39" t="s">
        <v>308</v>
      </c>
      <c r="L841" s="41" t="s">
        <v>309</v>
      </c>
      <c r="M841" s="27"/>
      <c r="N841" s="27"/>
      <c r="O841" s="28" t="s">
        <v>2276</v>
      </c>
    </row>
    <row r="842" spans="1:15" ht="15" customHeight="1" x14ac:dyDescent="0.3">
      <c r="A842" s="31">
        <v>46023</v>
      </c>
      <c r="B842" s="27" t="s">
        <v>53</v>
      </c>
      <c r="C842" s="27" t="s">
        <v>755</v>
      </c>
      <c r="D842" s="27" t="s">
        <v>756</v>
      </c>
      <c r="E842" s="27" t="s">
        <v>59</v>
      </c>
      <c r="F842" s="27" t="s">
        <v>43</v>
      </c>
      <c r="G842" s="27" t="s">
        <v>475</v>
      </c>
      <c r="H842" s="27" t="s">
        <v>59</v>
      </c>
      <c r="I842" s="27" t="s">
        <v>143</v>
      </c>
      <c r="J842" s="27" t="s">
        <v>144</v>
      </c>
      <c r="K842" s="39" t="s">
        <v>757</v>
      </c>
      <c r="L842" s="41" t="s">
        <v>309</v>
      </c>
      <c r="M842" s="27"/>
      <c r="N842" s="27"/>
      <c r="O842" s="28" t="s">
        <v>2276</v>
      </c>
    </row>
    <row r="843" spans="1:15" ht="15" customHeight="1" x14ac:dyDescent="0.3">
      <c r="A843" s="31">
        <v>46023</v>
      </c>
      <c r="B843" s="27" t="s">
        <v>53</v>
      </c>
      <c r="C843" s="27" t="s">
        <v>758</v>
      </c>
      <c r="D843" s="27" t="s">
        <v>759</v>
      </c>
      <c r="E843" s="27" t="s">
        <v>59</v>
      </c>
      <c r="F843" s="27" t="s">
        <v>43</v>
      </c>
      <c r="G843" s="27" t="s">
        <v>475</v>
      </c>
      <c r="H843" s="27" t="s">
        <v>59</v>
      </c>
      <c r="I843" s="27" t="s">
        <v>143</v>
      </c>
      <c r="J843" s="27" t="s">
        <v>144</v>
      </c>
      <c r="K843" s="39" t="s">
        <v>757</v>
      </c>
      <c r="L843" s="41" t="s">
        <v>309</v>
      </c>
      <c r="M843" s="27"/>
      <c r="N843" s="27"/>
      <c r="O843" s="28" t="s">
        <v>2276</v>
      </c>
    </row>
    <row r="844" spans="1:15" ht="15" customHeight="1" x14ac:dyDescent="0.3">
      <c r="A844" s="31">
        <v>46023</v>
      </c>
      <c r="B844" s="27" t="s">
        <v>53</v>
      </c>
      <c r="C844" s="27" t="s">
        <v>760</v>
      </c>
      <c r="D844" s="27" t="s">
        <v>761</v>
      </c>
      <c r="E844" s="27" t="s">
        <v>59</v>
      </c>
      <c r="F844" s="27" t="s">
        <v>43</v>
      </c>
      <c r="G844" s="27" t="s">
        <v>475</v>
      </c>
      <c r="H844" s="27" t="s">
        <v>59</v>
      </c>
      <c r="I844" s="27" t="s">
        <v>143</v>
      </c>
      <c r="J844" s="27" t="s">
        <v>144</v>
      </c>
      <c r="K844" s="39" t="s">
        <v>757</v>
      </c>
      <c r="L844" s="41" t="s">
        <v>309</v>
      </c>
      <c r="M844" s="27"/>
      <c r="N844" s="27"/>
      <c r="O844" s="28" t="s">
        <v>2276</v>
      </c>
    </row>
    <row r="845" spans="1:15" ht="15" customHeight="1" x14ac:dyDescent="0.3">
      <c r="A845" s="31">
        <v>46023</v>
      </c>
      <c r="B845" s="27" t="s">
        <v>53</v>
      </c>
      <c r="C845" s="27" t="s">
        <v>762</v>
      </c>
      <c r="D845" s="27" t="s">
        <v>763</v>
      </c>
      <c r="E845" s="27" t="s">
        <v>59</v>
      </c>
      <c r="F845" s="27" t="s">
        <v>43</v>
      </c>
      <c r="G845" s="27" t="s">
        <v>475</v>
      </c>
      <c r="H845" s="27" t="s">
        <v>59</v>
      </c>
      <c r="I845" s="27" t="s">
        <v>143</v>
      </c>
      <c r="J845" s="27" t="s">
        <v>144</v>
      </c>
      <c r="K845" s="39" t="s">
        <v>757</v>
      </c>
      <c r="L845" s="41" t="s">
        <v>309</v>
      </c>
      <c r="M845" s="27"/>
      <c r="N845" s="27"/>
      <c r="O845" s="28" t="s">
        <v>2276</v>
      </c>
    </row>
    <row r="846" spans="1:15" ht="15" customHeight="1" x14ac:dyDescent="0.3">
      <c r="A846" s="31">
        <v>46023</v>
      </c>
      <c r="B846" s="27" t="s">
        <v>53</v>
      </c>
      <c r="C846" s="27" t="s">
        <v>764</v>
      </c>
      <c r="D846" s="27" t="s">
        <v>765</v>
      </c>
      <c r="E846" s="27" t="s">
        <v>59</v>
      </c>
      <c r="F846" s="27" t="s">
        <v>43</v>
      </c>
      <c r="G846" s="27" t="s">
        <v>475</v>
      </c>
      <c r="H846" s="27" t="s">
        <v>59</v>
      </c>
      <c r="I846" s="27" t="s">
        <v>116</v>
      </c>
      <c r="J846" s="27" t="s">
        <v>144</v>
      </c>
      <c r="K846" s="39" t="s">
        <v>757</v>
      </c>
      <c r="L846" s="41" t="s">
        <v>309</v>
      </c>
      <c r="M846" s="27"/>
      <c r="N846" s="27"/>
      <c r="O846" s="28" t="s">
        <v>2276</v>
      </c>
    </row>
    <row r="847" spans="1:15" ht="15" customHeight="1" x14ac:dyDescent="0.3">
      <c r="A847" s="31">
        <v>46023</v>
      </c>
      <c r="B847" s="27" t="s">
        <v>53</v>
      </c>
      <c r="C847" s="27" t="s">
        <v>766</v>
      </c>
      <c r="D847" s="27" t="s">
        <v>767</v>
      </c>
      <c r="E847" s="27" t="s">
        <v>59</v>
      </c>
      <c r="F847" s="27" t="s">
        <v>43</v>
      </c>
      <c r="G847" s="27" t="s">
        <v>475</v>
      </c>
      <c r="H847" s="27" t="s">
        <v>59</v>
      </c>
      <c r="I847" s="27" t="s">
        <v>116</v>
      </c>
      <c r="J847" s="27" t="s">
        <v>144</v>
      </c>
      <c r="K847" s="39" t="s">
        <v>757</v>
      </c>
      <c r="L847" s="41" t="s">
        <v>309</v>
      </c>
      <c r="M847" s="27"/>
      <c r="N847" s="27"/>
      <c r="O847" s="28" t="s">
        <v>2276</v>
      </c>
    </row>
    <row r="848" spans="1:15" ht="15" customHeight="1" x14ac:dyDescent="0.3">
      <c r="A848" s="31">
        <v>46023</v>
      </c>
      <c r="B848" s="27" t="s">
        <v>53</v>
      </c>
      <c r="C848" s="27" t="s">
        <v>768</v>
      </c>
      <c r="D848" s="27" t="s">
        <v>769</v>
      </c>
      <c r="E848" s="27" t="s">
        <v>59</v>
      </c>
      <c r="F848" s="27" t="s">
        <v>43</v>
      </c>
      <c r="G848" s="27" t="s">
        <v>475</v>
      </c>
      <c r="H848" s="27" t="s">
        <v>59</v>
      </c>
      <c r="I848" s="27" t="s">
        <v>116</v>
      </c>
      <c r="J848" s="27" t="s">
        <v>144</v>
      </c>
      <c r="K848" s="39" t="s">
        <v>757</v>
      </c>
      <c r="L848" s="41" t="s">
        <v>309</v>
      </c>
      <c r="M848" s="27"/>
      <c r="N848" s="27"/>
      <c r="O848" s="28" t="s">
        <v>2276</v>
      </c>
    </row>
    <row r="849" spans="1:15" ht="15" customHeight="1" x14ac:dyDescent="0.3">
      <c r="A849" s="31">
        <v>46023</v>
      </c>
      <c r="B849" s="27" t="s">
        <v>53</v>
      </c>
      <c r="C849" s="27" t="s">
        <v>770</v>
      </c>
      <c r="D849" s="27" t="s">
        <v>771</v>
      </c>
      <c r="E849" s="27" t="s">
        <v>59</v>
      </c>
      <c r="F849" s="27" t="s">
        <v>43</v>
      </c>
      <c r="G849" s="27" t="s">
        <v>475</v>
      </c>
      <c r="H849" s="27" t="s">
        <v>59</v>
      </c>
      <c r="I849" s="27" t="s">
        <v>116</v>
      </c>
      <c r="J849" s="27" t="s">
        <v>144</v>
      </c>
      <c r="K849" s="39" t="s">
        <v>757</v>
      </c>
      <c r="L849" s="41" t="s">
        <v>309</v>
      </c>
      <c r="M849" s="27"/>
      <c r="N849" s="27"/>
      <c r="O849" s="28" t="s">
        <v>2276</v>
      </c>
    </row>
    <row r="850" spans="1:15" ht="15" customHeight="1" x14ac:dyDescent="0.3">
      <c r="A850" s="31">
        <v>46023</v>
      </c>
      <c r="B850" s="27" t="s">
        <v>53</v>
      </c>
      <c r="C850" s="27" t="s">
        <v>772</v>
      </c>
      <c r="D850" s="27" t="s">
        <v>773</v>
      </c>
      <c r="E850" s="27" t="s">
        <v>59</v>
      </c>
      <c r="F850" s="27" t="s">
        <v>43</v>
      </c>
      <c r="G850" s="27" t="s">
        <v>475</v>
      </c>
      <c r="H850" s="27" t="s">
        <v>59</v>
      </c>
      <c r="I850" s="27" t="s">
        <v>116</v>
      </c>
      <c r="J850" s="27" t="s">
        <v>144</v>
      </c>
      <c r="K850" s="39" t="s">
        <v>757</v>
      </c>
      <c r="L850" s="41" t="s">
        <v>309</v>
      </c>
      <c r="M850" s="27"/>
      <c r="N850" s="27"/>
      <c r="O850" s="28" t="s">
        <v>2276</v>
      </c>
    </row>
    <row r="851" spans="1:15" ht="15" customHeight="1" x14ac:dyDescent="0.3">
      <c r="A851" s="31">
        <v>46023</v>
      </c>
      <c r="B851" s="27" t="s">
        <v>53</v>
      </c>
      <c r="C851" s="27" t="s">
        <v>774</v>
      </c>
      <c r="D851" s="27" t="s">
        <v>775</v>
      </c>
      <c r="E851" s="27" t="s">
        <v>59</v>
      </c>
      <c r="F851" s="27" t="s">
        <v>43</v>
      </c>
      <c r="G851" s="27" t="s">
        <v>475</v>
      </c>
      <c r="H851" s="27" t="s">
        <v>59</v>
      </c>
      <c r="I851" s="27" t="s">
        <v>116</v>
      </c>
      <c r="J851" s="27" t="s">
        <v>144</v>
      </c>
      <c r="K851" s="39" t="s">
        <v>757</v>
      </c>
      <c r="L851" s="41" t="s">
        <v>309</v>
      </c>
      <c r="M851" s="27"/>
      <c r="N851" s="27"/>
      <c r="O851" s="28" t="s">
        <v>2276</v>
      </c>
    </row>
    <row r="852" spans="1:15" ht="15" customHeight="1" x14ac:dyDescent="0.3">
      <c r="A852" s="31">
        <v>46023</v>
      </c>
      <c r="B852" s="27" t="s">
        <v>53</v>
      </c>
      <c r="C852" s="27" t="s">
        <v>776</v>
      </c>
      <c r="D852" s="27" t="s">
        <v>777</v>
      </c>
      <c r="E852" s="27" t="s">
        <v>59</v>
      </c>
      <c r="F852" s="27" t="s">
        <v>43</v>
      </c>
      <c r="G852" s="27" t="s">
        <v>475</v>
      </c>
      <c r="H852" s="27" t="s">
        <v>59</v>
      </c>
      <c r="I852" s="27" t="s">
        <v>116</v>
      </c>
      <c r="J852" s="27" t="s">
        <v>144</v>
      </c>
      <c r="K852" s="39" t="s">
        <v>757</v>
      </c>
      <c r="L852" s="41" t="s">
        <v>309</v>
      </c>
      <c r="M852" s="27"/>
      <c r="N852" s="27"/>
      <c r="O852" s="28" t="s">
        <v>2276</v>
      </c>
    </row>
    <row r="853" spans="1:15" ht="15" customHeight="1" x14ac:dyDescent="0.3">
      <c r="A853" s="31">
        <v>46023</v>
      </c>
      <c r="B853" s="27" t="s">
        <v>53</v>
      </c>
      <c r="C853" s="27" t="s">
        <v>778</v>
      </c>
      <c r="D853" s="27" t="s">
        <v>779</v>
      </c>
      <c r="E853" s="27" t="s">
        <v>59</v>
      </c>
      <c r="F853" s="27" t="s">
        <v>43</v>
      </c>
      <c r="G853" s="27" t="s">
        <v>475</v>
      </c>
      <c r="H853" s="27" t="s">
        <v>59</v>
      </c>
      <c r="I853" s="27" t="s">
        <v>116</v>
      </c>
      <c r="J853" s="27" t="s">
        <v>144</v>
      </c>
      <c r="K853" s="39" t="s">
        <v>757</v>
      </c>
      <c r="L853" s="41" t="s">
        <v>309</v>
      </c>
      <c r="M853" s="27"/>
      <c r="N853" s="27"/>
      <c r="O853" s="28" t="s">
        <v>2276</v>
      </c>
    </row>
    <row r="854" spans="1:15" ht="15" customHeight="1" x14ac:dyDescent="0.3">
      <c r="A854" s="31">
        <v>46023</v>
      </c>
      <c r="B854" s="27" t="s">
        <v>53</v>
      </c>
      <c r="C854" s="27" t="s">
        <v>780</v>
      </c>
      <c r="D854" s="27" t="s">
        <v>781</v>
      </c>
      <c r="E854" s="27" t="s">
        <v>59</v>
      </c>
      <c r="F854" s="27" t="s">
        <v>43</v>
      </c>
      <c r="G854" s="27" t="s">
        <v>475</v>
      </c>
      <c r="H854" s="27" t="s">
        <v>59</v>
      </c>
      <c r="I854" s="27" t="s">
        <v>116</v>
      </c>
      <c r="J854" s="27" t="s">
        <v>144</v>
      </c>
      <c r="K854" s="39" t="s">
        <v>757</v>
      </c>
      <c r="L854" s="41" t="s">
        <v>309</v>
      </c>
      <c r="M854" s="27"/>
      <c r="N854" s="27"/>
      <c r="O854" s="28" t="s">
        <v>2276</v>
      </c>
    </row>
    <row r="855" spans="1:15" ht="15" customHeight="1" x14ac:dyDescent="0.3">
      <c r="A855" s="31">
        <v>46023</v>
      </c>
      <c r="B855" s="27" t="s">
        <v>53</v>
      </c>
      <c r="C855" s="27" t="s">
        <v>782</v>
      </c>
      <c r="D855" s="27" t="s">
        <v>783</v>
      </c>
      <c r="E855" s="27" t="s">
        <v>59</v>
      </c>
      <c r="F855" s="27" t="s">
        <v>43</v>
      </c>
      <c r="G855" s="27" t="s">
        <v>475</v>
      </c>
      <c r="H855" s="27" t="s">
        <v>59</v>
      </c>
      <c r="I855" s="27" t="s">
        <v>116</v>
      </c>
      <c r="J855" s="27" t="s">
        <v>144</v>
      </c>
      <c r="K855" s="39" t="s">
        <v>757</v>
      </c>
      <c r="L855" s="41" t="s">
        <v>309</v>
      </c>
      <c r="M855" s="27"/>
      <c r="N855" s="27"/>
      <c r="O855" s="28" t="s">
        <v>2276</v>
      </c>
    </row>
    <row r="856" spans="1:15" ht="15" customHeight="1" x14ac:dyDescent="0.3">
      <c r="A856" s="31">
        <v>46023</v>
      </c>
      <c r="B856" s="27" t="s">
        <v>53</v>
      </c>
      <c r="C856" s="27" t="s">
        <v>784</v>
      </c>
      <c r="D856" s="27" t="s">
        <v>785</v>
      </c>
      <c r="E856" s="27" t="s">
        <v>59</v>
      </c>
      <c r="F856" s="27" t="s">
        <v>43</v>
      </c>
      <c r="G856" s="27" t="s">
        <v>475</v>
      </c>
      <c r="H856" s="27" t="s">
        <v>59</v>
      </c>
      <c r="I856" s="27" t="s">
        <v>116</v>
      </c>
      <c r="J856" s="27" t="s">
        <v>144</v>
      </c>
      <c r="K856" s="39" t="s">
        <v>757</v>
      </c>
      <c r="L856" s="41" t="s">
        <v>309</v>
      </c>
      <c r="M856" s="27"/>
      <c r="N856" s="27"/>
      <c r="O856" s="28" t="s">
        <v>2276</v>
      </c>
    </row>
    <row r="857" spans="1:15" ht="15" customHeight="1" x14ac:dyDescent="0.3">
      <c r="A857" s="31">
        <v>46023</v>
      </c>
      <c r="B857" s="27" t="s">
        <v>53</v>
      </c>
      <c r="C857" s="27" t="s">
        <v>786</v>
      </c>
      <c r="D857" s="27" t="s">
        <v>787</v>
      </c>
      <c r="E857" s="27" t="s">
        <v>59</v>
      </c>
      <c r="F857" s="27" t="s">
        <v>43</v>
      </c>
      <c r="G857" s="27" t="s">
        <v>475</v>
      </c>
      <c r="H857" s="27" t="s">
        <v>59</v>
      </c>
      <c r="I857" s="27" t="s">
        <v>116</v>
      </c>
      <c r="J857" s="27" t="s">
        <v>144</v>
      </c>
      <c r="K857" s="39" t="s">
        <v>757</v>
      </c>
      <c r="L857" s="41" t="s">
        <v>309</v>
      </c>
      <c r="M857" s="27"/>
      <c r="N857" s="27"/>
      <c r="O857" s="28" t="s">
        <v>2276</v>
      </c>
    </row>
    <row r="858" spans="1:15" ht="15" customHeight="1" x14ac:dyDescent="0.3">
      <c r="A858" s="31">
        <v>46023</v>
      </c>
      <c r="B858" s="27" t="s">
        <v>53</v>
      </c>
      <c r="C858" s="27" t="s">
        <v>788</v>
      </c>
      <c r="D858" s="27" t="s">
        <v>789</v>
      </c>
      <c r="E858" s="27" t="s">
        <v>59</v>
      </c>
      <c r="F858" s="27" t="s">
        <v>43</v>
      </c>
      <c r="G858" s="27" t="s">
        <v>475</v>
      </c>
      <c r="H858" s="27" t="s">
        <v>59</v>
      </c>
      <c r="I858" s="27" t="s">
        <v>116</v>
      </c>
      <c r="J858" s="27" t="s">
        <v>144</v>
      </c>
      <c r="K858" s="39" t="s">
        <v>757</v>
      </c>
      <c r="L858" s="41" t="s">
        <v>309</v>
      </c>
      <c r="M858" s="27"/>
      <c r="N858" s="27"/>
      <c r="O858" s="28" t="s">
        <v>2276</v>
      </c>
    </row>
    <row r="859" spans="1:15" ht="15" customHeight="1" x14ac:dyDescent="0.3">
      <c r="A859" s="31">
        <v>46023</v>
      </c>
      <c r="B859" s="27" t="s">
        <v>53</v>
      </c>
      <c r="C859" s="27" t="s">
        <v>790</v>
      </c>
      <c r="D859" s="27" t="s">
        <v>791</v>
      </c>
      <c r="E859" s="27" t="s">
        <v>59</v>
      </c>
      <c r="F859" s="27" t="s">
        <v>43</v>
      </c>
      <c r="G859" s="27" t="s">
        <v>475</v>
      </c>
      <c r="H859" s="27" t="s">
        <v>59</v>
      </c>
      <c r="I859" s="27" t="s">
        <v>116</v>
      </c>
      <c r="J859" s="27" t="s">
        <v>144</v>
      </c>
      <c r="K859" s="39" t="s">
        <v>757</v>
      </c>
      <c r="L859" s="41" t="s">
        <v>309</v>
      </c>
      <c r="M859" s="27"/>
      <c r="N859" s="27"/>
      <c r="O859" s="28" t="s">
        <v>2276</v>
      </c>
    </row>
    <row r="860" spans="1:15" ht="15" customHeight="1" x14ac:dyDescent="0.3">
      <c r="A860" s="31">
        <v>46023</v>
      </c>
      <c r="B860" s="27" t="s">
        <v>53</v>
      </c>
      <c r="C860" s="27" t="s">
        <v>792</v>
      </c>
      <c r="D860" s="27" t="s">
        <v>793</v>
      </c>
      <c r="E860" s="27" t="s">
        <v>59</v>
      </c>
      <c r="F860" s="27" t="s">
        <v>43</v>
      </c>
      <c r="G860" s="27" t="s">
        <v>475</v>
      </c>
      <c r="H860" s="27" t="s">
        <v>59</v>
      </c>
      <c r="I860" s="27" t="s">
        <v>116</v>
      </c>
      <c r="J860" s="27" t="s">
        <v>144</v>
      </c>
      <c r="K860" s="39" t="s">
        <v>757</v>
      </c>
      <c r="L860" s="41" t="s">
        <v>309</v>
      </c>
      <c r="M860" s="27"/>
      <c r="N860" s="27"/>
      <c r="O860" s="28" t="s">
        <v>2276</v>
      </c>
    </row>
    <row r="861" spans="1:15" ht="15" customHeight="1" x14ac:dyDescent="0.3">
      <c r="A861" s="31">
        <v>46023</v>
      </c>
      <c r="B861" s="27" t="s">
        <v>53</v>
      </c>
      <c r="C861" s="27" t="s">
        <v>794</v>
      </c>
      <c r="D861" s="27" t="s">
        <v>795</v>
      </c>
      <c r="E861" s="27" t="s">
        <v>59</v>
      </c>
      <c r="F861" s="27" t="s">
        <v>43</v>
      </c>
      <c r="G861" s="27" t="s">
        <v>475</v>
      </c>
      <c r="H861" s="27" t="s">
        <v>59</v>
      </c>
      <c r="I861" s="27" t="s">
        <v>116</v>
      </c>
      <c r="J861" s="27" t="s">
        <v>144</v>
      </c>
      <c r="K861" s="39" t="s">
        <v>757</v>
      </c>
      <c r="L861" s="41" t="s">
        <v>309</v>
      </c>
      <c r="M861" s="27"/>
      <c r="N861" s="27"/>
      <c r="O861" s="28" t="s">
        <v>2276</v>
      </c>
    </row>
    <row r="862" spans="1:15" ht="15" customHeight="1" x14ac:dyDescent="0.3">
      <c r="A862" s="31">
        <v>46023</v>
      </c>
      <c r="B862" s="27" t="s">
        <v>53</v>
      </c>
      <c r="C862" s="27" t="s">
        <v>796</v>
      </c>
      <c r="D862" s="27" t="s">
        <v>797</v>
      </c>
      <c r="E862" s="27" t="s">
        <v>59</v>
      </c>
      <c r="F862" s="27" t="s">
        <v>43</v>
      </c>
      <c r="G862" s="27" t="s">
        <v>475</v>
      </c>
      <c r="H862" s="27" t="s">
        <v>59</v>
      </c>
      <c r="I862" s="27" t="s">
        <v>116</v>
      </c>
      <c r="J862" s="27" t="s">
        <v>144</v>
      </c>
      <c r="K862" s="39" t="s">
        <v>757</v>
      </c>
      <c r="L862" s="41" t="s">
        <v>309</v>
      </c>
      <c r="M862" s="27"/>
      <c r="N862" s="27"/>
      <c r="O862" s="28" t="s">
        <v>2276</v>
      </c>
    </row>
    <row r="863" spans="1:15" ht="15" customHeight="1" x14ac:dyDescent="0.3">
      <c r="A863" s="31">
        <v>46023</v>
      </c>
      <c r="B863" s="27" t="s">
        <v>53</v>
      </c>
      <c r="C863" s="27" t="s">
        <v>798</v>
      </c>
      <c r="D863" s="27" t="s">
        <v>799</v>
      </c>
      <c r="E863" s="27" t="s">
        <v>59</v>
      </c>
      <c r="F863" s="27" t="s">
        <v>43</v>
      </c>
      <c r="G863" s="27" t="s">
        <v>475</v>
      </c>
      <c r="H863" s="27" t="s">
        <v>59</v>
      </c>
      <c r="I863" s="27" t="s">
        <v>116</v>
      </c>
      <c r="J863" s="27" t="s">
        <v>144</v>
      </c>
      <c r="K863" s="39" t="s">
        <v>757</v>
      </c>
      <c r="L863" s="41" t="s">
        <v>309</v>
      </c>
      <c r="M863" s="27"/>
      <c r="N863" s="27"/>
      <c r="O863" s="28" t="s">
        <v>2276</v>
      </c>
    </row>
    <row r="864" spans="1:15" ht="15" customHeight="1" x14ac:dyDescent="0.3">
      <c r="A864" s="31">
        <v>46023</v>
      </c>
      <c r="B864" s="27" t="s">
        <v>53</v>
      </c>
      <c r="C864" s="27" t="s">
        <v>800</v>
      </c>
      <c r="D864" s="27" t="s">
        <v>801</v>
      </c>
      <c r="E864" s="27" t="s">
        <v>59</v>
      </c>
      <c r="F864" s="27" t="s">
        <v>43</v>
      </c>
      <c r="G864" s="27" t="s">
        <v>475</v>
      </c>
      <c r="H864" s="27" t="s">
        <v>59</v>
      </c>
      <c r="I864" s="27" t="s">
        <v>116</v>
      </c>
      <c r="J864" s="27" t="s">
        <v>144</v>
      </c>
      <c r="K864" s="39" t="s">
        <v>757</v>
      </c>
      <c r="L864" s="41" t="s">
        <v>309</v>
      </c>
      <c r="M864" s="27"/>
      <c r="N864" s="27"/>
      <c r="O864" s="28" t="s">
        <v>2276</v>
      </c>
    </row>
    <row r="865" spans="1:15" ht="15" customHeight="1" x14ac:dyDescent="0.3">
      <c r="A865" s="31">
        <v>46023</v>
      </c>
      <c r="B865" s="27" t="s">
        <v>53</v>
      </c>
      <c r="C865" s="27" t="s">
        <v>802</v>
      </c>
      <c r="D865" s="27" t="s">
        <v>803</v>
      </c>
      <c r="E865" s="27" t="s">
        <v>59</v>
      </c>
      <c r="F865" s="27" t="s">
        <v>43</v>
      </c>
      <c r="G865" s="27" t="s">
        <v>475</v>
      </c>
      <c r="H865" s="27" t="s">
        <v>59</v>
      </c>
      <c r="I865" s="27" t="s">
        <v>116</v>
      </c>
      <c r="J865" s="27" t="s">
        <v>144</v>
      </c>
      <c r="K865" s="39" t="s">
        <v>757</v>
      </c>
      <c r="L865" s="41" t="s">
        <v>309</v>
      </c>
      <c r="M865" s="27"/>
      <c r="N865" s="27"/>
      <c r="O865" s="28" t="s">
        <v>2276</v>
      </c>
    </row>
    <row r="866" spans="1:15" ht="15" customHeight="1" x14ac:dyDescent="0.3">
      <c r="A866" s="31">
        <v>46023</v>
      </c>
      <c r="B866" s="27" t="s">
        <v>53</v>
      </c>
      <c r="C866" s="27" t="s">
        <v>804</v>
      </c>
      <c r="D866" s="27" t="s">
        <v>805</v>
      </c>
      <c r="E866" s="27" t="s">
        <v>59</v>
      </c>
      <c r="F866" s="27" t="s">
        <v>43</v>
      </c>
      <c r="G866" s="27" t="s">
        <v>475</v>
      </c>
      <c r="H866" s="27" t="s">
        <v>59</v>
      </c>
      <c r="I866" s="27" t="s">
        <v>116</v>
      </c>
      <c r="J866" s="27" t="s">
        <v>144</v>
      </c>
      <c r="K866" s="39" t="s">
        <v>757</v>
      </c>
      <c r="L866" s="41" t="s">
        <v>309</v>
      </c>
      <c r="M866" s="27"/>
      <c r="N866" s="27"/>
      <c r="O866" s="28" t="s">
        <v>2276</v>
      </c>
    </row>
    <row r="867" spans="1:15" ht="15" customHeight="1" x14ac:dyDescent="0.3">
      <c r="A867" s="31">
        <v>46023</v>
      </c>
      <c r="B867" s="27" t="s">
        <v>53</v>
      </c>
      <c r="C867" s="27" t="s">
        <v>806</v>
      </c>
      <c r="D867" s="27" t="s">
        <v>807</v>
      </c>
      <c r="E867" s="27" t="s">
        <v>59</v>
      </c>
      <c r="F867" s="27" t="s">
        <v>43</v>
      </c>
      <c r="G867" s="27" t="s">
        <v>475</v>
      </c>
      <c r="H867" s="27" t="s">
        <v>59</v>
      </c>
      <c r="I867" s="27" t="s">
        <v>116</v>
      </c>
      <c r="J867" s="27" t="s">
        <v>144</v>
      </c>
      <c r="K867" s="39" t="s">
        <v>757</v>
      </c>
      <c r="L867" s="41" t="s">
        <v>309</v>
      </c>
      <c r="M867" s="27"/>
      <c r="N867" s="27"/>
      <c r="O867" s="28" t="s">
        <v>2276</v>
      </c>
    </row>
    <row r="868" spans="1:15" ht="15" customHeight="1" x14ac:dyDescent="0.3">
      <c r="A868" s="31">
        <v>46023</v>
      </c>
      <c r="B868" s="27" t="s">
        <v>53</v>
      </c>
      <c r="C868" s="27" t="s">
        <v>808</v>
      </c>
      <c r="D868" s="27" t="s">
        <v>809</v>
      </c>
      <c r="E868" s="27" t="s">
        <v>59</v>
      </c>
      <c r="F868" s="27" t="s">
        <v>43</v>
      </c>
      <c r="G868" s="27" t="s">
        <v>475</v>
      </c>
      <c r="H868" s="27" t="s">
        <v>59</v>
      </c>
      <c r="I868" s="27" t="s">
        <v>116</v>
      </c>
      <c r="J868" s="27" t="s">
        <v>144</v>
      </c>
      <c r="K868" s="39" t="s">
        <v>757</v>
      </c>
      <c r="L868" s="41" t="s">
        <v>309</v>
      </c>
      <c r="M868" s="27"/>
      <c r="N868" s="27"/>
      <c r="O868" s="28" t="s">
        <v>2276</v>
      </c>
    </row>
    <row r="869" spans="1:15" ht="15" customHeight="1" x14ac:dyDescent="0.3">
      <c r="A869" s="31">
        <v>46023</v>
      </c>
      <c r="B869" s="27" t="s">
        <v>53</v>
      </c>
      <c r="C869" s="27" t="s">
        <v>810</v>
      </c>
      <c r="D869" s="27" t="s">
        <v>811</v>
      </c>
      <c r="E869" s="27" t="s">
        <v>59</v>
      </c>
      <c r="F869" s="27" t="s">
        <v>43</v>
      </c>
      <c r="G869" s="27" t="s">
        <v>475</v>
      </c>
      <c r="H869" s="27" t="s">
        <v>59</v>
      </c>
      <c r="I869" s="27" t="s">
        <v>116</v>
      </c>
      <c r="J869" s="27" t="s">
        <v>144</v>
      </c>
      <c r="K869" s="39" t="s">
        <v>757</v>
      </c>
      <c r="L869" s="41" t="s">
        <v>309</v>
      </c>
      <c r="M869" s="27"/>
      <c r="N869" s="27"/>
      <c r="O869" s="28" t="s">
        <v>2276</v>
      </c>
    </row>
    <row r="870" spans="1:15" ht="15" customHeight="1" x14ac:dyDescent="0.3">
      <c r="A870" s="31">
        <v>46023</v>
      </c>
      <c r="B870" s="27" t="s">
        <v>53</v>
      </c>
      <c r="C870" s="27" t="s">
        <v>812</v>
      </c>
      <c r="D870" s="27" t="s">
        <v>813</v>
      </c>
      <c r="E870" s="27" t="s">
        <v>59</v>
      </c>
      <c r="F870" s="27" t="s">
        <v>43</v>
      </c>
      <c r="G870" s="27" t="s">
        <v>475</v>
      </c>
      <c r="H870" s="27" t="s">
        <v>59</v>
      </c>
      <c r="I870" s="27" t="s">
        <v>116</v>
      </c>
      <c r="J870" s="27" t="s">
        <v>144</v>
      </c>
      <c r="K870" s="39" t="s">
        <v>757</v>
      </c>
      <c r="L870" s="41" t="s">
        <v>309</v>
      </c>
      <c r="M870" s="27"/>
      <c r="N870" s="27"/>
      <c r="O870" s="28" t="s">
        <v>2276</v>
      </c>
    </row>
    <row r="871" spans="1:15" ht="15" customHeight="1" x14ac:dyDescent="0.3">
      <c r="A871" s="31">
        <v>46023</v>
      </c>
      <c r="B871" s="27" t="s">
        <v>53</v>
      </c>
      <c r="C871" s="27" t="s">
        <v>814</v>
      </c>
      <c r="D871" s="27" t="s">
        <v>815</v>
      </c>
      <c r="E871" s="27" t="s">
        <v>59</v>
      </c>
      <c r="F871" s="27" t="s">
        <v>43</v>
      </c>
      <c r="G871" s="27" t="s">
        <v>475</v>
      </c>
      <c r="H871" s="27" t="s">
        <v>59</v>
      </c>
      <c r="I871" s="27" t="s">
        <v>116</v>
      </c>
      <c r="J871" s="27" t="s">
        <v>144</v>
      </c>
      <c r="K871" s="39" t="s">
        <v>757</v>
      </c>
      <c r="L871" s="41" t="s">
        <v>309</v>
      </c>
      <c r="M871" s="27"/>
      <c r="N871" s="27"/>
      <c r="O871" s="28" t="s">
        <v>2276</v>
      </c>
    </row>
    <row r="872" spans="1:15" ht="15" customHeight="1" x14ac:dyDescent="0.3">
      <c r="A872" s="31">
        <v>46023</v>
      </c>
      <c r="B872" s="27" t="s">
        <v>53</v>
      </c>
      <c r="C872" s="27" t="s">
        <v>816</v>
      </c>
      <c r="D872" s="27" t="s">
        <v>817</v>
      </c>
      <c r="E872" s="27" t="s">
        <v>59</v>
      </c>
      <c r="F872" s="27" t="s">
        <v>43</v>
      </c>
      <c r="G872" s="27" t="s">
        <v>475</v>
      </c>
      <c r="H872" s="27" t="s">
        <v>59</v>
      </c>
      <c r="I872" s="27" t="s">
        <v>116</v>
      </c>
      <c r="J872" s="27" t="s">
        <v>144</v>
      </c>
      <c r="K872" s="39" t="s">
        <v>757</v>
      </c>
      <c r="L872" s="41" t="s">
        <v>309</v>
      </c>
      <c r="M872" s="27"/>
      <c r="N872" s="27"/>
      <c r="O872" s="28" t="s">
        <v>2276</v>
      </c>
    </row>
    <row r="873" spans="1:15" ht="15" customHeight="1" x14ac:dyDescent="0.3">
      <c r="A873" s="31">
        <v>46023</v>
      </c>
      <c r="B873" s="27" t="s">
        <v>53</v>
      </c>
      <c r="C873" s="27" t="s">
        <v>818</v>
      </c>
      <c r="D873" s="27" t="s">
        <v>819</v>
      </c>
      <c r="E873" s="27" t="s">
        <v>820</v>
      </c>
      <c r="F873" s="27" t="s">
        <v>43</v>
      </c>
      <c r="G873" s="27"/>
      <c r="H873" s="27" t="s">
        <v>59</v>
      </c>
      <c r="I873" s="27" t="s">
        <v>116</v>
      </c>
      <c r="J873" s="27" t="s">
        <v>144</v>
      </c>
      <c r="K873" s="39" t="s">
        <v>757</v>
      </c>
      <c r="L873" s="41" t="s">
        <v>309</v>
      </c>
      <c r="M873" s="27"/>
      <c r="N873" s="27"/>
      <c r="O873" s="28" t="s">
        <v>2276</v>
      </c>
    </row>
    <row r="874" spans="1:15" ht="15" customHeight="1" x14ac:dyDescent="0.3">
      <c r="A874" s="31">
        <v>46023</v>
      </c>
      <c r="B874" s="27" t="s">
        <v>53</v>
      </c>
      <c r="C874" s="27" t="s">
        <v>821</v>
      </c>
      <c r="D874" s="27" t="s">
        <v>822</v>
      </c>
      <c r="E874" s="27" t="s">
        <v>59</v>
      </c>
      <c r="F874" s="27" t="s">
        <v>43</v>
      </c>
      <c r="G874" s="27" t="s">
        <v>475</v>
      </c>
      <c r="H874" s="27" t="s">
        <v>59</v>
      </c>
      <c r="I874" s="27" t="s">
        <v>116</v>
      </c>
      <c r="J874" s="27" t="s">
        <v>144</v>
      </c>
      <c r="K874" s="39" t="s">
        <v>757</v>
      </c>
      <c r="L874" s="41" t="s">
        <v>309</v>
      </c>
      <c r="M874" s="27"/>
      <c r="N874" s="27"/>
      <c r="O874" s="28" t="s">
        <v>2276</v>
      </c>
    </row>
    <row r="875" spans="1:15" ht="15" customHeight="1" x14ac:dyDescent="0.3">
      <c r="A875" s="31">
        <v>46023</v>
      </c>
      <c r="B875" s="27" t="s">
        <v>53</v>
      </c>
      <c r="C875" s="27" t="s">
        <v>823</v>
      </c>
      <c r="D875" s="27" t="s">
        <v>824</v>
      </c>
      <c r="E875" s="27" t="s">
        <v>59</v>
      </c>
      <c r="F875" s="27" t="s">
        <v>43</v>
      </c>
      <c r="G875" s="27" t="s">
        <v>475</v>
      </c>
      <c r="H875" s="27" t="s">
        <v>59</v>
      </c>
      <c r="I875" s="27" t="s">
        <v>116</v>
      </c>
      <c r="J875" s="27" t="s">
        <v>144</v>
      </c>
      <c r="K875" s="39" t="s">
        <v>757</v>
      </c>
      <c r="L875" s="41" t="s">
        <v>309</v>
      </c>
      <c r="M875" s="27"/>
      <c r="N875" s="27"/>
      <c r="O875" s="28" t="s">
        <v>2276</v>
      </c>
    </row>
    <row r="876" spans="1:15" ht="15" customHeight="1" x14ac:dyDescent="0.3">
      <c r="A876" s="31">
        <v>46023</v>
      </c>
      <c r="B876" s="27" t="s">
        <v>53</v>
      </c>
      <c r="C876" s="27" t="s">
        <v>825</v>
      </c>
      <c r="D876" s="27" t="s">
        <v>826</v>
      </c>
      <c r="E876" s="27" t="s">
        <v>59</v>
      </c>
      <c r="F876" s="27" t="s">
        <v>43</v>
      </c>
      <c r="G876" s="27" t="s">
        <v>475</v>
      </c>
      <c r="H876" s="27" t="s">
        <v>59</v>
      </c>
      <c r="I876" s="27" t="s">
        <v>116</v>
      </c>
      <c r="J876" s="27" t="s">
        <v>144</v>
      </c>
      <c r="K876" s="39" t="s">
        <v>757</v>
      </c>
      <c r="L876" s="41" t="s">
        <v>309</v>
      </c>
      <c r="M876" s="27"/>
      <c r="N876" s="27"/>
      <c r="O876" s="28" t="s">
        <v>2276</v>
      </c>
    </row>
    <row r="877" spans="1:15" ht="15" customHeight="1" x14ac:dyDescent="0.3">
      <c r="A877" s="31">
        <v>46023</v>
      </c>
      <c r="B877" s="27" t="s">
        <v>53</v>
      </c>
      <c r="C877" s="27" t="s">
        <v>827</v>
      </c>
      <c r="D877" s="27" t="s">
        <v>828</v>
      </c>
      <c r="E877" s="27" t="s">
        <v>59</v>
      </c>
      <c r="F877" s="27" t="s">
        <v>43</v>
      </c>
      <c r="G877" s="27" t="s">
        <v>475</v>
      </c>
      <c r="H877" s="27" t="s">
        <v>59</v>
      </c>
      <c r="I877" s="27" t="s">
        <v>116</v>
      </c>
      <c r="J877" s="27" t="s">
        <v>144</v>
      </c>
      <c r="K877" s="39" t="s">
        <v>308</v>
      </c>
      <c r="L877" s="41" t="s">
        <v>309</v>
      </c>
      <c r="M877" s="27"/>
      <c r="N877" s="27"/>
      <c r="O877" s="28" t="s">
        <v>2276</v>
      </c>
    </row>
    <row r="878" spans="1:15" ht="15" customHeight="1" x14ac:dyDescent="0.3">
      <c r="A878" s="31">
        <v>46023</v>
      </c>
      <c r="B878" s="27" t="s">
        <v>53</v>
      </c>
      <c r="C878" s="27" t="s">
        <v>829</v>
      </c>
      <c r="D878" s="27" t="s">
        <v>830</v>
      </c>
      <c r="E878" s="27" t="s">
        <v>59</v>
      </c>
      <c r="F878" s="27" t="s">
        <v>43</v>
      </c>
      <c r="G878" s="27" t="s">
        <v>475</v>
      </c>
      <c r="H878" s="27" t="s">
        <v>59</v>
      </c>
      <c r="I878" s="27" t="s">
        <v>116</v>
      </c>
      <c r="J878" s="27" t="s">
        <v>144</v>
      </c>
      <c r="K878" s="39" t="s">
        <v>308</v>
      </c>
      <c r="L878" s="41" t="s">
        <v>309</v>
      </c>
      <c r="M878" s="27"/>
      <c r="N878" s="27"/>
      <c r="O878" s="28" t="s">
        <v>2276</v>
      </c>
    </row>
    <row r="879" spans="1:15" ht="15" customHeight="1" x14ac:dyDescent="0.3">
      <c r="A879" s="31">
        <v>46023</v>
      </c>
      <c r="B879" s="27" t="s">
        <v>53</v>
      </c>
      <c r="C879" s="27" t="s">
        <v>831</v>
      </c>
      <c r="D879" s="27" t="s">
        <v>832</v>
      </c>
      <c r="E879" s="27" t="s">
        <v>59</v>
      </c>
      <c r="F879" s="27" t="s">
        <v>43</v>
      </c>
      <c r="G879" s="27" t="s">
        <v>475</v>
      </c>
      <c r="H879" s="27" t="s">
        <v>59</v>
      </c>
      <c r="I879" s="27" t="s">
        <v>116</v>
      </c>
      <c r="J879" s="27" t="s">
        <v>144</v>
      </c>
      <c r="K879" s="39" t="s">
        <v>308</v>
      </c>
      <c r="L879" s="41" t="s">
        <v>309</v>
      </c>
      <c r="M879" s="27"/>
      <c r="N879" s="27"/>
      <c r="O879" s="28" t="s">
        <v>2276</v>
      </c>
    </row>
    <row r="880" spans="1:15" ht="15" customHeight="1" x14ac:dyDescent="0.3">
      <c r="A880" s="31">
        <v>46023</v>
      </c>
      <c r="B880" s="27" t="s">
        <v>53</v>
      </c>
      <c r="C880" s="27" t="s">
        <v>833</v>
      </c>
      <c r="D880" s="27" t="s">
        <v>834</v>
      </c>
      <c r="E880" s="27" t="s">
        <v>59</v>
      </c>
      <c r="F880" s="27" t="s">
        <v>43</v>
      </c>
      <c r="G880" s="27" t="s">
        <v>475</v>
      </c>
      <c r="H880" s="27" t="s">
        <v>59</v>
      </c>
      <c r="I880" s="27" t="s">
        <v>116</v>
      </c>
      <c r="J880" s="27" t="s">
        <v>144</v>
      </c>
      <c r="K880" s="39" t="s">
        <v>308</v>
      </c>
      <c r="L880" s="41" t="s">
        <v>309</v>
      </c>
      <c r="M880" s="27"/>
      <c r="N880" s="27"/>
      <c r="O880" s="28" t="s">
        <v>2276</v>
      </c>
    </row>
    <row r="881" spans="1:15" ht="15" customHeight="1" x14ac:dyDescent="0.3">
      <c r="A881" s="31">
        <v>46023</v>
      </c>
      <c r="B881" s="27" t="s">
        <v>53</v>
      </c>
      <c r="C881" s="27" t="s">
        <v>835</v>
      </c>
      <c r="D881" s="27" t="s">
        <v>836</v>
      </c>
      <c r="E881" s="27" t="s">
        <v>59</v>
      </c>
      <c r="F881" s="27" t="s">
        <v>43</v>
      </c>
      <c r="G881" s="27" t="s">
        <v>475</v>
      </c>
      <c r="H881" s="27" t="s">
        <v>59</v>
      </c>
      <c r="I881" s="27" t="s">
        <v>116</v>
      </c>
      <c r="J881" s="27" t="s">
        <v>144</v>
      </c>
      <c r="K881" s="39" t="s">
        <v>308</v>
      </c>
      <c r="L881" s="41" t="s">
        <v>309</v>
      </c>
      <c r="M881" s="27"/>
      <c r="N881" s="27"/>
      <c r="O881" s="28" t="s">
        <v>2276</v>
      </c>
    </row>
    <row r="882" spans="1:15" ht="15" customHeight="1" x14ac:dyDescent="0.3">
      <c r="A882" s="31">
        <v>46023</v>
      </c>
      <c r="B882" s="27" t="s">
        <v>53</v>
      </c>
      <c r="C882" s="27" t="s">
        <v>837</v>
      </c>
      <c r="D882" s="27" t="s">
        <v>838</v>
      </c>
      <c r="E882" s="27" t="s">
        <v>59</v>
      </c>
      <c r="F882" s="27" t="s">
        <v>43</v>
      </c>
      <c r="G882" s="27" t="s">
        <v>475</v>
      </c>
      <c r="H882" s="27" t="s">
        <v>59</v>
      </c>
      <c r="I882" s="27" t="s">
        <v>116</v>
      </c>
      <c r="J882" s="27" t="s">
        <v>144</v>
      </c>
      <c r="K882" s="39" t="s">
        <v>308</v>
      </c>
      <c r="L882" s="41" t="s">
        <v>309</v>
      </c>
      <c r="M882" s="27"/>
      <c r="N882" s="27"/>
      <c r="O882" s="28" t="s">
        <v>2276</v>
      </c>
    </row>
    <row r="883" spans="1:15" ht="15" customHeight="1" x14ac:dyDescent="0.3">
      <c r="A883" s="31">
        <v>46023</v>
      </c>
      <c r="B883" s="27" t="s">
        <v>53</v>
      </c>
      <c r="C883" s="27" t="s">
        <v>839</v>
      </c>
      <c r="D883" s="27" t="s">
        <v>840</v>
      </c>
      <c r="E883" s="27" t="s">
        <v>59</v>
      </c>
      <c r="F883" s="27" t="s">
        <v>43</v>
      </c>
      <c r="G883" s="27" t="s">
        <v>475</v>
      </c>
      <c r="H883" s="27" t="s">
        <v>59</v>
      </c>
      <c r="I883" s="27" t="s">
        <v>116</v>
      </c>
      <c r="J883" s="27" t="s">
        <v>144</v>
      </c>
      <c r="K883" s="39" t="s">
        <v>308</v>
      </c>
      <c r="L883" s="41" t="s">
        <v>309</v>
      </c>
      <c r="M883" s="27"/>
      <c r="N883" s="27"/>
      <c r="O883" s="28" t="s">
        <v>2276</v>
      </c>
    </row>
    <row r="884" spans="1:15" ht="15" customHeight="1" x14ac:dyDescent="0.3">
      <c r="A884" s="31">
        <v>46023</v>
      </c>
      <c r="B884" s="27" t="s">
        <v>53</v>
      </c>
      <c r="C884" s="27" t="s">
        <v>841</v>
      </c>
      <c r="D884" s="27" t="s">
        <v>842</v>
      </c>
      <c r="E884" s="27" t="s">
        <v>59</v>
      </c>
      <c r="F884" s="27" t="s">
        <v>43</v>
      </c>
      <c r="G884" s="27" t="s">
        <v>475</v>
      </c>
      <c r="H884" s="27" t="s">
        <v>59</v>
      </c>
      <c r="I884" s="27" t="s">
        <v>116</v>
      </c>
      <c r="J884" s="27" t="s">
        <v>144</v>
      </c>
      <c r="K884" s="39" t="s">
        <v>308</v>
      </c>
      <c r="L884" s="41" t="s">
        <v>309</v>
      </c>
      <c r="M884" s="27"/>
      <c r="N884" s="27"/>
      <c r="O884" s="28" t="s">
        <v>2276</v>
      </c>
    </row>
    <row r="885" spans="1:15" ht="15" customHeight="1" x14ac:dyDescent="0.3">
      <c r="A885" s="31">
        <v>46023</v>
      </c>
      <c r="B885" s="27" t="s">
        <v>53</v>
      </c>
      <c r="C885" s="27" t="s">
        <v>843</v>
      </c>
      <c r="D885" s="27" t="s">
        <v>844</v>
      </c>
      <c r="E885" s="27" t="s">
        <v>59</v>
      </c>
      <c r="F885" s="27" t="s">
        <v>43</v>
      </c>
      <c r="G885" s="27" t="s">
        <v>475</v>
      </c>
      <c r="H885" s="27" t="s">
        <v>59</v>
      </c>
      <c r="I885" s="27" t="s">
        <v>116</v>
      </c>
      <c r="J885" s="27" t="s">
        <v>144</v>
      </c>
      <c r="K885" s="39" t="s">
        <v>308</v>
      </c>
      <c r="L885" s="41" t="s">
        <v>309</v>
      </c>
      <c r="M885" s="27"/>
      <c r="N885" s="27"/>
      <c r="O885" s="28" t="s">
        <v>2276</v>
      </c>
    </row>
    <row r="886" spans="1:15" ht="15" customHeight="1" x14ac:dyDescent="0.3">
      <c r="A886" s="31">
        <v>46023</v>
      </c>
      <c r="B886" s="27" t="s">
        <v>53</v>
      </c>
      <c r="C886" s="27" t="s">
        <v>845</v>
      </c>
      <c r="D886" s="27" t="s">
        <v>846</v>
      </c>
      <c r="E886" s="27" t="s">
        <v>59</v>
      </c>
      <c r="F886" s="27" t="s">
        <v>43</v>
      </c>
      <c r="G886" s="27" t="s">
        <v>475</v>
      </c>
      <c r="H886" s="27" t="s">
        <v>59</v>
      </c>
      <c r="I886" s="27" t="s">
        <v>116</v>
      </c>
      <c r="J886" s="27" t="s">
        <v>144</v>
      </c>
      <c r="K886" s="39" t="s">
        <v>308</v>
      </c>
      <c r="L886" s="41" t="s">
        <v>309</v>
      </c>
      <c r="M886" s="27"/>
      <c r="N886" s="27"/>
      <c r="O886" s="28" t="s">
        <v>2276</v>
      </c>
    </row>
    <row r="887" spans="1:15" ht="15" customHeight="1" x14ac:dyDescent="0.3">
      <c r="A887" s="31">
        <v>46023</v>
      </c>
      <c r="B887" s="27" t="s">
        <v>53</v>
      </c>
      <c r="C887" s="27" t="s">
        <v>847</v>
      </c>
      <c r="D887" s="27" t="s">
        <v>848</v>
      </c>
      <c r="E887" s="27" t="s">
        <v>59</v>
      </c>
      <c r="F887" s="27" t="s">
        <v>43</v>
      </c>
      <c r="G887" s="27" t="s">
        <v>475</v>
      </c>
      <c r="H887" s="27" t="s">
        <v>59</v>
      </c>
      <c r="I887" s="27" t="s">
        <v>116</v>
      </c>
      <c r="J887" s="27" t="s">
        <v>144</v>
      </c>
      <c r="K887" s="39" t="s">
        <v>308</v>
      </c>
      <c r="L887" s="41" t="s">
        <v>309</v>
      </c>
      <c r="M887" s="27"/>
      <c r="N887" s="27"/>
      <c r="O887" s="28" t="s">
        <v>2276</v>
      </c>
    </row>
    <row r="888" spans="1:15" ht="15" customHeight="1" x14ac:dyDescent="0.3">
      <c r="A888" s="31">
        <v>46023</v>
      </c>
      <c r="B888" s="27" t="s">
        <v>53</v>
      </c>
      <c r="C888" s="27" t="s">
        <v>849</v>
      </c>
      <c r="D888" s="27" t="s">
        <v>850</v>
      </c>
      <c r="E888" s="27" t="s">
        <v>59</v>
      </c>
      <c r="F888" s="27" t="s">
        <v>43</v>
      </c>
      <c r="G888" s="27" t="s">
        <v>475</v>
      </c>
      <c r="H888" s="27" t="s">
        <v>59</v>
      </c>
      <c r="I888" s="27" t="s">
        <v>143</v>
      </c>
      <c r="J888" s="27" t="s">
        <v>144</v>
      </c>
      <c r="K888" s="39" t="s">
        <v>851</v>
      </c>
      <c r="L888" s="41" t="s">
        <v>309</v>
      </c>
      <c r="M888" s="27"/>
      <c r="N888" s="27"/>
      <c r="O888" s="28" t="s">
        <v>2276</v>
      </c>
    </row>
    <row r="889" spans="1:15" ht="15" customHeight="1" x14ac:dyDescent="0.3">
      <c r="A889" s="31">
        <v>46023</v>
      </c>
      <c r="B889" s="27" t="s">
        <v>53</v>
      </c>
      <c r="C889" s="27" t="s">
        <v>852</v>
      </c>
      <c r="D889" s="27" t="s">
        <v>853</v>
      </c>
      <c r="E889" s="27" t="s">
        <v>59</v>
      </c>
      <c r="F889" s="27" t="s">
        <v>43</v>
      </c>
      <c r="G889" s="27" t="s">
        <v>475</v>
      </c>
      <c r="H889" s="27" t="s">
        <v>59</v>
      </c>
      <c r="I889" s="27" t="s">
        <v>143</v>
      </c>
      <c r="J889" s="27" t="s">
        <v>144</v>
      </c>
      <c r="K889" s="39" t="s">
        <v>851</v>
      </c>
      <c r="L889" s="41" t="s">
        <v>309</v>
      </c>
      <c r="M889" s="27"/>
      <c r="N889" s="27"/>
      <c r="O889" s="28" t="s">
        <v>2276</v>
      </c>
    </row>
    <row r="890" spans="1:15" ht="15" customHeight="1" x14ac:dyDescent="0.3">
      <c r="A890" s="31">
        <v>46023</v>
      </c>
      <c r="B890" s="27" t="s">
        <v>53</v>
      </c>
      <c r="C890" s="27" t="s">
        <v>854</v>
      </c>
      <c r="D890" s="27" t="s">
        <v>855</v>
      </c>
      <c r="E890" s="27" t="s">
        <v>59</v>
      </c>
      <c r="F890" s="27" t="s">
        <v>43</v>
      </c>
      <c r="G890" s="27" t="s">
        <v>475</v>
      </c>
      <c r="H890" s="27" t="s">
        <v>59</v>
      </c>
      <c r="I890" s="27" t="s">
        <v>143</v>
      </c>
      <c r="J890" s="27" t="s">
        <v>144</v>
      </c>
      <c r="K890" s="39" t="s">
        <v>851</v>
      </c>
      <c r="L890" s="41" t="s">
        <v>309</v>
      </c>
      <c r="M890" s="27"/>
      <c r="N890" s="27"/>
      <c r="O890" s="28" t="s">
        <v>2276</v>
      </c>
    </row>
    <row r="891" spans="1:15" ht="15" customHeight="1" x14ac:dyDescent="0.3">
      <c r="A891" s="31">
        <v>46023</v>
      </c>
      <c r="B891" s="27" t="s">
        <v>53</v>
      </c>
      <c r="C891" s="27" t="s">
        <v>856</v>
      </c>
      <c r="D891" s="27" t="s">
        <v>857</v>
      </c>
      <c r="E891" s="27" t="s">
        <v>59</v>
      </c>
      <c r="F891" s="27" t="s">
        <v>43</v>
      </c>
      <c r="G891" s="27" t="s">
        <v>475</v>
      </c>
      <c r="H891" s="27" t="s">
        <v>59</v>
      </c>
      <c r="I891" s="27" t="s">
        <v>143</v>
      </c>
      <c r="J891" s="27" t="s">
        <v>144</v>
      </c>
      <c r="K891" s="39" t="s">
        <v>851</v>
      </c>
      <c r="L891" s="41" t="s">
        <v>309</v>
      </c>
      <c r="M891" s="27"/>
      <c r="N891" s="27"/>
      <c r="O891" s="28" t="s">
        <v>2276</v>
      </c>
    </row>
    <row r="892" spans="1:15" ht="15" customHeight="1" x14ac:dyDescent="0.3">
      <c r="A892" s="31">
        <v>46023</v>
      </c>
      <c r="B892" s="27" t="s">
        <v>53</v>
      </c>
      <c r="C892" s="27" t="s">
        <v>858</v>
      </c>
      <c r="D892" s="27" t="s">
        <v>859</v>
      </c>
      <c r="E892" s="27" t="s">
        <v>59</v>
      </c>
      <c r="F892" s="27" t="s">
        <v>43</v>
      </c>
      <c r="G892" s="27" t="s">
        <v>475</v>
      </c>
      <c r="H892" s="27" t="s">
        <v>59</v>
      </c>
      <c r="I892" s="27" t="s">
        <v>143</v>
      </c>
      <c r="J892" s="27" t="s">
        <v>144</v>
      </c>
      <c r="K892" s="39" t="s">
        <v>851</v>
      </c>
      <c r="L892" s="41" t="s">
        <v>309</v>
      </c>
      <c r="M892" s="27"/>
      <c r="N892" s="27"/>
      <c r="O892" s="28" t="s">
        <v>2276</v>
      </c>
    </row>
    <row r="893" spans="1:15" ht="15" customHeight="1" x14ac:dyDescent="0.3">
      <c r="A893" s="31">
        <v>46023</v>
      </c>
      <c r="B893" s="27" t="s">
        <v>53</v>
      </c>
      <c r="C893" s="27" t="s">
        <v>860</v>
      </c>
      <c r="D893" s="27" t="s">
        <v>861</v>
      </c>
      <c r="E893" s="27" t="s">
        <v>59</v>
      </c>
      <c r="F893" s="27" t="s">
        <v>43</v>
      </c>
      <c r="G893" s="27" t="s">
        <v>475</v>
      </c>
      <c r="H893" s="27" t="s">
        <v>59</v>
      </c>
      <c r="I893" s="27" t="s">
        <v>143</v>
      </c>
      <c r="J893" s="27" t="s">
        <v>144</v>
      </c>
      <c r="K893" s="39" t="s">
        <v>851</v>
      </c>
      <c r="L893" s="41" t="s">
        <v>309</v>
      </c>
      <c r="M893" s="27"/>
      <c r="N893" s="27"/>
      <c r="O893" s="28" t="s">
        <v>2276</v>
      </c>
    </row>
    <row r="894" spans="1:15" ht="15" customHeight="1" x14ac:dyDescent="0.3">
      <c r="A894" s="31">
        <v>46023</v>
      </c>
      <c r="B894" s="27" t="s">
        <v>53</v>
      </c>
      <c r="C894" s="27" t="s">
        <v>862</v>
      </c>
      <c r="D894" s="27" t="s">
        <v>863</v>
      </c>
      <c r="E894" s="27" t="s">
        <v>59</v>
      </c>
      <c r="F894" s="27" t="s">
        <v>43</v>
      </c>
      <c r="G894" s="27" t="s">
        <v>475</v>
      </c>
      <c r="H894" s="27" t="s">
        <v>59</v>
      </c>
      <c r="I894" s="27" t="s">
        <v>143</v>
      </c>
      <c r="J894" s="27" t="s">
        <v>144</v>
      </c>
      <c r="K894" s="39" t="s">
        <v>851</v>
      </c>
      <c r="L894" s="41" t="s">
        <v>309</v>
      </c>
      <c r="M894" s="27"/>
      <c r="N894" s="27"/>
      <c r="O894" s="28" t="s">
        <v>2276</v>
      </c>
    </row>
    <row r="895" spans="1:15" ht="15" customHeight="1" x14ac:dyDescent="0.3">
      <c r="A895" s="31">
        <v>46023</v>
      </c>
      <c r="B895" s="27" t="s">
        <v>53</v>
      </c>
      <c r="C895" s="27" t="s">
        <v>864</v>
      </c>
      <c r="D895" s="27" t="s">
        <v>865</v>
      </c>
      <c r="E895" s="27" t="s">
        <v>59</v>
      </c>
      <c r="F895" s="27" t="s">
        <v>43</v>
      </c>
      <c r="G895" s="27" t="s">
        <v>475</v>
      </c>
      <c r="H895" s="27" t="s">
        <v>59</v>
      </c>
      <c r="I895" s="27" t="s">
        <v>143</v>
      </c>
      <c r="J895" s="27" t="s">
        <v>144</v>
      </c>
      <c r="K895" s="39" t="s">
        <v>851</v>
      </c>
      <c r="L895" s="41" t="s">
        <v>309</v>
      </c>
      <c r="M895" s="27"/>
      <c r="N895" s="27"/>
      <c r="O895" s="28" t="s">
        <v>2276</v>
      </c>
    </row>
    <row r="896" spans="1:15" ht="15" customHeight="1" x14ac:dyDescent="0.3">
      <c r="A896" s="31">
        <v>46023</v>
      </c>
      <c r="B896" s="27" t="s">
        <v>53</v>
      </c>
      <c r="C896" s="27" t="s">
        <v>866</v>
      </c>
      <c r="D896" s="27" t="s">
        <v>867</v>
      </c>
      <c r="E896" s="27" t="s">
        <v>59</v>
      </c>
      <c r="F896" s="27" t="s">
        <v>43</v>
      </c>
      <c r="G896" s="27" t="s">
        <v>475</v>
      </c>
      <c r="H896" s="27" t="s">
        <v>59</v>
      </c>
      <c r="I896" s="27" t="s">
        <v>143</v>
      </c>
      <c r="J896" s="27" t="s">
        <v>144</v>
      </c>
      <c r="K896" s="39" t="s">
        <v>851</v>
      </c>
      <c r="L896" s="41" t="s">
        <v>309</v>
      </c>
      <c r="M896" s="27"/>
      <c r="N896" s="27"/>
      <c r="O896" s="28" t="s">
        <v>2276</v>
      </c>
    </row>
    <row r="897" spans="1:15" ht="15" customHeight="1" x14ac:dyDescent="0.3">
      <c r="A897" s="31">
        <v>46023</v>
      </c>
      <c r="B897" s="27" t="s">
        <v>53</v>
      </c>
      <c r="C897" s="27" t="s">
        <v>868</v>
      </c>
      <c r="D897" s="27" t="s">
        <v>869</v>
      </c>
      <c r="E897" s="27" t="s">
        <v>59</v>
      </c>
      <c r="F897" s="27" t="s">
        <v>43</v>
      </c>
      <c r="G897" s="27" t="s">
        <v>475</v>
      </c>
      <c r="H897" s="27" t="s">
        <v>59</v>
      </c>
      <c r="I897" s="27" t="s">
        <v>143</v>
      </c>
      <c r="J897" s="27" t="s">
        <v>144</v>
      </c>
      <c r="K897" s="39" t="s">
        <v>851</v>
      </c>
      <c r="L897" s="41" t="s">
        <v>309</v>
      </c>
      <c r="M897" s="27"/>
      <c r="N897" s="27"/>
      <c r="O897" s="28" t="s">
        <v>2276</v>
      </c>
    </row>
    <row r="898" spans="1:15" ht="15" customHeight="1" x14ac:dyDescent="0.3">
      <c r="A898" s="31">
        <v>46023</v>
      </c>
      <c r="B898" s="27" t="s">
        <v>53</v>
      </c>
      <c r="C898" s="27" t="s">
        <v>870</v>
      </c>
      <c r="D898" s="27" t="s">
        <v>871</v>
      </c>
      <c r="E898" s="27" t="s">
        <v>59</v>
      </c>
      <c r="F898" s="27" t="s">
        <v>43</v>
      </c>
      <c r="G898" s="27" t="s">
        <v>475</v>
      </c>
      <c r="H898" s="27" t="s">
        <v>59</v>
      </c>
      <c r="I898" s="27" t="s">
        <v>143</v>
      </c>
      <c r="J898" s="27" t="s">
        <v>144</v>
      </c>
      <c r="K898" s="39" t="s">
        <v>851</v>
      </c>
      <c r="L898" s="41" t="s">
        <v>309</v>
      </c>
      <c r="M898" s="27"/>
      <c r="N898" s="27"/>
      <c r="O898" s="28" t="s">
        <v>2276</v>
      </c>
    </row>
    <row r="899" spans="1:15" ht="15" customHeight="1" x14ac:dyDescent="0.3">
      <c r="A899" s="31">
        <v>46023</v>
      </c>
      <c r="B899" s="27" t="s">
        <v>53</v>
      </c>
      <c r="C899" s="27" t="s">
        <v>872</v>
      </c>
      <c r="D899" s="27" t="s">
        <v>873</v>
      </c>
      <c r="E899" s="27" t="s">
        <v>59</v>
      </c>
      <c r="F899" s="27" t="s">
        <v>43</v>
      </c>
      <c r="G899" s="27" t="s">
        <v>475</v>
      </c>
      <c r="H899" s="27" t="s">
        <v>59</v>
      </c>
      <c r="I899" s="27" t="s">
        <v>143</v>
      </c>
      <c r="J899" s="27" t="s">
        <v>144</v>
      </c>
      <c r="K899" s="39" t="s">
        <v>851</v>
      </c>
      <c r="L899" s="41" t="s">
        <v>309</v>
      </c>
      <c r="M899" s="27"/>
      <c r="N899" s="27"/>
      <c r="O899" s="28" t="s">
        <v>2276</v>
      </c>
    </row>
    <row r="900" spans="1:15" ht="15" customHeight="1" x14ac:dyDescent="0.3">
      <c r="A900" s="31">
        <v>46023</v>
      </c>
      <c r="B900" s="27" t="s">
        <v>53</v>
      </c>
      <c r="C900" s="27" t="s">
        <v>874</v>
      </c>
      <c r="D900" s="27" t="s">
        <v>875</v>
      </c>
      <c r="E900" s="27" t="s">
        <v>59</v>
      </c>
      <c r="F900" s="27" t="s">
        <v>43</v>
      </c>
      <c r="G900" s="27" t="s">
        <v>475</v>
      </c>
      <c r="H900" s="27" t="s">
        <v>59</v>
      </c>
      <c r="I900" s="27" t="s">
        <v>143</v>
      </c>
      <c r="J900" s="27" t="s">
        <v>144</v>
      </c>
      <c r="K900" s="39" t="s">
        <v>851</v>
      </c>
      <c r="L900" s="41" t="s">
        <v>309</v>
      </c>
      <c r="M900" s="27"/>
      <c r="N900" s="27"/>
      <c r="O900" s="28" t="s">
        <v>2276</v>
      </c>
    </row>
    <row r="901" spans="1:15" ht="15" customHeight="1" x14ac:dyDescent="0.3">
      <c r="A901" s="31">
        <v>46023</v>
      </c>
      <c r="B901" s="27" t="s">
        <v>53</v>
      </c>
      <c r="C901" s="27" t="s">
        <v>876</v>
      </c>
      <c r="D901" s="27" t="s">
        <v>877</v>
      </c>
      <c r="E901" s="27" t="s">
        <v>59</v>
      </c>
      <c r="F901" s="27" t="s">
        <v>43</v>
      </c>
      <c r="G901" s="27" t="s">
        <v>475</v>
      </c>
      <c r="H901" s="27" t="s">
        <v>59</v>
      </c>
      <c r="I901" s="27" t="s">
        <v>116</v>
      </c>
      <c r="J901" s="27" t="s">
        <v>144</v>
      </c>
      <c r="K901" s="39" t="s">
        <v>851</v>
      </c>
      <c r="L901" s="41" t="s">
        <v>309</v>
      </c>
      <c r="M901" s="27"/>
      <c r="N901" s="27"/>
      <c r="O901" s="28" t="s">
        <v>2276</v>
      </c>
    </row>
    <row r="902" spans="1:15" ht="15" customHeight="1" x14ac:dyDescent="0.3">
      <c r="A902" s="31">
        <v>46023</v>
      </c>
      <c r="B902" s="27" t="s">
        <v>53</v>
      </c>
      <c r="C902" s="27" t="s">
        <v>878</v>
      </c>
      <c r="D902" s="27" t="s">
        <v>879</v>
      </c>
      <c r="E902" s="27" t="s">
        <v>59</v>
      </c>
      <c r="F902" s="27" t="s">
        <v>43</v>
      </c>
      <c r="G902" s="27" t="s">
        <v>475</v>
      </c>
      <c r="H902" s="27" t="s">
        <v>59</v>
      </c>
      <c r="I902" s="27" t="s">
        <v>116</v>
      </c>
      <c r="J902" s="27" t="s">
        <v>144</v>
      </c>
      <c r="K902" s="39" t="s">
        <v>851</v>
      </c>
      <c r="L902" s="41" t="s">
        <v>309</v>
      </c>
      <c r="M902" s="27"/>
      <c r="N902" s="27"/>
      <c r="O902" s="28" t="s">
        <v>2276</v>
      </c>
    </row>
    <row r="903" spans="1:15" ht="15" customHeight="1" x14ac:dyDescent="0.3">
      <c r="A903" s="31">
        <v>46023</v>
      </c>
      <c r="B903" s="27" t="s">
        <v>53</v>
      </c>
      <c r="C903" s="27" t="s">
        <v>880</v>
      </c>
      <c r="D903" s="27" t="s">
        <v>881</v>
      </c>
      <c r="E903" s="27" t="s">
        <v>59</v>
      </c>
      <c r="F903" s="27" t="s">
        <v>43</v>
      </c>
      <c r="G903" s="27" t="s">
        <v>475</v>
      </c>
      <c r="H903" s="27" t="s">
        <v>59</v>
      </c>
      <c r="I903" s="27" t="s">
        <v>116</v>
      </c>
      <c r="J903" s="27" t="s">
        <v>144</v>
      </c>
      <c r="K903" s="39" t="s">
        <v>851</v>
      </c>
      <c r="L903" s="41" t="s">
        <v>309</v>
      </c>
      <c r="M903" s="27"/>
      <c r="N903" s="27"/>
      <c r="O903" s="28" t="s">
        <v>2276</v>
      </c>
    </row>
    <row r="904" spans="1:15" ht="15" customHeight="1" x14ac:dyDescent="0.3">
      <c r="A904" s="31">
        <v>46023</v>
      </c>
      <c r="B904" s="27" t="s">
        <v>53</v>
      </c>
      <c r="C904" s="27" t="s">
        <v>882</v>
      </c>
      <c r="D904" s="27" t="s">
        <v>883</v>
      </c>
      <c r="E904" s="27" t="s">
        <v>59</v>
      </c>
      <c r="F904" s="27" t="s">
        <v>43</v>
      </c>
      <c r="G904" s="27" t="s">
        <v>475</v>
      </c>
      <c r="H904" s="27" t="s">
        <v>59</v>
      </c>
      <c r="I904" s="27" t="s">
        <v>116</v>
      </c>
      <c r="J904" s="27" t="s">
        <v>144</v>
      </c>
      <c r="K904" s="39" t="s">
        <v>851</v>
      </c>
      <c r="L904" s="41" t="s">
        <v>309</v>
      </c>
      <c r="M904" s="27"/>
      <c r="N904" s="27"/>
      <c r="O904" s="28" t="s">
        <v>2276</v>
      </c>
    </row>
    <row r="905" spans="1:15" ht="15" customHeight="1" x14ac:dyDescent="0.3">
      <c r="A905" s="31">
        <v>46023</v>
      </c>
      <c r="B905" s="27" t="s">
        <v>53</v>
      </c>
      <c r="C905" s="27" t="s">
        <v>884</v>
      </c>
      <c r="D905" s="27" t="s">
        <v>885</v>
      </c>
      <c r="E905" s="27" t="s">
        <v>59</v>
      </c>
      <c r="F905" s="27" t="s">
        <v>43</v>
      </c>
      <c r="G905" s="27" t="s">
        <v>475</v>
      </c>
      <c r="H905" s="27" t="s">
        <v>59</v>
      </c>
      <c r="I905" s="27" t="s">
        <v>116</v>
      </c>
      <c r="J905" s="27" t="s">
        <v>144</v>
      </c>
      <c r="K905" s="39" t="s">
        <v>886</v>
      </c>
      <c r="L905" s="41" t="s">
        <v>309</v>
      </c>
      <c r="M905" s="27"/>
      <c r="N905" s="27"/>
      <c r="O905" s="28" t="s">
        <v>2276</v>
      </c>
    </row>
    <row r="906" spans="1:15" ht="15" customHeight="1" x14ac:dyDescent="0.3">
      <c r="A906" s="31">
        <v>46023</v>
      </c>
      <c r="B906" s="27" t="s">
        <v>53</v>
      </c>
      <c r="C906" s="27" t="s">
        <v>887</v>
      </c>
      <c r="D906" s="27" t="s">
        <v>888</v>
      </c>
      <c r="E906" s="27" t="s">
        <v>59</v>
      </c>
      <c r="F906" s="27" t="s">
        <v>43</v>
      </c>
      <c r="G906" s="27" t="s">
        <v>475</v>
      </c>
      <c r="H906" s="27" t="s">
        <v>59</v>
      </c>
      <c r="I906" s="27" t="s">
        <v>116</v>
      </c>
      <c r="J906" s="27" t="s">
        <v>144</v>
      </c>
      <c r="K906" s="39" t="s">
        <v>886</v>
      </c>
      <c r="L906" s="41" t="s">
        <v>309</v>
      </c>
      <c r="M906" s="27"/>
      <c r="N906" s="27"/>
      <c r="O906" s="28" t="s">
        <v>2276</v>
      </c>
    </row>
    <row r="907" spans="1:15" ht="15" customHeight="1" x14ac:dyDescent="0.3">
      <c r="A907" s="31">
        <v>46023</v>
      </c>
      <c r="B907" s="27" t="s">
        <v>53</v>
      </c>
      <c r="C907" s="27" t="s">
        <v>889</v>
      </c>
      <c r="D907" s="27" t="s">
        <v>890</v>
      </c>
      <c r="E907" s="27" t="s">
        <v>59</v>
      </c>
      <c r="F907" s="27" t="s">
        <v>43</v>
      </c>
      <c r="G907" s="27" t="s">
        <v>475</v>
      </c>
      <c r="H907" s="27" t="s">
        <v>59</v>
      </c>
      <c r="I907" s="27" t="s">
        <v>116</v>
      </c>
      <c r="J907" s="27" t="s">
        <v>144</v>
      </c>
      <c r="K907" s="39" t="s">
        <v>886</v>
      </c>
      <c r="L907" s="41" t="s">
        <v>309</v>
      </c>
      <c r="M907" s="27"/>
      <c r="N907" s="27"/>
      <c r="O907" s="28" t="s">
        <v>2276</v>
      </c>
    </row>
    <row r="908" spans="1:15" ht="15" customHeight="1" x14ac:dyDescent="0.3">
      <c r="A908" s="31">
        <v>46023</v>
      </c>
      <c r="B908" s="27" t="s">
        <v>53</v>
      </c>
      <c r="C908" s="27" t="s">
        <v>891</v>
      </c>
      <c r="D908" s="27" t="s">
        <v>892</v>
      </c>
      <c r="E908" s="27" t="s">
        <v>59</v>
      </c>
      <c r="F908" s="27" t="s">
        <v>43</v>
      </c>
      <c r="G908" s="27" t="s">
        <v>475</v>
      </c>
      <c r="H908" s="27" t="s">
        <v>59</v>
      </c>
      <c r="I908" s="27" t="s">
        <v>116</v>
      </c>
      <c r="J908" s="27" t="s">
        <v>144</v>
      </c>
      <c r="K908" s="39" t="s">
        <v>886</v>
      </c>
      <c r="L908" s="41" t="s">
        <v>309</v>
      </c>
      <c r="M908" s="27"/>
      <c r="N908" s="27"/>
      <c r="O908" s="28" t="s">
        <v>2276</v>
      </c>
    </row>
    <row r="909" spans="1:15" ht="15" customHeight="1" x14ac:dyDescent="0.3">
      <c r="A909" s="31">
        <v>46023</v>
      </c>
      <c r="B909" s="27" t="s">
        <v>53</v>
      </c>
      <c r="C909" s="27" t="s">
        <v>893</v>
      </c>
      <c r="D909" s="27" t="s">
        <v>894</v>
      </c>
      <c r="E909" s="27" t="s">
        <v>59</v>
      </c>
      <c r="F909" s="27" t="s">
        <v>43</v>
      </c>
      <c r="G909" s="27" t="s">
        <v>475</v>
      </c>
      <c r="H909" s="27" t="s">
        <v>59</v>
      </c>
      <c r="I909" s="27" t="s">
        <v>116</v>
      </c>
      <c r="J909" s="27" t="s">
        <v>144</v>
      </c>
      <c r="K909" s="39" t="s">
        <v>886</v>
      </c>
      <c r="L909" s="41" t="s">
        <v>309</v>
      </c>
      <c r="M909" s="27"/>
      <c r="N909" s="27"/>
      <c r="O909" s="28" t="s">
        <v>2276</v>
      </c>
    </row>
    <row r="910" spans="1:15" ht="15" customHeight="1" x14ac:dyDescent="0.3">
      <c r="A910" s="31">
        <v>46023</v>
      </c>
      <c r="B910" s="27" t="s">
        <v>53</v>
      </c>
      <c r="C910" s="27" t="s">
        <v>895</v>
      </c>
      <c r="D910" s="27" t="s">
        <v>896</v>
      </c>
      <c r="E910" s="27" t="s">
        <v>59</v>
      </c>
      <c r="F910" s="27" t="s">
        <v>43</v>
      </c>
      <c r="G910" s="27" t="s">
        <v>475</v>
      </c>
      <c r="H910" s="27" t="s">
        <v>59</v>
      </c>
      <c r="I910" s="27" t="s">
        <v>116</v>
      </c>
      <c r="J910" s="27" t="s">
        <v>144</v>
      </c>
      <c r="K910" s="39" t="s">
        <v>886</v>
      </c>
      <c r="L910" s="41" t="s">
        <v>309</v>
      </c>
      <c r="M910" s="27"/>
      <c r="N910" s="27"/>
      <c r="O910" s="28" t="s">
        <v>2276</v>
      </c>
    </row>
    <row r="911" spans="1:15" ht="15" customHeight="1" x14ac:dyDescent="0.3">
      <c r="A911" s="31">
        <v>46023</v>
      </c>
      <c r="B911" s="27" t="s">
        <v>53</v>
      </c>
      <c r="C911" s="27" t="s">
        <v>897</v>
      </c>
      <c r="D911" s="27" t="s">
        <v>898</v>
      </c>
      <c r="E911" s="27" t="s">
        <v>59</v>
      </c>
      <c r="F911" s="27" t="s">
        <v>43</v>
      </c>
      <c r="G911" s="27" t="s">
        <v>475</v>
      </c>
      <c r="H911" s="27" t="s">
        <v>59</v>
      </c>
      <c r="I911" s="27" t="s">
        <v>116</v>
      </c>
      <c r="J911" s="27" t="s">
        <v>144</v>
      </c>
      <c r="K911" s="39" t="s">
        <v>886</v>
      </c>
      <c r="L911" s="41" t="s">
        <v>309</v>
      </c>
      <c r="M911" s="27"/>
      <c r="N911" s="27"/>
      <c r="O911" s="28" t="s">
        <v>2276</v>
      </c>
    </row>
    <row r="912" spans="1:15" ht="15" customHeight="1" x14ac:dyDescent="0.3">
      <c r="A912" s="31">
        <v>46023</v>
      </c>
      <c r="B912" s="27" t="s">
        <v>53</v>
      </c>
      <c r="C912" s="27" t="s">
        <v>899</v>
      </c>
      <c r="D912" s="27" t="s">
        <v>900</v>
      </c>
      <c r="E912" s="27" t="s">
        <v>59</v>
      </c>
      <c r="F912" s="27" t="s">
        <v>43</v>
      </c>
      <c r="G912" s="27" t="s">
        <v>475</v>
      </c>
      <c r="H912" s="27" t="s">
        <v>59</v>
      </c>
      <c r="I912" s="27" t="s">
        <v>116</v>
      </c>
      <c r="J912" s="27" t="s">
        <v>144</v>
      </c>
      <c r="K912" s="39" t="s">
        <v>886</v>
      </c>
      <c r="L912" s="41" t="s">
        <v>309</v>
      </c>
      <c r="M912" s="27"/>
      <c r="N912" s="27"/>
      <c r="O912" s="28" t="s">
        <v>2276</v>
      </c>
    </row>
    <row r="913" spans="1:15" ht="15" customHeight="1" x14ac:dyDescent="0.3">
      <c r="A913" s="31">
        <v>46023</v>
      </c>
      <c r="B913" s="27" t="s">
        <v>53</v>
      </c>
      <c r="C913" s="27" t="s">
        <v>901</v>
      </c>
      <c r="D913" s="27" t="s">
        <v>902</v>
      </c>
      <c r="E913" s="27" t="s">
        <v>59</v>
      </c>
      <c r="F913" s="27" t="s">
        <v>43</v>
      </c>
      <c r="G913" s="27" t="s">
        <v>475</v>
      </c>
      <c r="H913" s="27" t="s">
        <v>59</v>
      </c>
      <c r="I913" s="27" t="s">
        <v>116</v>
      </c>
      <c r="J913" s="27" t="s">
        <v>144</v>
      </c>
      <c r="K913" s="39" t="s">
        <v>886</v>
      </c>
      <c r="L913" s="41" t="s">
        <v>309</v>
      </c>
      <c r="M913" s="27"/>
      <c r="N913" s="27"/>
      <c r="O913" s="28" t="s">
        <v>2276</v>
      </c>
    </row>
    <row r="914" spans="1:15" ht="15" customHeight="1" x14ac:dyDescent="0.3">
      <c r="A914" s="31">
        <v>46023</v>
      </c>
      <c r="B914" s="27" t="s">
        <v>53</v>
      </c>
      <c r="C914" s="27" t="s">
        <v>903</v>
      </c>
      <c r="D914" s="27" t="s">
        <v>904</v>
      </c>
      <c r="E914" s="27" t="s">
        <v>59</v>
      </c>
      <c r="F914" s="27" t="s">
        <v>43</v>
      </c>
      <c r="G914" s="27" t="s">
        <v>475</v>
      </c>
      <c r="H914" s="27" t="s">
        <v>59</v>
      </c>
      <c r="I914" s="27" t="s">
        <v>116</v>
      </c>
      <c r="J914" s="27" t="s">
        <v>144</v>
      </c>
      <c r="K914" s="39" t="s">
        <v>886</v>
      </c>
      <c r="L914" s="41" t="s">
        <v>309</v>
      </c>
      <c r="M914" s="27"/>
      <c r="N914" s="27"/>
      <c r="O914" s="28" t="s">
        <v>2276</v>
      </c>
    </row>
    <row r="915" spans="1:15" ht="15" customHeight="1" x14ac:dyDescent="0.3">
      <c r="A915" s="31">
        <v>46023</v>
      </c>
      <c r="B915" s="27" t="s">
        <v>53</v>
      </c>
      <c r="C915" s="27" t="s">
        <v>905</v>
      </c>
      <c r="D915" s="27" t="s">
        <v>906</v>
      </c>
      <c r="E915" s="27" t="s">
        <v>59</v>
      </c>
      <c r="F915" s="27" t="s">
        <v>43</v>
      </c>
      <c r="G915" s="27" t="s">
        <v>475</v>
      </c>
      <c r="H915" s="27" t="s">
        <v>59</v>
      </c>
      <c r="I915" s="27" t="s">
        <v>116</v>
      </c>
      <c r="J915" s="27" t="s">
        <v>144</v>
      </c>
      <c r="K915" s="39" t="s">
        <v>886</v>
      </c>
      <c r="L915" s="41" t="s">
        <v>309</v>
      </c>
      <c r="M915" s="27"/>
      <c r="N915" s="27"/>
      <c r="O915" s="28" t="s">
        <v>2276</v>
      </c>
    </row>
    <row r="916" spans="1:15" ht="15" customHeight="1" x14ac:dyDescent="0.3">
      <c r="A916" s="31">
        <v>46023</v>
      </c>
      <c r="B916" s="27" t="s">
        <v>53</v>
      </c>
      <c r="C916" s="27" t="s">
        <v>907</v>
      </c>
      <c r="D916" s="27" t="s">
        <v>908</v>
      </c>
      <c r="E916" s="27" t="s">
        <v>59</v>
      </c>
      <c r="F916" s="27" t="s">
        <v>43</v>
      </c>
      <c r="G916" s="27" t="s">
        <v>475</v>
      </c>
      <c r="H916" s="27" t="s">
        <v>59</v>
      </c>
      <c r="I916" s="27" t="s">
        <v>116</v>
      </c>
      <c r="J916" s="27" t="s">
        <v>144</v>
      </c>
      <c r="K916" s="39" t="s">
        <v>886</v>
      </c>
      <c r="L916" s="41" t="s">
        <v>309</v>
      </c>
      <c r="M916" s="27"/>
      <c r="N916" s="27"/>
      <c r="O916" s="28" t="s">
        <v>2276</v>
      </c>
    </row>
    <row r="917" spans="1:15" ht="15" customHeight="1" x14ac:dyDescent="0.3">
      <c r="A917" s="31">
        <v>46023</v>
      </c>
      <c r="B917" s="27" t="s">
        <v>53</v>
      </c>
      <c r="C917" s="27" t="s">
        <v>909</v>
      </c>
      <c r="D917" s="27" t="s">
        <v>910</v>
      </c>
      <c r="E917" s="27" t="s">
        <v>59</v>
      </c>
      <c r="F917" s="27" t="s">
        <v>43</v>
      </c>
      <c r="G917" s="27" t="s">
        <v>475</v>
      </c>
      <c r="H917" s="27" t="s">
        <v>59</v>
      </c>
      <c r="I917" s="27" t="s">
        <v>116</v>
      </c>
      <c r="J917" s="27" t="s">
        <v>144</v>
      </c>
      <c r="K917" s="39" t="s">
        <v>886</v>
      </c>
      <c r="L917" s="41" t="s">
        <v>309</v>
      </c>
      <c r="M917" s="27"/>
      <c r="N917" s="27"/>
      <c r="O917" s="28" t="s">
        <v>2276</v>
      </c>
    </row>
    <row r="918" spans="1:15" ht="15" customHeight="1" x14ac:dyDescent="0.3">
      <c r="A918" s="31">
        <v>46023</v>
      </c>
      <c r="B918" s="27" t="s">
        <v>53</v>
      </c>
      <c r="C918" s="27" t="s">
        <v>911</v>
      </c>
      <c r="D918" s="27" t="s">
        <v>912</v>
      </c>
      <c r="E918" s="27" t="s">
        <v>59</v>
      </c>
      <c r="F918" s="27" t="s">
        <v>43</v>
      </c>
      <c r="G918" s="27" t="s">
        <v>475</v>
      </c>
      <c r="H918" s="27" t="s">
        <v>59</v>
      </c>
      <c r="I918" s="27" t="s">
        <v>116</v>
      </c>
      <c r="J918" s="27" t="s">
        <v>144</v>
      </c>
      <c r="K918" s="39" t="s">
        <v>886</v>
      </c>
      <c r="L918" s="41" t="s">
        <v>309</v>
      </c>
      <c r="M918" s="27"/>
      <c r="N918" s="27"/>
      <c r="O918" s="28" t="s">
        <v>2276</v>
      </c>
    </row>
    <row r="919" spans="1:15" ht="15" customHeight="1" x14ac:dyDescent="0.3">
      <c r="A919" s="31">
        <v>46023</v>
      </c>
      <c r="B919" s="27" t="s">
        <v>53</v>
      </c>
      <c r="C919" s="27" t="s">
        <v>913</v>
      </c>
      <c r="D919" s="27" t="s">
        <v>914</v>
      </c>
      <c r="E919" s="27" t="s">
        <v>59</v>
      </c>
      <c r="F919" s="27" t="s">
        <v>43</v>
      </c>
      <c r="G919" s="27" t="s">
        <v>475</v>
      </c>
      <c r="H919" s="27" t="s">
        <v>59</v>
      </c>
      <c r="I919" s="27" t="s">
        <v>116</v>
      </c>
      <c r="J919" s="27" t="s">
        <v>144</v>
      </c>
      <c r="K919" s="39" t="s">
        <v>886</v>
      </c>
      <c r="L919" s="41" t="s">
        <v>309</v>
      </c>
      <c r="M919" s="27"/>
      <c r="N919" s="27"/>
      <c r="O919" s="28" t="s">
        <v>2276</v>
      </c>
    </row>
    <row r="920" spans="1:15" ht="15" customHeight="1" x14ac:dyDescent="0.3">
      <c r="A920" s="31">
        <v>46023</v>
      </c>
      <c r="B920" s="27" t="s">
        <v>53</v>
      </c>
      <c r="C920" s="27" t="s">
        <v>915</v>
      </c>
      <c r="D920" s="27" t="s">
        <v>916</v>
      </c>
      <c r="E920" s="27" t="s">
        <v>59</v>
      </c>
      <c r="F920" s="27" t="s">
        <v>43</v>
      </c>
      <c r="G920" s="27" t="s">
        <v>475</v>
      </c>
      <c r="H920" s="27" t="s">
        <v>59</v>
      </c>
      <c r="I920" s="27" t="s">
        <v>116</v>
      </c>
      <c r="J920" s="27" t="s">
        <v>144</v>
      </c>
      <c r="K920" s="39" t="s">
        <v>886</v>
      </c>
      <c r="L920" s="41" t="s">
        <v>309</v>
      </c>
      <c r="M920" s="27"/>
      <c r="N920" s="27"/>
      <c r="O920" s="28" t="s">
        <v>2276</v>
      </c>
    </row>
    <row r="921" spans="1:15" ht="15" customHeight="1" x14ac:dyDescent="0.3">
      <c r="A921" s="31">
        <v>46023</v>
      </c>
      <c r="B921" s="27" t="s">
        <v>53</v>
      </c>
      <c r="C921" s="27" t="s">
        <v>917</v>
      </c>
      <c r="D921" s="27" t="s">
        <v>918</v>
      </c>
      <c r="E921" s="27" t="s">
        <v>59</v>
      </c>
      <c r="F921" s="27" t="s">
        <v>43</v>
      </c>
      <c r="G921" s="27" t="s">
        <v>475</v>
      </c>
      <c r="H921" s="27" t="s">
        <v>59</v>
      </c>
      <c r="I921" s="27" t="s">
        <v>116</v>
      </c>
      <c r="J921" s="27" t="s">
        <v>144</v>
      </c>
      <c r="K921" s="39" t="s">
        <v>886</v>
      </c>
      <c r="L921" s="41" t="s">
        <v>309</v>
      </c>
      <c r="M921" s="27"/>
      <c r="N921" s="27"/>
      <c r="O921" s="28" t="s">
        <v>2276</v>
      </c>
    </row>
    <row r="922" spans="1:15" ht="15" customHeight="1" x14ac:dyDescent="0.3">
      <c r="A922" s="31">
        <v>46023</v>
      </c>
      <c r="B922" s="27" t="s">
        <v>53</v>
      </c>
      <c r="C922" s="27" t="s">
        <v>919</v>
      </c>
      <c r="D922" s="27" t="s">
        <v>920</v>
      </c>
      <c r="E922" s="27" t="s">
        <v>59</v>
      </c>
      <c r="F922" s="27" t="s">
        <v>43</v>
      </c>
      <c r="G922" s="27" t="s">
        <v>475</v>
      </c>
      <c r="H922" s="27" t="s">
        <v>59</v>
      </c>
      <c r="I922" s="27" t="s">
        <v>116</v>
      </c>
      <c r="J922" s="27" t="s">
        <v>144</v>
      </c>
      <c r="K922" s="39" t="s">
        <v>886</v>
      </c>
      <c r="L922" s="41" t="s">
        <v>309</v>
      </c>
      <c r="M922" s="27"/>
      <c r="N922" s="27"/>
      <c r="O922" s="28" t="s">
        <v>2276</v>
      </c>
    </row>
    <row r="923" spans="1:15" ht="15" customHeight="1" x14ac:dyDescent="0.3">
      <c r="A923" s="31">
        <v>46023</v>
      </c>
      <c r="B923" s="27" t="s">
        <v>53</v>
      </c>
      <c r="C923" s="27" t="s">
        <v>921</v>
      </c>
      <c r="D923" s="27" t="s">
        <v>922</v>
      </c>
      <c r="E923" s="27" t="s">
        <v>59</v>
      </c>
      <c r="F923" s="27" t="s">
        <v>43</v>
      </c>
      <c r="G923" s="27" t="s">
        <v>475</v>
      </c>
      <c r="H923" s="27" t="s">
        <v>59</v>
      </c>
      <c r="I923" s="27" t="s">
        <v>116</v>
      </c>
      <c r="J923" s="27" t="s">
        <v>144</v>
      </c>
      <c r="K923" s="39" t="s">
        <v>886</v>
      </c>
      <c r="L923" s="41" t="s">
        <v>309</v>
      </c>
      <c r="M923" s="27"/>
      <c r="N923" s="27"/>
      <c r="O923" s="28" t="s">
        <v>2276</v>
      </c>
    </row>
    <row r="924" spans="1:15" ht="15" customHeight="1" x14ac:dyDescent="0.3">
      <c r="A924" s="31">
        <v>46023</v>
      </c>
      <c r="B924" s="27" t="s">
        <v>53</v>
      </c>
      <c r="C924" s="27" t="s">
        <v>923</v>
      </c>
      <c r="D924" s="27" t="s">
        <v>924</v>
      </c>
      <c r="E924" s="27" t="s">
        <v>59</v>
      </c>
      <c r="F924" s="27" t="s">
        <v>43</v>
      </c>
      <c r="G924" s="27" t="s">
        <v>475</v>
      </c>
      <c r="H924" s="27" t="s">
        <v>59</v>
      </c>
      <c r="I924" s="27" t="s">
        <v>116</v>
      </c>
      <c r="J924" s="27" t="s">
        <v>144</v>
      </c>
      <c r="K924" s="39" t="s">
        <v>886</v>
      </c>
      <c r="L924" s="41" t="s">
        <v>309</v>
      </c>
      <c r="M924" s="27"/>
      <c r="N924" s="27"/>
      <c r="O924" s="28" t="s">
        <v>2276</v>
      </c>
    </row>
    <row r="925" spans="1:15" ht="15" customHeight="1" x14ac:dyDescent="0.3">
      <c r="A925" s="31">
        <v>46023</v>
      </c>
      <c r="B925" s="27" t="s">
        <v>53</v>
      </c>
      <c r="C925" s="27" t="s">
        <v>925</v>
      </c>
      <c r="D925" s="27" t="s">
        <v>926</v>
      </c>
      <c r="E925" s="27" t="s">
        <v>59</v>
      </c>
      <c r="F925" s="27" t="s">
        <v>43</v>
      </c>
      <c r="G925" s="27" t="s">
        <v>475</v>
      </c>
      <c r="H925" s="27" t="s">
        <v>59</v>
      </c>
      <c r="I925" s="27" t="s">
        <v>116</v>
      </c>
      <c r="J925" s="27" t="s">
        <v>144</v>
      </c>
      <c r="K925" s="39" t="s">
        <v>886</v>
      </c>
      <c r="L925" s="41" t="s">
        <v>309</v>
      </c>
      <c r="M925" s="27"/>
      <c r="N925" s="27"/>
      <c r="O925" s="28" t="s">
        <v>2276</v>
      </c>
    </row>
    <row r="926" spans="1:15" ht="15" customHeight="1" x14ac:dyDescent="0.3">
      <c r="A926" s="31">
        <v>46023</v>
      </c>
      <c r="B926" s="27" t="s">
        <v>53</v>
      </c>
      <c r="C926" s="27" t="s">
        <v>927</v>
      </c>
      <c r="D926" s="27" t="s">
        <v>928</v>
      </c>
      <c r="E926" s="27" t="s">
        <v>59</v>
      </c>
      <c r="F926" s="27" t="s">
        <v>43</v>
      </c>
      <c r="G926" s="27" t="s">
        <v>475</v>
      </c>
      <c r="H926" s="27" t="s">
        <v>59</v>
      </c>
      <c r="I926" s="27" t="s">
        <v>116</v>
      </c>
      <c r="J926" s="27" t="s">
        <v>144</v>
      </c>
      <c r="K926" s="39" t="s">
        <v>886</v>
      </c>
      <c r="L926" s="41" t="s">
        <v>309</v>
      </c>
      <c r="M926" s="27"/>
      <c r="N926" s="27"/>
      <c r="O926" s="28" t="s">
        <v>2276</v>
      </c>
    </row>
    <row r="927" spans="1:15" ht="15" customHeight="1" x14ac:dyDescent="0.3">
      <c r="A927" s="31">
        <v>46023</v>
      </c>
      <c r="B927" s="27" t="s">
        <v>53</v>
      </c>
      <c r="C927" s="27" t="s">
        <v>929</v>
      </c>
      <c r="D927" s="27" t="s">
        <v>930</v>
      </c>
      <c r="E927" s="27" t="s">
        <v>59</v>
      </c>
      <c r="F927" s="27" t="s">
        <v>43</v>
      </c>
      <c r="G927" s="27" t="s">
        <v>475</v>
      </c>
      <c r="H927" s="27" t="s">
        <v>59</v>
      </c>
      <c r="I927" s="27" t="s">
        <v>116</v>
      </c>
      <c r="J927" s="27" t="s">
        <v>144</v>
      </c>
      <c r="K927" s="39" t="s">
        <v>886</v>
      </c>
      <c r="L927" s="41" t="s">
        <v>309</v>
      </c>
      <c r="M927" s="27"/>
      <c r="N927" s="27"/>
      <c r="O927" s="28" t="s">
        <v>2276</v>
      </c>
    </row>
    <row r="928" spans="1:15" ht="15" customHeight="1" x14ac:dyDescent="0.3">
      <c r="A928" s="31">
        <v>46023</v>
      </c>
      <c r="B928" s="27" t="s">
        <v>53</v>
      </c>
      <c r="C928" s="27" t="s">
        <v>931</v>
      </c>
      <c r="D928" s="27" t="s">
        <v>932</v>
      </c>
      <c r="E928" s="27" t="s">
        <v>59</v>
      </c>
      <c r="F928" s="27" t="s">
        <v>43</v>
      </c>
      <c r="G928" s="27" t="s">
        <v>475</v>
      </c>
      <c r="H928" s="27" t="s">
        <v>59</v>
      </c>
      <c r="I928" s="27" t="s">
        <v>116</v>
      </c>
      <c r="J928" s="27" t="s">
        <v>144</v>
      </c>
      <c r="K928" s="39" t="s">
        <v>886</v>
      </c>
      <c r="L928" s="41" t="s">
        <v>309</v>
      </c>
      <c r="M928" s="27"/>
      <c r="N928" s="27"/>
      <c r="O928" s="28" t="s">
        <v>2276</v>
      </c>
    </row>
    <row r="929" spans="1:15" ht="15" customHeight="1" x14ac:dyDescent="0.3">
      <c r="A929" s="31">
        <v>46023</v>
      </c>
      <c r="B929" s="27" t="s">
        <v>53</v>
      </c>
      <c r="C929" s="27" t="s">
        <v>933</v>
      </c>
      <c r="D929" s="27" t="s">
        <v>934</v>
      </c>
      <c r="E929" s="27" t="s">
        <v>59</v>
      </c>
      <c r="F929" s="27" t="s">
        <v>43</v>
      </c>
      <c r="G929" s="27" t="s">
        <v>475</v>
      </c>
      <c r="H929" s="27" t="s">
        <v>59</v>
      </c>
      <c r="I929" s="27" t="s">
        <v>116</v>
      </c>
      <c r="J929" s="27" t="s">
        <v>144</v>
      </c>
      <c r="K929" s="39" t="s">
        <v>886</v>
      </c>
      <c r="L929" s="41" t="s">
        <v>309</v>
      </c>
      <c r="M929" s="27"/>
      <c r="N929" s="27"/>
      <c r="O929" s="28" t="s">
        <v>2276</v>
      </c>
    </row>
    <row r="930" spans="1:15" ht="15" customHeight="1" x14ac:dyDescent="0.3">
      <c r="A930" s="31">
        <v>46023</v>
      </c>
      <c r="B930" s="27" t="s">
        <v>53</v>
      </c>
      <c r="C930" s="27" t="s">
        <v>935</v>
      </c>
      <c r="D930" s="27" t="s">
        <v>928</v>
      </c>
      <c r="E930" s="27" t="s">
        <v>59</v>
      </c>
      <c r="F930" s="27" t="s">
        <v>43</v>
      </c>
      <c r="G930" s="27" t="s">
        <v>475</v>
      </c>
      <c r="H930" s="27" t="s">
        <v>59</v>
      </c>
      <c r="I930" s="27" t="s">
        <v>116</v>
      </c>
      <c r="J930" s="27" t="s">
        <v>144</v>
      </c>
      <c r="K930" s="39" t="s">
        <v>886</v>
      </c>
      <c r="L930" s="41" t="s">
        <v>309</v>
      </c>
      <c r="M930" s="27"/>
      <c r="N930" s="27"/>
      <c r="O930" s="28" t="s">
        <v>2276</v>
      </c>
    </row>
    <row r="931" spans="1:15" ht="15" customHeight="1" x14ac:dyDescent="0.3">
      <c r="A931" s="31">
        <v>46023</v>
      </c>
      <c r="B931" s="27" t="s">
        <v>53</v>
      </c>
      <c r="C931" s="27" t="s">
        <v>936</v>
      </c>
      <c r="D931" s="27" t="s">
        <v>937</v>
      </c>
      <c r="E931" s="27" t="s">
        <v>59</v>
      </c>
      <c r="F931" s="27" t="s">
        <v>43</v>
      </c>
      <c r="G931" s="27" t="s">
        <v>475</v>
      </c>
      <c r="H931" s="27" t="s">
        <v>59</v>
      </c>
      <c r="I931" s="27" t="s">
        <v>116</v>
      </c>
      <c r="J931" s="27" t="s">
        <v>144</v>
      </c>
      <c r="K931" s="39" t="s">
        <v>886</v>
      </c>
      <c r="L931" s="41" t="s">
        <v>309</v>
      </c>
      <c r="M931" s="27"/>
      <c r="N931" s="27"/>
      <c r="O931" s="28" t="s">
        <v>2276</v>
      </c>
    </row>
    <row r="932" spans="1:15" ht="15" customHeight="1" x14ac:dyDescent="0.3">
      <c r="A932" s="31">
        <v>46023</v>
      </c>
      <c r="B932" s="27" t="s">
        <v>53</v>
      </c>
      <c r="C932" s="27" t="s">
        <v>938</v>
      </c>
      <c r="D932" s="27" t="s">
        <v>939</v>
      </c>
      <c r="E932" s="27" t="s">
        <v>59</v>
      </c>
      <c r="F932" s="27" t="s">
        <v>43</v>
      </c>
      <c r="G932" s="27" t="s">
        <v>475</v>
      </c>
      <c r="H932" s="27" t="s">
        <v>59</v>
      </c>
      <c r="I932" s="27" t="s">
        <v>116</v>
      </c>
      <c r="J932" s="27" t="s">
        <v>144</v>
      </c>
      <c r="K932" s="39" t="s">
        <v>886</v>
      </c>
      <c r="L932" s="41" t="s">
        <v>309</v>
      </c>
      <c r="M932" s="27"/>
      <c r="N932" s="27"/>
      <c r="O932" s="28" t="s">
        <v>2276</v>
      </c>
    </row>
    <row r="933" spans="1:15" ht="15" customHeight="1" x14ac:dyDescent="0.3">
      <c r="A933" s="31">
        <v>46023</v>
      </c>
      <c r="B933" s="27" t="s">
        <v>53</v>
      </c>
      <c r="C933" s="27" t="s">
        <v>940</v>
      </c>
      <c r="D933" s="27" t="s">
        <v>941</v>
      </c>
      <c r="E933" s="27" t="s">
        <v>59</v>
      </c>
      <c r="F933" s="27" t="s">
        <v>43</v>
      </c>
      <c r="G933" s="27" t="s">
        <v>475</v>
      </c>
      <c r="H933" s="27" t="s">
        <v>59</v>
      </c>
      <c r="I933" s="27" t="s">
        <v>116</v>
      </c>
      <c r="J933" s="27" t="s">
        <v>144</v>
      </c>
      <c r="K933" s="39" t="s">
        <v>886</v>
      </c>
      <c r="L933" s="41" t="s">
        <v>309</v>
      </c>
      <c r="M933" s="27"/>
      <c r="N933" s="27"/>
      <c r="O933" s="28" t="s">
        <v>2276</v>
      </c>
    </row>
    <row r="934" spans="1:15" ht="15" customHeight="1" x14ac:dyDescent="0.3">
      <c r="A934" s="31">
        <v>46023</v>
      </c>
      <c r="B934" s="27" t="s">
        <v>53</v>
      </c>
      <c r="C934" s="27" t="s">
        <v>942</v>
      </c>
      <c r="D934" s="27" t="s">
        <v>943</v>
      </c>
      <c r="E934" s="27" t="s">
        <v>59</v>
      </c>
      <c r="F934" s="27" t="s">
        <v>43</v>
      </c>
      <c r="G934" s="27" t="s">
        <v>475</v>
      </c>
      <c r="H934" s="27" t="s">
        <v>59</v>
      </c>
      <c r="I934" s="27" t="s">
        <v>116</v>
      </c>
      <c r="J934" s="27" t="s">
        <v>144</v>
      </c>
      <c r="K934" s="39" t="s">
        <v>886</v>
      </c>
      <c r="L934" s="41" t="s">
        <v>309</v>
      </c>
      <c r="M934" s="27"/>
      <c r="N934" s="27"/>
      <c r="O934" s="28" t="s">
        <v>2276</v>
      </c>
    </row>
    <row r="935" spans="1:15" ht="15" customHeight="1" x14ac:dyDescent="0.3">
      <c r="A935" s="31">
        <v>46023</v>
      </c>
      <c r="B935" s="27" t="s">
        <v>53</v>
      </c>
      <c r="C935" s="27" t="s">
        <v>944</v>
      </c>
      <c r="D935" s="27" t="s">
        <v>945</v>
      </c>
      <c r="E935" s="27" t="s">
        <v>59</v>
      </c>
      <c r="F935" s="27" t="s">
        <v>43</v>
      </c>
      <c r="G935" s="27" t="s">
        <v>475</v>
      </c>
      <c r="H935" s="27" t="s">
        <v>59</v>
      </c>
      <c r="I935" s="27" t="s">
        <v>116</v>
      </c>
      <c r="J935" s="27" t="s">
        <v>144</v>
      </c>
      <c r="K935" s="39" t="s">
        <v>886</v>
      </c>
      <c r="L935" s="41" t="s">
        <v>309</v>
      </c>
      <c r="M935" s="27"/>
      <c r="N935" s="27"/>
      <c r="O935" s="28" t="s">
        <v>2276</v>
      </c>
    </row>
    <row r="936" spans="1:15" ht="15" customHeight="1" x14ac:dyDescent="0.3">
      <c r="A936" s="31">
        <v>46023</v>
      </c>
      <c r="B936" s="27" t="s">
        <v>53</v>
      </c>
      <c r="C936" s="27" t="s">
        <v>946</v>
      </c>
      <c r="D936" s="27" t="s">
        <v>947</v>
      </c>
      <c r="E936" s="27" t="s">
        <v>59</v>
      </c>
      <c r="F936" s="27" t="s">
        <v>43</v>
      </c>
      <c r="G936" s="27" t="s">
        <v>475</v>
      </c>
      <c r="H936" s="27" t="s">
        <v>59</v>
      </c>
      <c r="I936" s="27" t="s">
        <v>116</v>
      </c>
      <c r="J936" s="27" t="s">
        <v>144</v>
      </c>
      <c r="K936" s="39" t="s">
        <v>886</v>
      </c>
      <c r="L936" s="41" t="s">
        <v>309</v>
      </c>
      <c r="M936" s="27"/>
      <c r="N936" s="27"/>
      <c r="O936" s="28"/>
    </row>
    <row r="937" spans="1:15" ht="15" customHeight="1" x14ac:dyDescent="0.3">
      <c r="A937" s="31">
        <v>46023</v>
      </c>
      <c r="B937" s="27" t="s">
        <v>53</v>
      </c>
      <c r="C937" s="27" t="s">
        <v>948</v>
      </c>
      <c r="D937" s="27" t="s">
        <v>949</v>
      </c>
      <c r="E937" s="27" t="s">
        <v>59</v>
      </c>
      <c r="F937" s="27" t="s">
        <v>43</v>
      </c>
      <c r="G937" s="27" t="s">
        <v>475</v>
      </c>
      <c r="H937" s="27" t="s">
        <v>59</v>
      </c>
      <c r="I937" s="27" t="s">
        <v>116</v>
      </c>
      <c r="J937" s="27" t="s">
        <v>144</v>
      </c>
      <c r="K937" s="39" t="s">
        <v>886</v>
      </c>
      <c r="L937" s="41" t="s">
        <v>309</v>
      </c>
      <c r="M937" s="27"/>
      <c r="N937" s="27"/>
      <c r="O937" s="28"/>
    </row>
    <row r="938" spans="1:15" ht="15" customHeight="1" x14ac:dyDescent="0.3">
      <c r="A938" s="31">
        <v>46023</v>
      </c>
      <c r="B938" s="27" t="s">
        <v>53</v>
      </c>
      <c r="C938" s="27" t="s">
        <v>950</v>
      </c>
      <c r="D938" s="27" t="s">
        <v>951</v>
      </c>
      <c r="E938" s="27" t="s">
        <v>59</v>
      </c>
      <c r="F938" s="27" t="s">
        <v>43</v>
      </c>
      <c r="G938" s="27" t="s">
        <v>475</v>
      </c>
      <c r="H938" s="27" t="s">
        <v>59</v>
      </c>
      <c r="I938" s="27" t="s">
        <v>116</v>
      </c>
      <c r="J938" s="27" t="s">
        <v>144</v>
      </c>
      <c r="K938" s="39" t="s">
        <v>886</v>
      </c>
      <c r="L938" s="41" t="s">
        <v>309</v>
      </c>
      <c r="M938" s="27"/>
      <c r="N938" s="27"/>
      <c r="O938" s="28"/>
    </row>
    <row r="939" spans="1:15" ht="15" customHeight="1" x14ac:dyDescent="0.3">
      <c r="A939" s="31">
        <v>46023</v>
      </c>
      <c r="B939" s="27" t="s">
        <v>53</v>
      </c>
      <c r="C939" s="27" t="s">
        <v>952</v>
      </c>
      <c r="D939" s="27" t="s">
        <v>953</v>
      </c>
      <c r="E939" s="27" t="s">
        <v>59</v>
      </c>
      <c r="F939" s="27" t="s">
        <v>43</v>
      </c>
      <c r="G939" s="27" t="s">
        <v>475</v>
      </c>
      <c r="H939" s="27" t="s">
        <v>59</v>
      </c>
      <c r="I939" s="27" t="s">
        <v>116</v>
      </c>
      <c r="J939" s="27" t="s">
        <v>144</v>
      </c>
      <c r="K939" s="39" t="s">
        <v>886</v>
      </c>
      <c r="L939" s="41" t="s">
        <v>309</v>
      </c>
      <c r="M939" s="27"/>
      <c r="N939" s="27"/>
      <c r="O939" s="28"/>
    </row>
    <row r="940" spans="1:15" ht="15" customHeight="1" x14ac:dyDescent="0.3">
      <c r="A940" s="31">
        <v>46023</v>
      </c>
      <c r="B940" s="27" t="s">
        <v>53</v>
      </c>
      <c r="C940" s="27" t="s">
        <v>954</v>
      </c>
      <c r="D940" s="27" t="s">
        <v>955</v>
      </c>
      <c r="E940" s="27" t="s">
        <v>59</v>
      </c>
      <c r="F940" s="27" t="s">
        <v>43</v>
      </c>
      <c r="G940" s="27" t="s">
        <v>475</v>
      </c>
      <c r="H940" s="27" t="s">
        <v>59</v>
      </c>
      <c r="I940" s="27" t="s">
        <v>116</v>
      </c>
      <c r="J940" s="27" t="s">
        <v>144</v>
      </c>
      <c r="K940" s="39" t="s">
        <v>886</v>
      </c>
      <c r="L940" s="41" t="s">
        <v>309</v>
      </c>
      <c r="M940" s="27"/>
      <c r="N940" s="27"/>
      <c r="O940" s="28"/>
    </row>
    <row r="941" spans="1:15" ht="15" customHeight="1" x14ac:dyDescent="0.3">
      <c r="A941" s="31">
        <v>46023</v>
      </c>
      <c r="B941" s="27" t="s">
        <v>53</v>
      </c>
      <c r="C941" s="27" t="s">
        <v>956</v>
      </c>
      <c r="D941" s="27" t="s">
        <v>957</v>
      </c>
      <c r="E941" s="27" t="s">
        <v>59</v>
      </c>
      <c r="F941" s="27" t="s">
        <v>43</v>
      </c>
      <c r="G941" s="27" t="s">
        <v>475</v>
      </c>
      <c r="H941" s="27" t="s">
        <v>59</v>
      </c>
      <c r="I941" s="27" t="s">
        <v>116</v>
      </c>
      <c r="J941" s="27" t="s">
        <v>144</v>
      </c>
      <c r="K941" s="39" t="s">
        <v>886</v>
      </c>
      <c r="L941" s="41" t="s">
        <v>309</v>
      </c>
      <c r="M941" s="27"/>
      <c r="N941" s="27"/>
      <c r="O941" s="28"/>
    </row>
    <row r="942" spans="1:15" ht="15" customHeight="1" x14ac:dyDescent="0.3">
      <c r="A942" s="31">
        <v>46023</v>
      </c>
      <c r="B942" s="27" t="s">
        <v>53</v>
      </c>
      <c r="C942" s="27" t="s">
        <v>958</v>
      </c>
      <c r="D942" s="27" t="s">
        <v>959</v>
      </c>
      <c r="E942" s="27" t="s">
        <v>59</v>
      </c>
      <c r="F942" s="27" t="s">
        <v>43</v>
      </c>
      <c r="G942" s="27" t="s">
        <v>475</v>
      </c>
      <c r="H942" s="27" t="s">
        <v>59</v>
      </c>
      <c r="I942" s="27" t="s">
        <v>116</v>
      </c>
      <c r="J942" s="27" t="s">
        <v>144</v>
      </c>
      <c r="K942" s="39" t="s">
        <v>886</v>
      </c>
      <c r="L942" s="41" t="s">
        <v>309</v>
      </c>
      <c r="M942" s="27"/>
      <c r="N942" s="27"/>
      <c r="O942" s="28"/>
    </row>
    <row r="943" spans="1:15" ht="15" customHeight="1" x14ac:dyDescent="0.3">
      <c r="A943" s="31">
        <v>46023</v>
      </c>
      <c r="B943" s="27" t="s">
        <v>53</v>
      </c>
      <c r="C943" s="27" t="s">
        <v>960</v>
      </c>
      <c r="D943" s="27" t="s">
        <v>961</v>
      </c>
      <c r="E943" s="27" t="s">
        <v>59</v>
      </c>
      <c r="F943" s="27" t="s">
        <v>43</v>
      </c>
      <c r="G943" s="27" t="s">
        <v>475</v>
      </c>
      <c r="H943" s="27" t="s">
        <v>59</v>
      </c>
      <c r="I943" s="27" t="s">
        <v>116</v>
      </c>
      <c r="J943" s="27" t="s">
        <v>144</v>
      </c>
      <c r="K943" s="39" t="s">
        <v>886</v>
      </c>
      <c r="L943" s="41" t="s">
        <v>309</v>
      </c>
      <c r="M943" s="27"/>
      <c r="N943" s="27"/>
      <c r="O943" s="28"/>
    </row>
    <row r="944" spans="1:15" ht="15" customHeight="1" x14ac:dyDescent="0.3">
      <c r="A944" s="31">
        <v>46023</v>
      </c>
      <c r="B944" s="27" t="s">
        <v>53</v>
      </c>
      <c r="C944" s="27" t="s">
        <v>962</v>
      </c>
      <c r="D944" s="27" t="s">
        <v>963</v>
      </c>
      <c r="E944" s="27" t="s">
        <v>59</v>
      </c>
      <c r="F944" s="27" t="s">
        <v>43</v>
      </c>
      <c r="G944" s="27" t="s">
        <v>475</v>
      </c>
      <c r="H944" s="27" t="s">
        <v>59</v>
      </c>
      <c r="I944" s="27" t="s">
        <v>116</v>
      </c>
      <c r="J944" s="27" t="s">
        <v>144</v>
      </c>
      <c r="K944" s="39" t="s">
        <v>886</v>
      </c>
      <c r="L944" s="41" t="s">
        <v>309</v>
      </c>
      <c r="M944" s="27"/>
      <c r="N944" s="27"/>
      <c r="O944" s="28"/>
    </row>
    <row r="945" spans="1:15" ht="15" customHeight="1" x14ac:dyDescent="0.3">
      <c r="A945" s="31">
        <v>46023</v>
      </c>
      <c r="B945" s="27" t="s">
        <v>53</v>
      </c>
      <c r="C945" s="27" t="s">
        <v>964</v>
      </c>
      <c r="D945" s="27" t="s">
        <v>965</v>
      </c>
      <c r="E945" s="27" t="s">
        <v>59</v>
      </c>
      <c r="F945" s="27" t="s">
        <v>43</v>
      </c>
      <c r="G945" s="27" t="s">
        <v>475</v>
      </c>
      <c r="H945" s="27" t="s">
        <v>59</v>
      </c>
      <c r="I945" s="27" t="s">
        <v>116</v>
      </c>
      <c r="J945" s="27" t="s">
        <v>144</v>
      </c>
      <c r="K945" s="39" t="s">
        <v>886</v>
      </c>
      <c r="L945" s="41" t="s">
        <v>309</v>
      </c>
      <c r="M945" s="27"/>
      <c r="N945" s="27"/>
      <c r="O945" s="28"/>
    </row>
    <row r="946" spans="1:15" ht="15" customHeight="1" x14ac:dyDescent="0.3">
      <c r="A946" s="31">
        <v>46023</v>
      </c>
      <c r="B946" s="27" t="s">
        <v>53</v>
      </c>
      <c r="C946" s="27" t="s">
        <v>966</v>
      </c>
      <c r="D946" s="27" t="s">
        <v>967</v>
      </c>
      <c r="E946" s="27" t="s">
        <v>59</v>
      </c>
      <c r="F946" s="27" t="s">
        <v>43</v>
      </c>
      <c r="G946" s="27" t="s">
        <v>475</v>
      </c>
      <c r="H946" s="27" t="s">
        <v>59</v>
      </c>
      <c r="I946" s="27" t="s">
        <v>116</v>
      </c>
      <c r="J946" s="27" t="s">
        <v>144</v>
      </c>
      <c r="K946" s="39" t="s">
        <v>886</v>
      </c>
      <c r="L946" s="41" t="s">
        <v>309</v>
      </c>
      <c r="M946" s="27"/>
      <c r="N946" s="27"/>
      <c r="O946" s="28"/>
    </row>
    <row r="947" spans="1:15" ht="15" customHeight="1" x14ac:dyDescent="0.3">
      <c r="A947" s="31">
        <v>46023</v>
      </c>
      <c r="B947" s="27" t="s">
        <v>53</v>
      </c>
      <c r="C947" s="27" t="s">
        <v>968</v>
      </c>
      <c r="D947" s="27" t="s">
        <v>969</v>
      </c>
      <c r="E947" s="27" t="s">
        <v>59</v>
      </c>
      <c r="F947" s="27" t="s">
        <v>43</v>
      </c>
      <c r="G947" s="27" t="s">
        <v>475</v>
      </c>
      <c r="H947" s="27" t="s">
        <v>59</v>
      </c>
      <c r="I947" s="27" t="s">
        <v>116</v>
      </c>
      <c r="J947" s="27" t="s">
        <v>144</v>
      </c>
      <c r="K947" s="39" t="s">
        <v>886</v>
      </c>
      <c r="L947" s="41" t="s">
        <v>309</v>
      </c>
      <c r="M947" s="27"/>
      <c r="N947" s="27"/>
      <c r="O947" s="28"/>
    </row>
    <row r="948" spans="1:15" ht="15" customHeight="1" x14ac:dyDescent="0.3">
      <c r="A948" s="31">
        <v>46023</v>
      </c>
      <c r="B948" s="27" t="s">
        <v>53</v>
      </c>
      <c r="C948" s="27" t="s">
        <v>970</v>
      </c>
      <c r="D948" s="27" t="s">
        <v>971</v>
      </c>
      <c r="E948" s="27" t="s">
        <v>59</v>
      </c>
      <c r="F948" s="27" t="s">
        <v>43</v>
      </c>
      <c r="G948" s="27" t="s">
        <v>475</v>
      </c>
      <c r="H948" s="27" t="s">
        <v>59</v>
      </c>
      <c r="I948" s="27" t="s">
        <v>116</v>
      </c>
      <c r="J948" s="27" t="s">
        <v>144</v>
      </c>
      <c r="K948" s="39" t="s">
        <v>886</v>
      </c>
      <c r="L948" s="41" t="s">
        <v>309</v>
      </c>
      <c r="M948" s="27"/>
      <c r="N948" s="27"/>
      <c r="O948" s="28"/>
    </row>
    <row r="949" spans="1:15" ht="15" customHeight="1" x14ac:dyDescent="0.3">
      <c r="A949" s="31">
        <v>46023</v>
      </c>
      <c r="B949" s="27" t="s">
        <v>53</v>
      </c>
      <c r="C949" s="27" t="s">
        <v>972</v>
      </c>
      <c r="D949" s="27" t="s">
        <v>973</v>
      </c>
      <c r="E949" s="27" t="s">
        <v>59</v>
      </c>
      <c r="F949" s="27" t="s">
        <v>43</v>
      </c>
      <c r="G949" s="27" t="s">
        <v>475</v>
      </c>
      <c r="H949" s="27" t="s">
        <v>59</v>
      </c>
      <c r="I949" s="27" t="s">
        <v>116</v>
      </c>
      <c r="J949" s="27" t="s">
        <v>144</v>
      </c>
      <c r="K949" s="39" t="s">
        <v>886</v>
      </c>
      <c r="L949" s="41" t="s">
        <v>309</v>
      </c>
      <c r="M949" s="27"/>
      <c r="N949" s="27"/>
      <c r="O949" s="28"/>
    </row>
    <row r="950" spans="1:15" ht="15" customHeight="1" x14ac:dyDescent="0.3">
      <c r="A950" s="31">
        <v>46023</v>
      </c>
      <c r="B950" s="27" t="s">
        <v>53</v>
      </c>
      <c r="C950" s="27" t="s">
        <v>974</v>
      </c>
      <c r="D950" s="27" t="s">
        <v>975</v>
      </c>
      <c r="E950" s="27" t="s">
        <v>59</v>
      </c>
      <c r="F950" s="27" t="s">
        <v>43</v>
      </c>
      <c r="G950" s="27" t="s">
        <v>475</v>
      </c>
      <c r="H950" s="27" t="s">
        <v>59</v>
      </c>
      <c r="I950" s="27" t="s">
        <v>143</v>
      </c>
      <c r="J950" s="27" t="s">
        <v>144</v>
      </c>
      <c r="K950" s="39" t="s">
        <v>886</v>
      </c>
      <c r="L950" s="41" t="s">
        <v>309</v>
      </c>
      <c r="M950" s="27"/>
      <c r="N950" s="27"/>
      <c r="O950" s="28"/>
    </row>
    <row r="951" spans="1:15" ht="15" customHeight="1" x14ac:dyDescent="0.3">
      <c r="A951" s="31">
        <v>46023</v>
      </c>
      <c r="B951" s="27" t="s">
        <v>53</v>
      </c>
      <c r="C951" s="27" t="s">
        <v>976</v>
      </c>
      <c r="D951" s="27" t="s">
        <v>977</v>
      </c>
      <c r="E951" s="27" t="s">
        <v>59</v>
      </c>
      <c r="F951" s="27" t="s">
        <v>43</v>
      </c>
      <c r="G951" s="27" t="s">
        <v>475</v>
      </c>
      <c r="H951" s="27" t="s">
        <v>59</v>
      </c>
      <c r="I951" s="27" t="s">
        <v>143</v>
      </c>
      <c r="J951" s="27" t="s">
        <v>144</v>
      </c>
      <c r="K951" s="39" t="s">
        <v>886</v>
      </c>
      <c r="L951" s="41" t="s">
        <v>309</v>
      </c>
      <c r="M951" s="27"/>
      <c r="N951" s="27"/>
      <c r="O951" s="28"/>
    </row>
    <row r="952" spans="1:15" ht="15" customHeight="1" x14ac:dyDescent="0.3">
      <c r="A952" s="31">
        <v>46023</v>
      </c>
      <c r="B952" s="27" t="s">
        <v>53</v>
      </c>
      <c r="C952" s="27" t="s">
        <v>978</v>
      </c>
      <c r="D952" s="27" t="s">
        <v>979</v>
      </c>
      <c r="E952" s="27" t="s">
        <v>59</v>
      </c>
      <c r="F952" s="27" t="s">
        <v>43</v>
      </c>
      <c r="G952" s="27" t="s">
        <v>475</v>
      </c>
      <c r="H952" s="27" t="s">
        <v>59</v>
      </c>
      <c r="I952" s="27" t="s">
        <v>116</v>
      </c>
      <c r="J952" s="27" t="s">
        <v>144</v>
      </c>
      <c r="K952" s="39" t="s">
        <v>886</v>
      </c>
      <c r="L952" s="41" t="s">
        <v>309</v>
      </c>
      <c r="M952" s="27"/>
      <c r="N952" s="27"/>
      <c r="O952" s="28"/>
    </row>
    <row r="953" spans="1:15" ht="15" customHeight="1" x14ac:dyDescent="0.3">
      <c r="A953" s="31">
        <v>46023</v>
      </c>
      <c r="B953" s="27" t="s">
        <v>53</v>
      </c>
      <c r="C953" s="27" t="s">
        <v>980</v>
      </c>
      <c r="D953" s="27" t="s">
        <v>981</v>
      </c>
      <c r="E953" s="27" t="s">
        <v>59</v>
      </c>
      <c r="F953" s="27" t="s">
        <v>43</v>
      </c>
      <c r="G953" s="27" t="s">
        <v>475</v>
      </c>
      <c r="H953" s="27" t="s">
        <v>59</v>
      </c>
      <c r="I953" s="27" t="s">
        <v>116</v>
      </c>
      <c r="J953" s="27" t="s">
        <v>144</v>
      </c>
      <c r="K953" s="39" t="s">
        <v>886</v>
      </c>
      <c r="L953" s="41" t="s">
        <v>309</v>
      </c>
      <c r="M953" s="27"/>
      <c r="N953" s="27"/>
      <c r="O953" s="28"/>
    </row>
    <row r="954" spans="1:15" ht="15" customHeight="1" x14ac:dyDescent="0.3">
      <c r="A954" s="31">
        <v>46023</v>
      </c>
      <c r="B954" s="27" t="s">
        <v>53</v>
      </c>
      <c r="C954" s="27" t="s">
        <v>982</v>
      </c>
      <c r="D954" s="27" t="s">
        <v>983</v>
      </c>
      <c r="E954" s="27" t="s">
        <v>59</v>
      </c>
      <c r="F954" s="27" t="s">
        <v>43</v>
      </c>
      <c r="G954" s="27" t="s">
        <v>475</v>
      </c>
      <c r="H954" s="27" t="s">
        <v>59</v>
      </c>
      <c r="I954" s="27" t="s">
        <v>116</v>
      </c>
      <c r="J954" s="27" t="s">
        <v>144</v>
      </c>
      <c r="K954" s="39" t="s">
        <v>886</v>
      </c>
      <c r="L954" s="41" t="s">
        <v>309</v>
      </c>
      <c r="M954" s="27"/>
      <c r="N954" s="27"/>
      <c r="O954" s="28"/>
    </row>
    <row r="955" spans="1:15" ht="15" customHeight="1" x14ac:dyDescent="0.3">
      <c r="A955" s="31">
        <v>46023</v>
      </c>
      <c r="B955" s="27" t="s">
        <v>53</v>
      </c>
      <c r="C955" s="27" t="s">
        <v>984</v>
      </c>
      <c r="D955" s="27" t="s">
        <v>985</v>
      </c>
      <c r="E955" s="27" t="s">
        <v>59</v>
      </c>
      <c r="F955" s="27" t="s">
        <v>43</v>
      </c>
      <c r="G955" s="27" t="s">
        <v>475</v>
      </c>
      <c r="H955" s="27" t="s">
        <v>59</v>
      </c>
      <c r="I955" s="27" t="s">
        <v>143</v>
      </c>
      <c r="J955" s="27" t="s">
        <v>144</v>
      </c>
      <c r="K955" s="39" t="s">
        <v>886</v>
      </c>
      <c r="L955" s="41" t="s">
        <v>309</v>
      </c>
      <c r="M955" s="27"/>
      <c r="N955" s="27"/>
      <c r="O955" s="28"/>
    </row>
    <row r="956" spans="1:15" ht="15" customHeight="1" x14ac:dyDescent="0.3">
      <c r="A956" s="31">
        <v>46023</v>
      </c>
      <c r="B956" s="27" t="s">
        <v>53</v>
      </c>
      <c r="C956" s="27" t="s">
        <v>986</v>
      </c>
      <c r="D956" s="27" t="s">
        <v>987</v>
      </c>
      <c r="E956" s="27" t="s">
        <v>59</v>
      </c>
      <c r="F956" s="27" t="s">
        <v>43</v>
      </c>
      <c r="G956" s="27" t="s">
        <v>475</v>
      </c>
      <c r="H956" s="27" t="s">
        <v>59</v>
      </c>
      <c r="I956" s="27" t="s">
        <v>143</v>
      </c>
      <c r="J956" s="27" t="s">
        <v>144</v>
      </c>
      <c r="K956" s="39" t="s">
        <v>886</v>
      </c>
      <c r="L956" s="41" t="s">
        <v>309</v>
      </c>
      <c r="M956" s="27"/>
      <c r="N956" s="27"/>
      <c r="O956" s="28"/>
    </row>
    <row r="957" spans="1:15" ht="15" customHeight="1" x14ac:dyDescent="0.3">
      <c r="A957" s="31">
        <v>46023</v>
      </c>
      <c r="B957" s="27" t="s">
        <v>53</v>
      </c>
      <c r="C957" s="27" t="s">
        <v>988</v>
      </c>
      <c r="D957" s="27" t="s">
        <v>989</v>
      </c>
      <c r="E957" s="27" t="s">
        <v>59</v>
      </c>
      <c r="F957" s="27" t="s">
        <v>43</v>
      </c>
      <c r="G957" s="27" t="s">
        <v>475</v>
      </c>
      <c r="H957" s="27" t="s">
        <v>59</v>
      </c>
      <c r="I957" s="27" t="s">
        <v>143</v>
      </c>
      <c r="J957" s="27" t="s">
        <v>144</v>
      </c>
      <c r="K957" s="39" t="s">
        <v>886</v>
      </c>
      <c r="L957" s="41" t="s">
        <v>309</v>
      </c>
      <c r="M957" s="27"/>
      <c r="N957" s="27"/>
      <c r="O957" s="28"/>
    </row>
    <row r="958" spans="1:15" ht="15" customHeight="1" x14ac:dyDescent="0.3">
      <c r="A958" s="31">
        <v>46023</v>
      </c>
      <c r="B958" s="27" t="s">
        <v>53</v>
      </c>
      <c r="C958" s="27" t="s">
        <v>990</v>
      </c>
      <c r="D958" s="27" t="s">
        <v>991</v>
      </c>
      <c r="E958" s="27" t="s">
        <v>59</v>
      </c>
      <c r="F958" s="27" t="s">
        <v>43</v>
      </c>
      <c r="G958" s="27" t="s">
        <v>475</v>
      </c>
      <c r="H958" s="27" t="s">
        <v>59</v>
      </c>
      <c r="I958" s="27" t="s">
        <v>143</v>
      </c>
      <c r="J958" s="27" t="s">
        <v>144</v>
      </c>
      <c r="K958" s="39" t="s">
        <v>886</v>
      </c>
      <c r="L958" s="41" t="s">
        <v>309</v>
      </c>
      <c r="M958" s="27"/>
      <c r="N958" s="27"/>
      <c r="O958" s="28"/>
    </row>
    <row r="959" spans="1:15" ht="15" customHeight="1" x14ac:dyDescent="0.3">
      <c r="A959" s="31">
        <v>46023</v>
      </c>
      <c r="B959" s="27" t="s">
        <v>53</v>
      </c>
      <c r="C959" s="27" t="s">
        <v>992</v>
      </c>
      <c r="D959" s="27" t="s">
        <v>993</v>
      </c>
      <c r="E959" s="27" t="s">
        <v>59</v>
      </c>
      <c r="F959" s="27" t="s">
        <v>43</v>
      </c>
      <c r="G959" s="27" t="s">
        <v>475</v>
      </c>
      <c r="H959" s="27" t="s">
        <v>59</v>
      </c>
      <c r="I959" s="27" t="s">
        <v>143</v>
      </c>
      <c r="J959" s="27" t="s">
        <v>144</v>
      </c>
      <c r="K959" s="39" t="s">
        <v>886</v>
      </c>
      <c r="L959" s="41" t="s">
        <v>309</v>
      </c>
      <c r="M959" s="27"/>
      <c r="N959" s="27"/>
      <c r="O959" s="28"/>
    </row>
    <row r="960" spans="1:15" ht="15" customHeight="1" x14ac:dyDescent="0.3">
      <c r="A960" s="31">
        <v>46023</v>
      </c>
      <c r="B960" s="27" t="s">
        <v>53</v>
      </c>
      <c r="C960" s="27" t="s">
        <v>994</v>
      </c>
      <c r="D960" s="27" t="s">
        <v>995</v>
      </c>
      <c r="E960" s="27" t="s">
        <v>59</v>
      </c>
      <c r="F960" s="27" t="s">
        <v>43</v>
      </c>
      <c r="G960" s="27" t="s">
        <v>475</v>
      </c>
      <c r="H960" s="27" t="s">
        <v>59</v>
      </c>
      <c r="I960" s="27" t="s">
        <v>143</v>
      </c>
      <c r="J960" s="27" t="s">
        <v>144</v>
      </c>
      <c r="K960" s="39" t="s">
        <v>886</v>
      </c>
      <c r="L960" s="41" t="s">
        <v>309</v>
      </c>
      <c r="M960" s="27"/>
      <c r="N960" s="27"/>
      <c r="O960" s="28"/>
    </row>
    <row r="961" spans="1:15" ht="15" customHeight="1" x14ac:dyDescent="0.3">
      <c r="A961" s="31">
        <v>46023</v>
      </c>
      <c r="B961" s="27" t="s">
        <v>53</v>
      </c>
      <c r="C961" s="27" t="s">
        <v>996</v>
      </c>
      <c r="D961" s="27" t="s">
        <v>997</v>
      </c>
      <c r="E961" s="27" t="s">
        <v>59</v>
      </c>
      <c r="F961" s="27" t="s">
        <v>43</v>
      </c>
      <c r="G961" s="27" t="s">
        <v>475</v>
      </c>
      <c r="H961" s="27" t="s">
        <v>59</v>
      </c>
      <c r="I961" s="27" t="s">
        <v>143</v>
      </c>
      <c r="J961" s="27" t="s">
        <v>144</v>
      </c>
      <c r="K961" s="39" t="s">
        <v>886</v>
      </c>
      <c r="L961" s="41" t="s">
        <v>309</v>
      </c>
      <c r="M961" s="27"/>
      <c r="N961" s="27"/>
      <c r="O961" s="28"/>
    </row>
    <row r="962" spans="1:15" ht="15" customHeight="1" x14ac:dyDescent="0.3">
      <c r="A962" s="31">
        <v>46023</v>
      </c>
      <c r="B962" s="27" t="s">
        <v>53</v>
      </c>
      <c r="C962" s="27" t="s">
        <v>998</v>
      </c>
      <c r="D962" s="27" t="s">
        <v>999</v>
      </c>
      <c r="E962" s="27" t="s">
        <v>59</v>
      </c>
      <c r="F962" s="27" t="s">
        <v>43</v>
      </c>
      <c r="G962" s="27" t="s">
        <v>475</v>
      </c>
      <c r="H962" s="27" t="s">
        <v>59</v>
      </c>
      <c r="I962" s="27" t="s">
        <v>143</v>
      </c>
      <c r="J962" s="27" t="s">
        <v>144</v>
      </c>
      <c r="K962" s="39" t="s">
        <v>886</v>
      </c>
      <c r="L962" s="41" t="s">
        <v>309</v>
      </c>
      <c r="M962" s="27"/>
      <c r="N962" s="27"/>
      <c r="O962" s="28"/>
    </row>
    <row r="963" spans="1:15" ht="15" customHeight="1" x14ac:dyDescent="0.3">
      <c r="A963" s="31">
        <v>46023</v>
      </c>
      <c r="B963" s="27" t="s">
        <v>53</v>
      </c>
      <c r="C963" s="27" t="s">
        <v>1000</v>
      </c>
      <c r="D963" s="27" t="s">
        <v>1001</v>
      </c>
      <c r="E963" s="27" t="s">
        <v>59</v>
      </c>
      <c r="F963" s="27" t="s">
        <v>43</v>
      </c>
      <c r="G963" s="27" t="s">
        <v>475</v>
      </c>
      <c r="H963" s="27" t="s">
        <v>59</v>
      </c>
      <c r="I963" s="27" t="s">
        <v>143</v>
      </c>
      <c r="J963" s="27" t="s">
        <v>144</v>
      </c>
      <c r="K963" s="39" t="s">
        <v>886</v>
      </c>
      <c r="L963" s="41" t="s">
        <v>309</v>
      </c>
      <c r="M963" s="27"/>
      <c r="N963" s="27"/>
      <c r="O963" s="28"/>
    </row>
    <row r="964" spans="1:15" ht="15" customHeight="1" x14ac:dyDescent="0.3">
      <c r="A964" s="31">
        <v>46023</v>
      </c>
      <c r="B964" s="27" t="s">
        <v>53</v>
      </c>
      <c r="C964" s="27" t="s">
        <v>1002</v>
      </c>
      <c r="D964" s="27" t="s">
        <v>1003</v>
      </c>
      <c r="E964" s="27" t="s">
        <v>59</v>
      </c>
      <c r="F964" s="27" t="s">
        <v>43</v>
      </c>
      <c r="G964" s="27" t="s">
        <v>475</v>
      </c>
      <c r="H964" s="27" t="s">
        <v>59</v>
      </c>
      <c r="I964" s="27" t="s">
        <v>143</v>
      </c>
      <c r="J964" s="27" t="s">
        <v>144</v>
      </c>
      <c r="K964" s="39" t="s">
        <v>886</v>
      </c>
      <c r="L964" s="41" t="s">
        <v>309</v>
      </c>
      <c r="M964" s="27"/>
      <c r="N964" s="27"/>
      <c r="O964" s="28"/>
    </row>
    <row r="965" spans="1:15" ht="15" customHeight="1" x14ac:dyDescent="0.3">
      <c r="A965" s="31">
        <v>46023</v>
      </c>
      <c r="B965" s="27" t="s">
        <v>53</v>
      </c>
      <c r="C965" s="27" t="s">
        <v>1004</v>
      </c>
      <c r="D965" s="27" t="s">
        <v>1005</v>
      </c>
      <c r="E965" s="27" t="s">
        <v>59</v>
      </c>
      <c r="F965" s="27" t="s">
        <v>43</v>
      </c>
      <c r="G965" s="27" t="s">
        <v>475</v>
      </c>
      <c r="H965" s="27" t="s">
        <v>59</v>
      </c>
      <c r="I965" s="27" t="s">
        <v>143</v>
      </c>
      <c r="J965" s="27" t="s">
        <v>144</v>
      </c>
      <c r="K965" s="39" t="s">
        <v>886</v>
      </c>
      <c r="L965" s="41" t="s">
        <v>309</v>
      </c>
      <c r="M965" s="27"/>
      <c r="N965" s="27"/>
      <c r="O965" s="28"/>
    </row>
    <row r="966" spans="1:15" ht="15" customHeight="1" x14ac:dyDescent="0.3">
      <c r="A966" s="31">
        <v>46023</v>
      </c>
      <c r="B966" s="27" t="s">
        <v>53</v>
      </c>
      <c r="C966" s="27" t="s">
        <v>1006</v>
      </c>
      <c r="D966" s="27" t="s">
        <v>1007</v>
      </c>
      <c r="E966" s="27" t="s">
        <v>59</v>
      </c>
      <c r="F966" s="27" t="s">
        <v>43</v>
      </c>
      <c r="G966" s="27" t="s">
        <v>475</v>
      </c>
      <c r="H966" s="27" t="s">
        <v>59</v>
      </c>
      <c r="I966" s="27" t="s">
        <v>143</v>
      </c>
      <c r="J966" s="27" t="s">
        <v>144</v>
      </c>
      <c r="K966" s="39" t="s">
        <v>1008</v>
      </c>
      <c r="L966" s="41" t="s">
        <v>309</v>
      </c>
      <c r="M966" s="27"/>
      <c r="N966" s="27"/>
      <c r="O966" s="28"/>
    </row>
    <row r="967" spans="1:15" ht="15" customHeight="1" x14ac:dyDescent="0.3">
      <c r="A967" s="31">
        <v>46023</v>
      </c>
      <c r="B967" s="27" t="s">
        <v>53</v>
      </c>
      <c r="C967" s="27" t="s">
        <v>1009</v>
      </c>
      <c r="D967" s="27" t="s">
        <v>1010</v>
      </c>
      <c r="E967" s="27" t="s">
        <v>59</v>
      </c>
      <c r="F967" s="27" t="s">
        <v>43</v>
      </c>
      <c r="G967" s="27" t="s">
        <v>475</v>
      </c>
      <c r="H967" s="27" t="s">
        <v>59</v>
      </c>
      <c r="I967" s="27" t="s">
        <v>116</v>
      </c>
      <c r="J967" s="27" t="s">
        <v>106</v>
      </c>
      <c r="K967" s="39" t="s">
        <v>1011</v>
      </c>
      <c r="L967" s="41" t="s">
        <v>309</v>
      </c>
      <c r="M967" s="27"/>
      <c r="N967" s="27"/>
      <c r="O967" s="28"/>
    </row>
    <row r="968" spans="1:15" ht="15" customHeight="1" x14ac:dyDescent="0.3">
      <c r="A968" s="31">
        <v>46023</v>
      </c>
      <c r="B968" s="27" t="s">
        <v>53</v>
      </c>
      <c r="C968" s="27" t="s">
        <v>1012</v>
      </c>
      <c r="D968" s="27" t="s">
        <v>1013</v>
      </c>
      <c r="E968" s="27" t="s">
        <v>59</v>
      </c>
      <c r="F968" s="27" t="s">
        <v>43</v>
      </c>
      <c r="G968" s="27" t="s">
        <v>475</v>
      </c>
      <c r="H968" s="27" t="s">
        <v>59</v>
      </c>
      <c r="I968" s="27" t="s">
        <v>143</v>
      </c>
      <c r="J968" s="27" t="s">
        <v>144</v>
      </c>
      <c r="K968" s="39" t="s">
        <v>1011</v>
      </c>
      <c r="L968" s="41" t="s">
        <v>309</v>
      </c>
      <c r="M968" s="27"/>
      <c r="N968" s="27"/>
      <c r="O968" s="28"/>
    </row>
    <row r="969" spans="1:15" ht="15" customHeight="1" x14ac:dyDescent="0.3">
      <c r="A969" s="31">
        <v>46023</v>
      </c>
      <c r="B969" s="27" t="s">
        <v>53</v>
      </c>
      <c r="C969" s="27" t="s">
        <v>1014</v>
      </c>
      <c r="D969" s="27" t="s">
        <v>1015</v>
      </c>
      <c r="E969" s="27" t="s">
        <v>59</v>
      </c>
      <c r="F969" s="27" t="s">
        <v>43</v>
      </c>
      <c r="G969" s="27" t="s">
        <v>475</v>
      </c>
      <c r="H969" s="27" t="s">
        <v>59</v>
      </c>
      <c r="I969" s="27" t="s">
        <v>143</v>
      </c>
      <c r="J969" s="27" t="s">
        <v>144</v>
      </c>
      <c r="K969" s="39" t="s">
        <v>1011</v>
      </c>
      <c r="L969" s="41" t="s">
        <v>309</v>
      </c>
      <c r="M969" s="27"/>
      <c r="N969" s="27"/>
      <c r="O969" s="28"/>
    </row>
    <row r="970" spans="1:15" ht="15" customHeight="1" x14ac:dyDescent="0.3">
      <c r="A970" s="31">
        <v>46023</v>
      </c>
      <c r="B970" s="27" t="s">
        <v>53</v>
      </c>
      <c r="C970" s="27" t="s">
        <v>1016</v>
      </c>
      <c r="D970" s="27" t="s">
        <v>1017</v>
      </c>
      <c r="E970" s="27" t="s">
        <v>59</v>
      </c>
      <c r="F970" s="27" t="s">
        <v>43</v>
      </c>
      <c r="G970" s="27" t="s">
        <v>587</v>
      </c>
      <c r="H970" s="27" t="s">
        <v>59</v>
      </c>
      <c r="I970" s="27" t="s">
        <v>143</v>
      </c>
      <c r="J970" s="27" t="s">
        <v>144</v>
      </c>
      <c r="K970" s="39" t="s">
        <v>1008</v>
      </c>
      <c r="L970" s="41" t="s">
        <v>309</v>
      </c>
      <c r="M970" s="27"/>
      <c r="N970" s="27"/>
      <c r="O970" s="28"/>
    </row>
    <row r="971" spans="1:15" ht="15" customHeight="1" x14ac:dyDescent="0.3">
      <c r="A971" s="31">
        <v>46023</v>
      </c>
      <c r="B971" s="27" t="s">
        <v>53</v>
      </c>
      <c r="C971" s="27" t="s">
        <v>1018</v>
      </c>
      <c r="D971" s="27" t="s">
        <v>1019</v>
      </c>
      <c r="E971" s="27" t="s">
        <v>749</v>
      </c>
      <c r="F971" s="27" t="s">
        <v>43</v>
      </c>
      <c r="G971" s="27" t="s">
        <v>1020</v>
      </c>
      <c r="H971" s="27" t="s">
        <v>59</v>
      </c>
      <c r="I971" s="27" t="s">
        <v>143</v>
      </c>
      <c r="J971" s="27" t="s">
        <v>144</v>
      </c>
      <c r="K971" s="39" t="s">
        <v>1008</v>
      </c>
      <c r="L971" s="41" t="s">
        <v>309</v>
      </c>
      <c r="M971" s="27"/>
      <c r="N971" s="27"/>
      <c r="O971" s="28"/>
    </row>
    <row r="972" spans="1:15" ht="15" customHeight="1" x14ac:dyDescent="0.3">
      <c r="A972" s="31">
        <v>46023</v>
      </c>
      <c r="B972" s="27" t="s">
        <v>53</v>
      </c>
      <c r="C972" s="27" t="s">
        <v>1021</v>
      </c>
      <c r="D972" s="27" t="s">
        <v>1022</v>
      </c>
      <c r="E972" s="27" t="s">
        <v>749</v>
      </c>
      <c r="F972" s="27" t="s">
        <v>43</v>
      </c>
      <c r="G972" s="27" t="s">
        <v>1020</v>
      </c>
      <c r="H972" s="27" t="s">
        <v>59</v>
      </c>
      <c r="I972" s="27" t="s">
        <v>143</v>
      </c>
      <c r="J972" s="27" t="s">
        <v>144</v>
      </c>
      <c r="K972" s="39" t="s">
        <v>1008</v>
      </c>
      <c r="L972" s="41" t="s">
        <v>309</v>
      </c>
      <c r="M972" s="27"/>
      <c r="N972" s="27"/>
      <c r="O972" s="28"/>
    </row>
    <row r="973" spans="1:15" ht="15" customHeight="1" x14ac:dyDescent="0.3">
      <c r="A973" s="31">
        <v>46023</v>
      </c>
      <c r="B973" s="27" t="s">
        <v>53</v>
      </c>
      <c r="C973" s="27" t="s">
        <v>1023</v>
      </c>
      <c r="D973" s="27" t="s">
        <v>1024</v>
      </c>
      <c r="E973" s="27" t="s">
        <v>749</v>
      </c>
      <c r="F973" s="27" t="s">
        <v>43</v>
      </c>
      <c r="G973" s="27" t="s">
        <v>1020</v>
      </c>
      <c r="H973" s="27" t="s">
        <v>59</v>
      </c>
      <c r="I973" s="27" t="s">
        <v>143</v>
      </c>
      <c r="J973" s="27" t="s">
        <v>144</v>
      </c>
      <c r="K973" s="39" t="s">
        <v>1008</v>
      </c>
      <c r="L973" s="41" t="s">
        <v>309</v>
      </c>
      <c r="M973" s="27"/>
      <c r="N973" s="27"/>
      <c r="O973" s="28"/>
    </row>
    <row r="974" spans="1:15" ht="15" customHeight="1" x14ac:dyDescent="0.3">
      <c r="A974" s="31">
        <v>46023</v>
      </c>
      <c r="B974" s="27" t="s">
        <v>53</v>
      </c>
      <c r="C974" s="27" t="s">
        <v>1025</v>
      </c>
      <c r="D974" s="27" t="s">
        <v>1026</v>
      </c>
      <c r="E974" s="27" t="s">
        <v>59</v>
      </c>
      <c r="F974" s="27" t="s">
        <v>43</v>
      </c>
      <c r="G974" s="27" t="s">
        <v>475</v>
      </c>
      <c r="H974" s="27" t="s">
        <v>59</v>
      </c>
      <c r="I974" s="27" t="s">
        <v>60</v>
      </c>
      <c r="J974" s="27" t="s">
        <v>144</v>
      </c>
      <c r="K974" s="39" t="s">
        <v>1027</v>
      </c>
      <c r="L974" s="41" t="s">
        <v>309</v>
      </c>
      <c r="M974" s="27"/>
      <c r="N974" s="27"/>
      <c r="O974" s="28"/>
    </row>
    <row r="975" spans="1:15" ht="15" customHeight="1" x14ac:dyDescent="0.3">
      <c r="A975" s="31">
        <v>46023</v>
      </c>
      <c r="B975" s="27" t="s">
        <v>53</v>
      </c>
      <c r="C975" s="27" t="s">
        <v>1028</v>
      </c>
      <c r="D975" s="27" t="s">
        <v>1029</v>
      </c>
      <c r="E975" s="27" t="s">
        <v>59</v>
      </c>
      <c r="F975" s="27" t="s">
        <v>43</v>
      </c>
      <c r="G975" s="27" t="s">
        <v>475</v>
      </c>
      <c r="H975" s="27" t="s">
        <v>59</v>
      </c>
      <c r="I975" s="27" t="s">
        <v>60</v>
      </c>
      <c r="J975" s="27" t="s">
        <v>144</v>
      </c>
      <c r="K975" s="39" t="s">
        <v>1027</v>
      </c>
      <c r="L975" s="41" t="s">
        <v>309</v>
      </c>
      <c r="M975" s="27"/>
      <c r="N975" s="27"/>
      <c r="O975" s="28"/>
    </row>
    <row r="976" spans="1:15" ht="15" customHeight="1" x14ac:dyDescent="0.3">
      <c r="A976" s="31">
        <v>46023</v>
      </c>
      <c r="B976" s="27" t="s">
        <v>53</v>
      </c>
      <c r="C976" s="27" t="s">
        <v>1030</v>
      </c>
      <c r="D976" s="27" t="s">
        <v>1031</v>
      </c>
      <c r="E976" s="27" t="s">
        <v>59</v>
      </c>
      <c r="F976" s="27" t="s">
        <v>43</v>
      </c>
      <c r="G976" s="27" t="s">
        <v>475</v>
      </c>
      <c r="H976" s="27" t="s">
        <v>59</v>
      </c>
      <c r="I976" s="27" t="s">
        <v>60</v>
      </c>
      <c r="J976" s="27" t="s">
        <v>144</v>
      </c>
      <c r="K976" s="39" t="s">
        <v>1027</v>
      </c>
      <c r="L976" s="41" t="s">
        <v>309</v>
      </c>
      <c r="M976" s="27"/>
      <c r="N976" s="27"/>
      <c r="O976" s="28"/>
    </row>
    <row r="977" spans="1:15" ht="15" customHeight="1" x14ac:dyDescent="0.3">
      <c r="A977" s="31">
        <v>46023</v>
      </c>
      <c r="B977" s="27" t="s">
        <v>53</v>
      </c>
      <c r="C977" s="27" t="s">
        <v>1032</v>
      </c>
      <c r="D977" s="27" t="s">
        <v>1033</v>
      </c>
      <c r="E977" s="27" t="s">
        <v>59</v>
      </c>
      <c r="F977" s="27" t="s">
        <v>43</v>
      </c>
      <c r="G977" s="27" t="s">
        <v>475</v>
      </c>
      <c r="H977" s="27" t="s">
        <v>59</v>
      </c>
      <c r="I977" s="27" t="s">
        <v>116</v>
      </c>
      <c r="J977" s="27" t="s">
        <v>61</v>
      </c>
      <c r="K977" s="39" t="s">
        <v>1034</v>
      </c>
      <c r="L977" s="41" t="s">
        <v>309</v>
      </c>
      <c r="M977" s="27"/>
      <c r="N977" s="27"/>
      <c r="O977" s="28"/>
    </row>
    <row r="978" spans="1:15" ht="15" customHeight="1" x14ac:dyDescent="0.3">
      <c r="A978" s="31">
        <v>46023</v>
      </c>
      <c r="B978" s="27" t="s">
        <v>53</v>
      </c>
      <c r="C978" s="27" t="s">
        <v>1035</v>
      </c>
      <c r="D978" s="27" t="s">
        <v>1036</v>
      </c>
      <c r="E978" s="27" t="s">
        <v>59</v>
      </c>
      <c r="F978" s="27" t="s">
        <v>43</v>
      </c>
      <c r="G978" s="27" t="s">
        <v>475</v>
      </c>
      <c r="H978" s="27" t="s">
        <v>59</v>
      </c>
      <c r="I978" s="27" t="s">
        <v>60</v>
      </c>
      <c r="J978" s="27" t="s">
        <v>61</v>
      </c>
      <c r="K978" s="39" t="s">
        <v>1027</v>
      </c>
      <c r="L978" s="41" t="s">
        <v>309</v>
      </c>
      <c r="M978" s="27"/>
      <c r="N978" s="27"/>
      <c r="O978" s="28"/>
    </row>
    <row r="979" spans="1:15" ht="15" customHeight="1" x14ac:dyDescent="0.3">
      <c r="A979" s="31">
        <v>46023</v>
      </c>
      <c r="B979" s="27" t="s">
        <v>53</v>
      </c>
      <c r="C979" s="27" t="s">
        <v>1037</v>
      </c>
      <c r="D979" s="27" t="s">
        <v>1038</v>
      </c>
      <c r="E979" s="27" t="s">
        <v>1039</v>
      </c>
      <c r="F979" s="27" t="s">
        <v>43</v>
      </c>
      <c r="G979" s="27" t="s">
        <v>475</v>
      </c>
      <c r="H979" s="27" t="s">
        <v>59</v>
      </c>
      <c r="I979" s="27" t="s">
        <v>60</v>
      </c>
      <c r="J979" s="27" t="s">
        <v>61</v>
      </c>
      <c r="K979" s="39" t="s">
        <v>1027</v>
      </c>
      <c r="L979" s="41" t="s">
        <v>309</v>
      </c>
      <c r="M979" s="27"/>
      <c r="N979" s="27"/>
      <c r="O979" s="28"/>
    </row>
    <row r="980" spans="1:15" ht="15" customHeight="1" x14ac:dyDescent="0.3">
      <c r="A980" s="31">
        <v>46023</v>
      </c>
      <c r="B980" s="27" t="s">
        <v>53</v>
      </c>
      <c r="C980" s="27" t="s">
        <v>1040</v>
      </c>
      <c r="D980" s="27" t="s">
        <v>1041</v>
      </c>
      <c r="E980" s="27" t="s">
        <v>1039</v>
      </c>
      <c r="F980" s="27" t="s">
        <v>43</v>
      </c>
      <c r="G980" s="27" t="s">
        <v>475</v>
      </c>
      <c r="H980" s="27" t="s">
        <v>59</v>
      </c>
      <c r="I980" s="27" t="s">
        <v>60</v>
      </c>
      <c r="J980" s="27" t="s">
        <v>61</v>
      </c>
      <c r="K980" s="39" t="s">
        <v>1027</v>
      </c>
      <c r="L980" s="41" t="s">
        <v>309</v>
      </c>
      <c r="M980" s="27"/>
      <c r="N980" s="27"/>
      <c r="O980" s="28"/>
    </row>
    <row r="981" spans="1:15" ht="15" customHeight="1" x14ac:dyDescent="0.3">
      <c r="A981" s="31">
        <v>46023</v>
      </c>
      <c r="B981" s="27" t="s">
        <v>53</v>
      </c>
      <c r="C981" s="27" t="s">
        <v>1042</v>
      </c>
      <c r="D981" s="27" t="s">
        <v>1043</v>
      </c>
      <c r="E981" s="27" t="s">
        <v>59</v>
      </c>
      <c r="F981" s="27" t="s">
        <v>43</v>
      </c>
      <c r="G981" s="27" t="s">
        <v>475</v>
      </c>
      <c r="H981" s="27" t="s">
        <v>59</v>
      </c>
      <c r="I981" s="27" t="s">
        <v>60</v>
      </c>
      <c r="J981" s="27" t="s">
        <v>61</v>
      </c>
      <c r="K981" s="39" t="s">
        <v>1027</v>
      </c>
      <c r="L981" s="41" t="s">
        <v>309</v>
      </c>
      <c r="M981" s="27"/>
      <c r="N981" s="27"/>
      <c r="O981" s="28"/>
    </row>
    <row r="982" spans="1:15" ht="15" customHeight="1" x14ac:dyDescent="0.3">
      <c r="A982" s="31">
        <v>46023</v>
      </c>
      <c r="B982" s="27" t="s">
        <v>53</v>
      </c>
      <c r="C982" s="27" t="s">
        <v>1044</v>
      </c>
      <c r="D982" s="27" t="s">
        <v>1045</v>
      </c>
      <c r="E982" s="27" t="s">
        <v>59</v>
      </c>
      <c r="F982" s="27" t="s">
        <v>43</v>
      </c>
      <c r="G982" s="27" t="s">
        <v>475</v>
      </c>
      <c r="H982" s="27" t="s">
        <v>59</v>
      </c>
      <c r="I982" s="27" t="s">
        <v>60</v>
      </c>
      <c r="J982" s="27" t="s">
        <v>61</v>
      </c>
      <c r="K982" s="39" t="s">
        <v>1027</v>
      </c>
      <c r="L982" s="41" t="s">
        <v>309</v>
      </c>
      <c r="M982" s="27"/>
      <c r="N982" s="27"/>
      <c r="O982" s="28"/>
    </row>
    <row r="983" spans="1:15" ht="15" customHeight="1" x14ac:dyDescent="0.3">
      <c r="A983" s="31">
        <v>46023</v>
      </c>
      <c r="B983" s="27" t="s">
        <v>53</v>
      </c>
      <c r="C983" s="27" t="s">
        <v>1046</v>
      </c>
      <c r="D983" s="27" t="s">
        <v>1047</v>
      </c>
      <c r="E983" s="27" t="s">
        <v>1039</v>
      </c>
      <c r="F983" s="27" t="s">
        <v>43</v>
      </c>
      <c r="G983" s="27" t="s">
        <v>475</v>
      </c>
      <c r="H983" s="27" t="s">
        <v>59</v>
      </c>
      <c r="I983" s="27" t="s">
        <v>60</v>
      </c>
      <c r="J983" s="27" t="s">
        <v>61</v>
      </c>
      <c r="K983" s="39" t="s">
        <v>1027</v>
      </c>
      <c r="L983" s="41" t="s">
        <v>309</v>
      </c>
      <c r="M983" s="27"/>
      <c r="N983" s="27"/>
      <c r="O983" s="28"/>
    </row>
    <row r="984" spans="1:15" ht="15" customHeight="1" x14ac:dyDescent="0.3">
      <c r="A984" s="31">
        <v>46023</v>
      </c>
      <c r="B984" s="27" t="s">
        <v>53</v>
      </c>
      <c r="C984" s="27" t="s">
        <v>1048</v>
      </c>
      <c r="D984" s="27" t="s">
        <v>1049</v>
      </c>
      <c r="E984" s="27" t="s">
        <v>1039</v>
      </c>
      <c r="F984" s="27" t="s">
        <v>43</v>
      </c>
      <c r="G984" s="27" t="s">
        <v>475</v>
      </c>
      <c r="H984" s="27" t="s">
        <v>59</v>
      </c>
      <c r="I984" s="27" t="s">
        <v>60</v>
      </c>
      <c r="J984" s="27" t="s">
        <v>61</v>
      </c>
      <c r="K984" s="39" t="s">
        <v>1027</v>
      </c>
      <c r="L984" s="41" t="s">
        <v>309</v>
      </c>
      <c r="M984" s="27"/>
      <c r="N984" s="27"/>
      <c r="O984" s="28"/>
    </row>
    <row r="985" spans="1:15" ht="15" customHeight="1" x14ac:dyDescent="0.3">
      <c r="A985" s="31">
        <v>46023</v>
      </c>
      <c r="B985" s="27" t="s">
        <v>53</v>
      </c>
      <c r="C985" s="27" t="s">
        <v>1050</v>
      </c>
      <c r="D985" s="27" t="s">
        <v>1051</v>
      </c>
      <c r="E985" s="27" t="s">
        <v>1039</v>
      </c>
      <c r="F985" s="27" t="s">
        <v>43</v>
      </c>
      <c r="G985" s="27" t="s">
        <v>587</v>
      </c>
      <c r="H985" s="27" t="s">
        <v>59</v>
      </c>
      <c r="I985" s="27" t="s">
        <v>60</v>
      </c>
      <c r="J985" s="27" t="s">
        <v>61</v>
      </c>
      <c r="K985" s="39" t="s">
        <v>1052</v>
      </c>
      <c r="L985" s="41" t="s">
        <v>309</v>
      </c>
      <c r="M985" s="27"/>
      <c r="N985" s="27"/>
      <c r="O985" s="28"/>
    </row>
    <row r="986" spans="1:15" ht="15" customHeight="1" x14ac:dyDescent="0.3">
      <c r="A986" s="31">
        <v>46023</v>
      </c>
      <c r="B986" s="27" t="s">
        <v>53</v>
      </c>
      <c r="C986" s="27" t="s">
        <v>1053</v>
      </c>
      <c r="D986" s="27" t="s">
        <v>1054</v>
      </c>
      <c r="E986" s="27" t="s">
        <v>1055</v>
      </c>
      <c r="F986" s="27" t="s">
        <v>43</v>
      </c>
      <c r="G986" s="27" t="s">
        <v>587</v>
      </c>
      <c r="H986" s="27" t="s">
        <v>59</v>
      </c>
      <c r="I986" s="27" t="s">
        <v>60</v>
      </c>
      <c r="J986" s="27" t="s">
        <v>61</v>
      </c>
      <c r="K986" s="39" t="s">
        <v>1056</v>
      </c>
      <c r="L986" s="41" t="s">
        <v>309</v>
      </c>
      <c r="M986" s="27"/>
      <c r="N986" s="27"/>
      <c r="O986" s="28"/>
    </row>
    <row r="987" spans="1:15" ht="15" customHeight="1" x14ac:dyDescent="0.3">
      <c r="A987" s="31">
        <v>46023</v>
      </c>
      <c r="B987" s="27" t="s">
        <v>53</v>
      </c>
      <c r="C987" s="27" t="s">
        <v>1057</v>
      </c>
      <c r="D987" s="27" t="s">
        <v>1058</v>
      </c>
      <c r="E987" s="27" t="s">
        <v>1055</v>
      </c>
      <c r="F987" s="27" t="s">
        <v>43</v>
      </c>
      <c r="G987" s="27" t="s">
        <v>587</v>
      </c>
      <c r="H987" s="27" t="s">
        <v>59</v>
      </c>
      <c r="I987" s="27" t="s">
        <v>60</v>
      </c>
      <c r="J987" s="27" t="s">
        <v>61</v>
      </c>
      <c r="K987" s="39" t="s">
        <v>1056</v>
      </c>
      <c r="L987" s="41" t="s">
        <v>309</v>
      </c>
      <c r="M987" s="27"/>
      <c r="N987" s="27"/>
      <c r="O987" s="28"/>
    </row>
    <row r="988" spans="1:15" ht="15" customHeight="1" x14ac:dyDescent="0.3">
      <c r="A988" s="31">
        <v>46023</v>
      </c>
      <c r="B988" s="27" t="s">
        <v>53</v>
      </c>
      <c r="C988" s="27" t="s">
        <v>1059</v>
      </c>
      <c r="D988" s="27" t="s">
        <v>1060</v>
      </c>
      <c r="E988" s="27" t="s">
        <v>59</v>
      </c>
      <c r="F988" s="27" t="s">
        <v>43</v>
      </c>
      <c r="G988" s="27" t="s">
        <v>475</v>
      </c>
      <c r="H988" s="27" t="s">
        <v>59</v>
      </c>
      <c r="I988" s="27" t="s">
        <v>60</v>
      </c>
      <c r="J988" s="27" t="s">
        <v>61</v>
      </c>
      <c r="K988" s="39" t="s">
        <v>1061</v>
      </c>
      <c r="L988" s="41" t="s">
        <v>309</v>
      </c>
      <c r="M988" s="27"/>
      <c r="N988" s="27"/>
      <c r="O988" s="28"/>
    </row>
    <row r="989" spans="1:15" ht="15" customHeight="1" x14ac:dyDescent="0.3">
      <c r="A989" s="31">
        <v>46023</v>
      </c>
      <c r="B989" s="27" t="s">
        <v>53</v>
      </c>
      <c r="C989" s="27" t="s">
        <v>1062</v>
      </c>
      <c r="D989" s="27" t="s">
        <v>1063</v>
      </c>
      <c r="E989" s="27" t="s">
        <v>59</v>
      </c>
      <c r="F989" s="27" t="s">
        <v>43</v>
      </c>
      <c r="G989" s="27" t="s">
        <v>587</v>
      </c>
      <c r="H989" s="27" t="s">
        <v>59</v>
      </c>
      <c r="I989" s="27" t="s">
        <v>60</v>
      </c>
      <c r="J989" s="27" t="s">
        <v>61</v>
      </c>
      <c r="K989" s="39" t="s">
        <v>1056</v>
      </c>
      <c r="L989" s="41" t="s">
        <v>309</v>
      </c>
      <c r="M989" s="27"/>
      <c r="N989" s="27"/>
      <c r="O989" s="28"/>
    </row>
    <row r="990" spans="1:15" ht="15" customHeight="1" x14ac:dyDescent="0.3">
      <c r="A990" s="31">
        <v>46023</v>
      </c>
      <c r="B990" s="27" t="s">
        <v>53</v>
      </c>
      <c r="C990" s="27" t="s">
        <v>1064</v>
      </c>
      <c r="D990" s="27" t="s">
        <v>1065</v>
      </c>
      <c r="E990" s="27" t="s">
        <v>1066</v>
      </c>
      <c r="F990" s="27" t="s">
        <v>43</v>
      </c>
      <c r="G990" s="27" t="s">
        <v>475</v>
      </c>
      <c r="H990" s="27" t="s">
        <v>59</v>
      </c>
      <c r="I990" s="27" t="s">
        <v>60</v>
      </c>
      <c r="J990" s="27" t="s">
        <v>1067</v>
      </c>
      <c r="K990" s="39" t="s">
        <v>1027</v>
      </c>
      <c r="L990" s="41" t="s">
        <v>309</v>
      </c>
      <c r="M990" s="27"/>
      <c r="N990" s="27"/>
      <c r="O990" s="28"/>
    </row>
    <row r="991" spans="1:15" ht="15" customHeight="1" x14ac:dyDescent="0.3">
      <c r="A991" s="31">
        <v>46023</v>
      </c>
      <c r="B991" s="27" t="s">
        <v>53</v>
      </c>
      <c r="C991" s="27" t="s">
        <v>1068</v>
      </c>
      <c r="D991" s="27" t="s">
        <v>1069</v>
      </c>
      <c r="E991" s="27" t="s">
        <v>59</v>
      </c>
      <c r="F991" s="27" t="s">
        <v>43</v>
      </c>
      <c r="G991" s="27" t="s">
        <v>475</v>
      </c>
      <c r="H991" s="27" t="s">
        <v>59</v>
      </c>
      <c r="I991" s="27" t="s">
        <v>60</v>
      </c>
      <c r="J991" s="27" t="s">
        <v>61</v>
      </c>
      <c r="K991" s="39" t="s">
        <v>1052</v>
      </c>
      <c r="L991" s="41" t="s">
        <v>309</v>
      </c>
      <c r="M991" s="27"/>
      <c r="N991" s="27"/>
      <c r="O991" s="28"/>
    </row>
    <row r="992" spans="1:15" ht="15" customHeight="1" x14ac:dyDescent="0.3">
      <c r="A992" s="31">
        <v>46023</v>
      </c>
      <c r="B992" s="27" t="s">
        <v>53</v>
      </c>
      <c r="C992" s="27" t="s">
        <v>1070</v>
      </c>
      <c r="D992" s="27" t="s">
        <v>1071</v>
      </c>
      <c r="E992" s="27" t="s">
        <v>59</v>
      </c>
      <c r="F992" s="27" t="s">
        <v>43</v>
      </c>
      <c r="G992" s="27" t="s">
        <v>587</v>
      </c>
      <c r="H992" s="27" t="s">
        <v>59</v>
      </c>
      <c r="I992" s="27" t="s">
        <v>60</v>
      </c>
      <c r="J992" s="27" t="s">
        <v>61</v>
      </c>
      <c r="K992" s="39" t="s">
        <v>1027</v>
      </c>
      <c r="L992" s="41" t="s">
        <v>309</v>
      </c>
      <c r="M992" s="27"/>
      <c r="N992" s="27"/>
      <c r="O992" s="28"/>
    </row>
    <row r="993" spans="1:15" ht="15" customHeight="1" x14ac:dyDescent="0.3">
      <c r="A993" s="31">
        <v>46023</v>
      </c>
      <c r="B993" s="27" t="s">
        <v>53</v>
      </c>
      <c r="C993" s="27" t="s">
        <v>1072</v>
      </c>
      <c r="D993" s="27" t="s">
        <v>1073</v>
      </c>
      <c r="E993" s="27" t="s">
        <v>1074</v>
      </c>
      <c r="F993" s="27" t="s">
        <v>43</v>
      </c>
      <c r="G993" s="27" t="s">
        <v>1020</v>
      </c>
      <c r="H993" s="27" t="s">
        <v>59</v>
      </c>
      <c r="I993" s="27" t="s">
        <v>60</v>
      </c>
      <c r="J993" s="27" t="s">
        <v>61</v>
      </c>
      <c r="K993" s="39" t="s">
        <v>1052</v>
      </c>
      <c r="L993" s="41" t="s">
        <v>309</v>
      </c>
      <c r="M993" s="27"/>
      <c r="N993" s="27"/>
      <c r="O993" s="28"/>
    </row>
    <row r="994" spans="1:15" ht="15" customHeight="1" x14ac:dyDescent="0.3">
      <c r="A994" s="31">
        <v>46023</v>
      </c>
      <c r="B994" s="27" t="s">
        <v>53</v>
      </c>
      <c r="C994" s="27" t="s">
        <v>1075</v>
      </c>
      <c r="D994" s="27" t="s">
        <v>1076</v>
      </c>
      <c r="E994" s="27" t="s">
        <v>1077</v>
      </c>
      <c r="F994" s="27" t="s">
        <v>43</v>
      </c>
      <c r="G994" s="27" t="s">
        <v>1020</v>
      </c>
      <c r="H994" s="27" t="s">
        <v>59</v>
      </c>
      <c r="I994" s="27" t="s">
        <v>60</v>
      </c>
      <c r="J994" s="27" t="s">
        <v>61</v>
      </c>
      <c r="K994" s="39" t="s">
        <v>1052</v>
      </c>
      <c r="L994" s="41" t="s">
        <v>309</v>
      </c>
      <c r="M994" s="27"/>
      <c r="N994" s="27"/>
      <c r="O994" s="28"/>
    </row>
    <row r="995" spans="1:15" ht="15" customHeight="1" x14ac:dyDescent="0.3">
      <c r="A995" s="31">
        <v>46023</v>
      </c>
      <c r="B995" s="27" t="s">
        <v>53</v>
      </c>
      <c r="C995" s="27" t="s">
        <v>1078</v>
      </c>
      <c r="D995" s="27" t="s">
        <v>1079</v>
      </c>
      <c r="E995" s="27" t="s">
        <v>1077</v>
      </c>
      <c r="F995" s="27" t="s">
        <v>43</v>
      </c>
      <c r="G995" s="27" t="s">
        <v>1020</v>
      </c>
      <c r="H995" s="27" t="s">
        <v>59</v>
      </c>
      <c r="I995" s="27" t="s">
        <v>60</v>
      </c>
      <c r="J995" s="27" t="s">
        <v>61</v>
      </c>
      <c r="K995" s="39" t="s">
        <v>1027</v>
      </c>
      <c r="L995" s="41" t="s">
        <v>309</v>
      </c>
      <c r="M995" s="27"/>
      <c r="N995" s="27"/>
      <c r="O995" s="28"/>
    </row>
    <row r="996" spans="1:15" ht="15" customHeight="1" x14ac:dyDescent="0.3">
      <c r="A996" s="31">
        <v>46023</v>
      </c>
      <c r="B996" s="27" t="s">
        <v>53</v>
      </c>
      <c r="C996" s="27" t="s">
        <v>1080</v>
      </c>
      <c r="D996" s="27" t="s">
        <v>1081</v>
      </c>
      <c r="E996" s="27" t="s">
        <v>59</v>
      </c>
      <c r="F996" s="27" t="s">
        <v>43</v>
      </c>
      <c r="G996" s="27" t="s">
        <v>475</v>
      </c>
      <c r="H996" s="27" t="s">
        <v>59</v>
      </c>
      <c r="I996" s="27" t="s">
        <v>60</v>
      </c>
      <c r="J996" s="27" t="s">
        <v>106</v>
      </c>
      <c r="K996" s="39" t="s">
        <v>1052</v>
      </c>
      <c r="L996" s="41" t="s">
        <v>309</v>
      </c>
      <c r="M996" s="27"/>
      <c r="N996" s="27"/>
      <c r="O996" s="28"/>
    </row>
    <row r="997" spans="1:15" ht="15" customHeight="1" x14ac:dyDescent="0.3">
      <c r="A997" s="31">
        <v>46023</v>
      </c>
      <c r="B997" s="27" t="s">
        <v>53</v>
      </c>
      <c r="C997" s="27" t="s">
        <v>1082</v>
      </c>
      <c r="D997" s="27" t="s">
        <v>1083</v>
      </c>
      <c r="E997" s="27" t="s">
        <v>1084</v>
      </c>
      <c r="F997" s="27" t="s">
        <v>43</v>
      </c>
      <c r="G997" s="27" t="s">
        <v>687</v>
      </c>
      <c r="H997" s="27" t="s">
        <v>59</v>
      </c>
      <c r="I997" s="27" t="s">
        <v>60</v>
      </c>
      <c r="J997" s="27" t="s">
        <v>144</v>
      </c>
      <c r="K997" s="39" t="s">
        <v>1052</v>
      </c>
      <c r="L997" s="41" t="s">
        <v>309</v>
      </c>
      <c r="M997" s="27"/>
      <c r="N997" s="27"/>
      <c r="O997" s="28"/>
    </row>
    <row r="998" spans="1:15" ht="15" customHeight="1" x14ac:dyDescent="0.3">
      <c r="A998" s="31">
        <v>46023</v>
      </c>
      <c r="B998" s="27" t="s">
        <v>53</v>
      </c>
      <c r="C998" s="27" t="s">
        <v>1085</v>
      </c>
      <c r="D998" s="27" t="s">
        <v>1086</v>
      </c>
      <c r="E998" s="27" t="s">
        <v>1074</v>
      </c>
      <c r="F998" s="27" t="s">
        <v>43</v>
      </c>
      <c r="G998" s="27" t="s">
        <v>687</v>
      </c>
      <c r="H998" s="27" t="s">
        <v>59</v>
      </c>
      <c r="I998" s="27" t="s">
        <v>60</v>
      </c>
      <c r="J998" s="27" t="s">
        <v>144</v>
      </c>
      <c r="K998" s="39" t="s">
        <v>1034</v>
      </c>
      <c r="L998" s="41" t="s">
        <v>309</v>
      </c>
      <c r="M998" s="27"/>
      <c r="N998" s="27"/>
      <c r="O998" s="28"/>
    </row>
    <row r="999" spans="1:15" ht="15" customHeight="1" x14ac:dyDescent="0.3">
      <c r="A999" s="31">
        <v>46023</v>
      </c>
      <c r="B999" s="27" t="s">
        <v>53</v>
      </c>
      <c r="C999" s="27" t="s">
        <v>1087</v>
      </c>
      <c r="D999" s="27" t="s">
        <v>1088</v>
      </c>
      <c r="E999" s="27" t="s">
        <v>59</v>
      </c>
      <c r="F999" s="27" t="s">
        <v>43</v>
      </c>
      <c r="G999" s="27" t="s">
        <v>475</v>
      </c>
      <c r="H999" s="27" t="s">
        <v>59</v>
      </c>
      <c r="I999" s="27" t="s">
        <v>60</v>
      </c>
      <c r="J999" s="27" t="s">
        <v>61</v>
      </c>
      <c r="K999" s="39" t="s">
        <v>1061</v>
      </c>
      <c r="L999" s="41" t="s">
        <v>309</v>
      </c>
      <c r="M999" s="27"/>
      <c r="N999" s="27"/>
      <c r="O999" s="28"/>
    </row>
    <row r="1000" spans="1:15" ht="15" customHeight="1" x14ac:dyDescent="0.3">
      <c r="A1000" s="31">
        <v>46023</v>
      </c>
      <c r="B1000" s="27" t="s">
        <v>53</v>
      </c>
      <c r="C1000" s="27" t="s">
        <v>1089</v>
      </c>
      <c r="D1000" s="27" t="s">
        <v>1090</v>
      </c>
      <c r="E1000" s="27" t="s">
        <v>59</v>
      </c>
      <c r="F1000" s="27" t="s">
        <v>43</v>
      </c>
      <c r="G1000" s="27" t="s">
        <v>475</v>
      </c>
      <c r="H1000" s="27" t="s">
        <v>59</v>
      </c>
      <c r="I1000" s="27" t="s">
        <v>60</v>
      </c>
      <c r="J1000" s="27" t="s">
        <v>61</v>
      </c>
      <c r="K1000" s="39" t="s">
        <v>1061</v>
      </c>
      <c r="L1000" s="41" t="s">
        <v>309</v>
      </c>
      <c r="M1000" s="27"/>
      <c r="N1000" s="27"/>
      <c r="O1000" s="28"/>
    </row>
    <row r="1001" spans="1:15" ht="15" customHeight="1" x14ac:dyDescent="0.3">
      <c r="A1001" s="31">
        <v>46023</v>
      </c>
      <c r="B1001" s="27" t="s">
        <v>53</v>
      </c>
      <c r="C1001" s="27" t="s">
        <v>1091</v>
      </c>
      <c r="D1001" s="27" t="s">
        <v>1092</v>
      </c>
      <c r="E1001" s="27" t="s">
        <v>59</v>
      </c>
      <c r="F1001" s="27" t="s">
        <v>43</v>
      </c>
      <c r="G1001" s="27" t="s">
        <v>475</v>
      </c>
      <c r="H1001" s="27" t="s">
        <v>59</v>
      </c>
      <c r="I1001" s="27" t="s">
        <v>60</v>
      </c>
      <c r="J1001" s="27" t="s">
        <v>61</v>
      </c>
      <c r="K1001" s="39" t="s">
        <v>1061</v>
      </c>
      <c r="L1001" s="41" t="s">
        <v>309</v>
      </c>
      <c r="M1001" s="27"/>
      <c r="N1001" s="27"/>
      <c r="O1001" s="28"/>
    </row>
    <row r="1002" spans="1:15" ht="15" customHeight="1" x14ac:dyDescent="0.3">
      <c r="A1002" s="31">
        <v>46023</v>
      </c>
      <c r="B1002" s="27" t="s">
        <v>53</v>
      </c>
      <c r="C1002" s="27" t="s">
        <v>1093</v>
      </c>
      <c r="D1002" s="27" t="s">
        <v>1094</v>
      </c>
      <c r="E1002" s="27" t="s">
        <v>59</v>
      </c>
      <c r="F1002" s="27" t="s">
        <v>43</v>
      </c>
      <c r="G1002" s="27" t="s">
        <v>587</v>
      </c>
      <c r="H1002" s="27" t="s">
        <v>59</v>
      </c>
      <c r="I1002" s="27" t="s">
        <v>60</v>
      </c>
      <c r="J1002" s="27" t="s">
        <v>61</v>
      </c>
      <c r="K1002" s="39" t="s">
        <v>1056</v>
      </c>
      <c r="L1002" s="41" t="s">
        <v>309</v>
      </c>
      <c r="M1002" s="27"/>
      <c r="N1002" s="27"/>
      <c r="O1002" s="28"/>
    </row>
    <row r="1003" spans="1:15" ht="15" customHeight="1" x14ac:dyDescent="0.3">
      <c r="A1003" s="31">
        <v>46023</v>
      </c>
      <c r="B1003" s="27" t="s">
        <v>53</v>
      </c>
      <c r="C1003" s="27" t="s">
        <v>1095</v>
      </c>
      <c r="D1003" s="27" t="s">
        <v>1096</v>
      </c>
      <c r="E1003" s="27" t="s">
        <v>59</v>
      </c>
      <c r="F1003" s="27" t="s">
        <v>43</v>
      </c>
      <c r="G1003" s="27" t="s">
        <v>587</v>
      </c>
      <c r="H1003" s="27" t="s">
        <v>59</v>
      </c>
      <c r="I1003" s="27" t="s">
        <v>60</v>
      </c>
      <c r="J1003" s="27" t="s">
        <v>61</v>
      </c>
      <c r="K1003" s="39" t="s">
        <v>1056</v>
      </c>
      <c r="L1003" s="41" t="s">
        <v>309</v>
      </c>
      <c r="M1003" s="27"/>
      <c r="N1003" s="27"/>
      <c r="O1003" s="28"/>
    </row>
    <row r="1004" spans="1:15" ht="15" customHeight="1" x14ac:dyDescent="0.3">
      <c r="A1004" s="31">
        <v>46023</v>
      </c>
      <c r="B1004" s="27" t="s">
        <v>53</v>
      </c>
      <c r="C1004" s="27" t="s">
        <v>1097</v>
      </c>
      <c r="D1004" s="27" t="s">
        <v>1098</v>
      </c>
      <c r="E1004" s="27" t="s">
        <v>1099</v>
      </c>
      <c r="F1004" s="27" t="s">
        <v>43</v>
      </c>
      <c r="G1004" s="27" t="s">
        <v>1100</v>
      </c>
      <c r="H1004" s="27" t="s">
        <v>59</v>
      </c>
      <c r="I1004" s="27" t="s">
        <v>143</v>
      </c>
      <c r="J1004" s="27" t="s">
        <v>144</v>
      </c>
      <c r="K1004" s="39" t="s">
        <v>1101</v>
      </c>
      <c r="L1004" s="41" t="s">
        <v>309</v>
      </c>
      <c r="M1004" s="27"/>
      <c r="N1004" s="27"/>
      <c r="O1004" s="28"/>
    </row>
    <row r="1005" spans="1:15" ht="15" customHeight="1" x14ac:dyDescent="0.3">
      <c r="A1005" s="31">
        <v>46023</v>
      </c>
      <c r="B1005" s="27" t="s">
        <v>53</v>
      </c>
      <c r="C1005" s="27" t="s">
        <v>1102</v>
      </c>
      <c r="D1005" s="27" t="s">
        <v>1103</v>
      </c>
      <c r="E1005" s="27" t="s">
        <v>1099</v>
      </c>
      <c r="F1005" s="27" t="s">
        <v>43</v>
      </c>
      <c r="G1005" s="27" t="s">
        <v>1100</v>
      </c>
      <c r="H1005" s="27" t="s">
        <v>59</v>
      </c>
      <c r="I1005" s="27" t="s">
        <v>116</v>
      </c>
      <c r="J1005" s="27" t="s">
        <v>144</v>
      </c>
      <c r="K1005" s="39" t="s">
        <v>1101</v>
      </c>
      <c r="L1005" s="41" t="s">
        <v>309</v>
      </c>
      <c r="M1005" s="27"/>
      <c r="N1005" s="27"/>
      <c r="O1005" s="28"/>
    </row>
    <row r="1006" spans="1:15" ht="15" customHeight="1" x14ac:dyDescent="0.3">
      <c r="A1006" s="31">
        <v>46023</v>
      </c>
      <c r="B1006" s="27" t="s">
        <v>53</v>
      </c>
      <c r="C1006" s="27" t="s">
        <v>1104</v>
      </c>
      <c r="D1006" s="27" t="s">
        <v>1103</v>
      </c>
      <c r="E1006" s="27" t="s">
        <v>1099</v>
      </c>
      <c r="F1006" s="27" t="s">
        <v>43</v>
      </c>
      <c r="G1006" s="27" t="s">
        <v>1100</v>
      </c>
      <c r="H1006" s="27" t="s">
        <v>59</v>
      </c>
      <c r="I1006" s="27" t="s">
        <v>143</v>
      </c>
      <c r="J1006" s="27" t="s">
        <v>144</v>
      </c>
      <c r="K1006" s="39" t="s">
        <v>1101</v>
      </c>
      <c r="L1006" s="41" t="s">
        <v>309</v>
      </c>
      <c r="M1006" s="27"/>
      <c r="N1006" s="27"/>
      <c r="O1006" s="28"/>
    </row>
    <row r="1007" spans="1:15" ht="15" customHeight="1" x14ac:dyDescent="0.3">
      <c r="A1007" s="31">
        <v>46023</v>
      </c>
      <c r="B1007" s="27" t="s">
        <v>53</v>
      </c>
      <c r="C1007" s="27" t="s">
        <v>1105</v>
      </c>
      <c r="D1007" s="27" t="s">
        <v>1106</v>
      </c>
      <c r="E1007" s="27" t="s">
        <v>1099</v>
      </c>
      <c r="F1007" s="27" t="s">
        <v>43</v>
      </c>
      <c r="G1007" s="27" t="s">
        <v>1100</v>
      </c>
      <c r="H1007" s="27" t="s">
        <v>59</v>
      </c>
      <c r="I1007" s="27" t="s">
        <v>143</v>
      </c>
      <c r="J1007" s="27" t="s">
        <v>144</v>
      </c>
      <c r="K1007" s="39" t="s">
        <v>1101</v>
      </c>
      <c r="L1007" s="41" t="s">
        <v>309</v>
      </c>
      <c r="M1007" s="27"/>
      <c r="N1007" s="27"/>
      <c r="O1007" s="28"/>
    </row>
    <row r="1008" spans="1:15" ht="15" customHeight="1" x14ac:dyDescent="0.3">
      <c r="A1008" s="31">
        <v>46023</v>
      </c>
      <c r="B1008" s="27" t="s">
        <v>53</v>
      </c>
      <c r="C1008" s="27" t="s">
        <v>1107</v>
      </c>
      <c r="D1008" s="27" t="s">
        <v>1108</v>
      </c>
      <c r="E1008" s="27" t="s">
        <v>59</v>
      </c>
      <c r="F1008" s="27" t="s">
        <v>43</v>
      </c>
      <c r="G1008" s="27" t="s">
        <v>1100</v>
      </c>
      <c r="H1008" s="27">
        <v>10205</v>
      </c>
      <c r="I1008" s="27" t="s">
        <v>143</v>
      </c>
      <c r="J1008" s="27" t="s">
        <v>144</v>
      </c>
      <c r="K1008" s="39" t="s">
        <v>1101</v>
      </c>
      <c r="L1008" s="41" t="s">
        <v>309</v>
      </c>
      <c r="M1008" s="27"/>
      <c r="N1008" s="27"/>
      <c r="O1008" s="28"/>
    </row>
    <row r="1009" spans="1:15" ht="15" customHeight="1" x14ac:dyDescent="0.3">
      <c r="A1009" s="31">
        <v>46023</v>
      </c>
      <c r="B1009" s="27" t="s">
        <v>53</v>
      </c>
      <c r="C1009" s="27" t="s">
        <v>1109</v>
      </c>
      <c r="D1009" s="27" t="s">
        <v>1108</v>
      </c>
      <c r="E1009" s="27" t="s">
        <v>59</v>
      </c>
      <c r="F1009" s="27" t="s">
        <v>43</v>
      </c>
      <c r="G1009" s="27" t="s">
        <v>1100</v>
      </c>
      <c r="H1009" s="27">
        <v>10208</v>
      </c>
      <c r="I1009" s="27" t="s">
        <v>143</v>
      </c>
      <c r="J1009" s="27" t="s">
        <v>144</v>
      </c>
      <c r="K1009" s="39" t="s">
        <v>1101</v>
      </c>
      <c r="L1009" s="41" t="s">
        <v>309</v>
      </c>
      <c r="M1009" s="27"/>
      <c r="N1009" s="27"/>
      <c r="O1009" s="28"/>
    </row>
    <row r="1010" spans="1:15" ht="15" customHeight="1" x14ac:dyDescent="0.3">
      <c r="A1010" s="31">
        <v>46023</v>
      </c>
      <c r="B1010" s="27" t="s">
        <v>53</v>
      </c>
      <c r="C1010" s="27" t="s">
        <v>1110</v>
      </c>
      <c r="D1010" s="27" t="s">
        <v>1108</v>
      </c>
      <c r="E1010" s="27" t="s">
        <v>59</v>
      </c>
      <c r="F1010" s="27" t="s">
        <v>43</v>
      </c>
      <c r="G1010" s="27" t="s">
        <v>1100</v>
      </c>
      <c r="H1010" s="27">
        <v>10211</v>
      </c>
      <c r="I1010" s="27" t="s">
        <v>143</v>
      </c>
      <c r="J1010" s="27" t="s">
        <v>144</v>
      </c>
      <c r="K1010" s="39" t="s">
        <v>1101</v>
      </c>
      <c r="L1010" s="41" t="s">
        <v>309</v>
      </c>
      <c r="M1010" s="27"/>
      <c r="N1010" s="27"/>
      <c r="O1010" s="28"/>
    </row>
    <row r="1011" spans="1:15" ht="15" customHeight="1" x14ac:dyDescent="0.3">
      <c r="A1011" s="31">
        <v>46023</v>
      </c>
      <c r="B1011" s="27" t="s">
        <v>53</v>
      </c>
      <c r="C1011" s="27" t="s">
        <v>1111</v>
      </c>
      <c r="D1011" s="27" t="s">
        <v>1108</v>
      </c>
      <c r="E1011" s="27" t="s">
        <v>59</v>
      </c>
      <c r="F1011" s="27" t="s">
        <v>43</v>
      </c>
      <c r="G1011" s="27" t="s">
        <v>1100</v>
      </c>
      <c r="H1011" s="27">
        <v>10207</v>
      </c>
      <c r="I1011" s="27" t="s">
        <v>143</v>
      </c>
      <c r="J1011" s="27" t="s">
        <v>144</v>
      </c>
      <c r="K1011" s="39" t="s">
        <v>1101</v>
      </c>
      <c r="L1011" s="41" t="s">
        <v>309</v>
      </c>
      <c r="M1011" s="27"/>
      <c r="N1011" s="27"/>
      <c r="O1011" s="28"/>
    </row>
    <row r="1012" spans="1:15" ht="15" customHeight="1" x14ac:dyDescent="0.3">
      <c r="A1012" s="31">
        <v>46023</v>
      </c>
      <c r="B1012" s="27" t="s">
        <v>53</v>
      </c>
      <c r="C1012" s="27" t="s">
        <v>1112</v>
      </c>
      <c r="D1012" s="27" t="s">
        <v>1108</v>
      </c>
      <c r="E1012" s="27" t="s">
        <v>59</v>
      </c>
      <c r="F1012" s="27" t="s">
        <v>43</v>
      </c>
      <c r="G1012" s="27" t="s">
        <v>1100</v>
      </c>
      <c r="H1012" s="27">
        <v>10206</v>
      </c>
      <c r="I1012" s="27" t="s">
        <v>143</v>
      </c>
      <c r="J1012" s="27" t="s">
        <v>144</v>
      </c>
      <c r="K1012" s="39" t="s">
        <v>1101</v>
      </c>
      <c r="L1012" s="41" t="s">
        <v>309</v>
      </c>
      <c r="M1012" s="27"/>
      <c r="N1012" s="27"/>
      <c r="O1012" s="28"/>
    </row>
    <row r="1013" spans="1:15" ht="15" customHeight="1" x14ac:dyDescent="0.3">
      <c r="A1013" s="31">
        <v>46023</v>
      </c>
      <c r="B1013" s="27" t="s">
        <v>53</v>
      </c>
      <c r="C1013" s="27" t="s">
        <v>1113</v>
      </c>
      <c r="D1013" s="27" t="s">
        <v>1108</v>
      </c>
      <c r="E1013" s="27" t="s">
        <v>59</v>
      </c>
      <c r="F1013" s="27" t="s">
        <v>43</v>
      </c>
      <c r="G1013" s="27" t="s">
        <v>1100</v>
      </c>
      <c r="H1013" s="27">
        <v>10215</v>
      </c>
      <c r="I1013" s="27" t="s">
        <v>143</v>
      </c>
      <c r="J1013" s="27" t="s">
        <v>144</v>
      </c>
      <c r="K1013" s="39" t="s">
        <v>1101</v>
      </c>
      <c r="L1013" s="41" t="s">
        <v>309</v>
      </c>
      <c r="M1013" s="27"/>
      <c r="N1013" s="27"/>
      <c r="O1013" s="28"/>
    </row>
    <row r="1014" spans="1:15" ht="15" customHeight="1" x14ac:dyDescent="0.3">
      <c r="A1014" s="31">
        <v>46023</v>
      </c>
      <c r="B1014" s="27" t="s">
        <v>53</v>
      </c>
      <c r="C1014" s="27" t="s">
        <v>1114</v>
      </c>
      <c r="D1014" s="27" t="s">
        <v>1108</v>
      </c>
      <c r="E1014" s="27" t="s">
        <v>59</v>
      </c>
      <c r="F1014" s="27" t="s">
        <v>43</v>
      </c>
      <c r="G1014" s="27" t="s">
        <v>1100</v>
      </c>
      <c r="H1014" s="27">
        <v>10200</v>
      </c>
      <c r="I1014" s="27" t="s">
        <v>143</v>
      </c>
      <c r="J1014" s="27" t="s">
        <v>144</v>
      </c>
      <c r="K1014" s="39" t="s">
        <v>1101</v>
      </c>
      <c r="L1014" s="41" t="s">
        <v>309</v>
      </c>
      <c r="M1014" s="27"/>
      <c r="N1014" s="27"/>
      <c r="O1014" s="28"/>
    </row>
    <row r="1015" spans="1:15" ht="15" customHeight="1" x14ac:dyDescent="0.3">
      <c r="A1015" s="31">
        <v>46023</v>
      </c>
      <c r="B1015" s="27" t="s">
        <v>53</v>
      </c>
      <c r="C1015" s="27" t="s">
        <v>1115</v>
      </c>
      <c r="D1015" s="27" t="s">
        <v>1108</v>
      </c>
      <c r="E1015" s="27" t="s">
        <v>59</v>
      </c>
      <c r="F1015" s="27" t="s">
        <v>43</v>
      </c>
      <c r="G1015" s="27" t="s">
        <v>1100</v>
      </c>
      <c r="H1015" s="27">
        <v>10212</v>
      </c>
      <c r="I1015" s="27" t="s">
        <v>143</v>
      </c>
      <c r="J1015" s="27" t="s">
        <v>144</v>
      </c>
      <c r="K1015" s="39" t="s">
        <v>1101</v>
      </c>
      <c r="L1015" s="41" t="s">
        <v>309</v>
      </c>
      <c r="M1015" s="27"/>
      <c r="N1015" s="27"/>
      <c r="O1015" s="28"/>
    </row>
    <row r="1016" spans="1:15" ht="15" customHeight="1" x14ac:dyDescent="0.3">
      <c r="A1016" s="31">
        <v>46023</v>
      </c>
      <c r="B1016" s="27" t="s">
        <v>53</v>
      </c>
      <c r="C1016" s="27" t="s">
        <v>1116</v>
      </c>
      <c r="D1016" s="27" t="s">
        <v>1108</v>
      </c>
      <c r="E1016" s="27" t="s">
        <v>59</v>
      </c>
      <c r="F1016" s="27" t="s">
        <v>43</v>
      </c>
      <c r="G1016" s="27" t="s">
        <v>1100</v>
      </c>
      <c r="H1016" s="27">
        <v>10201</v>
      </c>
      <c r="I1016" s="27" t="s">
        <v>143</v>
      </c>
      <c r="J1016" s="27" t="s">
        <v>144</v>
      </c>
      <c r="K1016" s="39" t="s">
        <v>1101</v>
      </c>
      <c r="L1016" s="41" t="s">
        <v>309</v>
      </c>
      <c r="M1016" s="27"/>
      <c r="N1016" s="27"/>
      <c r="O1016" s="28"/>
    </row>
    <row r="1017" spans="1:15" ht="15" customHeight="1" x14ac:dyDescent="0.3">
      <c r="A1017" s="31">
        <v>46023</v>
      </c>
      <c r="B1017" s="27" t="s">
        <v>53</v>
      </c>
      <c r="C1017" s="27" t="s">
        <v>1117</v>
      </c>
      <c r="D1017" s="27" t="s">
        <v>1108</v>
      </c>
      <c r="E1017" s="27" t="s">
        <v>59</v>
      </c>
      <c r="F1017" s="27" t="s">
        <v>43</v>
      </c>
      <c r="G1017" s="27" t="s">
        <v>1100</v>
      </c>
      <c r="H1017" s="27">
        <v>3589</v>
      </c>
      <c r="I1017" s="27" t="s">
        <v>116</v>
      </c>
      <c r="J1017" s="27" t="s">
        <v>144</v>
      </c>
      <c r="K1017" s="39" t="s">
        <v>1101</v>
      </c>
      <c r="L1017" s="41" t="s">
        <v>309</v>
      </c>
      <c r="M1017" s="27"/>
      <c r="N1017" s="27"/>
      <c r="O1017" s="28"/>
    </row>
    <row r="1018" spans="1:15" ht="15" customHeight="1" x14ac:dyDescent="0.3">
      <c r="A1018" s="31">
        <v>46023</v>
      </c>
      <c r="B1018" s="27" t="s">
        <v>53</v>
      </c>
      <c r="C1018" s="27" t="s">
        <v>1118</v>
      </c>
      <c r="D1018" s="27" t="s">
        <v>1119</v>
      </c>
      <c r="E1018" s="27" t="s">
        <v>59</v>
      </c>
      <c r="F1018" s="27" t="s">
        <v>43</v>
      </c>
      <c r="G1018" s="27" t="s">
        <v>1100</v>
      </c>
      <c r="H1018" s="27" t="s">
        <v>59</v>
      </c>
      <c r="I1018" s="27" t="s">
        <v>116</v>
      </c>
      <c r="J1018" s="27" t="s">
        <v>144</v>
      </c>
      <c r="K1018" s="39" t="s">
        <v>1101</v>
      </c>
      <c r="L1018" s="41" t="s">
        <v>309</v>
      </c>
      <c r="M1018" s="27"/>
      <c r="N1018" s="27"/>
      <c r="O1018" s="28"/>
    </row>
    <row r="1019" spans="1:15" ht="15" customHeight="1" x14ac:dyDescent="0.3">
      <c r="A1019" s="31">
        <v>46023</v>
      </c>
      <c r="B1019" s="27" t="s">
        <v>53</v>
      </c>
      <c r="C1019" s="27" t="s">
        <v>1120</v>
      </c>
      <c r="D1019" s="27" t="s">
        <v>1121</v>
      </c>
      <c r="E1019" s="27" t="s">
        <v>1122</v>
      </c>
      <c r="F1019" s="27" t="s">
        <v>43</v>
      </c>
      <c r="G1019" s="27" t="s">
        <v>1100</v>
      </c>
      <c r="H1019" s="27" t="s">
        <v>59</v>
      </c>
      <c r="I1019" s="27" t="s">
        <v>116</v>
      </c>
      <c r="J1019" s="27" t="s">
        <v>144</v>
      </c>
      <c r="K1019" s="39" t="s">
        <v>1101</v>
      </c>
      <c r="L1019" s="41" t="s">
        <v>309</v>
      </c>
      <c r="M1019" s="27"/>
      <c r="N1019" s="27"/>
      <c r="O1019" s="28"/>
    </row>
    <row r="1020" spans="1:15" ht="15" customHeight="1" x14ac:dyDescent="0.3">
      <c r="A1020" s="31">
        <v>46023</v>
      </c>
      <c r="B1020" s="27" t="s">
        <v>53</v>
      </c>
      <c r="C1020" s="27" t="s">
        <v>1123</v>
      </c>
      <c r="D1020" s="27" t="s">
        <v>1124</v>
      </c>
      <c r="E1020" s="27" t="s">
        <v>1122</v>
      </c>
      <c r="F1020" s="27" t="s">
        <v>43</v>
      </c>
      <c r="G1020" s="27" t="s">
        <v>1100</v>
      </c>
      <c r="H1020" s="27" t="s">
        <v>59</v>
      </c>
      <c r="I1020" s="27" t="s">
        <v>116</v>
      </c>
      <c r="J1020" s="27" t="s">
        <v>144</v>
      </c>
      <c r="K1020" s="39" t="s">
        <v>1101</v>
      </c>
      <c r="L1020" s="41" t="s">
        <v>309</v>
      </c>
      <c r="M1020" s="27"/>
      <c r="N1020" s="27"/>
      <c r="O1020" s="28"/>
    </row>
    <row r="1021" spans="1:15" ht="15" customHeight="1" x14ac:dyDescent="0.3">
      <c r="A1021" s="31">
        <v>46023</v>
      </c>
      <c r="B1021" s="27" t="s">
        <v>53</v>
      </c>
      <c r="C1021" s="27" t="s">
        <v>1125</v>
      </c>
      <c r="D1021" s="27" t="s">
        <v>1126</v>
      </c>
      <c r="E1021" s="27" t="s">
        <v>1127</v>
      </c>
      <c r="F1021" s="27" t="s">
        <v>43</v>
      </c>
      <c r="G1021" s="27" t="s">
        <v>1100</v>
      </c>
      <c r="H1021" s="27" t="s">
        <v>59</v>
      </c>
      <c r="I1021" s="27" t="s">
        <v>116</v>
      </c>
      <c r="J1021" s="27" t="s">
        <v>144</v>
      </c>
      <c r="K1021" s="39" t="s">
        <v>1101</v>
      </c>
      <c r="L1021" s="41" t="s">
        <v>309</v>
      </c>
      <c r="M1021" s="27"/>
      <c r="N1021" s="27"/>
      <c r="O1021" s="28"/>
    </row>
    <row r="1022" spans="1:15" ht="15" customHeight="1" x14ac:dyDescent="0.3">
      <c r="A1022" s="31">
        <v>46023</v>
      </c>
      <c r="B1022" s="27" t="s">
        <v>53</v>
      </c>
      <c r="C1022" s="27" t="s">
        <v>1128</v>
      </c>
      <c r="D1022" s="27" t="s">
        <v>1129</v>
      </c>
      <c r="E1022" s="27" t="s">
        <v>59</v>
      </c>
      <c r="F1022" s="27" t="s">
        <v>43</v>
      </c>
      <c r="G1022" s="27" t="s">
        <v>1100</v>
      </c>
      <c r="H1022" s="27" t="s">
        <v>59</v>
      </c>
      <c r="I1022" s="27" t="s">
        <v>116</v>
      </c>
      <c r="J1022" s="27" t="s">
        <v>144</v>
      </c>
      <c r="K1022" s="39" t="s">
        <v>1101</v>
      </c>
      <c r="L1022" s="41" t="s">
        <v>309</v>
      </c>
      <c r="M1022" s="27"/>
      <c r="N1022" s="27"/>
      <c r="O1022" s="28"/>
    </row>
    <row r="1023" spans="1:15" ht="15" customHeight="1" x14ac:dyDescent="0.3">
      <c r="A1023" s="31">
        <v>46023</v>
      </c>
      <c r="B1023" s="27" t="s">
        <v>53</v>
      </c>
      <c r="C1023" s="27" t="s">
        <v>1130</v>
      </c>
      <c r="D1023" s="27" t="s">
        <v>1131</v>
      </c>
      <c r="E1023" s="27" t="s">
        <v>59</v>
      </c>
      <c r="F1023" s="27" t="s">
        <v>43</v>
      </c>
      <c r="G1023" s="27" t="s">
        <v>1100</v>
      </c>
      <c r="H1023" s="27" t="s">
        <v>59</v>
      </c>
      <c r="I1023" s="27" t="s">
        <v>143</v>
      </c>
      <c r="J1023" s="27" t="s">
        <v>144</v>
      </c>
      <c r="K1023" s="39" t="s">
        <v>1101</v>
      </c>
      <c r="L1023" s="41" t="s">
        <v>309</v>
      </c>
      <c r="M1023" s="27"/>
      <c r="N1023" s="27"/>
      <c r="O1023" s="28"/>
    </row>
    <row r="1024" spans="1:15" ht="15" customHeight="1" x14ac:dyDescent="0.3">
      <c r="A1024" s="31">
        <v>46023</v>
      </c>
      <c r="B1024" s="27" t="s">
        <v>53</v>
      </c>
      <c r="C1024" s="27" t="s">
        <v>1132</v>
      </c>
      <c r="D1024" s="27" t="s">
        <v>1133</v>
      </c>
      <c r="E1024" s="27" t="s">
        <v>59</v>
      </c>
      <c r="F1024" s="27" t="s">
        <v>43</v>
      </c>
      <c r="G1024" s="27" t="s">
        <v>1100</v>
      </c>
      <c r="H1024" s="27" t="s">
        <v>1134</v>
      </c>
      <c r="I1024" s="27" t="s">
        <v>143</v>
      </c>
      <c r="J1024" s="27" t="s">
        <v>144</v>
      </c>
      <c r="K1024" s="39" t="s">
        <v>1101</v>
      </c>
      <c r="L1024" s="41" t="s">
        <v>309</v>
      </c>
      <c r="M1024" s="27"/>
      <c r="N1024" s="27"/>
      <c r="O1024" s="28"/>
    </row>
    <row r="1025" spans="1:15" ht="15" customHeight="1" x14ac:dyDescent="0.3">
      <c r="A1025" s="31">
        <v>46023</v>
      </c>
      <c r="B1025" s="27" t="s">
        <v>53</v>
      </c>
      <c r="C1025" s="27" t="s">
        <v>1135</v>
      </c>
      <c r="D1025" s="27" t="s">
        <v>1133</v>
      </c>
      <c r="E1025" s="27" t="s">
        <v>59</v>
      </c>
      <c r="F1025" s="27" t="s">
        <v>43</v>
      </c>
      <c r="G1025" s="27" t="s">
        <v>1100</v>
      </c>
      <c r="H1025" s="27" t="s">
        <v>1136</v>
      </c>
      <c r="I1025" s="27" t="s">
        <v>143</v>
      </c>
      <c r="J1025" s="27" t="s">
        <v>144</v>
      </c>
      <c r="K1025" s="39" t="s">
        <v>1101</v>
      </c>
      <c r="L1025" s="41" t="s">
        <v>309</v>
      </c>
      <c r="M1025" s="27"/>
      <c r="N1025" s="27"/>
      <c r="O1025" s="28"/>
    </row>
    <row r="1026" spans="1:15" ht="15" customHeight="1" x14ac:dyDescent="0.3">
      <c r="A1026" s="31">
        <v>46023</v>
      </c>
      <c r="B1026" s="27" t="s">
        <v>53</v>
      </c>
      <c r="C1026" s="27" t="s">
        <v>1137</v>
      </c>
      <c r="D1026" s="27" t="s">
        <v>1133</v>
      </c>
      <c r="E1026" s="27" t="s">
        <v>59</v>
      </c>
      <c r="F1026" s="27" t="s">
        <v>43</v>
      </c>
      <c r="G1026" s="27" t="s">
        <v>1100</v>
      </c>
      <c r="H1026" s="27" t="s">
        <v>1138</v>
      </c>
      <c r="I1026" s="27" t="s">
        <v>143</v>
      </c>
      <c r="J1026" s="27" t="s">
        <v>144</v>
      </c>
      <c r="K1026" s="39" t="s">
        <v>1101</v>
      </c>
      <c r="L1026" s="41" t="s">
        <v>309</v>
      </c>
      <c r="M1026" s="27"/>
      <c r="N1026" s="27"/>
      <c r="O1026" s="28"/>
    </row>
    <row r="1027" spans="1:15" ht="15" customHeight="1" x14ac:dyDescent="0.3">
      <c r="A1027" s="31">
        <v>46023</v>
      </c>
      <c r="B1027" s="27" t="s">
        <v>53</v>
      </c>
      <c r="C1027" s="27" t="s">
        <v>1139</v>
      </c>
      <c r="D1027" s="27" t="s">
        <v>1140</v>
      </c>
      <c r="E1027" s="27" t="s">
        <v>59</v>
      </c>
      <c r="F1027" s="27" t="s">
        <v>43</v>
      </c>
      <c r="G1027" s="27" t="s">
        <v>1100</v>
      </c>
      <c r="H1027" s="27" t="s">
        <v>59</v>
      </c>
      <c r="I1027" s="27" t="s">
        <v>143</v>
      </c>
      <c r="J1027" s="27" t="s">
        <v>144</v>
      </c>
      <c r="K1027" s="39" t="s">
        <v>1101</v>
      </c>
      <c r="L1027" s="41" t="s">
        <v>309</v>
      </c>
      <c r="M1027" s="27"/>
      <c r="N1027" s="27"/>
      <c r="O1027" s="28"/>
    </row>
    <row r="1028" spans="1:15" ht="15" customHeight="1" x14ac:dyDescent="0.3">
      <c r="A1028" s="31">
        <v>46023</v>
      </c>
      <c r="B1028" s="27" t="s">
        <v>53</v>
      </c>
      <c r="C1028" s="27" t="s">
        <v>1141</v>
      </c>
      <c r="D1028" s="27" t="s">
        <v>1142</v>
      </c>
      <c r="E1028" s="27" t="s">
        <v>1143</v>
      </c>
      <c r="F1028" s="27" t="s">
        <v>43</v>
      </c>
      <c r="G1028" s="27" t="s">
        <v>1100</v>
      </c>
      <c r="H1028" s="27" t="s">
        <v>59</v>
      </c>
      <c r="I1028" s="27" t="s">
        <v>143</v>
      </c>
      <c r="J1028" s="27" t="s">
        <v>144</v>
      </c>
      <c r="K1028" s="39" t="s">
        <v>1101</v>
      </c>
      <c r="L1028" s="41" t="s">
        <v>309</v>
      </c>
      <c r="M1028" s="27"/>
      <c r="N1028" s="27"/>
      <c r="O1028" s="28"/>
    </row>
    <row r="1029" spans="1:15" ht="15" customHeight="1" x14ac:dyDescent="0.3">
      <c r="A1029" s="31">
        <v>46023</v>
      </c>
      <c r="B1029" s="27" t="s">
        <v>53</v>
      </c>
      <c r="C1029" s="27" t="s">
        <v>1144</v>
      </c>
      <c r="D1029" s="27" t="s">
        <v>1145</v>
      </c>
      <c r="E1029" s="27" t="s">
        <v>1146</v>
      </c>
      <c r="F1029" s="27" t="s">
        <v>43</v>
      </c>
      <c r="G1029" s="27" t="s">
        <v>1100</v>
      </c>
      <c r="H1029" s="27" t="s">
        <v>59</v>
      </c>
      <c r="I1029" s="27" t="s">
        <v>116</v>
      </c>
      <c r="J1029" s="27" t="s">
        <v>144</v>
      </c>
      <c r="K1029" s="39" t="s">
        <v>1101</v>
      </c>
      <c r="L1029" s="41" t="s">
        <v>309</v>
      </c>
      <c r="M1029" s="27"/>
      <c r="N1029" s="27"/>
      <c r="O1029" s="28"/>
    </row>
    <row r="1030" spans="1:15" ht="15" customHeight="1" x14ac:dyDescent="0.3">
      <c r="A1030" s="31">
        <v>46023</v>
      </c>
      <c r="B1030" s="27" t="s">
        <v>53</v>
      </c>
      <c r="C1030" s="27" t="s">
        <v>1147</v>
      </c>
      <c r="D1030" s="27" t="s">
        <v>1148</v>
      </c>
      <c r="E1030" s="27" t="s">
        <v>1143</v>
      </c>
      <c r="F1030" s="27" t="s">
        <v>43</v>
      </c>
      <c r="G1030" s="27" t="s">
        <v>1100</v>
      </c>
      <c r="H1030" s="27" t="s">
        <v>59</v>
      </c>
      <c r="I1030" s="27" t="s">
        <v>116</v>
      </c>
      <c r="J1030" s="27" t="s">
        <v>144</v>
      </c>
      <c r="K1030" s="39" t="s">
        <v>1101</v>
      </c>
      <c r="L1030" s="41" t="s">
        <v>309</v>
      </c>
      <c r="M1030" s="27"/>
      <c r="N1030" s="27"/>
      <c r="O1030" s="28"/>
    </row>
    <row r="1031" spans="1:15" ht="15" customHeight="1" x14ac:dyDescent="0.3">
      <c r="A1031" s="31">
        <v>46023</v>
      </c>
      <c r="B1031" s="27" t="s">
        <v>53</v>
      </c>
      <c r="C1031" s="27" t="s">
        <v>1149</v>
      </c>
      <c r="D1031" s="27" t="s">
        <v>1148</v>
      </c>
      <c r="E1031" s="27" t="s">
        <v>1143</v>
      </c>
      <c r="F1031" s="27" t="s">
        <v>43</v>
      </c>
      <c r="G1031" s="27" t="s">
        <v>1100</v>
      </c>
      <c r="H1031" s="27" t="s">
        <v>59</v>
      </c>
      <c r="I1031" s="27" t="s">
        <v>143</v>
      </c>
      <c r="J1031" s="27" t="s">
        <v>144</v>
      </c>
      <c r="K1031" s="39" t="s">
        <v>1101</v>
      </c>
      <c r="L1031" s="41" t="s">
        <v>309</v>
      </c>
      <c r="M1031" s="27"/>
      <c r="N1031" s="27"/>
      <c r="O1031" s="28"/>
    </row>
    <row r="1032" spans="1:15" ht="15" customHeight="1" x14ac:dyDescent="0.3">
      <c r="A1032" s="31">
        <v>46023</v>
      </c>
      <c r="B1032" s="27" t="s">
        <v>53</v>
      </c>
      <c r="C1032" s="27" t="s">
        <v>1150</v>
      </c>
      <c r="D1032" s="27" t="s">
        <v>1151</v>
      </c>
      <c r="E1032" s="27" t="s">
        <v>59</v>
      </c>
      <c r="F1032" s="27" t="s">
        <v>43</v>
      </c>
      <c r="G1032" s="27" t="s">
        <v>1100</v>
      </c>
      <c r="H1032" s="27" t="s">
        <v>59</v>
      </c>
      <c r="I1032" s="27" t="s">
        <v>116</v>
      </c>
      <c r="J1032" s="27" t="s">
        <v>144</v>
      </c>
      <c r="K1032" s="39" t="s">
        <v>1101</v>
      </c>
      <c r="L1032" s="41" t="s">
        <v>309</v>
      </c>
      <c r="M1032" s="27"/>
      <c r="N1032" s="27"/>
      <c r="O1032" s="28"/>
    </row>
    <row r="1033" spans="1:15" ht="15" customHeight="1" x14ac:dyDescent="0.3">
      <c r="A1033" s="31">
        <v>46023</v>
      </c>
      <c r="B1033" s="27" t="s">
        <v>53</v>
      </c>
      <c r="C1033" s="27" t="s">
        <v>1152</v>
      </c>
      <c r="D1033" s="27" t="s">
        <v>1151</v>
      </c>
      <c r="E1033" s="27" t="s">
        <v>59</v>
      </c>
      <c r="F1033" s="27" t="s">
        <v>43</v>
      </c>
      <c r="G1033" s="27" t="s">
        <v>1100</v>
      </c>
      <c r="H1033" s="27" t="s">
        <v>59</v>
      </c>
      <c r="I1033" s="27" t="s">
        <v>116</v>
      </c>
      <c r="J1033" s="27" t="s">
        <v>144</v>
      </c>
      <c r="K1033" s="39" t="s">
        <v>1101</v>
      </c>
      <c r="L1033" s="41" t="s">
        <v>309</v>
      </c>
      <c r="M1033" s="27"/>
      <c r="N1033" s="27"/>
      <c r="O1033" s="28"/>
    </row>
    <row r="1034" spans="1:15" ht="15" customHeight="1" x14ac:dyDescent="0.3">
      <c r="A1034" s="31">
        <v>46023</v>
      </c>
      <c r="B1034" s="27" t="s">
        <v>53</v>
      </c>
      <c r="C1034" s="27" t="s">
        <v>1153</v>
      </c>
      <c r="D1034" s="27" t="s">
        <v>1154</v>
      </c>
      <c r="E1034" s="27" t="s">
        <v>1155</v>
      </c>
      <c r="F1034" s="27" t="s">
        <v>43</v>
      </c>
      <c r="G1034" s="27" t="s">
        <v>1100</v>
      </c>
      <c r="H1034" s="27" t="s">
        <v>59</v>
      </c>
      <c r="I1034" s="27" t="s">
        <v>143</v>
      </c>
      <c r="J1034" s="27" t="s">
        <v>144</v>
      </c>
      <c r="K1034" s="39" t="s">
        <v>1101</v>
      </c>
      <c r="L1034" s="41" t="s">
        <v>309</v>
      </c>
      <c r="M1034" s="27"/>
      <c r="N1034" s="27"/>
      <c r="O1034" s="28"/>
    </row>
    <row r="1035" spans="1:15" ht="15" customHeight="1" x14ac:dyDescent="0.3">
      <c r="A1035" s="31">
        <v>46023</v>
      </c>
      <c r="B1035" s="27" t="s">
        <v>53</v>
      </c>
      <c r="C1035" s="27" t="s">
        <v>1156</v>
      </c>
      <c r="D1035" s="27" t="s">
        <v>1157</v>
      </c>
      <c r="E1035" s="27" t="s">
        <v>1155</v>
      </c>
      <c r="F1035" s="27" t="s">
        <v>43</v>
      </c>
      <c r="G1035" s="27" t="s">
        <v>1100</v>
      </c>
      <c r="H1035" s="27" t="s">
        <v>59</v>
      </c>
      <c r="I1035" s="27" t="s">
        <v>116</v>
      </c>
      <c r="J1035" s="27" t="s">
        <v>144</v>
      </c>
      <c r="K1035" s="39" t="s">
        <v>1101</v>
      </c>
      <c r="L1035" s="41" t="s">
        <v>309</v>
      </c>
      <c r="M1035" s="27"/>
      <c r="N1035" s="27"/>
      <c r="O1035" s="28"/>
    </row>
    <row r="1036" spans="1:15" ht="15" customHeight="1" x14ac:dyDescent="0.3">
      <c r="A1036" s="31">
        <v>46023</v>
      </c>
      <c r="B1036" s="27" t="s">
        <v>53</v>
      </c>
      <c r="C1036" s="27" t="s">
        <v>1158</v>
      </c>
      <c r="D1036" s="27" t="s">
        <v>1159</v>
      </c>
      <c r="E1036" s="27" t="s">
        <v>1160</v>
      </c>
      <c r="F1036" s="27" t="s">
        <v>43</v>
      </c>
      <c r="G1036" s="27" t="s">
        <v>1100</v>
      </c>
      <c r="H1036" s="27" t="s">
        <v>59</v>
      </c>
      <c r="I1036" s="27" t="s">
        <v>116</v>
      </c>
      <c r="J1036" s="27" t="s">
        <v>144</v>
      </c>
      <c r="K1036" s="39" t="s">
        <v>1101</v>
      </c>
      <c r="L1036" s="41" t="s">
        <v>309</v>
      </c>
      <c r="M1036" s="27"/>
      <c r="N1036" s="27"/>
      <c r="O1036" s="28"/>
    </row>
    <row r="1037" spans="1:15" ht="15" customHeight="1" x14ac:dyDescent="0.3">
      <c r="A1037" s="31">
        <v>46023</v>
      </c>
      <c r="B1037" s="27" t="s">
        <v>53</v>
      </c>
      <c r="C1037" s="27" t="s">
        <v>1161</v>
      </c>
      <c r="D1037" s="27" t="s">
        <v>1162</v>
      </c>
      <c r="E1037" s="27" t="s">
        <v>1163</v>
      </c>
      <c r="F1037" s="27" t="s">
        <v>43</v>
      </c>
      <c r="G1037" s="27" t="s">
        <v>1100</v>
      </c>
      <c r="H1037" s="27" t="s">
        <v>59</v>
      </c>
      <c r="I1037" s="27" t="s">
        <v>143</v>
      </c>
      <c r="J1037" s="27" t="s">
        <v>144</v>
      </c>
      <c r="K1037" s="39" t="s">
        <v>1101</v>
      </c>
      <c r="L1037" s="41" t="s">
        <v>309</v>
      </c>
      <c r="M1037" s="27"/>
      <c r="N1037" s="27"/>
      <c r="O1037" s="28"/>
    </row>
    <row r="1038" spans="1:15" ht="15" customHeight="1" x14ac:dyDescent="0.3">
      <c r="A1038" s="31">
        <v>46023</v>
      </c>
      <c r="B1038" s="27" t="s">
        <v>53</v>
      </c>
      <c r="C1038" s="27" t="s">
        <v>1164</v>
      </c>
      <c r="D1038" s="27" t="s">
        <v>1165</v>
      </c>
      <c r="E1038" s="27" t="s">
        <v>1166</v>
      </c>
      <c r="F1038" s="27" t="s">
        <v>43</v>
      </c>
      <c r="G1038" s="27" t="s">
        <v>1100</v>
      </c>
      <c r="H1038" s="27" t="s">
        <v>59</v>
      </c>
      <c r="I1038" s="27" t="s">
        <v>143</v>
      </c>
      <c r="J1038" s="27" t="s">
        <v>144</v>
      </c>
      <c r="K1038" s="39" t="s">
        <v>1101</v>
      </c>
      <c r="L1038" s="41" t="s">
        <v>309</v>
      </c>
      <c r="M1038" s="27"/>
      <c r="N1038" s="27"/>
      <c r="O1038" s="28"/>
    </row>
    <row r="1039" spans="1:15" ht="15" customHeight="1" x14ac:dyDescent="0.3">
      <c r="A1039" s="31">
        <v>46023</v>
      </c>
      <c r="B1039" s="27" t="s">
        <v>53</v>
      </c>
      <c r="C1039" s="27" t="s">
        <v>1167</v>
      </c>
      <c r="D1039" s="27" t="s">
        <v>1165</v>
      </c>
      <c r="E1039" s="27" t="s">
        <v>1166</v>
      </c>
      <c r="F1039" s="27" t="s">
        <v>43</v>
      </c>
      <c r="G1039" s="27" t="s">
        <v>1100</v>
      </c>
      <c r="H1039" s="27" t="s">
        <v>59</v>
      </c>
      <c r="I1039" s="27" t="s">
        <v>116</v>
      </c>
      <c r="J1039" s="27" t="s">
        <v>144</v>
      </c>
      <c r="K1039" s="39" t="s">
        <v>1101</v>
      </c>
      <c r="L1039" s="41" t="s">
        <v>309</v>
      </c>
      <c r="M1039" s="27"/>
      <c r="N1039" s="27"/>
      <c r="O1039" s="28"/>
    </row>
    <row r="1040" spans="1:15" ht="15" customHeight="1" x14ac:dyDescent="0.3">
      <c r="A1040" s="31">
        <v>46023</v>
      </c>
      <c r="B1040" s="27" t="s">
        <v>53</v>
      </c>
      <c r="C1040" s="27" t="s">
        <v>1168</v>
      </c>
      <c r="D1040" s="27" t="s">
        <v>1169</v>
      </c>
      <c r="E1040" s="27" t="s">
        <v>1170</v>
      </c>
      <c r="F1040" s="27" t="s">
        <v>43</v>
      </c>
      <c r="G1040" s="27" t="s">
        <v>1100</v>
      </c>
      <c r="H1040" s="27" t="s">
        <v>59</v>
      </c>
      <c r="I1040" s="27" t="s">
        <v>116</v>
      </c>
      <c r="J1040" s="27" t="s">
        <v>144</v>
      </c>
      <c r="K1040" s="39" t="s">
        <v>1101</v>
      </c>
      <c r="L1040" s="41" t="s">
        <v>309</v>
      </c>
      <c r="M1040" s="27"/>
      <c r="N1040" s="27"/>
      <c r="O1040" s="28"/>
    </row>
    <row r="1041" spans="1:15" ht="15" customHeight="1" x14ac:dyDescent="0.3">
      <c r="A1041" s="31">
        <v>46023</v>
      </c>
      <c r="B1041" s="27" t="s">
        <v>53</v>
      </c>
      <c r="C1041" s="27" t="s">
        <v>1171</v>
      </c>
      <c r="D1041" s="27" t="s">
        <v>1172</v>
      </c>
      <c r="E1041" s="27" t="s">
        <v>1173</v>
      </c>
      <c r="F1041" s="27" t="s">
        <v>43</v>
      </c>
      <c r="G1041" s="27" t="s">
        <v>1100</v>
      </c>
      <c r="H1041" s="27">
        <v>82602</v>
      </c>
      <c r="I1041" s="27" t="s">
        <v>143</v>
      </c>
      <c r="J1041" s="27" t="s">
        <v>144</v>
      </c>
      <c r="K1041" s="39" t="s">
        <v>1101</v>
      </c>
      <c r="L1041" s="41" t="s">
        <v>309</v>
      </c>
      <c r="M1041" s="27"/>
      <c r="N1041" s="27"/>
      <c r="O1041" s="28"/>
    </row>
    <row r="1042" spans="1:15" ht="15" customHeight="1" x14ac:dyDescent="0.3">
      <c r="A1042" s="31">
        <v>46023</v>
      </c>
      <c r="B1042" s="27" t="s">
        <v>53</v>
      </c>
      <c r="C1042" s="27" t="s">
        <v>1174</v>
      </c>
      <c r="D1042" s="27" t="s">
        <v>1175</v>
      </c>
      <c r="E1042" s="27" t="s">
        <v>1176</v>
      </c>
      <c r="F1042" s="27" t="s">
        <v>43</v>
      </c>
      <c r="G1042" s="27" t="s">
        <v>1100</v>
      </c>
      <c r="H1042" s="27" t="s">
        <v>1177</v>
      </c>
      <c r="I1042" s="27" t="s">
        <v>143</v>
      </c>
      <c r="J1042" s="27" t="s">
        <v>144</v>
      </c>
      <c r="K1042" s="39" t="s">
        <v>1101</v>
      </c>
      <c r="L1042" s="41" t="s">
        <v>309</v>
      </c>
      <c r="M1042" s="27"/>
      <c r="N1042" s="27"/>
      <c r="O1042" s="28"/>
    </row>
    <row r="1043" spans="1:15" ht="15" customHeight="1" x14ac:dyDescent="0.3">
      <c r="A1043" s="31">
        <v>46023</v>
      </c>
      <c r="B1043" s="27" t="s">
        <v>53</v>
      </c>
      <c r="C1043" s="27" t="s">
        <v>1178</v>
      </c>
      <c r="D1043" s="27" t="s">
        <v>1179</v>
      </c>
      <c r="E1043" s="27" t="s">
        <v>1180</v>
      </c>
      <c r="F1043" s="27" t="s">
        <v>43</v>
      </c>
      <c r="G1043" s="27" t="s">
        <v>1100</v>
      </c>
      <c r="H1043" s="27" t="s">
        <v>59</v>
      </c>
      <c r="I1043" s="27" t="s">
        <v>143</v>
      </c>
      <c r="J1043" s="27" t="s">
        <v>144</v>
      </c>
      <c r="K1043" s="39" t="s">
        <v>1101</v>
      </c>
      <c r="L1043" s="41" t="s">
        <v>309</v>
      </c>
      <c r="M1043" s="27"/>
      <c r="N1043" s="27"/>
      <c r="O1043" s="28"/>
    </row>
    <row r="1044" spans="1:15" ht="15" customHeight="1" x14ac:dyDescent="0.3">
      <c r="A1044" s="31">
        <v>46023</v>
      </c>
      <c r="B1044" s="27" t="s">
        <v>53</v>
      </c>
      <c r="C1044" s="27" t="s">
        <v>1181</v>
      </c>
      <c r="D1044" s="27" t="s">
        <v>1179</v>
      </c>
      <c r="E1044" s="27" t="s">
        <v>1180</v>
      </c>
      <c r="F1044" s="27" t="s">
        <v>43</v>
      </c>
      <c r="G1044" s="27" t="s">
        <v>1100</v>
      </c>
      <c r="H1044" s="27" t="s">
        <v>59</v>
      </c>
      <c r="I1044" s="27" t="s">
        <v>116</v>
      </c>
      <c r="J1044" s="27" t="s">
        <v>144</v>
      </c>
      <c r="K1044" s="39" t="s">
        <v>1101</v>
      </c>
      <c r="L1044" s="41" t="s">
        <v>309</v>
      </c>
      <c r="M1044" s="27"/>
      <c r="N1044" s="27"/>
      <c r="O1044" s="28"/>
    </row>
    <row r="1045" spans="1:15" ht="15" customHeight="1" x14ac:dyDescent="0.3">
      <c r="A1045" s="31">
        <v>46023</v>
      </c>
      <c r="B1045" s="27" t="s">
        <v>53</v>
      </c>
      <c r="C1045" s="27" t="s">
        <v>1182</v>
      </c>
      <c r="D1045" s="27" t="s">
        <v>1183</v>
      </c>
      <c r="E1045" s="27" t="s">
        <v>1180</v>
      </c>
      <c r="F1045" s="27" t="s">
        <v>43</v>
      </c>
      <c r="G1045" s="27" t="s">
        <v>1100</v>
      </c>
      <c r="H1045" s="27" t="s">
        <v>59</v>
      </c>
      <c r="I1045" s="27" t="s">
        <v>143</v>
      </c>
      <c r="J1045" s="27" t="s">
        <v>144</v>
      </c>
      <c r="K1045" s="39" t="s">
        <v>1101</v>
      </c>
      <c r="L1045" s="41" t="s">
        <v>309</v>
      </c>
      <c r="M1045" s="27"/>
      <c r="N1045" s="27"/>
      <c r="O1045" s="28"/>
    </row>
    <row r="1046" spans="1:15" ht="15" customHeight="1" x14ac:dyDescent="0.3">
      <c r="A1046" s="31">
        <v>46023</v>
      </c>
      <c r="B1046" s="27" t="s">
        <v>53</v>
      </c>
      <c r="C1046" s="27" t="s">
        <v>1184</v>
      </c>
      <c r="D1046" s="27" t="s">
        <v>1185</v>
      </c>
      <c r="E1046" s="27" t="s">
        <v>59</v>
      </c>
      <c r="F1046" s="27" t="s">
        <v>43</v>
      </c>
      <c r="G1046" s="27" t="s">
        <v>466</v>
      </c>
      <c r="H1046" s="27" t="s">
        <v>59</v>
      </c>
      <c r="I1046" s="27" t="s">
        <v>143</v>
      </c>
      <c r="J1046" s="27" t="s">
        <v>144</v>
      </c>
      <c r="K1046" s="39" t="s">
        <v>1186</v>
      </c>
      <c r="L1046" s="41" t="s">
        <v>309</v>
      </c>
      <c r="M1046" s="27"/>
      <c r="N1046" s="27"/>
      <c r="O1046" s="28"/>
    </row>
    <row r="1047" spans="1:15" ht="15" customHeight="1" x14ac:dyDescent="0.3">
      <c r="A1047" s="31">
        <v>46023</v>
      </c>
      <c r="B1047" s="27" t="s">
        <v>53</v>
      </c>
      <c r="C1047" s="27" t="s">
        <v>1187</v>
      </c>
      <c r="D1047" s="27" t="s">
        <v>1188</v>
      </c>
      <c r="E1047" s="27" t="s">
        <v>59</v>
      </c>
      <c r="F1047" s="27" t="s">
        <v>43</v>
      </c>
      <c r="G1047" s="27" t="s">
        <v>466</v>
      </c>
      <c r="H1047" s="27" t="s">
        <v>59</v>
      </c>
      <c r="I1047" s="27" t="s">
        <v>143</v>
      </c>
      <c r="J1047" s="27" t="s">
        <v>144</v>
      </c>
      <c r="K1047" s="39" t="s">
        <v>1186</v>
      </c>
      <c r="L1047" s="41" t="s">
        <v>309</v>
      </c>
      <c r="M1047" s="27"/>
      <c r="N1047" s="27"/>
      <c r="O1047" s="28"/>
    </row>
    <row r="1048" spans="1:15" ht="15" customHeight="1" x14ac:dyDescent="0.3">
      <c r="A1048" s="31">
        <v>46023</v>
      </c>
      <c r="B1048" s="27" t="s">
        <v>53</v>
      </c>
      <c r="C1048" s="27" t="s">
        <v>1189</v>
      </c>
      <c r="D1048" s="27" t="s">
        <v>1190</v>
      </c>
      <c r="E1048" s="27" t="s">
        <v>1191</v>
      </c>
      <c r="F1048" s="27" t="s">
        <v>43</v>
      </c>
      <c r="G1048" s="27" t="s">
        <v>466</v>
      </c>
      <c r="H1048" s="27" t="s">
        <v>59</v>
      </c>
      <c r="I1048" s="27" t="s">
        <v>143</v>
      </c>
      <c r="J1048" s="27" t="s">
        <v>144</v>
      </c>
      <c r="K1048" s="39" t="s">
        <v>1186</v>
      </c>
      <c r="L1048" s="41" t="s">
        <v>309</v>
      </c>
      <c r="M1048" s="27"/>
      <c r="N1048" s="27"/>
      <c r="O1048" s="28"/>
    </row>
    <row r="1049" spans="1:15" ht="15" customHeight="1" x14ac:dyDescent="0.3">
      <c r="A1049" s="31">
        <v>46023</v>
      </c>
      <c r="B1049" s="27" t="s">
        <v>53</v>
      </c>
      <c r="C1049" s="27" t="s">
        <v>1192</v>
      </c>
      <c r="D1049" s="27" t="s">
        <v>1193</v>
      </c>
      <c r="E1049" s="27" t="s">
        <v>59</v>
      </c>
      <c r="F1049" s="27" t="s">
        <v>43</v>
      </c>
      <c r="G1049" s="27" t="s">
        <v>466</v>
      </c>
      <c r="H1049" s="27" t="s">
        <v>59</v>
      </c>
      <c r="I1049" s="27" t="s">
        <v>143</v>
      </c>
      <c r="J1049" s="27" t="s">
        <v>144</v>
      </c>
      <c r="K1049" s="39" t="s">
        <v>1186</v>
      </c>
      <c r="L1049" s="41" t="s">
        <v>309</v>
      </c>
      <c r="M1049" s="27"/>
      <c r="N1049" s="27"/>
      <c r="O1049" s="28"/>
    </row>
    <row r="1050" spans="1:15" ht="15" customHeight="1" x14ac:dyDescent="0.3">
      <c r="A1050" s="31">
        <v>46023</v>
      </c>
      <c r="B1050" s="27" t="s">
        <v>53</v>
      </c>
      <c r="C1050" s="27" t="s">
        <v>1194</v>
      </c>
      <c r="D1050" s="27" t="s">
        <v>1195</v>
      </c>
      <c r="E1050" s="27" t="s">
        <v>59</v>
      </c>
      <c r="F1050" s="27" t="s">
        <v>43</v>
      </c>
      <c r="G1050" s="27" t="s">
        <v>466</v>
      </c>
      <c r="H1050" s="27" t="s">
        <v>59</v>
      </c>
      <c r="I1050" s="27" t="s">
        <v>143</v>
      </c>
      <c r="J1050" s="27" t="s">
        <v>144</v>
      </c>
      <c r="K1050" s="39" t="s">
        <v>1186</v>
      </c>
      <c r="L1050" s="41" t="s">
        <v>309</v>
      </c>
      <c r="M1050" s="27"/>
      <c r="N1050" s="27"/>
      <c r="O1050" s="28"/>
    </row>
    <row r="1051" spans="1:15" ht="15" customHeight="1" x14ac:dyDescent="0.3">
      <c r="A1051" s="31">
        <v>46023</v>
      </c>
      <c r="B1051" s="27" t="s">
        <v>53</v>
      </c>
      <c r="C1051" s="27" t="s">
        <v>1196</v>
      </c>
      <c r="D1051" s="27" t="s">
        <v>1197</v>
      </c>
      <c r="E1051" s="27" t="s">
        <v>59</v>
      </c>
      <c r="F1051" s="27" t="s">
        <v>43</v>
      </c>
      <c r="G1051" s="27" t="s">
        <v>466</v>
      </c>
      <c r="H1051" s="27" t="s">
        <v>59</v>
      </c>
      <c r="I1051" s="27" t="s">
        <v>143</v>
      </c>
      <c r="J1051" s="27" t="s">
        <v>144</v>
      </c>
      <c r="K1051" s="39" t="s">
        <v>1186</v>
      </c>
      <c r="L1051" s="41" t="s">
        <v>309</v>
      </c>
      <c r="M1051" s="27"/>
      <c r="N1051" s="27"/>
      <c r="O1051" s="28"/>
    </row>
    <row r="1052" spans="1:15" ht="15" customHeight="1" x14ac:dyDescent="0.3">
      <c r="A1052" s="31">
        <v>46023</v>
      </c>
      <c r="B1052" s="27" t="s">
        <v>53</v>
      </c>
      <c r="C1052" s="27" t="s">
        <v>1198</v>
      </c>
      <c r="D1052" s="27" t="s">
        <v>1199</v>
      </c>
      <c r="E1052" s="27" t="s">
        <v>59</v>
      </c>
      <c r="F1052" s="27" t="s">
        <v>43</v>
      </c>
      <c r="G1052" s="27" t="s">
        <v>466</v>
      </c>
      <c r="H1052" s="27" t="s">
        <v>1200</v>
      </c>
      <c r="I1052" s="27" t="s">
        <v>143</v>
      </c>
      <c r="J1052" s="27" t="s">
        <v>144</v>
      </c>
      <c r="K1052" s="39" t="s">
        <v>1186</v>
      </c>
      <c r="L1052" s="41" t="s">
        <v>309</v>
      </c>
      <c r="M1052" s="27"/>
      <c r="N1052" s="27"/>
      <c r="O1052" s="28"/>
    </row>
    <row r="1053" spans="1:15" ht="15" customHeight="1" x14ac:dyDescent="0.3">
      <c r="A1053" s="31">
        <v>46023</v>
      </c>
      <c r="B1053" s="27" t="s">
        <v>53</v>
      </c>
      <c r="C1053" s="27" t="s">
        <v>1201</v>
      </c>
      <c r="D1053" s="27" t="s">
        <v>1202</v>
      </c>
      <c r="E1053" s="27" t="s">
        <v>59</v>
      </c>
      <c r="F1053" s="27" t="s">
        <v>43</v>
      </c>
      <c r="G1053" s="27" t="s">
        <v>466</v>
      </c>
      <c r="H1053" s="27" t="s">
        <v>59</v>
      </c>
      <c r="I1053" s="27" t="s">
        <v>143</v>
      </c>
      <c r="J1053" s="27" t="s">
        <v>144</v>
      </c>
      <c r="K1053" s="39" t="s">
        <v>1186</v>
      </c>
      <c r="L1053" s="41" t="s">
        <v>309</v>
      </c>
      <c r="M1053" s="27"/>
      <c r="N1053" s="27"/>
      <c r="O1053" s="28"/>
    </row>
    <row r="1054" spans="1:15" ht="15" customHeight="1" x14ac:dyDescent="0.3">
      <c r="A1054" s="31">
        <v>46023</v>
      </c>
      <c r="B1054" s="27" t="s">
        <v>53</v>
      </c>
      <c r="C1054" s="27" t="s">
        <v>1203</v>
      </c>
      <c r="D1054" s="27" t="s">
        <v>1204</v>
      </c>
      <c r="E1054" s="27" t="s">
        <v>59</v>
      </c>
      <c r="F1054" s="27" t="s">
        <v>43</v>
      </c>
      <c r="G1054" s="27" t="s">
        <v>466</v>
      </c>
      <c r="H1054" s="27" t="s">
        <v>59</v>
      </c>
      <c r="I1054" s="27" t="s">
        <v>143</v>
      </c>
      <c r="J1054" s="27" t="s">
        <v>144</v>
      </c>
      <c r="K1054" s="39" t="s">
        <v>1186</v>
      </c>
      <c r="L1054" s="41" t="s">
        <v>309</v>
      </c>
      <c r="M1054" s="27"/>
      <c r="N1054" s="27"/>
      <c r="O1054" s="28"/>
    </row>
    <row r="1055" spans="1:15" ht="15" customHeight="1" x14ac:dyDescent="0.3">
      <c r="A1055" s="31">
        <v>46023</v>
      </c>
      <c r="B1055" s="27" t="s">
        <v>53</v>
      </c>
      <c r="C1055" s="27" t="s">
        <v>1205</v>
      </c>
      <c r="D1055" s="27" t="s">
        <v>1206</v>
      </c>
      <c r="E1055" s="27" t="s">
        <v>59</v>
      </c>
      <c r="F1055" s="27" t="s">
        <v>43</v>
      </c>
      <c r="G1055" s="27" t="s">
        <v>466</v>
      </c>
      <c r="H1055" s="27" t="s">
        <v>59</v>
      </c>
      <c r="I1055" s="27" t="s">
        <v>143</v>
      </c>
      <c r="J1055" s="27" t="s">
        <v>144</v>
      </c>
      <c r="K1055" s="39" t="s">
        <v>1186</v>
      </c>
      <c r="L1055" s="41" t="s">
        <v>309</v>
      </c>
      <c r="M1055" s="27"/>
      <c r="N1055" s="27"/>
      <c r="O1055" s="28"/>
    </row>
    <row r="1056" spans="1:15" ht="15" customHeight="1" x14ac:dyDescent="0.3">
      <c r="A1056" s="31">
        <v>46023</v>
      </c>
      <c r="B1056" s="27" t="s">
        <v>53</v>
      </c>
      <c r="C1056" s="27" t="s">
        <v>1207</v>
      </c>
      <c r="D1056" s="27" t="s">
        <v>1208</v>
      </c>
      <c r="E1056" s="27" t="s">
        <v>1209</v>
      </c>
      <c r="F1056" s="27" t="s">
        <v>43</v>
      </c>
      <c r="G1056" s="27" t="s">
        <v>466</v>
      </c>
      <c r="H1056" s="27" t="s">
        <v>59</v>
      </c>
      <c r="I1056" s="27" t="s">
        <v>143</v>
      </c>
      <c r="J1056" s="27" t="s">
        <v>144</v>
      </c>
      <c r="K1056" s="39" t="s">
        <v>1186</v>
      </c>
      <c r="L1056" s="41" t="s">
        <v>309</v>
      </c>
      <c r="M1056" s="27"/>
      <c r="N1056" s="27"/>
      <c r="O1056" s="28"/>
    </row>
    <row r="1057" spans="1:15" ht="15" customHeight="1" x14ac:dyDescent="0.3">
      <c r="A1057" s="31">
        <v>46023</v>
      </c>
      <c r="B1057" s="27" t="s">
        <v>53</v>
      </c>
      <c r="C1057" s="27" t="s">
        <v>1210</v>
      </c>
      <c r="D1057" s="27" t="s">
        <v>1211</v>
      </c>
      <c r="E1057" s="27" t="s">
        <v>1212</v>
      </c>
      <c r="F1057" s="27" t="s">
        <v>43</v>
      </c>
      <c r="G1057" s="27" t="s">
        <v>466</v>
      </c>
      <c r="H1057" s="27" t="s">
        <v>1213</v>
      </c>
      <c r="I1057" s="27" t="s">
        <v>143</v>
      </c>
      <c r="J1057" s="27" t="s">
        <v>144</v>
      </c>
      <c r="K1057" s="39" t="s">
        <v>1186</v>
      </c>
      <c r="L1057" s="41" t="s">
        <v>309</v>
      </c>
      <c r="M1057" s="27"/>
      <c r="N1057" s="27"/>
      <c r="O1057" s="28"/>
    </row>
    <row r="1058" spans="1:15" ht="15" customHeight="1" x14ac:dyDescent="0.3">
      <c r="A1058" s="31">
        <v>46023</v>
      </c>
      <c r="B1058" s="27" t="s">
        <v>53</v>
      </c>
      <c r="C1058" s="27" t="s">
        <v>1214</v>
      </c>
      <c r="D1058" s="27" t="s">
        <v>1215</v>
      </c>
      <c r="E1058" s="27" t="s">
        <v>59</v>
      </c>
      <c r="F1058" s="27" t="s">
        <v>43</v>
      </c>
      <c r="G1058" s="27" t="s">
        <v>466</v>
      </c>
      <c r="H1058" s="27" t="s">
        <v>59</v>
      </c>
      <c r="I1058" s="27" t="s">
        <v>143</v>
      </c>
      <c r="J1058" s="27" t="s">
        <v>144</v>
      </c>
      <c r="K1058" s="39" t="s">
        <v>1186</v>
      </c>
      <c r="L1058" s="41" t="s">
        <v>309</v>
      </c>
      <c r="M1058" s="27"/>
      <c r="N1058" s="27"/>
      <c r="O1058" s="28"/>
    </row>
    <row r="1059" spans="1:15" ht="15" customHeight="1" x14ac:dyDescent="0.3">
      <c r="A1059" s="31">
        <v>46023</v>
      </c>
      <c r="B1059" s="27" t="s">
        <v>53</v>
      </c>
      <c r="C1059" s="27" t="s">
        <v>1216</v>
      </c>
      <c r="D1059" s="27" t="s">
        <v>1217</v>
      </c>
      <c r="E1059" s="27" t="s">
        <v>1218</v>
      </c>
      <c r="F1059" s="27" t="s">
        <v>43</v>
      </c>
      <c r="G1059" s="27" t="s">
        <v>466</v>
      </c>
      <c r="H1059" s="27" t="s">
        <v>59</v>
      </c>
      <c r="I1059" s="27" t="s">
        <v>143</v>
      </c>
      <c r="J1059" s="27" t="s">
        <v>144</v>
      </c>
      <c r="K1059" s="39" t="s">
        <v>1186</v>
      </c>
      <c r="L1059" s="41" t="s">
        <v>309</v>
      </c>
      <c r="M1059" s="27"/>
      <c r="N1059" s="27"/>
      <c r="O1059" s="28"/>
    </row>
    <row r="1060" spans="1:15" ht="15" customHeight="1" x14ac:dyDescent="0.3">
      <c r="A1060" s="31">
        <v>46023</v>
      </c>
      <c r="B1060" s="27" t="s">
        <v>53</v>
      </c>
      <c r="C1060" s="27" t="s">
        <v>1219</v>
      </c>
      <c r="D1060" s="27" t="s">
        <v>1220</v>
      </c>
      <c r="E1060" s="27" t="s">
        <v>59</v>
      </c>
      <c r="F1060" s="27" t="s">
        <v>43</v>
      </c>
      <c r="G1060" s="27" t="s">
        <v>466</v>
      </c>
      <c r="H1060" s="27" t="s">
        <v>59</v>
      </c>
      <c r="I1060" s="27" t="s">
        <v>143</v>
      </c>
      <c r="J1060" s="27" t="s">
        <v>144</v>
      </c>
      <c r="K1060" s="39" t="s">
        <v>1186</v>
      </c>
      <c r="L1060" s="41" t="s">
        <v>309</v>
      </c>
      <c r="M1060" s="27"/>
      <c r="N1060" s="27"/>
      <c r="O1060" s="28"/>
    </row>
    <row r="1061" spans="1:15" ht="15" customHeight="1" x14ac:dyDescent="0.3">
      <c r="A1061" s="31">
        <v>46023</v>
      </c>
      <c r="B1061" s="27" t="s">
        <v>53</v>
      </c>
      <c r="C1061" s="27" t="s">
        <v>1221</v>
      </c>
      <c r="D1061" s="27" t="s">
        <v>1222</v>
      </c>
      <c r="E1061" s="27" t="s">
        <v>59</v>
      </c>
      <c r="F1061" s="27" t="s">
        <v>43</v>
      </c>
      <c r="G1061" s="27" t="s">
        <v>466</v>
      </c>
      <c r="H1061" s="27" t="s">
        <v>59</v>
      </c>
      <c r="I1061" s="27" t="s">
        <v>143</v>
      </c>
      <c r="J1061" s="27" t="s">
        <v>144</v>
      </c>
      <c r="K1061" s="39" t="s">
        <v>1186</v>
      </c>
      <c r="L1061" s="41" t="s">
        <v>309</v>
      </c>
      <c r="M1061" s="27"/>
      <c r="N1061" s="27"/>
      <c r="O1061" s="28"/>
    </row>
    <row r="1062" spans="1:15" ht="15" customHeight="1" x14ac:dyDescent="0.3">
      <c r="A1062" s="31">
        <v>46023</v>
      </c>
      <c r="B1062" s="27" t="s">
        <v>53</v>
      </c>
      <c r="C1062" s="27" t="s">
        <v>1223</v>
      </c>
      <c r="D1062" s="27" t="s">
        <v>1224</v>
      </c>
      <c r="E1062" s="27" t="s">
        <v>1225</v>
      </c>
      <c r="F1062" s="27" t="s">
        <v>43</v>
      </c>
      <c r="G1062" s="27" t="s">
        <v>466</v>
      </c>
      <c r="H1062" s="27" t="s">
        <v>59</v>
      </c>
      <c r="I1062" s="27" t="s">
        <v>143</v>
      </c>
      <c r="J1062" s="27" t="s">
        <v>106</v>
      </c>
      <c r="K1062" s="39" t="s">
        <v>1186</v>
      </c>
      <c r="L1062" s="41" t="s">
        <v>309</v>
      </c>
      <c r="M1062" s="27"/>
      <c r="N1062" s="27"/>
      <c r="O1062" s="28"/>
    </row>
    <row r="1063" spans="1:15" ht="15" customHeight="1" x14ac:dyDescent="0.3">
      <c r="A1063" s="31">
        <v>46023</v>
      </c>
      <c r="B1063" s="27" t="s">
        <v>53</v>
      </c>
      <c r="C1063" s="27" t="s">
        <v>1226</v>
      </c>
      <c r="D1063" s="27" t="s">
        <v>1227</v>
      </c>
      <c r="E1063" s="27" t="s">
        <v>59</v>
      </c>
      <c r="F1063" s="27" t="s">
        <v>43</v>
      </c>
      <c r="G1063" s="27" t="s">
        <v>466</v>
      </c>
      <c r="H1063" s="27" t="s">
        <v>59</v>
      </c>
      <c r="I1063" s="27" t="s">
        <v>143</v>
      </c>
      <c r="J1063" s="27" t="s">
        <v>144</v>
      </c>
      <c r="K1063" s="39" t="s">
        <v>1186</v>
      </c>
      <c r="L1063" s="41" t="s">
        <v>309</v>
      </c>
      <c r="M1063" s="27"/>
      <c r="N1063" s="27"/>
      <c r="O1063" s="28"/>
    </row>
    <row r="1064" spans="1:15" ht="15" customHeight="1" x14ac:dyDescent="0.3">
      <c r="A1064" s="31">
        <v>46023</v>
      </c>
      <c r="B1064" s="27" t="s">
        <v>53</v>
      </c>
      <c r="C1064" s="27" t="s">
        <v>1228</v>
      </c>
      <c r="D1064" s="27" t="s">
        <v>1229</v>
      </c>
      <c r="E1064" s="27" t="s">
        <v>1230</v>
      </c>
      <c r="F1064" s="27" t="s">
        <v>43</v>
      </c>
      <c r="G1064" s="27" t="s">
        <v>466</v>
      </c>
      <c r="H1064" s="27" t="s">
        <v>59</v>
      </c>
      <c r="I1064" s="27" t="s">
        <v>143</v>
      </c>
      <c r="J1064" s="27" t="s">
        <v>144</v>
      </c>
      <c r="K1064" s="39" t="s">
        <v>1186</v>
      </c>
      <c r="L1064" s="41" t="s">
        <v>309</v>
      </c>
      <c r="M1064" s="27"/>
      <c r="N1064" s="27"/>
      <c r="O1064" s="28"/>
    </row>
    <row r="1065" spans="1:15" ht="15" customHeight="1" x14ac:dyDescent="0.3">
      <c r="A1065" s="31">
        <v>46023</v>
      </c>
      <c r="B1065" s="27" t="s">
        <v>53</v>
      </c>
      <c r="C1065" s="27" t="s">
        <v>1231</v>
      </c>
      <c r="D1065" s="27" t="s">
        <v>1232</v>
      </c>
      <c r="E1065" s="27" t="s">
        <v>1230</v>
      </c>
      <c r="F1065" s="27" t="s">
        <v>43</v>
      </c>
      <c r="G1065" s="27" t="s">
        <v>466</v>
      </c>
      <c r="H1065" s="27">
        <v>186950</v>
      </c>
      <c r="I1065" s="27" t="s">
        <v>60</v>
      </c>
      <c r="J1065" s="27" t="s">
        <v>144</v>
      </c>
      <c r="K1065" s="39" t="s">
        <v>1186</v>
      </c>
      <c r="L1065" s="41" t="s">
        <v>309</v>
      </c>
      <c r="M1065" s="27"/>
      <c r="N1065" s="27"/>
      <c r="O1065" s="28"/>
    </row>
    <row r="1066" spans="1:15" ht="15" customHeight="1" x14ac:dyDescent="0.3">
      <c r="A1066" s="31">
        <v>46023</v>
      </c>
      <c r="B1066" s="27" t="s">
        <v>53</v>
      </c>
      <c r="C1066" s="27" t="s">
        <v>1233</v>
      </c>
      <c r="D1066" s="27" t="s">
        <v>1232</v>
      </c>
      <c r="E1066" s="27" t="s">
        <v>1230</v>
      </c>
      <c r="F1066" s="27" t="s">
        <v>43</v>
      </c>
      <c r="G1066" s="27" t="s">
        <v>466</v>
      </c>
      <c r="H1066" s="27">
        <v>140085</v>
      </c>
      <c r="I1066" s="27" t="s">
        <v>60</v>
      </c>
      <c r="J1066" s="27" t="s">
        <v>144</v>
      </c>
      <c r="K1066" s="39" t="s">
        <v>1186</v>
      </c>
      <c r="L1066" s="41" t="s">
        <v>309</v>
      </c>
      <c r="M1066" s="27"/>
      <c r="N1066" s="27"/>
      <c r="O1066" s="28"/>
    </row>
    <row r="1067" spans="1:15" ht="15" customHeight="1" x14ac:dyDescent="0.3">
      <c r="A1067" s="31">
        <v>46023</v>
      </c>
      <c r="B1067" s="27" t="s">
        <v>53</v>
      </c>
      <c r="C1067" s="27" t="s">
        <v>1234</v>
      </c>
      <c r="D1067" s="27" t="s">
        <v>1235</v>
      </c>
      <c r="E1067" s="27" t="s">
        <v>59</v>
      </c>
      <c r="F1067" s="27" t="s">
        <v>43</v>
      </c>
      <c r="G1067" s="27" t="s">
        <v>466</v>
      </c>
      <c r="H1067" s="27" t="s">
        <v>59</v>
      </c>
      <c r="I1067" s="27" t="s">
        <v>60</v>
      </c>
      <c r="J1067" s="27" t="s">
        <v>144</v>
      </c>
      <c r="K1067" s="39" t="s">
        <v>1186</v>
      </c>
      <c r="L1067" s="41" t="s">
        <v>309</v>
      </c>
      <c r="M1067" s="27"/>
      <c r="N1067" s="27"/>
      <c r="O1067" s="28"/>
    </row>
    <row r="1068" spans="1:15" ht="15" customHeight="1" x14ac:dyDescent="0.3">
      <c r="A1068" s="31">
        <v>46023</v>
      </c>
      <c r="B1068" s="27" t="s">
        <v>53</v>
      </c>
      <c r="C1068" s="27" t="s">
        <v>1236</v>
      </c>
      <c r="D1068" s="27" t="s">
        <v>1237</v>
      </c>
      <c r="E1068" s="27" t="s">
        <v>59</v>
      </c>
      <c r="F1068" s="27" t="s">
        <v>43</v>
      </c>
      <c r="G1068" s="27" t="s">
        <v>466</v>
      </c>
      <c r="H1068" s="27" t="s">
        <v>59</v>
      </c>
      <c r="I1068" s="27" t="s">
        <v>60</v>
      </c>
      <c r="J1068" s="27" t="s">
        <v>144</v>
      </c>
      <c r="K1068" s="39" t="s">
        <v>1186</v>
      </c>
      <c r="L1068" s="41" t="s">
        <v>309</v>
      </c>
      <c r="M1068" s="27"/>
      <c r="N1068" s="27"/>
      <c r="O1068" s="28"/>
    </row>
    <row r="1069" spans="1:15" ht="15" customHeight="1" x14ac:dyDescent="0.3">
      <c r="A1069" s="31">
        <v>46023</v>
      </c>
      <c r="B1069" s="27" t="s">
        <v>53</v>
      </c>
      <c r="C1069" s="27" t="s">
        <v>1238</v>
      </c>
      <c r="D1069" s="27" t="s">
        <v>1239</v>
      </c>
      <c r="E1069" s="27" t="s">
        <v>1240</v>
      </c>
      <c r="F1069" s="27" t="s">
        <v>43</v>
      </c>
      <c r="G1069" s="27" t="s">
        <v>466</v>
      </c>
      <c r="H1069" s="27" t="s">
        <v>1241</v>
      </c>
      <c r="I1069" s="27" t="s">
        <v>60</v>
      </c>
      <c r="J1069" s="27" t="s">
        <v>144</v>
      </c>
      <c r="K1069" s="39" t="s">
        <v>1186</v>
      </c>
      <c r="L1069" s="41" t="s">
        <v>309</v>
      </c>
      <c r="M1069" s="27"/>
      <c r="N1069" s="27"/>
      <c r="O1069" s="28"/>
    </row>
    <row r="1070" spans="1:15" ht="15" customHeight="1" x14ac:dyDescent="0.3">
      <c r="A1070" s="31">
        <v>46023</v>
      </c>
      <c r="B1070" s="27" t="s">
        <v>53</v>
      </c>
      <c r="C1070" s="27" t="s">
        <v>1242</v>
      </c>
      <c r="D1070" s="27" t="s">
        <v>1243</v>
      </c>
      <c r="E1070" s="27" t="s">
        <v>59</v>
      </c>
      <c r="F1070" s="27" t="s">
        <v>43</v>
      </c>
      <c r="G1070" s="27" t="s">
        <v>466</v>
      </c>
      <c r="H1070" s="27" t="s">
        <v>59</v>
      </c>
      <c r="I1070" s="27" t="s">
        <v>60</v>
      </c>
      <c r="J1070" s="27" t="s">
        <v>144</v>
      </c>
      <c r="K1070" s="39" t="s">
        <v>1186</v>
      </c>
      <c r="L1070" s="41" t="s">
        <v>309</v>
      </c>
      <c r="M1070" s="27"/>
      <c r="N1070" s="27"/>
      <c r="O1070" s="28"/>
    </row>
    <row r="1071" spans="1:15" ht="15" customHeight="1" x14ac:dyDescent="0.3">
      <c r="A1071" s="31">
        <v>46023</v>
      </c>
      <c r="B1071" s="27" t="s">
        <v>53</v>
      </c>
      <c r="C1071" s="27" t="s">
        <v>1244</v>
      </c>
      <c r="D1071" s="27" t="s">
        <v>1245</v>
      </c>
      <c r="E1071" s="27" t="s">
        <v>59</v>
      </c>
      <c r="F1071" s="27" t="s">
        <v>43</v>
      </c>
      <c r="G1071" s="27" t="s">
        <v>466</v>
      </c>
      <c r="H1071" s="27" t="s">
        <v>59</v>
      </c>
      <c r="I1071" s="27" t="s">
        <v>60</v>
      </c>
      <c r="J1071" s="27" t="s">
        <v>144</v>
      </c>
      <c r="K1071" s="39" t="s">
        <v>1186</v>
      </c>
      <c r="L1071" s="41" t="s">
        <v>309</v>
      </c>
      <c r="M1071" s="27"/>
      <c r="N1071" s="27"/>
      <c r="O1071" s="28"/>
    </row>
    <row r="1072" spans="1:15" ht="15" customHeight="1" x14ac:dyDescent="0.3">
      <c r="A1072" s="31">
        <v>46023</v>
      </c>
      <c r="B1072" s="27" t="s">
        <v>53</v>
      </c>
      <c r="C1072" s="27" t="s">
        <v>1246</v>
      </c>
      <c r="D1072" s="27" t="s">
        <v>1247</v>
      </c>
      <c r="E1072" s="27" t="s">
        <v>1248</v>
      </c>
      <c r="F1072" s="27" t="s">
        <v>43</v>
      </c>
      <c r="G1072" s="27" t="s">
        <v>466</v>
      </c>
      <c r="H1072" s="27" t="s">
        <v>59</v>
      </c>
      <c r="I1072" s="27" t="s">
        <v>60</v>
      </c>
      <c r="J1072" s="27" t="s">
        <v>144</v>
      </c>
      <c r="K1072" s="39" t="s">
        <v>1249</v>
      </c>
      <c r="L1072" s="41" t="s">
        <v>309</v>
      </c>
      <c r="M1072" s="27"/>
      <c r="N1072" s="27"/>
      <c r="O1072" s="28"/>
    </row>
    <row r="1073" spans="1:15" ht="15" customHeight="1" x14ac:dyDescent="0.3">
      <c r="A1073" s="31">
        <v>46023</v>
      </c>
      <c r="B1073" s="27" t="s">
        <v>53</v>
      </c>
      <c r="C1073" s="27" t="s">
        <v>1250</v>
      </c>
      <c r="D1073" s="27" t="s">
        <v>1251</v>
      </c>
      <c r="E1073" s="27" t="s">
        <v>59</v>
      </c>
      <c r="F1073" s="27" t="s">
        <v>43</v>
      </c>
      <c r="G1073" s="27" t="s">
        <v>466</v>
      </c>
      <c r="H1073" s="27" t="s">
        <v>59</v>
      </c>
      <c r="I1073" s="27" t="s">
        <v>60</v>
      </c>
      <c r="J1073" s="27" t="s">
        <v>144</v>
      </c>
      <c r="K1073" s="39" t="s">
        <v>1249</v>
      </c>
      <c r="L1073" s="41" t="s">
        <v>309</v>
      </c>
      <c r="M1073" s="27"/>
      <c r="N1073" s="27"/>
      <c r="O1073" s="28"/>
    </row>
    <row r="1074" spans="1:15" ht="15" customHeight="1" x14ac:dyDescent="0.3">
      <c r="A1074" s="31">
        <v>46023</v>
      </c>
      <c r="B1074" s="27" t="s">
        <v>53</v>
      </c>
      <c r="C1074" s="27" t="s">
        <v>1252</v>
      </c>
      <c r="D1074" s="27" t="s">
        <v>1253</v>
      </c>
      <c r="E1074" s="27" t="s">
        <v>1254</v>
      </c>
      <c r="F1074" s="27" t="s">
        <v>43</v>
      </c>
      <c r="G1074" s="27" t="s">
        <v>466</v>
      </c>
      <c r="H1074" s="27" t="s">
        <v>1255</v>
      </c>
      <c r="I1074" s="27" t="s">
        <v>60</v>
      </c>
      <c r="J1074" s="27" t="s">
        <v>144</v>
      </c>
      <c r="K1074" s="39" t="s">
        <v>1249</v>
      </c>
      <c r="L1074" s="41" t="s">
        <v>309</v>
      </c>
      <c r="M1074" s="27"/>
      <c r="N1074" s="27"/>
      <c r="O1074" s="28"/>
    </row>
    <row r="1075" spans="1:15" ht="15" customHeight="1" x14ac:dyDescent="0.3">
      <c r="A1075" s="31">
        <v>46023</v>
      </c>
      <c r="B1075" s="27" t="s">
        <v>53</v>
      </c>
      <c r="C1075" s="27" t="s">
        <v>1256</v>
      </c>
      <c r="D1075" s="27" t="s">
        <v>1257</v>
      </c>
      <c r="E1075" s="27" t="s">
        <v>59</v>
      </c>
      <c r="F1075" s="27" t="s">
        <v>43</v>
      </c>
      <c r="G1075" s="27" t="s">
        <v>466</v>
      </c>
      <c r="H1075" s="27" t="s">
        <v>59</v>
      </c>
      <c r="I1075" s="27" t="s">
        <v>60</v>
      </c>
      <c r="J1075" s="27" t="s">
        <v>144</v>
      </c>
      <c r="K1075" s="39" t="s">
        <v>1249</v>
      </c>
      <c r="L1075" s="41" t="s">
        <v>309</v>
      </c>
      <c r="M1075" s="27"/>
      <c r="N1075" s="27"/>
      <c r="O1075" s="28"/>
    </row>
    <row r="1076" spans="1:15" ht="15" customHeight="1" x14ac:dyDescent="0.3">
      <c r="A1076" s="31">
        <v>46023</v>
      </c>
      <c r="B1076" s="27" t="s">
        <v>53</v>
      </c>
      <c r="C1076" s="27" t="s">
        <v>1258</v>
      </c>
      <c r="D1076" s="27" t="s">
        <v>1259</v>
      </c>
      <c r="E1076" s="27" t="s">
        <v>1260</v>
      </c>
      <c r="F1076" s="27" t="s">
        <v>43</v>
      </c>
      <c r="G1076" s="27" t="s">
        <v>466</v>
      </c>
      <c r="H1076" s="27" t="s">
        <v>1261</v>
      </c>
      <c r="I1076" s="27" t="s">
        <v>60</v>
      </c>
      <c r="J1076" s="27" t="s">
        <v>144</v>
      </c>
      <c r="K1076" s="39" t="s">
        <v>1249</v>
      </c>
      <c r="L1076" s="41" t="s">
        <v>309</v>
      </c>
      <c r="M1076" s="27"/>
      <c r="N1076" s="27"/>
      <c r="O1076" s="28"/>
    </row>
    <row r="1077" spans="1:15" ht="15" customHeight="1" x14ac:dyDescent="0.3">
      <c r="A1077" s="31">
        <v>46023</v>
      </c>
      <c r="B1077" s="27" t="s">
        <v>53</v>
      </c>
      <c r="C1077" s="27" t="s">
        <v>1262</v>
      </c>
      <c r="D1077" s="27" t="s">
        <v>1263</v>
      </c>
      <c r="E1077" s="27" t="s">
        <v>59</v>
      </c>
      <c r="F1077" s="27" t="s">
        <v>43</v>
      </c>
      <c r="G1077" s="27" t="s">
        <v>466</v>
      </c>
      <c r="H1077" s="27" t="s">
        <v>59</v>
      </c>
      <c r="I1077" s="27" t="s">
        <v>60</v>
      </c>
      <c r="J1077" s="27" t="s">
        <v>144</v>
      </c>
      <c r="K1077" s="39" t="s">
        <v>1249</v>
      </c>
      <c r="L1077" s="41" t="s">
        <v>309</v>
      </c>
      <c r="M1077" s="27"/>
      <c r="N1077" s="27"/>
      <c r="O1077" s="28"/>
    </row>
    <row r="1078" spans="1:15" ht="15" customHeight="1" x14ac:dyDescent="0.3">
      <c r="A1078" s="31">
        <v>46023</v>
      </c>
      <c r="B1078" s="27" t="s">
        <v>53</v>
      </c>
      <c r="C1078" s="27" t="s">
        <v>1264</v>
      </c>
      <c r="D1078" s="27" t="s">
        <v>1265</v>
      </c>
      <c r="E1078" s="27" t="s">
        <v>59</v>
      </c>
      <c r="F1078" s="27" t="s">
        <v>43</v>
      </c>
      <c r="G1078" s="27" t="s">
        <v>466</v>
      </c>
      <c r="H1078" s="27" t="s">
        <v>59</v>
      </c>
      <c r="I1078" s="27" t="s">
        <v>60</v>
      </c>
      <c r="J1078" s="27" t="s">
        <v>144</v>
      </c>
      <c r="K1078" s="39" t="s">
        <v>1249</v>
      </c>
      <c r="L1078" s="41" t="s">
        <v>309</v>
      </c>
      <c r="M1078" s="27"/>
      <c r="N1078" s="27"/>
      <c r="O1078" s="28"/>
    </row>
    <row r="1079" spans="1:15" ht="15" customHeight="1" x14ac:dyDescent="0.3">
      <c r="A1079" s="31">
        <v>46023</v>
      </c>
      <c r="B1079" s="27" t="s">
        <v>53</v>
      </c>
      <c r="C1079" s="27" t="s">
        <v>1266</v>
      </c>
      <c r="D1079" s="27" t="s">
        <v>1267</v>
      </c>
      <c r="E1079" s="27" t="s">
        <v>59</v>
      </c>
      <c r="F1079" s="27" t="s">
        <v>43</v>
      </c>
      <c r="G1079" s="27" t="s">
        <v>466</v>
      </c>
      <c r="H1079" s="27" t="s">
        <v>59</v>
      </c>
      <c r="I1079" s="27" t="s">
        <v>60</v>
      </c>
      <c r="J1079" s="27" t="s">
        <v>144</v>
      </c>
      <c r="K1079" s="39" t="s">
        <v>1249</v>
      </c>
      <c r="L1079" s="41" t="s">
        <v>309</v>
      </c>
      <c r="M1079" s="27"/>
      <c r="N1079" s="27"/>
      <c r="O1079" s="28"/>
    </row>
    <row r="1080" spans="1:15" ht="15" customHeight="1" x14ac:dyDescent="0.3">
      <c r="A1080" s="31">
        <v>46023</v>
      </c>
      <c r="B1080" s="27" t="s">
        <v>53</v>
      </c>
      <c r="C1080" s="27" t="s">
        <v>1268</v>
      </c>
      <c r="D1080" s="27" t="s">
        <v>1269</v>
      </c>
      <c r="E1080" s="27" t="s">
        <v>59</v>
      </c>
      <c r="F1080" s="27" t="s">
        <v>43</v>
      </c>
      <c r="G1080" s="27" t="s">
        <v>466</v>
      </c>
      <c r="H1080" s="27" t="s">
        <v>59</v>
      </c>
      <c r="I1080" s="27" t="s">
        <v>60</v>
      </c>
      <c r="J1080" s="27" t="s">
        <v>144</v>
      </c>
      <c r="K1080" s="39" t="s">
        <v>1249</v>
      </c>
      <c r="L1080" s="41" t="s">
        <v>309</v>
      </c>
      <c r="M1080" s="27"/>
      <c r="N1080" s="27"/>
      <c r="O1080" s="28"/>
    </row>
    <row r="1081" spans="1:15" ht="15" customHeight="1" x14ac:dyDescent="0.3">
      <c r="A1081" s="31">
        <v>46023</v>
      </c>
      <c r="B1081" s="27" t="s">
        <v>53</v>
      </c>
      <c r="C1081" s="27" t="s">
        <v>1270</v>
      </c>
      <c r="D1081" s="27" t="s">
        <v>1271</v>
      </c>
      <c r="E1081" s="27" t="s">
        <v>1272</v>
      </c>
      <c r="F1081" s="27" t="s">
        <v>43</v>
      </c>
      <c r="G1081" s="27" t="s">
        <v>466</v>
      </c>
      <c r="H1081" s="27" t="s">
        <v>59</v>
      </c>
      <c r="I1081" s="27" t="s">
        <v>60</v>
      </c>
      <c r="J1081" s="27" t="s">
        <v>144</v>
      </c>
      <c r="K1081" s="39" t="s">
        <v>1249</v>
      </c>
      <c r="L1081" s="41" t="s">
        <v>309</v>
      </c>
      <c r="M1081" s="27"/>
      <c r="N1081" s="27"/>
      <c r="O1081" s="28"/>
    </row>
    <row r="1082" spans="1:15" ht="15" customHeight="1" x14ac:dyDescent="0.3">
      <c r="A1082" s="31">
        <v>46023</v>
      </c>
      <c r="B1082" s="27" t="s">
        <v>53</v>
      </c>
      <c r="C1082" s="27" t="s">
        <v>1273</v>
      </c>
      <c r="D1082" s="27" t="s">
        <v>1274</v>
      </c>
      <c r="E1082" s="27" t="s">
        <v>59</v>
      </c>
      <c r="F1082" s="27" t="s">
        <v>43</v>
      </c>
      <c r="G1082" s="27" t="s">
        <v>466</v>
      </c>
      <c r="H1082" s="27" t="s">
        <v>59</v>
      </c>
      <c r="I1082" s="27" t="s">
        <v>60</v>
      </c>
      <c r="J1082" s="27" t="s">
        <v>144</v>
      </c>
      <c r="K1082" s="39" t="s">
        <v>1249</v>
      </c>
      <c r="L1082" s="41" t="s">
        <v>309</v>
      </c>
      <c r="M1082" s="27"/>
      <c r="N1082" s="27"/>
      <c r="O1082" s="28"/>
    </row>
    <row r="1083" spans="1:15" ht="15" customHeight="1" x14ac:dyDescent="0.3">
      <c r="A1083" s="31">
        <v>46023</v>
      </c>
      <c r="B1083" s="27" t="s">
        <v>53</v>
      </c>
      <c r="C1083" s="27" t="s">
        <v>1275</v>
      </c>
      <c r="D1083" s="27" t="s">
        <v>1276</v>
      </c>
      <c r="E1083" s="27" t="s">
        <v>1277</v>
      </c>
      <c r="F1083" s="27" t="s">
        <v>43</v>
      </c>
      <c r="G1083" s="27" t="s">
        <v>466</v>
      </c>
      <c r="H1083" s="27" t="s">
        <v>1278</v>
      </c>
      <c r="I1083" s="27" t="s">
        <v>60</v>
      </c>
      <c r="J1083" s="27" t="s">
        <v>144</v>
      </c>
      <c r="K1083" s="39" t="s">
        <v>1249</v>
      </c>
      <c r="L1083" s="41" t="s">
        <v>309</v>
      </c>
      <c r="M1083" s="27"/>
      <c r="N1083" s="27"/>
      <c r="O1083" s="28"/>
    </row>
    <row r="1084" spans="1:15" ht="15" customHeight="1" x14ac:dyDescent="0.3">
      <c r="A1084" s="31">
        <v>46023</v>
      </c>
      <c r="B1084" s="27" t="s">
        <v>53</v>
      </c>
      <c r="C1084" s="27" t="s">
        <v>1279</v>
      </c>
      <c r="D1084" s="27" t="s">
        <v>1280</v>
      </c>
      <c r="E1084" s="27" t="s">
        <v>1281</v>
      </c>
      <c r="F1084" s="27" t="s">
        <v>43</v>
      </c>
      <c r="G1084" s="27" t="s">
        <v>466</v>
      </c>
      <c r="H1084" s="27" t="s">
        <v>59</v>
      </c>
      <c r="I1084" s="27" t="s">
        <v>60</v>
      </c>
      <c r="J1084" s="27" t="s">
        <v>144</v>
      </c>
      <c r="K1084" s="39" t="s">
        <v>1249</v>
      </c>
      <c r="L1084" s="41" t="s">
        <v>309</v>
      </c>
      <c r="M1084" s="27"/>
      <c r="N1084" s="27"/>
      <c r="O1084" s="28"/>
    </row>
    <row r="1085" spans="1:15" ht="15" customHeight="1" x14ac:dyDescent="0.3">
      <c r="A1085" s="31">
        <v>46023</v>
      </c>
      <c r="B1085" s="27" t="s">
        <v>53</v>
      </c>
      <c r="C1085" s="27" t="s">
        <v>1282</v>
      </c>
      <c r="D1085" s="27" t="s">
        <v>1283</v>
      </c>
      <c r="E1085" s="27" t="s">
        <v>59</v>
      </c>
      <c r="F1085" s="27" t="s">
        <v>43</v>
      </c>
      <c r="G1085" s="27" t="s">
        <v>466</v>
      </c>
      <c r="H1085" s="27" t="s">
        <v>59</v>
      </c>
      <c r="I1085" s="27" t="s">
        <v>60</v>
      </c>
      <c r="J1085" s="27" t="s">
        <v>144</v>
      </c>
      <c r="K1085" s="39" t="s">
        <v>1249</v>
      </c>
      <c r="L1085" s="41" t="s">
        <v>309</v>
      </c>
      <c r="M1085" s="27"/>
      <c r="N1085" s="27"/>
      <c r="O1085" s="28"/>
    </row>
    <row r="1086" spans="1:15" ht="15" customHeight="1" x14ac:dyDescent="0.3">
      <c r="A1086" s="31">
        <v>46023</v>
      </c>
      <c r="B1086" s="27" t="s">
        <v>53</v>
      </c>
      <c r="C1086" s="27" t="s">
        <v>1284</v>
      </c>
      <c r="D1086" s="27" t="s">
        <v>1285</v>
      </c>
      <c r="E1086" s="27" t="s">
        <v>59</v>
      </c>
      <c r="F1086" s="27" t="s">
        <v>43</v>
      </c>
      <c r="G1086" s="27" t="s">
        <v>466</v>
      </c>
      <c r="H1086" s="27" t="s">
        <v>59</v>
      </c>
      <c r="I1086" s="27" t="s">
        <v>60</v>
      </c>
      <c r="J1086" s="27" t="s">
        <v>144</v>
      </c>
      <c r="K1086" s="39" t="s">
        <v>1249</v>
      </c>
      <c r="L1086" s="41" t="s">
        <v>309</v>
      </c>
      <c r="M1086" s="27"/>
      <c r="N1086" s="27"/>
      <c r="O1086" s="28"/>
    </row>
    <row r="1087" spans="1:15" ht="15" customHeight="1" x14ac:dyDescent="0.3">
      <c r="A1087" s="31">
        <v>46023</v>
      </c>
      <c r="B1087" s="27" t="s">
        <v>53</v>
      </c>
      <c r="C1087" s="27" t="s">
        <v>1286</v>
      </c>
      <c r="D1087" s="27" t="s">
        <v>1287</v>
      </c>
      <c r="E1087" s="27" t="s">
        <v>59</v>
      </c>
      <c r="F1087" s="27" t="s">
        <v>43</v>
      </c>
      <c r="G1087" s="27" t="s">
        <v>466</v>
      </c>
      <c r="H1087" s="27" t="s">
        <v>59</v>
      </c>
      <c r="I1087" s="27" t="s">
        <v>60</v>
      </c>
      <c r="J1087" s="27" t="s">
        <v>144</v>
      </c>
      <c r="K1087" s="39" t="s">
        <v>1249</v>
      </c>
      <c r="L1087" s="41" t="s">
        <v>309</v>
      </c>
      <c r="M1087" s="27"/>
      <c r="N1087" s="27"/>
      <c r="O1087" s="28"/>
    </row>
    <row r="1088" spans="1:15" ht="15" customHeight="1" x14ac:dyDescent="0.3">
      <c r="A1088" s="31">
        <v>46023</v>
      </c>
      <c r="B1088" s="27" t="s">
        <v>53</v>
      </c>
      <c r="C1088" s="27" t="s">
        <v>1288</v>
      </c>
      <c r="D1088" s="27" t="s">
        <v>1289</v>
      </c>
      <c r="E1088" s="27" t="s">
        <v>59</v>
      </c>
      <c r="F1088" s="27" t="s">
        <v>43</v>
      </c>
      <c r="G1088" s="27" t="s">
        <v>466</v>
      </c>
      <c r="H1088" s="27" t="s">
        <v>59</v>
      </c>
      <c r="I1088" s="27" t="s">
        <v>60</v>
      </c>
      <c r="J1088" s="27" t="s">
        <v>144</v>
      </c>
      <c r="K1088" s="39" t="s">
        <v>1249</v>
      </c>
      <c r="L1088" s="41" t="s">
        <v>309</v>
      </c>
      <c r="M1088" s="27"/>
      <c r="N1088" s="27"/>
      <c r="O1088" s="28"/>
    </row>
    <row r="1089" spans="1:15" ht="15" customHeight="1" x14ac:dyDescent="0.3">
      <c r="A1089" s="31">
        <v>46023</v>
      </c>
      <c r="B1089" s="27" t="s">
        <v>53</v>
      </c>
      <c r="C1089" s="27" t="s">
        <v>1290</v>
      </c>
      <c r="D1089" s="27" t="s">
        <v>1291</v>
      </c>
      <c r="E1089" s="27" t="s">
        <v>59</v>
      </c>
      <c r="F1089" s="27" t="s">
        <v>43</v>
      </c>
      <c r="G1089" s="27" t="s">
        <v>466</v>
      </c>
      <c r="H1089" s="27" t="s">
        <v>59</v>
      </c>
      <c r="I1089" s="27" t="s">
        <v>60</v>
      </c>
      <c r="J1089" s="27" t="s">
        <v>144</v>
      </c>
      <c r="K1089" s="39" t="s">
        <v>1249</v>
      </c>
      <c r="L1089" s="41" t="s">
        <v>309</v>
      </c>
      <c r="M1089" s="27"/>
      <c r="N1089" s="27"/>
      <c r="O1089" s="28"/>
    </row>
    <row r="1090" spans="1:15" ht="15" customHeight="1" x14ac:dyDescent="0.3">
      <c r="A1090" s="31">
        <v>46023</v>
      </c>
      <c r="B1090" s="27" t="s">
        <v>53</v>
      </c>
      <c r="C1090" s="27" t="s">
        <v>1292</v>
      </c>
      <c r="D1090" s="27" t="s">
        <v>1293</v>
      </c>
      <c r="E1090" s="27" t="s">
        <v>59</v>
      </c>
      <c r="F1090" s="27" t="s">
        <v>43</v>
      </c>
      <c r="G1090" s="27" t="s">
        <v>466</v>
      </c>
      <c r="H1090" s="27" t="s">
        <v>59</v>
      </c>
      <c r="I1090" s="27" t="s">
        <v>60</v>
      </c>
      <c r="J1090" s="27" t="s">
        <v>144</v>
      </c>
      <c r="K1090" s="39" t="s">
        <v>1249</v>
      </c>
      <c r="L1090" s="41" t="s">
        <v>309</v>
      </c>
      <c r="M1090" s="27"/>
      <c r="N1090" s="27"/>
      <c r="O1090" s="28"/>
    </row>
    <row r="1091" spans="1:15" ht="15" customHeight="1" x14ac:dyDescent="0.3">
      <c r="A1091" s="31">
        <v>46023</v>
      </c>
      <c r="B1091" s="27" t="s">
        <v>53</v>
      </c>
      <c r="C1091" s="27" t="s">
        <v>1294</v>
      </c>
      <c r="D1091" s="27" t="s">
        <v>1295</v>
      </c>
      <c r="E1091" s="27" t="s">
        <v>59</v>
      </c>
      <c r="F1091" s="27" t="s">
        <v>43</v>
      </c>
      <c r="G1091" s="27" t="s">
        <v>466</v>
      </c>
      <c r="H1091" s="27" t="s">
        <v>59</v>
      </c>
      <c r="I1091" s="27" t="s">
        <v>60</v>
      </c>
      <c r="J1091" s="27" t="s">
        <v>144</v>
      </c>
      <c r="K1091" s="39" t="s">
        <v>1249</v>
      </c>
      <c r="L1091" s="41" t="s">
        <v>309</v>
      </c>
      <c r="M1091" s="27"/>
      <c r="N1091" s="27"/>
      <c r="O1091" s="28"/>
    </row>
    <row r="1092" spans="1:15" ht="15" customHeight="1" x14ac:dyDescent="0.3">
      <c r="A1092" s="31">
        <v>46023</v>
      </c>
      <c r="B1092" s="27" t="s">
        <v>53</v>
      </c>
      <c r="C1092" s="27" t="s">
        <v>1296</v>
      </c>
      <c r="D1092" s="27" t="s">
        <v>1297</v>
      </c>
      <c r="E1092" s="27" t="s">
        <v>59</v>
      </c>
      <c r="F1092" s="27" t="s">
        <v>43</v>
      </c>
      <c r="G1092" s="27" t="s">
        <v>466</v>
      </c>
      <c r="H1092" s="27" t="s">
        <v>59</v>
      </c>
      <c r="I1092" s="27" t="s">
        <v>60</v>
      </c>
      <c r="J1092" s="27" t="s">
        <v>144</v>
      </c>
      <c r="K1092" s="39" t="s">
        <v>1249</v>
      </c>
      <c r="L1092" s="41" t="s">
        <v>309</v>
      </c>
      <c r="M1092" s="27"/>
      <c r="N1092" s="27"/>
      <c r="O1092" s="28"/>
    </row>
    <row r="1093" spans="1:15" ht="15" customHeight="1" x14ac:dyDescent="0.3">
      <c r="A1093" s="31">
        <v>46023</v>
      </c>
      <c r="B1093" s="27" t="s">
        <v>53</v>
      </c>
      <c r="C1093" s="27" t="s">
        <v>1298</v>
      </c>
      <c r="D1093" s="27" t="s">
        <v>1299</v>
      </c>
      <c r="E1093" s="27" t="s">
        <v>59</v>
      </c>
      <c r="F1093" s="27" t="s">
        <v>43</v>
      </c>
      <c r="G1093" s="27" t="s">
        <v>466</v>
      </c>
      <c r="H1093" s="27" t="s">
        <v>59</v>
      </c>
      <c r="I1093" s="27" t="s">
        <v>60</v>
      </c>
      <c r="J1093" s="27" t="s">
        <v>144</v>
      </c>
      <c r="K1093" s="39" t="s">
        <v>1249</v>
      </c>
      <c r="L1093" s="41" t="s">
        <v>309</v>
      </c>
      <c r="M1093" s="27"/>
      <c r="N1093" s="27"/>
      <c r="O1093" s="28"/>
    </row>
    <row r="1094" spans="1:15" ht="15" customHeight="1" x14ac:dyDescent="0.3">
      <c r="A1094" s="31">
        <v>46023</v>
      </c>
      <c r="B1094" s="27" t="s">
        <v>53</v>
      </c>
      <c r="C1094" s="27" t="s">
        <v>1300</v>
      </c>
      <c r="D1094" s="27" t="s">
        <v>1301</v>
      </c>
      <c r="E1094" s="27" t="s">
        <v>59</v>
      </c>
      <c r="F1094" s="27" t="s">
        <v>43</v>
      </c>
      <c r="G1094" s="27" t="s">
        <v>466</v>
      </c>
      <c r="H1094" s="27" t="s">
        <v>59</v>
      </c>
      <c r="I1094" s="27" t="s">
        <v>60</v>
      </c>
      <c r="J1094" s="27" t="s">
        <v>144</v>
      </c>
      <c r="K1094" s="39" t="s">
        <v>1249</v>
      </c>
      <c r="L1094" s="41" t="s">
        <v>309</v>
      </c>
      <c r="M1094" s="27"/>
      <c r="N1094" s="27"/>
      <c r="O1094" s="28"/>
    </row>
    <row r="1095" spans="1:15" ht="15" customHeight="1" x14ac:dyDescent="0.3">
      <c r="A1095" s="31">
        <v>46023</v>
      </c>
      <c r="B1095" s="27" t="s">
        <v>53</v>
      </c>
      <c r="C1095" s="27" t="s">
        <v>1302</v>
      </c>
      <c r="D1095" s="27" t="s">
        <v>1303</v>
      </c>
      <c r="E1095" s="27" t="s">
        <v>59</v>
      </c>
      <c r="F1095" s="27" t="s">
        <v>43</v>
      </c>
      <c r="G1095" s="27" t="s">
        <v>466</v>
      </c>
      <c r="H1095" s="27" t="s">
        <v>59</v>
      </c>
      <c r="I1095" s="27" t="s">
        <v>60</v>
      </c>
      <c r="J1095" s="27" t="s">
        <v>144</v>
      </c>
      <c r="K1095" s="39" t="s">
        <v>1249</v>
      </c>
      <c r="L1095" s="41" t="s">
        <v>309</v>
      </c>
      <c r="M1095" s="27"/>
      <c r="N1095" s="27"/>
      <c r="O1095" s="28"/>
    </row>
    <row r="1096" spans="1:15" ht="15" customHeight="1" x14ac:dyDescent="0.3">
      <c r="A1096" s="31">
        <v>46023</v>
      </c>
      <c r="B1096" s="27" t="s">
        <v>53</v>
      </c>
      <c r="C1096" s="27" t="s">
        <v>1304</v>
      </c>
      <c r="D1096" s="27" t="s">
        <v>1305</v>
      </c>
      <c r="E1096" s="27" t="s">
        <v>59</v>
      </c>
      <c r="F1096" s="27" t="s">
        <v>43</v>
      </c>
      <c r="G1096" s="27" t="s">
        <v>466</v>
      </c>
      <c r="H1096" s="27" t="s">
        <v>59</v>
      </c>
      <c r="I1096" s="27" t="s">
        <v>60</v>
      </c>
      <c r="J1096" s="27" t="s">
        <v>144</v>
      </c>
      <c r="K1096" s="39" t="s">
        <v>1249</v>
      </c>
      <c r="L1096" s="41" t="s">
        <v>309</v>
      </c>
      <c r="M1096" s="27"/>
      <c r="N1096" s="27"/>
      <c r="O1096" s="28"/>
    </row>
    <row r="1097" spans="1:15" ht="15" customHeight="1" x14ac:dyDescent="0.3">
      <c r="A1097" s="31">
        <v>46023</v>
      </c>
      <c r="B1097" s="27" t="s">
        <v>53</v>
      </c>
      <c r="C1097" s="27" t="s">
        <v>1306</v>
      </c>
      <c r="D1097" s="27" t="s">
        <v>1307</v>
      </c>
      <c r="E1097" s="27" t="s">
        <v>59</v>
      </c>
      <c r="F1097" s="27" t="s">
        <v>43</v>
      </c>
      <c r="G1097" s="27" t="s">
        <v>466</v>
      </c>
      <c r="H1097" s="27" t="s">
        <v>59</v>
      </c>
      <c r="I1097" s="27" t="s">
        <v>60</v>
      </c>
      <c r="J1097" s="27" t="s">
        <v>144</v>
      </c>
      <c r="K1097" s="39" t="s">
        <v>1249</v>
      </c>
      <c r="L1097" s="41" t="s">
        <v>309</v>
      </c>
      <c r="M1097" s="27"/>
      <c r="N1097" s="27"/>
      <c r="O1097" s="28"/>
    </row>
    <row r="1098" spans="1:15" ht="15" customHeight="1" x14ac:dyDescent="0.3">
      <c r="A1098" s="31">
        <v>46023</v>
      </c>
      <c r="B1098" s="27" t="s">
        <v>53</v>
      </c>
      <c r="C1098" s="27" t="s">
        <v>1308</v>
      </c>
      <c r="D1098" s="27" t="s">
        <v>1309</v>
      </c>
      <c r="E1098" s="27" t="s">
        <v>59</v>
      </c>
      <c r="F1098" s="27" t="s">
        <v>43</v>
      </c>
      <c r="G1098" s="27" t="s">
        <v>466</v>
      </c>
      <c r="H1098" s="27" t="s">
        <v>59</v>
      </c>
      <c r="I1098" s="27" t="s">
        <v>60</v>
      </c>
      <c r="J1098" s="27" t="s">
        <v>144</v>
      </c>
      <c r="K1098" s="39" t="s">
        <v>1249</v>
      </c>
      <c r="L1098" s="41" t="s">
        <v>309</v>
      </c>
      <c r="M1098" s="27"/>
      <c r="N1098" s="27"/>
      <c r="O1098" s="28"/>
    </row>
    <row r="1099" spans="1:15" ht="15" customHeight="1" x14ac:dyDescent="0.3">
      <c r="A1099" s="31">
        <v>46023</v>
      </c>
      <c r="B1099" s="27" t="s">
        <v>53</v>
      </c>
      <c r="C1099" s="27" t="s">
        <v>1310</v>
      </c>
      <c r="D1099" s="27" t="s">
        <v>1311</v>
      </c>
      <c r="E1099" s="27" t="s">
        <v>59</v>
      </c>
      <c r="F1099" s="27" t="s">
        <v>43</v>
      </c>
      <c r="G1099" s="27" t="s">
        <v>466</v>
      </c>
      <c r="H1099" s="27" t="s">
        <v>59</v>
      </c>
      <c r="I1099" s="27" t="s">
        <v>60</v>
      </c>
      <c r="J1099" s="27" t="s">
        <v>144</v>
      </c>
      <c r="K1099" s="39" t="s">
        <v>1249</v>
      </c>
      <c r="L1099" s="41" t="s">
        <v>309</v>
      </c>
      <c r="M1099" s="27"/>
      <c r="N1099" s="27"/>
      <c r="O1099" s="28"/>
    </row>
    <row r="1100" spans="1:15" ht="15" customHeight="1" x14ac:dyDescent="0.3">
      <c r="A1100" s="31">
        <v>46023</v>
      </c>
      <c r="B1100" s="27" t="s">
        <v>53</v>
      </c>
      <c r="C1100" s="27" t="s">
        <v>1312</v>
      </c>
      <c r="D1100" s="27" t="s">
        <v>1313</v>
      </c>
      <c r="E1100" s="27" t="s">
        <v>1314</v>
      </c>
      <c r="F1100" s="27" t="s">
        <v>43</v>
      </c>
      <c r="G1100" s="27" t="s">
        <v>466</v>
      </c>
      <c r="H1100" s="27" t="s">
        <v>59</v>
      </c>
      <c r="I1100" s="27" t="s">
        <v>60</v>
      </c>
      <c r="J1100" s="27" t="s">
        <v>144</v>
      </c>
      <c r="K1100" s="39" t="s">
        <v>1249</v>
      </c>
      <c r="L1100" s="41" t="s">
        <v>309</v>
      </c>
      <c r="M1100" s="27"/>
      <c r="N1100" s="27"/>
      <c r="O1100" s="28"/>
    </row>
    <row r="1101" spans="1:15" ht="15" customHeight="1" x14ac:dyDescent="0.3">
      <c r="A1101" s="31">
        <v>46023</v>
      </c>
      <c r="B1101" s="27" t="s">
        <v>53</v>
      </c>
      <c r="C1101" s="27" t="s">
        <v>1315</v>
      </c>
      <c r="D1101" s="27" t="s">
        <v>1316</v>
      </c>
      <c r="E1101" s="27" t="s">
        <v>1317</v>
      </c>
      <c r="F1101" s="27" t="s">
        <v>43</v>
      </c>
      <c r="G1101" s="27" t="s">
        <v>466</v>
      </c>
      <c r="H1101" s="27" t="s">
        <v>59</v>
      </c>
      <c r="I1101" s="27" t="s">
        <v>60</v>
      </c>
      <c r="J1101" s="27" t="s">
        <v>144</v>
      </c>
      <c r="K1101" s="39" t="s">
        <v>1249</v>
      </c>
      <c r="L1101" s="41" t="s">
        <v>309</v>
      </c>
      <c r="M1101" s="27"/>
      <c r="N1101" s="27"/>
      <c r="O1101" s="28"/>
    </row>
    <row r="1102" spans="1:15" ht="15" customHeight="1" x14ac:dyDescent="0.3">
      <c r="A1102" s="31">
        <v>46023</v>
      </c>
      <c r="B1102" s="27" t="s">
        <v>53</v>
      </c>
      <c r="C1102" s="27" t="s">
        <v>1318</v>
      </c>
      <c r="D1102" s="27" t="s">
        <v>1319</v>
      </c>
      <c r="E1102" s="27" t="s">
        <v>1320</v>
      </c>
      <c r="F1102" s="27" t="s">
        <v>43</v>
      </c>
      <c r="G1102" s="27" t="s">
        <v>466</v>
      </c>
      <c r="H1102" s="27" t="s">
        <v>59</v>
      </c>
      <c r="I1102" s="27" t="s">
        <v>60</v>
      </c>
      <c r="J1102" s="27" t="s">
        <v>144</v>
      </c>
      <c r="K1102" s="39" t="s">
        <v>1249</v>
      </c>
      <c r="L1102" s="41" t="s">
        <v>309</v>
      </c>
      <c r="M1102" s="27"/>
      <c r="N1102" s="27"/>
      <c r="O1102" s="28"/>
    </row>
    <row r="1103" spans="1:15" ht="15" customHeight="1" x14ac:dyDescent="0.3">
      <c r="A1103" s="31">
        <v>46023</v>
      </c>
      <c r="B1103" s="27" t="s">
        <v>53</v>
      </c>
      <c r="C1103" s="27" t="s">
        <v>1321</v>
      </c>
      <c r="D1103" s="27" t="s">
        <v>1322</v>
      </c>
      <c r="E1103" s="27" t="s">
        <v>1323</v>
      </c>
      <c r="F1103" s="27" t="s">
        <v>43</v>
      </c>
      <c r="G1103" s="27" t="s">
        <v>466</v>
      </c>
      <c r="H1103" s="27" t="s">
        <v>59</v>
      </c>
      <c r="I1103" s="27" t="s">
        <v>60</v>
      </c>
      <c r="J1103" s="27" t="s">
        <v>144</v>
      </c>
      <c r="K1103" s="39" t="s">
        <v>1249</v>
      </c>
      <c r="L1103" s="41" t="s">
        <v>309</v>
      </c>
      <c r="M1103" s="27"/>
      <c r="N1103" s="27"/>
      <c r="O1103" s="28"/>
    </row>
    <row r="1104" spans="1:15" ht="15" customHeight="1" x14ac:dyDescent="0.3">
      <c r="A1104" s="31">
        <v>46023</v>
      </c>
      <c r="B1104" s="27" t="s">
        <v>53</v>
      </c>
      <c r="C1104" s="27" t="s">
        <v>1324</v>
      </c>
      <c r="D1104" s="27" t="s">
        <v>1325</v>
      </c>
      <c r="E1104" s="27" t="s">
        <v>1326</v>
      </c>
      <c r="F1104" s="27" t="s">
        <v>43</v>
      </c>
      <c r="G1104" s="27" t="s">
        <v>466</v>
      </c>
      <c r="H1104" s="27" t="s">
        <v>1327</v>
      </c>
      <c r="I1104" s="27" t="s">
        <v>60</v>
      </c>
      <c r="J1104" s="27" t="s">
        <v>144</v>
      </c>
      <c r="K1104" s="39" t="s">
        <v>1249</v>
      </c>
      <c r="L1104" s="41" t="s">
        <v>309</v>
      </c>
      <c r="M1104" s="27"/>
      <c r="N1104" s="27"/>
      <c r="O1104" s="28"/>
    </row>
    <row r="1105" spans="1:15" ht="15" customHeight="1" x14ac:dyDescent="0.3">
      <c r="A1105" s="31">
        <v>46023</v>
      </c>
      <c r="B1105" s="27" t="s">
        <v>53</v>
      </c>
      <c r="C1105" s="27" t="s">
        <v>1328</v>
      </c>
      <c r="D1105" s="27" t="s">
        <v>1329</v>
      </c>
      <c r="E1105" s="27" t="s">
        <v>1330</v>
      </c>
      <c r="F1105" s="27" t="s">
        <v>43</v>
      </c>
      <c r="G1105" s="27" t="s">
        <v>466</v>
      </c>
      <c r="H1105" s="27" t="s">
        <v>59</v>
      </c>
      <c r="I1105" s="27" t="s">
        <v>60</v>
      </c>
      <c r="J1105" s="27" t="s">
        <v>144</v>
      </c>
      <c r="K1105" s="39" t="s">
        <v>1249</v>
      </c>
      <c r="L1105" s="41" t="s">
        <v>309</v>
      </c>
      <c r="M1105" s="27"/>
      <c r="N1105" s="27"/>
      <c r="O1105" s="28"/>
    </row>
    <row r="1106" spans="1:15" ht="15" customHeight="1" x14ac:dyDescent="0.3">
      <c r="A1106" s="31">
        <v>46023</v>
      </c>
      <c r="B1106" s="27" t="s">
        <v>53</v>
      </c>
      <c r="C1106" s="27" t="s">
        <v>1331</v>
      </c>
      <c r="D1106" s="27" t="s">
        <v>1332</v>
      </c>
      <c r="E1106" s="27" t="s">
        <v>59</v>
      </c>
      <c r="F1106" s="27" t="s">
        <v>43</v>
      </c>
      <c r="G1106" s="27" t="s">
        <v>466</v>
      </c>
      <c r="H1106" s="27" t="s">
        <v>59</v>
      </c>
      <c r="I1106" s="27" t="s">
        <v>60</v>
      </c>
      <c r="J1106" s="27" t="s">
        <v>144</v>
      </c>
      <c r="K1106" s="39" t="s">
        <v>1249</v>
      </c>
      <c r="L1106" s="41" t="s">
        <v>309</v>
      </c>
      <c r="M1106" s="27"/>
      <c r="N1106" s="27"/>
      <c r="O1106" s="28"/>
    </row>
    <row r="1107" spans="1:15" ht="15" customHeight="1" x14ac:dyDescent="0.3">
      <c r="A1107" s="31">
        <v>46023</v>
      </c>
      <c r="B1107" s="27" t="s">
        <v>53</v>
      </c>
      <c r="C1107" s="27" t="s">
        <v>1333</v>
      </c>
      <c r="D1107" s="27" t="s">
        <v>1334</v>
      </c>
      <c r="E1107" s="27" t="s">
        <v>1335</v>
      </c>
      <c r="F1107" s="27" t="s">
        <v>43</v>
      </c>
      <c r="G1107" s="27" t="s">
        <v>466</v>
      </c>
      <c r="H1107" s="27">
        <v>3847</v>
      </c>
      <c r="I1107" s="27" t="s">
        <v>60</v>
      </c>
      <c r="J1107" s="27" t="s">
        <v>144</v>
      </c>
      <c r="K1107" s="39" t="s">
        <v>1249</v>
      </c>
      <c r="L1107" s="41" t="s">
        <v>309</v>
      </c>
      <c r="M1107" s="27"/>
      <c r="N1107" s="27"/>
      <c r="O1107" s="28"/>
    </row>
    <row r="1108" spans="1:15" ht="15" customHeight="1" x14ac:dyDescent="0.3">
      <c r="A1108" s="31">
        <v>46023</v>
      </c>
      <c r="B1108" s="27" t="s">
        <v>53</v>
      </c>
      <c r="C1108" s="27" t="s">
        <v>1336</v>
      </c>
      <c r="D1108" s="27" t="s">
        <v>1337</v>
      </c>
      <c r="E1108" s="27" t="s">
        <v>1248</v>
      </c>
      <c r="F1108" s="27" t="s">
        <v>43</v>
      </c>
      <c r="G1108" s="27" t="s">
        <v>466</v>
      </c>
      <c r="H1108" s="27" t="s">
        <v>59</v>
      </c>
      <c r="I1108" s="27" t="s">
        <v>60</v>
      </c>
      <c r="J1108" s="27" t="s">
        <v>144</v>
      </c>
      <c r="K1108" s="39" t="s">
        <v>1249</v>
      </c>
      <c r="L1108" s="41" t="s">
        <v>309</v>
      </c>
      <c r="M1108" s="27"/>
      <c r="N1108" s="27"/>
      <c r="O1108" s="28"/>
    </row>
    <row r="1109" spans="1:15" ht="15" customHeight="1" x14ac:dyDescent="0.3">
      <c r="A1109" s="31">
        <v>46023</v>
      </c>
      <c r="B1109" s="27" t="s">
        <v>53</v>
      </c>
      <c r="C1109" s="27" t="s">
        <v>1338</v>
      </c>
      <c r="D1109" s="27" t="s">
        <v>1339</v>
      </c>
      <c r="E1109" s="27" t="s">
        <v>1340</v>
      </c>
      <c r="F1109" s="27" t="s">
        <v>43</v>
      </c>
      <c r="G1109" s="27" t="s">
        <v>466</v>
      </c>
      <c r="H1109" s="27" t="s">
        <v>59</v>
      </c>
      <c r="I1109" s="27" t="s">
        <v>60</v>
      </c>
      <c r="J1109" s="27" t="s">
        <v>144</v>
      </c>
      <c r="K1109" s="39" t="s">
        <v>1249</v>
      </c>
      <c r="L1109" s="41" t="s">
        <v>309</v>
      </c>
      <c r="M1109" s="27"/>
      <c r="N1109" s="27"/>
      <c r="O1109" s="28"/>
    </row>
    <row r="1110" spans="1:15" ht="15" customHeight="1" x14ac:dyDescent="0.3">
      <c r="A1110" s="31">
        <v>46023</v>
      </c>
      <c r="B1110" s="27" t="s">
        <v>53</v>
      </c>
      <c r="C1110" s="27" t="s">
        <v>1341</v>
      </c>
      <c r="D1110" s="27" t="s">
        <v>1342</v>
      </c>
      <c r="E1110" s="27" t="s">
        <v>59</v>
      </c>
      <c r="F1110" s="27" t="s">
        <v>43</v>
      </c>
      <c r="G1110" s="27" t="s">
        <v>466</v>
      </c>
      <c r="H1110" s="27" t="s">
        <v>59</v>
      </c>
      <c r="I1110" s="27" t="s">
        <v>60</v>
      </c>
      <c r="J1110" s="27" t="s">
        <v>144</v>
      </c>
      <c r="K1110" s="39" t="s">
        <v>1249</v>
      </c>
      <c r="L1110" s="41" t="s">
        <v>309</v>
      </c>
      <c r="M1110" s="27"/>
      <c r="N1110" s="27"/>
      <c r="O1110" s="28"/>
    </row>
    <row r="1111" spans="1:15" ht="15" customHeight="1" x14ac:dyDescent="0.3">
      <c r="A1111" s="31">
        <v>46023</v>
      </c>
      <c r="B1111" s="27" t="s">
        <v>53</v>
      </c>
      <c r="C1111" s="27" t="s">
        <v>1343</v>
      </c>
      <c r="D1111" s="27" t="s">
        <v>1344</v>
      </c>
      <c r="E1111" s="27" t="s">
        <v>59</v>
      </c>
      <c r="F1111" s="27" t="s">
        <v>43</v>
      </c>
      <c r="G1111" s="27" t="s">
        <v>466</v>
      </c>
      <c r="H1111" s="27" t="s">
        <v>59</v>
      </c>
      <c r="I1111" s="27" t="s">
        <v>60</v>
      </c>
      <c r="J1111" s="27" t="s">
        <v>144</v>
      </c>
      <c r="K1111" s="39" t="s">
        <v>1249</v>
      </c>
      <c r="L1111" s="41" t="s">
        <v>309</v>
      </c>
      <c r="M1111" s="27"/>
      <c r="N1111" s="27"/>
      <c r="O1111" s="28"/>
    </row>
    <row r="1112" spans="1:15" ht="15" customHeight="1" x14ac:dyDescent="0.3">
      <c r="A1112" s="31">
        <v>46023</v>
      </c>
      <c r="B1112" s="27" t="s">
        <v>53</v>
      </c>
      <c r="C1112" s="27" t="s">
        <v>1345</v>
      </c>
      <c r="D1112" s="27" t="s">
        <v>1346</v>
      </c>
      <c r="E1112" s="27" t="s">
        <v>1347</v>
      </c>
      <c r="F1112" s="27" t="s">
        <v>43</v>
      </c>
      <c r="G1112" s="27" t="s">
        <v>466</v>
      </c>
      <c r="H1112" s="27" t="s">
        <v>59</v>
      </c>
      <c r="I1112" s="27" t="s">
        <v>60</v>
      </c>
      <c r="J1112" s="27" t="s">
        <v>144</v>
      </c>
      <c r="K1112" s="39" t="s">
        <v>1249</v>
      </c>
      <c r="L1112" s="41" t="s">
        <v>309</v>
      </c>
      <c r="M1112" s="27"/>
      <c r="N1112" s="27"/>
      <c r="O1112" s="28"/>
    </row>
    <row r="1113" spans="1:15" ht="15" customHeight="1" x14ac:dyDescent="0.3">
      <c r="A1113" s="31">
        <v>46023</v>
      </c>
      <c r="B1113" s="27" t="s">
        <v>53</v>
      </c>
      <c r="C1113" s="27" t="s">
        <v>1348</v>
      </c>
      <c r="D1113" s="27" t="s">
        <v>1349</v>
      </c>
      <c r="E1113" s="27" t="s">
        <v>1350</v>
      </c>
      <c r="F1113" s="27" t="s">
        <v>43</v>
      </c>
      <c r="G1113" s="27" t="s">
        <v>466</v>
      </c>
      <c r="H1113" s="27" t="s">
        <v>59</v>
      </c>
      <c r="I1113" s="27" t="s">
        <v>60</v>
      </c>
      <c r="J1113" s="27" t="s">
        <v>144</v>
      </c>
      <c r="K1113" s="39" t="s">
        <v>1249</v>
      </c>
      <c r="L1113" s="41" t="s">
        <v>309</v>
      </c>
      <c r="M1113" s="27"/>
      <c r="N1113" s="27"/>
      <c r="O1113" s="28"/>
    </row>
    <row r="1114" spans="1:15" ht="15" customHeight="1" x14ac:dyDescent="0.3">
      <c r="A1114" s="31">
        <v>46023</v>
      </c>
      <c r="B1114" s="27" t="s">
        <v>53</v>
      </c>
      <c r="C1114" s="27" t="s">
        <v>1351</v>
      </c>
      <c r="D1114" s="27" t="s">
        <v>1352</v>
      </c>
      <c r="E1114" s="27" t="s">
        <v>59</v>
      </c>
      <c r="F1114" s="27" t="s">
        <v>43</v>
      </c>
      <c r="G1114" s="27" t="s">
        <v>466</v>
      </c>
      <c r="H1114" s="27" t="s">
        <v>59</v>
      </c>
      <c r="I1114" s="27" t="s">
        <v>60</v>
      </c>
      <c r="J1114" s="27" t="s">
        <v>144</v>
      </c>
      <c r="K1114" s="39" t="s">
        <v>1249</v>
      </c>
      <c r="L1114" s="41" t="s">
        <v>309</v>
      </c>
      <c r="M1114" s="27"/>
      <c r="N1114" s="27"/>
      <c r="O1114" s="28"/>
    </row>
    <row r="1115" spans="1:15" ht="15" customHeight="1" x14ac:dyDescent="0.3">
      <c r="A1115" s="31">
        <v>46023</v>
      </c>
      <c r="B1115" s="27" t="s">
        <v>53</v>
      </c>
      <c r="C1115" s="27" t="s">
        <v>1353</v>
      </c>
      <c r="D1115" s="27" t="s">
        <v>1354</v>
      </c>
      <c r="E1115" s="27" t="s">
        <v>59</v>
      </c>
      <c r="F1115" s="27" t="s">
        <v>43</v>
      </c>
      <c r="G1115" s="27" t="s">
        <v>466</v>
      </c>
      <c r="H1115" s="27" t="s">
        <v>59</v>
      </c>
      <c r="I1115" s="27" t="s">
        <v>60</v>
      </c>
      <c r="J1115" s="27" t="s">
        <v>144</v>
      </c>
      <c r="K1115" s="39" t="s">
        <v>1249</v>
      </c>
      <c r="L1115" s="41" t="s">
        <v>309</v>
      </c>
      <c r="M1115" s="27"/>
      <c r="N1115" s="27"/>
      <c r="O1115" s="28"/>
    </row>
    <row r="1116" spans="1:15" ht="15" customHeight="1" x14ac:dyDescent="0.3">
      <c r="A1116" s="31">
        <v>46023</v>
      </c>
      <c r="B1116" s="27" t="s">
        <v>53</v>
      </c>
      <c r="C1116" s="27" t="s">
        <v>1355</v>
      </c>
      <c r="D1116" s="27" t="s">
        <v>1356</v>
      </c>
      <c r="E1116" s="27" t="s">
        <v>59</v>
      </c>
      <c r="F1116" s="27" t="s">
        <v>43</v>
      </c>
      <c r="G1116" s="27" t="s">
        <v>466</v>
      </c>
      <c r="H1116" s="27" t="s">
        <v>59</v>
      </c>
      <c r="I1116" s="27" t="s">
        <v>60</v>
      </c>
      <c r="J1116" s="27" t="s">
        <v>144</v>
      </c>
      <c r="K1116" s="39" t="s">
        <v>1249</v>
      </c>
      <c r="L1116" s="41" t="s">
        <v>309</v>
      </c>
      <c r="M1116" s="27"/>
      <c r="N1116" s="27"/>
      <c r="O1116" s="28"/>
    </row>
    <row r="1117" spans="1:15" ht="15" customHeight="1" x14ac:dyDescent="0.3">
      <c r="A1117" s="31">
        <v>46023</v>
      </c>
      <c r="B1117" s="27" t="s">
        <v>53</v>
      </c>
      <c r="C1117" s="27" t="s">
        <v>1357</v>
      </c>
      <c r="D1117" s="27" t="s">
        <v>1358</v>
      </c>
      <c r="E1117" s="27" t="s">
        <v>59</v>
      </c>
      <c r="F1117" s="27" t="s">
        <v>43</v>
      </c>
      <c r="G1117" s="27" t="s">
        <v>466</v>
      </c>
      <c r="H1117" s="27" t="s">
        <v>59</v>
      </c>
      <c r="I1117" s="27" t="s">
        <v>60</v>
      </c>
      <c r="J1117" s="27" t="s">
        <v>144</v>
      </c>
      <c r="K1117" s="39" t="s">
        <v>1249</v>
      </c>
      <c r="L1117" s="41" t="s">
        <v>309</v>
      </c>
      <c r="M1117" s="27"/>
      <c r="N1117" s="27"/>
      <c r="O1117" s="28"/>
    </row>
    <row r="1118" spans="1:15" ht="15" customHeight="1" x14ac:dyDescent="0.3">
      <c r="A1118" s="31">
        <v>46023</v>
      </c>
      <c r="B1118" s="27" t="s">
        <v>53</v>
      </c>
      <c r="C1118" s="27" t="s">
        <v>1359</v>
      </c>
      <c r="D1118" s="27" t="s">
        <v>1360</v>
      </c>
      <c r="E1118" s="27" t="s">
        <v>59</v>
      </c>
      <c r="F1118" s="27" t="s">
        <v>43</v>
      </c>
      <c r="G1118" s="27" t="s">
        <v>466</v>
      </c>
      <c r="H1118" s="27" t="s">
        <v>59</v>
      </c>
      <c r="I1118" s="27" t="s">
        <v>60</v>
      </c>
      <c r="J1118" s="27" t="s">
        <v>144</v>
      </c>
      <c r="K1118" s="39" t="s">
        <v>1249</v>
      </c>
      <c r="L1118" s="41" t="s">
        <v>309</v>
      </c>
      <c r="M1118" s="27"/>
      <c r="N1118" s="27"/>
      <c r="O1118" s="28"/>
    </row>
    <row r="1119" spans="1:15" ht="15" customHeight="1" x14ac:dyDescent="0.3">
      <c r="A1119" s="31">
        <v>46023</v>
      </c>
      <c r="B1119" s="27" t="s">
        <v>53</v>
      </c>
      <c r="C1119" s="27" t="s">
        <v>1361</v>
      </c>
      <c r="D1119" s="27" t="s">
        <v>1362</v>
      </c>
      <c r="E1119" s="27" t="s">
        <v>59</v>
      </c>
      <c r="F1119" s="27" t="s">
        <v>43</v>
      </c>
      <c r="G1119" s="27" t="s">
        <v>466</v>
      </c>
      <c r="H1119" s="27" t="s">
        <v>59</v>
      </c>
      <c r="I1119" s="27" t="s">
        <v>60</v>
      </c>
      <c r="J1119" s="27" t="s">
        <v>144</v>
      </c>
      <c r="K1119" s="39" t="s">
        <v>1249</v>
      </c>
      <c r="L1119" s="41" t="s">
        <v>309</v>
      </c>
      <c r="M1119" s="27"/>
      <c r="N1119" s="27"/>
      <c r="O1119" s="28"/>
    </row>
    <row r="1120" spans="1:15" ht="15" customHeight="1" x14ac:dyDescent="0.3">
      <c r="A1120" s="31">
        <v>46023</v>
      </c>
      <c r="B1120" s="27" t="s">
        <v>53</v>
      </c>
      <c r="C1120" s="27" t="s">
        <v>1363</v>
      </c>
      <c r="D1120" s="27" t="s">
        <v>1364</v>
      </c>
      <c r="E1120" s="27" t="s">
        <v>1365</v>
      </c>
      <c r="F1120" s="27" t="s">
        <v>43</v>
      </c>
      <c r="G1120" s="27" t="s">
        <v>466</v>
      </c>
      <c r="H1120" s="27">
        <v>9159007</v>
      </c>
      <c r="I1120" s="27" t="s">
        <v>468</v>
      </c>
      <c r="J1120" s="27" t="s">
        <v>644</v>
      </c>
      <c r="K1120" s="39" t="s">
        <v>1366</v>
      </c>
      <c r="L1120" s="41" t="s">
        <v>129</v>
      </c>
      <c r="M1120" s="27"/>
      <c r="N1120" s="27"/>
      <c r="O1120" s="28"/>
    </row>
    <row r="1121" spans="1:15" ht="15" customHeight="1" x14ac:dyDescent="0.3">
      <c r="A1121" s="31">
        <v>46023</v>
      </c>
      <c r="B1121" s="27" t="s">
        <v>53</v>
      </c>
      <c r="C1121" s="27" t="s">
        <v>1367</v>
      </c>
      <c r="D1121" s="27" t="s">
        <v>1368</v>
      </c>
      <c r="E1121" s="27" t="s">
        <v>1365</v>
      </c>
      <c r="F1121" s="27" t="s">
        <v>43</v>
      </c>
      <c r="G1121" s="27" t="s">
        <v>466</v>
      </c>
      <c r="H1121" s="27" t="s">
        <v>1369</v>
      </c>
      <c r="I1121" s="27" t="s">
        <v>468</v>
      </c>
      <c r="J1121" s="27" t="s">
        <v>61</v>
      </c>
      <c r="K1121" s="39" t="s">
        <v>1370</v>
      </c>
      <c r="L1121" s="41" t="s">
        <v>309</v>
      </c>
      <c r="M1121" s="27"/>
      <c r="N1121" s="27"/>
      <c r="O1121" s="28"/>
    </row>
    <row r="1122" spans="1:15" ht="15" customHeight="1" x14ac:dyDescent="0.3">
      <c r="A1122" s="31">
        <v>46023</v>
      </c>
      <c r="B1122" s="27" t="s">
        <v>53</v>
      </c>
      <c r="C1122" s="27" t="s">
        <v>3082</v>
      </c>
      <c r="D1122" s="27" t="s">
        <v>3083</v>
      </c>
      <c r="E1122" s="27" t="s">
        <v>3084</v>
      </c>
      <c r="F1122" s="27" t="s">
        <v>43</v>
      </c>
      <c r="G1122" s="27" t="s">
        <v>3085</v>
      </c>
      <c r="H1122" s="27" t="s">
        <v>59</v>
      </c>
      <c r="I1122" s="27" t="s">
        <v>116</v>
      </c>
      <c r="J1122" s="27" t="s">
        <v>144</v>
      </c>
      <c r="K1122" s="39" t="s">
        <v>3086</v>
      </c>
      <c r="L1122" s="41" t="s">
        <v>309</v>
      </c>
      <c r="M1122" s="27"/>
      <c r="N1122" s="27"/>
      <c r="O1122" s="28"/>
    </row>
    <row r="1123" spans="1:15" ht="15" customHeight="1" x14ac:dyDescent="0.3">
      <c r="A1123" s="31">
        <v>46023</v>
      </c>
      <c r="B1123" s="27" t="s">
        <v>53</v>
      </c>
      <c r="C1123" s="27" t="s">
        <v>3087</v>
      </c>
      <c r="D1123" s="27" t="s">
        <v>3088</v>
      </c>
      <c r="E1123" s="27" t="s">
        <v>3084</v>
      </c>
      <c r="F1123" s="27" t="s">
        <v>43</v>
      </c>
      <c r="G1123" s="27" t="s">
        <v>3085</v>
      </c>
      <c r="H1123" s="27" t="s">
        <v>59</v>
      </c>
      <c r="I1123" s="27" t="s">
        <v>116</v>
      </c>
      <c r="J1123" s="27" t="s">
        <v>144</v>
      </c>
      <c r="K1123" s="39" t="s">
        <v>3089</v>
      </c>
      <c r="L1123" s="41" t="s">
        <v>129</v>
      </c>
      <c r="M1123" s="27"/>
      <c r="N1123" s="27"/>
      <c r="O1123" s="28"/>
    </row>
    <row r="1124" spans="1:15" ht="15" customHeight="1" x14ac:dyDescent="0.3">
      <c r="A1124" s="31">
        <v>46023</v>
      </c>
      <c r="B1124" s="27" t="s">
        <v>53</v>
      </c>
      <c r="C1124" s="27" t="s">
        <v>3090</v>
      </c>
      <c r="D1124" s="27" t="s">
        <v>3091</v>
      </c>
      <c r="E1124" s="27" t="s">
        <v>59</v>
      </c>
      <c r="F1124" s="27" t="s">
        <v>43</v>
      </c>
      <c r="G1124" s="27" t="s">
        <v>2686</v>
      </c>
      <c r="H1124" s="27" t="s">
        <v>59</v>
      </c>
      <c r="I1124" s="27" t="s">
        <v>143</v>
      </c>
      <c r="J1124" s="27" t="s">
        <v>144</v>
      </c>
      <c r="K1124" s="39" t="s">
        <v>2282</v>
      </c>
      <c r="L1124" s="41" t="s">
        <v>129</v>
      </c>
      <c r="M1124" s="27"/>
      <c r="N1124" s="27"/>
      <c r="O1124" s="28"/>
    </row>
    <row r="1125" spans="1:15" ht="15" customHeight="1" x14ac:dyDescent="0.3">
      <c r="A1125" s="31">
        <v>46023</v>
      </c>
      <c r="B1125" s="27" t="s">
        <v>53</v>
      </c>
      <c r="C1125" s="27" t="s">
        <v>3092</v>
      </c>
      <c r="D1125" s="27" t="s">
        <v>3093</v>
      </c>
      <c r="E1125" s="27" t="s">
        <v>59</v>
      </c>
      <c r="F1125" s="27" t="s">
        <v>43</v>
      </c>
      <c r="G1125" s="27" t="s">
        <v>2686</v>
      </c>
      <c r="H1125" s="27" t="s">
        <v>59</v>
      </c>
      <c r="I1125" s="27" t="s">
        <v>143</v>
      </c>
      <c r="J1125" s="27" t="s">
        <v>144</v>
      </c>
      <c r="K1125" s="39" t="s">
        <v>2282</v>
      </c>
      <c r="L1125" s="41" t="s">
        <v>129</v>
      </c>
      <c r="M1125" s="27"/>
      <c r="N1125" s="27"/>
      <c r="O1125" s="28"/>
    </row>
    <row r="1126" spans="1:15" ht="15" customHeight="1" x14ac:dyDescent="0.3">
      <c r="A1126" s="31">
        <v>46023</v>
      </c>
      <c r="B1126" s="27" t="s">
        <v>53</v>
      </c>
      <c r="C1126" s="27" t="s">
        <v>3094</v>
      </c>
      <c r="D1126" s="27" t="s">
        <v>3095</v>
      </c>
      <c r="E1126" s="27" t="s">
        <v>59</v>
      </c>
      <c r="F1126" s="27" t="s">
        <v>43</v>
      </c>
      <c r="G1126" s="27" t="s">
        <v>2686</v>
      </c>
      <c r="H1126" s="27" t="s">
        <v>59</v>
      </c>
      <c r="I1126" s="27" t="s">
        <v>143</v>
      </c>
      <c r="J1126" s="27" t="s">
        <v>144</v>
      </c>
      <c r="K1126" s="39" t="s">
        <v>2282</v>
      </c>
      <c r="L1126" s="41" t="s">
        <v>129</v>
      </c>
      <c r="M1126" s="27"/>
      <c r="N1126" s="27"/>
      <c r="O1126" s="28"/>
    </row>
    <row r="1127" spans="1:15" ht="15" customHeight="1" x14ac:dyDescent="0.3">
      <c r="A1127" s="31">
        <v>46023</v>
      </c>
      <c r="B1127" s="27" t="s">
        <v>53</v>
      </c>
      <c r="C1127" s="27" t="s">
        <v>3096</v>
      </c>
      <c r="D1127" s="27" t="s">
        <v>3097</v>
      </c>
      <c r="E1127" s="27" t="s">
        <v>59</v>
      </c>
      <c r="F1127" s="27" t="s">
        <v>43</v>
      </c>
      <c r="G1127" s="27" t="s">
        <v>2686</v>
      </c>
      <c r="H1127" s="27" t="s">
        <v>59</v>
      </c>
      <c r="I1127" s="27" t="s">
        <v>143</v>
      </c>
      <c r="J1127" s="27" t="s">
        <v>144</v>
      </c>
      <c r="K1127" s="39" t="s">
        <v>2282</v>
      </c>
      <c r="L1127" s="41" t="s">
        <v>129</v>
      </c>
      <c r="M1127" s="27"/>
      <c r="N1127" s="27"/>
      <c r="O1127" s="28"/>
    </row>
    <row r="1128" spans="1:15" ht="15" customHeight="1" x14ac:dyDescent="0.3">
      <c r="A1128" s="31">
        <v>46023</v>
      </c>
      <c r="B1128" s="27" t="s">
        <v>53</v>
      </c>
      <c r="C1128" s="27" t="s">
        <v>3098</v>
      </c>
      <c r="D1128" s="27" t="s">
        <v>3099</v>
      </c>
      <c r="E1128" s="27" t="s">
        <v>59</v>
      </c>
      <c r="F1128" s="27" t="s">
        <v>43</v>
      </c>
      <c r="G1128" s="27" t="s">
        <v>2686</v>
      </c>
      <c r="H1128" s="27" t="s">
        <v>59</v>
      </c>
      <c r="I1128" s="27" t="s">
        <v>143</v>
      </c>
      <c r="J1128" s="27" t="s">
        <v>144</v>
      </c>
      <c r="K1128" s="39" t="s">
        <v>2282</v>
      </c>
      <c r="L1128" s="41" t="s">
        <v>129</v>
      </c>
      <c r="M1128" s="27"/>
      <c r="N1128" s="27"/>
      <c r="O1128" s="28"/>
    </row>
    <row r="1129" spans="1:15" ht="15" customHeight="1" x14ac:dyDescent="0.3">
      <c r="A1129" s="31">
        <v>46023</v>
      </c>
      <c r="B1129" s="27" t="s">
        <v>53</v>
      </c>
      <c r="C1129" s="27" t="s">
        <v>3100</v>
      </c>
      <c r="D1129" s="27" t="s">
        <v>3101</v>
      </c>
      <c r="E1129" s="27" t="s">
        <v>59</v>
      </c>
      <c r="F1129" s="27" t="s">
        <v>43</v>
      </c>
      <c r="G1129" s="27" t="s">
        <v>2686</v>
      </c>
      <c r="H1129" s="27" t="s">
        <v>59</v>
      </c>
      <c r="I1129" s="27" t="s">
        <v>143</v>
      </c>
      <c r="J1129" s="27" t="s">
        <v>144</v>
      </c>
      <c r="K1129" s="39" t="s">
        <v>2282</v>
      </c>
      <c r="L1129" s="41" t="s">
        <v>129</v>
      </c>
      <c r="M1129" s="27"/>
      <c r="N1129" s="27"/>
      <c r="O1129" s="28"/>
    </row>
    <row r="1130" spans="1:15" ht="15" customHeight="1" x14ac:dyDescent="0.3">
      <c r="A1130" s="31">
        <v>46023</v>
      </c>
      <c r="B1130" s="27" t="s">
        <v>53</v>
      </c>
      <c r="C1130" s="27" t="s">
        <v>3102</v>
      </c>
      <c r="D1130" s="27" t="s">
        <v>3103</v>
      </c>
      <c r="E1130" s="27" t="s">
        <v>59</v>
      </c>
      <c r="F1130" s="27" t="s">
        <v>43</v>
      </c>
      <c r="G1130" s="27" t="s">
        <v>2686</v>
      </c>
      <c r="H1130" s="27" t="s">
        <v>59</v>
      </c>
      <c r="I1130" s="27" t="s">
        <v>143</v>
      </c>
      <c r="J1130" s="27" t="s">
        <v>144</v>
      </c>
      <c r="K1130" s="39" t="s">
        <v>2282</v>
      </c>
      <c r="L1130" s="41" t="s">
        <v>129</v>
      </c>
      <c r="M1130" s="27"/>
      <c r="N1130" s="27"/>
      <c r="O1130" s="28"/>
    </row>
    <row r="1131" spans="1:15" ht="15" customHeight="1" x14ac:dyDescent="0.3">
      <c r="A1131" s="31">
        <v>46023</v>
      </c>
      <c r="B1131" s="27" t="s">
        <v>53</v>
      </c>
      <c r="C1131" s="27" t="s">
        <v>3104</v>
      </c>
      <c r="D1131" s="27" t="s">
        <v>3105</v>
      </c>
      <c r="E1131" s="27" t="s">
        <v>59</v>
      </c>
      <c r="F1131" s="27" t="s">
        <v>43</v>
      </c>
      <c r="G1131" s="27" t="s">
        <v>2686</v>
      </c>
      <c r="H1131" s="27" t="s">
        <v>59</v>
      </c>
      <c r="I1131" s="27" t="s">
        <v>143</v>
      </c>
      <c r="J1131" s="27" t="s">
        <v>144</v>
      </c>
      <c r="K1131" s="39" t="s">
        <v>2282</v>
      </c>
      <c r="L1131" s="41" t="s">
        <v>129</v>
      </c>
      <c r="M1131" s="27"/>
      <c r="N1131" s="27"/>
      <c r="O1131" s="28"/>
    </row>
    <row r="1132" spans="1:15" ht="15" customHeight="1" x14ac:dyDescent="0.3">
      <c r="A1132" s="31">
        <v>46023</v>
      </c>
      <c r="B1132" s="27" t="s">
        <v>53</v>
      </c>
      <c r="C1132" s="27" t="s">
        <v>3106</v>
      </c>
      <c r="D1132" s="27" t="s">
        <v>3107</v>
      </c>
      <c r="E1132" s="27" t="s">
        <v>59</v>
      </c>
      <c r="F1132" s="27" t="s">
        <v>43</v>
      </c>
      <c r="G1132" s="27" t="s">
        <v>2686</v>
      </c>
      <c r="H1132" s="27" t="s">
        <v>59</v>
      </c>
      <c r="I1132" s="27" t="s">
        <v>143</v>
      </c>
      <c r="J1132" s="27" t="s">
        <v>144</v>
      </c>
      <c r="K1132" s="39" t="s">
        <v>2282</v>
      </c>
      <c r="L1132" s="41" t="s">
        <v>129</v>
      </c>
      <c r="M1132" s="27"/>
      <c r="N1132" s="27"/>
      <c r="O1132" s="28"/>
    </row>
    <row r="1133" spans="1:15" ht="15" customHeight="1" x14ac:dyDescent="0.3">
      <c r="A1133" s="31">
        <v>46023</v>
      </c>
      <c r="B1133" s="27" t="s">
        <v>53</v>
      </c>
      <c r="C1133" s="27" t="s">
        <v>3108</v>
      </c>
      <c r="D1133" s="27" t="s">
        <v>3109</v>
      </c>
      <c r="E1133" s="27" t="s">
        <v>59</v>
      </c>
      <c r="F1133" s="27" t="s">
        <v>43</v>
      </c>
      <c r="G1133" s="27" t="s">
        <v>2686</v>
      </c>
      <c r="H1133" s="27" t="s">
        <v>59</v>
      </c>
      <c r="I1133" s="27" t="s">
        <v>143</v>
      </c>
      <c r="J1133" s="27" t="s">
        <v>144</v>
      </c>
      <c r="K1133" s="39" t="s">
        <v>2282</v>
      </c>
      <c r="L1133" s="41" t="s">
        <v>129</v>
      </c>
      <c r="M1133" s="27"/>
      <c r="N1133" s="27"/>
      <c r="O1133" s="28"/>
    </row>
    <row r="1134" spans="1:15" ht="15" customHeight="1" x14ac:dyDescent="0.3">
      <c r="A1134" s="31">
        <v>46023</v>
      </c>
      <c r="B1134" s="27" t="s">
        <v>53</v>
      </c>
      <c r="C1134" s="27" t="s">
        <v>3110</v>
      </c>
      <c r="D1134" s="27" t="s">
        <v>3111</v>
      </c>
      <c r="E1134" s="27" t="s">
        <v>59</v>
      </c>
      <c r="F1134" s="27" t="s">
        <v>43</v>
      </c>
      <c r="G1134" s="27" t="s">
        <v>2686</v>
      </c>
      <c r="H1134" s="27" t="s">
        <v>59</v>
      </c>
      <c r="I1134" s="27" t="s">
        <v>143</v>
      </c>
      <c r="J1134" s="27" t="s">
        <v>144</v>
      </c>
      <c r="K1134" s="39" t="s">
        <v>2282</v>
      </c>
      <c r="L1134" s="41" t="s">
        <v>129</v>
      </c>
      <c r="M1134" s="27"/>
      <c r="N1134" s="27"/>
      <c r="O1134" s="28"/>
    </row>
    <row r="1135" spans="1:15" ht="15" customHeight="1" x14ac:dyDescent="0.3">
      <c r="A1135" s="31">
        <v>46023</v>
      </c>
      <c r="B1135" s="27" t="s">
        <v>53</v>
      </c>
      <c r="C1135" s="27" t="s">
        <v>3112</v>
      </c>
      <c r="D1135" s="27" t="s">
        <v>3113</v>
      </c>
      <c r="E1135" s="27" t="s">
        <v>59</v>
      </c>
      <c r="F1135" s="27" t="s">
        <v>43</v>
      </c>
      <c r="G1135" s="27" t="s">
        <v>2686</v>
      </c>
      <c r="H1135" s="27" t="s">
        <v>59</v>
      </c>
      <c r="I1135" s="27" t="s">
        <v>143</v>
      </c>
      <c r="J1135" s="27" t="s">
        <v>144</v>
      </c>
      <c r="K1135" s="39" t="s">
        <v>2282</v>
      </c>
      <c r="L1135" s="41" t="s">
        <v>309</v>
      </c>
      <c r="M1135" s="27"/>
      <c r="N1135" s="27"/>
      <c r="O1135" s="28"/>
    </row>
    <row r="1136" spans="1:15" ht="15" customHeight="1" x14ac:dyDescent="0.3">
      <c r="A1136" s="31">
        <v>46023</v>
      </c>
      <c r="B1136" s="27" t="s">
        <v>53</v>
      </c>
      <c r="C1136" s="27" t="s">
        <v>3114</v>
      </c>
      <c r="D1136" s="27" t="s">
        <v>3115</v>
      </c>
      <c r="E1136" s="27" t="s">
        <v>59</v>
      </c>
      <c r="F1136" s="27" t="s">
        <v>43</v>
      </c>
      <c r="G1136" s="27" t="s">
        <v>2686</v>
      </c>
      <c r="H1136" s="27" t="s">
        <v>59</v>
      </c>
      <c r="I1136" s="27" t="s">
        <v>143</v>
      </c>
      <c r="J1136" s="27" t="s">
        <v>144</v>
      </c>
      <c r="K1136" s="39" t="s">
        <v>2282</v>
      </c>
      <c r="L1136" s="41" t="s">
        <v>129</v>
      </c>
      <c r="M1136" s="27"/>
      <c r="N1136" s="27"/>
      <c r="O1136" s="28"/>
    </row>
    <row r="1137" spans="1:15" ht="15" customHeight="1" x14ac:dyDescent="0.3">
      <c r="A1137" s="31">
        <v>46023</v>
      </c>
      <c r="B1137" s="27" t="s">
        <v>53</v>
      </c>
      <c r="C1137" s="27" t="s">
        <v>3116</v>
      </c>
      <c r="D1137" s="27" t="s">
        <v>3117</v>
      </c>
      <c r="E1137" s="27" t="s">
        <v>59</v>
      </c>
      <c r="F1137" s="27" t="s">
        <v>43</v>
      </c>
      <c r="G1137" s="27" t="s">
        <v>2686</v>
      </c>
      <c r="H1137" s="27" t="s">
        <v>59</v>
      </c>
      <c r="I1137" s="27" t="s">
        <v>143</v>
      </c>
      <c r="J1137" s="27" t="s">
        <v>144</v>
      </c>
      <c r="K1137" s="39" t="s">
        <v>2282</v>
      </c>
      <c r="L1137" s="41" t="s">
        <v>129</v>
      </c>
      <c r="M1137" s="27"/>
      <c r="N1137" s="27"/>
      <c r="O1137" s="28"/>
    </row>
    <row r="1138" spans="1:15" ht="15" customHeight="1" x14ac:dyDescent="0.3">
      <c r="A1138" s="31">
        <v>46023</v>
      </c>
      <c r="B1138" s="27" t="s">
        <v>53</v>
      </c>
      <c r="C1138" s="27" t="s">
        <v>3118</v>
      </c>
      <c r="D1138" s="27" t="s">
        <v>3119</v>
      </c>
      <c r="E1138" s="27" t="s">
        <v>59</v>
      </c>
      <c r="F1138" s="27" t="s">
        <v>43</v>
      </c>
      <c r="G1138" s="27" t="s">
        <v>2686</v>
      </c>
      <c r="H1138" s="27" t="s">
        <v>59</v>
      </c>
      <c r="I1138" s="27" t="s">
        <v>143</v>
      </c>
      <c r="J1138" s="27" t="s">
        <v>144</v>
      </c>
      <c r="K1138" s="39" t="s">
        <v>2282</v>
      </c>
      <c r="L1138" s="41" t="s">
        <v>129</v>
      </c>
      <c r="M1138" s="27"/>
      <c r="N1138" s="27"/>
      <c r="O1138" s="28"/>
    </row>
    <row r="1139" spans="1:15" ht="15" customHeight="1" x14ac:dyDescent="0.3">
      <c r="A1139" s="31">
        <v>46023</v>
      </c>
      <c r="B1139" s="27" t="s">
        <v>53</v>
      </c>
      <c r="C1139" s="27" t="s">
        <v>3120</v>
      </c>
      <c r="D1139" s="27" t="s">
        <v>3121</v>
      </c>
      <c r="E1139" s="27" t="s">
        <v>59</v>
      </c>
      <c r="F1139" s="27" t="s">
        <v>43</v>
      </c>
      <c r="G1139" s="27" t="s">
        <v>2686</v>
      </c>
      <c r="H1139" s="27" t="s">
        <v>59</v>
      </c>
      <c r="I1139" s="27" t="s">
        <v>143</v>
      </c>
      <c r="J1139" s="27" t="s">
        <v>144</v>
      </c>
      <c r="K1139" s="39" t="s">
        <v>2282</v>
      </c>
      <c r="L1139" s="41" t="s">
        <v>129</v>
      </c>
      <c r="M1139" s="27"/>
      <c r="N1139" s="27"/>
      <c r="O1139" s="28"/>
    </row>
    <row r="1140" spans="1:15" ht="15" customHeight="1" x14ac:dyDescent="0.3">
      <c r="A1140" s="31">
        <v>46023</v>
      </c>
      <c r="B1140" s="27" t="s">
        <v>53</v>
      </c>
      <c r="C1140" s="27" t="s">
        <v>3122</v>
      </c>
      <c r="D1140" s="27" t="s">
        <v>3123</v>
      </c>
      <c r="E1140" s="27" t="s">
        <v>59</v>
      </c>
      <c r="F1140" s="27" t="s">
        <v>43</v>
      </c>
      <c r="G1140" s="27" t="s">
        <v>2686</v>
      </c>
      <c r="H1140" s="27" t="s">
        <v>59</v>
      </c>
      <c r="I1140" s="27" t="s">
        <v>143</v>
      </c>
      <c r="J1140" s="27" t="s">
        <v>144</v>
      </c>
      <c r="K1140" s="39" t="s">
        <v>2282</v>
      </c>
      <c r="L1140" s="41" t="s">
        <v>129</v>
      </c>
      <c r="M1140" s="27"/>
      <c r="N1140" s="27"/>
      <c r="O1140" s="28"/>
    </row>
    <row r="1141" spans="1:15" ht="15" customHeight="1" x14ac:dyDescent="0.3">
      <c r="A1141" s="31">
        <v>46023</v>
      </c>
      <c r="B1141" s="27" t="s">
        <v>53</v>
      </c>
      <c r="C1141" s="27" t="s">
        <v>3124</v>
      </c>
      <c r="D1141" s="27" t="s">
        <v>3125</v>
      </c>
      <c r="E1141" s="27" t="s">
        <v>59</v>
      </c>
      <c r="F1141" s="27" t="s">
        <v>43</v>
      </c>
      <c r="G1141" s="27" t="s">
        <v>2686</v>
      </c>
      <c r="H1141" s="27" t="s">
        <v>59</v>
      </c>
      <c r="I1141" s="27" t="s">
        <v>143</v>
      </c>
      <c r="J1141" s="27" t="s">
        <v>144</v>
      </c>
      <c r="K1141" s="39" t="s">
        <v>2282</v>
      </c>
      <c r="L1141" s="41" t="s">
        <v>129</v>
      </c>
      <c r="M1141" s="27"/>
      <c r="N1141" s="27"/>
      <c r="O1141" s="28"/>
    </row>
    <row r="1142" spans="1:15" ht="15" customHeight="1" x14ac:dyDescent="0.3">
      <c r="A1142" s="31">
        <v>46023</v>
      </c>
      <c r="B1142" s="27" t="s">
        <v>53</v>
      </c>
      <c r="C1142" s="27" t="s">
        <v>3126</v>
      </c>
      <c r="D1142" s="27" t="s">
        <v>3127</v>
      </c>
      <c r="E1142" s="27" t="s">
        <v>59</v>
      </c>
      <c r="F1142" s="27" t="s">
        <v>43</v>
      </c>
      <c r="G1142" s="27" t="s">
        <v>2686</v>
      </c>
      <c r="H1142" s="27" t="s">
        <v>59</v>
      </c>
      <c r="I1142" s="27" t="s">
        <v>143</v>
      </c>
      <c r="J1142" s="27" t="s">
        <v>144</v>
      </c>
      <c r="K1142" s="39" t="s">
        <v>2282</v>
      </c>
      <c r="L1142" s="41" t="s">
        <v>129</v>
      </c>
      <c r="M1142" s="27"/>
      <c r="N1142" s="27"/>
      <c r="O1142" s="28"/>
    </row>
    <row r="1143" spans="1:15" ht="15" customHeight="1" x14ac:dyDescent="0.3">
      <c r="A1143" s="31">
        <v>46023</v>
      </c>
      <c r="B1143" s="27" t="s">
        <v>53</v>
      </c>
      <c r="C1143" s="27" t="s">
        <v>3128</v>
      </c>
      <c r="D1143" s="27" t="s">
        <v>3129</v>
      </c>
      <c r="E1143" s="27" t="s">
        <v>59</v>
      </c>
      <c r="F1143" s="27" t="s">
        <v>43</v>
      </c>
      <c r="G1143" s="27" t="s">
        <v>3130</v>
      </c>
      <c r="H1143" s="27" t="s">
        <v>59</v>
      </c>
      <c r="I1143" s="27" t="s">
        <v>143</v>
      </c>
      <c r="J1143" s="27" t="s">
        <v>144</v>
      </c>
      <c r="K1143" s="39" t="s">
        <v>2282</v>
      </c>
      <c r="L1143" s="41" t="s">
        <v>309</v>
      </c>
      <c r="M1143" s="27"/>
      <c r="N1143" s="27"/>
      <c r="O1143" s="28"/>
    </row>
    <row r="1144" spans="1:15" ht="15" customHeight="1" x14ac:dyDescent="0.3">
      <c r="A1144" s="31">
        <v>46023</v>
      </c>
      <c r="B1144" s="27" t="s">
        <v>53</v>
      </c>
      <c r="C1144" s="27" t="s">
        <v>3131</v>
      </c>
      <c r="D1144" s="27" t="s">
        <v>3132</v>
      </c>
      <c r="E1144" s="27" t="s">
        <v>59</v>
      </c>
      <c r="F1144" s="27" t="s">
        <v>43</v>
      </c>
      <c r="G1144" s="27" t="s">
        <v>3130</v>
      </c>
      <c r="H1144" s="27" t="s">
        <v>59</v>
      </c>
      <c r="I1144" s="27" t="s">
        <v>143</v>
      </c>
      <c r="J1144" s="27" t="s">
        <v>144</v>
      </c>
      <c r="K1144" s="39" t="s">
        <v>2282</v>
      </c>
      <c r="L1144" s="41" t="s">
        <v>309</v>
      </c>
      <c r="M1144" s="27"/>
      <c r="N1144" s="27"/>
      <c r="O1144" s="28"/>
    </row>
    <row r="1145" spans="1:15" ht="15" customHeight="1" x14ac:dyDescent="0.3">
      <c r="A1145" s="31">
        <v>46023</v>
      </c>
      <c r="B1145" s="27" t="s">
        <v>53</v>
      </c>
      <c r="C1145" s="27" t="s">
        <v>3133</v>
      </c>
      <c r="D1145" s="27" t="s">
        <v>3134</v>
      </c>
      <c r="E1145" s="27" t="s">
        <v>59</v>
      </c>
      <c r="F1145" s="27" t="s">
        <v>43</v>
      </c>
      <c r="G1145" s="27" t="s">
        <v>3130</v>
      </c>
      <c r="H1145" s="27" t="s">
        <v>59</v>
      </c>
      <c r="I1145" s="27" t="s">
        <v>143</v>
      </c>
      <c r="J1145" s="27" t="s">
        <v>144</v>
      </c>
      <c r="K1145" s="39" t="s">
        <v>2282</v>
      </c>
      <c r="L1145" s="41" t="s">
        <v>309</v>
      </c>
      <c r="M1145" s="27"/>
      <c r="N1145" s="27"/>
      <c r="O1145" s="28"/>
    </row>
    <row r="1146" spans="1:15" ht="15" customHeight="1" x14ac:dyDescent="0.3">
      <c r="A1146" s="31">
        <v>46023</v>
      </c>
      <c r="B1146" s="27" t="s">
        <v>53</v>
      </c>
      <c r="C1146" s="27" t="s">
        <v>3135</v>
      </c>
      <c r="D1146" s="27" t="s">
        <v>3136</v>
      </c>
      <c r="E1146" s="27" t="s">
        <v>59</v>
      </c>
      <c r="F1146" s="27" t="s">
        <v>43</v>
      </c>
      <c r="G1146" s="27" t="s">
        <v>3130</v>
      </c>
      <c r="H1146" s="27" t="s">
        <v>59</v>
      </c>
      <c r="I1146" s="27" t="s">
        <v>143</v>
      </c>
      <c r="J1146" s="27" t="s">
        <v>144</v>
      </c>
      <c r="K1146" s="39" t="s">
        <v>2282</v>
      </c>
      <c r="L1146" s="41" t="s">
        <v>309</v>
      </c>
      <c r="M1146" s="27"/>
      <c r="N1146" s="27"/>
      <c r="O1146" s="28"/>
    </row>
    <row r="1147" spans="1:15" ht="15" customHeight="1" x14ac:dyDescent="0.3">
      <c r="A1147" s="31">
        <v>46023</v>
      </c>
      <c r="B1147" s="27" t="s">
        <v>53</v>
      </c>
      <c r="C1147" s="27" t="s">
        <v>3137</v>
      </c>
      <c r="D1147" s="27" t="s">
        <v>3138</v>
      </c>
      <c r="E1147" s="27" t="s">
        <v>59</v>
      </c>
      <c r="F1147" s="27" t="s">
        <v>43</v>
      </c>
      <c r="G1147" s="27" t="s">
        <v>3130</v>
      </c>
      <c r="H1147" s="27" t="s">
        <v>59</v>
      </c>
      <c r="I1147" s="27" t="s">
        <v>143</v>
      </c>
      <c r="J1147" s="27" t="s">
        <v>144</v>
      </c>
      <c r="K1147" s="39" t="s">
        <v>2282</v>
      </c>
      <c r="L1147" s="41" t="s">
        <v>309</v>
      </c>
      <c r="M1147" s="27"/>
      <c r="N1147" s="27"/>
      <c r="O1147" s="28"/>
    </row>
    <row r="1148" spans="1:15" ht="15" customHeight="1" x14ac:dyDescent="0.3">
      <c r="A1148" s="31">
        <v>46023</v>
      </c>
      <c r="B1148" s="27" t="s">
        <v>53</v>
      </c>
      <c r="C1148" s="27" t="s">
        <v>3139</v>
      </c>
      <c r="D1148" s="27" t="s">
        <v>3140</v>
      </c>
      <c r="E1148" s="27" t="s">
        <v>59</v>
      </c>
      <c r="F1148" s="27" t="s">
        <v>43</v>
      </c>
      <c r="G1148" s="27" t="s">
        <v>3130</v>
      </c>
      <c r="H1148" s="27" t="s">
        <v>59</v>
      </c>
      <c r="I1148" s="27" t="s">
        <v>143</v>
      </c>
      <c r="J1148" s="27" t="s">
        <v>144</v>
      </c>
      <c r="K1148" s="39" t="s">
        <v>2282</v>
      </c>
      <c r="L1148" s="41" t="s">
        <v>309</v>
      </c>
      <c r="M1148" s="27"/>
      <c r="N1148" s="27"/>
      <c r="O1148" s="28"/>
    </row>
    <row r="1149" spans="1:15" ht="15" customHeight="1" x14ac:dyDescent="0.3">
      <c r="A1149" s="31">
        <v>46023</v>
      </c>
      <c r="B1149" s="27" t="s">
        <v>53</v>
      </c>
      <c r="C1149" s="27" t="s">
        <v>3141</v>
      </c>
      <c r="D1149" s="27" t="s">
        <v>3142</v>
      </c>
      <c r="E1149" s="27" t="s">
        <v>59</v>
      </c>
      <c r="F1149" s="27" t="s">
        <v>43</v>
      </c>
      <c r="G1149" s="27" t="s">
        <v>3130</v>
      </c>
      <c r="H1149" s="27" t="s">
        <v>59</v>
      </c>
      <c r="I1149" s="27" t="s">
        <v>143</v>
      </c>
      <c r="J1149" s="27" t="s">
        <v>144</v>
      </c>
      <c r="K1149" s="39" t="s">
        <v>2282</v>
      </c>
      <c r="L1149" s="41" t="s">
        <v>309</v>
      </c>
      <c r="M1149" s="27"/>
      <c r="N1149" s="27"/>
      <c r="O1149" s="28"/>
    </row>
    <row r="1150" spans="1:15" ht="15" customHeight="1" x14ac:dyDescent="0.3">
      <c r="A1150" s="31">
        <v>46023</v>
      </c>
      <c r="B1150" s="27" t="s">
        <v>53</v>
      </c>
      <c r="C1150" s="27" t="s">
        <v>3143</v>
      </c>
      <c r="D1150" s="27" t="s">
        <v>3144</v>
      </c>
      <c r="E1150" s="27" t="s">
        <v>59</v>
      </c>
      <c r="F1150" s="27" t="s">
        <v>43</v>
      </c>
      <c r="G1150" s="27" t="s">
        <v>3130</v>
      </c>
      <c r="H1150" s="27" t="s">
        <v>59</v>
      </c>
      <c r="I1150" s="27" t="s">
        <v>143</v>
      </c>
      <c r="J1150" s="27" t="s">
        <v>144</v>
      </c>
      <c r="K1150" s="39" t="s">
        <v>2282</v>
      </c>
      <c r="L1150" s="41" t="s">
        <v>309</v>
      </c>
      <c r="M1150" s="27"/>
      <c r="N1150" s="27"/>
      <c r="O1150" s="28"/>
    </row>
    <row r="1151" spans="1:15" ht="15" customHeight="1" x14ac:dyDescent="0.3">
      <c r="A1151" s="31">
        <v>46023</v>
      </c>
      <c r="B1151" s="27" t="s">
        <v>53</v>
      </c>
      <c r="C1151" s="27" t="s">
        <v>3145</v>
      </c>
      <c r="D1151" s="27" t="s">
        <v>3146</v>
      </c>
      <c r="E1151" s="27" t="s">
        <v>59</v>
      </c>
      <c r="F1151" s="27" t="s">
        <v>43</v>
      </c>
      <c r="G1151" s="27" t="s">
        <v>3130</v>
      </c>
      <c r="H1151" s="27" t="s">
        <v>59</v>
      </c>
      <c r="I1151" s="27" t="s">
        <v>143</v>
      </c>
      <c r="J1151" s="27" t="s">
        <v>144</v>
      </c>
      <c r="K1151" s="39" t="s">
        <v>2282</v>
      </c>
      <c r="L1151" s="41" t="s">
        <v>309</v>
      </c>
      <c r="M1151" s="27"/>
      <c r="N1151" s="27"/>
      <c r="O1151" s="28"/>
    </row>
    <row r="1152" spans="1:15" ht="15" customHeight="1" x14ac:dyDescent="0.3">
      <c r="A1152" s="31">
        <v>46023</v>
      </c>
      <c r="B1152" s="27" t="s">
        <v>53</v>
      </c>
      <c r="C1152" s="27" t="s">
        <v>3147</v>
      </c>
      <c r="D1152" s="27" t="s">
        <v>3148</v>
      </c>
      <c r="E1152" s="27" t="s">
        <v>59</v>
      </c>
      <c r="F1152" s="27" t="s">
        <v>43</v>
      </c>
      <c r="G1152" s="27" t="s">
        <v>3130</v>
      </c>
      <c r="H1152" s="27" t="s">
        <v>59</v>
      </c>
      <c r="I1152" s="27" t="s">
        <v>143</v>
      </c>
      <c r="J1152" s="27" t="s">
        <v>144</v>
      </c>
      <c r="K1152" s="39" t="s">
        <v>2282</v>
      </c>
      <c r="L1152" s="41" t="s">
        <v>309</v>
      </c>
      <c r="M1152" s="27"/>
      <c r="N1152" s="27"/>
      <c r="O1152" s="28"/>
    </row>
    <row r="1153" spans="1:15" ht="15" customHeight="1" x14ac:dyDescent="0.3">
      <c r="A1153" s="31">
        <v>46023</v>
      </c>
      <c r="B1153" s="27" t="s">
        <v>53</v>
      </c>
      <c r="C1153" s="27" t="s">
        <v>3149</v>
      </c>
      <c r="D1153" s="27" t="s">
        <v>3150</v>
      </c>
      <c r="E1153" s="27" t="s">
        <v>59</v>
      </c>
      <c r="F1153" s="27" t="s">
        <v>43</v>
      </c>
      <c r="G1153" s="27" t="s">
        <v>3151</v>
      </c>
      <c r="H1153" s="27" t="s">
        <v>59</v>
      </c>
      <c r="I1153" s="27" t="s">
        <v>143</v>
      </c>
      <c r="J1153" s="27" t="s">
        <v>144</v>
      </c>
      <c r="K1153" s="39" t="s">
        <v>2282</v>
      </c>
      <c r="L1153" s="41" t="s">
        <v>309</v>
      </c>
      <c r="M1153" s="27"/>
      <c r="N1153" s="27"/>
      <c r="O1153" s="28"/>
    </row>
    <row r="1154" spans="1:15" ht="15" customHeight="1" x14ac:dyDescent="0.3">
      <c r="A1154" s="31">
        <v>46023</v>
      </c>
      <c r="B1154" s="27" t="s">
        <v>53</v>
      </c>
      <c r="C1154" s="27" t="s">
        <v>3152</v>
      </c>
      <c r="D1154" s="27" t="s">
        <v>3153</v>
      </c>
      <c r="E1154" s="27" t="s">
        <v>3154</v>
      </c>
      <c r="F1154" s="27" t="s">
        <v>43</v>
      </c>
      <c r="G1154" s="27" t="s">
        <v>3130</v>
      </c>
      <c r="H1154" s="27" t="s">
        <v>59</v>
      </c>
      <c r="I1154" s="27" t="s">
        <v>143</v>
      </c>
      <c r="J1154" s="27" t="s">
        <v>144</v>
      </c>
      <c r="K1154" s="39" t="s">
        <v>2282</v>
      </c>
      <c r="L1154" s="41" t="s">
        <v>309</v>
      </c>
      <c r="M1154" s="27"/>
      <c r="N1154" s="27"/>
      <c r="O1154" s="28"/>
    </row>
    <row r="1155" spans="1:15" ht="15" customHeight="1" x14ac:dyDescent="0.3">
      <c r="A1155" s="31">
        <v>46023</v>
      </c>
      <c r="B1155" s="27" t="s">
        <v>53</v>
      </c>
      <c r="C1155" s="27" t="s">
        <v>3155</v>
      </c>
      <c r="D1155" s="27" t="s">
        <v>3156</v>
      </c>
      <c r="E1155" s="27" t="s">
        <v>3157</v>
      </c>
      <c r="F1155" s="27" t="s">
        <v>43</v>
      </c>
      <c r="G1155" s="27" t="s">
        <v>3130</v>
      </c>
      <c r="H1155" s="27" t="s">
        <v>59</v>
      </c>
      <c r="I1155" s="27" t="s">
        <v>143</v>
      </c>
      <c r="J1155" s="27" t="s">
        <v>144</v>
      </c>
      <c r="K1155" s="39" t="s">
        <v>2282</v>
      </c>
      <c r="L1155" s="41" t="s">
        <v>309</v>
      </c>
      <c r="M1155" s="27"/>
      <c r="N1155" s="27"/>
      <c r="O1155" s="28"/>
    </row>
    <row r="1156" spans="1:15" ht="15" customHeight="1" x14ac:dyDescent="0.3">
      <c r="A1156" s="31">
        <v>46023</v>
      </c>
      <c r="B1156" s="27" t="s">
        <v>53</v>
      </c>
      <c r="C1156" s="27" t="s">
        <v>3158</v>
      </c>
      <c r="D1156" s="27" t="s">
        <v>3159</v>
      </c>
      <c r="E1156" s="27" t="s">
        <v>3160</v>
      </c>
      <c r="F1156" s="27" t="s">
        <v>43</v>
      </c>
      <c r="G1156" s="27" t="s">
        <v>3130</v>
      </c>
      <c r="H1156" s="27" t="s">
        <v>59</v>
      </c>
      <c r="I1156" s="27" t="s">
        <v>143</v>
      </c>
      <c r="J1156" s="27" t="s">
        <v>144</v>
      </c>
      <c r="K1156" s="39" t="s">
        <v>2282</v>
      </c>
      <c r="L1156" s="41" t="s">
        <v>309</v>
      </c>
      <c r="M1156" s="27"/>
      <c r="N1156" s="27"/>
      <c r="O1156" s="28"/>
    </row>
    <row r="1157" spans="1:15" ht="15" customHeight="1" x14ac:dyDescent="0.3">
      <c r="A1157" s="31">
        <v>46023</v>
      </c>
      <c r="B1157" s="27" t="s">
        <v>53</v>
      </c>
      <c r="C1157" s="27" t="s">
        <v>3161</v>
      </c>
      <c r="D1157" s="27" t="s">
        <v>3162</v>
      </c>
      <c r="E1157" s="27" t="s">
        <v>3160</v>
      </c>
      <c r="F1157" s="27" t="s">
        <v>43</v>
      </c>
      <c r="G1157" s="27" t="s">
        <v>3130</v>
      </c>
      <c r="H1157" s="27" t="s">
        <v>59</v>
      </c>
      <c r="I1157" s="27" t="s">
        <v>116</v>
      </c>
      <c r="J1157" s="27" t="s">
        <v>144</v>
      </c>
      <c r="K1157" s="39" t="s">
        <v>2282</v>
      </c>
      <c r="L1157" s="41" t="s">
        <v>309</v>
      </c>
      <c r="M1157" s="27"/>
      <c r="N1157" s="27"/>
      <c r="O1157" s="28"/>
    </row>
    <row r="1158" spans="1:15" ht="15" customHeight="1" x14ac:dyDescent="0.3">
      <c r="A1158" s="31">
        <v>46023</v>
      </c>
      <c r="B1158" s="27" t="s">
        <v>53</v>
      </c>
      <c r="C1158" s="27" t="s">
        <v>3163</v>
      </c>
      <c r="D1158" s="27" t="s">
        <v>3164</v>
      </c>
      <c r="E1158" s="27" t="s">
        <v>59</v>
      </c>
      <c r="F1158" s="27" t="s">
        <v>43</v>
      </c>
      <c r="G1158" s="27" t="s">
        <v>3130</v>
      </c>
      <c r="H1158" s="27" t="s">
        <v>59</v>
      </c>
      <c r="I1158" s="27" t="s">
        <v>116</v>
      </c>
      <c r="J1158" s="27" t="s">
        <v>144</v>
      </c>
      <c r="K1158" s="39" t="s">
        <v>2282</v>
      </c>
      <c r="L1158" s="41" t="s">
        <v>309</v>
      </c>
      <c r="M1158" s="27"/>
      <c r="N1158" s="27"/>
      <c r="O1158" s="28"/>
    </row>
    <row r="1159" spans="1:15" ht="15" customHeight="1" x14ac:dyDescent="0.3">
      <c r="A1159" s="31">
        <v>46023</v>
      </c>
      <c r="B1159" s="27" t="s">
        <v>53</v>
      </c>
      <c r="C1159" s="27" t="s">
        <v>3165</v>
      </c>
      <c r="D1159" s="27" t="s">
        <v>3166</v>
      </c>
      <c r="E1159" s="27" t="s">
        <v>59</v>
      </c>
      <c r="F1159" s="27" t="s">
        <v>43</v>
      </c>
      <c r="G1159" s="27" t="s">
        <v>3130</v>
      </c>
      <c r="H1159" s="27" t="s">
        <v>59</v>
      </c>
      <c r="I1159" s="27" t="s">
        <v>116</v>
      </c>
      <c r="J1159" s="27" t="s">
        <v>144</v>
      </c>
      <c r="K1159" s="39" t="s">
        <v>2282</v>
      </c>
      <c r="L1159" s="41" t="s">
        <v>309</v>
      </c>
      <c r="M1159" s="27"/>
      <c r="N1159" s="27"/>
      <c r="O1159" s="28"/>
    </row>
    <row r="1160" spans="1:15" ht="15" customHeight="1" x14ac:dyDescent="0.3">
      <c r="A1160" s="31">
        <v>46023</v>
      </c>
      <c r="B1160" s="27" t="s">
        <v>53</v>
      </c>
      <c r="C1160" s="27" t="s">
        <v>3167</v>
      </c>
      <c r="D1160" s="27" t="s">
        <v>3168</v>
      </c>
      <c r="E1160" s="27" t="s">
        <v>59</v>
      </c>
      <c r="F1160" s="27" t="s">
        <v>43</v>
      </c>
      <c r="G1160" s="27" t="s">
        <v>3130</v>
      </c>
      <c r="H1160" s="27" t="s">
        <v>59</v>
      </c>
      <c r="I1160" s="27" t="s">
        <v>116</v>
      </c>
      <c r="J1160" s="27" t="s">
        <v>144</v>
      </c>
      <c r="K1160" s="39" t="s">
        <v>2282</v>
      </c>
      <c r="L1160" s="41" t="s">
        <v>309</v>
      </c>
      <c r="M1160" s="27"/>
      <c r="N1160" s="27"/>
      <c r="O1160" s="28"/>
    </row>
    <row r="1161" spans="1:15" ht="15" customHeight="1" x14ac:dyDescent="0.3">
      <c r="A1161" s="31">
        <v>46023</v>
      </c>
      <c r="B1161" s="27" t="s">
        <v>53</v>
      </c>
      <c r="C1161" s="27" t="s">
        <v>3169</v>
      </c>
      <c r="D1161" s="27" t="s">
        <v>3170</v>
      </c>
      <c r="E1161" s="27" t="s">
        <v>3084</v>
      </c>
      <c r="F1161" s="27" t="s">
        <v>43</v>
      </c>
      <c r="G1161" s="27" t="s">
        <v>3151</v>
      </c>
      <c r="H1161" s="27" t="s">
        <v>3171</v>
      </c>
      <c r="I1161" s="27" t="s">
        <v>116</v>
      </c>
      <c r="J1161" s="27" t="s">
        <v>144</v>
      </c>
      <c r="K1161" s="39" t="s">
        <v>2679</v>
      </c>
      <c r="L1161" s="41" t="s">
        <v>309</v>
      </c>
      <c r="M1161" s="27"/>
      <c r="N1161" s="27"/>
      <c r="O1161" s="28"/>
    </row>
    <row r="1162" spans="1:15" ht="15" customHeight="1" x14ac:dyDescent="0.3">
      <c r="A1162" s="31">
        <v>46023</v>
      </c>
      <c r="B1162" s="27" t="s">
        <v>53</v>
      </c>
      <c r="C1162" s="27" t="s">
        <v>3172</v>
      </c>
      <c r="D1162" s="27" t="s">
        <v>3173</v>
      </c>
      <c r="E1162" s="27" t="s">
        <v>3174</v>
      </c>
      <c r="F1162" s="27" t="s">
        <v>43</v>
      </c>
      <c r="G1162" s="27" t="s">
        <v>475</v>
      </c>
      <c r="H1162" s="27" t="s">
        <v>59</v>
      </c>
      <c r="I1162" s="27" t="s">
        <v>143</v>
      </c>
      <c r="J1162" s="27" t="s">
        <v>144</v>
      </c>
      <c r="K1162" s="39" t="s">
        <v>3175</v>
      </c>
      <c r="L1162" s="41" t="s">
        <v>129</v>
      </c>
      <c r="M1162" s="27"/>
      <c r="N1162" s="27"/>
      <c r="O1162" s="28"/>
    </row>
    <row r="1163" spans="1:15" ht="15" customHeight="1" x14ac:dyDescent="0.3">
      <c r="A1163" s="31">
        <v>46023</v>
      </c>
      <c r="B1163" s="27" t="s">
        <v>53</v>
      </c>
      <c r="C1163" s="27" t="s">
        <v>3176</v>
      </c>
      <c r="D1163" s="27" t="s">
        <v>3177</v>
      </c>
      <c r="E1163" s="27" t="s">
        <v>3174</v>
      </c>
      <c r="F1163" s="27" t="s">
        <v>43</v>
      </c>
      <c r="G1163" s="27" t="s">
        <v>475</v>
      </c>
      <c r="H1163" s="27" t="s">
        <v>59</v>
      </c>
      <c r="I1163" s="27" t="s">
        <v>143</v>
      </c>
      <c r="J1163" s="27" t="s">
        <v>144</v>
      </c>
      <c r="K1163" s="39" t="s">
        <v>3175</v>
      </c>
      <c r="L1163" s="41" t="s">
        <v>129</v>
      </c>
      <c r="M1163" s="27"/>
      <c r="N1163" s="27"/>
      <c r="O1163" s="28"/>
    </row>
    <row r="1164" spans="1:15" ht="15" customHeight="1" x14ac:dyDescent="0.3">
      <c r="A1164" s="31">
        <v>46023</v>
      </c>
      <c r="B1164" s="27" t="s">
        <v>53</v>
      </c>
      <c r="C1164" s="27" t="s">
        <v>3178</v>
      </c>
      <c r="D1164" s="27" t="s">
        <v>3179</v>
      </c>
      <c r="E1164" s="27" t="s">
        <v>3174</v>
      </c>
      <c r="F1164" s="27" t="s">
        <v>43</v>
      </c>
      <c r="G1164" s="27" t="s">
        <v>475</v>
      </c>
      <c r="H1164" s="27" t="s">
        <v>59</v>
      </c>
      <c r="I1164" s="27" t="s">
        <v>143</v>
      </c>
      <c r="J1164" s="27" t="s">
        <v>144</v>
      </c>
      <c r="K1164" s="39" t="s">
        <v>3175</v>
      </c>
      <c r="L1164" s="41" t="s">
        <v>129</v>
      </c>
      <c r="M1164" s="27"/>
      <c r="N1164" s="27"/>
      <c r="O1164" s="28"/>
    </row>
    <row r="1165" spans="1:15" ht="15" customHeight="1" x14ac:dyDescent="0.3">
      <c r="A1165" s="31">
        <v>46023</v>
      </c>
      <c r="B1165" s="27" t="s">
        <v>53</v>
      </c>
      <c r="C1165" s="27" t="s">
        <v>3180</v>
      </c>
      <c r="D1165" s="27" t="s">
        <v>3181</v>
      </c>
      <c r="E1165" s="27" t="s">
        <v>3182</v>
      </c>
      <c r="F1165" s="27" t="s">
        <v>43</v>
      </c>
      <c r="G1165" s="27" t="s">
        <v>475</v>
      </c>
      <c r="H1165" s="27" t="s">
        <v>59</v>
      </c>
      <c r="I1165" s="27" t="s">
        <v>143</v>
      </c>
      <c r="J1165" s="27" t="s">
        <v>144</v>
      </c>
      <c r="K1165" s="39" t="s">
        <v>3175</v>
      </c>
      <c r="L1165" s="41" t="s">
        <v>129</v>
      </c>
      <c r="M1165" s="27"/>
      <c r="N1165" s="27"/>
      <c r="O1165" s="28"/>
    </row>
    <row r="1166" spans="1:15" ht="15" customHeight="1" x14ac:dyDescent="0.3">
      <c r="A1166" s="31">
        <v>46023</v>
      </c>
      <c r="B1166" s="27" t="s">
        <v>53</v>
      </c>
      <c r="C1166" s="27" t="s">
        <v>3183</v>
      </c>
      <c r="D1166" s="27" t="s">
        <v>3184</v>
      </c>
      <c r="E1166" s="27" t="s">
        <v>3182</v>
      </c>
      <c r="F1166" s="27" t="s">
        <v>43</v>
      </c>
      <c r="G1166" s="27" t="s">
        <v>475</v>
      </c>
      <c r="H1166" s="27" t="s">
        <v>59</v>
      </c>
      <c r="I1166" s="27" t="s">
        <v>143</v>
      </c>
      <c r="J1166" s="27" t="s">
        <v>144</v>
      </c>
      <c r="K1166" s="39" t="s">
        <v>3175</v>
      </c>
      <c r="L1166" s="41" t="s">
        <v>129</v>
      </c>
      <c r="M1166" s="27"/>
      <c r="N1166" s="27"/>
      <c r="O1166" s="28"/>
    </row>
    <row r="1167" spans="1:15" ht="15" customHeight="1" x14ac:dyDescent="0.3">
      <c r="A1167" s="31">
        <v>46023</v>
      </c>
      <c r="B1167" s="27" t="s">
        <v>53</v>
      </c>
      <c r="C1167" s="27" t="s">
        <v>3185</v>
      </c>
      <c r="D1167" s="27" t="s">
        <v>3186</v>
      </c>
      <c r="E1167" s="27" t="s">
        <v>3182</v>
      </c>
      <c r="F1167" s="27" t="s">
        <v>43</v>
      </c>
      <c r="G1167" s="27" t="s">
        <v>475</v>
      </c>
      <c r="H1167" s="27" t="s">
        <v>59</v>
      </c>
      <c r="I1167" s="27" t="s">
        <v>143</v>
      </c>
      <c r="J1167" s="27" t="s">
        <v>144</v>
      </c>
      <c r="K1167" s="39" t="s">
        <v>3175</v>
      </c>
      <c r="L1167" s="41" t="s">
        <v>129</v>
      </c>
      <c r="M1167" s="27"/>
      <c r="N1167" s="27"/>
      <c r="O1167" s="28"/>
    </row>
    <row r="1168" spans="1:15" ht="15" customHeight="1" x14ac:dyDescent="0.3">
      <c r="A1168" s="31">
        <v>46023</v>
      </c>
      <c r="B1168" s="27" t="s">
        <v>53</v>
      </c>
      <c r="C1168" s="27" t="s">
        <v>3187</v>
      </c>
      <c r="D1168" s="27" t="s">
        <v>3188</v>
      </c>
      <c r="E1168" s="27" t="s">
        <v>59</v>
      </c>
      <c r="F1168" s="27" t="s">
        <v>43</v>
      </c>
      <c r="G1168" s="27" t="s">
        <v>475</v>
      </c>
      <c r="H1168" s="27" t="s">
        <v>59</v>
      </c>
      <c r="I1168" s="27" t="s">
        <v>116</v>
      </c>
      <c r="J1168" s="27" t="s">
        <v>144</v>
      </c>
      <c r="K1168" s="39" t="s">
        <v>2851</v>
      </c>
      <c r="L1168" s="41" t="s">
        <v>129</v>
      </c>
      <c r="M1168" s="27"/>
      <c r="N1168" s="27"/>
      <c r="O1168" s="28"/>
    </row>
    <row r="1169" spans="1:15" ht="15" customHeight="1" x14ac:dyDescent="0.3">
      <c r="A1169" s="31">
        <v>46023</v>
      </c>
      <c r="B1169" s="27" t="s">
        <v>53</v>
      </c>
      <c r="C1169" s="27" t="s">
        <v>3189</v>
      </c>
      <c r="D1169" s="27" t="s">
        <v>3190</v>
      </c>
      <c r="E1169" s="27" t="s">
        <v>59</v>
      </c>
      <c r="F1169" s="27" t="s">
        <v>43</v>
      </c>
      <c r="G1169" s="27" t="s">
        <v>475</v>
      </c>
      <c r="H1169" s="27" t="s">
        <v>59</v>
      </c>
      <c r="I1169" s="27" t="s">
        <v>143</v>
      </c>
      <c r="J1169" s="27" t="s">
        <v>144</v>
      </c>
      <c r="K1169" s="39" t="s">
        <v>2851</v>
      </c>
      <c r="L1169" s="41" t="s">
        <v>129</v>
      </c>
      <c r="M1169" s="27"/>
      <c r="N1169" s="27"/>
      <c r="O1169" s="28"/>
    </row>
    <row r="1170" spans="1:15" ht="15" customHeight="1" x14ac:dyDescent="0.3">
      <c r="A1170" s="31">
        <v>46023</v>
      </c>
      <c r="B1170" s="27" t="s">
        <v>53</v>
      </c>
      <c r="C1170" s="27" t="s">
        <v>3191</v>
      </c>
      <c r="D1170" s="27" t="s">
        <v>3192</v>
      </c>
      <c r="E1170" s="27" t="s">
        <v>59</v>
      </c>
      <c r="F1170" s="27" t="s">
        <v>43</v>
      </c>
      <c r="G1170" s="27" t="s">
        <v>475</v>
      </c>
      <c r="H1170" s="27" t="s">
        <v>59</v>
      </c>
      <c r="I1170" s="27" t="s">
        <v>143</v>
      </c>
      <c r="J1170" s="27" t="s">
        <v>144</v>
      </c>
      <c r="K1170" s="39" t="s">
        <v>2851</v>
      </c>
      <c r="L1170" s="41" t="s">
        <v>129</v>
      </c>
      <c r="M1170" s="27"/>
      <c r="N1170" s="27"/>
      <c r="O1170" s="28"/>
    </row>
    <row r="1171" spans="1:15" ht="15" customHeight="1" x14ac:dyDescent="0.3">
      <c r="A1171" s="31">
        <v>46023</v>
      </c>
      <c r="B1171" s="27" t="s">
        <v>53</v>
      </c>
      <c r="C1171" s="27" t="s">
        <v>3193</v>
      </c>
      <c r="D1171" s="27" t="s">
        <v>3194</v>
      </c>
      <c r="E1171" s="27" t="s">
        <v>59</v>
      </c>
      <c r="F1171" s="27" t="s">
        <v>43</v>
      </c>
      <c r="G1171" s="27" t="s">
        <v>475</v>
      </c>
      <c r="H1171" s="27" t="s">
        <v>59</v>
      </c>
      <c r="I1171" s="27" t="s">
        <v>143</v>
      </c>
      <c r="J1171" s="27" t="s">
        <v>144</v>
      </c>
      <c r="K1171" s="39" t="s">
        <v>2851</v>
      </c>
      <c r="L1171" s="41" t="s">
        <v>129</v>
      </c>
      <c r="M1171" s="27"/>
      <c r="N1171" s="27"/>
      <c r="O1171" s="28"/>
    </row>
    <row r="1172" spans="1:15" ht="15" customHeight="1" x14ac:dyDescent="0.3">
      <c r="A1172" s="31">
        <v>46023</v>
      </c>
      <c r="B1172" s="27" t="s">
        <v>53</v>
      </c>
      <c r="C1172" s="27" t="s">
        <v>3195</v>
      </c>
      <c r="D1172" s="27" t="s">
        <v>3196</v>
      </c>
      <c r="E1172" s="27" t="s">
        <v>59</v>
      </c>
      <c r="F1172" s="27" t="s">
        <v>43</v>
      </c>
      <c r="G1172" s="27" t="s">
        <v>475</v>
      </c>
      <c r="H1172" s="27" t="s">
        <v>59</v>
      </c>
      <c r="I1172" s="27" t="s">
        <v>116</v>
      </c>
      <c r="J1172" s="27" t="s">
        <v>144</v>
      </c>
      <c r="K1172" s="39" t="s">
        <v>2851</v>
      </c>
      <c r="L1172" s="41" t="s">
        <v>129</v>
      </c>
      <c r="M1172" s="27"/>
      <c r="N1172" s="27"/>
      <c r="O1172" s="28"/>
    </row>
    <row r="1173" spans="1:15" ht="15" customHeight="1" x14ac:dyDescent="0.3">
      <c r="A1173" s="31">
        <v>46023</v>
      </c>
      <c r="B1173" s="27" t="s">
        <v>53</v>
      </c>
      <c r="C1173" s="27" t="s">
        <v>3197</v>
      </c>
      <c r="D1173" s="27" t="s">
        <v>3198</v>
      </c>
      <c r="E1173" s="27" t="s">
        <v>59</v>
      </c>
      <c r="F1173" s="27" t="s">
        <v>43</v>
      </c>
      <c r="G1173" s="27" t="s">
        <v>475</v>
      </c>
      <c r="H1173" s="27" t="s">
        <v>59</v>
      </c>
      <c r="I1173" s="27" t="s">
        <v>116</v>
      </c>
      <c r="J1173" s="27" t="s">
        <v>144</v>
      </c>
      <c r="K1173" s="39" t="s">
        <v>2851</v>
      </c>
      <c r="L1173" s="41" t="s">
        <v>129</v>
      </c>
      <c r="M1173" s="27"/>
      <c r="N1173" s="27"/>
      <c r="O1173" s="28"/>
    </row>
    <row r="1174" spans="1:15" ht="15" customHeight="1" x14ac:dyDescent="0.3">
      <c r="A1174" s="31">
        <v>46023</v>
      </c>
      <c r="B1174" s="27" t="s">
        <v>53</v>
      </c>
      <c r="C1174" s="27" t="s">
        <v>3199</v>
      </c>
      <c r="D1174" s="27" t="s">
        <v>3200</v>
      </c>
      <c r="E1174" s="27" t="s">
        <v>59</v>
      </c>
      <c r="F1174" s="27" t="s">
        <v>43</v>
      </c>
      <c r="G1174" s="27" t="s">
        <v>475</v>
      </c>
      <c r="H1174" s="27" t="s">
        <v>59</v>
      </c>
      <c r="I1174" s="27" t="s">
        <v>116</v>
      </c>
      <c r="J1174" s="27" t="s">
        <v>144</v>
      </c>
      <c r="K1174" s="39" t="s">
        <v>2851</v>
      </c>
      <c r="L1174" s="41" t="s">
        <v>129</v>
      </c>
      <c r="M1174" s="27"/>
      <c r="N1174" s="27"/>
      <c r="O1174" s="28"/>
    </row>
    <row r="1175" spans="1:15" ht="15" customHeight="1" x14ac:dyDescent="0.3">
      <c r="A1175" s="31">
        <v>46023</v>
      </c>
      <c r="B1175" s="27" t="s">
        <v>53</v>
      </c>
      <c r="C1175" s="27" t="s">
        <v>3201</v>
      </c>
      <c r="D1175" s="27" t="s">
        <v>3202</v>
      </c>
      <c r="E1175" s="27" t="s">
        <v>59</v>
      </c>
      <c r="F1175" s="27" t="s">
        <v>43</v>
      </c>
      <c r="G1175" s="27" t="s">
        <v>475</v>
      </c>
      <c r="H1175" s="27" t="s">
        <v>59</v>
      </c>
      <c r="I1175" s="27" t="s">
        <v>143</v>
      </c>
      <c r="J1175" s="27" t="s">
        <v>144</v>
      </c>
      <c r="K1175" s="39" t="s">
        <v>2851</v>
      </c>
      <c r="L1175" s="41" t="s">
        <v>129</v>
      </c>
      <c r="M1175" s="27"/>
      <c r="N1175" s="27"/>
      <c r="O1175" s="28"/>
    </row>
    <row r="1176" spans="1:15" ht="15" customHeight="1" x14ac:dyDescent="0.3">
      <c r="A1176" s="31">
        <v>46023</v>
      </c>
      <c r="B1176" s="27" t="s">
        <v>53</v>
      </c>
      <c r="C1176" s="27" t="s">
        <v>3203</v>
      </c>
      <c r="D1176" s="27" t="s">
        <v>3204</v>
      </c>
      <c r="E1176" s="27" t="s">
        <v>59</v>
      </c>
      <c r="F1176" s="27" t="s">
        <v>43</v>
      </c>
      <c r="G1176" s="27" t="s">
        <v>475</v>
      </c>
      <c r="H1176" s="27" t="s">
        <v>59</v>
      </c>
      <c r="I1176" s="27" t="s">
        <v>143</v>
      </c>
      <c r="J1176" s="27" t="s">
        <v>144</v>
      </c>
      <c r="K1176" s="39" t="s">
        <v>2851</v>
      </c>
      <c r="L1176" s="41" t="s">
        <v>129</v>
      </c>
      <c r="M1176" s="27"/>
      <c r="N1176" s="27"/>
      <c r="O1176" s="28"/>
    </row>
    <row r="1177" spans="1:15" ht="15" customHeight="1" x14ac:dyDescent="0.3">
      <c r="A1177" s="31">
        <v>46023</v>
      </c>
      <c r="B1177" s="27" t="s">
        <v>53</v>
      </c>
      <c r="C1177" s="27" t="s">
        <v>3205</v>
      </c>
      <c r="D1177" s="27" t="s">
        <v>3206</v>
      </c>
      <c r="E1177" s="27" t="s">
        <v>59</v>
      </c>
      <c r="F1177" s="27" t="s">
        <v>43</v>
      </c>
      <c r="G1177" s="27" t="s">
        <v>475</v>
      </c>
      <c r="H1177" s="27" t="s">
        <v>59</v>
      </c>
      <c r="I1177" s="27" t="s">
        <v>143</v>
      </c>
      <c r="J1177" s="27" t="s">
        <v>144</v>
      </c>
      <c r="K1177" s="39" t="s">
        <v>2851</v>
      </c>
      <c r="L1177" s="41" t="s">
        <v>129</v>
      </c>
      <c r="M1177" s="27"/>
      <c r="N1177" s="27"/>
      <c r="O1177" s="28"/>
    </row>
    <row r="1178" spans="1:15" ht="15" customHeight="1" x14ac:dyDescent="0.3">
      <c r="A1178" s="31">
        <v>46023</v>
      </c>
      <c r="B1178" s="27" t="s">
        <v>53</v>
      </c>
      <c r="C1178" s="27" t="s">
        <v>3207</v>
      </c>
      <c r="D1178" s="27" t="s">
        <v>3208</v>
      </c>
      <c r="E1178" s="27" t="s">
        <v>59</v>
      </c>
      <c r="F1178" s="27" t="s">
        <v>43</v>
      </c>
      <c r="G1178" s="27" t="s">
        <v>475</v>
      </c>
      <c r="H1178" s="27" t="s">
        <v>59</v>
      </c>
      <c r="I1178" s="27" t="s">
        <v>143</v>
      </c>
      <c r="J1178" s="27" t="s">
        <v>144</v>
      </c>
      <c r="K1178" s="39" t="s">
        <v>2851</v>
      </c>
      <c r="L1178" s="41" t="s">
        <v>129</v>
      </c>
      <c r="M1178" s="27"/>
      <c r="N1178" s="27"/>
      <c r="O1178" s="28"/>
    </row>
    <row r="1179" spans="1:15" ht="15" customHeight="1" x14ac:dyDescent="0.3">
      <c r="A1179" s="31">
        <v>46023</v>
      </c>
      <c r="B1179" s="27" t="s">
        <v>53</v>
      </c>
      <c r="C1179" s="27" t="s">
        <v>3209</v>
      </c>
      <c r="D1179" s="27" t="s">
        <v>3210</v>
      </c>
      <c r="E1179" s="27" t="s">
        <v>59</v>
      </c>
      <c r="F1179" s="27" t="s">
        <v>43</v>
      </c>
      <c r="G1179" s="27" t="s">
        <v>475</v>
      </c>
      <c r="H1179" s="27" t="s">
        <v>59</v>
      </c>
      <c r="I1179" s="27" t="s">
        <v>143</v>
      </c>
      <c r="J1179" s="27" t="s">
        <v>144</v>
      </c>
      <c r="K1179" s="39" t="s">
        <v>2851</v>
      </c>
      <c r="L1179" s="41" t="s">
        <v>129</v>
      </c>
      <c r="M1179" s="27"/>
      <c r="N1179" s="27"/>
      <c r="O1179" s="28"/>
    </row>
    <row r="1180" spans="1:15" ht="15" customHeight="1" x14ac:dyDescent="0.3">
      <c r="A1180" s="31">
        <v>46023</v>
      </c>
      <c r="B1180" s="27" t="s">
        <v>53</v>
      </c>
      <c r="C1180" s="27" t="s">
        <v>3211</v>
      </c>
      <c r="D1180" s="27" t="s">
        <v>3212</v>
      </c>
      <c r="E1180" s="27" t="s">
        <v>59</v>
      </c>
      <c r="F1180" s="27" t="s">
        <v>43</v>
      </c>
      <c r="G1180" s="27" t="s">
        <v>475</v>
      </c>
      <c r="H1180" s="27" t="s">
        <v>59</v>
      </c>
      <c r="I1180" s="27" t="s">
        <v>143</v>
      </c>
      <c r="J1180" s="27" t="s">
        <v>144</v>
      </c>
      <c r="K1180" s="39" t="s">
        <v>2851</v>
      </c>
      <c r="L1180" s="41" t="s">
        <v>129</v>
      </c>
      <c r="M1180" s="27"/>
      <c r="N1180" s="27"/>
      <c r="O1180" s="28"/>
    </row>
    <row r="1181" spans="1:15" ht="15" customHeight="1" x14ac:dyDescent="0.3">
      <c r="A1181" s="31">
        <v>46023</v>
      </c>
      <c r="B1181" s="27" t="s">
        <v>53</v>
      </c>
      <c r="C1181" s="27" t="s">
        <v>3213</v>
      </c>
      <c r="D1181" s="27" t="s">
        <v>3214</v>
      </c>
      <c r="E1181" s="27" t="s">
        <v>59</v>
      </c>
      <c r="F1181" s="27" t="s">
        <v>43</v>
      </c>
      <c r="G1181" s="27" t="s">
        <v>3215</v>
      </c>
      <c r="H1181" s="27" t="s">
        <v>59</v>
      </c>
      <c r="I1181" s="27" t="s">
        <v>143</v>
      </c>
      <c r="J1181" s="27" t="s">
        <v>144</v>
      </c>
      <c r="K1181" s="39" t="s">
        <v>3037</v>
      </c>
      <c r="L1181" s="41" t="s">
        <v>63</v>
      </c>
      <c r="M1181" s="27"/>
      <c r="N1181" s="27"/>
      <c r="O1181" s="28"/>
    </row>
    <row r="1182" spans="1:15" ht="15" customHeight="1" x14ac:dyDescent="0.3">
      <c r="A1182" s="31">
        <v>46023</v>
      </c>
      <c r="B1182" s="27" t="s">
        <v>53</v>
      </c>
      <c r="C1182" s="27" t="s">
        <v>3216</v>
      </c>
      <c r="D1182" s="27" t="s">
        <v>3217</v>
      </c>
      <c r="E1182" s="27" t="s">
        <v>3218</v>
      </c>
      <c r="F1182" s="27" t="s">
        <v>43</v>
      </c>
      <c r="G1182" s="27" t="s">
        <v>1020</v>
      </c>
      <c r="H1182" s="27">
        <v>190272</v>
      </c>
      <c r="I1182" s="27" t="s">
        <v>468</v>
      </c>
      <c r="J1182" s="27" t="s">
        <v>144</v>
      </c>
      <c r="K1182" s="39" t="s">
        <v>3219</v>
      </c>
      <c r="L1182" s="41" t="s">
        <v>63</v>
      </c>
      <c r="M1182" s="27"/>
      <c r="N1182" s="27"/>
      <c r="O1182" s="28"/>
    </row>
    <row r="1183" spans="1:15" ht="15" customHeight="1" x14ac:dyDescent="0.3">
      <c r="A1183" s="31">
        <v>46023</v>
      </c>
      <c r="B1183" s="27" t="s">
        <v>53</v>
      </c>
      <c r="C1183" s="27" t="s">
        <v>3220</v>
      </c>
      <c r="D1183" s="27" t="s">
        <v>3221</v>
      </c>
      <c r="E1183" s="27" t="s">
        <v>3222</v>
      </c>
      <c r="F1183" s="27" t="s">
        <v>43</v>
      </c>
      <c r="G1183" s="27" t="s">
        <v>475</v>
      </c>
      <c r="H1183" s="27" t="s">
        <v>59</v>
      </c>
      <c r="I1183" s="27" t="s">
        <v>143</v>
      </c>
      <c r="J1183" s="27" t="s">
        <v>144</v>
      </c>
      <c r="K1183" s="39" t="s">
        <v>3223</v>
      </c>
      <c r="L1183" s="41" t="s">
        <v>129</v>
      </c>
      <c r="M1183" s="27"/>
      <c r="N1183" s="27"/>
      <c r="O1183" s="28"/>
    </row>
    <row r="1184" spans="1:15" ht="15" customHeight="1" x14ac:dyDescent="0.3">
      <c r="A1184" s="31">
        <v>46023</v>
      </c>
      <c r="B1184" s="27" t="s">
        <v>53</v>
      </c>
      <c r="C1184" s="27" t="s">
        <v>3224</v>
      </c>
      <c r="D1184" s="27" t="s">
        <v>3225</v>
      </c>
      <c r="E1184" s="27" t="s">
        <v>3222</v>
      </c>
      <c r="F1184" s="27" t="s">
        <v>43</v>
      </c>
      <c r="G1184" s="27" t="s">
        <v>475</v>
      </c>
      <c r="H1184" s="27" t="s">
        <v>59</v>
      </c>
      <c r="I1184" s="27" t="s">
        <v>143</v>
      </c>
      <c r="J1184" s="27" t="s">
        <v>144</v>
      </c>
      <c r="K1184" s="39" t="s">
        <v>3223</v>
      </c>
      <c r="L1184" s="41" t="s">
        <v>129</v>
      </c>
      <c r="M1184" s="27"/>
      <c r="N1184" s="27"/>
      <c r="O1184" s="28"/>
    </row>
    <row r="1185" spans="1:15" ht="15" customHeight="1" x14ac:dyDescent="0.3">
      <c r="A1185" s="31">
        <v>46023</v>
      </c>
      <c r="B1185" s="27" t="s">
        <v>53</v>
      </c>
      <c r="C1185" s="27" t="s">
        <v>3226</v>
      </c>
      <c r="D1185" s="27" t="s">
        <v>3221</v>
      </c>
      <c r="E1185" s="27" t="s">
        <v>3222</v>
      </c>
      <c r="F1185" s="27" t="s">
        <v>43</v>
      </c>
      <c r="G1185" s="27" t="s">
        <v>475</v>
      </c>
      <c r="H1185" s="27" t="s">
        <v>59</v>
      </c>
      <c r="I1185" s="27" t="s">
        <v>116</v>
      </c>
      <c r="J1185" s="27" t="s">
        <v>144</v>
      </c>
      <c r="K1185" s="39" t="s">
        <v>3223</v>
      </c>
      <c r="L1185" s="41" t="s">
        <v>129</v>
      </c>
      <c r="M1185" s="27"/>
      <c r="N1185" s="27"/>
      <c r="O1185" s="28"/>
    </row>
    <row r="1186" spans="1:15" ht="15" customHeight="1" x14ac:dyDescent="0.3">
      <c r="A1186" s="31">
        <v>46023</v>
      </c>
      <c r="B1186" s="27" t="s">
        <v>53</v>
      </c>
      <c r="C1186" s="27" t="s">
        <v>3227</v>
      </c>
      <c r="D1186" s="27" t="s">
        <v>3228</v>
      </c>
      <c r="E1186" s="27" t="s">
        <v>3222</v>
      </c>
      <c r="F1186" s="27" t="s">
        <v>43</v>
      </c>
      <c r="G1186" s="27" t="s">
        <v>475</v>
      </c>
      <c r="H1186" s="27" t="s">
        <v>59</v>
      </c>
      <c r="I1186" s="27" t="s">
        <v>116</v>
      </c>
      <c r="J1186" s="27" t="s">
        <v>144</v>
      </c>
      <c r="K1186" s="39" t="s">
        <v>3223</v>
      </c>
      <c r="L1186" s="41" t="s">
        <v>129</v>
      </c>
      <c r="M1186" s="27"/>
      <c r="N1186" s="27"/>
      <c r="O1186" s="28"/>
    </row>
    <row r="1187" spans="1:15" ht="15" customHeight="1" x14ac:dyDescent="0.3">
      <c r="A1187" s="31">
        <v>46023</v>
      </c>
      <c r="B1187" s="27" t="s">
        <v>53</v>
      </c>
      <c r="C1187" s="27" t="s">
        <v>3229</v>
      </c>
      <c r="D1187" s="27" t="s">
        <v>3230</v>
      </c>
      <c r="E1187" s="27" t="s">
        <v>3222</v>
      </c>
      <c r="F1187" s="27" t="s">
        <v>43</v>
      </c>
      <c r="G1187" s="27" t="s">
        <v>475</v>
      </c>
      <c r="H1187" s="27" t="s">
        <v>59</v>
      </c>
      <c r="I1187" s="27" t="s">
        <v>116</v>
      </c>
      <c r="J1187" s="27" t="s">
        <v>144</v>
      </c>
      <c r="K1187" s="39" t="s">
        <v>3223</v>
      </c>
      <c r="L1187" s="41" t="s">
        <v>129</v>
      </c>
      <c r="M1187" s="27"/>
      <c r="N1187" s="27"/>
      <c r="O1187" s="28"/>
    </row>
    <row r="1188" spans="1:15" ht="15" customHeight="1" x14ac:dyDescent="0.3">
      <c r="A1188" s="31">
        <v>46023</v>
      </c>
      <c r="B1188" s="27" t="s">
        <v>53</v>
      </c>
      <c r="C1188" s="27" t="s">
        <v>3231</v>
      </c>
      <c r="D1188" s="27" t="s">
        <v>3232</v>
      </c>
      <c r="E1188" s="27" t="s">
        <v>3222</v>
      </c>
      <c r="F1188" s="27" t="s">
        <v>43</v>
      </c>
      <c r="G1188" s="27" t="s">
        <v>475</v>
      </c>
      <c r="H1188" s="27" t="s">
        <v>59</v>
      </c>
      <c r="I1188" s="27" t="s">
        <v>116</v>
      </c>
      <c r="J1188" s="27" t="s">
        <v>144</v>
      </c>
      <c r="K1188" s="39" t="s">
        <v>3223</v>
      </c>
      <c r="L1188" s="41" t="s">
        <v>129</v>
      </c>
      <c r="M1188" s="27"/>
      <c r="N1188" s="27"/>
      <c r="O1188" s="28"/>
    </row>
    <row r="1189" spans="1:15" ht="15" customHeight="1" x14ac:dyDescent="0.3">
      <c r="A1189" s="31">
        <v>46023</v>
      </c>
      <c r="B1189" s="27" t="s">
        <v>53</v>
      </c>
      <c r="C1189" s="27" t="s">
        <v>3233</v>
      </c>
      <c r="D1189" s="27" t="s">
        <v>3225</v>
      </c>
      <c r="E1189" s="27" t="s">
        <v>3222</v>
      </c>
      <c r="F1189" s="27" t="s">
        <v>43</v>
      </c>
      <c r="G1189" s="27" t="s">
        <v>475</v>
      </c>
      <c r="H1189" s="27" t="s">
        <v>59</v>
      </c>
      <c r="I1189" s="27" t="s">
        <v>116</v>
      </c>
      <c r="J1189" s="27" t="s">
        <v>144</v>
      </c>
      <c r="K1189" s="39" t="s">
        <v>3223</v>
      </c>
      <c r="L1189" s="41" t="s">
        <v>129</v>
      </c>
      <c r="M1189" s="27"/>
      <c r="N1189" s="27"/>
      <c r="O1189" s="28"/>
    </row>
    <row r="1190" spans="1:15" ht="15" customHeight="1" x14ac:dyDescent="0.3">
      <c r="A1190" s="31">
        <v>46023</v>
      </c>
      <c r="B1190" s="27" t="s">
        <v>53</v>
      </c>
      <c r="C1190" s="27" t="s">
        <v>3234</v>
      </c>
      <c r="D1190" s="27" t="s">
        <v>3235</v>
      </c>
      <c r="E1190" s="27" t="s">
        <v>3222</v>
      </c>
      <c r="F1190" s="27" t="s">
        <v>43</v>
      </c>
      <c r="G1190" s="27" t="s">
        <v>475</v>
      </c>
      <c r="H1190" s="27" t="s">
        <v>59</v>
      </c>
      <c r="I1190" s="27" t="s">
        <v>116</v>
      </c>
      <c r="J1190" s="27" t="s">
        <v>144</v>
      </c>
      <c r="K1190" s="39" t="s">
        <v>3223</v>
      </c>
      <c r="L1190" s="41" t="s">
        <v>129</v>
      </c>
      <c r="M1190" s="27"/>
      <c r="N1190" s="27"/>
      <c r="O1190" s="28"/>
    </row>
    <row r="1191" spans="1:15" ht="15" customHeight="1" x14ac:dyDescent="0.3">
      <c r="A1191" s="31">
        <v>46023</v>
      </c>
      <c r="B1191" s="27" t="s">
        <v>53</v>
      </c>
      <c r="C1191" s="27" t="s">
        <v>3236</v>
      </c>
      <c r="D1191" s="27" t="s">
        <v>3237</v>
      </c>
      <c r="E1191" s="27" t="s">
        <v>3222</v>
      </c>
      <c r="F1191" s="27" t="s">
        <v>43</v>
      </c>
      <c r="G1191" s="27" t="s">
        <v>475</v>
      </c>
      <c r="H1191" s="27" t="s">
        <v>59</v>
      </c>
      <c r="I1191" s="27" t="s">
        <v>116</v>
      </c>
      <c r="J1191" s="27" t="s">
        <v>144</v>
      </c>
      <c r="K1191" s="39" t="s">
        <v>3223</v>
      </c>
      <c r="L1191" s="41" t="s">
        <v>129</v>
      </c>
      <c r="M1191" s="27"/>
      <c r="N1191" s="27"/>
      <c r="O1191" s="28"/>
    </row>
    <row r="1192" spans="1:15" ht="15" customHeight="1" x14ac:dyDescent="0.3">
      <c r="A1192" s="31">
        <v>46023</v>
      </c>
      <c r="B1192" s="27" t="s">
        <v>53</v>
      </c>
      <c r="C1192" s="27" t="s">
        <v>3238</v>
      </c>
      <c r="D1192" s="27" t="s">
        <v>3239</v>
      </c>
      <c r="E1192" s="27" t="s">
        <v>3222</v>
      </c>
      <c r="F1192" s="27" t="s">
        <v>43</v>
      </c>
      <c r="G1192" s="27" t="s">
        <v>475</v>
      </c>
      <c r="H1192" s="27" t="s">
        <v>59</v>
      </c>
      <c r="I1192" s="27" t="s">
        <v>116</v>
      </c>
      <c r="J1192" s="27" t="s">
        <v>144</v>
      </c>
      <c r="K1192" s="39" t="s">
        <v>3223</v>
      </c>
      <c r="L1192" s="41" t="s">
        <v>129</v>
      </c>
      <c r="M1192" s="27"/>
      <c r="N1192" s="27"/>
      <c r="O1192" s="28"/>
    </row>
    <row r="1193" spans="1:15" ht="15" customHeight="1" x14ac:dyDescent="0.3">
      <c r="A1193" s="31">
        <v>46023</v>
      </c>
      <c r="B1193" s="27" t="s">
        <v>53</v>
      </c>
      <c r="C1193" s="27" t="s">
        <v>3240</v>
      </c>
      <c r="D1193" s="27" t="s">
        <v>3241</v>
      </c>
      <c r="E1193" s="27" t="s">
        <v>3222</v>
      </c>
      <c r="F1193" s="27" t="s">
        <v>43</v>
      </c>
      <c r="G1193" s="27" t="s">
        <v>475</v>
      </c>
      <c r="H1193" s="27" t="s">
        <v>59</v>
      </c>
      <c r="I1193" s="27" t="s">
        <v>116</v>
      </c>
      <c r="J1193" s="27" t="s">
        <v>144</v>
      </c>
      <c r="K1193" s="39" t="s">
        <v>3223</v>
      </c>
      <c r="L1193" s="41" t="s">
        <v>129</v>
      </c>
      <c r="M1193" s="27"/>
      <c r="N1193" s="27"/>
      <c r="O1193" s="28"/>
    </row>
    <row r="1194" spans="1:15" ht="15" customHeight="1" x14ac:dyDescent="0.3">
      <c r="A1194" s="31">
        <v>46023</v>
      </c>
      <c r="B1194" s="27" t="s">
        <v>53</v>
      </c>
      <c r="C1194" s="27" t="s">
        <v>3242</v>
      </c>
      <c r="D1194" s="27" t="s">
        <v>3243</v>
      </c>
      <c r="E1194" s="27" t="s">
        <v>3222</v>
      </c>
      <c r="F1194" s="27" t="s">
        <v>43</v>
      </c>
      <c r="G1194" s="27" t="s">
        <v>475</v>
      </c>
      <c r="H1194" s="27" t="s">
        <v>59</v>
      </c>
      <c r="I1194" s="27" t="s">
        <v>116</v>
      </c>
      <c r="J1194" s="27" t="s">
        <v>144</v>
      </c>
      <c r="K1194" s="39" t="s">
        <v>3223</v>
      </c>
      <c r="L1194" s="41" t="s">
        <v>129</v>
      </c>
      <c r="M1194" s="27"/>
      <c r="N1194" s="27"/>
      <c r="O1194" s="28"/>
    </row>
    <row r="1195" spans="1:15" ht="15" customHeight="1" x14ac:dyDescent="0.3">
      <c r="A1195" s="31">
        <v>46023</v>
      </c>
      <c r="B1195" s="27" t="s">
        <v>53</v>
      </c>
      <c r="C1195" s="27" t="s">
        <v>3244</v>
      </c>
      <c r="D1195" s="27" t="s">
        <v>3245</v>
      </c>
      <c r="E1195" s="27" t="s">
        <v>3222</v>
      </c>
      <c r="F1195" s="27" t="s">
        <v>43</v>
      </c>
      <c r="G1195" s="27" t="s">
        <v>475</v>
      </c>
      <c r="H1195" s="27" t="s">
        <v>59</v>
      </c>
      <c r="I1195" s="27" t="s">
        <v>116</v>
      </c>
      <c r="J1195" s="27" t="s">
        <v>144</v>
      </c>
      <c r="K1195" s="39" t="s">
        <v>3223</v>
      </c>
      <c r="L1195" s="41" t="s">
        <v>129</v>
      </c>
      <c r="M1195" s="27"/>
      <c r="N1195" s="27"/>
      <c r="O1195" s="28"/>
    </row>
    <row r="1196" spans="1:15" ht="15" customHeight="1" x14ac:dyDescent="0.3">
      <c r="A1196" s="31">
        <v>46023</v>
      </c>
      <c r="B1196" s="27" t="s">
        <v>53</v>
      </c>
      <c r="C1196" s="27" t="s">
        <v>3246</v>
      </c>
      <c r="D1196" s="27" t="s">
        <v>3247</v>
      </c>
      <c r="E1196" s="27" t="s">
        <v>3222</v>
      </c>
      <c r="F1196" s="27" t="s">
        <v>43</v>
      </c>
      <c r="G1196" s="27" t="s">
        <v>475</v>
      </c>
      <c r="H1196" s="27" t="s">
        <v>59</v>
      </c>
      <c r="I1196" s="27" t="s">
        <v>116</v>
      </c>
      <c r="J1196" s="27" t="s">
        <v>144</v>
      </c>
      <c r="K1196" s="39" t="s">
        <v>3223</v>
      </c>
      <c r="L1196" s="41" t="s">
        <v>129</v>
      </c>
      <c r="M1196" s="27"/>
      <c r="N1196" s="27"/>
      <c r="O1196" s="28"/>
    </row>
    <row r="1197" spans="1:15" ht="15" customHeight="1" x14ac:dyDescent="0.3">
      <c r="A1197" s="31">
        <v>46023</v>
      </c>
      <c r="B1197" s="27" t="s">
        <v>53</v>
      </c>
      <c r="C1197" s="27" t="s">
        <v>3248</v>
      </c>
      <c r="D1197" s="27" t="s">
        <v>3249</v>
      </c>
      <c r="E1197" s="27" t="s">
        <v>3222</v>
      </c>
      <c r="F1197" s="27" t="s">
        <v>43</v>
      </c>
      <c r="G1197" s="27" t="s">
        <v>475</v>
      </c>
      <c r="H1197" s="27" t="s">
        <v>59</v>
      </c>
      <c r="I1197" s="27" t="s">
        <v>116</v>
      </c>
      <c r="J1197" s="27" t="s">
        <v>144</v>
      </c>
      <c r="K1197" s="39" t="s">
        <v>3223</v>
      </c>
      <c r="L1197" s="41" t="s">
        <v>129</v>
      </c>
      <c r="M1197" s="27"/>
      <c r="N1197" s="27"/>
      <c r="O1197" s="28"/>
    </row>
    <row r="1198" spans="1:15" ht="15" customHeight="1" x14ac:dyDescent="0.3">
      <c r="A1198" s="31">
        <v>46023</v>
      </c>
      <c r="B1198" s="27" t="s">
        <v>53</v>
      </c>
      <c r="C1198" s="27" t="s">
        <v>3250</v>
      </c>
      <c r="D1198" s="27" t="s">
        <v>3251</v>
      </c>
      <c r="E1198" s="27" t="s">
        <v>3222</v>
      </c>
      <c r="F1198" s="27" t="s">
        <v>43</v>
      </c>
      <c r="G1198" s="27" t="s">
        <v>475</v>
      </c>
      <c r="H1198" s="27" t="s">
        <v>59</v>
      </c>
      <c r="I1198" s="27" t="s">
        <v>116</v>
      </c>
      <c r="J1198" s="27" t="s">
        <v>144</v>
      </c>
      <c r="K1198" s="39" t="s">
        <v>3223</v>
      </c>
      <c r="L1198" s="41" t="s">
        <v>129</v>
      </c>
      <c r="M1198" s="27"/>
      <c r="N1198" s="27"/>
      <c r="O1198" s="28"/>
    </row>
    <row r="1199" spans="1:15" ht="15" customHeight="1" x14ac:dyDescent="0.3">
      <c r="A1199" s="31">
        <v>46023</v>
      </c>
      <c r="B1199" s="27" t="s">
        <v>53</v>
      </c>
      <c r="C1199" s="27" t="s">
        <v>3252</v>
      </c>
      <c r="D1199" s="27" t="s">
        <v>3253</v>
      </c>
      <c r="E1199" s="27" t="s">
        <v>3222</v>
      </c>
      <c r="F1199" s="27" t="s">
        <v>43</v>
      </c>
      <c r="G1199" s="27" t="s">
        <v>475</v>
      </c>
      <c r="H1199" s="27" t="s">
        <v>59</v>
      </c>
      <c r="I1199" s="27" t="s">
        <v>116</v>
      </c>
      <c r="J1199" s="27" t="s">
        <v>144</v>
      </c>
      <c r="K1199" s="39" t="s">
        <v>3223</v>
      </c>
      <c r="L1199" s="41" t="s">
        <v>129</v>
      </c>
      <c r="M1199" s="27"/>
      <c r="N1199" s="27"/>
      <c r="O1199" s="28"/>
    </row>
    <row r="1200" spans="1:15" ht="15" customHeight="1" x14ac:dyDescent="0.3">
      <c r="A1200" s="31">
        <v>46023</v>
      </c>
      <c r="B1200" s="27" t="s">
        <v>53</v>
      </c>
      <c r="C1200" s="27" t="s">
        <v>3254</v>
      </c>
      <c r="D1200" s="27" t="s">
        <v>3255</v>
      </c>
      <c r="E1200" s="27" t="s">
        <v>3222</v>
      </c>
      <c r="F1200" s="27" t="s">
        <v>43</v>
      </c>
      <c r="G1200" s="27" t="s">
        <v>475</v>
      </c>
      <c r="H1200" s="27" t="s">
        <v>59</v>
      </c>
      <c r="I1200" s="27" t="s">
        <v>116</v>
      </c>
      <c r="J1200" s="27" t="s">
        <v>144</v>
      </c>
      <c r="K1200" s="39" t="s">
        <v>3223</v>
      </c>
      <c r="L1200" s="41" t="s">
        <v>129</v>
      </c>
      <c r="M1200" s="27"/>
      <c r="N1200" s="27"/>
      <c r="O1200" s="28"/>
    </row>
    <row r="1201" spans="1:15" ht="15" customHeight="1" x14ac:dyDescent="0.3">
      <c r="A1201" s="31">
        <v>46023</v>
      </c>
      <c r="B1201" s="27" t="s">
        <v>53</v>
      </c>
      <c r="C1201" s="27" t="s">
        <v>3256</v>
      </c>
      <c r="D1201" s="27" t="s">
        <v>3257</v>
      </c>
      <c r="E1201" s="27" t="s">
        <v>59</v>
      </c>
      <c r="F1201" s="27" t="s">
        <v>43</v>
      </c>
      <c r="G1201" s="27" t="s">
        <v>475</v>
      </c>
      <c r="H1201" s="27" t="s">
        <v>59</v>
      </c>
      <c r="I1201" s="27" t="s">
        <v>143</v>
      </c>
      <c r="J1201" s="27" t="s">
        <v>144</v>
      </c>
      <c r="K1201" s="39" t="s">
        <v>3258</v>
      </c>
      <c r="L1201" s="41" t="s">
        <v>129</v>
      </c>
      <c r="M1201" s="27"/>
      <c r="N1201" s="27"/>
      <c r="O1201" s="28"/>
    </row>
    <row r="1202" spans="1:15" ht="15" customHeight="1" x14ac:dyDescent="0.3">
      <c r="A1202" s="31">
        <v>46023</v>
      </c>
      <c r="B1202" s="27" t="s">
        <v>53</v>
      </c>
      <c r="C1202" s="27" t="s">
        <v>3259</v>
      </c>
      <c r="D1202" s="27" t="s">
        <v>3260</v>
      </c>
      <c r="E1202" s="27" t="s">
        <v>59</v>
      </c>
      <c r="F1202" s="27" t="s">
        <v>43</v>
      </c>
      <c r="G1202" s="27" t="s">
        <v>475</v>
      </c>
      <c r="H1202" s="27" t="s">
        <v>59</v>
      </c>
      <c r="I1202" s="27" t="s">
        <v>143</v>
      </c>
      <c r="J1202" s="27" t="s">
        <v>144</v>
      </c>
      <c r="K1202" s="39" t="s">
        <v>3258</v>
      </c>
      <c r="L1202" s="41" t="s">
        <v>129</v>
      </c>
      <c r="M1202" s="27"/>
      <c r="N1202" s="27"/>
      <c r="O1202" s="28"/>
    </row>
    <row r="1203" spans="1:15" ht="15" customHeight="1" x14ac:dyDescent="0.3">
      <c r="A1203" s="31">
        <v>46023</v>
      </c>
      <c r="B1203" s="27" t="s">
        <v>53</v>
      </c>
      <c r="C1203" s="27" t="s">
        <v>3261</v>
      </c>
      <c r="D1203" s="27" t="s">
        <v>3262</v>
      </c>
      <c r="E1203" s="27" t="s">
        <v>59</v>
      </c>
      <c r="F1203" s="27" t="s">
        <v>43</v>
      </c>
      <c r="G1203" s="27" t="s">
        <v>475</v>
      </c>
      <c r="H1203" s="27" t="s">
        <v>59</v>
      </c>
      <c r="I1203" s="27" t="s">
        <v>143</v>
      </c>
      <c r="J1203" s="27" t="s">
        <v>144</v>
      </c>
      <c r="K1203" s="39" t="s">
        <v>3258</v>
      </c>
      <c r="L1203" s="41" t="s">
        <v>129</v>
      </c>
      <c r="M1203" s="27"/>
      <c r="N1203" s="27"/>
      <c r="O1203" s="28"/>
    </row>
    <row r="1204" spans="1:15" ht="15" customHeight="1" x14ac:dyDescent="0.3">
      <c r="A1204" s="31">
        <v>46023</v>
      </c>
      <c r="B1204" s="27" t="s">
        <v>53</v>
      </c>
      <c r="C1204" s="27" t="s">
        <v>3263</v>
      </c>
      <c r="D1204" s="27" t="s">
        <v>3264</v>
      </c>
      <c r="E1204" s="27" t="s">
        <v>59</v>
      </c>
      <c r="F1204" s="27" t="s">
        <v>43</v>
      </c>
      <c r="G1204" s="27" t="s">
        <v>475</v>
      </c>
      <c r="H1204" s="27" t="s">
        <v>59</v>
      </c>
      <c r="I1204" s="27" t="s">
        <v>143</v>
      </c>
      <c r="J1204" s="27" t="s">
        <v>144</v>
      </c>
      <c r="K1204" s="39" t="s">
        <v>3258</v>
      </c>
      <c r="L1204" s="41" t="s">
        <v>129</v>
      </c>
      <c r="M1204" s="27"/>
      <c r="N1204" s="27"/>
      <c r="O1204" s="28"/>
    </row>
    <row r="1205" spans="1:15" ht="15" customHeight="1" x14ac:dyDescent="0.3">
      <c r="A1205" s="31">
        <v>46023</v>
      </c>
      <c r="B1205" s="27" t="s">
        <v>53</v>
      </c>
      <c r="C1205" s="27" t="s">
        <v>3265</v>
      </c>
      <c r="D1205" s="27" t="s">
        <v>3266</v>
      </c>
      <c r="E1205" s="27" t="s">
        <v>59</v>
      </c>
      <c r="F1205" s="27" t="s">
        <v>43</v>
      </c>
      <c r="G1205" s="27" t="s">
        <v>475</v>
      </c>
      <c r="H1205" s="27" t="s">
        <v>59</v>
      </c>
      <c r="I1205" s="27" t="s">
        <v>143</v>
      </c>
      <c r="J1205" s="27" t="s">
        <v>144</v>
      </c>
      <c r="K1205" s="39" t="s">
        <v>3258</v>
      </c>
      <c r="L1205" s="41" t="s">
        <v>129</v>
      </c>
      <c r="M1205" s="27"/>
      <c r="N1205" s="27"/>
      <c r="O1205" s="28"/>
    </row>
    <row r="1206" spans="1:15" ht="15" customHeight="1" x14ac:dyDescent="0.3">
      <c r="A1206" s="31">
        <v>46023</v>
      </c>
      <c r="B1206" s="27" t="s">
        <v>53</v>
      </c>
      <c r="C1206" s="27" t="s">
        <v>3267</v>
      </c>
      <c r="D1206" s="27" t="s">
        <v>3268</v>
      </c>
      <c r="E1206" s="27" t="s">
        <v>59</v>
      </c>
      <c r="F1206" s="27" t="s">
        <v>43</v>
      </c>
      <c r="G1206" s="27" t="s">
        <v>475</v>
      </c>
      <c r="H1206" s="27" t="s">
        <v>59</v>
      </c>
      <c r="I1206" s="27" t="s">
        <v>143</v>
      </c>
      <c r="J1206" s="27" t="s">
        <v>144</v>
      </c>
      <c r="K1206" s="39" t="s">
        <v>3258</v>
      </c>
      <c r="L1206" s="41" t="s">
        <v>129</v>
      </c>
      <c r="M1206" s="27"/>
      <c r="N1206" s="27"/>
      <c r="O1206" s="28"/>
    </row>
    <row r="1207" spans="1:15" ht="15" customHeight="1" x14ac:dyDescent="0.3">
      <c r="A1207" s="31">
        <v>46023</v>
      </c>
      <c r="B1207" s="27" t="s">
        <v>53</v>
      </c>
      <c r="C1207" s="27" t="s">
        <v>3269</v>
      </c>
      <c r="D1207" s="27" t="s">
        <v>3270</v>
      </c>
      <c r="E1207" s="27" t="s">
        <v>59</v>
      </c>
      <c r="F1207" s="27" t="s">
        <v>43</v>
      </c>
      <c r="G1207" s="27" t="s">
        <v>475</v>
      </c>
      <c r="H1207" s="27" t="s">
        <v>59</v>
      </c>
      <c r="I1207" s="27" t="s">
        <v>143</v>
      </c>
      <c r="J1207" s="27" t="s">
        <v>144</v>
      </c>
      <c r="K1207" s="39" t="s">
        <v>3258</v>
      </c>
      <c r="L1207" s="41" t="s">
        <v>129</v>
      </c>
      <c r="M1207" s="27"/>
      <c r="N1207" s="27"/>
      <c r="O1207" s="28"/>
    </row>
    <row r="1208" spans="1:15" ht="15" customHeight="1" x14ac:dyDescent="0.3">
      <c r="A1208" s="31">
        <v>46023</v>
      </c>
      <c r="B1208" s="27" t="s">
        <v>53</v>
      </c>
      <c r="C1208" s="27" t="s">
        <v>3271</v>
      </c>
      <c r="D1208" s="27" t="s">
        <v>3272</v>
      </c>
      <c r="E1208" s="27" t="s">
        <v>59</v>
      </c>
      <c r="F1208" s="27" t="s">
        <v>43</v>
      </c>
      <c r="G1208" s="27" t="s">
        <v>475</v>
      </c>
      <c r="H1208" s="27" t="s">
        <v>59</v>
      </c>
      <c r="I1208" s="27" t="s">
        <v>143</v>
      </c>
      <c r="J1208" s="27" t="s">
        <v>644</v>
      </c>
      <c r="K1208" s="39" t="s">
        <v>3258</v>
      </c>
      <c r="L1208" s="41" t="s">
        <v>129</v>
      </c>
      <c r="M1208" s="27"/>
      <c r="N1208" s="27"/>
      <c r="O1208" s="28"/>
    </row>
    <row r="1209" spans="1:15" ht="15" customHeight="1" x14ac:dyDescent="0.3">
      <c r="A1209" s="31">
        <v>46023</v>
      </c>
      <c r="B1209" s="27" t="s">
        <v>53</v>
      </c>
      <c r="C1209" s="27" t="s">
        <v>3273</v>
      </c>
      <c r="D1209" s="27" t="s">
        <v>3274</v>
      </c>
      <c r="E1209" s="27" t="s">
        <v>59</v>
      </c>
      <c r="F1209" s="27" t="s">
        <v>43</v>
      </c>
      <c r="G1209" s="27" t="s">
        <v>587</v>
      </c>
      <c r="H1209" s="27" t="s">
        <v>59</v>
      </c>
      <c r="I1209" s="27" t="s">
        <v>143</v>
      </c>
      <c r="J1209" s="27" t="s">
        <v>144</v>
      </c>
      <c r="K1209" s="39" t="s">
        <v>3258</v>
      </c>
      <c r="L1209" s="41" t="s">
        <v>129</v>
      </c>
      <c r="M1209" s="27"/>
      <c r="N1209" s="27"/>
      <c r="O1209" s="28"/>
    </row>
    <row r="1210" spans="1:15" ht="15" customHeight="1" x14ac:dyDescent="0.3">
      <c r="A1210" s="31">
        <v>46023</v>
      </c>
      <c r="B1210" s="27" t="s">
        <v>53</v>
      </c>
      <c r="C1210" s="27" t="s">
        <v>3275</v>
      </c>
      <c r="D1210" s="27" t="s">
        <v>3276</v>
      </c>
      <c r="E1210" s="27" t="s">
        <v>59</v>
      </c>
      <c r="F1210" s="27" t="s">
        <v>43</v>
      </c>
      <c r="G1210" s="27" t="s">
        <v>587</v>
      </c>
      <c r="H1210" s="27" t="s">
        <v>59</v>
      </c>
      <c r="I1210" s="27" t="s">
        <v>143</v>
      </c>
      <c r="J1210" s="27" t="s">
        <v>144</v>
      </c>
      <c r="K1210" s="39" t="s">
        <v>3277</v>
      </c>
      <c r="L1210" s="41" t="s">
        <v>129</v>
      </c>
      <c r="M1210" s="27"/>
      <c r="N1210" s="27"/>
      <c r="O1210" s="28"/>
    </row>
    <row r="1211" spans="1:15" ht="15" customHeight="1" x14ac:dyDescent="0.3">
      <c r="A1211" s="31">
        <v>46023</v>
      </c>
      <c r="B1211" s="27" t="s">
        <v>53</v>
      </c>
      <c r="C1211" s="27" t="s">
        <v>3278</v>
      </c>
      <c r="D1211" s="27" t="s">
        <v>3279</v>
      </c>
      <c r="E1211" s="27" t="s">
        <v>59</v>
      </c>
      <c r="F1211" s="27" t="s">
        <v>43</v>
      </c>
      <c r="G1211" s="27" t="s">
        <v>587</v>
      </c>
      <c r="H1211" s="27" t="s">
        <v>59</v>
      </c>
      <c r="I1211" s="27" t="s">
        <v>143</v>
      </c>
      <c r="J1211" s="27" t="s">
        <v>144</v>
      </c>
      <c r="K1211" s="39" t="s">
        <v>3280</v>
      </c>
      <c r="L1211" s="41" t="s">
        <v>129</v>
      </c>
      <c r="M1211" s="27"/>
      <c r="N1211" s="27"/>
      <c r="O1211" s="28"/>
    </row>
    <row r="1212" spans="1:15" ht="15" customHeight="1" x14ac:dyDescent="0.3">
      <c r="A1212" s="31">
        <v>46023</v>
      </c>
      <c r="B1212" s="27" t="s">
        <v>53</v>
      </c>
      <c r="C1212" s="27" t="s">
        <v>3281</v>
      </c>
      <c r="D1212" s="27" t="s">
        <v>3282</v>
      </c>
      <c r="E1212" s="27" t="s">
        <v>59</v>
      </c>
      <c r="F1212" s="27" t="s">
        <v>43</v>
      </c>
      <c r="G1212" s="27" t="s">
        <v>587</v>
      </c>
      <c r="H1212" s="27" t="s">
        <v>59</v>
      </c>
      <c r="I1212" s="27" t="s">
        <v>143</v>
      </c>
      <c r="J1212" s="27" t="s">
        <v>144</v>
      </c>
      <c r="K1212" s="39" t="s">
        <v>3277</v>
      </c>
      <c r="L1212" s="41" t="s">
        <v>129</v>
      </c>
      <c r="M1212" s="27"/>
      <c r="N1212" s="27"/>
      <c r="O1212" s="28"/>
    </row>
    <row r="1213" spans="1:15" ht="15" customHeight="1" x14ac:dyDescent="0.3">
      <c r="A1213" s="31">
        <v>46023</v>
      </c>
      <c r="B1213" s="27" t="s">
        <v>53</v>
      </c>
      <c r="C1213" s="27" t="s">
        <v>3283</v>
      </c>
      <c r="D1213" s="27" t="s">
        <v>3284</v>
      </c>
      <c r="E1213" s="27" t="s">
        <v>59</v>
      </c>
      <c r="F1213" s="27" t="s">
        <v>43</v>
      </c>
      <c r="G1213" s="27" t="s">
        <v>587</v>
      </c>
      <c r="H1213" s="27" t="s">
        <v>59</v>
      </c>
      <c r="I1213" s="27" t="s">
        <v>143</v>
      </c>
      <c r="J1213" s="27" t="s">
        <v>144</v>
      </c>
      <c r="K1213" s="39" t="s">
        <v>3277</v>
      </c>
      <c r="L1213" s="41" t="s">
        <v>129</v>
      </c>
      <c r="M1213" s="27"/>
      <c r="N1213" s="27"/>
      <c r="O1213" s="28"/>
    </row>
    <row r="1214" spans="1:15" ht="15" customHeight="1" x14ac:dyDescent="0.3">
      <c r="A1214" s="31">
        <v>46023</v>
      </c>
      <c r="B1214" s="27" t="s">
        <v>53</v>
      </c>
      <c r="C1214" s="27" t="s">
        <v>3285</v>
      </c>
      <c r="D1214" s="27" t="s">
        <v>3286</v>
      </c>
      <c r="E1214" s="27" t="s">
        <v>59</v>
      </c>
      <c r="F1214" s="27" t="s">
        <v>43</v>
      </c>
      <c r="G1214" s="27" t="s">
        <v>587</v>
      </c>
      <c r="H1214" s="27" t="s">
        <v>59</v>
      </c>
      <c r="I1214" s="27" t="s">
        <v>143</v>
      </c>
      <c r="J1214" s="27" t="s">
        <v>144</v>
      </c>
      <c r="K1214" s="39" t="s">
        <v>3280</v>
      </c>
      <c r="L1214" s="41" t="s">
        <v>129</v>
      </c>
      <c r="M1214" s="27"/>
      <c r="N1214" s="27"/>
      <c r="O1214" s="28"/>
    </row>
    <row r="1215" spans="1:15" ht="15" customHeight="1" x14ac:dyDescent="0.3">
      <c r="A1215" s="31">
        <v>46023</v>
      </c>
      <c r="B1215" s="27" t="s">
        <v>53</v>
      </c>
      <c r="C1215" s="27" t="s">
        <v>3287</v>
      </c>
      <c r="D1215" s="27" t="s">
        <v>3288</v>
      </c>
      <c r="E1215" s="27" t="s">
        <v>59</v>
      </c>
      <c r="F1215" s="27" t="s">
        <v>43</v>
      </c>
      <c r="G1215" s="27" t="s">
        <v>587</v>
      </c>
      <c r="H1215" s="27" t="s">
        <v>59</v>
      </c>
      <c r="I1215" s="27" t="s">
        <v>143</v>
      </c>
      <c r="J1215" s="27" t="s">
        <v>144</v>
      </c>
      <c r="K1215" s="39" t="s">
        <v>3277</v>
      </c>
      <c r="L1215" s="41" t="s">
        <v>129</v>
      </c>
      <c r="M1215" s="27"/>
      <c r="N1215" s="27"/>
      <c r="O1215" s="28"/>
    </row>
    <row r="1216" spans="1:15" ht="15" customHeight="1" x14ac:dyDescent="0.3">
      <c r="A1216" s="31">
        <v>46023</v>
      </c>
      <c r="B1216" s="27" t="s">
        <v>53</v>
      </c>
      <c r="C1216" s="27" t="s">
        <v>3289</v>
      </c>
      <c r="D1216" s="27" t="s">
        <v>3290</v>
      </c>
      <c r="E1216" s="27" t="s">
        <v>59</v>
      </c>
      <c r="F1216" s="27" t="s">
        <v>43</v>
      </c>
      <c r="G1216" s="27" t="s">
        <v>587</v>
      </c>
      <c r="H1216" s="27" t="s">
        <v>59</v>
      </c>
      <c r="I1216" s="27" t="s">
        <v>143</v>
      </c>
      <c r="J1216" s="27" t="s">
        <v>144</v>
      </c>
      <c r="K1216" s="39" t="s">
        <v>3280</v>
      </c>
      <c r="L1216" s="41" t="s">
        <v>129</v>
      </c>
      <c r="M1216" s="27"/>
      <c r="N1216" s="27"/>
      <c r="O1216" s="28"/>
    </row>
    <row r="1217" spans="1:15" ht="15" customHeight="1" x14ac:dyDescent="0.3">
      <c r="A1217" s="31">
        <v>46023</v>
      </c>
      <c r="B1217" s="27" t="s">
        <v>53</v>
      </c>
      <c r="C1217" s="27" t="s">
        <v>3291</v>
      </c>
      <c r="D1217" s="27" t="s">
        <v>3292</v>
      </c>
      <c r="E1217" s="27" t="s">
        <v>59</v>
      </c>
      <c r="F1217" s="27" t="s">
        <v>43</v>
      </c>
      <c r="G1217" s="27" t="s">
        <v>587</v>
      </c>
      <c r="H1217" s="27" t="s">
        <v>59</v>
      </c>
      <c r="I1217" s="27" t="s">
        <v>143</v>
      </c>
      <c r="J1217" s="27" t="s">
        <v>144</v>
      </c>
      <c r="K1217" s="39" t="s">
        <v>3280</v>
      </c>
      <c r="L1217" s="41" t="s">
        <v>129</v>
      </c>
      <c r="M1217" s="27"/>
      <c r="N1217" s="27"/>
      <c r="O1217" s="28"/>
    </row>
    <row r="1218" spans="1:15" ht="15" customHeight="1" x14ac:dyDescent="0.3">
      <c r="A1218" s="31">
        <v>46023</v>
      </c>
      <c r="B1218" s="27" t="s">
        <v>53</v>
      </c>
      <c r="C1218" s="27" t="s">
        <v>3293</v>
      </c>
      <c r="D1218" s="27" t="s">
        <v>3294</v>
      </c>
      <c r="E1218" s="27" t="s">
        <v>59</v>
      </c>
      <c r="F1218" s="27" t="s">
        <v>43</v>
      </c>
      <c r="G1218" s="27" t="s">
        <v>587</v>
      </c>
      <c r="H1218" s="27" t="s">
        <v>59</v>
      </c>
      <c r="I1218" s="27" t="s">
        <v>143</v>
      </c>
      <c r="J1218" s="27" t="s">
        <v>144</v>
      </c>
      <c r="K1218" s="39" t="s">
        <v>3280</v>
      </c>
      <c r="L1218" s="41" t="s">
        <v>129</v>
      </c>
      <c r="M1218" s="27"/>
      <c r="N1218" s="27"/>
      <c r="O1218" s="28"/>
    </row>
    <row r="1219" spans="1:15" ht="15" customHeight="1" x14ac:dyDescent="0.3">
      <c r="A1219" s="31">
        <v>46023</v>
      </c>
      <c r="B1219" s="27" t="s">
        <v>53</v>
      </c>
      <c r="C1219" s="27" t="s">
        <v>3295</v>
      </c>
      <c r="D1219" s="27" t="s">
        <v>3296</v>
      </c>
      <c r="E1219" s="27" t="s">
        <v>59</v>
      </c>
      <c r="F1219" s="27" t="s">
        <v>43</v>
      </c>
      <c r="G1219" s="27" t="s">
        <v>587</v>
      </c>
      <c r="H1219" s="27" t="s">
        <v>59</v>
      </c>
      <c r="I1219" s="27" t="s">
        <v>143</v>
      </c>
      <c r="J1219" s="27" t="s">
        <v>144</v>
      </c>
      <c r="K1219" s="39" t="s">
        <v>3280</v>
      </c>
      <c r="L1219" s="41" t="s">
        <v>129</v>
      </c>
      <c r="M1219" s="27"/>
      <c r="N1219" s="27"/>
      <c r="O1219" s="28"/>
    </row>
    <row r="1220" spans="1:15" ht="15" customHeight="1" x14ac:dyDescent="0.3">
      <c r="A1220" s="31">
        <v>46023</v>
      </c>
      <c r="B1220" s="27" t="s">
        <v>53</v>
      </c>
      <c r="C1220" s="27" t="s">
        <v>3297</v>
      </c>
      <c r="D1220" s="27" t="s">
        <v>3298</v>
      </c>
      <c r="E1220" s="27" t="s">
        <v>59</v>
      </c>
      <c r="F1220" s="27" t="s">
        <v>43</v>
      </c>
      <c r="G1220" s="27" t="s">
        <v>587</v>
      </c>
      <c r="H1220" s="27" t="s">
        <v>59</v>
      </c>
      <c r="I1220" s="27" t="s">
        <v>143</v>
      </c>
      <c r="J1220" s="27" t="s">
        <v>144</v>
      </c>
      <c r="K1220" s="39" t="s">
        <v>3280</v>
      </c>
      <c r="L1220" s="41" t="s">
        <v>129</v>
      </c>
      <c r="M1220" s="27"/>
      <c r="N1220" s="27"/>
      <c r="O1220" s="28"/>
    </row>
    <row r="1221" spans="1:15" ht="15" customHeight="1" x14ac:dyDescent="0.3">
      <c r="A1221" s="31">
        <v>46023</v>
      </c>
      <c r="B1221" s="27" t="s">
        <v>53</v>
      </c>
      <c r="C1221" s="27" t="s">
        <v>3299</v>
      </c>
      <c r="D1221" s="27" t="s">
        <v>3300</v>
      </c>
      <c r="E1221" s="27" t="s">
        <v>59</v>
      </c>
      <c r="F1221" s="27" t="s">
        <v>43</v>
      </c>
      <c r="G1221" s="27" t="s">
        <v>587</v>
      </c>
      <c r="H1221" s="27" t="s">
        <v>59</v>
      </c>
      <c r="I1221" s="27" t="s">
        <v>143</v>
      </c>
      <c r="J1221" s="27" t="s">
        <v>144</v>
      </c>
      <c r="K1221" s="39" t="s">
        <v>3280</v>
      </c>
      <c r="L1221" s="41" t="s">
        <v>129</v>
      </c>
      <c r="M1221" s="27"/>
      <c r="N1221" s="27"/>
      <c r="O1221" s="28"/>
    </row>
    <row r="1222" spans="1:15" ht="15" customHeight="1" x14ac:dyDescent="0.3">
      <c r="A1222" s="31">
        <v>46023</v>
      </c>
      <c r="B1222" s="27" t="s">
        <v>53</v>
      </c>
      <c r="C1222" s="27" t="s">
        <v>3301</v>
      </c>
      <c r="D1222" s="27" t="s">
        <v>3302</v>
      </c>
      <c r="E1222" s="27" t="s">
        <v>59</v>
      </c>
      <c r="F1222" s="27" t="s">
        <v>43</v>
      </c>
      <c r="G1222" s="27" t="s">
        <v>587</v>
      </c>
      <c r="H1222" s="27" t="s">
        <v>59</v>
      </c>
      <c r="I1222" s="27" t="s">
        <v>143</v>
      </c>
      <c r="J1222" s="27" t="s">
        <v>144</v>
      </c>
      <c r="K1222" s="39" t="s">
        <v>3280</v>
      </c>
      <c r="L1222" s="41" t="s">
        <v>129</v>
      </c>
      <c r="M1222" s="27"/>
      <c r="N1222" s="27"/>
      <c r="O1222" s="28"/>
    </row>
    <row r="1223" spans="1:15" ht="15" customHeight="1" x14ac:dyDescent="0.3">
      <c r="A1223" s="31">
        <v>46023</v>
      </c>
      <c r="B1223" s="27" t="s">
        <v>53</v>
      </c>
      <c r="C1223" s="27" t="s">
        <v>3303</v>
      </c>
      <c r="D1223" s="27" t="s">
        <v>3304</v>
      </c>
      <c r="E1223" s="27" t="s">
        <v>59</v>
      </c>
      <c r="F1223" s="27" t="s">
        <v>43</v>
      </c>
      <c r="G1223" s="27" t="s">
        <v>587</v>
      </c>
      <c r="H1223" s="27" t="s">
        <v>59</v>
      </c>
      <c r="I1223" s="27" t="s">
        <v>143</v>
      </c>
      <c r="J1223" s="27" t="s">
        <v>144</v>
      </c>
      <c r="K1223" s="39" t="s">
        <v>3280</v>
      </c>
      <c r="L1223" s="41" t="s">
        <v>129</v>
      </c>
      <c r="M1223" s="27"/>
      <c r="N1223" s="27"/>
      <c r="O1223" s="28"/>
    </row>
    <row r="1224" spans="1:15" ht="15" customHeight="1" x14ac:dyDescent="0.3">
      <c r="A1224" s="31">
        <v>46023</v>
      </c>
      <c r="B1224" s="27" t="s">
        <v>53</v>
      </c>
      <c r="C1224" s="27" t="s">
        <v>3305</v>
      </c>
      <c r="D1224" s="27" t="s">
        <v>3306</v>
      </c>
      <c r="E1224" s="27" t="s">
        <v>59</v>
      </c>
      <c r="F1224" s="27" t="s">
        <v>43</v>
      </c>
      <c r="G1224" s="27" t="s">
        <v>587</v>
      </c>
      <c r="H1224" s="27" t="s">
        <v>59</v>
      </c>
      <c r="I1224" s="27" t="s">
        <v>143</v>
      </c>
      <c r="J1224" s="27" t="s">
        <v>144</v>
      </c>
      <c r="K1224" s="39" t="s">
        <v>3280</v>
      </c>
      <c r="L1224" s="41" t="s">
        <v>129</v>
      </c>
      <c r="M1224" s="27"/>
      <c r="N1224" s="27"/>
      <c r="O1224" s="28"/>
    </row>
    <row r="1225" spans="1:15" ht="15" customHeight="1" x14ac:dyDescent="0.3">
      <c r="A1225" s="31">
        <v>46023</v>
      </c>
      <c r="B1225" s="27" t="s">
        <v>53</v>
      </c>
      <c r="C1225" s="27" t="s">
        <v>3307</v>
      </c>
      <c r="D1225" s="27" t="s">
        <v>3308</v>
      </c>
      <c r="E1225" s="27" t="s">
        <v>59</v>
      </c>
      <c r="F1225" s="27" t="s">
        <v>43</v>
      </c>
      <c r="G1225" s="27" t="s">
        <v>587</v>
      </c>
      <c r="H1225" s="27" t="s">
        <v>59</v>
      </c>
      <c r="I1225" s="27" t="s">
        <v>143</v>
      </c>
      <c r="J1225" s="27" t="s">
        <v>144</v>
      </c>
      <c r="K1225" s="39" t="s">
        <v>3280</v>
      </c>
      <c r="L1225" s="41" t="s">
        <v>129</v>
      </c>
      <c r="M1225" s="27"/>
      <c r="N1225" s="27"/>
      <c r="O1225" s="28"/>
    </row>
    <row r="1226" spans="1:15" ht="15" customHeight="1" x14ac:dyDescent="0.3">
      <c r="A1226" s="31">
        <v>46023</v>
      </c>
      <c r="B1226" s="27" t="s">
        <v>53</v>
      </c>
      <c r="C1226" s="27" t="s">
        <v>3309</v>
      </c>
      <c r="D1226" s="27" t="s">
        <v>3310</v>
      </c>
      <c r="E1226" s="27" t="s">
        <v>59</v>
      </c>
      <c r="F1226" s="27" t="s">
        <v>43</v>
      </c>
      <c r="G1226" s="27" t="s">
        <v>587</v>
      </c>
      <c r="H1226" s="27" t="s">
        <v>59</v>
      </c>
      <c r="I1226" s="27" t="s">
        <v>143</v>
      </c>
      <c r="J1226" s="27" t="s">
        <v>144</v>
      </c>
      <c r="K1226" s="39" t="s">
        <v>3280</v>
      </c>
      <c r="L1226" s="41" t="s">
        <v>129</v>
      </c>
      <c r="M1226" s="27"/>
      <c r="N1226" s="27"/>
      <c r="O1226" s="28"/>
    </row>
    <row r="1227" spans="1:15" ht="15" customHeight="1" x14ac:dyDescent="0.3">
      <c r="A1227" s="31">
        <v>46023</v>
      </c>
      <c r="B1227" s="27" t="s">
        <v>53</v>
      </c>
      <c r="C1227" s="27" t="s">
        <v>3311</v>
      </c>
      <c r="D1227" s="27" t="s">
        <v>3312</v>
      </c>
      <c r="E1227" s="27" t="s">
        <v>59</v>
      </c>
      <c r="F1227" s="27" t="s">
        <v>43</v>
      </c>
      <c r="G1227" s="27" t="s">
        <v>587</v>
      </c>
      <c r="H1227" s="27" t="s">
        <v>59</v>
      </c>
      <c r="I1227" s="27" t="s">
        <v>143</v>
      </c>
      <c r="J1227" s="27" t="s">
        <v>144</v>
      </c>
      <c r="K1227" s="39" t="s">
        <v>3280</v>
      </c>
      <c r="L1227" s="41" t="s">
        <v>129</v>
      </c>
      <c r="M1227" s="27"/>
      <c r="N1227" s="27"/>
      <c r="O1227" s="28"/>
    </row>
    <row r="1228" spans="1:15" ht="15" customHeight="1" x14ac:dyDescent="0.3">
      <c r="A1228" s="31">
        <v>46023</v>
      </c>
      <c r="B1228" s="27" t="s">
        <v>53</v>
      </c>
      <c r="C1228" s="27" t="s">
        <v>3313</v>
      </c>
      <c r="D1228" s="27" t="s">
        <v>3314</v>
      </c>
      <c r="E1228" s="27" t="s">
        <v>59</v>
      </c>
      <c r="F1228" s="27" t="s">
        <v>43</v>
      </c>
      <c r="G1228" s="27" t="s">
        <v>587</v>
      </c>
      <c r="H1228" s="27" t="s">
        <v>59</v>
      </c>
      <c r="I1228" s="27" t="s">
        <v>143</v>
      </c>
      <c r="J1228" s="27" t="s">
        <v>144</v>
      </c>
      <c r="K1228" s="39" t="s">
        <v>3280</v>
      </c>
      <c r="L1228" s="41" t="s">
        <v>129</v>
      </c>
      <c r="M1228" s="27"/>
      <c r="N1228" s="27"/>
      <c r="O1228" s="28"/>
    </row>
    <row r="1229" spans="1:15" ht="15" customHeight="1" x14ac:dyDescent="0.3">
      <c r="A1229" s="31">
        <v>46023</v>
      </c>
      <c r="B1229" s="27" t="s">
        <v>53</v>
      </c>
      <c r="C1229" s="27" t="s">
        <v>3315</v>
      </c>
      <c r="D1229" s="27" t="s">
        <v>3316</v>
      </c>
      <c r="E1229" s="27" t="s">
        <v>59</v>
      </c>
      <c r="F1229" s="27" t="s">
        <v>43</v>
      </c>
      <c r="G1229" s="27" t="s">
        <v>587</v>
      </c>
      <c r="H1229" s="27" t="s">
        <v>59</v>
      </c>
      <c r="I1229" s="27" t="s">
        <v>143</v>
      </c>
      <c r="J1229" s="27" t="s">
        <v>144</v>
      </c>
      <c r="K1229" s="39" t="s">
        <v>3280</v>
      </c>
      <c r="L1229" s="41" t="s">
        <v>129</v>
      </c>
      <c r="M1229" s="27"/>
      <c r="N1229" s="27"/>
      <c r="O1229" s="28"/>
    </row>
    <row r="1230" spans="1:15" ht="15" customHeight="1" x14ac:dyDescent="0.3">
      <c r="A1230" s="31">
        <v>46023</v>
      </c>
      <c r="B1230" s="27" t="s">
        <v>53</v>
      </c>
      <c r="C1230" s="27" t="s">
        <v>3317</v>
      </c>
      <c r="D1230" s="27" t="s">
        <v>3318</v>
      </c>
      <c r="E1230" s="27" t="s">
        <v>59</v>
      </c>
      <c r="F1230" s="27" t="s">
        <v>43</v>
      </c>
      <c r="G1230" s="27" t="s">
        <v>1020</v>
      </c>
      <c r="H1230" s="27" t="s">
        <v>59</v>
      </c>
      <c r="I1230" s="27" t="s">
        <v>116</v>
      </c>
      <c r="J1230" s="27" t="s">
        <v>144</v>
      </c>
      <c r="K1230" s="39" t="s">
        <v>3081</v>
      </c>
      <c r="L1230" s="41" t="s">
        <v>112</v>
      </c>
      <c r="M1230" s="27"/>
      <c r="N1230" s="27"/>
      <c r="O1230" s="28"/>
    </row>
    <row r="1231" spans="1:15" ht="15" customHeight="1" x14ac:dyDescent="0.3">
      <c r="A1231" s="31">
        <v>46023</v>
      </c>
      <c r="B1231" s="27" t="s">
        <v>53</v>
      </c>
      <c r="C1231" s="27" t="s">
        <v>3319</v>
      </c>
      <c r="D1231" s="27" t="s">
        <v>3320</v>
      </c>
      <c r="E1231" s="27" t="s">
        <v>59</v>
      </c>
      <c r="F1231" s="27" t="s">
        <v>43</v>
      </c>
      <c r="G1231" s="27" t="s">
        <v>1020</v>
      </c>
      <c r="H1231" s="27" t="s">
        <v>59</v>
      </c>
      <c r="I1231" s="27" t="s">
        <v>116</v>
      </c>
      <c r="J1231" s="27" t="s">
        <v>144</v>
      </c>
      <c r="K1231" s="39" t="s">
        <v>3081</v>
      </c>
      <c r="L1231" s="41" t="s">
        <v>112</v>
      </c>
      <c r="M1231" s="27"/>
      <c r="N1231" s="27"/>
      <c r="O1231" s="28"/>
    </row>
    <row r="1232" spans="1:15" ht="15" customHeight="1" x14ac:dyDescent="0.3">
      <c r="A1232" s="31">
        <v>46023</v>
      </c>
      <c r="B1232" s="27" t="s">
        <v>53</v>
      </c>
      <c r="C1232" s="27" t="s">
        <v>403</v>
      </c>
      <c r="D1232" s="27" t="s">
        <v>404</v>
      </c>
      <c r="E1232" s="27" t="s">
        <v>405</v>
      </c>
      <c r="F1232" s="27" t="s">
        <v>406</v>
      </c>
      <c r="G1232" s="27" t="s">
        <v>407</v>
      </c>
      <c r="H1232" s="27" t="s">
        <v>59</v>
      </c>
      <c r="I1232" s="27" t="s">
        <v>60</v>
      </c>
      <c r="J1232" s="27" t="s">
        <v>144</v>
      </c>
      <c r="K1232" s="39" t="s">
        <v>334</v>
      </c>
      <c r="L1232" s="41" t="s">
        <v>309</v>
      </c>
      <c r="M1232" s="27"/>
      <c r="N1232" s="27"/>
      <c r="O1232" s="28"/>
    </row>
    <row r="1233" spans="1:15" ht="15" customHeight="1" x14ac:dyDescent="0.3">
      <c r="A1233" s="31">
        <v>46023</v>
      </c>
      <c r="B1233" s="27" t="s">
        <v>53</v>
      </c>
      <c r="C1233" s="27" t="s">
        <v>408</v>
      </c>
      <c r="D1233" s="27" t="s">
        <v>409</v>
      </c>
      <c r="E1233" s="27" t="s">
        <v>410</v>
      </c>
      <c r="F1233" s="27" t="s">
        <v>406</v>
      </c>
      <c r="G1233" s="27" t="s">
        <v>407</v>
      </c>
      <c r="H1233" s="27" t="s">
        <v>59</v>
      </c>
      <c r="I1233" s="27" t="s">
        <v>60</v>
      </c>
      <c r="J1233" s="27" t="s">
        <v>144</v>
      </c>
      <c r="K1233" s="39" t="s">
        <v>334</v>
      </c>
      <c r="L1233" s="41" t="s">
        <v>309</v>
      </c>
      <c r="M1233" s="27"/>
      <c r="N1233" s="27"/>
      <c r="O1233" s="28"/>
    </row>
    <row r="1234" spans="1:15" ht="15" customHeight="1" x14ac:dyDescent="0.3">
      <c r="A1234" s="31">
        <v>46023</v>
      </c>
      <c r="B1234" s="27" t="s">
        <v>53</v>
      </c>
      <c r="C1234" s="27" t="s">
        <v>411</v>
      </c>
      <c r="D1234" s="27" t="s">
        <v>412</v>
      </c>
      <c r="E1234" s="27" t="s">
        <v>413</v>
      </c>
      <c r="F1234" s="27" t="s">
        <v>406</v>
      </c>
      <c r="G1234" s="27" t="s">
        <v>407</v>
      </c>
      <c r="H1234" s="27" t="s">
        <v>59</v>
      </c>
      <c r="I1234" s="27" t="s">
        <v>60</v>
      </c>
      <c r="J1234" s="27" t="s">
        <v>144</v>
      </c>
      <c r="K1234" s="39" t="s">
        <v>334</v>
      </c>
      <c r="L1234" s="41" t="s">
        <v>309</v>
      </c>
      <c r="M1234" s="27"/>
      <c r="N1234" s="27"/>
      <c r="O1234" s="28"/>
    </row>
    <row r="1235" spans="1:15" ht="15" customHeight="1" x14ac:dyDescent="0.3">
      <c r="A1235" s="31">
        <v>46023</v>
      </c>
      <c r="B1235" s="27" t="s">
        <v>53</v>
      </c>
      <c r="C1235" s="27" t="s">
        <v>414</v>
      </c>
      <c r="D1235" s="27" t="s">
        <v>415</v>
      </c>
      <c r="E1235" s="27" t="s">
        <v>413</v>
      </c>
      <c r="F1235" s="27" t="s">
        <v>406</v>
      </c>
      <c r="G1235" s="27" t="s">
        <v>407</v>
      </c>
      <c r="H1235" s="27" t="s">
        <v>59</v>
      </c>
      <c r="I1235" s="27" t="s">
        <v>60</v>
      </c>
      <c r="J1235" s="27" t="s">
        <v>144</v>
      </c>
      <c r="K1235" s="39" t="s">
        <v>334</v>
      </c>
      <c r="L1235" s="41" t="s">
        <v>309</v>
      </c>
      <c r="M1235" s="27"/>
      <c r="N1235" s="27"/>
      <c r="O1235" s="28"/>
    </row>
    <row r="1236" spans="1:15" ht="15" customHeight="1" x14ac:dyDescent="0.3">
      <c r="A1236" s="31">
        <v>46023</v>
      </c>
      <c r="B1236" s="27" t="s">
        <v>53</v>
      </c>
      <c r="C1236" s="27" t="s">
        <v>416</v>
      </c>
      <c r="D1236" s="27" t="s">
        <v>417</v>
      </c>
      <c r="E1236" s="27" t="s">
        <v>413</v>
      </c>
      <c r="F1236" s="27" t="s">
        <v>406</v>
      </c>
      <c r="G1236" s="27" t="s">
        <v>407</v>
      </c>
      <c r="H1236" s="27" t="s">
        <v>59</v>
      </c>
      <c r="I1236" s="27" t="s">
        <v>60</v>
      </c>
      <c r="J1236" s="27" t="s">
        <v>144</v>
      </c>
      <c r="K1236" s="39" t="s">
        <v>334</v>
      </c>
      <c r="L1236" s="41" t="s">
        <v>309</v>
      </c>
      <c r="M1236" s="27"/>
      <c r="N1236" s="27"/>
      <c r="O1236" s="28"/>
    </row>
    <row r="1237" spans="1:15" ht="15" customHeight="1" x14ac:dyDescent="0.3">
      <c r="A1237" s="31">
        <v>46023</v>
      </c>
      <c r="B1237" s="27" t="s">
        <v>53</v>
      </c>
      <c r="C1237" s="27" t="s">
        <v>418</v>
      </c>
      <c r="D1237" s="27" t="s">
        <v>419</v>
      </c>
      <c r="E1237" s="27" t="s">
        <v>420</v>
      </c>
      <c r="F1237" s="27" t="s">
        <v>406</v>
      </c>
      <c r="G1237" s="27" t="s">
        <v>407</v>
      </c>
      <c r="H1237" s="27" t="s">
        <v>59</v>
      </c>
      <c r="I1237" s="27" t="s">
        <v>60</v>
      </c>
      <c r="J1237" s="27" t="s">
        <v>144</v>
      </c>
      <c r="K1237" s="39" t="s">
        <v>334</v>
      </c>
      <c r="L1237" s="41" t="s">
        <v>309</v>
      </c>
      <c r="M1237" s="27"/>
      <c r="N1237" s="27"/>
      <c r="O1237" s="28"/>
    </row>
    <row r="1238" spans="1:15" ht="15" customHeight="1" x14ac:dyDescent="0.3">
      <c r="A1238" s="31">
        <v>46023</v>
      </c>
      <c r="B1238" s="27" t="s">
        <v>53</v>
      </c>
      <c r="C1238" s="27" t="s">
        <v>421</v>
      </c>
      <c r="D1238" s="27" t="s">
        <v>419</v>
      </c>
      <c r="E1238" s="27" t="s">
        <v>422</v>
      </c>
      <c r="F1238" s="27" t="s">
        <v>406</v>
      </c>
      <c r="G1238" s="27" t="s">
        <v>407</v>
      </c>
      <c r="H1238" s="27" t="s">
        <v>59</v>
      </c>
      <c r="I1238" s="27" t="s">
        <v>60</v>
      </c>
      <c r="J1238" s="27" t="s">
        <v>144</v>
      </c>
      <c r="K1238" s="39" t="s">
        <v>334</v>
      </c>
      <c r="L1238" s="41" t="s">
        <v>309</v>
      </c>
      <c r="M1238" s="27"/>
      <c r="N1238" s="27"/>
      <c r="O1238" s="28"/>
    </row>
    <row r="1239" spans="1:15" ht="15" customHeight="1" x14ac:dyDescent="0.3">
      <c r="A1239" s="31">
        <v>46023</v>
      </c>
      <c r="B1239" s="27" t="s">
        <v>53</v>
      </c>
      <c r="C1239" s="27" t="s">
        <v>423</v>
      </c>
      <c r="D1239" s="27" t="s">
        <v>419</v>
      </c>
      <c r="E1239" s="27" t="s">
        <v>424</v>
      </c>
      <c r="F1239" s="27" t="s">
        <v>406</v>
      </c>
      <c r="G1239" s="27" t="s">
        <v>407</v>
      </c>
      <c r="H1239" s="27" t="s">
        <v>59</v>
      </c>
      <c r="I1239" s="27" t="s">
        <v>60</v>
      </c>
      <c r="J1239" s="27" t="s">
        <v>144</v>
      </c>
      <c r="K1239" s="39" t="s">
        <v>334</v>
      </c>
      <c r="L1239" s="41" t="s">
        <v>309</v>
      </c>
      <c r="M1239" s="27"/>
      <c r="N1239" s="27"/>
      <c r="O1239" s="28"/>
    </row>
    <row r="1240" spans="1:15" ht="15" customHeight="1" x14ac:dyDescent="0.3">
      <c r="A1240" s="31">
        <v>46023</v>
      </c>
      <c r="B1240" s="27" t="s">
        <v>53</v>
      </c>
      <c r="C1240" s="27" t="s">
        <v>425</v>
      </c>
      <c r="D1240" s="27" t="s">
        <v>426</v>
      </c>
      <c r="E1240" s="27" t="s">
        <v>410</v>
      </c>
      <c r="F1240" s="27" t="s">
        <v>406</v>
      </c>
      <c r="G1240" s="27" t="s">
        <v>407</v>
      </c>
      <c r="H1240" s="27" t="s">
        <v>59</v>
      </c>
      <c r="I1240" s="27" t="s">
        <v>60</v>
      </c>
      <c r="J1240" s="27" t="s">
        <v>144</v>
      </c>
      <c r="K1240" s="39" t="s">
        <v>334</v>
      </c>
      <c r="L1240" s="41" t="s">
        <v>309</v>
      </c>
      <c r="M1240" s="27"/>
      <c r="N1240" s="27"/>
      <c r="O1240" s="28"/>
    </row>
    <row r="1241" spans="1:15" ht="15" customHeight="1" x14ac:dyDescent="0.3">
      <c r="A1241" s="31">
        <v>46023</v>
      </c>
      <c r="B1241" s="27" t="s">
        <v>53</v>
      </c>
      <c r="C1241" s="27" t="s">
        <v>427</v>
      </c>
      <c r="D1241" s="27" t="s">
        <v>428</v>
      </c>
      <c r="E1241" s="27" t="s">
        <v>429</v>
      </c>
      <c r="F1241" s="27" t="s">
        <v>406</v>
      </c>
      <c r="G1241" s="27" t="s">
        <v>407</v>
      </c>
      <c r="H1241" s="27" t="s">
        <v>59</v>
      </c>
      <c r="I1241" s="27" t="s">
        <v>60</v>
      </c>
      <c r="J1241" s="27" t="s">
        <v>144</v>
      </c>
      <c r="K1241" s="39" t="s">
        <v>334</v>
      </c>
      <c r="L1241" s="41" t="s">
        <v>309</v>
      </c>
      <c r="M1241" s="27"/>
      <c r="N1241" s="27"/>
      <c r="O1241" s="28"/>
    </row>
    <row r="1242" spans="1:15" ht="15" customHeight="1" x14ac:dyDescent="0.3">
      <c r="A1242" s="31">
        <v>46023</v>
      </c>
      <c r="B1242" s="27" t="s">
        <v>53</v>
      </c>
      <c r="C1242" s="27" t="s">
        <v>430</v>
      </c>
      <c r="D1242" s="27" t="s">
        <v>431</v>
      </c>
      <c r="E1242" s="27" t="s">
        <v>432</v>
      </c>
      <c r="F1242" s="27" t="s">
        <v>406</v>
      </c>
      <c r="G1242" s="27" t="s">
        <v>407</v>
      </c>
      <c r="H1242" s="27" t="s">
        <v>59</v>
      </c>
      <c r="I1242" s="27" t="s">
        <v>60</v>
      </c>
      <c r="J1242" s="27" t="s">
        <v>144</v>
      </c>
      <c r="K1242" s="39" t="s">
        <v>334</v>
      </c>
      <c r="L1242" s="41" t="s">
        <v>309</v>
      </c>
      <c r="M1242" s="27"/>
      <c r="N1242" s="27"/>
      <c r="O1242" s="28"/>
    </row>
    <row r="1243" spans="1:15" ht="15" customHeight="1" x14ac:dyDescent="0.3">
      <c r="A1243" s="31">
        <v>46023</v>
      </c>
      <c r="B1243" s="27" t="s">
        <v>53</v>
      </c>
      <c r="C1243" s="27" t="s">
        <v>433</v>
      </c>
      <c r="D1243" s="27" t="s">
        <v>434</v>
      </c>
      <c r="E1243" s="27" t="s">
        <v>435</v>
      </c>
      <c r="F1243" s="27" t="s">
        <v>406</v>
      </c>
      <c r="G1243" s="27" t="s">
        <v>407</v>
      </c>
      <c r="H1243" s="27" t="s">
        <v>59</v>
      </c>
      <c r="I1243" s="27" t="s">
        <v>60</v>
      </c>
      <c r="J1243" s="27" t="s">
        <v>144</v>
      </c>
      <c r="K1243" s="39" t="s">
        <v>334</v>
      </c>
      <c r="L1243" s="41" t="s">
        <v>309</v>
      </c>
      <c r="M1243" s="27"/>
      <c r="N1243" s="27"/>
      <c r="O1243" s="28"/>
    </row>
    <row r="1244" spans="1:15" ht="15" customHeight="1" x14ac:dyDescent="0.3">
      <c r="A1244" s="31">
        <v>46023</v>
      </c>
      <c r="B1244" s="27" t="s">
        <v>53</v>
      </c>
      <c r="C1244" s="27" t="s">
        <v>436</v>
      </c>
      <c r="D1244" s="27" t="s">
        <v>437</v>
      </c>
      <c r="E1244" s="27" t="s">
        <v>438</v>
      </c>
      <c r="F1244" s="27" t="s">
        <v>406</v>
      </c>
      <c r="G1244" s="27" t="s">
        <v>407</v>
      </c>
      <c r="H1244" s="27" t="s">
        <v>59</v>
      </c>
      <c r="I1244" s="27" t="s">
        <v>60</v>
      </c>
      <c r="J1244" s="27" t="s">
        <v>144</v>
      </c>
      <c r="K1244" s="39" t="s">
        <v>334</v>
      </c>
      <c r="L1244" s="41" t="s">
        <v>309</v>
      </c>
      <c r="M1244" s="27"/>
      <c r="N1244" s="27"/>
      <c r="O1244" s="28"/>
    </row>
    <row r="1245" spans="1:15" ht="15" customHeight="1" x14ac:dyDescent="0.3">
      <c r="A1245" s="31">
        <v>46023</v>
      </c>
      <c r="B1245" s="27" t="s">
        <v>53</v>
      </c>
      <c r="C1245" s="27" t="s">
        <v>439</v>
      </c>
      <c r="D1245" s="27" t="s">
        <v>440</v>
      </c>
      <c r="E1245" s="27" t="s">
        <v>441</v>
      </c>
      <c r="F1245" s="27" t="s">
        <v>406</v>
      </c>
      <c r="G1245" s="27" t="s">
        <v>407</v>
      </c>
      <c r="H1245" s="27" t="s">
        <v>59</v>
      </c>
      <c r="I1245" s="27" t="s">
        <v>60</v>
      </c>
      <c r="J1245" s="27" t="s">
        <v>144</v>
      </c>
      <c r="K1245" s="39" t="s">
        <v>334</v>
      </c>
      <c r="L1245" s="41" t="s">
        <v>309</v>
      </c>
      <c r="M1245" s="27"/>
      <c r="N1245" s="27"/>
      <c r="O1245" s="28"/>
    </row>
    <row r="1246" spans="1:15" ht="15" customHeight="1" x14ac:dyDescent="0.3">
      <c r="A1246" s="31">
        <v>46023</v>
      </c>
      <c r="B1246" s="27" t="s">
        <v>53</v>
      </c>
      <c r="C1246" s="27" t="s">
        <v>442</v>
      </c>
      <c r="D1246" s="27" t="s">
        <v>443</v>
      </c>
      <c r="E1246" s="27" t="s">
        <v>444</v>
      </c>
      <c r="F1246" s="27" t="s">
        <v>406</v>
      </c>
      <c r="G1246" s="27" t="s">
        <v>407</v>
      </c>
      <c r="H1246" s="27" t="s">
        <v>59</v>
      </c>
      <c r="I1246" s="27" t="s">
        <v>60</v>
      </c>
      <c r="J1246" s="27" t="s">
        <v>144</v>
      </c>
      <c r="K1246" s="39" t="s">
        <v>334</v>
      </c>
      <c r="L1246" s="41" t="s">
        <v>309</v>
      </c>
      <c r="M1246" s="27"/>
      <c r="N1246" s="27"/>
      <c r="O1246" s="28"/>
    </row>
    <row r="1247" spans="1:15" ht="15" customHeight="1" x14ac:dyDescent="0.3">
      <c r="A1247" s="31">
        <v>46023</v>
      </c>
      <c r="B1247" s="27" t="s">
        <v>53</v>
      </c>
      <c r="C1247" s="27" t="s">
        <v>445</v>
      </c>
      <c r="D1247" s="27" t="s">
        <v>446</v>
      </c>
      <c r="E1247" s="27" t="s">
        <v>441</v>
      </c>
      <c r="F1247" s="27" t="s">
        <v>406</v>
      </c>
      <c r="G1247" s="27" t="s">
        <v>407</v>
      </c>
      <c r="H1247" s="27" t="s">
        <v>59</v>
      </c>
      <c r="I1247" s="27" t="s">
        <v>60</v>
      </c>
      <c r="J1247" s="27" t="s">
        <v>144</v>
      </c>
      <c r="K1247" s="39" t="s">
        <v>334</v>
      </c>
      <c r="L1247" s="41" t="s">
        <v>309</v>
      </c>
      <c r="M1247" s="27"/>
      <c r="N1247" s="27"/>
      <c r="O1247" s="28"/>
    </row>
    <row r="1248" spans="1:15" ht="15" customHeight="1" x14ac:dyDescent="0.3">
      <c r="A1248" s="31">
        <v>46023</v>
      </c>
      <c r="B1248" s="27" t="s">
        <v>53</v>
      </c>
      <c r="C1248" s="27" t="s">
        <v>447</v>
      </c>
      <c r="D1248" s="27" t="s">
        <v>448</v>
      </c>
      <c r="E1248" s="27" t="s">
        <v>59</v>
      </c>
      <c r="F1248" s="27" t="s">
        <v>406</v>
      </c>
      <c r="G1248" s="27" t="s">
        <v>407</v>
      </c>
      <c r="H1248" s="27" t="s">
        <v>59</v>
      </c>
      <c r="I1248" s="27" t="s">
        <v>60</v>
      </c>
      <c r="J1248" s="27" t="s">
        <v>144</v>
      </c>
      <c r="K1248" s="39" t="s">
        <v>334</v>
      </c>
      <c r="L1248" s="41" t="s">
        <v>309</v>
      </c>
      <c r="M1248" s="27"/>
      <c r="N1248" s="27"/>
      <c r="O1248" s="28"/>
    </row>
    <row r="1249" spans="1:15" ht="15" customHeight="1" x14ac:dyDescent="0.3">
      <c r="A1249" s="31">
        <v>46023</v>
      </c>
      <c r="B1249" s="27" t="s">
        <v>53</v>
      </c>
      <c r="C1249" s="27" t="s">
        <v>449</v>
      </c>
      <c r="D1249" s="27" t="s">
        <v>450</v>
      </c>
      <c r="E1249" s="27" t="s">
        <v>422</v>
      </c>
      <c r="F1249" s="27" t="s">
        <v>406</v>
      </c>
      <c r="G1249" s="27" t="s">
        <v>407</v>
      </c>
      <c r="H1249" s="27" t="s">
        <v>59</v>
      </c>
      <c r="I1249" s="27" t="s">
        <v>60</v>
      </c>
      <c r="J1249" s="27" t="s">
        <v>144</v>
      </c>
      <c r="K1249" s="39" t="s">
        <v>334</v>
      </c>
      <c r="L1249" s="41" t="s">
        <v>309</v>
      </c>
      <c r="M1249" s="27"/>
      <c r="N1249" s="27"/>
      <c r="O1249" s="28"/>
    </row>
    <row r="1250" spans="1:15" ht="15" customHeight="1" x14ac:dyDescent="0.3">
      <c r="A1250" s="31">
        <v>46023</v>
      </c>
      <c r="B1250" s="27" t="s">
        <v>53</v>
      </c>
      <c r="C1250" s="27" t="s">
        <v>451</v>
      </c>
      <c r="D1250" s="27" t="s">
        <v>452</v>
      </c>
      <c r="E1250" s="27" t="s">
        <v>453</v>
      </c>
      <c r="F1250" s="27" t="s">
        <v>406</v>
      </c>
      <c r="G1250" s="27" t="s">
        <v>407</v>
      </c>
      <c r="H1250" s="27" t="s">
        <v>59</v>
      </c>
      <c r="I1250" s="27" t="s">
        <v>60</v>
      </c>
      <c r="J1250" s="27" t="s">
        <v>144</v>
      </c>
      <c r="K1250" s="39" t="s">
        <v>334</v>
      </c>
      <c r="L1250" s="41" t="s">
        <v>309</v>
      </c>
      <c r="M1250" s="27"/>
      <c r="N1250" s="27"/>
      <c r="O1250" s="28"/>
    </row>
    <row r="1251" spans="1:15" ht="15" customHeight="1" x14ac:dyDescent="0.3">
      <c r="A1251" s="31">
        <v>46023</v>
      </c>
      <c r="B1251" s="27" t="s">
        <v>53</v>
      </c>
      <c r="C1251" s="27" t="s">
        <v>454</v>
      </c>
      <c r="D1251" s="27" t="s">
        <v>455</v>
      </c>
      <c r="E1251" s="27" t="s">
        <v>453</v>
      </c>
      <c r="F1251" s="27" t="s">
        <v>406</v>
      </c>
      <c r="G1251" s="27" t="s">
        <v>407</v>
      </c>
      <c r="H1251" s="27" t="s">
        <v>59</v>
      </c>
      <c r="I1251" s="27" t="s">
        <v>60</v>
      </c>
      <c r="J1251" s="27" t="s">
        <v>144</v>
      </c>
      <c r="K1251" s="39" t="s">
        <v>334</v>
      </c>
      <c r="L1251" s="41" t="s">
        <v>309</v>
      </c>
      <c r="M1251" s="27"/>
      <c r="N1251" s="27"/>
      <c r="O1251" s="28"/>
    </row>
    <row r="1252" spans="1:15" ht="15" customHeight="1" x14ac:dyDescent="0.3">
      <c r="A1252" s="31">
        <v>46023</v>
      </c>
      <c r="B1252" s="27" t="s">
        <v>53</v>
      </c>
      <c r="C1252" s="27" t="s">
        <v>456</v>
      </c>
      <c r="D1252" s="27" t="s">
        <v>457</v>
      </c>
      <c r="E1252" s="27" t="s">
        <v>458</v>
      </c>
      <c r="F1252" s="27" t="s">
        <v>406</v>
      </c>
      <c r="G1252" s="27" t="s">
        <v>459</v>
      </c>
      <c r="H1252" s="27" t="s">
        <v>59</v>
      </c>
      <c r="I1252" s="27" t="s">
        <v>60</v>
      </c>
      <c r="J1252" s="27" t="s">
        <v>144</v>
      </c>
      <c r="K1252" s="39" t="s">
        <v>341</v>
      </c>
      <c r="L1252" s="41" t="s">
        <v>309</v>
      </c>
      <c r="M1252" s="27"/>
      <c r="N1252" s="27"/>
      <c r="O1252" s="28"/>
    </row>
    <row r="1253" spans="1:15" ht="15" customHeight="1" x14ac:dyDescent="0.3">
      <c r="A1253" s="31">
        <v>46023</v>
      </c>
      <c r="B1253" s="27" t="s">
        <v>53</v>
      </c>
      <c r="C1253" s="27" t="s">
        <v>460</v>
      </c>
      <c r="D1253" s="27" t="s">
        <v>461</v>
      </c>
      <c r="E1253" s="27" t="s">
        <v>462</v>
      </c>
      <c r="F1253" s="27" t="s">
        <v>406</v>
      </c>
      <c r="G1253" s="27" t="s">
        <v>463</v>
      </c>
      <c r="H1253" s="27" t="s">
        <v>59</v>
      </c>
      <c r="I1253" s="27" t="s">
        <v>143</v>
      </c>
      <c r="J1253" s="27" t="s">
        <v>144</v>
      </c>
      <c r="K1253" s="39" t="s">
        <v>464</v>
      </c>
      <c r="L1253" s="41" t="s">
        <v>325</v>
      </c>
      <c r="M1253" s="27"/>
      <c r="N1253" s="27"/>
      <c r="O1253" s="28"/>
    </row>
    <row r="1254" spans="1:15" ht="15" customHeight="1" x14ac:dyDescent="0.3">
      <c r="A1254" s="31">
        <v>46023</v>
      </c>
      <c r="B1254" s="27" t="s">
        <v>53</v>
      </c>
      <c r="C1254" s="27" t="s">
        <v>317</v>
      </c>
      <c r="D1254" s="27" t="s">
        <v>318</v>
      </c>
      <c r="E1254" s="27" t="s">
        <v>59</v>
      </c>
      <c r="F1254" s="27" t="s">
        <v>319</v>
      </c>
      <c r="G1254" s="27" t="s">
        <v>320</v>
      </c>
      <c r="H1254" s="27" t="s">
        <v>59</v>
      </c>
      <c r="I1254" s="27" t="s">
        <v>116</v>
      </c>
      <c r="J1254" s="27" t="s">
        <v>144</v>
      </c>
      <c r="K1254" s="39" t="s">
        <v>321</v>
      </c>
      <c r="L1254" s="41" t="s">
        <v>309</v>
      </c>
      <c r="M1254" s="27"/>
      <c r="N1254" s="27"/>
      <c r="O1254" s="28"/>
    </row>
    <row r="1255" spans="1:15" ht="15" customHeight="1" x14ac:dyDescent="0.3">
      <c r="A1255" s="31">
        <v>46023</v>
      </c>
      <c r="B1255" s="27" t="s">
        <v>53</v>
      </c>
      <c r="C1255" s="27" t="s">
        <v>322</v>
      </c>
      <c r="D1255" s="27" t="s">
        <v>323</v>
      </c>
      <c r="E1255" s="27" t="s">
        <v>59</v>
      </c>
      <c r="F1255" s="27" t="s">
        <v>319</v>
      </c>
      <c r="G1255" s="27" t="s">
        <v>324</v>
      </c>
      <c r="H1255" s="27" t="s">
        <v>59</v>
      </c>
      <c r="I1255" s="27" t="s">
        <v>116</v>
      </c>
      <c r="J1255" s="27" t="s">
        <v>144</v>
      </c>
      <c r="K1255" s="39" t="s">
        <v>321</v>
      </c>
      <c r="L1255" s="41" t="s">
        <v>325</v>
      </c>
      <c r="M1255" s="27"/>
      <c r="N1255" s="27"/>
      <c r="O1255" s="28"/>
    </row>
    <row r="1256" spans="1:15" ht="15" customHeight="1" x14ac:dyDescent="0.3">
      <c r="A1256" s="31">
        <v>46023</v>
      </c>
      <c r="B1256" s="27" t="s">
        <v>53</v>
      </c>
      <c r="C1256" s="27" t="s">
        <v>326</v>
      </c>
      <c r="D1256" s="27" t="s">
        <v>327</v>
      </c>
      <c r="E1256" s="27" t="s">
        <v>59</v>
      </c>
      <c r="F1256" s="27" t="s">
        <v>319</v>
      </c>
      <c r="G1256" s="27" t="s">
        <v>324</v>
      </c>
      <c r="H1256" s="27" t="s">
        <v>59</v>
      </c>
      <c r="I1256" s="27" t="s">
        <v>116</v>
      </c>
      <c r="J1256" s="27" t="s">
        <v>144</v>
      </c>
      <c r="K1256" s="39" t="s">
        <v>328</v>
      </c>
      <c r="L1256" s="41" t="s">
        <v>309</v>
      </c>
      <c r="M1256" s="27"/>
      <c r="N1256" s="27"/>
      <c r="O1256" s="28"/>
    </row>
    <row r="1257" spans="1:15" ht="15" customHeight="1" x14ac:dyDescent="0.3">
      <c r="A1257" s="31">
        <v>46023</v>
      </c>
      <c r="B1257" s="27" t="s">
        <v>53</v>
      </c>
      <c r="C1257" s="27" t="s">
        <v>329</v>
      </c>
      <c r="D1257" s="27" t="s">
        <v>327</v>
      </c>
      <c r="E1257" s="27" t="s">
        <v>59</v>
      </c>
      <c r="F1257" s="27" t="s">
        <v>319</v>
      </c>
      <c r="G1257" s="27" t="s">
        <v>324</v>
      </c>
      <c r="H1257" s="27" t="s">
        <v>59</v>
      </c>
      <c r="I1257" s="27" t="s">
        <v>60</v>
      </c>
      <c r="J1257" s="27" t="s">
        <v>144</v>
      </c>
      <c r="K1257" s="39" t="s">
        <v>328</v>
      </c>
      <c r="L1257" s="41" t="s">
        <v>309</v>
      </c>
      <c r="M1257" s="27"/>
      <c r="N1257" s="27"/>
      <c r="O1257" s="28"/>
    </row>
    <row r="1258" spans="1:15" ht="15" customHeight="1" x14ac:dyDescent="0.3">
      <c r="A1258" s="31">
        <v>46023</v>
      </c>
      <c r="B1258" s="27" t="s">
        <v>53</v>
      </c>
      <c r="C1258" s="27" t="s">
        <v>330</v>
      </c>
      <c r="D1258" s="27" t="s">
        <v>331</v>
      </c>
      <c r="E1258" s="27" t="s">
        <v>332</v>
      </c>
      <c r="F1258" s="27" t="s">
        <v>319</v>
      </c>
      <c r="G1258" s="27" t="s">
        <v>333</v>
      </c>
      <c r="H1258" s="27" t="s">
        <v>59</v>
      </c>
      <c r="I1258" s="27" t="s">
        <v>116</v>
      </c>
      <c r="J1258" s="27" t="s">
        <v>144</v>
      </c>
      <c r="K1258" s="39" t="s">
        <v>334</v>
      </c>
      <c r="L1258" s="41" t="s">
        <v>309</v>
      </c>
      <c r="M1258" s="27"/>
      <c r="N1258" s="27"/>
      <c r="O1258" s="28"/>
    </row>
    <row r="1259" spans="1:15" ht="15" customHeight="1" x14ac:dyDescent="0.3">
      <c r="A1259" s="31">
        <v>46023</v>
      </c>
      <c r="B1259" s="27" t="s">
        <v>53</v>
      </c>
      <c r="C1259" s="27" t="s">
        <v>335</v>
      </c>
      <c r="D1259" s="27" t="s">
        <v>336</v>
      </c>
      <c r="E1259" s="27" t="s">
        <v>337</v>
      </c>
      <c r="F1259" s="27" t="s">
        <v>319</v>
      </c>
      <c r="G1259" s="27" t="s">
        <v>324</v>
      </c>
      <c r="H1259" s="27" t="s">
        <v>59</v>
      </c>
      <c r="I1259" s="27" t="s">
        <v>60</v>
      </c>
      <c r="J1259" s="27" t="s">
        <v>61</v>
      </c>
      <c r="K1259" s="39" t="s">
        <v>334</v>
      </c>
      <c r="L1259" s="41" t="s">
        <v>309</v>
      </c>
      <c r="M1259" s="27"/>
      <c r="N1259" s="27"/>
      <c r="O1259" s="28"/>
    </row>
    <row r="1260" spans="1:15" ht="15" customHeight="1" x14ac:dyDescent="0.3">
      <c r="A1260" s="31">
        <v>46023</v>
      </c>
      <c r="B1260" s="27" t="s">
        <v>53</v>
      </c>
      <c r="C1260" s="27" t="s">
        <v>338</v>
      </c>
      <c r="D1260" s="27" t="s">
        <v>339</v>
      </c>
      <c r="E1260" s="27" t="s">
        <v>332</v>
      </c>
      <c r="F1260" s="27" t="s">
        <v>319</v>
      </c>
      <c r="G1260" s="27" t="s">
        <v>340</v>
      </c>
      <c r="H1260" s="27" t="s">
        <v>59</v>
      </c>
      <c r="I1260" s="27" t="s">
        <v>60</v>
      </c>
      <c r="J1260" s="27" t="s">
        <v>127</v>
      </c>
      <c r="K1260" s="39" t="s">
        <v>341</v>
      </c>
      <c r="L1260" s="41" t="s">
        <v>309</v>
      </c>
      <c r="M1260" s="27"/>
      <c r="N1260" s="27"/>
      <c r="O1260" s="28"/>
    </row>
    <row r="1261" spans="1:15" ht="15" customHeight="1" x14ac:dyDescent="0.3">
      <c r="A1261" s="31">
        <v>46023</v>
      </c>
      <c r="B1261" s="27" t="s">
        <v>53</v>
      </c>
      <c r="C1261" s="27" t="s">
        <v>342</v>
      </c>
      <c r="D1261" s="27" t="s">
        <v>343</v>
      </c>
      <c r="E1261" s="27" t="s">
        <v>344</v>
      </c>
      <c r="F1261" s="27" t="s">
        <v>319</v>
      </c>
      <c r="G1261" s="27" t="s">
        <v>324</v>
      </c>
      <c r="H1261" s="27" t="s">
        <v>59</v>
      </c>
      <c r="I1261" s="27" t="s">
        <v>60</v>
      </c>
      <c r="J1261" s="27" t="s">
        <v>61</v>
      </c>
      <c r="K1261" s="39" t="s">
        <v>62</v>
      </c>
      <c r="L1261" s="41" t="s">
        <v>63</v>
      </c>
      <c r="M1261" s="27"/>
      <c r="N1261" s="27"/>
      <c r="O1261" s="28"/>
    </row>
    <row r="1262" spans="1:15" ht="15" customHeight="1" x14ac:dyDescent="0.3">
      <c r="A1262" s="31">
        <v>46023</v>
      </c>
      <c r="B1262" s="27" t="s">
        <v>53</v>
      </c>
      <c r="C1262" s="27" t="s">
        <v>345</v>
      </c>
      <c r="D1262" s="27" t="s">
        <v>346</v>
      </c>
      <c r="E1262" s="27" t="s">
        <v>347</v>
      </c>
      <c r="F1262" s="27" t="s">
        <v>319</v>
      </c>
      <c r="G1262" s="27" t="s">
        <v>333</v>
      </c>
      <c r="H1262" s="27" t="s">
        <v>59</v>
      </c>
      <c r="I1262" s="27" t="s">
        <v>60</v>
      </c>
      <c r="J1262" s="27" t="s">
        <v>61</v>
      </c>
      <c r="K1262" s="39" t="s">
        <v>348</v>
      </c>
      <c r="L1262" s="41" t="s">
        <v>129</v>
      </c>
      <c r="M1262" s="27"/>
      <c r="N1262" s="27"/>
      <c r="O1262" s="28"/>
    </row>
    <row r="1263" spans="1:15" ht="15" customHeight="1" x14ac:dyDescent="0.3">
      <c r="A1263" s="31">
        <v>46023</v>
      </c>
      <c r="B1263" s="27" t="s">
        <v>53</v>
      </c>
      <c r="C1263" s="27" t="s">
        <v>349</v>
      </c>
      <c r="D1263" s="27" t="s">
        <v>350</v>
      </c>
      <c r="E1263" s="27" t="s">
        <v>347</v>
      </c>
      <c r="F1263" s="27" t="s">
        <v>319</v>
      </c>
      <c r="G1263" s="27" t="s">
        <v>333</v>
      </c>
      <c r="H1263" s="27" t="s">
        <v>59</v>
      </c>
      <c r="I1263" s="27" t="s">
        <v>60</v>
      </c>
      <c r="J1263" s="27" t="s">
        <v>127</v>
      </c>
      <c r="K1263" s="39" t="s">
        <v>348</v>
      </c>
      <c r="L1263" s="41" t="s">
        <v>112</v>
      </c>
      <c r="M1263" s="27"/>
      <c r="N1263" s="27"/>
      <c r="O1263" s="28"/>
    </row>
    <row r="1264" spans="1:15" ht="15" customHeight="1" x14ac:dyDescent="0.3">
      <c r="A1264" s="31">
        <v>46023</v>
      </c>
      <c r="B1264" s="27" t="s">
        <v>53</v>
      </c>
      <c r="C1264" s="27" t="s">
        <v>351</v>
      </c>
      <c r="D1264" s="27" t="s">
        <v>352</v>
      </c>
      <c r="E1264" s="27" t="s">
        <v>59</v>
      </c>
      <c r="F1264" s="27" t="s">
        <v>319</v>
      </c>
      <c r="G1264" s="27" t="s">
        <v>353</v>
      </c>
      <c r="H1264" s="27" t="s">
        <v>59</v>
      </c>
      <c r="I1264" s="27" t="s">
        <v>60</v>
      </c>
      <c r="J1264" s="27" t="s">
        <v>127</v>
      </c>
      <c r="K1264" s="39" t="s">
        <v>348</v>
      </c>
      <c r="L1264" s="41" t="s">
        <v>309</v>
      </c>
      <c r="M1264" s="27"/>
      <c r="N1264" s="27"/>
      <c r="O1264" s="28"/>
    </row>
    <row r="1265" spans="1:15" ht="15" customHeight="1" x14ac:dyDescent="0.3">
      <c r="A1265" s="31">
        <v>46023</v>
      </c>
      <c r="B1265" s="27" t="s">
        <v>53</v>
      </c>
      <c r="C1265" s="27" t="s">
        <v>354</v>
      </c>
      <c r="D1265" s="27" t="s">
        <v>355</v>
      </c>
      <c r="E1265" s="27" t="s">
        <v>59</v>
      </c>
      <c r="F1265" s="27" t="s">
        <v>319</v>
      </c>
      <c r="G1265" s="27" t="s">
        <v>353</v>
      </c>
      <c r="H1265" s="27" t="s">
        <v>59</v>
      </c>
      <c r="I1265" s="27" t="s">
        <v>60</v>
      </c>
      <c r="J1265" s="27" t="s">
        <v>127</v>
      </c>
      <c r="K1265" s="39" t="s">
        <v>348</v>
      </c>
      <c r="L1265" s="41" t="s">
        <v>309</v>
      </c>
      <c r="M1265" s="27"/>
      <c r="N1265" s="27"/>
      <c r="O1265" s="28"/>
    </row>
    <row r="1266" spans="1:15" ht="15" customHeight="1" x14ac:dyDescent="0.3">
      <c r="A1266" s="31">
        <v>46023</v>
      </c>
      <c r="B1266" s="27" t="s">
        <v>53</v>
      </c>
      <c r="C1266" s="27" t="s">
        <v>356</v>
      </c>
      <c r="D1266" s="27" t="s">
        <v>357</v>
      </c>
      <c r="E1266" s="27" t="s">
        <v>347</v>
      </c>
      <c r="F1266" s="27" t="s">
        <v>319</v>
      </c>
      <c r="G1266" s="27" t="s">
        <v>333</v>
      </c>
      <c r="H1266" s="27" t="s">
        <v>59</v>
      </c>
      <c r="I1266" s="27" t="s">
        <v>60</v>
      </c>
      <c r="J1266" s="27" t="s">
        <v>61</v>
      </c>
      <c r="K1266" s="39" t="s">
        <v>348</v>
      </c>
      <c r="L1266" s="41" t="s">
        <v>129</v>
      </c>
      <c r="M1266" s="27"/>
      <c r="N1266" s="27"/>
      <c r="O1266" s="28"/>
    </row>
    <row r="1267" spans="1:15" ht="15" customHeight="1" x14ac:dyDescent="0.3">
      <c r="A1267" s="31">
        <v>46023</v>
      </c>
      <c r="B1267" s="27" t="s">
        <v>53</v>
      </c>
      <c r="C1267" s="27" t="s">
        <v>358</v>
      </c>
      <c r="D1267" s="27" t="s">
        <v>359</v>
      </c>
      <c r="E1267" s="27" t="s">
        <v>347</v>
      </c>
      <c r="F1267" s="27" t="s">
        <v>319</v>
      </c>
      <c r="G1267" s="27" t="s">
        <v>333</v>
      </c>
      <c r="H1267" s="27" t="s">
        <v>59</v>
      </c>
      <c r="I1267" s="27" t="s">
        <v>60</v>
      </c>
      <c r="J1267" s="27" t="s">
        <v>61</v>
      </c>
      <c r="K1267" s="39" t="s">
        <v>348</v>
      </c>
      <c r="L1267" s="41" t="s">
        <v>129</v>
      </c>
      <c r="M1267" s="27"/>
      <c r="N1267" s="27"/>
      <c r="O1267" s="28"/>
    </row>
    <row r="1268" spans="1:15" ht="15" customHeight="1" x14ac:dyDescent="0.3">
      <c r="A1268" s="31">
        <v>46023</v>
      </c>
      <c r="B1268" s="27" t="s">
        <v>53</v>
      </c>
      <c r="C1268" s="27" t="s">
        <v>360</v>
      </c>
      <c r="D1268" s="27" t="s">
        <v>361</v>
      </c>
      <c r="E1268" s="27" t="s">
        <v>362</v>
      </c>
      <c r="F1268" s="27" t="s">
        <v>319</v>
      </c>
      <c r="G1268" s="27" t="s">
        <v>363</v>
      </c>
      <c r="H1268" s="27" t="s">
        <v>59</v>
      </c>
      <c r="I1268" s="27" t="s">
        <v>60</v>
      </c>
      <c r="J1268" s="27" t="s">
        <v>127</v>
      </c>
      <c r="K1268" s="39" t="s">
        <v>364</v>
      </c>
      <c r="L1268" s="41" t="s">
        <v>129</v>
      </c>
      <c r="M1268" s="27"/>
      <c r="N1268" s="27"/>
      <c r="O1268" s="28"/>
    </row>
    <row r="1269" spans="1:15" ht="15" customHeight="1" x14ac:dyDescent="0.3">
      <c r="A1269" s="31">
        <v>46023</v>
      </c>
      <c r="B1269" s="27" t="s">
        <v>53</v>
      </c>
      <c r="C1269" s="27" t="s">
        <v>365</v>
      </c>
      <c r="D1269" s="27" t="s">
        <v>366</v>
      </c>
      <c r="E1269" s="27" t="s">
        <v>362</v>
      </c>
      <c r="F1269" s="27" t="s">
        <v>319</v>
      </c>
      <c r="G1269" s="27" t="s">
        <v>363</v>
      </c>
      <c r="H1269" s="27" t="s">
        <v>59</v>
      </c>
      <c r="I1269" s="27" t="s">
        <v>60</v>
      </c>
      <c r="J1269" s="27" t="s">
        <v>127</v>
      </c>
      <c r="K1269" s="39" t="s">
        <v>364</v>
      </c>
      <c r="L1269" s="41" t="s">
        <v>129</v>
      </c>
      <c r="M1269" s="27"/>
      <c r="N1269" s="27"/>
      <c r="O1269" s="28"/>
    </row>
    <row r="1270" spans="1:15" ht="15" customHeight="1" x14ac:dyDescent="0.3">
      <c r="A1270" s="31">
        <v>46023</v>
      </c>
      <c r="B1270" s="27" t="s">
        <v>53</v>
      </c>
      <c r="C1270" s="27" t="s">
        <v>367</v>
      </c>
      <c r="D1270" s="27" t="s">
        <v>368</v>
      </c>
      <c r="E1270" s="27" t="s">
        <v>369</v>
      </c>
      <c r="F1270" s="27" t="s">
        <v>319</v>
      </c>
      <c r="G1270" s="27" t="s">
        <v>333</v>
      </c>
      <c r="H1270" s="27" t="s">
        <v>59</v>
      </c>
      <c r="I1270" s="27" t="s">
        <v>60</v>
      </c>
      <c r="J1270" s="27" t="s">
        <v>61</v>
      </c>
      <c r="K1270" s="39" t="s">
        <v>364</v>
      </c>
      <c r="L1270" s="41" t="s">
        <v>129</v>
      </c>
      <c r="M1270" s="27"/>
      <c r="N1270" s="27"/>
      <c r="O1270" s="28"/>
    </row>
    <row r="1271" spans="1:15" ht="15" customHeight="1" x14ac:dyDescent="0.3">
      <c r="A1271" s="31">
        <v>46023</v>
      </c>
      <c r="B1271" s="27" t="s">
        <v>53</v>
      </c>
      <c r="C1271" s="27" t="s">
        <v>370</v>
      </c>
      <c r="D1271" s="27" t="s">
        <v>371</v>
      </c>
      <c r="E1271" s="27" t="s">
        <v>372</v>
      </c>
      <c r="F1271" s="27" t="s">
        <v>319</v>
      </c>
      <c r="G1271" s="27" t="s">
        <v>340</v>
      </c>
      <c r="H1271" s="27" t="s">
        <v>59</v>
      </c>
      <c r="I1271" s="27" t="s">
        <v>60</v>
      </c>
      <c r="J1271" s="27" t="s">
        <v>127</v>
      </c>
      <c r="K1271" s="39" t="s">
        <v>364</v>
      </c>
      <c r="L1271" s="41" t="s">
        <v>129</v>
      </c>
      <c r="M1271" s="27"/>
      <c r="N1271" s="27"/>
      <c r="O1271" s="28"/>
    </row>
    <row r="1272" spans="1:15" ht="15" customHeight="1" x14ac:dyDescent="0.3">
      <c r="A1272" s="31">
        <v>46023</v>
      </c>
      <c r="B1272" s="27" t="s">
        <v>53</v>
      </c>
      <c r="C1272" s="27" t="s">
        <v>373</v>
      </c>
      <c r="D1272" s="27" t="s">
        <v>374</v>
      </c>
      <c r="E1272" s="27" t="s">
        <v>375</v>
      </c>
      <c r="F1272" s="27" t="s">
        <v>319</v>
      </c>
      <c r="G1272" s="27" t="s">
        <v>363</v>
      </c>
      <c r="H1272" s="27" t="s">
        <v>59</v>
      </c>
      <c r="I1272" s="27" t="s">
        <v>60</v>
      </c>
      <c r="J1272" s="27" t="s">
        <v>127</v>
      </c>
      <c r="K1272" s="39" t="s">
        <v>128</v>
      </c>
      <c r="L1272" s="41" t="s">
        <v>129</v>
      </c>
      <c r="M1272" s="27"/>
      <c r="N1272" s="27"/>
      <c r="O1272" s="28"/>
    </row>
    <row r="1273" spans="1:15" ht="15" customHeight="1" x14ac:dyDescent="0.3">
      <c r="A1273" s="31">
        <v>46023</v>
      </c>
      <c r="B1273" s="27" t="s">
        <v>53</v>
      </c>
      <c r="C1273" s="27" t="s">
        <v>376</v>
      </c>
      <c r="D1273" s="27" t="s">
        <v>377</v>
      </c>
      <c r="E1273" s="27" t="s">
        <v>375</v>
      </c>
      <c r="F1273" s="27" t="s">
        <v>319</v>
      </c>
      <c r="G1273" s="27" t="s">
        <v>363</v>
      </c>
      <c r="H1273" s="27" t="s">
        <v>59</v>
      </c>
      <c r="I1273" s="27" t="s">
        <v>60</v>
      </c>
      <c r="J1273" s="27" t="s">
        <v>127</v>
      </c>
      <c r="K1273" s="39" t="s">
        <v>128</v>
      </c>
      <c r="L1273" s="41" t="s">
        <v>129</v>
      </c>
      <c r="M1273" s="27"/>
      <c r="N1273" s="27"/>
      <c r="O1273" s="28"/>
    </row>
    <row r="1274" spans="1:15" ht="15" customHeight="1" x14ac:dyDescent="0.3">
      <c r="A1274" s="31">
        <v>46023</v>
      </c>
      <c r="B1274" s="27" t="s">
        <v>53</v>
      </c>
      <c r="C1274" s="27" t="s">
        <v>378</v>
      </c>
      <c r="D1274" s="27" t="s">
        <v>379</v>
      </c>
      <c r="E1274" s="27" t="s">
        <v>375</v>
      </c>
      <c r="F1274" s="27" t="s">
        <v>319</v>
      </c>
      <c r="G1274" s="27" t="s">
        <v>363</v>
      </c>
      <c r="H1274" s="27" t="s">
        <v>59</v>
      </c>
      <c r="I1274" s="27" t="s">
        <v>60</v>
      </c>
      <c r="J1274" s="27" t="s">
        <v>127</v>
      </c>
      <c r="K1274" s="39" t="s">
        <v>128</v>
      </c>
      <c r="L1274" s="41" t="s">
        <v>129</v>
      </c>
      <c r="M1274" s="27"/>
      <c r="N1274" s="27"/>
      <c r="O1274" s="28"/>
    </row>
    <row r="1275" spans="1:15" ht="15" customHeight="1" x14ac:dyDescent="0.3">
      <c r="A1275" s="31">
        <v>46023</v>
      </c>
      <c r="B1275" s="27" t="s">
        <v>53</v>
      </c>
      <c r="C1275" s="27" t="s">
        <v>380</v>
      </c>
      <c r="D1275" s="27" t="s">
        <v>381</v>
      </c>
      <c r="E1275" s="27" t="s">
        <v>375</v>
      </c>
      <c r="F1275" s="27" t="s">
        <v>319</v>
      </c>
      <c r="G1275" s="27" t="s">
        <v>363</v>
      </c>
      <c r="H1275" s="27" t="s">
        <v>59</v>
      </c>
      <c r="I1275" s="27" t="s">
        <v>60</v>
      </c>
      <c r="J1275" s="27" t="s">
        <v>127</v>
      </c>
      <c r="K1275" s="39" t="s">
        <v>128</v>
      </c>
      <c r="L1275" s="41" t="s">
        <v>129</v>
      </c>
      <c r="M1275" s="27"/>
      <c r="N1275" s="27"/>
      <c r="O1275" s="28"/>
    </row>
    <row r="1276" spans="1:15" ht="15" customHeight="1" x14ac:dyDescent="0.3">
      <c r="A1276" s="31">
        <v>46023</v>
      </c>
      <c r="B1276" s="27" t="s">
        <v>53</v>
      </c>
      <c r="C1276" s="27" t="s">
        <v>382</v>
      </c>
      <c r="D1276" s="27" t="s">
        <v>383</v>
      </c>
      <c r="E1276" s="27" t="s">
        <v>375</v>
      </c>
      <c r="F1276" s="27" t="s">
        <v>319</v>
      </c>
      <c r="G1276" s="27" t="s">
        <v>363</v>
      </c>
      <c r="H1276" s="27" t="s">
        <v>59</v>
      </c>
      <c r="I1276" s="27" t="s">
        <v>60</v>
      </c>
      <c r="J1276" s="27" t="s">
        <v>127</v>
      </c>
      <c r="K1276" s="39" t="s">
        <v>137</v>
      </c>
      <c r="L1276" s="41" t="s">
        <v>129</v>
      </c>
      <c r="M1276" s="27"/>
      <c r="N1276" s="27"/>
      <c r="O1276" s="28"/>
    </row>
    <row r="1277" spans="1:15" ht="15" customHeight="1" x14ac:dyDescent="0.3">
      <c r="A1277" s="31">
        <v>46023</v>
      </c>
      <c r="B1277" s="27" t="s">
        <v>53</v>
      </c>
      <c r="C1277" s="27" t="s">
        <v>384</v>
      </c>
      <c r="D1277" s="27" t="s">
        <v>383</v>
      </c>
      <c r="E1277" s="27" t="s">
        <v>385</v>
      </c>
      <c r="F1277" s="27" t="s">
        <v>319</v>
      </c>
      <c r="G1277" s="27" t="s">
        <v>363</v>
      </c>
      <c r="H1277" s="27" t="s">
        <v>59</v>
      </c>
      <c r="I1277" s="27" t="s">
        <v>60</v>
      </c>
      <c r="J1277" s="27" t="s">
        <v>127</v>
      </c>
      <c r="K1277" s="39" t="s">
        <v>137</v>
      </c>
      <c r="L1277" s="41" t="s">
        <v>129</v>
      </c>
      <c r="M1277" s="27"/>
      <c r="N1277" s="27"/>
      <c r="O1277" s="28"/>
    </row>
    <row r="1278" spans="1:15" ht="15" customHeight="1" x14ac:dyDescent="0.3">
      <c r="A1278" s="31">
        <v>46023</v>
      </c>
      <c r="B1278" s="27" t="s">
        <v>53</v>
      </c>
      <c r="C1278" s="27" t="s">
        <v>386</v>
      </c>
      <c r="D1278" s="27" t="s">
        <v>387</v>
      </c>
      <c r="E1278" s="27" t="s">
        <v>388</v>
      </c>
      <c r="F1278" s="27" t="s">
        <v>319</v>
      </c>
      <c r="G1278" s="27" t="s">
        <v>363</v>
      </c>
      <c r="H1278" s="27" t="s">
        <v>59</v>
      </c>
      <c r="I1278" s="27" t="s">
        <v>60</v>
      </c>
      <c r="J1278" s="27" t="s">
        <v>127</v>
      </c>
      <c r="K1278" s="39" t="s">
        <v>137</v>
      </c>
      <c r="L1278" s="41" t="s">
        <v>129</v>
      </c>
      <c r="M1278" s="27"/>
      <c r="N1278" s="27"/>
      <c r="O1278" s="28"/>
    </row>
    <row r="1279" spans="1:15" ht="15" customHeight="1" x14ac:dyDescent="0.3">
      <c r="A1279" s="31">
        <v>46023</v>
      </c>
      <c r="B1279" s="27" t="s">
        <v>53</v>
      </c>
      <c r="C1279" s="27" t="s">
        <v>389</v>
      </c>
      <c r="D1279" s="27" t="s">
        <v>390</v>
      </c>
      <c r="E1279" s="27" t="s">
        <v>388</v>
      </c>
      <c r="F1279" s="27" t="s">
        <v>319</v>
      </c>
      <c r="G1279" s="27" t="s">
        <v>363</v>
      </c>
      <c r="H1279" s="27" t="s">
        <v>59</v>
      </c>
      <c r="I1279" s="27" t="s">
        <v>60</v>
      </c>
      <c r="J1279" s="27" t="s">
        <v>127</v>
      </c>
      <c r="K1279" s="39" t="s">
        <v>137</v>
      </c>
      <c r="L1279" s="41" t="s">
        <v>129</v>
      </c>
      <c r="M1279" s="27"/>
      <c r="N1279" s="27"/>
      <c r="O1279" s="28"/>
    </row>
    <row r="1280" spans="1:15" ht="15" customHeight="1" x14ac:dyDescent="0.3">
      <c r="A1280" s="31">
        <v>46023</v>
      </c>
      <c r="B1280" s="27" t="s">
        <v>53</v>
      </c>
      <c r="C1280" s="27" t="s">
        <v>391</v>
      </c>
      <c r="D1280" s="27" t="s">
        <v>392</v>
      </c>
      <c r="E1280" s="27" t="s">
        <v>388</v>
      </c>
      <c r="F1280" s="27" t="s">
        <v>319</v>
      </c>
      <c r="G1280" s="27" t="s">
        <v>363</v>
      </c>
      <c r="H1280" s="27" t="s">
        <v>59</v>
      </c>
      <c r="I1280" s="27" t="s">
        <v>60</v>
      </c>
      <c r="J1280" s="27" t="s">
        <v>127</v>
      </c>
      <c r="K1280" s="39" t="s">
        <v>137</v>
      </c>
      <c r="L1280" s="41" t="s">
        <v>129</v>
      </c>
      <c r="M1280" s="27"/>
      <c r="N1280" s="27"/>
      <c r="O1280" s="28"/>
    </row>
    <row r="1281" spans="1:15" ht="15" customHeight="1" x14ac:dyDescent="0.3">
      <c r="A1281" s="31">
        <v>46023</v>
      </c>
      <c r="B1281" s="27" t="s">
        <v>53</v>
      </c>
      <c r="C1281" s="27" t="s">
        <v>393</v>
      </c>
      <c r="D1281" s="27" t="s">
        <v>394</v>
      </c>
      <c r="E1281" s="27" t="s">
        <v>59</v>
      </c>
      <c r="F1281" s="27" t="s">
        <v>319</v>
      </c>
      <c r="G1281" s="27" t="s">
        <v>324</v>
      </c>
      <c r="H1281" s="27" t="s">
        <v>59</v>
      </c>
      <c r="I1281" s="27" t="s">
        <v>60</v>
      </c>
      <c r="J1281" s="27" t="s">
        <v>61</v>
      </c>
      <c r="K1281" s="39" t="s">
        <v>137</v>
      </c>
      <c r="L1281" s="41" t="s">
        <v>395</v>
      </c>
      <c r="M1281" s="27"/>
      <c r="N1281" s="27"/>
      <c r="O1281" s="28"/>
    </row>
    <row r="1282" spans="1:15" ht="15" customHeight="1" x14ac:dyDescent="0.3">
      <c r="A1282" s="31">
        <v>46023</v>
      </c>
      <c r="B1282" s="27" t="s">
        <v>53</v>
      </c>
      <c r="C1282" s="27" t="s">
        <v>396</v>
      </c>
      <c r="D1282" s="27" t="s">
        <v>397</v>
      </c>
      <c r="E1282" s="27" t="s">
        <v>398</v>
      </c>
      <c r="F1282" s="27" t="s">
        <v>319</v>
      </c>
      <c r="G1282" s="27" t="s">
        <v>324</v>
      </c>
      <c r="H1282" s="27" t="s">
        <v>59</v>
      </c>
      <c r="I1282" s="27" t="s">
        <v>60</v>
      </c>
      <c r="J1282" s="27" t="s">
        <v>61</v>
      </c>
      <c r="K1282" s="39" t="s">
        <v>137</v>
      </c>
      <c r="L1282" s="41" t="s">
        <v>395</v>
      </c>
      <c r="M1282" s="27"/>
      <c r="N1282" s="27"/>
      <c r="O1282" s="28"/>
    </row>
    <row r="1283" spans="1:15" ht="15" customHeight="1" x14ac:dyDescent="0.3">
      <c r="A1283" s="31">
        <v>46023</v>
      </c>
      <c r="B1283" s="27" t="s">
        <v>53</v>
      </c>
      <c r="C1283" s="27" t="s">
        <v>399</v>
      </c>
      <c r="D1283" s="27" t="s">
        <v>400</v>
      </c>
      <c r="E1283" s="27" t="s">
        <v>398</v>
      </c>
      <c r="F1283" s="27" t="s">
        <v>319</v>
      </c>
      <c r="G1283" s="27" t="s">
        <v>324</v>
      </c>
      <c r="H1283" s="27" t="s">
        <v>59</v>
      </c>
      <c r="I1283" s="27" t="s">
        <v>60</v>
      </c>
      <c r="J1283" s="27" t="s">
        <v>61</v>
      </c>
      <c r="K1283" s="39" t="s">
        <v>137</v>
      </c>
      <c r="L1283" s="41" t="s">
        <v>395</v>
      </c>
      <c r="M1283" s="27"/>
      <c r="N1283" s="27"/>
      <c r="O1283" s="28"/>
    </row>
    <row r="1284" spans="1:15" ht="15" customHeight="1" x14ac:dyDescent="0.3">
      <c r="A1284" s="31">
        <v>46023</v>
      </c>
      <c r="B1284" s="27" t="s">
        <v>53</v>
      </c>
      <c r="C1284" s="27" t="s">
        <v>401</v>
      </c>
      <c r="D1284" s="27" t="s">
        <v>402</v>
      </c>
      <c r="E1284" s="27" t="s">
        <v>59</v>
      </c>
      <c r="F1284" s="27" t="s">
        <v>319</v>
      </c>
      <c r="G1284" s="27" t="s">
        <v>324</v>
      </c>
      <c r="H1284" s="27" t="s">
        <v>59</v>
      </c>
      <c r="I1284" s="27" t="s">
        <v>60</v>
      </c>
      <c r="J1284" s="27" t="s">
        <v>61</v>
      </c>
      <c r="K1284" s="39" t="s">
        <v>137</v>
      </c>
      <c r="L1284" s="41" t="s">
        <v>395</v>
      </c>
      <c r="M1284" s="27"/>
      <c r="N1284" s="27"/>
      <c r="O1284" s="28"/>
    </row>
    <row r="1285" spans="1:15" ht="15" customHeight="1" x14ac:dyDescent="0.3">
      <c r="A1285" s="31">
        <v>46023</v>
      </c>
      <c r="B1285" s="27" t="s">
        <v>53</v>
      </c>
      <c r="C1285" s="27" t="s">
        <v>291</v>
      </c>
      <c r="D1285" s="27" t="s">
        <v>292</v>
      </c>
      <c r="E1285" s="27" t="s">
        <v>293</v>
      </c>
      <c r="F1285" s="27" t="s">
        <v>294</v>
      </c>
      <c r="G1285" s="27" t="s">
        <v>295</v>
      </c>
      <c r="H1285" s="27" t="s">
        <v>296</v>
      </c>
      <c r="I1285" s="27" t="s">
        <v>116</v>
      </c>
      <c r="J1285" s="27" t="s">
        <v>61</v>
      </c>
      <c r="K1285" s="39" t="s">
        <v>62</v>
      </c>
      <c r="L1285" s="41" t="s">
        <v>63</v>
      </c>
      <c r="M1285" s="27"/>
      <c r="N1285" s="27"/>
      <c r="O1285" s="28"/>
    </row>
    <row r="1286" spans="1:15" ht="15" customHeight="1" x14ac:dyDescent="0.3">
      <c r="A1286" s="31">
        <v>46023</v>
      </c>
      <c r="B1286" s="27" t="s">
        <v>53</v>
      </c>
      <c r="C1286" s="27" t="s">
        <v>297</v>
      </c>
      <c r="D1286" s="27" t="s">
        <v>292</v>
      </c>
      <c r="E1286" s="27" t="s">
        <v>293</v>
      </c>
      <c r="F1286" s="27" t="s">
        <v>294</v>
      </c>
      <c r="G1286" s="27" t="s">
        <v>295</v>
      </c>
      <c r="H1286" s="27" t="s">
        <v>298</v>
      </c>
      <c r="I1286" s="27" t="s">
        <v>116</v>
      </c>
      <c r="J1286" s="27" t="s">
        <v>61</v>
      </c>
      <c r="K1286" s="39" t="s">
        <v>62</v>
      </c>
      <c r="L1286" s="41" t="s">
        <v>63</v>
      </c>
      <c r="M1286" s="27"/>
      <c r="N1286" s="27"/>
      <c r="O1286" s="28"/>
    </row>
    <row r="1287" spans="1:15" ht="15" customHeight="1" x14ac:dyDescent="0.3">
      <c r="A1287" s="31">
        <v>46023</v>
      </c>
      <c r="B1287" s="27" t="s">
        <v>53</v>
      </c>
      <c r="C1287" s="27" t="s">
        <v>299</v>
      </c>
      <c r="D1287" s="27" t="s">
        <v>300</v>
      </c>
      <c r="E1287" s="27" t="s">
        <v>301</v>
      </c>
      <c r="F1287" s="27" t="s">
        <v>294</v>
      </c>
      <c r="G1287" s="27" t="s">
        <v>302</v>
      </c>
      <c r="H1287" s="27" t="s">
        <v>303</v>
      </c>
      <c r="I1287" s="27" t="s">
        <v>116</v>
      </c>
      <c r="J1287" s="27" t="s">
        <v>61</v>
      </c>
      <c r="K1287" s="39" t="s">
        <v>62</v>
      </c>
      <c r="L1287" s="41" t="s">
        <v>63</v>
      </c>
      <c r="M1287" s="27"/>
      <c r="N1287" s="27"/>
      <c r="O1287" s="28"/>
    </row>
    <row r="1288" spans="1:15" ht="15" customHeight="1" x14ac:dyDescent="0.3">
      <c r="A1288" s="31">
        <v>46023</v>
      </c>
      <c r="B1288" s="27" t="s">
        <v>53</v>
      </c>
      <c r="C1288" s="27" t="s">
        <v>304</v>
      </c>
      <c r="D1288" s="27" t="s">
        <v>305</v>
      </c>
      <c r="E1288" s="27" t="s">
        <v>306</v>
      </c>
      <c r="F1288" s="27" t="s">
        <v>294</v>
      </c>
      <c r="G1288" s="27" t="s">
        <v>307</v>
      </c>
      <c r="H1288" s="27" t="s">
        <v>59</v>
      </c>
      <c r="I1288" s="27" t="s">
        <v>116</v>
      </c>
      <c r="J1288" s="27" t="s">
        <v>144</v>
      </c>
      <c r="K1288" s="39" t="s">
        <v>308</v>
      </c>
      <c r="L1288" s="41" t="s">
        <v>309</v>
      </c>
      <c r="M1288" s="27"/>
      <c r="N1288" s="27"/>
      <c r="O1288" s="28"/>
    </row>
    <row r="1289" spans="1:15" ht="15" customHeight="1" x14ac:dyDescent="0.3">
      <c r="A1289" s="31">
        <v>46023</v>
      </c>
      <c r="B1289" s="27" t="s">
        <v>53</v>
      </c>
      <c r="C1289" s="27" t="s">
        <v>310</v>
      </c>
      <c r="D1289" s="27" t="s">
        <v>311</v>
      </c>
      <c r="E1289" s="27" t="s">
        <v>312</v>
      </c>
      <c r="F1289" s="27" t="s">
        <v>294</v>
      </c>
      <c r="G1289" s="27" t="s">
        <v>313</v>
      </c>
      <c r="H1289" s="27">
        <v>699005</v>
      </c>
      <c r="I1289" s="27" t="s">
        <v>116</v>
      </c>
      <c r="J1289" s="27" t="s">
        <v>61</v>
      </c>
      <c r="K1289" s="39" t="s">
        <v>314</v>
      </c>
      <c r="L1289" s="41" t="s">
        <v>63</v>
      </c>
      <c r="M1289" s="27"/>
      <c r="N1289" s="27"/>
      <c r="O1289" s="28"/>
    </row>
    <row r="1290" spans="1:15" ht="15" customHeight="1" x14ac:dyDescent="0.3">
      <c r="A1290" s="31">
        <v>46023</v>
      </c>
      <c r="B1290" s="27" t="s">
        <v>53</v>
      </c>
      <c r="C1290" s="27" t="s">
        <v>315</v>
      </c>
      <c r="D1290" s="27" t="s">
        <v>311</v>
      </c>
      <c r="E1290" s="27" t="s">
        <v>316</v>
      </c>
      <c r="F1290" s="27" t="s">
        <v>294</v>
      </c>
      <c r="G1290" s="27" t="s">
        <v>313</v>
      </c>
      <c r="H1290" s="27">
        <v>100106738</v>
      </c>
      <c r="I1290" s="27" t="s">
        <v>116</v>
      </c>
      <c r="J1290" s="27" t="s">
        <v>61</v>
      </c>
      <c r="K1290" s="39" t="s">
        <v>314</v>
      </c>
      <c r="L1290" s="41" t="s">
        <v>63</v>
      </c>
      <c r="M1290" s="27"/>
      <c r="N1290" s="27"/>
      <c r="O1290" s="28"/>
    </row>
    <row r="1291" spans="1:15" ht="15" customHeight="1" x14ac:dyDescent="0.3">
      <c r="A1291" s="31">
        <v>46023</v>
      </c>
      <c r="B1291" s="27" t="s">
        <v>53</v>
      </c>
      <c r="C1291" s="27" t="s">
        <v>3321</v>
      </c>
      <c r="D1291" s="27" t="s">
        <v>3322</v>
      </c>
      <c r="E1291" s="27" t="s">
        <v>59</v>
      </c>
      <c r="F1291" s="27" t="s">
        <v>294</v>
      </c>
      <c r="G1291" s="27" t="s">
        <v>307</v>
      </c>
      <c r="H1291" s="27" t="s">
        <v>59</v>
      </c>
      <c r="I1291" s="27" t="s">
        <v>116</v>
      </c>
      <c r="J1291" s="27" t="s">
        <v>144</v>
      </c>
      <c r="K1291" s="39" t="s">
        <v>3323</v>
      </c>
      <c r="L1291" s="41" t="s">
        <v>63</v>
      </c>
      <c r="M1291" s="27"/>
      <c r="N1291" s="27"/>
      <c r="O1291" s="28"/>
    </row>
    <row r="1292" spans="1:15" ht="15" customHeight="1" x14ac:dyDescent="0.3">
      <c r="A1292" s="31">
        <v>46023</v>
      </c>
      <c r="B1292" s="27" t="s">
        <v>53</v>
      </c>
      <c r="C1292" s="27" t="s">
        <v>3324</v>
      </c>
      <c r="D1292" s="27" t="s">
        <v>3325</v>
      </c>
      <c r="E1292" s="27" t="s">
        <v>59</v>
      </c>
      <c r="F1292" s="27" t="s">
        <v>294</v>
      </c>
      <c r="G1292" s="27" t="s">
        <v>307</v>
      </c>
      <c r="H1292" s="27" t="s">
        <v>59</v>
      </c>
      <c r="I1292" s="27" t="s">
        <v>116</v>
      </c>
      <c r="J1292" s="27" t="s">
        <v>144</v>
      </c>
      <c r="K1292" s="39" t="s">
        <v>2548</v>
      </c>
      <c r="L1292" s="41" t="s">
        <v>63</v>
      </c>
      <c r="M1292" s="27"/>
      <c r="N1292" s="27"/>
      <c r="O1292" s="28"/>
    </row>
    <row r="1293" spans="1:15" ht="15" customHeight="1" x14ac:dyDescent="0.3">
      <c r="A1293" s="31">
        <v>46023</v>
      </c>
      <c r="B1293" s="27" t="s">
        <v>53</v>
      </c>
      <c r="C1293" s="27" t="s">
        <v>3326</v>
      </c>
      <c r="D1293" s="27" t="s">
        <v>3327</v>
      </c>
      <c r="E1293" s="27" t="s">
        <v>3328</v>
      </c>
      <c r="F1293" s="27" t="s">
        <v>294</v>
      </c>
      <c r="G1293" s="27" t="s">
        <v>302</v>
      </c>
      <c r="H1293" s="27" t="s">
        <v>59</v>
      </c>
      <c r="I1293" s="27" t="s">
        <v>1894</v>
      </c>
      <c r="J1293" s="27" t="s">
        <v>144</v>
      </c>
      <c r="K1293" s="39" t="s">
        <v>2320</v>
      </c>
      <c r="L1293" s="41" t="s">
        <v>63</v>
      </c>
      <c r="M1293" s="27"/>
      <c r="N1293" s="27"/>
      <c r="O1293" s="28"/>
    </row>
    <row r="1294" spans="1:15" ht="15" customHeight="1" x14ac:dyDescent="0.3">
      <c r="A1294" s="31">
        <v>46023</v>
      </c>
      <c r="B1294" s="27" t="s">
        <v>53</v>
      </c>
      <c r="C1294" s="27" t="s">
        <v>3329</v>
      </c>
      <c r="D1294" s="27" t="s">
        <v>3330</v>
      </c>
      <c r="E1294" s="27" t="s">
        <v>3331</v>
      </c>
      <c r="F1294" s="27" t="s">
        <v>294</v>
      </c>
      <c r="G1294" s="27" t="s">
        <v>313</v>
      </c>
      <c r="H1294" s="27" t="s">
        <v>3332</v>
      </c>
      <c r="I1294" s="27" t="s">
        <v>468</v>
      </c>
      <c r="J1294" s="27" t="s">
        <v>144</v>
      </c>
      <c r="K1294" s="39" t="s">
        <v>2368</v>
      </c>
      <c r="L1294" s="41" t="s">
        <v>1953</v>
      </c>
      <c r="M1294" s="27"/>
      <c r="N1294" s="27"/>
      <c r="O1294" s="28"/>
    </row>
    <row r="1295" spans="1:15" ht="15" customHeight="1" x14ac:dyDescent="0.3">
      <c r="A1295" s="31">
        <v>46023</v>
      </c>
      <c r="B1295" s="27" t="s">
        <v>53</v>
      </c>
      <c r="C1295" s="27" t="s">
        <v>3333</v>
      </c>
      <c r="D1295" s="27" t="s">
        <v>3334</v>
      </c>
      <c r="E1295" s="27" t="s">
        <v>3335</v>
      </c>
      <c r="F1295" s="27" t="s">
        <v>294</v>
      </c>
      <c r="G1295" s="27" t="s">
        <v>307</v>
      </c>
      <c r="H1295" s="27" t="s">
        <v>3336</v>
      </c>
      <c r="I1295" s="27" t="s">
        <v>116</v>
      </c>
      <c r="J1295" s="27" t="s">
        <v>144</v>
      </c>
      <c r="K1295" s="39" t="s">
        <v>2395</v>
      </c>
      <c r="L1295" s="41" t="s">
        <v>1953</v>
      </c>
      <c r="M1295" s="27"/>
      <c r="N1295" s="27"/>
      <c r="O1295" s="28"/>
    </row>
    <row r="1296" spans="1:15" ht="15" customHeight="1" x14ac:dyDescent="0.3">
      <c r="A1296" s="31">
        <v>46023</v>
      </c>
      <c r="B1296" s="27" t="s">
        <v>53</v>
      </c>
      <c r="C1296" s="27" t="s">
        <v>3337</v>
      </c>
      <c r="D1296" s="27" t="s">
        <v>3338</v>
      </c>
      <c r="E1296" s="27" t="s">
        <v>2356</v>
      </c>
      <c r="F1296" s="27" t="s">
        <v>294</v>
      </c>
      <c r="G1296" s="27" t="s">
        <v>307</v>
      </c>
      <c r="H1296" s="27" t="s">
        <v>59</v>
      </c>
      <c r="I1296" s="27" t="s">
        <v>116</v>
      </c>
      <c r="J1296" s="27" t="s">
        <v>144</v>
      </c>
      <c r="K1296" s="39" t="s">
        <v>2646</v>
      </c>
      <c r="L1296" s="41" t="s">
        <v>1953</v>
      </c>
      <c r="M1296" s="27"/>
      <c r="N1296" s="27"/>
      <c r="O1296" s="28"/>
    </row>
    <row r="1297" spans="1:15" ht="15" customHeight="1" x14ac:dyDescent="0.3">
      <c r="A1297" s="31">
        <v>46023</v>
      </c>
      <c r="B1297" s="27" t="s">
        <v>53</v>
      </c>
      <c r="C1297" s="27" t="s">
        <v>54</v>
      </c>
      <c r="D1297" s="27" t="s">
        <v>55</v>
      </c>
      <c r="E1297" s="27" t="s">
        <v>56</v>
      </c>
      <c r="F1297" s="27" t="s">
        <v>57</v>
      </c>
      <c r="G1297" s="27" t="s">
        <v>58</v>
      </c>
      <c r="H1297" s="27" t="s">
        <v>59</v>
      </c>
      <c r="I1297" s="27" t="s">
        <v>60</v>
      </c>
      <c r="J1297" s="27" t="s">
        <v>61</v>
      </c>
      <c r="K1297" s="39" t="s">
        <v>62</v>
      </c>
      <c r="L1297" s="41" t="s">
        <v>63</v>
      </c>
      <c r="M1297" s="27"/>
      <c r="N1297" s="27"/>
      <c r="O1297" s="28"/>
    </row>
    <row r="1298" spans="1:15" ht="15" customHeight="1" x14ac:dyDescent="0.3">
      <c r="A1298" s="31">
        <v>46023</v>
      </c>
      <c r="B1298" s="27" t="s">
        <v>53</v>
      </c>
      <c r="C1298" s="27" t="s">
        <v>64</v>
      </c>
      <c r="D1298" s="27" t="s">
        <v>65</v>
      </c>
      <c r="E1298" s="27" t="s">
        <v>56</v>
      </c>
      <c r="F1298" s="27" t="s">
        <v>57</v>
      </c>
      <c r="G1298" s="27" t="s">
        <v>58</v>
      </c>
      <c r="H1298" s="27" t="s">
        <v>59</v>
      </c>
      <c r="I1298" s="27" t="s">
        <v>60</v>
      </c>
      <c r="J1298" s="27" t="s">
        <v>61</v>
      </c>
      <c r="K1298" s="39" t="s">
        <v>62</v>
      </c>
      <c r="L1298" s="41" t="s">
        <v>63</v>
      </c>
      <c r="M1298" s="27"/>
      <c r="N1298" s="27"/>
      <c r="O1298" s="28"/>
    </row>
    <row r="1299" spans="1:15" ht="15" customHeight="1" x14ac:dyDescent="0.3">
      <c r="A1299" s="31">
        <v>46023</v>
      </c>
      <c r="B1299" s="27" t="s">
        <v>53</v>
      </c>
      <c r="C1299" s="27" t="s">
        <v>66</v>
      </c>
      <c r="D1299" s="27" t="s">
        <v>65</v>
      </c>
      <c r="E1299" s="27" t="s">
        <v>67</v>
      </c>
      <c r="F1299" s="27" t="s">
        <v>57</v>
      </c>
      <c r="G1299" s="27" t="s">
        <v>58</v>
      </c>
      <c r="H1299" s="27" t="s">
        <v>59</v>
      </c>
      <c r="I1299" s="27" t="s">
        <v>60</v>
      </c>
      <c r="J1299" s="27" t="s">
        <v>61</v>
      </c>
      <c r="K1299" s="39" t="s">
        <v>62</v>
      </c>
      <c r="L1299" s="41" t="s">
        <v>63</v>
      </c>
      <c r="M1299" s="27"/>
      <c r="N1299" s="27"/>
      <c r="O1299" s="28"/>
    </row>
    <row r="1300" spans="1:15" ht="15" customHeight="1" x14ac:dyDescent="0.3">
      <c r="A1300" s="31">
        <v>46023</v>
      </c>
      <c r="B1300" s="27" t="s">
        <v>53</v>
      </c>
      <c r="C1300" s="27" t="s">
        <v>68</v>
      </c>
      <c r="D1300" s="27" t="s">
        <v>69</v>
      </c>
      <c r="E1300" s="27" t="s">
        <v>70</v>
      </c>
      <c r="F1300" s="27" t="s">
        <v>57</v>
      </c>
      <c r="G1300" s="27" t="s">
        <v>58</v>
      </c>
      <c r="H1300" s="27" t="s">
        <v>59</v>
      </c>
      <c r="I1300" s="27" t="s">
        <v>60</v>
      </c>
      <c r="J1300" s="27" t="s">
        <v>61</v>
      </c>
      <c r="K1300" s="39" t="s">
        <v>62</v>
      </c>
      <c r="L1300" s="41" t="s">
        <v>63</v>
      </c>
      <c r="M1300" s="27"/>
      <c r="N1300" s="27"/>
      <c r="O1300" s="28"/>
    </row>
    <row r="1301" spans="1:15" ht="15" customHeight="1" x14ac:dyDescent="0.3">
      <c r="A1301" s="31">
        <v>46023</v>
      </c>
      <c r="B1301" s="27" t="s">
        <v>53</v>
      </c>
      <c r="C1301" s="27" t="s">
        <v>71</v>
      </c>
      <c r="D1301" s="27" t="s">
        <v>72</v>
      </c>
      <c r="E1301" s="27" t="s">
        <v>70</v>
      </c>
      <c r="F1301" s="27" t="s">
        <v>57</v>
      </c>
      <c r="G1301" s="27" t="s">
        <v>58</v>
      </c>
      <c r="H1301" s="27" t="s">
        <v>59</v>
      </c>
      <c r="I1301" s="27" t="s">
        <v>60</v>
      </c>
      <c r="J1301" s="27" t="s">
        <v>61</v>
      </c>
      <c r="K1301" s="39" t="s">
        <v>62</v>
      </c>
      <c r="L1301" s="41" t="s">
        <v>63</v>
      </c>
      <c r="M1301" s="27"/>
      <c r="N1301" s="27"/>
      <c r="O1301" s="28"/>
    </row>
    <row r="1302" spans="1:15" ht="15" customHeight="1" x14ac:dyDescent="0.3">
      <c r="A1302" s="31">
        <v>46023</v>
      </c>
      <c r="B1302" s="27" t="s">
        <v>53</v>
      </c>
      <c r="C1302" s="27" t="s">
        <v>73</v>
      </c>
      <c r="D1302" s="27" t="s">
        <v>74</v>
      </c>
      <c r="E1302" s="27" t="s">
        <v>70</v>
      </c>
      <c r="F1302" s="27" t="s">
        <v>57</v>
      </c>
      <c r="G1302" s="27" t="s">
        <v>58</v>
      </c>
      <c r="H1302" s="27" t="s">
        <v>59</v>
      </c>
      <c r="I1302" s="27" t="s">
        <v>60</v>
      </c>
      <c r="J1302" s="27" t="s">
        <v>61</v>
      </c>
      <c r="K1302" s="39" t="s">
        <v>62</v>
      </c>
      <c r="L1302" s="41" t="s">
        <v>63</v>
      </c>
      <c r="M1302" s="27"/>
      <c r="N1302" s="27"/>
      <c r="O1302" s="28"/>
    </row>
    <row r="1303" spans="1:15" ht="15" customHeight="1" x14ac:dyDescent="0.3">
      <c r="A1303" s="31">
        <v>46023</v>
      </c>
      <c r="B1303" s="27" t="s">
        <v>53</v>
      </c>
      <c r="C1303" s="27" t="s">
        <v>75</v>
      </c>
      <c r="D1303" s="27" t="s">
        <v>76</v>
      </c>
      <c r="E1303" s="27" t="s">
        <v>77</v>
      </c>
      <c r="F1303" s="27" t="s">
        <v>57</v>
      </c>
      <c r="G1303" s="27" t="s">
        <v>78</v>
      </c>
      <c r="H1303" s="27" t="s">
        <v>59</v>
      </c>
      <c r="I1303" s="27" t="s">
        <v>60</v>
      </c>
      <c r="J1303" s="27" t="s">
        <v>79</v>
      </c>
      <c r="K1303" s="39" t="s">
        <v>62</v>
      </c>
      <c r="L1303" s="41" t="s">
        <v>63</v>
      </c>
      <c r="M1303" s="27"/>
      <c r="N1303" s="27"/>
      <c r="O1303" s="28"/>
    </row>
    <row r="1304" spans="1:15" ht="15" customHeight="1" x14ac:dyDescent="0.3">
      <c r="A1304" s="31">
        <v>46023</v>
      </c>
      <c r="B1304" s="27" t="s">
        <v>53</v>
      </c>
      <c r="C1304" s="27" t="s">
        <v>80</v>
      </c>
      <c r="D1304" s="27" t="s">
        <v>81</v>
      </c>
      <c r="E1304" s="27" t="s">
        <v>77</v>
      </c>
      <c r="F1304" s="27" t="s">
        <v>57</v>
      </c>
      <c r="G1304" s="27" t="s">
        <v>78</v>
      </c>
      <c r="H1304" s="27" t="s">
        <v>59</v>
      </c>
      <c r="I1304" s="27" t="s">
        <v>60</v>
      </c>
      <c r="J1304" s="27" t="s">
        <v>79</v>
      </c>
      <c r="K1304" s="39" t="s">
        <v>62</v>
      </c>
      <c r="L1304" s="41" t="s">
        <v>63</v>
      </c>
      <c r="M1304" s="27"/>
      <c r="N1304" s="27"/>
      <c r="O1304" s="28"/>
    </row>
    <row r="1305" spans="1:15" ht="15" customHeight="1" x14ac:dyDescent="0.3">
      <c r="A1305" s="31">
        <v>46023</v>
      </c>
      <c r="B1305" s="27" t="s">
        <v>53</v>
      </c>
      <c r="C1305" s="27" t="s">
        <v>82</v>
      </c>
      <c r="D1305" s="27" t="s">
        <v>83</v>
      </c>
      <c r="E1305" s="27" t="s">
        <v>77</v>
      </c>
      <c r="F1305" s="27" t="s">
        <v>57</v>
      </c>
      <c r="G1305" s="27" t="s">
        <v>78</v>
      </c>
      <c r="H1305" s="27" t="s">
        <v>59</v>
      </c>
      <c r="I1305" s="27" t="s">
        <v>60</v>
      </c>
      <c r="J1305" s="27" t="s">
        <v>79</v>
      </c>
      <c r="K1305" s="39" t="s">
        <v>62</v>
      </c>
      <c r="L1305" s="41" t="s">
        <v>63</v>
      </c>
      <c r="M1305" s="27"/>
      <c r="N1305" s="27"/>
      <c r="O1305" s="28"/>
    </row>
    <row r="1306" spans="1:15" ht="15" customHeight="1" x14ac:dyDescent="0.3">
      <c r="A1306" s="31">
        <v>46023</v>
      </c>
      <c r="B1306" s="27" t="s">
        <v>53</v>
      </c>
      <c r="C1306" s="27" t="s">
        <v>84</v>
      </c>
      <c r="D1306" s="27" t="s">
        <v>85</v>
      </c>
      <c r="E1306" s="27" t="s">
        <v>86</v>
      </c>
      <c r="F1306" s="27" t="s">
        <v>57</v>
      </c>
      <c r="G1306" s="27" t="s">
        <v>78</v>
      </c>
      <c r="H1306" s="27" t="s">
        <v>59</v>
      </c>
      <c r="I1306" s="27" t="s">
        <v>60</v>
      </c>
      <c r="J1306" s="27" t="s">
        <v>87</v>
      </c>
      <c r="K1306" s="39" t="s">
        <v>62</v>
      </c>
      <c r="L1306" s="41" t="s">
        <v>63</v>
      </c>
      <c r="M1306" s="27"/>
      <c r="N1306" s="27"/>
      <c r="O1306" s="28"/>
    </row>
    <row r="1307" spans="1:15" ht="15" customHeight="1" x14ac:dyDescent="0.3">
      <c r="A1307" s="31">
        <v>46023</v>
      </c>
      <c r="B1307" s="27" t="s">
        <v>53</v>
      </c>
      <c r="C1307" s="27" t="s">
        <v>88</v>
      </c>
      <c r="D1307" s="27" t="s">
        <v>89</v>
      </c>
      <c r="E1307" s="27" t="s">
        <v>59</v>
      </c>
      <c r="F1307" s="27" t="s">
        <v>57</v>
      </c>
      <c r="G1307" s="27" t="s">
        <v>78</v>
      </c>
      <c r="H1307" s="27" t="s">
        <v>59</v>
      </c>
      <c r="I1307" s="27" t="s">
        <v>60</v>
      </c>
      <c r="J1307" s="27" t="s">
        <v>61</v>
      </c>
      <c r="K1307" s="39" t="s">
        <v>62</v>
      </c>
      <c r="L1307" s="41" t="s">
        <v>63</v>
      </c>
      <c r="M1307" s="27"/>
      <c r="N1307" s="27"/>
      <c r="O1307" s="28"/>
    </row>
    <row r="1308" spans="1:15" ht="15" customHeight="1" x14ac:dyDescent="0.3">
      <c r="A1308" s="31">
        <v>46023</v>
      </c>
      <c r="B1308" s="27" t="s">
        <v>53</v>
      </c>
      <c r="C1308" s="27" t="s">
        <v>90</v>
      </c>
      <c r="D1308" s="27" t="s">
        <v>91</v>
      </c>
      <c r="E1308" s="27" t="s">
        <v>59</v>
      </c>
      <c r="F1308" s="27" t="s">
        <v>57</v>
      </c>
      <c r="G1308" s="27" t="s">
        <v>78</v>
      </c>
      <c r="H1308" s="27" t="s">
        <v>59</v>
      </c>
      <c r="I1308" s="27" t="s">
        <v>60</v>
      </c>
      <c r="J1308" s="27" t="s">
        <v>61</v>
      </c>
      <c r="K1308" s="39" t="s">
        <v>62</v>
      </c>
      <c r="L1308" s="41" t="s">
        <v>63</v>
      </c>
      <c r="M1308" s="27"/>
      <c r="N1308" s="27"/>
      <c r="O1308" s="28"/>
    </row>
    <row r="1309" spans="1:15" ht="15" customHeight="1" x14ac:dyDescent="0.3">
      <c r="A1309" s="31">
        <v>46023</v>
      </c>
      <c r="B1309" s="27" t="s">
        <v>53</v>
      </c>
      <c r="C1309" s="27" t="s">
        <v>92</v>
      </c>
      <c r="D1309" s="27" t="s">
        <v>93</v>
      </c>
      <c r="E1309" s="27" t="s">
        <v>59</v>
      </c>
      <c r="F1309" s="27" t="s">
        <v>57</v>
      </c>
      <c r="G1309" s="27" t="s">
        <v>78</v>
      </c>
      <c r="H1309" s="27" t="s">
        <v>59</v>
      </c>
      <c r="I1309" s="27" t="s">
        <v>60</v>
      </c>
      <c r="J1309" s="27" t="s">
        <v>61</v>
      </c>
      <c r="K1309" s="39" t="s">
        <v>62</v>
      </c>
      <c r="L1309" s="41" t="s">
        <v>63</v>
      </c>
      <c r="M1309" s="27"/>
      <c r="N1309" s="27"/>
      <c r="O1309" s="28"/>
    </row>
    <row r="1310" spans="1:15" ht="15" customHeight="1" x14ac:dyDescent="0.3">
      <c r="A1310" s="31">
        <v>46023</v>
      </c>
      <c r="B1310" s="27" t="s">
        <v>53</v>
      </c>
      <c r="C1310" s="27" t="s">
        <v>94</v>
      </c>
      <c r="D1310" s="27" t="s">
        <v>95</v>
      </c>
      <c r="E1310" s="27" t="s">
        <v>59</v>
      </c>
      <c r="F1310" s="27" t="s">
        <v>57</v>
      </c>
      <c r="G1310" s="27" t="s">
        <v>78</v>
      </c>
      <c r="H1310" s="27" t="s">
        <v>59</v>
      </c>
      <c r="I1310" s="27" t="s">
        <v>60</v>
      </c>
      <c r="J1310" s="27" t="s">
        <v>61</v>
      </c>
      <c r="K1310" s="39" t="s">
        <v>62</v>
      </c>
      <c r="L1310" s="41" t="s">
        <v>63</v>
      </c>
      <c r="M1310" s="27"/>
      <c r="N1310" s="27"/>
      <c r="O1310" s="28"/>
    </row>
    <row r="1311" spans="1:15" ht="15" customHeight="1" x14ac:dyDescent="0.3">
      <c r="A1311" s="31">
        <v>46023</v>
      </c>
      <c r="B1311" s="27" t="s">
        <v>53</v>
      </c>
      <c r="C1311" s="27" t="s">
        <v>96</v>
      </c>
      <c r="D1311" s="27" t="s">
        <v>97</v>
      </c>
      <c r="E1311" s="27" t="s">
        <v>98</v>
      </c>
      <c r="F1311" s="27" t="s">
        <v>57</v>
      </c>
      <c r="G1311" s="27" t="s">
        <v>78</v>
      </c>
      <c r="H1311" s="27" t="s">
        <v>59</v>
      </c>
      <c r="I1311" s="27" t="s">
        <v>60</v>
      </c>
      <c r="J1311" s="27" t="s">
        <v>61</v>
      </c>
      <c r="K1311" s="39" t="s">
        <v>62</v>
      </c>
      <c r="L1311" s="41" t="s">
        <v>63</v>
      </c>
      <c r="M1311" s="27"/>
      <c r="N1311" s="27"/>
      <c r="O1311" s="28"/>
    </row>
    <row r="1312" spans="1:15" ht="15" customHeight="1" x14ac:dyDescent="0.3">
      <c r="A1312" s="31">
        <v>46023</v>
      </c>
      <c r="B1312" s="27" t="s">
        <v>53</v>
      </c>
      <c r="C1312" s="27" t="s">
        <v>99</v>
      </c>
      <c r="D1312" s="27" t="s">
        <v>100</v>
      </c>
      <c r="E1312" s="27" t="s">
        <v>98</v>
      </c>
      <c r="F1312" s="27" t="s">
        <v>57</v>
      </c>
      <c r="G1312" s="27" t="s">
        <v>78</v>
      </c>
      <c r="H1312" s="27" t="s">
        <v>59</v>
      </c>
      <c r="I1312" s="27" t="s">
        <v>60</v>
      </c>
      <c r="J1312" s="27" t="s">
        <v>61</v>
      </c>
      <c r="K1312" s="39" t="s">
        <v>62</v>
      </c>
      <c r="L1312" s="41" t="s">
        <v>63</v>
      </c>
      <c r="M1312" s="27"/>
      <c r="N1312" s="27"/>
      <c r="O1312" s="28"/>
    </row>
    <row r="1313" spans="1:15" ht="15" customHeight="1" x14ac:dyDescent="0.3">
      <c r="A1313" s="31">
        <v>46023</v>
      </c>
      <c r="B1313" s="27" t="s">
        <v>53</v>
      </c>
      <c r="C1313" s="27" t="s">
        <v>101</v>
      </c>
      <c r="D1313" s="27" t="s">
        <v>102</v>
      </c>
      <c r="E1313" s="27" t="s">
        <v>98</v>
      </c>
      <c r="F1313" s="27" t="s">
        <v>57</v>
      </c>
      <c r="G1313" s="27" t="s">
        <v>78</v>
      </c>
      <c r="H1313" s="27" t="s">
        <v>59</v>
      </c>
      <c r="I1313" s="27" t="s">
        <v>60</v>
      </c>
      <c r="J1313" s="27" t="s">
        <v>61</v>
      </c>
      <c r="K1313" s="39" t="s">
        <v>62</v>
      </c>
      <c r="L1313" s="41" t="s">
        <v>63</v>
      </c>
      <c r="M1313" s="27"/>
      <c r="N1313" s="27"/>
      <c r="O1313" s="28"/>
    </row>
    <row r="1314" spans="1:15" ht="15" customHeight="1" x14ac:dyDescent="0.3">
      <c r="A1314" s="31">
        <v>46023</v>
      </c>
      <c r="B1314" s="27" t="s">
        <v>53</v>
      </c>
      <c r="C1314" s="27" t="s">
        <v>103</v>
      </c>
      <c r="D1314" s="27" t="s">
        <v>104</v>
      </c>
      <c r="E1314" s="27" t="s">
        <v>59</v>
      </c>
      <c r="F1314" s="27" t="s">
        <v>57</v>
      </c>
      <c r="G1314" s="27" t="s">
        <v>105</v>
      </c>
      <c r="H1314" s="27" t="s">
        <v>59</v>
      </c>
      <c r="I1314" s="27" t="s">
        <v>60</v>
      </c>
      <c r="J1314" s="27" t="s">
        <v>106</v>
      </c>
      <c r="K1314" s="39" t="s">
        <v>62</v>
      </c>
      <c r="L1314" s="41" t="s">
        <v>63</v>
      </c>
      <c r="M1314" s="27"/>
      <c r="N1314" s="27"/>
      <c r="O1314" s="28"/>
    </row>
    <row r="1315" spans="1:15" ht="15" customHeight="1" x14ac:dyDescent="0.3">
      <c r="A1315" s="31">
        <v>46023</v>
      </c>
      <c r="B1315" s="27" t="s">
        <v>53</v>
      </c>
      <c r="C1315" s="27" t="s">
        <v>107</v>
      </c>
      <c r="D1315" s="27" t="s">
        <v>108</v>
      </c>
      <c r="E1315" s="27" t="s">
        <v>59</v>
      </c>
      <c r="F1315" s="27" t="s">
        <v>57</v>
      </c>
      <c r="G1315" s="27" t="s">
        <v>78</v>
      </c>
      <c r="H1315" s="27" t="s">
        <v>59</v>
      </c>
      <c r="I1315" s="27" t="s">
        <v>60</v>
      </c>
      <c r="J1315" s="27" t="s">
        <v>61</v>
      </c>
      <c r="K1315" s="39" t="s">
        <v>62</v>
      </c>
      <c r="L1315" s="41" t="s">
        <v>63</v>
      </c>
      <c r="M1315" s="27"/>
      <c r="N1315" s="27"/>
      <c r="O1315" s="28"/>
    </row>
    <row r="1316" spans="1:15" ht="15" customHeight="1" x14ac:dyDescent="0.3">
      <c r="A1316" s="31">
        <v>46023</v>
      </c>
      <c r="B1316" s="27" t="s">
        <v>53</v>
      </c>
      <c r="C1316" s="27" t="s">
        <v>109</v>
      </c>
      <c r="D1316" s="27" t="s">
        <v>110</v>
      </c>
      <c r="E1316" s="27" t="s">
        <v>59</v>
      </c>
      <c r="F1316" s="27" t="s">
        <v>57</v>
      </c>
      <c r="G1316" s="27" t="s">
        <v>78</v>
      </c>
      <c r="H1316" s="27" t="s">
        <v>59</v>
      </c>
      <c r="I1316" s="27" t="s">
        <v>60</v>
      </c>
      <c r="J1316" s="27" t="s">
        <v>111</v>
      </c>
      <c r="K1316" s="39" t="s">
        <v>62</v>
      </c>
      <c r="L1316" s="41" t="s">
        <v>112</v>
      </c>
      <c r="M1316" s="27"/>
      <c r="N1316" s="27"/>
      <c r="O1316" s="28"/>
    </row>
    <row r="1317" spans="1:15" ht="15" customHeight="1" x14ac:dyDescent="0.3">
      <c r="A1317" s="31">
        <v>46023</v>
      </c>
      <c r="B1317" s="27" t="s">
        <v>53</v>
      </c>
      <c r="C1317" s="27" t="s">
        <v>113</v>
      </c>
      <c r="D1317" s="27" t="s">
        <v>114</v>
      </c>
      <c r="E1317" s="27" t="s">
        <v>59</v>
      </c>
      <c r="F1317" s="27" t="s">
        <v>57</v>
      </c>
      <c r="G1317" s="27" t="s">
        <v>115</v>
      </c>
      <c r="H1317" s="27" t="s">
        <v>59</v>
      </c>
      <c r="I1317" s="27" t="s">
        <v>116</v>
      </c>
      <c r="J1317" s="27" t="s">
        <v>61</v>
      </c>
      <c r="K1317" s="39" t="s">
        <v>62</v>
      </c>
      <c r="L1317" s="41" t="s">
        <v>63</v>
      </c>
      <c r="M1317" s="27"/>
      <c r="N1317" s="27"/>
      <c r="O1317" s="28"/>
    </row>
    <row r="1318" spans="1:15" ht="15" customHeight="1" x14ac:dyDescent="0.3">
      <c r="A1318" s="31">
        <v>46023</v>
      </c>
      <c r="B1318" s="27" t="s">
        <v>53</v>
      </c>
      <c r="C1318" s="27" t="s">
        <v>117</v>
      </c>
      <c r="D1318" s="27" t="s">
        <v>118</v>
      </c>
      <c r="E1318" s="27" t="s">
        <v>59</v>
      </c>
      <c r="F1318" s="27" t="s">
        <v>57</v>
      </c>
      <c r="G1318" s="27" t="s">
        <v>105</v>
      </c>
      <c r="H1318" s="27" t="s">
        <v>59</v>
      </c>
      <c r="I1318" s="27" t="s">
        <v>116</v>
      </c>
      <c r="J1318" s="27" t="s">
        <v>61</v>
      </c>
      <c r="K1318" s="39" t="s">
        <v>62</v>
      </c>
      <c r="L1318" s="41" t="s">
        <v>63</v>
      </c>
      <c r="M1318" s="27"/>
      <c r="N1318" s="27"/>
      <c r="O1318" s="28"/>
    </row>
    <row r="1319" spans="1:15" ht="15" customHeight="1" x14ac:dyDescent="0.3">
      <c r="A1319" s="31">
        <v>46023</v>
      </c>
      <c r="B1319" s="27" t="s">
        <v>53</v>
      </c>
      <c r="C1319" s="27" t="s">
        <v>119</v>
      </c>
      <c r="D1319" s="27" t="s">
        <v>120</v>
      </c>
      <c r="E1319" s="27" t="s">
        <v>59</v>
      </c>
      <c r="F1319" s="27" t="s">
        <v>57</v>
      </c>
      <c r="G1319" s="27" t="s">
        <v>105</v>
      </c>
      <c r="H1319" s="27" t="s">
        <v>59</v>
      </c>
      <c r="I1319" s="27" t="s">
        <v>116</v>
      </c>
      <c r="J1319" s="27" t="s">
        <v>61</v>
      </c>
      <c r="K1319" s="39" t="s">
        <v>62</v>
      </c>
      <c r="L1319" s="41" t="s">
        <v>63</v>
      </c>
      <c r="M1319" s="27"/>
      <c r="N1319" s="27"/>
      <c r="O1319" s="28"/>
    </row>
    <row r="1320" spans="1:15" ht="15" customHeight="1" x14ac:dyDescent="0.3">
      <c r="A1320" s="31">
        <v>46023</v>
      </c>
      <c r="B1320" s="27" t="s">
        <v>53</v>
      </c>
      <c r="C1320" s="27" t="s">
        <v>121</v>
      </c>
      <c r="D1320" s="27" t="s">
        <v>122</v>
      </c>
      <c r="E1320" s="27" t="s">
        <v>59</v>
      </c>
      <c r="F1320" s="27" t="s">
        <v>57</v>
      </c>
      <c r="G1320" s="27" t="s">
        <v>105</v>
      </c>
      <c r="H1320" s="27" t="s">
        <v>59</v>
      </c>
      <c r="I1320" s="27" t="s">
        <v>116</v>
      </c>
      <c r="J1320" s="27" t="s">
        <v>61</v>
      </c>
      <c r="K1320" s="39" t="s">
        <v>62</v>
      </c>
      <c r="L1320" s="41" t="s">
        <v>63</v>
      </c>
      <c r="M1320" s="27"/>
      <c r="N1320" s="27"/>
      <c r="O1320" s="28"/>
    </row>
    <row r="1321" spans="1:15" ht="15" customHeight="1" x14ac:dyDescent="0.3">
      <c r="A1321" s="31">
        <v>46023</v>
      </c>
      <c r="B1321" s="27" t="s">
        <v>53</v>
      </c>
      <c r="C1321" s="27" t="s">
        <v>123</v>
      </c>
      <c r="D1321" s="27" t="s">
        <v>124</v>
      </c>
      <c r="E1321" s="27" t="s">
        <v>125</v>
      </c>
      <c r="F1321" s="27" t="s">
        <v>57</v>
      </c>
      <c r="G1321" s="27" t="s">
        <v>126</v>
      </c>
      <c r="H1321" s="27" t="s">
        <v>59</v>
      </c>
      <c r="I1321" s="27" t="s">
        <v>60</v>
      </c>
      <c r="J1321" s="27" t="s">
        <v>127</v>
      </c>
      <c r="K1321" s="39" t="s">
        <v>128</v>
      </c>
      <c r="L1321" s="41" t="s">
        <v>129</v>
      </c>
      <c r="M1321" s="27"/>
      <c r="N1321" s="27"/>
      <c r="O1321" s="28"/>
    </row>
    <row r="1322" spans="1:15" ht="15" customHeight="1" x14ac:dyDescent="0.3">
      <c r="A1322" s="31">
        <v>46023</v>
      </c>
      <c r="B1322" s="27" t="s">
        <v>53</v>
      </c>
      <c r="C1322" s="27" t="s">
        <v>130</v>
      </c>
      <c r="D1322" s="27" t="s">
        <v>131</v>
      </c>
      <c r="E1322" s="27" t="s">
        <v>132</v>
      </c>
      <c r="F1322" s="27" t="s">
        <v>57</v>
      </c>
      <c r="G1322" s="27" t="s">
        <v>126</v>
      </c>
      <c r="H1322" s="27" t="s">
        <v>59</v>
      </c>
      <c r="I1322" s="27" t="s">
        <v>60</v>
      </c>
      <c r="J1322" s="27" t="s">
        <v>127</v>
      </c>
      <c r="K1322" s="39" t="s">
        <v>128</v>
      </c>
      <c r="L1322" s="41" t="s">
        <v>129</v>
      </c>
      <c r="M1322" s="27"/>
      <c r="N1322" s="27"/>
      <c r="O1322" s="28"/>
    </row>
    <row r="1323" spans="1:15" ht="15" customHeight="1" x14ac:dyDescent="0.3">
      <c r="A1323" s="31">
        <v>46023</v>
      </c>
      <c r="B1323" s="27" t="s">
        <v>53</v>
      </c>
      <c r="C1323" s="27" t="s">
        <v>133</v>
      </c>
      <c r="D1323" s="27" t="s">
        <v>134</v>
      </c>
      <c r="E1323" s="27" t="s">
        <v>135</v>
      </c>
      <c r="F1323" s="27" t="s">
        <v>57</v>
      </c>
      <c r="G1323" s="27" t="s">
        <v>136</v>
      </c>
      <c r="H1323" s="27" t="s">
        <v>59</v>
      </c>
      <c r="I1323" s="27" t="s">
        <v>60</v>
      </c>
      <c r="J1323" s="27" t="s">
        <v>127</v>
      </c>
      <c r="K1323" s="39" t="s">
        <v>137</v>
      </c>
      <c r="L1323" s="41" t="s">
        <v>129</v>
      </c>
      <c r="M1323" s="27"/>
      <c r="N1323" s="27"/>
      <c r="O1323" s="28"/>
    </row>
    <row r="1324" spans="1:15" ht="15" customHeight="1" x14ac:dyDescent="0.3">
      <c r="A1324" s="31">
        <v>46023</v>
      </c>
      <c r="B1324" s="27" t="s">
        <v>53</v>
      </c>
      <c r="C1324" s="27" t="s">
        <v>138</v>
      </c>
      <c r="D1324" s="27" t="s">
        <v>139</v>
      </c>
      <c r="E1324" s="27" t="s">
        <v>135</v>
      </c>
      <c r="F1324" s="27" t="s">
        <v>57</v>
      </c>
      <c r="G1324" s="27" t="s">
        <v>136</v>
      </c>
      <c r="H1324" s="27" t="s">
        <v>59</v>
      </c>
      <c r="I1324" s="27" t="s">
        <v>60</v>
      </c>
      <c r="J1324" s="27" t="s">
        <v>127</v>
      </c>
      <c r="K1324" s="39" t="s">
        <v>137</v>
      </c>
      <c r="L1324" s="41" t="s">
        <v>129</v>
      </c>
      <c r="M1324" s="27"/>
      <c r="N1324" s="27"/>
      <c r="O1324" s="28"/>
    </row>
    <row r="1325" spans="1:15" ht="15" customHeight="1" x14ac:dyDescent="0.3">
      <c r="A1325" s="31">
        <v>46023</v>
      </c>
      <c r="B1325" s="27" t="s">
        <v>53</v>
      </c>
      <c r="C1325" s="27" t="s">
        <v>140</v>
      </c>
      <c r="D1325" s="27" t="s">
        <v>141</v>
      </c>
      <c r="E1325" s="27" t="s">
        <v>142</v>
      </c>
      <c r="F1325" s="27" t="s">
        <v>57</v>
      </c>
      <c r="G1325" s="27" t="s">
        <v>115</v>
      </c>
      <c r="H1325" s="27" t="s">
        <v>59</v>
      </c>
      <c r="I1325" s="27" t="s">
        <v>143</v>
      </c>
      <c r="J1325" s="27" t="s">
        <v>144</v>
      </c>
      <c r="K1325" s="39" t="s">
        <v>145</v>
      </c>
      <c r="L1325" s="41" t="s">
        <v>146</v>
      </c>
      <c r="M1325" s="27"/>
      <c r="N1325" s="27"/>
      <c r="O1325" s="28"/>
    </row>
    <row r="1326" spans="1:15" ht="15" customHeight="1" x14ac:dyDescent="0.3">
      <c r="A1326" s="31">
        <v>46023</v>
      </c>
      <c r="B1326" s="27" t="s">
        <v>53</v>
      </c>
      <c r="C1326" s="27" t="s">
        <v>147</v>
      </c>
      <c r="D1326" s="27" t="s">
        <v>148</v>
      </c>
      <c r="E1326" s="27" t="s">
        <v>149</v>
      </c>
      <c r="F1326" s="27" t="s">
        <v>57</v>
      </c>
      <c r="G1326" s="27" t="s">
        <v>115</v>
      </c>
      <c r="H1326" s="27" t="s">
        <v>59</v>
      </c>
      <c r="I1326" s="27" t="s">
        <v>143</v>
      </c>
      <c r="J1326" s="27" t="s">
        <v>61</v>
      </c>
      <c r="K1326" s="39" t="s">
        <v>150</v>
      </c>
      <c r="L1326" s="41" t="s">
        <v>63</v>
      </c>
      <c r="M1326" s="27"/>
      <c r="N1326" s="27"/>
      <c r="O1326" s="28"/>
    </row>
    <row r="1327" spans="1:15" ht="15" customHeight="1" x14ac:dyDescent="0.3">
      <c r="A1327" s="31">
        <v>46023</v>
      </c>
      <c r="B1327" s="27" t="s">
        <v>53</v>
      </c>
      <c r="C1327" s="27" t="s">
        <v>151</v>
      </c>
      <c r="D1327" s="27" t="s">
        <v>152</v>
      </c>
      <c r="E1327" s="27" t="s">
        <v>153</v>
      </c>
      <c r="F1327" s="27" t="s">
        <v>57</v>
      </c>
      <c r="G1327" s="27" t="s">
        <v>115</v>
      </c>
      <c r="H1327" s="27" t="s">
        <v>59</v>
      </c>
      <c r="I1327" s="27" t="s">
        <v>143</v>
      </c>
      <c r="J1327" s="27" t="s">
        <v>61</v>
      </c>
      <c r="K1327" s="39" t="s">
        <v>150</v>
      </c>
      <c r="L1327" s="41" t="s">
        <v>63</v>
      </c>
      <c r="M1327" s="27"/>
      <c r="N1327" s="27"/>
      <c r="O1327" s="28"/>
    </row>
    <row r="1328" spans="1:15" ht="15" customHeight="1" x14ac:dyDescent="0.3">
      <c r="A1328" s="31">
        <v>46023</v>
      </c>
      <c r="B1328" s="27" t="s">
        <v>53</v>
      </c>
      <c r="C1328" s="27" t="s">
        <v>154</v>
      </c>
      <c r="D1328" s="27" t="s">
        <v>155</v>
      </c>
      <c r="E1328" s="27" t="s">
        <v>156</v>
      </c>
      <c r="F1328" s="27" t="s">
        <v>57</v>
      </c>
      <c r="G1328" s="27" t="s">
        <v>115</v>
      </c>
      <c r="H1328" s="27" t="s">
        <v>59</v>
      </c>
      <c r="I1328" s="27" t="s">
        <v>143</v>
      </c>
      <c r="J1328" s="27" t="s">
        <v>61</v>
      </c>
      <c r="K1328" s="39" t="s">
        <v>150</v>
      </c>
      <c r="L1328" s="41" t="s">
        <v>63</v>
      </c>
      <c r="M1328" s="27"/>
      <c r="N1328" s="27"/>
      <c r="O1328" s="28"/>
    </row>
    <row r="1329" spans="1:15" ht="15" customHeight="1" x14ac:dyDescent="0.3">
      <c r="A1329" s="31">
        <v>46023</v>
      </c>
      <c r="B1329" s="27" t="s">
        <v>53</v>
      </c>
      <c r="C1329" s="27" t="s">
        <v>157</v>
      </c>
      <c r="D1329" s="27" t="s">
        <v>158</v>
      </c>
      <c r="E1329" s="27" t="s">
        <v>159</v>
      </c>
      <c r="F1329" s="27" t="s">
        <v>57</v>
      </c>
      <c r="G1329" s="27" t="s">
        <v>115</v>
      </c>
      <c r="H1329" s="27" t="s">
        <v>59</v>
      </c>
      <c r="I1329" s="27" t="s">
        <v>143</v>
      </c>
      <c r="J1329" s="27" t="s">
        <v>61</v>
      </c>
      <c r="K1329" s="39" t="s">
        <v>150</v>
      </c>
      <c r="L1329" s="41" t="s">
        <v>63</v>
      </c>
      <c r="M1329" s="27"/>
      <c r="N1329" s="27"/>
      <c r="O1329" s="28"/>
    </row>
    <row r="1330" spans="1:15" ht="15" customHeight="1" x14ac:dyDescent="0.3">
      <c r="A1330" s="31">
        <v>46023</v>
      </c>
      <c r="B1330" s="27" t="s">
        <v>53</v>
      </c>
      <c r="C1330" s="27" t="s">
        <v>160</v>
      </c>
      <c r="D1330" s="27" t="s">
        <v>161</v>
      </c>
      <c r="E1330" s="27" t="s">
        <v>159</v>
      </c>
      <c r="F1330" s="27" t="s">
        <v>57</v>
      </c>
      <c r="G1330" s="27" t="s">
        <v>115</v>
      </c>
      <c r="H1330" s="27" t="s">
        <v>59</v>
      </c>
      <c r="I1330" s="27" t="s">
        <v>143</v>
      </c>
      <c r="J1330" s="27" t="s">
        <v>61</v>
      </c>
      <c r="K1330" s="39" t="s">
        <v>150</v>
      </c>
      <c r="L1330" s="41" t="s">
        <v>63</v>
      </c>
      <c r="M1330" s="27"/>
      <c r="N1330" s="27"/>
      <c r="O1330" s="28"/>
    </row>
    <row r="1331" spans="1:15" ht="15" customHeight="1" x14ac:dyDescent="0.3">
      <c r="A1331" s="31">
        <v>46023</v>
      </c>
      <c r="B1331" s="27" t="s">
        <v>53</v>
      </c>
      <c r="C1331" s="27" t="s">
        <v>162</v>
      </c>
      <c r="D1331" s="27" t="s">
        <v>163</v>
      </c>
      <c r="E1331" s="27" t="s">
        <v>164</v>
      </c>
      <c r="F1331" s="27" t="s">
        <v>57</v>
      </c>
      <c r="G1331" s="27" t="s">
        <v>115</v>
      </c>
      <c r="H1331" s="27" t="s">
        <v>59</v>
      </c>
      <c r="I1331" s="27" t="s">
        <v>143</v>
      </c>
      <c r="J1331" s="27" t="s">
        <v>61</v>
      </c>
      <c r="K1331" s="39" t="s">
        <v>150</v>
      </c>
      <c r="L1331" s="41" t="s">
        <v>63</v>
      </c>
      <c r="M1331" s="27"/>
      <c r="N1331" s="27"/>
      <c r="O1331" s="28"/>
    </row>
    <row r="1332" spans="1:15" ht="15" customHeight="1" x14ac:dyDescent="0.3">
      <c r="A1332" s="31">
        <v>46023</v>
      </c>
      <c r="B1332" s="27" t="s">
        <v>53</v>
      </c>
      <c r="C1332" s="27" t="s">
        <v>165</v>
      </c>
      <c r="D1332" s="27" t="s">
        <v>166</v>
      </c>
      <c r="E1332" s="27" t="s">
        <v>167</v>
      </c>
      <c r="F1332" s="27" t="s">
        <v>57</v>
      </c>
      <c r="G1332" s="27" t="s">
        <v>115</v>
      </c>
      <c r="H1332" s="27" t="s">
        <v>59</v>
      </c>
      <c r="I1332" s="27" t="s">
        <v>143</v>
      </c>
      <c r="J1332" s="27" t="s">
        <v>61</v>
      </c>
      <c r="K1332" s="39" t="s">
        <v>150</v>
      </c>
      <c r="L1332" s="41" t="s">
        <v>63</v>
      </c>
      <c r="M1332" s="27"/>
      <c r="N1332" s="27"/>
      <c r="O1332" s="28"/>
    </row>
    <row r="1333" spans="1:15" ht="15" customHeight="1" x14ac:dyDescent="0.3">
      <c r="A1333" s="31">
        <v>46023</v>
      </c>
      <c r="B1333" s="27" t="s">
        <v>53</v>
      </c>
      <c r="C1333" s="27" t="s">
        <v>168</v>
      </c>
      <c r="D1333" s="27" t="s">
        <v>169</v>
      </c>
      <c r="E1333" s="27" t="s">
        <v>170</v>
      </c>
      <c r="F1333" s="27" t="s">
        <v>57</v>
      </c>
      <c r="G1333" s="27" t="s">
        <v>115</v>
      </c>
      <c r="H1333" s="27" t="s">
        <v>59</v>
      </c>
      <c r="I1333" s="27" t="s">
        <v>143</v>
      </c>
      <c r="J1333" s="27" t="s">
        <v>61</v>
      </c>
      <c r="K1333" s="39" t="s">
        <v>150</v>
      </c>
      <c r="L1333" s="41" t="s">
        <v>63</v>
      </c>
      <c r="M1333" s="27"/>
      <c r="N1333" s="27"/>
      <c r="O1333" s="28"/>
    </row>
    <row r="1334" spans="1:15" ht="15" customHeight="1" x14ac:dyDescent="0.3">
      <c r="A1334" s="31">
        <v>46023</v>
      </c>
      <c r="B1334" s="27" t="s">
        <v>53</v>
      </c>
      <c r="C1334" s="27" t="s">
        <v>171</v>
      </c>
      <c r="D1334" s="27" t="s">
        <v>172</v>
      </c>
      <c r="E1334" s="27" t="s">
        <v>167</v>
      </c>
      <c r="F1334" s="27" t="s">
        <v>57</v>
      </c>
      <c r="G1334" s="27" t="s">
        <v>115</v>
      </c>
      <c r="H1334" s="27" t="s">
        <v>59</v>
      </c>
      <c r="I1334" s="27" t="s">
        <v>143</v>
      </c>
      <c r="J1334" s="27" t="s">
        <v>61</v>
      </c>
      <c r="K1334" s="39" t="s">
        <v>150</v>
      </c>
      <c r="L1334" s="41" t="s">
        <v>63</v>
      </c>
      <c r="M1334" s="27"/>
      <c r="N1334" s="27"/>
      <c r="O1334" s="28"/>
    </row>
    <row r="1335" spans="1:15" ht="15" customHeight="1" x14ac:dyDescent="0.3">
      <c r="A1335" s="31">
        <v>46023</v>
      </c>
      <c r="B1335" s="27" t="s">
        <v>53</v>
      </c>
      <c r="C1335" s="27" t="s">
        <v>173</v>
      </c>
      <c r="D1335" s="27" t="s">
        <v>174</v>
      </c>
      <c r="E1335" s="27" t="s">
        <v>159</v>
      </c>
      <c r="F1335" s="27" t="s">
        <v>57</v>
      </c>
      <c r="G1335" s="27" t="s">
        <v>115</v>
      </c>
      <c r="H1335" s="27" t="s">
        <v>59</v>
      </c>
      <c r="I1335" s="27" t="s">
        <v>143</v>
      </c>
      <c r="J1335" s="27" t="s">
        <v>61</v>
      </c>
      <c r="K1335" s="39" t="s">
        <v>150</v>
      </c>
      <c r="L1335" s="41" t="s">
        <v>63</v>
      </c>
      <c r="M1335" s="27"/>
      <c r="N1335" s="27"/>
      <c r="O1335" s="28"/>
    </row>
    <row r="1336" spans="1:15" ht="15" customHeight="1" x14ac:dyDescent="0.3">
      <c r="A1336" s="31">
        <v>46023</v>
      </c>
      <c r="B1336" s="27" t="s">
        <v>53</v>
      </c>
      <c r="C1336" s="27" t="s">
        <v>175</v>
      </c>
      <c r="D1336" s="27" t="s">
        <v>176</v>
      </c>
      <c r="E1336" s="27" t="s">
        <v>177</v>
      </c>
      <c r="F1336" s="27" t="s">
        <v>57</v>
      </c>
      <c r="G1336" s="27" t="s">
        <v>115</v>
      </c>
      <c r="H1336" s="27" t="s">
        <v>59</v>
      </c>
      <c r="I1336" s="27" t="s">
        <v>143</v>
      </c>
      <c r="J1336" s="27" t="s">
        <v>61</v>
      </c>
      <c r="K1336" s="39" t="s">
        <v>150</v>
      </c>
      <c r="L1336" s="41" t="s">
        <v>63</v>
      </c>
      <c r="M1336" s="27"/>
      <c r="N1336" s="27"/>
      <c r="O1336" s="28"/>
    </row>
    <row r="1337" spans="1:15" ht="15" customHeight="1" x14ac:dyDescent="0.3">
      <c r="A1337" s="31">
        <v>46023</v>
      </c>
      <c r="B1337" s="27" t="s">
        <v>53</v>
      </c>
      <c r="C1337" s="27" t="s">
        <v>178</v>
      </c>
      <c r="D1337" s="27" t="s">
        <v>179</v>
      </c>
      <c r="E1337" s="27" t="s">
        <v>177</v>
      </c>
      <c r="F1337" s="27" t="s">
        <v>57</v>
      </c>
      <c r="G1337" s="27" t="s">
        <v>115</v>
      </c>
      <c r="H1337" s="27" t="s">
        <v>59</v>
      </c>
      <c r="I1337" s="27" t="s">
        <v>143</v>
      </c>
      <c r="J1337" s="27" t="s">
        <v>61</v>
      </c>
      <c r="K1337" s="39" t="s">
        <v>150</v>
      </c>
      <c r="L1337" s="41" t="s">
        <v>63</v>
      </c>
      <c r="M1337" s="27"/>
      <c r="N1337" s="27"/>
      <c r="O1337" s="28"/>
    </row>
    <row r="1338" spans="1:15" ht="15" customHeight="1" x14ac:dyDescent="0.3">
      <c r="A1338" s="31">
        <v>46023</v>
      </c>
      <c r="B1338" s="27" t="s">
        <v>53</v>
      </c>
      <c r="C1338" s="27" t="s">
        <v>180</v>
      </c>
      <c r="D1338" s="27" t="s">
        <v>181</v>
      </c>
      <c r="E1338" s="27" t="s">
        <v>182</v>
      </c>
      <c r="F1338" s="27" t="s">
        <v>57</v>
      </c>
      <c r="G1338" s="27" t="s">
        <v>115</v>
      </c>
      <c r="H1338" s="27" t="s">
        <v>59</v>
      </c>
      <c r="I1338" s="27" t="s">
        <v>143</v>
      </c>
      <c r="J1338" s="27" t="s">
        <v>61</v>
      </c>
      <c r="K1338" s="39" t="s">
        <v>150</v>
      </c>
      <c r="L1338" s="41" t="s">
        <v>63</v>
      </c>
      <c r="M1338" s="27"/>
      <c r="N1338" s="27"/>
      <c r="O1338" s="28"/>
    </row>
    <row r="1339" spans="1:15" ht="15" customHeight="1" x14ac:dyDescent="0.3">
      <c r="A1339" s="31">
        <v>46023</v>
      </c>
      <c r="B1339" s="27" t="s">
        <v>53</v>
      </c>
      <c r="C1339" s="27" t="s">
        <v>183</v>
      </c>
      <c r="D1339" s="27" t="s">
        <v>184</v>
      </c>
      <c r="E1339" s="27" t="s">
        <v>185</v>
      </c>
      <c r="F1339" s="27" t="s">
        <v>57</v>
      </c>
      <c r="G1339" s="27" t="s">
        <v>115</v>
      </c>
      <c r="H1339" s="27" t="s">
        <v>59</v>
      </c>
      <c r="I1339" s="27" t="s">
        <v>143</v>
      </c>
      <c r="J1339" s="27" t="s">
        <v>61</v>
      </c>
      <c r="K1339" s="39" t="s">
        <v>150</v>
      </c>
      <c r="L1339" s="41" t="s">
        <v>63</v>
      </c>
      <c r="M1339" s="27"/>
      <c r="N1339" s="27"/>
      <c r="O1339" s="28"/>
    </row>
    <row r="1340" spans="1:15" ht="15" customHeight="1" x14ac:dyDescent="0.3">
      <c r="A1340" s="31">
        <v>46023</v>
      </c>
      <c r="B1340" s="27" t="s">
        <v>53</v>
      </c>
      <c r="C1340" s="27" t="s">
        <v>186</v>
      </c>
      <c r="D1340" s="27" t="s">
        <v>187</v>
      </c>
      <c r="E1340" s="27" t="s">
        <v>188</v>
      </c>
      <c r="F1340" s="27" t="s">
        <v>57</v>
      </c>
      <c r="G1340" s="27" t="s">
        <v>115</v>
      </c>
      <c r="H1340" s="27" t="s">
        <v>59</v>
      </c>
      <c r="I1340" s="27" t="s">
        <v>143</v>
      </c>
      <c r="J1340" s="27" t="s">
        <v>61</v>
      </c>
      <c r="K1340" s="39" t="s">
        <v>150</v>
      </c>
      <c r="L1340" s="41" t="s">
        <v>63</v>
      </c>
      <c r="M1340" s="27"/>
      <c r="N1340" s="27"/>
      <c r="O1340" s="28"/>
    </row>
    <row r="1341" spans="1:15" ht="15" customHeight="1" x14ac:dyDescent="0.3">
      <c r="A1341" s="31">
        <v>46023</v>
      </c>
      <c r="B1341" s="27" t="s">
        <v>53</v>
      </c>
      <c r="C1341" s="27" t="s">
        <v>189</v>
      </c>
      <c r="D1341" s="27" t="s">
        <v>190</v>
      </c>
      <c r="E1341" s="27" t="s">
        <v>191</v>
      </c>
      <c r="F1341" s="27" t="s">
        <v>57</v>
      </c>
      <c r="G1341" s="27" t="s">
        <v>115</v>
      </c>
      <c r="H1341" s="27" t="s">
        <v>59</v>
      </c>
      <c r="I1341" s="27" t="s">
        <v>143</v>
      </c>
      <c r="J1341" s="27" t="s">
        <v>61</v>
      </c>
      <c r="K1341" s="39" t="s">
        <v>150</v>
      </c>
      <c r="L1341" s="41" t="s">
        <v>63</v>
      </c>
      <c r="M1341" s="27"/>
      <c r="N1341" s="27"/>
      <c r="O1341" s="28"/>
    </row>
    <row r="1342" spans="1:15" ht="15" customHeight="1" x14ac:dyDescent="0.3">
      <c r="A1342" s="31">
        <v>46023</v>
      </c>
      <c r="B1342" s="27" t="s">
        <v>53</v>
      </c>
      <c r="C1342" s="27" t="s">
        <v>192</v>
      </c>
      <c r="D1342" s="27" t="s">
        <v>193</v>
      </c>
      <c r="E1342" s="27" t="s">
        <v>153</v>
      </c>
      <c r="F1342" s="27" t="s">
        <v>57</v>
      </c>
      <c r="G1342" s="27" t="s">
        <v>115</v>
      </c>
      <c r="H1342" s="27" t="s">
        <v>59</v>
      </c>
      <c r="I1342" s="27" t="s">
        <v>143</v>
      </c>
      <c r="J1342" s="27" t="s">
        <v>61</v>
      </c>
      <c r="K1342" s="39" t="s">
        <v>150</v>
      </c>
      <c r="L1342" s="41" t="s">
        <v>63</v>
      </c>
      <c r="M1342" s="27"/>
      <c r="N1342" s="27"/>
      <c r="O1342" s="28"/>
    </row>
    <row r="1343" spans="1:15" ht="15" customHeight="1" x14ac:dyDescent="0.3">
      <c r="A1343" s="31">
        <v>46023</v>
      </c>
      <c r="B1343" s="27" t="s">
        <v>53</v>
      </c>
      <c r="C1343" s="27" t="s">
        <v>194</v>
      </c>
      <c r="D1343" s="27" t="s">
        <v>195</v>
      </c>
      <c r="E1343" s="27" t="s">
        <v>185</v>
      </c>
      <c r="F1343" s="27" t="s">
        <v>57</v>
      </c>
      <c r="G1343" s="27" t="s">
        <v>115</v>
      </c>
      <c r="H1343" s="27" t="s">
        <v>59</v>
      </c>
      <c r="I1343" s="27" t="s">
        <v>143</v>
      </c>
      <c r="J1343" s="27" t="s">
        <v>61</v>
      </c>
      <c r="K1343" s="39" t="s">
        <v>150</v>
      </c>
      <c r="L1343" s="41" t="s">
        <v>63</v>
      </c>
      <c r="M1343" s="27"/>
      <c r="N1343" s="27"/>
      <c r="O1343" s="28"/>
    </row>
    <row r="1344" spans="1:15" ht="15" customHeight="1" x14ac:dyDescent="0.3">
      <c r="A1344" s="31">
        <v>46023</v>
      </c>
      <c r="B1344" s="27" t="s">
        <v>53</v>
      </c>
      <c r="C1344" s="27" t="s">
        <v>196</v>
      </c>
      <c r="D1344" s="27" t="s">
        <v>197</v>
      </c>
      <c r="E1344" s="27" t="s">
        <v>185</v>
      </c>
      <c r="F1344" s="27" t="s">
        <v>57</v>
      </c>
      <c r="G1344" s="27" t="s">
        <v>115</v>
      </c>
      <c r="H1344" s="27" t="s">
        <v>59</v>
      </c>
      <c r="I1344" s="27" t="s">
        <v>143</v>
      </c>
      <c r="J1344" s="27" t="s">
        <v>61</v>
      </c>
      <c r="K1344" s="39" t="s">
        <v>150</v>
      </c>
      <c r="L1344" s="41" t="s">
        <v>63</v>
      </c>
      <c r="M1344" s="27"/>
      <c r="N1344" s="27"/>
      <c r="O1344" s="28"/>
    </row>
    <row r="1345" spans="1:15" ht="15" customHeight="1" x14ac:dyDescent="0.3">
      <c r="A1345" s="31">
        <v>46023</v>
      </c>
      <c r="B1345" s="27" t="s">
        <v>53</v>
      </c>
      <c r="C1345" s="27" t="s">
        <v>198</v>
      </c>
      <c r="D1345" s="27" t="s">
        <v>199</v>
      </c>
      <c r="E1345" s="27" t="s">
        <v>159</v>
      </c>
      <c r="F1345" s="27" t="s">
        <v>57</v>
      </c>
      <c r="G1345" s="27" t="s">
        <v>115</v>
      </c>
      <c r="H1345" s="27" t="s">
        <v>59</v>
      </c>
      <c r="I1345" s="27" t="s">
        <v>143</v>
      </c>
      <c r="J1345" s="27" t="s">
        <v>61</v>
      </c>
      <c r="K1345" s="39" t="s">
        <v>150</v>
      </c>
      <c r="L1345" s="41" t="s">
        <v>63</v>
      </c>
      <c r="M1345" s="27"/>
      <c r="N1345" s="27"/>
      <c r="O1345" s="28"/>
    </row>
    <row r="1346" spans="1:15" ht="15" customHeight="1" x14ac:dyDescent="0.3">
      <c r="A1346" s="31">
        <v>46023</v>
      </c>
      <c r="B1346" s="27" t="s">
        <v>53</v>
      </c>
      <c r="C1346" s="27" t="s">
        <v>200</v>
      </c>
      <c r="D1346" s="27" t="s">
        <v>201</v>
      </c>
      <c r="E1346" s="27" t="s">
        <v>153</v>
      </c>
      <c r="F1346" s="27" t="s">
        <v>57</v>
      </c>
      <c r="G1346" s="27" t="s">
        <v>115</v>
      </c>
      <c r="H1346" s="27" t="s">
        <v>59</v>
      </c>
      <c r="I1346" s="27" t="s">
        <v>143</v>
      </c>
      <c r="J1346" s="27" t="s">
        <v>61</v>
      </c>
      <c r="K1346" s="39" t="s">
        <v>150</v>
      </c>
      <c r="L1346" s="41" t="s">
        <v>63</v>
      </c>
      <c r="M1346" s="27"/>
      <c r="N1346" s="27"/>
      <c r="O1346" s="28"/>
    </row>
    <row r="1347" spans="1:15" ht="15" customHeight="1" x14ac:dyDescent="0.3">
      <c r="A1347" s="31">
        <v>46023</v>
      </c>
      <c r="B1347" s="27" t="s">
        <v>53</v>
      </c>
      <c r="C1347" s="27" t="s">
        <v>202</v>
      </c>
      <c r="D1347" s="27" t="s">
        <v>201</v>
      </c>
      <c r="E1347" s="27" t="s">
        <v>203</v>
      </c>
      <c r="F1347" s="27" t="s">
        <v>57</v>
      </c>
      <c r="G1347" s="27" t="s">
        <v>115</v>
      </c>
      <c r="H1347" s="27" t="s">
        <v>59</v>
      </c>
      <c r="I1347" s="27" t="s">
        <v>143</v>
      </c>
      <c r="J1347" s="27" t="s">
        <v>61</v>
      </c>
      <c r="K1347" s="39" t="s">
        <v>150</v>
      </c>
      <c r="L1347" s="41" t="s">
        <v>63</v>
      </c>
      <c r="M1347" s="27"/>
      <c r="N1347" s="27"/>
      <c r="O1347" s="28"/>
    </row>
    <row r="1348" spans="1:15" ht="15" customHeight="1" x14ac:dyDescent="0.3">
      <c r="A1348" s="31">
        <v>46023</v>
      </c>
      <c r="B1348" s="27" t="s">
        <v>53</v>
      </c>
      <c r="C1348" s="27" t="s">
        <v>204</v>
      </c>
      <c r="D1348" s="27" t="s">
        <v>205</v>
      </c>
      <c r="E1348" s="27" t="s">
        <v>206</v>
      </c>
      <c r="F1348" s="27" t="s">
        <v>57</v>
      </c>
      <c r="G1348" s="27" t="s">
        <v>115</v>
      </c>
      <c r="H1348" s="27" t="s">
        <v>59</v>
      </c>
      <c r="I1348" s="27" t="s">
        <v>143</v>
      </c>
      <c r="J1348" s="27" t="s">
        <v>61</v>
      </c>
      <c r="K1348" s="39" t="s">
        <v>150</v>
      </c>
      <c r="L1348" s="41" t="s">
        <v>63</v>
      </c>
      <c r="M1348" s="27"/>
      <c r="N1348" s="27"/>
      <c r="O1348" s="28"/>
    </row>
    <row r="1349" spans="1:15" ht="15" customHeight="1" x14ac:dyDescent="0.3">
      <c r="A1349" s="31">
        <v>46023</v>
      </c>
      <c r="B1349" s="27" t="s">
        <v>53</v>
      </c>
      <c r="C1349" s="27" t="s">
        <v>207</v>
      </c>
      <c r="D1349" s="27" t="s">
        <v>205</v>
      </c>
      <c r="E1349" s="27" t="s">
        <v>59</v>
      </c>
      <c r="F1349" s="27" t="s">
        <v>57</v>
      </c>
      <c r="G1349" s="27" t="s">
        <v>115</v>
      </c>
      <c r="H1349" s="27" t="s">
        <v>59</v>
      </c>
      <c r="I1349" s="27" t="s">
        <v>143</v>
      </c>
      <c r="J1349" s="27" t="s">
        <v>61</v>
      </c>
      <c r="K1349" s="39" t="s">
        <v>150</v>
      </c>
      <c r="L1349" s="41" t="s">
        <v>63</v>
      </c>
      <c r="M1349" s="27"/>
      <c r="N1349" s="27"/>
      <c r="O1349" s="28"/>
    </row>
    <row r="1350" spans="1:15" ht="15" customHeight="1" x14ac:dyDescent="0.3">
      <c r="A1350" s="31">
        <v>46023</v>
      </c>
      <c r="B1350" s="27" t="s">
        <v>53</v>
      </c>
      <c r="C1350" s="27" t="s">
        <v>208</v>
      </c>
      <c r="D1350" s="27" t="s">
        <v>209</v>
      </c>
      <c r="E1350" s="27" t="s">
        <v>210</v>
      </c>
      <c r="F1350" s="27" t="s">
        <v>57</v>
      </c>
      <c r="G1350" s="27" t="s">
        <v>115</v>
      </c>
      <c r="H1350" s="27" t="s">
        <v>59</v>
      </c>
      <c r="I1350" s="27" t="s">
        <v>143</v>
      </c>
      <c r="J1350" s="27" t="s">
        <v>61</v>
      </c>
      <c r="K1350" s="39" t="s">
        <v>150</v>
      </c>
      <c r="L1350" s="41" t="s">
        <v>63</v>
      </c>
      <c r="M1350" s="27"/>
      <c r="N1350" s="27"/>
      <c r="O1350" s="28"/>
    </row>
    <row r="1351" spans="1:15" ht="15" customHeight="1" x14ac:dyDescent="0.3">
      <c r="A1351" s="31">
        <v>46023</v>
      </c>
      <c r="B1351" s="27" t="s">
        <v>53</v>
      </c>
      <c r="C1351" s="27" t="s">
        <v>211</v>
      </c>
      <c r="D1351" s="27" t="s">
        <v>212</v>
      </c>
      <c r="E1351" s="27" t="s">
        <v>185</v>
      </c>
      <c r="F1351" s="27" t="s">
        <v>57</v>
      </c>
      <c r="G1351" s="27" t="s">
        <v>115</v>
      </c>
      <c r="H1351" s="27" t="s">
        <v>59</v>
      </c>
      <c r="I1351" s="27" t="s">
        <v>143</v>
      </c>
      <c r="J1351" s="27" t="s">
        <v>61</v>
      </c>
      <c r="K1351" s="39" t="s">
        <v>150</v>
      </c>
      <c r="L1351" s="41" t="s">
        <v>63</v>
      </c>
      <c r="M1351" s="27"/>
      <c r="N1351" s="27"/>
      <c r="O1351" s="28"/>
    </row>
    <row r="1352" spans="1:15" ht="15" customHeight="1" x14ac:dyDescent="0.3">
      <c r="A1352" s="31">
        <v>46023</v>
      </c>
      <c r="B1352" s="27" t="s">
        <v>53</v>
      </c>
      <c r="C1352" s="27" t="s">
        <v>213</v>
      </c>
      <c r="D1352" s="27" t="s">
        <v>214</v>
      </c>
      <c r="E1352" s="27" t="s">
        <v>177</v>
      </c>
      <c r="F1352" s="27" t="s">
        <v>57</v>
      </c>
      <c r="G1352" s="27" t="s">
        <v>115</v>
      </c>
      <c r="H1352" s="27" t="s">
        <v>59</v>
      </c>
      <c r="I1352" s="27" t="s">
        <v>143</v>
      </c>
      <c r="J1352" s="27" t="s">
        <v>61</v>
      </c>
      <c r="K1352" s="39" t="s">
        <v>150</v>
      </c>
      <c r="L1352" s="41" t="s">
        <v>63</v>
      </c>
      <c r="M1352" s="27"/>
      <c r="N1352" s="27"/>
      <c r="O1352" s="28"/>
    </row>
    <row r="1353" spans="1:15" ht="15" customHeight="1" x14ac:dyDescent="0.3">
      <c r="A1353" s="31">
        <v>46023</v>
      </c>
      <c r="B1353" s="27" t="s">
        <v>53</v>
      </c>
      <c r="C1353" s="27" t="s">
        <v>215</v>
      </c>
      <c r="D1353" s="27" t="s">
        <v>216</v>
      </c>
      <c r="E1353" s="27" t="s">
        <v>177</v>
      </c>
      <c r="F1353" s="27" t="s">
        <v>57</v>
      </c>
      <c r="G1353" s="27" t="s">
        <v>115</v>
      </c>
      <c r="H1353" s="27" t="s">
        <v>59</v>
      </c>
      <c r="I1353" s="27" t="s">
        <v>143</v>
      </c>
      <c r="J1353" s="27" t="s">
        <v>217</v>
      </c>
      <c r="K1353" s="39" t="s">
        <v>150</v>
      </c>
      <c r="L1353" s="41" t="s">
        <v>63</v>
      </c>
      <c r="M1353" s="27"/>
      <c r="N1353" s="27"/>
      <c r="O1353" s="28"/>
    </row>
    <row r="1354" spans="1:15" ht="15" customHeight="1" x14ac:dyDescent="0.3">
      <c r="A1354" s="31">
        <v>46023</v>
      </c>
      <c r="B1354" s="27" t="s">
        <v>53</v>
      </c>
      <c r="C1354" s="27" t="s">
        <v>218</v>
      </c>
      <c r="D1354" s="27" t="s">
        <v>219</v>
      </c>
      <c r="E1354" s="27" t="s">
        <v>177</v>
      </c>
      <c r="F1354" s="27" t="s">
        <v>57</v>
      </c>
      <c r="G1354" s="27" t="s">
        <v>115</v>
      </c>
      <c r="H1354" s="27" t="s">
        <v>59</v>
      </c>
      <c r="I1354" s="27" t="s">
        <v>143</v>
      </c>
      <c r="J1354" s="27" t="s">
        <v>217</v>
      </c>
      <c r="K1354" s="39" t="s">
        <v>150</v>
      </c>
      <c r="L1354" s="41" t="s">
        <v>63</v>
      </c>
      <c r="M1354" s="27"/>
      <c r="N1354" s="27"/>
      <c r="O1354" s="28"/>
    </row>
    <row r="1355" spans="1:15" ht="15" customHeight="1" x14ac:dyDescent="0.3">
      <c r="A1355" s="31">
        <v>46023</v>
      </c>
      <c r="B1355" s="27" t="s">
        <v>53</v>
      </c>
      <c r="C1355" s="27" t="s">
        <v>220</v>
      </c>
      <c r="D1355" s="27" t="s">
        <v>221</v>
      </c>
      <c r="E1355" s="27" t="s">
        <v>59</v>
      </c>
      <c r="F1355" s="27" t="s">
        <v>57</v>
      </c>
      <c r="G1355" s="27" t="s">
        <v>115</v>
      </c>
      <c r="H1355" s="27" t="s">
        <v>59</v>
      </c>
      <c r="I1355" s="27" t="s">
        <v>143</v>
      </c>
      <c r="J1355" s="27" t="s">
        <v>61</v>
      </c>
      <c r="K1355" s="39" t="s">
        <v>150</v>
      </c>
      <c r="L1355" s="41" t="s">
        <v>63</v>
      </c>
      <c r="M1355" s="27"/>
      <c r="N1355" s="27"/>
      <c r="O1355" s="28"/>
    </row>
    <row r="1356" spans="1:15" ht="15" customHeight="1" x14ac:dyDescent="0.3">
      <c r="A1356" s="31">
        <v>46023</v>
      </c>
      <c r="B1356" s="27" t="s">
        <v>53</v>
      </c>
      <c r="C1356" s="27" t="s">
        <v>222</v>
      </c>
      <c r="D1356" s="27" t="s">
        <v>223</v>
      </c>
      <c r="E1356" s="27" t="s">
        <v>59</v>
      </c>
      <c r="F1356" s="27" t="s">
        <v>57</v>
      </c>
      <c r="G1356" s="27" t="s">
        <v>115</v>
      </c>
      <c r="H1356" s="27" t="s">
        <v>59</v>
      </c>
      <c r="I1356" s="27" t="s">
        <v>143</v>
      </c>
      <c r="J1356" s="27" t="s">
        <v>61</v>
      </c>
      <c r="K1356" s="39" t="s">
        <v>150</v>
      </c>
      <c r="L1356" s="41" t="s">
        <v>63</v>
      </c>
      <c r="M1356" s="27"/>
      <c r="N1356" s="27"/>
      <c r="O1356" s="28"/>
    </row>
    <row r="1357" spans="1:15" ht="15" customHeight="1" x14ac:dyDescent="0.3">
      <c r="A1357" s="31">
        <v>46023</v>
      </c>
      <c r="B1357" s="27" t="s">
        <v>53</v>
      </c>
      <c r="C1357" s="27" t="s">
        <v>224</v>
      </c>
      <c r="D1357" s="27" t="s">
        <v>225</v>
      </c>
      <c r="E1357" s="27" t="s">
        <v>59</v>
      </c>
      <c r="F1357" s="27" t="s">
        <v>57</v>
      </c>
      <c r="G1357" s="27" t="s">
        <v>115</v>
      </c>
      <c r="H1357" s="27" t="s">
        <v>59</v>
      </c>
      <c r="I1357" s="27" t="s">
        <v>143</v>
      </c>
      <c r="J1357" s="27" t="s">
        <v>61</v>
      </c>
      <c r="K1357" s="39" t="s">
        <v>150</v>
      </c>
      <c r="L1357" s="41" t="s">
        <v>63</v>
      </c>
      <c r="M1357" s="27"/>
      <c r="N1357" s="27"/>
      <c r="O1357" s="28"/>
    </row>
    <row r="1358" spans="1:15" ht="15" customHeight="1" x14ac:dyDescent="0.3">
      <c r="A1358" s="31">
        <v>46023</v>
      </c>
      <c r="B1358" s="27" t="s">
        <v>53</v>
      </c>
      <c r="C1358" s="27" t="s">
        <v>226</v>
      </c>
      <c r="D1358" s="27" t="s">
        <v>227</v>
      </c>
      <c r="E1358" s="27" t="s">
        <v>59</v>
      </c>
      <c r="F1358" s="27" t="s">
        <v>57</v>
      </c>
      <c r="G1358" s="27" t="s">
        <v>115</v>
      </c>
      <c r="H1358" s="27" t="s">
        <v>59</v>
      </c>
      <c r="I1358" s="27" t="s">
        <v>143</v>
      </c>
      <c r="J1358" s="27" t="s">
        <v>228</v>
      </c>
      <c r="K1358" s="39" t="s">
        <v>150</v>
      </c>
      <c r="L1358" s="41" t="s">
        <v>63</v>
      </c>
      <c r="M1358" s="27"/>
      <c r="N1358" s="27"/>
      <c r="O1358" s="28"/>
    </row>
    <row r="1359" spans="1:15" ht="15" customHeight="1" x14ac:dyDescent="0.3">
      <c r="A1359" s="31">
        <v>46023</v>
      </c>
      <c r="B1359" s="27" t="s">
        <v>53</v>
      </c>
      <c r="C1359" s="27" t="s">
        <v>229</v>
      </c>
      <c r="D1359" s="27" t="s">
        <v>230</v>
      </c>
      <c r="E1359" s="27" t="s">
        <v>59</v>
      </c>
      <c r="F1359" s="27" t="s">
        <v>57</v>
      </c>
      <c r="G1359" s="27" t="s">
        <v>115</v>
      </c>
      <c r="H1359" s="27" t="s">
        <v>59</v>
      </c>
      <c r="I1359" s="27" t="s">
        <v>143</v>
      </c>
      <c r="J1359" s="27" t="s">
        <v>61</v>
      </c>
      <c r="K1359" s="39" t="s">
        <v>150</v>
      </c>
      <c r="L1359" s="41" t="s">
        <v>63</v>
      </c>
      <c r="M1359" s="27"/>
      <c r="N1359" s="27"/>
      <c r="O1359" s="28"/>
    </row>
    <row r="1360" spans="1:15" ht="15" customHeight="1" x14ac:dyDescent="0.3">
      <c r="A1360" s="31">
        <v>46023</v>
      </c>
      <c r="B1360" s="27" t="s">
        <v>53</v>
      </c>
      <c r="C1360" s="27" t="s">
        <v>231</v>
      </c>
      <c r="D1360" s="27" t="s">
        <v>232</v>
      </c>
      <c r="E1360" s="27" t="s">
        <v>233</v>
      </c>
      <c r="F1360" s="27" t="s">
        <v>57</v>
      </c>
      <c r="G1360" s="27" t="s">
        <v>115</v>
      </c>
      <c r="H1360" s="27" t="s">
        <v>59</v>
      </c>
      <c r="I1360" s="27" t="s">
        <v>143</v>
      </c>
      <c r="J1360" s="27" t="s">
        <v>61</v>
      </c>
      <c r="K1360" s="39" t="s">
        <v>150</v>
      </c>
      <c r="L1360" s="41" t="s">
        <v>63</v>
      </c>
      <c r="M1360" s="27"/>
      <c r="N1360" s="27"/>
      <c r="O1360" s="28"/>
    </row>
    <row r="1361" spans="1:15" ht="15" customHeight="1" x14ac:dyDescent="0.3">
      <c r="A1361" s="31">
        <v>46023</v>
      </c>
      <c r="B1361" s="27" t="s">
        <v>53</v>
      </c>
      <c r="C1361" s="27" t="s">
        <v>234</v>
      </c>
      <c r="D1361" s="27" t="s">
        <v>235</v>
      </c>
      <c r="E1361" s="27" t="s">
        <v>185</v>
      </c>
      <c r="F1361" s="27" t="s">
        <v>57</v>
      </c>
      <c r="G1361" s="27" t="s">
        <v>115</v>
      </c>
      <c r="H1361" s="27" t="s">
        <v>59</v>
      </c>
      <c r="I1361" s="27" t="s">
        <v>143</v>
      </c>
      <c r="J1361" s="27" t="s">
        <v>217</v>
      </c>
      <c r="K1361" s="39" t="s">
        <v>150</v>
      </c>
      <c r="L1361" s="41" t="s">
        <v>63</v>
      </c>
      <c r="M1361" s="27"/>
      <c r="N1361" s="27"/>
      <c r="O1361" s="28"/>
    </row>
    <row r="1362" spans="1:15" ht="15" customHeight="1" x14ac:dyDescent="0.3">
      <c r="A1362" s="31">
        <v>46023</v>
      </c>
      <c r="B1362" s="27" t="s">
        <v>53</v>
      </c>
      <c r="C1362" s="27" t="s">
        <v>236</v>
      </c>
      <c r="D1362" s="27" t="s">
        <v>237</v>
      </c>
      <c r="E1362" s="27" t="s">
        <v>177</v>
      </c>
      <c r="F1362" s="27" t="s">
        <v>57</v>
      </c>
      <c r="G1362" s="27" t="s">
        <v>115</v>
      </c>
      <c r="H1362" s="27" t="s">
        <v>59</v>
      </c>
      <c r="I1362" s="27" t="s">
        <v>143</v>
      </c>
      <c r="J1362" s="27" t="s">
        <v>61</v>
      </c>
      <c r="K1362" s="39" t="s">
        <v>150</v>
      </c>
      <c r="L1362" s="41" t="s">
        <v>63</v>
      </c>
      <c r="M1362" s="27"/>
      <c r="N1362" s="27"/>
      <c r="O1362" s="28"/>
    </row>
    <row r="1363" spans="1:15" ht="15" customHeight="1" x14ac:dyDescent="0.3">
      <c r="A1363" s="31">
        <v>46023</v>
      </c>
      <c r="B1363" s="27" t="s">
        <v>53</v>
      </c>
      <c r="C1363" s="27" t="s">
        <v>238</v>
      </c>
      <c r="D1363" s="27" t="s">
        <v>239</v>
      </c>
      <c r="E1363" s="27" t="s">
        <v>59</v>
      </c>
      <c r="F1363" s="27" t="s">
        <v>57</v>
      </c>
      <c r="G1363" s="27" t="s">
        <v>115</v>
      </c>
      <c r="H1363" s="27" t="s">
        <v>59</v>
      </c>
      <c r="I1363" s="27" t="s">
        <v>143</v>
      </c>
      <c r="J1363" s="27" t="s">
        <v>61</v>
      </c>
      <c r="K1363" s="39" t="s">
        <v>240</v>
      </c>
      <c r="L1363" s="41" t="s">
        <v>63</v>
      </c>
      <c r="M1363" s="27"/>
      <c r="N1363" s="27"/>
      <c r="O1363" s="28"/>
    </row>
    <row r="1364" spans="1:15" ht="15" customHeight="1" x14ac:dyDescent="0.3">
      <c r="A1364" s="31">
        <v>46023</v>
      </c>
      <c r="B1364" s="27" t="s">
        <v>53</v>
      </c>
      <c r="C1364" s="27" t="s">
        <v>241</v>
      </c>
      <c r="D1364" s="27" t="s">
        <v>242</v>
      </c>
      <c r="E1364" s="27" t="s">
        <v>185</v>
      </c>
      <c r="F1364" s="27" t="s">
        <v>57</v>
      </c>
      <c r="G1364" s="27" t="s">
        <v>115</v>
      </c>
      <c r="H1364" s="27" t="s">
        <v>59</v>
      </c>
      <c r="I1364" s="27" t="s">
        <v>143</v>
      </c>
      <c r="J1364" s="27" t="s">
        <v>61</v>
      </c>
      <c r="K1364" s="39" t="s">
        <v>240</v>
      </c>
      <c r="L1364" s="41" t="s">
        <v>63</v>
      </c>
      <c r="M1364" s="27"/>
      <c r="N1364" s="27"/>
      <c r="O1364" s="28"/>
    </row>
    <row r="1365" spans="1:15" ht="15" customHeight="1" x14ac:dyDescent="0.3">
      <c r="A1365" s="31">
        <v>46023</v>
      </c>
      <c r="B1365" s="27" t="s">
        <v>53</v>
      </c>
      <c r="C1365" s="27" t="s">
        <v>243</v>
      </c>
      <c r="D1365" s="27" t="s">
        <v>244</v>
      </c>
      <c r="E1365" s="27" t="s">
        <v>245</v>
      </c>
      <c r="F1365" s="27" t="s">
        <v>57</v>
      </c>
      <c r="G1365" s="27" t="s">
        <v>115</v>
      </c>
      <c r="H1365" s="27" t="s">
        <v>59</v>
      </c>
      <c r="I1365" s="27" t="s">
        <v>143</v>
      </c>
      <c r="J1365" s="27" t="s">
        <v>61</v>
      </c>
      <c r="K1365" s="39" t="s">
        <v>240</v>
      </c>
      <c r="L1365" s="41" t="s">
        <v>63</v>
      </c>
      <c r="M1365" s="27"/>
      <c r="N1365" s="27"/>
      <c r="O1365" s="28"/>
    </row>
    <row r="1366" spans="1:15" ht="15" customHeight="1" x14ac:dyDescent="0.3">
      <c r="A1366" s="31">
        <v>46023</v>
      </c>
      <c r="B1366" s="27" t="s">
        <v>53</v>
      </c>
      <c r="C1366" s="27" t="s">
        <v>246</v>
      </c>
      <c r="D1366" s="27" t="s">
        <v>247</v>
      </c>
      <c r="E1366" s="27" t="s">
        <v>210</v>
      </c>
      <c r="F1366" s="27" t="s">
        <v>57</v>
      </c>
      <c r="G1366" s="27" t="s">
        <v>115</v>
      </c>
      <c r="H1366" s="27" t="s">
        <v>59</v>
      </c>
      <c r="I1366" s="27" t="s">
        <v>143</v>
      </c>
      <c r="J1366" s="27" t="s">
        <v>61</v>
      </c>
      <c r="K1366" s="39" t="s">
        <v>240</v>
      </c>
      <c r="L1366" s="41" t="s">
        <v>63</v>
      </c>
      <c r="M1366" s="27"/>
      <c r="N1366" s="27"/>
      <c r="O1366" s="28"/>
    </row>
    <row r="1367" spans="1:15" ht="15" customHeight="1" x14ac:dyDescent="0.3">
      <c r="A1367" s="31">
        <v>46023</v>
      </c>
      <c r="B1367" s="27" t="s">
        <v>53</v>
      </c>
      <c r="C1367" s="27" t="s">
        <v>248</v>
      </c>
      <c r="D1367" s="27" t="s">
        <v>249</v>
      </c>
      <c r="E1367" s="27" t="s">
        <v>185</v>
      </c>
      <c r="F1367" s="27" t="s">
        <v>57</v>
      </c>
      <c r="G1367" s="27" t="s">
        <v>115</v>
      </c>
      <c r="H1367" s="27" t="s">
        <v>59</v>
      </c>
      <c r="I1367" s="27" t="s">
        <v>143</v>
      </c>
      <c r="J1367" s="27" t="s">
        <v>61</v>
      </c>
      <c r="K1367" s="39" t="s">
        <v>240</v>
      </c>
      <c r="L1367" s="41" t="s">
        <v>63</v>
      </c>
      <c r="M1367" s="27"/>
      <c r="N1367" s="27"/>
      <c r="O1367" s="28"/>
    </row>
    <row r="1368" spans="1:15" ht="15" customHeight="1" x14ac:dyDescent="0.3">
      <c r="A1368" s="31">
        <v>46023</v>
      </c>
      <c r="B1368" s="27" t="s">
        <v>53</v>
      </c>
      <c r="C1368" s="27" t="s">
        <v>250</v>
      </c>
      <c r="D1368" s="27" t="s">
        <v>251</v>
      </c>
      <c r="E1368" s="27" t="s">
        <v>59</v>
      </c>
      <c r="F1368" s="27" t="s">
        <v>57</v>
      </c>
      <c r="G1368" s="27" t="s">
        <v>115</v>
      </c>
      <c r="H1368" s="27" t="s">
        <v>59</v>
      </c>
      <c r="I1368" s="27" t="s">
        <v>143</v>
      </c>
      <c r="J1368" s="27" t="s">
        <v>61</v>
      </c>
      <c r="K1368" s="39" t="s">
        <v>240</v>
      </c>
      <c r="L1368" s="41" t="s">
        <v>63</v>
      </c>
      <c r="M1368" s="27"/>
      <c r="N1368" s="27"/>
      <c r="O1368" s="28"/>
    </row>
    <row r="1369" spans="1:15" ht="15" customHeight="1" x14ac:dyDescent="0.3">
      <c r="A1369" s="31">
        <v>46023</v>
      </c>
      <c r="B1369" s="27" t="s">
        <v>53</v>
      </c>
      <c r="C1369" s="27" t="s">
        <v>252</v>
      </c>
      <c r="D1369" s="27" t="s">
        <v>253</v>
      </c>
      <c r="E1369" s="27" t="s">
        <v>59</v>
      </c>
      <c r="F1369" s="27" t="s">
        <v>57</v>
      </c>
      <c r="G1369" s="27" t="s">
        <v>115</v>
      </c>
      <c r="H1369" s="27" t="s">
        <v>59</v>
      </c>
      <c r="I1369" s="27" t="s">
        <v>143</v>
      </c>
      <c r="J1369" s="27" t="s">
        <v>61</v>
      </c>
      <c r="K1369" s="39" t="s">
        <v>240</v>
      </c>
      <c r="L1369" s="41" t="s">
        <v>63</v>
      </c>
      <c r="M1369" s="27"/>
      <c r="N1369" s="27"/>
      <c r="O1369" s="28"/>
    </row>
    <row r="1370" spans="1:15" ht="15" customHeight="1" x14ac:dyDescent="0.3">
      <c r="A1370" s="31">
        <v>46023</v>
      </c>
      <c r="B1370" s="27" t="s">
        <v>53</v>
      </c>
      <c r="C1370" s="27" t="s">
        <v>254</v>
      </c>
      <c r="D1370" s="27" t="s">
        <v>255</v>
      </c>
      <c r="E1370" s="27" t="s">
        <v>59</v>
      </c>
      <c r="F1370" s="27" t="s">
        <v>57</v>
      </c>
      <c r="G1370" s="27" t="s">
        <v>115</v>
      </c>
      <c r="H1370" s="27" t="s">
        <v>59</v>
      </c>
      <c r="I1370" s="27" t="s">
        <v>143</v>
      </c>
      <c r="J1370" s="27" t="s">
        <v>61</v>
      </c>
      <c r="K1370" s="39" t="s">
        <v>240</v>
      </c>
      <c r="L1370" s="41" t="s">
        <v>63</v>
      </c>
      <c r="M1370" s="27"/>
      <c r="N1370" s="27"/>
      <c r="O1370" s="28"/>
    </row>
    <row r="1371" spans="1:15" ht="15" customHeight="1" x14ac:dyDescent="0.3">
      <c r="A1371" s="31">
        <v>46023</v>
      </c>
      <c r="B1371" s="27" t="s">
        <v>53</v>
      </c>
      <c r="C1371" s="27" t="s">
        <v>256</v>
      </c>
      <c r="D1371" s="27" t="s">
        <v>257</v>
      </c>
      <c r="E1371" s="27" t="s">
        <v>59</v>
      </c>
      <c r="F1371" s="27" t="s">
        <v>57</v>
      </c>
      <c r="G1371" s="27" t="s">
        <v>115</v>
      </c>
      <c r="H1371" s="27" t="s">
        <v>59</v>
      </c>
      <c r="I1371" s="27" t="s">
        <v>143</v>
      </c>
      <c r="J1371" s="27" t="s">
        <v>258</v>
      </c>
      <c r="K1371" s="39" t="s">
        <v>240</v>
      </c>
      <c r="L1371" s="41" t="s">
        <v>63</v>
      </c>
      <c r="M1371" s="27"/>
      <c r="N1371" s="27"/>
      <c r="O1371" s="28"/>
    </row>
    <row r="1372" spans="1:15" ht="15" customHeight="1" x14ac:dyDescent="0.3">
      <c r="A1372" s="31">
        <v>46023</v>
      </c>
      <c r="B1372" s="27" t="s">
        <v>53</v>
      </c>
      <c r="C1372" s="27" t="s">
        <v>259</v>
      </c>
      <c r="D1372" s="27" t="s">
        <v>260</v>
      </c>
      <c r="E1372" s="27" t="s">
        <v>59</v>
      </c>
      <c r="F1372" s="27" t="s">
        <v>57</v>
      </c>
      <c r="G1372" s="27" t="s">
        <v>115</v>
      </c>
      <c r="H1372" s="27" t="s">
        <v>59</v>
      </c>
      <c r="I1372" s="27" t="s">
        <v>143</v>
      </c>
      <c r="J1372" s="27" t="s">
        <v>61</v>
      </c>
      <c r="K1372" s="39" t="s">
        <v>240</v>
      </c>
      <c r="L1372" s="41" t="s">
        <v>63</v>
      </c>
      <c r="M1372" s="27"/>
      <c r="N1372" s="27"/>
      <c r="O1372" s="28"/>
    </row>
    <row r="1373" spans="1:15" ht="15" customHeight="1" x14ac:dyDescent="0.3">
      <c r="A1373" s="31">
        <v>46023</v>
      </c>
      <c r="B1373" s="27" t="s">
        <v>53</v>
      </c>
      <c r="C1373" s="27" t="s">
        <v>261</v>
      </c>
      <c r="D1373" s="27" t="s">
        <v>262</v>
      </c>
      <c r="E1373" s="27" t="s">
        <v>263</v>
      </c>
      <c r="F1373" s="27" t="s">
        <v>57</v>
      </c>
      <c r="G1373" s="27" t="s">
        <v>115</v>
      </c>
      <c r="H1373" s="27" t="s">
        <v>59</v>
      </c>
      <c r="I1373" s="27" t="s">
        <v>143</v>
      </c>
      <c r="J1373" s="27" t="s">
        <v>61</v>
      </c>
      <c r="K1373" s="39" t="s">
        <v>240</v>
      </c>
      <c r="L1373" s="41" t="s">
        <v>63</v>
      </c>
      <c r="M1373" s="27"/>
      <c r="N1373" s="27"/>
      <c r="O1373" s="28"/>
    </row>
    <row r="1374" spans="1:15" ht="15" customHeight="1" x14ac:dyDescent="0.3">
      <c r="A1374" s="31">
        <v>46023</v>
      </c>
      <c r="B1374" s="27" t="s">
        <v>53</v>
      </c>
      <c r="C1374" s="27" t="s">
        <v>264</v>
      </c>
      <c r="D1374" s="27" t="s">
        <v>265</v>
      </c>
      <c r="E1374" s="27" t="s">
        <v>59</v>
      </c>
      <c r="F1374" s="27" t="s">
        <v>57</v>
      </c>
      <c r="G1374" s="27" t="s">
        <v>115</v>
      </c>
      <c r="H1374" s="27" t="s">
        <v>59</v>
      </c>
      <c r="I1374" s="27" t="s">
        <v>143</v>
      </c>
      <c r="J1374" s="27" t="s">
        <v>61</v>
      </c>
      <c r="K1374" s="39" t="s">
        <v>266</v>
      </c>
      <c r="L1374" s="41" t="s">
        <v>63</v>
      </c>
      <c r="M1374" s="27"/>
      <c r="N1374" s="27"/>
      <c r="O1374" s="28"/>
    </row>
    <row r="1375" spans="1:15" ht="15" customHeight="1" x14ac:dyDescent="0.3">
      <c r="A1375" s="31">
        <v>46023</v>
      </c>
      <c r="B1375" s="27" t="s">
        <v>53</v>
      </c>
      <c r="C1375" s="27" t="s">
        <v>267</v>
      </c>
      <c r="D1375" s="27" t="s">
        <v>268</v>
      </c>
      <c r="E1375" s="27" t="s">
        <v>59</v>
      </c>
      <c r="F1375" s="27" t="s">
        <v>57</v>
      </c>
      <c r="G1375" s="27" t="s">
        <v>115</v>
      </c>
      <c r="H1375" s="27" t="s">
        <v>59</v>
      </c>
      <c r="I1375" s="27" t="s">
        <v>143</v>
      </c>
      <c r="J1375" s="27" t="s">
        <v>61</v>
      </c>
      <c r="K1375" s="39" t="s">
        <v>266</v>
      </c>
      <c r="L1375" s="41" t="s">
        <v>63</v>
      </c>
      <c r="M1375" s="27"/>
      <c r="N1375" s="27"/>
      <c r="O1375" s="28"/>
    </row>
    <row r="1376" spans="1:15" ht="15" customHeight="1" x14ac:dyDescent="0.3">
      <c r="A1376" s="31">
        <v>46023</v>
      </c>
      <c r="B1376" s="27" t="s">
        <v>53</v>
      </c>
      <c r="C1376" s="27" t="s">
        <v>269</v>
      </c>
      <c r="D1376" s="27" t="s">
        <v>270</v>
      </c>
      <c r="E1376" s="27" t="s">
        <v>59</v>
      </c>
      <c r="F1376" s="27" t="s">
        <v>57</v>
      </c>
      <c r="G1376" s="27" t="s">
        <v>115</v>
      </c>
      <c r="H1376" s="27" t="s">
        <v>59</v>
      </c>
      <c r="I1376" s="27" t="s">
        <v>143</v>
      </c>
      <c r="J1376" s="27" t="s">
        <v>61</v>
      </c>
      <c r="K1376" s="39" t="s">
        <v>266</v>
      </c>
      <c r="L1376" s="41" t="s">
        <v>63</v>
      </c>
      <c r="M1376" s="27"/>
      <c r="N1376" s="27"/>
      <c r="O1376" s="28"/>
    </row>
    <row r="1377" spans="1:15" ht="15" customHeight="1" x14ac:dyDescent="0.3">
      <c r="A1377" s="31">
        <v>46023</v>
      </c>
      <c r="B1377" s="27" t="s">
        <v>53</v>
      </c>
      <c r="C1377" s="27" t="s">
        <v>271</v>
      </c>
      <c r="D1377" s="27" t="s">
        <v>272</v>
      </c>
      <c r="E1377" s="27" t="s">
        <v>59</v>
      </c>
      <c r="F1377" s="27" t="s">
        <v>57</v>
      </c>
      <c r="G1377" s="27" t="s">
        <v>115</v>
      </c>
      <c r="H1377" s="27" t="s">
        <v>59</v>
      </c>
      <c r="I1377" s="27" t="s">
        <v>143</v>
      </c>
      <c r="J1377" s="27" t="s">
        <v>61</v>
      </c>
      <c r="K1377" s="39" t="s">
        <v>266</v>
      </c>
      <c r="L1377" s="41" t="s">
        <v>63</v>
      </c>
      <c r="M1377" s="27"/>
      <c r="N1377" s="27"/>
      <c r="O1377" s="28"/>
    </row>
    <row r="1378" spans="1:15" ht="15" customHeight="1" x14ac:dyDescent="0.3">
      <c r="A1378" s="31">
        <v>46023</v>
      </c>
      <c r="B1378" s="27" t="s">
        <v>53</v>
      </c>
      <c r="C1378" s="27" t="s">
        <v>273</v>
      </c>
      <c r="D1378" s="27" t="s">
        <v>274</v>
      </c>
      <c r="E1378" s="27" t="s">
        <v>167</v>
      </c>
      <c r="F1378" s="27" t="s">
        <v>57</v>
      </c>
      <c r="G1378" s="27" t="s">
        <v>115</v>
      </c>
      <c r="H1378" s="27" t="s">
        <v>59</v>
      </c>
      <c r="I1378" s="27" t="s">
        <v>143</v>
      </c>
      <c r="J1378" s="27" t="s">
        <v>61</v>
      </c>
      <c r="K1378" s="39" t="s">
        <v>266</v>
      </c>
      <c r="L1378" s="41" t="s">
        <v>63</v>
      </c>
      <c r="M1378" s="27"/>
      <c r="N1378" s="27"/>
      <c r="O1378" s="28"/>
    </row>
    <row r="1379" spans="1:15" ht="15" customHeight="1" x14ac:dyDescent="0.3">
      <c r="A1379" s="31">
        <v>46023</v>
      </c>
      <c r="B1379" s="27" t="s">
        <v>53</v>
      </c>
      <c r="C1379" s="27" t="s">
        <v>275</v>
      </c>
      <c r="D1379" s="27" t="s">
        <v>276</v>
      </c>
      <c r="E1379" s="27" t="s">
        <v>170</v>
      </c>
      <c r="F1379" s="27" t="s">
        <v>57</v>
      </c>
      <c r="G1379" s="27" t="s">
        <v>115</v>
      </c>
      <c r="H1379" s="27" t="s">
        <v>59</v>
      </c>
      <c r="I1379" s="27" t="s">
        <v>143</v>
      </c>
      <c r="J1379" s="27" t="s">
        <v>61</v>
      </c>
      <c r="K1379" s="39" t="s">
        <v>266</v>
      </c>
      <c r="L1379" s="41" t="s">
        <v>63</v>
      </c>
      <c r="M1379" s="27"/>
      <c r="N1379" s="27"/>
      <c r="O1379" s="28"/>
    </row>
    <row r="1380" spans="1:15" ht="15" customHeight="1" x14ac:dyDescent="0.3">
      <c r="A1380" s="31">
        <v>46023</v>
      </c>
      <c r="B1380" s="27" t="s">
        <v>53</v>
      </c>
      <c r="C1380" s="27" t="s">
        <v>277</v>
      </c>
      <c r="D1380" s="27" t="s">
        <v>278</v>
      </c>
      <c r="E1380" s="27" t="s">
        <v>185</v>
      </c>
      <c r="F1380" s="27" t="s">
        <v>57</v>
      </c>
      <c r="G1380" s="27" t="s">
        <v>115</v>
      </c>
      <c r="H1380" s="27" t="s">
        <v>59</v>
      </c>
      <c r="I1380" s="27" t="s">
        <v>143</v>
      </c>
      <c r="J1380" s="27" t="s">
        <v>61</v>
      </c>
      <c r="K1380" s="39" t="s">
        <v>266</v>
      </c>
      <c r="L1380" s="41" t="s">
        <v>63</v>
      </c>
      <c r="M1380" s="27"/>
      <c r="N1380" s="27"/>
      <c r="O1380" s="28"/>
    </row>
    <row r="1381" spans="1:15" ht="15" customHeight="1" x14ac:dyDescent="0.3">
      <c r="A1381" s="31">
        <v>46023</v>
      </c>
      <c r="B1381" s="27" t="s">
        <v>53</v>
      </c>
      <c r="C1381" s="27" t="s">
        <v>279</v>
      </c>
      <c r="D1381" s="27" t="s">
        <v>280</v>
      </c>
      <c r="E1381" s="27" t="s">
        <v>59</v>
      </c>
      <c r="F1381" s="27" t="s">
        <v>57</v>
      </c>
      <c r="G1381" s="27" t="s">
        <v>115</v>
      </c>
      <c r="H1381" s="27" t="s">
        <v>59</v>
      </c>
      <c r="I1381" s="27" t="s">
        <v>143</v>
      </c>
      <c r="J1381" s="27" t="s">
        <v>61</v>
      </c>
      <c r="K1381" s="39" t="s">
        <v>266</v>
      </c>
      <c r="L1381" s="41" t="s">
        <v>63</v>
      </c>
      <c r="M1381" s="27"/>
      <c r="N1381" s="27"/>
      <c r="O1381" s="28"/>
    </row>
    <row r="1382" spans="1:15" ht="15" customHeight="1" x14ac:dyDescent="0.3">
      <c r="A1382" s="31">
        <v>46023</v>
      </c>
      <c r="B1382" s="27" t="s">
        <v>53</v>
      </c>
      <c r="C1382" s="27" t="s">
        <v>281</v>
      </c>
      <c r="D1382" s="27" t="s">
        <v>282</v>
      </c>
      <c r="E1382" s="27" t="s">
        <v>59</v>
      </c>
      <c r="F1382" s="27" t="s">
        <v>57</v>
      </c>
      <c r="G1382" s="27" t="s">
        <v>115</v>
      </c>
      <c r="H1382" s="27" t="s">
        <v>59</v>
      </c>
      <c r="I1382" s="27" t="s">
        <v>143</v>
      </c>
      <c r="J1382" s="27" t="s">
        <v>61</v>
      </c>
      <c r="K1382" s="39" t="s">
        <v>266</v>
      </c>
      <c r="L1382" s="41" t="s">
        <v>63</v>
      </c>
      <c r="M1382" s="27"/>
      <c r="N1382" s="27"/>
      <c r="O1382" s="28"/>
    </row>
    <row r="1383" spans="1:15" ht="15" customHeight="1" x14ac:dyDescent="0.3">
      <c r="A1383" s="31">
        <v>46023</v>
      </c>
      <c r="B1383" s="27" t="s">
        <v>53</v>
      </c>
      <c r="C1383" s="27" t="s">
        <v>283</v>
      </c>
      <c r="D1383" s="27" t="s">
        <v>282</v>
      </c>
      <c r="E1383" s="27" t="s">
        <v>59</v>
      </c>
      <c r="F1383" s="27" t="s">
        <v>57</v>
      </c>
      <c r="G1383" s="27" t="s">
        <v>115</v>
      </c>
      <c r="H1383" s="27" t="s">
        <v>59</v>
      </c>
      <c r="I1383" s="27" t="s">
        <v>116</v>
      </c>
      <c r="J1383" s="27" t="s">
        <v>61</v>
      </c>
      <c r="K1383" s="39" t="s">
        <v>266</v>
      </c>
      <c r="L1383" s="41" t="s">
        <v>63</v>
      </c>
      <c r="M1383" s="27"/>
      <c r="N1383" s="27"/>
      <c r="O1383" s="28"/>
    </row>
    <row r="1384" spans="1:15" ht="15" customHeight="1" x14ac:dyDescent="0.3">
      <c r="A1384" s="31">
        <v>46023</v>
      </c>
      <c r="B1384" s="27" t="s">
        <v>53</v>
      </c>
      <c r="C1384" s="27" t="s">
        <v>284</v>
      </c>
      <c r="D1384" s="27" t="s">
        <v>285</v>
      </c>
      <c r="E1384" s="27" t="s">
        <v>59</v>
      </c>
      <c r="F1384" s="27" t="s">
        <v>57</v>
      </c>
      <c r="G1384" s="27" t="s">
        <v>115</v>
      </c>
      <c r="H1384" s="27" t="s">
        <v>59</v>
      </c>
      <c r="I1384" s="27" t="s">
        <v>143</v>
      </c>
      <c r="J1384" s="27" t="s">
        <v>61</v>
      </c>
      <c r="K1384" s="39" t="s">
        <v>266</v>
      </c>
      <c r="L1384" s="41" t="s">
        <v>63</v>
      </c>
      <c r="M1384" s="27"/>
      <c r="N1384" s="27"/>
      <c r="O1384" s="28"/>
    </row>
    <row r="1385" spans="1:15" ht="15" customHeight="1" x14ac:dyDescent="0.3">
      <c r="A1385" s="31">
        <v>46023</v>
      </c>
      <c r="B1385" s="27" t="s">
        <v>53</v>
      </c>
      <c r="C1385" s="27" t="s">
        <v>286</v>
      </c>
      <c r="D1385" s="27" t="s">
        <v>287</v>
      </c>
      <c r="E1385" s="27" t="s">
        <v>59</v>
      </c>
      <c r="F1385" s="27" t="s">
        <v>57</v>
      </c>
      <c r="G1385" s="27" t="s">
        <v>115</v>
      </c>
      <c r="H1385" s="27" t="s">
        <v>59</v>
      </c>
      <c r="I1385" s="27" t="s">
        <v>143</v>
      </c>
      <c r="J1385" s="27" t="s">
        <v>61</v>
      </c>
      <c r="K1385" s="39" t="s">
        <v>266</v>
      </c>
      <c r="L1385" s="41" t="s">
        <v>63</v>
      </c>
      <c r="M1385" s="27"/>
      <c r="N1385" s="27"/>
      <c r="O1385" s="28"/>
    </row>
    <row r="1386" spans="1:15" ht="15" customHeight="1" x14ac:dyDescent="0.3">
      <c r="A1386" s="31">
        <v>46023</v>
      </c>
      <c r="B1386" s="27" t="s">
        <v>53</v>
      </c>
      <c r="C1386" s="27" t="s">
        <v>288</v>
      </c>
      <c r="D1386" s="27" t="s">
        <v>289</v>
      </c>
      <c r="E1386" s="27" t="s">
        <v>59</v>
      </c>
      <c r="F1386" s="27" t="s">
        <v>57</v>
      </c>
      <c r="G1386" s="27" t="s">
        <v>115</v>
      </c>
      <c r="H1386" s="27" t="s">
        <v>59</v>
      </c>
      <c r="I1386" s="27" t="s">
        <v>143</v>
      </c>
      <c r="J1386" s="27" t="s">
        <v>290</v>
      </c>
      <c r="K1386" s="39" t="s">
        <v>266</v>
      </c>
      <c r="L1386" s="41" t="s">
        <v>63</v>
      </c>
      <c r="M1386" s="27"/>
      <c r="N1386" s="27"/>
      <c r="O1386" s="28"/>
    </row>
    <row r="1387" spans="1:15" ht="15" customHeight="1" x14ac:dyDescent="0.3">
      <c r="A1387" s="31">
        <v>46023</v>
      </c>
      <c r="B1387" s="27" t="s">
        <v>53</v>
      </c>
      <c r="C1387" s="27" t="s">
        <v>3339</v>
      </c>
      <c r="D1387" s="27" t="s">
        <v>3340</v>
      </c>
      <c r="E1387" s="27" t="s">
        <v>3341</v>
      </c>
      <c r="F1387" s="27" t="s">
        <v>57</v>
      </c>
      <c r="G1387" s="27" t="s">
        <v>136</v>
      </c>
      <c r="H1387" s="27" t="s">
        <v>59</v>
      </c>
      <c r="I1387" s="27" t="s">
        <v>116</v>
      </c>
      <c r="J1387" s="27" t="s">
        <v>144</v>
      </c>
      <c r="K1387" s="39" t="s">
        <v>3342</v>
      </c>
      <c r="L1387" s="41" t="s">
        <v>63</v>
      </c>
      <c r="M1387" s="27"/>
      <c r="N1387" s="27"/>
      <c r="O1387" s="28"/>
    </row>
    <row r="1388" spans="1:15" ht="15" customHeight="1" x14ac:dyDescent="0.3">
      <c r="A1388" s="31">
        <v>46023</v>
      </c>
      <c r="B1388" s="27" t="s">
        <v>53</v>
      </c>
      <c r="C1388" s="27" t="s">
        <v>3343</v>
      </c>
      <c r="D1388" s="27" t="s">
        <v>3340</v>
      </c>
      <c r="E1388" s="27" t="s">
        <v>3344</v>
      </c>
      <c r="F1388" s="27" t="s">
        <v>57</v>
      </c>
      <c r="G1388" s="27" t="s">
        <v>136</v>
      </c>
      <c r="H1388" s="27" t="s">
        <v>59</v>
      </c>
      <c r="I1388" s="27" t="s">
        <v>116</v>
      </c>
      <c r="J1388" s="27" t="s">
        <v>144</v>
      </c>
      <c r="K1388" s="39" t="s">
        <v>3342</v>
      </c>
      <c r="L1388" s="41" t="s">
        <v>63</v>
      </c>
      <c r="M1388" s="27"/>
      <c r="N1388" s="27"/>
      <c r="O1388" s="28"/>
    </row>
    <row r="1389" spans="1:15" ht="15" customHeight="1" x14ac:dyDescent="0.3">
      <c r="A1389" s="31">
        <v>46023</v>
      </c>
      <c r="B1389" s="27" t="s">
        <v>53</v>
      </c>
      <c r="C1389" s="27" t="s">
        <v>3345</v>
      </c>
      <c r="D1389" s="27" t="s">
        <v>3340</v>
      </c>
      <c r="E1389" s="27" t="s">
        <v>3346</v>
      </c>
      <c r="F1389" s="27" t="s">
        <v>57</v>
      </c>
      <c r="G1389" s="27" t="s">
        <v>136</v>
      </c>
      <c r="H1389" s="27" t="s">
        <v>59</v>
      </c>
      <c r="I1389" s="27" t="s">
        <v>116</v>
      </c>
      <c r="J1389" s="27" t="s">
        <v>144</v>
      </c>
      <c r="K1389" s="39" t="s">
        <v>3342</v>
      </c>
      <c r="L1389" s="41" t="s">
        <v>63</v>
      </c>
      <c r="M1389" s="27"/>
      <c r="N1389" s="27"/>
      <c r="O1389" s="28"/>
    </row>
    <row r="1390" spans="1:15" ht="15" customHeight="1" x14ac:dyDescent="0.3">
      <c r="A1390" s="31">
        <v>46023</v>
      </c>
      <c r="B1390" s="27" t="s">
        <v>53</v>
      </c>
      <c r="C1390" s="27" t="s">
        <v>3347</v>
      </c>
      <c r="D1390" s="27" t="s">
        <v>3348</v>
      </c>
      <c r="E1390" s="27" t="s">
        <v>3341</v>
      </c>
      <c r="F1390" s="27" t="s">
        <v>57</v>
      </c>
      <c r="G1390" s="27" t="s">
        <v>136</v>
      </c>
      <c r="H1390" s="27" t="s">
        <v>59</v>
      </c>
      <c r="I1390" s="27" t="s">
        <v>116</v>
      </c>
      <c r="J1390" s="27" t="s">
        <v>144</v>
      </c>
      <c r="K1390" s="39" t="s">
        <v>3342</v>
      </c>
      <c r="L1390" s="41" t="s">
        <v>63</v>
      </c>
      <c r="M1390" s="27"/>
      <c r="N1390" s="27"/>
      <c r="O1390" s="28"/>
    </row>
    <row r="1391" spans="1:15" ht="15" customHeight="1" x14ac:dyDescent="0.3">
      <c r="A1391" s="31">
        <v>46023</v>
      </c>
      <c r="B1391" s="27" t="s">
        <v>53</v>
      </c>
      <c r="C1391" s="27" t="s">
        <v>3349</v>
      </c>
      <c r="D1391" s="27" t="s">
        <v>3348</v>
      </c>
      <c r="E1391" s="27" t="s">
        <v>3350</v>
      </c>
      <c r="F1391" s="27" t="s">
        <v>57</v>
      </c>
      <c r="G1391" s="27" t="s">
        <v>136</v>
      </c>
      <c r="H1391" s="27" t="s">
        <v>59</v>
      </c>
      <c r="I1391" s="27" t="s">
        <v>116</v>
      </c>
      <c r="J1391" s="27" t="s">
        <v>144</v>
      </c>
      <c r="K1391" s="39" t="s">
        <v>3342</v>
      </c>
      <c r="L1391" s="41" t="s">
        <v>63</v>
      </c>
      <c r="M1391" s="27"/>
      <c r="N1391" s="27"/>
      <c r="O1391" s="28"/>
    </row>
    <row r="1392" spans="1:15" ht="15" customHeight="1" x14ac:dyDescent="0.3">
      <c r="A1392" s="31">
        <v>46023</v>
      </c>
      <c r="B1392" s="27" t="s">
        <v>53</v>
      </c>
      <c r="C1392" s="27" t="s">
        <v>3351</v>
      </c>
      <c r="D1392" s="27" t="s">
        <v>3352</v>
      </c>
      <c r="E1392" s="27" t="s">
        <v>59</v>
      </c>
      <c r="F1392" s="27" t="s">
        <v>57</v>
      </c>
      <c r="G1392" s="27" t="s">
        <v>136</v>
      </c>
      <c r="H1392" s="27" t="s">
        <v>59</v>
      </c>
      <c r="I1392" s="27" t="s">
        <v>116</v>
      </c>
      <c r="J1392" s="27" t="s">
        <v>144</v>
      </c>
      <c r="K1392" s="39" t="s">
        <v>3342</v>
      </c>
      <c r="L1392" s="41" t="s">
        <v>63</v>
      </c>
      <c r="M1392" s="27"/>
      <c r="N1392" s="27"/>
      <c r="O1392" s="28"/>
    </row>
    <row r="1393" spans="1:15" ht="15" customHeight="1" x14ac:dyDescent="0.3">
      <c r="A1393" s="31">
        <v>46023</v>
      </c>
      <c r="B1393" s="27" t="s">
        <v>53</v>
      </c>
      <c r="C1393" s="27" t="s">
        <v>3353</v>
      </c>
      <c r="D1393" s="27" t="s">
        <v>3354</v>
      </c>
      <c r="E1393" s="27" t="s">
        <v>3355</v>
      </c>
      <c r="F1393" s="27" t="s">
        <v>57</v>
      </c>
      <c r="G1393" s="27" t="s">
        <v>136</v>
      </c>
      <c r="H1393" s="27" t="s">
        <v>59</v>
      </c>
      <c r="I1393" s="27" t="s">
        <v>116</v>
      </c>
      <c r="J1393" s="27" t="s">
        <v>144</v>
      </c>
      <c r="K1393" s="39" t="s">
        <v>3342</v>
      </c>
      <c r="L1393" s="41" t="s">
        <v>63</v>
      </c>
      <c r="M1393" s="27"/>
      <c r="N1393" s="27"/>
      <c r="O1393" s="28"/>
    </row>
    <row r="1394" spans="1:15" ht="15" customHeight="1" x14ac:dyDescent="0.3">
      <c r="A1394" s="31">
        <v>46023</v>
      </c>
      <c r="B1394" s="27" t="s">
        <v>53</v>
      </c>
      <c r="C1394" s="27" t="s">
        <v>3356</v>
      </c>
      <c r="D1394" s="27" t="s">
        <v>3357</v>
      </c>
      <c r="E1394" s="27" t="s">
        <v>59</v>
      </c>
      <c r="F1394" s="27" t="s">
        <v>57</v>
      </c>
      <c r="G1394" s="27" t="s">
        <v>136</v>
      </c>
      <c r="H1394" s="27" t="s">
        <v>59</v>
      </c>
      <c r="I1394" s="27" t="s">
        <v>116</v>
      </c>
      <c r="J1394" s="27" t="s">
        <v>144</v>
      </c>
      <c r="K1394" s="39" t="s">
        <v>3342</v>
      </c>
      <c r="L1394" s="41" t="s">
        <v>63</v>
      </c>
      <c r="M1394" s="27"/>
      <c r="N1394" s="27"/>
      <c r="O1394" s="28"/>
    </row>
    <row r="1395" spans="1:15" ht="15" customHeight="1" x14ac:dyDescent="0.3">
      <c r="A1395" s="31">
        <v>46023</v>
      </c>
      <c r="B1395" s="27" t="s">
        <v>53</v>
      </c>
      <c r="C1395" s="27" t="s">
        <v>3358</v>
      </c>
      <c r="D1395" s="27" t="s">
        <v>3359</v>
      </c>
      <c r="E1395" s="27" t="s">
        <v>3360</v>
      </c>
      <c r="F1395" s="27" t="s">
        <v>57</v>
      </c>
      <c r="G1395" s="27" t="s">
        <v>136</v>
      </c>
      <c r="H1395" s="27" t="s">
        <v>59</v>
      </c>
      <c r="I1395" s="27" t="s">
        <v>116</v>
      </c>
      <c r="J1395" s="27" t="s">
        <v>144</v>
      </c>
      <c r="K1395" s="39" t="s">
        <v>3342</v>
      </c>
      <c r="L1395" s="41" t="s">
        <v>63</v>
      </c>
      <c r="M1395" s="27"/>
      <c r="N1395" s="27"/>
      <c r="O1395" s="28"/>
    </row>
    <row r="1396" spans="1:15" ht="15" customHeight="1" x14ac:dyDescent="0.3">
      <c r="A1396" s="31">
        <v>46023</v>
      </c>
      <c r="B1396" s="27" t="s">
        <v>53</v>
      </c>
      <c r="C1396" s="27" t="s">
        <v>3361</v>
      </c>
      <c r="D1396" s="27" t="s">
        <v>3362</v>
      </c>
      <c r="E1396" s="27" t="s">
        <v>59</v>
      </c>
      <c r="F1396" s="27" t="s">
        <v>57</v>
      </c>
      <c r="G1396" s="27" t="s">
        <v>136</v>
      </c>
      <c r="H1396" s="27" t="s">
        <v>59</v>
      </c>
      <c r="I1396" s="27" t="s">
        <v>116</v>
      </c>
      <c r="J1396" s="27" t="s">
        <v>144</v>
      </c>
      <c r="K1396" s="39" t="s">
        <v>3342</v>
      </c>
      <c r="L1396" s="41" t="s">
        <v>63</v>
      </c>
      <c r="M1396" s="27"/>
      <c r="N1396" s="27"/>
      <c r="O1396" s="28"/>
    </row>
    <row r="1397" spans="1:15" ht="15" customHeight="1" x14ac:dyDescent="0.3">
      <c r="A1397" s="31">
        <v>46023</v>
      </c>
      <c r="B1397" s="27" t="s">
        <v>53</v>
      </c>
      <c r="C1397" s="27" t="s">
        <v>3363</v>
      </c>
      <c r="D1397" s="27" t="s">
        <v>3364</v>
      </c>
      <c r="E1397" s="27" t="s">
        <v>59</v>
      </c>
      <c r="F1397" s="27" t="s">
        <v>57</v>
      </c>
      <c r="G1397" s="27" t="s">
        <v>136</v>
      </c>
      <c r="H1397" s="27" t="s">
        <v>59</v>
      </c>
      <c r="I1397" s="27" t="s">
        <v>116</v>
      </c>
      <c r="J1397" s="27" t="s">
        <v>144</v>
      </c>
      <c r="K1397" s="39" t="s">
        <v>3342</v>
      </c>
      <c r="L1397" s="41" t="s">
        <v>63</v>
      </c>
      <c r="M1397" s="27"/>
      <c r="N1397" s="27"/>
      <c r="O1397" s="28"/>
    </row>
    <row r="1398" spans="1:15" ht="15" customHeight="1" x14ac:dyDescent="0.3">
      <c r="A1398" s="31">
        <v>46023</v>
      </c>
      <c r="B1398" s="27" t="s">
        <v>53</v>
      </c>
      <c r="C1398" s="27" t="s">
        <v>3365</v>
      </c>
      <c r="D1398" s="27" t="s">
        <v>3366</v>
      </c>
      <c r="E1398" s="27" t="s">
        <v>3367</v>
      </c>
      <c r="F1398" s="27" t="s">
        <v>57</v>
      </c>
      <c r="G1398" s="27" t="s">
        <v>136</v>
      </c>
      <c r="H1398" s="27" t="s">
        <v>59</v>
      </c>
      <c r="I1398" s="27" t="s">
        <v>116</v>
      </c>
      <c r="J1398" s="27" t="s">
        <v>144</v>
      </c>
      <c r="K1398" s="39" t="s">
        <v>3342</v>
      </c>
      <c r="L1398" s="41" t="s">
        <v>63</v>
      </c>
      <c r="M1398" s="27"/>
      <c r="N1398" s="27"/>
      <c r="O1398" s="28"/>
    </row>
    <row r="1399" spans="1:15" ht="15" customHeight="1" x14ac:dyDescent="0.3">
      <c r="A1399" s="31">
        <v>46023</v>
      </c>
      <c r="B1399" s="27" t="s">
        <v>53</v>
      </c>
      <c r="C1399" s="27" t="s">
        <v>3368</v>
      </c>
      <c r="D1399" s="27" t="s">
        <v>3369</v>
      </c>
      <c r="E1399" s="27" t="s">
        <v>135</v>
      </c>
      <c r="F1399" s="27" t="s">
        <v>57</v>
      </c>
      <c r="G1399" s="27" t="s">
        <v>136</v>
      </c>
      <c r="H1399" s="27" t="s">
        <v>59</v>
      </c>
      <c r="I1399" s="27" t="s">
        <v>116</v>
      </c>
      <c r="J1399" s="27" t="s">
        <v>144</v>
      </c>
      <c r="K1399" s="39" t="s">
        <v>3342</v>
      </c>
      <c r="L1399" s="41" t="s">
        <v>63</v>
      </c>
      <c r="M1399" s="27"/>
      <c r="N1399" s="27"/>
      <c r="O1399" s="28"/>
    </row>
    <row r="1400" spans="1:15" ht="15" customHeight="1" x14ac:dyDescent="0.3">
      <c r="A1400" s="31">
        <v>46023</v>
      </c>
      <c r="B1400" s="27" t="s">
        <v>53</v>
      </c>
      <c r="C1400" s="27" t="s">
        <v>3370</v>
      </c>
      <c r="D1400" s="27" t="s">
        <v>3371</v>
      </c>
      <c r="E1400" s="27" t="s">
        <v>3372</v>
      </c>
      <c r="F1400" s="27" t="s">
        <v>57</v>
      </c>
      <c r="G1400" s="27" t="s">
        <v>3373</v>
      </c>
      <c r="H1400" s="27" t="s">
        <v>59</v>
      </c>
      <c r="I1400" s="27" t="s">
        <v>143</v>
      </c>
      <c r="J1400" s="27" t="s">
        <v>144</v>
      </c>
      <c r="K1400" s="39" t="s">
        <v>3374</v>
      </c>
      <c r="L1400" s="41" t="s">
        <v>63</v>
      </c>
      <c r="M1400" s="27"/>
      <c r="N1400" s="27"/>
      <c r="O1400" s="28"/>
    </row>
    <row r="1401" spans="1:15" ht="15" customHeight="1" x14ac:dyDescent="0.3">
      <c r="A1401" s="31">
        <v>46023</v>
      </c>
      <c r="B1401" s="27" t="s">
        <v>53</v>
      </c>
      <c r="C1401" s="27" t="s">
        <v>3375</v>
      </c>
      <c r="D1401" s="27" t="s">
        <v>3376</v>
      </c>
      <c r="E1401" s="27" t="s">
        <v>3372</v>
      </c>
      <c r="F1401" s="27" t="s">
        <v>57</v>
      </c>
      <c r="G1401" s="27" t="s">
        <v>3373</v>
      </c>
      <c r="H1401" s="27" t="s">
        <v>59</v>
      </c>
      <c r="I1401" s="27" t="s">
        <v>143</v>
      </c>
      <c r="J1401" s="27" t="s">
        <v>144</v>
      </c>
      <c r="K1401" s="39" t="s">
        <v>3374</v>
      </c>
      <c r="L1401" s="41" t="s">
        <v>63</v>
      </c>
      <c r="M1401" s="27"/>
      <c r="N1401" s="27"/>
      <c r="O1401" s="28"/>
    </row>
    <row r="1402" spans="1:15" ht="15" customHeight="1" x14ac:dyDescent="0.3">
      <c r="A1402" s="31">
        <v>46023</v>
      </c>
      <c r="B1402" s="27" t="s">
        <v>53</v>
      </c>
      <c r="C1402" s="27" t="s">
        <v>3377</v>
      </c>
      <c r="D1402" s="27" t="s">
        <v>3378</v>
      </c>
      <c r="E1402" s="27" t="s">
        <v>3372</v>
      </c>
      <c r="F1402" s="27" t="s">
        <v>57</v>
      </c>
      <c r="G1402" s="27" t="s">
        <v>3373</v>
      </c>
      <c r="H1402" s="27" t="s">
        <v>59</v>
      </c>
      <c r="I1402" s="27" t="s">
        <v>143</v>
      </c>
      <c r="J1402" s="27" t="s">
        <v>144</v>
      </c>
      <c r="K1402" s="39" t="s">
        <v>3374</v>
      </c>
      <c r="L1402" s="41" t="s">
        <v>63</v>
      </c>
      <c r="M1402" s="27"/>
      <c r="N1402" s="27"/>
      <c r="O1402" s="28"/>
    </row>
    <row r="1403" spans="1:15" ht="15" customHeight="1" x14ac:dyDescent="0.3">
      <c r="A1403" s="31">
        <v>46023</v>
      </c>
      <c r="B1403" s="27" t="s">
        <v>53</v>
      </c>
      <c r="C1403" s="27" t="s">
        <v>3379</v>
      </c>
      <c r="D1403" s="27" t="s">
        <v>3380</v>
      </c>
      <c r="E1403" s="27" t="s">
        <v>3372</v>
      </c>
      <c r="F1403" s="27" t="s">
        <v>57</v>
      </c>
      <c r="G1403" s="27" t="s">
        <v>3373</v>
      </c>
      <c r="H1403" s="27" t="s">
        <v>59</v>
      </c>
      <c r="I1403" s="27" t="s">
        <v>143</v>
      </c>
      <c r="J1403" s="27" t="s">
        <v>144</v>
      </c>
      <c r="K1403" s="39" t="s">
        <v>3374</v>
      </c>
      <c r="L1403" s="41" t="s">
        <v>63</v>
      </c>
      <c r="M1403" s="27"/>
      <c r="N1403" s="27"/>
      <c r="O1403" s="28"/>
    </row>
    <row r="1404" spans="1:15" ht="15" customHeight="1" x14ac:dyDescent="0.3">
      <c r="A1404" s="31">
        <v>46023</v>
      </c>
      <c r="B1404" s="27" t="s">
        <v>53</v>
      </c>
      <c r="C1404" s="27" t="s">
        <v>3381</v>
      </c>
      <c r="D1404" s="27" t="s">
        <v>3382</v>
      </c>
      <c r="E1404" s="27" t="s">
        <v>3383</v>
      </c>
      <c r="F1404" s="27" t="s">
        <v>57</v>
      </c>
      <c r="G1404" s="27" t="s">
        <v>3373</v>
      </c>
      <c r="H1404" s="27" t="s">
        <v>59</v>
      </c>
      <c r="I1404" s="27" t="s">
        <v>143</v>
      </c>
      <c r="J1404" s="27" t="s">
        <v>144</v>
      </c>
      <c r="K1404" s="39" t="s">
        <v>3384</v>
      </c>
      <c r="L1404" s="41" t="s">
        <v>3385</v>
      </c>
      <c r="M1404" s="27"/>
      <c r="N1404" s="27"/>
      <c r="O1404" s="28"/>
    </row>
    <row r="1405" spans="1:15" ht="15" customHeight="1" x14ac:dyDescent="0.3">
      <c r="A1405" s="31">
        <v>46023</v>
      </c>
      <c r="B1405" s="27" t="s">
        <v>53</v>
      </c>
      <c r="C1405" s="27" t="s">
        <v>3386</v>
      </c>
      <c r="D1405" s="27" t="s">
        <v>3387</v>
      </c>
      <c r="E1405" s="27" t="s">
        <v>3388</v>
      </c>
      <c r="F1405" s="27" t="s">
        <v>57</v>
      </c>
      <c r="G1405" s="27" t="s">
        <v>3373</v>
      </c>
      <c r="H1405" s="27" t="s">
        <v>59</v>
      </c>
      <c r="I1405" s="27" t="s">
        <v>143</v>
      </c>
      <c r="J1405" s="27" t="s">
        <v>144</v>
      </c>
      <c r="K1405" s="39" t="s">
        <v>3389</v>
      </c>
      <c r="L1405" s="41" t="s">
        <v>1953</v>
      </c>
      <c r="M1405" s="27"/>
      <c r="N1405" s="27"/>
      <c r="O1405" s="28"/>
    </row>
    <row r="1406" spans="1:15" ht="15" customHeight="1" x14ac:dyDescent="0.3">
      <c r="A1406" s="31">
        <v>46023</v>
      </c>
      <c r="B1406" s="27" t="s">
        <v>53</v>
      </c>
      <c r="C1406" s="27" t="s">
        <v>3390</v>
      </c>
      <c r="D1406" s="27" t="s">
        <v>3391</v>
      </c>
      <c r="E1406" s="27" t="s">
        <v>1949</v>
      </c>
      <c r="F1406" s="27" t="s">
        <v>57</v>
      </c>
      <c r="G1406" s="27" t="s">
        <v>3373</v>
      </c>
      <c r="H1406" s="27" t="s">
        <v>59</v>
      </c>
      <c r="I1406" s="27" t="s">
        <v>143</v>
      </c>
      <c r="J1406" s="27" t="s">
        <v>144</v>
      </c>
      <c r="K1406" s="39" t="s">
        <v>3389</v>
      </c>
      <c r="L1406" s="41" t="s">
        <v>1953</v>
      </c>
      <c r="M1406" s="27"/>
      <c r="N1406" s="27"/>
      <c r="O1406" s="28"/>
    </row>
    <row r="1407" spans="1:15" ht="15" customHeight="1" x14ac:dyDescent="0.3">
      <c r="A1407" s="31">
        <v>46023</v>
      </c>
      <c r="B1407" s="27" t="s">
        <v>53</v>
      </c>
      <c r="C1407" s="27" t="s">
        <v>3392</v>
      </c>
      <c r="D1407" s="27" t="s">
        <v>3393</v>
      </c>
      <c r="E1407" s="27" t="s">
        <v>1949</v>
      </c>
      <c r="F1407" s="27" t="s">
        <v>57</v>
      </c>
      <c r="G1407" s="27" t="s">
        <v>3373</v>
      </c>
      <c r="H1407" s="27" t="s">
        <v>59</v>
      </c>
      <c r="I1407" s="27" t="s">
        <v>143</v>
      </c>
      <c r="J1407" s="27" t="s">
        <v>144</v>
      </c>
      <c r="K1407" s="39" t="s">
        <v>3389</v>
      </c>
      <c r="L1407" s="41" t="s">
        <v>1953</v>
      </c>
      <c r="M1407" s="27"/>
      <c r="N1407" s="27"/>
      <c r="O1407" s="28"/>
    </row>
    <row r="1408" spans="1:15" ht="15" customHeight="1" x14ac:dyDescent="0.3">
      <c r="A1408" s="31">
        <v>46023</v>
      </c>
      <c r="B1408" s="27" t="s">
        <v>53</v>
      </c>
      <c r="C1408" s="27" t="s">
        <v>3394</v>
      </c>
      <c r="D1408" s="27" t="s">
        <v>3395</v>
      </c>
      <c r="E1408" s="27" t="s">
        <v>3396</v>
      </c>
      <c r="F1408" s="27" t="s">
        <v>57</v>
      </c>
      <c r="G1408" s="27" t="s">
        <v>3373</v>
      </c>
      <c r="H1408" s="27" t="s">
        <v>59</v>
      </c>
      <c r="I1408" s="27" t="s">
        <v>143</v>
      </c>
      <c r="J1408" s="27" t="s">
        <v>144</v>
      </c>
      <c r="K1408" s="39" t="s">
        <v>3389</v>
      </c>
      <c r="L1408" s="41" t="s">
        <v>1953</v>
      </c>
      <c r="M1408" s="27"/>
      <c r="N1408" s="27"/>
      <c r="O1408" s="28"/>
    </row>
    <row r="1409" spans="1:15" ht="15" customHeight="1" x14ac:dyDescent="0.3">
      <c r="A1409" s="31">
        <v>46023</v>
      </c>
      <c r="B1409" s="27" t="s">
        <v>53</v>
      </c>
      <c r="C1409" s="27" t="s">
        <v>3397</v>
      </c>
      <c r="D1409" s="27" t="s">
        <v>3398</v>
      </c>
      <c r="E1409" s="27" t="s">
        <v>3396</v>
      </c>
      <c r="F1409" s="27" t="s">
        <v>57</v>
      </c>
      <c r="G1409" s="27" t="s">
        <v>3373</v>
      </c>
      <c r="H1409" s="27" t="s">
        <v>59</v>
      </c>
      <c r="I1409" s="27" t="s">
        <v>143</v>
      </c>
      <c r="J1409" s="27" t="s">
        <v>144</v>
      </c>
      <c r="K1409" s="39" t="s">
        <v>3389</v>
      </c>
      <c r="L1409" s="41" t="s">
        <v>1953</v>
      </c>
      <c r="M1409" s="27"/>
      <c r="N1409" s="27"/>
      <c r="O1409" s="28"/>
    </row>
    <row r="1410" spans="1:15" ht="15" customHeight="1" x14ac:dyDescent="0.3">
      <c r="A1410" s="31">
        <v>46023</v>
      </c>
      <c r="B1410" s="27" t="s">
        <v>53</v>
      </c>
      <c r="C1410" s="27" t="s">
        <v>3399</v>
      </c>
      <c r="D1410" s="27" t="s">
        <v>3400</v>
      </c>
      <c r="E1410" s="27" t="s">
        <v>3401</v>
      </c>
      <c r="F1410" s="27" t="s">
        <v>57</v>
      </c>
      <c r="G1410" s="27" t="s">
        <v>3373</v>
      </c>
      <c r="H1410" s="27" t="s">
        <v>59</v>
      </c>
      <c r="I1410" s="27" t="s">
        <v>143</v>
      </c>
      <c r="J1410" s="27" t="s">
        <v>144</v>
      </c>
      <c r="K1410" s="39" t="s">
        <v>3389</v>
      </c>
      <c r="L1410" s="41" t="s">
        <v>1953</v>
      </c>
      <c r="M1410" s="27"/>
      <c r="N1410" s="27"/>
      <c r="O1410" s="28"/>
    </row>
    <row r="1411" spans="1:15" ht="15" customHeight="1" x14ac:dyDescent="0.3">
      <c r="A1411" s="31">
        <v>46023</v>
      </c>
      <c r="B1411" s="27" t="s">
        <v>53</v>
      </c>
      <c r="C1411" s="27" t="s">
        <v>3402</v>
      </c>
      <c r="D1411" s="27" t="s">
        <v>3403</v>
      </c>
      <c r="E1411" s="27" t="s">
        <v>3401</v>
      </c>
      <c r="F1411" s="27" t="s">
        <v>57</v>
      </c>
      <c r="G1411" s="27" t="s">
        <v>3373</v>
      </c>
      <c r="H1411" s="27" t="s">
        <v>59</v>
      </c>
      <c r="I1411" s="27" t="s">
        <v>143</v>
      </c>
      <c r="J1411" s="27" t="s">
        <v>144</v>
      </c>
      <c r="K1411" s="39" t="s">
        <v>3389</v>
      </c>
      <c r="L1411" s="41" t="s">
        <v>1953</v>
      </c>
      <c r="M1411" s="27"/>
      <c r="N1411" s="27"/>
      <c r="O1411" s="28"/>
    </row>
    <row r="1412" spans="1:15" ht="15" customHeight="1" x14ac:dyDescent="0.3">
      <c r="A1412" s="31">
        <v>46023</v>
      </c>
      <c r="B1412" s="27" t="s">
        <v>53</v>
      </c>
      <c r="C1412" s="27" t="s">
        <v>3404</v>
      </c>
      <c r="D1412" s="27" t="s">
        <v>3405</v>
      </c>
      <c r="E1412" s="27" t="s">
        <v>3401</v>
      </c>
      <c r="F1412" s="27" t="s">
        <v>57</v>
      </c>
      <c r="G1412" s="27" t="s">
        <v>3373</v>
      </c>
      <c r="H1412" s="27" t="s">
        <v>59</v>
      </c>
      <c r="I1412" s="27" t="s">
        <v>143</v>
      </c>
      <c r="J1412" s="27" t="s">
        <v>144</v>
      </c>
      <c r="K1412" s="39" t="s">
        <v>3389</v>
      </c>
      <c r="L1412" s="41" t="s">
        <v>1953</v>
      </c>
      <c r="M1412" s="27"/>
      <c r="N1412" s="27"/>
      <c r="O1412" s="28"/>
    </row>
    <row r="1413" spans="1:15" ht="15" customHeight="1" x14ac:dyDescent="0.3">
      <c r="A1413" s="31">
        <v>46023</v>
      </c>
      <c r="B1413" s="27" t="s">
        <v>53</v>
      </c>
      <c r="C1413" s="27" t="s">
        <v>3406</v>
      </c>
      <c r="D1413" s="27" t="s">
        <v>3407</v>
      </c>
      <c r="E1413" s="27" t="s">
        <v>1949</v>
      </c>
      <c r="F1413" s="27" t="s">
        <v>57</v>
      </c>
      <c r="G1413" s="27" t="s">
        <v>3373</v>
      </c>
      <c r="H1413" s="27" t="s">
        <v>59</v>
      </c>
      <c r="I1413" s="27" t="s">
        <v>143</v>
      </c>
      <c r="J1413" s="27" t="s">
        <v>144</v>
      </c>
      <c r="K1413" s="39" t="s">
        <v>3389</v>
      </c>
      <c r="L1413" s="41" t="s">
        <v>1953</v>
      </c>
      <c r="M1413" s="27"/>
      <c r="N1413" s="27"/>
      <c r="O1413" s="28"/>
    </row>
    <row r="1414" spans="1:15" ht="15" customHeight="1" x14ac:dyDescent="0.3">
      <c r="A1414" s="31">
        <v>46023</v>
      </c>
      <c r="B1414" s="27" t="s">
        <v>53</v>
      </c>
      <c r="C1414" s="27" t="s">
        <v>3408</v>
      </c>
      <c r="D1414" s="27" t="s">
        <v>3409</v>
      </c>
      <c r="E1414" s="27" t="s">
        <v>1949</v>
      </c>
      <c r="F1414" s="27" t="s">
        <v>57</v>
      </c>
      <c r="G1414" s="27" t="s">
        <v>3373</v>
      </c>
      <c r="H1414" s="27" t="s">
        <v>59</v>
      </c>
      <c r="I1414" s="27" t="s">
        <v>143</v>
      </c>
      <c r="J1414" s="27" t="s">
        <v>144</v>
      </c>
      <c r="K1414" s="39" t="s">
        <v>3389</v>
      </c>
      <c r="L1414" s="41" t="s">
        <v>1953</v>
      </c>
      <c r="M1414" s="27"/>
      <c r="N1414" s="27"/>
      <c r="O1414" s="28"/>
    </row>
    <row r="1415" spans="1:15" ht="15" customHeight="1" x14ac:dyDescent="0.3">
      <c r="A1415" s="31">
        <v>46023</v>
      </c>
      <c r="B1415" s="27" t="s">
        <v>53</v>
      </c>
      <c r="C1415" s="27" t="s">
        <v>3410</v>
      </c>
      <c r="D1415" s="27" t="s">
        <v>3411</v>
      </c>
      <c r="E1415" s="27" t="s">
        <v>1949</v>
      </c>
      <c r="F1415" s="27" t="s">
        <v>57</v>
      </c>
      <c r="G1415" s="27" t="s">
        <v>3373</v>
      </c>
      <c r="H1415" s="27" t="s">
        <v>59</v>
      </c>
      <c r="I1415" s="27" t="s">
        <v>143</v>
      </c>
      <c r="J1415" s="27" t="s">
        <v>144</v>
      </c>
      <c r="K1415" s="39" t="s">
        <v>3389</v>
      </c>
      <c r="L1415" s="41" t="s">
        <v>1953</v>
      </c>
      <c r="M1415" s="27"/>
      <c r="N1415" s="27"/>
      <c r="O1415" s="28"/>
    </row>
    <row r="1416" spans="1:15" ht="15" customHeight="1" x14ac:dyDescent="0.3">
      <c r="A1416" s="31">
        <v>46023</v>
      </c>
      <c r="B1416" s="27" t="s">
        <v>53</v>
      </c>
      <c r="C1416" s="27" t="s">
        <v>3412</v>
      </c>
      <c r="D1416" s="27" t="s">
        <v>3413</v>
      </c>
      <c r="E1416" s="27" t="s">
        <v>1949</v>
      </c>
      <c r="F1416" s="27" t="s">
        <v>57</v>
      </c>
      <c r="G1416" s="27" t="s">
        <v>3373</v>
      </c>
      <c r="H1416" s="27" t="s">
        <v>59</v>
      </c>
      <c r="I1416" s="27" t="s">
        <v>143</v>
      </c>
      <c r="J1416" s="27" t="s">
        <v>144</v>
      </c>
      <c r="K1416" s="39" t="s">
        <v>3389</v>
      </c>
      <c r="L1416" s="41" t="s">
        <v>1953</v>
      </c>
      <c r="M1416" s="27"/>
      <c r="N1416" s="27"/>
      <c r="O1416" s="28"/>
    </row>
    <row r="1417" spans="1:15" ht="15" customHeight="1" x14ac:dyDescent="0.3">
      <c r="A1417" s="31">
        <v>46023</v>
      </c>
      <c r="B1417" s="27" t="s">
        <v>53</v>
      </c>
      <c r="C1417" s="27" t="s">
        <v>3414</v>
      </c>
      <c r="D1417" s="27" t="s">
        <v>3415</v>
      </c>
      <c r="E1417" s="27" t="s">
        <v>1949</v>
      </c>
      <c r="F1417" s="27" t="s">
        <v>57</v>
      </c>
      <c r="G1417" s="27" t="s">
        <v>3373</v>
      </c>
      <c r="H1417" s="27" t="s">
        <v>59</v>
      </c>
      <c r="I1417" s="27" t="s">
        <v>143</v>
      </c>
      <c r="J1417" s="27" t="s">
        <v>144</v>
      </c>
      <c r="K1417" s="39" t="s">
        <v>3389</v>
      </c>
      <c r="L1417" s="41" t="s">
        <v>1953</v>
      </c>
      <c r="M1417" s="27"/>
      <c r="N1417" s="27"/>
      <c r="O1417" s="28"/>
    </row>
    <row r="1418" spans="1:15" ht="15" customHeight="1" x14ac:dyDescent="0.3">
      <c r="A1418" s="31">
        <v>46023</v>
      </c>
      <c r="B1418" s="27" t="s">
        <v>53</v>
      </c>
      <c r="C1418" s="27" t="s">
        <v>3416</v>
      </c>
      <c r="D1418" s="27" t="s">
        <v>3417</v>
      </c>
      <c r="E1418" s="27" t="s">
        <v>1949</v>
      </c>
      <c r="F1418" s="27" t="s">
        <v>57</v>
      </c>
      <c r="G1418" s="27" t="s">
        <v>3373</v>
      </c>
      <c r="H1418" s="27" t="s">
        <v>59</v>
      </c>
      <c r="I1418" s="27" t="s">
        <v>143</v>
      </c>
      <c r="J1418" s="27" t="s">
        <v>144</v>
      </c>
      <c r="K1418" s="39" t="s">
        <v>3389</v>
      </c>
      <c r="L1418" s="41" t="s">
        <v>1953</v>
      </c>
      <c r="M1418" s="27"/>
      <c r="N1418" s="27"/>
      <c r="O1418" s="28"/>
    </row>
    <row r="1419" spans="1:15" ht="15" customHeight="1" x14ac:dyDescent="0.3">
      <c r="A1419" s="31">
        <v>46023</v>
      </c>
      <c r="B1419" s="27" t="s">
        <v>53</v>
      </c>
      <c r="C1419" s="27" t="s">
        <v>3418</v>
      </c>
      <c r="D1419" s="27" t="s">
        <v>3419</v>
      </c>
      <c r="E1419" s="27" t="s">
        <v>1949</v>
      </c>
      <c r="F1419" s="27" t="s">
        <v>57</v>
      </c>
      <c r="G1419" s="27" t="s">
        <v>3373</v>
      </c>
      <c r="H1419" s="27" t="s">
        <v>59</v>
      </c>
      <c r="I1419" s="27" t="s">
        <v>143</v>
      </c>
      <c r="J1419" s="27" t="s">
        <v>144</v>
      </c>
      <c r="K1419" s="39" t="s">
        <v>3389</v>
      </c>
      <c r="L1419" s="41" t="s">
        <v>1953</v>
      </c>
      <c r="M1419" s="27"/>
      <c r="N1419" s="27"/>
      <c r="O1419" s="28"/>
    </row>
    <row r="1420" spans="1:15" ht="15" customHeight="1" x14ac:dyDescent="0.3">
      <c r="A1420" s="31">
        <v>46023</v>
      </c>
      <c r="B1420" s="27" t="s">
        <v>53</v>
      </c>
      <c r="C1420" s="27" t="s">
        <v>3420</v>
      </c>
      <c r="D1420" s="27" t="s">
        <v>3421</v>
      </c>
      <c r="E1420" s="27" t="s">
        <v>2521</v>
      </c>
      <c r="F1420" s="27" t="s">
        <v>57</v>
      </c>
      <c r="G1420" s="27" t="s">
        <v>3373</v>
      </c>
      <c r="H1420" s="27" t="s">
        <v>59</v>
      </c>
      <c r="I1420" s="27" t="s">
        <v>143</v>
      </c>
      <c r="J1420" s="27" t="s">
        <v>144</v>
      </c>
      <c r="K1420" s="39" t="s">
        <v>3389</v>
      </c>
      <c r="L1420" s="41" t="s">
        <v>1953</v>
      </c>
      <c r="M1420" s="27"/>
      <c r="N1420" s="27"/>
      <c r="O1420" s="28"/>
    </row>
    <row r="1421" spans="1:15" ht="15" customHeight="1" x14ac:dyDescent="0.3">
      <c r="A1421" s="31">
        <v>46023</v>
      </c>
      <c r="B1421" s="27" t="s">
        <v>53</v>
      </c>
      <c r="C1421" s="27" t="s">
        <v>3422</v>
      </c>
      <c r="D1421" s="27" t="s">
        <v>3421</v>
      </c>
      <c r="E1421" s="27" t="s">
        <v>2521</v>
      </c>
      <c r="F1421" s="27" t="s">
        <v>57</v>
      </c>
      <c r="G1421" s="27" t="s">
        <v>3373</v>
      </c>
      <c r="H1421" s="27" t="s">
        <v>59</v>
      </c>
      <c r="I1421" s="27" t="s">
        <v>143</v>
      </c>
      <c r="J1421" s="27" t="s">
        <v>144</v>
      </c>
      <c r="K1421" s="39" t="s">
        <v>3389</v>
      </c>
      <c r="L1421" s="41" t="s">
        <v>1953</v>
      </c>
      <c r="M1421" s="27"/>
      <c r="N1421" s="27"/>
      <c r="O1421" s="28"/>
    </row>
    <row r="1422" spans="1:15" ht="15" customHeight="1" x14ac:dyDescent="0.3">
      <c r="A1422" s="31">
        <v>46023</v>
      </c>
      <c r="B1422" s="27" t="s">
        <v>53</v>
      </c>
      <c r="C1422" s="27" t="s">
        <v>3423</v>
      </c>
      <c r="D1422" s="27" t="s">
        <v>3424</v>
      </c>
      <c r="E1422" s="27" t="s">
        <v>2521</v>
      </c>
      <c r="F1422" s="27" t="s">
        <v>57</v>
      </c>
      <c r="G1422" s="27" t="s">
        <v>3373</v>
      </c>
      <c r="H1422" s="27" t="s">
        <v>59</v>
      </c>
      <c r="I1422" s="27" t="s">
        <v>143</v>
      </c>
      <c r="J1422" s="27" t="s">
        <v>144</v>
      </c>
      <c r="K1422" s="39" t="s">
        <v>3389</v>
      </c>
      <c r="L1422" s="41" t="s">
        <v>1953</v>
      </c>
      <c r="M1422" s="27"/>
      <c r="N1422" s="27"/>
      <c r="O1422" s="28"/>
    </row>
    <row r="1423" spans="1:15" ht="15" customHeight="1" x14ac:dyDescent="0.3">
      <c r="A1423" s="31">
        <v>46023</v>
      </c>
      <c r="B1423" s="27" t="s">
        <v>53</v>
      </c>
      <c r="C1423" s="27" t="s">
        <v>3425</v>
      </c>
      <c r="D1423" s="27" t="s">
        <v>3426</v>
      </c>
      <c r="E1423" s="27" t="s">
        <v>2521</v>
      </c>
      <c r="F1423" s="27" t="s">
        <v>57</v>
      </c>
      <c r="G1423" s="27" t="s">
        <v>3373</v>
      </c>
      <c r="H1423" s="27" t="s">
        <v>59</v>
      </c>
      <c r="I1423" s="27" t="s">
        <v>143</v>
      </c>
      <c r="J1423" s="27" t="s">
        <v>144</v>
      </c>
      <c r="K1423" s="39" t="s">
        <v>3389</v>
      </c>
      <c r="L1423" s="41" t="s">
        <v>1953</v>
      </c>
      <c r="M1423" s="27"/>
      <c r="N1423" s="27"/>
      <c r="O1423" s="28"/>
    </row>
    <row r="1424" spans="1:15" ht="15" customHeight="1" x14ac:dyDescent="0.3">
      <c r="A1424" s="31">
        <v>46023</v>
      </c>
      <c r="B1424" s="27" t="s">
        <v>53</v>
      </c>
      <c r="C1424" s="27" t="s">
        <v>3427</v>
      </c>
      <c r="D1424" s="27" t="s">
        <v>3428</v>
      </c>
      <c r="E1424" s="27" t="s">
        <v>2521</v>
      </c>
      <c r="F1424" s="27" t="s">
        <v>57</v>
      </c>
      <c r="G1424" s="27" t="s">
        <v>3373</v>
      </c>
      <c r="H1424" s="27" t="s">
        <v>59</v>
      </c>
      <c r="I1424" s="27" t="s">
        <v>143</v>
      </c>
      <c r="J1424" s="27" t="s">
        <v>144</v>
      </c>
      <c r="K1424" s="39" t="s">
        <v>3389</v>
      </c>
      <c r="L1424" s="41" t="s">
        <v>1953</v>
      </c>
      <c r="M1424" s="27"/>
      <c r="N1424" s="27"/>
      <c r="O1424" s="28"/>
    </row>
    <row r="1425" spans="1:15" ht="15" customHeight="1" x14ac:dyDescent="0.3">
      <c r="A1425" s="31">
        <v>46023</v>
      </c>
      <c r="B1425" s="27" t="s">
        <v>53</v>
      </c>
      <c r="C1425" s="27" t="s">
        <v>3429</v>
      </c>
      <c r="D1425" s="27" t="s">
        <v>3430</v>
      </c>
      <c r="E1425" s="27" t="s">
        <v>2521</v>
      </c>
      <c r="F1425" s="27" t="s">
        <v>57</v>
      </c>
      <c r="G1425" s="27" t="s">
        <v>3373</v>
      </c>
      <c r="H1425" s="27" t="s">
        <v>59</v>
      </c>
      <c r="I1425" s="27" t="s">
        <v>143</v>
      </c>
      <c r="J1425" s="27" t="s">
        <v>144</v>
      </c>
      <c r="K1425" s="39" t="s">
        <v>3389</v>
      </c>
      <c r="L1425" s="41" t="s">
        <v>1953</v>
      </c>
      <c r="M1425" s="27"/>
      <c r="N1425" s="27"/>
      <c r="O1425" s="28"/>
    </row>
    <row r="1426" spans="1:15" ht="15" customHeight="1" x14ac:dyDescent="0.3">
      <c r="A1426" s="31">
        <v>46023</v>
      </c>
      <c r="B1426" s="27" t="s">
        <v>53</v>
      </c>
      <c r="C1426" s="27" t="s">
        <v>3431</v>
      </c>
      <c r="D1426" s="27" t="s">
        <v>3432</v>
      </c>
      <c r="E1426" s="27" t="s">
        <v>3433</v>
      </c>
      <c r="F1426" s="27" t="s">
        <v>57</v>
      </c>
      <c r="G1426" s="27" t="s">
        <v>3373</v>
      </c>
      <c r="H1426" s="27" t="s">
        <v>59</v>
      </c>
      <c r="I1426" s="27" t="s">
        <v>143</v>
      </c>
      <c r="J1426" s="27" t="s">
        <v>144</v>
      </c>
      <c r="K1426" s="39" t="s">
        <v>3389</v>
      </c>
      <c r="L1426" s="41" t="s">
        <v>1953</v>
      </c>
      <c r="M1426" s="27"/>
      <c r="N1426" s="27"/>
      <c r="O1426" s="28"/>
    </row>
    <row r="1427" spans="1:15" ht="15" customHeight="1" x14ac:dyDescent="0.3">
      <c r="A1427" s="31">
        <v>46023</v>
      </c>
      <c r="B1427" s="27" t="s">
        <v>53</v>
      </c>
      <c r="C1427" s="27" t="s">
        <v>3434</v>
      </c>
      <c r="D1427" s="27" t="s">
        <v>3417</v>
      </c>
      <c r="E1427" s="27" t="s">
        <v>3433</v>
      </c>
      <c r="F1427" s="27" t="s">
        <v>57</v>
      </c>
      <c r="G1427" s="27" t="s">
        <v>3373</v>
      </c>
      <c r="H1427" s="27" t="s">
        <v>59</v>
      </c>
      <c r="I1427" s="27" t="s">
        <v>143</v>
      </c>
      <c r="J1427" s="27" t="s">
        <v>144</v>
      </c>
      <c r="K1427" s="39" t="s">
        <v>3389</v>
      </c>
      <c r="L1427" s="41" t="s">
        <v>1953</v>
      </c>
      <c r="M1427" s="27"/>
      <c r="N1427" s="27"/>
      <c r="O1427" s="28"/>
    </row>
    <row r="1428" spans="1:15" ht="15" customHeight="1" x14ac:dyDescent="0.3">
      <c r="A1428" s="31">
        <v>46023</v>
      </c>
      <c r="B1428" s="27" t="s">
        <v>53</v>
      </c>
      <c r="C1428" s="27" t="s">
        <v>3435</v>
      </c>
      <c r="D1428" s="27" t="s">
        <v>3436</v>
      </c>
      <c r="E1428" s="27" t="s">
        <v>59</v>
      </c>
      <c r="F1428" s="27" t="s">
        <v>57</v>
      </c>
      <c r="G1428" s="27" t="s">
        <v>3373</v>
      </c>
      <c r="H1428" s="27" t="s">
        <v>59</v>
      </c>
      <c r="I1428" s="27" t="s">
        <v>143</v>
      </c>
      <c r="J1428" s="27" t="s">
        <v>144</v>
      </c>
      <c r="K1428" s="39" t="s">
        <v>3389</v>
      </c>
      <c r="L1428" s="41" t="s">
        <v>1953</v>
      </c>
      <c r="M1428" s="27"/>
      <c r="N1428" s="27"/>
      <c r="O1428" s="28"/>
    </row>
    <row r="1429" spans="1:15" ht="15" customHeight="1" x14ac:dyDescent="0.3">
      <c r="A1429" s="31">
        <v>46023</v>
      </c>
      <c r="B1429" s="27" t="s">
        <v>53</v>
      </c>
      <c r="C1429" s="27" t="s">
        <v>3437</v>
      </c>
      <c r="D1429" s="27" t="s">
        <v>3438</v>
      </c>
      <c r="E1429" s="27" t="s">
        <v>59</v>
      </c>
      <c r="F1429" s="27" t="s">
        <v>57</v>
      </c>
      <c r="G1429" s="27" t="s">
        <v>3373</v>
      </c>
      <c r="H1429" s="27" t="s">
        <v>59</v>
      </c>
      <c r="I1429" s="27" t="s">
        <v>143</v>
      </c>
      <c r="J1429" s="27" t="s">
        <v>144</v>
      </c>
      <c r="K1429" s="39" t="s">
        <v>3389</v>
      </c>
      <c r="L1429" s="41" t="s">
        <v>1953</v>
      </c>
      <c r="M1429" s="27"/>
      <c r="N1429" s="27"/>
      <c r="O1429" s="28"/>
    </row>
    <row r="1430" spans="1:15" ht="15" customHeight="1" x14ac:dyDescent="0.3">
      <c r="A1430" s="31">
        <v>46023</v>
      </c>
      <c r="B1430" s="27" t="s">
        <v>53</v>
      </c>
      <c r="C1430" s="27" t="s">
        <v>3439</v>
      </c>
      <c r="D1430" s="27" t="s">
        <v>3440</v>
      </c>
      <c r="E1430" s="27" t="s">
        <v>3441</v>
      </c>
      <c r="F1430" s="27" t="s">
        <v>57</v>
      </c>
      <c r="G1430" s="27" t="s">
        <v>3373</v>
      </c>
      <c r="H1430" s="27" t="s">
        <v>59</v>
      </c>
      <c r="I1430" s="27" t="s">
        <v>143</v>
      </c>
      <c r="J1430" s="27" t="s">
        <v>144</v>
      </c>
      <c r="K1430" s="39" t="s">
        <v>1347</v>
      </c>
      <c r="L1430" s="41" t="s">
        <v>1953</v>
      </c>
      <c r="M1430" s="27"/>
      <c r="N1430" s="27"/>
      <c r="O1430" s="28"/>
    </row>
    <row r="1431" spans="1:15" ht="15" customHeight="1" x14ac:dyDescent="0.3">
      <c r="A1431" s="31">
        <v>46023</v>
      </c>
      <c r="B1431" s="27" t="s">
        <v>53</v>
      </c>
      <c r="C1431" s="27" t="s">
        <v>3442</v>
      </c>
      <c r="D1431" s="27" t="s">
        <v>3443</v>
      </c>
      <c r="E1431" s="27" t="s">
        <v>3441</v>
      </c>
      <c r="F1431" s="27" t="s">
        <v>57</v>
      </c>
      <c r="G1431" s="27" t="s">
        <v>3373</v>
      </c>
      <c r="H1431" s="27" t="s">
        <v>59</v>
      </c>
      <c r="I1431" s="27" t="s">
        <v>143</v>
      </c>
      <c r="J1431" s="27" t="s">
        <v>144</v>
      </c>
      <c r="K1431" s="39" t="s">
        <v>1347</v>
      </c>
      <c r="L1431" s="41" t="s">
        <v>1953</v>
      </c>
      <c r="M1431" s="27"/>
      <c r="N1431" s="27"/>
      <c r="O1431" s="28"/>
    </row>
    <row r="1432" spans="1:15" ht="15" customHeight="1" x14ac:dyDescent="0.3">
      <c r="A1432" s="31">
        <v>46023</v>
      </c>
      <c r="B1432" s="27" t="s">
        <v>53</v>
      </c>
      <c r="C1432" s="27" t="s">
        <v>3444</v>
      </c>
      <c r="D1432" s="27" t="s">
        <v>3445</v>
      </c>
      <c r="E1432" s="27" t="s">
        <v>3441</v>
      </c>
      <c r="F1432" s="27" t="s">
        <v>57</v>
      </c>
      <c r="G1432" s="27" t="s">
        <v>3373</v>
      </c>
      <c r="H1432" s="27" t="s">
        <v>59</v>
      </c>
      <c r="I1432" s="27" t="s">
        <v>143</v>
      </c>
      <c r="J1432" s="27" t="s">
        <v>144</v>
      </c>
      <c r="K1432" s="39" t="s">
        <v>1347</v>
      </c>
      <c r="L1432" s="41" t="s">
        <v>1953</v>
      </c>
      <c r="M1432" s="27"/>
      <c r="N1432" s="27"/>
      <c r="O1432" s="28"/>
    </row>
    <row r="1433" spans="1:15" ht="15" customHeight="1" x14ac:dyDescent="0.3">
      <c r="A1433" s="31">
        <v>46023</v>
      </c>
      <c r="B1433" s="27" t="s">
        <v>53</v>
      </c>
      <c r="C1433" s="27" t="s">
        <v>3446</v>
      </c>
      <c r="D1433" s="27" t="s">
        <v>3447</v>
      </c>
      <c r="E1433" s="27" t="s">
        <v>3441</v>
      </c>
      <c r="F1433" s="27" t="s">
        <v>57</v>
      </c>
      <c r="G1433" s="27" t="s">
        <v>3373</v>
      </c>
      <c r="H1433" s="27" t="s">
        <v>59</v>
      </c>
      <c r="I1433" s="27" t="s">
        <v>143</v>
      </c>
      <c r="J1433" s="27" t="s">
        <v>144</v>
      </c>
      <c r="K1433" s="39" t="s">
        <v>1347</v>
      </c>
      <c r="L1433" s="41" t="s">
        <v>1953</v>
      </c>
      <c r="M1433" s="27"/>
      <c r="N1433" s="27"/>
      <c r="O1433" s="28"/>
    </row>
    <row r="1434" spans="1:15" ht="15" customHeight="1" x14ac:dyDescent="0.3">
      <c r="A1434" s="31">
        <v>46023</v>
      </c>
      <c r="B1434" s="27" t="s">
        <v>53</v>
      </c>
      <c r="C1434" s="27" t="s">
        <v>3448</v>
      </c>
      <c r="D1434" s="27" t="s">
        <v>3449</v>
      </c>
      <c r="E1434" s="27" t="s">
        <v>3450</v>
      </c>
      <c r="F1434" s="27" t="s">
        <v>57</v>
      </c>
      <c r="G1434" s="27" t="s">
        <v>3373</v>
      </c>
      <c r="H1434" s="27" t="s">
        <v>59</v>
      </c>
      <c r="I1434" s="27" t="s">
        <v>143</v>
      </c>
      <c r="J1434" s="27" t="s">
        <v>144</v>
      </c>
      <c r="K1434" s="39" t="s">
        <v>1347</v>
      </c>
      <c r="L1434" s="41" t="s">
        <v>1953</v>
      </c>
      <c r="M1434" s="27"/>
      <c r="N1434" s="27"/>
      <c r="O1434" s="28"/>
    </row>
    <row r="1435" spans="1:15" ht="15" customHeight="1" x14ac:dyDescent="0.3">
      <c r="A1435" s="31">
        <v>46023</v>
      </c>
      <c r="B1435" s="27" t="s">
        <v>53</v>
      </c>
      <c r="C1435" s="27" t="s">
        <v>3451</v>
      </c>
      <c r="D1435" s="27" t="s">
        <v>3452</v>
      </c>
      <c r="E1435" s="27" t="s">
        <v>3450</v>
      </c>
      <c r="F1435" s="27" t="s">
        <v>57</v>
      </c>
      <c r="G1435" s="27" t="s">
        <v>3373</v>
      </c>
      <c r="H1435" s="27" t="s">
        <v>59</v>
      </c>
      <c r="I1435" s="27" t="s">
        <v>143</v>
      </c>
      <c r="J1435" s="27" t="s">
        <v>144</v>
      </c>
      <c r="K1435" s="39" t="s">
        <v>1347</v>
      </c>
      <c r="L1435" s="41" t="s">
        <v>1953</v>
      </c>
      <c r="M1435" s="27"/>
      <c r="N1435" s="27"/>
      <c r="O1435" s="28"/>
    </row>
    <row r="1436" spans="1:15" ht="15" customHeight="1" x14ac:dyDescent="0.3">
      <c r="A1436" s="31">
        <v>46023</v>
      </c>
      <c r="B1436" s="27" t="s">
        <v>53</v>
      </c>
      <c r="C1436" s="27" t="s">
        <v>3453</v>
      </c>
      <c r="D1436" s="27" t="s">
        <v>3454</v>
      </c>
      <c r="E1436" s="27" t="s">
        <v>3450</v>
      </c>
      <c r="F1436" s="27" t="s">
        <v>57</v>
      </c>
      <c r="G1436" s="27" t="s">
        <v>3373</v>
      </c>
      <c r="H1436" s="27" t="s">
        <v>59</v>
      </c>
      <c r="I1436" s="27" t="s">
        <v>143</v>
      </c>
      <c r="J1436" s="27" t="s">
        <v>144</v>
      </c>
      <c r="K1436" s="39" t="s">
        <v>1347</v>
      </c>
      <c r="L1436" s="41" t="s">
        <v>1953</v>
      </c>
      <c r="M1436" s="27"/>
      <c r="N1436" s="27"/>
      <c r="O1436" s="28"/>
    </row>
    <row r="1437" spans="1:15" ht="15" customHeight="1" x14ac:dyDescent="0.3">
      <c r="A1437" s="31">
        <v>46023</v>
      </c>
      <c r="B1437" s="27" t="s">
        <v>53</v>
      </c>
      <c r="C1437" s="27" t="s">
        <v>3455</v>
      </c>
      <c r="D1437" s="27" t="s">
        <v>3449</v>
      </c>
      <c r="E1437" s="27" t="s">
        <v>3456</v>
      </c>
      <c r="F1437" s="27" t="s">
        <v>57</v>
      </c>
      <c r="G1437" s="27" t="s">
        <v>3373</v>
      </c>
      <c r="H1437" s="27" t="s">
        <v>59</v>
      </c>
      <c r="I1437" s="27" t="s">
        <v>2610</v>
      </c>
      <c r="J1437" s="27" t="s">
        <v>144</v>
      </c>
      <c r="K1437" s="39" t="s">
        <v>1347</v>
      </c>
      <c r="L1437" s="41" t="s">
        <v>1953</v>
      </c>
      <c r="M1437" s="27"/>
      <c r="N1437" s="27"/>
      <c r="O1437" s="28"/>
    </row>
    <row r="1438" spans="1:15" ht="15" customHeight="1" x14ac:dyDescent="0.3">
      <c r="A1438" s="31">
        <v>46023</v>
      </c>
      <c r="B1438" s="27" t="s">
        <v>53</v>
      </c>
      <c r="C1438" s="27" t="s">
        <v>3457</v>
      </c>
      <c r="D1438" s="27" t="s">
        <v>3443</v>
      </c>
      <c r="E1438" s="27" t="s">
        <v>3441</v>
      </c>
      <c r="F1438" s="27" t="s">
        <v>57</v>
      </c>
      <c r="G1438" s="27" t="s">
        <v>3373</v>
      </c>
      <c r="H1438" s="27" t="s">
        <v>59</v>
      </c>
      <c r="I1438" s="27" t="s">
        <v>2610</v>
      </c>
      <c r="J1438" s="27" t="s">
        <v>144</v>
      </c>
      <c r="K1438" s="39" t="s">
        <v>1347</v>
      </c>
      <c r="L1438" s="41" t="s">
        <v>1953</v>
      </c>
      <c r="M1438" s="27"/>
      <c r="N1438" s="27"/>
      <c r="O1438" s="28"/>
    </row>
    <row r="1439" spans="1:15" ht="15" customHeight="1" x14ac:dyDescent="0.3">
      <c r="A1439" s="31">
        <v>46023</v>
      </c>
      <c r="B1439" s="27" t="s">
        <v>53</v>
      </c>
      <c r="C1439" s="27" t="s">
        <v>3458</v>
      </c>
      <c r="D1439" s="27" t="s">
        <v>3443</v>
      </c>
      <c r="E1439" s="27" t="s">
        <v>3459</v>
      </c>
      <c r="F1439" s="27" t="s">
        <v>57</v>
      </c>
      <c r="G1439" s="27" t="s">
        <v>3373</v>
      </c>
      <c r="H1439" s="27" t="s">
        <v>59</v>
      </c>
      <c r="I1439" s="27" t="s">
        <v>2610</v>
      </c>
      <c r="J1439" s="27" t="s">
        <v>144</v>
      </c>
      <c r="K1439" s="39" t="s">
        <v>1347</v>
      </c>
      <c r="L1439" s="41" t="s">
        <v>1953</v>
      </c>
      <c r="M1439" s="27"/>
      <c r="N1439" s="27"/>
      <c r="O1439" s="28"/>
    </row>
    <row r="1440" spans="1:15" ht="15" customHeight="1" x14ac:dyDescent="0.3">
      <c r="A1440" s="31">
        <v>46023</v>
      </c>
      <c r="B1440" s="27" t="s">
        <v>53</v>
      </c>
      <c r="C1440" s="27" t="s">
        <v>3460</v>
      </c>
      <c r="D1440" s="27" t="s">
        <v>3447</v>
      </c>
      <c r="E1440" s="27" t="s">
        <v>3433</v>
      </c>
      <c r="F1440" s="27" t="s">
        <v>57</v>
      </c>
      <c r="G1440" s="27" t="s">
        <v>3373</v>
      </c>
      <c r="H1440" s="27" t="s">
        <v>59</v>
      </c>
      <c r="I1440" s="27" t="s">
        <v>2610</v>
      </c>
      <c r="J1440" s="27" t="s">
        <v>144</v>
      </c>
      <c r="K1440" s="39" t="s">
        <v>1347</v>
      </c>
      <c r="L1440" s="41" t="s">
        <v>1953</v>
      </c>
      <c r="M1440" s="27"/>
      <c r="N1440" s="27"/>
      <c r="O1440" s="28"/>
    </row>
    <row r="1441" spans="1:15" ht="15" customHeight="1" x14ac:dyDescent="0.3">
      <c r="A1441" s="31">
        <v>46023</v>
      </c>
      <c r="B1441" s="27" t="s">
        <v>53</v>
      </c>
      <c r="C1441" s="27" t="s">
        <v>3461</v>
      </c>
      <c r="D1441" s="27" t="s">
        <v>3447</v>
      </c>
      <c r="E1441" s="27" t="s">
        <v>3459</v>
      </c>
      <c r="F1441" s="27" t="s">
        <v>57</v>
      </c>
      <c r="G1441" s="27" t="s">
        <v>3373</v>
      </c>
      <c r="H1441" s="27" t="s">
        <v>59</v>
      </c>
      <c r="I1441" s="27" t="s">
        <v>2610</v>
      </c>
      <c r="J1441" s="27" t="s">
        <v>144</v>
      </c>
      <c r="K1441" s="39" t="s">
        <v>1347</v>
      </c>
      <c r="L1441" s="41" t="s">
        <v>1953</v>
      </c>
      <c r="M1441" s="27"/>
      <c r="N1441" s="27"/>
      <c r="O1441" s="28"/>
    </row>
    <row r="1442" spans="1:15" ht="15" customHeight="1" x14ac:dyDescent="0.3">
      <c r="A1442" s="31">
        <v>46023</v>
      </c>
      <c r="B1442" s="27" t="s">
        <v>53</v>
      </c>
      <c r="C1442" s="27" t="s">
        <v>3462</v>
      </c>
      <c r="D1442" s="27" t="s">
        <v>3463</v>
      </c>
      <c r="E1442" s="27" t="s">
        <v>3459</v>
      </c>
      <c r="F1442" s="27" t="s">
        <v>57</v>
      </c>
      <c r="G1442" s="27" t="s">
        <v>3373</v>
      </c>
      <c r="H1442" s="27" t="s">
        <v>59</v>
      </c>
      <c r="I1442" s="27" t="s">
        <v>2610</v>
      </c>
      <c r="J1442" s="27" t="s">
        <v>144</v>
      </c>
      <c r="K1442" s="39" t="s">
        <v>1347</v>
      </c>
      <c r="L1442" s="41" t="s">
        <v>1953</v>
      </c>
      <c r="M1442" s="27"/>
      <c r="N1442" s="27"/>
      <c r="O1442" s="28"/>
    </row>
    <row r="1443" spans="1:15" ht="15" customHeight="1" x14ac:dyDescent="0.3">
      <c r="A1443" s="31">
        <v>46023</v>
      </c>
      <c r="B1443" s="27" t="s">
        <v>53</v>
      </c>
      <c r="C1443" s="27" t="s">
        <v>3464</v>
      </c>
      <c r="D1443" s="27" t="s">
        <v>3465</v>
      </c>
      <c r="E1443" s="27" t="s">
        <v>3466</v>
      </c>
      <c r="F1443" s="27" t="s">
        <v>57</v>
      </c>
      <c r="G1443" s="27" t="s">
        <v>3373</v>
      </c>
      <c r="H1443" s="27" t="s">
        <v>59</v>
      </c>
      <c r="I1443" s="27" t="s">
        <v>2610</v>
      </c>
      <c r="J1443" s="27" t="s">
        <v>144</v>
      </c>
      <c r="K1443" s="39" t="s">
        <v>1347</v>
      </c>
      <c r="L1443" s="41" t="s">
        <v>1953</v>
      </c>
      <c r="M1443" s="27"/>
      <c r="N1443" s="27"/>
      <c r="O1443" s="28"/>
    </row>
    <row r="1444" spans="1:15" ht="15" customHeight="1" x14ac:dyDescent="0.3">
      <c r="A1444" s="31">
        <v>46023</v>
      </c>
      <c r="B1444" s="27" t="s">
        <v>53</v>
      </c>
      <c r="C1444" s="27" t="s">
        <v>3467</v>
      </c>
      <c r="D1444" s="27" t="s">
        <v>3465</v>
      </c>
      <c r="E1444" s="27" t="s">
        <v>3459</v>
      </c>
      <c r="F1444" s="27" t="s">
        <v>57</v>
      </c>
      <c r="G1444" s="27" t="s">
        <v>3373</v>
      </c>
      <c r="H1444" s="27" t="s">
        <v>59</v>
      </c>
      <c r="I1444" s="27" t="s">
        <v>2610</v>
      </c>
      <c r="J1444" s="27" t="s">
        <v>144</v>
      </c>
      <c r="K1444" s="39" t="s">
        <v>1347</v>
      </c>
      <c r="L1444" s="41" t="s">
        <v>1953</v>
      </c>
      <c r="M1444" s="27"/>
      <c r="N1444" s="27"/>
      <c r="O1444" s="28"/>
    </row>
    <row r="1445" spans="1:15" ht="15" customHeight="1" x14ac:dyDescent="0.3">
      <c r="A1445" s="31">
        <v>46023</v>
      </c>
      <c r="B1445" s="27" t="s">
        <v>53</v>
      </c>
      <c r="C1445" s="27" t="s">
        <v>3468</v>
      </c>
      <c r="D1445" s="27" t="s">
        <v>3469</v>
      </c>
      <c r="E1445" s="27" t="s">
        <v>3459</v>
      </c>
      <c r="F1445" s="27" t="s">
        <v>57</v>
      </c>
      <c r="G1445" s="27" t="s">
        <v>3373</v>
      </c>
      <c r="H1445" s="27" t="s">
        <v>59</v>
      </c>
      <c r="I1445" s="27" t="s">
        <v>2610</v>
      </c>
      <c r="J1445" s="27" t="s">
        <v>144</v>
      </c>
      <c r="K1445" s="39" t="s">
        <v>1347</v>
      </c>
      <c r="L1445" s="41" t="s">
        <v>1953</v>
      </c>
      <c r="M1445" s="27"/>
      <c r="N1445" s="27"/>
      <c r="O1445" s="28"/>
    </row>
    <row r="1446" spans="1:15" ht="15" customHeight="1" x14ac:dyDescent="0.3">
      <c r="A1446" s="31">
        <v>46023</v>
      </c>
      <c r="B1446" s="27" t="s">
        <v>53</v>
      </c>
      <c r="C1446" s="27" t="s">
        <v>3470</v>
      </c>
      <c r="D1446" s="27" t="s">
        <v>3471</v>
      </c>
      <c r="E1446" s="27" t="s">
        <v>3396</v>
      </c>
      <c r="F1446" s="27" t="s">
        <v>57</v>
      </c>
      <c r="G1446" s="27" t="s">
        <v>3373</v>
      </c>
      <c r="H1446" s="27" t="s">
        <v>59</v>
      </c>
      <c r="I1446" s="27" t="s">
        <v>143</v>
      </c>
      <c r="J1446" s="27" t="s">
        <v>144</v>
      </c>
      <c r="K1446" s="39" t="s">
        <v>2432</v>
      </c>
      <c r="L1446" s="41" t="s">
        <v>1953</v>
      </c>
      <c r="M1446" s="27"/>
      <c r="N1446" s="27"/>
      <c r="O1446" s="28"/>
    </row>
    <row r="1447" spans="1:15" ht="15" customHeight="1" x14ac:dyDescent="0.3">
      <c r="A1447" s="31">
        <v>46023</v>
      </c>
      <c r="B1447" s="27" t="s">
        <v>53</v>
      </c>
      <c r="C1447" s="27" t="s">
        <v>3472</v>
      </c>
      <c r="D1447" s="27" t="s">
        <v>3473</v>
      </c>
      <c r="E1447" s="27" t="s">
        <v>3396</v>
      </c>
      <c r="F1447" s="27" t="s">
        <v>57</v>
      </c>
      <c r="G1447" s="27" t="s">
        <v>3373</v>
      </c>
      <c r="H1447" s="27" t="s">
        <v>59</v>
      </c>
      <c r="I1447" s="27" t="s">
        <v>143</v>
      </c>
      <c r="J1447" s="27" t="s">
        <v>144</v>
      </c>
      <c r="K1447" s="39" t="s">
        <v>2432</v>
      </c>
      <c r="L1447" s="41" t="s">
        <v>1953</v>
      </c>
      <c r="M1447" s="27"/>
      <c r="N1447" s="27"/>
      <c r="O1447" s="28"/>
    </row>
    <row r="1448" spans="1:15" ht="15" customHeight="1" x14ac:dyDescent="0.3">
      <c r="A1448" s="31">
        <v>46023</v>
      </c>
      <c r="B1448" s="27" t="s">
        <v>53</v>
      </c>
      <c r="C1448" s="27" t="s">
        <v>3474</v>
      </c>
      <c r="D1448" s="27" t="s">
        <v>3475</v>
      </c>
      <c r="E1448" s="27" t="s">
        <v>3396</v>
      </c>
      <c r="F1448" s="27" t="s">
        <v>57</v>
      </c>
      <c r="G1448" s="27" t="s">
        <v>3373</v>
      </c>
      <c r="H1448" s="27" t="s">
        <v>59</v>
      </c>
      <c r="I1448" s="27" t="s">
        <v>143</v>
      </c>
      <c r="J1448" s="27" t="s">
        <v>144</v>
      </c>
      <c r="K1448" s="39" t="s">
        <v>2432</v>
      </c>
      <c r="L1448" s="41" t="s">
        <v>1953</v>
      </c>
      <c r="M1448" s="27"/>
      <c r="N1448" s="27"/>
      <c r="O1448" s="28"/>
    </row>
    <row r="1449" spans="1:15" ht="15" customHeight="1" x14ac:dyDescent="0.3">
      <c r="A1449" s="31">
        <v>46023</v>
      </c>
      <c r="B1449" s="27" t="s">
        <v>53</v>
      </c>
      <c r="C1449" s="27" t="s">
        <v>3476</v>
      </c>
      <c r="D1449" s="27" t="s">
        <v>3477</v>
      </c>
      <c r="E1449" s="27" t="s">
        <v>3396</v>
      </c>
      <c r="F1449" s="27" t="s">
        <v>57</v>
      </c>
      <c r="G1449" s="27" t="s">
        <v>3373</v>
      </c>
      <c r="H1449" s="27" t="s">
        <v>59</v>
      </c>
      <c r="I1449" s="27" t="s">
        <v>143</v>
      </c>
      <c r="J1449" s="27" t="s">
        <v>144</v>
      </c>
      <c r="K1449" s="39" t="s">
        <v>2432</v>
      </c>
      <c r="L1449" s="41" t="s">
        <v>1953</v>
      </c>
      <c r="M1449" s="27"/>
      <c r="N1449" s="27"/>
      <c r="O1449" s="28"/>
    </row>
    <row r="1450" spans="1:15" ht="15" customHeight="1" x14ac:dyDescent="0.3">
      <c r="A1450" s="31">
        <v>46023</v>
      </c>
      <c r="B1450" s="27" t="s">
        <v>53</v>
      </c>
      <c r="C1450" s="27" t="s">
        <v>3478</v>
      </c>
      <c r="D1450" s="27" t="s">
        <v>3479</v>
      </c>
      <c r="E1450" s="27" t="s">
        <v>3480</v>
      </c>
      <c r="F1450" s="27" t="s">
        <v>57</v>
      </c>
      <c r="G1450" s="27" t="s">
        <v>3481</v>
      </c>
      <c r="H1450" s="27" t="s">
        <v>59</v>
      </c>
      <c r="I1450" s="27" t="s">
        <v>143</v>
      </c>
      <c r="J1450" s="27" t="s">
        <v>144</v>
      </c>
      <c r="K1450" s="39" t="s">
        <v>2282</v>
      </c>
      <c r="L1450" s="41" t="s">
        <v>63</v>
      </c>
      <c r="M1450" s="27"/>
      <c r="N1450" s="27"/>
      <c r="O1450" s="28"/>
    </row>
    <row r="1451" spans="1:15" ht="15" customHeight="1" x14ac:dyDescent="0.3">
      <c r="A1451" s="31">
        <v>46023</v>
      </c>
      <c r="B1451" s="27" t="s">
        <v>53</v>
      </c>
      <c r="C1451" s="27" t="s">
        <v>3482</v>
      </c>
      <c r="D1451" s="27" t="s">
        <v>3483</v>
      </c>
      <c r="E1451" s="27" t="s">
        <v>3484</v>
      </c>
      <c r="F1451" s="27" t="s">
        <v>57</v>
      </c>
      <c r="G1451" s="27" t="s">
        <v>3481</v>
      </c>
      <c r="H1451" s="27" t="s">
        <v>59</v>
      </c>
      <c r="I1451" s="27" t="s">
        <v>143</v>
      </c>
      <c r="J1451" s="27" t="s">
        <v>144</v>
      </c>
      <c r="K1451" s="39" t="s">
        <v>2282</v>
      </c>
      <c r="L1451" s="41" t="s">
        <v>63</v>
      </c>
      <c r="M1451" s="27"/>
      <c r="N1451" s="27"/>
      <c r="O1451" s="28"/>
    </row>
    <row r="1452" spans="1:15" ht="15" customHeight="1" x14ac:dyDescent="0.3">
      <c r="A1452" s="31">
        <v>46023</v>
      </c>
      <c r="B1452" s="27" t="s">
        <v>53</v>
      </c>
      <c r="C1452" s="27" t="s">
        <v>3485</v>
      </c>
      <c r="D1452" s="27" t="s">
        <v>3486</v>
      </c>
      <c r="E1452" s="27" t="s">
        <v>3487</v>
      </c>
      <c r="F1452" s="27" t="s">
        <v>57</v>
      </c>
      <c r="G1452" s="27" t="s">
        <v>3481</v>
      </c>
      <c r="H1452" s="27" t="s">
        <v>59</v>
      </c>
      <c r="I1452" s="27" t="s">
        <v>143</v>
      </c>
      <c r="J1452" s="27" t="s">
        <v>144</v>
      </c>
      <c r="K1452" s="39" t="s">
        <v>2282</v>
      </c>
      <c r="L1452" s="41" t="s">
        <v>63</v>
      </c>
      <c r="M1452" s="27"/>
      <c r="N1452" s="27"/>
      <c r="O1452" s="28"/>
    </row>
    <row r="1453" spans="1:15" ht="15" customHeight="1" x14ac:dyDescent="0.3">
      <c r="A1453" s="31">
        <v>46023</v>
      </c>
      <c r="B1453" s="27" t="s">
        <v>53</v>
      </c>
      <c r="C1453" s="27" t="s">
        <v>3488</v>
      </c>
      <c r="D1453" s="27" t="s">
        <v>3489</v>
      </c>
      <c r="E1453" s="27" t="s">
        <v>3487</v>
      </c>
      <c r="F1453" s="27" t="s">
        <v>57</v>
      </c>
      <c r="G1453" s="27" t="s">
        <v>3481</v>
      </c>
      <c r="H1453" s="27" t="s">
        <v>59</v>
      </c>
      <c r="I1453" s="27" t="s">
        <v>143</v>
      </c>
      <c r="J1453" s="27" t="s">
        <v>144</v>
      </c>
      <c r="K1453" s="39" t="s">
        <v>2282</v>
      </c>
      <c r="L1453" s="41" t="s">
        <v>63</v>
      </c>
      <c r="M1453" s="27"/>
      <c r="N1453" s="27"/>
      <c r="O1453" s="28"/>
    </row>
    <row r="1454" spans="1:15" ht="15" customHeight="1" x14ac:dyDescent="0.3">
      <c r="A1454" s="31">
        <v>46023</v>
      </c>
      <c r="B1454" s="27" t="s">
        <v>53</v>
      </c>
      <c r="C1454" s="27" t="s">
        <v>3490</v>
      </c>
      <c r="D1454" s="27" t="s">
        <v>3491</v>
      </c>
      <c r="E1454" s="27" t="s">
        <v>3480</v>
      </c>
      <c r="F1454" s="27" t="s">
        <v>57</v>
      </c>
      <c r="G1454" s="27" t="s">
        <v>3481</v>
      </c>
      <c r="H1454" s="27" t="s">
        <v>59</v>
      </c>
      <c r="I1454" s="27" t="s">
        <v>143</v>
      </c>
      <c r="J1454" s="27" t="s">
        <v>144</v>
      </c>
      <c r="K1454" s="39" t="s">
        <v>2282</v>
      </c>
      <c r="L1454" s="41" t="s">
        <v>63</v>
      </c>
      <c r="M1454" s="27"/>
      <c r="N1454" s="27"/>
      <c r="O1454" s="28"/>
    </row>
    <row r="1455" spans="1:15" ht="15" customHeight="1" x14ac:dyDescent="0.3">
      <c r="A1455" s="31">
        <v>46023</v>
      </c>
      <c r="B1455" s="27" t="s">
        <v>53</v>
      </c>
      <c r="C1455" s="29" t="s">
        <v>3492</v>
      </c>
      <c r="D1455" s="29" t="s">
        <v>3493</v>
      </c>
      <c r="E1455" s="29" t="s">
        <v>59</v>
      </c>
      <c r="F1455" s="29" t="s">
        <v>57</v>
      </c>
      <c r="G1455" s="29" t="s">
        <v>3481</v>
      </c>
      <c r="H1455" s="29" t="s">
        <v>59</v>
      </c>
      <c r="I1455" s="29" t="s">
        <v>143</v>
      </c>
      <c r="J1455" s="29" t="s">
        <v>144</v>
      </c>
      <c r="K1455" s="40" t="s">
        <v>2329</v>
      </c>
      <c r="L1455" s="42" t="s">
        <v>1953</v>
      </c>
      <c r="M1455" s="29"/>
      <c r="N1455" s="29"/>
      <c r="O1455" s="30"/>
    </row>
    <row r="1456" spans="1:15" ht="15" customHeight="1" x14ac:dyDescent="0.3">
      <c r="A1456" s="31">
        <v>46080</v>
      </c>
      <c r="B1456" s="27" t="s">
        <v>3494</v>
      </c>
      <c r="C1456" s="27" t="s">
        <v>3495</v>
      </c>
      <c r="D1456" s="27" t="s">
        <v>3496</v>
      </c>
      <c r="E1456" s="27"/>
      <c r="F1456" s="27" t="s">
        <v>43</v>
      </c>
      <c r="G1456" s="27" t="s">
        <v>3497</v>
      </c>
      <c r="H1456" s="27"/>
      <c r="I1456" s="27"/>
      <c r="J1456" s="27"/>
      <c r="K1456" s="39"/>
      <c r="L1456" s="41"/>
      <c r="M1456" s="27"/>
      <c r="N1456" s="27"/>
      <c r="O1456" s="28"/>
    </row>
    <row r="1457" spans="1:15" ht="15" customHeight="1" x14ac:dyDescent="0.3">
      <c r="A1457" s="31">
        <v>46080</v>
      </c>
      <c r="B1457" s="27" t="s">
        <v>3494</v>
      </c>
      <c r="C1457" s="27" t="s">
        <v>3498</v>
      </c>
      <c r="D1457" s="27"/>
      <c r="E1457" s="27"/>
      <c r="F1457" s="27" t="s">
        <v>43</v>
      </c>
      <c r="G1457" s="27" t="s">
        <v>3499</v>
      </c>
      <c r="H1457" s="27"/>
      <c r="I1457" s="27"/>
      <c r="J1457" s="27"/>
      <c r="K1457" s="39"/>
      <c r="L1457" s="41"/>
      <c r="M1457" s="27"/>
      <c r="N1457" s="27"/>
      <c r="O1457" s="28"/>
    </row>
  </sheetData>
  <phoneticPr fontId="11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1A08-2972-4BD6-A7AA-CFA20DF23A67}">
  <sheetPr codeName="Hoja2">
    <tabColor rgb="FF00B050"/>
  </sheetPr>
  <dimension ref="A1:U1457"/>
  <sheetViews>
    <sheetView topLeftCell="A1338" zoomScale="70" zoomScaleNormal="70" workbookViewId="0">
      <selection activeCell="J1435" sqref="J1435"/>
    </sheetView>
  </sheetViews>
  <sheetFormatPr baseColWidth="10" defaultRowHeight="14.4" x14ac:dyDescent="0.3"/>
  <cols>
    <col min="1" max="1" width="21.88671875" bestFit="1" customWidth="1"/>
    <col min="2" max="2" width="11.44140625" style="48"/>
    <col min="4" max="4" width="19.6640625" customWidth="1"/>
    <col min="5" max="5" width="22.6640625" customWidth="1"/>
    <col min="6" max="6" width="16.33203125" customWidth="1"/>
    <col min="7" max="7" width="15.33203125" customWidth="1"/>
    <col min="8" max="8" width="20.88671875" customWidth="1"/>
    <col min="9" max="9" width="15.33203125" customWidth="1"/>
    <col min="10" max="10" width="114.44140625" bestFit="1" customWidth="1"/>
    <col min="11" max="11" width="15" customWidth="1"/>
    <col min="12" max="12" width="19.33203125" customWidth="1"/>
    <col min="13" max="13" width="25.33203125" customWidth="1"/>
    <col min="14" max="14" width="17.5546875" customWidth="1"/>
    <col min="15" max="15" width="13.5546875" customWidth="1"/>
    <col min="16" max="17" width="15.6640625" customWidth="1"/>
    <col min="18" max="18" width="14" customWidth="1"/>
    <col min="19" max="19" width="33.88671875" bestFit="1" customWidth="1"/>
    <col min="20" max="20" width="18" customWidth="1"/>
    <col min="21" max="21" width="38.33203125" customWidth="1"/>
  </cols>
  <sheetData>
    <row r="1" spans="1:21" ht="46.2" customHeight="1" x14ac:dyDescent="0.3">
      <c r="A1" s="9" t="s">
        <v>15</v>
      </c>
      <c r="B1" s="47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37" t="s">
        <v>22</v>
      </c>
      <c r="I1" s="9" t="s">
        <v>2</v>
      </c>
      <c r="J1" s="9" t="s">
        <v>3</v>
      </c>
      <c r="K1" s="9" t="s">
        <v>4</v>
      </c>
      <c r="L1" s="9" t="s">
        <v>5</v>
      </c>
      <c r="M1" s="9" t="s">
        <v>23</v>
      </c>
      <c r="N1" s="9" t="s">
        <v>7</v>
      </c>
      <c r="O1" s="9" t="s">
        <v>8</v>
      </c>
      <c r="P1" s="9" t="s">
        <v>9</v>
      </c>
      <c r="Q1" s="9" t="s">
        <v>24</v>
      </c>
      <c r="R1" s="9" t="s">
        <v>10</v>
      </c>
      <c r="S1" s="9" t="s">
        <v>44</v>
      </c>
      <c r="T1" s="9" t="s">
        <v>13</v>
      </c>
      <c r="U1" s="9" t="s">
        <v>41</v>
      </c>
    </row>
    <row r="2" spans="1:21" x14ac:dyDescent="0.3">
      <c r="A2" s="9"/>
      <c r="B2" s="47"/>
      <c r="C2" s="25">
        <f>TablaENTRADA[[#This Row],[FECHA]]</f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3">
      <c r="A3" s="51" t="s">
        <v>53</v>
      </c>
      <c r="B3" s="48">
        <v>46023</v>
      </c>
      <c r="C3" s="26"/>
      <c r="I3" t="s">
        <v>2260</v>
      </c>
      <c r="J3" t="s">
        <v>2261</v>
      </c>
      <c r="K3" t="s">
        <v>2262</v>
      </c>
      <c r="L3" t="s">
        <v>2263</v>
      </c>
      <c r="M3" t="s">
        <v>2264</v>
      </c>
      <c r="N3" t="s">
        <v>59</v>
      </c>
      <c r="O3" t="s">
        <v>116</v>
      </c>
      <c r="P3" t="s">
        <v>61</v>
      </c>
      <c r="Q3">
        <v>3</v>
      </c>
      <c r="R3" t="s">
        <v>62</v>
      </c>
      <c r="S3" t="s">
        <v>63</v>
      </c>
      <c r="T3" s="52"/>
    </row>
    <row r="4" spans="1:21" x14ac:dyDescent="0.3">
      <c r="A4" s="51" t="s">
        <v>53</v>
      </c>
      <c r="B4" s="48">
        <v>46023</v>
      </c>
      <c r="C4" s="26"/>
      <c r="I4" t="s">
        <v>2265</v>
      </c>
      <c r="J4" t="s">
        <v>2266</v>
      </c>
      <c r="K4" t="s">
        <v>2262</v>
      </c>
      <c r="L4" t="s">
        <v>2263</v>
      </c>
      <c r="M4" t="s">
        <v>2264</v>
      </c>
      <c r="N4" t="s">
        <v>59</v>
      </c>
      <c r="O4" t="s">
        <v>116</v>
      </c>
      <c r="P4" t="s">
        <v>61</v>
      </c>
      <c r="Q4">
        <v>4</v>
      </c>
      <c r="R4" t="s">
        <v>62</v>
      </c>
      <c r="S4" t="s">
        <v>63</v>
      </c>
      <c r="T4" s="52"/>
    </row>
    <row r="5" spans="1:21" x14ac:dyDescent="0.3">
      <c r="A5" t="s">
        <v>53</v>
      </c>
      <c r="B5" s="48">
        <v>46023</v>
      </c>
      <c r="C5" s="26"/>
      <c r="I5" t="s">
        <v>2267</v>
      </c>
      <c r="J5" t="s">
        <v>2268</v>
      </c>
      <c r="K5" t="s">
        <v>2262</v>
      </c>
      <c r="L5" t="s">
        <v>2263</v>
      </c>
      <c r="M5" t="s">
        <v>2264</v>
      </c>
      <c r="N5" t="s">
        <v>59</v>
      </c>
      <c r="O5" t="s">
        <v>116</v>
      </c>
      <c r="P5" t="s">
        <v>61</v>
      </c>
      <c r="Q5">
        <v>2</v>
      </c>
      <c r="R5" t="s">
        <v>62</v>
      </c>
      <c r="S5" t="s">
        <v>63</v>
      </c>
      <c r="T5" s="52"/>
    </row>
    <row r="6" spans="1:21" x14ac:dyDescent="0.3">
      <c r="A6" t="s">
        <v>53</v>
      </c>
      <c r="B6" s="48">
        <v>46023</v>
      </c>
      <c r="C6" s="26"/>
      <c r="I6" t="s">
        <v>2269</v>
      </c>
      <c r="J6" t="s">
        <v>2270</v>
      </c>
      <c r="K6" t="s">
        <v>2271</v>
      </c>
      <c r="L6" t="s">
        <v>2263</v>
      </c>
      <c r="M6" t="s">
        <v>2272</v>
      </c>
      <c r="N6" t="s">
        <v>59</v>
      </c>
      <c r="O6" t="s">
        <v>116</v>
      </c>
      <c r="P6" t="s">
        <v>61</v>
      </c>
      <c r="Q6">
        <v>1</v>
      </c>
      <c r="R6" t="s">
        <v>62</v>
      </c>
      <c r="S6" t="s">
        <v>63</v>
      </c>
      <c r="T6" s="52"/>
    </row>
    <row r="7" spans="1:21" x14ac:dyDescent="0.3">
      <c r="A7" t="s">
        <v>53</v>
      </c>
      <c r="B7" s="48">
        <v>46023</v>
      </c>
      <c r="C7" s="26"/>
      <c r="I7" t="s">
        <v>2273</v>
      </c>
      <c r="J7" t="s">
        <v>2274</v>
      </c>
      <c r="K7" t="s">
        <v>59</v>
      </c>
      <c r="L7" t="s">
        <v>2263</v>
      </c>
      <c r="M7" t="s">
        <v>2275</v>
      </c>
      <c r="N7" t="s">
        <v>59</v>
      </c>
      <c r="O7" t="s">
        <v>116</v>
      </c>
      <c r="P7" t="s">
        <v>61</v>
      </c>
      <c r="Q7">
        <v>1</v>
      </c>
      <c r="R7" t="s">
        <v>62</v>
      </c>
      <c r="S7" t="s">
        <v>63</v>
      </c>
      <c r="T7" s="52"/>
    </row>
    <row r="8" spans="1:21" x14ac:dyDescent="0.3">
      <c r="A8" t="s">
        <v>53</v>
      </c>
      <c r="B8" s="48">
        <v>46023</v>
      </c>
      <c r="C8" s="26"/>
      <c r="I8" t="s">
        <v>2246</v>
      </c>
      <c r="J8" t="s">
        <v>2247</v>
      </c>
      <c r="K8" t="s">
        <v>59</v>
      </c>
      <c r="L8" t="s">
        <v>2248</v>
      </c>
      <c r="M8" t="s">
        <v>2249</v>
      </c>
      <c r="N8" t="s">
        <v>59</v>
      </c>
      <c r="O8" t="s">
        <v>143</v>
      </c>
      <c r="P8" t="s">
        <v>144</v>
      </c>
      <c r="Q8">
        <v>5</v>
      </c>
      <c r="R8" t="s">
        <v>1008</v>
      </c>
      <c r="S8" t="s">
        <v>309</v>
      </c>
      <c r="T8" s="52"/>
    </row>
    <row r="9" spans="1:21" x14ac:dyDescent="0.3">
      <c r="A9" t="s">
        <v>53</v>
      </c>
      <c r="B9" s="48">
        <v>46023</v>
      </c>
      <c r="C9" s="26"/>
      <c r="I9" t="s">
        <v>2250</v>
      </c>
      <c r="J9" t="s">
        <v>2251</v>
      </c>
      <c r="K9" t="s">
        <v>59</v>
      </c>
      <c r="L9" t="s">
        <v>2248</v>
      </c>
      <c r="M9" t="s">
        <v>2252</v>
      </c>
      <c r="N9" t="s">
        <v>59</v>
      </c>
      <c r="O9" t="s">
        <v>143</v>
      </c>
      <c r="P9" t="s">
        <v>61</v>
      </c>
      <c r="Q9">
        <v>13</v>
      </c>
      <c r="R9" t="s">
        <v>1366</v>
      </c>
      <c r="S9" t="s">
        <v>2253</v>
      </c>
      <c r="T9" s="52"/>
    </row>
    <row r="10" spans="1:21" x14ac:dyDescent="0.3">
      <c r="A10" t="s">
        <v>53</v>
      </c>
      <c r="B10" s="48">
        <v>46023</v>
      </c>
      <c r="C10" s="26"/>
      <c r="I10" t="s">
        <v>2254</v>
      </c>
      <c r="J10" t="s">
        <v>2255</v>
      </c>
      <c r="K10" t="s">
        <v>59</v>
      </c>
      <c r="L10" t="s">
        <v>2248</v>
      </c>
      <c r="M10" t="s">
        <v>2252</v>
      </c>
      <c r="N10" t="s">
        <v>59</v>
      </c>
      <c r="O10" t="s">
        <v>143</v>
      </c>
      <c r="P10" t="s">
        <v>61</v>
      </c>
      <c r="Q10">
        <v>4</v>
      </c>
      <c r="R10" t="s">
        <v>1366</v>
      </c>
      <c r="S10" t="s">
        <v>2253</v>
      </c>
      <c r="T10" s="52"/>
    </row>
    <row r="11" spans="1:21" x14ac:dyDescent="0.3">
      <c r="A11" t="s">
        <v>53</v>
      </c>
      <c r="B11" s="48">
        <v>46023</v>
      </c>
      <c r="C11" s="26"/>
      <c r="I11" t="s">
        <v>2256</v>
      </c>
      <c r="J11" t="s">
        <v>2257</v>
      </c>
      <c r="K11" t="s">
        <v>2258</v>
      </c>
      <c r="L11" t="s">
        <v>2248</v>
      </c>
      <c r="M11" t="s">
        <v>2259</v>
      </c>
      <c r="N11" t="s">
        <v>59</v>
      </c>
      <c r="O11" t="s">
        <v>60</v>
      </c>
      <c r="P11" t="s">
        <v>61</v>
      </c>
      <c r="Q11">
        <v>4</v>
      </c>
      <c r="R11" t="s">
        <v>1366</v>
      </c>
      <c r="S11" t="s">
        <v>129</v>
      </c>
      <c r="T11" s="52"/>
    </row>
    <row r="12" spans="1:21" x14ac:dyDescent="0.3">
      <c r="A12" t="s">
        <v>53</v>
      </c>
      <c r="B12" s="48">
        <v>46023</v>
      </c>
      <c r="C12" s="26"/>
      <c r="I12" t="s">
        <v>2278</v>
      </c>
      <c r="J12" t="s">
        <v>2279</v>
      </c>
      <c r="K12" t="s">
        <v>2280</v>
      </c>
      <c r="L12" t="s">
        <v>2248</v>
      </c>
      <c r="M12" t="s">
        <v>2281</v>
      </c>
      <c r="N12" t="s">
        <v>59</v>
      </c>
      <c r="O12" t="s">
        <v>143</v>
      </c>
      <c r="P12" t="s">
        <v>144</v>
      </c>
      <c r="Q12">
        <v>2</v>
      </c>
      <c r="R12" t="s">
        <v>2282</v>
      </c>
      <c r="S12" t="s">
        <v>1953</v>
      </c>
      <c r="T12" s="52"/>
    </row>
    <row r="13" spans="1:21" x14ac:dyDescent="0.3">
      <c r="A13" t="s">
        <v>53</v>
      </c>
      <c r="B13" s="48">
        <v>46023</v>
      </c>
      <c r="C13" s="26"/>
      <c r="I13" t="s">
        <v>2283</v>
      </c>
      <c r="J13" t="s">
        <v>2284</v>
      </c>
      <c r="K13" t="s">
        <v>2285</v>
      </c>
      <c r="L13" t="s">
        <v>2248</v>
      </c>
      <c r="M13" t="s">
        <v>2281</v>
      </c>
      <c r="N13" t="s">
        <v>59</v>
      </c>
      <c r="O13" t="s">
        <v>143</v>
      </c>
      <c r="P13" t="s">
        <v>144</v>
      </c>
      <c r="Q13">
        <v>2</v>
      </c>
      <c r="R13" t="s">
        <v>2282</v>
      </c>
      <c r="S13" t="s">
        <v>1953</v>
      </c>
      <c r="T13" s="52"/>
    </row>
    <row r="14" spans="1:21" x14ac:dyDescent="0.3">
      <c r="A14" t="s">
        <v>53</v>
      </c>
      <c r="B14" s="48">
        <v>46023</v>
      </c>
      <c r="C14" s="26"/>
      <c r="I14" t="s">
        <v>2286</v>
      </c>
      <c r="J14" t="s">
        <v>2287</v>
      </c>
      <c r="K14" t="s">
        <v>59</v>
      </c>
      <c r="L14" t="s">
        <v>2248</v>
      </c>
      <c r="M14" t="s">
        <v>2281</v>
      </c>
      <c r="N14" t="s">
        <v>59</v>
      </c>
      <c r="O14" t="s">
        <v>143</v>
      </c>
      <c r="P14" t="s">
        <v>144</v>
      </c>
      <c r="Q14">
        <v>2</v>
      </c>
      <c r="R14" t="s">
        <v>2282</v>
      </c>
      <c r="S14" t="s">
        <v>1953</v>
      </c>
      <c r="T14" s="52"/>
    </row>
    <row r="15" spans="1:21" x14ac:dyDescent="0.3">
      <c r="A15" t="s">
        <v>53</v>
      </c>
      <c r="B15" s="48">
        <v>46023</v>
      </c>
      <c r="C15" s="26"/>
      <c r="I15" t="s">
        <v>2288</v>
      </c>
      <c r="J15" t="s">
        <v>2289</v>
      </c>
      <c r="K15" t="s">
        <v>59</v>
      </c>
      <c r="L15" t="s">
        <v>2248</v>
      </c>
      <c r="M15" t="s">
        <v>2281</v>
      </c>
      <c r="N15" t="s">
        <v>59</v>
      </c>
      <c r="O15" t="s">
        <v>143</v>
      </c>
      <c r="P15" t="s">
        <v>144</v>
      </c>
      <c r="Q15">
        <v>14</v>
      </c>
      <c r="R15" t="s">
        <v>2282</v>
      </c>
      <c r="S15" t="s">
        <v>1953</v>
      </c>
      <c r="T15" s="52"/>
    </row>
    <row r="16" spans="1:21" x14ac:dyDescent="0.3">
      <c r="A16" t="s">
        <v>53</v>
      </c>
      <c r="B16" s="48">
        <v>46023</v>
      </c>
      <c r="C16" s="26"/>
      <c r="I16" t="s">
        <v>2290</v>
      </c>
      <c r="J16" t="s">
        <v>2291</v>
      </c>
      <c r="K16" t="s">
        <v>2292</v>
      </c>
      <c r="L16" t="s">
        <v>2248</v>
      </c>
      <c r="M16" t="s">
        <v>2281</v>
      </c>
      <c r="N16" t="s">
        <v>59</v>
      </c>
      <c r="O16" t="s">
        <v>143</v>
      </c>
      <c r="P16" t="s">
        <v>144</v>
      </c>
      <c r="Q16">
        <v>3</v>
      </c>
      <c r="R16" t="s">
        <v>2282</v>
      </c>
      <c r="S16" t="s">
        <v>1953</v>
      </c>
      <c r="T16" s="52"/>
    </row>
    <row r="17" spans="1:20" x14ac:dyDescent="0.3">
      <c r="A17" t="s">
        <v>53</v>
      </c>
      <c r="B17" s="48">
        <v>46023</v>
      </c>
      <c r="C17" s="26"/>
      <c r="I17" t="s">
        <v>2293</v>
      </c>
      <c r="J17" t="s">
        <v>2294</v>
      </c>
      <c r="K17" t="s">
        <v>2292</v>
      </c>
      <c r="L17" t="s">
        <v>2248</v>
      </c>
      <c r="M17" t="s">
        <v>2295</v>
      </c>
      <c r="N17" t="s">
        <v>59</v>
      </c>
      <c r="O17" t="s">
        <v>143</v>
      </c>
      <c r="P17" t="s">
        <v>144</v>
      </c>
      <c r="Q17">
        <v>4</v>
      </c>
      <c r="R17" t="s">
        <v>2282</v>
      </c>
      <c r="S17" t="s">
        <v>1953</v>
      </c>
      <c r="T17" s="52"/>
    </row>
    <row r="18" spans="1:20" x14ac:dyDescent="0.3">
      <c r="A18" t="s">
        <v>53</v>
      </c>
      <c r="B18" s="48">
        <v>46023</v>
      </c>
      <c r="C18" s="26"/>
      <c r="I18" t="s">
        <v>2296</v>
      </c>
      <c r="J18" t="s">
        <v>2297</v>
      </c>
      <c r="K18" t="s">
        <v>59</v>
      </c>
      <c r="L18" t="s">
        <v>2248</v>
      </c>
      <c r="M18" t="s">
        <v>2295</v>
      </c>
      <c r="N18" t="s">
        <v>59</v>
      </c>
      <c r="O18" t="s">
        <v>143</v>
      </c>
      <c r="P18" t="s">
        <v>144</v>
      </c>
      <c r="Q18">
        <v>1</v>
      </c>
      <c r="R18" t="s">
        <v>2282</v>
      </c>
      <c r="S18" t="s">
        <v>1953</v>
      </c>
      <c r="T18" s="52"/>
    </row>
    <row r="19" spans="1:20" x14ac:dyDescent="0.3">
      <c r="A19" t="s">
        <v>53</v>
      </c>
      <c r="B19" s="48">
        <v>46023</v>
      </c>
      <c r="C19" s="26"/>
      <c r="I19" t="s">
        <v>2298</v>
      </c>
      <c r="J19" t="s">
        <v>2299</v>
      </c>
      <c r="K19" t="s">
        <v>59</v>
      </c>
      <c r="L19" t="s">
        <v>2248</v>
      </c>
      <c r="M19" t="s">
        <v>2295</v>
      </c>
      <c r="N19" t="s">
        <v>59</v>
      </c>
      <c r="O19" t="s">
        <v>143</v>
      </c>
      <c r="P19" t="s">
        <v>144</v>
      </c>
      <c r="Q19">
        <v>1</v>
      </c>
      <c r="R19" t="s">
        <v>2282</v>
      </c>
      <c r="S19" t="s">
        <v>1953</v>
      </c>
      <c r="T19" s="52"/>
    </row>
    <row r="20" spans="1:20" x14ac:dyDescent="0.3">
      <c r="A20" t="s">
        <v>53</v>
      </c>
      <c r="B20" s="48">
        <v>46023</v>
      </c>
      <c r="C20" s="26"/>
      <c r="I20" t="s">
        <v>2300</v>
      </c>
      <c r="J20" t="s">
        <v>2301</v>
      </c>
      <c r="K20" t="s">
        <v>59</v>
      </c>
      <c r="L20" t="s">
        <v>2248</v>
      </c>
      <c r="M20" t="s">
        <v>2295</v>
      </c>
      <c r="N20" t="s">
        <v>59</v>
      </c>
      <c r="O20" t="s">
        <v>143</v>
      </c>
      <c r="P20" t="s">
        <v>144</v>
      </c>
      <c r="Q20">
        <v>16</v>
      </c>
      <c r="R20" t="s">
        <v>2282</v>
      </c>
      <c r="S20" t="s">
        <v>1953</v>
      </c>
      <c r="T20" s="52"/>
    </row>
    <row r="21" spans="1:20" x14ac:dyDescent="0.3">
      <c r="A21" t="s">
        <v>53</v>
      </c>
      <c r="B21" s="48">
        <v>46023</v>
      </c>
      <c r="C21" s="26"/>
      <c r="I21" t="s">
        <v>2302</v>
      </c>
      <c r="J21" t="s">
        <v>2303</v>
      </c>
      <c r="K21" t="s">
        <v>59</v>
      </c>
      <c r="L21" t="s">
        <v>2248</v>
      </c>
      <c r="M21" t="s">
        <v>2304</v>
      </c>
      <c r="N21" t="s">
        <v>59</v>
      </c>
      <c r="O21" t="s">
        <v>143</v>
      </c>
      <c r="P21" t="s">
        <v>144</v>
      </c>
      <c r="Q21">
        <v>7</v>
      </c>
      <c r="R21" t="s">
        <v>2282</v>
      </c>
      <c r="S21" t="s">
        <v>1953</v>
      </c>
      <c r="T21" s="52"/>
    </row>
    <row r="22" spans="1:20" x14ac:dyDescent="0.3">
      <c r="A22" t="s">
        <v>53</v>
      </c>
      <c r="B22" s="48">
        <v>46023</v>
      </c>
      <c r="C22" s="26"/>
      <c r="I22" t="s">
        <v>2305</v>
      </c>
      <c r="J22" t="s">
        <v>2306</v>
      </c>
      <c r="K22" t="s">
        <v>59</v>
      </c>
      <c r="L22" t="s">
        <v>2248</v>
      </c>
      <c r="M22" t="s">
        <v>2304</v>
      </c>
      <c r="N22" t="s">
        <v>59</v>
      </c>
      <c r="O22" t="s">
        <v>143</v>
      </c>
      <c r="P22" t="s">
        <v>144</v>
      </c>
      <c r="Q22">
        <v>4</v>
      </c>
      <c r="R22" t="s">
        <v>2282</v>
      </c>
      <c r="S22" t="s">
        <v>1953</v>
      </c>
      <c r="T22" s="52"/>
    </row>
    <row r="23" spans="1:20" x14ac:dyDescent="0.3">
      <c r="A23" t="s">
        <v>53</v>
      </c>
      <c r="B23" s="48">
        <v>46023</v>
      </c>
      <c r="C23" s="26"/>
      <c r="I23" t="s">
        <v>2307</v>
      </c>
      <c r="J23" t="s">
        <v>2308</v>
      </c>
      <c r="K23" t="s">
        <v>59</v>
      </c>
      <c r="L23" t="s">
        <v>2248</v>
      </c>
      <c r="M23" t="s">
        <v>2304</v>
      </c>
      <c r="N23" t="s">
        <v>59</v>
      </c>
      <c r="O23" t="s">
        <v>143</v>
      </c>
      <c r="P23" t="s">
        <v>144</v>
      </c>
      <c r="Q23">
        <v>3</v>
      </c>
      <c r="R23" t="s">
        <v>2282</v>
      </c>
      <c r="S23" t="s">
        <v>1953</v>
      </c>
      <c r="T23" s="52"/>
    </row>
    <row r="24" spans="1:20" x14ac:dyDescent="0.3">
      <c r="A24" t="s">
        <v>53</v>
      </c>
      <c r="B24" s="48">
        <v>46023</v>
      </c>
      <c r="C24" s="26"/>
      <c r="I24" t="s">
        <v>2309</v>
      </c>
      <c r="J24" t="s">
        <v>2287</v>
      </c>
      <c r="K24" t="s">
        <v>59</v>
      </c>
      <c r="L24" t="s">
        <v>2248</v>
      </c>
      <c r="M24" t="s">
        <v>2281</v>
      </c>
      <c r="N24" t="s">
        <v>59</v>
      </c>
      <c r="O24" t="s">
        <v>116</v>
      </c>
      <c r="P24" t="s">
        <v>144</v>
      </c>
      <c r="Q24">
        <v>3</v>
      </c>
      <c r="R24" t="s">
        <v>2282</v>
      </c>
      <c r="S24" t="s">
        <v>1953</v>
      </c>
      <c r="T24" s="52"/>
    </row>
    <row r="25" spans="1:20" x14ac:dyDescent="0.3">
      <c r="A25" t="s">
        <v>53</v>
      </c>
      <c r="B25" s="48">
        <v>46023</v>
      </c>
      <c r="C25" s="26"/>
      <c r="I25" t="s">
        <v>2310</v>
      </c>
      <c r="J25" t="s">
        <v>2311</v>
      </c>
      <c r="K25" t="s">
        <v>59</v>
      </c>
      <c r="L25" t="s">
        <v>2248</v>
      </c>
      <c r="M25" t="s">
        <v>2295</v>
      </c>
      <c r="N25" t="s">
        <v>59</v>
      </c>
      <c r="O25" t="s">
        <v>143</v>
      </c>
      <c r="P25" t="s">
        <v>144</v>
      </c>
      <c r="Q25">
        <v>4</v>
      </c>
      <c r="R25" t="s">
        <v>2282</v>
      </c>
      <c r="S25" t="s">
        <v>1953</v>
      </c>
      <c r="T25" s="52"/>
    </row>
    <row r="26" spans="1:20" x14ac:dyDescent="0.3">
      <c r="A26" t="s">
        <v>53</v>
      </c>
      <c r="B26" s="48">
        <v>46023</v>
      </c>
      <c r="C26" s="26"/>
      <c r="I26" t="s">
        <v>2312</v>
      </c>
      <c r="J26" t="s">
        <v>2313</v>
      </c>
      <c r="K26" t="s">
        <v>59</v>
      </c>
      <c r="L26" t="s">
        <v>2248</v>
      </c>
      <c r="M26" t="s">
        <v>2304</v>
      </c>
      <c r="N26" t="s">
        <v>59</v>
      </c>
      <c r="O26" t="s">
        <v>143</v>
      </c>
      <c r="P26" t="s">
        <v>144</v>
      </c>
      <c r="Q26">
        <v>8</v>
      </c>
      <c r="R26" t="s">
        <v>2282</v>
      </c>
      <c r="S26" t="s">
        <v>1953</v>
      </c>
      <c r="T26" s="52"/>
    </row>
    <row r="27" spans="1:20" x14ac:dyDescent="0.3">
      <c r="A27" t="s">
        <v>53</v>
      </c>
      <c r="B27" s="48">
        <v>46023</v>
      </c>
      <c r="C27" s="26"/>
      <c r="I27" t="s">
        <v>2314</v>
      </c>
      <c r="J27" t="s">
        <v>2315</v>
      </c>
      <c r="K27" t="s">
        <v>59</v>
      </c>
      <c r="L27" t="s">
        <v>2248</v>
      </c>
      <c r="M27" t="s">
        <v>2304</v>
      </c>
      <c r="N27" t="s">
        <v>59</v>
      </c>
      <c r="O27" t="s">
        <v>143</v>
      </c>
      <c r="P27" t="s">
        <v>144</v>
      </c>
      <c r="Q27">
        <v>25</v>
      </c>
      <c r="R27" t="s">
        <v>2282</v>
      </c>
      <c r="S27" t="s">
        <v>1953</v>
      </c>
      <c r="T27" s="52"/>
    </row>
    <row r="28" spans="1:20" x14ac:dyDescent="0.3">
      <c r="A28" t="s">
        <v>53</v>
      </c>
      <c r="B28" s="48">
        <v>46023</v>
      </c>
      <c r="C28" s="26"/>
      <c r="I28" t="s">
        <v>2316</v>
      </c>
      <c r="J28" t="s">
        <v>2317</v>
      </c>
      <c r="K28" t="s">
        <v>2318</v>
      </c>
      <c r="L28" t="s">
        <v>2248</v>
      </c>
      <c r="M28" t="s">
        <v>2259</v>
      </c>
      <c r="N28" t="s">
        <v>2319</v>
      </c>
      <c r="O28" t="s">
        <v>116</v>
      </c>
      <c r="P28" t="s">
        <v>144</v>
      </c>
      <c r="Q28">
        <v>1</v>
      </c>
      <c r="R28" t="s">
        <v>2320</v>
      </c>
      <c r="S28" t="s">
        <v>1953</v>
      </c>
      <c r="T28" s="52"/>
    </row>
    <row r="29" spans="1:20" x14ac:dyDescent="0.3">
      <c r="A29" t="s">
        <v>53</v>
      </c>
      <c r="B29" s="48">
        <v>46023</v>
      </c>
      <c r="C29" s="26"/>
      <c r="I29" t="s">
        <v>2321</v>
      </c>
      <c r="J29" t="s">
        <v>2317</v>
      </c>
      <c r="K29" t="s">
        <v>2318</v>
      </c>
      <c r="L29" t="s">
        <v>2248</v>
      </c>
      <c r="M29" t="s">
        <v>2259</v>
      </c>
      <c r="N29" t="s">
        <v>2322</v>
      </c>
      <c r="O29" t="s">
        <v>116</v>
      </c>
      <c r="P29" t="s">
        <v>144</v>
      </c>
      <c r="Q29">
        <v>1</v>
      </c>
      <c r="R29" t="s">
        <v>2320</v>
      </c>
      <c r="S29" t="s">
        <v>1953</v>
      </c>
      <c r="T29" s="52"/>
    </row>
    <row r="30" spans="1:20" x14ac:dyDescent="0.3">
      <c r="A30" t="s">
        <v>53</v>
      </c>
      <c r="B30" s="48">
        <v>46023</v>
      </c>
      <c r="C30" s="26"/>
      <c r="I30" t="s">
        <v>2323</v>
      </c>
      <c r="J30" t="s">
        <v>2317</v>
      </c>
      <c r="K30" t="s">
        <v>2318</v>
      </c>
      <c r="L30" t="s">
        <v>2248</v>
      </c>
      <c r="M30" t="s">
        <v>2259</v>
      </c>
      <c r="N30" t="s">
        <v>2324</v>
      </c>
      <c r="O30" t="s">
        <v>116</v>
      </c>
      <c r="P30" t="s">
        <v>144</v>
      </c>
      <c r="Q30">
        <v>1</v>
      </c>
      <c r="R30" t="s">
        <v>2320</v>
      </c>
      <c r="S30" t="s">
        <v>1953</v>
      </c>
      <c r="T30" s="52"/>
    </row>
    <row r="31" spans="1:20" x14ac:dyDescent="0.3">
      <c r="A31" t="s">
        <v>53</v>
      </c>
      <c r="B31" s="48">
        <v>46023</v>
      </c>
      <c r="C31" s="26"/>
      <c r="I31" t="s">
        <v>2325</v>
      </c>
      <c r="J31" t="s">
        <v>2317</v>
      </c>
      <c r="K31" t="s">
        <v>2318</v>
      </c>
      <c r="L31" t="s">
        <v>2248</v>
      </c>
      <c r="M31" t="s">
        <v>2259</v>
      </c>
      <c r="N31" t="s">
        <v>2326</v>
      </c>
      <c r="O31" t="s">
        <v>116</v>
      </c>
      <c r="P31" t="s">
        <v>144</v>
      </c>
      <c r="Q31">
        <v>1</v>
      </c>
      <c r="R31" t="s">
        <v>2320</v>
      </c>
      <c r="S31" t="s">
        <v>1953</v>
      </c>
      <c r="T31" s="52"/>
    </row>
    <row r="32" spans="1:20" x14ac:dyDescent="0.3">
      <c r="A32" t="s">
        <v>53</v>
      </c>
      <c r="B32" s="48">
        <v>46023</v>
      </c>
      <c r="C32" s="26"/>
      <c r="I32" t="s">
        <v>2327</v>
      </c>
      <c r="J32" t="s">
        <v>2328</v>
      </c>
      <c r="K32" t="s">
        <v>59</v>
      </c>
      <c r="L32" t="s">
        <v>2248</v>
      </c>
      <c r="M32" t="s">
        <v>2281</v>
      </c>
      <c r="N32" t="s">
        <v>59</v>
      </c>
      <c r="O32" t="s">
        <v>116</v>
      </c>
      <c r="P32" t="s">
        <v>144</v>
      </c>
      <c r="Q32">
        <v>1</v>
      </c>
      <c r="R32" t="s">
        <v>2329</v>
      </c>
      <c r="S32" t="s">
        <v>1953</v>
      </c>
      <c r="T32" s="52"/>
    </row>
    <row r="33" spans="1:20" x14ac:dyDescent="0.3">
      <c r="A33" t="s">
        <v>53</v>
      </c>
      <c r="B33" s="48">
        <v>46023</v>
      </c>
      <c r="C33" s="26"/>
      <c r="I33" t="s">
        <v>2330</v>
      </c>
      <c r="J33" t="s">
        <v>2331</v>
      </c>
      <c r="K33" t="s">
        <v>59</v>
      </c>
      <c r="L33" t="s">
        <v>2248</v>
      </c>
      <c r="M33" t="s">
        <v>2295</v>
      </c>
      <c r="N33" t="s">
        <v>59</v>
      </c>
      <c r="O33" t="s">
        <v>116</v>
      </c>
      <c r="P33" t="s">
        <v>144</v>
      </c>
      <c r="Q33">
        <v>2</v>
      </c>
      <c r="R33" t="s">
        <v>2329</v>
      </c>
      <c r="S33" t="s">
        <v>1953</v>
      </c>
      <c r="T33" s="52"/>
    </row>
    <row r="34" spans="1:20" x14ac:dyDescent="0.3">
      <c r="A34" t="s">
        <v>53</v>
      </c>
      <c r="B34" s="48">
        <v>46023</v>
      </c>
      <c r="C34" s="26"/>
      <c r="I34" t="s">
        <v>2332</v>
      </c>
      <c r="J34" t="s">
        <v>2333</v>
      </c>
      <c r="K34" t="s">
        <v>2334</v>
      </c>
      <c r="L34" t="s">
        <v>2248</v>
      </c>
      <c r="M34" t="s">
        <v>2259</v>
      </c>
      <c r="N34" t="s">
        <v>59</v>
      </c>
      <c r="O34" t="s">
        <v>143</v>
      </c>
      <c r="P34" t="s">
        <v>144</v>
      </c>
      <c r="Q34">
        <v>2</v>
      </c>
      <c r="R34" t="s">
        <v>2329</v>
      </c>
      <c r="S34" t="s">
        <v>1953</v>
      </c>
      <c r="T34" s="52"/>
    </row>
    <row r="35" spans="1:20" x14ac:dyDescent="0.3">
      <c r="A35" t="s">
        <v>53</v>
      </c>
      <c r="B35" s="48">
        <v>46023</v>
      </c>
      <c r="C35" s="26"/>
      <c r="I35" t="s">
        <v>2335</v>
      </c>
      <c r="J35" t="s">
        <v>2336</v>
      </c>
      <c r="K35" t="s">
        <v>2337</v>
      </c>
      <c r="L35" t="s">
        <v>2248</v>
      </c>
      <c r="M35" t="s">
        <v>2295</v>
      </c>
      <c r="N35" t="s">
        <v>59</v>
      </c>
      <c r="O35" t="s">
        <v>116</v>
      </c>
      <c r="P35" t="s">
        <v>144</v>
      </c>
      <c r="Q35">
        <v>1</v>
      </c>
      <c r="R35" t="s">
        <v>2329</v>
      </c>
      <c r="S35" t="s">
        <v>1953</v>
      </c>
      <c r="T35" s="52"/>
    </row>
    <row r="36" spans="1:20" x14ac:dyDescent="0.3">
      <c r="A36" t="s">
        <v>53</v>
      </c>
      <c r="B36" s="48">
        <v>46023</v>
      </c>
      <c r="C36" s="26"/>
      <c r="I36" t="s">
        <v>2338</v>
      </c>
      <c r="J36" t="s">
        <v>2339</v>
      </c>
      <c r="K36" t="s">
        <v>2340</v>
      </c>
      <c r="L36" t="s">
        <v>2248</v>
      </c>
      <c r="M36" t="s">
        <v>2259</v>
      </c>
      <c r="N36" s="49">
        <v>11215100000000</v>
      </c>
      <c r="O36" t="s">
        <v>116</v>
      </c>
      <c r="P36" t="s">
        <v>144</v>
      </c>
      <c r="Q36">
        <v>1</v>
      </c>
      <c r="R36" t="s">
        <v>2329</v>
      </c>
      <c r="S36" t="s">
        <v>1953</v>
      </c>
      <c r="T36" s="52"/>
    </row>
    <row r="37" spans="1:20" x14ac:dyDescent="0.3">
      <c r="A37" t="s">
        <v>53</v>
      </c>
      <c r="B37" s="48">
        <v>46023</v>
      </c>
      <c r="C37" s="26"/>
      <c r="I37" t="s">
        <v>2341</v>
      </c>
      <c r="J37" t="s">
        <v>2342</v>
      </c>
      <c r="K37" t="s">
        <v>2343</v>
      </c>
      <c r="L37" t="s">
        <v>2248</v>
      </c>
      <c r="M37" t="s">
        <v>2259</v>
      </c>
      <c r="N37" t="s">
        <v>2344</v>
      </c>
      <c r="O37" t="s">
        <v>116</v>
      </c>
      <c r="P37" t="s">
        <v>144</v>
      </c>
      <c r="Q37">
        <v>1</v>
      </c>
      <c r="R37" t="s">
        <v>2329</v>
      </c>
      <c r="S37" t="s">
        <v>1953</v>
      </c>
      <c r="T37" s="52"/>
    </row>
    <row r="38" spans="1:20" x14ac:dyDescent="0.3">
      <c r="A38" t="s">
        <v>53</v>
      </c>
      <c r="B38" s="48">
        <v>46023</v>
      </c>
      <c r="C38" s="26"/>
      <c r="I38" t="s">
        <v>2345</v>
      </c>
      <c r="J38" t="s">
        <v>2342</v>
      </c>
      <c r="K38" t="s">
        <v>2343</v>
      </c>
      <c r="L38" t="s">
        <v>2248</v>
      </c>
      <c r="M38" t="s">
        <v>2259</v>
      </c>
      <c r="N38" t="s">
        <v>2346</v>
      </c>
      <c r="O38" t="s">
        <v>116</v>
      </c>
      <c r="P38" t="s">
        <v>144</v>
      </c>
      <c r="Q38">
        <v>1</v>
      </c>
      <c r="R38" t="s">
        <v>2329</v>
      </c>
      <c r="S38" t="s">
        <v>1953</v>
      </c>
      <c r="T38" s="52"/>
    </row>
    <row r="39" spans="1:20" x14ac:dyDescent="0.3">
      <c r="A39" t="s">
        <v>53</v>
      </c>
      <c r="B39" s="48">
        <v>46023</v>
      </c>
      <c r="C39" s="26"/>
      <c r="I39" t="s">
        <v>2347</v>
      </c>
      <c r="J39" t="s">
        <v>2348</v>
      </c>
      <c r="L39" t="s">
        <v>2248</v>
      </c>
      <c r="M39" t="s">
        <v>2259</v>
      </c>
      <c r="N39" t="s">
        <v>2349</v>
      </c>
      <c r="O39" t="s">
        <v>116</v>
      </c>
      <c r="P39" t="s">
        <v>144</v>
      </c>
      <c r="Q39">
        <v>1</v>
      </c>
      <c r="R39" t="s">
        <v>2329</v>
      </c>
      <c r="S39" t="s">
        <v>1953</v>
      </c>
      <c r="T39" s="52"/>
    </row>
    <row r="40" spans="1:20" x14ac:dyDescent="0.3">
      <c r="A40" t="s">
        <v>53</v>
      </c>
      <c r="B40" s="48">
        <v>46023</v>
      </c>
      <c r="C40" s="26"/>
      <c r="I40" t="s">
        <v>2350</v>
      </c>
      <c r="J40" t="s">
        <v>2351</v>
      </c>
      <c r="K40" t="s">
        <v>2352</v>
      </c>
      <c r="L40" t="s">
        <v>2248</v>
      </c>
      <c r="M40" t="s">
        <v>2259</v>
      </c>
      <c r="N40" t="s">
        <v>2353</v>
      </c>
      <c r="O40" t="s">
        <v>116</v>
      </c>
      <c r="P40" t="s">
        <v>144</v>
      </c>
      <c r="Q40">
        <v>1</v>
      </c>
      <c r="R40" t="s">
        <v>2329</v>
      </c>
      <c r="S40" t="s">
        <v>1953</v>
      </c>
      <c r="T40" s="52"/>
    </row>
    <row r="41" spans="1:20" x14ac:dyDescent="0.3">
      <c r="A41" t="s">
        <v>53</v>
      </c>
      <c r="B41" s="48">
        <v>46023</v>
      </c>
      <c r="C41" s="26"/>
      <c r="I41" t="s">
        <v>2354</v>
      </c>
      <c r="J41" t="s">
        <v>2355</v>
      </c>
      <c r="K41" t="s">
        <v>2356</v>
      </c>
      <c r="L41" t="s">
        <v>2248</v>
      </c>
      <c r="M41" t="s">
        <v>2259</v>
      </c>
      <c r="N41">
        <v>8846003449</v>
      </c>
      <c r="O41" t="s">
        <v>116</v>
      </c>
      <c r="P41" t="s">
        <v>144</v>
      </c>
      <c r="Q41">
        <v>1</v>
      </c>
      <c r="R41" t="s">
        <v>2329</v>
      </c>
      <c r="S41" t="s">
        <v>1953</v>
      </c>
      <c r="T41" s="52"/>
    </row>
    <row r="42" spans="1:20" x14ac:dyDescent="0.3">
      <c r="A42" t="s">
        <v>53</v>
      </c>
      <c r="B42" s="48">
        <v>46023</v>
      </c>
      <c r="C42" s="26"/>
      <c r="I42" t="s">
        <v>2357</v>
      </c>
      <c r="J42" t="s">
        <v>2358</v>
      </c>
      <c r="K42" t="s">
        <v>2343</v>
      </c>
      <c r="L42" t="s">
        <v>2248</v>
      </c>
      <c r="M42" t="s">
        <v>2259</v>
      </c>
      <c r="N42">
        <v>10369103429</v>
      </c>
      <c r="O42" t="s">
        <v>116</v>
      </c>
      <c r="P42" t="s">
        <v>144</v>
      </c>
      <c r="Q42">
        <v>1</v>
      </c>
      <c r="R42" t="s">
        <v>2329</v>
      </c>
      <c r="S42" t="s">
        <v>1953</v>
      </c>
      <c r="T42" s="52"/>
    </row>
    <row r="43" spans="1:20" x14ac:dyDescent="0.3">
      <c r="A43" t="s">
        <v>53</v>
      </c>
      <c r="B43" s="48">
        <v>46023</v>
      </c>
      <c r="C43" s="26"/>
      <c r="I43" t="s">
        <v>2359</v>
      </c>
      <c r="J43" t="s">
        <v>2360</v>
      </c>
      <c r="K43" t="s">
        <v>2343</v>
      </c>
      <c r="L43" t="s">
        <v>2248</v>
      </c>
      <c r="M43" t="s">
        <v>2259</v>
      </c>
      <c r="N43" s="49">
        <v>2148320000000</v>
      </c>
      <c r="O43" t="s">
        <v>116</v>
      </c>
      <c r="P43" t="s">
        <v>144</v>
      </c>
      <c r="Q43">
        <v>1</v>
      </c>
      <c r="R43" t="s">
        <v>2329</v>
      </c>
      <c r="S43" t="s">
        <v>1953</v>
      </c>
      <c r="T43" s="52"/>
    </row>
    <row r="44" spans="1:20" x14ac:dyDescent="0.3">
      <c r="A44" t="s">
        <v>53</v>
      </c>
      <c r="B44" s="48">
        <v>46023</v>
      </c>
      <c r="C44" s="26"/>
      <c r="I44" t="s">
        <v>2361</v>
      </c>
      <c r="J44" t="s">
        <v>2362</v>
      </c>
      <c r="K44" t="s">
        <v>2363</v>
      </c>
      <c r="L44" t="s">
        <v>2248</v>
      </c>
      <c r="M44" t="s">
        <v>2249</v>
      </c>
      <c r="N44" t="s">
        <v>2364</v>
      </c>
      <c r="O44" t="s">
        <v>143</v>
      </c>
      <c r="P44" t="s">
        <v>144</v>
      </c>
      <c r="Q44">
        <v>1</v>
      </c>
      <c r="R44" t="s">
        <v>2329</v>
      </c>
      <c r="S44" t="s">
        <v>1953</v>
      </c>
      <c r="T44" s="52"/>
    </row>
    <row r="45" spans="1:20" x14ac:dyDescent="0.3">
      <c r="A45" t="s">
        <v>53</v>
      </c>
      <c r="B45" s="48">
        <v>46023</v>
      </c>
      <c r="C45" s="26"/>
      <c r="I45" t="s">
        <v>2365</v>
      </c>
      <c r="J45" t="s">
        <v>2366</v>
      </c>
      <c r="K45" t="s">
        <v>2343</v>
      </c>
      <c r="L45" t="s">
        <v>2248</v>
      </c>
      <c r="M45" t="s">
        <v>2259</v>
      </c>
      <c r="N45" t="s">
        <v>2367</v>
      </c>
      <c r="O45" t="s">
        <v>143</v>
      </c>
      <c r="P45" t="s">
        <v>144</v>
      </c>
      <c r="Q45">
        <v>1</v>
      </c>
      <c r="R45" t="s">
        <v>2368</v>
      </c>
      <c r="S45" t="s">
        <v>1953</v>
      </c>
      <c r="T45" s="52"/>
    </row>
    <row r="46" spans="1:20" x14ac:dyDescent="0.3">
      <c r="A46" t="s">
        <v>53</v>
      </c>
      <c r="B46" s="48">
        <v>46023</v>
      </c>
      <c r="C46" s="26"/>
      <c r="I46" t="s">
        <v>2369</v>
      </c>
      <c r="J46" t="s">
        <v>2370</v>
      </c>
      <c r="K46" t="s">
        <v>2371</v>
      </c>
      <c r="L46" t="s">
        <v>2248</v>
      </c>
      <c r="M46" t="s">
        <v>2295</v>
      </c>
      <c r="N46" s="49">
        <v>614458000000</v>
      </c>
      <c r="O46" t="s">
        <v>116</v>
      </c>
      <c r="P46" t="s">
        <v>144</v>
      </c>
      <c r="Q46">
        <v>1</v>
      </c>
      <c r="R46" t="s">
        <v>2368</v>
      </c>
      <c r="S46" t="s">
        <v>1953</v>
      </c>
      <c r="T46" s="52"/>
    </row>
    <row r="47" spans="1:20" x14ac:dyDescent="0.3">
      <c r="A47" t="s">
        <v>53</v>
      </c>
      <c r="B47" s="48">
        <v>46023</v>
      </c>
      <c r="C47" s="26"/>
      <c r="I47" t="s">
        <v>2372</v>
      </c>
      <c r="J47" t="s">
        <v>2373</v>
      </c>
      <c r="K47" t="s">
        <v>2371</v>
      </c>
      <c r="L47" t="s">
        <v>2248</v>
      </c>
      <c r="M47" t="s">
        <v>2259</v>
      </c>
      <c r="N47" t="s">
        <v>2374</v>
      </c>
      <c r="O47" t="s">
        <v>116</v>
      </c>
      <c r="P47" t="s">
        <v>144</v>
      </c>
      <c r="Q47">
        <v>1</v>
      </c>
      <c r="R47" t="s">
        <v>2368</v>
      </c>
      <c r="S47" t="s">
        <v>1953</v>
      </c>
      <c r="T47" s="52"/>
    </row>
    <row r="48" spans="1:20" x14ac:dyDescent="0.3">
      <c r="A48" t="s">
        <v>53</v>
      </c>
      <c r="B48" s="48">
        <v>46023</v>
      </c>
      <c r="C48" s="26"/>
      <c r="I48" t="s">
        <v>2375</v>
      </c>
      <c r="J48" t="s">
        <v>2376</v>
      </c>
      <c r="K48" t="s">
        <v>2371</v>
      </c>
      <c r="L48" t="s">
        <v>2248</v>
      </c>
      <c r="M48" t="s">
        <v>2295</v>
      </c>
      <c r="N48" s="49">
        <v>16763500000000</v>
      </c>
      <c r="O48" t="s">
        <v>116</v>
      </c>
      <c r="P48" t="s">
        <v>144</v>
      </c>
      <c r="Q48">
        <v>1</v>
      </c>
      <c r="R48" t="s">
        <v>2368</v>
      </c>
      <c r="S48" t="s">
        <v>1953</v>
      </c>
      <c r="T48" s="52"/>
    </row>
    <row r="49" spans="1:20" x14ac:dyDescent="0.3">
      <c r="A49" t="s">
        <v>53</v>
      </c>
      <c r="B49" s="48">
        <v>46023</v>
      </c>
      <c r="C49" s="26"/>
      <c r="I49" t="s">
        <v>2377</v>
      </c>
      <c r="J49" t="s">
        <v>2378</v>
      </c>
      <c r="K49" t="s">
        <v>2363</v>
      </c>
      <c r="L49" t="s">
        <v>2248</v>
      </c>
      <c r="M49" t="s">
        <v>2259</v>
      </c>
      <c r="N49">
        <v>749431</v>
      </c>
      <c r="O49" t="s">
        <v>116</v>
      </c>
      <c r="P49" t="s">
        <v>144</v>
      </c>
      <c r="Q49">
        <v>1</v>
      </c>
      <c r="R49" t="s">
        <v>2368</v>
      </c>
      <c r="S49" t="s">
        <v>1953</v>
      </c>
      <c r="T49" s="52"/>
    </row>
    <row r="50" spans="1:20" x14ac:dyDescent="0.3">
      <c r="A50" t="s">
        <v>53</v>
      </c>
      <c r="B50" s="48">
        <v>46023</v>
      </c>
      <c r="C50" s="26"/>
      <c r="I50" t="s">
        <v>2379</v>
      </c>
      <c r="J50" t="s">
        <v>2378</v>
      </c>
      <c r="K50" t="s">
        <v>2363</v>
      </c>
      <c r="L50" t="s">
        <v>2248</v>
      </c>
      <c r="M50" t="s">
        <v>2259</v>
      </c>
      <c r="N50">
        <v>748715</v>
      </c>
      <c r="O50" t="s">
        <v>116</v>
      </c>
      <c r="P50" t="s">
        <v>144</v>
      </c>
      <c r="Q50">
        <v>1</v>
      </c>
      <c r="R50" t="s">
        <v>2368</v>
      </c>
      <c r="S50" t="s">
        <v>1953</v>
      </c>
      <c r="T50" s="52"/>
    </row>
    <row r="51" spans="1:20" x14ac:dyDescent="0.3">
      <c r="A51" t="s">
        <v>53</v>
      </c>
      <c r="B51" s="48">
        <v>46023</v>
      </c>
      <c r="C51" s="26"/>
      <c r="I51" t="s">
        <v>2380</v>
      </c>
      <c r="J51" t="s">
        <v>2362</v>
      </c>
      <c r="K51" t="s">
        <v>2363</v>
      </c>
      <c r="L51" t="s">
        <v>2248</v>
      </c>
      <c r="M51" t="s">
        <v>2249</v>
      </c>
      <c r="N51" t="s">
        <v>2381</v>
      </c>
      <c r="O51" t="s">
        <v>143</v>
      </c>
      <c r="P51" t="s">
        <v>144</v>
      </c>
      <c r="Q51">
        <v>1</v>
      </c>
      <c r="R51" t="s">
        <v>2368</v>
      </c>
      <c r="S51" t="s">
        <v>1953</v>
      </c>
      <c r="T51" s="52"/>
    </row>
    <row r="52" spans="1:20" x14ac:dyDescent="0.3">
      <c r="A52" t="s">
        <v>53</v>
      </c>
      <c r="B52" s="48">
        <v>46023</v>
      </c>
      <c r="C52" s="26"/>
      <c r="I52" t="s">
        <v>2382</v>
      </c>
      <c r="J52" t="s">
        <v>2362</v>
      </c>
      <c r="K52" t="s">
        <v>2363</v>
      </c>
      <c r="L52" t="s">
        <v>2248</v>
      </c>
      <c r="M52" t="s">
        <v>2249</v>
      </c>
      <c r="N52" t="s">
        <v>2383</v>
      </c>
      <c r="O52" t="s">
        <v>143</v>
      </c>
      <c r="P52" t="s">
        <v>144</v>
      </c>
      <c r="Q52">
        <v>1</v>
      </c>
      <c r="R52" t="s">
        <v>2368</v>
      </c>
      <c r="S52" t="s">
        <v>1953</v>
      </c>
      <c r="T52" s="52"/>
    </row>
    <row r="53" spans="1:20" x14ac:dyDescent="0.3">
      <c r="A53" t="s">
        <v>53</v>
      </c>
      <c r="B53" s="48">
        <v>46023</v>
      </c>
      <c r="C53" s="26"/>
      <c r="I53" t="s">
        <v>2384</v>
      </c>
      <c r="J53" t="s">
        <v>2385</v>
      </c>
      <c r="K53" t="s">
        <v>2343</v>
      </c>
      <c r="L53" t="s">
        <v>2248</v>
      </c>
      <c r="M53" t="s">
        <v>2259</v>
      </c>
      <c r="N53">
        <v>10661402584</v>
      </c>
      <c r="O53" t="s">
        <v>143</v>
      </c>
      <c r="P53" t="s">
        <v>144</v>
      </c>
      <c r="Q53">
        <v>1</v>
      </c>
      <c r="R53" t="s">
        <v>2368</v>
      </c>
      <c r="S53" t="s">
        <v>1953</v>
      </c>
      <c r="T53" s="52"/>
    </row>
    <row r="54" spans="1:20" x14ac:dyDescent="0.3">
      <c r="A54" t="s">
        <v>53</v>
      </c>
      <c r="B54" s="48">
        <v>46023</v>
      </c>
      <c r="C54" s="26"/>
      <c r="I54" t="s">
        <v>2386</v>
      </c>
      <c r="J54" t="s">
        <v>2387</v>
      </c>
      <c r="K54" t="s">
        <v>2343</v>
      </c>
      <c r="L54" t="s">
        <v>2248</v>
      </c>
      <c r="M54" t="s">
        <v>2259</v>
      </c>
      <c r="N54" t="s">
        <v>2388</v>
      </c>
      <c r="O54" t="s">
        <v>143</v>
      </c>
      <c r="P54" t="s">
        <v>144</v>
      </c>
      <c r="Q54">
        <v>1</v>
      </c>
      <c r="R54" t="s">
        <v>2368</v>
      </c>
      <c r="S54" t="s">
        <v>1953</v>
      </c>
      <c r="T54" s="52"/>
    </row>
    <row r="55" spans="1:20" x14ac:dyDescent="0.3">
      <c r="A55" t="s">
        <v>53</v>
      </c>
      <c r="B55" s="48">
        <v>46023</v>
      </c>
      <c r="C55" s="26"/>
      <c r="I55" t="s">
        <v>2389</v>
      </c>
      <c r="J55" t="s">
        <v>2390</v>
      </c>
      <c r="K55" t="s">
        <v>2391</v>
      </c>
      <c r="L55" t="s">
        <v>2248</v>
      </c>
      <c r="M55" t="s">
        <v>2259</v>
      </c>
      <c r="N55" t="s">
        <v>2392</v>
      </c>
      <c r="O55" t="s">
        <v>143</v>
      </c>
      <c r="P55" t="s">
        <v>144</v>
      </c>
      <c r="Q55">
        <v>1</v>
      </c>
      <c r="R55" t="s">
        <v>2368</v>
      </c>
      <c r="S55" t="s">
        <v>1953</v>
      </c>
      <c r="T55" s="52"/>
    </row>
    <row r="56" spans="1:20" x14ac:dyDescent="0.3">
      <c r="A56" t="s">
        <v>53</v>
      </c>
      <c r="B56" s="48">
        <v>46023</v>
      </c>
      <c r="C56" s="26"/>
      <c r="I56" t="s">
        <v>2393</v>
      </c>
      <c r="J56" t="s">
        <v>2394</v>
      </c>
      <c r="K56" t="s">
        <v>59</v>
      </c>
      <c r="L56" t="s">
        <v>2248</v>
      </c>
      <c r="M56" t="s">
        <v>2249</v>
      </c>
      <c r="N56" t="s">
        <v>59</v>
      </c>
      <c r="O56" t="s">
        <v>143</v>
      </c>
      <c r="P56" t="s">
        <v>144</v>
      </c>
      <c r="Q56">
        <v>1</v>
      </c>
      <c r="R56" t="s">
        <v>2395</v>
      </c>
      <c r="S56" t="s">
        <v>1953</v>
      </c>
      <c r="T56" s="52"/>
    </row>
    <row r="57" spans="1:20" x14ac:dyDescent="0.3">
      <c r="A57" t="s">
        <v>53</v>
      </c>
      <c r="B57" s="48">
        <v>46023</v>
      </c>
      <c r="C57" s="26"/>
      <c r="I57" t="s">
        <v>2396</v>
      </c>
      <c r="J57" t="s">
        <v>2397</v>
      </c>
      <c r="K57" t="s">
        <v>59</v>
      </c>
      <c r="L57" t="s">
        <v>2248</v>
      </c>
      <c r="M57" t="s">
        <v>2249</v>
      </c>
      <c r="N57" t="s">
        <v>59</v>
      </c>
      <c r="O57" t="s">
        <v>143</v>
      </c>
      <c r="P57" t="s">
        <v>144</v>
      </c>
      <c r="Q57">
        <v>1</v>
      </c>
      <c r="R57" t="s">
        <v>2395</v>
      </c>
      <c r="S57" t="s">
        <v>1953</v>
      </c>
      <c r="T57" s="52"/>
    </row>
    <row r="58" spans="1:20" x14ac:dyDescent="0.3">
      <c r="A58" t="s">
        <v>53</v>
      </c>
      <c r="B58" s="48">
        <v>46023</v>
      </c>
      <c r="C58" s="26"/>
      <c r="I58" t="s">
        <v>2237</v>
      </c>
      <c r="J58" t="s">
        <v>2238</v>
      </c>
      <c r="K58" t="s">
        <v>59</v>
      </c>
      <c r="L58" t="s">
        <v>2239</v>
      </c>
      <c r="M58" t="s">
        <v>2240</v>
      </c>
      <c r="N58" t="s">
        <v>59</v>
      </c>
      <c r="O58" t="s">
        <v>60</v>
      </c>
      <c r="P58" t="s">
        <v>144</v>
      </c>
      <c r="Q58">
        <v>1</v>
      </c>
      <c r="R58" t="s">
        <v>328</v>
      </c>
      <c r="S58" t="s">
        <v>1632</v>
      </c>
      <c r="T58" s="52"/>
    </row>
    <row r="59" spans="1:20" x14ac:dyDescent="0.3">
      <c r="A59" t="s">
        <v>53</v>
      </c>
      <c r="B59" s="48">
        <v>46023</v>
      </c>
      <c r="C59" s="26"/>
      <c r="I59" t="s">
        <v>2241</v>
      </c>
      <c r="J59" t="s">
        <v>2238</v>
      </c>
      <c r="K59" t="s">
        <v>59</v>
      </c>
      <c r="L59" t="s">
        <v>2239</v>
      </c>
      <c r="M59" t="s">
        <v>2240</v>
      </c>
      <c r="N59" t="s">
        <v>59</v>
      </c>
      <c r="O59" t="s">
        <v>116</v>
      </c>
      <c r="P59" t="s">
        <v>144</v>
      </c>
      <c r="Q59">
        <v>1</v>
      </c>
      <c r="R59" t="s">
        <v>328</v>
      </c>
      <c r="S59" t="s">
        <v>1632</v>
      </c>
      <c r="T59" s="52"/>
    </row>
    <row r="60" spans="1:20" x14ac:dyDescent="0.3">
      <c r="A60" t="s">
        <v>53</v>
      </c>
      <c r="B60" s="48">
        <v>46023</v>
      </c>
      <c r="C60" s="26"/>
      <c r="I60" t="s">
        <v>2242</v>
      </c>
      <c r="J60" t="s">
        <v>2243</v>
      </c>
      <c r="K60" t="s">
        <v>2244</v>
      </c>
      <c r="L60" t="s">
        <v>2239</v>
      </c>
      <c r="M60" t="s">
        <v>2240</v>
      </c>
      <c r="N60" t="s">
        <v>59</v>
      </c>
      <c r="O60" t="s">
        <v>60</v>
      </c>
      <c r="P60" t="s">
        <v>144</v>
      </c>
      <c r="Q60">
        <v>1</v>
      </c>
      <c r="R60" t="s">
        <v>328</v>
      </c>
      <c r="S60" t="s">
        <v>1632</v>
      </c>
      <c r="T60" s="52"/>
    </row>
    <row r="61" spans="1:20" x14ac:dyDescent="0.3">
      <c r="A61" t="s">
        <v>53</v>
      </c>
      <c r="B61" s="48">
        <v>46023</v>
      </c>
      <c r="C61" s="26"/>
      <c r="I61" t="s">
        <v>2245</v>
      </c>
      <c r="J61" t="s">
        <v>131</v>
      </c>
      <c r="K61" t="s">
        <v>59</v>
      </c>
      <c r="L61" t="s">
        <v>2239</v>
      </c>
      <c r="M61" t="s">
        <v>2240</v>
      </c>
      <c r="N61" t="s">
        <v>59</v>
      </c>
      <c r="O61" t="s">
        <v>60</v>
      </c>
      <c r="P61" t="s">
        <v>127</v>
      </c>
      <c r="Q61">
        <v>4</v>
      </c>
      <c r="R61" t="s">
        <v>1980</v>
      </c>
      <c r="S61" t="s">
        <v>1632</v>
      </c>
      <c r="T61" s="52"/>
    </row>
    <row r="62" spans="1:20" x14ac:dyDescent="0.3">
      <c r="A62" t="s">
        <v>53</v>
      </c>
      <c r="B62" s="48">
        <v>46023</v>
      </c>
      <c r="C62" s="26"/>
      <c r="I62" t="s">
        <v>2398</v>
      </c>
      <c r="J62" t="s">
        <v>2399</v>
      </c>
      <c r="K62" t="s">
        <v>2400</v>
      </c>
      <c r="L62" t="s">
        <v>2239</v>
      </c>
      <c r="M62" t="s">
        <v>2401</v>
      </c>
      <c r="N62" t="s">
        <v>59</v>
      </c>
      <c r="O62" t="s">
        <v>116</v>
      </c>
      <c r="P62" t="s">
        <v>144</v>
      </c>
      <c r="Q62">
        <v>1</v>
      </c>
      <c r="R62" t="s">
        <v>2402</v>
      </c>
      <c r="S62" t="s">
        <v>1487</v>
      </c>
      <c r="T62" s="52"/>
    </row>
    <row r="63" spans="1:20" x14ac:dyDescent="0.3">
      <c r="A63" t="s">
        <v>53</v>
      </c>
      <c r="B63" s="48">
        <v>46023</v>
      </c>
      <c r="C63" s="26"/>
      <c r="I63" t="s">
        <v>2403</v>
      </c>
      <c r="J63" t="s">
        <v>2404</v>
      </c>
      <c r="K63" t="s">
        <v>2400</v>
      </c>
      <c r="L63" t="s">
        <v>2239</v>
      </c>
      <c r="M63" t="s">
        <v>2401</v>
      </c>
      <c r="N63" t="s">
        <v>59</v>
      </c>
      <c r="O63" t="s">
        <v>116</v>
      </c>
      <c r="P63" t="s">
        <v>144</v>
      </c>
      <c r="Q63">
        <v>2</v>
      </c>
      <c r="R63" t="s">
        <v>2402</v>
      </c>
      <c r="S63" t="s">
        <v>1487</v>
      </c>
      <c r="T63" s="52"/>
    </row>
    <row r="64" spans="1:20" x14ac:dyDescent="0.3">
      <c r="A64" t="s">
        <v>53</v>
      </c>
      <c r="B64" s="48">
        <v>46023</v>
      </c>
      <c r="C64" s="26"/>
      <c r="I64" t="s">
        <v>2405</v>
      </c>
      <c r="J64" t="s">
        <v>2406</v>
      </c>
      <c r="K64" t="s">
        <v>59</v>
      </c>
      <c r="L64" t="s">
        <v>2239</v>
      </c>
      <c r="M64" t="s">
        <v>2240</v>
      </c>
      <c r="N64" t="s">
        <v>59</v>
      </c>
      <c r="O64" t="s">
        <v>143</v>
      </c>
      <c r="P64" t="s">
        <v>144</v>
      </c>
      <c r="Q64">
        <v>72</v>
      </c>
      <c r="R64" t="s">
        <v>2402</v>
      </c>
      <c r="S64" t="s">
        <v>1487</v>
      </c>
      <c r="T64" s="52"/>
    </row>
    <row r="65" spans="1:20" x14ac:dyDescent="0.3">
      <c r="A65" t="s">
        <v>53</v>
      </c>
      <c r="B65" s="48">
        <v>46023</v>
      </c>
      <c r="C65" s="26"/>
      <c r="I65" t="s">
        <v>2407</v>
      </c>
      <c r="J65" t="s">
        <v>2408</v>
      </c>
      <c r="K65" t="s">
        <v>2409</v>
      </c>
      <c r="L65" t="s">
        <v>2239</v>
      </c>
      <c r="M65" t="s">
        <v>2401</v>
      </c>
      <c r="N65" t="s">
        <v>59</v>
      </c>
      <c r="O65" t="s">
        <v>116</v>
      </c>
      <c r="P65" t="s">
        <v>144</v>
      </c>
      <c r="Q65">
        <v>1</v>
      </c>
      <c r="R65" t="s">
        <v>2410</v>
      </c>
      <c r="S65" t="s">
        <v>1487</v>
      </c>
      <c r="T65" s="52"/>
    </row>
    <row r="66" spans="1:20" x14ac:dyDescent="0.3">
      <c r="A66" t="s">
        <v>53</v>
      </c>
      <c r="B66" s="48">
        <v>46023</v>
      </c>
      <c r="C66" s="26"/>
      <c r="I66" t="s">
        <v>2411</v>
      </c>
      <c r="J66" t="s">
        <v>2412</v>
      </c>
      <c r="K66" t="s">
        <v>2413</v>
      </c>
      <c r="L66" t="s">
        <v>2239</v>
      </c>
      <c r="M66" t="s">
        <v>2401</v>
      </c>
      <c r="N66" t="s">
        <v>59</v>
      </c>
      <c r="O66" t="s">
        <v>143</v>
      </c>
      <c r="P66" t="s">
        <v>144</v>
      </c>
      <c r="Q66">
        <v>2</v>
      </c>
      <c r="R66" t="s">
        <v>2410</v>
      </c>
      <c r="S66" t="s">
        <v>1487</v>
      </c>
      <c r="T66" s="52"/>
    </row>
    <row r="67" spans="1:20" x14ac:dyDescent="0.3">
      <c r="A67" t="s">
        <v>53</v>
      </c>
      <c r="B67" s="48">
        <v>46023</v>
      </c>
      <c r="C67" s="26"/>
      <c r="I67" t="s">
        <v>2414</v>
      </c>
      <c r="J67" t="s">
        <v>2415</v>
      </c>
      <c r="K67" t="s">
        <v>2416</v>
      </c>
      <c r="L67" t="s">
        <v>2239</v>
      </c>
      <c r="M67" t="s">
        <v>2401</v>
      </c>
      <c r="N67" t="s">
        <v>59</v>
      </c>
      <c r="O67" t="s">
        <v>116</v>
      </c>
      <c r="P67" t="s">
        <v>144</v>
      </c>
      <c r="Q67">
        <v>2</v>
      </c>
      <c r="R67" t="s">
        <v>2410</v>
      </c>
      <c r="S67" t="s">
        <v>1487</v>
      </c>
      <c r="T67" s="52"/>
    </row>
    <row r="68" spans="1:20" x14ac:dyDescent="0.3">
      <c r="A68" t="s">
        <v>53</v>
      </c>
      <c r="B68" s="48">
        <v>46023</v>
      </c>
      <c r="C68" s="26"/>
      <c r="I68" t="s">
        <v>2417</v>
      </c>
      <c r="J68" t="s">
        <v>2418</v>
      </c>
      <c r="K68" t="s">
        <v>2419</v>
      </c>
      <c r="L68" t="s">
        <v>2239</v>
      </c>
      <c r="M68" t="s">
        <v>2401</v>
      </c>
      <c r="N68" t="s">
        <v>59</v>
      </c>
      <c r="O68" t="s">
        <v>116</v>
      </c>
      <c r="P68" t="s">
        <v>144</v>
      </c>
      <c r="Q68">
        <v>1</v>
      </c>
      <c r="R68" t="s">
        <v>2410</v>
      </c>
      <c r="S68" t="s">
        <v>1487</v>
      </c>
      <c r="T68" s="52"/>
    </row>
    <row r="69" spans="1:20" x14ac:dyDescent="0.3">
      <c r="A69" t="s">
        <v>53</v>
      </c>
      <c r="B69" s="48">
        <v>46023</v>
      </c>
      <c r="C69" s="26"/>
      <c r="I69" t="s">
        <v>2420</v>
      </c>
      <c r="J69" t="s">
        <v>2421</v>
      </c>
      <c r="K69" t="s">
        <v>2419</v>
      </c>
      <c r="L69" t="s">
        <v>2239</v>
      </c>
      <c r="M69" t="s">
        <v>2401</v>
      </c>
      <c r="N69" t="s">
        <v>59</v>
      </c>
      <c r="O69" t="s">
        <v>116</v>
      </c>
      <c r="P69" t="s">
        <v>144</v>
      </c>
      <c r="Q69">
        <v>1</v>
      </c>
      <c r="R69" t="s">
        <v>2410</v>
      </c>
      <c r="S69" t="s">
        <v>1487</v>
      </c>
      <c r="T69" s="52"/>
    </row>
    <row r="70" spans="1:20" x14ac:dyDescent="0.3">
      <c r="A70" t="s">
        <v>53</v>
      </c>
      <c r="B70" s="48">
        <v>46023</v>
      </c>
      <c r="C70" s="26"/>
      <c r="I70" t="s">
        <v>2422</v>
      </c>
      <c r="J70" t="s">
        <v>2423</v>
      </c>
      <c r="K70" t="s">
        <v>2419</v>
      </c>
      <c r="L70" t="s">
        <v>2239</v>
      </c>
      <c r="M70" t="s">
        <v>2401</v>
      </c>
      <c r="N70" t="s">
        <v>59</v>
      </c>
      <c r="O70" t="s">
        <v>116</v>
      </c>
      <c r="P70" t="s">
        <v>144</v>
      </c>
      <c r="Q70">
        <v>1</v>
      </c>
      <c r="R70" t="s">
        <v>2410</v>
      </c>
      <c r="S70" t="s">
        <v>1487</v>
      </c>
      <c r="T70" s="52"/>
    </row>
    <row r="71" spans="1:20" x14ac:dyDescent="0.3">
      <c r="A71" t="s">
        <v>53</v>
      </c>
      <c r="B71" s="48">
        <v>46023</v>
      </c>
      <c r="C71" s="26"/>
      <c r="I71" t="s">
        <v>2424</v>
      </c>
      <c r="J71" t="s">
        <v>2425</v>
      </c>
      <c r="K71" t="s">
        <v>2426</v>
      </c>
      <c r="L71" t="s">
        <v>2239</v>
      </c>
      <c r="M71" t="s">
        <v>2401</v>
      </c>
      <c r="N71" t="s">
        <v>59</v>
      </c>
      <c r="O71" t="s">
        <v>143</v>
      </c>
      <c r="P71" t="s">
        <v>144</v>
      </c>
      <c r="Q71">
        <v>62</v>
      </c>
      <c r="R71" t="s">
        <v>2427</v>
      </c>
      <c r="S71" t="s">
        <v>1487</v>
      </c>
      <c r="T71" s="52"/>
    </row>
    <row r="72" spans="1:20" x14ac:dyDescent="0.3">
      <c r="A72" t="s">
        <v>53</v>
      </c>
      <c r="B72" s="48">
        <v>46023</v>
      </c>
      <c r="C72" s="26"/>
      <c r="I72" t="s">
        <v>2154</v>
      </c>
      <c r="J72" t="s">
        <v>2155</v>
      </c>
      <c r="K72" t="s">
        <v>59</v>
      </c>
      <c r="L72" t="s">
        <v>2156</v>
      </c>
      <c r="M72" t="s">
        <v>2157</v>
      </c>
      <c r="N72" t="s">
        <v>59</v>
      </c>
      <c r="O72" t="s">
        <v>468</v>
      </c>
      <c r="P72" t="s">
        <v>144</v>
      </c>
      <c r="Q72">
        <v>2</v>
      </c>
      <c r="R72" t="s">
        <v>328</v>
      </c>
      <c r="S72" t="s">
        <v>1632</v>
      </c>
      <c r="T72" s="52"/>
    </row>
    <row r="73" spans="1:20" x14ac:dyDescent="0.3">
      <c r="A73" t="s">
        <v>53</v>
      </c>
      <c r="B73" s="48">
        <v>46023</v>
      </c>
      <c r="C73" s="26"/>
      <c r="I73" t="s">
        <v>2158</v>
      </c>
      <c r="J73" t="s">
        <v>2159</v>
      </c>
      <c r="K73" t="s">
        <v>59</v>
      </c>
      <c r="L73" t="s">
        <v>2156</v>
      </c>
      <c r="M73" t="s">
        <v>2157</v>
      </c>
      <c r="N73" t="s">
        <v>59</v>
      </c>
      <c r="O73" t="s">
        <v>60</v>
      </c>
      <c r="P73" t="s">
        <v>228</v>
      </c>
      <c r="Q73">
        <v>3</v>
      </c>
      <c r="R73" t="s">
        <v>328</v>
      </c>
      <c r="S73" t="s">
        <v>395</v>
      </c>
      <c r="T73" s="52"/>
    </row>
    <row r="74" spans="1:20" x14ac:dyDescent="0.3">
      <c r="A74" t="s">
        <v>53</v>
      </c>
      <c r="B74" s="48">
        <v>46023</v>
      </c>
      <c r="C74" s="26"/>
      <c r="I74" t="s">
        <v>2160</v>
      </c>
      <c r="J74" t="s">
        <v>2161</v>
      </c>
      <c r="K74" t="s">
        <v>59</v>
      </c>
      <c r="L74" t="s">
        <v>2156</v>
      </c>
      <c r="M74" t="s">
        <v>2157</v>
      </c>
      <c r="N74" t="s">
        <v>59</v>
      </c>
      <c r="O74" t="s">
        <v>116</v>
      </c>
      <c r="P74" t="s">
        <v>61</v>
      </c>
      <c r="Q74">
        <v>1</v>
      </c>
      <c r="R74" t="s">
        <v>328</v>
      </c>
      <c r="S74" t="s">
        <v>395</v>
      </c>
      <c r="T74" s="52"/>
    </row>
    <row r="75" spans="1:20" x14ac:dyDescent="0.3">
      <c r="A75" t="s">
        <v>53</v>
      </c>
      <c r="B75" s="48">
        <v>46023</v>
      </c>
      <c r="C75" s="26"/>
      <c r="I75" t="s">
        <v>2162</v>
      </c>
      <c r="J75" t="s">
        <v>2163</v>
      </c>
      <c r="K75" t="s">
        <v>59</v>
      </c>
      <c r="L75" t="s">
        <v>2156</v>
      </c>
      <c r="M75" t="s">
        <v>2157</v>
      </c>
      <c r="N75" t="s">
        <v>59</v>
      </c>
      <c r="O75" t="s">
        <v>116</v>
      </c>
      <c r="P75" t="s">
        <v>61</v>
      </c>
      <c r="Q75">
        <v>1</v>
      </c>
      <c r="R75" t="s">
        <v>328</v>
      </c>
      <c r="S75" t="s">
        <v>395</v>
      </c>
      <c r="T75" s="52"/>
    </row>
    <row r="76" spans="1:20" x14ac:dyDescent="0.3">
      <c r="A76" t="s">
        <v>53</v>
      </c>
      <c r="B76" s="48">
        <v>46023</v>
      </c>
      <c r="C76" s="26"/>
      <c r="I76" t="s">
        <v>2164</v>
      </c>
      <c r="J76" t="s">
        <v>2165</v>
      </c>
      <c r="K76" t="s">
        <v>59</v>
      </c>
      <c r="L76" t="s">
        <v>2156</v>
      </c>
      <c r="M76" t="s">
        <v>2157</v>
      </c>
      <c r="N76" t="s">
        <v>59</v>
      </c>
      <c r="O76" t="s">
        <v>116</v>
      </c>
      <c r="P76" t="s">
        <v>61</v>
      </c>
      <c r="Q76">
        <v>1</v>
      </c>
      <c r="R76" t="s">
        <v>328</v>
      </c>
      <c r="S76" t="s">
        <v>395</v>
      </c>
      <c r="T76" s="52"/>
    </row>
    <row r="77" spans="1:20" x14ac:dyDescent="0.3">
      <c r="A77" t="s">
        <v>53</v>
      </c>
      <c r="B77" s="48">
        <v>46023</v>
      </c>
      <c r="C77" s="26"/>
      <c r="I77" t="s">
        <v>2166</v>
      </c>
      <c r="J77" t="s">
        <v>2167</v>
      </c>
      <c r="K77" t="s">
        <v>59</v>
      </c>
      <c r="L77" t="s">
        <v>2156</v>
      </c>
      <c r="M77" t="s">
        <v>2157</v>
      </c>
      <c r="N77" t="s">
        <v>59</v>
      </c>
      <c r="O77" t="s">
        <v>116</v>
      </c>
      <c r="P77" t="s">
        <v>61</v>
      </c>
      <c r="Q77">
        <v>1</v>
      </c>
      <c r="R77" t="s">
        <v>328</v>
      </c>
      <c r="S77" t="s">
        <v>395</v>
      </c>
      <c r="T77" s="52"/>
    </row>
    <row r="78" spans="1:20" x14ac:dyDescent="0.3">
      <c r="A78" t="s">
        <v>53</v>
      </c>
      <c r="B78" s="48">
        <v>46023</v>
      </c>
      <c r="C78" s="26"/>
      <c r="I78" t="s">
        <v>2168</v>
      </c>
      <c r="J78" t="s">
        <v>2169</v>
      </c>
      <c r="K78" t="s">
        <v>59</v>
      </c>
      <c r="L78" t="s">
        <v>2156</v>
      </c>
      <c r="M78" t="s">
        <v>2157</v>
      </c>
      <c r="N78" t="s">
        <v>59</v>
      </c>
      <c r="O78" t="s">
        <v>116</v>
      </c>
      <c r="P78" t="s">
        <v>61</v>
      </c>
      <c r="Q78">
        <v>2</v>
      </c>
      <c r="R78" t="s">
        <v>328</v>
      </c>
      <c r="S78" t="s">
        <v>395</v>
      </c>
      <c r="T78" s="52"/>
    </row>
    <row r="79" spans="1:20" x14ac:dyDescent="0.3">
      <c r="A79" t="s">
        <v>53</v>
      </c>
      <c r="B79" s="48">
        <v>46023</v>
      </c>
      <c r="C79" s="26"/>
      <c r="I79" t="s">
        <v>2170</v>
      </c>
      <c r="J79" t="s">
        <v>2171</v>
      </c>
      <c r="K79" t="s">
        <v>59</v>
      </c>
      <c r="L79" t="s">
        <v>2156</v>
      </c>
      <c r="M79" t="s">
        <v>2157</v>
      </c>
      <c r="N79" t="s">
        <v>59</v>
      </c>
      <c r="O79" t="s">
        <v>116</v>
      </c>
      <c r="P79" t="s">
        <v>61</v>
      </c>
      <c r="Q79">
        <v>7</v>
      </c>
      <c r="R79" t="s">
        <v>328</v>
      </c>
      <c r="S79" t="s">
        <v>395</v>
      </c>
      <c r="T79" s="52"/>
    </row>
    <row r="80" spans="1:20" x14ac:dyDescent="0.3">
      <c r="A80" t="s">
        <v>53</v>
      </c>
      <c r="B80" s="48">
        <v>46023</v>
      </c>
      <c r="C80" s="26"/>
      <c r="I80" t="s">
        <v>2172</v>
      </c>
      <c r="J80" t="s">
        <v>2173</v>
      </c>
      <c r="K80" t="s">
        <v>59</v>
      </c>
      <c r="L80" t="s">
        <v>2156</v>
      </c>
      <c r="M80" t="s">
        <v>2157</v>
      </c>
      <c r="N80" t="s">
        <v>59</v>
      </c>
      <c r="O80" t="s">
        <v>60</v>
      </c>
      <c r="P80" t="s">
        <v>61</v>
      </c>
      <c r="Q80">
        <v>8</v>
      </c>
      <c r="R80" t="s">
        <v>328</v>
      </c>
      <c r="S80" t="s">
        <v>395</v>
      </c>
      <c r="T80" s="52"/>
    </row>
    <row r="81" spans="1:20" x14ac:dyDescent="0.3">
      <c r="A81" t="s">
        <v>53</v>
      </c>
      <c r="B81" s="48">
        <v>46023</v>
      </c>
      <c r="C81" s="26"/>
      <c r="I81" t="s">
        <v>2174</v>
      </c>
      <c r="J81" t="s">
        <v>2175</v>
      </c>
      <c r="K81" t="s">
        <v>59</v>
      </c>
      <c r="L81" t="s">
        <v>2156</v>
      </c>
      <c r="M81" t="s">
        <v>2157</v>
      </c>
      <c r="N81" t="s">
        <v>59</v>
      </c>
      <c r="O81" t="s">
        <v>116</v>
      </c>
      <c r="P81" t="s">
        <v>61</v>
      </c>
      <c r="Q81">
        <v>1</v>
      </c>
      <c r="R81" t="s">
        <v>328</v>
      </c>
      <c r="S81" t="s">
        <v>395</v>
      </c>
      <c r="T81" s="52"/>
    </row>
    <row r="82" spans="1:20" x14ac:dyDescent="0.3">
      <c r="A82" t="s">
        <v>53</v>
      </c>
      <c r="B82" s="48">
        <v>46023</v>
      </c>
      <c r="C82" s="26"/>
      <c r="I82" t="s">
        <v>2176</v>
      </c>
      <c r="J82" t="s">
        <v>2177</v>
      </c>
      <c r="K82" t="s">
        <v>59</v>
      </c>
      <c r="L82" t="s">
        <v>2156</v>
      </c>
      <c r="M82" t="s">
        <v>2157</v>
      </c>
      <c r="N82" t="s">
        <v>59</v>
      </c>
      <c r="O82" t="s">
        <v>60</v>
      </c>
      <c r="P82" t="s">
        <v>61</v>
      </c>
      <c r="Q82">
        <v>3</v>
      </c>
      <c r="R82" t="s">
        <v>328</v>
      </c>
      <c r="S82" t="s">
        <v>395</v>
      </c>
      <c r="T82" s="52"/>
    </row>
    <row r="83" spans="1:20" x14ac:dyDescent="0.3">
      <c r="A83" t="s">
        <v>53</v>
      </c>
      <c r="B83" s="48">
        <v>46023</v>
      </c>
      <c r="C83" s="26"/>
      <c r="I83" t="s">
        <v>2178</v>
      </c>
      <c r="J83" t="s">
        <v>2179</v>
      </c>
      <c r="K83" t="s">
        <v>59</v>
      </c>
      <c r="L83" t="s">
        <v>2156</v>
      </c>
      <c r="M83" t="s">
        <v>2157</v>
      </c>
      <c r="N83" t="s">
        <v>59</v>
      </c>
      <c r="O83" t="s">
        <v>60</v>
      </c>
      <c r="P83" t="s">
        <v>61</v>
      </c>
      <c r="Q83">
        <v>4</v>
      </c>
      <c r="R83" t="s">
        <v>328</v>
      </c>
      <c r="S83" t="s">
        <v>395</v>
      </c>
      <c r="T83" s="52"/>
    </row>
    <row r="84" spans="1:20" x14ac:dyDescent="0.3">
      <c r="A84" t="s">
        <v>53</v>
      </c>
      <c r="B84" s="48">
        <v>46023</v>
      </c>
      <c r="C84" s="26"/>
      <c r="I84" t="s">
        <v>2180</v>
      </c>
      <c r="J84" t="s">
        <v>2181</v>
      </c>
      <c r="K84" t="s">
        <v>59</v>
      </c>
      <c r="L84" t="s">
        <v>2156</v>
      </c>
      <c r="M84" t="s">
        <v>2157</v>
      </c>
      <c r="N84" t="s">
        <v>59</v>
      </c>
      <c r="O84" t="s">
        <v>116</v>
      </c>
      <c r="P84" t="s">
        <v>61</v>
      </c>
      <c r="Q84">
        <v>1</v>
      </c>
      <c r="R84" t="s">
        <v>328</v>
      </c>
      <c r="S84" t="s">
        <v>395</v>
      </c>
      <c r="T84" s="52"/>
    </row>
    <row r="85" spans="1:20" x14ac:dyDescent="0.3">
      <c r="A85" t="s">
        <v>53</v>
      </c>
      <c r="B85" s="48">
        <v>46023</v>
      </c>
      <c r="C85" s="26"/>
      <c r="I85" t="s">
        <v>2182</v>
      </c>
      <c r="J85" t="s">
        <v>2183</v>
      </c>
      <c r="K85" t="s">
        <v>59</v>
      </c>
      <c r="L85" t="s">
        <v>2156</v>
      </c>
      <c r="M85" t="s">
        <v>2157</v>
      </c>
      <c r="N85" t="s">
        <v>59</v>
      </c>
      <c r="O85" t="s">
        <v>116</v>
      </c>
      <c r="P85" t="s">
        <v>61</v>
      </c>
      <c r="Q85">
        <v>5</v>
      </c>
      <c r="R85" t="s">
        <v>328</v>
      </c>
      <c r="S85" t="s">
        <v>395</v>
      </c>
      <c r="T85" s="52"/>
    </row>
    <row r="86" spans="1:20" x14ac:dyDescent="0.3">
      <c r="A86" t="s">
        <v>53</v>
      </c>
      <c r="B86" s="48">
        <v>46023</v>
      </c>
      <c r="C86" s="26"/>
      <c r="I86" t="s">
        <v>2184</v>
      </c>
      <c r="J86" t="s">
        <v>2185</v>
      </c>
      <c r="K86" t="s">
        <v>59</v>
      </c>
      <c r="L86" t="s">
        <v>2156</v>
      </c>
      <c r="M86" t="s">
        <v>2157</v>
      </c>
      <c r="N86" t="s">
        <v>59</v>
      </c>
      <c r="O86" t="s">
        <v>60</v>
      </c>
      <c r="P86" t="s">
        <v>61</v>
      </c>
      <c r="Q86">
        <v>1</v>
      </c>
      <c r="R86" t="s">
        <v>328</v>
      </c>
      <c r="S86" t="s">
        <v>395</v>
      </c>
      <c r="T86" s="52"/>
    </row>
    <row r="87" spans="1:20" x14ac:dyDescent="0.3">
      <c r="A87" t="s">
        <v>53</v>
      </c>
      <c r="B87" s="48">
        <v>46023</v>
      </c>
      <c r="C87" s="26"/>
      <c r="I87" t="s">
        <v>2186</v>
      </c>
      <c r="J87" t="s">
        <v>2187</v>
      </c>
      <c r="K87" t="s">
        <v>59</v>
      </c>
      <c r="L87" t="s">
        <v>2156</v>
      </c>
      <c r="M87" t="s">
        <v>2157</v>
      </c>
      <c r="N87" t="s">
        <v>59</v>
      </c>
      <c r="O87" t="s">
        <v>116</v>
      </c>
      <c r="P87" t="s">
        <v>61</v>
      </c>
      <c r="Q87">
        <v>5</v>
      </c>
      <c r="R87" t="s">
        <v>328</v>
      </c>
      <c r="S87" t="s">
        <v>395</v>
      </c>
      <c r="T87" s="52"/>
    </row>
    <row r="88" spans="1:20" x14ac:dyDescent="0.3">
      <c r="A88" t="s">
        <v>53</v>
      </c>
      <c r="B88" s="48">
        <v>46023</v>
      </c>
      <c r="C88" s="26"/>
      <c r="I88" t="s">
        <v>2188</v>
      </c>
      <c r="J88" t="s">
        <v>2189</v>
      </c>
      <c r="K88" t="s">
        <v>59</v>
      </c>
      <c r="L88" t="s">
        <v>2156</v>
      </c>
      <c r="M88" t="s">
        <v>2157</v>
      </c>
      <c r="N88" t="s">
        <v>59</v>
      </c>
      <c r="O88" t="s">
        <v>116</v>
      </c>
      <c r="P88" t="s">
        <v>61</v>
      </c>
      <c r="Q88">
        <v>2</v>
      </c>
      <c r="R88" t="s">
        <v>328</v>
      </c>
      <c r="S88" t="s">
        <v>395</v>
      </c>
      <c r="T88" s="52"/>
    </row>
    <row r="89" spans="1:20" x14ac:dyDescent="0.3">
      <c r="A89" t="s">
        <v>53</v>
      </c>
      <c r="B89" s="48">
        <v>46023</v>
      </c>
      <c r="C89" s="26"/>
      <c r="I89" t="s">
        <v>2190</v>
      </c>
      <c r="J89" t="s">
        <v>2191</v>
      </c>
      <c r="K89" t="s">
        <v>59</v>
      </c>
      <c r="L89" t="s">
        <v>2156</v>
      </c>
      <c r="M89" t="s">
        <v>2157</v>
      </c>
      <c r="N89" t="s">
        <v>59</v>
      </c>
      <c r="O89" t="s">
        <v>116</v>
      </c>
      <c r="P89" t="s">
        <v>61</v>
      </c>
      <c r="Q89">
        <v>1</v>
      </c>
      <c r="R89" t="s">
        <v>328</v>
      </c>
      <c r="S89" t="s">
        <v>395</v>
      </c>
      <c r="T89" s="52"/>
    </row>
    <row r="90" spans="1:20" x14ac:dyDescent="0.3">
      <c r="A90" t="s">
        <v>53</v>
      </c>
      <c r="B90" s="48">
        <v>46023</v>
      </c>
      <c r="C90" s="26"/>
      <c r="I90" t="s">
        <v>2192</v>
      </c>
      <c r="J90" t="s">
        <v>2193</v>
      </c>
      <c r="K90" t="s">
        <v>59</v>
      </c>
      <c r="L90" t="s">
        <v>2156</v>
      </c>
      <c r="M90" t="s">
        <v>2157</v>
      </c>
      <c r="N90" t="s">
        <v>59</v>
      </c>
      <c r="O90" t="s">
        <v>116</v>
      </c>
      <c r="P90" t="s">
        <v>61</v>
      </c>
      <c r="Q90">
        <v>1</v>
      </c>
      <c r="R90" t="s">
        <v>328</v>
      </c>
      <c r="S90" t="s">
        <v>395</v>
      </c>
      <c r="T90" s="52"/>
    </row>
    <row r="91" spans="1:20" x14ac:dyDescent="0.3">
      <c r="A91" t="s">
        <v>53</v>
      </c>
      <c r="B91" s="48">
        <v>46023</v>
      </c>
      <c r="C91" s="26"/>
      <c r="I91" t="s">
        <v>2194</v>
      </c>
      <c r="J91" t="s">
        <v>2195</v>
      </c>
      <c r="K91" t="s">
        <v>59</v>
      </c>
      <c r="L91" t="s">
        <v>2156</v>
      </c>
      <c r="M91" t="s">
        <v>2157</v>
      </c>
      <c r="N91" t="s">
        <v>59</v>
      </c>
      <c r="O91" t="s">
        <v>60</v>
      </c>
      <c r="P91" t="s">
        <v>61</v>
      </c>
      <c r="Q91">
        <v>1</v>
      </c>
      <c r="R91" t="s">
        <v>328</v>
      </c>
      <c r="S91" t="s">
        <v>395</v>
      </c>
      <c r="T91" s="52"/>
    </row>
    <row r="92" spans="1:20" x14ac:dyDescent="0.3">
      <c r="A92" t="s">
        <v>53</v>
      </c>
      <c r="B92" s="48">
        <v>46023</v>
      </c>
      <c r="C92" s="26"/>
      <c r="I92" t="s">
        <v>2196</v>
      </c>
      <c r="J92" t="s">
        <v>2197</v>
      </c>
      <c r="K92" t="s">
        <v>59</v>
      </c>
      <c r="L92" t="s">
        <v>2156</v>
      </c>
      <c r="M92" t="s">
        <v>2157</v>
      </c>
      <c r="N92" t="s">
        <v>59</v>
      </c>
      <c r="O92" t="s">
        <v>116</v>
      </c>
      <c r="P92" t="s">
        <v>61</v>
      </c>
      <c r="Q92">
        <v>4</v>
      </c>
      <c r="R92" t="s">
        <v>328</v>
      </c>
      <c r="S92" t="s">
        <v>395</v>
      </c>
      <c r="T92" s="52"/>
    </row>
    <row r="93" spans="1:20" x14ac:dyDescent="0.3">
      <c r="A93" t="s">
        <v>53</v>
      </c>
      <c r="B93" s="48">
        <v>46023</v>
      </c>
      <c r="C93" s="26"/>
      <c r="I93" t="s">
        <v>2198</v>
      </c>
      <c r="J93" t="s">
        <v>2199</v>
      </c>
      <c r="K93" t="s">
        <v>59</v>
      </c>
      <c r="L93" t="s">
        <v>2156</v>
      </c>
      <c r="M93" t="s">
        <v>2157</v>
      </c>
      <c r="N93" t="s">
        <v>59</v>
      </c>
      <c r="O93" t="s">
        <v>116</v>
      </c>
      <c r="P93" t="s">
        <v>61</v>
      </c>
      <c r="Q93">
        <v>2</v>
      </c>
      <c r="R93" t="s">
        <v>328</v>
      </c>
      <c r="S93" t="s">
        <v>395</v>
      </c>
      <c r="T93" s="52"/>
    </row>
    <row r="94" spans="1:20" x14ac:dyDescent="0.3">
      <c r="A94" t="s">
        <v>53</v>
      </c>
      <c r="B94" s="48">
        <v>46023</v>
      </c>
      <c r="C94" s="26"/>
      <c r="I94" t="s">
        <v>2200</v>
      </c>
      <c r="J94" t="s">
        <v>2201</v>
      </c>
      <c r="K94" t="s">
        <v>59</v>
      </c>
      <c r="L94" t="s">
        <v>2156</v>
      </c>
      <c r="M94" t="s">
        <v>2157</v>
      </c>
      <c r="N94" t="s">
        <v>59</v>
      </c>
      <c r="O94" t="s">
        <v>116</v>
      </c>
      <c r="P94" t="s">
        <v>61</v>
      </c>
      <c r="Q94">
        <v>4</v>
      </c>
      <c r="R94" t="s">
        <v>328</v>
      </c>
      <c r="S94" t="s">
        <v>395</v>
      </c>
      <c r="T94" s="52"/>
    </row>
    <row r="95" spans="1:20" x14ac:dyDescent="0.3">
      <c r="A95" t="s">
        <v>53</v>
      </c>
      <c r="B95" s="48">
        <v>46023</v>
      </c>
      <c r="C95" s="26"/>
      <c r="I95" t="s">
        <v>2202</v>
      </c>
      <c r="J95" t="s">
        <v>2203</v>
      </c>
      <c r="K95" t="s">
        <v>59</v>
      </c>
      <c r="L95" t="s">
        <v>2156</v>
      </c>
      <c r="M95" t="s">
        <v>2157</v>
      </c>
      <c r="N95" t="s">
        <v>59</v>
      </c>
      <c r="O95" t="s">
        <v>116</v>
      </c>
      <c r="P95" t="s">
        <v>61</v>
      </c>
      <c r="Q95">
        <v>9</v>
      </c>
      <c r="R95" t="s">
        <v>328</v>
      </c>
      <c r="S95" t="s">
        <v>395</v>
      </c>
      <c r="T95" s="52"/>
    </row>
    <row r="96" spans="1:20" x14ac:dyDescent="0.3">
      <c r="A96" t="s">
        <v>53</v>
      </c>
      <c r="B96" s="48">
        <v>46023</v>
      </c>
      <c r="C96" s="26"/>
      <c r="I96" t="s">
        <v>2204</v>
      </c>
      <c r="J96" t="s">
        <v>2205</v>
      </c>
      <c r="K96" t="s">
        <v>59</v>
      </c>
      <c r="L96" t="s">
        <v>2156</v>
      </c>
      <c r="M96" t="s">
        <v>2157</v>
      </c>
      <c r="N96" t="s">
        <v>59</v>
      </c>
      <c r="O96" t="s">
        <v>116</v>
      </c>
      <c r="P96" t="s">
        <v>61</v>
      </c>
      <c r="Q96">
        <v>3</v>
      </c>
      <c r="R96" t="s">
        <v>328</v>
      </c>
      <c r="S96" t="s">
        <v>395</v>
      </c>
      <c r="T96" s="52"/>
    </row>
    <row r="97" spans="1:20" x14ac:dyDescent="0.3">
      <c r="A97" t="s">
        <v>53</v>
      </c>
      <c r="B97" s="48">
        <v>46023</v>
      </c>
      <c r="C97" s="26"/>
      <c r="I97" t="s">
        <v>2206</v>
      </c>
      <c r="J97" t="s">
        <v>2207</v>
      </c>
      <c r="K97" t="s">
        <v>59</v>
      </c>
      <c r="L97" t="s">
        <v>2156</v>
      </c>
      <c r="M97" t="s">
        <v>2208</v>
      </c>
      <c r="N97" t="s">
        <v>59</v>
      </c>
      <c r="O97" t="s">
        <v>60</v>
      </c>
      <c r="P97" t="s">
        <v>144</v>
      </c>
      <c r="Q97">
        <v>1</v>
      </c>
      <c r="R97" t="s">
        <v>334</v>
      </c>
      <c r="S97" t="s">
        <v>309</v>
      </c>
      <c r="T97" s="52"/>
    </row>
    <row r="98" spans="1:20" x14ac:dyDescent="0.3">
      <c r="A98" t="s">
        <v>53</v>
      </c>
      <c r="B98" s="48">
        <v>46023</v>
      </c>
      <c r="C98" s="26"/>
      <c r="I98" t="s">
        <v>2209</v>
      </c>
      <c r="J98" t="s">
        <v>2210</v>
      </c>
      <c r="K98" t="s">
        <v>59</v>
      </c>
      <c r="L98" t="s">
        <v>2156</v>
      </c>
      <c r="M98" t="s">
        <v>2157</v>
      </c>
      <c r="N98" t="s">
        <v>59</v>
      </c>
      <c r="O98" t="s">
        <v>116</v>
      </c>
      <c r="P98" t="s">
        <v>144</v>
      </c>
      <c r="Q98">
        <v>10</v>
      </c>
      <c r="R98" t="s">
        <v>334</v>
      </c>
      <c r="S98" t="s">
        <v>395</v>
      </c>
      <c r="T98" s="52"/>
    </row>
    <row r="99" spans="1:20" x14ac:dyDescent="0.3">
      <c r="A99" t="s">
        <v>53</v>
      </c>
      <c r="B99" s="48">
        <v>46023</v>
      </c>
      <c r="C99" s="26"/>
      <c r="I99" t="s">
        <v>2211</v>
      </c>
      <c r="J99" t="s">
        <v>2212</v>
      </c>
      <c r="K99" t="s">
        <v>2213</v>
      </c>
      <c r="L99" t="s">
        <v>2156</v>
      </c>
      <c r="M99" t="s">
        <v>2208</v>
      </c>
      <c r="N99" t="s">
        <v>59</v>
      </c>
      <c r="O99" t="s">
        <v>60</v>
      </c>
      <c r="P99" t="s">
        <v>144</v>
      </c>
      <c r="Q99">
        <v>5</v>
      </c>
      <c r="R99" t="s">
        <v>2214</v>
      </c>
      <c r="S99" t="s">
        <v>309</v>
      </c>
      <c r="T99" s="52"/>
    </row>
    <row r="100" spans="1:20" x14ac:dyDescent="0.3">
      <c r="A100" t="s">
        <v>53</v>
      </c>
      <c r="B100" s="48">
        <v>46023</v>
      </c>
      <c r="C100" s="26"/>
      <c r="I100" t="s">
        <v>2215</v>
      </c>
      <c r="J100" t="s">
        <v>2216</v>
      </c>
      <c r="K100" t="s">
        <v>59</v>
      </c>
      <c r="L100" t="s">
        <v>2156</v>
      </c>
      <c r="M100" t="s">
        <v>2208</v>
      </c>
      <c r="N100" t="s">
        <v>59</v>
      </c>
      <c r="O100" t="s">
        <v>60</v>
      </c>
      <c r="P100" t="s">
        <v>144</v>
      </c>
      <c r="Q100">
        <v>3</v>
      </c>
      <c r="R100" t="s">
        <v>2214</v>
      </c>
      <c r="S100" t="s">
        <v>309</v>
      </c>
      <c r="T100" s="52"/>
    </row>
    <row r="101" spans="1:20" x14ac:dyDescent="0.3">
      <c r="A101" t="s">
        <v>53</v>
      </c>
      <c r="B101" s="48">
        <v>46023</v>
      </c>
      <c r="C101" s="26"/>
      <c r="I101" t="s">
        <v>2217</v>
      </c>
      <c r="J101" t="s">
        <v>2218</v>
      </c>
      <c r="K101" t="s">
        <v>59</v>
      </c>
      <c r="L101" t="s">
        <v>2156</v>
      </c>
      <c r="M101" t="s">
        <v>2157</v>
      </c>
      <c r="N101" t="s">
        <v>59</v>
      </c>
      <c r="O101" t="s">
        <v>60</v>
      </c>
      <c r="P101" t="s">
        <v>61</v>
      </c>
      <c r="Q101">
        <v>1</v>
      </c>
      <c r="R101" t="s">
        <v>62</v>
      </c>
      <c r="S101" t="s">
        <v>2219</v>
      </c>
      <c r="T101" s="52"/>
    </row>
    <row r="102" spans="1:20" x14ac:dyDescent="0.3">
      <c r="A102" t="s">
        <v>53</v>
      </c>
      <c r="B102" s="48">
        <v>46023</v>
      </c>
      <c r="C102" s="26"/>
      <c r="I102" t="s">
        <v>2220</v>
      </c>
      <c r="J102" t="s">
        <v>2221</v>
      </c>
      <c r="K102" t="s">
        <v>59</v>
      </c>
      <c r="L102" t="s">
        <v>2156</v>
      </c>
      <c r="M102" t="s">
        <v>2157</v>
      </c>
      <c r="N102" t="s">
        <v>59</v>
      </c>
      <c r="O102" t="s">
        <v>60</v>
      </c>
      <c r="P102" t="s">
        <v>61</v>
      </c>
      <c r="Q102">
        <v>2</v>
      </c>
      <c r="R102" t="s">
        <v>62</v>
      </c>
      <c r="S102" t="s">
        <v>2219</v>
      </c>
      <c r="T102" s="52"/>
    </row>
    <row r="103" spans="1:20" x14ac:dyDescent="0.3">
      <c r="A103" t="s">
        <v>53</v>
      </c>
      <c r="B103" s="48">
        <v>46023</v>
      </c>
      <c r="C103" s="26"/>
      <c r="I103" t="s">
        <v>2222</v>
      </c>
      <c r="J103" t="s">
        <v>2223</v>
      </c>
      <c r="K103" t="s">
        <v>59</v>
      </c>
      <c r="L103" t="s">
        <v>2156</v>
      </c>
      <c r="M103" t="s">
        <v>2224</v>
      </c>
      <c r="N103" t="s">
        <v>59</v>
      </c>
      <c r="O103" t="s">
        <v>60</v>
      </c>
      <c r="P103" t="s">
        <v>1067</v>
      </c>
      <c r="Q103">
        <v>1</v>
      </c>
      <c r="R103" t="s">
        <v>62</v>
      </c>
      <c r="S103" t="s">
        <v>309</v>
      </c>
      <c r="T103" s="52"/>
    </row>
    <row r="104" spans="1:20" x14ac:dyDescent="0.3">
      <c r="A104" t="s">
        <v>53</v>
      </c>
      <c r="B104" s="48">
        <v>46023</v>
      </c>
      <c r="C104" s="26"/>
      <c r="I104" t="s">
        <v>2225</v>
      </c>
      <c r="J104" t="s">
        <v>2226</v>
      </c>
      <c r="K104" t="s">
        <v>59</v>
      </c>
      <c r="L104" t="s">
        <v>2156</v>
      </c>
      <c r="M104" t="s">
        <v>2208</v>
      </c>
      <c r="N104" t="s">
        <v>59</v>
      </c>
      <c r="O104" t="s">
        <v>143</v>
      </c>
      <c r="P104" t="s">
        <v>144</v>
      </c>
      <c r="R104" t="s">
        <v>886</v>
      </c>
      <c r="S104" t="s">
        <v>309</v>
      </c>
      <c r="T104" s="52"/>
    </row>
    <row r="105" spans="1:20" x14ac:dyDescent="0.3">
      <c r="A105" t="s">
        <v>53</v>
      </c>
      <c r="B105" s="48">
        <v>46023</v>
      </c>
      <c r="C105" s="26"/>
      <c r="I105" t="s">
        <v>2227</v>
      </c>
      <c r="J105" t="s">
        <v>2228</v>
      </c>
      <c r="K105" t="s">
        <v>59</v>
      </c>
      <c r="L105" t="s">
        <v>2156</v>
      </c>
      <c r="M105" t="s">
        <v>2157</v>
      </c>
      <c r="N105" t="s">
        <v>59</v>
      </c>
      <c r="O105" t="s">
        <v>60</v>
      </c>
      <c r="P105" t="s">
        <v>61</v>
      </c>
      <c r="Q105">
        <v>1</v>
      </c>
      <c r="R105" t="s">
        <v>1980</v>
      </c>
      <c r="S105" t="s">
        <v>129</v>
      </c>
      <c r="T105" s="52"/>
    </row>
    <row r="106" spans="1:20" x14ac:dyDescent="0.3">
      <c r="A106" t="s">
        <v>53</v>
      </c>
      <c r="B106" s="48">
        <v>46023</v>
      </c>
      <c r="C106" s="26"/>
      <c r="I106" t="s">
        <v>2229</v>
      </c>
      <c r="J106" t="s">
        <v>2230</v>
      </c>
      <c r="K106" t="s">
        <v>59</v>
      </c>
      <c r="L106" t="s">
        <v>2156</v>
      </c>
      <c r="M106" t="s">
        <v>2157</v>
      </c>
      <c r="N106" t="s">
        <v>59</v>
      </c>
      <c r="O106" t="s">
        <v>60</v>
      </c>
      <c r="P106" t="s">
        <v>61</v>
      </c>
      <c r="Q106">
        <v>4</v>
      </c>
      <c r="R106" t="s">
        <v>348</v>
      </c>
      <c r="S106" t="s">
        <v>129</v>
      </c>
      <c r="T106" s="52"/>
    </row>
    <row r="107" spans="1:20" x14ac:dyDescent="0.3">
      <c r="A107" t="s">
        <v>53</v>
      </c>
      <c r="B107" s="48">
        <v>46023</v>
      </c>
      <c r="C107" s="26"/>
      <c r="I107" t="s">
        <v>2231</v>
      </c>
      <c r="J107" t="s">
        <v>2232</v>
      </c>
      <c r="K107" t="s">
        <v>332</v>
      </c>
      <c r="L107" t="s">
        <v>2156</v>
      </c>
      <c r="M107" t="s">
        <v>2157</v>
      </c>
      <c r="N107" t="s">
        <v>59</v>
      </c>
      <c r="O107" t="s">
        <v>143</v>
      </c>
      <c r="P107" t="s">
        <v>106</v>
      </c>
      <c r="Q107">
        <v>21</v>
      </c>
      <c r="R107" t="s">
        <v>464</v>
      </c>
      <c r="S107" t="s">
        <v>325</v>
      </c>
      <c r="T107" s="52"/>
    </row>
    <row r="108" spans="1:20" x14ac:dyDescent="0.3">
      <c r="A108" t="s">
        <v>53</v>
      </c>
      <c r="B108" s="48">
        <v>46023</v>
      </c>
      <c r="C108" s="26"/>
      <c r="I108" t="s">
        <v>2233</v>
      </c>
      <c r="J108" t="s">
        <v>2234</v>
      </c>
      <c r="K108" t="s">
        <v>2235</v>
      </c>
      <c r="L108" t="s">
        <v>2156</v>
      </c>
      <c r="M108" t="s">
        <v>2236</v>
      </c>
      <c r="N108" t="s">
        <v>59</v>
      </c>
      <c r="O108" t="s">
        <v>116</v>
      </c>
      <c r="P108" t="s">
        <v>144</v>
      </c>
      <c r="Q108">
        <v>2</v>
      </c>
      <c r="R108" t="s">
        <v>145</v>
      </c>
      <c r="S108" t="s">
        <v>395</v>
      </c>
      <c r="T108" s="52"/>
    </row>
    <row r="109" spans="1:20" x14ac:dyDescent="0.3">
      <c r="A109" t="s">
        <v>53</v>
      </c>
      <c r="B109" s="48">
        <v>46023</v>
      </c>
      <c r="C109" s="26"/>
      <c r="I109" t="s">
        <v>2428</v>
      </c>
      <c r="J109" t="s">
        <v>2429</v>
      </c>
      <c r="K109" t="s">
        <v>2430</v>
      </c>
      <c r="L109" t="s">
        <v>2156</v>
      </c>
      <c r="M109" t="s">
        <v>2431</v>
      </c>
      <c r="N109" s="49">
        <v>2252240000000</v>
      </c>
      <c r="O109" t="s">
        <v>143</v>
      </c>
      <c r="P109" t="s">
        <v>144</v>
      </c>
      <c r="Q109">
        <v>1</v>
      </c>
      <c r="R109" t="s">
        <v>2432</v>
      </c>
      <c r="S109" t="s">
        <v>1953</v>
      </c>
      <c r="T109" s="52"/>
    </row>
    <row r="110" spans="1:20" x14ac:dyDescent="0.3">
      <c r="A110" t="s">
        <v>53</v>
      </c>
      <c r="B110" s="48">
        <v>46023</v>
      </c>
      <c r="C110" s="26"/>
      <c r="I110" t="s">
        <v>2433</v>
      </c>
      <c r="J110" t="s">
        <v>2429</v>
      </c>
      <c r="K110" t="s">
        <v>2430</v>
      </c>
      <c r="L110" t="s">
        <v>2156</v>
      </c>
      <c r="M110" t="s">
        <v>2431</v>
      </c>
      <c r="N110" s="49">
        <v>2252240000000</v>
      </c>
      <c r="O110" t="s">
        <v>143</v>
      </c>
      <c r="P110" t="s">
        <v>144</v>
      </c>
      <c r="Q110">
        <v>1</v>
      </c>
      <c r="R110" t="s">
        <v>2432</v>
      </c>
      <c r="S110" t="s">
        <v>1953</v>
      </c>
      <c r="T110" s="52"/>
    </row>
    <row r="111" spans="1:20" x14ac:dyDescent="0.3">
      <c r="A111" t="s">
        <v>53</v>
      </c>
      <c r="B111" s="48">
        <v>46023</v>
      </c>
      <c r="C111" s="26"/>
      <c r="I111" t="s">
        <v>2434</v>
      </c>
      <c r="J111" t="s">
        <v>2429</v>
      </c>
      <c r="K111" t="s">
        <v>2430</v>
      </c>
      <c r="L111" t="s">
        <v>2156</v>
      </c>
      <c r="M111" t="s">
        <v>2431</v>
      </c>
      <c r="N111" t="s">
        <v>2435</v>
      </c>
      <c r="O111" t="s">
        <v>116</v>
      </c>
      <c r="P111" t="s">
        <v>144</v>
      </c>
      <c r="Q111">
        <v>1</v>
      </c>
      <c r="R111" t="s">
        <v>2432</v>
      </c>
      <c r="S111" t="s">
        <v>1953</v>
      </c>
      <c r="T111" s="52"/>
    </row>
    <row r="112" spans="1:20" x14ac:dyDescent="0.3">
      <c r="A112" t="s">
        <v>53</v>
      </c>
      <c r="B112" s="48">
        <v>46023</v>
      </c>
      <c r="C112" s="26"/>
      <c r="I112" t="s">
        <v>2436</v>
      </c>
      <c r="J112" t="s">
        <v>2429</v>
      </c>
      <c r="K112" t="s">
        <v>2430</v>
      </c>
      <c r="L112" t="s">
        <v>2156</v>
      </c>
      <c r="M112" t="s">
        <v>2431</v>
      </c>
      <c r="N112" t="s">
        <v>2437</v>
      </c>
      <c r="O112" t="s">
        <v>116</v>
      </c>
      <c r="P112" t="s">
        <v>144</v>
      </c>
      <c r="Q112">
        <v>1</v>
      </c>
      <c r="R112" t="s">
        <v>2432</v>
      </c>
      <c r="S112" t="s">
        <v>1953</v>
      </c>
      <c r="T112" s="52"/>
    </row>
    <row r="113" spans="1:20" x14ac:dyDescent="0.3">
      <c r="A113" t="s">
        <v>53</v>
      </c>
      <c r="B113" s="48">
        <v>46023</v>
      </c>
      <c r="C113" s="26"/>
      <c r="I113" t="s">
        <v>2438</v>
      </c>
      <c r="J113" t="s">
        <v>2439</v>
      </c>
      <c r="K113" t="s">
        <v>2430</v>
      </c>
      <c r="L113" t="s">
        <v>2156</v>
      </c>
      <c r="M113" t="s">
        <v>2431</v>
      </c>
      <c r="N113" t="s">
        <v>2440</v>
      </c>
      <c r="O113" t="s">
        <v>143</v>
      </c>
      <c r="P113" t="s">
        <v>144</v>
      </c>
      <c r="Q113">
        <v>1</v>
      </c>
      <c r="R113" t="s">
        <v>2432</v>
      </c>
      <c r="S113" t="s">
        <v>1953</v>
      </c>
      <c r="T113" s="52"/>
    </row>
    <row r="114" spans="1:20" x14ac:dyDescent="0.3">
      <c r="A114" t="s">
        <v>53</v>
      </c>
      <c r="B114" s="48">
        <v>46023</v>
      </c>
      <c r="C114" s="26"/>
      <c r="I114" t="s">
        <v>2441</v>
      </c>
      <c r="J114" t="s">
        <v>2442</v>
      </c>
      <c r="K114" t="s">
        <v>2443</v>
      </c>
      <c r="L114" t="s">
        <v>2156</v>
      </c>
      <c r="M114" t="s">
        <v>2431</v>
      </c>
      <c r="N114" t="s">
        <v>2444</v>
      </c>
      <c r="O114" t="s">
        <v>116</v>
      </c>
      <c r="P114" t="s">
        <v>144</v>
      </c>
      <c r="Q114">
        <v>1</v>
      </c>
      <c r="R114" t="s">
        <v>2282</v>
      </c>
      <c r="S114" t="s">
        <v>1953</v>
      </c>
      <c r="T114" s="52"/>
    </row>
    <row r="115" spans="1:20" x14ac:dyDescent="0.3">
      <c r="A115" t="s">
        <v>53</v>
      </c>
      <c r="B115" s="48">
        <v>46023</v>
      </c>
      <c r="C115" s="26"/>
      <c r="I115" t="s">
        <v>2445</v>
      </c>
      <c r="J115" t="s">
        <v>2446</v>
      </c>
      <c r="K115" t="s">
        <v>59</v>
      </c>
      <c r="L115" t="s">
        <v>2156</v>
      </c>
      <c r="M115" t="s">
        <v>2431</v>
      </c>
      <c r="N115" s="49">
        <v>1306190000000</v>
      </c>
      <c r="O115" t="s">
        <v>468</v>
      </c>
      <c r="P115" t="s">
        <v>144</v>
      </c>
      <c r="Q115">
        <v>1</v>
      </c>
      <c r="R115" t="s">
        <v>2282</v>
      </c>
      <c r="S115" t="s">
        <v>1953</v>
      </c>
      <c r="T115" s="52"/>
    </row>
    <row r="116" spans="1:20" x14ac:dyDescent="0.3">
      <c r="A116" t="s">
        <v>53</v>
      </c>
      <c r="B116" s="48">
        <v>46023</v>
      </c>
      <c r="C116" s="26"/>
      <c r="I116" t="s">
        <v>2447</v>
      </c>
      <c r="J116" t="s">
        <v>2448</v>
      </c>
      <c r="K116" t="s">
        <v>59</v>
      </c>
      <c r="L116" t="s">
        <v>2156</v>
      </c>
      <c r="M116" t="s">
        <v>2431</v>
      </c>
      <c r="N116" t="s">
        <v>59</v>
      </c>
      <c r="O116" t="s">
        <v>116</v>
      </c>
      <c r="P116" t="s">
        <v>144</v>
      </c>
      <c r="Q116">
        <v>1</v>
      </c>
      <c r="R116" t="s">
        <v>2282</v>
      </c>
      <c r="S116" t="s">
        <v>1953</v>
      </c>
      <c r="T116" s="52"/>
    </row>
    <row r="117" spans="1:20" x14ac:dyDescent="0.3">
      <c r="A117" t="s">
        <v>53</v>
      </c>
      <c r="B117" s="48">
        <v>46023</v>
      </c>
      <c r="C117" s="26"/>
      <c r="I117" t="s">
        <v>2449</v>
      </c>
      <c r="J117" t="s">
        <v>2450</v>
      </c>
      <c r="K117" t="s">
        <v>59</v>
      </c>
      <c r="L117" t="s">
        <v>2156</v>
      </c>
      <c r="M117" t="s">
        <v>2431</v>
      </c>
      <c r="N117" s="49">
        <v>201311000000</v>
      </c>
      <c r="O117" t="s">
        <v>116</v>
      </c>
      <c r="P117" t="s">
        <v>144</v>
      </c>
      <c r="Q117">
        <v>1</v>
      </c>
      <c r="R117" t="s">
        <v>2282</v>
      </c>
      <c r="S117" t="s">
        <v>1953</v>
      </c>
      <c r="T117" s="52"/>
    </row>
    <row r="118" spans="1:20" x14ac:dyDescent="0.3">
      <c r="A118" t="s">
        <v>53</v>
      </c>
      <c r="B118" s="48">
        <v>46023</v>
      </c>
      <c r="C118" s="26"/>
      <c r="I118" t="s">
        <v>2451</v>
      </c>
      <c r="J118" t="s">
        <v>2452</v>
      </c>
      <c r="K118" t="s">
        <v>2453</v>
      </c>
      <c r="L118" t="s">
        <v>2156</v>
      </c>
      <c r="M118" t="s">
        <v>2454</v>
      </c>
      <c r="N118" s="49">
        <v>2626060000000</v>
      </c>
      <c r="O118" t="s">
        <v>116</v>
      </c>
      <c r="P118" t="s">
        <v>144</v>
      </c>
      <c r="Q118">
        <v>1</v>
      </c>
      <c r="R118" t="s">
        <v>2329</v>
      </c>
      <c r="S118" t="s">
        <v>1953</v>
      </c>
      <c r="T118" s="52"/>
    </row>
    <row r="119" spans="1:20" x14ac:dyDescent="0.3">
      <c r="A119" t="s">
        <v>53</v>
      </c>
      <c r="B119" s="48">
        <v>46023</v>
      </c>
      <c r="C119" s="26"/>
      <c r="I119" t="s">
        <v>2455</v>
      </c>
      <c r="J119" t="s">
        <v>2456</v>
      </c>
      <c r="K119" t="s">
        <v>2457</v>
      </c>
      <c r="L119" t="s">
        <v>2156</v>
      </c>
      <c r="M119" t="s">
        <v>2454</v>
      </c>
      <c r="N119" t="s">
        <v>2458</v>
      </c>
      <c r="O119" t="s">
        <v>143</v>
      </c>
      <c r="P119" t="s">
        <v>144</v>
      </c>
      <c r="Q119">
        <v>1</v>
      </c>
      <c r="R119" t="s">
        <v>2329</v>
      </c>
      <c r="S119" t="s">
        <v>1953</v>
      </c>
      <c r="T119" s="52"/>
    </row>
    <row r="120" spans="1:20" x14ac:dyDescent="0.3">
      <c r="A120" t="s">
        <v>53</v>
      </c>
      <c r="B120" s="48">
        <v>46023</v>
      </c>
      <c r="C120" s="26"/>
      <c r="I120" t="s">
        <v>2459</v>
      </c>
      <c r="J120" t="s">
        <v>2460</v>
      </c>
      <c r="K120" t="s">
        <v>2461</v>
      </c>
      <c r="L120" t="s">
        <v>2156</v>
      </c>
      <c r="M120" t="s">
        <v>2454</v>
      </c>
      <c r="N120" t="s">
        <v>59</v>
      </c>
      <c r="O120" t="s">
        <v>468</v>
      </c>
      <c r="P120" t="s">
        <v>144</v>
      </c>
      <c r="Q120">
        <v>1</v>
      </c>
      <c r="R120" t="s">
        <v>2368</v>
      </c>
      <c r="S120" t="s">
        <v>1953</v>
      </c>
      <c r="T120" s="52"/>
    </row>
    <row r="121" spans="1:20" x14ac:dyDescent="0.3">
      <c r="A121" t="s">
        <v>53</v>
      </c>
      <c r="B121" s="48">
        <v>46023</v>
      </c>
      <c r="C121" s="26"/>
      <c r="I121" t="s">
        <v>2140</v>
      </c>
      <c r="J121" t="s">
        <v>2141</v>
      </c>
      <c r="K121" t="s">
        <v>2142</v>
      </c>
      <c r="L121" t="s">
        <v>2143</v>
      </c>
      <c r="M121" t="s">
        <v>2141</v>
      </c>
      <c r="N121" t="s">
        <v>59</v>
      </c>
      <c r="O121" t="s">
        <v>60</v>
      </c>
      <c r="P121" t="s">
        <v>79</v>
      </c>
      <c r="Q121">
        <v>60</v>
      </c>
      <c r="R121" t="s">
        <v>62</v>
      </c>
      <c r="S121" t="s">
        <v>63</v>
      </c>
      <c r="T121" s="52"/>
    </row>
    <row r="122" spans="1:20" x14ac:dyDescent="0.3">
      <c r="A122" t="s">
        <v>53</v>
      </c>
      <c r="B122" s="48">
        <v>46023</v>
      </c>
      <c r="C122" s="26"/>
      <c r="I122" t="s">
        <v>2144</v>
      </c>
      <c r="J122" t="s">
        <v>2145</v>
      </c>
      <c r="K122" t="s">
        <v>2145</v>
      </c>
      <c r="L122" t="s">
        <v>2143</v>
      </c>
      <c r="M122" t="s">
        <v>2146</v>
      </c>
      <c r="N122" t="s">
        <v>59</v>
      </c>
      <c r="O122" t="s">
        <v>60</v>
      </c>
      <c r="P122" t="s">
        <v>79</v>
      </c>
      <c r="Q122">
        <v>4</v>
      </c>
      <c r="R122" t="s">
        <v>62</v>
      </c>
      <c r="S122" t="s">
        <v>63</v>
      </c>
      <c r="T122" s="52"/>
    </row>
    <row r="123" spans="1:20" x14ac:dyDescent="0.3">
      <c r="A123" t="s">
        <v>53</v>
      </c>
      <c r="B123" s="48">
        <v>46023</v>
      </c>
      <c r="C123" s="26"/>
      <c r="I123" t="s">
        <v>2147</v>
      </c>
      <c r="J123" t="s">
        <v>2148</v>
      </c>
      <c r="K123" t="s">
        <v>59</v>
      </c>
      <c r="L123" t="s">
        <v>2143</v>
      </c>
      <c r="M123" t="s">
        <v>2146</v>
      </c>
      <c r="N123" t="s">
        <v>59</v>
      </c>
      <c r="O123" t="s">
        <v>60</v>
      </c>
      <c r="P123" t="s">
        <v>2149</v>
      </c>
      <c r="Q123">
        <v>48</v>
      </c>
      <c r="R123" t="s">
        <v>2150</v>
      </c>
      <c r="S123" t="s">
        <v>309</v>
      </c>
      <c r="T123" s="52"/>
    </row>
    <row r="124" spans="1:20" x14ac:dyDescent="0.3">
      <c r="A124" t="s">
        <v>53</v>
      </c>
      <c r="B124" s="48">
        <v>46023</v>
      </c>
      <c r="C124" s="26"/>
      <c r="I124" t="s">
        <v>2151</v>
      </c>
      <c r="J124" t="s">
        <v>2152</v>
      </c>
      <c r="K124" t="s">
        <v>59</v>
      </c>
      <c r="L124" t="s">
        <v>2143</v>
      </c>
      <c r="M124" t="s">
        <v>2153</v>
      </c>
      <c r="N124" t="s">
        <v>59</v>
      </c>
      <c r="O124" t="s">
        <v>116</v>
      </c>
      <c r="P124" t="s">
        <v>61</v>
      </c>
      <c r="Q124">
        <v>1</v>
      </c>
      <c r="R124" t="s">
        <v>1370</v>
      </c>
      <c r="S124" t="s">
        <v>309</v>
      </c>
      <c r="T124" s="52"/>
    </row>
    <row r="125" spans="1:20" x14ac:dyDescent="0.3">
      <c r="A125" t="s">
        <v>53</v>
      </c>
      <c r="B125" s="48">
        <v>46023</v>
      </c>
      <c r="C125" s="26"/>
      <c r="I125" t="s">
        <v>2462</v>
      </c>
      <c r="J125" t="s">
        <v>2463</v>
      </c>
      <c r="K125" t="s">
        <v>59</v>
      </c>
      <c r="L125" t="s">
        <v>2143</v>
      </c>
      <c r="M125" t="s">
        <v>2464</v>
      </c>
      <c r="N125" t="s">
        <v>59</v>
      </c>
      <c r="O125" t="s">
        <v>143</v>
      </c>
      <c r="P125" t="s">
        <v>144</v>
      </c>
      <c r="Q125">
        <v>2</v>
      </c>
      <c r="R125" t="s">
        <v>2465</v>
      </c>
      <c r="S125" t="s">
        <v>2219</v>
      </c>
      <c r="T125" s="52"/>
    </row>
    <row r="126" spans="1:20" x14ac:dyDescent="0.3">
      <c r="A126" t="s">
        <v>53</v>
      </c>
      <c r="B126" s="48">
        <v>46023</v>
      </c>
      <c r="C126" s="26"/>
      <c r="I126" t="s">
        <v>2031</v>
      </c>
      <c r="J126" t="s">
        <v>2032</v>
      </c>
      <c r="K126" t="s">
        <v>2033</v>
      </c>
      <c r="L126" t="s">
        <v>2034</v>
      </c>
      <c r="M126" t="s">
        <v>2035</v>
      </c>
      <c r="N126" t="s">
        <v>59</v>
      </c>
      <c r="O126" t="s">
        <v>60</v>
      </c>
      <c r="P126" t="s">
        <v>144</v>
      </c>
      <c r="Q126">
        <v>11</v>
      </c>
      <c r="R126" t="s">
        <v>341</v>
      </c>
      <c r="S126" t="s">
        <v>309</v>
      </c>
      <c r="T126" s="52"/>
    </row>
    <row r="127" spans="1:20" x14ac:dyDescent="0.3">
      <c r="A127" t="s">
        <v>53</v>
      </c>
      <c r="B127" s="48">
        <v>46023</v>
      </c>
      <c r="C127" s="26"/>
      <c r="I127" t="s">
        <v>2036</v>
      </c>
      <c r="J127" t="s">
        <v>2037</v>
      </c>
      <c r="K127" t="s">
        <v>2038</v>
      </c>
      <c r="L127" t="s">
        <v>2034</v>
      </c>
      <c r="M127" t="s">
        <v>2039</v>
      </c>
      <c r="N127" t="s">
        <v>59</v>
      </c>
      <c r="O127" t="s">
        <v>143</v>
      </c>
      <c r="P127" t="s">
        <v>61</v>
      </c>
      <c r="Q127">
        <v>40</v>
      </c>
      <c r="R127" t="s">
        <v>2040</v>
      </c>
      <c r="S127" t="s">
        <v>63</v>
      </c>
      <c r="T127" s="52"/>
    </row>
    <row r="128" spans="1:20" x14ac:dyDescent="0.3">
      <c r="A128" t="s">
        <v>53</v>
      </c>
      <c r="B128" s="48">
        <v>46023</v>
      </c>
      <c r="C128" s="26"/>
      <c r="I128" t="s">
        <v>2041</v>
      </c>
      <c r="J128" t="s">
        <v>2042</v>
      </c>
      <c r="K128" t="s">
        <v>2043</v>
      </c>
      <c r="L128" t="s">
        <v>2034</v>
      </c>
      <c r="M128" t="s">
        <v>2044</v>
      </c>
      <c r="N128" t="s">
        <v>59</v>
      </c>
      <c r="O128" t="s">
        <v>143</v>
      </c>
      <c r="P128" t="s">
        <v>61</v>
      </c>
      <c r="Q128">
        <v>2</v>
      </c>
      <c r="R128" t="s">
        <v>2040</v>
      </c>
      <c r="S128" t="s">
        <v>63</v>
      </c>
      <c r="T128" s="52"/>
    </row>
    <row r="129" spans="1:20" x14ac:dyDescent="0.3">
      <c r="A129" t="s">
        <v>53</v>
      </c>
      <c r="B129" s="48">
        <v>46023</v>
      </c>
      <c r="C129" s="26"/>
      <c r="I129" t="s">
        <v>2045</v>
      </c>
      <c r="J129" t="s">
        <v>2046</v>
      </c>
      <c r="K129" t="s">
        <v>2047</v>
      </c>
      <c r="L129" t="s">
        <v>2034</v>
      </c>
      <c r="M129" t="s">
        <v>2048</v>
      </c>
      <c r="N129" t="s">
        <v>59</v>
      </c>
      <c r="O129" t="s">
        <v>143</v>
      </c>
      <c r="P129" t="s">
        <v>61</v>
      </c>
      <c r="Q129">
        <v>29</v>
      </c>
      <c r="R129" t="s">
        <v>2040</v>
      </c>
      <c r="S129" t="s">
        <v>63</v>
      </c>
      <c r="T129" s="52"/>
    </row>
    <row r="130" spans="1:20" x14ac:dyDescent="0.3">
      <c r="A130" t="s">
        <v>53</v>
      </c>
      <c r="B130" s="48">
        <v>46023</v>
      </c>
      <c r="C130" s="26"/>
      <c r="I130" t="s">
        <v>2049</v>
      </c>
      <c r="J130" t="s">
        <v>2050</v>
      </c>
      <c r="K130" t="s">
        <v>2051</v>
      </c>
      <c r="L130" t="s">
        <v>2034</v>
      </c>
      <c r="M130" t="s">
        <v>2048</v>
      </c>
      <c r="N130" t="s">
        <v>59</v>
      </c>
      <c r="O130" t="s">
        <v>143</v>
      </c>
      <c r="P130" t="s">
        <v>61</v>
      </c>
      <c r="Q130">
        <v>6</v>
      </c>
      <c r="R130" t="s">
        <v>2040</v>
      </c>
      <c r="S130" t="s">
        <v>63</v>
      </c>
      <c r="T130" s="52"/>
    </row>
    <row r="131" spans="1:20" x14ac:dyDescent="0.3">
      <c r="A131" t="s">
        <v>53</v>
      </c>
      <c r="B131" s="48">
        <v>46023</v>
      </c>
      <c r="C131" s="26"/>
      <c r="I131" t="s">
        <v>2052</v>
      </c>
      <c r="J131" t="s">
        <v>2053</v>
      </c>
      <c r="K131" t="s">
        <v>2054</v>
      </c>
      <c r="L131" t="s">
        <v>2034</v>
      </c>
      <c r="M131" t="s">
        <v>2055</v>
      </c>
      <c r="N131" t="s">
        <v>59</v>
      </c>
      <c r="O131" t="s">
        <v>143</v>
      </c>
      <c r="P131" t="s">
        <v>61</v>
      </c>
      <c r="Q131">
        <v>16</v>
      </c>
      <c r="R131" t="s">
        <v>2040</v>
      </c>
      <c r="S131" t="s">
        <v>63</v>
      </c>
      <c r="T131" s="52"/>
    </row>
    <row r="132" spans="1:20" x14ac:dyDescent="0.3">
      <c r="A132" t="s">
        <v>53</v>
      </c>
      <c r="B132" s="48">
        <v>46023</v>
      </c>
      <c r="C132" s="26"/>
      <c r="I132" t="s">
        <v>2056</v>
      </c>
      <c r="J132" t="s">
        <v>2057</v>
      </c>
      <c r="K132" t="s">
        <v>2058</v>
      </c>
      <c r="L132" t="s">
        <v>2034</v>
      </c>
      <c r="M132" t="s">
        <v>2059</v>
      </c>
      <c r="N132" t="s">
        <v>59</v>
      </c>
      <c r="O132" t="s">
        <v>143</v>
      </c>
      <c r="P132" t="s">
        <v>61</v>
      </c>
      <c r="Q132">
        <v>35</v>
      </c>
      <c r="R132" t="s">
        <v>2040</v>
      </c>
      <c r="S132" t="s">
        <v>63</v>
      </c>
      <c r="T132" s="52"/>
    </row>
    <row r="133" spans="1:20" x14ac:dyDescent="0.3">
      <c r="A133" t="s">
        <v>53</v>
      </c>
      <c r="B133" s="48">
        <v>46023</v>
      </c>
      <c r="C133" s="26"/>
      <c r="I133" t="s">
        <v>2060</v>
      </c>
      <c r="J133" t="s">
        <v>2061</v>
      </c>
      <c r="K133" t="s">
        <v>2058</v>
      </c>
      <c r="L133" t="s">
        <v>2034</v>
      </c>
      <c r="M133" t="s">
        <v>2059</v>
      </c>
      <c r="N133" t="s">
        <v>59</v>
      </c>
      <c r="O133" t="s">
        <v>143</v>
      </c>
      <c r="P133" t="s">
        <v>61</v>
      </c>
      <c r="Q133">
        <v>12</v>
      </c>
      <c r="R133" t="s">
        <v>2040</v>
      </c>
      <c r="S133" t="s">
        <v>63</v>
      </c>
      <c r="T133" s="52"/>
    </row>
    <row r="134" spans="1:20" x14ac:dyDescent="0.3">
      <c r="A134" t="s">
        <v>53</v>
      </c>
      <c r="B134" s="48">
        <v>46023</v>
      </c>
      <c r="C134" s="26"/>
      <c r="I134" t="s">
        <v>2062</v>
      </c>
      <c r="J134" t="s">
        <v>2063</v>
      </c>
      <c r="K134" t="s">
        <v>2058</v>
      </c>
      <c r="L134" t="s">
        <v>2034</v>
      </c>
      <c r="M134" t="s">
        <v>2048</v>
      </c>
      <c r="N134" t="s">
        <v>59</v>
      </c>
      <c r="O134" t="s">
        <v>143</v>
      </c>
      <c r="P134" t="s">
        <v>61</v>
      </c>
      <c r="Q134">
        <v>12</v>
      </c>
      <c r="R134" t="s">
        <v>2040</v>
      </c>
      <c r="S134" t="s">
        <v>63</v>
      </c>
      <c r="T134" s="52"/>
    </row>
    <row r="135" spans="1:20" x14ac:dyDescent="0.3">
      <c r="A135" t="s">
        <v>53</v>
      </c>
      <c r="B135" s="48">
        <v>46023</v>
      </c>
      <c r="C135" s="26"/>
      <c r="I135" t="s">
        <v>2064</v>
      </c>
      <c r="J135" t="s">
        <v>2065</v>
      </c>
      <c r="K135" t="s">
        <v>2066</v>
      </c>
      <c r="L135" t="s">
        <v>2034</v>
      </c>
      <c r="M135" t="s">
        <v>2067</v>
      </c>
      <c r="N135" t="s">
        <v>59</v>
      </c>
      <c r="O135" t="s">
        <v>143</v>
      </c>
      <c r="P135" t="s">
        <v>61</v>
      </c>
      <c r="Q135">
        <v>1</v>
      </c>
      <c r="R135" t="s">
        <v>2040</v>
      </c>
      <c r="S135" t="s">
        <v>63</v>
      </c>
      <c r="T135" s="52"/>
    </row>
    <row r="136" spans="1:20" x14ac:dyDescent="0.3">
      <c r="A136" t="s">
        <v>53</v>
      </c>
      <c r="B136" s="48">
        <v>46023</v>
      </c>
      <c r="C136" s="26"/>
      <c r="I136" t="s">
        <v>2068</v>
      </c>
      <c r="J136" t="s">
        <v>2069</v>
      </c>
      <c r="K136" t="s">
        <v>2070</v>
      </c>
      <c r="L136" t="s">
        <v>2034</v>
      </c>
      <c r="M136" t="s">
        <v>2071</v>
      </c>
      <c r="N136" t="s">
        <v>59</v>
      </c>
      <c r="O136" t="s">
        <v>143</v>
      </c>
      <c r="P136" t="s">
        <v>61</v>
      </c>
      <c r="Q136">
        <v>1</v>
      </c>
      <c r="R136" t="s">
        <v>2040</v>
      </c>
      <c r="S136" t="s">
        <v>63</v>
      </c>
      <c r="T136" s="52"/>
    </row>
    <row r="137" spans="1:20" x14ac:dyDescent="0.3">
      <c r="A137" t="s">
        <v>53</v>
      </c>
      <c r="B137" s="48">
        <v>46023</v>
      </c>
      <c r="C137" s="26"/>
      <c r="I137" t="s">
        <v>2072</v>
      </c>
      <c r="J137" t="s">
        <v>2073</v>
      </c>
      <c r="K137" t="s">
        <v>2074</v>
      </c>
      <c r="L137" t="s">
        <v>2034</v>
      </c>
      <c r="M137" t="s">
        <v>2075</v>
      </c>
      <c r="N137" t="s">
        <v>59</v>
      </c>
      <c r="O137" t="s">
        <v>143</v>
      </c>
      <c r="P137" t="s">
        <v>61</v>
      </c>
      <c r="Q137">
        <v>3</v>
      </c>
      <c r="R137" t="s">
        <v>2040</v>
      </c>
      <c r="S137" t="s">
        <v>63</v>
      </c>
      <c r="T137" s="52"/>
    </row>
    <row r="138" spans="1:20" x14ac:dyDescent="0.3">
      <c r="A138" t="s">
        <v>53</v>
      </c>
      <c r="B138" s="48">
        <v>46023</v>
      </c>
      <c r="C138" s="26"/>
      <c r="I138" t="s">
        <v>2076</v>
      </c>
      <c r="J138" t="s">
        <v>2077</v>
      </c>
      <c r="K138" t="s">
        <v>2078</v>
      </c>
      <c r="L138" t="s">
        <v>2034</v>
      </c>
      <c r="M138" t="s">
        <v>2067</v>
      </c>
      <c r="N138" t="s">
        <v>59</v>
      </c>
      <c r="O138" t="s">
        <v>143</v>
      </c>
      <c r="P138" t="s">
        <v>61</v>
      </c>
      <c r="Q138">
        <v>1</v>
      </c>
      <c r="R138" t="s">
        <v>2040</v>
      </c>
      <c r="S138" t="s">
        <v>63</v>
      </c>
      <c r="T138" s="52"/>
    </row>
    <row r="139" spans="1:20" x14ac:dyDescent="0.3">
      <c r="A139" t="s">
        <v>53</v>
      </c>
      <c r="B139" s="48">
        <v>46023</v>
      </c>
      <c r="C139" s="26"/>
      <c r="I139" t="s">
        <v>2079</v>
      </c>
      <c r="J139" t="s">
        <v>2080</v>
      </c>
      <c r="K139" t="s">
        <v>2081</v>
      </c>
      <c r="L139" t="s">
        <v>2034</v>
      </c>
      <c r="M139" t="s">
        <v>2082</v>
      </c>
      <c r="N139" t="s">
        <v>59</v>
      </c>
      <c r="O139" t="s">
        <v>143</v>
      </c>
      <c r="P139" t="s">
        <v>61</v>
      </c>
      <c r="Q139">
        <v>3</v>
      </c>
      <c r="R139" t="s">
        <v>2040</v>
      </c>
      <c r="S139" t="s">
        <v>63</v>
      </c>
      <c r="T139" s="52"/>
    </row>
    <row r="140" spans="1:20" x14ac:dyDescent="0.3">
      <c r="A140" t="s">
        <v>53</v>
      </c>
      <c r="B140" s="48">
        <v>46023</v>
      </c>
      <c r="C140" s="26"/>
      <c r="I140" t="s">
        <v>2083</v>
      </c>
      <c r="J140" t="s">
        <v>2084</v>
      </c>
      <c r="K140" t="s">
        <v>2085</v>
      </c>
      <c r="L140" t="s">
        <v>2034</v>
      </c>
      <c r="M140" t="s">
        <v>2048</v>
      </c>
      <c r="N140" t="s">
        <v>59</v>
      </c>
      <c r="O140" t="s">
        <v>143</v>
      </c>
      <c r="P140" t="s">
        <v>61</v>
      </c>
      <c r="Q140">
        <v>1</v>
      </c>
      <c r="R140" t="s">
        <v>2040</v>
      </c>
      <c r="S140" t="s">
        <v>63</v>
      </c>
      <c r="T140" s="52"/>
    </row>
    <row r="141" spans="1:20" x14ac:dyDescent="0.3">
      <c r="A141" t="s">
        <v>53</v>
      </c>
      <c r="B141" s="48">
        <v>46023</v>
      </c>
      <c r="C141" s="26"/>
      <c r="I141" t="s">
        <v>2086</v>
      </c>
      <c r="J141" t="s">
        <v>2087</v>
      </c>
      <c r="K141" t="s">
        <v>2088</v>
      </c>
      <c r="L141" t="s">
        <v>2034</v>
      </c>
      <c r="M141" t="s">
        <v>2071</v>
      </c>
      <c r="N141" t="s">
        <v>59</v>
      </c>
      <c r="O141" t="s">
        <v>143</v>
      </c>
      <c r="P141" t="s">
        <v>61</v>
      </c>
      <c r="Q141">
        <v>1</v>
      </c>
      <c r="R141" t="s">
        <v>2040</v>
      </c>
      <c r="S141" t="s">
        <v>63</v>
      </c>
      <c r="T141" s="52"/>
    </row>
    <row r="142" spans="1:20" x14ac:dyDescent="0.3">
      <c r="A142" t="s">
        <v>53</v>
      </c>
      <c r="B142" s="48">
        <v>46023</v>
      </c>
      <c r="C142" s="26"/>
      <c r="I142" t="s">
        <v>2089</v>
      </c>
      <c r="J142" t="s">
        <v>2090</v>
      </c>
      <c r="K142" t="s">
        <v>2091</v>
      </c>
      <c r="L142" t="s">
        <v>2034</v>
      </c>
      <c r="M142" t="s">
        <v>2071</v>
      </c>
      <c r="N142" t="s">
        <v>59</v>
      </c>
      <c r="O142" t="s">
        <v>143</v>
      </c>
      <c r="P142" t="s">
        <v>61</v>
      </c>
      <c r="Q142">
        <v>1</v>
      </c>
      <c r="R142" t="s">
        <v>2040</v>
      </c>
      <c r="S142" t="s">
        <v>63</v>
      </c>
      <c r="T142" s="52"/>
    </row>
    <row r="143" spans="1:20" x14ac:dyDescent="0.3">
      <c r="A143" t="s">
        <v>53</v>
      </c>
      <c r="B143" s="48">
        <v>46023</v>
      </c>
      <c r="C143" s="26"/>
      <c r="I143" t="s">
        <v>2092</v>
      </c>
      <c r="J143" t="s">
        <v>2090</v>
      </c>
      <c r="K143" t="s">
        <v>2093</v>
      </c>
      <c r="L143" t="s">
        <v>2034</v>
      </c>
      <c r="M143" t="s">
        <v>2071</v>
      </c>
      <c r="N143" t="s">
        <v>59</v>
      </c>
      <c r="O143" t="s">
        <v>143</v>
      </c>
      <c r="P143" t="s">
        <v>61</v>
      </c>
      <c r="Q143">
        <v>1</v>
      </c>
      <c r="R143" t="s">
        <v>2040</v>
      </c>
      <c r="S143" t="s">
        <v>63</v>
      </c>
      <c r="T143" s="52"/>
    </row>
    <row r="144" spans="1:20" x14ac:dyDescent="0.3">
      <c r="A144" t="s">
        <v>53</v>
      </c>
      <c r="B144" s="48">
        <v>46023</v>
      </c>
      <c r="C144" s="26"/>
      <c r="I144" t="s">
        <v>2094</v>
      </c>
      <c r="J144" t="s">
        <v>2095</v>
      </c>
      <c r="K144" t="s">
        <v>2096</v>
      </c>
      <c r="L144" t="s">
        <v>2034</v>
      </c>
      <c r="M144" t="s">
        <v>2039</v>
      </c>
      <c r="N144" t="s">
        <v>59</v>
      </c>
      <c r="O144" t="s">
        <v>143</v>
      </c>
      <c r="P144" t="s">
        <v>61</v>
      </c>
      <c r="Q144">
        <v>1</v>
      </c>
      <c r="R144" t="s">
        <v>2040</v>
      </c>
      <c r="S144" t="s">
        <v>63</v>
      </c>
      <c r="T144" s="52"/>
    </row>
    <row r="145" spans="1:20" x14ac:dyDescent="0.3">
      <c r="A145" t="s">
        <v>53</v>
      </c>
      <c r="B145" s="48">
        <v>46023</v>
      </c>
      <c r="C145" s="26"/>
      <c r="I145" t="s">
        <v>2097</v>
      </c>
      <c r="J145" t="s">
        <v>2098</v>
      </c>
      <c r="K145" t="s">
        <v>2099</v>
      </c>
      <c r="L145" t="s">
        <v>2034</v>
      </c>
      <c r="M145" t="s">
        <v>2039</v>
      </c>
      <c r="N145" t="s">
        <v>59</v>
      </c>
      <c r="O145" t="s">
        <v>143</v>
      </c>
      <c r="P145" t="s">
        <v>61</v>
      </c>
      <c r="Q145">
        <v>1</v>
      </c>
      <c r="R145" t="s">
        <v>2040</v>
      </c>
      <c r="S145" t="s">
        <v>63</v>
      </c>
      <c r="T145" s="52"/>
    </row>
    <row r="146" spans="1:20" x14ac:dyDescent="0.3">
      <c r="A146" t="s">
        <v>53</v>
      </c>
      <c r="B146" s="48">
        <v>46023</v>
      </c>
      <c r="C146" s="26"/>
      <c r="I146" t="s">
        <v>2100</v>
      </c>
      <c r="J146" t="s">
        <v>2101</v>
      </c>
      <c r="K146" t="s">
        <v>59</v>
      </c>
      <c r="L146" t="s">
        <v>2034</v>
      </c>
      <c r="M146" t="s">
        <v>2102</v>
      </c>
      <c r="N146" t="s">
        <v>59</v>
      </c>
      <c r="O146" t="s">
        <v>143</v>
      </c>
      <c r="P146" t="s">
        <v>61</v>
      </c>
      <c r="Q146">
        <v>2</v>
      </c>
      <c r="R146" t="s">
        <v>2040</v>
      </c>
      <c r="S146" t="s">
        <v>63</v>
      </c>
      <c r="T146" s="52"/>
    </row>
    <row r="147" spans="1:20" x14ac:dyDescent="0.3">
      <c r="A147" t="s">
        <v>53</v>
      </c>
      <c r="B147" s="48">
        <v>46023</v>
      </c>
      <c r="C147" s="26"/>
      <c r="I147" t="s">
        <v>2103</v>
      </c>
      <c r="J147" t="s">
        <v>2104</v>
      </c>
      <c r="K147" t="s">
        <v>59</v>
      </c>
      <c r="L147" t="s">
        <v>2034</v>
      </c>
      <c r="M147" t="s">
        <v>2102</v>
      </c>
      <c r="N147" t="s">
        <v>59</v>
      </c>
      <c r="O147" t="s">
        <v>143</v>
      </c>
      <c r="P147" t="s">
        <v>61</v>
      </c>
      <c r="Q147">
        <v>1</v>
      </c>
      <c r="R147" t="s">
        <v>2040</v>
      </c>
      <c r="S147" t="s">
        <v>63</v>
      </c>
      <c r="T147" s="52"/>
    </row>
    <row r="148" spans="1:20" x14ac:dyDescent="0.3">
      <c r="A148" t="s">
        <v>53</v>
      </c>
      <c r="B148" s="48">
        <v>46023</v>
      </c>
      <c r="C148" s="26"/>
      <c r="I148" t="s">
        <v>2105</v>
      </c>
      <c r="J148" t="s">
        <v>2106</v>
      </c>
      <c r="K148" t="s">
        <v>59</v>
      </c>
      <c r="L148" t="s">
        <v>2034</v>
      </c>
      <c r="M148" t="s">
        <v>2048</v>
      </c>
      <c r="N148" t="s">
        <v>59</v>
      </c>
      <c r="O148" t="s">
        <v>143</v>
      </c>
      <c r="P148" t="s">
        <v>61</v>
      </c>
      <c r="Q148">
        <v>1</v>
      </c>
      <c r="R148" t="s">
        <v>2040</v>
      </c>
      <c r="S148" t="s">
        <v>63</v>
      </c>
      <c r="T148" s="52"/>
    </row>
    <row r="149" spans="1:20" x14ac:dyDescent="0.3">
      <c r="A149" t="s">
        <v>53</v>
      </c>
      <c r="B149" s="48">
        <v>46023</v>
      </c>
      <c r="C149" s="26"/>
      <c r="I149" t="s">
        <v>2107</v>
      </c>
      <c r="J149" t="s">
        <v>2108</v>
      </c>
      <c r="K149" t="s">
        <v>59</v>
      </c>
      <c r="L149" t="s">
        <v>2034</v>
      </c>
      <c r="M149" t="s">
        <v>2102</v>
      </c>
      <c r="N149" t="s">
        <v>59</v>
      </c>
      <c r="O149" t="s">
        <v>143</v>
      </c>
      <c r="P149" t="s">
        <v>61</v>
      </c>
      <c r="Q149">
        <v>1</v>
      </c>
      <c r="R149" t="s">
        <v>2040</v>
      </c>
      <c r="S149" t="s">
        <v>63</v>
      </c>
      <c r="T149" s="52"/>
    </row>
    <row r="150" spans="1:20" x14ac:dyDescent="0.3">
      <c r="A150" t="s">
        <v>53</v>
      </c>
      <c r="B150" s="48">
        <v>46023</v>
      </c>
      <c r="C150" s="26"/>
      <c r="I150" t="s">
        <v>2109</v>
      </c>
      <c r="J150" t="s">
        <v>2110</v>
      </c>
      <c r="K150" t="s">
        <v>2111</v>
      </c>
      <c r="L150" t="s">
        <v>2034</v>
      </c>
      <c r="M150" t="s">
        <v>2102</v>
      </c>
      <c r="N150" t="s">
        <v>59</v>
      </c>
      <c r="O150" t="s">
        <v>143</v>
      </c>
      <c r="P150" t="s">
        <v>61</v>
      </c>
      <c r="Q150">
        <v>1</v>
      </c>
      <c r="R150" t="s">
        <v>2040</v>
      </c>
      <c r="S150" t="s">
        <v>63</v>
      </c>
      <c r="T150" s="52"/>
    </row>
    <row r="151" spans="1:20" x14ac:dyDescent="0.3">
      <c r="A151" t="s">
        <v>53</v>
      </c>
      <c r="B151" s="48">
        <v>46023</v>
      </c>
      <c r="C151" s="26"/>
      <c r="I151" t="s">
        <v>2112</v>
      </c>
      <c r="J151" t="s">
        <v>2113</v>
      </c>
      <c r="K151" t="s">
        <v>59</v>
      </c>
      <c r="L151" t="s">
        <v>2034</v>
      </c>
      <c r="M151" t="s">
        <v>2035</v>
      </c>
      <c r="N151" t="s">
        <v>59</v>
      </c>
      <c r="O151" t="s">
        <v>143</v>
      </c>
      <c r="P151" t="s">
        <v>61</v>
      </c>
      <c r="Q151">
        <v>1</v>
      </c>
      <c r="R151" t="s">
        <v>2040</v>
      </c>
      <c r="S151" t="s">
        <v>63</v>
      </c>
      <c r="T151" s="52"/>
    </row>
    <row r="152" spans="1:20" x14ac:dyDescent="0.3">
      <c r="A152" t="s">
        <v>53</v>
      </c>
      <c r="B152" s="48">
        <v>46023</v>
      </c>
      <c r="C152" s="26"/>
      <c r="I152" t="s">
        <v>2114</v>
      </c>
      <c r="J152" t="s">
        <v>2115</v>
      </c>
      <c r="K152" t="s">
        <v>2096</v>
      </c>
      <c r="L152" t="s">
        <v>2034</v>
      </c>
      <c r="M152" t="s">
        <v>2039</v>
      </c>
      <c r="N152" t="s">
        <v>59</v>
      </c>
      <c r="O152" t="s">
        <v>143</v>
      </c>
      <c r="P152" t="s">
        <v>61</v>
      </c>
      <c r="Q152">
        <v>2</v>
      </c>
      <c r="R152" t="s">
        <v>2040</v>
      </c>
      <c r="S152" t="s">
        <v>63</v>
      </c>
      <c r="T152" s="52"/>
    </row>
    <row r="153" spans="1:20" x14ac:dyDescent="0.3">
      <c r="A153" t="s">
        <v>53</v>
      </c>
      <c r="B153" s="48">
        <v>46023</v>
      </c>
      <c r="C153" s="26"/>
      <c r="I153" t="s">
        <v>2116</v>
      </c>
      <c r="J153" t="s">
        <v>2117</v>
      </c>
      <c r="K153" t="s">
        <v>2096</v>
      </c>
      <c r="L153" t="s">
        <v>2034</v>
      </c>
      <c r="M153" t="s">
        <v>2039</v>
      </c>
      <c r="N153" t="s">
        <v>59</v>
      </c>
      <c r="O153" t="s">
        <v>143</v>
      </c>
      <c r="P153" t="s">
        <v>61</v>
      </c>
      <c r="Q153">
        <v>1</v>
      </c>
      <c r="R153" t="s">
        <v>2040</v>
      </c>
      <c r="S153" t="s">
        <v>63</v>
      </c>
      <c r="T153" s="52"/>
    </row>
    <row r="154" spans="1:20" x14ac:dyDescent="0.3">
      <c r="A154" t="s">
        <v>53</v>
      </c>
      <c r="B154" s="48">
        <v>46023</v>
      </c>
      <c r="C154" s="26"/>
      <c r="I154" t="s">
        <v>2118</v>
      </c>
      <c r="J154" t="s">
        <v>2119</v>
      </c>
      <c r="K154" t="s">
        <v>2120</v>
      </c>
      <c r="L154" t="s">
        <v>2034</v>
      </c>
      <c r="M154" t="s">
        <v>2102</v>
      </c>
      <c r="N154" t="s">
        <v>59</v>
      </c>
      <c r="O154" t="s">
        <v>143</v>
      </c>
      <c r="P154" t="s">
        <v>61</v>
      </c>
      <c r="Q154">
        <v>2</v>
      </c>
      <c r="R154" t="s">
        <v>2040</v>
      </c>
      <c r="S154" t="s">
        <v>63</v>
      </c>
      <c r="T154" s="52"/>
    </row>
    <row r="155" spans="1:20" x14ac:dyDescent="0.3">
      <c r="A155" t="s">
        <v>53</v>
      </c>
      <c r="B155" s="48">
        <v>46023</v>
      </c>
      <c r="C155" s="26"/>
      <c r="I155" t="s">
        <v>2121</v>
      </c>
      <c r="J155" t="s">
        <v>2122</v>
      </c>
      <c r="K155" t="s">
        <v>2081</v>
      </c>
      <c r="L155" t="s">
        <v>2034</v>
      </c>
      <c r="M155" t="s">
        <v>2102</v>
      </c>
      <c r="N155" t="s">
        <v>59</v>
      </c>
      <c r="O155" t="s">
        <v>143</v>
      </c>
      <c r="P155" t="s">
        <v>61</v>
      </c>
      <c r="Q155">
        <v>2</v>
      </c>
      <c r="R155" t="s">
        <v>2040</v>
      </c>
      <c r="S155" t="s">
        <v>63</v>
      </c>
      <c r="T155" s="52"/>
    </row>
    <row r="156" spans="1:20" x14ac:dyDescent="0.3">
      <c r="A156" t="s">
        <v>53</v>
      </c>
      <c r="B156" s="48">
        <v>46023</v>
      </c>
      <c r="C156" s="26"/>
      <c r="I156" t="s">
        <v>2123</v>
      </c>
      <c r="J156" t="s">
        <v>2124</v>
      </c>
      <c r="K156" t="s">
        <v>2125</v>
      </c>
      <c r="L156" t="s">
        <v>2034</v>
      </c>
      <c r="M156" t="s">
        <v>2102</v>
      </c>
      <c r="N156" t="s">
        <v>59</v>
      </c>
      <c r="O156" t="s">
        <v>143</v>
      </c>
      <c r="P156" t="s">
        <v>61</v>
      </c>
      <c r="Q156">
        <v>1</v>
      </c>
      <c r="R156" t="s">
        <v>2040</v>
      </c>
      <c r="S156" t="s">
        <v>63</v>
      </c>
      <c r="T156" s="52"/>
    </row>
    <row r="157" spans="1:20" x14ac:dyDescent="0.3">
      <c r="A157" t="s">
        <v>53</v>
      </c>
      <c r="B157" s="48">
        <v>46023</v>
      </c>
      <c r="C157" s="26"/>
      <c r="I157" t="s">
        <v>2126</v>
      </c>
      <c r="J157" t="s">
        <v>2127</v>
      </c>
      <c r="K157" t="s">
        <v>59</v>
      </c>
      <c r="L157" t="s">
        <v>2034</v>
      </c>
      <c r="M157" t="s">
        <v>2039</v>
      </c>
      <c r="N157" t="s">
        <v>59</v>
      </c>
      <c r="O157" t="s">
        <v>143</v>
      </c>
      <c r="P157" t="s">
        <v>61</v>
      </c>
      <c r="Q157">
        <v>1</v>
      </c>
      <c r="R157" t="s">
        <v>2040</v>
      </c>
      <c r="S157" t="s">
        <v>63</v>
      </c>
      <c r="T157" s="52"/>
    </row>
    <row r="158" spans="1:20" x14ac:dyDescent="0.3">
      <c r="A158" t="s">
        <v>53</v>
      </c>
      <c r="B158" s="48">
        <v>46023</v>
      </c>
      <c r="C158" s="26"/>
      <c r="I158" t="s">
        <v>2128</v>
      </c>
      <c r="J158" t="s">
        <v>2129</v>
      </c>
      <c r="K158" t="s">
        <v>2130</v>
      </c>
      <c r="L158" t="s">
        <v>2034</v>
      </c>
      <c r="M158" t="s">
        <v>2102</v>
      </c>
      <c r="N158" t="s">
        <v>59</v>
      </c>
      <c r="O158" t="s">
        <v>143</v>
      </c>
      <c r="P158" t="s">
        <v>61</v>
      </c>
      <c r="Q158">
        <v>17</v>
      </c>
      <c r="R158" t="s">
        <v>2040</v>
      </c>
      <c r="S158" t="s">
        <v>63</v>
      </c>
      <c r="T158" s="52"/>
    </row>
    <row r="159" spans="1:20" x14ac:dyDescent="0.3">
      <c r="A159" t="s">
        <v>53</v>
      </c>
      <c r="B159" s="48">
        <v>46023</v>
      </c>
      <c r="C159" s="26"/>
      <c r="I159" t="s">
        <v>2131</v>
      </c>
      <c r="J159" t="s">
        <v>2132</v>
      </c>
      <c r="K159" t="s">
        <v>2130</v>
      </c>
      <c r="L159" t="s">
        <v>2034</v>
      </c>
      <c r="M159" t="s">
        <v>2102</v>
      </c>
      <c r="N159" t="s">
        <v>59</v>
      </c>
      <c r="O159" t="s">
        <v>143</v>
      </c>
      <c r="P159" t="s">
        <v>61</v>
      </c>
      <c r="Q159">
        <v>18</v>
      </c>
      <c r="R159" t="s">
        <v>2040</v>
      </c>
      <c r="S159" t="s">
        <v>63</v>
      </c>
      <c r="T159" s="52"/>
    </row>
    <row r="160" spans="1:20" x14ac:dyDescent="0.3">
      <c r="A160" t="s">
        <v>53</v>
      </c>
      <c r="B160" s="48">
        <v>46023</v>
      </c>
      <c r="C160" s="26"/>
      <c r="I160" t="s">
        <v>2133</v>
      </c>
      <c r="J160" t="s">
        <v>2134</v>
      </c>
      <c r="K160" t="s">
        <v>59</v>
      </c>
      <c r="L160" t="s">
        <v>2034</v>
      </c>
      <c r="M160" t="s">
        <v>2102</v>
      </c>
      <c r="N160" t="s">
        <v>59</v>
      </c>
      <c r="O160" t="s">
        <v>143</v>
      </c>
      <c r="P160" t="s">
        <v>61</v>
      </c>
      <c r="Q160">
        <v>18</v>
      </c>
      <c r="R160" t="s">
        <v>2040</v>
      </c>
      <c r="S160" t="s">
        <v>63</v>
      </c>
      <c r="T160" s="52"/>
    </row>
    <row r="161" spans="1:20" x14ac:dyDescent="0.3">
      <c r="A161" t="s">
        <v>53</v>
      </c>
      <c r="B161" s="48">
        <v>46023</v>
      </c>
      <c r="C161" s="26"/>
      <c r="I161" t="s">
        <v>2135</v>
      </c>
      <c r="J161" t="s">
        <v>2136</v>
      </c>
      <c r="K161" t="s">
        <v>2137</v>
      </c>
      <c r="L161" t="s">
        <v>2034</v>
      </c>
      <c r="M161" t="s">
        <v>2102</v>
      </c>
      <c r="N161" t="s">
        <v>59</v>
      </c>
      <c r="O161" t="s">
        <v>143</v>
      </c>
      <c r="P161" t="s">
        <v>61</v>
      </c>
      <c r="Q161">
        <v>1</v>
      </c>
      <c r="R161" t="s">
        <v>2040</v>
      </c>
      <c r="S161" t="s">
        <v>63</v>
      </c>
      <c r="T161" s="52"/>
    </row>
    <row r="162" spans="1:20" x14ac:dyDescent="0.3">
      <c r="A162" t="s">
        <v>53</v>
      </c>
      <c r="B162" s="48">
        <v>46023</v>
      </c>
      <c r="C162" s="26"/>
      <c r="I162" t="s">
        <v>2138</v>
      </c>
      <c r="J162" t="s">
        <v>2139</v>
      </c>
      <c r="K162" t="s">
        <v>2137</v>
      </c>
      <c r="L162" t="s">
        <v>2034</v>
      </c>
      <c r="M162" t="s">
        <v>2102</v>
      </c>
      <c r="N162" t="s">
        <v>59</v>
      </c>
      <c r="O162" t="s">
        <v>143</v>
      </c>
      <c r="P162" t="s">
        <v>61</v>
      </c>
      <c r="Q162">
        <v>2</v>
      </c>
      <c r="R162" t="s">
        <v>2040</v>
      </c>
      <c r="S162" t="s">
        <v>63</v>
      </c>
      <c r="T162" s="52"/>
    </row>
    <row r="163" spans="1:20" x14ac:dyDescent="0.3">
      <c r="A163" t="s">
        <v>53</v>
      </c>
      <c r="B163" s="48">
        <v>46023</v>
      </c>
      <c r="C163" s="26"/>
      <c r="I163" t="s">
        <v>2466</v>
      </c>
      <c r="J163" t="s">
        <v>2467</v>
      </c>
      <c r="K163" t="s">
        <v>2468</v>
      </c>
      <c r="L163" t="s">
        <v>2034</v>
      </c>
      <c r="M163" t="s">
        <v>1020</v>
      </c>
      <c r="N163" t="s">
        <v>59</v>
      </c>
      <c r="O163" t="s">
        <v>143</v>
      </c>
      <c r="P163" t="s">
        <v>144</v>
      </c>
      <c r="Q163">
        <v>2</v>
      </c>
      <c r="R163" t="s">
        <v>2469</v>
      </c>
      <c r="S163" t="s">
        <v>129</v>
      </c>
      <c r="T163" s="52"/>
    </row>
    <row r="164" spans="1:20" x14ac:dyDescent="0.3">
      <c r="A164" t="s">
        <v>53</v>
      </c>
      <c r="B164" s="48">
        <v>46023</v>
      </c>
      <c r="C164" s="26"/>
      <c r="I164" t="s">
        <v>1976</v>
      </c>
      <c r="J164" t="s">
        <v>1977</v>
      </c>
      <c r="K164" t="s">
        <v>59</v>
      </c>
      <c r="L164" t="s">
        <v>1978</v>
      </c>
      <c r="M164" t="s">
        <v>1979</v>
      </c>
      <c r="N164" t="s">
        <v>59</v>
      </c>
      <c r="O164" t="s">
        <v>116</v>
      </c>
      <c r="P164" t="s">
        <v>61</v>
      </c>
      <c r="Q164">
        <v>27</v>
      </c>
      <c r="R164" t="s">
        <v>1980</v>
      </c>
      <c r="S164" t="s">
        <v>129</v>
      </c>
      <c r="T164" s="52"/>
    </row>
    <row r="165" spans="1:20" x14ac:dyDescent="0.3">
      <c r="A165" t="s">
        <v>53</v>
      </c>
      <c r="B165" s="48">
        <v>46023</v>
      </c>
      <c r="C165" s="26"/>
      <c r="I165" t="s">
        <v>1981</v>
      </c>
      <c r="J165" t="s">
        <v>1982</v>
      </c>
      <c r="K165" t="s">
        <v>59</v>
      </c>
      <c r="L165" t="s">
        <v>1978</v>
      </c>
      <c r="M165" t="s">
        <v>1979</v>
      </c>
      <c r="N165" t="s">
        <v>59</v>
      </c>
      <c r="O165" t="s">
        <v>116</v>
      </c>
      <c r="P165" t="s">
        <v>61</v>
      </c>
      <c r="Q165">
        <v>7</v>
      </c>
      <c r="R165" t="s">
        <v>1980</v>
      </c>
      <c r="S165" t="s">
        <v>129</v>
      </c>
      <c r="T165" s="52"/>
    </row>
    <row r="166" spans="1:20" x14ac:dyDescent="0.3">
      <c r="A166" t="s">
        <v>53</v>
      </c>
      <c r="B166" s="48">
        <v>46023</v>
      </c>
      <c r="C166" s="26"/>
      <c r="I166" t="s">
        <v>1983</v>
      </c>
      <c r="J166" t="s">
        <v>1984</v>
      </c>
      <c r="K166" t="s">
        <v>462</v>
      </c>
      <c r="L166" t="s">
        <v>1978</v>
      </c>
      <c r="M166" t="s">
        <v>1979</v>
      </c>
      <c r="N166" t="s">
        <v>59</v>
      </c>
      <c r="O166" t="s">
        <v>60</v>
      </c>
      <c r="P166" t="s">
        <v>127</v>
      </c>
      <c r="Q166">
        <v>46</v>
      </c>
      <c r="R166" t="s">
        <v>348</v>
      </c>
      <c r="S166" t="s">
        <v>129</v>
      </c>
      <c r="T166" s="52"/>
    </row>
    <row r="167" spans="1:20" x14ac:dyDescent="0.3">
      <c r="A167" t="s">
        <v>53</v>
      </c>
      <c r="B167" s="48">
        <v>46023</v>
      </c>
      <c r="C167" s="26"/>
      <c r="I167" t="s">
        <v>1985</v>
      </c>
      <c r="J167" t="s">
        <v>1984</v>
      </c>
      <c r="K167" t="s">
        <v>1986</v>
      </c>
      <c r="L167" t="s">
        <v>1978</v>
      </c>
      <c r="M167" t="s">
        <v>1979</v>
      </c>
      <c r="N167" t="s">
        <v>59</v>
      </c>
      <c r="O167" t="s">
        <v>60</v>
      </c>
      <c r="P167" t="s">
        <v>127</v>
      </c>
      <c r="Q167">
        <v>57</v>
      </c>
      <c r="R167" t="s">
        <v>348</v>
      </c>
      <c r="S167" t="s">
        <v>129</v>
      </c>
      <c r="T167" s="52"/>
    </row>
    <row r="168" spans="1:20" x14ac:dyDescent="0.3">
      <c r="A168" t="s">
        <v>53</v>
      </c>
      <c r="B168" s="48">
        <v>46023</v>
      </c>
      <c r="C168" s="26"/>
      <c r="I168" t="s">
        <v>1987</v>
      </c>
      <c r="J168" t="s">
        <v>1988</v>
      </c>
      <c r="K168" t="s">
        <v>1989</v>
      </c>
      <c r="L168" t="s">
        <v>1978</v>
      </c>
      <c r="M168" t="s">
        <v>1979</v>
      </c>
      <c r="N168" t="s">
        <v>59</v>
      </c>
      <c r="O168" t="s">
        <v>60</v>
      </c>
      <c r="P168" t="s">
        <v>127</v>
      </c>
      <c r="Q168">
        <v>1</v>
      </c>
      <c r="R168" t="s">
        <v>364</v>
      </c>
      <c r="S168" t="s">
        <v>129</v>
      </c>
      <c r="T168" s="52"/>
    </row>
    <row r="169" spans="1:20" x14ac:dyDescent="0.3">
      <c r="A169" t="s">
        <v>53</v>
      </c>
      <c r="B169" s="48">
        <v>46023</v>
      </c>
      <c r="C169" s="26"/>
      <c r="I169" t="s">
        <v>1990</v>
      </c>
      <c r="J169" t="s">
        <v>1991</v>
      </c>
      <c r="K169" t="s">
        <v>1992</v>
      </c>
      <c r="L169" t="s">
        <v>1978</v>
      </c>
      <c r="M169" t="s">
        <v>1993</v>
      </c>
      <c r="N169" t="s">
        <v>59</v>
      </c>
      <c r="O169" t="s">
        <v>60</v>
      </c>
      <c r="P169" t="s">
        <v>61</v>
      </c>
      <c r="Q169">
        <v>39</v>
      </c>
      <c r="R169" t="s">
        <v>1994</v>
      </c>
      <c r="S169" t="s">
        <v>129</v>
      </c>
      <c r="T169" s="52"/>
    </row>
    <row r="170" spans="1:20" x14ac:dyDescent="0.3">
      <c r="A170" t="s">
        <v>53</v>
      </c>
      <c r="B170" s="48">
        <v>46023</v>
      </c>
      <c r="C170" s="26"/>
      <c r="I170" t="s">
        <v>1995</v>
      </c>
      <c r="J170" t="s">
        <v>1996</v>
      </c>
      <c r="K170" t="s">
        <v>1997</v>
      </c>
      <c r="L170" t="s">
        <v>1978</v>
      </c>
      <c r="M170" t="s">
        <v>1993</v>
      </c>
      <c r="N170" t="s">
        <v>59</v>
      </c>
      <c r="O170" t="s">
        <v>60</v>
      </c>
      <c r="P170" t="s">
        <v>61</v>
      </c>
      <c r="Q170">
        <v>3</v>
      </c>
      <c r="R170" t="s">
        <v>1994</v>
      </c>
      <c r="S170" t="s">
        <v>309</v>
      </c>
      <c r="T170" s="52"/>
    </row>
    <row r="171" spans="1:20" x14ac:dyDescent="0.3">
      <c r="A171" t="s">
        <v>53</v>
      </c>
      <c r="B171" s="48">
        <v>46023</v>
      </c>
      <c r="C171" s="26"/>
      <c r="I171" t="s">
        <v>1998</v>
      </c>
      <c r="J171" t="s">
        <v>1996</v>
      </c>
      <c r="K171" t="s">
        <v>1997</v>
      </c>
      <c r="L171" t="s">
        <v>1978</v>
      </c>
      <c r="M171" t="s">
        <v>1993</v>
      </c>
      <c r="N171" t="s">
        <v>59</v>
      </c>
      <c r="O171" t="s">
        <v>116</v>
      </c>
      <c r="P171" t="s">
        <v>61</v>
      </c>
      <c r="Q171">
        <v>5</v>
      </c>
      <c r="R171" t="s">
        <v>1994</v>
      </c>
      <c r="S171" t="s">
        <v>309</v>
      </c>
      <c r="T171" s="52"/>
    </row>
    <row r="172" spans="1:20" x14ac:dyDescent="0.3">
      <c r="A172" t="s">
        <v>53</v>
      </c>
      <c r="B172" s="48">
        <v>46023</v>
      </c>
      <c r="C172" s="26"/>
      <c r="I172" t="s">
        <v>1999</v>
      </c>
      <c r="J172" t="s">
        <v>2000</v>
      </c>
      <c r="K172" t="s">
        <v>1992</v>
      </c>
      <c r="L172" t="s">
        <v>1978</v>
      </c>
      <c r="M172" t="s">
        <v>1993</v>
      </c>
      <c r="N172" t="s">
        <v>59</v>
      </c>
      <c r="O172" t="s">
        <v>60</v>
      </c>
      <c r="P172" t="s">
        <v>61</v>
      </c>
      <c r="Q172">
        <v>37</v>
      </c>
      <c r="R172" t="s">
        <v>1994</v>
      </c>
      <c r="S172" t="s">
        <v>309</v>
      </c>
      <c r="T172" s="52"/>
    </row>
    <row r="173" spans="1:20" x14ac:dyDescent="0.3">
      <c r="A173" t="s">
        <v>53</v>
      </c>
      <c r="B173" s="48">
        <v>46023</v>
      </c>
      <c r="C173" s="26"/>
      <c r="I173" t="s">
        <v>2001</v>
      </c>
      <c r="J173" t="s">
        <v>2002</v>
      </c>
      <c r="K173" t="s">
        <v>1992</v>
      </c>
      <c r="L173" t="s">
        <v>1978</v>
      </c>
      <c r="M173" t="s">
        <v>1993</v>
      </c>
      <c r="N173" t="s">
        <v>59</v>
      </c>
      <c r="O173" t="s">
        <v>60</v>
      </c>
      <c r="P173" t="s">
        <v>61</v>
      </c>
      <c r="Q173">
        <v>8</v>
      </c>
      <c r="R173" t="s">
        <v>1994</v>
      </c>
      <c r="S173" t="s">
        <v>309</v>
      </c>
      <c r="T173" s="52"/>
    </row>
    <row r="174" spans="1:20" x14ac:dyDescent="0.3">
      <c r="A174" t="s">
        <v>53</v>
      </c>
      <c r="B174" s="48">
        <v>46023</v>
      </c>
      <c r="C174" s="26"/>
      <c r="I174" t="s">
        <v>2003</v>
      </c>
      <c r="J174" t="s">
        <v>2004</v>
      </c>
      <c r="K174" t="s">
        <v>59</v>
      </c>
      <c r="L174" t="s">
        <v>1978</v>
      </c>
      <c r="M174" t="s">
        <v>1993</v>
      </c>
      <c r="N174" t="s">
        <v>59</v>
      </c>
      <c r="O174" t="s">
        <v>60</v>
      </c>
      <c r="P174" t="s">
        <v>61</v>
      </c>
      <c r="Q174">
        <v>24</v>
      </c>
      <c r="R174" t="s">
        <v>1994</v>
      </c>
      <c r="S174" t="s">
        <v>309</v>
      </c>
      <c r="T174" s="52"/>
    </row>
    <row r="175" spans="1:20" x14ac:dyDescent="0.3">
      <c r="A175" t="s">
        <v>53</v>
      </c>
      <c r="B175" s="48">
        <v>46023</v>
      </c>
      <c r="C175" s="26"/>
      <c r="I175" t="s">
        <v>2005</v>
      </c>
      <c r="J175" t="s">
        <v>2006</v>
      </c>
      <c r="K175" t="s">
        <v>2007</v>
      </c>
      <c r="L175" t="s">
        <v>1978</v>
      </c>
      <c r="M175" t="s">
        <v>2008</v>
      </c>
      <c r="N175" t="s">
        <v>59</v>
      </c>
      <c r="O175" t="s">
        <v>60</v>
      </c>
      <c r="P175" t="s">
        <v>61</v>
      </c>
      <c r="Q175">
        <v>11</v>
      </c>
      <c r="R175" t="s">
        <v>1994</v>
      </c>
      <c r="S175" t="s">
        <v>309</v>
      </c>
      <c r="T175" s="52"/>
    </row>
    <row r="176" spans="1:20" x14ac:dyDescent="0.3">
      <c r="A176" t="s">
        <v>53</v>
      </c>
      <c r="B176" s="48">
        <v>46023</v>
      </c>
      <c r="C176" s="26"/>
      <c r="I176" t="s">
        <v>2009</v>
      </c>
      <c r="J176" t="s">
        <v>2010</v>
      </c>
      <c r="K176" t="s">
        <v>2007</v>
      </c>
      <c r="L176" t="s">
        <v>1978</v>
      </c>
      <c r="M176" t="s">
        <v>2008</v>
      </c>
      <c r="N176" t="s">
        <v>59</v>
      </c>
      <c r="O176" t="s">
        <v>60</v>
      </c>
      <c r="P176" t="s">
        <v>61</v>
      </c>
      <c r="Q176">
        <v>9</v>
      </c>
      <c r="R176" t="s">
        <v>1994</v>
      </c>
      <c r="S176" t="s">
        <v>309</v>
      </c>
      <c r="T176" s="52"/>
    </row>
    <row r="177" spans="1:20" x14ac:dyDescent="0.3">
      <c r="A177" t="s">
        <v>53</v>
      </c>
      <c r="B177" s="48">
        <v>46023</v>
      </c>
      <c r="C177" s="26"/>
      <c r="I177" t="s">
        <v>2011</v>
      </c>
      <c r="J177" t="s">
        <v>2012</v>
      </c>
      <c r="K177" t="s">
        <v>2007</v>
      </c>
      <c r="L177" t="s">
        <v>1978</v>
      </c>
      <c r="M177" t="s">
        <v>2008</v>
      </c>
      <c r="N177" t="s">
        <v>59</v>
      </c>
      <c r="O177" t="s">
        <v>60</v>
      </c>
      <c r="P177" t="s">
        <v>61</v>
      </c>
      <c r="Q177">
        <v>11</v>
      </c>
      <c r="R177" t="s">
        <v>1994</v>
      </c>
      <c r="S177" t="s">
        <v>309</v>
      </c>
      <c r="T177" s="52"/>
    </row>
    <row r="178" spans="1:20" x14ac:dyDescent="0.3">
      <c r="A178" t="s">
        <v>53</v>
      </c>
      <c r="B178" s="48">
        <v>46023</v>
      </c>
      <c r="C178" s="26"/>
      <c r="I178" t="s">
        <v>2013</v>
      </c>
      <c r="J178" t="s">
        <v>2014</v>
      </c>
      <c r="K178" t="s">
        <v>2007</v>
      </c>
      <c r="L178" t="s">
        <v>1978</v>
      </c>
      <c r="M178" t="s">
        <v>2008</v>
      </c>
      <c r="N178" t="s">
        <v>59</v>
      </c>
      <c r="O178" t="s">
        <v>60</v>
      </c>
      <c r="P178" t="s">
        <v>61</v>
      </c>
      <c r="Q178">
        <v>6</v>
      </c>
      <c r="R178" t="s">
        <v>1994</v>
      </c>
      <c r="S178" t="s">
        <v>309</v>
      </c>
      <c r="T178" s="52"/>
    </row>
    <row r="179" spans="1:20" x14ac:dyDescent="0.3">
      <c r="A179" t="s">
        <v>53</v>
      </c>
      <c r="B179" s="48">
        <v>46023</v>
      </c>
      <c r="C179" s="26"/>
      <c r="I179" t="s">
        <v>2015</v>
      </c>
      <c r="J179" t="s">
        <v>2016</v>
      </c>
      <c r="K179" t="s">
        <v>2017</v>
      </c>
      <c r="L179" t="s">
        <v>1978</v>
      </c>
      <c r="M179" t="s">
        <v>2018</v>
      </c>
      <c r="N179" t="s">
        <v>59</v>
      </c>
      <c r="O179" t="s">
        <v>116</v>
      </c>
      <c r="P179" t="s">
        <v>61</v>
      </c>
      <c r="Q179">
        <v>5</v>
      </c>
      <c r="R179" t="s">
        <v>1994</v>
      </c>
      <c r="S179" t="s">
        <v>309</v>
      </c>
      <c r="T179" s="52"/>
    </row>
    <row r="180" spans="1:20" x14ac:dyDescent="0.3">
      <c r="A180" t="s">
        <v>53</v>
      </c>
      <c r="B180" s="48">
        <v>46023</v>
      </c>
      <c r="C180" s="26"/>
      <c r="I180" t="s">
        <v>2019</v>
      </c>
      <c r="J180" t="s">
        <v>2016</v>
      </c>
      <c r="K180" t="s">
        <v>2020</v>
      </c>
      <c r="L180" t="s">
        <v>1978</v>
      </c>
      <c r="M180" t="s">
        <v>2018</v>
      </c>
      <c r="N180" t="s">
        <v>59</v>
      </c>
      <c r="O180" t="s">
        <v>116</v>
      </c>
      <c r="P180" t="s">
        <v>61</v>
      </c>
      <c r="Q180">
        <v>4</v>
      </c>
      <c r="R180" t="s">
        <v>1994</v>
      </c>
      <c r="S180" t="s">
        <v>309</v>
      </c>
      <c r="T180" s="52"/>
    </row>
    <row r="181" spans="1:20" x14ac:dyDescent="0.3">
      <c r="A181" t="s">
        <v>53</v>
      </c>
      <c r="B181" s="48">
        <v>46023</v>
      </c>
      <c r="C181" s="26"/>
      <c r="I181" t="s">
        <v>2021</v>
      </c>
      <c r="J181" t="s">
        <v>2016</v>
      </c>
      <c r="K181" t="s">
        <v>2022</v>
      </c>
      <c r="L181" t="s">
        <v>1978</v>
      </c>
      <c r="M181" t="s">
        <v>2018</v>
      </c>
      <c r="N181" t="s">
        <v>59</v>
      </c>
      <c r="O181" t="s">
        <v>116</v>
      </c>
      <c r="P181" t="s">
        <v>61</v>
      </c>
      <c r="Q181">
        <v>2</v>
      </c>
      <c r="R181" t="s">
        <v>1994</v>
      </c>
      <c r="S181" t="s">
        <v>309</v>
      </c>
      <c r="T181" s="52"/>
    </row>
    <row r="182" spans="1:20" x14ac:dyDescent="0.3">
      <c r="A182" t="s">
        <v>53</v>
      </c>
      <c r="B182" s="48">
        <v>46023</v>
      </c>
      <c r="C182" s="26"/>
      <c r="I182" t="s">
        <v>2023</v>
      </c>
      <c r="J182" t="s">
        <v>2024</v>
      </c>
      <c r="K182" t="s">
        <v>2017</v>
      </c>
      <c r="L182" t="s">
        <v>1978</v>
      </c>
      <c r="M182" t="s">
        <v>2018</v>
      </c>
      <c r="N182" t="s">
        <v>59</v>
      </c>
      <c r="O182" t="s">
        <v>116</v>
      </c>
      <c r="P182" t="s">
        <v>61</v>
      </c>
      <c r="Q182">
        <v>7</v>
      </c>
      <c r="R182" t="s">
        <v>1994</v>
      </c>
      <c r="S182" t="s">
        <v>309</v>
      </c>
      <c r="T182" s="52"/>
    </row>
    <row r="183" spans="1:20" x14ac:dyDescent="0.3">
      <c r="A183" t="s">
        <v>53</v>
      </c>
      <c r="B183" s="48">
        <v>46023</v>
      </c>
      <c r="C183" s="26"/>
      <c r="I183" t="s">
        <v>2025</v>
      </c>
      <c r="J183" t="s">
        <v>2026</v>
      </c>
      <c r="K183" t="s">
        <v>59</v>
      </c>
      <c r="L183" t="s">
        <v>1978</v>
      </c>
      <c r="M183" t="s">
        <v>2018</v>
      </c>
      <c r="N183" t="s">
        <v>59</v>
      </c>
      <c r="O183" t="s">
        <v>116</v>
      </c>
      <c r="P183" t="s">
        <v>61</v>
      </c>
      <c r="Q183">
        <v>6</v>
      </c>
      <c r="R183" t="s">
        <v>1994</v>
      </c>
      <c r="S183" t="s">
        <v>309</v>
      </c>
      <c r="T183" s="52"/>
    </row>
    <row r="184" spans="1:20" x14ac:dyDescent="0.3">
      <c r="A184" t="s">
        <v>53</v>
      </c>
      <c r="B184" s="48">
        <v>46023</v>
      </c>
      <c r="C184" s="26"/>
      <c r="I184" t="s">
        <v>2027</v>
      </c>
      <c r="J184" t="s">
        <v>2028</v>
      </c>
      <c r="K184" t="s">
        <v>59</v>
      </c>
      <c r="L184" t="s">
        <v>1978</v>
      </c>
      <c r="M184" t="s">
        <v>1993</v>
      </c>
      <c r="N184" t="s">
        <v>59</v>
      </c>
      <c r="O184" t="s">
        <v>60</v>
      </c>
      <c r="P184" t="s">
        <v>61</v>
      </c>
      <c r="Q184">
        <v>2</v>
      </c>
      <c r="R184" t="s">
        <v>1370</v>
      </c>
      <c r="S184" t="s">
        <v>309</v>
      </c>
      <c r="T184" s="52"/>
    </row>
    <row r="185" spans="1:20" x14ac:dyDescent="0.3">
      <c r="A185" t="s">
        <v>53</v>
      </c>
      <c r="B185" s="48">
        <v>46023</v>
      </c>
      <c r="C185" s="26"/>
      <c r="I185" t="s">
        <v>2029</v>
      </c>
      <c r="J185" t="s">
        <v>2030</v>
      </c>
      <c r="K185" t="s">
        <v>59</v>
      </c>
      <c r="L185" t="s">
        <v>1978</v>
      </c>
      <c r="M185" t="s">
        <v>2008</v>
      </c>
      <c r="N185" t="s">
        <v>59</v>
      </c>
      <c r="O185" t="s">
        <v>116</v>
      </c>
      <c r="P185" t="s">
        <v>61</v>
      </c>
      <c r="Q185">
        <v>1</v>
      </c>
      <c r="R185" t="s">
        <v>1370</v>
      </c>
      <c r="S185" t="s">
        <v>309</v>
      </c>
      <c r="T185" s="52"/>
    </row>
    <row r="186" spans="1:20" x14ac:dyDescent="0.3">
      <c r="A186" t="s">
        <v>53</v>
      </c>
      <c r="B186" s="48">
        <v>46023</v>
      </c>
      <c r="C186" s="26"/>
      <c r="I186" t="s">
        <v>2470</v>
      </c>
      <c r="J186" t="s">
        <v>2471</v>
      </c>
      <c r="K186" t="s">
        <v>59</v>
      </c>
      <c r="L186" t="s">
        <v>1978</v>
      </c>
      <c r="M186" t="s">
        <v>2472</v>
      </c>
      <c r="N186" t="s">
        <v>59</v>
      </c>
      <c r="O186" t="s">
        <v>116</v>
      </c>
      <c r="P186" t="s">
        <v>144</v>
      </c>
      <c r="Q186">
        <v>3</v>
      </c>
      <c r="R186" t="s">
        <v>2473</v>
      </c>
      <c r="S186" t="s">
        <v>309</v>
      </c>
      <c r="T186" s="52"/>
    </row>
    <row r="187" spans="1:20" x14ac:dyDescent="0.3">
      <c r="A187" t="s">
        <v>53</v>
      </c>
      <c r="B187" s="48">
        <v>46023</v>
      </c>
      <c r="C187" s="26"/>
      <c r="I187" t="s">
        <v>2474</v>
      </c>
      <c r="J187" t="s">
        <v>2475</v>
      </c>
      <c r="K187" t="s">
        <v>2476</v>
      </c>
      <c r="L187" t="s">
        <v>1978</v>
      </c>
      <c r="M187" t="s">
        <v>2472</v>
      </c>
      <c r="N187" t="s">
        <v>59</v>
      </c>
      <c r="O187" t="s">
        <v>116</v>
      </c>
      <c r="P187" t="s">
        <v>144</v>
      </c>
      <c r="Q187">
        <v>2</v>
      </c>
      <c r="R187" t="s">
        <v>2473</v>
      </c>
      <c r="S187" t="s">
        <v>309</v>
      </c>
      <c r="T187" s="52"/>
    </row>
    <row r="188" spans="1:20" x14ac:dyDescent="0.3">
      <c r="A188" t="s">
        <v>53</v>
      </c>
      <c r="B188" s="48">
        <v>46023</v>
      </c>
      <c r="C188" s="26"/>
      <c r="I188" t="s">
        <v>2477</v>
      </c>
      <c r="J188" t="s">
        <v>2475</v>
      </c>
      <c r="K188" t="s">
        <v>2478</v>
      </c>
      <c r="L188" t="s">
        <v>1978</v>
      </c>
      <c r="M188" t="s">
        <v>2472</v>
      </c>
      <c r="N188" t="s">
        <v>59</v>
      </c>
      <c r="O188" t="s">
        <v>116</v>
      </c>
      <c r="P188" t="s">
        <v>144</v>
      </c>
      <c r="Q188">
        <v>1</v>
      </c>
      <c r="R188" t="s">
        <v>2473</v>
      </c>
      <c r="S188" t="s">
        <v>309</v>
      </c>
      <c r="T188" s="52"/>
    </row>
    <row r="189" spans="1:20" x14ac:dyDescent="0.3">
      <c r="A189" t="s">
        <v>53</v>
      </c>
      <c r="B189" s="48">
        <v>46023</v>
      </c>
      <c r="C189" s="26"/>
      <c r="I189" t="s">
        <v>1947</v>
      </c>
      <c r="J189" t="s">
        <v>1948</v>
      </c>
      <c r="K189" t="s">
        <v>1949</v>
      </c>
      <c r="L189" t="s">
        <v>1950</v>
      </c>
      <c r="M189" t="s">
        <v>1951</v>
      </c>
      <c r="N189" t="s">
        <v>1952</v>
      </c>
      <c r="O189" t="s">
        <v>116</v>
      </c>
      <c r="P189" t="s">
        <v>61</v>
      </c>
      <c r="Q189">
        <v>1</v>
      </c>
      <c r="R189" t="s">
        <v>62</v>
      </c>
      <c r="S189" t="s">
        <v>1953</v>
      </c>
      <c r="T189" s="52"/>
    </row>
    <row r="190" spans="1:20" x14ac:dyDescent="0.3">
      <c r="A190" t="s">
        <v>53</v>
      </c>
      <c r="B190" s="48">
        <v>46023</v>
      </c>
      <c r="C190" s="26"/>
      <c r="I190" t="s">
        <v>1954</v>
      </c>
      <c r="J190" t="s">
        <v>1955</v>
      </c>
      <c r="K190" t="s">
        <v>1949</v>
      </c>
      <c r="L190" t="s">
        <v>1950</v>
      </c>
      <c r="M190" t="s">
        <v>1951</v>
      </c>
      <c r="N190" t="s">
        <v>1956</v>
      </c>
      <c r="O190" t="s">
        <v>116</v>
      </c>
      <c r="P190" t="s">
        <v>61</v>
      </c>
      <c r="Q190">
        <v>1</v>
      </c>
      <c r="R190" t="s">
        <v>62</v>
      </c>
      <c r="S190" t="s">
        <v>1953</v>
      </c>
      <c r="T190" s="52"/>
    </row>
    <row r="191" spans="1:20" x14ac:dyDescent="0.3">
      <c r="A191" t="s">
        <v>53</v>
      </c>
      <c r="B191" s="48">
        <v>46023</v>
      </c>
      <c r="C191" s="26"/>
      <c r="I191" t="s">
        <v>1957</v>
      </c>
      <c r="J191" t="s">
        <v>1958</v>
      </c>
      <c r="K191" t="s">
        <v>1949</v>
      </c>
      <c r="L191" t="s">
        <v>1950</v>
      </c>
      <c r="M191" t="s">
        <v>1959</v>
      </c>
      <c r="N191" t="s">
        <v>1960</v>
      </c>
      <c r="O191" t="s">
        <v>116</v>
      </c>
      <c r="P191" t="s">
        <v>61</v>
      </c>
      <c r="Q191">
        <v>1</v>
      </c>
      <c r="R191" t="s">
        <v>1713</v>
      </c>
      <c r="S191" t="s">
        <v>129</v>
      </c>
      <c r="T191" s="52"/>
    </row>
    <row r="192" spans="1:20" x14ac:dyDescent="0.3">
      <c r="A192" t="s">
        <v>53</v>
      </c>
      <c r="B192" s="48">
        <v>46023</v>
      </c>
      <c r="C192" s="26"/>
      <c r="I192" t="s">
        <v>1961</v>
      </c>
      <c r="J192" t="s">
        <v>1958</v>
      </c>
      <c r="K192" t="s">
        <v>1949</v>
      </c>
      <c r="L192" t="s">
        <v>1950</v>
      </c>
      <c r="M192" t="s">
        <v>1959</v>
      </c>
      <c r="N192" t="s">
        <v>1962</v>
      </c>
      <c r="O192" t="s">
        <v>116</v>
      </c>
      <c r="P192" t="s">
        <v>61</v>
      </c>
      <c r="Q192">
        <v>1</v>
      </c>
      <c r="R192" t="s">
        <v>1713</v>
      </c>
      <c r="S192" t="s">
        <v>129</v>
      </c>
      <c r="T192" s="52"/>
    </row>
    <row r="193" spans="1:20" x14ac:dyDescent="0.3">
      <c r="A193" t="s">
        <v>53</v>
      </c>
      <c r="B193" s="48">
        <v>46023</v>
      </c>
      <c r="C193" s="26"/>
      <c r="I193" t="s">
        <v>1963</v>
      </c>
      <c r="J193" t="s">
        <v>1964</v>
      </c>
      <c r="K193" t="s">
        <v>1965</v>
      </c>
      <c r="L193" t="s">
        <v>1950</v>
      </c>
      <c r="M193" t="s">
        <v>1959</v>
      </c>
      <c r="N193" t="s">
        <v>1966</v>
      </c>
      <c r="O193" t="s">
        <v>116</v>
      </c>
      <c r="P193" t="s">
        <v>61</v>
      </c>
      <c r="Q193">
        <v>1</v>
      </c>
      <c r="R193" t="s">
        <v>1713</v>
      </c>
      <c r="S193" t="s">
        <v>129</v>
      </c>
      <c r="T193" s="52"/>
    </row>
    <row r="194" spans="1:20" x14ac:dyDescent="0.3">
      <c r="A194" t="s">
        <v>53</v>
      </c>
      <c r="B194" s="48">
        <v>46023</v>
      </c>
      <c r="C194" s="26"/>
      <c r="I194" t="s">
        <v>1967</v>
      </c>
      <c r="J194" t="s">
        <v>1964</v>
      </c>
      <c r="K194" t="s">
        <v>1965</v>
      </c>
      <c r="L194" t="s">
        <v>1950</v>
      </c>
      <c r="M194" t="s">
        <v>1959</v>
      </c>
      <c r="N194" t="s">
        <v>1968</v>
      </c>
      <c r="O194" t="s">
        <v>116</v>
      </c>
      <c r="P194" t="s">
        <v>61</v>
      </c>
      <c r="Q194">
        <v>1</v>
      </c>
      <c r="R194" t="s">
        <v>1713</v>
      </c>
      <c r="S194" t="s">
        <v>129</v>
      </c>
      <c r="T194" s="52"/>
    </row>
    <row r="195" spans="1:20" x14ac:dyDescent="0.3">
      <c r="A195" t="s">
        <v>53</v>
      </c>
      <c r="B195" s="48">
        <v>46023</v>
      </c>
      <c r="C195" s="26"/>
      <c r="I195" t="s">
        <v>1969</v>
      </c>
      <c r="J195" t="s">
        <v>1964</v>
      </c>
      <c r="K195" t="s">
        <v>1965</v>
      </c>
      <c r="L195" t="s">
        <v>1950</v>
      </c>
      <c r="M195" t="s">
        <v>1959</v>
      </c>
      <c r="N195" t="s">
        <v>1970</v>
      </c>
      <c r="O195" t="s">
        <v>116</v>
      </c>
      <c r="P195" t="s">
        <v>61</v>
      </c>
      <c r="Q195">
        <v>1</v>
      </c>
      <c r="R195" t="s">
        <v>1713</v>
      </c>
      <c r="S195" t="s">
        <v>129</v>
      </c>
      <c r="T195" s="52"/>
    </row>
    <row r="196" spans="1:20" x14ac:dyDescent="0.3">
      <c r="A196" t="s">
        <v>53</v>
      </c>
      <c r="B196" s="48">
        <v>46023</v>
      </c>
      <c r="C196" s="26"/>
      <c r="I196" t="s">
        <v>1971</v>
      </c>
      <c r="J196" t="s">
        <v>1964</v>
      </c>
      <c r="K196" t="s">
        <v>1965</v>
      </c>
      <c r="L196" t="s">
        <v>1950</v>
      </c>
      <c r="M196" t="s">
        <v>1959</v>
      </c>
      <c r="N196" t="s">
        <v>1972</v>
      </c>
      <c r="O196" t="s">
        <v>116</v>
      </c>
      <c r="P196" t="s">
        <v>61</v>
      </c>
      <c r="Q196">
        <v>1</v>
      </c>
      <c r="R196" t="s">
        <v>1713</v>
      </c>
      <c r="S196" t="s">
        <v>129</v>
      </c>
      <c r="T196" s="52"/>
    </row>
    <row r="197" spans="1:20" x14ac:dyDescent="0.3">
      <c r="A197" t="s">
        <v>53</v>
      </c>
      <c r="B197" s="48">
        <v>46023</v>
      </c>
      <c r="C197" s="26"/>
      <c r="I197" t="s">
        <v>1973</v>
      </c>
      <c r="J197" t="s">
        <v>1974</v>
      </c>
      <c r="K197" t="s">
        <v>59</v>
      </c>
      <c r="L197" t="s">
        <v>1950</v>
      </c>
      <c r="M197" t="s">
        <v>1975</v>
      </c>
      <c r="N197" t="s">
        <v>59</v>
      </c>
      <c r="O197" t="s">
        <v>116</v>
      </c>
      <c r="P197" t="s">
        <v>1067</v>
      </c>
      <c r="Q197">
        <v>1</v>
      </c>
      <c r="R197" t="s">
        <v>1370</v>
      </c>
      <c r="S197" t="s">
        <v>309</v>
      </c>
      <c r="T197" s="52"/>
    </row>
    <row r="198" spans="1:20" x14ac:dyDescent="0.3">
      <c r="A198" t="s">
        <v>53</v>
      </c>
      <c r="B198" s="48">
        <v>46023</v>
      </c>
      <c r="C198" s="26"/>
      <c r="I198" t="s">
        <v>2479</v>
      </c>
      <c r="J198" t="s">
        <v>2480</v>
      </c>
      <c r="K198" t="s">
        <v>2292</v>
      </c>
      <c r="L198" t="s">
        <v>1950</v>
      </c>
      <c r="M198" t="s">
        <v>1975</v>
      </c>
      <c r="N198" t="s">
        <v>59</v>
      </c>
      <c r="O198" t="s">
        <v>143</v>
      </c>
      <c r="P198" t="s">
        <v>144</v>
      </c>
      <c r="Q198">
        <v>5</v>
      </c>
      <c r="R198" t="s">
        <v>2282</v>
      </c>
      <c r="S198" t="s">
        <v>1953</v>
      </c>
      <c r="T198" s="52"/>
    </row>
    <row r="199" spans="1:20" x14ac:dyDescent="0.3">
      <c r="A199" t="s">
        <v>53</v>
      </c>
      <c r="B199" s="48">
        <v>46023</v>
      </c>
      <c r="C199" s="26"/>
      <c r="I199" t="s">
        <v>2481</v>
      </c>
      <c r="J199" t="s">
        <v>2482</v>
      </c>
      <c r="K199" t="s">
        <v>2292</v>
      </c>
      <c r="L199" t="s">
        <v>1950</v>
      </c>
      <c r="M199" t="s">
        <v>1975</v>
      </c>
      <c r="N199" t="s">
        <v>59</v>
      </c>
      <c r="O199" t="s">
        <v>143</v>
      </c>
      <c r="P199" t="s">
        <v>144</v>
      </c>
      <c r="Q199">
        <v>1</v>
      </c>
      <c r="R199" t="s">
        <v>2282</v>
      </c>
      <c r="S199" t="s">
        <v>1953</v>
      </c>
      <c r="T199" s="52"/>
    </row>
    <row r="200" spans="1:20" x14ac:dyDescent="0.3">
      <c r="A200" t="s">
        <v>53</v>
      </c>
      <c r="B200" s="48">
        <v>46023</v>
      </c>
      <c r="C200" s="26"/>
      <c r="I200" t="s">
        <v>2483</v>
      </c>
      <c r="J200" t="s">
        <v>2484</v>
      </c>
      <c r="K200" t="s">
        <v>59</v>
      </c>
      <c r="L200" t="s">
        <v>1950</v>
      </c>
      <c r="M200" t="s">
        <v>1975</v>
      </c>
      <c r="N200" t="s">
        <v>59</v>
      </c>
      <c r="O200" t="s">
        <v>143</v>
      </c>
      <c r="P200" t="s">
        <v>144</v>
      </c>
      <c r="Q200">
        <v>4</v>
      </c>
      <c r="R200" t="s">
        <v>2282</v>
      </c>
      <c r="S200" t="s">
        <v>1953</v>
      </c>
      <c r="T200" s="52"/>
    </row>
    <row r="201" spans="1:20" x14ac:dyDescent="0.3">
      <c r="A201" t="s">
        <v>53</v>
      </c>
      <c r="B201" s="48">
        <v>46023</v>
      </c>
      <c r="C201" s="26"/>
      <c r="I201" t="s">
        <v>2485</v>
      </c>
      <c r="J201" t="s">
        <v>2486</v>
      </c>
      <c r="K201" t="s">
        <v>59</v>
      </c>
      <c r="L201" t="s">
        <v>1950</v>
      </c>
      <c r="M201" t="s">
        <v>2487</v>
      </c>
      <c r="N201" t="s">
        <v>59</v>
      </c>
      <c r="O201" t="s">
        <v>116</v>
      </c>
      <c r="P201" t="s">
        <v>144</v>
      </c>
      <c r="Q201">
        <v>1</v>
      </c>
      <c r="R201" t="s">
        <v>2282</v>
      </c>
      <c r="S201" t="s">
        <v>1953</v>
      </c>
      <c r="T201" s="52"/>
    </row>
    <row r="202" spans="1:20" x14ac:dyDescent="0.3">
      <c r="A202" t="s">
        <v>53</v>
      </c>
      <c r="B202" s="48">
        <v>46023</v>
      </c>
      <c r="C202" s="26"/>
      <c r="I202" t="s">
        <v>2488</v>
      </c>
      <c r="J202" t="s">
        <v>2489</v>
      </c>
      <c r="K202" t="s">
        <v>59</v>
      </c>
      <c r="L202" t="s">
        <v>1950</v>
      </c>
      <c r="M202" t="s">
        <v>2487</v>
      </c>
      <c r="N202" t="s">
        <v>59</v>
      </c>
      <c r="O202" t="s">
        <v>116</v>
      </c>
      <c r="P202" t="s">
        <v>144</v>
      </c>
      <c r="Q202">
        <v>1</v>
      </c>
      <c r="R202" t="s">
        <v>2282</v>
      </c>
      <c r="S202" t="s">
        <v>1953</v>
      </c>
      <c r="T202" s="52"/>
    </row>
    <row r="203" spans="1:20" x14ac:dyDescent="0.3">
      <c r="A203" t="s">
        <v>53</v>
      </c>
      <c r="B203" s="48">
        <v>46023</v>
      </c>
      <c r="C203" s="26"/>
      <c r="I203" t="s">
        <v>2490</v>
      </c>
      <c r="J203" t="s">
        <v>2491</v>
      </c>
      <c r="K203" t="s">
        <v>59</v>
      </c>
      <c r="L203" t="s">
        <v>1950</v>
      </c>
      <c r="M203" t="s">
        <v>1975</v>
      </c>
      <c r="N203" t="s">
        <v>59</v>
      </c>
      <c r="O203" t="s">
        <v>116</v>
      </c>
      <c r="P203" t="s">
        <v>144</v>
      </c>
      <c r="Q203">
        <v>1</v>
      </c>
      <c r="R203" t="s">
        <v>2282</v>
      </c>
      <c r="S203" t="s">
        <v>1953</v>
      </c>
      <c r="T203" s="52"/>
    </row>
    <row r="204" spans="1:20" x14ac:dyDescent="0.3">
      <c r="A204" t="s">
        <v>53</v>
      </c>
      <c r="B204" s="48">
        <v>46023</v>
      </c>
      <c r="C204" s="26"/>
      <c r="I204" t="s">
        <v>2492</v>
      </c>
      <c r="J204" t="s">
        <v>2493</v>
      </c>
      <c r="K204" t="s">
        <v>59</v>
      </c>
      <c r="L204" t="s">
        <v>1950</v>
      </c>
      <c r="M204" t="s">
        <v>1975</v>
      </c>
      <c r="N204" t="s">
        <v>59</v>
      </c>
      <c r="O204" t="s">
        <v>116</v>
      </c>
      <c r="P204" t="s">
        <v>144</v>
      </c>
      <c r="Q204">
        <v>5</v>
      </c>
      <c r="R204" t="s">
        <v>2282</v>
      </c>
      <c r="S204" t="s">
        <v>1953</v>
      </c>
      <c r="T204" s="52"/>
    </row>
    <row r="205" spans="1:20" x14ac:dyDescent="0.3">
      <c r="A205" t="s">
        <v>53</v>
      </c>
      <c r="B205" s="48">
        <v>46023</v>
      </c>
      <c r="C205" s="26"/>
      <c r="I205" t="s">
        <v>2494</v>
      </c>
      <c r="J205" t="s">
        <v>2495</v>
      </c>
      <c r="K205" t="s">
        <v>59</v>
      </c>
      <c r="L205" t="s">
        <v>1950</v>
      </c>
      <c r="M205" t="s">
        <v>1959</v>
      </c>
      <c r="N205" t="s">
        <v>59</v>
      </c>
      <c r="O205" t="s">
        <v>143</v>
      </c>
      <c r="P205" t="s">
        <v>144</v>
      </c>
      <c r="Q205">
        <v>1</v>
      </c>
      <c r="R205" t="s">
        <v>2282</v>
      </c>
      <c r="S205" t="s">
        <v>1953</v>
      </c>
      <c r="T205" s="52"/>
    </row>
    <row r="206" spans="1:20" x14ac:dyDescent="0.3">
      <c r="A206" t="s">
        <v>53</v>
      </c>
      <c r="B206" s="48">
        <v>46023</v>
      </c>
      <c r="C206" s="26"/>
      <c r="I206" t="s">
        <v>2496</v>
      </c>
      <c r="J206" t="s">
        <v>2497</v>
      </c>
      <c r="K206" t="s">
        <v>59</v>
      </c>
      <c r="L206" t="s">
        <v>1950</v>
      </c>
      <c r="M206" t="s">
        <v>1959</v>
      </c>
      <c r="N206" t="s">
        <v>59</v>
      </c>
      <c r="O206" t="s">
        <v>143</v>
      </c>
      <c r="P206" t="s">
        <v>144</v>
      </c>
      <c r="Q206">
        <v>2</v>
      </c>
      <c r="R206" t="s">
        <v>2282</v>
      </c>
      <c r="S206" t="s">
        <v>1953</v>
      </c>
      <c r="T206" s="52"/>
    </row>
    <row r="207" spans="1:20" x14ac:dyDescent="0.3">
      <c r="A207" t="s">
        <v>53</v>
      </c>
      <c r="B207" s="48">
        <v>46023</v>
      </c>
      <c r="C207" s="26"/>
      <c r="I207" t="s">
        <v>2498</v>
      </c>
      <c r="J207" t="s">
        <v>2499</v>
      </c>
      <c r="K207" t="s">
        <v>59</v>
      </c>
      <c r="L207" t="s">
        <v>1950</v>
      </c>
      <c r="M207" t="s">
        <v>1959</v>
      </c>
      <c r="N207" t="s">
        <v>59</v>
      </c>
      <c r="O207" t="s">
        <v>143</v>
      </c>
      <c r="P207" t="s">
        <v>144</v>
      </c>
      <c r="Q207">
        <v>3</v>
      </c>
      <c r="R207" t="s">
        <v>2282</v>
      </c>
      <c r="S207" t="s">
        <v>1953</v>
      </c>
      <c r="T207" s="52"/>
    </row>
    <row r="208" spans="1:20" x14ac:dyDescent="0.3">
      <c r="A208" t="s">
        <v>53</v>
      </c>
      <c r="B208" s="48">
        <v>46023</v>
      </c>
      <c r="C208" s="26"/>
      <c r="I208" t="s">
        <v>2500</v>
      </c>
      <c r="J208" t="s">
        <v>2501</v>
      </c>
      <c r="K208" t="s">
        <v>59</v>
      </c>
      <c r="L208" t="s">
        <v>1950</v>
      </c>
      <c r="M208" t="s">
        <v>1959</v>
      </c>
      <c r="N208" t="s">
        <v>59</v>
      </c>
      <c r="O208" t="s">
        <v>143</v>
      </c>
      <c r="P208" t="s">
        <v>144</v>
      </c>
      <c r="Q208">
        <v>2</v>
      </c>
      <c r="R208" t="s">
        <v>2282</v>
      </c>
      <c r="S208" t="s">
        <v>1953</v>
      </c>
      <c r="T208" s="52"/>
    </row>
    <row r="209" spans="1:20" x14ac:dyDescent="0.3">
      <c r="A209" t="s">
        <v>53</v>
      </c>
      <c r="B209" s="48">
        <v>46023</v>
      </c>
      <c r="C209" s="26"/>
      <c r="I209" t="s">
        <v>2502</v>
      </c>
      <c r="J209" t="s">
        <v>2503</v>
      </c>
      <c r="K209" t="s">
        <v>59</v>
      </c>
      <c r="L209" t="s">
        <v>1950</v>
      </c>
      <c r="M209" t="s">
        <v>1959</v>
      </c>
      <c r="N209" t="s">
        <v>59</v>
      </c>
      <c r="O209" t="s">
        <v>143</v>
      </c>
      <c r="P209" t="s">
        <v>144</v>
      </c>
      <c r="Q209">
        <v>1</v>
      </c>
      <c r="R209" t="s">
        <v>2282</v>
      </c>
      <c r="S209" t="s">
        <v>1953</v>
      </c>
      <c r="T209" s="52"/>
    </row>
    <row r="210" spans="1:20" x14ac:dyDescent="0.3">
      <c r="A210" t="s">
        <v>53</v>
      </c>
      <c r="B210" s="48">
        <v>46023</v>
      </c>
      <c r="C210" s="26"/>
      <c r="I210" t="s">
        <v>2504</v>
      </c>
      <c r="J210" t="s">
        <v>2505</v>
      </c>
      <c r="K210" t="s">
        <v>59</v>
      </c>
      <c r="L210" t="s">
        <v>1950</v>
      </c>
      <c r="M210" t="s">
        <v>1959</v>
      </c>
      <c r="N210" t="s">
        <v>59</v>
      </c>
      <c r="O210" t="s">
        <v>143</v>
      </c>
      <c r="P210" t="s">
        <v>144</v>
      </c>
      <c r="Q210">
        <v>4</v>
      </c>
      <c r="R210" t="s">
        <v>2282</v>
      </c>
      <c r="S210" t="s">
        <v>1953</v>
      </c>
      <c r="T210" s="52"/>
    </row>
    <row r="211" spans="1:20" x14ac:dyDescent="0.3">
      <c r="A211" t="s">
        <v>53</v>
      </c>
      <c r="B211" s="48">
        <v>46023</v>
      </c>
      <c r="C211" s="26"/>
      <c r="I211" t="s">
        <v>2506</v>
      </c>
      <c r="J211" t="s">
        <v>2507</v>
      </c>
      <c r="K211" t="s">
        <v>59</v>
      </c>
      <c r="L211" t="s">
        <v>1950</v>
      </c>
      <c r="M211" t="s">
        <v>1959</v>
      </c>
      <c r="N211" t="s">
        <v>59</v>
      </c>
      <c r="O211" t="s">
        <v>143</v>
      </c>
      <c r="P211" t="s">
        <v>144</v>
      </c>
      <c r="Q211">
        <v>1</v>
      </c>
      <c r="R211" t="s">
        <v>2282</v>
      </c>
      <c r="S211" t="s">
        <v>1953</v>
      </c>
      <c r="T211" s="52"/>
    </row>
    <row r="212" spans="1:20" x14ac:dyDescent="0.3">
      <c r="A212" t="s">
        <v>53</v>
      </c>
      <c r="B212" s="48">
        <v>46023</v>
      </c>
      <c r="C212" s="26"/>
      <c r="I212" t="s">
        <v>2508</v>
      </c>
      <c r="J212" t="s">
        <v>2509</v>
      </c>
      <c r="K212" t="s">
        <v>59</v>
      </c>
      <c r="L212" t="s">
        <v>1950</v>
      </c>
      <c r="M212" t="s">
        <v>1975</v>
      </c>
      <c r="N212" t="s">
        <v>59</v>
      </c>
      <c r="O212" t="s">
        <v>143</v>
      </c>
      <c r="P212" t="s">
        <v>144</v>
      </c>
      <c r="Q212">
        <v>5</v>
      </c>
      <c r="R212" t="s">
        <v>2282</v>
      </c>
      <c r="S212" t="s">
        <v>1953</v>
      </c>
      <c r="T212" s="52"/>
    </row>
    <row r="213" spans="1:20" x14ac:dyDescent="0.3">
      <c r="A213" t="s">
        <v>53</v>
      </c>
      <c r="B213" s="48">
        <v>46023</v>
      </c>
      <c r="C213" s="26"/>
      <c r="I213" t="s">
        <v>2510</v>
      </c>
      <c r="J213" t="s">
        <v>2511</v>
      </c>
      <c r="K213" t="s">
        <v>59</v>
      </c>
      <c r="L213" t="s">
        <v>1950</v>
      </c>
      <c r="M213" t="s">
        <v>1975</v>
      </c>
      <c r="N213" t="s">
        <v>59</v>
      </c>
      <c r="O213" t="s">
        <v>143</v>
      </c>
      <c r="P213" t="s">
        <v>144</v>
      </c>
      <c r="Q213">
        <v>5</v>
      </c>
      <c r="R213" t="s">
        <v>2282</v>
      </c>
      <c r="S213" t="s">
        <v>1953</v>
      </c>
      <c r="T213" s="52"/>
    </row>
    <row r="214" spans="1:20" x14ac:dyDescent="0.3">
      <c r="A214" t="s">
        <v>53</v>
      </c>
      <c r="B214" s="48">
        <v>46023</v>
      </c>
      <c r="C214" s="26"/>
      <c r="I214" t="s">
        <v>2512</v>
      </c>
      <c r="J214" t="s">
        <v>2513</v>
      </c>
      <c r="K214" t="s">
        <v>59</v>
      </c>
      <c r="L214" t="s">
        <v>1950</v>
      </c>
      <c r="M214" t="s">
        <v>1975</v>
      </c>
      <c r="N214" t="s">
        <v>59</v>
      </c>
      <c r="O214" t="s">
        <v>143</v>
      </c>
      <c r="P214" t="s">
        <v>144</v>
      </c>
      <c r="Q214">
        <v>2</v>
      </c>
      <c r="R214" t="s">
        <v>2282</v>
      </c>
      <c r="S214" t="s">
        <v>1953</v>
      </c>
      <c r="T214" s="52"/>
    </row>
    <row r="215" spans="1:20" x14ac:dyDescent="0.3">
      <c r="A215" t="s">
        <v>53</v>
      </c>
      <c r="B215" s="48">
        <v>46023</v>
      </c>
      <c r="C215" s="26"/>
      <c r="I215" t="s">
        <v>2514</v>
      </c>
      <c r="J215" t="s">
        <v>2515</v>
      </c>
      <c r="K215" t="s">
        <v>2516</v>
      </c>
      <c r="L215" t="s">
        <v>1950</v>
      </c>
      <c r="M215" t="s">
        <v>1959</v>
      </c>
      <c r="N215" t="s">
        <v>2517</v>
      </c>
      <c r="O215" t="s">
        <v>143</v>
      </c>
      <c r="P215" t="s">
        <v>144</v>
      </c>
      <c r="Q215">
        <v>1</v>
      </c>
      <c r="R215" t="s">
        <v>2518</v>
      </c>
      <c r="S215" t="s">
        <v>1953</v>
      </c>
      <c r="T215" s="52"/>
    </row>
    <row r="216" spans="1:20" x14ac:dyDescent="0.3">
      <c r="A216" t="s">
        <v>53</v>
      </c>
      <c r="B216" s="48">
        <v>46023</v>
      </c>
      <c r="C216" s="26"/>
      <c r="I216" t="s">
        <v>2519</v>
      </c>
      <c r="J216" t="s">
        <v>2520</v>
      </c>
      <c r="K216" t="s">
        <v>2521</v>
      </c>
      <c r="L216" t="s">
        <v>1950</v>
      </c>
      <c r="M216" t="s">
        <v>2522</v>
      </c>
      <c r="N216" t="s">
        <v>2523</v>
      </c>
      <c r="O216" t="s">
        <v>116</v>
      </c>
      <c r="P216" t="s">
        <v>144</v>
      </c>
      <c r="Q216">
        <v>1</v>
      </c>
      <c r="R216" t="s">
        <v>2518</v>
      </c>
      <c r="S216" t="s">
        <v>1953</v>
      </c>
      <c r="T216" s="52"/>
    </row>
    <row r="217" spans="1:20" x14ac:dyDescent="0.3">
      <c r="A217" t="s">
        <v>53</v>
      </c>
      <c r="B217" s="48">
        <v>46023</v>
      </c>
      <c r="C217" s="26"/>
      <c r="I217" t="s">
        <v>2524</v>
      </c>
      <c r="J217" t="s">
        <v>2525</v>
      </c>
      <c r="K217" t="s">
        <v>59</v>
      </c>
      <c r="L217" t="s">
        <v>1950</v>
      </c>
      <c r="M217" t="s">
        <v>1959</v>
      </c>
      <c r="N217" t="s">
        <v>59</v>
      </c>
      <c r="O217" t="s">
        <v>468</v>
      </c>
      <c r="P217" t="s">
        <v>144</v>
      </c>
      <c r="Q217">
        <v>4</v>
      </c>
      <c r="R217" t="s">
        <v>2526</v>
      </c>
      <c r="S217" t="s">
        <v>1953</v>
      </c>
      <c r="T217" s="52"/>
    </row>
    <row r="218" spans="1:20" x14ac:dyDescent="0.3">
      <c r="A218" t="s">
        <v>53</v>
      </c>
      <c r="B218" s="48">
        <v>46023</v>
      </c>
      <c r="C218" s="26"/>
      <c r="I218" t="s">
        <v>2527</v>
      </c>
      <c r="J218" t="s">
        <v>2525</v>
      </c>
      <c r="K218" t="s">
        <v>2528</v>
      </c>
      <c r="L218" t="s">
        <v>1950</v>
      </c>
      <c r="M218" t="s">
        <v>1959</v>
      </c>
      <c r="N218">
        <v>34696</v>
      </c>
      <c r="O218" t="s">
        <v>116</v>
      </c>
      <c r="P218" t="s">
        <v>144</v>
      </c>
      <c r="Q218">
        <v>1</v>
      </c>
      <c r="R218" t="s">
        <v>2526</v>
      </c>
      <c r="S218" t="s">
        <v>1953</v>
      </c>
      <c r="T218" s="52"/>
    </row>
    <row r="219" spans="1:20" x14ac:dyDescent="0.3">
      <c r="A219" t="s">
        <v>53</v>
      </c>
      <c r="B219" s="48">
        <v>46023</v>
      </c>
      <c r="C219" s="26"/>
      <c r="I219" t="s">
        <v>2529</v>
      </c>
      <c r="J219" t="s">
        <v>2525</v>
      </c>
      <c r="K219" t="s">
        <v>1949</v>
      </c>
      <c r="L219" t="s">
        <v>1950</v>
      </c>
      <c r="M219" t="s">
        <v>1959</v>
      </c>
      <c r="N219" t="s">
        <v>2530</v>
      </c>
      <c r="O219" t="s">
        <v>116</v>
      </c>
      <c r="P219" t="s">
        <v>144</v>
      </c>
      <c r="Q219">
        <v>1</v>
      </c>
      <c r="R219" t="s">
        <v>2526</v>
      </c>
      <c r="S219" t="s">
        <v>1953</v>
      </c>
      <c r="T219" s="52"/>
    </row>
    <row r="220" spans="1:20" x14ac:dyDescent="0.3">
      <c r="A220" t="s">
        <v>53</v>
      </c>
      <c r="B220" s="48">
        <v>46023</v>
      </c>
      <c r="C220" s="26"/>
      <c r="I220" t="s">
        <v>2531</v>
      </c>
      <c r="J220" t="s">
        <v>2532</v>
      </c>
      <c r="K220" t="s">
        <v>2533</v>
      </c>
      <c r="L220" t="s">
        <v>1950</v>
      </c>
      <c r="M220" t="s">
        <v>1959</v>
      </c>
      <c r="N220" t="s">
        <v>2534</v>
      </c>
      <c r="O220" t="s">
        <v>116</v>
      </c>
      <c r="P220" t="s">
        <v>144</v>
      </c>
      <c r="Q220">
        <v>1</v>
      </c>
      <c r="R220" t="s">
        <v>2535</v>
      </c>
      <c r="S220" t="s">
        <v>1953</v>
      </c>
      <c r="T220" s="52"/>
    </row>
    <row r="221" spans="1:20" x14ac:dyDescent="0.3">
      <c r="A221" t="s">
        <v>53</v>
      </c>
      <c r="B221" s="48">
        <v>46023</v>
      </c>
      <c r="C221" s="26"/>
      <c r="I221" t="s">
        <v>2536</v>
      </c>
      <c r="J221" t="s">
        <v>2537</v>
      </c>
      <c r="K221" t="s">
        <v>2533</v>
      </c>
      <c r="L221" t="s">
        <v>1950</v>
      </c>
      <c r="M221" t="s">
        <v>1959</v>
      </c>
      <c r="N221" t="s">
        <v>2538</v>
      </c>
      <c r="O221" t="s">
        <v>116</v>
      </c>
      <c r="P221" t="s">
        <v>144</v>
      </c>
      <c r="Q221">
        <v>1</v>
      </c>
      <c r="R221" t="s">
        <v>2535</v>
      </c>
      <c r="S221" t="s">
        <v>1953</v>
      </c>
      <c r="T221" s="52"/>
    </row>
    <row r="222" spans="1:20" x14ac:dyDescent="0.3">
      <c r="A222" t="s">
        <v>53</v>
      </c>
      <c r="B222" s="48">
        <v>46023</v>
      </c>
      <c r="C222" s="26"/>
      <c r="I222" t="s">
        <v>2539</v>
      </c>
      <c r="J222" t="s">
        <v>2537</v>
      </c>
      <c r="K222" t="s">
        <v>2533</v>
      </c>
      <c r="L222" t="s">
        <v>1950</v>
      </c>
      <c r="M222" t="s">
        <v>1959</v>
      </c>
      <c r="N222" t="s">
        <v>2540</v>
      </c>
      <c r="O222" t="s">
        <v>116</v>
      </c>
      <c r="P222" t="s">
        <v>144</v>
      </c>
      <c r="Q222">
        <v>1</v>
      </c>
      <c r="R222" t="s">
        <v>2535</v>
      </c>
      <c r="S222" t="s">
        <v>1953</v>
      </c>
      <c r="T222" s="52"/>
    </row>
    <row r="223" spans="1:20" x14ac:dyDescent="0.3">
      <c r="A223" t="s">
        <v>53</v>
      </c>
      <c r="B223" s="48">
        <v>46023</v>
      </c>
      <c r="C223" s="26"/>
      <c r="I223" t="s">
        <v>2541</v>
      </c>
      <c r="J223" t="s">
        <v>2542</v>
      </c>
      <c r="K223" t="s">
        <v>2543</v>
      </c>
      <c r="L223" t="s">
        <v>1950</v>
      </c>
      <c r="M223" t="s">
        <v>1959</v>
      </c>
      <c r="N223" t="s">
        <v>2544</v>
      </c>
      <c r="O223" t="s">
        <v>468</v>
      </c>
      <c r="P223" t="s">
        <v>144</v>
      </c>
      <c r="Q223">
        <v>1</v>
      </c>
      <c r="R223" t="s">
        <v>2535</v>
      </c>
      <c r="S223" t="s">
        <v>1953</v>
      </c>
      <c r="T223" s="52"/>
    </row>
    <row r="224" spans="1:20" x14ac:dyDescent="0.3">
      <c r="A224" t="s">
        <v>53</v>
      </c>
      <c r="B224" s="48">
        <v>46023</v>
      </c>
      <c r="C224" s="26"/>
      <c r="I224" t="s">
        <v>2545</v>
      </c>
      <c r="J224" t="s">
        <v>2546</v>
      </c>
      <c r="K224" t="s">
        <v>2547</v>
      </c>
      <c r="L224" t="s">
        <v>1950</v>
      </c>
      <c r="M224" t="s">
        <v>2487</v>
      </c>
      <c r="N224">
        <v>65806352201</v>
      </c>
      <c r="O224" t="s">
        <v>116</v>
      </c>
      <c r="P224" t="s">
        <v>144</v>
      </c>
      <c r="Q224">
        <v>1</v>
      </c>
      <c r="R224" t="s">
        <v>2548</v>
      </c>
      <c r="S224" t="s">
        <v>1953</v>
      </c>
      <c r="T224" s="52"/>
    </row>
    <row r="225" spans="1:20" x14ac:dyDescent="0.3">
      <c r="A225" t="s">
        <v>53</v>
      </c>
      <c r="B225" s="48">
        <v>46023</v>
      </c>
      <c r="C225" s="26"/>
      <c r="I225" t="s">
        <v>2549</v>
      </c>
      <c r="J225" t="s">
        <v>2550</v>
      </c>
      <c r="K225" t="s">
        <v>2551</v>
      </c>
      <c r="L225" t="s">
        <v>1950</v>
      </c>
      <c r="M225" t="s">
        <v>2487</v>
      </c>
      <c r="N225">
        <v>20104400747</v>
      </c>
      <c r="O225" t="s">
        <v>116</v>
      </c>
      <c r="P225" t="s">
        <v>144</v>
      </c>
      <c r="Q225">
        <v>1</v>
      </c>
      <c r="R225" t="s">
        <v>2548</v>
      </c>
      <c r="S225" t="s">
        <v>1953</v>
      </c>
      <c r="T225" s="52"/>
    </row>
    <row r="226" spans="1:20" x14ac:dyDescent="0.3">
      <c r="A226" t="s">
        <v>53</v>
      </c>
      <c r="B226" s="48">
        <v>46023</v>
      </c>
      <c r="C226" s="26"/>
      <c r="I226" t="s">
        <v>2552</v>
      </c>
      <c r="J226" t="s">
        <v>2553</v>
      </c>
      <c r="K226" t="s">
        <v>2554</v>
      </c>
      <c r="L226" t="s">
        <v>1950</v>
      </c>
      <c r="M226" t="s">
        <v>2487</v>
      </c>
      <c r="N226" t="s">
        <v>2555</v>
      </c>
      <c r="O226" t="s">
        <v>116</v>
      </c>
      <c r="P226" t="s">
        <v>144</v>
      </c>
      <c r="Q226">
        <v>1</v>
      </c>
      <c r="R226" t="s">
        <v>2548</v>
      </c>
      <c r="S226" t="s">
        <v>1953</v>
      </c>
      <c r="T226" s="52"/>
    </row>
    <row r="227" spans="1:20" x14ac:dyDescent="0.3">
      <c r="A227" t="s">
        <v>53</v>
      </c>
      <c r="B227" s="48">
        <v>46023</v>
      </c>
      <c r="C227" s="26"/>
      <c r="I227" t="s">
        <v>2556</v>
      </c>
      <c r="J227" t="s">
        <v>2546</v>
      </c>
      <c r="K227" t="s">
        <v>2547</v>
      </c>
      <c r="L227" t="s">
        <v>1950</v>
      </c>
      <c r="M227" t="s">
        <v>2487</v>
      </c>
      <c r="N227">
        <v>65805921445</v>
      </c>
      <c r="O227" t="s">
        <v>116</v>
      </c>
      <c r="P227" t="s">
        <v>144</v>
      </c>
      <c r="Q227">
        <v>1</v>
      </c>
      <c r="R227" t="s">
        <v>2548</v>
      </c>
      <c r="S227" t="s">
        <v>1953</v>
      </c>
      <c r="T227" s="52"/>
    </row>
    <row r="228" spans="1:20" x14ac:dyDescent="0.3">
      <c r="A228" t="s">
        <v>53</v>
      </c>
      <c r="B228" s="48">
        <v>46023</v>
      </c>
      <c r="C228" s="26"/>
      <c r="I228" t="s">
        <v>2557</v>
      </c>
      <c r="J228" t="s">
        <v>2546</v>
      </c>
      <c r="K228" t="s">
        <v>2547</v>
      </c>
      <c r="L228" t="s">
        <v>1950</v>
      </c>
      <c r="M228" t="s">
        <v>2487</v>
      </c>
      <c r="N228">
        <v>65806352429</v>
      </c>
      <c r="O228" t="s">
        <v>116</v>
      </c>
      <c r="P228" t="s">
        <v>144</v>
      </c>
      <c r="Q228">
        <v>1</v>
      </c>
      <c r="R228" t="s">
        <v>2548</v>
      </c>
      <c r="S228" t="s">
        <v>1953</v>
      </c>
      <c r="T228" s="52"/>
    </row>
    <row r="229" spans="1:20" x14ac:dyDescent="0.3">
      <c r="A229" t="s">
        <v>53</v>
      </c>
      <c r="B229" s="48">
        <v>46023</v>
      </c>
      <c r="C229" s="26"/>
      <c r="I229" t="s">
        <v>2558</v>
      </c>
      <c r="J229" t="s">
        <v>2559</v>
      </c>
      <c r="K229" t="s">
        <v>2560</v>
      </c>
      <c r="L229" t="s">
        <v>1950</v>
      </c>
      <c r="M229" t="s">
        <v>2487</v>
      </c>
      <c r="N229" t="s">
        <v>2561</v>
      </c>
      <c r="O229" t="s">
        <v>116</v>
      </c>
      <c r="P229" t="s">
        <v>144</v>
      </c>
      <c r="Q229">
        <v>1</v>
      </c>
      <c r="R229" t="s">
        <v>2548</v>
      </c>
      <c r="S229" t="s">
        <v>1953</v>
      </c>
      <c r="T229" s="52"/>
    </row>
    <row r="230" spans="1:20" x14ac:dyDescent="0.3">
      <c r="A230" t="s">
        <v>53</v>
      </c>
      <c r="B230" s="48">
        <v>46023</v>
      </c>
      <c r="C230" s="26"/>
      <c r="I230" t="s">
        <v>2562</v>
      </c>
      <c r="J230" t="s">
        <v>2563</v>
      </c>
      <c r="K230" t="s">
        <v>1326</v>
      </c>
      <c r="L230" t="s">
        <v>1950</v>
      </c>
      <c r="M230" t="s">
        <v>1975</v>
      </c>
      <c r="N230" t="s">
        <v>59</v>
      </c>
      <c r="O230" t="s">
        <v>143</v>
      </c>
      <c r="P230" t="s">
        <v>144</v>
      </c>
      <c r="Q230">
        <v>24</v>
      </c>
      <c r="R230" t="s">
        <v>2564</v>
      </c>
      <c r="S230" t="s">
        <v>1953</v>
      </c>
      <c r="T230" s="52"/>
    </row>
    <row r="231" spans="1:20" x14ac:dyDescent="0.3">
      <c r="A231" t="s">
        <v>53</v>
      </c>
      <c r="B231" s="48">
        <v>46023</v>
      </c>
      <c r="C231" s="26"/>
      <c r="I231" t="s">
        <v>2565</v>
      </c>
      <c r="J231" t="s">
        <v>2566</v>
      </c>
      <c r="K231" t="s">
        <v>1326</v>
      </c>
      <c r="L231" t="s">
        <v>1950</v>
      </c>
      <c r="M231" t="s">
        <v>1975</v>
      </c>
      <c r="N231" t="s">
        <v>59</v>
      </c>
      <c r="O231" t="s">
        <v>143</v>
      </c>
      <c r="P231" t="s">
        <v>144</v>
      </c>
      <c r="Q231">
        <v>7</v>
      </c>
      <c r="R231" t="s">
        <v>2564</v>
      </c>
      <c r="S231" t="s">
        <v>1953</v>
      </c>
      <c r="T231" s="52"/>
    </row>
    <row r="232" spans="1:20" x14ac:dyDescent="0.3">
      <c r="A232" t="s">
        <v>53</v>
      </c>
      <c r="B232" s="48">
        <v>46023</v>
      </c>
      <c r="C232" s="26"/>
      <c r="I232" t="s">
        <v>2567</v>
      </c>
      <c r="J232" t="s">
        <v>2568</v>
      </c>
      <c r="K232" t="s">
        <v>1326</v>
      </c>
      <c r="L232" t="s">
        <v>1950</v>
      </c>
      <c r="M232" t="s">
        <v>1975</v>
      </c>
      <c r="N232" t="s">
        <v>59</v>
      </c>
      <c r="O232" t="s">
        <v>143</v>
      </c>
      <c r="P232" t="s">
        <v>144</v>
      </c>
      <c r="Q232">
        <v>6</v>
      </c>
      <c r="R232" t="s">
        <v>2564</v>
      </c>
      <c r="S232" t="s">
        <v>1953</v>
      </c>
      <c r="T232" s="52"/>
    </row>
    <row r="233" spans="1:20" x14ac:dyDescent="0.3">
      <c r="A233" t="s">
        <v>53</v>
      </c>
      <c r="B233" s="48">
        <v>46023</v>
      </c>
      <c r="C233" s="26"/>
      <c r="I233" t="s">
        <v>2569</v>
      </c>
      <c r="J233" t="s">
        <v>2570</v>
      </c>
      <c r="K233" t="s">
        <v>1326</v>
      </c>
      <c r="L233" t="s">
        <v>1950</v>
      </c>
      <c r="M233" t="s">
        <v>1975</v>
      </c>
      <c r="N233" t="s">
        <v>59</v>
      </c>
      <c r="O233" t="s">
        <v>143</v>
      </c>
      <c r="P233" t="s">
        <v>144</v>
      </c>
      <c r="Q233">
        <v>5</v>
      </c>
      <c r="R233" t="s">
        <v>2571</v>
      </c>
      <c r="S233" t="s">
        <v>1953</v>
      </c>
      <c r="T233" s="52"/>
    </row>
    <row r="234" spans="1:20" x14ac:dyDescent="0.3">
      <c r="A234" t="s">
        <v>53</v>
      </c>
      <c r="B234" s="48">
        <v>46023</v>
      </c>
      <c r="C234" s="26"/>
      <c r="I234" t="s">
        <v>2572</v>
      </c>
      <c r="J234" t="s">
        <v>2573</v>
      </c>
      <c r="K234" t="s">
        <v>1326</v>
      </c>
      <c r="L234" t="s">
        <v>1950</v>
      </c>
      <c r="M234" t="s">
        <v>1975</v>
      </c>
      <c r="N234" t="s">
        <v>59</v>
      </c>
      <c r="O234" t="s">
        <v>143</v>
      </c>
      <c r="P234" t="s">
        <v>144</v>
      </c>
      <c r="Q234">
        <v>6</v>
      </c>
      <c r="R234" t="s">
        <v>2571</v>
      </c>
      <c r="S234" t="s">
        <v>1953</v>
      </c>
      <c r="T234" s="52"/>
    </row>
    <row r="235" spans="1:20" x14ac:dyDescent="0.3">
      <c r="A235" t="s">
        <v>53</v>
      </c>
      <c r="B235" s="48">
        <v>46023</v>
      </c>
      <c r="C235" s="26"/>
      <c r="I235" t="s">
        <v>2574</v>
      </c>
      <c r="J235" t="s">
        <v>2575</v>
      </c>
      <c r="K235" t="s">
        <v>1326</v>
      </c>
      <c r="L235" t="s">
        <v>1950</v>
      </c>
      <c r="M235" t="s">
        <v>1975</v>
      </c>
      <c r="N235" t="s">
        <v>59</v>
      </c>
      <c r="O235" t="s">
        <v>143</v>
      </c>
      <c r="P235" t="s">
        <v>144</v>
      </c>
      <c r="Q235">
        <v>6</v>
      </c>
      <c r="R235" t="s">
        <v>2571</v>
      </c>
      <c r="S235" t="s">
        <v>1953</v>
      </c>
      <c r="T235" s="52"/>
    </row>
    <row r="236" spans="1:20" x14ac:dyDescent="0.3">
      <c r="A236" t="s">
        <v>53</v>
      </c>
      <c r="B236" s="48">
        <v>46023</v>
      </c>
      <c r="C236" s="26"/>
      <c r="I236" t="s">
        <v>2576</v>
      </c>
      <c r="J236" t="s">
        <v>2577</v>
      </c>
      <c r="K236" t="s">
        <v>1326</v>
      </c>
      <c r="L236" t="s">
        <v>1950</v>
      </c>
      <c r="M236" t="s">
        <v>1975</v>
      </c>
      <c r="N236" t="s">
        <v>59</v>
      </c>
      <c r="O236" t="s">
        <v>143</v>
      </c>
      <c r="P236" t="s">
        <v>144</v>
      </c>
      <c r="Q236">
        <v>6</v>
      </c>
      <c r="R236" t="s">
        <v>2578</v>
      </c>
      <c r="S236" t="s">
        <v>1953</v>
      </c>
      <c r="T236" s="52"/>
    </row>
    <row r="237" spans="1:20" x14ac:dyDescent="0.3">
      <c r="A237" t="s">
        <v>53</v>
      </c>
      <c r="B237" s="48">
        <v>46023</v>
      </c>
      <c r="C237" s="26"/>
      <c r="I237" t="s">
        <v>2579</v>
      </c>
      <c r="J237" t="s">
        <v>2580</v>
      </c>
      <c r="K237" t="s">
        <v>2581</v>
      </c>
      <c r="L237" t="s">
        <v>1950</v>
      </c>
      <c r="M237" t="s">
        <v>2487</v>
      </c>
      <c r="N237" t="s">
        <v>59</v>
      </c>
      <c r="O237" t="s">
        <v>116</v>
      </c>
      <c r="P237" t="s">
        <v>144</v>
      </c>
      <c r="Q237">
        <v>1</v>
      </c>
      <c r="R237" t="s">
        <v>2329</v>
      </c>
      <c r="S237" t="s">
        <v>1953</v>
      </c>
      <c r="T237" s="52"/>
    </row>
    <row r="238" spans="1:20" x14ac:dyDescent="0.3">
      <c r="A238" t="s">
        <v>53</v>
      </c>
      <c r="B238" s="48">
        <v>46023</v>
      </c>
      <c r="C238" s="26"/>
      <c r="I238" t="s">
        <v>2582</v>
      </c>
      <c r="J238" t="s">
        <v>2583</v>
      </c>
      <c r="K238" t="s">
        <v>2584</v>
      </c>
      <c r="L238" t="s">
        <v>1950</v>
      </c>
      <c r="M238" t="s">
        <v>2487</v>
      </c>
      <c r="N238" t="s">
        <v>59</v>
      </c>
      <c r="O238" t="s">
        <v>116</v>
      </c>
      <c r="P238" t="s">
        <v>144</v>
      </c>
      <c r="Q238">
        <v>1</v>
      </c>
      <c r="R238" t="s">
        <v>2329</v>
      </c>
      <c r="S238" t="s">
        <v>1953</v>
      </c>
      <c r="T238" s="52"/>
    </row>
    <row r="239" spans="1:20" x14ac:dyDescent="0.3">
      <c r="A239" t="s">
        <v>53</v>
      </c>
      <c r="B239" s="48">
        <v>46023</v>
      </c>
      <c r="C239" s="26"/>
      <c r="I239" t="s">
        <v>2585</v>
      </c>
      <c r="J239" t="s">
        <v>2586</v>
      </c>
      <c r="K239" t="s">
        <v>2587</v>
      </c>
      <c r="L239" t="s">
        <v>1950</v>
      </c>
      <c r="M239" t="s">
        <v>2487</v>
      </c>
      <c r="N239" t="s">
        <v>59</v>
      </c>
      <c r="O239" t="s">
        <v>116</v>
      </c>
      <c r="P239" t="s">
        <v>144</v>
      </c>
      <c r="Q239">
        <v>1</v>
      </c>
      <c r="R239" t="s">
        <v>2329</v>
      </c>
      <c r="S239" t="s">
        <v>1953</v>
      </c>
      <c r="T239" s="52"/>
    </row>
    <row r="240" spans="1:20" x14ac:dyDescent="0.3">
      <c r="A240" t="s">
        <v>53</v>
      </c>
      <c r="B240" s="48">
        <v>46023</v>
      </c>
      <c r="C240" s="26"/>
      <c r="I240" t="s">
        <v>2588</v>
      </c>
      <c r="J240" t="s">
        <v>2589</v>
      </c>
      <c r="K240" t="s">
        <v>59</v>
      </c>
      <c r="L240" t="s">
        <v>1950</v>
      </c>
      <c r="M240" t="s">
        <v>2487</v>
      </c>
      <c r="N240" t="s">
        <v>59</v>
      </c>
      <c r="O240" t="s">
        <v>143</v>
      </c>
      <c r="P240" t="s">
        <v>144</v>
      </c>
      <c r="Q240">
        <v>1</v>
      </c>
      <c r="R240" t="s">
        <v>2329</v>
      </c>
      <c r="S240" t="s">
        <v>1953</v>
      </c>
      <c r="T240" s="52"/>
    </row>
    <row r="241" spans="1:20" x14ac:dyDescent="0.3">
      <c r="A241" t="s">
        <v>53</v>
      </c>
      <c r="B241" s="48">
        <v>46023</v>
      </c>
      <c r="C241" s="26"/>
      <c r="I241" t="s">
        <v>2590</v>
      </c>
      <c r="J241" t="s">
        <v>2591</v>
      </c>
      <c r="K241" t="s">
        <v>2592</v>
      </c>
      <c r="L241" t="s">
        <v>1950</v>
      </c>
      <c r="M241" t="s">
        <v>1975</v>
      </c>
      <c r="N241" t="s">
        <v>2593</v>
      </c>
      <c r="O241" t="s">
        <v>116</v>
      </c>
      <c r="P241" t="s">
        <v>144</v>
      </c>
      <c r="Q241">
        <v>1</v>
      </c>
      <c r="R241" t="s">
        <v>2368</v>
      </c>
      <c r="S241" t="s">
        <v>1953</v>
      </c>
      <c r="T241" s="52"/>
    </row>
    <row r="242" spans="1:20" x14ac:dyDescent="0.3">
      <c r="A242" t="s">
        <v>53</v>
      </c>
      <c r="B242" s="48">
        <v>46023</v>
      </c>
      <c r="C242" s="26"/>
      <c r="I242" t="s">
        <v>2594</v>
      </c>
      <c r="J242" t="s">
        <v>2595</v>
      </c>
      <c r="K242" t="s">
        <v>2596</v>
      </c>
      <c r="L242" t="s">
        <v>1950</v>
      </c>
      <c r="M242" t="s">
        <v>1975</v>
      </c>
      <c r="N242" t="s">
        <v>59</v>
      </c>
      <c r="O242" t="s">
        <v>116</v>
      </c>
      <c r="P242" t="s">
        <v>144</v>
      </c>
      <c r="Q242">
        <v>1</v>
      </c>
      <c r="R242" t="s">
        <v>2368</v>
      </c>
      <c r="S242" t="s">
        <v>1953</v>
      </c>
      <c r="T242" s="52"/>
    </row>
    <row r="243" spans="1:20" x14ac:dyDescent="0.3">
      <c r="A243" t="s">
        <v>53</v>
      </c>
      <c r="B243" s="48">
        <v>46023</v>
      </c>
      <c r="C243" s="26"/>
      <c r="I243" t="s">
        <v>2597</v>
      </c>
      <c r="J243" t="s">
        <v>2598</v>
      </c>
      <c r="K243" t="s">
        <v>59</v>
      </c>
      <c r="L243" t="s">
        <v>1950</v>
      </c>
      <c r="M243" t="s">
        <v>2487</v>
      </c>
      <c r="N243" t="s">
        <v>59</v>
      </c>
      <c r="O243" t="s">
        <v>116</v>
      </c>
      <c r="P243" t="s">
        <v>144</v>
      </c>
      <c r="Q243">
        <v>1</v>
      </c>
      <c r="R243" t="s">
        <v>2368</v>
      </c>
      <c r="S243" t="s">
        <v>1953</v>
      </c>
      <c r="T243" s="52"/>
    </row>
    <row r="244" spans="1:20" x14ac:dyDescent="0.3">
      <c r="A244" t="s">
        <v>53</v>
      </c>
      <c r="B244" s="48">
        <v>46023</v>
      </c>
      <c r="C244" s="26"/>
      <c r="I244" t="s">
        <v>2599</v>
      </c>
      <c r="J244" t="s">
        <v>2600</v>
      </c>
      <c r="K244" t="s">
        <v>2601</v>
      </c>
      <c r="L244" t="s">
        <v>1950</v>
      </c>
      <c r="M244" t="s">
        <v>2487</v>
      </c>
      <c r="N244" t="s">
        <v>2602</v>
      </c>
      <c r="O244" t="s">
        <v>116</v>
      </c>
      <c r="P244" t="s">
        <v>144</v>
      </c>
      <c r="Q244">
        <v>1</v>
      </c>
      <c r="R244" t="s">
        <v>2368</v>
      </c>
      <c r="S244" t="s">
        <v>1953</v>
      </c>
      <c r="T244" s="52"/>
    </row>
    <row r="245" spans="1:20" x14ac:dyDescent="0.3">
      <c r="A245" t="s">
        <v>53</v>
      </c>
      <c r="B245" s="48">
        <v>46023</v>
      </c>
      <c r="C245" s="26"/>
      <c r="I245" t="s">
        <v>2603</v>
      </c>
      <c r="J245" t="s">
        <v>2604</v>
      </c>
      <c r="K245" t="s">
        <v>2605</v>
      </c>
      <c r="L245" t="s">
        <v>1950</v>
      </c>
      <c r="M245" t="s">
        <v>2606</v>
      </c>
      <c r="N245" t="s">
        <v>59</v>
      </c>
      <c r="O245" t="s">
        <v>143</v>
      </c>
      <c r="P245" t="s">
        <v>144</v>
      </c>
      <c r="Q245">
        <v>8</v>
      </c>
      <c r="R245" t="s">
        <v>2368</v>
      </c>
      <c r="S245" t="s">
        <v>1953</v>
      </c>
      <c r="T245" s="52"/>
    </row>
    <row r="246" spans="1:20" x14ac:dyDescent="0.3">
      <c r="A246" t="s">
        <v>53</v>
      </c>
      <c r="B246" s="48">
        <v>46023</v>
      </c>
      <c r="C246" s="26"/>
      <c r="I246" t="s">
        <v>2607</v>
      </c>
      <c r="J246" t="s">
        <v>2608</v>
      </c>
      <c r="K246" t="s">
        <v>1949</v>
      </c>
      <c r="L246" t="s">
        <v>1950</v>
      </c>
      <c r="M246" t="s">
        <v>1959</v>
      </c>
      <c r="N246" t="s">
        <v>2609</v>
      </c>
      <c r="O246" t="s">
        <v>2610</v>
      </c>
      <c r="P246" t="s">
        <v>144</v>
      </c>
      <c r="Q246">
        <v>1</v>
      </c>
      <c r="R246" t="s">
        <v>2368</v>
      </c>
      <c r="S246" t="s">
        <v>1953</v>
      </c>
      <c r="T246" s="52"/>
    </row>
    <row r="247" spans="1:20" x14ac:dyDescent="0.3">
      <c r="A247" t="s">
        <v>53</v>
      </c>
      <c r="B247" s="48">
        <v>46023</v>
      </c>
      <c r="C247" s="26"/>
      <c r="I247" t="s">
        <v>2611</v>
      </c>
      <c r="J247" t="s">
        <v>2612</v>
      </c>
      <c r="K247" t="s">
        <v>1949</v>
      </c>
      <c r="L247" t="s">
        <v>1950</v>
      </c>
      <c r="M247" t="s">
        <v>1959</v>
      </c>
      <c r="N247" t="s">
        <v>2613</v>
      </c>
      <c r="O247" t="s">
        <v>2610</v>
      </c>
      <c r="P247" t="s">
        <v>144</v>
      </c>
      <c r="Q247">
        <v>1</v>
      </c>
      <c r="R247" t="s">
        <v>2368</v>
      </c>
      <c r="S247" t="s">
        <v>1953</v>
      </c>
      <c r="T247" s="52"/>
    </row>
    <row r="248" spans="1:20" x14ac:dyDescent="0.3">
      <c r="A248" t="s">
        <v>53</v>
      </c>
      <c r="B248" s="48">
        <v>46023</v>
      </c>
      <c r="C248" s="26"/>
      <c r="I248" t="s">
        <v>2614</v>
      </c>
      <c r="J248" t="s">
        <v>2615</v>
      </c>
      <c r="K248" t="s">
        <v>2616</v>
      </c>
      <c r="L248" t="s">
        <v>1950</v>
      </c>
      <c r="M248" t="s">
        <v>1975</v>
      </c>
      <c r="N248" t="s">
        <v>2617</v>
      </c>
      <c r="O248" t="s">
        <v>116</v>
      </c>
      <c r="P248" t="s">
        <v>144</v>
      </c>
      <c r="Q248">
        <v>1</v>
      </c>
      <c r="R248" t="s">
        <v>2368</v>
      </c>
      <c r="S248" t="s">
        <v>1953</v>
      </c>
      <c r="T248" s="52"/>
    </row>
    <row r="249" spans="1:20" x14ac:dyDescent="0.3">
      <c r="A249" t="s">
        <v>53</v>
      </c>
      <c r="B249" s="48">
        <v>46023</v>
      </c>
      <c r="C249" s="26"/>
      <c r="I249" t="s">
        <v>2618</v>
      </c>
      <c r="J249" t="s">
        <v>2619</v>
      </c>
      <c r="K249" t="s">
        <v>1326</v>
      </c>
      <c r="L249" t="s">
        <v>1950</v>
      </c>
      <c r="M249" t="s">
        <v>1975</v>
      </c>
      <c r="N249" t="s">
        <v>59</v>
      </c>
      <c r="O249" t="s">
        <v>143</v>
      </c>
      <c r="P249" t="s">
        <v>144</v>
      </c>
      <c r="Q249">
        <v>29</v>
      </c>
      <c r="R249" t="s">
        <v>2368</v>
      </c>
      <c r="S249" t="s">
        <v>1953</v>
      </c>
      <c r="T249" s="52"/>
    </row>
    <row r="250" spans="1:20" x14ac:dyDescent="0.3">
      <c r="A250" t="s">
        <v>53</v>
      </c>
      <c r="B250" s="48">
        <v>46023</v>
      </c>
      <c r="C250" s="26"/>
      <c r="I250" t="s">
        <v>2620</v>
      </c>
      <c r="J250" t="s">
        <v>2621</v>
      </c>
      <c r="K250" t="s">
        <v>1326</v>
      </c>
      <c r="L250" t="s">
        <v>1950</v>
      </c>
      <c r="M250" t="s">
        <v>1975</v>
      </c>
      <c r="N250" t="s">
        <v>59</v>
      </c>
      <c r="O250" t="s">
        <v>143</v>
      </c>
      <c r="P250" t="s">
        <v>144</v>
      </c>
      <c r="Q250">
        <v>33</v>
      </c>
      <c r="R250" t="s">
        <v>2368</v>
      </c>
      <c r="S250" t="s">
        <v>1953</v>
      </c>
      <c r="T250" s="52"/>
    </row>
    <row r="251" spans="1:20" x14ac:dyDescent="0.3">
      <c r="A251" t="s">
        <v>53</v>
      </c>
      <c r="B251" s="48">
        <v>46023</v>
      </c>
      <c r="C251" s="26"/>
      <c r="I251" t="s">
        <v>2622</v>
      </c>
      <c r="J251" t="s">
        <v>2623</v>
      </c>
      <c r="K251" t="s">
        <v>59</v>
      </c>
      <c r="L251" t="s">
        <v>1950</v>
      </c>
      <c r="M251" t="s">
        <v>2487</v>
      </c>
      <c r="N251" t="s">
        <v>59</v>
      </c>
      <c r="O251" t="s">
        <v>143</v>
      </c>
      <c r="P251" t="s">
        <v>144</v>
      </c>
      <c r="Q251">
        <v>9</v>
      </c>
      <c r="R251" t="s">
        <v>2395</v>
      </c>
      <c r="S251" t="s">
        <v>1953</v>
      </c>
      <c r="T251" s="52"/>
    </row>
    <row r="252" spans="1:20" x14ac:dyDescent="0.3">
      <c r="A252" t="s">
        <v>53</v>
      </c>
      <c r="B252" s="48">
        <v>46023</v>
      </c>
      <c r="C252" s="26"/>
      <c r="I252" t="s">
        <v>2624</v>
      </c>
      <c r="J252" t="s">
        <v>2625</v>
      </c>
      <c r="K252" t="s">
        <v>59</v>
      </c>
      <c r="L252" t="s">
        <v>1950</v>
      </c>
      <c r="M252" t="s">
        <v>2487</v>
      </c>
      <c r="N252" t="s">
        <v>59</v>
      </c>
      <c r="O252" t="s">
        <v>143</v>
      </c>
      <c r="P252" t="s">
        <v>144</v>
      </c>
      <c r="Q252">
        <v>4</v>
      </c>
      <c r="R252" t="s">
        <v>2395</v>
      </c>
      <c r="S252" t="s">
        <v>1953</v>
      </c>
      <c r="T252" s="52"/>
    </row>
    <row r="253" spans="1:20" x14ac:dyDescent="0.3">
      <c r="A253" t="s">
        <v>53</v>
      </c>
      <c r="B253" s="48">
        <v>46023</v>
      </c>
      <c r="C253" s="26"/>
      <c r="I253" t="s">
        <v>2626</v>
      </c>
      <c r="J253" t="s">
        <v>2627</v>
      </c>
      <c r="K253" t="s">
        <v>59</v>
      </c>
      <c r="L253" t="s">
        <v>1950</v>
      </c>
      <c r="M253" t="s">
        <v>2487</v>
      </c>
      <c r="N253" t="s">
        <v>59</v>
      </c>
      <c r="O253" t="s">
        <v>143</v>
      </c>
      <c r="P253" t="s">
        <v>144</v>
      </c>
      <c r="Q253">
        <v>5</v>
      </c>
      <c r="R253" t="s">
        <v>2395</v>
      </c>
      <c r="S253" t="s">
        <v>1953</v>
      </c>
      <c r="T253" s="52"/>
    </row>
    <row r="254" spans="1:20" x14ac:dyDescent="0.3">
      <c r="A254" t="s">
        <v>53</v>
      </c>
      <c r="B254" s="48">
        <v>46023</v>
      </c>
      <c r="C254" s="26"/>
      <c r="I254" t="s">
        <v>2628</v>
      </c>
      <c r="J254" t="s">
        <v>2629</v>
      </c>
      <c r="K254" t="s">
        <v>59</v>
      </c>
      <c r="L254" t="s">
        <v>1950</v>
      </c>
      <c r="M254" t="s">
        <v>2487</v>
      </c>
      <c r="N254" t="s">
        <v>59</v>
      </c>
      <c r="O254" t="s">
        <v>143</v>
      </c>
      <c r="P254" t="s">
        <v>144</v>
      </c>
      <c r="Q254">
        <v>2</v>
      </c>
      <c r="R254" t="s">
        <v>2395</v>
      </c>
      <c r="S254" t="s">
        <v>1953</v>
      </c>
      <c r="T254" s="52"/>
    </row>
    <row r="255" spans="1:20" x14ac:dyDescent="0.3">
      <c r="A255" t="s">
        <v>53</v>
      </c>
      <c r="B255" s="48">
        <v>46023</v>
      </c>
      <c r="C255" s="26"/>
      <c r="I255" t="s">
        <v>2630</v>
      </c>
      <c r="J255" t="s">
        <v>2631</v>
      </c>
      <c r="K255" t="s">
        <v>59</v>
      </c>
      <c r="L255" t="s">
        <v>1950</v>
      </c>
      <c r="M255" t="s">
        <v>2487</v>
      </c>
      <c r="N255" t="s">
        <v>59</v>
      </c>
      <c r="O255" t="s">
        <v>143</v>
      </c>
      <c r="P255" t="s">
        <v>144</v>
      </c>
      <c r="Q255">
        <v>2</v>
      </c>
      <c r="R255" t="s">
        <v>2395</v>
      </c>
      <c r="S255" t="s">
        <v>1953</v>
      </c>
      <c r="T255" s="52"/>
    </row>
    <row r="256" spans="1:20" x14ac:dyDescent="0.3">
      <c r="A256" t="s">
        <v>53</v>
      </c>
      <c r="B256" s="48">
        <v>46023</v>
      </c>
      <c r="C256" s="26"/>
      <c r="I256" t="s">
        <v>2632</v>
      </c>
      <c r="J256" t="s">
        <v>2633</v>
      </c>
      <c r="K256" t="s">
        <v>59</v>
      </c>
      <c r="L256" t="s">
        <v>1950</v>
      </c>
      <c r="M256" t="s">
        <v>2487</v>
      </c>
      <c r="N256" t="s">
        <v>59</v>
      </c>
      <c r="O256" t="s">
        <v>116</v>
      </c>
      <c r="P256" t="s">
        <v>144</v>
      </c>
      <c r="Q256">
        <v>1</v>
      </c>
      <c r="R256" t="s">
        <v>2395</v>
      </c>
      <c r="S256" t="s">
        <v>1953</v>
      </c>
      <c r="T256" s="52"/>
    </row>
    <row r="257" spans="1:20" x14ac:dyDescent="0.3">
      <c r="A257" t="s">
        <v>53</v>
      </c>
      <c r="B257" s="48">
        <v>46023</v>
      </c>
      <c r="C257" s="26"/>
      <c r="I257" t="s">
        <v>2634</v>
      </c>
      <c r="J257" t="s">
        <v>2635</v>
      </c>
      <c r="K257" t="s">
        <v>59</v>
      </c>
      <c r="L257" t="s">
        <v>1950</v>
      </c>
      <c r="M257" t="s">
        <v>2487</v>
      </c>
      <c r="N257" t="s">
        <v>59</v>
      </c>
      <c r="O257" t="s">
        <v>116</v>
      </c>
      <c r="P257" t="s">
        <v>144</v>
      </c>
      <c r="Q257">
        <v>1</v>
      </c>
      <c r="R257" t="s">
        <v>2395</v>
      </c>
      <c r="S257" t="s">
        <v>1953</v>
      </c>
      <c r="T257" s="52"/>
    </row>
    <row r="258" spans="1:20" x14ac:dyDescent="0.3">
      <c r="A258" t="s">
        <v>53</v>
      </c>
      <c r="B258" s="48">
        <v>46023</v>
      </c>
      <c r="C258" s="26"/>
      <c r="I258" t="s">
        <v>2636</v>
      </c>
      <c r="J258" t="s">
        <v>2637</v>
      </c>
      <c r="K258" t="s">
        <v>59</v>
      </c>
      <c r="L258" t="s">
        <v>1950</v>
      </c>
      <c r="M258" t="s">
        <v>2487</v>
      </c>
      <c r="N258" t="s">
        <v>59</v>
      </c>
      <c r="O258" t="s">
        <v>116</v>
      </c>
      <c r="P258" t="s">
        <v>144</v>
      </c>
      <c r="Q258">
        <v>8</v>
      </c>
      <c r="R258" t="s">
        <v>2395</v>
      </c>
      <c r="S258" t="s">
        <v>1953</v>
      </c>
      <c r="T258" s="52"/>
    </row>
    <row r="259" spans="1:20" x14ac:dyDescent="0.3">
      <c r="A259" t="s">
        <v>53</v>
      </c>
      <c r="B259" s="48">
        <v>46023</v>
      </c>
      <c r="C259" s="26"/>
      <c r="I259" t="s">
        <v>2638</v>
      </c>
      <c r="J259" t="s">
        <v>2639</v>
      </c>
      <c r="K259" t="s">
        <v>59</v>
      </c>
      <c r="L259" t="s">
        <v>1950</v>
      </c>
      <c r="M259" t="s">
        <v>2487</v>
      </c>
      <c r="N259" t="s">
        <v>59</v>
      </c>
      <c r="O259" t="s">
        <v>116</v>
      </c>
      <c r="P259" t="s">
        <v>144</v>
      </c>
      <c r="Q259">
        <v>20</v>
      </c>
      <c r="R259" t="s">
        <v>2395</v>
      </c>
      <c r="S259" t="s">
        <v>1953</v>
      </c>
      <c r="T259" s="52"/>
    </row>
    <row r="260" spans="1:20" x14ac:dyDescent="0.3">
      <c r="A260" t="s">
        <v>53</v>
      </c>
      <c r="B260" s="48">
        <v>46023</v>
      </c>
      <c r="C260" s="26"/>
      <c r="I260" t="s">
        <v>2640</v>
      </c>
      <c r="J260" t="s">
        <v>2641</v>
      </c>
      <c r="K260" t="s">
        <v>59</v>
      </c>
      <c r="L260" t="s">
        <v>1950</v>
      </c>
      <c r="M260" t="s">
        <v>2487</v>
      </c>
      <c r="N260" t="s">
        <v>59</v>
      </c>
      <c r="O260" t="s">
        <v>143</v>
      </c>
      <c r="P260" t="s">
        <v>144</v>
      </c>
      <c r="Q260">
        <v>1</v>
      </c>
      <c r="R260" t="s">
        <v>2395</v>
      </c>
      <c r="S260" t="s">
        <v>1953</v>
      </c>
      <c r="T260" s="52"/>
    </row>
    <row r="261" spans="1:20" x14ac:dyDescent="0.3">
      <c r="A261" t="s">
        <v>53</v>
      </c>
      <c r="B261" s="48">
        <v>46023</v>
      </c>
      <c r="C261" s="26"/>
      <c r="I261" t="s">
        <v>2642</v>
      </c>
      <c r="J261" t="s">
        <v>2643</v>
      </c>
      <c r="K261" t="s">
        <v>59</v>
      </c>
      <c r="L261" t="s">
        <v>1950</v>
      </c>
      <c r="M261" t="s">
        <v>2487</v>
      </c>
      <c r="N261" t="s">
        <v>59</v>
      </c>
      <c r="O261" t="s">
        <v>116</v>
      </c>
      <c r="P261" t="s">
        <v>144</v>
      </c>
      <c r="Q261">
        <v>1</v>
      </c>
      <c r="R261" t="s">
        <v>2395</v>
      </c>
      <c r="S261" t="s">
        <v>1953</v>
      </c>
      <c r="T261" s="52"/>
    </row>
    <row r="262" spans="1:20" x14ac:dyDescent="0.3">
      <c r="A262" t="s">
        <v>53</v>
      </c>
      <c r="B262" s="48">
        <v>46023</v>
      </c>
      <c r="C262" s="26"/>
      <c r="I262" t="s">
        <v>2644</v>
      </c>
      <c r="J262" t="s">
        <v>2645</v>
      </c>
      <c r="K262" t="s">
        <v>59</v>
      </c>
      <c r="L262" t="s">
        <v>1950</v>
      </c>
      <c r="M262" t="s">
        <v>1959</v>
      </c>
      <c r="N262" t="s">
        <v>59</v>
      </c>
      <c r="O262" t="s">
        <v>116</v>
      </c>
      <c r="P262" t="s">
        <v>144</v>
      </c>
      <c r="Q262">
        <v>2</v>
      </c>
      <c r="R262" t="s">
        <v>2646</v>
      </c>
      <c r="S262" t="s">
        <v>1953</v>
      </c>
      <c r="T262" s="52"/>
    </row>
    <row r="263" spans="1:20" x14ac:dyDescent="0.3">
      <c r="A263" t="s">
        <v>53</v>
      </c>
      <c r="B263" s="48">
        <v>46023</v>
      </c>
      <c r="C263" s="26"/>
      <c r="I263" t="s">
        <v>1930</v>
      </c>
      <c r="J263" t="s">
        <v>1931</v>
      </c>
      <c r="K263" t="s">
        <v>1932</v>
      </c>
      <c r="L263" t="s">
        <v>1933</v>
      </c>
      <c r="M263" t="s">
        <v>1934</v>
      </c>
      <c r="N263" t="s">
        <v>59</v>
      </c>
      <c r="O263" t="s">
        <v>60</v>
      </c>
      <c r="P263" t="s">
        <v>144</v>
      </c>
      <c r="Q263">
        <v>7</v>
      </c>
      <c r="R263" t="s">
        <v>334</v>
      </c>
      <c r="S263" t="s">
        <v>395</v>
      </c>
      <c r="T263" s="52"/>
    </row>
    <row r="264" spans="1:20" x14ac:dyDescent="0.3">
      <c r="A264" t="s">
        <v>53</v>
      </c>
      <c r="B264" s="48">
        <v>46023</v>
      </c>
      <c r="C264" s="26"/>
      <c r="I264" t="s">
        <v>1935</v>
      </c>
      <c r="J264" t="s">
        <v>1936</v>
      </c>
      <c r="K264" t="s">
        <v>1937</v>
      </c>
      <c r="L264" t="s">
        <v>1933</v>
      </c>
      <c r="M264" t="s">
        <v>1934</v>
      </c>
      <c r="N264" t="s">
        <v>59</v>
      </c>
      <c r="O264" t="s">
        <v>143</v>
      </c>
      <c r="P264" t="s">
        <v>144</v>
      </c>
      <c r="Q264">
        <v>2</v>
      </c>
      <c r="R264" t="s">
        <v>1685</v>
      </c>
      <c r="S264" t="s">
        <v>309</v>
      </c>
      <c r="T264" s="52"/>
    </row>
    <row r="265" spans="1:20" x14ac:dyDescent="0.3">
      <c r="A265" t="s">
        <v>53</v>
      </c>
      <c r="B265" s="48">
        <v>46023</v>
      </c>
      <c r="C265" s="26"/>
      <c r="I265" t="s">
        <v>1938</v>
      </c>
      <c r="J265" t="s">
        <v>1939</v>
      </c>
      <c r="K265" t="s">
        <v>1940</v>
      </c>
      <c r="L265" t="s">
        <v>1933</v>
      </c>
      <c r="M265" t="s">
        <v>1934</v>
      </c>
      <c r="N265" t="s">
        <v>59</v>
      </c>
      <c r="O265" t="s">
        <v>116</v>
      </c>
      <c r="P265" t="s">
        <v>61</v>
      </c>
      <c r="Q265">
        <v>1</v>
      </c>
      <c r="R265" t="s">
        <v>1685</v>
      </c>
      <c r="S265" t="s">
        <v>1632</v>
      </c>
      <c r="T265" s="52"/>
    </row>
    <row r="266" spans="1:20" x14ac:dyDescent="0.3">
      <c r="A266" t="s">
        <v>53</v>
      </c>
      <c r="B266" s="48">
        <v>46023</v>
      </c>
      <c r="C266" s="26"/>
      <c r="I266" t="s">
        <v>1941</v>
      </c>
      <c r="J266" t="s">
        <v>1942</v>
      </c>
      <c r="K266" t="s">
        <v>1943</v>
      </c>
      <c r="L266" t="s">
        <v>1933</v>
      </c>
      <c r="M266" t="s">
        <v>1944</v>
      </c>
      <c r="N266" t="s">
        <v>59</v>
      </c>
      <c r="O266" t="s">
        <v>143</v>
      </c>
      <c r="P266" t="s">
        <v>61</v>
      </c>
      <c r="Q266">
        <v>1</v>
      </c>
      <c r="R266" t="s">
        <v>1685</v>
      </c>
      <c r="S266" t="s">
        <v>1632</v>
      </c>
      <c r="T266" s="52"/>
    </row>
    <row r="267" spans="1:20" x14ac:dyDescent="0.3">
      <c r="A267" t="s">
        <v>53</v>
      </c>
      <c r="B267" s="48">
        <v>46023</v>
      </c>
      <c r="C267" s="26"/>
      <c r="I267" t="s">
        <v>1945</v>
      </c>
      <c r="J267" t="s">
        <v>1946</v>
      </c>
      <c r="K267" t="s">
        <v>1763</v>
      </c>
      <c r="L267" t="s">
        <v>1933</v>
      </c>
      <c r="M267" t="s">
        <v>1934</v>
      </c>
      <c r="N267" t="s">
        <v>59</v>
      </c>
      <c r="O267" t="s">
        <v>60</v>
      </c>
      <c r="P267" t="s">
        <v>61</v>
      </c>
      <c r="Q267">
        <v>1</v>
      </c>
      <c r="R267" t="s">
        <v>1370</v>
      </c>
      <c r="S267" t="s">
        <v>309</v>
      </c>
      <c r="T267" s="52"/>
    </row>
    <row r="268" spans="1:20" x14ac:dyDescent="0.3">
      <c r="A268" t="s">
        <v>53</v>
      </c>
      <c r="B268" s="48">
        <v>46023</v>
      </c>
      <c r="C268" s="26"/>
      <c r="I268" t="s">
        <v>2647</v>
      </c>
      <c r="J268" t="s">
        <v>2648</v>
      </c>
      <c r="K268" t="s">
        <v>2649</v>
      </c>
      <c r="L268" t="s">
        <v>1933</v>
      </c>
      <c r="M268" t="s">
        <v>1934</v>
      </c>
      <c r="N268" t="s">
        <v>59</v>
      </c>
      <c r="O268" t="s">
        <v>143</v>
      </c>
      <c r="P268" t="s">
        <v>144</v>
      </c>
      <c r="Q268">
        <v>6</v>
      </c>
      <c r="R268" t="s">
        <v>2650</v>
      </c>
      <c r="S268" t="s">
        <v>1487</v>
      </c>
      <c r="T268" s="52"/>
    </row>
    <row r="269" spans="1:20" x14ac:dyDescent="0.3">
      <c r="A269" t="s">
        <v>53</v>
      </c>
      <c r="B269" s="48">
        <v>46023</v>
      </c>
      <c r="C269" s="26"/>
      <c r="I269" t="s">
        <v>2651</v>
      </c>
      <c r="J269" t="s">
        <v>2652</v>
      </c>
      <c r="K269" t="s">
        <v>2653</v>
      </c>
      <c r="L269" t="s">
        <v>1933</v>
      </c>
      <c r="M269" t="s">
        <v>1944</v>
      </c>
      <c r="N269" t="s">
        <v>59</v>
      </c>
      <c r="O269" t="s">
        <v>143</v>
      </c>
      <c r="P269" t="s">
        <v>144</v>
      </c>
      <c r="Q269">
        <v>2</v>
      </c>
      <c r="R269" t="s">
        <v>2650</v>
      </c>
      <c r="S269" t="s">
        <v>1487</v>
      </c>
      <c r="T269" s="52"/>
    </row>
    <row r="270" spans="1:20" x14ac:dyDescent="0.3">
      <c r="A270" t="s">
        <v>53</v>
      </c>
      <c r="B270" s="48">
        <v>46023</v>
      </c>
      <c r="C270" s="26"/>
      <c r="I270" t="s">
        <v>2654</v>
      </c>
      <c r="J270" t="s">
        <v>2655</v>
      </c>
      <c r="K270" t="s">
        <v>2653</v>
      </c>
      <c r="L270" t="s">
        <v>1933</v>
      </c>
      <c r="M270" t="s">
        <v>1944</v>
      </c>
      <c r="N270" t="s">
        <v>59</v>
      </c>
      <c r="O270" t="s">
        <v>143</v>
      </c>
      <c r="P270" t="s">
        <v>144</v>
      </c>
      <c r="Q270">
        <v>3</v>
      </c>
      <c r="R270" t="s">
        <v>2650</v>
      </c>
      <c r="S270" t="s">
        <v>1487</v>
      </c>
      <c r="T270" s="52"/>
    </row>
    <row r="271" spans="1:20" x14ac:dyDescent="0.3">
      <c r="A271" t="s">
        <v>53</v>
      </c>
      <c r="B271" s="48">
        <v>46023</v>
      </c>
      <c r="C271" s="26"/>
      <c r="I271" t="s">
        <v>2656</v>
      </c>
      <c r="J271" t="s">
        <v>2657</v>
      </c>
      <c r="K271" t="s">
        <v>2653</v>
      </c>
      <c r="L271" t="s">
        <v>1933</v>
      </c>
      <c r="M271" t="s">
        <v>1944</v>
      </c>
      <c r="N271" t="s">
        <v>59</v>
      </c>
      <c r="O271" t="s">
        <v>143</v>
      </c>
      <c r="P271" t="s">
        <v>144</v>
      </c>
      <c r="Q271">
        <v>3</v>
      </c>
      <c r="R271" t="s">
        <v>2650</v>
      </c>
      <c r="S271" t="s">
        <v>1487</v>
      </c>
      <c r="T271" s="52"/>
    </row>
    <row r="272" spans="1:20" x14ac:dyDescent="0.3">
      <c r="A272" t="s">
        <v>53</v>
      </c>
      <c r="B272" s="48">
        <v>46023</v>
      </c>
      <c r="C272" s="26"/>
      <c r="I272" t="s">
        <v>2658</v>
      </c>
      <c r="J272" t="s">
        <v>2659</v>
      </c>
      <c r="K272" t="s">
        <v>2653</v>
      </c>
      <c r="L272" t="s">
        <v>1933</v>
      </c>
      <c r="M272" t="s">
        <v>1944</v>
      </c>
      <c r="N272" t="s">
        <v>59</v>
      </c>
      <c r="O272" t="s">
        <v>143</v>
      </c>
      <c r="P272" t="s">
        <v>144</v>
      </c>
      <c r="Q272">
        <v>3</v>
      </c>
      <c r="R272" t="s">
        <v>2427</v>
      </c>
      <c r="S272" t="s">
        <v>1487</v>
      </c>
      <c r="T272" s="52"/>
    </row>
    <row r="273" spans="1:20" x14ac:dyDescent="0.3">
      <c r="A273" t="s">
        <v>53</v>
      </c>
      <c r="B273" s="48">
        <v>46023</v>
      </c>
      <c r="C273" s="26"/>
      <c r="I273" t="s">
        <v>2660</v>
      </c>
      <c r="J273" t="s">
        <v>2661</v>
      </c>
      <c r="K273" t="s">
        <v>2662</v>
      </c>
      <c r="L273" t="s">
        <v>1933</v>
      </c>
      <c r="M273" t="s">
        <v>1934</v>
      </c>
      <c r="N273" t="s">
        <v>59</v>
      </c>
      <c r="O273" t="s">
        <v>143</v>
      </c>
      <c r="P273" t="s">
        <v>144</v>
      </c>
      <c r="Q273">
        <v>1</v>
      </c>
      <c r="R273" t="s">
        <v>2427</v>
      </c>
      <c r="S273" t="s">
        <v>63</v>
      </c>
      <c r="T273" s="52"/>
    </row>
    <row r="274" spans="1:20" x14ac:dyDescent="0.3">
      <c r="A274" t="s">
        <v>53</v>
      </c>
      <c r="B274" s="48">
        <v>46023</v>
      </c>
      <c r="C274" s="26"/>
      <c r="I274" t="s">
        <v>2663</v>
      </c>
      <c r="J274" t="s">
        <v>2664</v>
      </c>
      <c r="K274" t="s">
        <v>59</v>
      </c>
      <c r="L274" t="s">
        <v>1933</v>
      </c>
      <c r="M274" t="s">
        <v>1944</v>
      </c>
      <c r="N274" t="s">
        <v>59</v>
      </c>
      <c r="O274" t="s">
        <v>143</v>
      </c>
      <c r="P274" t="s">
        <v>144</v>
      </c>
      <c r="Q274">
        <v>1</v>
      </c>
      <c r="R274" t="s">
        <v>2427</v>
      </c>
      <c r="S274" t="s">
        <v>63</v>
      </c>
      <c r="T274" s="52"/>
    </row>
    <row r="275" spans="1:20" x14ac:dyDescent="0.3">
      <c r="A275" t="s">
        <v>53</v>
      </c>
      <c r="B275" s="48">
        <v>46023</v>
      </c>
      <c r="C275" s="26"/>
      <c r="I275" t="s">
        <v>2665</v>
      </c>
      <c r="J275" t="s">
        <v>2666</v>
      </c>
      <c r="K275" t="s">
        <v>2667</v>
      </c>
      <c r="L275" t="s">
        <v>1933</v>
      </c>
      <c r="M275" t="s">
        <v>1944</v>
      </c>
      <c r="N275" t="s">
        <v>59</v>
      </c>
      <c r="O275" t="s">
        <v>143</v>
      </c>
      <c r="P275" t="s">
        <v>144</v>
      </c>
      <c r="Q275">
        <v>1</v>
      </c>
      <c r="R275" t="s">
        <v>2427</v>
      </c>
      <c r="S275" t="s">
        <v>63</v>
      </c>
      <c r="T275" s="52"/>
    </row>
    <row r="276" spans="1:20" x14ac:dyDescent="0.3">
      <c r="A276" t="s">
        <v>53</v>
      </c>
      <c r="B276" s="48">
        <v>46023</v>
      </c>
      <c r="C276" s="26"/>
      <c r="I276" t="s">
        <v>2668</v>
      </c>
      <c r="J276" t="s">
        <v>2669</v>
      </c>
      <c r="K276" t="s">
        <v>1943</v>
      </c>
      <c r="L276" t="s">
        <v>1933</v>
      </c>
      <c r="M276" t="s">
        <v>1944</v>
      </c>
      <c r="N276" t="s">
        <v>59</v>
      </c>
      <c r="O276" t="s">
        <v>143</v>
      </c>
      <c r="P276" t="s">
        <v>144</v>
      </c>
      <c r="Q276">
        <v>2</v>
      </c>
      <c r="R276" t="s">
        <v>2427</v>
      </c>
      <c r="S276" t="s">
        <v>63</v>
      </c>
      <c r="T276" s="52"/>
    </row>
    <row r="277" spans="1:20" x14ac:dyDescent="0.3">
      <c r="A277" t="s">
        <v>53</v>
      </c>
      <c r="B277" s="48">
        <v>46023</v>
      </c>
      <c r="C277" s="26"/>
      <c r="I277" t="s">
        <v>2670</v>
      </c>
      <c r="J277" t="s">
        <v>2671</v>
      </c>
      <c r="K277" t="s">
        <v>59</v>
      </c>
      <c r="L277" t="s">
        <v>1933</v>
      </c>
      <c r="M277" t="s">
        <v>1944</v>
      </c>
      <c r="N277" t="s">
        <v>59</v>
      </c>
      <c r="O277" t="s">
        <v>468</v>
      </c>
      <c r="P277" t="s">
        <v>144</v>
      </c>
      <c r="Q277">
        <v>1</v>
      </c>
      <c r="R277" t="s">
        <v>2427</v>
      </c>
      <c r="S277" t="s">
        <v>63</v>
      </c>
      <c r="T277" s="52"/>
    </row>
    <row r="278" spans="1:20" x14ac:dyDescent="0.3">
      <c r="A278" t="s">
        <v>53</v>
      </c>
      <c r="B278" s="48">
        <v>46023</v>
      </c>
      <c r="C278" s="26"/>
      <c r="I278" t="s">
        <v>2672</v>
      </c>
      <c r="J278" t="s">
        <v>2673</v>
      </c>
      <c r="K278" t="s">
        <v>2674</v>
      </c>
      <c r="L278" t="s">
        <v>2675</v>
      </c>
      <c r="M278" t="s">
        <v>1944</v>
      </c>
      <c r="N278" t="s">
        <v>59</v>
      </c>
      <c r="O278" t="s">
        <v>116</v>
      </c>
      <c r="P278" t="s">
        <v>144</v>
      </c>
      <c r="Q278">
        <v>5</v>
      </c>
      <c r="R278" t="s">
        <v>2465</v>
      </c>
      <c r="S278" t="s">
        <v>63</v>
      </c>
      <c r="T278" s="52"/>
    </row>
    <row r="279" spans="1:20" x14ac:dyDescent="0.3">
      <c r="A279" t="s">
        <v>53</v>
      </c>
      <c r="B279" s="48">
        <v>46023</v>
      </c>
      <c r="C279" s="26"/>
      <c r="I279" t="s">
        <v>1371</v>
      </c>
      <c r="J279" t="s">
        <v>1372</v>
      </c>
      <c r="K279" t="s">
        <v>59</v>
      </c>
      <c r="L279" t="s">
        <v>1373</v>
      </c>
      <c r="M279" t="s">
        <v>1374</v>
      </c>
      <c r="N279" t="s">
        <v>59</v>
      </c>
      <c r="O279" t="s">
        <v>60</v>
      </c>
      <c r="P279" t="s">
        <v>144</v>
      </c>
      <c r="Q279">
        <v>4</v>
      </c>
      <c r="R279" t="s">
        <v>334</v>
      </c>
      <c r="S279" t="s">
        <v>309</v>
      </c>
      <c r="T279" s="52"/>
    </row>
    <row r="280" spans="1:20" x14ac:dyDescent="0.3">
      <c r="A280" t="s">
        <v>53</v>
      </c>
      <c r="B280" s="48">
        <v>46023</v>
      </c>
      <c r="C280" s="26"/>
      <c r="I280" t="s">
        <v>1375</v>
      </c>
      <c r="J280" t="s">
        <v>1376</v>
      </c>
      <c r="K280" t="s">
        <v>59</v>
      </c>
      <c r="L280" t="s">
        <v>1373</v>
      </c>
      <c r="M280" t="s">
        <v>1374</v>
      </c>
      <c r="N280" t="s">
        <v>59</v>
      </c>
      <c r="O280" t="s">
        <v>60</v>
      </c>
      <c r="P280" t="s">
        <v>144</v>
      </c>
      <c r="Q280">
        <v>3</v>
      </c>
      <c r="R280" t="s">
        <v>334</v>
      </c>
      <c r="S280" t="s">
        <v>309</v>
      </c>
      <c r="T280" s="52"/>
    </row>
    <row r="281" spans="1:20" x14ac:dyDescent="0.3">
      <c r="A281" t="s">
        <v>53</v>
      </c>
      <c r="B281" s="48">
        <v>46023</v>
      </c>
      <c r="C281" s="26"/>
      <c r="I281" t="s">
        <v>1377</v>
      </c>
      <c r="J281" t="s">
        <v>1378</v>
      </c>
      <c r="K281" t="s">
        <v>59</v>
      </c>
      <c r="L281" t="s">
        <v>1373</v>
      </c>
      <c r="M281" t="s">
        <v>1374</v>
      </c>
      <c r="N281" t="s">
        <v>59</v>
      </c>
      <c r="O281" t="s">
        <v>60</v>
      </c>
      <c r="P281" t="s">
        <v>144</v>
      </c>
      <c r="Q281">
        <v>4</v>
      </c>
      <c r="R281" t="s">
        <v>334</v>
      </c>
      <c r="S281" t="s">
        <v>309</v>
      </c>
      <c r="T281" s="52"/>
    </row>
    <row r="282" spans="1:20" x14ac:dyDescent="0.3">
      <c r="A282" t="s">
        <v>53</v>
      </c>
      <c r="B282" s="48">
        <v>46023</v>
      </c>
      <c r="C282" s="26"/>
      <c r="I282" t="s">
        <v>1379</v>
      </c>
      <c r="J282" t="s">
        <v>1380</v>
      </c>
      <c r="K282" t="s">
        <v>59</v>
      </c>
      <c r="L282" t="s">
        <v>1373</v>
      </c>
      <c r="M282" t="s">
        <v>1374</v>
      </c>
      <c r="N282" t="s">
        <v>59</v>
      </c>
      <c r="O282" t="s">
        <v>60</v>
      </c>
      <c r="P282" t="s">
        <v>144</v>
      </c>
      <c r="Q282">
        <v>4</v>
      </c>
      <c r="R282" t="s">
        <v>334</v>
      </c>
      <c r="S282" t="s">
        <v>309</v>
      </c>
      <c r="T282" s="52"/>
    </row>
    <row r="283" spans="1:20" x14ac:dyDescent="0.3">
      <c r="A283" t="s">
        <v>53</v>
      </c>
      <c r="B283" s="48">
        <v>46023</v>
      </c>
      <c r="C283" s="26"/>
      <c r="I283" t="s">
        <v>1381</v>
      </c>
      <c r="J283" t="s">
        <v>1382</v>
      </c>
      <c r="K283" t="s">
        <v>1383</v>
      </c>
      <c r="L283" t="s">
        <v>1373</v>
      </c>
      <c r="M283" t="s">
        <v>1384</v>
      </c>
      <c r="N283">
        <v>26024120022</v>
      </c>
      <c r="O283" t="s">
        <v>116</v>
      </c>
      <c r="P283" t="s">
        <v>61</v>
      </c>
      <c r="Q283">
        <v>1</v>
      </c>
      <c r="R283" t="s">
        <v>62</v>
      </c>
      <c r="S283" t="s">
        <v>63</v>
      </c>
      <c r="T283" s="52"/>
    </row>
    <row r="284" spans="1:20" x14ac:dyDescent="0.3">
      <c r="A284" t="s">
        <v>53</v>
      </c>
      <c r="B284" s="48">
        <v>46023</v>
      </c>
      <c r="C284" s="26"/>
      <c r="I284" t="s">
        <v>1385</v>
      </c>
      <c r="J284" t="s">
        <v>1386</v>
      </c>
      <c r="K284" t="s">
        <v>1387</v>
      </c>
      <c r="L284" t="s">
        <v>1373</v>
      </c>
      <c r="M284" t="s">
        <v>1374</v>
      </c>
      <c r="N284" t="s">
        <v>59</v>
      </c>
      <c r="O284" t="s">
        <v>116</v>
      </c>
      <c r="P284" t="s">
        <v>61</v>
      </c>
      <c r="Q284">
        <v>1</v>
      </c>
      <c r="R284" t="s">
        <v>62</v>
      </c>
      <c r="S284" t="s">
        <v>63</v>
      </c>
      <c r="T284" s="52"/>
    </row>
    <row r="285" spans="1:20" x14ac:dyDescent="0.3">
      <c r="A285" t="s">
        <v>53</v>
      </c>
      <c r="B285" s="48">
        <v>46023</v>
      </c>
      <c r="C285" s="26"/>
      <c r="I285" t="s">
        <v>1388</v>
      </c>
      <c r="J285" t="s">
        <v>1389</v>
      </c>
      <c r="K285" t="s">
        <v>1387</v>
      </c>
      <c r="L285" t="s">
        <v>1373</v>
      </c>
      <c r="M285" t="s">
        <v>1374</v>
      </c>
      <c r="N285" t="s">
        <v>59</v>
      </c>
      <c r="O285" t="s">
        <v>116</v>
      </c>
      <c r="P285" t="s">
        <v>61</v>
      </c>
      <c r="Q285">
        <v>1</v>
      </c>
      <c r="R285" t="s">
        <v>62</v>
      </c>
      <c r="S285" t="s">
        <v>63</v>
      </c>
      <c r="T285" s="52"/>
    </row>
    <row r="286" spans="1:20" x14ac:dyDescent="0.3">
      <c r="A286" t="s">
        <v>53</v>
      </c>
      <c r="B286" s="48">
        <v>46023</v>
      </c>
      <c r="C286" s="26"/>
      <c r="I286" t="s">
        <v>1390</v>
      </c>
      <c r="J286" t="s">
        <v>1391</v>
      </c>
      <c r="K286" t="s">
        <v>1392</v>
      </c>
      <c r="L286" t="s">
        <v>1373</v>
      </c>
      <c r="M286" t="s">
        <v>1374</v>
      </c>
      <c r="N286" t="s">
        <v>59</v>
      </c>
      <c r="O286" t="s">
        <v>60</v>
      </c>
      <c r="P286" t="s">
        <v>61</v>
      </c>
      <c r="Q286">
        <v>1</v>
      </c>
      <c r="R286" t="s">
        <v>62</v>
      </c>
      <c r="S286" t="s">
        <v>63</v>
      </c>
      <c r="T286" s="52"/>
    </row>
    <row r="287" spans="1:20" x14ac:dyDescent="0.3">
      <c r="A287" t="s">
        <v>53</v>
      </c>
      <c r="B287" s="48">
        <v>46023</v>
      </c>
      <c r="C287" s="26"/>
      <c r="I287" t="s">
        <v>1393</v>
      </c>
      <c r="J287" t="s">
        <v>1394</v>
      </c>
      <c r="K287" t="s">
        <v>1395</v>
      </c>
      <c r="L287" t="s">
        <v>1373</v>
      </c>
      <c r="M287" t="s">
        <v>1396</v>
      </c>
      <c r="N287" t="s">
        <v>59</v>
      </c>
      <c r="O287" t="s">
        <v>116</v>
      </c>
      <c r="P287" t="s">
        <v>61</v>
      </c>
      <c r="Q287">
        <v>1</v>
      </c>
      <c r="R287" t="s">
        <v>62</v>
      </c>
      <c r="S287" t="s">
        <v>112</v>
      </c>
      <c r="T287" s="52"/>
    </row>
    <row r="288" spans="1:20" x14ac:dyDescent="0.3">
      <c r="A288" t="s">
        <v>53</v>
      </c>
      <c r="B288" s="48">
        <v>46023</v>
      </c>
      <c r="C288" s="26"/>
      <c r="I288" t="s">
        <v>1397</v>
      </c>
      <c r="J288" t="s">
        <v>1398</v>
      </c>
      <c r="K288" t="s">
        <v>1399</v>
      </c>
      <c r="L288" t="s">
        <v>1373</v>
      </c>
      <c r="M288" t="s">
        <v>1384</v>
      </c>
      <c r="N288" t="s">
        <v>59</v>
      </c>
      <c r="O288" t="s">
        <v>116</v>
      </c>
      <c r="P288" t="s">
        <v>61</v>
      </c>
      <c r="Q288">
        <v>1</v>
      </c>
      <c r="R288" t="s">
        <v>62</v>
      </c>
      <c r="S288" t="s">
        <v>63</v>
      </c>
      <c r="T288" s="52"/>
    </row>
    <row r="289" spans="1:20" x14ac:dyDescent="0.3">
      <c r="A289" t="s">
        <v>53</v>
      </c>
      <c r="B289" s="48">
        <v>46023</v>
      </c>
      <c r="C289" s="26"/>
      <c r="I289" t="s">
        <v>1400</v>
      </c>
      <c r="J289" t="s">
        <v>1401</v>
      </c>
      <c r="K289" t="s">
        <v>1402</v>
      </c>
      <c r="L289" t="s">
        <v>1373</v>
      </c>
      <c r="M289" t="s">
        <v>1403</v>
      </c>
      <c r="N289" t="s">
        <v>59</v>
      </c>
      <c r="O289" t="s">
        <v>60</v>
      </c>
      <c r="P289" t="s">
        <v>61</v>
      </c>
      <c r="Q289">
        <v>2</v>
      </c>
      <c r="R289" t="s">
        <v>62</v>
      </c>
      <c r="S289" t="s">
        <v>309</v>
      </c>
      <c r="T289" s="52"/>
    </row>
    <row r="290" spans="1:20" x14ac:dyDescent="0.3">
      <c r="A290" t="s">
        <v>53</v>
      </c>
      <c r="B290" s="48">
        <v>46023</v>
      </c>
      <c r="C290" s="26"/>
      <c r="I290" t="s">
        <v>1404</v>
      </c>
      <c r="J290" t="s">
        <v>1405</v>
      </c>
      <c r="K290" t="s">
        <v>59</v>
      </c>
      <c r="L290" t="s">
        <v>1373</v>
      </c>
      <c r="M290" t="s">
        <v>1374</v>
      </c>
      <c r="N290" t="s">
        <v>59</v>
      </c>
      <c r="O290" t="s">
        <v>60</v>
      </c>
      <c r="P290" t="s">
        <v>61</v>
      </c>
      <c r="Q290">
        <v>1</v>
      </c>
      <c r="R290" t="s">
        <v>62</v>
      </c>
      <c r="S290" t="s">
        <v>63</v>
      </c>
      <c r="T290" s="52"/>
    </row>
    <row r="291" spans="1:20" x14ac:dyDescent="0.3">
      <c r="A291" t="s">
        <v>53</v>
      </c>
      <c r="B291" s="48">
        <v>46023</v>
      </c>
      <c r="C291" s="26"/>
      <c r="I291" t="s">
        <v>1406</v>
      </c>
      <c r="J291" t="s">
        <v>1407</v>
      </c>
      <c r="K291" t="s">
        <v>59</v>
      </c>
      <c r="L291" t="s">
        <v>1373</v>
      </c>
      <c r="M291" t="s">
        <v>1403</v>
      </c>
      <c r="N291" t="s">
        <v>59</v>
      </c>
      <c r="O291" t="s">
        <v>116</v>
      </c>
      <c r="P291" t="s">
        <v>61</v>
      </c>
      <c r="Q291">
        <v>1</v>
      </c>
      <c r="R291" t="s">
        <v>62</v>
      </c>
      <c r="S291" t="s">
        <v>309</v>
      </c>
      <c r="T291" s="52"/>
    </row>
    <row r="292" spans="1:20" x14ac:dyDescent="0.3">
      <c r="A292" t="s">
        <v>53</v>
      </c>
      <c r="B292" s="48">
        <v>46023</v>
      </c>
      <c r="C292" s="26"/>
      <c r="I292" t="s">
        <v>1408</v>
      </c>
      <c r="J292" t="s">
        <v>1409</v>
      </c>
      <c r="K292" t="s">
        <v>59</v>
      </c>
      <c r="L292" t="s">
        <v>1373</v>
      </c>
      <c r="M292" t="s">
        <v>1403</v>
      </c>
      <c r="N292" t="s">
        <v>59</v>
      </c>
      <c r="O292" t="s">
        <v>468</v>
      </c>
      <c r="P292" t="s">
        <v>61</v>
      </c>
      <c r="Q292">
        <v>1</v>
      </c>
      <c r="R292" t="s">
        <v>62</v>
      </c>
      <c r="S292" t="s">
        <v>309</v>
      </c>
      <c r="T292" s="52"/>
    </row>
    <row r="293" spans="1:20" x14ac:dyDescent="0.3">
      <c r="A293" t="s">
        <v>53</v>
      </c>
      <c r="B293" s="48">
        <v>46023</v>
      </c>
      <c r="C293" s="26"/>
      <c r="I293" t="s">
        <v>1410</v>
      </c>
      <c r="J293" t="s">
        <v>1411</v>
      </c>
      <c r="K293" t="s">
        <v>59</v>
      </c>
      <c r="L293" t="s">
        <v>1373</v>
      </c>
      <c r="M293" t="s">
        <v>1403</v>
      </c>
      <c r="N293" t="s">
        <v>59</v>
      </c>
      <c r="O293" t="s">
        <v>116</v>
      </c>
      <c r="P293" t="s">
        <v>61</v>
      </c>
      <c r="Q293">
        <v>1</v>
      </c>
      <c r="R293" t="s">
        <v>62</v>
      </c>
      <c r="S293" t="s">
        <v>309</v>
      </c>
      <c r="T293" s="52"/>
    </row>
    <row r="294" spans="1:20" x14ac:dyDescent="0.3">
      <c r="A294" t="s">
        <v>53</v>
      </c>
      <c r="B294" s="48">
        <v>46023</v>
      </c>
      <c r="C294" s="26"/>
      <c r="I294" t="s">
        <v>1412</v>
      </c>
      <c r="J294" t="s">
        <v>1413</v>
      </c>
      <c r="K294" t="s">
        <v>59</v>
      </c>
      <c r="L294" t="s">
        <v>1373</v>
      </c>
      <c r="M294" t="s">
        <v>1403</v>
      </c>
      <c r="N294" t="s">
        <v>59</v>
      </c>
      <c r="O294" t="s">
        <v>116</v>
      </c>
      <c r="P294" t="s">
        <v>61</v>
      </c>
      <c r="Q294">
        <v>1</v>
      </c>
      <c r="R294" t="s">
        <v>62</v>
      </c>
      <c r="S294" t="s">
        <v>309</v>
      </c>
      <c r="T294" s="52"/>
    </row>
    <row r="295" spans="1:20" x14ac:dyDescent="0.3">
      <c r="A295" t="s">
        <v>53</v>
      </c>
      <c r="B295" s="48">
        <v>46023</v>
      </c>
      <c r="C295" s="26"/>
      <c r="I295" t="s">
        <v>1414</v>
      </c>
      <c r="J295" t="s">
        <v>1415</v>
      </c>
      <c r="K295" t="s">
        <v>1416</v>
      </c>
      <c r="L295" t="s">
        <v>1373</v>
      </c>
      <c r="M295" t="s">
        <v>1403</v>
      </c>
      <c r="N295" t="s">
        <v>59</v>
      </c>
      <c r="O295" t="s">
        <v>60</v>
      </c>
      <c r="P295" t="s">
        <v>61</v>
      </c>
      <c r="Q295">
        <v>1</v>
      </c>
      <c r="R295" t="s">
        <v>62</v>
      </c>
      <c r="S295" t="s">
        <v>309</v>
      </c>
      <c r="T295" s="52"/>
    </row>
    <row r="296" spans="1:20" x14ac:dyDescent="0.3">
      <c r="A296" t="s">
        <v>53</v>
      </c>
      <c r="B296" s="48">
        <v>46023</v>
      </c>
      <c r="C296" s="26"/>
      <c r="I296" t="s">
        <v>1417</v>
      </c>
      <c r="J296" t="s">
        <v>1418</v>
      </c>
      <c r="K296" t="s">
        <v>1419</v>
      </c>
      <c r="L296" t="s">
        <v>1373</v>
      </c>
      <c r="M296" t="s">
        <v>1396</v>
      </c>
      <c r="N296" t="s">
        <v>59</v>
      </c>
      <c r="O296" t="s">
        <v>60</v>
      </c>
      <c r="P296" t="s">
        <v>61</v>
      </c>
      <c r="Q296">
        <v>1</v>
      </c>
      <c r="R296" t="s">
        <v>62</v>
      </c>
      <c r="S296" t="s">
        <v>309</v>
      </c>
      <c r="T296" s="52"/>
    </row>
    <row r="297" spans="1:20" x14ac:dyDescent="0.3">
      <c r="A297" t="s">
        <v>53</v>
      </c>
      <c r="B297" s="48">
        <v>46023</v>
      </c>
      <c r="C297" s="26"/>
      <c r="I297" t="s">
        <v>1420</v>
      </c>
      <c r="J297" t="s">
        <v>1421</v>
      </c>
      <c r="K297" t="s">
        <v>1419</v>
      </c>
      <c r="L297" t="s">
        <v>1373</v>
      </c>
      <c r="M297" t="s">
        <v>1396</v>
      </c>
      <c r="N297" t="s">
        <v>59</v>
      </c>
      <c r="O297" t="s">
        <v>60</v>
      </c>
      <c r="P297" t="s">
        <v>61</v>
      </c>
      <c r="Q297">
        <v>1</v>
      </c>
      <c r="R297" t="s">
        <v>62</v>
      </c>
      <c r="S297" t="s">
        <v>309</v>
      </c>
      <c r="T297" s="52"/>
    </row>
    <row r="298" spans="1:20" x14ac:dyDescent="0.3">
      <c r="A298" t="s">
        <v>53</v>
      </c>
      <c r="B298" s="48">
        <v>46023</v>
      </c>
      <c r="C298" s="26"/>
      <c r="I298" t="s">
        <v>1422</v>
      </c>
      <c r="J298" t="s">
        <v>1423</v>
      </c>
      <c r="K298" t="s">
        <v>1419</v>
      </c>
      <c r="L298" t="s">
        <v>1373</v>
      </c>
      <c r="M298" t="s">
        <v>1396</v>
      </c>
      <c r="N298" t="s">
        <v>59</v>
      </c>
      <c r="O298" t="s">
        <v>60</v>
      </c>
      <c r="P298" t="s">
        <v>61</v>
      </c>
      <c r="Q298">
        <v>1</v>
      </c>
      <c r="R298" t="s">
        <v>62</v>
      </c>
      <c r="S298" t="s">
        <v>309</v>
      </c>
      <c r="T298" s="52"/>
    </row>
    <row r="299" spans="1:20" x14ac:dyDescent="0.3">
      <c r="A299" t="s">
        <v>53</v>
      </c>
      <c r="B299" s="48">
        <v>46023</v>
      </c>
      <c r="C299" s="26"/>
      <c r="I299" t="s">
        <v>1424</v>
      </c>
      <c r="J299" t="s">
        <v>1425</v>
      </c>
      <c r="K299" t="s">
        <v>1419</v>
      </c>
      <c r="L299" t="s">
        <v>1373</v>
      </c>
      <c r="M299" t="s">
        <v>1396</v>
      </c>
      <c r="N299" t="s">
        <v>59</v>
      </c>
      <c r="O299" t="s">
        <v>60</v>
      </c>
      <c r="P299" t="s">
        <v>61</v>
      </c>
      <c r="Q299">
        <v>1</v>
      </c>
      <c r="R299" t="s">
        <v>62</v>
      </c>
      <c r="S299" t="s">
        <v>309</v>
      </c>
      <c r="T299" s="52"/>
    </row>
    <row r="300" spans="1:20" x14ac:dyDescent="0.3">
      <c r="A300" t="s">
        <v>53</v>
      </c>
      <c r="B300" s="48">
        <v>46023</v>
      </c>
      <c r="C300" s="26"/>
      <c r="I300" t="s">
        <v>1426</v>
      </c>
      <c r="J300" t="s">
        <v>1427</v>
      </c>
      <c r="K300" t="s">
        <v>1419</v>
      </c>
      <c r="L300" t="s">
        <v>1373</v>
      </c>
      <c r="M300" t="s">
        <v>1396</v>
      </c>
      <c r="N300" t="s">
        <v>59</v>
      </c>
      <c r="O300" t="s">
        <v>60</v>
      </c>
      <c r="P300" t="s">
        <v>61</v>
      </c>
      <c r="Q300">
        <v>1</v>
      </c>
      <c r="R300" t="s">
        <v>62</v>
      </c>
      <c r="S300" t="s">
        <v>309</v>
      </c>
      <c r="T300" s="52"/>
    </row>
    <row r="301" spans="1:20" x14ac:dyDescent="0.3">
      <c r="A301" t="s">
        <v>53</v>
      </c>
      <c r="B301" s="48">
        <v>46023</v>
      </c>
      <c r="C301" s="26"/>
      <c r="I301" t="s">
        <v>1428</v>
      </c>
      <c r="J301" t="s">
        <v>1429</v>
      </c>
      <c r="K301" t="s">
        <v>1419</v>
      </c>
      <c r="L301" t="s">
        <v>1373</v>
      </c>
      <c r="M301" t="s">
        <v>1396</v>
      </c>
      <c r="N301" t="s">
        <v>59</v>
      </c>
      <c r="O301" t="s">
        <v>60</v>
      </c>
      <c r="P301" t="s">
        <v>61</v>
      </c>
      <c r="Q301">
        <v>1</v>
      </c>
      <c r="R301" t="s">
        <v>62</v>
      </c>
      <c r="S301" t="s">
        <v>309</v>
      </c>
      <c r="T301" s="52"/>
    </row>
    <row r="302" spans="1:20" x14ac:dyDescent="0.3">
      <c r="A302" t="s">
        <v>53</v>
      </c>
      <c r="B302" s="48">
        <v>46023</v>
      </c>
      <c r="C302" s="26"/>
      <c r="I302" t="s">
        <v>1430</v>
      </c>
      <c r="J302" t="s">
        <v>1431</v>
      </c>
      <c r="K302" t="s">
        <v>1432</v>
      </c>
      <c r="L302" t="s">
        <v>1373</v>
      </c>
      <c r="M302" t="s">
        <v>1396</v>
      </c>
      <c r="N302" t="s">
        <v>59</v>
      </c>
      <c r="O302" t="s">
        <v>60</v>
      </c>
      <c r="P302" t="s">
        <v>61</v>
      </c>
      <c r="Q302">
        <v>1</v>
      </c>
      <c r="R302" t="s">
        <v>62</v>
      </c>
      <c r="S302" t="s">
        <v>309</v>
      </c>
      <c r="T302" s="52"/>
    </row>
    <row r="303" spans="1:20" x14ac:dyDescent="0.3">
      <c r="A303" t="s">
        <v>53</v>
      </c>
      <c r="B303" s="48">
        <v>46023</v>
      </c>
      <c r="C303" s="26"/>
      <c r="I303" t="s">
        <v>1433</v>
      </c>
      <c r="J303" t="s">
        <v>1434</v>
      </c>
      <c r="K303" t="s">
        <v>1435</v>
      </c>
      <c r="L303" t="s">
        <v>1373</v>
      </c>
      <c r="M303" t="s">
        <v>1436</v>
      </c>
      <c r="N303" t="s">
        <v>59</v>
      </c>
      <c r="O303" t="s">
        <v>60</v>
      </c>
      <c r="P303" t="s">
        <v>61</v>
      </c>
      <c r="Q303">
        <v>2</v>
      </c>
      <c r="R303" t="s">
        <v>62</v>
      </c>
      <c r="S303" t="s">
        <v>63</v>
      </c>
      <c r="T303" s="52"/>
    </row>
    <row r="304" spans="1:20" x14ac:dyDescent="0.3">
      <c r="A304" t="s">
        <v>53</v>
      </c>
      <c r="B304" s="48">
        <v>46023</v>
      </c>
      <c r="C304" s="26"/>
      <c r="I304" t="s">
        <v>1437</v>
      </c>
      <c r="J304" t="s">
        <v>1438</v>
      </c>
      <c r="K304" t="s">
        <v>59</v>
      </c>
      <c r="L304" t="s">
        <v>1373</v>
      </c>
      <c r="M304" t="s">
        <v>1374</v>
      </c>
      <c r="N304" t="s">
        <v>59</v>
      </c>
      <c r="O304" t="s">
        <v>143</v>
      </c>
      <c r="P304" t="s">
        <v>144</v>
      </c>
      <c r="Q304">
        <v>8</v>
      </c>
      <c r="R304" t="s">
        <v>631</v>
      </c>
      <c r="S304" t="s">
        <v>325</v>
      </c>
      <c r="T304" s="52"/>
    </row>
    <row r="305" spans="1:20" x14ac:dyDescent="0.3">
      <c r="A305" t="s">
        <v>53</v>
      </c>
      <c r="B305" s="48">
        <v>46023</v>
      </c>
      <c r="C305" s="26"/>
      <c r="I305" t="s">
        <v>1439</v>
      </c>
      <c r="J305" t="s">
        <v>1440</v>
      </c>
      <c r="K305" t="s">
        <v>59</v>
      </c>
      <c r="L305" t="s">
        <v>1373</v>
      </c>
      <c r="M305" t="s">
        <v>1374</v>
      </c>
      <c r="N305" t="s">
        <v>59</v>
      </c>
      <c r="O305" t="s">
        <v>143</v>
      </c>
      <c r="P305" t="s">
        <v>144</v>
      </c>
      <c r="Q305">
        <v>15</v>
      </c>
      <c r="R305" t="s">
        <v>631</v>
      </c>
      <c r="S305" t="s">
        <v>325</v>
      </c>
      <c r="T305" s="52"/>
    </row>
    <row r="306" spans="1:20" x14ac:dyDescent="0.3">
      <c r="A306" t="s">
        <v>53</v>
      </c>
      <c r="B306" s="48">
        <v>46023</v>
      </c>
      <c r="C306" s="26"/>
      <c r="I306" t="s">
        <v>1441</v>
      </c>
      <c r="J306" t="s">
        <v>1442</v>
      </c>
      <c r="K306" t="s">
        <v>59</v>
      </c>
      <c r="L306" t="s">
        <v>1373</v>
      </c>
      <c r="M306" t="s">
        <v>587</v>
      </c>
      <c r="N306" t="s">
        <v>59</v>
      </c>
      <c r="O306" t="s">
        <v>116</v>
      </c>
      <c r="P306" t="s">
        <v>144</v>
      </c>
      <c r="Q306">
        <v>91</v>
      </c>
      <c r="R306" t="s">
        <v>631</v>
      </c>
      <c r="S306" t="s">
        <v>129</v>
      </c>
      <c r="T306" s="52"/>
    </row>
    <row r="307" spans="1:20" x14ac:dyDescent="0.3">
      <c r="A307" t="s">
        <v>53</v>
      </c>
      <c r="B307" s="48">
        <v>46023</v>
      </c>
      <c r="C307" s="26"/>
      <c r="I307" t="s">
        <v>1443</v>
      </c>
      <c r="J307" t="s">
        <v>1444</v>
      </c>
      <c r="K307" t="s">
        <v>59</v>
      </c>
      <c r="L307" t="s">
        <v>1373</v>
      </c>
      <c r="M307" t="s">
        <v>587</v>
      </c>
      <c r="N307" t="s">
        <v>59</v>
      </c>
      <c r="O307" t="s">
        <v>116</v>
      </c>
      <c r="P307" t="s">
        <v>144</v>
      </c>
      <c r="Q307">
        <v>1</v>
      </c>
      <c r="R307" t="s">
        <v>631</v>
      </c>
      <c r="S307" t="s">
        <v>129</v>
      </c>
      <c r="T307" s="52"/>
    </row>
    <row r="308" spans="1:20" x14ac:dyDescent="0.3">
      <c r="A308" t="s">
        <v>53</v>
      </c>
      <c r="B308" s="48">
        <v>46023</v>
      </c>
      <c r="C308" s="26"/>
      <c r="I308" t="s">
        <v>1445</v>
      </c>
      <c r="J308" t="s">
        <v>1446</v>
      </c>
      <c r="K308" t="s">
        <v>59</v>
      </c>
      <c r="L308" t="s">
        <v>1373</v>
      </c>
      <c r="M308" t="s">
        <v>1374</v>
      </c>
      <c r="N308" t="s">
        <v>59</v>
      </c>
      <c r="O308" t="s">
        <v>143</v>
      </c>
      <c r="P308" t="s">
        <v>144</v>
      </c>
      <c r="Q308">
        <v>1439</v>
      </c>
      <c r="R308" t="s">
        <v>645</v>
      </c>
      <c r="S308" t="s">
        <v>309</v>
      </c>
      <c r="T308" s="52"/>
    </row>
    <row r="309" spans="1:20" x14ac:dyDescent="0.3">
      <c r="A309" t="s">
        <v>53</v>
      </c>
      <c r="B309" s="48">
        <v>46023</v>
      </c>
      <c r="C309" s="26"/>
      <c r="I309" t="s">
        <v>1447</v>
      </c>
      <c r="J309" t="s">
        <v>1448</v>
      </c>
      <c r="K309" t="s">
        <v>59</v>
      </c>
      <c r="L309" t="s">
        <v>1373</v>
      </c>
      <c r="M309" t="s">
        <v>1374</v>
      </c>
      <c r="N309" t="s">
        <v>59</v>
      </c>
      <c r="O309" t="s">
        <v>143</v>
      </c>
      <c r="P309" t="s">
        <v>258</v>
      </c>
      <c r="Q309">
        <v>12</v>
      </c>
      <c r="R309" t="s">
        <v>645</v>
      </c>
      <c r="S309" t="s">
        <v>309</v>
      </c>
      <c r="T309" s="52"/>
    </row>
    <row r="310" spans="1:20" x14ac:dyDescent="0.3">
      <c r="A310" t="s">
        <v>53</v>
      </c>
      <c r="B310" s="48">
        <v>46023</v>
      </c>
      <c r="C310" s="26"/>
      <c r="I310" t="s">
        <v>1449</v>
      </c>
      <c r="J310" t="s">
        <v>1450</v>
      </c>
      <c r="K310" t="s">
        <v>59</v>
      </c>
      <c r="L310" t="s">
        <v>1373</v>
      </c>
      <c r="M310" t="s">
        <v>1396</v>
      </c>
      <c r="N310" t="s">
        <v>59</v>
      </c>
      <c r="O310" t="s">
        <v>116</v>
      </c>
      <c r="P310" t="s">
        <v>144</v>
      </c>
      <c r="Q310">
        <v>7</v>
      </c>
      <c r="R310" t="s">
        <v>645</v>
      </c>
      <c r="S310" t="s">
        <v>129</v>
      </c>
      <c r="T310" s="52"/>
    </row>
    <row r="311" spans="1:20" x14ac:dyDescent="0.3">
      <c r="A311" t="s">
        <v>53</v>
      </c>
      <c r="B311" s="48">
        <v>46023</v>
      </c>
      <c r="C311" s="26"/>
      <c r="I311" t="s">
        <v>1451</v>
      </c>
      <c r="J311" t="s">
        <v>1452</v>
      </c>
      <c r="K311" t="s">
        <v>1453</v>
      </c>
      <c r="L311" t="s">
        <v>1373</v>
      </c>
      <c r="M311" t="s">
        <v>1396</v>
      </c>
      <c r="N311" t="s">
        <v>59</v>
      </c>
      <c r="O311" t="s">
        <v>143</v>
      </c>
      <c r="P311" t="s">
        <v>144</v>
      </c>
      <c r="Q311">
        <v>1</v>
      </c>
      <c r="R311" t="s">
        <v>664</v>
      </c>
      <c r="S311" t="s">
        <v>129</v>
      </c>
      <c r="T311" s="52"/>
    </row>
    <row r="312" spans="1:20" x14ac:dyDescent="0.3">
      <c r="A312" t="s">
        <v>53</v>
      </c>
      <c r="B312" s="48">
        <v>46023</v>
      </c>
      <c r="C312" s="26"/>
      <c r="I312" t="s">
        <v>1454</v>
      </c>
      <c r="J312" t="s">
        <v>1455</v>
      </c>
      <c r="K312" t="s">
        <v>1456</v>
      </c>
      <c r="L312" t="s">
        <v>1373</v>
      </c>
      <c r="M312" t="s">
        <v>1396</v>
      </c>
      <c r="N312" t="s">
        <v>59</v>
      </c>
      <c r="O312" t="s">
        <v>143</v>
      </c>
      <c r="P312" t="s">
        <v>144</v>
      </c>
      <c r="Q312">
        <v>7</v>
      </c>
      <c r="R312" t="s">
        <v>664</v>
      </c>
      <c r="S312" t="s">
        <v>129</v>
      </c>
      <c r="T312" s="52"/>
    </row>
    <row r="313" spans="1:20" x14ac:dyDescent="0.3">
      <c r="A313" t="s">
        <v>53</v>
      </c>
      <c r="B313" s="48">
        <v>46023</v>
      </c>
      <c r="C313" s="26"/>
      <c r="I313" t="s">
        <v>1457</v>
      </c>
      <c r="J313" t="s">
        <v>1458</v>
      </c>
      <c r="K313" t="s">
        <v>1459</v>
      </c>
      <c r="L313" t="s">
        <v>1373</v>
      </c>
      <c r="M313" t="s">
        <v>1396</v>
      </c>
      <c r="N313" t="s">
        <v>59</v>
      </c>
      <c r="O313" t="s">
        <v>116</v>
      </c>
      <c r="P313" t="s">
        <v>144</v>
      </c>
      <c r="Q313">
        <v>3</v>
      </c>
      <c r="R313" t="s">
        <v>664</v>
      </c>
      <c r="S313" t="s">
        <v>129</v>
      </c>
      <c r="T313" s="52"/>
    </row>
    <row r="314" spans="1:20" x14ac:dyDescent="0.3">
      <c r="A314" t="s">
        <v>53</v>
      </c>
      <c r="B314" s="48">
        <v>46023</v>
      </c>
      <c r="C314" s="26"/>
      <c r="I314" t="s">
        <v>1460</v>
      </c>
      <c r="J314" t="s">
        <v>1461</v>
      </c>
      <c r="K314" t="s">
        <v>1459</v>
      </c>
      <c r="L314" t="s">
        <v>1373</v>
      </c>
      <c r="M314" t="s">
        <v>1396</v>
      </c>
      <c r="N314" t="s">
        <v>59</v>
      </c>
      <c r="O314" t="s">
        <v>116</v>
      </c>
      <c r="P314" t="s">
        <v>144</v>
      </c>
      <c r="Q314">
        <v>1</v>
      </c>
      <c r="R314" t="s">
        <v>664</v>
      </c>
      <c r="S314" t="s">
        <v>129</v>
      </c>
      <c r="T314" s="52"/>
    </row>
    <row r="315" spans="1:20" x14ac:dyDescent="0.3">
      <c r="A315" t="s">
        <v>53</v>
      </c>
      <c r="B315" s="48">
        <v>46023</v>
      </c>
      <c r="C315" s="26"/>
      <c r="I315" t="s">
        <v>1462</v>
      </c>
      <c r="J315" t="s">
        <v>1463</v>
      </c>
      <c r="K315" t="s">
        <v>59</v>
      </c>
      <c r="L315" t="s">
        <v>1373</v>
      </c>
      <c r="M315" t="s">
        <v>587</v>
      </c>
      <c r="N315" t="s">
        <v>59</v>
      </c>
      <c r="O315" t="s">
        <v>143</v>
      </c>
      <c r="P315" t="s">
        <v>61</v>
      </c>
      <c r="Q315">
        <v>16</v>
      </c>
      <c r="R315" t="s">
        <v>664</v>
      </c>
      <c r="S315" t="s">
        <v>129</v>
      </c>
      <c r="T315" s="52"/>
    </row>
    <row r="316" spans="1:20" x14ac:dyDescent="0.3">
      <c r="A316" t="s">
        <v>53</v>
      </c>
      <c r="B316" s="48">
        <v>46023</v>
      </c>
      <c r="C316" s="26"/>
      <c r="I316" t="s">
        <v>1464</v>
      </c>
      <c r="J316" t="s">
        <v>1465</v>
      </c>
      <c r="K316" t="s">
        <v>59</v>
      </c>
      <c r="L316" t="s">
        <v>1373</v>
      </c>
      <c r="M316" t="s">
        <v>587</v>
      </c>
      <c r="N316" t="s">
        <v>59</v>
      </c>
      <c r="O316" t="s">
        <v>143</v>
      </c>
      <c r="P316" t="s">
        <v>61</v>
      </c>
      <c r="Q316">
        <v>14</v>
      </c>
      <c r="R316" t="s">
        <v>664</v>
      </c>
      <c r="S316" t="s">
        <v>129</v>
      </c>
      <c r="T316" s="52"/>
    </row>
    <row r="317" spans="1:20" x14ac:dyDescent="0.3">
      <c r="A317" t="s">
        <v>53</v>
      </c>
      <c r="B317" s="48">
        <v>46023</v>
      </c>
      <c r="C317" s="26"/>
      <c r="I317" t="s">
        <v>1466</v>
      </c>
      <c r="J317" t="s">
        <v>1467</v>
      </c>
      <c r="K317" t="s">
        <v>59</v>
      </c>
      <c r="L317" t="s">
        <v>1373</v>
      </c>
      <c r="M317" t="s">
        <v>587</v>
      </c>
      <c r="N317" t="s">
        <v>59</v>
      </c>
      <c r="O317" t="s">
        <v>143</v>
      </c>
      <c r="P317" t="s">
        <v>61</v>
      </c>
      <c r="Q317">
        <v>1</v>
      </c>
      <c r="R317" t="s">
        <v>664</v>
      </c>
      <c r="S317" t="s">
        <v>129</v>
      </c>
      <c r="T317" s="52"/>
    </row>
    <row r="318" spans="1:20" x14ac:dyDescent="0.3">
      <c r="A318" t="s">
        <v>53</v>
      </c>
      <c r="B318" s="48">
        <v>46023</v>
      </c>
      <c r="C318" s="26"/>
      <c r="I318" t="s">
        <v>1468</v>
      </c>
      <c r="J318" t="s">
        <v>1469</v>
      </c>
      <c r="K318" t="s">
        <v>59</v>
      </c>
      <c r="L318" t="s">
        <v>1373</v>
      </c>
      <c r="M318" t="s">
        <v>587</v>
      </c>
      <c r="N318" t="s">
        <v>59</v>
      </c>
      <c r="O318" t="s">
        <v>143</v>
      </c>
      <c r="P318" t="s">
        <v>61</v>
      </c>
      <c r="Q318">
        <v>1</v>
      </c>
      <c r="R318" t="s">
        <v>664</v>
      </c>
      <c r="S318" t="s">
        <v>129</v>
      </c>
      <c r="T318" s="52"/>
    </row>
    <row r="319" spans="1:20" x14ac:dyDescent="0.3">
      <c r="A319" t="s">
        <v>53</v>
      </c>
      <c r="B319" s="48">
        <v>46023</v>
      </c>
      <c r="C319" s="26"/>
      <c r="I319" t="s">
        <v>1470</v>
      </c>
      <c r="J319" t="s">
        <v>1471</v>
      </c>
      <c r="K319" t="s">
        <v>59</v>
      </c>
      <c r="L319" t="s">
        <v>1373</v>
      </c>
      <c r="M319" t="s">
        <v>587</v>
      </c>
      <c r="N319" t="s">
        <v>59</v>
      </c>
      <c r="O319" t="s">
        <v>143</v>
      </c>
      <c r="P319" t="s">
        <v>61</v>
      </c>
      <c r="Q319">
        <v>1</v>
      </c>
      <c r="R319" t="s">
        <v>664</v>
      </c>
      <c r="S319" t="s">
        <v>129</v>
      </c>
      <c r="T319" s="52"/>
    </row>
    <row r="320" spans="1:20" x14ac:dyDescent="0.3">
      <c r="A320" t="s">
        <v>53</v>
      </c>
      <c r="B320" s="48">
        <v>46023</v>
      </c>
      <c r="C320" s="26"/>
      <c r="I320" t="s">
        <v>1472</v>
      </c>
      <c r="J320" t="s">
        <v>1473</v>
      </c>
      <c r="K320" t="s">
        <v>59</v>
      </c>
      <c r="L320" t="s">
        <v>1373</v>
      </c>
      <c r="M320" t="s">
        <v>587</v>
      </c>
      <c r="N320" t="s">
        <v>59</v>
      </c>
      <c r="O320" t="s">
        <v>143</v>
      </c>
      <c r="P320" t="s">
        <v>61</v>
      </c>
      <c r="Q320">
        <v>37</v>
      </c>
      <c r="R320" t="s">
        <v>661</v>
      </c>
      <c r="S320" t="s">
        <v>129</v>
      </c>
      <c r="T320" s="52"/>
    </row>
    <row r="321" spans="1:20" x14ac:dyDescent="0.3">
      <c r="A321" t="s">
        <v>53</v>
      </c>
      <c r="B321" s="48">
        <v>46023</v>
      </c>
      <c r="C321" s="26"/>
      <c r="I321" t="s">
        <v>1474</v>
      </c>
      <c r="J321" t="s">
        <v>1475</v>
      </c>
      <c r="K321" t="s">
        <v>59</v>
      </c>
      <c r="L321" t="s">
        <v>1373</v>
      </c>
      <c r="M321" t="s">
        <v>587</v>
      </c>
      <c r="N321" t="s">
        <v>59</v>
      </c>
      <c r="O321" t="s">
        <v>143</v>
      </c>
      <c r="P321" t="s">
        <v>61</v>
      </c>
      <c r="Q321">
        <v>18</v>
      </c>
      <c r="R321" t="s">
        <v>661</v>
      </c>
      <c r="S321" t="s">
        <v>129</v>
      </c>
      <c r="T321" s="52"/>
    </row>
    <row r="322" spans="1:20" x14ac:dyDescent="0.3">
      <c r="A322" t="s">
        <v>53</v>
      </c>
      <c r="B322" s="48">
        <v>46023</v>
      </c>
      <c r="C322" s="26"/>
      <c r="I322" t="s">
        <v>1476</v>
      </c>
      <c r="J322" t="s">
        <v>1477</v>
      </c>
      <c r="K322" t="s">
        <v>1478</v>
      </c>
      <c r="L322" t="s">
        <v>1373</v>
      </c>
      <c r="M322" t="s">
        <v>587</v>
      </c>
      <c r="N322" t="s">
        <v>59</v>
      </c>
      <c r="O322" t="s">
        <v>143</v>
      </c>
      <c r="P322" t="s">
        <v>144</v>
      </c>
      <c r="Q322">
        <v>1</v>
      </c>
      <c r="R322" t="s">
        <v>1479</v>
      </c>
      <c r="S322" t="s">
        <v>129</v>
      </c>
      <c r="T322" s="52"/>
    </row>
    <row r="323" spans="1:20" x14ac:dyDescent="0.3">
      <c r="A323" t="s">
        <v>53</v>
      </c>
      <c r="B323" s="48">
        <v>46023</v>
      </c>
      <c r="C323" s="26"/>
      <c r="I323" t="s">
        <v>1480</v>
      </c>
      <c r="J323" t="s">
        <v>1481</v>
      </c>
      <c r="K323" t="s">
        <v>59</v>
      </c>
      <c r="L323" t="s">
        <v>1373</v>
      </c>
      <c r="M323" t="s">
        <v>1396</v>
      </c>
      <c r="N323" t="s">
        <v>59</v>
      </c>
      <c r="O323" t="s">
        <v>116</v>
      </c>
      <c r="P323" t="s">
        <v>144</v>
      </c>
      <c r="Q323">
        <v>1</v>
      </c>
      <c r="R323" t="s">
        <v>661</v>
      </c>
      <c r="S323" t="s">
        <v>129</v>
      </c>
      <c r="T323" s="52"/>
    </row>
    <row r="324" spans="1:20" x14ac:dyDescent="0.3">
      <c r="A324" t="s">
        <v>53</v>
      </c>
      <c r="B324" s="48">
        <v>46023</v>
      </c>
      <c r="C324" s="26"/>
      <c r="I324" t="s">
        <v>1482</v>
      </c>
      <c r="J324" t="s">
        <v>1483</v>
      </c>
      <c r="K324" t="s">
        <v>1484</v>
      </c>
      <c r="L324" t="s">
        <v>1373</v>
      </c>
      <c r="M324" t="s">
        <v>1485</v>
      </c>
      <c r="N324" t="s">
        <v>59</v>
      </c>
      <c r="O324" t="s">
        <v>143</v>
      </c>
      <c r="P324" t="s">
        <v>1486</v>
      </c>
      <c r="Q324">
        <v>1</v>
      </c>
      <c r="R324" t="s">
        <v>709</v>
      </c>
      <c r="S324" t="s">
        <v>1487</v>
      </c>
      <c r="T324" s="52"/>
    </row>
    <row r="325" spans="1:20" x14ac:dyDescent="0.3">
      <c r="A325" t="s">
        <v>53</v>
      </c>
      <c r="B325" s="48">
        <v>46023</v>
      </c>
      <c r="C325" s="26"/>
      <c r="I325" t="s">
        <v>1488</v>
      </c>
      <c r="J325" t="s">
        <v>1489</v>
      </c>
      <c r="K325" t="s">
        <v>1490</v>
      </c>
      <c r="L325" t="s">
        <v>1373</v>
      </c>
      <c r="M325" t="s">
        <v>1374</v>
      </c>
      <c r="N325" t="s">
        <v>59</v>
      </c>
      <c r="O325" t="s">
        <v>143</v>
      </c>
      <c r="P325" t="s">
        <v>1491</v>
      </c>
      <c r="Q325">
        <v>2</v>
      </c>
      <c r="R325" t="s">
        <v>709</v>
      </c>
      <c r="S325" t="s">
        <v>112</v>
      </c>
      <c r="T325" s="52"/>
    </row>
    <row r="326" spans="1:20" x14ac:dyDescent="0.3">
      <c r="A326" t="s">
        <v>53</v>
      </c>
      <c r="B326" s="48">
        <v>46023</v>
      </c>
      <c r="C326" s="26"/>
      <c r="I326" t="s">
        <v>1492</v>
      </c>
      <c r="J326" t="s">
        <v>1493</v>
      </c>
      <c r="K326" t="s">
        <v>59</v>
      </c>
      <c r="L326" t="s">
        <v>1373</v>
      </c>
      <c r="M326" t="s">
        <v>1485</v>
      </c>
      <c r="N326" t="s">
        <v>59</v>
      </c>
      <c r="O326" t="s">
        <v>143</v>
      </c>
      <c r="P326" t="s">
        <v>1491</v>
      </c>
      <c r="Q326">
        <v>7</v>
      </c>
      <c r="R326" t="s">
        <v>757</v>
      </c>
      <c r="S326" t="s">
        <v>309</v>
      </c>
      <c r="T326" s="52"/>
    </row>
    <row r="327" spans="1:20" x14ac:dyDescent="0.3">
      <c r="A327" t="s">
        <v>53</v>
      </c>
      <c r="B327" s="48">
        <v>46023</v>
      </c>
      <c r="C327" s="26"/>
      <c r="I327" t="s">
        <v>1494</v>
      </c>
      <c r="J327" t="s">
        <v>1495</v>
      </c>
      <c r="K327" t="s">
        <v>59</v>
      </c>
      <c r="L327" t="s">
        <v>1373</v>
      </c>
      <c r="M327" t="s">
        <v>1485</v>
      </c>
      <c r="N327" t="s">
        <v>59</v>
      </c>
      <c r="O327" t="s">
        <v>143</v>
      </c>
      <c r="P327" t="s">
        <v>144</v>
      </c>
      <c r="Q327">
        <v>5</v>
      </c>
      <c r="R327" t="s">
        <v>757</v>
      </c>
      <c r="S327" t="s">
        <v>309</v>
      </c>
      <c r="T327" s="52"/>
    </row>
    <row r="328" spans="1:20" x14ac:dyDescent="0.3">
      <c r="A328" t="s">
        <v>53</v>
      </c>
      <c r="B328" s="48">
        <v>46023</v>
      </c>
      <c r="C328" s="26"/>
      <c r="I328" t="s">
        <v>1496</v>
      </c>
      <c r="J328" t="s">
        <v>1497</v>
      </c>
      <c r="K328" t="s">
        <v>1498</v>
      </c>
      <c r="L328" t="s">
        <v>1373</v>
      </c>
      <c r="M328" t="s">
        <v>1485</v>
      </c>
      <c r="N328" t="s">
        <v>59</v>
      </c>
      <c r="O328" t="s">
        <v>143</v>
      </c>
      <c r="P328" t="s">
        <v>1491</v>
      </c>
      <c r="Q328">
        <v>1</v>
      </c>
      <c r="R328" t="s">
        <v>757</v>
      </c>
      <c r="S328" t="s">
        <v>309</v>
      </c>
      <c r="T328" s="52"/>
    </row>
    <row r="329" spans="1:20" x14ac:dyDescent="0.3">
      <c r="A329" t="s">
        <v>53</v>
      </c>
      <c r="B329" s="48">
        <v>46023</v>
      </c>
      <c r="C329" s="26"/>
      <c r="I329" t="s">
        <v>1499</v>
      </c>
      <c r="J329" t="s">
        <v>1500</v>
      </c>
      <c r="K329" t="s">
        <v>1498</v>
      </c>
      <c r="L329" t="s">
        <v>1373</v>
      </c>
      <c r="M329" t="s">
        <v>1485</v>
      </c>
      <c r="N329" t="s">
        <v>59</v>
      </c>
      <c r="O329" t="s">
        <v>143</v>
      </c>
      <c r="P329" t="s">
        <v>1491</v>
      </c>
      <c r="Q329">
        <v>3</v>
      </c>
      <c r="R329" t="s">
        <v>757</v>
      </c>
      <c r="S329" t="s">
        <v>309</v>
      </c>
      <c r="T329" s="52"/>
    </row>
    <row r="330" spans="1:20" x14ac:dyDescent="0.3">
      <c r="A330" t="s">
        <v>53</v>
      </c>
      <c r="B330" s="48">
        <v>46023</v>
      </c>
      <c r="C330" s="26"/>
      <c r="I330" t="s">
        <v>1501</v>
      </c>
      <c r="J330" t="s">
        <v>1502</v>
      </c>
      <c r="K330" t="s">
        <v>1498</v>
      </c>
      <c r="L330" t="s">
        <v>1373</v>
      </c>
      <c r="M330" t="s">
        <v>1485</v>
      </c>
      <c r="N330" t="s">
        <v>59</v>
      </c>
      <c r="O330" t="s">
        <v>143</v>
      </c>
      <c r="P330" t="s">
        <v>1491</v>
      </c>
      <c r="Q330">
        <v>4</v>
      </c>
      <c r="R330" t="s">
        <v>757</v>
      </c>
      <c r="S330" t="s">
        <v>309</v>
      </c>
      <c r="T330" s="52"/>
    </row>
    <row r="331" spans="1:20" x14ac:dyDescent="0.3">
      <c r="A331" t="s">
        <v>53</v>
      </c>
      <c r="B331" s="48">
        <v>46023</v>
      </c>
      <c r="C331" s="26"/>
      <c r="I331" t="s">
        <v>1503</v>
      </c>
      <c r="J331" t="s">
        <v>1504</v>
      </c>
      <c r="K331" t="s">
        <v>1484</v>
      </c>
      <c r="L331" t="s">
        <v>1373</v>
      </c>
      <c r="M331" t="s">
        <v>1485</v>
      </c>
      <c r="N331" t="s">
        <v>59</v>
      </c>
      <c r="O331" t="s">
        <v>143</v>
      </c>
      <c r="P331" t="s">
        <v>1491</v>
      </c>
      <c r="Q331">
        <v>1</v>
      </c>
      <c r="R331" t="s">
        <v>757</v>
      </c>
      <c r="S331" t="s">
        <v>309</v>
      </c>
      <c r="T331" s="52"/>
    </row>
    <row r="332" spans="1:20" x14ac:dyDescent="0.3">
      <c r="A332" t="s">
        <v>53</v>
      </c>
      <c r="B332" s="48">
        <v>46023</v>
      </c>
      <c r="C332" s="26"/>
      <c r="I332" t="s">
        <v>1505</v>
      </c>
      <c r="J332" t="s">
        <v>1506</v>
      </c>
      <c r="K332" t="s">
        <v>1484</v>
      </c>
      <c r="L332" t="s">
        <v>1373</v>
      </c>
      <c r="M332" t="s">
        <v>1485</v>
      </c>
      <c r="N332" t="s">
        <v>59</v>
      </c>
      <c r="O332" t="s">
        <v>143</v>
      </c>
      <c r="P332" t="s">
        <v>1491</v>
      </c>
      <c r="Q332">
        <v>4</v>
      </c>
      <c r="R332" t="s">
        <v>757</v>
      </c>
      <c r="S332" t="s">
        <v>309</v>
      </c>
      <c r="T332" s="52"/>
    </row>
    <row r="333" spans="1:20" x14ac:dyDescent="0.3">
      <c r="A333" t="s">
        <v>53</v>
      </c>
      <c r="B333" s="48">
        <v>46023</v>
      </c>
      <c r="C333" s="26"/>
      <c r="I333" t="s">
        <v>1507</v>
      </c>
      <c r="J333" t="s">
        <v>1508</v>
      </c>
      <c r="K333" t="s">
        <v>1484</v>
      </c>
      <c r="L333" t="s">
        <v>1373</v>
      </c>
      <c r="M333" t="s">
        <v>1485</v>
      </c>
      <c r="N333" t="s">
        <v>59</v>
      </c>
      <c r="O333" t="s">
        <v>143</v>
      </c>
      <c r="P333" t="s">
        <v>144</v>
      </c>
      <c r="Q333">
        <v>1</v>
      </c>
      <c r="R333" t="s">
        <v>757</v>
      </c>
      <c r="S333" t="s">
        <v>309</v>
      </c>
      <c r="T333" s="52"/>
    </row>
    <row r="334" spans="1:20" x14ac:dyDescent="0.3">
      <c r="A334" t="s">
        <v>53</v>
      </c>
      <c r="B334" s="48">
        <v>46023</v>
      </c>
      <c r="C334" s="26"/>
      <c r="I334" t="s">
        <v>1509</v>
      </c>
      <c r="J334" t="s">
        <v>1510</v>
      </c>
      <c r="K334" t="s">
        <v>59</v>
      </c>
      <c r="L334" t="s">
        <v>1373</v>
      </c>
      <c r="M334" t="s">
        <v>1374</v>
      </c>
      <c r="N334" t="s">
        <v>59</v>
      </c>
      <c r="O334" t="s">
        <v>143</v>
      </c>
      <c r="P334" t="s">
        <v>144</v>
      </c>
      <c r="Q334">
        <v>139</v>
      </c>
      <c r="R334" t="s">
        <v>757</v>
      </c>
      <c r="S334" t="s">
        <v>309</v>
      </c>
      <c r="T334" s="52"/>
    </row>
    <row r="335" spans="1:20" x14ac:dyDescent="0.3">
      <c r="A335" t="s">
        <v>53</v>
      </c>
      <c r="B335" s="48">
        <v>46023</v>
      </c>
      <c r="C335" s="26"/>
      <c r="I335" t="s">
        <v>1511</v>
      </c>
      <c r="J335" t="s">
        <v>1512</v>
      </c>
      <c r="K335" t="s">
        <v>59</v>
      </c>
      <c r="L335" t="s">
        <v>1373</v>
      </c>
      <c r="M335" t="s">
        <v>1513</v>
      </c>
      <c r="N335" t="s">
        <v>59</v>
      </c>
      <c r="O335" t="s">
        <v>116</v>
      </c>
      <c r="P335" t="s">
        <v>144</v>
      </c>
      <c r="Q335">
        <v>3</v>
      </c>
      <c r="R335" t="s">
        <v>308</v>
      </c>
      <c r="S335" t="s">
        <v>309</v>
      </c>
      <c r="T335" s="52"/>
    </row>
    <row r="336" spans="1:20" x14ac:dyDescent="0.3">
      <c r="A336" t="s">
        <v>53</v>
      </c>
      <c r="B336" s="48">
        <v>46023</v>
      </c>
      <c r="C336" s="26"/>
      <c r="I336" t="s">
        <v>1514</v>
      </c>
      <c r="J336" t="s">
        <v>1515</v>
      </c>
      <c r="K336" t="s">
        <v>1516</v>
      </c>
      <c r="L336" t="s">
        <v>1373</v>
      </c>
      <c r="M336" t="s">
        <v>1513</v>
      </c>
      <c r="N336" t="s">
        <v>59</v>
      </c>
      <c r="O336" t="s">
        <v>116</v>
      </c>
      <c r="P336" t="s">
        <v>144</v>
      </c>
      <c r="Q336">
        <v>1</v>
      </c>
      <c r="R336" t="s">
        <v>308</v>
      </c>
      <c r="S336" t="s">
        <v>309</v>
      </c>
      <c r="T336" s="52"/>
    </row>
    <row r="337" spans="1:20" x14ac:dyDescent="0.3">
      <c r="A337" t="s">
        <v>53</v>
      </c>
      <c r="B337" s="48">
        <v>46023</v>
      </c>
      <c r="C337" s="26"/>
      <c r="I337" t="s">
        <v>1517</v>
      </c>
      <c r="J337" t="s">
        <v>1518</v>
      </c>
      <c r="K337" t="s">
        <v>59</v>
      </c>
      <c r="L337" t="s">
        <v>1373</v>
      </c>
      <c r="M337" t="s">
        <v>1519</v>
      </c>
      <c r="N337" t="s">
        <v>59</v>
      </c>
      <c r="O337" t="s">
        <v>143</v>
      </c>
      <c r="P337" t="s">
        <v>144</v>
      </c>
      <c r="Q337">
        <v>2</v>
      </c>
      <c r="R337" t="s">
        <v>308</v>
      </c>
      <c r="S337" t="s">
        <v>112</v>
      </c>
      <c r="T337" s="52"/>
    </row>
    <row r="338" spans="1:20" x14ac:dyDescent="0.3">
      <c r="A338" t="s">
        <v>53</v>
      </c>
      <c r="B338" s="48">
        <v>46023</v>
      </c>
      <c r="C338" s="26"/>
      <c r="I338" t="s">
        <v>1520</v>
      </c>
      <c r="J338" t="s">
        <v>1521</v>
      </c>
      <c r="K338" t="s">
        <v>59</v>
      </c>
      <c r="L338" t="s">
        <v>1373</v>
      </c>
      <c r="M338" t="s">
        <v>1519</v>
      </c>
      <c r="N338" t="s">
        <v>59</v>
      </c>
      <c r="O338" t="s">
        <v>143</v>
      </c>
      <c r="P338" t="s">
        <v>144</v>
      </c>
      <c r="Q338">
        <v>1</v>
      </c>
      <c r="R338" t="s">
        <v>308</v>
      </c>
      <c r="S338" t="s">
        <v>112</v>
      </c>
      <c r="T338" s="52"/>
    </row>
    <row r="339" spans="1:20" x14ac:dyDescent="0.3">
      <c r="A339" t="s">
        <v>53</v>
      </c>
      <c r="B339" s="48">
        <v>46023</v>
      </c>
      <c r="C339" s="26"/>
      <c r="I339" t="s">
        <v>1522</v>
      </c>
      <c r="J339" t="s">
        <v>1523</v>
      </c>
      <c r="K339" t="s">
        <v>59</v>
      </c>
      <c r="L339" t="s">
        <v>1373</v>
      </c>
      <c r="M339" t="s">
        <v>1519</v>
      </c>
      <c r="N339" t="s">
        <v>59</v>
      </c>
      <c r="O339" t="s">
        <v>143</v>
      </c>
      <c r="P339" t="s">
        <v>144</v>
      </c>
      <c r="Q339">
        <v>4</v>
      </c>
      <c r="R339" t="s">
        <v>308</v>
      </c>
      <c r="S339" t="s">
        <v>112</v>
      </c>
      <c r="T339" s="52"/>
    </row>
    <row r="340" spans="1:20" x14ac:dyDescent="0.3">
      <c r="A340" t="s">
        <v>53</v>
      </c>
      <c r="B340" s="48">
        <v>46023</v>
      </c>
      <c r="C340" s="26"/>
      <c r="I340" t="s">
        <v>1524</v>
      </c>
      <c r="J340" t="s">
        <v>1525</v>
      </c>
      <c r="K340" t="s">
        <v>59</v>
      </c>
      <c r="L340" t="s">
        <v>1373</v>
      </c>
      <c r="M340" t="s">
        <v>1519</v>
      </c>
      <c r="N340" t="s">
        <v>59</v>
      </c>
      <c r="O340" t="s">
        <v>143</v>
      </c>
      <c r="P340" t="s">
        <v>144</v>
      </c>
      <c r="Q340">
        <v>1</v>
      </c>
      <c r="R340" t="s">
        <v>308</v>
      </c>
      <c r="S340" t="s">
        <v>112</v>
      </c>
      <c r="T340" s="52"/>
    </row>
    <row r="341" spans="1:20" x14ac:dyDescent="0.3">
      <c r="A341" t="s">
        <v>53</v>
      </c>
      <c r="B341" s="48">
        <v>46023</v>
      </c>
      <c r="C341" s="26"/>
      <c r="I341" t="s">
        <v>1526</v>
      </c>
      <c r="J341" t="s">
        <v>1527</v>
      </c>
      <c r="K341" t="s">
        <v>59</v>
      </c>
      <c r="L341" t="s">
        <v>1373</v>
      </c>
      <c r="M341" t="s">
        <v>1374</v>
      </c>
      <c r="N341" t="s">
        <v>59</v>
      </c>
      <c r="O341" t="s">
        <v>143</v>
      </c>
      <c r="P341" t="s">
        <v>87</v>
      </c>
      <c r="Q341">
        <v>7</v>
      </c>
      <c r="R341" t="s">
        <v>308</v>
      </c>
      <c r="S341" t="s">
        <v>309</v>
      </c>
      <c r="T341" s="52"/>
    </row>
    <row r="342" spans="1:20" x14ac:dyDescent="0.3">
      <c r="A342" t="s">
        <v>53</v>
      </c>
      <c r="B342" s="48">
        <v>46023</v>
      </c>
      <c r="C342" s="26"/>
      <c r="I342" t="s">
        <v>1528</v>
      </c>
      <c r="J342" t="s">
        <v>1529</v>
      </c>
      <c r="K342" t="s">
        <v>59</v>
      </c>
      <c r="L342" t="s">
        <v>1373</v>
      </c>
      <c r="M342" t="s">
        <v>1396</v>
      </c>
      <c r="N342" t="s">
        <v>59</v>
      </c>
      <c r="O342" t="s">
        <v>116</v>
      </c>
      <c r="P342" t="s">
        <v>61</v>
      </c>
      <c r="Q342">
        <v>1</v>
      </c>
      <c r="R342" t="s">
        <v>308</v>
      </c>
      <c r="S342" t="s">
        <v>309</v>
      </c>
      <c r="T342" s="52"/>
    </row>
    <row r="343" spans="1:20" x14ac:dyDescent="0.3">
      <c r="A343" t="s">
        <v>53</v>
      </c>
      <c r="B343" s="48">
        <v>46023</v>
      </c>
      <c r="C343" s="26"/>
      <c r="I343" t="s">
        <v>1530</v>
      </c>
      <c r="J343" t="s">
        <v>1531</v>
      </c>
      <c r="K343" t="s">
        <v>59</v>
      </c>
      <c r="L343" t="s">
        <v>1373</v>
      </c>
      <c r="M343" t="s">
        <v>587</v>
      </c>
      <c r="N343">
        <v>269</v>
      </c>
      <c r="O343" t="s">
        <v>116</v>
      </c>
      <c r="P343" t="s">
        <v>144</v>
      </c>
      <c r="Q343">
        <v>1</v>
      </c>
      <c r="R343" t="s">
        <v>1008</v>
      </c>
      <c r="S343" t="s">
        <v>309</v>
      </c>
      <c r="T343" s="52"/>
    </row>
    <row r="344" spans="1:20" x14ac:dyDescent="0.3">
      <c r="A344" t="s">
        <v>53</v>
      </c>
      <c r="B344" s="48">
        <v>46023</v>
      </c>
      <c r="C344" s="26"/>
      <c r="I344" t="s">
        <v>1532</v>
      </c>
      <c r="J344" t="s">
        <v>1533</v>
      </c>
      <c r="K344" t="s">
        <v>1534</v>
      </c>
      <c r="L344" t="s">
        <v>1373</v>
      </c>
      <c r="M344" t="s">
        <v>587</v>
      </c>
      <c r="N344" t="s">
        <v>59</v>
      </c>
      <c r="O344" t="s">
        <v>116</v>
      </c>
      <c r="P344" t="s">
        <v>144</v>
      </c>
      <c r="Q344">
        <v>3</v>
      </c>
      <c r="R344" t="s">
        <v>1008</v>
      </c>
      <c r="S344" t="s">
        <v>309</v>
      </c>
      <c r="T344" s="52"/>
    </row>
    <row r="345" spans="1:20" x14ac:dyDescent="0.3">
      <c r="A345" t="s">
        <v>53</v>
      </c>
      <c r="B345" s="48">
        <v>46023</v>
      </c>
      <c r="C345" s="26"/>
      <c r="I345" t="s">
        <v>1535</v>
      </c>
      <c r="J345" t="s">
        <v>1536</v>
      </c>
      <c r="K345" t="s">
        <v>59</v>
      </c>
      <c r="L345" t="s">
        <v>1373</v>
      </c>
      <c r="M345" t="s">
        <v>587</v>
      </c>
      <c r="N345" t="s">
        <v>59</v>
      </c>
      <c r="O345" t="s">
        <v>143</v>
      </c>
      <c r="P345" t="s">
        <v>144</v>
      </c>
      <c r="Q345">
        <v>2</v>
      </c>
      <c r="R345" t="s">
        <v>1011</v>
      </c>
      <c r="S345" t="s">
        <v>309</v>
      </c>
      <c r="T345" s="52"/>
    </row>
    <row r="346" spans="1:20" x14ac:dyDescent="0.3">
      <c r="A346" t="s">
        <v>53</v>
      </c>
      <c r="B346" s="48">
        <v>46023</v>
      </c>
      <c r="C346" s="26"/>
      <c r="I346" t="s">
        <v>1537</v>
      </c>
      <c r="J346" t="s">
        <v>1538</v>
      </c>
      <c r="K346" t="s">
        <v>59</v>
      </c>
      <c r="L346" t="s">
        <v>1373</v>
      </c>
      <c r="M346" t="s">
        <v>587</v>
      </c>
      <c r="N346" t="s">
        <v>59</v>
      </c>
      <c r="O346" t="s">
        <v>143</v>
      </c>
      <c r="P346" t="s">
        <v>144</v>
      </c>
      <c r="Q346">
        <v>14</v>
      </c>
      <c r="R346" t="s">
        <v>1011</v>
      </c>
      <c r="S346" t="s">
        <v>309</v>
      </c>
      <c r="T346" s="52"/>
    </row>
    <row r="347" spans="1:20" x14ac:dyDescent="0.3">
      <c r="A347" t="s">
        <v>53</v>
      </c>
      <c r="B347" s="48">
        <v>46023</v>
      </c>
      <c r="C347" s="26"/>
      <c r="I347" t="s">
        <v>1539</v>
      </c>
      <c r="J347" t="s">
        <v>1540</v>
      </c>
      <c r="K347" t="s">
        <v>59</v>
      </c>
      <c r="L347" t="s">
        <v>1373</v>
      </c>
      <c r="M347" t="s">
        <v>1436</v>
      </c>
      <c r="N347" t="s">
        <v>59</v>
      </c>
      <c r="O347" t="s">
        <v>116</v>
      </c>
      <c r="P347" t="s">
        <v>144</v>
      </c>
      <c r="Q347">
        <v>1</v>
      </c>
      <c r="R347" t="s">
        <v>1008</v>
      </c>
      <c r="S347" t="s">
        <v>309</v>
      </c>
      <c r="T347" s="52"/>
    </row>
    <row r="348" spans="1:20" x14ac:dyDescent="0.3">
      <c r="A348" t="s">
        <v>53</v>
      </c>
      <c r="B348" s="48">
        <v>46023</v>
      </c>
      <c r="C348" s="26"/>
      <c r="I348" t="s">
        <v>1541</v>
      </c>
      <c r="J348" t="s">
        <v>1542</v>
      </c>
      <c r="K348" t="s">
        <v>59</v>
      </c>
      <c r="L348" t="s">
        <v>1373</v>
      </c>
      <c r="M348" t="s">
        <v>587</v>
      </c>
      <c r="N348" t="s">
        <v>59</v>
      </c>
      <c r="O348" t="s">
        <v>60</v>
      </c>
      <c r="P348" t="s">
        <v>61</v>
      </c>
      <c r="Q348">
        <v>1</v>
      </c>
      <c r="R348" t="s">
        <v>1052</v>
      </c>
      <c r="S348" t="s">
        <v>309</v>
      </c>
      <c r="T348" s="52"/>
    </row>
    <row r="349" spans="1:20" x14ac:dyDescent="0.3">
      <c r="A349" t="s">
        <v>53</v>
      </c>
      <c r="B349" s="48">
        <v>46023</v>
      </c>
      <c r="C349" s="26"/>
      <c r="I349" t="s">
        <v>1543</v>
      </c>
      <c r="J349" t="s">
        <v>1544</v>
      </c>
      <c r="K349" t="s">
        <v>59</v>
      </c>
      <c r="L349" t="s">
        <v>1373</v>
      </c>
      <c r="M349" t="s">
        <v>1396</v>
      </c>
      <c r="N349" t="s">
        <v>59</v>
      </c>
      <c r="O349" t="s">
        <v>143</v>
      </c>
      <c r="P349" t="s">
        <v>144</v>
      </c>
      <c r="Q349">
        <v>2</v>
      </c>
      <c r="R349" t="s">
        <v>464</v>
      </c>
      <c r="S349" t="s">
        <v>325</v>
      </c>
      <c r="T349" s="52"/>
    </row>
    <row r="350" spans="1:20" x14ac:dyDescent="0.3">
      <c r="A350" t="s">
        <v>53</v>
      </c>
      <c r="B350" s="48">
        <v>46023</v>
      </c>
      <c r="C350" s="26"/>
      <c r="I350" t="s">
        <v>1545</v>
      </c>
      <c r="J350" t="s">
        <v>1544</v>
      </c>
      <c r="K350" t="s">
        <v>59</v>
      </c>
      <c r="L350" t="s">
        <v>1373</v>
      </c>
      <c r="M350" t="s">
        <v>1396</v>
      </c>
      <c r="N350" t="s">
        <v>59</v>
      </c>
      <c r="O350" t="s">
        <v>116</v>
      </c>
      <c r="P350" t="s">
        <v>144</v>
      </c>
      <c r="Q350">
        <v>1</v>
      </c>
      <c r="R350" t="s">
        <v>464</v>
      </c>
      <c r="S350" t="s">
        <v>325</v>
      </c>
      <c r="T350" s="52"/>
    </row>
    <row r="351" spans="1:20" x14ac:dyDescent="0.3">
      <c r="A351" t="s">
        <v>53</v>
      </c>
      <c r="B351" s="48">
        <v>46023</v>
      </c>
      <c r="C351" s="26"/>
      <c r="I351" t="s">
        <v>1546</v>
      </c>
      <c r="J351" t="s">
        <v>1547</v>
      </c>
      <c r="K351" t="s">
        <v>1548</v>
      </c>
      <c r="L351" t="s">
        <v>1373</v>
      </c>
      <c r="M351" t="s">
        <v>1549</v>
      </c>
      <c r="N351" t="s">
        <v>59</v>
      </c>
      <c r="O351" t="s">
        <v>143</v>
      </c>
      <c r="P351" t="s">
        <v>144</v>
      </c>
      <c r="Q351">
        <v>4</v>
      </c>
      <c r="R351" t="s">
        <v>464</v>
      </c>
      <c r="S351" t="s">
        <v>325</v>
      </c>
      <c r="T351" s="52"/>
    </row>
    <row r="352" spans="1:20" x14ac:dyDescent="0.3">
      <c r="A352" t="s">
        <v>53</v>
      </c>
      <c r="B352" s="48">
        <v>46023</v>
      </c>
      <c r="C352" s="26"/>
      <c r="I352" t="s">
        <v>1550</v>
      </c>
      <c r="J352" t="s">
        <v>1547</v>
      </c>
      <c r="K352" t="s">
        <v>1551</v>
      </c>
      <c r="L352" t="s">
        <v>1373</v>
      </c>
      <c r="M352" t="s">
        <v>1549</v>
      </c>
      <c r="N352" t="s">
        <v>59</v>
      </c>
      <c r="O352" t="s">
        <v>143</v>
      </c>
      <c r="P352" t="s">
        <v>144</v>
      </c>
      <c r="Q352">
        <v>10</v>
      </c>
      <c r="R352" t="s">
        <v>464</v>
      </c>
      <c r="S352" t="s">
        <v>325</v>
      </c>
      <c r="T352" s="52"/>
    </row>
    <row r="353" spans="1:20" x14ac:dyDescent="0.3">
      <c r="A353" t="s">
        <v>53</v>
      </c>
      <c r="B353" s="48">
        <v>46023</v>
      </c>
      <c r="C353" s="26"/>
      <c r="I353" t="s">
        <v>1552</v>
      </c>
      <c r="J353" t="s">
        <v>1553</v>
      </c>
      <c r="K353" t="s">
        <v>1551</v>
      </c>
      <c r="L353" t="s">
        <v>1373</v>
      </c>
      <c r="M353" t="s">
        <v>1549</v>
      </c>
      <c r="N353" t="s">
        <v>59</v>
      </c>
      <c r="O353" t="s">
        <v>143</v>
      </c>
      <c r="P353" t="s">
        <v>144</v>
      </c>
      <c r="Q353">
        <v>14</v>
      </c>
      <c r="R353" t="s">
        <v>464</v>
      </c>
      <c r="S353" t="s">
        <v>325</v>
      </c>
      <c r="T353" s="52"/>
    </row>
    <row r="354" spans="1:20" x14ac:dyDescent="0.3">
      <c r="A354" t="s">
        <v>53</v>
      </c>
      <c r="B354" s="48">
        <v>46023</v>
      </c>
      <c r="C354" s="26"/>
      <c r="I354" t="s">
        <v>1554</v>
      </c>
      <c r="J354" t="s">
        <v>1555</v>
      </c>
      <c r="K354" t="s">
        <v>1551</v>
      </c>
      <c r="L354" t="s">
        <v>1373</v>
      </c>
      <c r="M354" t="s">
        <v>1549</v>
      </c>
      <c r="N354" t="s">
        <v>59</v>
      </c>
      <c r="O354" t="s">
        <v>143</v>
      </c>
      <c r="P354" t="s">
        <v>144</v>
      </c>
      <c r="Q354">
        <v>12</v>
      </c>
      <c r="R354" t="s">
        <v>464</v>
      </c>
      <c r="S354" t="s">
        <v>325</v>
      </c>
      <c r="T354" s="52"/>
    </row>
    <row r="355" spans="1:20" x14ac:dyDescent="0.3">
      <c r="A355" t="s">
        <v>53</v>
      </c>
      <c r="B355" s="48">
        <v>46023</v>
      </c>
      <c r="C355" s="26"/>
      <c r="I355" t="s">
        <v>1556</v>
      </c>
      <c r="J355" t="s">
        <v>1557</v>
      </c>
      <c r="K355" t="s">
        <v>1551</v>
      </c>
      <c r="L355" t="s">
        <v>1373</v>
      </c>
      <c r="M355" t="s">
        <v>1549</v>
      </c>
      <c r="N355" t="s">
        <v>59</v>
      </c>
      <c r="O355" t="s">
        <v>143</v>
      </c>
      <c r="P355" t="s">
        <v>144</v>
      </c>
      <c r="Q355">
        <v>8</v>
      </c>
      <c r="R355" t="s">
        <v>464</v>
      </c>
      <c r="S355" t="s">
        <v>325</v>
      </c>
      <c r="T355" s="52"/>
    </row>
    <row r="356" spans="1:20" x14ac:dyDescent="0.3">
      <c r="A356" t="s">
        <v>53</v>
      </c>
      <c r="B356" s="48">
        <v>46023</v>
      </c>
      <c r="C356" s="26"/>
      <c r="I356" t="s">
        <v>1558</v>
      </c>
      <c r="J356" t="s">
        <v>1559</v>
      </c>
      <c r="K356" t="s">
        <v>1551</v>
      </c>
      <c r="L356" t="s">
        <v>1373</v>
      </c>
      <c r="M356" t="s">
        <v>1549</v>
      </c>
      <c r="N356" t="s">
        <v>59</v>
      </c>
      <c r="O356" t="s">
        <v>143</v>
      </c>
      <c r="P356" t="s">
        <v>144</v>
      </c>
      <c r="Q356">
        <v>4</v>
      </c>
      <c r="R356" t="s">
        <v>464</v>
      </c>
      <c r="S356" t="s">
        <v>325</v>
      </c>
      <c r="T356" s="52"/>
    </row>
    <row r="357" spans="1:20" x14ac:dyDescent="0.3">
      <c r="A357" t="s">
        <v>53</v>
      </c>
      <c r="B357" s="48">
        <v>46023</v>
      </c>
      <c r="C357" s="26"/>
      <c r="I357" t="s">
        <v>1560</v>
      </c>
      <c r="J357" t="s">
        <v>1561</v>
      </c>
      <c r="K357" t="s">
        <v>1562</v>
      </c>
      <c r="L357" t="s">
        <v>1373</v>
      </c>
      <c r="M357" t="s">
        <v>1374</v>
      </c>
      <c r="N357" t="s">
        <v>59</v>
      </c>
      <c r="O357" t="s">
        <v>143</v>
      </c>
      <c r="P357" t="s">
        <v>144</v>
      </c>
      <c r="Q357">
        <v>6</v>
      </c>
      <c r="R357" t="s">
        <v>464</v>
      </c>
      <c r="S357" t="s">
        <v>325</v>
      </c>
      <c r="T357" s="52"/>
    </row>
    <row r="358" spans="1:20" x14ac:dyDescent="0.3">
      <c r="A358" t="s">
        <v>53</v>
      </c>
      <c r="B358" s="48">
        <v>46023</v>
      </c>
      <c r="C358" s="26"/>
      <c r="I358" t="s">
        <v>1563</v>
      </c>
      <c r="J358" t="s">
        <v>1564</v>
      </c>
      <c r="K358" t="s">
        <v>1565</v>
      </c>
      <c r="L358" t="s">
        <v>1373</v>
      </c>
      <c r="M358" t="s">
        <v>1374</v>
      </c>
      <c r="N358" t="s">
        <v>59</v>
      </c>
      <c r="O358" t="s">
        <v>143</v>
      </c>
      <c r="P358" t="s">
        <v>144</v>
      </c>
      <c r="Q358">
        <v>1</v>
      </c>
      <c r="R358" t="s">
        <v>464</v>
      </c>
      <c r="S358" t="s">
        <v>325</v>
      </c>
      <c r="T358" s="52"/>
    </row>
    <row r="359" spans="1:20" x14ac:dyDescent="0.3">
      <c r="A359" t="s">
        <v>53</v>
      </c>
      <c r="B359" s="48">
        <v>46023</v>
      </c>
      <c r="C359" s="26"/>
      <c r="I359" t="s">
        <v>1566</v>
      </c>
      <c r="J359" t="s">
        <v>1564</v>
      </c>
      <c r="K359" t="s">
        <v>1567</v>
      </c>
      <c r="L359" t="s">
        <v>1373</v>
      </c>
      <c r="M359" t="s">
        <v>1374</v>
      </c>
      <c r="N359" t="s">
        <v>59</v>
      </c>
      <c r="O359" t="s">
        <v>143</v>
      </c>
      <c r="P359" t="s">
        <v>144</v>
      </c>
      <c r="Q359">
        <v>6</v>
      </c>
      <c r="R359" t="s">
        <v>464</v>
      </c>
      <c r="S359" t="s">
        <v>325</v>
      </c>
      <c r="T359" s="52"/>
    </row>
    <row r="360" spans="1:20" x14ac:dyDescent="0.3">
      <c r="A360" t="s">
        <v>53</v>
      </c>
      <c r="B360" s="48">
        <v>46023</v>
      </c>
      <c r="C360" s="26"/>
      <c r="I360" t="s">
        <v>1568</v>
      </c>
      <c r="J360" t="s">
        <v>1569</v>
      </c>
      <c r="K360" t="s">
        <v>1570</v>
      </c>
      <c r="L360" t="s">
        <v>1373</v>
      </c>
      <c r="M360" t="s">
        <v>1374</v>
      </c>
      <c r="N360" t="s">
        <v>59</v>
      </c>
      <c r="O360" t="s">
        <v>143</v>
      </c>
      <c r="P360" t="s">
        <v>144</v>
      </c>
      <c r="Q360">
        <v>7</v>
      </c>
      <c r="R360" t="s">
        <v>464</v>
      </c>
      <c r="S360" t="s">
        <v>325</v>
      </c>
      <c r="T360" s="52"/>
    </row>
    <row r="361" spans="1:20" x14ac:dyDescent="0.3">
      <c r="A361" t="s">
        <v>53</v>
      </c>
      <c r="B361" s="48">
        <v>46023</v>
      </c>
      <c r="C361" s="26"/>
      <c r="I361" t="s">
        <v>1571</v>
      </c>
      <c r="J361" t="s">
        <v>1572</v>
      </c>
      <c r="K361" t="s">
        <v>59</v>
      </c>
      <c r="L361" t="s">
        <v>1373</v>
      </c>
      <c r="M361" t="s">
        <v>1374</v>
      </c>
      <c r="N361" t="s">
        <v>59</v>
      </c>
      <c r="O361" t="s">
        <v>143</v>
      </c>
      <c r="P361" t="s">
        <v>144</v>
      </c>
      <c r="Q361">
        <v>8</v>
      </c>
      <c r="R361" t="s">
        <v>464</v>
      </c>
      <c r="S361" t="s">
        <v>325</v>
      </c>
      <c r="T361" s="52"/>
    </row>
    <row r="362" spans="1:20" x14ac:dyDescent="0.3">
      <c r="A362" t="s">
        <v>53</v>
      </c>
      <c r="B362" s="48">
        <v>46023</v>
      </c>
      <c r="C362" s="26"/>
      <c r="I362" t="s">
        <v>1573</v>
      </c>
      <c r="J362" t="s">
        <v>1574</v>
      </c>
      <c r="K362" t="s">
        <v>59</v>
      </c>
      <c r="L362" t="s">
        <v>1373</v>
      </c>
      <c r="M362" t="s">
        <v>1374</v>
      </c>
      <c r="N362" t="s">
        <v>59</v>
      </c>
      <c r="O362" t="s">
        <v>143</v>
      </c>
      <c r="P362" t="s">
        <v>144</v>
      </c>
      <c r="Q362">
        <v>15</v>
      </c>
      <c r="R362" t="s">
        <v>464</v>
      </c>
      <c r="S362" t="s">
        <v>325</v>
      </c>
      <c r="T362" s="52"/>
    </row>
    <row r="363" spans="1:20" x14ac:dyDescent="0.3">
      <c r="A363" t="s">
        <v>53</v>
      </c>
      <c r="B363" s="48">
        <v>46023</v>
      </c>
      <c r="C363" s="26"/>
      <c r="I363" t="s">
        <v>1575</v>
      </c>
      <c r="J363" t="s">
        <v>1576</v>
      </c>
      <c r="K363" t="s">
        <v>59</v>
      </c>
      <c r="L363" t="s">
        <v>1373</v>
      </c>
      <c r="M363" t="s">
        <v>1374</v>
      </c>
      <c r="N363" t="s">
        <v>59</v>
      </c>
      <c r="O363" t="s">
        <v>143</v>
      </c>
      <c r="P363" t="s">
        <v>144</v>
      </c>
      <c r="Q363">
        <v>321</v>
      </c>
      <c r="R363" t="s">
        <v>464</v>
      </c>
      <c r="S363" t="s">
        <v>325</v>
      </c>
      <c r="T363" s="52"/>
    </row>
    <row r="364" spans="1:20" x14ac:dyDescent="0.3">
      <c r="A364" t="s">
        <v>53</v>
      </c>
      <c r="B364" s="48">
        <v>46023</v>
      </c>
      <c r="C364" s="26"/>
      <c r="I364" t="s">
        <v>1577</v>
      </c>
      <c r="J364" t="s">
        <v>1578</v>
      </c>
      <c r="K364" t="s">
        <v>59</v>
      </c>
      <c r="L364" t="s">
        <v>1373</v>
      </c>
      <c r="M364" t="s">
        <v>587</v>
      </c>
      <c r="N364" t="s">
        <v>59</v>
      </c>
      <c r="O364" t="s">
        <v>143</v>
      </c>
      <c r="P364" t="s">
        <v>144</v>
      </c>
      <c r="Q364">
        <v>1</v>
      </c>
      <c r="R364" t="s">
        <v>464</v>
      </c>
      <c r="S364" t="s">
        <v>325</v>
      </c>
      <c r="T364" s="52"/>
    </row>
    <row r="365" spans="1:20" x14ac:dyDescent="0.3">
      <c r="A365" t="s">
        <v>53</v>
      </c>
      <c r="B365" s="48">
        <v>46023</v>
      </c>
      <c r="C365" s="26"/>
      <c r="I365" t="s">
        <v>1579</v>
      </c>
      <c r="J365" t="s">
        <v>1580</v>
      </c>
      <c r="K365" t="s">
        <v>1581</v>
      </c>
      <c r="L365" t="s">
        <v>1373</v>
      </c>
      <c r="M365" t="s">
        <v>1374</v>
      </c>
      <c r="N365" t="s">
        <v>59</v>
      </c>
      <c r="O365" t="s">
        <v>143</v>
      </c>
      <c r="P365" t="s">
        <v>144</v>
      </c>
      <c r="Q365">
        <v>3</v>
      </c>
      <c r="R365" t="s">
        <v>464</v>
      </c>
      <c r="S365" t="s">
        <v>325</v>
      </c>
      <c r="T365" s="52"/>
    </row>
    <row r="366" spans="1:20" x14ac:dyDescent="0.3">
      <c r="A366" t="s">
        <v>53</v>
      </c>
      <c r="B366" s="48">
        <v>46023</v>
      </c>
      <c r="C366" s="26"/>
      <c r="I366" t="s">
        <v>1582</v>
      </c>
      <c r="J366" t="s">
        <v>1583</v>
      </c>
      <c r="K366" t="s">
        <v>1581</v>
      </c>
      <c r="L366" t="s">
        <v>1373</v>
      </c>
      <c r="M366" t="s">
        <v>1374</v>
      </c>
      <c r="N366" t="s">
        <v>59</v>
      </c>
      <c r="O366" t="s">
        <v>143</v>
      </c>
      <c r="P366" t="s">
        <v>144</v>
      </c>
      <c r="Q366">
        <v>4</v>
      </c>
      <c r="R366" t="s">
        <v>464</v>
      </c>
      <c r="S366" t="s">
        <v>325</v>
      </c>
      <c r="T366" s="52"/>
    </row>
    <row r="367" spans="1:20" x14ac:dyDescent="0.3">
      <c r="A367" t="s">
        <v>53</v>
      </c>
      <c r="B367" s="48">
        <v>46023</v>
      </c>
      <c r="C367" s="26"/>
      <c r="I367" t="s">
        <v>1584</v>
      </c>
      <c r="J367" t="s">
        <v>1585</v>
      </c>
      <c r="K367" t="s">
        <v>59</v>
      </c>
      <c r="L367" t="s">
        <v>1373</v>
      </c>
      <c r="M367" t="s">
        <v>1374</v>
      </c>
      <c r="N367" t="s">
        <v>59</v>
      </c>
      <c r="O367" t="s">
        <v>143</v>
      </c>
      <c r="P367" t="s">
        <v>144</v>
      </c>
      <c r="Q367">
        <v>67</v>
      </c>
      <c r="R367" t="s">
        <v>1586</v>
      </c>
      <c r="S367" t="s">
        <v>325</v>
      </c>
      <c r="T367" s="52"/>
    </row>
    <row r="368" spans="1:20" x14ac:dyDescent="0.3">
      <c r="A368" t="s">
        <v>53</v>
      </c>
      <c r="B368" s="48">
        <v>46023</v>
      </c>
      <c r="C368" s="26"/>
      <c r="I368" t="s">
        <v>1587</v>
      </c>
      <c r="J368" t="s">
        <v>1588</v>
      </c>
      <c r="K368" t="s">
        <v>59</v>
      </c>
      <c r="L368" t="s">
        <v>1373</v>
      </c>
      <c r="M368" t="s">
        <v>1374</v>
      </c>
      <c r="N368" t="s">
        <v>59</v>
      </c>
      <c r="O368" t="s">
        <v>143</v>
      </c>
      <c r="P368" t="s">
        <v>144</v>
      </c>
      <c r="Q368">
        <v>97</v>
      </c>
      <c r="R368" t="s">
        <v>1586</v>
      </c>
      <c r="S368" t="s">
        <v>325</v>
      </c>
      <c r="T368" s="52"/>
    </row>
    <row r="369" spans="1:20" x14ac:dyDescent="0.3">
      <c r="A369" t="s">
        <v>53</v>
      </c>
      <c r="B369" s="48">
        <v>46023</v>
      </c>
      <c r="C369" s="26"/>
      <c r="I369" t="s">
        <v>1589</v>
      </c>
      <c r="J369" t="s">
        <v>1590</v>
      </c>
      <c r="K369" t="s">
        <v>59</v>
      </c>
      <c r="L369" t="s">
        <v>1373</v>
      </c>
      <c r="M369" t="s">
        <v>1374</v>
      </c>
      <c r="N369" t="s">
        <v>59</v>
      </c>
      <c r="O369" t="s">
        <v>143</v>
      </c>
      <c r="P369" t="s">
        <v>144</v>
      </c>
      <c r="Q369">
        <v>73</v>
      </c>
      <c r="R369" t="s">
        <v>1586</v>
      </c>
      <c r="S369" t="s">
        <v>325</v>
      </c>
      <c r="T369" s="52"/>
    </row>
    <row r="370" spans="1:20" x14ac:dyDescent="0.3">
      <c r="A370" t="s">
        <v>53</v>
      </c>
      <c r="B370" s="48">
        <v>46023</v>
      </c>
      <c r="C370" s="26"/>
      <c r="I370" t="s">
        <v>1591</v>
      </c>
      <c r="J370" t="s">
        <v>1592</v>
      </c>
      <c r="K370" t="s">
        <v>59</v>
      </c>
      <c r="L370" t="s">
        <v>1373</v>
      </c>
      <c r="M370" t="s">
        <v>1374</v>
      </c>
      <c r="N370" t="s">
        <v>59</v>
      </c>
      <c r="O370" t="s">
        <v>143</v>
      </c>
      <c r="P370" t="s">
        <v>144</v>
      </c>
      <c r="Q370">
        <v>165</v>
      </c>
      <c r="R370" t="s">
        <v>1586</v>
      </c>
      <c r="S370" t="s">
        <v>325</v>
      </c>
      <c r="T370" s="52"/>
    </row>
    <row r="371" spans="1:20" x14ac:dyDescent="0.3">
      <c r="A371" t="s">
        <v>53</v>
      </c>
      <c r="B371" s="48">
        <v>46023</v>
      </c>
      <c r="C371" s="26"/>
      <c r="I371" t="s">
        <v>1593</v>
      </c>
      <c r="J371" t="s">
        <v>1594</v>
      </c>
      <c r="K371" t="s">
        <v>1595</v>
      </c>
      <c r="L371" t="s">
        <v>1373</v>
      </c>
      <c r="M371" t="s">
        <v>1374</v>
      </c>
      <c r="N371" t="s">
        <v>59</v>
      </c>
      <c r="O371" t="s">
        <v>143</v>
      </c>
      <c r="P371" t="s">
        <v>144</v>
      </c>
      <c r="Q371">
        <v>9</v>
      </c>
      <c r="R371" t="s">
        <v>1586</v>
      </c>
      <c r="S371" t="s">
        <v>325</v>
      </c>
      <c r="T371" s="52"/>
    </row>
    <row r="372" spans="1:20" x14ac:dyDescent="0.3">
      <c r="A372" t="s">
        <v>53</v>
      </c>
      <c r="B372" s="48">
        <v>46023</v>
      </c>
      <c r="C372" s="26"/>
      <c r="I372" t="s">
        <v>1596</v>
      </c>
      <c r="J372" t="s">
        <v>1597</v>
      </c>
      <c r="K372" t="s">
        <v>1595</v>
      </c>
      <c r="L372" t="s">
        <v>1373</v>
      </c>
      <c r="M372" t="s">
        <v>1374</v>
      </c>
      <c r="N372" t="s">
        <v>59</v>
      </c>
      <c r="O372" t="s">
        <v>143</v>
      </c>
      <c r="P372" t="s">
        <v>144</v>
      </c>
      <c r="Q372">
        <v>3</v>
      </c>
      <c r="R372" t="s">
        <v>1586</v>
      </c>
      <c r="S372" t="s">
        <v>325</v>
      </c>
      <c r="T372" s="52"/>
    </row>
    <row r="373" spans="1:20" x14ac:dyDescent="0.3">
      <c r="A373" t="s">
        <v>53</v>
      </c>
      <c r="B373" s="48">
        <v>46023</v>
      </c>
      <c r="C373" s="26"/>
      <c r="I373" t="s">
        <v>1598</v>
      </c>
      <c r="J373" t="s">
        <v>1599</v>
      </c>
      <c r="K373" t="s">
        <v>59</v>
      </c>
      <c r="L373" t="s">
        <v>1373</v>
      </c>
      <c r="M373" t="s">
        <v>1600</v>
      </c>
      <c r="N373" t="s">
        <v>59</v>
      </c>
      <c r="O373" t="s">
        <v>116</v>
      </c>
      <c r="P373" t="s">
        <v>144</v>
      </c>
      <c r="Q373">
        <v>7</v>
      </c>
      <c r="R373" t="s">
        <v>1601</v>
      </c>
      <c r="S373" t="s">
        <v>325</v>
      </c>
      <c r="T373" s="52"/>
    </row>
    <row r="374" spans="1:20" x14ac:dyDescent="0.3">
      <c r="A374" t="s">
        <v>53</v>
      </c>
      <c r="B374" s="48">
        <v>46023</v>
      </c>
      <c r="C374" s="26"/>
      <c r="I374" t="s">
        <v>1602</v>
      </c>
      <c r="J374" t="s">
        <v>1603</v>
      </c>
      <c r="K374" t="s">
        <v>1604</v>
      </c>
      <c r="L374" t="s">
        <v>1373</v>
      </c>
      <c r="M374" t="s">
        <v>1396</v>
      </c>
      <c r="N374" t="s">
        <v>59</v>
      </c>
      <c r="O374" t="s">
        <v>116</v>
      </c>
      <c r="P374" t="s">
        <v>650</v>
      </c>
      <c r="Q374">
        <v>1</v>
      </c>
      <c r="R374" t="s">
        <v>1601</v>
      </c>
      <c r="S374" t="s">
        <v>325</v>
      </c>
      <c r="T374" s="52"/>
    </row>
    <row r="375" spans="1:20" x14ac:dyDescent="0.3">
      <c r="A375" t="s">
        <v>53</v>
      </c>
      <c r="B375" s="48">
        <v>46023</v>
      </c>
      <c r="C375" s="26"/>
      <c r="I375" t="s">
        <v>1605</v>
      </c>
      <c r="J375" t="s">
        <v>1606</v>
      </c>
      <c r="K375" t="s">
        <v>1607</v>
      </c>
      <c r="L375" t="s">
        <v>1373</v>
      </c>
      <c r="M375" t="s">
        <v>1396</v>
      </c>
      <c r="N375" t="s">
        <v>59</v>
      </c>
      <c r="O375" t="s">
        <v>116</v>
      </c>
      <c r="P375" t="s">
        <v>144</v>
      </c>
      <c r="Q375">
        <v>1</v>
      </c>
      <c r="R375" t="s">
        <v>1601</v>
      </c>
      <c r="S375" t="s">
        <v>325</v>
      </c>
      <c r="T375" s="52"/>
    </row>
    <row r="376" spans="1:20" x14ac:dyDescent="0.3">
      <c r="A376" t="s">
        <v>53</v>
      </c>
      <c r="B376" s="48">
        <v>46023</v>
      </c>
      <c r="C376" s="26"/>
      <c r="I376" t="s">
        <v>1608</v>
      </c>
      <c r="J376" t="s">
        <v>1609</v>
      </c>
      <c r="K376" t="s">
        <v>59</v>
      </c>
      <c r="L376" t="s">
        <v>1373</v>
      </c>
      <c r="M376" t="s">
        <v>1396</v>
      </c>
      <c r="N376" t="s">
        <v>59</v>
      </c>
      <c r="O376" t="s">
        <v>116</v>
      </c>
      <c r="P376" t="s">
        <v>144</v>
      </c>
      <c r="Q376">
        <v>40</v>
      </c>
      <c r="R376" t="s">
        <v>1601</v>
      </c>
      <c r="S376" t="s">
        <v>325</v>
      </c>
      <c r="T376" s="52"/>
    </row>
    <row r="377" spans="1:20" x14ac:dyDescent="0.3">
      <c r="A377" t="s">
        <v>53</v>
      </c>
      <c r="B377" s="48">
        <v>46023</v>
      </c>
      <c r="C377" s="26"/>
      <c r="I377" t="s">
        <v>1610</v>
      </c>
      <c r="J377" t="s">
        <v>1611</v>
      </c>
      <c r="K377" t="s">
        <v>59</v>
      </c>
      <c r="L377" t="s">
        <v>1373</v>
      </c>
      <c r="M377" t="s">
        <v>1396</v>
      </c>
      <c r="N377" t="s">
        <v>59</v>
      </c>
      <c r="O377" t="s">
        <v>116</v>
      </c>
      <c r="P377" t="s">
        <v>650</v>
      </c>
      <c r="Q377">
        <v>3</v>
      </c>
      <c r="R377" t="s">
        <v>1601</v>
      </c>
      <c r="S377" t="s">
        <v>325</v>
      </c>
      <c r="T377" s="52"/>
    </row>
    <row r="378" spans="1:20" x14ac:dyDescent="0.3">
      <c r="A378" t="s">
        <v>53</v>
      </c>
      <c r="B378" s="48">
        <v>46023</v>
      </c>
      <c r="C378" s="26"/>
      <c r="I378" t="s">
        <v>1612</v>
      </c>
      <c r="J378" t="s">
        <v>1613</v>
      </c>
      <c r="K378" t="s">
        <v>59</v>
      </c>
      <c r="L378" t="s">
        <v>1373</v>
      </c>
      <c r="M378" t="s">
        <v>1396</v>
      </c>
      <c r="N378" t="s">
        <v>59</v>
      </c>
      <c r="O378" t="s">
        <v>116</v>
      </c>
      <c r="P378" t="s">
        <v>144</v>
      </c>
      <c r="Q378">
        <v>2</v>
      </c>
      <c r="R378" t="s">
        <v>1601</v>
      </c>
      <c r="S378" t="s">
        <v>325</v>
      </c>
      <c r="T378" s="52"/>
    </row>
    <row r="379" spans="1:20" x14ac:dyDescent="0.3">
      <c r="A379" t="s">
        <v>53</v>
      </c>
      <c r="B379" s="48">
        <v>46023</v>
      </c>
      <c r="C379" s="26"/>
      <c r="I379" t="s">
        <v>1614</v>
      </c>
      <c r="J379" t="s">
        <v>1615</v>
      </c>
      <c r="K379" t="s">
        <v>59</v>
      </c>
      <c r="L379" t="s">
        <v>1373</v>
      </c>
      <c r="M379" t="s">
        <v>1396</v>
      </c>
      <c r="N379" t="s">
        <v>59</v>
      </c>
      <c r="O379" t="s">
        <v>116</v>
      </c>
      <c r="P379" t="s">
        <v>144</v>
      </c>
      <c r="Q379">
        <v>1</v>
      </c>
      <c r="R379" t="s">
        <v>1601</v>
      </c>
      <c r="S379" t="s">
        <v>325</v>
      </c>
      <c r="T379" s="52"/>
    </row>
    <row r="380" spans="1:20" x14ac:dyDescent="0.3">
      <c r="A380" t="s">
        <v>53</v>
      </c>
      <c r="B380" s="48">
        <v>46023</v>
      </c>
      <c r="C380" s="26"/>
      <c r="I380" t="s">
        <v>1616</v>
      </c>
      <c r="J380" t="s">
        <v>1617</v>
      </c>
      <c r="K380" t="s">
        <v>1618</v>
      </c>
      <c r="L380" t="s">
        <v>1373</v>
      </c>
      <c r="M380" t="s">
        <v>1396</v>
      </c>
      <c r="N380" t="s">
        <v>59</v>
      </c>
      <c r="O380" t="s">
        <v>143</v>
      </c>
      <c r="P380" t="s">
        <v>144</v>
      </c>
      <c r="Q380">
        <v>1</v>
      </c>
      <c r="R380" t="s">
        <v>1601</v>
      </c>
      <c r="S380" t="s">
        <v>325</v>
      </c>
      <c r="T380" s="52"/>
    </row>
    <row r="381" spans="1:20" x14ac:dyDescent="0.3">
      <c r="A381" t="s">
        <v>53</v>
      </c>
      <c r="B381" s="48">
        <v>46023</v>
      </c>
      <c r="C381" s="26"/>
      <c r="I381" t="s">
        <v>1619</v>
      </c>
      <c r="J381" t="s">
        <v>1620</v>
      </c>
      <c r="K381" t="s">
        <v>1416</v>
      </c>
      <c r="L381" t="s">
        <v>1373</v>
      </c>
      <c r="M381" t="s">
        <v>1396</v>
      </c>
      <c r="N381" t="s">
        <v>59</v>
      </c>
      <c r="O381" t="s">
        <v>116</v>
      </c>
      <c r="P381" t="s">
        <v>144</v>
      </c>
      <c r="Q381">
        <v>1</v>
      </c>
      <c r="R381" t="s">
        <v>1601</v>
      </c>
      <c r="S381" t="s">
        <v>325</v>
      </c>
      <c r="T381" s="52"/>
    </row>
    <row r="382" spans="1:20" x14ac:dyDescent="0.3">
      <c r="A382" t="s">
        <v>53</v>
      </c>
      <c r="B382" s="48">
        <v>46023</v>
      </c>
      <c r="C382" s="26"/>
      <c r="I382" t="s">
        <v>1621</v>
      </c>
      <c r="J382" t="s">
        <v>1622</v>
      </c>
      <c r="K382" t="s">
        <v>1623</v>
      </c>
      <c r="L382" t="s">
        <v>1373</v>
      </c>
      <c r="M382" t="s">
        <v>587</v>
      </c>
      <c r="N382" t="s">
        <v>59</v>
      </c>
      <c r="O382" t="s">
        <v>116</v>
      </c>
      <c r="P382" t="s">
        <v>144</v>
      </c>
      <c r="Q382">
        <v>1</v>
      </c>
      <c r="R382" t="s">
        <v>145</v>
      </c>
      <c r="S382" t="s">
        <v>325</v>
      </c>
      <c r="T382" s="52"/>
    </row>
    <row r="383" spans="1:20" x14ac:dyDescent="0.3">
      <c r="A383" t="s">
        <v>53</v>
      </c>
      <c r="B383" s="48">
        <v>46023</v>
      </c>
      <c r="C383" s="26"/>
      <c r="I383" t="s">
        <v>1624</v>
      </c>
      <c r="J383" t="s">
        <v>1625</v>
      </c>
      <c r="K383" t="s">
        <v>59</v>
      </c>
      <c r="L383" t="s">
        <v>1373</v>
      </c>
      <c r="M383" t="s">
        <v>1374</v>
      </c>
      <c r="N383" t="s">
        <v>59</v>
      </c>
      <c r="O383" t="s">
        <v>143</v>
      </c>
      <c r="P383" t="s">
        <v>61</v>
      </c>
      <c r="Q383">
        <v>12</v>
      </c>
      <c r="R383" t="s">
        <v>145</v>
      </c>
      <c r="S383" t="s">
        <v>325</v>
      </c>
      <c r="T383" s="52"/>
    </row>
    <row r="384" spans="1:20" x14ac:dyDescent="0.3">
      <c r="A384" t="s">
        <v>53</v>
      </c>
      <c r="B384" s="48">
        <v>46023</v>
      </c>
      <c r="C384" s="26"/>
      <c r="I384" t="s">
        <v>1626</v>
      </c>
      <c r="J384" t="s">
        <v>1627</v>
      </c>
      <c r="K384" t="s">
        <v>1628</v>
      </c>
      <c r="L384" t="s">
        <v>1373</v>
      </c>
      <c r="M384" t="s">
        <v>1374</v>
      </c>
      <c r="N384" t="s">
        <v>59</v>
      </c>
      <c r="O384" t="s">
        <v>116</v>
      </c>
      <c r="P384" t="s">
        <v>144</v>
      </c>
      <c r="Q384">
        <v>2</v>
      </c>
      <c r="R384" t="s">
        <v>145</v>
      </c>
      <c r="S384" t="s">
        <v>309</v>
      </c>
      <c r="T384" s="52"/>
    </row>
    <row r="385" spans="1:20" x14ac:dyDescent="0.3">
      <c r="A385" t="s">
        <v>53</v>
      </c>
      <c r="B385" s="48">
        <v>46023</v>
      </c>
      <c r="C385" s="26"/>
      <c r="I385" t="s">
        <v>1629</v>
      </c>
      <c r="J385" t="s">
        <v>1630</v>
      </c>
      <c r="K385" t="s">
        <v>59</v>
      </c>
      <c r="L385" t="s">
        <v>1373</v>
      </c>
      <c r="M385" t="s">
        <v>1631</v>
      </c>
      <c r="N385" t="s">
        <v>59</v>
      </c>
      <c r="O385" t="s">
        <v>116</v>
      </c>
      <c r="P385" t="s">
        <v>144</v>
      </c>
      <c r="Q385">
        <v>2</v>
      </c>
      <c r="R385" t="s">
        <v>145</v>
      </c>
      <c r="S385" t="s">
        <v>1632</v>
      </c>
      <c r="T385" s="52"/>
    </row>
    <row r="386" spans="1:20" x14ac:dyDescent="0.3">
      <c r="A386" t="s">
        <v>53</v>
      </c>
      <c r="B386" s="48">
        <v>46023</v>
      </c>
      <c r="C386" s="26"/>
      <c r="I386" t="s">
        <v>1633</v>
      </c>
      <c r="J386" t="s">
        <v>1634</v>
      </c>
      <c r="K386" t="s">
        <v>1635</v>
      </c>
      <c r="L386" t="s">
        <v>1373</v>
      </c>
      <c r="M386" t="s">
        <v>1374</v>
      </c>
      <c r="N386" t="s">
        <v>59</v>
      </c>
      <c r="O386" t="s">
        <v>116</v>
      </c>
      <c r="P386" t="s">
        <v>144</v>
      </c>
      <c r="Q386">
        <v>2</v>
      </c>
      <c r="R386" t="s">
        <v>145</v>
      </c>
      <c r="S386" t="s">
        <v>309</v>
      </c>
      <c r="T386" s="52"/>
    </row>
    <row r="387" spans="1:20" x14ac:dyDescent="0.3">
      <c r="A387" t="s">
        <v>53</v>
      </c>
      <c r="B387" s="48">
        <v>46023</v>
      </c>
      <c r="C387" s="26"/>
      <c r="I387" t="s">
        <v>1636</v>
      </c>
      <c r="J387" t="s">
        <v>1637</v>
      </c>
      <c r="K387" t="s">
        <v>1635</v>
      </c>
      <c r="L387" t="s">
        <v>1373</v>
      </c>
      <c r="M387" t="s">
        <v>1374</v>
      </c>
      <c r="N387" t="s">
        <v>59</v>
      </c>
      <c r="O387" t="s">
        <v>116</v>
      </c>
      <c r="P387" t="s">
        <v>144</v>
      </c>
      <c r="Q387">
        <v>1</v>
      </c>
      <c r="R387" t="s">
        <v>145</v>
      </c>
      <c r="S387" t="s">
        <v>309</v>
      </c>
      <c r="T387" s="52"/>
    </row>
    <row r="388" spans="1:20" x14ac:dyDescent="0.3">
      <c r="A388" t="s">
        <v>53</v>
      </c>
      <c r="B388" s="48">
        <v>46023</v>
      </c>
      <c r="C388" s="26"/>
      <c r="I388" t="s">
        <v>1638</v>
      </c>
      <c r="J388" t="s">
        <v>1639</v>
      </c>
      <c r="K388" t="s">
        <v>1640</v>
      </c>
      <c r="L388" t="s">
        <v>1373</v>
      </c>
      <c r="M388" t="s">
        <v>1374</v>
      </c>
      <c r="N388" t="s">
        <v>59</v>
      </c>
      <c r="O388" t="s">
        <v>143</v>
      </c>
      <c r="P388" t="s">
        <v>144</v>
      </c>
      <c r="Q388">
        <v>3</v>
      </c>
      <c r="R388" t="s">
        <v>145</v>
      </c>
      <c r="S388" t="s">
        <v>309</v>
      </c>
      <c r="T388" s="52"/>
    </row>
    <row r="389" spans="1:20" x14ac:dyDescent="0.3">
      <c r="A389" t="s">
        <v>53</v>
      </c>
      <c r="B389" s="48">
        <v>46023</v>
      </c>
      <c r="C389" s="26"/>
      <c r="I389" t="s">
        <v>1641</v>
      </c>
      <c r="J389" t="s">
        <v>1642</v>
      </c>
      <c r="K389" t="s">
        <v>1643</v>
      </c>
      <c r="L389" t="s">
        <v>1373</v>
      </c>
      <c r="M389" t="s">
        <v>1374</v>
      </c>
      <c r="N389" t="s">
        <v>59</v>
      </c>
      <c r="O389" t="s">
        <v>116</v>
      </c>
      <c r="P389" t="s">
        <v>144</v>
      </c>
      <c r="Q389">
        <v>1</v>
      </c>
      <c r="R389" t="s">
        <v>145</v>
      </c>
      <c r="S389" t="s">
        <v>309</v>
      </c>
      <c r="T389" s="52"/>
    </row>
    <row r="390" spans="1:20" x14ac:dyDescent="0.3">
      <c r="A390" t="s">
        <v>53</v>
      </c>
      <c r="B390" s="48">
        <v>46023</v>
      </c>
      <c r="C390" s="26"/>
      <c r="I390" t="s">
        <v>1644</v>
      </c>
      <c r="J390" t="s">
        <v>1645</v>
      </c>
      <c r="K390" t="s">
        <v>1646</v>
      </c>
      <c r="L390" t="s">
        <v>1373</v>
      </c>
      <c r="M390" t="s">
        <v>1374</v>
      </c>
      <c r="N390" t="s">
        <v>59</v>
      </c>
      <c r="O390" t="s">
        <v>143</v>
      </c>
      <c r="P390" t="s">
        <v>258</v>
      </c>
      <c r="Q390">
        <v>7</v>
      </c>
      <c r="R390" t="s">
        <v>1647</v>
      </c>
      <c r="S390" t="s">
        <v>309</v>
      </c>
      <c r="T390" s="52"/>
    </row>
    <row r="391" spans="1:20" x14ac:dyDescent="0.3">
      <c r="A391" t="s">
        <v>53</v>
      </c>
      <c r="B391" s="48">
        <v>46023</v>
      </c>
      <c r="C391" s="26"/>
      <c r="I391" t="s">
        <v>1648</v>
      </c>
      <c r="J391" t="s">
        <v>1649</v>
      </c>
      <c r="K391" t="s">
        <v>59</v>
      </c>
      <c r="L391" t="s">
        <v>1373</v>
      </c>
      <c r="M391" t="s">
        <v>1374</v>
      </c>
      <c r="N391" t="s">
        <v>59</v>
      </c>
      <c r="O391" t="s">
        <v>143</v>
      </c>
      <c r="P391" t="s">
        <v>228</v>
      </c>
      <c r="Q391">
        <v>1</v>
      </c>
      <c r="R391" t="s">
        <v>1647</v>
      </c>
      <c r="S391" t="s">
        <v>309</v>
      </c>
      <c r="T391" s="52"/>
    </row>
    <row r="392" spans="1:20" x14ac:dyDescent="0.3">
      <c r="A392" t="s">
        <v>53</v>
      </c>
      <c r="B392" s="48">
        <v>46023</v>
      </c>
      <c r="C392" s="26"/>
      <c r="I392" t="s">
        <v>1650</v>
      </c>
      <c r="J392" t="s">
        <v>1651</v>
      </c>
      <c r="K392" t="s">
        <v>59</v>
      </c>
      <c r="L392" t="s">
        <v>1373</v>
      </c>
      <c r="M392" t="s">
        <v>1374</v>
      </c>
      <c r="N392" t="s">
        <v>59</v>
      </c>
      <c r="O392" t="s">
        <v>143</v>
      </c>
      <c r="P392" t="s">
        <v>228</v>
      </c>
      <c r="Q392">
        <v>3</v>
      </c>
      <c r="R392" t="s">
        <v>1647</v>
      </c>
      <c r="S392" t="s">
        <v>309</v>
      </c>
      <c r="T392" s="52"/>
    </row>
    <row r="393" spans="1:20" x14ac:dyDescent="0.3">
      <c r="A393" t="s">
        <v>53</v>
      </c>
      <c r="B393" s="48">
        <v>46023</v>
      </c>
      <c r="C393" s="26"/>
      <c r="I393" t="s">
        <v>1652</v>
      </c>
      <c r="J393" t="s">
        <v>1653</v>
      </c>
      <c r="K393" t="s">
        <v>59</v>
      </c>
      <c r="L393" t="s">
        <v>1373</v>
      </c>
      <c r="M393" t="s">
        <v>1374</v>
      </c>
      <c r="N393" t="s">
        <v>59</v>
      </c>
      <c r="O393" t="s">
        <v>143</v>
      </c>
      <c r="P393" t="s">
        <v>144</v>
      </c>
      <c r="Q393">
        <v>3</v>
      </c>
      <c r="R393" t="s">
        <v>1647</v>
      </c>
      <c r="S393" t="s">
        <v>309</v>
      </c>
      <c r="T393" s="52"/>
    </row>
    <row r="394" spans="1:20" x14ac:dyDescent="0.3">
      <c r="A394" t="s">
        <v>53</v>
      </c>
      <c r="B394" s="48">
        <v>46023</v>
      </c>
      <c r="C394" s="26"/>
      <c r="I394" t="s">
        <v>1654</v>
      </c>
      <c r="J394" t="s">
        <v>1655</v>
      </c>
      <c r="K394" t="s">
        <v>59</v>
      </c>
      <c r="L394" t="s">
        <v>1373</v>
      </c>
      <c r="M394" t="s">
        <v>587</v>
      </c>
      <c r="N394" t="s">
        <v>59</v>
      </c>
      <c r="O394" t="s">
        <v>143</v>
      </c>
      <c r="P394" t="s">
        <v>144</v>
      </c>
      <c r="Q394">
        <v>1</v>
      </c>
      <c r="R394" t="s">
        <v>1647</v>
      </c>
      <c r="S394" t="s">
        <v>309</v>
      </c>
      <c r="T394" s="52"/>
    </row>
    <row r="395" spans="1:20" x14ac:dyDescent="0.3">
      <c r="A395" t="s">
        <v>53</v>
      </c>
      <c r="B395" s="48">
        <v>46023</v>
      </c>
      <c r="C395" s="26"/>
      <c r="I395" t="s">
        <v>1656</v>
      </c>
      <c r="J395" t="s">
        <v>1657</v>
      </c>
      <c r="K395" t="s">
        <v>59</v>
      </c>
      <c r="L395" t="s">
        <v>1373</v>
      </c>
      <c r="M395" t="s">
        <v>587</v>
      </c>
      <c r="N395" t="s">
        <v>59</v>
      </c>
      <c r="O395" t="s">
        <v>143</v>
      </c>
      <c r="P395" t="s">
        <v>144</v>
      </c>
      <c r="Q395">
        <v>9</v>
      </c>
      <c r="R395" t="s">
        <v>1647</v>
      </c>
      <c r="S395" t="s">
        <v>309</v>
      </c>
      <c r="T395" s="52"/>
    </row>
    <row r="396" spans="1:20" x14ac:dyDescent="0.3">
      <c r="A396" t="s">
        <v>53</v>
      </c>
      <c r="B396" s="48">
        <v>46023</v>
      </c>
      <c r="C396" s="26"/>
      <c r="I396" t="s">
        <v>1658</v>
      </c>
      <c r="J396" t="s">
        <v>1659</v>
      </c>
      <c r="K396" t="s">
        <v>59</v>
      </c>
      <c r="L396" t="s">
        <v>1373</v>
      </c>
      <c r="M396" t="s">
        <v>587</v>
      </c>
      <c r="N396" t="s">
        <v>59</v>
      </c>
      <c r="O396" t="s">
        <v>143</v>
      </c>
      <c r="P396" t="s">
        <v>106</v>
      </c>
      <c r="Q396">
        <v>2</v>
      </c>
      <c r="R396" t="s">
        <v>1647</v>
      </c>
      <c r="S396" t="s">
        <v>309</v>
      </c>
      <c r="T396" s="52"/>
    </row>
    <row r="397" spans="1:20" x14ac:dyDescent="0.3">
      <c r="A397" t="s">
        <v>53</v>
      </c>
      <c r="B397" s="48">
        <v>46023</v>
      </c>
      <c r="C397" s="26"/>
      <c r="I397" t="s">
        <v>1660</v>
      </c>
      <c r="J397" t="s">
        <v>1661</v>
      </c>
      <c r="K397" t="s">
        <v>59</v>
      </c>
      <c r="L397" t="s">
        <v>1373</v>
      </c>
      <c r="M397" t="s">
        <v>587</v>
      </c>
      <c r="N397" t="s">
        <v>59</v>
      </c>
      <c r="O397" t="s">
        <v>143</v>
      </c>
      <c r="P397" t="s">
        <v>1662</v>
      </c>
      <c r="Q397">
        <v>32</v>
      </c>
      <c r="R397" t="s">
        <v>1647</v>
      </c>
      <c r="S397" t="s">
        <v>309</v>
      </c>
      <c r="T397" s="52"/>
    </row>
    <row r="398" spans="1:20" x14ac:dyDescent="0.3">
      <c r="A398" t="s">
        <v>53</v>
      </c>
      <c r="B398" s="48">
        <v>46023</v>
      </c>
      <c r="C398" s="26"/>
      <c r="I398" t="s">
        <v>1663</v>
      </c>
      <c r="J398" t="s">
        <v>1664</v>
      </c>
      <c r="K398" t="s">
        <v>347</v>
      </c>
      <c r="L398" t="s">
        <v>1373</v>
      </c>
      <c r="M398" t="s">
        <v>587</v>
      </c>
      <c r="N398" t="s">
        <v>59</v>
      </c>
      <c r="O398" t="s">
        <v>143</v>
      </c>
      <c r="P398" t="s">
        <v>144</v>
      </c>
      <c r="Q398">
        <v>5</v>
      </c>
      <c r="R398" t="s">
        <v>1647</v>
      </c>
      <c r="S398" t="s">
        <v>309</v>
      </c>
      <c r="T398" s="52"/>
    </row>
    <row r="399" spans="1:20" x14ac:dyDescent="0.3">
      <c r="A399" t="s">
        <v>53</v>
      </c>
      <c r="B399" s="48">
        <v>46023</v>
      </c>
      <c r="C399" s="26"/>
      <c r="I399" t="s">
        <v>1665</v>
      </c>
      <c r="J399" t="s">
        <v>1666</v>
      </c>
      <c r="K399" t="s">
        <v>1667</v>
      </c>
      <c r="L399" t="s">
        <v>1373</v>
      </c>
      <c r="M399" t="s">
        <v>1631</v>
      </c>
      <c r="N399" t="s">
        <v>59</v>
      </c>
      <c r="O399" t="s">
        <v>143</v>
      </c>
      <c r="P399" t="s">
        <v>144</v>
      </c>
      <c r="Q399">
        <v>1</v>
      </c>
      <c r="R399" t="s">
        <v>1647</v>
      </c>
      <c r="S399" t="s">
        <v>309</v>
      </c>
      <c r="T399" s="52"/>
    </row>
    <row r="400" spans="1:20" x14ac:dyDescent="0.3">
      <c r="A400" t="s">
        <v>53</v>
      </c>
      <c r="B400" s="48">
        <v>46023</v>
      </c>
      <c r="C400" s="26"/>
      <c r="I400" t="s">
        <v>1668</v>
      </c>
      <c r="J400" t="s">
        <v>1666</v>
      </c>
      <c r="K400" t="s">
        <v>1669</v>
      </c>
      <c r="L400" t="s">
        <v>1373</v>
      </c>
      <c r="M400" t="s">
        <v>1631</v>
      </c>
      <c r="N400" t="s">
        <v>59</v>
      </c>
      <c r="O400" t="s">
        <v>143</v>
      </c>
      <c r="P400" t="s">
        <v>144</v>
      </c>
      <c r="Q400">
        <v>1</v>
      </c>
      <c r="R400" t="s">
        <v>1647</v>
      </c>
      <c r="S400" t="s">
        <v>309</v>
      </c>
      <c r="T400" s="52"/>
    </row>
    <row r="401" spans="1:20" x14ac:dyDescent="0.3">
      <c r="A401" t="s">
        <v>53</v>
      </c>
      <c r="B401" s="48">
        <v>46023</v>
      </c>
      <c r="C401" s="26"/>
      <c r="I401" t="s">
        <v>1670</v>
      </c>
      <c r="J401" t="s">
        <v>1671</v>
      </c>
      <c r="K401" t="s">
        <v>347</v>
      </c>
      <c r="L401" t="s">
        <v>1373</v>
      </c>
      <c r="M401" t="s">
        <v>587</v>
      </c>
      <c r="N401" t="s">
        <v>59</v>
      </c>
      <c r="O401" t="s">
        <v>143</v>
      </c>
      <c r="P401" t="s">
        <v>144</v>
      </c>
      <c r="Q401">
        <v>3</v>
      </c>
      <c r="R401" t="s">
        <v>1647</v>
      </c>
      <c r="S401" t="s">
        <v>309</v>
      </c>
      <c r="T401" s="52"/>
    </row>
    <row r="402" spans="1:20" x14ac:dyDescent="0.3">
      <c r="A402" t="s">
        <v>53</v>
      </c>
      <c r="B402" s="48">
        <v>46023</v>
      </c>
      <c r="C402" s="26"/>
      <c r="I402" t="s">
        <v>1672</v>
      </c>
      <c r="J402" t="s">
        <v>1673</v>
      </c>
      <c r="K402" t="s">
        <v>347</v>
      </c>
      <c r="L402" t="s">
        <v>1373</v>
      </c>
      <c r="M402" t="s">
        <v>1374</v>
      </c>
      <c r="N402" t="s">
        <v>59</v>
      </c>
      <c r="O402" t="s">
        <v>116</v>
      </c>
      <c r="P402" t="s">
        <v>144</v>
      </c>
      <c r="Q402">
        <v>1</v>
      </c>
      <c r="R402" t="s">
        <v>1647</v>
      </c>
      <c r="S402" t="s">
        <v>309</v>
      </c>
      <c r="T402" s="52"/>
    </row>
    <row r="403" spans="1:20" x14ac:dyDescent="0.3">
      <c r="A403" t="s">
        <v>53</v>
      </c>
      <c r="B403" s="48">
        <v>46023</v>
      </c>
      <c r="C403" s="26"/>
      <c r="I403" t="s">
        <v>1674</v>
      </c>
      <c r="J403" t="s">
        <v>1675</v>
      </c>
      <c r="K403" t="s">
        <v>347</v>
      </c>
      <c r="L403" t="s">
        <v>1373</v>
      </c>
      <c r="M403" t="s">
        <v>1374</v>
      </c>
      <c r="N403" t="s">
        <v>59</v>
      </c>
      <c r="O403" t="s">
        <v>116</v>
      </c>
      <c r="P403" t="s">
        <v>144</v>
      </c>
      <c r="Q403">
        <v>1</v>
      </c>
      <c r="R403" t="s">
        <v>1647</v>
      </c>
      <c r="S403" t="s">
        <v>309</v>
      </c>
      <c r="T403" s="52"/>
    </row>
    <row r="404" spans="1:20" x14ac:dyDescent="0.3">
      <c r="A404" t="s">
        <v>53</v>
      </c>
      <c r="B404" s="48">
        <v>46023</v>
      </c>
      <c r="C404" s="26"/>
      <c r="I404" t="s">
        <v>1676</v>
      </c>
      <c r="J404" t="s">
        <v>1677</v>
      </c>
      <c r="K404" t="s">
        <v>1678</v>
      </c>
      <c r="L404" t="s">
        <v>1373</v>
      </c>
      <c r="M404" t="s">
        <v>587</v>
      </c>
      <c r="N404" t="s">
        <v>59</v>
      </c>
      <c r="O404" t="s">
        <v>143</v>
      </c>
      <c r="P404" t="s">
        <v>144</v>
      </c>
      <c r="Q404">
        <v>5</v>
      </c>
      <c r="R404" t="s">
        <v>1647</v>
      </c>
      <c r="S404" t="s">
        <v>1632</v>
      </c>
      <c r="T404" s="52"/>
    </row>
    <row r="405" spans="1:20" x14ac:dyDescent="0.3">
      <c r="A405" t="s">
        <v>53</v>
      </c>
      <c r="B405" s="48">
        <v>46023</v>
      </c>
      <c r="C405" s="26"/>
      <c r="I405" t="s">
        <v>1679</v>
      </c>
      <c r="J405" t="s">
        <v>1680</v>
      </c>
      <c r="K405" t="s">
        <v>1678</v>
      </c>
      <c r="L405" t="s">
        <v>1373</v>
      </c>
      <c r="M405" t="s">
        <v>587</v>
      </c>
      <c r="N405" t="s">
        <v>59</v>
      </c>
      <c r="O405" t="s">
        <v>143</v>
      </c>
      <c r="P405" t="s">
        <v>144</v>
      </c>
      <c r="Q405">
        <v>7</v>
      </c>
      <c r="R405" t="s">
        <v>1647</v>
      </c>
      <c r="S405" t="s">
        <v>1632</v>
      </c>
      <c r="T405" s="52"/>
    </row>
    <row r="406" spans="1:20" x14ac:dyDescent="0.3">
      <c r="A406" t="s">
        <v>53</v>
      </c>
      <c r="B406" s="48">
        <v>46023</v>
      </c>
      <c r="C406" s="26"/>
      <c r="I406" t="s">
        <v>1681</v>
      </c>
      <c r="J406" t="s">
        <v>1682</v>
      </c>
      <c r="K406" t="s">
        <v>59</v>
      </c>
      <c r="L406" t="s">
        <v>1373</v>
      </c>
      <c r="M406" t="s">
        <v>587</v>
      </c>
      <c r="N406" t="s">
        <v>59</v>
      </c>
      <c r="O406" t="s">
        <v>143</v>
      </c>
      <c r="P406" t="s">
        <v>144</v>
      </c>
      <c r="Q406">
        <v>4</v>
      </c>
      <c r="R406" t="s">
        <v>1647</v>
      </c>
      <c r="S406" t="s">
        <v>1632</v>
      </c>
      <c r="T406" s="52"/>
    </row>
    <row r="407" spans="1:20" x14ac:dyDescent="0.3">
      <c r="A407" t="s">
        <v>53</v>
      </c>
      <c r="B407" s="48">
        <v>46023</v>
      </c>
      <c r="C407" s="26"/>
      <c r="I407" t="s">
        <v>1683</v>
      </c>
      <c r="J407" t="s">
        <v>1684</v>
      </c>
      <c r="K407" t="s">
        <v>1623</v>
      </c>
      <c r="L407" t="s">
        <v>1373</v>
      </c>
      <c r="M407" t="s">
        <v>587</v>
      </c>
      <c r="N407" t="s">
        <v>59</v>
      </c>
      <c r="O407" t="s">
        <v>116</v>
      </c>
      <c r="P407" t="s">
        <v>144</v>
      </c>
      <c r="Q407">
        <v>2</v>
      </c>
      <c r="R407" t="s">
        <v>1685</v>
      </c>
      <c r="S407" t="s">
        <v>1632</v>
      </c>
      <c r="T407" s="52"/>
    </row>
    <row r="408" spans="1:20" x14ac:dyDescent="0.3">
      <c r="A408" t="s">
        <v>53</v>
      </c>
      <c r="B408" s="48">
        <v>46023</v>
      </c>
      <c r="C408" s="26"/>
      <c r="I408" t="s">
        <v>1686</v>
      </c>
      <c r="J408" t="s">
        <v>1687</v>
      </c>
      <c r="K408" t="s">
        <v>1688</v>
      </c>
      <c r="L408" t="s">
        <v>1373</v>
      </c>
      <c r="M408" t="s">
        <v>587</v>
      </c>
      <c r="N408" t="s">
        <v>59</v>
      </c>
      <c r="O408" t="s">
        <v>143</v>
      </c>
      <c r="P408" t="s">
        <v>144</v>
      </c>
      <c r="Q408">
        <v>1</v>
      </c>
      <c r="R408" t="s">
        <v>1685</v>
      </c>
      <c r="S408" t="s">
        <v>1632</v>
      </c>
      <c r="T408" s="52"/>
    </row>
    <row r="409" spans="1:20" x14ac:dyDescent="0.3">
      <c r="A409" t="s">
        <v>53</v>
      </c>
      <c r="B409" s="48">
        <v>46023</v>
      </c>
      <c r="C409" s="26"/>
      <c r="I409" t="s">
        <v>1689</v>
      </c>
      <c r="J409" t="s">
        <v>1690</v>
      </c>
      <c r="K409" t="s">
        <v>1691</v>
      </c>
      <c r="L409" t="s">
        <v>1373</v>
      </c>
      <c r="M409" t="s">
        <v>587</v>
      </c>
      <c r="N409" t="s">
        <v>59</v>
      </c>
      <c r="O409" t="s">
        <v>143</v>
      </c>
      <c r="P409" t="s">
        <v>144</v>
      </c>
      <c r="Q409">
        <v>1</v>
      </c>
      <c r="R409" t="s">
        <v>1685</v>
      </c>
      <c r="S409" t="s">
        <v>1632</v>
      </c>
      <c r="T409" s="52"/>
    </row>
    <row r="410" spans="1:20" x14ac:dyDescent="0.3">
      <c r="A410" t="s">
        <v>53</v>
      </c>
      <c r="B410" s="48">
        <v>46023</v>
      </c>
      <c r="C410" s="26"/>
      <c r="I410" t="s">
        <v>1692</v>
      </c>
      <c r="J410" t="s">
        <v>1693</v>
      </c>
      <c r="K410" t="s">
        <v>1623</v>
      </c>
      <c r="L410" t="s">
        <v>1373</v>
      </c>
      <c r="M410" t="s">
        <v>587</v>
      </c>
      <c r="N410" t="s">
        <v>59</v>
      </c>
      <c r="O410" t="s">
        <v>143</v>
      </c>
      <c r="P410" t="s">
        <v>144</v>
      </c>
      <c r="Q410">
        <v>1</v>
      </c>
      <c r="R410" t="s">
        <v>1685</v>
      </c>
      <c r="S410" t="s">
        <v>1632</v>
      </c>
      <c r="T410" s="52"/>
    </row>
    <row r="411" spans="1:20" x14ac:dyDescent="0.3">
      <c r="A411" t="s">
        <v>53</v>
      </c>
      <c r="B411" s="48">
        <v>46023</v>
      </c>
      <c r="C411" s="26"/>
      <c r="I411" t="s">
        <v>1694</v>
      </c>
      <c r="J411" t="s">
        <v>1695</v>
      </c>
      <c r="K411" t="s">
        <v>1623</v>
      </c>
      <c r="L411" t="s">
        <v>1373</v>
      </c>
      <c r="M411" t="s">
        <v>587</v>
      </c>
      <c r="N411" t="s">
        <v>59</v>
      </c>
      <c r="O411" t="s">
        <v>143</v>
      </c>
      <c r="P411" t="s">
        <v>144</v>
      </c>
      <c r="Q411">
        <v>1</v>
      </c>
      <c r="R411" t="s">
        <v>1685</v>
      </c>
      <c r="S411" t="s">
        <v>1632</v>
      </c>
      <c r="T411" s="52"/>
    </row>
    <row r="412" spans="1:20" x14ac:dyDescent="0.3">
      <c r="A412" t="s">
        <v>53</v>
      </c>
      <c r="B412" s="48">
        <v>46023</v>
      </c>
      <c r="C412" s="26"/>
      <c r="I412" t="s">
        <v>1696</v>
      </c>
      <c r="J412" t="s">
        <v>1697</v>
      </c>
      <c r="K412" t="s">
        <v>1623</v>
      </c>
      <c r="L412" t="s">
        <v>1373</v>
      </c>
      <c r="M412" t="s">
        <v>587</v>
      </c>
      <c r="N412" t="s">
        <v>59</v>
      </c>
      <c r="O412" t="s">
        <v>143</v>
      </c>
      <c r="P412" t="s">
        <v>144</v>
      </c>
      <c r="Q412">
        <v>1</v>
      </c>
      <c r="R412" t="s">
        <v>1685</v>
      </c>
      <c r="S412" t="s">
        <v>1632</v>
      </c>
      <c r="T412" s="52"/>
    </row>
    <row r="413" spans="1:20" x14ac:dyDescent="0.3">
      <c r="A413" t="s">
        <v>53</v>
      </c>
      <c r="B413" s="48">
        <v>46023</v>
      </c>
      <c r="C413" s="26"/>
      <c r="I413" t="s">
        <v>1698</v>
      </c>
      <c r="J413" t="s">
        <v>1699</v>
      </c>
      <c r="K413" t="s">
        <v>1700</v>
      </c>
      <c r="L413" t="s">
        <v>1373</v>
      </c>
      <c r="M413" t="s">
        <v>1631</v>
      </c>
      <c r="N413" t="s">
        <v>59</v>
      </c>
      <c r="O413" t="s">
        <v>143</v>
      </c>
      <c r="P413" t="s">
        <v>144</v>
      </c>
      <c r="Q413">
        <v>1</v>
      </c>
      <c r="R413" t="s">
        <v>1685</v>
      </c>
      <c r="S413" t="s">
        <v>1632</v>
      </c>
      <c r="T413" s="52"/>
    </row>
    <row r="414" spans="1:20" x14ac:dyDescent="0.3">
      <c r="A414" t="s">
        <v>53</v>
      </c>
      <c r="B414" s="48">
        <v>46023</v>
      </c>
      <c r="C414" s="26"/>
      <c r="I414" t="s">
        <v>1701</v>
      </c>
      <c r="J414" t="s">
        <v>1702</v>
      </c>
      <c r="K414" t="s">
        <v>59</v>
      </c>
      <c r="L414" t="s">
        <v>1373</v>
      </c>
      <c r="M414" t="s">
        <v>1374</v>
      </c>
      <c r="N414" t="s">
        <v>59</v>
      </c>
      <c r="O414" t="s">
        <v>143</v>
      </c>
      <c r="P414" t="s">
        <v>144</v>
      </c>
      <c r="Q414">
        <v>5</v>
      </c>
      <c r="R414" t="s">
        <v>1685</v>
      </c>
      <c r="S414" t="s">
        <v>1632</v>
      </c>
      <c r="T414" s="52"/>
    </row>
    <row r="415" spans="1:20" x14ac:dyDescent="0.3">
      <c r="A415" t="s">
        <v>53</v>
      </c>
      <c r="B415" s="48">
        <v>46023</v>
      </c>
      <c r="C415" s="26"/>
      <c r="I415" t="s">
        <v>1703</v>
      </c>
      <c r="J415" t="s">
        <v>1704</v>
      </c>
      <c r="K415" t="s">
        <v>59</v>
      </c>
      <c r="L415" t="s">
        <v>1373</v>
      </c>
      <c r="M415" t="s">
        <v>587</v>
      </c>
      <c r="N415" t="s">
        <v>59</v>
      </c>
      <c r="O415" t="s">
        <v>143</v>
      </c>
      <c r="P415" t="s">
        <v>144</v>
      </c>
      <c r="Q415">
        <v>3</v>
      </c>
      <c r="R415" t="s">
        <v>1685</v>
      </c>
      <c r="S415" t="s">
        <v>1632</v>
      </c>
      <c r="T415" s="52"/>
    </row>
    <row r="416" spans="1:20" x14ac:dyDescent="0.3">
      <c r="A416" t="s">
        <v>53</v>
      </c>
      <c r="B416" s="48">
        <v>46023</v>
      </c>
      <c r="C416" s="26"/>
      <c r="I416" t="s">
        <v>1705</v>
      </c>
      <c r="J416" t="s">
        <v>1706</v>
      </c>
      <c r="K416" t="s">
        <v>1707</v>
      </c>
      <c r="L416" t="s">
        <v>1373</v>
      </c>
      <c r="M416" t="s">
        <v>587</v>
      </c>
      <c r="N416" t="s">
        <v>59</v>
      </c>
      <c r="O416" t="s">
        <v>143</v>
      </c>
      <c r="P416" t="s">
        <v>144</v>
      </c>
      <c r="Q416">
        <v>3</v>
      </c>
      <c r="R416" t="s">
        <v>1685</v>
      </c>
      <c r="S416" t="s">
        <v>1632</v>
      </c>
      <c r="T416" s="52"/>
    </row>
    <row r="417" spans="1:20" x14ac:dyDescent="0.3">
      <c r="A417" t="s">
        <v>53</v>
      </c>
      <c r="B417" s="48">
        <v>46023</v>
      </c>
      <c r="C417" s="26"/>
      <c r="I417" t="s">
        <v>1708</v>
      </c>
      <c r="J417" t="s">
        <v>1709</v>
      </c>
      <c r="K417" t="s">
        <v>1707</v>
      </c>
      <c r="L417" t="s">
        <v>1373</v>
      </c>
      <c r="M417" t="s">
        <v>587</v>
      </c>
      <c r="N417" t="s">
        <v>59</v>
      </c>
      <c r="O417" t="s">
        <v>143</v>
      </c>
      <c r="P417" t="s">
        <v>144</v>
      </c>
      <c r="Q417">
        <v>2</v>
      </c>
      <c r="R417" t="s">
        <v>1685</v>
      </c>
      <c r="S417" t="s">
        <v>1632</v>
      </c>
      <c r="T417" s="52"/>
    </row>
    <row r="418" spans="1:20" x14ac:dyDescent="0.3">
      <c r="A418" t="s">
        <v>53</v>
      </c>
      <c r="B418" s="48">
        <v>46023</v>
      </c>
      <c r="C418" s="26"/>
      <c r="I418" t="s">
        <v>1710</v>
      </c>
      <c r="J418" t="s">
        <v>1711</v>
      </c>
      <c r="K418" t="s">
        <v>1712</v>
      </c>
      <c r="L418" t="s">
        <v>1373</v>
      </c>
      <c r="M418" t="s">
        <v>1513</v>
      </c>
      <c r="N418">
        <v>2411535985</v>
      </c>
      <c r="O418" t="s">
        <v>116</v>
      </c>
      <c r="P418" t="s">
        <v>61</v>
      </c>
      <c r="Q418">
        <v>1</v>
      </c>
      <c r="R418" t="s">
        <v>1713</v>
      </c>
      <c r="S418" t="s">
        <v>129</v>
      </c>
      <c r="T418" s="52"/>
    </row>
    <row r="419" spans="1:20" x14ac:dyDescent="0.3">
      <c r="A419" t="s">
        <v>53</v>
      </c>
      <c r="B419" s="48">
        <v>46023</v>
      </c>
      <c r="C419" s="26"/>
      <c r="I419" t="s">
        <v>1714</v>
      </c>
      <c r="J419" t="s">
        <v>1715</v>
      </c>
      <c r="K419" t="s">
        <v>1712</v>
      </c>
      <c r="L419" t="s">
        <v>1373</v>
      </c>
      <c r="M419" t="s">
        <v>1513</v>
      </c>
      <c r="N419">
        <v>2411435481</v>
      </c>
      <c r="O419" t="s">
        <v>116</v>
      </c>
      <c r="P419" t="s">
        <v>61</v>
      </c>
      <c r="Q419">
        <v>1</v>
      </c>
      <c r="R419" t="s">
        <v>1713</v>
      </c>
      <c r="S419" t="s">
        <v>129</v>
      </c>
      <c r="T419" s="52"/>
    </row>
    <row r="420" spans="1:20" x14ac:dyDescent="0.3">
      <c r="A420" t="s">
        <v>53</v>
      </c>
      <c r="B420" s="48">
        <v>46023</v>
      </c>
      <c r="C420" s="26"/>
      <c r="I420" t="s">
        <v>1716</v>
      </c>
      <c r="J420" t="s">
        <v>1715</v>
      </c>
      <c r="K420" t="s">
        <v>1712</v>
      </c>
      <c r="L420" t="s">
        <v>1373</v>
      </c>
      <c r="M420" t="s">
        <v>1513</v>
      </c>
      <c r="N420">
        <v>2401529171</v>
      </c>
      <c r="O420" t="s">
        <v>116</v>
      </c>
      <c r="P420" t="s">
        <v>61</v>
      </c>
      <c r="Q420">
        <v>1</v>
      </c>
      <c r="R420" t="s">
        <v>1713</v>
      </c>
      <c r="S420" t="s">
        <v>129</v>
      </c>
      <c r="T420" s="52"/>
    </row>
    <row r="421" spans="1:20" x14ac:dyDescent="0.3">
      <c r="A421" t="s">
        <v>53</v>
      </c>
      <c r="B421" s="48">
        <v>46023</v>
      </c>
      <c r="C421" s="26"/>
      <c r="I421" t="s">
        <v>1717</v>
      </c>
      <c r="J421" t="s">
        <v>1715</v>
      </c>
      <c r="K421" t="s">
        <v>1712</v>
      </c>
      <c r="L421" t="s">
        <v>1373</v>
      </c>
      <c r="M421" t="s">
        <v>1513</v>
      </c>
      <c r="N421">
        <v>2401528932</v>
      </c>
      <c r="O421" t="s">
        <v>116</v>
      </c>
      <c r="P421" t="s">
        <v>61</v>
      </c>
      <c r="Q421">
        <v>1</v>
      </c>
      <c r="R421" t="s">
        <v>1713</v>
      </c>
      <c r="S421" t="s">
        <v>129</v>
      </c>
      <c r="T421" s="52"/>
    </row>
    <row r="422" spans="1:20" x14ac:dyDescent="0.3">
      <c r="A422" t="s">
        <v>53</v>
      </c>
      <c r="B422" s="48">
        <v>46023</v>
      </c>
      <c r="C422" s="26"/>
      <c r="I422" t="s">
        <v>1718</v>
      </c>
      <c r="J422" t="s">
        <v>1719</v>
      </c>
      <c r="K422" t="s">
        <v>1720</v>
      </c>
      <c r="L422" t="s">
        <v>1373</v>
      </c>
      <c r="M422" t="s">
        <v>1513</v>
      </c>
      <c r="N422" t="s">
        <v>59</v>
      </c>
      <c r="O422" t="s">
        <v>116</v>
      </c>
      <c r="P422" t="s">
        <v>61</v>
      </c>
      <c r="Q422">
        <v>1</v>
      </c>
      <c r="R422" t="s">
        <v>1713</v>
      </c>
      <c r="S422" t="s">
        <v>129</v>
      </c>
      <c r="T422" s="52"/>
    </row>
    <row r="423" spans="1:20" x14ac:dyDescent="0.3">
      <c r="A423" t="s">
        <v>53</v>
      </c>
      <c r="B423" s="48">
        <v>46023</v>
      </c>
      <c r="C423" s="26"/>
      <c r="I423" t="s">
        <v>1721</v>
      </c>
      <c r="J423" t="s">
        <v>1719</v>
      </c>
      <c r="K423" t="s">
        <v>1722</v>
      </c>
      <c r="L423" t="s">
        <v>1373</v>
      </c>
      <c r="M423" t="s">
        <v>1513</v>
      </c>
      <c r="N423" t="s">
        <v>59</v>
      </c>
      <c r="O423" t="s">
        <v>468</v>
      </c>
      <c r="P423" t="s">
        <v>61</v>
      </c>
      <c r="Q423">
        <v>1</v>
      </c>
      <c r="R423" t="s">
        <v>1713</v>
      </c>
      <c r="S423" t="s">
        <v>129</v>
      </c>
      <c r="T423" s="52"/>
    </row>
    <row r="424" spans="1:20" x14ac:dyDescent="0.3">
      <c r="A424" t="s">
        <v>53</v>
      </c>
      <c r="B424" s="48">
        <v>46023</v>
      </c>
      <c r="C424" s="26"/>
      <c r="I424" t="s">
        <v>1723</v>
      </c>
      <c r="J424" t="s">
        <v>1724</v>
      </c>
      <c r="K424" t="s">
        <v>1725</v>
      </c>
      <c r="L424" t="s">
        <v>1373</v>
      </c>
      <c r="M424" t="s">
        <v>1513</v>
      </c>
      <c r="N424">
        <v>130403299</v>
      </c>
      <c r="O424" t="s">
        <v>116</v>
      </c>
      <c r="P424" t="s">
        <v>61</v>
      </c>
      <c r="Q424">
        <v>1</v>
      </c>
      <c r="R424" t="s">
        <v>1713</v>
      </c>
      <c r="S424" t="s">
        <v>129</v>
      </c>
      <c r="T424" s="52"/>
    </row>
    <row r="425" spans="1:20" x14ac:dyDescent="0.3">
      <c r="A425" t="s">
        <v>53</v>
      </c>
      <c r="B425" s="48">
        <v>46023</v>
      </c>
      <c r="C425" s="26"/>
      <c r="I425" t="s">
        <v>1726</v>
      </c>
      <c r="J425" t="s">
        <v>1724</v>
      </c>
      <c r="K425" t="s">
        <v>1725</v>
      </c>
      <c r="L425" t="s">
        <v>1373</v>
      </c>
      <c r="M425" t="s">
        <v>1513</v>
      </c>
      <c r="N425">
        <v>2401529171</v>
      </c>
      <c r="O425" t="s">
        <v>116</v>
      </c>
      <c r="P425" t="s">
        <v>61</v>
      </c>
      <c r="Q425">
        <v>1</v>
      </c>
      <c r="R425" t="s">
        <v>1713</v>
      </c>
      <c r="S425" t="s">
        <v>129</v>
      </c>
      <c r="T425" s="52"/>
    </row>
    <row r="426" spans="1:20" x14ac:dyDescent="0.3">
      <c r="A426" t="s">
        <v>53</v>
      </c>
      <c r="B426" s="48">
        <v>46023</v>
      </c>
      <c r="C426" s="26"/>
      <c r="I426" t="s">
        <v>1727</v>
      </c>
      <c r="J426" t="s">
        <v>1728</v>
      </c>
      <c r="K426" t="s">
        <v>1729</v>
      </c>
      <c r="L426" t="s">
        <v>1373</v>
      </c>
      <c r="M426" t="s">
        <v>1513</v>
      </c>
      <c r="N426" t="s">
        <v>59</v>
      </c>
      <c r="O426" t="s">
        <v>468</v>
      </c>
      <c r="P426" t="s">
        <v>61</v>
      </c>
      <c r="Q426">
        <v>1</v>
      </c>
      <c r="R426" t="s">
        <v>1713</v>
      </c>
      <c r="S426" t="s">
        <v>129</v>
      </c>
      <c r="T426" s="52"/>
    </row>
    <row r="427" spans="1:20" x14ac:dyDescent="0.3">
      <c r="A427" t="s">
        <v>53</v>
      </c>
      <c r="B427" s="48">
        <v>46023</v>
      </c>
      <c r="C427" s="26"/>
      <c r="I427" t="s">
        <v>1730</v>
      </c>
      <c r="J427" t="s">
        <v>1731</v>
      </c>
      <c r="K427" t="s">
        <v>1732</v>
      </c>
      <c r="L427" t="s">
        <v>1373</v>
      </c>
      <c r="M427" t="s">
        <v>1733</v>
      </c>
      <c r="N427">
        <v>11124883</v>
      </c>
      <c r="O427" t="s">
        <v>468</v>
      </c>
      <c r="P427" t="s">
        <v>61</v>
      </c>
      <c r="Q427">
        <v>1</v>
      </c>
      <c r="R427" t="s">
        <v>1713</v>
      </c>
      <c r="S427" t="s">
        <v>129</v>
      </c>
      <c r="T427" s="52"/>
    </row>
    <row r="428" spans="1:20" x14ac:dyDescent="0.3">
      <c r="A428" t="s">
        <v>53</v>
      </c>
      <c r="B428" s="48">
        <v>46023</v>
      </c>
      <c r="C428" s="26"/>
      <c r="I428" t="s">
        <v>1734</v>
      </c>
      <c r="J428" t="s">
        <v>1731</v>
      </c>
      <c r="K428" t="s">
        <v>1732</v>
      </c>
      <c r="L428" t="s">
        <v>1373</v>
      </c>
      <c r="M428" t="s">
        <v>1733</v>
      </c>
      <c r="N428">
        <v>11124797</v>
      </c>
      <c r="O428" t="s">
        <v>116</v>
      </c>
      <c r="P428" t="s">
        <v>61</v>
      </c>
      <c r="Q428">
        <v>1</v>
      </c>
      <c r="R428" t="s">
        <v>1713</v>
      </c>
      <c r="S428" t="s">
        <v>129</v>
      </c>
      <c r="T428" s="52"/>
    </row>
    <row r="429" spans="1:20" x14ac:dyDescent="0.3">
      <c r="A429" t="s">
        <v>53</v>
      </c>
      <c r="B429" s="48">
        <v>46023</v>
      </c>
      <c r="C429" s="26"/>
      <c r="I429" t="s">
        <v>1735</v>
      </c>
      <c r="J429" t="s">
        <v>1731</v>
      </c>
      <c r="K429" t="s">
        <v>1732</v>
      </c>
      <c r="L429" t="s">
        <v>1373</v>
      </c>
      <c r="M429" t="s">
        <v>1733</v>
      </c>
      <c r="N429">
        <v>11124883</v>
      </c>
      <c r="O429" t="s">
        <v>116</v>
      </c>
      <c r="P429" t="s">
        <v>61</v>
      </c>
      <c r="Q429">
        <v>1</v>
      </c>
      <c r="R429" t="s">
        <v>1713</v>
      </c>
      <c r="S429" t="s">
        <v>129</v>
      </c>
      <c r="T429" s="52"/>
    </row>
    <row r="430" spans="1:20" x14ac:dyDescent="0.3">
      <c r="A430" t="s">
        <v>53</v>
      </c>
      <c r="B430" s="48">
        <v>46023</v>
      </c>
      <c r="C430" s="26"/>
      <c r="I430" t="s">
        <v>1736</v>
      </c>
      <c r="J430" t="s">
        <v>1737</v>
      </c>
      <c r="K430" t="s">
        <v>59</v>
      </c>
      <c r="L430" t="s">
        <v>1373</v>
      </c>
      <c r="M430" t="s">
        <v>1733</v>
      </c>
      <c r="N430" t="s">
        <v>1738</v>
      </c>
      <c r="O430" t="s">
        <v>116</v>
      </c>
      <c r="P430" t="s">
        <v>61</v>
      </c>
      <c r="Q430">
        <v>1</v>
      </c>
      <c r="R430" t="s">
        <v>1713</v>
      </c>
      <c r="S430" t="s">
        <v>129</v>
      </c>
      <c r="T430" s="52"/>
    </row>
    <row r="431" spans="1:20" x14ac:dyDescent="0.3">
      <c r="A431" t="s">
        <v>53</v>
      </c>
      <c r="B431" s="48">
        <v>46023</v>
      </c>
      <c r="C431" s="26"/>
      <c r="I431" t="s">
        <v>1739</v>
      </c>
      <c r="J431" t="s">
        <v>1737</v>
      </c>
      <c r="K431" t="s">
        <v>59</v>
      </c>
      <c r="L431" t="s">
        <v>1373</v>
      </c>
      <c r="M431" t="s">
        <v>1733</v>
      </c>
      <c r="N431" t="s">
        <v>1740</v>
      </c>
      <c r="O431" t="s">
        <v>116</v>
      </c>
      <c r="P431" t="s">
        <v>61</v>
      </c>
      <c r="Q431">
        <v>1</v>
      </c>
      <c r="R431" t="s">
        <v>1713</v>
      </c>
      <c r="S431" t="s">
        <v>129</v>
      </c>
      <c r="T431" s="52"/>
    </row>
    <row r="432" spans="1:20" x14ac:dyDescent="0.3">
      <c r="A432" t="s">
        <v>53</v>
      </c>
      <c r="B432" s="48">
        <v>46023</v>
      </c>
      <c r="C432" s="26"/>
      <c r="I432" t="s">
        <v>1741</v>
      </c>
      <c r="J432" t="s">
        <v>1737</v>
      </c>
      <c r="K432" t="s">
        <v>59</v>
      </c>
      <c r="L432" t="s">
        <v>1373</v>
      </c>
      <c r="M432" t="s">
        <v>1733</v>
      </c>
      <c r="N432" t="s">
        <v>1742</v>
      </c>
      <c r="O432" t="s">
        <v>116</v>
      </c>
      <c r="P432" t="s">
        <v>61</v>
      </c>
      <c r="Q432">
        <v>1</v>
      </c>
      <c r="R432" t="s">
        <v>1713</v>
      </c>
      <c r="S432" t="s">
        <v>129</v>
      </c>
      <c r="T432" s="52"/>
    </row>
    <row r="433" spans="1:20" x14ac:dyDescent="0.3">
      <c r="A433" t="s">
        <v>53</v>
      </c>
      <c r="B433" s="48">
        <v>46023</v>
      </c>
      <c r="C433" s="26"/>
      <c r="I433" t="s">
        <v>1743</v>
      </c>
      <c r="J433" t="s">
        <v>1737</v>
      </c>
      <c r="K433" t="s">
        <v>59</v>
      </c>
      <c r="L433" t="s">
        <v>1373</v>
      </c>
      <c r="M433" t="s">
        <v>1733</v>
      </c>
      <c r="N433" t="s">
        <v>1744</v>
      </c>
      <c r="O433" t="s">
        <v>116</v>
      </c>
      <c r="P433" t="s">
        <v>61</v>
      </c>
      <c r="Q433">
        <v>1</v>
      </c>
      <c r="R433" t="s">
        <v>1713</v>
      </c>
      <c r="S433" t="s">
        <v>129</v>
      </c>
      <c r="T433" s="52"/>
    </row>
    <row r="434" spans="1:20" x14ac:dyDescent="0.3">
      <c r="A434" t="s">
        <v>53</v>
      </c>
      <c r="B434" s="48">
        <v>46023</v>
      </c>
      <c r="C434" s="26"/>
      <c r="I434" t="s">
        <v>1745</v>
      </c>
      <c r="J434" t="s">
        <v>1746</v>
      </c>
      <c r="K434" t="s">
        <v>1365</v>
      </c>
      <c r="L434" t="s">
        <v>1373</v>
      </c>
      <c r="M434" t="s">
        <v>1733</v>
      </c>
      <c r="N434">
        <v>8206063</v>
      </c>
      <c r="O434" t="s">
        <v>116</v>
      </c>
      <c r="P434" t="s">
        <v>61</v>
      </c>
      <c r="Q434">
        <v>1</v>
      </c>
      <c r="R434" t="s">
        <v>1713</v>
      </c>
      <c r="S434" t="s">
        <v>129</v>
      </c>
      <c r="T434" s="52"/>
    </row>
    <row r="435" spans="1:20" x14ac:dyDescent="0.3">
      <c r="A435" t="s">
        <v>53</v>
      </c>
      <c r="B435" s="48">
        <v>46023</v>
      </c>
      <c r="C435" s="26"/>
      <c r="I435" t="s">
        <v>1747</v>
      </c>
      <c r="J435" t="s">
        <v>1748</v>
      </c>
      <c r="K435" t="s">
        <v>1749</v>
      </c>
      <c r="L435" t="s">
        <v>1373</v>
      </c>
      <c r="M435" t="s">
        <v>1513</v>
      </c>
      <c r="N435" t="s">
        <v>59</v>
      </c>
      <c r="O435" t="s">
        <v>116</v>
      </c>
      <c r="P435" t="s">
        <v>61</v>
      </c>
      <c r="Q435">
        <v>1</v>
      </c>
      <c r="R435" t="s">
        <v>1713</v>
      </c>
      <c r="S435" t="s">
        <v>129</v>
      </c>
      <c r="T435" s="52"/>
    </row>
    <row r="436" spans="1:20" x14ac:dyDescent="0.3">
      <c r="A436" t="s">
        <v>53</v>
      </c>
      <c r="B436" s="48">
        <v>46023</v>
      </c>
      <c r="C436" s="26"/>
      <c r="I436" t="s">
        <v>1750</v>
      </c>
      <c r="J436" t="s">
        <v>1751</v>
      </c>
      <c r="K436" t="s">
        <v>1749</v>
      </c>
      <c r="L436" t="s">
        <v>1373</v>
      </c>
      <c r="M436" t="s">
        <v>1513</v>
      </c>
      <c r="N436" t="s">
        <v>59</v>
      </c>
      <c r="O436" t="s">
        <v>116</v>
      </c>
      <c r="P436" t="s">
        <v>61</v>
      </c>
      <c r="Q436">
        <v>1</v>
      </c>
      <c r="R436" t="s">
        <v>1713</v>
      </c>
      <c r="S436" t="s">
        <v>129</v>
      </c>
      <c r="T436" s="52"/>
    </row>
    <row r="437" spans="1:20" x14ac:dyDescent="0.3">
      <c r="A437" t="s">
        <v>53</v>
      </c>
      <c r="B437" s="48">
        <v>46023</v>
      </c>
      <c r="C437" s="26"/>
      <c r="I437" t="s">
        <v>1752</v>
      </c>
      <c r="J437" t="s">
        <v>1753</v>
      </c>
      <c r="K437" t="s">
        <v>1754</v>
      </c>
      <c r="L437" t="s">
        <v>1373</v>
      </c>
      <c r="M437" t="s">
        <v>1733</v>
      </c>
      <c r="N437" t="s">
        <v>1755</v>
      </c>
      <c r="O437" t="s">
        <v>116</v>
      </c>
      <c r="P437" t="s">
        <v>61</v>
      </c>
      <c r="Q437">
        <v>1</v>
      </c>
      <c r="R437" t="s">
        <v>1713</v>
      </c>
      <c r="S437" t="s">
        <v>129</v>
      </c>
      <c r="T437" s="52"/>
    </row>
    <row r="438" spans="1:20" x14ac:dyDescent="0.3">
      <c r="A438" t="s">
        <v>53</v>
      </c>
      <c r="B438" s="48">
        <v>46023</v>
      </c>
      <c r="C438" s="26"/>
      <c r="I438" t="s">
        <v>1756</v>
      </c>
      <c r="J438" t="s">
        <v>1753</v>
      </c>
      <c r="K438" t="s">
        <v>1754</v>
      </c>
      <c r="L438" t="s">
        <v>1373</v>
      </c>
      <c r="M438" t="s">
        <v>1733</v>
      </c>
      <c r="N438" t="s">
        <v>1757</v>
      </c>
      <c r="O438" t="s">
        <v>116</v>
      </c>
      <c r="P438" t="s">
        <v>61</v>
      </c>
      <c r="Q438">
        <v>1</v>
      </c>
      <c r="R438" t="s">
        <v>1713</v>
      </c>
      <c r="S438" t="s">
        <v>129</v>
      </c>
      <c r="T438" s="52"/>
    </row>
    <row r="439" spans="1:20" x14ac:dyDescent="0.3">
      <c r="A439" t="s">
        <v>53</v>
      </c>
      <c r="B439" s="48">
        <v>46023</v>
      </c>
      <c r="C439" s="26"/>
      <c r="I439" t="s">
        <v>1758</v>
      </c>
      <c r="J439" t="s">
        <v>1759</v>
      </c>
      <c r="K439" t="s">
        <v>1760</v>
      </c>
      <c r="L439" t="s">
        <v>1373</v>
      </c>
      <c r="M439" t="s">
        <v>1733</v>
      </c>
      <c r="N439" t="s">
        <v>59</v>
      </c>
      <c r="O439" t="s">
        <v>116</v>
      </c>
      <c r="P439" t="s">
        <v>61</v>
      </c>
      <c r="Q439">
        <v>1</v>
      </c>
      <c r="R439" t="s">
        <v>1713</v>
      </c>
      <c r="S439" t="s">
        <v>129</v>
      </c>
      <c r="T439" s="52"/>
    </row>
    <row r="440" spans="1:20" x14ac:dyDescent="0.3">
      <c r="A440" t="s">
        <v>53</v>
      </c>
      <c r="B440" s="48">
        <v>46023</v>
      </c>
      <c r="C440" s="26"/>
      <c r="I440" t="s">
        <v>1761</v>
      </c>
      <c r="J440" t="s">
        <v>1762</v>
      </c>
      <c r="K440" t="s">
        <v>1763</v>
      </c>
      <c r="L440" t="s">
        <v>1373</v>
      </c>
      <c r="M440" t="s">
        <v>1374</v>
      </c>
      <c r="N440" t="s">
        <v>59</v>
      </c>
      <c r="O440" t="s">
        <v>60</v>
      </c>
      <c r="P440" t="s">
        <v>258</v>
      </c>
      <c r="Q440">
        <v>1</v>
      </c>
      <c r="R440" t="s">
        <v>1366</v>
      </c>
      <c r="S440" t="s">
        <v>129</v>
      </c>
      <c r="T440" s="52"/>
    </row>
    <row r="441" spans="1:20" x14ac:dyDescent="0.3">
      <c r="A441" t="s">
        <v>53</v>
      </c>
      <c r="B441" s="48">
        <v>46023</v>
      </c>
      <c r="C441" s="26"/>
      <c r="I441" t="s">
        <v>1764</v>
      </c>
      <c r="J441" t="s">
        <v>1765</v>
      </c>
      <c r="K441" t="s">
        <v>1763</v>
      </c>
      <c r="L441" t="s">
        <v>1373</v>
      </c>
      <c r="M441" t="s">
        <v>1374</v>
      </c>
      <c r="N441" t="s">
        <v>59</v>
      </c>
      <c r="O441" t="s">
        <v>60</v>
      </c>
      <c r="P441" t="s">
        <v>258</v>
      </c>
      <c r="Q441">
        <v>1</v>
      </c>
      <c r="R441" t="s">
        <v>1366</v>
      </c>
      <c r="S441" t="s">
        <v>129</v>
      </c>
      <c r="T441" s="52"/>
    </row>
    <row r="442" spans="1:20" x14ac:dyDescent="0.3">
      <c r="A442" t="s">
        <v>53</v>
      </c>
      <c r="B442" s="48">
        <v>46023</v>
      </c>
      <c r="C442" s="26"/>
      <c r="I442" t="s">
        <v>1766</v>
      </c>
      <c r="J442" t="s">
        <v>1767</v>
      </c>
      <c r="K442" t="s">
        <v>1763</v>
      </c>
      <c r="L442" t="s">
        <v>1373</v>
      </c>
      <c r="M442" t="s">
        <v>1374</v>
      </c>
      <c r="N442" t="s">
        <v>59</v>
      </c>
      <c r="O442" t="s">
        <v>60</v>
      </c>
      <c r="P442" t="s">
        <v>61</v>
      </c>
      <c r="Q442">
        <v>25</v>
      </c>
      <c r="R442" t="s">
        <v>1366</v>
      </c>
      <c r="S442" t="s">
        <v>129</v>
      </c>
      <c r="T442" s="52"/>
    </row>
    <row r="443" spans="1:20" x14ac:dyDescent="0.3">
      <c r="A443" t="s">
        <v>53</v>
      </c>
      <c r="B443" s="48">
        <v>46023</v>
      </c>
      <c r="C443" s="26"/>
      <c r="I443" t="s">
        <v>1768</v>
      </c>
      <c r="J443" t="s">
        <v>1769</v>
      </c>
      <c r="K443" t="s">
        <v>1763</v>
      </c>
      <c r="L443" t="s">
        <v>1373</v>
      </c>
      <c r="M443" t="s">
        <v>1374</v>
      </c>
      <c r="N443" t="s">
        <v>59</v>
      </c>
      <c r="O443" t="s">
        <v>60</v>
      </c>
      <c r="P443" t="s">
        <v>61</v>
      </c>
      <c r="Q443">
        <v>12</v>
      </c>
      <c r="R443" t="s">
        <v>1366</v>
      </c>
      <c r="S443" t="s">
        <v>129</v>
      </c>
      <c r="T443" s="52"/>
    </row>
    <row r="444" spans="1:20" x14ac:dyDescent="0.3">
      <c r="A444" t="s">
        <v>53</v>
      </c>
      <c r="B444" s="48">
        <v>46023</v>
      </c>
      <c r="C444" s="26"/>
      <c r="I444" t="s">
        <v>1770</v>
      </c>
      <c r="J444" t="s">
        <v>1771</v>
      </c>
      <c r="K444" t="s">
        <v>1763</v>
      </c>
      <c r="L444" t="s">
        <v>1373</v>
      </c>
      <c r="M444" t="s">
        <v>1374</v>
      </c>
      <c r="N444" t="s">
        <v>59</v>
      </c>
      <c r="O444" t="s">
        <v>60</v>
      </c>
      <c r="P444" t="s">
        <v>61</v>
      </c>
      <c r="Q444">
        <v>6</v>
      </c>
      <c r="R444" t="s">
        <v>1366</v>
      </c>
      <c r="S444" t="s">
        <v>129</v>
      </c>
      <c r="T444" s="52"/>
    </row>
    <row r="445" spans="1:20" x14ac:dyDescent="0.3">
      <c r="A445" t="s">
        <v>53</v>
      </c>
      <c r="B445" s="48">
        <v>46023</v>
      </c>
      <c r="C445" s="26"/>
      <c r="I445" t="s">
        <v>1772</v>
      </c>
      <c r="J445" t="s">
        <v>1773</v>
      </c>
      <c r="K445" t="s">
        <v>1763</v>
      </c>
      <c r="L445" t="s">
        <v>1373</v>
      </c>
      <c r="M445" t="s">
        <v>1374</v>
      </c>
      <c r="N445" t="s">
        <v>59</v>
      </c>
      <c r="O445" t="s">
        <v>60</v>
      </c>
      <c r="P445" t="s">
        <v>61</v>
      </c>
      <c r="Q445">
        <v>20</v>
      </c>
      <c r="R445" t="s">
        <v>1366</v>
      </c>
      <c r="S445" t="s">
        <v>129</v>
      </c>
      <c r="T445" s="52"/>
    </row>
    <row r="446" spans="1:20" x14ac:dyDescent="0.3">
      <c r="A446" t="s">
        <v>53</v>
      </c>
      <c r="B446" s="48">
        <v>46023</v>
      </c>
      <c r="C446" s="26"/>
      <c r="I446" t="s">
        <v>1774</v>
      </c>
      <c r="J446" t="s">
        <v>1775</v>
      </c>
      <c r="K446" t="s">
        <v>1763</v>
      </c>
      <c r="L446" t="s">
        <v>1373</v>
      </c>
      <c r="M446" t="s">
        <v>1374</v>
      </c>
      <c r="N446" t="s">
        <v>59</v>
      </c>
      <c r="O446" t="s">
        <v>60</v>
      </c>
      <c r="P446" t="s">
        <v>61</v>
      </c>
      <c r="Q446">
        <v>10</v>
      </c>
      <c r="R446" t="s">
        <v>1366</v>
      </c>
      <c r="S446" t="s">
        <v>129</v>
      </c>
      <c r="T446" s="52"/>
    </row>
    <row r="447" spans="1:20" x14ac:dyDescent="0.3">
      <c r="A447" t="s">
        <v>53</v>
      </c>
      <c r="B447" s="48">
        <v>46023</v>
      </c>
      <c r="C447" s="26"/>
      <c r="I447" t="s">
        <v>1776</v>
      </c>
      <c r="J447" t="s">
        <v>1777</v>
      </c>
      <c r="K447" t="s">
        <v>1763</v>
      </c>
      <c r="L447" t="s">
        <v>1373</v>
      </c>
      <c r="M447" t="s">
        <v>1374</v>
      </c>
      <c r="N447" t="s">
        <v>59</v>
      </c>
      <c r="O447" t="s">
        <v>60</v>
      </c>
      <c r="P447" t="s">
        <v>61</v>
      </c>
      <c r="Q447">
        <v>3</v>
      </c>
      <c r="R447" t="s">
        <v>1366</v>
      </c>
      <c r="S447" t="s">
        <v>129</v>
      </c>
      <c r="T447" s="52"/>
    </row>
    <row r="448" spans="1:20" x14ac:dyDescent="0.3">
      <c r="A448" t="s">
        <v>53</v>
      </c>
      <c r="B448" s="48">
        <v>46023</v>
      </c>
      <c r="C448" s="26"/>
      <c r="I448" t="s">
        <v>1778</v>
      </c>
      <c r="J448" t="s">
        <v>1779</v>
      </c>
      <c r="K448" t="s">
        <v>1763</v>
      </c>
      <c r="L448" t="s">
        <v>1373</v>
      </c>
      <c r="M448" t="s">
        <v>1374</v>
      </c>
      <c r="N448" t="s">
        <v>59</v>
      </c>
      <c r="O448" t="s">
        <v>60</v>
      </c>
      <c r="P448" t="s">
        <v>61</v>
      </c>
      <c r="Q448">
        <v>15</v>
      </c>
      <c r="R448" t="s">
        <v>1366</v>
      </c>
      <c r="S448" t="s">
        <v>129</v>
      </c>
      <c r="T448" s="52"/>
    </row>
    <row r="449" spans="1:20" x14ac:dyDescent="0.3">
      <c r="A449" t="s">
        <v>53</v>
      </c>
      <c r="B449" s="48">
        <v>46023</v>
      </c>
      <c r="C449" s="26"/>
      <c r="I449" t="s">
        <v>1780</v>
      </c>
      <c r="J449" t="s">
        <v>1781</v>
      </c>
      <c r="K449" t="s">
        <v>1763</v>
      </c>
      <c r="L449" t="s">
        <v>1373</v>
      </c>
      <c r="M449" t="s">
        <v>1374</v>
      </c>
      <c r="N449" t="s">
        <v>59</v>
      </c>
      <c r="O449" t="s">
        <v>60</v>
      </c>
      <c r="P449" t="s">
        <v>61</v>
      </c>
      <c r="Q449">
        <v>15</v>
      </c>
      <c r="R449" t="s">
        <v>1366</v>
      </c>
      <c r="S449" t="s">
        <v>129</v>
      </c>
      <c r="T449" s="52"/>
    </row>
    <row r="450" spans="1:20" x14ac:dyDescent="0.3">
      <c r="A450" t="s">
        <v>53</v>
      </c>
      <c r="B450" s="48">
        <v>46023</v>
      </c>
      <c r="C450" s="26"/>
      <c r="I450" t="s">
        <v>1782</v>
      </c>
      <c r="J450" t="s">
        <v>1783</v>
      </c>
      <c r="K450" t="s">
        <v>1763</v>
      </c>
      <c r="L450" t="s">
        <v>1373</v>
      </c>
      <c r="M450" t="s">
        <v>1374</v>
      </c>
      <c r="N450" t="s">
        <v>59</v>
      </c>
      <c r="O450" t="s">
        <v>60</v>
      </c>
      <c r="P450" t="s">
        <v>61</v>
      </c>
      <c r="Q450">
        <v>25</v>
      </c>
      <c r="R450" t="s">
        <v>1366</v>
      </c>
      <c r="S450" t="s">
        <v>129</v>
      </c>
      <c r="T450" s="52"/>
    </row>
    <row r="451" spans="1:20" x14ac:dyDescent="0.3">
      <c r="A451" t="s">
        <v>53</v>
      </c>
      <c r="B451" s="48">
        <v>46023</v>
      </c>
      <c r="C451" s="26"/>
      <c r="I451" t="s">
        <v>1784</v>
      </c>
      <c r="J451" t="s">
        <v>1785</v>
      </c>
      <c r="K451" t="s">
        <v>1763</v>
      </c>
      <c r="L451" t="s">
        <v>1373</v>
      </c>
      <c r="M451" t="s">
        <v>1374</v>
      </c>
      <c r="N451" t="s">
        <v>59</v>
      </c>
      <c r="O451" t="s">
        <v>60</v>
      </c>
      <c r="P451" t="s">
        <v>61</v>
      </c>
      <c r="Q451">
        <v>25</v>
      </c>
      <c r="R451" t="s">
        <v>1366</v>
      </c>
      <c r="S451" t="s">
        <v>129</v>
      </c>
      <c r="T451" s="52"/>
    </row>
    <row r="452" spans="1:20" x14ac:dyDescent="0.3">
      <c r="A452" t="s">
        <v>53</v>
      </c>
      <c r="B452" s="48">
        <v>46023</v>
      </c>
      <c r="C452" s="26"/>
      <c r="I452" t="s">
        <v>1786</v>
      </c>
      <c r="J452" t="s">
        <v>1787</v>
      </c>
      <c r="K452" t="s">
        <v>1763</v>
      </c>
      <c r="L452" t="s">
        <v>1373</v>
      </c>
      <c r="M452" t="s">
        <v>1374</v>
      </c>
      <c r="N452" t="s">
        <v>59</v>
      </c>
      <c r="O452" t="s">
        <v>60</v>
      </c>
      <c r="P452" t="s">
        <v>61</v>
      </c>
      <c r="Q452">
        <v>15</v>
      </c>
      <c r="R452" t="s">
        <v>1366</v>
      </c>
      <c r="S452" t="s">
        <v>129</v>
      </c>
      <c r="T452" s="52"/>
    </row>
    <row r="453" spans="1:20" x14ac:dyDescent="0.3">
      <c r="A453" t="s">
        <v>53</v>
      </c>
      <c r="B453" s="48">
        <v>46023</v>
      </c>
      <c r="C453" s="26"/>
      <c r="I453" t="s">
        <v>1788</v>
      </c>
      <c r="J453" t="s">
        <v>1789</v>
      </c>
      <c r="K453" t="s">
        <v>1763</v>
      </c>
      <c r="L453" t="s">
        <v>1373</v>
      </c>
      <c r="M453" t="s">
        <v>1396</v>
      </c>
      <c r="N453" t="s">
        <v>59</v>
      </c>
      <c r="O453" t="s">
        <v>60</v>
      </c>
      <c r="P453" t="s">
        <v>61</v>
      </c>
      <c r="Q453">
        <v>1</v>
      </c>
      <c r="R453" t="s">
        <v>1366</v>
      </c>
      <c r="S453" t="s">
        <v>129</v>
      </c>
      <c r="T453" s="52"/>
    </row>
    <row r="454" spans="1:20" x14ac:dyDescent="0.3">
      <c r="A454" t="s">
        <v>53</v>
      </c>
      <c r="B454" s="48">
        <v>46023</v>
      </c>
      <c r="C454" s="26"/>
      <c r="I454" t="s">
        <v>1790</v>
      </c>
      <c r="J454" t="s">
        <v>1791</v>
      </c>
      <c r="K454" t="s">
        <v>1763</v>
      </c>
      <c r="L454" t="s">
        <v>1373</v>
      </c>
      <c r="M454" t="s">
        <v>1396</v>
      </c>
      <c r="N454" t="s">
        <v>59</v>
      </c>
      <c r="O454" t="s">
        <v>60</v>
      </c>
      <c r="P454" t="s">
        <v>61</v>
      </c>
      <c r="Q454">
        <v>1</v>
      </c>
      <c r="R454" t="s">
        <v>1366</v>
      </c>
      <c r="S454" t="s">
        <v>129</v>
      </c>
      <c r="T454" s="52"/>
    </row>
    <row r="455" spans="1:20" x14ac:dyDescent="0.3">
      <c r="A455" t="s">
        <v>53</v>
      </c>
      <c r="B455" s="48">
        <v>46023</v>
      </c>
      <c r="C455" s="26"/>
      <c r="I455" t="s">
        <v>1792</v>
      </c>
      <c r="J455" t="s">
        <v>1793</v>
      </c>
      <c r="K455" t="s">
        <v>1763</v>
      </c>
      <c r="L455" t="s">
        <v>1373</v>
      </c>
      <c r="M455" t="s">
        <v>1396</v>
      </c>
      <c r="N455" t="s">
        <v>59</v>
      </c>
      <c r="O455" t="s">
        <v>60</v>
      </c>
      <c r="P455" t="s">
        <v>61</v>
      </c>
      <c r="Q455">
        <v>1</v>
      </c>
      <c r="R455" t="s">
        <v>1366</v>
      </c>
      <c r="S455" t="s">
        <v>129</v>
      </c>
      <c r="T455" s="52"/>
    </row>
    <row r="456" spans="1:20" x14ac:dyDescent="0.3">
      <c r="A456" t="s">
        <v>53</v>
      </c>
      <c r="B456" s="48">
        <v>46023</v>
      </c>
      <c r="C456" s="26"/>
      <c r="I456" t="s">
        <v>1794</v>
      </c>
      <c r="J456" t="s">
        <v>1795</v>
      </c>
      <c r="K456" t="s">
        <v>1763</v>
      </c>
      <c r="L456" t="s">
        <v>1373</v>
      </c>
      <c r="M456" t="s">
        <v>1396</v>
      </c>
      <c r="N456" t="s">
        <v>59</v>
      </c>
      <c r="O456" t="s">
        <v>60</v>
      </c>
      <c r="P456" t="s">
        <v>61</v>
      </c>
      <c r="Q456">
        <v>1</v>
      </c>
      <c r="R456" t="s">
        <v>1366</v>
      </c>
      <c r="S456" t="s">
        <v>129</v>
      </c>
      <c r="T456" s="52"/>
    </row>
    <row r="457" spans="1:20" x14ac:dyDescent="0.3">
      <c r="A457" t="s">
        <v>53</v>
      </c>
      <c r="B457" s="48">
        <v>46023</v>
      </c>
      <c r="C457" s="26"/>
      <c r="I457" t="s">
        <v>1796</v>
      </c>
      <c r="J457" t="s">
        <v>1797</v>
      </c>
      <c r="K457" t="s">
        <v>1763</v>
      </c>
      <c r="L457" t="s">
        <v>1373</v>
      </c>
      <c r="M457" t="s">
        <v>1396</v>
      </c>
      <c r="N457" t="s">
        <v>59</v>
      </c>
      <c r="O457" t="s">
        <v>60</v>
      </c>
      <c r="P457" t="s">
        <v>61</v>
      </c>
      <c r="Q457">
        <v>1</v>
      </c>
      <c r="R457" t="s">
        <v>1366</v>
      </c>
      <c r="S457" t="s">
        <v>129</v>
      </c>
      <c r="T457" s="52"/>
    </row>
    <row r="458" spans="1:20" x14ac:dyDescent="0.3">
      <c r="A458" t="s">
        <v>53</v>
      </c>
      <c r="B458" s="48">
        <v>46023</v>
      </c>
      <c r="C458" s="26"/>
      <c r="I458" t="s">
        <v>1798</v>
      </c>
      <c r="J458" t="s">
        <v>1799</v>
      </c>
      <c r="K458" t="s">
        <v>1763</v>
      </c>
      <c r="L458" t="s">
        <v>1373</v>
      </c>
      <c r="M458" t="s">
        <v>1396</v>
      </c>
      <c r="N458" t="s">
        <v>59</v>
      </c>
      <c r="O458" t="s">
        <v>60</v>
      </c>
      <c r="P458" t="s">
        <v>61</v>
      </c>
      <c r="Q458">
        <v>1</v>
      </c>
      <c r="R458" t="s">
        <v>1366</v>
      </c>
      <c r="S458" t="s">
        <v>129</v>
      </c>
      <c r="T458" s="52"/>
    </row>
    <row r="459" spans="1:20" x14ac:dyDescent="0.3">
      <c r="A459" t="s">
        <v>53</v>
      </c>
      <c r="B459" s="48">
        <v>46023</v>
      </c>
      <c r="C459" s="26"/>
      <c r="I459" t="s">
        <v>1800</v>
      </c>
      <c r="J459" t="s">
        <v>1801</v>
      </c>
      <c r="K459" t="s">
        <v>1763</v>
      </c>
      <c r="L459" t="s">
        <v>1373</v>
      </c>
      <c r="M459" t="s">
        <v>1396</v>
      </c>
      <c r="N459" t="s">
        <v>59</v>
      </c>
      <c r="O459" t="s">
        <v>60</v>
      </c>
      <c r="P459" t="s">
        <v>61</v>
      </c>
      <c r="Q459">
        <v>1</v>
      </c>
      <c r="R459" t="s">
        <v>1366</v>
      </c>
      <c r="S459" t="s">
        <v>129</v>
      </c>
      <c r="T459" s="52"/>
    </row>
    <row r="460" spans="1:20" x14ac:dyDescent="0.3">
      <c r="A460" t="s">
        <v>53</v>
      </c>
      <c r="B460" s="48">
        <v>46023</v>
      </c>
      <c r="C460" s="26"/>
      <c r="I460" t="s">
        <v>1802</v>
      </c>
      <c r="J460" t="s">
        <v>1803</v>
      </c>
      <c r="K460" t="s">
        <v>1763</v>
      </c>
      <c r="L460" t="s">
        <v>1373</v>
      </c>
      <c r="M460" t="s">
        <v>1396</v>
      </c>
      <c r="N460" t="s">
        <v>59</v>
      </c>
      <c r="O460" t="s">
        <v>60</v>
      </c>
      <c r="P460" t="s">
        <v>258</v>
      </c>
      <c r="Q460">
        <v>1</v>
      </c>
      <c r="R460" t="s">
        <v>1366</v>
      </c>
      <c r="S460" t="s">
        <v>129</v>
      </c>
      <c r="T460" s="52"/>
    </row>
    <row r="461" spans="1:20" x14ac:dyDescent="0.3">
      <c r="A461" t="s">
        <v>53</v>
      </c>
      <c r="B461" s="48">
        <v>46023</v>
      </c>
      <c r="C461" s="26"/>
      <c r="I461" t="s">
        <v>1804</v>
      </c>
      <c r="J461" t="s">
        <v>1805</v>
      </c>
      <c r="K461" t="s">
        <v>1763</v>
      </c>
      <c r="L461" t="s">
        <v>1373</v>
      </c>
      <c r="M461" t="s">
        <v>1396</v>
      </c>
      <c r="N461" t="s">
        <v>59</v>
      </c>
      <c r="O461" t="s">
        <v>60</v>
      </c>
      <c r="P461" t="s">
        <v>258</v>
      </c>
      <c r="Q461">
        <v>1</v>
      </c>
      <c r="R461" t="s">
        <v>1366</v>
      </c>
      <c r="S461" t="s">
        <v>129</v>
      </c>
      <c r="T461" s="52"/>
    </row>
    <row r="462" spans="1:20" x14ac:dyDescent="0.3">
      <c r="A462" t="s">
        <v>53</v>
      </c>
      <c r="B462" s="48">
        <v>46023</v>
      </c>
      <c r="C462" s="26"/>
      <c r="I462" t="s">
        <v>1806</v>
      </c>
      <c r="J462" t="s">
        <v>1807</v>
      </c>
      <c r="K462" t="s">
        <v>1763</v>
      </c>
      <c r="L462" t="s">
        <v>1373</v>
      </c>
      <c r="M462" t="s">
        <v>1396</v>
      </c>
      <c r="N462">
        <v>52419</v>
      </c>
      <c r="O462" t="s">
        <v>116</v>
      </c>
      <c r="P462" t="s">
        <v>61</v>
      </c>
      <c r="Q462">
        <v>1</v>
      </c>
      <c r="R462" t="s">
        <v>1366</v>
      </c>
      <c r="S462" t="s">
        <v>129</v>
      </c>
      <c r="T462" s="52"/>
    </row>
    <row r="463" spans="1:20" x14ac:dyDescent="0.3">
      <c r="A463" t="s">
        <v>53</v>
      </c>
      <c r="B463" s="48">
        <v>46023</v>
      </c>
      <c r="C463" s="26"/>
      <c r="I463" t="s">
        <v>1808</v>
      </c>
      <c r="J463" t="s">
        <v>1809</v>
      </c>
      <c r="K463" t="s">
        <v>1669</v>
      </c>
      <c r="L463" t="s">
        <v>1373</v>
      </c>
      <c r="M463" t="s">
        <v>1733</v>
      </c>
      <c r="N463" t="s">
        <v>59</v>
      </c>
      <c r="O463" t="s">
        <v>60</v>
      </c>
      <c r="P463" t="s">
        <v>61</v>
      </c>
      <c r="Q463">
        <v>8</v>
      </c>
      <c r="R463" t="s">
        <v>1366</v>
      </c>
      <c r="S463" t="s">
        <v>1632</v>
      </c>
      <c r="T463" s="52"/>
    </row>
    <row r="464" spans="1:20" x14ac:dyDescent="0.3">
      <c r="A464" t="s">
        <v>53</v>
      </c>
      <c r="B464" s="48">
        <v>46023</v>
      </c>
      <c r="C464" s="26"/>
      <c r="I464" t="s">
        <v>1810</v>
      </c>
      <c r="J464" t="s">
        <v>1811</v>
      </c>
      <c r="K464" t="s">
        <v>1669</v>
      </c>
      <c r="L464" t="s">
        <v>1373</v>
      </c>
      <c r="M464" t="s">
        <v>1733</v>
      </c>
      <c r="N464" t="s">
        <v>59</v>
      </c>
      <c r="O464" t="s">
        <v>60</v>
      </c>
      <c r="P464" t="s">
        <v>61</v>
      </c>
      <c r="Q464">
        <v>8</v>
      </c>
      <c r="R464" t="s">
        <v>1366</v>
      </c>
      <c r="S464" t="s">
        <v>1632</v>
      </c>
      <c r="T464" s="52"/>
    </row>
    <row r="465" spans="1:20" x14ac:dyDescent="0.3">
      <c r="A465" t="s">
        <v>53</v>
      </c>
      <c r="B465" s="48">
        <v>46023</v>
      </c>
      <c r="C465" s="26"/>
      <c r="I465" t="s">
        <v>1812</v>
      </c>
      <c r="J465" t="s">
        <v>1813</v>
      </c>
      <c r="K465" t="s">
        <v>1669</v>
      </c>
      <c r="L465" t="s">
        <v>1373</v>
      </c>
      <c r="M465" t="s">
        <v>1733</v>
      </c>
      <c r="N465" t="s">
        <v>59</v>
      </c>
      <c r="O465" t="s">
        <v>60</v>
      </c>
      <c r="P465" t="s">
        <v>61</v>
      </c>
      <c r="Q465">
        <v>8</v>
      </c>
      <c r="R465" t="s">
        <v>1366</v>
      </c>
      <c r="S465" t="s">
        <v>1632</v>
      </c>
      <c r="T465" s="52"/>
    </row>
    <row r="466" spans="1:20" x14ac:dyDescent="0.3">
      <c r="A466" t="s">
        <v>53</v>
      </c>
      <c r="B466" s="48">
        <v>46023</v>
      </c>
      <c r="C466" s="26"/>
      <c r="I466" t="s">
        <v>1814</v>
      </c>
      <c r="J466" t="s">
        <v>1815</v>
      </c>
      <c r="K466" t="s">
        <v>1669</v>
      </c>
      <c r="L466" t="s">
        <v>1373</v>
      </c>
      <c r="M466" t="s">
        <v>1733</v>
      </c>
      <c r="N466" t="s">
        <v>59</v>
      </c>
      <c r="O466" t="s">
        <v>60</v>
      </c>
      <c r="P466" t="s">
        <v>61</v>
      </c>
      <c r="Q466">
        <v>8</v>
      </c>
      <c r="R466" t="s">
        <v>1366</v>
      </c>
      <c r="S466" t="s">
        <v>1632</v>
      </c>
      <c r="T466" s="52"/>
    </row>
    <row r="467" spans="1:20" x14ac:dyDescent="0.3">
      <c r="A467" t="s">
        <v>53</v>
      </c>
      <c r="B467" s="48">
        <v>46023</v>
      </c>
      <c r="C467" s="26"/>
      <c r="I467" t="s">
        <v>1816</v>
      </c>
      <c r="J467" t="s">
        <v>1817</v>
      </c>
      <c r="K467" t="s">
        <v>1669</v>
      </c>
      <c r="L467" t="s">
        <v>1373</v>
      </c>
      <c r="M467" t="s">
        <v>1733</v>
      </c>
      <c r="N467" t="s">
        <v>59</v>
      </c>
      <c r="O467" t="s">
        <v>60</v>
      </c>
      <c r="P467" t="s">
        <v>61</v>
      </c>
      <c r="Q467">
        <v>8</v>
      </c>
      <c r="R467" t="s">
        <v>1366</v>
      </c>
      <c r="S467" t="s">
        <v>1632</v>
      </c>
      <c r="T467" s="52"/>
    </row>
    <row r="468" spans="1:20" x14ac:dyDescent="0.3">
      <c r="A468" t="s">
        <v>53</v>
      </c>
      <c r="B468" s="48">
        <v>46023</v>
      </c>
      <c r="C468" s="26"/>
      <c r="I468" t="s">
        <v>1818</v>
      </c>
      <c r="J468" t="s">
        <v>1819</v>
      </c>
      <c r="K468" t="s">
        <v>1669</v>
      </c>
      <c r="L468" t="s">
        <v>1373</v>
      </c>
      <c r="M468" t="s">
        <v>1733</v>
      </c>
      <c r="N468" t="s">
        <v>59</v>
      </c>
      <c r="O468" t="s">
        <v>60</v>
      </c>
      <c r="P468" t="s">
        <v>61</v>
      </c>
      <c r="Q468">
        <v>8</v>
      </c>
      <c r="R468" t="s">
        <v>1366</v>
      </c>
      <c r="S468" t="s">
        <v>1632</v>
      </c>
      <c r="T468" s="52"/>
    </row>
    <row r="469" spans="1:20" x14ac:dyDescent="0.3">
      <c r="A469" t="s">
        <v>53</v>
      </c>
      <c r="B469" s="48">
        <v>46023</v>
      </c>
      <c r="C469" s="26"/>
      <c r="I469" t="s">
        <v>1820</v>
      </c>
      <c r="J469" t="s">
        <v>1821</v>
      </c>
      <c r="K469" t="s">
        <v>1822</v>
      </c>
      <c r="L469" t="s">
        <v>1373</v>
      </c>
      <c r="M469" t="s">
        <v>1396</v>
      </c>
      <c r="N469" t="s">
        <v>59</v>
      </c>
      <c r="O469" t="s">
        <v>60</v>
      </c>
      <c r="P469" t="s">
        <v>1067</v>
      </c>
      <c r="Q469">
        <v>1</v>
      </c>
      <c r="R469" t="s">
        <v>1366</v>
      </c>
      <c r="S469" t="s">
        <v>129</v>
      </c>
      <c r="T469" s="52"/>
    </row>
    <row r="470" spans="1:20" x14ac:dyDescent="0.3">
      <c r="A470" t="s">
        <v>53</v>
      </c>
      <c r="B470" s="48">
        <v>46023</v>
      </c>
      <c r="C470" s="26"/>
      <c r="I470" t="s">
        <v>1823</v>
      </c>
      <c r="J470" t="s">
        <v>1824</v>
      </c>
      <c r="K470" t="s">
        <v>1416</v>
      </c>
      <c r="L470" t="s">
        <v>1373</v>
      </c>
      <c r="M470" t="s">
        <v>1513</v>
      </c>
      <c r="N470" t="s">
        <v>59</v>
      </c>
      <c r="O470" t="s">
        <v>60</v>
      </c>
      <c r="P470" t="s">
        <v>61</v>
      </c>
      <c r="Q470">
        <v>1</v>
      </c>
      <c r="R470" t="s">
        <v>1366</v>
      </c>
      <c r="S470" t="s">
        <v>129</v>
      </c>
      <c r="T470" s="52"/>
    </row>
    <row r="471" spans="1:20" x14ac:dyDescent="0.3">
      <c r="A471" t="s">
        <v>53</v>
      </c>
      <c r="B471" s="48">
        <v>46023</v>
      </c>
      <c r="C471" s="26"/>
      <c r="I471" t="s">
        <v>1825</v>
      </c>
      <c r="J471" t="s">
        <v>1826</v>
      </c>
      <c r="K471" t="s">
        <v>1827</v>
      </c>
      <c r="L471" t="s">
        <v>1373</v>
      </c>
      <c r="M471" t="s">
        <v>1384</v>
      </c>
      <c r="N471" t="s">
        <v>59</v>
      </c>
      <c r="O471" t="s">
        <v>60</v>
      </c>
      <c r="P471" t="s">
        <v>61</v>
      </c>
      <c r="Q471">
        <v>1</v>
      </c>
      <c r="R471" t="s">
        <v>1366</v>
      </c>
      <c r="S471" t="s">
        <v>1632</v>
      </c>
      <c r="T471" s="52"/>
    </row>
    <row r="472" spans="1:20" x14ac:dyDescent="0.3">
      <c r="A472" t="s">
        <v>53</v>
      </c>
      <c r="B472" s="48">
        <v>46023</v>
      </c>
      <c r="C472" s="26"/>
      <c r="I472" t="s">
        <v>1828</v>
      </c>
      <c r="J472" t="s">
        <v>1829</v>
      </c>
      <c r="K472" t="s">
        <v>59</v>
      </c>
      <c r="L472" t="s">
        <v>1373</v>
      </c>
      <c r="M472" t="s">
        <v>1396</v>
      </c>
      <c r="N472" t="s">
        <v>59</v>
      </c>
      <c r="O472" t="s">
        <v>60</v>
      </c>
      <c r="P472" t="s">
        <v>1067</v>
      </c>
      <c r="Q472">
        <v>1</v>
      </c>
      <c r="R472" t="s">
        <v>1366</v>
      </c>
      <c r="S472" t="s">
        <v>129</v>
      </c>
      <c r="T472" s="52"/>
    </row>
    <row r="473" spans="1:20" x14ac:dyDescent="0.3">
      <c r="A473" t="s">
        <v>53</v>
      </c>
      <c r="B473" s="48">
        <v>46023</v>
      </c>
      <c r="C473" s="26"/>
      <c r="I473" t="s">
        <v>1830</v>
      </c>
      <c r="J473" t="s">
        <v>1831</v>
      </c>
      <c r="K473" t="s">
        <v>1832</v>
      </c>
      <c r="L473" t="s">
        <v>1373</v>
      </c>
      <c r="M473" t="s">
        <v>1513</v>
      </c>
      <c r="N473" t="s">
        <v>1833</v>
      </c>
      <c r="O473" t="s">
        <v>116</v>
      </c>
      <c r="P473" t="s">
        <v>61</v>
      </c>
      <c r="Q473">
        <v>1</v>
      </c>
      <c r="R473" t="s">
        <v>1366</v>
      </c>
      <c r="S473" t="s">
        <v>129</v>
      </c>
      <c r="T473" s="52"/>
    </row>
    <row r="474" spans="1:20" x14ac:dyDescent="0.3">
      <c r="A474" t="s">
        <v>53</v>
      </c>
      <c r="B474" s="48">
        <v>46023</v>
      </c>
      <c r="C474" s="26"/>
      <c r="I474" t="s">
        <v>1834</v>
      </c>
      <c r="J474" t="s">
        <v>1835</v>
      </c>
      <c r="K474" t="s">
        <v>1836</v>
      </c>
      <c r="L474" t="s">
        <v>1373</v>
      </c>
      <c r="M474" t="s">
        <v>1396</v>
      </c>
      <c r="N474" t="s">
        <v>59</v>
      </c>
      <c r="O474" t="s">
        <v>116</v>
      </c>
      <c r="P474" t="s">
        <v>61</v>
      </c>
      <c r="Q474">
        <v>2</v>
      </c>
      <c r="R474" t="s">
        <v>1366</v>
      </c>
      <c r="S474" t="s">
        <v>129</v>
      </c>
      <c r="T474" s="52"/>
    </row>
    <row r="475" spans="1:20" x14ac:dyDescent="0.3">
      <c r="A475" t="s">
        <v>53</v>
      </c>
      <c r="B475" s="48">
        <v>46023</v>
      </c>
      <c r="C475" s="26"/>
      <c r="I475" t="s">
        <v>1837</v>
      </c>
      <c r="J475" t="s">
        <v>1838</v>
      </c>
      <c r="K475" t="s">
        <v>1365</v>
      </c>
      <c r="L475" t="s">
        <v>1373</v>
      </c>
      <c r="M475" t="s">
        <v>1513</v>
      </c>
      <c r="N475">
        <v>90940315</v>
      </c>
      <c r="O475" t="s">
        <v>116</v>
      </c>
      <c r="P475" t="s">
        <v>61</v>
      </c>
      <c r="Q475">
        <v>1</v>
      </c>
      <c r="R475" t="s">
        <v>1366</v>
      </c>
      <c r="S475" t="s">
        <v>129</v>
      </c>
      <c r="T475" s="52"/>
    </row>
    <row r="476" spans="1:20" x14ac:dyDescent="0.3">
      <c r="A476" t="s">
        <v>53</v>
      </c>
      <c r="B476" s="48">
        <v>46023</v>
      </c>
      <c r="C476" s="26"/>
      <c r="I476" t="s">
        <v>1839</v>
      </c>
      <c r="J476" t="s">
        <v>1838</v>
      </c>
      <c r="K476" t="s">
        <v>1365</v>
      </c>
      <c r="L476" t="s">
        <v>1373</v>
      </c>
      <c r="M476" t="s">
        <v>1513</v>
      </c>
      <c r="N476">
        <v>90940134</v>
      </c>
      <c r="O476" t="s">
        <v>116</v>
      </c>
      <c r="P476" t="s">
        <v>61</v>
      </c>
      <c r="Q476">
        <v>1</v>
      </c>
      <c r="R476" t="s">
        <v>1366</v>
      </c>
      <c r="S476" t="s">
        <v>129</v>
      </c>
      <c r="T476" s="52"/>
    </row>
    <row r="477" spans="1:20" x14ac:dyDescent="0.3">
      <c r="A477" t="s">
        <v>53</v>
      </c>
      <c r="B477" s="48">
        <v>46023</v>
      </c>
      <c r="C477" s="26"/>
      <c r="I477" t="s">
        <v>1840</v>
      </c>
      <c r="J477" t="s">
        <v>1841</v>
      </c>
      <c r="K477" t="s">
        <v>59</v>
      </c>
      <c r="L477" t="s">
        <v>1373</v>
      </c>
      <c r="M477" t="s">
        <v>1513</v>
      </c>
      <c r="N477" t="s">
        <v>59</v>
      </c>
      <c r="O477" t="s">
        <v>116</v>
      </c>
      <c r="P477" t="s">
        <v>61</v>
      </c>
      <c r="Q477">
        <v>2</v>
      </c>
      <c r="R477" t="s">
        <v>1366</v>
      </c>
      <c r="S477" t="s">
        <v>129</v>
      </c>
      <c r="T477" s="52"/>
    </row>
    <row r="478" spans="1:20" x14ac:dyDescent="0.3">
      <c r="A478" t="s">
        <v>53</v>
      </c>
      <c r="B478" s="48">
        <v>46023</v>
      </c>
      <c r="C478" s="26"/>
      <c r="I478" t="s">
        <v>1842</v>
      </c>
      <c r="J478" t="s">
        <v>1843</v>
      </c>
      <c r="K478" t="s">
        <v>1844</v>
      </c>
      <c r="L478" t="s">
        <v>1373</v>
      </c>
      <c r="M478" t="s">
        <v>1513</v>
      </c>
      <c r="N478">
        <v>8001833</v>
      </c>
      <c r="O478" t="s">
        <v>1845</v>
      </c>
      <c r="P478" t="s">
        <v>61</v>
      </c>
      <c r="Q478">
        <v>1</v>
      </c>
      <c r="R478" t="s">
        <v>1366</v>
      </c>
      <c r="S478" t="s">
        <v>129</v>
      </c>
      <c r="T478" s="52"/>
    </row>
    <row r="479" spans="1:20" x14ac:dyDescent="0.3">
      <c r="A479" t="s">
        <v>53</v>
      </c>
      <c r="B479" s="48">
        <v>46023</v>
      </c>
      <c r="C479" s="26"/>
      <c r="I479" t="s">
        <v>1846</v>
      </c>
      <c r="J479" t="s">
        <v>1843</v>
      </c>
      <c r="K479" t="s">
        <v>1844</v>
      </c>
      <c r="L479" t="s">
        <v>1373</v>
      </c>
      <c r="M479" t="s">
        <v>1513</v>
      </c>
      <c r="N479">
        <v>8101008</v>
      </c>
      <c r="O479" t="s">
        <v>1845</v>
      </c>
      <c r="P479" t="s">
        <v>61</v>
      </c>
      <c r="Q479">
        <v>1</v>
      </c>
      <c r="R479" t="s">
        <v>1366</v>
      </c>
      <c r="S479" t="s">
        <v>129</v>
      </c>
      <c r="T479" s="52"/>
    </row>
    <row r="480" spans="1:20" x14ac:dyDescent="0.3">
      <c r="A480" t="s">
        <v>53</v>
      </c>
      <c r="B480" s="48">
        <v>46023</v>
      </c>
      <c r="C480" s="26"/>
      <c r="I480" t="s">
        <v>1847</v>
      </c>
      <c r="J480" t="s">
        <v>1848</v>
      </c>
      <c r="K480" t="s">
        <v>59</v>
      </c>
      <c r="L480" t="s">
        <v>1373</v>
      </c>
      <c r="M480" t="s">
        <v>1733</v>
      </c>
      <c r="N480" t="s">
        <v>59</v>
      </c>
      <c r="O480" t="s">
        <v>116</v>
      </c>
      <c r="P480" t="s">
        <v>61</v>
      </c>
      <c r="Q480">
        <v>1</v>
      </c>
      <c r="R480" t="s">
        <v>1366</v>
      </c>
      <c r="S480" t="s">
        <v>129</v>
      </c>
      <c r="T480" s="52"/>
    </row>
    <row r="481" spans="1:20" x14ac:dyDescent="0.3">
      <c r="A481" t="s">
        <v>53</v>
      </c>
      <c r="B481" s="48">
        <v>46023</v>
      </c>
      <c r="C481" s="26"/>
      <c r="I481" t="s">
        <v>1849</v>
      </c>
      <c r="J481" t="s">
        <v>1850</v>
      </c>
      <c r="K481" t="s">
        <v>59</v>
      </c>
      <c r="L481" t="s">
        <v>1373</v>
      </c>
      <c r="M481" t="s">
        <v>1396</v>
      </c>
      <c r="N481" t="s">
        <v>59</v>
      </c>
      <c r="O481" t="s">
        <v>116</v>
      </c>
      <c r="P481" t="s">
        <v>61</v>
      </c>
      <c r="Q481">
        <v>2</v>
      </c>
      <c r="R481" t="s">
        <v>1366</v>
      </c>
      <c r="S481" t="s">
        <v>325</v>
      </c>
      <c r="T481" s="52"/>
    </row>
    <row r="482" spans="1:20" x14ac:dyDescent="0.3">
      <c r="A482" t="s">
        <v>53</v>
      </c>
      <c r="B482" s="48">
        <v>46023</v>
      </c>
      <c r="C482" s="26"/>
      <c r="I482" t="s">
        <v>1851</v>
      </c>
      <c r="J482" t="s">
        <v>1852</v>
      </c>
      <c r="K482" t="s">
        <v>1853</v>
      </c>
      <c r="L482" t="s">
        <v>1373</v>
      </c>
      <c r="M482" t="s">
        <v>1374</v>
      </c>
      <c r="N482" t="s">
        <v>59</v>
      </c>
      <c r="O482" t="s">
        <v>116</v>
      </c>
      <c r="P482" t="s">
        <v>61</v>
      </c>
      <c r="Q482">
        <v>1</v>
      </c>
      <c r="R482" t="s">
        <v>1366</v>
      </c>
      <c r="S482" t="s">
        <v>325</v>
      </c>
      <c r="T482" s="52"/>
    </row>
    <row r="483" spans="1:20" x14ac:dyDescent="0.3">
      <c r="A483" t="s">
        <v>53</v>
      </c>
      <c r="B483" s="48">
        <v>46023</v>
      </c>
      <c r="C483" s="26"/>
      <c r="I483" t="s">
        <v>1854</v>
      </c>
      <c r="J483" t="s">
        <v>1855</v>
      </c>
      <c r="K483" t="s">
        <v>1853</v>
      </c>
      <c r="L483" t="s">
        <v>1373</v>
      </c>
      <c r="M483" t="s">
        <v>1374</v>
      </c>
      <c r="N483" t="s">
        <v>59</v>
      </c>
      <c r="O483" t="s">
        <v>116</v>
      </c>
      <c r="P483" t="s">
        <v>61</v>
      </c>
      <c r="Q483">
        <v>1</v>
      </c>
      <c r="R483" t="s">
        <v>1366</v>
      </c>
      <c r="S483" t="s">
        <v>325</v>
      </c>
      <c r="T483" s="52"/>
    </row>
    <row r="484" spans="1:20" x14ac:dyDescent="0.3">
      <c r="A484" t="s">
        <v>53</v>
      </c>
      <c r="B484" s="48">
        <v>46023</v>
      </c>
      <c r="C484" s="26"/>
      <c r="I484" t="s">
        <v>1856</v>
      </c>
      <c r="J484" t="s">
        <v>1857</v>
      </c>
      <c r="K484" t="s">
        <v>1853</v>
      </c>
      <c r="L484" t="s">
        <v>1373</v>
      </c>
      <c r="M484" t="s">
        <v>1374</v>
      </c>
      <c r="N484" t="s">
        <v>59</v>
      </c>
      <c r="O484" t="s">
        <v>116</v>
      </c>
      <c r="P484" t="s">
        <v>61</v>
      </c>
      <c r="Q484">
        <v>1</v>
      </c>
      <c r="R484" t="s">
        <v>1366</v>
      </c>
      <c r="S484" t="s">
        <v>325</v>
      </c>
      <c r="T484" s="52"/>
    </row>
    <row r="485" spans="1:20" x14ac:dyDescent="0.3">
      <c r="A485" t="s">
        <v>53</v>
      </c>
      <c r="B485" s="48">
        <v>46023</v>
      </c>
      <c r="C485" s="26"/>
      <c r="I485" t="s">
        <v>1858</v>
      </c>
      <c r="J485" t="s">
        <v>1859</v>
      </c>
      <c r="K485" t="s">
        <v>1853</v>
      </c>
      <c r="L485" t="s">
        <v>1373</v>
      </c>
      <c r="M485" t="s">
        <v>1374</v>
      </c>
      <c r="N485" t="s">
        <v>59</v>
      </c>
      <c r="O485" t="s">
        <v>116</v>
      </c>
      <c r="P485" t="s">
        <v>61</v>
      </c>
      <c r="Q485">
        <v>1</v>
      </c>
      <c r="R485" t="s">
        <v>1366</v>
      </c>
      <c r="S485" t="s">
        <v>325</v>
      </c>
      <c r="T485" s="52"/>
    </row>
    <row r="486" spans="1:20" x14ac:dyDescent="0.3">
      <c r="A486" t="s">
        <v>53</v>
      </c>
      <c r="B486" s="48">
        <v>46023</v>
      </c>
      <c r="C486" s="26"/>
      <c r="I486" t="s">
        <v>1860</v>
      </c>
      <c r="J486" t="s">
        <v>1861</v>
      </c>
      <c r="K486" t="s">
        <v>1853</v>
      </c>
      <c r="L486" t="s">
        <v>1373</v>
      </c>
      <c r="M486" t="s">
        <v>1374</v>
      </c>
      <c r="N486" t="s">
        <v>59</v>
      </c>
      <c r="O486" t="s">
        <v>116</v>
      </c>
      <c r="P486" t="s">
        <v>61</v>
      </c>
      <c r="Q486">
        <v>1</v>
      </c>
      <c r="R486" t="s">
        <v>1366</v>
      </c>
      <c r="S486" t="s">
        <v>325</v>
      </c>
      <c r="T486" s="52"/>
    </row>
    <row r="487" spans="1:20" x14ac:dyDescent="0.3">
      <c r="A487" t="s">
        <v>53</v>
      </c>
      <c r="B487" s="48">
        <v>46023</v>
      </c>
      <c r="C487" s="26"/>
      <c r="I487" t="s">
        <v>1862</v>
      </c>
      <c r="J487" t="s">
        <v>1863</v>
      </c>
      <c r="K487" t="s">
        <v>1853</v>
      </c>
      <c r="L487" t="s">
        <v>1373</v>
      </c>
      <c r="M487" t="s">
        <v>1374</v>
      </c>
      <c r="N487" t="s">
        <v>59</v>
      </c>
      <c r="O487" t="s">
        <v>116</v>
      </c>
      <c r="P487" t="s">
        <v>61</v>
      </c>
      <c r="Q487">
        <v>1</v>
      </c>
      <c r="R487" t="s">
        <v>1366</v>
      </c>
      <c r="S487" t="s">
        <v>325</v>
      </c>
      <c r="T487" s="52"/>
    </row>
    <row r="488" spans="1:20" x14ac:dyDescent="0.3">
      <c r="A488" t="s">
        <v>53</v>
      </c>
      <c r="B488" s="48">
        <v>46023</v>
      </c>
      <c r="C488" s="26"/>
      <c r="I488" t="s">
        <v>1864</v>
      </c>
      <c r="J488" t="s">
        <v>1865</v>
      </c>
      <c r="K488" t="s">
        <v>1853</v>
      </c>
      <c r="L488" t="s">
        <v>1373</v>
      </c>
      <c r="M488" t="s">
        <v>1374</v>
      </c>
      <c r="N488" t="s">
        <v>59</v>
      </c>
      <c r="O488" t="s">
        <v>116</v>
      </c>
      <c r="P488" t="s">
        <v>61</v>
      </c>
      <c r="Q488">
        <v>1</v>
      </c>
      <c r="R488" t="s">
        <v>1366</v>
      </c>
      <c r="S488" t="s">
        <v>325</v>
      </c>
      <c r="T488" s="52"/>
    </row>
    <row r="489" spans="1:20" x14ac:dyDescent="0.3">
      <c r="A489" t="s">
        <v>53</v>
      </c>
      <c r="B489" s="48">
        <v>46023</v>
      </c>
      <c r="C489" s="26"/>
      <c r="I489" t="s">
        <v>1866</v>
      </c>
      <c r="J489" t="s">
        <v>1867</v>
      </c>
      <c r="K489" t="s">
        <v>1853</v>
      </c>
      <c r="L489" t="s">
        <v>1373</v>
      </c>
      <c r="M489" t="s">
        <v>1374</v>
      </c>
      <c r="N489" t="s">
        <v>59</v>
      </c>
      <c r="O489" t="s">
        <v>116</v>
      </c>
      <c r="P489" t="s">
        <v>61</v>
      </c>
      <c r="Q489">
        <v>1</v>
      </c>
      <c r="R489" t="s">
        <v>1366</v>
      </c>
      <c r="S489" t="s">
        <v>325</v>
      </c>
      <c r="T489" s="52"/>
    </row>
    <row r="490" spans="1:20" x14ac:dyDescent="0.3">
      <c r="A490" t="s">
        <v>53</v>
      </c>
      <c r="B490" s="48">
        <v>46023</v>
      </c>
      <c r="C490" s="26"/>
      <c r="I490" t="s">
        <v>1868</v>
      </c>
      <c r="J490" t="s">
        <v>1869</v>
      </c>
      <c r="K490" t="s">
        <v>1853</v>
      </c>
      <c r="L490" t="s">
        <v>1373</v>
      </c>
      <c r="M490" t="s">
        <v>1374</v>
      </c>
      <c r="N490" t="s">
        <v>59</v>
      </c>
      <c r="O490" t="s">
        <v>116</v>
      </c>
      <c r="P490" t="s">
        <v>61</v>
      </c>
      <c r="Q490">
        <v>1</v>
      </c>
      <c r="R490" t="s">
        <v>1366</v>
      </c>
      <c r="S490" t="s">
        <v>325</v>
      </c>
      <c r="T490" s="52"/>
    </row>
    <row r="491" spans="1:20" x14ac:dyDescent="0.3">
      <c r="A491" t="s">
        <v>53</v>
      </c>
      <c r="B491" s="48">
        <v>46023</v>
      </c>
      <c r="C491" s="26"/>
      <c r="I491" t="s">
        <v>1870</v>
      </c>
      <c r="J491" t="s">
        <v>1871</v>
      </c>
      <c r="K491" t="s">
        <v>1853</v>
      </c>
      <c r="L491" t="s">
        <v>1373</v>
      </c>
      <c r="M491" t="s">
        <v>1374</v>
      </c>
      <c r="N491" t="s">
        <v>59</v>
      </c>
      <c r="O491" t="s">
        <v>116</v>
      </c>
      <c r="P491" t="s">
        <v>61</v>
      </c>
      <c r="Q491">
        <v>1</v>
      </c>
      <c r="R491" t="s">
        <v>1366</v>
      </c>
      <c r="S491" t="s">
        <v>325</v>
      </c>
      <c r="T491" s="52"/>
    </row>
    <row r="492" spans="1:20" x14ac:dyDescent="0.3">
      <c r="A492" t="s">
        <v>53</v>
      </c>
      <c r="B492" s="48">
        <v>46023</v>
      </c>
      <c r="C492" s="26"/>
      <c r="I492" t="s">
        <v>1872</v>
      </c>
      <c r="J492" t="s">
        <v>1873</v>
      </c>
      <c r="K492" t="s">
        <v>1853</v>
      </c>
      <c r="L492" t="s">
        <v>1373</v>
      </c>
      <c r="M492" t="s">
        <v>1374</v>
      </c>
      <c r="N492" t="s">
        <v>59</v>
      </c>
      <c r="O492" t="s">
        <v>116</v>
      </c>
      <c r="P492" t="s">
        <v>61</v>
      </c>
      <c r="Q492">
        <v>1</v>
      </c>
      <c r="R492" t="s">
        <v>1366</v>
      </c>
      <c r="S492" t="s">
        <v>325</v>
      </c>
      <c r="T492" s="52"/>
    </row>
    <row r="493" spans="1:20" x14ac:dyDescent="0.3">
      <c r="A493" t="s">
        <v>53</v>
      </c>
      <c r="B493" s="48">
        <v>46023</v>
      </c>
      <c r="C493" s="26"/>
      <c r="I493" t="s">
        <v>1874</v>
      </c>
      <c r="J493" t="s">
        <v>1875</v>
      </c>
      <c r="K493" t="s">
        <v>1853</v>
      </c>
      <c r="L493" t="s">
        <v>1373</v>
      </c>
      <c r="M493" t="s">
        <v>1374</v>
      </c>
      <c r="N493" t="s">
        <v>59</v>
      </c>
      <c r="O493" t="s">
        <v>116</v>
      </c>
      <c r="P493" t="s">
        <v>61</v>
      </c>
      <c r="Q493">
        <v>1</v>
      </c>
      <c r="R493" t="s">
        <v>1366</v>
      </c>
      <c r="S493" t="s">
        <v>325</v>
      </c>
      <c r="T493" s="52"/>
    </row>
    <row r="494" spans="1:20" x14ac:dyDescent="0.3">
      <c r="A494" t="s">
        <v>53</v>
      </c>
      <c r="B494" s="48">
        <v>46023</v>
      </c>
      <c r="C494" s="26"/>
      <c r="I494" t="s">
        <v>1876</v>
      </c>
      <c r="J494" t="s">
        <v>1877</v>
      </c>
      <c r="K494" t="s">
        <v>1853</v>
      </c>
      <c r="L494" t="s">
        <v>1373</v>
      </c>
      <c r="M494" t="s">
        <v>1374</v>
      </c>
      <c r="N494" t="s">
        <v>59</v>
      </c>
      <c r="O494" t="s">
        <v>116</v>
      </c>
      <c r="P494" t="s">
        <v>61</v>
      </c>
      <c r="Q494">
        <v>1</v>
      </c>
      <c r="R494" t="s">
        <v>1366</v>
      </c>
      <c r="S494" t="s">
        <v>325</v>
      </c>
      <c r="T494" s="52"/>
    </row>
    <row r="495" spans="1:20" x14ac:dyDescent="0.3">
      <c r="A495" t="s">
        <v>53</v>
      </c>
      <c r="B495" s="48">
        <v>46023</v>
      </c>
      <c r="C495" s="26"/>
      <c r="I495" t="s">
        <v>1878</v>
      </c>
      <c r="J495" t="s">
        <v>1879</v>
      </c>
      <c r="K495" t="s">
        <v>1853</v>
      </c>
      <c r="L495" t="s">
        <v>1373</v>
      </c>
      <c r="M495" t="s">
        <v>1374</v>
      </c>
      <c r="N495" t="s">
        <v>59</v>
      </c>
      <c r="O495" t="s">
        <v>116</v>
      </c>
      <c r="P495" t="s">
        <v>61</v>
      </c>
      <c r="Q495">
        <v>1</v>
      </c>
      <c r="R495" t="s">
        <v>1366</v>
      </c>
      <c r="S495" t="s">
        <v>325</v>
      </c>
      <c r="T495" s="52"/>
    </row>
    <row r="496" spans="1:20" x14ac:dyDescent="0.3">
      <c r="A496" t="s">
        <v>53</v>
      </c>
      <c r="B496" s="48">
        <v>46023</v>
      </c>
      <c r="C496" s="26"/>
      <c r="I496" t="s">
        <v>1880</v>
      </c>
      <c r="J496" t="s">
        <v>1881</v>
      </c>
      <c r="K496" t="s">
        <v>1853</v>
      </c>
      <c r="L496" t="s">
        <v>1373</v>
      </c>
      <c r="M496" t="s">
        <v>1374</v>
      </c>
      <c r="N496" t="s">
        <v>59</v>
      </c>
      <c r="O496" t="s">
        <v>116</v>
      </c>
      <c r="P496" t="s">
        <v>61</v>
      </c>
      <c r="Q496">
        <v>1</v>
      </c>
      <c r="R496" t="s">
        <v>1366</v>
      </c>
      <c r="S496" t="s">
        <v>325</v>
      </c>
      <c r="T496" s="52"/>
    </row>
    <row r="497" spans="1:20" x14ac:dyDescent="0.3">
      <c r="A497" t="s">
        <v>53</v>
      </c>
      <c r="B497" s="48">
        <v>46023</v>
      </c>
      <c r="C497" s="26"/>
      <c r="I497" t="s">
        <v>1882</v>
      </c>
      <c r="J497" t="s">
        <v>1883</v>
      </c>
      <c r="K497" t="s">
        <v>1853</v>
      </c>
      <c r="L497" t="s">
        <v>1373</v>
      </c>
      <c r="M497" t="s">
        <v>1374</v>
      </c>
      <c r="N497" t="s">
        <v>59</v>
      </c>
      <c r="O497" t="s">
        <v>116</v>
      </c>
      <c r="P497" t="s">
        <v>61</v>
      </c>
      <c r="Q497">
        <v>1</v>
      </c>
      <c r="R497" t="s">
        <v>1366</v>
      </c>
      <c r="S497" t="s">
        <v>325</v>
      </c>
      <c r="T497" s="52"/>
    </row>
    <row r="498" spans="1:20" x14ac:dyDescent="0.3">
      <c r="A498" t="s">
        <v>53</v>
      </c>
      <c r="B498" s="48">
        <v>46023</v>
      </c>
      <c r="C498" s="26"/>
      <c r="I498" t="s">
        <v>1884</v>
      </c>
      <c r="J498" t="s">
        <v>1885</v>
      </c>
      <c r="K498" t="s">
        <v>1853</v>
      </c>
      <c r="L498" t="s">
        <v>1373</v>
      </c>
      <c r="M498" t="s">
        <v>1374</v>
      </c>
      <c r="N498" t="s">
        <v>59</v>
      </c>
      <c r="O498" t="s">
        <v>116</v>
      </c>
      <c r="P498" t="s">
        <v>61</v>
      </c>
      <c r="Q498">
        <v>1</v>
      </c>
      <c r="R498" t="s">
        <v>1366</v>
      </c>
      <c r="S498" t="s">
        <v>325</v>
      </c>
      <c r="T498" s="52"/>
    </row>
    <row r="499" spans="1:20" x14ac:dyDescent="0.3">
      <c r="A499" t="s">
        <v>53</v>
      </c>
      <c r="B499" s="48">
        <v>46023</v>
      </c>
      <c r="C499" s="26"/>
      <c r="I499" t="s">
        <v>1886</v>
      </c>
      <c r="J499" t="s">
        <v>1887</v>
      </c>
      <c r="K499" t="s">
        <v>1853</v>
      </c>
      <c r="L499" t="s">
        <v>1373</v>
      </c>
      <c r="M499" t="s">
        <v>1374</v>
      </c>
      <c r="N499" t="s">
        <v>59</v>
      </c>
      <c r="O499" t="s">
        <v>116</v>
      </c>
      <c r="P499" t="s">
        <v>61</v>
      </c>
      <c r="Q499">
        <v>1</v>
      </c>
      <c r="R499" t="s">
        <v>1366</v>
      </c>
      <c r="S499" t="s">
        <v>325</v>
      </c>
      <c r="T499" s="52"/>
    </row>
    <row r="500" spans="1:20" x14ac:dyDescent="0.3">
      <c r="A500" t="s">
        <v>53</v>
      </c>
      <c r="B500" s="48">
        <v>46023</v>
      </c>
      <c r="C500" s="26"/>
      <c r="I500" t="s">
        <v>1888</v>
      </c>
      <c r="J500" t="s">
        <v>1889</v>
      </c>
      <c r="K500" t="s">
        <v>1853</v>
      </c>
      <c r="L500" t="s">
        <v>1373</v>
      </c>
      <c r="M500" t="s">
        <v>1374</v>
      </c>
      <c r="N500" t="s">
        <v>59</v>
      </c>
      <c r="O500" t="s">
        <v>116</v>
      </c>
      <c r="P500" t="s">
        <v>61</v>
      </c>
      <c r="Q500">
        <v>1</v>
      </c>
      <c r="R500" t="s">
        <v>1366</v>
      </c>
      <c r="S500" t="s">
        <v>325</v>
      </c>
      <c r="T500" s="52"/>
    </row>
    <row r="501" spans="1:20" x14ac:dyDescent="0.3">
      <c r="A501" t="s">
        <v>53</v>
      </c>
      <c r="B501" s="48">
        <v>46023</v>
      </c>
      <c r="C501" s="26"/>
      <c r="I501" t="s">
        <v>1890</v>
      </c>
      <c r="J501" t="s">
        <v>1891</v>
      </c>
      <c r="K501" t="s">
        <v>1892</v>
      </c>
      <c r="L501" t="s">
        <v>1373</v>
      </c>
      <c r="M501" t="s">
        <v>1513</v>
      </c>
      <c r="N501" t="s">
        <v>1893</v>
      </c>
      <c r="O501" t="s">
        <v>1894</v>
      </c>
      <c r="P501" t="s">
        <v>61</v>
      </c>
      <c r="Q501">
        <v>1</v>
      </c>
      <c r="R501" t="s">
        <v>1366</v>
      </c>
      <c r="S501" t="s">
        <v>129</v>
      </c>
      <c r="T501" s="52"/>
    </row>
    <row r="502" spans="1:20" x14ac:dyDescent="0.3">
      <c r="A502" t="s">
        <v>53</v>
      </c>
      <c r="B502" s="48">
        <v>46023</v>
      </c>
      <c r="C502" s="26"/>
      <c r="I502" t="s">
        <v>1895</v>
      </c>
      <c r="J502" t="s">
        <v>1896</v>
      </c>
      <c r="K502" t="s">
        <v>59</v>
      </c>
      <c r="L502" t="s">
        <v>1373</v>
      </c>
      <c r="M502" t="s">
        <v>1396</v>
      </c>
      <c r="N502" t="s">
        <v>59</v>
      </c>
      <c r="O502" t="s">
        <v>116</v>
      </c>
      <c r="P502" t="s">
        <v>650</v>
      </c>
      <c r="Q502">
        <v>1</v>
      </c>
      <c r="R502" t="s">
        <v>1366</v>
      </c>
      <c r="S502" t="s">
        <v>129</v>
      </c>
      <c r="T502" s="52"/>
    </row>
    <row r="503" spans="1:20" x14ac:dyDescent="0.3">
      <c r="A503" t="s">
        <v>53</v>
      </c>
      <c r="B503" s="48">
        <v>46023</v>
      </c>
      <c r="C503" s="26"/>
      <c r="I503" t="s">
        <v>1897</v>
      </c>
      <c r="J503" t="s">
        <v>1898</v>
      </c>
      <c r="K503" t="s">
        <v>1832</v>
      </c>
      <c r="L503" t="s">
        <v>1373</v>
      </c>
      <c r="M503" t="s">
        <v>1513</v>
      </c>
      <c r="N503">
        <v>7925</v>
      </c>
      <c r="O503" t="s">
        <v>116</v>
      </c>
      <c r="P503" t="s">
        <v>61</v>
      </c>
      <c r="Q503">
        <v>1</v>
      </c>
      <c r="R503" t="s">
        <v>1366</v>
      </c>
      <c r="S503" t="s">
        <v>129</v>
      </c>
      <c r="T503" s="52"/>
    </row>
    <row r="504" spans="1:20" x14ac:dyDescent="0.3">
      <c r="A504" t="s">
        <v>53</v>
      </c>
      <c r="B504" s="48">
        <v>46023</v>
      </c>
      <c r="C504" s="26"/>
      <c r="I504" t="s">
        <v>1899</v>
      </c>
      <c r="J504" t="s">
        <v>1898</v>
      </c>
      <c r="K504" t="s">
        <v>1832</v>
      </c>
      <c r="L504" t="s">
        <v>1373</v>
      </c>
      <c r="M504" t="s">
        <v>1513</v>
      </c>
      <c r="N504">
        <v>7926</v>
      </c>
      <c r="O504" t="s">
        <v>116</v>
      </c>
      <c r="P504" t="s">
        <v>61</v>
      </c>
      <c r="Q504">
        <v>1</v>
      </c>
      <c r="R504" t="s">
        <v>1366</v>
      </c>
      <c r="S504" t="s">
        <v>129</v>
      </c>
      <c r="T504" s="52"/>
    </row>
    <row r="505" spans="1:20" x14ac:dyDescent="0.3">
      <c r="A505" t="s">
        <v>53</v>
      </c>
      <c r="B505" s="48">
        <v>46023</v>
      </c>
      <c r="C505" s="26"/>
      <c r="I505" t="s">
        <v>1900</v>
      </c>
      <c r="J505" t="s">
        <v>1901</v>
      </c>
      <c r="K505" t="s">
        <v>59</v>
      </c>
      <c r="L505" t="s">
        <v>1373</v>
      </c>
      <c r="M505" t="s">
        <v>1396</v>
      </c>
      <c r="N505" t="s">
        <v>59</v>
      </c>
      <c r="O505" t="s">
        <v>116</v>
      </c>
      <c r="P505" t="s">
        <v>61</v>
      </c>
      <c r="Q505">
        <v>1</v>
      </c>
      <c r="R505" t="s">
        <v>1370</v>
      </c>
      <c r="S505" t="s">
        <v>309</v>
      </c>
      <c r="T505" s="52"/>
    </row>
    <row r="506" spans="1:20" x14ac:dyDescent="0.3">
      <c r="A506" t="s">
        <v>53</v>
      </c>
      <c r="B506" s="48">
        <v>46023</v>
      </c>
      <c r="C506" s="26"/>
      <c r="I506" t="s">
        <v>1902</v>
      </c>
      <c r="J506" t="s">
        <v>1903</v>
      </c>
      <c r="K506" t="s">
        <v>1419</v>
      </c>
      <c r="L506" t="s">
        <v>1373</v>
      </c>
      <c r="M506" t="s">
        <v>1396</v>
      </c>
      <c r="N506" t="s">
        <v>59</v>
      </c>
      <c r="O506" t="s">
        <v>60</v>
      </c>
      <c r="P506" t="s">
        <v>61</v>
      </c>
      <c r="Q506">
        <v>1</v>
      </c>
      <c r="R506" t="s">
        <v>1370</v>
      </c>
      <c r="S506" t="s">
        <v>309</v>
      </c>
      <c r="T506" s="52"/>
    </row>
    <row r="507" spans="1:20" x14ac:dyDescent="0.3">
      <c r="A507" t="s">
        <v>53</v>
      </c>
      <c r="B507" s="48">
        <v>46023</v>
      </c>
      <c r="C507" s="26"/>
      <c r="I507" t="s">
        <v>1904</v>
      </c>
      <c r="J507" t="s">
        <v>1905</v>
      </c>
      <c r="K507" t="s">
        <v>1763</v>
      </c>
      <c r="L507" t="s">
        <v>1373</v>
      </c>
      <c r="M507" t="s">
        <v>1396</v>
      </c>
      <c r="N507" t="s">
        <v>59</v>
      </c>
      <c r="O507" t="s">
        <v>60</v>
      </c>
      <c r="P507" t="s">
        <v>61</v>
      </c>
      <c r="Q507">
        <v>1</v>
      </c>
      <c r="R507" t="s">
        <v>1370</v>
      </c>
      <c r="S507" t="s">
        <v>309</v>
      </c>
      <c r="T507" s="52"/>
    </row>
    <row r="508" spans="1:20" x14ac:dyDescent="0.3">
      <c r="A508" t="s">
        <v>53</v>
      </c>
      <c r="B508" s="48">
        <v>46023</v>
      </c>
      <c r="C508" s="26"/>
      <c r="I508" t="s">
        <v>1906</v>
      </c>
      <c r="J508" t="s">
        <v>1907</v>
      </c>
      <c r="K508" t="s">
        <v>1763</v>
      </c>
      <c r="L508" t="s">
        <v>1373</v>
      </c>
      <c r="M508" t="s">
        <v>1396</v>
      </c>
      <c r="N508" t="s">
        <v>59</v>
      </c>
      <c r="O508" t="s">
        <v>60</v>
      </c>
      <c r="P508" t="s">
        <v>61</v>
      </c>
      <c r="Q508">
        <v>1</v>
      </c>
      <c r="R508" t="s">
        <v>1370</v>
      </c>
      <c r="S508" t="s">
        <v>309</v>
      </c>
      <c r="T508" s="52"/>
    </row>
    <row r="509" spans="1:20" x14ac:dyDescent="0.3">
      <c r="A509" t="s">
        <v>53</v>
      </c>
      <c r="B509" s="48">
        <v>46023</v>
      </c>
      <c r="C509" s="26"/>
      <c r="I509" t="s">
        <v>1908</v>
      </c>
      <c r="J509" t="s">
        <v>1909</v>
      </c>
      <c r="K509" t="s">
        <v>59</v>
      </c>
      <c r="L509" t="s">
        <v>1373</v>
      </c>
      <c r="M509" t="s">
        <v>587</v>
      </c>
      <c r="N509" t="s">
        <v>59</v>
      </c>
      <c r="O509" t="s">
        <v>116</v>
      </c>
      <c r="P509" t="s">
        <v>61</v>
      </c>
      <c r="Q509">
        <v>1</v>
      </c>
      <c r="R509" t="s">
        <v>1370</v>
      </c>
      <c r="S509" t="s">
        <v>309</v>
      </c>
      <c r="T509" s="52"/>
    </row>
    <row r="510" spans="1:20" x14ac:dyDescent="0.3">
      <c r="A510" t="s">
        <v>53</v>
      </c>
      <c r="B510" s="48">
        <v>46023</v>
      </c>
      <c r="C510" s="26"/>
      <c r="I510" t="s">
        <v>1910</v>
      </c>
      <c r="J510" t="s">
        <v>1911</v>
      </c>
      <c r="K510" t="s">
        <v>59</v>
      </c>
      <c r="L510" t="s">
        <v>1373</v>
      </c>
      <c r="M510" t="s">
        <v>1396</v>
      </c>
      <c r="N510" t="s">
        <v>59</v>
      </c>
      <c r="O510" t="s">
        <v>116</v>
      </c>
      <c r="P510" t="s">
        <v>1067</v>
      </c>
      <c r="Q510">
        <v>1</v>
      </c>
      <c r="R510" t="s">
        <v>1370</v>
      </c>
      <c r="S510" t="s">
        <v>309</v>
      </c>
      <c r="T510" s="52"/>
    </row>
    <row r="511" spans="1:20" x14ac:dyDescent="0.3">
      <c r="A511" t="s">
        <v>53</v>
      </c>
      <c r="B511" s="48">
        <v>46023</v>
      </c>
      <c r="C511" s="26"/>
      <c r="I511" t="s">
        <v>1912</v>
      </c>
      <c r="J511" t="s">
        <v>1913</v>
      </c>
      <c r="K511" t="s">
        <v>59</v>
      </c>
      <c r="L511" t="s">
        <v>1373</v>
      </c>
      <c r="M511" t="s">
        <v>587</v>
      </c>
      <c r="N511" t="s">
        <v>59</v>
      </c>
      <c r="O511" t="s">
        <v>116</v>
      </c>
      <c r="P511" t="s">
        <v>61</v>
      </c>
      <c r="Q511">
        <v>1</v>
      </c>
      <c r="R511" t="s">
        <v>1370</v>
      </c>
      <c r="S511" t="s">
        <v>309</v>
      </c>
      <c r="T511" s="52"/>
    </row>
    <row r="512" spans="1:20" x14ac:dyDescent="0.3">
      <c r="A512" t="s">
        <v>53</v>
      </c>
      <c r="B512" s="48">
        <v>46023</v>
      </c>
      <c r="C512" s="26"/>
      <c r="I512" t="s">
        <v>1914</v>
      </c>
      <c r="J512" t="s">
        <v>1915</v>
      </c>
      <c r="K512" t="s">
        <v>59</v>
      </c>
      <c r="L512" t="s">
        <v>1373</v>
      </c>
      <c r="M512" t="s">
        <v>1403</v>
      </c>
      <c r="N512" t="s">
        <v>59</v>
      </c>
      <c r="O512" t="s">
        <v>60</v>
      </c>
      <c r="P512" t="s">
        <v>61</v>
      </c>
      <c r="Q512">
        <v>1</v>
      </c>
      <c r="R512" t="s">
        <v>1916</v>
      </c>
      <c r="S512" t="s">
        <v>309</v>
      </c>
      <c r="T512" s="52"/>
    </row>
    <row r="513" spans="1:20" x14ac:dyDescent="0.3">
      <c r="A513" t="s">
        <v>53</v>
      </c>
      <c r="B513" s="48">
        <v>46023</v>
      </c>
      <c r="C513" s="26"/>
      <c r="I513" t="s">
        <v>1917</v>
      </c>
      <c r="J513" t="s">
        <v>1918</v>
      </c>
      <c r="K513" t="s">
        <v>59</v>
      </c>
      <c r="L513" t="s">
        <v>1373</v>
      </c>
      <c r="M513" t="s">
        <v>1374</v>
      </c>
      <c r="N513" t="s">
        <v>59</v>
      </c>
      <c r="O513" t="s">
        <v>116</v>
      </c>
      <c r="P513" t="s">
        <v>61</v>
      </c>
      <c r="Q513">
        <v>1</v>
      </c>
      <c r="R513" t="s">
        <v>1916</v>
      </c>
      <c r="S513" t="s">
        <v>309</v>
      </c>
      <c r="T513" s="52"/>
    </row>
    <row r="514" spans="1:20" x14ac:dyDescent="0.3">
      <c r="A514" t="s">
        <v>53</v>
      </c>
      <c r="B514" s="48">
        <v>46023</v>
      </c>
      <c r="C514" s="26"/>
      <c r="I514" t="s">
        <v>1919</v>
      </c>
      <c r="J514" t="s">
        <v>1920</v>
      </c>
      <c r="K514" t="s">
        <v>59</v>
      </c>
      <c r="L514" t="s">
        <v>1373</v>
      </c>
      <c r="M514" t="s">
        <v>587</v>
      </c>
      <c r="N514" t="s">
        <v>59</v>
      </c>
      <c r="O514" t="s">
        <v>116</v>
      </c>
      <c r="P514" t="s">
        <v>1067</v>
      </c>
      <c r="Q514">
        <v>1</v>
      </c>
      <c r="R514" t="s">
        <v>1370</v>
      </c>
      <c r="S514" t="s">
        <v>309</v>
      </c>
      <c r="T514" s="52"/>
    </row>
    <row r="515" spans="1:20" x14ac:dyDescent="0.3">
      <c r="A515" t="s">
        <v>53</v>
      </c>
      <c r="B515" s="48">
        <v>46023</v>
      </c>
      <c r="C515" s="26"/>
      <c r="I515" t="s">
        <v>1921</v>
      </c>
      <c r="J515" t="s">
        <v>1922</v>
      </c>
      <c r="K515" t="s">
        <v>1923</v>
      </c>
      <c r="L515" t="s">
        <v>1373</v>
      </c>
      <c r="M515" t="s">
        <v>587</v>
      </c>
      <c r="N515">
        <v>393022419</v>
      </c>
      <c r="O515" t="s">
        <v>116</v>
      </c>
      <c r="P515" t="s">
        <v>61</v>
      </c>
      <c r="Q515">
        <v>1</v>
      </c>
      <c r="R515" t="s">
        <v>1370</v>
      </c>
      <c r="S515" t="s">
        <v>309</v>
      </c>
      <c r="T515" s="52"/>
    </row>
    <row r="516" spans="1:20" x14ac:dyDescent="0.3">
      <c r="A516" t="s">
        <v>53</v>
      </c>
      <c r="B516" s="48">
        <v>46023</v>
      </c>
      <c r="C516" s="26"/>
      <c r="I516" t="s">
        <v>1924</v>
      </c>
      <c r="J516" t="s">
        <v>1925</v>
      </c>
      <c r="K516" t="s">
        <v>1926</v>
      </c>
      <c r="L516" t="s">
        <v>1373</v>
      </c>
      <c r="M516" t="s">
        <v>1396</v>
      </c>
      <c r="N516" t="s">
        <v>59</v>
      </c>
      <c r="O516" t="s">
        <v>116</v>
      </c>
      <c r="P516" t="s">
        <v>61</v>
      </c>
      <c r="Q516">
        <v>1</v>
      </c>
      <c r="R516" t="s">
        <v>1370</v>
      </c>
      <c r="S516" t="s">
        <v>309</v>
      </c>
      <c r="T516" s="52"/>
    </row>
    <row r="517" spans="1:20" x14ac:dyDescent="0.3">
      <c r="A517" t="s">
        <v>53</v>
      </c>
      <c r="B517" s="48">
        <v>46023</v>
      </c>
      <c r="C517" s="26"/>
      <c r="I517" t="s">
        <v>1927</v>
      </c>
      <c r="J517" t="s">
        <v>1928</v>
      </c>
      <c r="K517" t="s">
        <v>1929</v>
      </c>
      <c r="L517" t="s">
        <v>1373</v>
      </c>
      <c r="M517" t="s">
        <v>1396</v>
      </c>
      <c r="N517" t="s">
        <v>59</v>
      </c>
      <c r="O517" t="s">
        <v>116</v>
      </c>
      <c r="P517" t="s">
        <v>258</v>
      </c>
      <c r="Q517">
        <v>1</v>
      </c>
      <c r="R517" t="s">
        <v>1916</v>
      </c>
      <c r="S517" t="s">
        <v>309</v>
      </c>
      <c r="T517" s="52"/>
    </row>
    <row r="518" spans="1:20" x14ac:dyDescent="0.3">
      <c r="A518" t="s">
        <v>53</v>
      </c>
      <c r="B518" s="48">
        <v>46023</v>
      </c>
      <c r="C518" s="26"/>
      <c r="I518" t="s">
        <v>2676</v>
      </c>
      <c r="J518" t="s">
        <v>2677</v>
      </c>
      <c r="K518" t="s">
        <v>2678</v>
      </c>
      <c r="L518" t="s">
        <v>1373</v>
      </c>
      <c r="M518" t="s">
        <v>1396</v>
      </c>
      <c r="N518" t="s">
        <v>59</v>
      </c>
      <c r="O518" t="s">
        <v>116</v>
      </c>
      <c r="P518" t="s">
        <v>144</v>
      </c>
      <c r="Q518">
        <v>4</v>
      </c>
      <c r="R518" t="s">
        <v>2679</v>
      </c>
      <c r="S518" t="s">
        <v>112</v>
      </c>
      <c r="T518" s="52"/>
    </row>
    <row r="519" spans="1:20" x14ac:dyDescent="0.3">
      <c r="A519" t="s">
        <v>53</v>
      </c>
      <c r="B519" s="48">
        <v>46023</v>
      </c>
      <c r="C519" s="26"/>
      <c r="I519" t="s">
        <v>2680</v>
      </c>
      <c r="J519" t="s">
        <v>2677</v>
      </c>
      <c r="K519" t="s">
        <v>2681</v>
      </c>
      <c r="L519" t="s">
        <v>1373</v>
      </c>
      <c r="M519" t="s">
        <v>1396</v>
      </c>
      <c r="N519" t="s">
        <v>59</v>
      </c>
      <c r="O519" t="s">
        <v>116</v>
      </c>
      <c r="P519" t="s">
        <v>144</v>
      </c>
      <c r="Q519">
        <v>2</v>
      </c>
      <c r="R519" t="s">
        <v>2679</v>
      </c>
      <c r="S519" t="s">
        <v>112</v>
      </c>
      <c r="T519" s="52"/>
    </row>
    <row r="520" spans="1:20" x14ac:dyDescent="0.3">
      <c r="A520" t="s">
        <v>53</v>
      </c>
      <c r="B520" s="48">
        <v>46023</v>
      </c>
      <c r="C520" s="26"/>
      <c r="I520" t="s">
        <v>2682</v>
      </c>
      <c r="J520" t="s">
        <v>2683</v>
      </c>
      <c r="K520" t="s">
        <v>1416</v>
      </c>
      <c r="L520" t="s">
        <v>1373</v>
      </c>
      <c r="M520" t="s">
        <v>1396</v>
      </c>
      <c r="N520" t="s">
        <v>59</v>
      </c>
      <c r="O520" t="s">
        <v>116</v>
      </c>
      <c r="P520" t="s">
        <v>144</v>
      </c>
      <c r="Q520">
        <v>1</v>
      </c>
      <c r="R520" t="s">
        <v>2679</v>
      </c>
      <c r="S520" t="s">
        <v>112</v>
      </c>
      <c r="T520" s="52"/>
    </row>
    <row r="521" spans="1:20" x14ac:dyDescent="0.3">
      <c r="A521" t="s">
        <v>53</v>
      </c>
      <c r="B521" s="48">
        <v>46023</v>
      </c>
      <c r="C521" s="26"/>
      <c r="I521" t="s">
        <v>2684</v>
      </c>
      <c r="J521" t="s">
        <v>2685</v>
      </c>
      <c r="K521" t="s">
        <v>59</v>
      </c>
      <c r="L521" t="s">
        <v>1373</v>
      </c>
      <c r="M521" t="s">
        <v>2686</v>
      </c>
      <c r="N521" t="s">
        <v>59</v>
      </c>
      <c r="O521" t="s">
        <v>468</v>
      </c>
      <c r="P521" t="s">
        <v>144</v>
      </c>
      <c r="Q521">
        <v>1</v>
      </c>
      <c r="R521" t="s">
        <v>2329</v>
      </c>
      <c r="S521" t="s">
        <v>1953</v>
      </c>
      <c r="T521" s="52"/>
    </row>
    <row r="522" spans="1:20" x14ac:dyDescent="0.3">
      <c r="A522" t="s">
        <v>53</v>
      </c>
      <c r="B522" s="48">
        <v>46023</v>
      </c>
      <c r="C522" s="26"/>
      <c r="I522" t="s">
        <v>2687</v>
      </c>
      <c r="J522" t="s">
        <v>2688</v>
      </c>
      <c r="K522" t="s">
        <v>59</v>
      </c>
      <c r="L522" t="s">
        <v>1373</v>
      </c>
      <c r="M522" t="s">
        <v>2686</v>
      </c>
      <c r="N522" t="s">
        <v>59</v>
      </c>
      <c r="O522" t="s">
        <v>143</v>
      </c>
      <c r="P522" t="s">
        <v>144</v>
      </c>
      <c r="Q522">
        <v>665</v>
      </c>
      <c r="R522" t="s">
        <v>2368</v>
      </c>
      <c r="S522" t="s">
        <v>1953</v>
      </c>
      <c r="T522" s="52"/>
    </row>
    <row r="523" spans="1:20" x14ac:dyDescent="0.3">
      <c r="A523" t="s">
        <v>53</v>
      </c>
      <c r="B523" s="48">
        <v>46023</v>
      </c>
      <c r="C523" s="26"/>
      <c r="I523" t="s">
        <v>2689</v>
      </c>
      <c r="J523" t="s">
        <v>2690</v>
      </c>
      <c r="K523" t="s">
        <v>59</v>
      </c>
      <c r="L523" t="s">
        <v>1373</v>
      </c>
      <c r="M523" t="s">
        <v>1396</v>
      </c>
      <c r="N523" t="s">
        <v>59</v>
      </c>
      <c r="O523" t="s">
        <v>116</v>
      </c>
      <c r="P523" t="s">
        <v>144</v>
      </c>
      <c r="Q523">
        <v>2</v>
      </c>
      <c r="R523" t="s">
        <v>2691</v>
      </c>
      <c r="S523" t="s">
        <v>129</v>
      </c>
      <c r="T523" s="52"/>
    </row>
    <row r="524" spans="1:20" x14ac:dyDescent="0.3">
      <c r="A524" t="s">
        <v>53</v>
      </c>
      <c r="B524" s="48">
        <v>46023</v>
      </c>
      <c r="C524" s="26"/>
      <c r="I524" t="s">
        <v>2692</v>
      </c>
      <c r="J524" t="s">
        <v>2693</v>
      </c>
      <c r="K524" t="s">
        <v>59</v>
      </c>
      <c r="L524" t="s">
        <v>1373</v>
      </c>
      <c r="M524" t="s">
        <v>1396</v>
      </c>
      <c r="N524" t="s">
        <v>59</v>
      </c>
      <c r="O524" t="s">
        <v>116</v>
      </c>
      <c r="P524" t="s">
        <v>144</v>
      </c>
      <c r="Q524">
        <v>3</v>
      </c>
      <c r="R524" t="s">
        <v>2691</v>
      </c>
      <c r="S524" t="s">
        <v>129</v>
      </c>
      <c r="T524" s="52"/>
    </row>
    <row r="525" spans="1:20" x14ac:dyDescent="0.3">
      <c r="A525" t="s">
        <v>53</v>
      </c>
      <c r="B525" s="48">
        <v>46023</v>
      </c>
      <c r="C525" s="26"/>
      <c r="I525" t="s">
        <v>2694</v>
      </c>
      <c r="J525" t="s">
        <v>2695</v>
      </c>
      <c r="K525" t="s">
        <v>59</v>
      </c>
      <c r="L525" t="s">
        <v>1373</v>
      </c>
      <c r="M525" t="s">
        <v>1396</v>
      </c>
      <c r="N525" t="s">
        <v>59</v>
      </c>
      <c r="O525" t="s">
        <v>116</v>
      </c>
      <c r="P525" t="s">
        <v>144</v>
      </c>
      <c r="Q525">
        <v>7</v>
      </c>
      <c r="R525" t="s">
        <v>2410</v>
      </c>
      <c r="S525" t="s">
        <v>112</v>
      </c>
      <c r="T525" s="52"/>
    </row>
    <row r="526" spans="1:20" x14ac:dyDescent="0.3">
      <c r="A526" t="s">
        <v>53</v>
      </c>
      <c r="B526" s="48">
        <v>46023</v>
      </c>
      <c r="C526" s="26"/>
      <c r="I526" t="s">
        <v>2696</v>
      </c>
      <c r="J526" t="s">
        <v>2697</v>
      </c>
      <c r="K526" t="s">
        <v>59</v>
      </c>
      <c r="L526" t="s">
        <v>1373</v>
      </c>
      <c r="M526" t="s">
        <v>1396</v>
      </c>
      <c r="N526" t="s">
        <v>59</v>
      </c>
      <c r="O526" t="s">
        <v>116</v>
      </c>
      <c r="P526" t="s">
        <v>144</v>
      </c>
      <c r="Q526">
        <v>2</v>
      </c>
      <c r="R526" t="s">
        <v>2410</v>
      </c>
      <c r="S526" t="s">
        <v>112</v>
      </c>
      <c r="T526" s="52"/>
    </row>
    <row r="527" spans="1:20" x14ac:dyDescent="0.3">
      <c r="A527" t="s">
        <v>53</v>
      </c>
      <c r="B527" s="48">
        <v>46023</v>
      </c>
      <c r="C527" s="26"/>
      <c r="I527" t="s">
        <v>2698</v>
      </c>
      <c r="J527" t="s">
        <v>2699</v>
      </c>
      <c r="K527" t="s">
        <v>59</v>
      </c>
      <c r="L527" t="s">
        <v>1373</v>
      </c>
      <c r="M527" t="s">
        <v>1396</v>
      </c>
      <c r="N527" t="s">
        <v>59</v>
      </c>
      <c r="O527" t="s">
        <v>116</v>
      </c>
      <c r="P527" t="s">
        <v>144</v>
      </c>
      <c r="Q527">
        <v>4</v>
      </c>
      <c r="R527" t="s">
        <v>2410</v>
      </c>
      <c r="S527" t="s">
        <v>112</v>
      </c>
      <c r="T527" s="52"/>
    </row>
    <row r="528" spans="1:20" x14ac:dyDescent="0.3">
      <c r="A528" t="s">
        <v>53</v>
      </c>
      <c r="B528" s="48">
        <v>46023</v>
      </c>
      <c r="C528" s="26"/>
      <c r="I528" t="s">
        <v>2700</v>
      </c>
      <c r="J528" t="s">
        <v>2701</v>
      </c>
      <c r="K528" t="s">
        <v>59</v>
      </c>
      <c r="L528" t="s">
        <v>1373</v>
      </c>
      <c r="M528" t="s">
        <v>1396</v>
      </c>
      <c r="N528" t="s">
        <v>59</v>
      </c>
      <c r="O528" t="s">
        <v>116</v>
      </c>
      <c r="P528" t="s">
        <v>144</v>
      </c>
      <c r="Q528">
        <v>4</v>
      </c>
      <c r="R528" t="s">
        <v>2410</v>
      </c>
      <c r="S528" t="s">
        <v>112</v>
      </c>
      <c r="T528" s="52"/>
    </row>
    <row r="529" spans="1:20" x14ac:dyDescent="0.3">
      <c r="A529" t="s">
        <v>53</v>
      </c>
      <c r="B529" s="48">
        <v>46023</v>
      </c>
      <c r="C529" s="26"/>
      <c r="I529" t="s">
        <v>2702</v>
      </c>
      <c r="J529" t="s">
        <v>2703</v>
      </c>
      <c r="K529" t="s">
        <v>59</v>
      </c>
      <c r="L529" t="s">
        <v>1373</v>
      </c>
      <c r="M529" t="s">
        <v>1396</v>
      </c>
      <c r="N529" t="s">
        <v>59</v>
      </c>
      <c r="O529" t="s">
        <v>116</v>
      </c>
      <c r="P529" t="s">
        <v>144</v>
      </c>
      <c r="Q529">
        <v>8</v>
      </c>
      <c r="R529" t="s">
        <v>2410</v>
      </c>
      <c r="S529" t="s">
        <v>112</v>
      </c>
      <c r="T529" s="52"/>
    </row>
    <row r="530" spans="1:20" x14ac:dyDescent="0.3">
      <c r="A530" t="s">
        <v>53</v>
      </c>
      <c r="B530" s="48">
        <v>46023</v>
      </c>
      <c r="C530" s="26"/>
      <c r="I530" t="s">
        <v>2704</v>
      </c>
      <c r="J530" t="s">
        <v>2705</v>
      </c>
      <c r="K530" t="s">
        <v>59</v>
      </c>
      <c r="L530" t="s">
        <v>1373</v>
      </c>
      <c r="M530" t="s">
        <v>1396</v>
      </c>
      <c r="N530" t="s">
        <v>59</v>
      </c>
      <c r="O530" t="s">
        <v>116</v>
      </c>
      <c r="P530" t="s">
        <v>144</v>
      </c>
      <c r="Q530">
        <v>2</v>
      </c>
      <c r="R530" t="s">
        <v>2410</v>
      </c>
      <c r="S530" t="s">
        <v>112</v>
      </c>
      <c r="T530" s="52"/>
    </row>
    <row r="531" spans="1:20" x14ac:dyDescent="0.3">
      <c r="A531" t="s">
        <v>53</v>
      </c>
      <c r="B531" s="48">
        <v>46023</v>
      </c>
      <c r="C531" s="26"/>
      <c r="I531" t="s">
        <v>2706</v>
      </c>
      <c r="J531" t="s">
        <v>2707</v>
      </c>
      <c r="K531" t="s">
        <v>59</v>
      </c>
      <c r="L531" t="s">
        <v>1373</v>
      </c>
      <c r="M531" t="s">
        <v>1396</v>
      </c>
      <c r="N531" t="s">
        <v>59</v>
      </c>
      <c r="O531" t="s">
        <v>116</v>
      </c>
      <c r="P531" t="s">
        <v>144</v>
      </c>
      <c r="Q531">
        <v>4</v>
      </c>
      <c r="R531" t="s">
        <v>2410</v>
      </c>
      <c r="S531" t="s">
        <v>112</v>
      </c>
      <c r="T531" s="52"/>
    </row>
    <row r="532" spans="1:20" x14ac:dyDescent="0.3">
      <c r="A532" t="s">
        <v>53</v>
      </c>
      <c r="B532" s="48">
        <v>46023</v>
      </c>
      <c r="C532" s="26"/>
      <c r="I532" t="s">
        <v>2708</v>
      </c>
      <c r="J532" t="s">
        <v>2709</v>
      </c>
      <c r="K532" t="s">
        <v>59</v>
      </c>
      <c r="L532" t="s">
        <v>1373</v>
      </c>
      <c r="M532" t="s">
        <v>1396</v>
      </c>
      <c r="N532" t="s">
        <v>59</v>
      </c>
      <c r="O532" t="s">
        <v>116</v>
      </c>
      <c r="P532" t="s">
        <v>144</v>
      </c>
      <c r="Q532">
        <v>2</v>
      </c>
      <c r="R532" t="s">
        <v>2410</v>
      </c>
      <c r="S532" t="s">
        <v>112</v>
      </c>
      <c r="T532" s="52"/>
    </row>
    <row r="533" spans="1:20" x14ac:dyDescent="0.3">
      <c r="A533" t="s">
        <v>53</v>
      </c>
      <c r="B533" s="48">
        <v>46023</v>
      </c>
      <c r="C533" s="26"/>
      <c r="I533" t="s">
        <v>2710</v>
      </c>
      <c r="J533" t="s">
        <v>2711</v>
      </c>
      <c r="K533" t="s">
        <v>2712</v>
      </c>
      <c r="L533" t="s">
        <v>1373</v>
      </c>
      <c r="M533" t="s">
        <v>1396</v>
      </c>
      <c r="N533" t="s">
        <v>59</v>
      </c>
      <c r="O533" t="s">
        <v>116</v>
      </c>
      <c r="P533" t="s">
        <v>144</v>
      </c>
      <c r="Q533">
        <v>1</v>
      </c>
      <c r="R533" t="s">
        <v>2713</v>
      </c>
      <c r="S533" t="s">
        <v>112</v>
      </c>
      <c r="T533" s="52"/>
    </row>
    <row r="534" spans="1:20" x14ac:dyDescent="0.3">
      <c r="A534" t="s">
        <v>53</v>
      </c>
      <c r="B534" s="48">
        <v>46023</v>
      </c>
      <c r="C534" s="26"/>
      <c r="I534" t="s">
        <v>2714</v>
      </c>
      <c r="J534" t="s">
        <v>2715</v>
      </c>
      <c r="K534" t="s">
        <v>2678</v>
      </c>
      <c r="L534" t="s">
        <v>1373</v>
      </c>
      <c r="M534" t="s">
        <v>1396</v>
      </c>
      <c r="N534" t="s">
        <v>59</v>
      </c>
      <c r="O534" t="s">
        <v>116</v>
      </c>
      <c r="P534" t="s">
        <v>144</v>
      </c>
      <c r="Q534">
        <v>1</v>
      </c>
      <c r="R534" t="s">
        <v>2713</v>
      </c>
      <c r="S534" t="s">
        <v>112</v>
      </c>
      <c r="T534" s="52"/>
    </row>
    <row r="535" spans="1:20" x14ac:dyDescent="0.3">
      <c r="A535" t="s">
        <v>53</v>
      </c>
      <c r="B535" s="48">
        <v>46023</v>
      </c>
      <c r="C535" s="26"/>
      <c r="I535" t="s">
        <v>2716</v>
      </c>
      <c r="J535" t="s">
        <v>2717</v>
      </c>
      <c r="K535" t="s">
        <v>2678</v>
      </c>
      <c r="L535" t="s">
        <v>1373</v>
      </c>
      <c r="M535" t="s">
        <v>1396</v>
      </c>
      <c r="N535" t="s">
        <v>59</v>
      </c>
      <c r="O535" t="s">
        <v>116</v>
      </c>
      <c r="P535" t="s">
        <v>144</v>
      </c>
      <c r="Q535">
        <v>1</v>
      </c>
      <c r="R535" t="s">
        <v>2713</v>
      </c>
      <c r="S535" t="s">
        <v>112</v>
      </c>
      <c r="T535" s="52"/>
    </row>
    <row r="536" spans="1:20" x14ac:dyDescent="0.3">
      <c r="A536" t="s">
        <v>53</v>
      </c>
      <c r="B536" s="48">
        <v>46023</v>
      </c>
      <c r="C536" s="26"/>
      <c r="I536" t="s">
        <v>2718</v>
      </c>
      <c r="J536" t="s">
        <v>2719</v>
      </c>
      <c r="K536" t="s">
        <v>2678</v>
      </c>
      <c r="L536" t="s">
        <v>1373</v>
      </c>
      <c r="M536" t="s">
        <v>1396</v>
      </c>
      <c r="N536" t="s">
        <v>59</v>
      </c>
      <c r="O536" t="s">
        <v>116</v>
      </c>
      <c r="P536" t="s">
        <v>144</v>
      </c>
      <c r="Q536">
        <v>6</v>
      </c>
      <c r="R536" t="s">
        <v>2713</v>
      </c>
      <c r="S536" t="s">
        <v>112</v>
      </c>
      <c r="T536" s="52"/>
    </row>
    <row r="537" spans="1:20" x14ac:dyDescent="0.3">
      <c r="A537" t="s">
        <v>53</v>
      </c>
      <c r="B537" s="48">
        <v>46023</v>
      </c>
      <c r="C537" s="26"/>
      <c r="I537" t="s">
        <v>2720</v>
      </c>
      <c r="J537" t="s">
        <v>2721</v>
      </c>
      <c r="K537" t="s">
        <v>2678</v>
      </c>
      <c r="L537" t="s">
        <v>1373</v>
      </c>
      <c r="M537" t="s">
        <v>1396</v>
      </c>
      <c r="N537" t="s">
        <v>59</v>
      </c>
      <c r="O537" t="s">
        <v>116</v>
      </c>
      <c r="P537" t="s">
        <v>144</v>
      </c>
      <c r="Q537">
        <v>1</v>
      </c>
      <c r="R537" t="s">
        <v>2713</v>
      </c>
      <c r="S537" t="s">
        <v>112</v>
      </c>
      <c r="T537" s="52"/>
    </row>
    <row r="538" spans="1:20" x14ac:dyDescent="0.3">
      <c r="A538" t="s">
        <v>53</v>
      </c>
      <c r="B538" s="48">
        <v>46023</v>
      </c>
      <c r="C538" s="26"/>
      <c r="I538" t="s">
        <v>2722</v>
      </c>
      <c r="J538" t="s">
        <v>2723</v>
      </c>
      <c r="K538" t="s">
        <v>2678</v>
      </c>
      <c r="L538" t="s">
        <v>1373</v>
      </c>
      <c r="M538" t="s">
        <v>1396</v>
      </c>
      <c r="N538" t="s">
        <v>59</v>
      </c>
      <c r="O538" t="s">
        <v>116</v>
      </c>
      <c r="P538" t="s">
        <v>144</v>
      </c>
      <c r="Q538">
        <v>8</v>
      </c>
      <c r="R538" t="s">
        <v>2713</v>
      </c>
      <c r="S538" t="s">
        <v>112</v>
      </c>
      <c r="T538" s="52"/>
    </row>
    <row r="539" spans="1:20" x14ac:dyDescent="0.3">
      <c r="A539" t="s">
        <v>53</v>
      </c>
      <c r="B539" s="48">
        <v>46023</v>
      </c>
      <c r="C539" s="26"/>
      <c r="I539" t="s">
        <v>2724</v>
      </c>
      <c r="J539" t="s">
        <v>2725</v>
      </c>
      <c r="K539" t="s">
        <v>2678</v>
      </c>
      <c r="L539" t="s">
        <v>1373</v>
      </c>
      <c r="M539" t="s">
        <v>1396</v>
      </c>
      <c r="N539" t="s">
        <v>59</v>
      </c>
      <c r="O539" t="s">
        <v>116</v>
      </c>
      <c r="P539" t="s">
        <v>144</v>
      </c>
      <c r="Q539">
        <v>9</v>
      </c>
      <c r="R539" t="s">
        <v>2713</v>
      </c>
      <c r="S539" t="s">
        <v>112</v>
      </c>
      <c r="T539" s="52"/>
    </row>
    <row r="540" spans="1:20" x14ac:dyDescent="0.3">
      <c r="A540" t="s">
        <v>53</v>
      </c>
      <c r="B540" s="48">
        <v>46023</v>
      </c>
      <c r="C540" s="26"/>
      <c r="I540" t="s">
        <v>2726</v>
      </c>
      <c r="J540" t="s">
        <v>2727</v>
      </c>
      <c r="K540" t="s">
        <v>2678</v>
      </c>
      <c r="L540" t="s">
        <v>1373</v>
      </c>
      <c r="M540" t="s">
        <v>1396</v>
      </c>
      <c r="N540" t="s">
        <v>59</v>
      </c>
      <c r="O540" t="s">
        <v>116</v>
      </c>
      <c r="P540" t="s">
        <v>144</v>
      </c>
      <c r="Q540">
        <v>9</v>
      </c>
      <c r="R540" t="s">
        <v>2713</v>
      </c>
      <c r="S540" t="s">
        <v>112</v>
      </c>
      <c r="T540" s="52"/>
    </row>
    <row r="541" spans="1:20" x14ac:dyDescent="0.3">
      <c r="A541" t="s">
        <v>53</v>
      </c>
      <c r="B541" s="48">
        <v>46023</v>
      </c>
      <c r="C541" s="26"/>
      <c r="I541" t="s">
        <v>2728</v>
      </c>
      <c r="J541" t="s">
        <v>2729</v>
      </c>
      <c r="K541" t="s">
        <v>2678</v>
      </c>
      <c r="L541" t="s">
        <v>1373</v>
      </c>
      <c r="M541" t="s">
        <v>1396</v>
      </c>
      <c r="N541" t="s">
        <v>59</v>
      </c>
      <c r="O541" t="s">
        <v>116</v>
      </c>
      <c r="P541" t="s">
        <v>144</v>
      </c>
      <c r="Q541">
        <v>4</v>
      </c>
      <c r="R541" t="s">
        <v>2713</v>
      </c>
      <c r="S541" t="s">
        <v>112</v>
      </c>
      <c r="T541" s="52"/>
    </row>
    <row r="542" spans="1:20" x14ac:dyDescent="0.3">
      <c r="A542" t="s">
        <v>53</v>
      </c>
      <c r="B542" s="48">
        <v>46023</v>
      </c>
      <c r="C542" s="26"/>
      <c r="I542" t="s">
        <v>2730</v>
      </c>
      <c r="J542" t="s">
        <v>2731</v>
      </c>
      <c r="K542" t="s">
        <v>2678</v>
      </c>
      <c r="L542" t="s">
        <v>1373</v>
      </c>
      <c r="M542" t="s">
        <v>1396</v>
      </c>
      <c r="N542" t="s">
        <v>59</v>
      </c>
      <c r="O542" t="s">
        <v>116</v>
      </c>
      <c r="P542" t="s">
        <v>144</v>
      </c>
      <c r="Q542">
        <v>3</v>
      </c>
      <c r="R542" t="s">
        <v>2713</v>
      </c>
      <c r="S542" t="s">
        <v>112</v>
      </c>
      <c r="T542" s="52"/>
    </row>
    <row r="543" spans="1:20" x14ac:dyDescent="0.3">
      <c r="A543" t="s">
        <v>53</v>
      </c>
      <c r="B543" s="48">
        <v>46023</v>
      </c>
      <c r="C543" s="26"/>
      <c r="I543" t="s">
        <v>2732</v>
      </c>
      <c r="J543" t="s">
        <v>2733</v>
      </c>
      <c r="K543" t="s">
        <v>2678</v>
      </c>
      <c r="L543" t="s">
        <v>1373</v>
      </c>
      <c r="M543" t="s">
        <v>1396</v>
      </c>
      <c r="N543" t="s">
        <v>59</v>
      </c>
      <c r="O543" t="s">
        <v>116</v>
      </c>
      <c r="P543" t="s">
        <v>144</v>
      </c>
      <c r="Q543">
        <v>3</v>
      </c>
      <c r="R543" t="s">
        <v>2713</v>
      </c>
      <c r="S543" t="s">
        <v>112</v>
      </c>
      <c r="T543" s="52"/>
    </row>
    <row r="544" spans="1:20" x14ac:dyDescent="0.3">
      <c r="A544" t="s">
        <v>53</v>
      </c>
      <c r="B544" s="48">
        <v>46023</v>
      </c>
      <c r="C544" s="26"/>
      <c r="I544" t="s">
        <v>2734</v>
      </c>
      <c r="J544" t="s">
        <v>2735</v>
      </c>
      <c r="K544" t="s">
        <v>2678</v>
      </c>
      <c r="L544" t="s">
        <v>1373</v>
      </c>
      <c r="M544" t="s">
        <v>1396</v>
      </c>
      <c r="N544" t="s">
        <v>59</v>
      </c>
      <c r="O544" t="s">
        <v>116</v>
      </c>
      <c r="P544" t="s">
        <v>144</v>
      </c>
      <c r="Q544">
        <v>2</v>
      </c>
      <c r="R544" t="s">
        <v>2713</v>
      </c>
      <c r="S544" t="s">
        <v>112</v>
      </c>
      <c r="T544" s="52"/>
    </row>
    <row r="545" spans="1:20" x14ac:dyDescent="0.3">
      <c r="A545" t="s">
        <v>53</v>
      </c>
      <c r="B545" s="48">
        <v>46023</v>
      </c>
      <c r="C545" s="26"/>
      <c r="I545" t="s">
        <v>2736</v>
      </c>
      <c r="J545" t="s">
        <v>2737</v>
      </c>
      <c r="K545" t="s">
        <v>2678</v>
      </c>
      <c r="L545" t="s">
        <v>1373</v>
      </c>
      <c r="M545" t="s">
        <v>1396</v>
      </c>
      <c r="N545" t="s">
        <v>59</v>
      </c>
      <c r="O545" t="s">
        <v>116</v>
      </c>
      <c r="P545" t="s">
        <v>144</v>
      </c>
      <c r="Q545">
        <v>1</v>
      </c>
      <c r="R545" t="s">
        <v>2713</v>
      </c>
      <c r="S545" t="s">
        <v>112</v>
      </c>
      <c r="T545" s="52"/>
    </row>
    <row r="546" spans="1:20" x14ac:dyDescent="0.3">
      <c r="A546" t="s">
        <v>53</v>
      </c>
      <c r="B546" s="48">
        <v>46023</v>
      </c>
      <c r="C546" s="26"/>
      <c r="I546" t="s">
        <v>2738</v>
      </c>
      <c r="J546" t="s">
        <v>2739</v>
      </c>
      <c r="K546" t="s">
        <v>2678</v>
      </c>
      <c r="L546" t="s">
        <v>1373</v>
      </c>
      <c r="M546" t="s">
        <v>1396</v>
      </c>
      <c r="N546" t="s">
        <v>59</v>
      </c>
      <c r="O546" t="s">
        <v>116</v>
      </c>
      <c r="P546" t="s">
        <v>144</v>
      </c>
      <c r="Q546">
        <v>1</v>
      </c>
      <c r="R546" t="s">
        <v>2713</v>
      </c>
      <c r="S546" t="s">
        <v>112</v>
      </c>
      <c r="T546" s="52"/>
    </row>
    <row r="547" spans="1:20" x14ac:dyDescent="0.3">
      <c r="A547" t="s">
        <v>53</v>
      </c>
      <c r="B547" s="48">
        <v>46023</v>
      </c>
      <c r="C547" s="26"/>
      <c r="I547" t="s">
        <v>2740</v>
      </c>
      <c r="J547" t="s">
        <v>2741</v>
      </c>
      <c r="K547" t="s">
        <v>2678</v>
      </c>
      <c r="L547" t="s">
        <v>1373</v>
      </c>
      <c r="M547" t="s">
        <v>1396</v>
      </c>
      <c r="N547" t="s">
        <v>59</v>
      </c>
      <c r="O547" t="s">
        <v>116</v>
      </c>
      <c r="P547" t="s">
        <v>144</v>
      </c>
      <c r="Q547">
        <v>1</v>
      </c>
      <c r="R547" t="s">
        <v>2713</v>
      </c>
      <c r="S547" t="s">
        <v>112</v>
      </c>
      <c r="T547" s="52"/>
    </row>
    <row r="548" spans="1:20" x14ac:dyDescent="0.3">
      <c r="A548" t="s">
        <v>53</v>
      </c>
      <c r="B548" s="48">
        <v>46023</v>
      </c>
      <c r="C548" s="26"/>
      <c r="I548" t="s">
        <v>2742</v>
      </c>
      <c r="J548" t="s">
        <v>2743</v>
      </c>
      <c r="K548" t="s">
        <v>2678</v>
      </c>
      <c r="L548" t="s">
        <v>1373</v>
      </c>
      <c r="M548" t="s">
        <v>1396</v>
      </c>
      <c r="N548" t="s">
        <v>59</v>
      </c>
      <c r="O548" t="s">
        <v>116</v>
      </c>
      <c r="P548" t="s">
        <v>144</v>
      </c>
      <c r="Q548">
        <v>2</v>
      </c>
      <c r="R548" t="s">
        <v>2713</v>
      </c>
      <c r="S548" t="s">
        <v>112</v>
      </c>
      <c r="T548" s="52"/>
    </row>
    <row r="549" spans="1:20" x14ac:dyDescent="0.3">
      <c r="A549" t="s">
        <v>53</v>
      </c>
      <c r="B549" s="48">
        <v>46023</v>
      </c>
      <c r="C549" s="26"/>
      <c r="I549" t="s">
        <v>2744</v>
      </c>
      <c r="J549" t="s">
        <v>2745</v>
      </c>
      <c r="K549" t="s">
        <v>2678</v>
      </c>
      <c r="L549" t="s">
        <v>1373</v>
      </c>
      <c r="M549" t="s">
        <v>1396</v>
      </c>
      <c r="N549" t="s">
        <v>59</v>
      </c>
      <c r="O549" t="s">
        <v>116</v>
      </c>
      <c r="P549" t="s">
        <v>144</v>
      </c>
      <c r="Q549">
        <v>2</v>
      </c>
      <c r="R549" t="s">
        <v>2713</v>
      </c>
      <c r="S549" t="s">
        <v>112</v>
      </c>
      <c r="T549" s="52"/>
    </row>
    <row r="550" spans="1:20" x14ac:dyDescent="0.3">
      <c r="A550" t="s">
        <v>53</v>
      </c>
      <c r="B550" s="48">
        <v>46023</v>
      </c>
      <c r="C550" s="26"/>
      <c r="I550" t="s">
        <v>2746</v>
      </c>
      <c r="J550" t="s">
        <v>2747</v>
      </c>
      <c r="K550" t="s">
        <v>2678</v>
      </c>
      <c r="L550" t="s">
        <v>1373</v>
      </c>
      <c r="M550" t="s">
        <v>1396</v>
      </c>
      <c r="N550" t="s">
        <v>59</v>
      </c>
      <c r="O550" t="s">
        <v>116</v>
      </c>
      <c r="P550" t="s">
        <v>144</v>
      </c>
      <c r="Q550">
        <v>2</v>
      </c>
      <c r="R550" t="s">
        <v>2713</v>
      </c>
      <c r="S550" t="s">
        <v>112</v>
      </c>
      <c r="T550" s="52"/>
    </row>
    <row r="551" spans="1:20" x14ac:dyDescent="0.3">
      <c r="A551" t="s">
        <v>53</v>
      </c>
      <c r="B551" s="48">
        <v>46023</v>
      </c>
      <c r="C551" s="26"/>
      <c r="I551" t="s">
        <v>2748</v>
      </c>
      <c r="J551" t="s">
        <v>2749</v>
      </c>
      <c r="K551" t="s">
        <v>2678</v>
      </c>
      <c r="L551" t="s">
        <v>1373</v>
      </c>
      <c r="M551" t="s">
        <v>1396</v>
      </c>
      <c r="N551" t="s">
        <v>59</v>
      </c>
      <c r="O551" t="s">
        <v>116</v>
      </c>
      <c r="P551" t="s">
        <v>144</v>
      </c>
      <c r="Q551">
        <v>1</v>
      </c>
      <c r="R551" t="s">
        <v>2713</v>
      </c>
      <c r="S551" t="s">
        <v>112</v>
      </c>
      <c r="T551" s="52"/>
    </row>
    <row r="552" spans="1:20" x14ac:dyDescent="0.3">
      <c r="A552" t="s">
        <v>53</v>
      </c>
      <c r="B552" s="48">
        <v>46023</v>
      </c>
      <c r="C552" s="26"/>
      <c r="I552" t="s">
        <v>2750</v>
      </c>
      <c r="J552" t="s">
        <v>2751</v>
      </c>
      <c r="K552" t="s">
        <v>2678</v>
      </c>
      <c r="L552" t="s">
        <v>1373</v>
      </c>
      <c r="M552" t="s">
        <v>1396</v>
      </c>
      <c r="N552" t="s">
        <v>59</v>
      </c>
      <c r="O552" t="s">
        <v>116</v>
      </c>
      <c r="P552" t="s">
        <v>144</v>
      </c>
      <c r="Q552">
        <v>2</v>
      </c>
      <c r="R552" t="s">
        <v>2713</v>
      </c>
      <c r="S552" t="s">
        <v>112</v>
      </c>
      <c r="T552" s="52"/>
    </row>
    <row r="553" spans="1:20" x14ac:dyDescent="0.3">
      <c r="A553" t="s">
        <v>53</v>
      </c>
      <c r="B553" s="48">
        <v>46023</v>
      </c>
      <c r="C553" s="26"/>
      <c r="I553" t="s">
        <v>2752</v>
      </c>
      <c r="J553" t="s">
        <v>2753</v>
      </c>
      <c r="K553" t="s">
        <v>2678</v>
      </c>
      <c r="L553" t="s">
        <v>1373</v>
      </c>
      <c r="M553" t="s">
        <v>1396</v>
      </c>
      <c r="N553" t="s">
        <v>59</v>
      </c>
      <c r="O553" t="s">
        <v>116</v>
      </c>
      <c r="P553" t="s">
        <v>144</v>
      </c>
      <c r="Q553">
        <v>1</v>
      </c>
      <c r="R553" t="s">
        <v>2713</v>
      </c>
      <c r="S553" t="s">
        <v>112</v>
      </c>
      <c r="T553" s="52"/>
    </row>
    <row r="554" spans="1:20" x14ac:dyDescent="0.3">
      <c r="A554" t="s">
        <v>53</v>
      </c>
      <c r="B554" s="48">
        <v>46023</v>
      </c>
      <c r="C554" s="26"/>
      <c r="I554" t="s">
        <v>2754</v>
      </c>
      <c r="J554" t="s">
        <v>2755</v>
      </c>
      <c r="K554" t="s">
        <v>2678</v>
      </c>
      <c r="L554" t="s">
        <v>1373</v>
      </c>
      <c r="M554" t="s">
        <v>1396</v>
      </c>
      <c r="N554" t="s">
        <v>59</v>
      </c>
      <c r="O554" t="s">
        <v>116</v>
      </c>
      <c r="P554" t="s">
        <v>144</v>
      </c>
      <c r="Q554">
        <v>1</v>
      </c>
      <c r="R554" t="s">
        <v>2713</v>
      </c>
      <c r="S554" t="s">
        <v>112</v>
      </c>
      <c r="T554" s="52"/>
    </row>
    <row r="555" spans="1:20" x14ac:dyDescent="0.3">
      <c r="A555" t="s">
        <v>53</v>
      </c>
      <c r="B555" s="48">
        <v>46023</v>
      </c>
      <c r="C555" s="26"/>
      <c r="I555" t="s">
        <v>2756</v>
      </c>
      <c r="J555" t="s">
        <v>2757</v>
      </c>
      <c r="K555" t="s">
        <v>2678</v>
      </c>
      <c r="L555" t="s">
        <v>1373</v>
      </c>
      <c r="M555" t="s">
        <v>1396</v>
      </c>
      <c r="N555" t="s">
        <v>59</v>
      </c>
      <c r="O555" t="s">
        <v>116</v>
      </c>
      <c r="P555" t="s">
        <v>144</v>
      </c>
      <c r="Q555">
        <v>1</v>
      </c>
      <c r="R555" t="s">
        <v>2713</v>
      </c>
      <c r="S555" t="s">
        <v>112</v>
      </c>
      <c r="T555" s="52"/>
    </row>
    <row r="556" spans="1:20" x14ac:dyDescent="0.3">
      <c r="A556" t="s">
        <v>53</v>
      </c>
      <c r="B556" s="48">
        <v>46023</v>
      </c>
      <c r="C556" s="26"/>
      <c r="I556" t="s">
        <v>2758</v>
      </c>
      <c r="J556" t="s">
        <v>2759</v>
      </c>
      <c r="K556" t="s">
        <v>2678</v>
      </c>
      <c r="L556" t="s">
        <v>1373</v>
      </c>
      <c r="M556" t="s">
        <v>1396</v>
      </c>
      <c r="N556" t="s">
        <v>59</v>
      </c>
      <c r="O556" t="s">
        <v>116</v>
      </c>
      <c r="P556" t="s">
        <v>144</v>
      </c>
      <c r="Q556">
        <v>7</v>
      </c>
      <c r="R556" t="s">
        <v>2713</v>
      </c>
      <c r="S556" t="s">
        <v>112</v>
      </c>
      <c r="T556" s="52"/>
    </row>
    <row r="557" spans="1:20" x14ac:dyDescent="0.3">
      <c r="A557" t="s">
        <v>53</v>
      </c>
      <c r="B557" s="48">
        <v>46023</v>
      </c>
      <c r="C557" s="26"/>
      <c r="I557" t="s">
        <v>2760</v>
      </c>
      <c r="J557" t="s">
        <v>2761</v>
      </c>
      <c r="K557" t="s">
        <v>2678</v>
      </c>
      <c r="L557" t="s">
        <v>1373</v>
      </c>
      <c r="M557" t="s">
        <v>1396</v>
      </c>
      <c r="N557" t="s">
        <v>59</v>
      </c>
      <c r="O557" t="s">
        <v>116</v>
      </c>
      <c r="P557" t="s">
        <v>144</v>
      </c>
      <c r="Q557">
        <v>1</v>
      </c>
      <c r="R557" t="s">
        <v>2713</v>
      </c>
      <c r="S557" t="s">
        <v>112</v>
      </c>
      <c r="T557" s="52"/>
    </row>
    <row r="558" spans="1:20" x14ac:dyDescent="0.3">
      <c r="A558" t="s">
        <v>53</v>
      </c>
      <c r="B558" s="48">
        <v>46023</v>
      </c>
      <c r="C558" s="26"/>
      <c r="I558" t="s">
        <v>2762</v>
      </c>
      <c r="J558" t="s">
        <v>2763</v>
      </c>
      <c r="K558" t="s">
        <v>2678</v>
      </c>
      <c r="L558" t="s">
        <v>1373</v>
      </c>
      <c r="M558" t="s">
        <v>1396</v>
      </c>
      <c r="N558" t="s">
        <v>59</v>
      </c>
      <c r="O558" t="s">
        <v>116</v>
      </c>
      <c r="P558" t="s">
        <v>144</v>
      </c>
      <c r="Q558">
        <v>2</v>
      </c>
      <c r="R558" t="s">
        <v>2713</v>
      </c>
      <c r="S558" t="s">
        <v>112</v>
      </c>
      <c r="T558" s="52"/>
    </row>
    <row r="559" spans="1:20" x14ac:dyDescent="0.3">
      <c r="A559" t="s">
        <v>53</v>
      </c>
      <c r="B559" s="48">
        <v>46023</v>
      </c>
      <c r="C559" s="26"/>
      <c r="I559" t="s">
        <v>2764</v>
      </c>
      <c r="J559" t="s">
        <v>2765</v>
      </c>
      <c r="K559" t="s">
        <v>2678</v>
      </c>
      <c r="L559" t="s">
        <v>1373</v>
      </c>
      <c r="M559" t="s">
        <v>1396</v>
      </c>
      <c r="N559" t="s">
        <v>59</v>
      </c>
      <c r="O559" t="s">
        <v>116</v>
      </c>
      <c r="P559" t="s">
        <v>144</v>
      </c>
      <c r="Q559">
        <v>1</v>
      </c>
      <c r="R559" t="s">
        <v>2713</v>
      </c>
      <c r="S559" t="s">
        <v>112</v>
      </c>
      <c r="T559" s="52"/>
    </row>
    <row r="560" spans="1:20" x14ac:dyDescent="0.3">
      <c r="A560" t="s">
        <v>53</v>
      </c>
      <c r="B560" s="48">
        <v>46023</v>
      </c>
      <c r="C560" s="26"/>
      <c r="I560" t="s">
        <v>2766</v>
      </c>
      <c r="J560" t="s">
        <v>2767</v>
      </c>
      <c r="K560" t="s">
        <v>2678</v>
      </c>
      <c r="L560" t="s">
        <v>1373</v>
      </c>
      <c r="M560" t="s">
        <v>1396</v>
      </c>
      <c r="N560" t="s">
        <v>59</v>
      </c>
      <c r="O560" t="s">
        <v>116</v>
      </c>
      <c r="P560" t="s">
        <v>144</v>
      </c>
      <c r="Q560">
        <v>1</v>
      </c>
      <c r="R560" t="s">
        <v>2713</v>
      </c>
      <c r="S560" t="s">
        <v>112</v>
      </c>
      <c r="T560" s="52"/>
    </row>
    <row r="561" spans="1:20" x14ac:dyDescent="0.3">
      <c r="A561" t="s">
        <v>53</v>
      </c>
      <c r="B561" s="48">
        <v>46023</v>
      </c>
      <c r="C561" s="26"/>
      <c r="I561" t="s">
        <v>2768</v>
      </c>
      <c r="J561" t="s">
        <v>2769</v>
      </c>
      <c r="K561" t="s">
        <v>59</v>
      </c>
      <c r="L561" t="s">
        <v>1373</v>
      </c>
      <c r="M561" t="s">
        <v>1396</v>
      </c>
      <c r="N561" t="s">
        <v>59</v>
      </c>
      <c r="O561" t="s">
        <v>116</v>
      </c>
      <c r="P561" t="s">
        <v>144</v>
      </c>
      <c r="Q561">
        <v>1</v>
      </c>
      <c r="R561" t="s">
        <v>2713</v>
      </c>
      <c r="S561" t="s">
        <v>112</v>
      </c>
      <c r="T561" s="52"/>
    </row>
    <row r="562" spans="1:20" x14ac:dyDescent="0.3">
      <c r="A562" t="s">
        <v>53</v>
      </c>
      <c r="B562" s="48">
        <v>46023</v>
      </c>
      <c r="C562" s="26"/>
      <c r="I562" t="s">
        <v>2770</v>
      </c>
      <c r="J562" t="s">
        <v>2771</v>
      </c>
      <c r="K562" t="s">
        <v>2678</v>
      </c>
      <c r="L562" t="s">
        <v>1373</v>
      </c>
      <c r="M562" t="s">
        <v>1396</v>
      </c>
      <c r="N562" t="s">
        <v>59</v>
      </c>
      <c r="O562" t="s">
        <v>116</v>
      </c>
      <c r="P562" t="s">
        <v>144</v>
      </c>
      <c r="Q562">
        <v>2</v>
      </c>
      <c r="R562" t="s">
        <v>2713</v>
      </c>
      <c r="S562" t="s">
        <v>112</v>
      </c>
      <c r="T562" s="52"/>
    </row>
    <row r="563" spans="1:20" x14ac:dyDescent="0.3">
      <c r="A563" t="s">
        <v>53</v>
      </c>
      <c r="B563" s="48">
        <v>46023</v>
      </c>
      <c r="C563" s="26"/>
      <c r="I563" t="s">
        <v>2772</v>
      </c>
      <c r="J563" t="s">
        <v>2773</v>
      </c>
      <c r="K563" t="s">
        <v>2678</v>
      </c>
      <c r="L563" t="s">
        <v>1373</v>
      </c>
      <c r="M563" t="s">
        <v>1396</v>
      </c>
      <c r="N563" t="s">
        <v>59</v>
      </c>
      <c r="O563" t="s">
        <v>116</v>
      </c>
      <c r="P563" t="s">
        <v>144</v>
      </c>
      <c r="Q563">
        <v>1</v>
      </c>
      <c r="R563" t="s">
        <v>2713</v>
      </c>
      <c r="S563" t="s">
        <v>112</v>
      </c>
      <c r="T563" s="52"/>
    </row>
    <row r="564" spans="1:20" x14ac:dyDescent="0.3">
      <c r="A564" t="s">
        <v>53</v>
      </c>
      <c r="B564" s="48">
        <v>46023</v>
      </c>
      <c r="C564" s="26"/>
      <c r="I564" t="s">
        <v>2774</v>
      </c>
      <c r="J564" t="s">
        <v>2775</v>
      </c>
      <c r="K564" t="s">
        <v>2678</v>
      </c>
      <c r="L564" t="s">
        <v>1373</v>
      </c>
      <c r="M564" t="s">
        <v>1396</v>
      </c>
      <c r="N564" t="s">
        <v>59</v>
      </c>
      <c r="O564" t="s">
        <v>116</v>
      </c>
      <c r="P564" t="s">
        <v>144</v>
      </c>
      <c r="Q564">
        <v>1</v>
      </c>
      <c r="R564" t="s">
        <v>2713</v>
      </c>
      <c r="S564" t="s">
        <v>112</v>
      </c>
      <c r="T564" s="52"/>
    </row>
    <row r="565" spans="1:20" x14ac:dyDescent="0.3">
      <c r="A565" t="s">
        <v>53</v>
      </c>
      <c r="B565" s="48">
        <v>46023</v>
      </c>
      <c r="C565" s="26"/>
      <c r="I565" t="s">
        <v>2776</v>
      </c>
      <c r="J565" t="s">
        <v>2777</v>
      </c>
      <c r="K565" t="s">
        <v>2678</v>
      </c>
      <c r="L565" t="s">
        <v>1373</v>
      </c>
      <c r="M565" t="s">
        <v>1396</v>
      </c>
      <c r="N565" t="s">
        <v>59</v>
      </c>
      <c r="O565" t="s">
        <v>116</v>
      </c>
      <c r="P565" t="s">
        <v>144</v>
      </c>
      <c r="Q565">
        <v>1</v>
      </c>
      <c r="R565" t="s">
        <v>2713</v>
      </c>
      <c r="S565" t="s">
        <v>112</v>
      </c>
      <c r="T565" s="52"/>
    </row>
    <row r="566" spans="1:20" x14ac:dyDescent="0.3">
      <c r="A566" t="s">
        <v>53</v>
      </c>
      <c r="B566" s="48">
        <v>46023</v>
      </c>
      <c r="C566" s="26"/>
      <c r="I566" t="s">
        <v>2778</v>
      </c>
      <c r="J566" t="s">
        <v>2779</v>
      </c>
      <c r="K566" t="s">
        <v>59</v>
      </c>
      <c r="L566" t="s">
        <v>1373</v>
      </c>
      <c r="M566" t="s">
        <v>1396</v>
      </c>
      <c r="N566" t="s">
        <v>59</v>
      </c>
      <c r="O566" t="s">
        <v>116</v>
      </c>
      <c r="P566" t="s">
        <v>144</v>
      </c>
      <c r="Q566">
        <v>1</v>
      </c>
      <c r="R566" t="s">
        <v>2713</v>
      </c>
      <c r="S566" t="s">
        <v>112</v>
      </c>
      <c r="T566" s="52"/>
    </row>
    <row r="567" spans="1:20" x14ac:dyDescent="0.3">
      <c r="A567" t="s">
        <v>53</v>
      </c>
      <c r="B567" s="48">
        <v>46023</v>
      </c>
      <c r="C567" s="26"/>
      <c r="I567" t="s">
        <v>2780</v>
      </c>
      <c r="J567" t="s">
        <v>2781</v>
      </c>
      <c r="K567" t="s">
        <v>59</v>
      </c>
      <c r="L567" t="s">
        <v>1373</v>
      </c>
      <c r="M567" t="s">
        <v>1396</v>
      </c>
      <c r="N567" t="s">
        <v>59</v>
      </c>
      <c r="O567" t="s">
        <v>116</v>
      </c>
      <c r="P567" t="s">
        <v>144</v>
      </c>
      <c r="Q567">
        <v>2</v>
      </c>
      <c r="R567" t="s">
        <v>2713</v>
      </c>
      <c r="S567" t="s">
        <v>129</v>
      </c>
      <c r="T567" s="52"/>
    </row>
    <row r="568" spans="1:20" x14ac:dyDescent="0.3">
      <c r="A568" t="s">
        <v>53</v>
      </c>
      <c r="B568" s="48">
        <v>46023</v>
      </c>
      <c r="C568" s="26"/>
      <c r="I568" t="s">
        <v>2782</v>
      </c>
      <c r="J568" t="s">
        <v>2783</v>
      </c>
      <c r="K568" t="s">
        <v>1416</v>
      </c>
      <c r="L568" t="s">
        <v>1373</v>
      </c>
      <c r="M568" t="s">
        <v>1396</v>
      </c>
      <c r="N568" t="s">
        <v>59</v>
      </c>
      <c r="O568" t="s">
        <v>116</v>
      </c>
      <c r="P568" t="s">
        <v>144</v>
      </c>
      <c r="Q568">
        <v>1</v>
      </c>
      <c r="R568" t="s">
        <v>2713</v>
      </c>
      <c r="S568" t="s">
        <v>2784</v>
      </c>
      <c r="T568" s="52"/>
    </row>
    <row r="569" spans="1:20" x14ac:dyDescent="0.3">
      <c r="A569" t="s">
        <v>53</v>
      </c>
      <c r="B569" s="48">
        <v>46023</v>
      </c>
      <c r="C569" s="26"/>
      <c r="I569" t="s">
        <v>2785</v>
      </c>
      <c r="J569" t="s">
        <v>2786</v>
      </c>
      <c r="K569" t="s">
        <v>1416</v>
      </c>
      <c r="L569" t="s">
        <v>1373</v>
      </c>
      <c r="M569" t="s">
        <v>1396</v>
      </c>
      <c r="N569" t="s">
        <v>59</v>
      </c>
      <c r="O569" t="s">
        <v>116</v>
      </c>
      <c r="P569" t="s">
        <v>144</v>
      </c>
      <c r="Q569">
        <v>2</v>
      </c>
      <c r="R569" t="s">
        <v>2713</v>
      </c>
      <c r="S569" t="s">
        <v>2784</v>
      </c>
      <c r="T569" s="52"/>
    </row>
    <row r="570" spans="1:20" x14ac:dyDescent="0.3">
      <c r="A570" t="s">
        <v>53</v>
      </c>
      <c r="B570" s="48">
        <v>46023</v>
      </c>
      <c r="C570" s="26"/>
      <c r="I570" t="s">
        <v>2787</v>
      </c>
      <c r="J570" t="s">
        <v>2717</v>
      </c>
      <c r="K570" t="s">
        <v>1416</v>
      </c>
      <c r="L570" t="s">
        <v>1373</v>
      </c>
      <c r="M570" t="s">
        <v>1396</v>
      </c>
      <c r="N570" t="s">
        <v>59</v>
      </c>
      <c r="O570" t="s">
        <v>116</v>
      </c>
      <c r="P570" t="s">
        <v>144</v>
      </c>
      <c r="Q570">
        <v>1</v>
      </c>
      <c r="R570" t="s">
        <v>2713</v>
      </c>
      <c r="S570" t="s">
        <v>2784</v>
      </c>
      <c r="T570" s="52"/>
    </row>
    <row r="571" spans="1:20" x14ac:dyDescent="0.3">
      <c r="A571" t="s">
        <v>53</v>
      </c>
      <c r="B571" s="48">
        <v>46023</v>
      </c>
      <c r="C571" s="26"/>
      <c r="I571" t="s">
        <v>2788</v>
      </c>
      <c r="J571" t="s">
        <v>2757</v>
      </c>
      <c r="K571" t="s">
        <v>1416</v>
      </c>
      <c r="L571" t="s">
        <v>1373</v>
      </c>
      <c r="M571" t="s">
        <v>1396</v>
      </c>
      <c r="N571" t="s">
        <v>59</v>
      </c>
      <c r="O571" t="s">
        <v>116</v>
      </c>
      <c r="P571" t="s">
        <v>144</v>
      </c>
      <c r="Q571">
        <v>2</v>
      </c>
      <c r="R571" t="s">
        <v>2713</v>
      </c>
      <c r="S571" t="s">
        <v>2784</v>
      </c>
      <c r="T571" s="52"/>
    </row>
    <row r="572" spans="1:20" x14ac:dyDescent="0.3">
      <c r="A572" t="s">
        <v>53</v>
      </c>
      <c r="B572" s="48">
        <v>46023</v>
      </c>
      <c r="C572" s="26"/>
      <c r="I572" t="s">
        <v>2789</v>
      </c>
      <c r="J572" t="s">
        <v>2753</v>
      </c>
      <c r="K572" t="s">
        <v>1416</v>
      </c>
      <c r="L572" t="s">
        <v>1373</v>
      </c>
      <c r="M572" t="s">
        <v>1396</v>
      </c>
      <c r="N572" t="s">
        <v>59</v>
      </c>
      <c r="O572" t="s">
        <v>116</v>
      </c>
      <c r="P572" t="s">
        <v>144</v>
      </c>
      <c r="Q572">
        <v>2</v>
      </c>
      <c r="R572" t="s">
        <v>2713</v>
      </c>
      <c r="S572" t="s">
        <v>2784</v>
      </c>
      <c r="T572" s="52"/>
    </row>
    <row r="573" spans="1:20" x14ac:dyDescent="0.3">
      <c r="A573" t="s">
        <v>53</v>
      </c>
      <c r="B573" s="48">
        <v>46023</v>
      </c>
      <c r="C573" s="26"/>
      <c r="I573" t="s">
        <v>2790</v>
      </c>
      <c r="J573" t="s">
        <v>2791</v>
      </c>
      <c r="K573" t="s">
        <v>1416</v>
      </c>
      <c r="L573" t="s">
        <v>1373</v>
      </c>
      <c r="M573" t="s">
        <v>1396</v>
      </c>
      <c r="N573" t="s">
        <v>59</v>
      </c>
      <c r="O573" t="s">
        <v>116</v>
      </c>
      <c r="P573" t="s">
        <v>144</v>
      </c>
      <c r="Q573">
        <v>2</v>
      </c>
      <c r="R573" t="s">
        <v>2713</v>
      </c>
      <c r="S573" t="s">
        <v>2784</v>
      </c>
      <c r="T573" s="52"/>
    </row>
    <row r="574" spans="1:20" x14ac:dyDescent="0.3">
      <c r="A574" t="s">
        <v>53</v>
      </c>
      <c r="B574" s="48">
        <v>46023</v>
      </c>
      <c r="C574" s="26"/>
      <c r="I574" t="s">
        <v>2792</v>
      </c>
      <c r="J574" t="s">
        <v>2793</v>
      </c>
      <c r="K574" t="s">
        <v>1416</v>
      </c>
      <c r="L574" t="s">
        <v>1373</v>
      </c>
      <c r="M574" t="s">
        <v>1396</v>
      </c>
      <c r="N574" t="s">
        <v>59</v>
      </c>
      <c r="O574" t="s">
        <v>116</v>
      </c>
      <c r="P574" t="s">
        <v>144</v>
      </c>
      <c r="Q574">
        <v>1</v>
      </c>
      <c r="R574" t="s">
        <v>2713</v>
      </c>
      <c r="S574" t="s">
        <v>2784</v>
      </c>
      <c r="T574" s="52"/>
    </row>
    <row r="575" spans="1:20" x14ac:dyDescent="0.3">
      <c r="A575" t="s">
        <v>53</v>
      </c>
      <c r="B575" s="48">
        <v>46023</v>
      </c>
      <c r="C575" s="26"/>
      <c r="I575" t="s">
        <v>2794</v>
      </c>
      <c r="J575" t="s">
        <v>2683</v>
      </c>
      <c r="K575" t="s">
        <v>1416</v>
      </c>
      <c r="L575" t="s">
        <v>1373</v>
      </c>
      <c r="M575" t="s">
        <v>1396</v>
      </c>
      <c r="N575" t="s">
        <v>59</v>
      </c>
      <c r="O575" t="s">
        <v>116</v>
      </c>
      <c r="P575" t="s">
        <v>144</v>
      </c>
      <c r="Q575">
        <v>3</v>
      </c>
      <c r="R575" t="s">
        <v>2713</v>
      </c>
      <c r="S575" t="s">
        <v>2784</v>
      </c>
      <c r="T575" s="52"/>
    </row>
    <row r="576" spans="1:20" x14ac:dyDescent="0.3">
      <c r="A576" t="s">
        <v>53</v>
      </c>
      <c r="B576" s="48">
        <v>46023</v>
      </c>
      <c r="C576" s="26"/>
      <c r="I576" t="s">
        <v>2795</v>
      </c>
      <c r="J576" t="s">
        <v>2796</v>
      </c>
      <c r="K576" t="s">
        <v>2797</v>
      </c>
      <c r="L576" t="s">
        <v>1373</v>
      </c>
      <c r="M576" t="s">
        <v>1396</v>
      </c>
      <c r="N576" t="s">
        <v>59</v>
      </c>
      <c r="O576" t="s">
        <v>116</v>
      </c>
      <c r="P576" t="s">
        <v>144</v>
      </c>
      <c r="Q576">
        <v>3</v>
      </c>
      <c r="R576" t="s">
        <v>2713</v>
      </c>
      <c r="S576" t="s">
        <v>2784</v>
      </c>
      <c r="T576" s="52"/>
    </row>
    <row r="577" spans="1:20" x14ac:dyDescent="0.3">
      <c r="A577" t="s">
        <v>53</v>
      </c>
      <c r="B577" s="48">
        <v>46023</v>
      </c>
      <c r="C577" s="26"/>
      <c r="I577" t="s">
        <v>2798</v>
      </c>
      <c r="J577" t="s">
        <v>2799</v>
      </c>
      <c r="K577" t="s">
        <v>59</v>
      </c>
      <c r="L577" t="s">
        <v>1373</v>
      </c>
      <c r="M577" t="s">
        <v>1396</v>
      </c>
      <c r="N577" t="s">
        <v>59</v>
      </c>
      <c r="O577" t="s">
        <v>116</v>
      </c>
      <c r="P577" t="s">
        <v>144</v>
      </c>
      <c r="Q577">
        <v>3</v>
      </c>
      <c r="R577" t="s">
        <v>2713</v>
      </c>
      <c r="S577" t="s">
        <v>2784</v>
      </c>
      <c r="T577" s="52"/>
    </row>
    <row r="578" spans="1:20" x14ac:dyDescent="0.3">
      <c r="A578" t="s">
        <v>53</v>
      </c>
      <c r="B578" s="48">
        <v>46023</v>
      </c>
      <c r="C578" s="26"/>
      <c r="I578" t="s">
        <v>2800</v>
      </c>
      <c r="J578" t="s">
        <v>2801</v>
      </c>
      <c r="K578" t="s">
        <v>59</v>
      </c>
      <c r="L578" t="s">
        <v>1373</v>
      </c>
      <c r="M578" t="s">
        <v>1396</v>
      </c>
      <c r="N578" t="s">
        <v>59</v>
      </c>
      <c r="O578" t="s">
        <v>116</v>
      </c>
      <c r="P578" t="s">
        <v>144</v>
      </c>
      <c r="Q578">
        <v>1</v>
      </c>
      <c r="R578" t="s">
        <v>2802</v>
      </c>
      <c r="S578" t="s">
        <v>2784</v>
      </c>
      <c r="T578" s="52"/>
    </row>
    <row r="579" spans="1:20" x14ac:dyDescent="0.3">
      <c r="A579" t="s">
        <v>53</v>
      </c>
      <c r="B579" s="48">
        <v>46023</v>
      </c>
      <c r="C579" s="26"/>
      <c r="I579" t="s">
        <v>2803</v>
      </c>
      <c r="J579" t="s">
        <v>2804</v>
      </c>
      <c r="K579" t="s">
        <v>59</v>
      </c>
      <c r="L579" t="s">
        <v>1373</v>
      </c>
      <c r="M579" t="s">
        <v>1396</v>
      </c>
      <c r="N579" t="s">
        <v>59</v>
      </c>
      <c r="O579" t="s">
        <v>116</v>
      </c>
      <c r="P579" t="s">
        <v>144</v>
      </c>
      <c r="Q579">
        <v>1</v>
      </c>
      <c r="R579" t="s">
        <v>2805</v>
      </c>
      <c r="S579" t="s">
        <v>129</v>
      </c>
      <c r="T579" s="52"/>
    </row>
    <row r="580" spans="1:20" x14ac:dyDescent="0.3">
      <c r="A580" t="s">
        <v>53</v>
      </c>
      <c r="B580" s="48">
        <v>46023</v>
      </c>
      <c r="C580" s="26"/>
      <c r="I580" t="s">
        <v>2806</v>
      </c>
      <c r="J580" t="s">
        <v>2807</v>
      </c>
      <c r="K580" t="s">
        <v>59</v>
      </c>
      <c r="L580" t="s">
        <v>1373</v>
      </c>
      <c r="M580" t="s">
        <v>1396</v>
      </c>
      <c r="N580" t="s">
        <v>59</v>
      </c>
      <c r="O580" t="s">
        <v>116</v>
      </c>
      <c r="P580" t="s">
        <v>144</v>
      </c>
      <c r="Q580">
        <v>1</v>
      </c>
      <c r="R580" t="s">
        <v>2805</v>
      </c>
      <c r="S580" t="s">
        <v>129</v>
      </c>
      <c r="T580" s="52"/>
    </row>
    <row r="581" spans="1:20" x14ac:dyDescent="0.3">
      <c r="A581" t="s">
        <v>53</v>
      </c>
      <c r="B581" s="48">
        <v>46023</v>
      </c>
      <c r="C581" s="26"/>
      <c r="I581" t="s">
        <v>2808</v>
      </c>
      <c r="J581" t="s">
        <v>2809</v>
      </c>
      <c r="K581" t="s">
        <v>59</v>
      </c>
      <c r="L581" t="s">
        <v>1373</v>
      </c>
      <c r="M581" t="s">
        <v>1396</v>
      </c>
      <c r="N581" t="s">
        <v>59</v>
      </c>
      <c r="O581" t="s">
        <v>116</v>
      </c>
      <c r="P581" t="s">
        <v>144</v>
      </c>
      <c r="Q581">
        <v>2</v>
      </c>
      <c r="R581" t="s">
        <v>2805</v>
      </c>
      <c r="S581" t="s">
        <v>129</v>
      </c>
      <c r="T581" s="52"/>
    </row>
    <row r="582" spans="1:20" x14ac:dyDescent="0.3">
      <c r="A582" t="s">
        <v>53</v>
      </c>
      <c r="B582" s="48">
        <v>46023</v>
      </c>
      <c r="C582" s="26"/>
      <c r="I582" t="s">
        <v>2810</v>
      </c>
      <c r="J582" t="s">
        <v>2811</v>
      </c>
      <c r="K582" t="s">
        <v>59</v>
      </c>
      <c r="L582" t="s">
        <v>1373</v>
      </c>
      <c r="M582" t="s">
        <v>1396</v>
      </c>
      <c r="N582" t="s">
        <v>59</v>
      </c>
      <c r="O582" t="s">
        <v>116</v>
      </c>
      <c r="P582" t="s">
        <v>144</v>
      </c>
      <c r="Q582">
        <v>1</v>
      </c>
      <c r="R582" t="s">
        <v>2805</v>
      </c>
      <c r="S582" t="s">
        <v>129</v>
      </c>
      <c r="T582" s="52"/>
    </row>
    <row r="583" spans="1:20" x14ac:dyDescent="0.3">
      <c r="A583" t="s">
        <v>53</v>
      </c>
      <c r="B583" s="48">
        <v>46023</v>
      </c>
      <c r="C583" s="26"/>
      <c r="I583" t="s">
        <v>2812</v>
      </c>
      <c r="J583" t="s">
        <v>2813</v>
      </c>
      <c r="K583" t="s">
        <v>59</v>
      </c>
      <c r="L583" t="s">
        <v>1373</v>
      </c>
      <c r="M583" t="s">
        <v>1396</v>
      </c>
      <c r="N583" t="s">
        <v>59</v>
      </c>
      <c r="O583" t="s">
        <v>116</v>
      </c>
      <c r="P583" t="s">
        <v>144</v>
      </c>
      <c r="Q583">
        <v>1</v>
      </c>
      <c r="R583" t="s">
        <v>2805</v>
      </c>
      <c r="S583" t="s">
        <v>129</v>
      </c>
      <c r="T583" s="52"/>
    </row>
    <row r="584" spans="1:20" x14ac:dyDescent="0.3">
      <c r="A584" t="s">
        <v>53</v>
      </c>
      <c r="B584" s="48">
        <v>46023</v>
      </c>
      <c r="C584" s="26"/>
      <c r="I584" t="s">
        <v>2814</v>
      </c>
      <c r="J584" t="s">
        <v>2815</v>
      </c>
      <c r="K584" t="s">
        <v>59</v>
      </c>
      <c r="L584" t="s">
        <v>1373</v>
      </c>
      <c r="M584" t="s">
        <v>1396</v>
      </c>
      <c r="N584" t="s">
        <v>59</v>
      </c>
      <c r="O584" t="s">
        <v>116</v>
      </c>
      <c r="P584" t="s">
        <v>144</v>
      </c>
      <c r="Q584">
        <v>1</v>
      </c>
      <c r="R584" t="s">
        <v>2805</v>
      </c>
      <c r="S584" t="s">
        <v>129</v>
      </c>
      <c r="T584" s="52"/>
    </row>
    <row r="585" spans="1:20" x14ac:dyDescent="0.3">
      <c r="A585" t="s">
        <v>53</v>
      </c>
      <c r="B585" s="48">
        <v>46023</v>
      </c>
      <c r="C585" s="26"/>
      <c r="I585" t="s">
        <v>2816</v>
      </c>
      <c r="J585" t="s">
        <v>2817</v>
      </c>
      <c r="K585" t="s">
        <v>59</v>
      </c>
      <c r="L585" t="s">
        <v>1373</v>
      </c>
      <c r="M585" t="s">
        <v>1396</v>
      </c>
      <c r="N585" t="s">
        <v>59</v>
      </c>
      <c r="O585" t="s">
        <v>116</v>
      </c>
      <c r="P585" t="s">
        <v>144</v>
      </c>
      <c r="Q585">
        <v>1</v>
      </c>
      <c r="R585" t="s">
        <v>2805</v>
      </c>
      <c r="S585" t="s">
        <v>129</v>
      </c>
      <c r="T585" s="52"/>
    </row>
    <row r="586" spans="1:20" x14ac:dyDescent="0.3">
      <c r="A586" t="s">
        <v>53</v>
      </c>
      <c r="B586" s="48">
        <v>46023</v>
      </c>
      <c r="C586" s="26"/>
      <c r="I586" t="s">
        <v>2818</v>
      </c>
      <c r="J586" t="s">
        <v>2819</v>
      </c>
      <c r="K586" t="s">
        <v>59</v>
      </c>
      <c r="L586" t="s">
        <v>1373</v>
      </c>
      <c r="M586" t="s">
        <v>1396</v>
      </c>
      <c r="N586" t="s">
        <v>59</v>
      </c>
      <c r="O586" t="s">
        <v>116</v>
      </c>
      <c r="P586" t="s">
        <v>144</v>
      </c>
      <c r="Q586">
        <v>1</v>
      </c>
      <c r="R586" t="s">
        <v>2805</v>
      </c>
      <c r="S586" t="s">
        <v>129</v>
      </c>
      <c r="T586" s="52"/>
    </row>
    <row r="587" spans="1:20" x14ac:dyDescent="0.3">
      <c r="A587" t="s">
        <v>53</v>
      </c>
      <c r="B587" s="48">
        <v>46023</v>
      </c>
      <c r="C587" s="26"/>
      <c r="I587" t="s">
        <v>2820</v>
      </c>
      <c r="J587" t="s">
        <v>2821</v>
      </c>
      <c r="K587" t="s">
        <v>59</v>
      </c>
      <c r="L587" t="s">
        <v>1373</v>
      </c>
      <c r="M587" t="s">
        <v>1396</v>
      </c>
      <c r="N587" t="s">
        <v>59</v>
      </c>
      <c r="O587" t="s">
        <v>116</v>
      </c>
      <c r="P587" t="s">
        <v>144</v>
      </c>
      <c r="Q587">
        <v>1</v>
      </c>
      <c r="R587" t="s">
        <v>2805</v>
      </c>
      <c r="S587" t="s">
        <v>129</v>
      </c>
      <c r="T587" s="52"/>
    </row>
    <row r="588" spans="1:20" x14ac:dyDescent="0.3">
      <c r="A588" t="s">
        <v>53</v>
      </c>
      <c r="B588" s="48">
        <v>46023</v>
      </c>
      <c r="C588" s="26"/>
      <c r="I588" t="s">
        <v>2822</v>
      </c>
      <c r="J588" t="s">
        <v>2823</v>
      </c>
      <c r="K588" t="s">
        <v>59</v>
      </c>
      <c r="L588" t="s">
        <v>1373</v>
      </c>
      <c r="M588" t="s">
        <v>1396</v>
      </c>
      <c r="N588" t="s">
        <v>59</v>
      </c>
      <c r="O588" t="s">
        <v>116</v>
      </c>
      <c r="P588" t="s">
        <v>144</v>
      </c>
      <c r="Q588">
        <v>1</v>
      </c>
      <c r="R588" t="s">
        <v>2805</v>
      </c>
      <c r="S588" t="s">
        <v>129</v>
      </c>
      <c r="T588" s="52"/>
    </row>
    <row r="589" spans="1:20" x14ac:dyDescent="0.3">
      <c r="A589" t="s">
        <v>53</v>
      </c>
      <c r="B589" s="48">
        <v>46023</v>
      </c>
      <c r="C589" s="26"/>
      <c r="I589" t="s">
        <v>2824</v>
      </c>
      <c r="J589" t="s">
        <v>2825</v>
      </c>
      <c r="K589" t="s">
        <v>2826</v>
      </c>
      <c r="L589" t="s">
        <v>1373</v>
      </c>
      <c r="M589" t="s">
        <v>1396</v>
      </c>
      <c r="N589" t="s">
        <v>2827</v>
      </c>
      <c r="O589" t="s">
        <v>116</v>
      </c>
      <c r="P589" t="s">
        <v>144</v>
      </c>
      <c r="Q589">
        <v>1</v>
      </c>
      <c r="R589" t="s">
        <v>2805</v>
      </c>
      <c r="S589" t="s">
        <v>129</v>
      </c>
      <c r="T589" s="52"/>
    </row>
    <row r="590" spans="1:20" x14ac:dyDescent="0.3">
      <c r="A590" t="s">
        <v>53</v>
      </c>
      <c r="B590" s="48">
        <v>46023</v>
      </c>
      <c r="C590" s="26"/>
      <c r="I590" t="s">
        <v>2828</v>
      </c>
      <c r="J590" t="s">
        <v>2829</v>
      </c>
      <c r="K590" t="s">
        <v>2830</v>
      </c>
      <c r="L590" t="s">
        <v>1373</v>
      </c>
      <c r="M590" t="s">
        <v>1396</v>
      </c>
      <c r="N590" t="s">
        <v>2831</v>
      </c>
      <c r="O590" t="s">
        <v>116</v>
      </c>
      <c r="P590" t="s">
        <v>144</v>
      </c>
      <c r="Q590">
        <v>1</v>
      </c>
      <c r="R590" t="s">
        <v>2805</v>
      </c>
      <c r="S590" t="s">
        <v>129</v>
      </c>
      <c r="T590" s="52"/>
    </row>
    <row r="591" spans="1:20" x14ac:dyDescent="0.3">
      <c r="A591" t="s">
        <v>53</v>
      </c>
      <c r="B591" s="48">
        <v>46023</v>
      </c>
      <c r="C591" s="26"/>
      <c r="I591" t="s">
        <v>2832</v>
      </c>
      <c r="J591" t="s">
        <v>2833</v>
      </c>
      <c r="K591" t="s">
        <v>2834</v>
      </c>
      <c r="L591" t="s">
        <v>1373</v>
      </c>
      <c r="M591" t="s">
        <v>1396</v>
      </c>
      <c r="N591">
        <v>29252</v>
      </c>
      <c r="O591" t="s">
        <v>116</v>
      </c>
      <c r="P591" t="s">
        <v>144</v>
      </c>
      <c r="Q591">
        <v>1</v>
      </c>
      <c r="R591" t="s">
        <v>2805</v>
      </c>
      <c r="S591" t="s">
        <v>129</v>
      </c>
      <c r="T591" s="52"/>
    </row>
    <row r="592" spans="1:20" x14ac:dyDescent="0.3">
      <c r="A592" t="s">
        <v>53</v>
      </c>
      <c r="B592" s="48">
        <v>46023</v>
      </c>
      <c r="C592" s="26"/>
      <c r="I592" t="s">
        <v>2835</v>
      </c>
      <c r="J592" t="s">
        <v>2836</v>
      </c>
      <c r="K592" t="s">
        <v>2834</v>
      </c>
      <c r="L592" t="s">
        <v>1373</v>
      </c>
      <c r="M592" t="s">
        <v>1396</v>
      </c>
      <c r="N592">
        <v>566867</v>
      </c>
      <c r="O592" t="s">
        <v>116</v>
      </c>
      <c r="P592" t="s">
        <v>144</v>
      </c>
      <c r="Q592">
        <v>1</v>
      </c>
      <c r="R592" t="s">
        <v>2805</v>
      </c>
      <c r="S592" t="s">
        <v>129</v>
      </c>
      <c r="T592" s="52"/>
    </row>
    <row r="593" spans="1:20" x14ac:dyDescent="0.3">
      <c r="A593" t="s">
        <v>53</v>
      </c>
      <c r="B593" s="48">
        <v>46023</v>
      </c>
      <c r="C593" s="26"/>
      <c r="I593" t="s">
        <v>2837</v>
      </c>
      <c r="J593" t="s">
        <v>2838</v>
      </c>
      <c r="K593" t="s">
        <v>59</v>
      </c>
      <c r="L593" t="s">
        <v>1373</v>
      </c>
      <c r="M593" t="s">
        <v>1396</v>
      </c>
      <c r="N593" t="s">
        <v>59</v>
      </c>
      <c r="O593" t="s">
        <v>116</v>
      </c>
      <c r="P593" t="s">
        <v>144</v>
      </c>
      <c r="Q593">
        <v>1</v>
      </c>
      <c r="R593" t="s">
        <v>2805</v>
      </c>
      <c r="S593" t="s">
        <v>129</v>
      </c>
      <c r="T593" s="52"/>
    </row>
    <row r="594" spans="1:20" x14ac:dyDescent="0.3">
      <c r="A594" t="s">
        <v>53</v>
      </c>
      <c r="B594" s="48">
        <v>46023</v>
      </c>
      <c r="C594" s="26"/>
      <c r="I594" t="s">
        <v>2839</v>
      </c>
      <c r="J594" t="s">
        <v>2840</v>
      </c>
      <c r="K594" t="s">
        <v>59</v>
      </c>
      <c r="L594" t="s">
        <v>1373</v>
      </c>
      <c r="M594" t="s">
        <v>1396</v>
      </c>
      <c r="N594" t="s">
        <v>59</v>
      </c>
      <c r="O594" t="s">
        <v>116</v>
      </c>
      <c r="P594" t="s">
        <v>144</v>
      </c>
      <c r="Q594">
        <v>1</v>
      </c>
      <c r="R594" t="s">
        <v>2805</v>
      </c>
      <c r="S594" t="s">
        <v>129</v>
      </c>
      <c r="T594" s="52"/>
    </row>
    <row r="595" spans="1:20" x14ac:dyDescent="0.3">
      <c r="A595" t="s">
        <v>53</v>
      </c>
      <c r="B595" s="48">
        <v>46023</v>
      </c>
      <c r="C595" s="26"/>
      <c r="I595" t="s">
        <v>2841</v>
      </c>
      <c r="J595" t="s">
        <v>2842</v>
      </c>
      <c r="K595" t="s">
        <v>59</v>
      </c>
      <c r="L595" t="s">
        <v>1373</v>
      </c>
      <c r="M595" t="s">
        <v>1396</v>
      </c>
      <c r="N595" t="s">
        <v>59</v>
      </c>
      <c r="O595" t="s">
        <v>116</v>
      </c>
      <c r="P595" t="s">
        <v>144</v>
      </c>
      <c r="Q595">
        <v>1</v>
      </c>
      <c r="R595" t="s">
        <v>2805</v>
      </c>
      <c r="S595" t="s">
        <v>129</v>
      </c>
      <c r="T595" s="52"/>
    </row>
    <row r="596" spans="1:20" x14ac:dyDescent="0.3">
      <c r="A596" t="s">
        <v>53</v>
      </c>
      <c r="B596" s="48">
        <v>46023</v>
      </c>
      <c r="C596" s="26"/>
      <c r="I596" t="s">
        <v>2843</v>
      </c>
      <c r="J596" t="s">
        <v>2844</v>
      </c>
      <c r="K596" t="s">
        <v>59</v>
      </c>
      <c r="L596" t="s">
        <v>1373</v>
      </c>
      <c r="M596" t="s">
        <v>1396</v>
      </c>
      <c r="N596" t="s">
        <v>59</v>
      </c>
      <c r="O596" t="s">
        <v>116</v>
      </c>
      <c r="P596" t="s">
        <v>144</v>
      </c>
      <c r="Q596">
        <v>2</v>
      </c>
      <c r="R596" t="s">
        <v>2805</v>
      </c>
      <c r="S596" t="s">
        <v>129</v>
      </c>
      <c r="T596" s="52"/>
    </row>
    <row r="597" spans="1:20" x14ac:dyDescent="0.3">
      <c r="A597" t="s">
        <v>53</v>
      </c>
      <c r="B597" s="48">
        <v>46023</v>
      </c>
      <c r="C597" s="26"/>
      <c r="I597" t="s">
        <v>2845</v>
      </c>
      <c r="J597" t="s">
        <v>2846</v>
      </c>
      <c r="K597" t="s">
        <v>59</v>
      </c>
      <c r="L597" t="s">
        <v>1373</v>
      </c>
      <c r="M597" t="s">
        <v>1396</v>
      </c>
      <c r="N597" t="s">
        <v>59</v>
      </c>
      <c r="O597" t="s">
        <v>116</v>
      </c>
      <c r="P597" t="s">
        <v>144</v>
      </c>
      <c r="Q597">
        <v>1</v>
      </c>
      <c r="R597" t="s">
        <v>2805</v>
      </c>
      <c r="S597" t="s">
        <v>129</v>
      </c>
      <c r="T597" s="52"/>
    </row>
    <row r="598" spans="1:20" x14ac:dyDescent="0.3">
      <c r="A598" t="s">
        <v>53</v>
      </c>
      <c r="B598" s="48">
        <v>46023</v>
      </c>
      <c r="C598" s="26"/>
      <c r="I598" t="s">
        <v>2847</v>
      </c>
      <c r="J598" t="s">
        <v>2848</v>
      </c>
      <c r="K598" t="s">
        <v>59</v>
      </c>
      <c r="L598" t="s">
        <v>1373</v>
      </c>
      <c r="M598" t="s">
        <v>1396</v>
      </c>
      <c r="N598" t="s">
        <v>59</v>
      </c>
      <c r="O598" t="s">
        <v>116</v>
      </c>
      <c r="P598" t="s">
        <v>144</v>
      </c>
      <c r="Q598">
        <v>1</v>
      </c>
      <c r="R598" t="s">
        <v>2805</v>
      </c>
      <c r="S598" t="s">
        <v>129</v>
      </c>
      <c r="T598" s="52"/>
    </row>
    <row r="599" spans="1:20" x14ac:dyDescent="0.3">
      <c r="A599" t="s">
        <v>53</v>
      </c>
      <c r="B599" s="48">
        <v>46023</v>
      </c>
      <c r="C599" s="26"/>
      <c r="I599" t="s">
        <v>2849</v>
      </c>
      <c r="J599" t="s">
        <v>2850</v>
      </c>
      <c r="K599" t="s">
        <v>59</v>
      </c>
      <c r="L599" t="s">
        <v>1373</v>
      </c>
      <c r="M599" t="s">
        <v>1374</v>
      </c>
      <c r="N599" t="s">
        <v>59</v>
      </c>
      <c r="O599" t="s">
        <v>143</v>
      </c>
      <c r="P599" t="s">
        <v>144</v>
      </c>
      <c r="Q599">
        <v>72</v>
      </c>
      <c r="R599" t="s">
        <v>2851</v>
      </c>
      <c r="S599" t="s">
        <v>129</v>
      </c>
      <c r="T599" s="52"/>
    </row>
    <row r="600" spans="1:20" x14ac:dyDescent="0.3">
      <c r="A600" t="s">
        <v>53</v>
      </c>
      <c r="B600" s="48">
        <v>46023</v>
      </c>
      <c r="C600" s="26"/>
      <c r="I600" t="s">
        <v>2852</v>
      </c>
      <c r="J600" t="s">
        <v>2853</v>
      </c>
      <c r="K600" t="s">
        <v>59</v>
      </c>
      <c r="L600" t="s">
        <v>1373</v>
      </c>
      <c r="M600" t="s">
        <v>1374</v>
      </c>
      <c r="N600" t="s">
        <v>59</v>
      </c>
      <c r="O600" t="s">
        <v>143</v>
      </c>
      <c r="P600" t="s">
        <v>144</v>
      </c>
      <c r="Q600">
        <v>10</v>
      </c>
      <c r="R600" t="s">
        <v>2851</v>
      </c>
      <c r="S600" t="s">
        <v>129</v>
      </c>
      <c r="T600" s="52"/>
    </row>
    <row r="601" spans="1:20" x14ac:dyDescent="0.3">
      <c r="A601" t="s">
        <v>53</v>
      </c>
      <c r="B601" s="48">
        <v>46023</v>
      </c>
      <c r="C601" s="26"/>
      <c r="I601" t="s">
        <v>2854</v>
      </c>
      <c r="J601" t="s">
        <v>2855</v>
      </c>
      <c r="K601" t="s">
        <v>59</v>
      </c>
      <c r="L601" t="s">
        <v>1373</v>
      </c>
      <c r="M601" t="s">
        <v>1374</v>
      </c>
      <c r="N601" t="s">
        <v>59</v>
      </c>
      <c r="O601" t="s">
        <v>143</v>
      </c>
      <c r="P601" t="s">
        <v>144</v>
      </c>
      <c r="Q601">
        <v>191</v>
      </c>
      <c r="R601" t="s">
        <v>2851</v>
      </c>
      <c r="S601" t="s">
        <v>129</v>
      </c>
      <c r="T601" s="52"/>
    </row>
    <row r="602" spans="1:20" x14ac:dyDescent="0.3">
      <c r="A602" t="s">
        <v>53</v>
      </c>
      <c r="B602" s="48">
        <v>46023</v>
      </c>
      <c r="C602" s="26"/>
      <c r="I602" t="s">
        <v>2856</v>
      </c>
      <c r="J602" t="s">
        <v>2857</v>
      </c>
      <c r="K602" t="s">
        <v>59</v>
      </c>
      <c r="L602" t="s">
        <v>1373</v>
      </c>
      <c r="M602" t="s">
        <v>1374</v>
      </c>
      <c r="N602" t="s">
        <v>59</v>
      </c>
      <c r="O602" t="s">
        <v>143</v>
      </c>
      <c r="P602" t="s">
        <v>144</v>
      </c>
      <c r="Q602">
        <v>7</v>
      </c>
      <c r="R602" t="s">
        <v>2851</v>
      </c>
      <c r="S602" t="s">
        <v>129</v>
      </c>
      <c r="T602" s="52"/>
    </row>
    <row r="603" spans="1:20" x14ac:dyDescent="0.3">
      <c r="A603" t="s">
        <v>53</v>
      </c>
      <c r="B603" s="48">
        <v>46023</v>
      </c>
      <c r="C603" s="26"/>
      <c r="I603" t="s">
        <v>2858</v>
      </c>
      <c r="J603" t="s">
        <v>2859</v>
      </c>
      <c r="K603" t="s">
        <v>59</v>
      </c>
      <c r="L603" t="s">
        <v>1373</v>
      </c>
      <c r="M603" t="s">
        <v>1374</v>
      </c>
      <c r="N603" t="s">
        <v>59</v>
      </c>
      <c r="O603" t="s">
        <v>143</v>
      </c>
      <c r="P603" t="s">
        <v>144</v>
      </c>
      <c r="Q603">
        <v>6</v>
      </c>
      <c r="R603" t="s">
        <v>2851</v>
      </c>
      <c r="S603" t="s">
        <v>129</v>
      </c>
      <c r="T603" s="52"/>
    </row>
    <row r="604" spans="1:20" x14ac:dyDescent="0.3">
      <c r="A604" t="s">
        <v>53</v>
      </c>
      <c r="B604" s="48">
        <v>46023</v>
      </c>
      <c r="C604" s="26"/>
      <c r="I604" t="s">
        <v>2860</v>
      </c>
      <c r="J604" t="s">
        <v>2861</v>
      </c>
      <c r="K604" t="s">
        <v>59</v>
      </c>
      <c r="L604" t="s">
        <v>1373</v>
      </c>
      <c r="M604" t="s">
        <v>1374</v>
      </c>
      <c r="N604" t="s">
        <v>59</v>
      </c>
      <c r="O604" t="s">
        <v>143</v>
      </c>
      <c r="P604" t="s">
        <v>144</v>
      </c>
      <c r="Q604">
        <v>46</v>
      </c>
      <c r="R604" t="s">
        <v>2851</v>
      </c>
      <c r="S604" t="s">
        <v>129</v>
      </c>
      <c r="T604" s="52"/>
    </row>
    <row r="605" spans="1:20" x14ac:dyDescent="0.3">
      <c r="A605" t="s">
        <v>53</v>
      </c>
      <c r="B605" s="48">
        <v>46023</v>
      </c>
      <c r="C605" s="26"/>
      <c r="I605" t="s">
        <v>2862</v>
      </c>
      <c r="J605" t="s">
        <v>2863</v>
      </c>
      <c r="K605" t="s">
        <v>59</v>
      </c>
      <c r="L605" t="s">
        <v>1373</v>
      </c>
      <c r="M605" t="s">
        <v>1374</v>
      </c>
      <c r="N605" t="s">
        <v>59</v>
      </c>
      <c r="O605" t="s">
        <v>143</v>
      </c>
      <c r="P605" t="s">
        <v>144</v>
      </c>
      <c r="Q605">
        <v>46</v>
      </c>
      <c r="R605" t="s">
        <v>2851</v>
      </c>
      <c r="S605" t="s">
        <v>129</v>
      </c>
      <c r="T605" s="52"/>
    </row>
    <row r="606" spans="1:20" x14ac:dyDescent="0.3">
      <c r="A606" t="s">
        <v>53</v>
      </c>
      <c r="B606" s="48">
        <v>46023</v>
      </c>
      <c r="C606" s="26"/>
      <c r="I606" t="s">
        <v>2864</v>
      </c>
      <c r="J606" t="s">
        <v>2865</v>
      </c>
      <c r="K606" t="s">
        <v>59</v>
      </c>
      <c r="L606" t="s">
        <v>1373</v>
      </c>
      <c r="M606" t="s">
        <v>1374</v>
      </c>
      <c r="N606" t="s">
        <v>59</v>
      </c>
      <c r="O606" t="s">
        <v>143</v>
      </c>
      <c r="P606" t="s">
        <v>144</v>
      </c>
      <c r="Q606">
        <v>27</v>
      </c>
      <c r="R606" t="s">
        <v>2851</v>
      </c>
      <c r="S606" t="s">
        <v>129</v>
      </c>
      <c r="T606" s="52"/>
    </row>
    <row r="607" spans="1:20" x14ac:dyDescent="0.3">
      <c r="A607" t="s">
        <v>53</v>
      </c>
      <c r="B607" s="48">
        <v>46023</v>
      </c>
      <c r="C607" s="26"/>
      <c r="I607" t="s">
        <v>2866</v>
      </c>
      <c r="J607" t="s">
        <v>2867</v>
      </c>
      <c r="K607" t="s">
        <v>59</v>
      </c>
      <c r="L607" t="s">
        <v>1373</v>
      </c>
      <c r="M607" t="s">
        <v>1374</v>
      </c>
      <c r="N607" t="s">
        <v>59</v>
      </c>
      <c r="O607" t="s">
        <v>143</v>
      </c>
      <c r="P607" t="s">
        <v>144</v>
      </c>
      <c r="Q607">
        <v>6</v>
      </c>
      <c r="R607" t="s">
        <v>2851</v>
      </c>
      <c r="S607" t="s">
        <v>129</v>
      </c>
      <c r="T607" s="52"/>
    </row>
    <row r="608" spans="1:20" x14ac:dyDescent="0.3">
      <c r="A608" t="s">
        <v>53</v>
      </c>
      <c r="B608" s="48">
        <v>46023</v>
      </c>
      <c r="C608" s="26"/>
      <c r="I608" t="s">
        <v>2868</v>
      </c>
      <c r="J608" t="s">
        <v>2869</v>
      </c>
      <c r="K608" t="s">
        <v>59</v>
      </c>
      <c r="L608" t="s">
        <v>1373</v>
      </c>
      <c r="M608" t="s">
        <v>1374</v>
      </c>
      <c r="N608" t="s">
        <v>59</v>
      </c>
      <c r="O608" t="s">
        <v>143</v>
      </c>
      <c r="P608" t="s">
        <v>144</v>
      </c>
      <c r="Q608">
        <v>28</v>
      </c>
      <c r="R608" t="s">
        <v>2851</v>
      </c>
      <c r="S608" t="s">
        <v>129</v>
      </c>
      <c r="T608" s="52"/>
    </row>
    <row r="609" spans="1:20" x14ac:dyDescent="0.3">
      <c r="A609" t="s">
        <v>53</v>
      </c>
      <c r="B609" s="48">
        <v>46023</v>
      </c>
      <c r="C609" s="26"/>
      <c r="I609" t="s">
        <v>2870</v>
      </c>
      <c r="J609" t="s">
        <v>2871</v>
      </c>
      <c r="K609" t="s">
        <v>59</v>
      </c>
      <c r="L609" t="s">
        <v>1373</v>
      </c>
      <c r="M609" t="s">
        <v>1374</v>
      </c>
      <c r="N609" t="s">
        <v>59</v>
      </c>
      <c r="O609" t="s">
        <v>143</v>
      </c>
      <c r="P609" t="s">
        <v>144</v>
      </c>
      <c r="Q609">
        <v>28</v>
      </c>
      <c r="R609" t="s">
        <v>2851</v>
      </c>
      <c r="S609" t="s">
        <v>129</v>
      </c>
      <c r="T609" s="52"/>
    </row>
    <row r="610" spans="1:20" x14ac:dyDescent="0.3">
      <c r="A610" t="s">
        <v>53</v>
      </c>
      <c r="B610" s="48">
        <v>46023</v>
      </c>
      <c r="C610" s="26"/>
      <c r="I610" t="s">
        <v>2872</v>
      </c>
      <c r="J610" t="s">
        <v>2873</v>
      </c>
      <c r="K610" t="s">
        <v>59</v>
      </c>
      <c r="L610" t="s">
        <v>1373</v>
      </c>
      <c r="M610" t="s">
        <v>1374</v>
      </c>
      <c r="N610" t="s">
        <v>59</v>
      </c>
      <c r="O610" t="s">
        <v>143</v>
      </c>
      <c r="P610" t="s">
        <v>144</v>
      </c>
      <c r="Q610">
        <v>14</v>
      </c>
      <c r="R610" t="s">
        <v>2851</v>
      </c>
      <c r="S610" t="s">
        <v>129</v>
      </c>
      <c r="T610" s="52"/>
    </row>
    <row r="611" spans="1:20" x14ac:dyDescent="0.3">
      <c r="A611" t="s">
        <v>53</v>
      </c>
      <c r="B611" s="48">
        <v>46023</v>
      </c>
      <c r="C611" s="26"/>
      <c r="I611" t="s">
        <v>2874</v>
      </c>
      <c r="J611" t="s">
        <v>2875</v>
      </c>
      <c r="K611" t="s">
        <v>59</v>
      </c>
      <c r="L611" t="s">
        <v>1373</v>
      </c>
      <c r="M611" t="s">
        <v>1374</v>
      </c>
      <c r="N611" t="s">
        <v>59</v>
      </c>
      <c r="O611" t="s">
        <v>143</v>
      </c>
      <c r="P611" t="s">
        <v>144</v>
      </c>
      <c r="Q611">
        <v>10</v>
      </c>
      <c r="R611" t="s">
        <v>2851</v>
      </c>
      <c r="S611" t="s">
        <v>129</v>
      </c>
      <c r="T611" s="52"/>
    </row>
    <row r="612" spans="1:20" x14ac:dyDescent="0.3">
      <c r="A612" t="s">
        <v>53</v>
      </c>
      <c r="B612" s="48">
        <v>46023</v>
      </c>
      <c r="C612" s="26"/>
      <c r="I612" t="s">
        <v>2876</v>
      </c>
      <c r="J612" t="s">
        <v>2877</v>
      </c>
      <c r="K612" t="s">
        <v>59</v>
      </c>
      <c r="L612" t="s">
        <v>1373</v>
      </c>
      <c r="M612" t="s">
        <v>1374</v>
      </c>
      <c r="N612" t="s">
        <v>59</v>
      </c>
      <c r="O612" t="s">
        <v>143</v>
      </c>
      <c r="P612" t="s">
        <v>144</v>
      </c>
      <c r="Q612">
        <v>5</v>
      </c>
      <c r="R612" t="s">
        <v>2851</v>
      </c>
      <c r="S612" t="s">
        <v>129</v>
      </c>
      <c r="T612" s="52"/>
    </row>
    <row r="613" spans="1:20" x14ac:dyDescent="0.3">
      <c r="A613" t="s">
        <v>53</v>
      </c>
      <c r="B613" s="48">
        <v>46023</v>
      </c>
      <c r="C613" s="26"/>
      <c r="I613" t="s">
        <v>2878</v>
      </c>
      <c r="J613" t="s">
        <v>2879</v>
      </c>
      <c r="K613" t="s">
        <v>59</v>
      </c>
      <c r="L613" t="s">
        <v>1373</v>
      </c>
      <c r="M613" t="s">
        <v>1374</v>
      </c>
      <c r="N613" t="s">
        <v>59</v>
      </c>
      <c r="O613" t="s">
        <v>143</v>
      </c>
      <c r="P613" t="s">
        <v>144</v>
      </c>
      <c r="Q613">
        <v>5</v>
      </c>
      <c r="R613" t="s">
        <v>2851</v>
      </c>
      <c r="S613" t="s">
        <v>129</v>
      </c>
      <c r="T613" s="52"/>
    </row>
    <row r="614" spans="1:20" x14ac:dyDescent="0.3">
      <c r="A614" t="s">
        <v>53</v>
      </c>
      <c r="B614" s="48">
        <v>46023</v>
      </c>
      <c r="C614" s="26"/>
      <c r="I614" t="s">
        <v>2880</v>
      </c>
      <c r="J614" t="s">
        <v>2881</v>
      </c>
      <c r="K614" t="s">
        <v>59</v>
      </c>
      <c r="L614" t="s">
        <v>1373</v>
      </c>
      <c r="M614" t="s">
        <v>1374</v>
      </c>
      <c r="N614" t="s">
        <v>59</v>
      </c>
      <c r="O614" t="s">
        <v>143</v>
      </c>
      <c r="P614" t="s">
        <v>144</v>
      </c>
      <c r="Q614">
        <v>28</v>
      </c>
      <c r="R614" t="s">
        <v>2851</v>
      </c>
      <c r="S614" t="s">
        <v>1632</v>
      </c>
      <c r="T614" s="52"/>
    </row>
    <row r="615" spans="1:20" x14ac:dyDescent="0.3">
      <c r="A615" t="s">
        <v>53</v>
      </c>
      <c r="B615" s="48">
        <v>46023</v>
      </c>
      <c r="C615" s="26"/>
      <c r="I615" t="s">
        <v>2882</v>
      </c>
      <c r="J615" t="s">
        <v>2883</v>
      </c>
      <c r="K615" t="s">
        <v>59</v>
      </c>
      <c r="L615" t="s">
        <v>1373</v>
      </c>
      <c r="M615" t="s">
        <v>1374</v>
      </c>
      <c r="N615" t="s">
        <v>59</v>
      </c>
      <c r="O615" t="s">
        <v>143</v>
      </c>
      <c r="P615" t="s">
        <v>144</v>
      </c>
      <c r="Q615">
        <v>125</v>
      </c>
      <c r="R615" t="s">
        <v>2851</v>
      </c>
      <c r="S615" t="s">
        <v>1632</v>
      </c>
      <c r="T615" s="52"/>
    </row>
    <row r="616" spans="1:20" x14ac:dyDescent="0.3">
      <c r="A616" t="s">
        <v>53</v>
      </c>
      <c r="B616" s="48">
        <v>46023</v>
      </c>
      <c r="C616" s="26"/>
      <c r="I616" t="s">
        <v>2884</v>
      </c>
      <c r="J616" t="s">
        <v>2885</v>
      </c>
      <c r="K616" t="s">
        <v>59</v>
      </c>
      <c r="L616" t="s">
        <v>1373</v>
      </c>
      <c r="M616" t="s">
        <v>1374</v>
      </c>
      <c r="N616" t="s">
        <v>59</v>
      </c>
      <c r="O616" t="s">
        <v>143</v>
      </c>
      <c r="P616" t="s">
        <v>144</v>
      </c>
      <c r="Q616">
        <v>50</v>
      </c>
      <c r="R616" t="s">
        <v>2402</v>
      </c>
      <c r="S616" t="s">
        <v>1632</v>
      </c>
      <c r="T616" s="52"/>
    </row>
    <row r="617" spans="1:20" x14ac:dyDescent="0.3">
      <c r="A617" t="s">
        <v>53</v>
      </c>
      <c r="B617" s="48">
        <v>46023</v>
      </c>
      <c r="C617" s="26"/>
      <c r="I617" t="s">
        <v>2886</v>
      </c>
      <c r="J617" t="s">
        <v>2887</v>
      </c>
      <c r="K617" t="s">
        <v>59</v>
      </c>
      <c r="L617" t="s">
        <v>1373</v>
      </c>
      <c r="M617" t="s">
        <v>1374</v>
      </c>
      <c r="N617" t="s">
        <v>59</v>
      </c>
      <c r="O617" t="s">
        <v>143</v>
      </c>
      <c r="P617" t="s">
        <v>144</v>
      </c>
      <c r="Q617">
        <v>87</v>
      </c>
      <c r="R617" t="s">
        <v>2402</v>
      </c>
      <c r="S617" t="s">
        <v>1632</v>
      </c>
      <c r="T617" s="52"/>
    </row>
    <row r="618" spans="1:20" x14ac:dyDescent="0.3">
      <c r="A618" t="s">
        <v>53</v>
      </c>
      <c r="B618" s="48">
        <v>46023</v>
      </c>
      <c r="C618" s="26"/>
      <c r="I618" t="s">
        <v>2888</v>
      </c>
      <c r="J618" t="s">
        <v>2889</v>
      </c>
      <c r="K618" t="s">
        <v>59</v>
      </c>
      <c r="L618" t="s">
        <v>1373</v>
      </c>
      <c r="M618" t="s">
        <v>1374</v>
      </c>
      <c r="N618" t="s">
        <v>59</v>
      </c>
      <c r="O618" t="s">
        <v>143</v>
      </c>
      <c r="P618" t="s">
        <v>144</v>
      </c>
      <c r="Q618">
        <v>16</v>
      </c>
      <c r="R618" t="s">
        <v>2402</v>
      </c>
      <c r="S618" t="s">
        <v>1632</v>
      </c>
      <c r="T618" s="52"/>
    </row>
    <row r="619" spans="1:20" x14ac:dyDescent="0.3">
      <c r="A619" t="s">
        <v>53</v>
      </c>
      <c r="B619" s="48">
        <v>46023</v>
      </c>
      <c r="C619" s="26"/>
      <c r="I619" t="s">
        <v>2890</v>
      </c>
      <c r="J619" t="s">
        <v>2891</v>
      </c>
      <c r="K619" t="s">
        <v>59</v>
      </c>
      <c r="L619" t="s">
        <v>1373</v>
      </c>
      <c r="M619" t="s">
        <v>1374</v>
      </c>
      <c r="N619" t="s">
        <v>59</v>
      </c>
      <c r="O619" t="s">
        <v>143</v>
      </c>
      <c r="P619" t="s">
        <v>144</v>
      </c>
      <c r="Q619">
        <v>72</v>
      </c>
      <c r="R619" t="s">
        <v>2402</v>
      </c>
      <c r="S619" t="s">
        <v>1632</v>
      </c>
      <c r="T619" s="52"/>
    </row>
    <row r="620" spans="1:20" x14ac:dyDescent="0.3">
      <c r="A620" t="s">
        <v>53</v>
      </c>
      <c r="B620" s="48">
        <v>46023</v>
      </c>
      <c r="C620" s="26"/>
      <c r="I620" t="s">
        <v>2892</v>
      </c>
      <c r="J620" t="s">
        <v>2883</v>
      </c>
      <c r="K620" t="s">
        <v>59</v>
      </c>
      <c r="L620" t="s">
        <v>1373</v>
      </c>
      <c r="M620" t="s">
        <v>1631</v>
      </c>
      <c r="N620" t="s">
        <v>59</v>
      </c>
      <c r="O620" t="s">
        <v>143</v>
      </c>
      <c r="P620" t="s">
        <v>144</v>
      </c>
      <c r="Q620">
        <v>21</v>
      </c>
      <c r="R620" t="s">
        <v>2402</v>
      </c>
      <c r="S620" t="s">
        <v>1632</v>
      </c>
      <c r="T620" s="52"/>
    </row>
    <row r="621" spans="1:20" x14ac:dyDescent="0.3">
      <c r="A621" t="s">
        <v>53</v>
      </c>
      <c r="B621" s="48">
        <v>46023</v>
      </c>
      <c r="C621" s="26"/>
      <c r="I621" t="s">
        <v>2893</v>
      </c>
      <c r="J621" t="s">
        <v>2894</v>
      </c>
      <c r="K621" t="s">
        <v>59</v>
      </c>
      <c r="L621" t="s">
        <v>1373</v>
      </c>
      <c r="M621" t="s">
        <v>1631</v>
      </c>
      <c r="N621" t="s">
        <v>59</v>
      </c>
      <c r="O621" t="s">
        <v>143</v>
      </c>
      <c r="P621" t="s">
        <v>144</v>
      </c>
      <c r="Q621">
        <v>5</v>
      </c>
      <c r="R621" t="s">
        <v>2402</v>
      </c>
      <c r="S621" t="s">
        <v>1632</v>
      </c>
      <c r="T621" s="52"/>
    </row>
    <row r="622" spans="1:20" x14ac:dyDescent="0.3">
      <c r="A622" t="s">
        <v>53</v>
      </c>
      <c r="B622" s="48">
        <v>46023</v>
      </c>
      <c r="C622" s="26"/>
      <c r="I622" t="s">
        <v>2895</v>
      </c>
      <c r="J622" t="s">
        <v>2896</v>
      </c>
      <c r="K622" t="s">
        <v>59</v>
      </c>
      <c r="L622" t="s">
        <v>1373</v>
      </c>
      <c r="M622" t="s">
        <v>1631</v>
      </c>
      <c r="N622" t="s">
        <v>59</v>
      </c>
      <c r="O622" t="s">
        <v>143</v>
      </c>
      <c r="P622" t="s">
        <v>144</v>
      </c>
      <c r="Q622">
        <v>5</v>
      </c>
      <c r="R622" t="s">
        <v>2402</v>
      </c>
      <c r="S622" t="s">
        <v>1632</v>
      </c>
      <c r="T622" s="52"/>
    </row>
    <row r="623" spans="1:20" x14ac:dyDescent="0.3">
      <c r="A623" t="s">
        <v>53</v>
      </c>
      <c r="B623" s="48">
        <v>46023</v>
      </c>
      <c r="C623" s="26"/>
      <c r="I623" t="s">
        <v>2897</v>
      </c>
      <c r="J623" t="s">
        <v>2898</v>
      </c>
      <c r="K623" t="s">
        <v>59</v>
      </c>
      <c r="L623" t="s">
        <v>1373</v>
      </c>
      <c r="M623" t="s">
        <v>1631</v>
      </c>
      <c r="N623" t="s">
        <v>59</v>
      </c>
      <c r="O623" t="s">
        <v>116</v>
      </c>
      <c r="P623" t="s">
        <v>144</v>
      </c>
      <c r="Q623">
        <v>2</v>
      </c>
      <c r="R623" t="s">
        <v>2402</v>
      </c>
      <c r="S623" t="s">
        <v>1632</v>
      </c>
      <c r="T623" s="52"/>
    </row>
    <row r="624" spans="1:20" x14ac:dyDescent="0.3">
      <c r="A624" t="s">
        <v>53</v>
      </c>
      <c r="B624" s="48">
        <v>46023</v>
      </c>
      <c r="C624" s="26"/>
      <c r="I624" t="s">
        <v>2899</v>
      </c>
      <c r="J624" t="s">
        <v>2900</v>
      </c>
      <c r="K624" t="s">
        <v>59</v>
      </c>
      <c r="L624" t="s">
        <v>1373</v>
      </c>
      <c r="M624" t="s">
        <v>1631</v>
      </c>
      <c r="N624" t="s">
        <v>59</v>
      </c>
      <c r="O624" t="s">
        <v>143</v>
      </c>
      <c r="P624" t="s">
        <v>144</v>
      </c>
      <c r="Q624">
        <v>2</v>
      </c>
      <c r="R624" t="s">
        <v>2402</v>
      </c>
      <c r="S624" t="s">
        <v>1632</v>
      </c>
      <c r="T624" s="52"/>
    </row>
    <row r="625" spans="1:20" x14ac:dyDescent="0.3">
      <c r="A625" t="s">
        <v>53</v>
      </c>
      <c r="B625" s="48">
        <v>46023</v>
      </c>
      <c r="C625" s="26"/>
      <c r="I625" t="s">
        <v>2901</v>
      </c>
      <c r="J625" t="s">
        <v>2902</v>
      </c>
      <c r="K625" t="s">
        <v>59</v>
      </c>
      <c r="L625" t="s">
        <v>1373</v>
      </c>
      <c r="M625" t="s">
        <v>1631</v>
      </c>
      <c r="N625" t="s">
        <v>59</v>
      </c>
      <c r="O625" t="s">
        <v>143</v>
      </c>
      <c r="P625" t="s">
        <v>144</v>
      </c>
      <c r="Q625">
        <v>12</v>
      </c>
      <c r="R625" t="s">
        <v>2402</v>
      </c>
      <c r="S625" t="s">
        <v>1632</v>
      </c>
      <c r="T625" s="52"/>
    </row>
    <row r="626" spans="1:20" x14ac:dyDescent="0.3">
      <c r="A626" t="s">
        <v>53</v>
      </c>
      <c r="B626" s="48">
        <v>46023</v>
      </c>
      <c r="C626" s="26"/>
      <c r="I626" t="s">
        <v>2903</v>
      </c>
      <c r="J626" t="s">
        <v>2904</v>
      </c>
      <c r="K626" t="s">
        <v>2905</v>
      </c>
      <c r="L626" t="s">
        <v>1373</v>
      </c>
      <c r="M626" t="s">
        <v>1631</v>
      </c>
      <c r="N626" t="s">
        <v>59</v>
      </c>
      <c r="O626" t="s">
        <v>143</v>
      </c>
      <c r="P626" t="s">
        <v>144</v>
      </c>
      <c r="Q626">
        <v>2</v>
      </c>
      <c r="R626" t="s">
        <v>2402</v>
      </c>
      <c r="S626" t="s">
        <v>1632</v>
      </c>
      <c r="T626" s="52"/>
    </row>
    <row r="627" spans="1:20" x14ac:dyDescent="0.3">
      <c r="A627" t="s">
        <v>53</v>
      </c>
      <c r="B627" s="48">
        <v>46023</v>
      </c>
      <c r="C627" s="26"/>
      <c r="I627" t="s">
        <v>2906</v>
      </c>
      <c r="J627" t="s">
        <v>2904</v>
      </c>
      <c r="K627" t="s">
        <v>2907</v>
      </c>
      <c r="L627" t="s">
        <v>1373</v>
      </c>
      <c r="M627" t="s">
        <v>1631</v>
      </c>
      <c r="N627" t="s">
        <v>59</v>
      </c>
      <c r="O627" t="s">
        <v>143</v>
      </c>
      <c r="P627" t="s">
        <v>144</v>
      </c>
      <c r="Q627">
        <v>6</v>
      </c>
      <c r="R627" t="s">
        <v>2402</v>
      </c>
      <c r="S627" t="s">
        <v>1632</v>
      </c>
      <c r="T627" s="52"/>
    </row>
    <row r="628" spans="1:20" x14ac:dyDescent="0.3">
      <c r="A628" t="s">
        <v>53</v>
      </c>
      <c r="B628" s="48">
        <v>46023</v>
      </c>
      <c r="C628" s="26"/>
      <c r="I628" t="s">
        <v>2908</v>
      </c>
      <c r="J628" t="s">
        <v>2909</v>
      </c>
      <c r="K628" t="s">
        <v>2907</v>
      </c>
      <c r="L628" t="s">
        <v>1373</v>
      </c>
      <c r="M628" t="s">
        <v>1631</v>
      </c>
      <c r="N628" t="s">
        <v>59</v>
      </c>
      <c r="O628" t="s">
        <v>143</v>
      </c>
      <c r="P628" t="s">
        <v>144</v>
      </c>
      <c r="Q628">
        <v>8</v>
      </c>
      <c r="R628" t="s">
        <v>2402</v>
      </c>
      <c r="S628" t="s">
        <v>1632</v>
      </c>
      <c r="T628" s="52"/>
    </row>
    <row r="629" spans="1:20" x14ac:dyDescent="0.3">
      <c r="A629" t="s">
        <v>53</v>
      </c>
      <c r="B629" s="48">
        <v>46023</v>
      </c>
      <c r="C629" s="26"/>
      <c r="I629" t="s">
        <v>2910</v>
      </c>
      <c r="J629" t="s">
        <v>2904</v>
      </c>
      <c r="K629" t="s">
        <v>2911</v>
      </c>
      <c r="L629" t="s">
        <v>1373</v>
      </c>
      <c r="M629" t="s">
        <v>1631</v>
      </c>
      <c r="N629" t="s">
        <v>59</v>
      </c>
      <c r="O629" t="s">
        <v>143</v>
      </c>
      <c r="P629" t="s">
        <v>144</v>
      </c>
      <c r="Q629">
        <v>4</v>
      </c>
      <c r="R629" t="s">
        <v>2402</v>
      </c>
      <c r="S629" t="s">
        <v>1632</v>
      </c>
      <c r="T629" s="52"/>
    </row>
    <row r="630" spans="1:20" x14ac:dyDescent="0.3">
      <c r="A630" t="s">
        <v>53</v>
      </c>
      <c r="B630" s="48">
        <v>46023</v>
      </c>
      <c r="C630" s="26"/>
      <c r="I630" t="s">
        <v>2912</v>
      </c>
      <c r="J630" t="s">
        <v>2913</v>
      </c>
      <c r="K630" t="s">
        <v>2914</v>
      </c>
      <c r="L630" t="s">
        <v>1373</v>
      </c>
      <c r="M630" t="s">
        <v>1631</v>
      </c>
      <c r="N630" t="s">
        <v>59</v>
      </c>
      <c r="O630" t="s">
        <v>143</v>
      </c>
      <c r="P630" t="s">
        <v>144</v>
      </c>
      <c r="Q630">
        <v>2</v>
      </c>
      <c r="R630" t="s">
        <v>2402</v>
      </c>
      <c r="S630" t="s">
        <v>1632</v>
      </c>
      <c r="T630" s="52"/>
    </row>
    <row r="631" spans="1:20" x14ac:dyDescent="0.3">
      <c r="A631" t="s">
        <v>53</v>
      </c>
      <c r="B631" s="48">
        <v>46023</v>
      </c>
      <c r="C631" s="26"/>
      <c r="I631" t="s">
        <v>2915</v>
      </c>
      <c r="J631" t="s">
        <v>2916</v>
      </c>
      <c r="K631" t="s">
        <v>2914</v>
      </c>
      <c r="L631" t="s">
        <v>1373</v>
      </c>
      <c r="M631" t="s">
        <v>1631</v>
      </c>
      <c r="N631" t="s">
        <v>59</v>
      </c>
      <c r="O631" t="s">
        <v>143</v>
      </c>
      <c r="P631" t="s">
        <v>144</v>
      </c>
      <c r="Q631">
        <v>1</v>
      </c>
      <c r="R631" t="s">
        <v>2402</v>
      </c>
      <c r="S631" t="s">
        <v>1632</v>
      </c>
      <c r="T631" s="52"/>
    </row>
    <row r="632" spans="1:20" x14ac:dyDescent="0.3">
      <c r="A632" t="s">
        <v>53</v>
      </c>
      <c r="B632" s="48">
        <v>46023</v>
      </c>
      <c r="C632" s="26"/>
      <c r="I632" t="s">
        <v>2917</v>
      </c>
      <c r="J632" t="s">
        <v>2916</v>
      </c>
      <c r="K632" t="s">
        <v>59</v>
      </c>
      <c r="L632" t="s">
        <v>1373</v>
      </c>
      <c r="M632" t="s">
        <v>1631</v>
      </c>
      <c r="N632" t="s">
        <v>59</v>
      </c>
      <c r="O632" t="s">
        <v>143</v>
      </c>
      <c r="P632" t="s">
        <v>144</v>
      </c>
      <c r="Q632">
        <v>1</v>
      </c>
      <c r="R632" t="s">
        <v>2402</v>
      </c>
      <c r="S632" t="s">
        <v>1632</v>
      </c>
      <c r="T632" s="52"/>
    </row>
    <row r="633" spans="1:20" x14ac:dyDescent="0.3">
      <c r="A633" t="s">
        <v>53</v>
      </c>
      <c r="B633" s="48">
        <v>46023</v>
      </c>
      <c r="C633" s="26"/>
      <c r="I633" t="s">
        <v>2918</v>
      </c>
      <c r="J633" t="s">
        <v>2904</v>
      </c>
      <c r="K633" t="s">
        <v>2919</v>
      </c>
      <c r="L633" t="s">
        <v>1373</v>
      </c>
      <c r="M633" t="s">
        <v>1631</v>
      </c>
      <c r="N633" t="s">
        <v>59</v>
      </c>
      <c r="O633" t="s">
        <v>143</v>
      </c>
      <c r="P633" t="s">
        <v>144</v>
      </c>
      <c r="Q633">
        <v>1</v>
      </c>
      <c r="R633" t="s">
        <v>2402</v>
      </c>
      <c r="S633" t="s">
        <v>1632</v>
      </c>
      <c r="T633" s="52"/>
    </row>
    <row r="634" spans="1:20" x14ac:dyDescent="0.3">
      <c r="A634" t="s">
        <v>53</v>
      </c>
      <c r="B634" s="48">
        <v>46023</v>
      </c>
      <c r="C634" s="26"/>
      <c r="I634" t="s">
        <v>2920</v>
      </c>
      <c r="J634" t="s">
        <v>2921</v>
      </c>
      <c r="K634" t="s">
        <v>59</v>
      </c>
      <c r="L634" t="s">
        <v>1373</v>
      </c>
      <c r="M634" t="s">
        <v>1374</v>
      </c>
      <c r="N634" t="s">
        <v>59</v>
      </c>
      <c r="O634" t="s">
        <v>143</v>
      </c>
      <c r="P634" t="s">
        <v>144</v>
      </c>
      <c r="Q634">
        <v>32</v>
      </c>
      <c r="R634" t="s">
        <v>2851</v>
      </c>
      <c r="S634" t="s">
        <v>1632</v>
      </c>
      <c r="T634" s="52"/>
    </row>
    <row r="635" spans="1:20" x14ac:dyDescent="0.3">
      <c r="A635" t="s">
        <v>53</v>
      </c>
      <c r="B635" s="48">
        <v>46023</v>
      </c>
      <c r="C635" s="26"/>
      <c r="I635" t="s">
        <v>2922</v>
      </c>
      <c r="J635" t="s">
        <v>2923</v>
      </c>
      <c r="K635" t="s">
        <v>59</v>
      </c>
      <c r="L635" t="s">
        <v>1373</v>
      </c>
      <c r="M635" t="s">
        <v>1374</v>
      </c>
      <c r="N635" t="s">
        <v>59</v>
      </c>
      <c r="O635" t="s">
        <v>143</v>
      </c>
      <c r="P635" t="s">
        <v>144</v>
      </c>
      <c r="Q635">
        <v>43</v>
      </c>
      <c r="R635" t="s">
        <v>2851</v>
      </c>
      <c r="S635" t="s">
        <v>1632</v>
      </c>
      <c r="T635" s="52"/>
    </row>
    <row r="636" spans="1:20" x14ac:dyDescent="0.3">
      <c r="A636" t="s">
        <v>53</v>
      </c>
      <c r="B636" s="48">
        <v>46023</v>
      </c>
      <c r="C636" s="26"/>
      <c r="I636" t="s">
        <v>2924</v>
      </c>
      <c r="J636" t="s">
        <v>2925</v>
      </c>
      <c r="K636" t="s">
        <v>59</v>
      </c>
      <c r="L636" t="s">
        <v>1373</v>
      </c>
      <c r="M636" t="s">
        <v>1374</v>
      </c>
      <c r="N636" t="s">
        <v>59</v>
      </c>
      <c r="O636" t="s">
        <v>143</v>
      </c>
      <c r="P636" t="s">
        <v>144</v>
      </c>
      <c r="Q636">
        <v>3</v>
      </c>
      <c r="R636" t="s">
        <v>2851</v>
      </c>
      <c r="S636" t="s">
        <v>1632</v>
      </c>
      <c r="T636" s="52"/>
    </row>
    <row r="637" spans="1:20" x14ac:dyDescent="0.3">
      <c r="A637" t="s">
        <v>53</v>
      </c>
      <c r="B637" s="48">
        <v>46023</v>
      </c>
      <c r="C637" s="26"/>
      <c r="I637" t="s">
        <v>2926</v>
      </c>
      <c r="J637" t="s">
        <v>2927</v>
      </c>
      <c r="K637" t="s">
        <v>59</v>
      </c>
      <c r="L637" t="s">
        <v>1373</v>
      </c>
      <c r="M637" t="s">
        <v>1374</v>
      </c>
      <c r="N637" t="s">
        <v>59</v>
      </c>
      <c r="O637" t="s">
        <v>143</v>
      </c>
      <c r="P637" t="s">
        <v>144</v>
      </c>
      <c r="Q637">
        <v>220</v>
      </c>
      <c r="R637" t="s">
        <v>2851</v>
      </c>
      <c r="S637" t="s">
        <v>1487</v>
      </c>
      <c r="T637" s="52"/>
    </row>
    <row r="638" spans="1:20" x14ac:dyDescent="0.3">
      <c r="A638" t="s">
        <v>53</v>
      </c>
      <c r="B638" s="48">
        <v>46023</v>
      </c>
      <c r="C638" s="26"/>
      <c r="I638" t="s">
        <v>2928</v>
      </c>
      <c r="J638" t="s">
        <v>2929</v>
      </c>
      <c r="K638" t="s">
        <v>59</v>
      </c>
      <c r="L638" t="s">
        <v>1373</v>
      </c>
      <c r="M638" t="s">
        <v>1374</v>
      </c>
      <c r="N638" t="s">
        <v>59</v>
      </c>
      <c r="O638" t="s">
        <v>143</v>
      </c>
      <c r="P638" t="s">
        <v>144</v>
      </c>
      <c r="Q638">
        <v>127</v>
      </c>
      <c r="R638" t="s">
        <v>2851</v>
      </c>
      <c r="S638" t="s">
        <v>1487</v>
      </c>
      <c r="T638" s="52"/>
    </row>
    <row r="639" spans="1:20" x14ac:dyDescent="0.3">
      <c r="A639" t="s">
        <v>53</v>
      </c>
      <c r="B639" s="48">
        <v>46023</v>
      </c>
      <c r="C639" s="26"/>
      <c r="I639" t="s">
        <v>2930</v>
      </c>
      <c r="J639" t="s">
        <v>2931</v>
      </c>
      <c r="K639" t="s">
        <v>59</v>
      </c>
      <c r="L639" t="s">
        <v>1373</v>
      </c>
      <c r="M639" t="s">
        <v>1374</v>
      </c>
      <c r="N639" t="s">
        <v>59</v>
      </c>
      <c r="O639" t="s">
        <v>143</v>
      </c>
      <c r="P639" t="s">
        <v>144</v>
      </c>
      <c r="Q639">
        <v>101</v>
      </c>
      <c r="R639" t="s">
        <v>2851</v>
      </c>
      <c r="S639" t="s">
        <v>1487</v>
      </c>
      <c r="T639" s="52"/>
    </row>
    <row r="640" spans="1:20" x14ac:dyDescent="0.3">
      <c r="A640" t="s">
        <v>53</v>
      </c>
      <c r="B640" s="48">
        <v>46023</v>
      </c>
      <c r="C640" s="26"/>
      <c r="I640" t="s">
        <v>2932</v>
      </c>
      <c r="J640" t="s">
        <v>2933</v>
      </c>
      <c r="K640" t="s">
        <v>59</v>
      </c>
      <c r="L640" t="s">
        <v>1373</v>
      </c>
      <c r="M640" t="s">
        <v>1374</v>
      </c>
      <c r="N640" t="s">
        <v>59</v>
      </c>
      <c r="O640" t="s">
        <v>143</v>
      </c>
      <c r="P640" t="s">
        <v>144</v>
      </c>
      <c r="Q640">
        <v>1</v>
      </c>
      <c r="R640" t="s">
        <v>2851</v>
      </c>
      <c r="S640" t="s">
        <v>1487</v>
      </c>
      <c r="T640" s="52"/>
    </row>
    <row r="641" spans="1:20" x14ac:dyDescent="0.3">
      <c r="A641" t="s">
        <v>53</v>
      </c>
      <c r="B641" s="48">
        <v>46023</v>
      </c>
      <c r="C641" s="26"/>
      <c r="I641" t="s">
        <v>2934</v>
      </c>
      <c r="J641" t="s">
        <v>2935</v>
      </c>
      <c r="K641" t="s">
        <v>2936</v>
      </c>
      <c r="L641" t="s">
        <v>1373</v>
      </c>
      <c r="M641" t="s">
        <v>1374</v>
      </c>
      <c r="N641" t="s">
        <v>59</v>
      </c>
      <c r="O641" t="s">
        <v>143</v>
      </c>
      <c r="P641" t="s">
        <v>144</v>
      </c>
      <c r="Q641">
        <v>7</v>
      </c>
      <c r="R641" t="s">
        <v>2851</v>
      </c>
      <c r="S641" t="s">
        <v>1487</v>
      </c>
      <c r="T641" s="52"/>
    </row>
    <row r="642" spans="1:20" x14ac:dyDescent="0.3">
      <c r="A642" t="s">
        <v>53</v>
      </c>
      <c r="B642" s="48">
        <v>46023</v>
      </c>
      <c r="C642" s="26"/>
      <c r="I642" t="s">
        <v>2937</v>
      </c>
      <c r="J642" t="s">
        <v>2938</v>
      </c>
      <c r="K642" t="s">
        <v>59</v>
      </c>
      <c r="L642" t="s">
        <v>1373</v>
      </c>
      <c r="M642" t="s">
        <v>1374</v>
      </c>
      <c r="N642" t="s">
        <v>59</v>
      </c>
      <c r="O642" t="s">
        <v>116</v>
      </c>
      <c r="P642" t="s">
        <v>144</v>
      </c>
      <c r="Q642">
        <v>1</v>
      </c>
      <c r="R642" t="s">
        <v>2402</v>
      </c>
      <c r="S642" t="s">
        <v>1632</v>
      </c>
      <c r="T642" s="52"/>
    </row>
    <row r="643" spans="1:20" x14ac:dyDescent="0.3">
      <c r="A643" t="s">
        <v>53</v>
      </c>
      <c r="B643" s="48">
        <v>46023</v>
      </c>
      <c r="C643" s="26"/>
      <c r="I643" t="s">
        <v>2939</v>
      </c>
      <c r="J643" t="s">
        <v>2940</v>
      </c>
      <c r="K643" t="s">
        <v>59</v>
      </c>
      <c r="L643" t="s">
        <v>1373</v>
      </c>
      <c r="M643" t="s">
        <v>1374</v>
      </c>
      <c r="N643" t="s">
        <v>59</v>
      </c>
      <c r="O643" t="s">
        <v>116</v>
      </c>
      <c r="P643" t="s">
        <v>144</v>
      </c>
      <c r="Q643">
        <v>1</v>
      </c>
      <c r="R643" t="s">
        <v>2402</v>
      </c>
      <c r="S643" t="s">
        <v>1632</v>
      </c>
      <c r="T643" s="52"/>
    </row>
    <row r="644" spans="1:20" x14ac:dyDescent="0.3">
      <c r="A644" t="s">
        <v>53</v>
      </c>
      <c r="B644" s="48">
        <v>46023</v>
      </c>
      <c r="C644" s="26"/>
      <c r="I644" t="s">
        <v>2941</v>
      </c>
      <c r="J644" t="s">
        <v>2942</v>
      </c>
      <c r="K644" t="s">
        <v>59</v>
      </c>
      <c r="L644" t="s">
        <v>1373</v>
      </c>
      <c r="M644" t="s">
        <v>1374</v>
      </c>
      <c r="N644" t="s">
        <v>59</v>
      </c>
      <c r="O644" t="s">
        <v>116</v>
      </c>
      <c r="P644" t="s">
        <v>144</v>
      </c>
      <c r="Q644">
        <v>3</v>
      </c>
      <c r="R644" t="s">
        <v>2402</v>
      </c>
      <c r="S644" t="s">
        <v>1632</v>
      </c>
      <c r="T644" s="52"/>
    </row>
    <row r="645" spans="1:20" x14ac:dyDescent="0.3">
      <c r="A645" t="s">
        <v>53</v>
      </c>
      <c r="B645" s="48">
        <v>46023</v>
      </c>
      <c r="C645" s="26"/>
      <c r="I645" t="s">
        <v>2943</v>
      </c>
      <c r="J645" t="s">
        <v>2944</v>
      </c>
      <c r="K645" t="s">
        <v>59</v>
      </c>
      <c r="L645" t="s">
        <v>1373</v>
      </c>
      <c r="M645" t="s">
        <v>1374</v>
      </c>
      <c r="N645" t="s">
        <v>59</v>
      </c>
      <c r="O645" t="s">
        <v>116</v>
      </c>
      <c r="P645" t="s">
        <v>144</v>
      </c>
      <c r="Q645">
        <v>3</v>
      </c>
      <c r="R645" t="s">
        <v>2402</v>
      </c>
      <c r="S645" t="s">
        <v>1632</v>
      </c>
      <c r="T645" s="52"/>
    </row>
    <row r="646" spans="1:20" x14ac:dyDescent="0.3">
      <c r="A646" t="s">
        <v>53</v>
      </c>
      <c r="B646" s="48">
        <v>46023</v>
      </c>
      <c r="C646" s="26"/>
      <c r="I646" t="s">
        <v>2945</v>
      </c>
      <c r="J646" t="s">
        <v>2946</v>
      </c>
      <c r="K646" t="s">
        <v>59</v>
      </c>
      <c r="L646" t="s">
        <v>1373</v>
      </c>
      <c r="M646" t="s">
        <v>1374</v>
      </c>
      <c r="N646" t="s">
        <v>59</v>
      </c>
      <c r="O646" t="s">
        <v>116</v>
      </c>
      <c r="P646" t="s">
        <v>144</v>
      </c>
      <c r="Q646">
        <v>1</v>
      </c>
      <c r="R646" t="s">
        <v>2402</v>
      </c>
      <c r="S646" t="s">
        <v>1632</v>
      </c>
      <c r="T646" s="52"/>
    </row>
    <row r="647" spans="1:20" x14ac:dyDescent="0.3">
      <c r="A647" t="s">
        <v>53</v>
      </c>
      <c r="B647" s="48">
        <v>46023</v>
      </c>
      <c r="C647" s="26"/>
      <c r="I647" t="s">
        <v>2947</v>
      </c>
      <c r="J647" t="s">
        <v>2938</v>
      </c>
      <c r="K647" t="s">
        <v>59</v>
      </c>
      <c r="L647" t="s">
        <v>1373</v>
      </c>
      <c r="M647" t="s">
        <v>1374</v>
      </c>
      <c r="N647" t="s">
        <v>59</v>
      </c>
      <c r="O647" t="s">
        <v>116</v>
      </c>
      <c r="P647" t="s">
        <v>144</v>
      </c>
      <c r="Q647">
        <v>1</v>
      </c>
      <c r="R647" t="s">
        <v>2402</v>
      </c>
      <c r="S647" t="s">
        <v>1632</v>
      </c>
      <c r="T647" s="52"/>
    </row>
    <row r="648" spans="1:20" x14ac:dyDescent="0.3">
      <c r="A648" t="s">
        <v>53</v>
      </c>
      <c r="B648" s="48">
        <v>46023</v>
      </c>
      <c r="C648" s="26"/>
      <c r="I648" t="s">
        <v>2948</v>
      </c>
      <c r="J648" t="s">
        <v>2949</v>
      </c>
      <c r="K648" t="s">
        <v>59</v>
      </c>
      <c r="L648" t="s">
        <v>1373</v>
      </c>
      <c r="M648" t="s">
        <v>1374</v>
      </c>
      <c r="N648" t="s">
        <v>59</v>
      </c>
      <c r="O648" t="s">
        <v>116</v>
      </c>
      <c r="P648" t="s">
        <v>144</v>
      </c>
      <c r="Q648">
        <v>1</v>
      </c>
      <c r="R648" t="s">
        <v>2402</v>
      </c>
      <c r="S648" t="s">
        <v>1632</v>
      </c>
      <c r="T648" s="52"/>
    </row>
    <row r="649" spans="1:20" x14ac:dyDescent="0.3">
      <c r="A649" t="s">
        <v>53</v>
      </c>
      <c r="B649" s="48">
        <v>46023</v>
      </c>
      <c r="C649" s="26"/>
      <c r="I649" t="s">
        <v>2950</v>
      </c>
      <c r="J649" t="s">
        <v>2949</v>
      </c>
      <c r="K649" t="s">
        <v>59</v>
      </c>
      <c r="L649" t="s">
        <v>1373</v>
      </c>
      <c r="M649" t="s">
        <v>1374</v>
      </c>
      <c r="N649" t="s">
        <v>59</v>
      </c>
      <c r="O649" t="s">
        <v>116</v>
      </c>
      <c r="P649" t="s">
        <v>144</v>
      </c>
      <c r="Q649">
        <v>1</v>
      </c>
      <c r="R649" t="s">
        <v>2402</v>
      </c>
      <c r="S649" t="s">
        <v>1632</v>
      </c>
      <c r="T649" s="52"/>
    </row>
    <row r="650" spans="1:20" x14ac:dyDescent="0.3">
      <c r="A650" t="s">
        <v>53</v>
      </c>
      <c r="B650" s="48">
        <v>46023</v>
      </c>
      <c r="C650" s="26"/>
      <c r="I650" t="s">
        <v>2951</v>
      </c>
      <c r="J650" t="s">
        <v>2952</v>
      </c>
      <c r="K650" t="s">
        <v>59</v>
      </c>
      <c r="L650" t="s">
        <v>1373</v>
      </c>
      <c r="M650" t="s">
        <v>1374</v>
      </c>
      <c r="N650" t="s">
        <v>59</v>
      </c>
      <c r="O650" t="s">
        <v>116</v>
      </c>
      <c r="P650" t="s">
        <v>144</v>
      </c>
      <c r="Q650">
        <v>7</v>
      </c>
      <c r="R650" t="s">
        <v>2402</v>
      </c>
      <c r="S650" t="s">
        <v>1632</v>
      </c>
      <c r="T650" s="52"/>
    </row>
    <row r="651" spans="1:20" x14ac:dyDescent="0.3">
      <c r="A651" t="s">
        <v>53</v>
      </c>
      <c r="B651" s="48">
        <v>46023</v>
      </c>
      <c r="C651" s="26"/>
      <c r="I651" t="s">
        <v>2953</v>
      </c>
      <c r="J651" t="s">
        <v>2954</v>
      </c>
      <c r="K651" t="s">
        <v>59</v>
      </c>
      <c r="L651" t="s">
        <v>1373</v>
      </c>
      <c r="M651" t="s">
        <v>1374</v>
      </c>
      <c r="N651" t="s">
        <v>59</v>
      </c>
      <c r="O651" t="s">
        <v>116</v>
      </c>
      <c r="P651" t="s">
        <v>144</v>
      </c>
      <c r="Q651">
        <v>2</v>
      </c>
      <c r="R651" t="s">
        <v>2402</v>
      </c>
      <c r="S651" t="s">
        <v>1632</v>
      </c>
      <c r="T651" s="52"/>
    </row>
    <row r="652" spans="1:20" x14ac:dyDescent="0.3">
      <c r="A652" t="s">
        <v>53</v>
      </c>
      <c r="B652" s="48">
        <v>46023</v>
      </c>
      <c r="C652" s="26"/>
      <c r="I652" t="s">
        <v>2955</v>
      </c>
      <c r="J652" t="s">
        <v>2956</v>
      </c>
      <c r="K652" t="s">
        <v>59</v>
      </c>
      <c r="L652" t="s">
        <v>1373</v>
      </c>
      <c r="M652" t="s">
        <v>1374</v>
      </c>
      <c r="N652" t="s">
        <v>59</v>
      </c>
      <c r="O652" t="s">
        <v>116</v>
      </c>
      <c r="P652" t="s">
        <v>144</v>
      </c>
      <c r="Q652">
        <v>1</v>
      </c>
      <c r="R652" t="s">
        <v>2402</v>
      </c>
      <c r="S652" t="s">
        <v>1632</v>
      </c>
      <c r="T652" s="52"/>
    </row>
    <row r="653" spans="1:20" x14ac:dyDescent="0.3">
      <c r="A653" t="s">
        <v>53</v>
      </c>
      <c r="B653" s="48">
        <v>46023</v>
      </c>
      <c r="C653" s="26"/>
      <c r="I653" t="s">
        <v>2957</v>
      </c>
      <c r="J653" t="s">
        <v>2952</v>
      </c>
      <c r="K653" t="s">
        <v>59</v>
      </c>
      <c r="L653" t="s">
        <v>1373</v>
      </c>
      <c r="M653" t="s">
        <v>1374</v>
      </c>
      <c r="N653" t="s">
        <v>59</v>
      </c>
      <c r="O653" t="s">
        <v>116</v>
      </c>
      <c r="P653" t="s">
        <v>144</v>
      </c>
      <c r="Q653">
        <v>8</v>
      </c>
      <c r="R653" t="s">
        <v>2402</v>
      </c>
      <c r="S653" t="s">
        <v>1632</v>
      </c>
      <c r="T653" s="52"/>
    </row>
    <row r="654" spans="1:20" x14ac:dyDescent="0.3">
      <c r="A654" t="s">
        <v>53</v>
      </c>
      <c r="B654" s="48">
        <v>46023</v>
      </c>
      <c r="C654" s="26"/>
      <c r="I654" t="s">
        <v>2958</v>
      </c>
      <c r="J654" t="s">
        <v>2959</v>
      </c>
      <c r="K654" t="s">
        <v>59</v>
      </c>
      <c r="L654" t="s">
        <v>1373</v>
      </c>
      <c r="M654" t="s">
        <v>1374</v>
      </c>
      <c r="N654" t="s">
        <v>59</v>
      </c>
      <c r="O654" t="s">
        <v>116</v>
      </c>
      <c r="P654" t="s">
        <v>144</v>
      </c>
      <c r="Q654">
        <v>10</v>
      </c>
      <c r="R654" t="s">
        <v>2650</v>
      </c>
      <c r="S654" t="s">
        <v>1632</v>
      </c>
      <c r="T654" s="52"/>
    </row>
    <row r="655" spans="1:20" x14ac:dyDescent="0.3">
      <c r="A655" t="s">
        <v>53</v>
      </c>
      <c r="B655" s="48">
        <v>46023</v>
      </c>
      <c r="C655" s="26"/>
      <c r="I655" t="s">
        <v>2960</v>
      </c>
      <c r="J655" t="s">
        <v>2961</v>
      </c>
      <c r="K655" t="s">
        <v>2962</v>
      </c>
      <c r="L655" t="s">
        <v>1373</v>
      </c>
      <c r="M655" t="s">
        <v>1374</v>
      </c>
      <c r="N655" t="s">
        <v>59</v>
      </c>
      <c r="O655" t="s">
        <v>116</v>
      </c>
      <c r="P655" t="s">
        <v>144</v>
      </c>
      <c r="Q655">
        <v>1</v>
      </c>
      <c r="R655" t="s">
        <v>2402</v>
      </c>
      <c r="S655" t="s">
        <v>1632</v>
      </c>
      <c r="T655" s="52"/>
    </row>
    <row r="656" spans="1:20" x14ac:dyDescent="0.3">
      <c r="A656" t="s">
        <v>53</v>
      </c>
      <c r="B656" s="48">
        <v>46023</v>
      </c>
      <c r="C656" s="26"/>
      <c r="I656" t="s">
        <v>2963</v>
      </c>
      <c r="J656" t="s">
        <v>2964</v>
      </c>
      <c r="K656" t="s">
        <v>1490</v>
      </c>
      <c r="L656" t="s">
        <v>1373</v>
      </c>
      <c r="M656" t="s">
        <v>1374</v>
      </c>
      <c r="N656" t="s">
        <v>59</v>
      </c>
      <c r="O656" t="s">
        <v>116</v>
      </c>
      <c r="P656" t="s">
        <v>144</v>
      </c>
      <c r="Q656">
        <v>1</v>
      </c>
      <c r="R656" t="s">
        <v>2402</v>
      </c>
      <c r="S656" t="s">
        <v>1487</v>
      </c>
      <c r="T656" s="52"/>
    </row>
    <row r="657" spans="1:20" x14ac:dyDescent="0.3">
      <c r="A657" t="s">
        <v>53</v>
      </c>
      <c r="B657" s="48">
        <v>46023</v>
      </c>
      <c r="C657" s="26"/>
      <c r="I657" t="s">
        <v>2965</v>
      </c>
      <c r="J657" t="s">
        <v>2966</v>
      </c>
      <c r="K657" t="s">
        <v>59</v>
      </c>
      <c r="L657" t="s">
        <v>1373</v>
      </c>
      <c r="M657" t="s">
        <v>1436</v>
      </c>
      <c r="N657" t="s">
        <v>59</v>
      </c>
      <c r="O657" t="s">
        <v>116</v>
      </c>
      <c r="P657" t="s">
        <v>144</v>
      </c>
      <c r="Q657">
        <v>1</v>
      </c>
      <c r="R657" t="s">
        <v>2402</v>
      </c>
      <c r="S657" t="s">
        <v>1487</v>
      </c>
      <c r="T657" s="52"/>
    </row>
    <row r="658" spans="1:20" x14ac:dyDescent="0.3">
      <c r="A658" t="s">
        <v>53</v>
      </c>
      <c r="B658" s="48">
        <v>46023</v>
      </c>
      <c r="C658" s="26"/>
      <c r="I658" t="s">
        <v>2967</v>
      </c>
      <c r="J658" t="s">
        <v>2968</v>
      </c>
      <c r="K658" t="s">
        <v>59</v>
      </c>
      <c r="L658" t="s">
        <v>1373</v>
      </c>
      <c r="M658" t="s">
        <v>1436</v>
      </c>
      <c r="N658" t="s">
        <v>59</v>
      </c>
      <c r="O658" t="s">
        <v>116</v>
      </c>
      <c r="P658" t="s">
        <v>144</v>
      </c>
      <c r="Q658">
        <v>1</v>
      </c>
      <c r="R658" t="s">
        <v>2402</v>
      </c>
      <c r="S658" t="s">
        <v>1487</v>
      </c>
      <c r="T658" s="52"/>
    </row>
    <row r="659" spans="1:20" x14ac:dyDescent="0.3">
      <c r="A659" t="s">
        <v>53</v>
      </c>
      <c r="B659" s="48">
        <v>46023</v>
      </c>
      <c r="C659" s="26"/>
      <c r="I659" t="s">
        <v>2969</v>
      </c>
      <c r="J659" t="s">
        <v>2970</v>
      </c>
      <c r="K659" t="s">
        <v>59</v>
      </c>
      <c r="L659" t="s">
        <v>1373</v>
      </c>
      <c r="M659" t="s">
        <v>1436</v>
      </c>
      <c r="N659" t="s">
        <v>59</v>
      </c>
      <c r="O659" t="s">
        <v>116</v>
      </c>
      <c r="P659" t="s">
        <v>144</v>
      </c>
      <c r="Q659">
        <v>1</v>
      </c>
      <c r="R659" t="s">
        <v>2402</v>
      </c>
      <c r="S659" t="s">
        <v>1487</v>
      </c>
      <c r="T659" s="52"/>
    </row>
    <row r="660" spans="1:20" x14ac:dyDescent="0.3">
      <c r="A660" t="s">
        <v>53</v>
      </c>
      <c r="B660" s="48">
        <v>46023</v>
      </c>
      <c r="C660" s="26"/>
      <c r="I660" t="s">
        <v>2971</v>
      </c>
      <c r="J660" t="s">
        <v>2972</v>
      </c>
      <c r="K660" t="s">
        <v>59</v>
      </c>
      <c r="L660" t="s">
        <v>1373</v>
      </c>
      <c r="M660" t="s">
        <v>1436</v>
      </c>
      <c r="N660" t="s">
        <v>59</v>
      </c>
      <c r="O660" t="s">
        <v>116</v>
      </c>
      <c r="P660" t="s">
        <v>144</v>
      </c>
      <c r="Q660">
        <v>2</v>
      </c>
      <c r="R660" t="s">
        <v>2402</v>
      </c>
      <c r="S660" t="s">
        <v>1487</v>
      </c>
      <c r="T660" s="52"/>
    </row>
    <row r="661" spans="1:20" x14ac:dyDescent="0.3">
      <c r="A661" t="s">
        <v>53</v>
      </c>
      <c r="B661" s="48">
        <v>46023</v>
      </c>
      <c r="C661" s="26"/>
      <c r="I661" t="s">
        <v>2973</v>
      </c>
      <c r="J661" t="s">
        <v>2974</v>
      </c>
      <c r="K661" t="s">
        <v>59</v>
      </c>
      <c r="L661" t="s">
        <v>1373</v>
      </c>
      <c r="M661" t="s">
        <v>1436</v>
      </c>
      <c r="N661" t="s">
        <v>59</v>
      </c>
      <c r="O661" t="s">
        <v>116</v>
      </c>
      <c r="P661" t="s">
        <v>144</v>
      </c>
      <c r="Q661">
        <v>3</v>
      </c>
      <c r="R661" t="s">
        <v>2402</v>
      </c>
      <c r="S661" t="s">
        <v>1487</v>
      </c>
      <c r="T661" s="52"/>
    </row>
    <row r="662" spans="1:20" x14ac:dyDescent="0.3">
      <c r="A662" t="s">
        <v>53</v>
      </c>
      <c r="B662" s="48">
        <v>46023</v>
      </c>
      <c r="C662" s="26"/>
      <c r="I662" t="s">
        <v>2975</v>
      </c>
      <c r="J662" t="s">
        <v>2976</v>
      </c>
      <c r="K662" t="s">
        <v>59</v>
      </c>
      <c r="L662" t="s">
        <v>1373</v>
      </c>
      <c r="M662" t="s">
        <v>1436</v>
      </c>
      <c r="N662" t="s">
        <v>59</v>
      </c>
      <c r="O662" t="s">
        <v>116</v>
      </c>
      <c r="P662" t="s">
        <v>144</v>
      </c>
      <c r="Q662">
        <v>3</v>
      </c>
      <c r="R662" t="s">
        <v>2402</v>
      </c>
      <c r="S662" t="s">
        <v>1487</v>
      </c>
      <c r="T662" s="52"/>
    </row>
    <row r="663" spans="1:20" x14ac:dyDescent="0.3">
      <c r="A663" t="s">
        <v>53</v>
      </c>
      <c r="B663" s="48">
        <v>46023</v>
      </c>
      <c r="C663" s="26"/>
      <c r="I663" t="s">
        <v>2977</v>
      </c>
      <c r="J663" t="s">
        <v>2978</v>
      </c>
      <c r="K663" t="s">
        <v>59</v>
      </c>
      <c r="L663" t="s">
        <v>1373</v>
      </c>
      <c r="M663" t="s">
        <v>1436</v>
      </c>
      <c r="N663" t="s">
        <v>59</v>
      </c>
      <c r="O663" t="s">
        <v>116</v>
      </c>
      <c r="P663" t="s">
        <v>144</v>
      </c>
      <c r="Q663">
        <v>2</v>
      </c>
      <c r="R663" t="s">
        <v>2402</v>
      </c>
      <c r="S663" t="s">
        <v>1487</v>
      </c>
      <c r="T663" s="52"/>
    </row>
    <row r="664" spans="1:20" x14ac:dyDescent="0.3">
      <c r="A664" t="s">
        <v>53</v>
      </c>
      <c r="B664" s="48">
        <v>46023</v>
      </c>
      <c r="C664" s="26"/>
      <c r="I664" t="s">
        <v>2979</v>
      </c>
      <c r="J664" t="s">
        <v>2980</v>
      </c>
      <c r="K664" t="s">
        <v>59</v>
      </c>
      <c r="L664" t="s">
        <v>1373</v>
      </c>
      <c r="M664" t="s">
        <v>1436</v>
      </c>
      <c r="N664" t="s">
        <v>59</v>
      </c>
      <c r="O664" t="s">
        <v>143</v>
      </c>
      <c r="P664" t="s">
        <v>144</v>
      </c>
      <c r="Q664">
        <v>2</v>
      </c>
      <c r="R664" t="s">
        <v>2402</v>
      </c>
      <c r="S664" t="s">
        <v>1487</v>
      </c>
      <c r="T664" s="52"/>
    </row>
    <row r="665" spans="1:20" x14ac:dyDescent="0.3">
      <c r="A665" t="s">
        <v>53</v>
      </c>
      <c r="B665" s="48">
        <v>46023</v>
      </c>
      <c r="C665" s="26"/>
      <c r="I665" t="s">
        <v>2981</v>
      </c>
      <c r="J665" t="s">
        <v>2982</v>
      </c>
      <c r="K665" t="s">
        <v>59</v>
      </c>
      <c r="L665" t="s">
        <v>1373</v>
      </c>
      <c r="M665" t="s">
        <v>1436</v>
      </c>
      <c r="N665" t="s">
        <v>59</v>
      </c>
      <c r="O665" t="s">
        <v>143</v>
      </c>
      <c r="P665" t="s">
        <v>144</v>
      </c>
      <c r="Q665">
        <v>2</v>
      </c>
      <c r="R665" t="s">
        <v>2402</v>
      </c>
      <c r="S665" t="s">
        <v>1487</v>
      </c>
      <c r="T665" s="52"/>
    </row>
    <row r="666" spans="1:20" x14ac:dyDescent="0.3">
      <c r="A666" t="s">
        <v>53</v>
      </c>
      <c r="B666" s="48">
        <v>46023</v>
      </c>
      <c r="C666" s="26"/>
      <c r="I666" t="s">
        <v>2983</v>
      </c>
      <c r="J666" t="s">
        <v>2984</v>
      </c>
      <c r="K666" t="s">
        <v>2985</v>
      </c>
      <c r="L666" t="s">
        <v>1373</v>
      </c>
      <c r="M666" t="s">
        <v>1374</v>
      </c>
      <c r="N666" t="s">
        <v>59</v>
      </c>
      <c r="O666" t="s">
        <v>143</v>
      </c>
      <c r="P666" t="s">
        <v>144</v>
      </c>
      <c r="Q666">
        <v>2</v>
      </c>
      <c r="R666" t="s">
        <v>2851</v>
      </c>
      <c r="S666" t="s">
        <v>1487</v>
      </c>
      <c r="T666" s="52"/>
    </row>
    <row r="667" spans="1:20" x14ac:dyDescent="0.3">
      <c r="A667" t="s">
        <v>53</v>
      </c>
      <c r="B667" s="48">
        <v>46023</v>
      </c>
      <c r="C667" s="26"/>
      <c r="I667" t="s">
        <v>2986</v>
      </c>
      <c r="J667" t="s">
        <v>2987</v>
      </c>
      <c r="K667" t="s">
        <v>59</v>
      </c>
      <c r="L667" t="s">
        <v>1373</v>
      </c>
      <c r="M667" t="s">
        <v>587</v>
      </c>
      <c r="N667" t="s">
        <v>59</v>
      </c>
      <c r="O667" t="s">
        <v>116</v>
      </c>
      <c r="P667" t="s">
        <v>144</v>
      </c>
      <c r="Q667">
        <v>1</v>
      </c>
      <c r="R667" t="s">
        <v>2988</v>
      </c>
      <c r="S667" t="s">
        <v>129</v>
      </c>
      <c r="T667" s="52"/>
    </row>
    <row r="668" spans="1:20" x14ac:dyDescent="0.3">
      <c r="A668" t="s">
        <v>53</v>
      </c>
      <c r="B668" s="48">
        <v>46023</v>
      </c>
      <c r="C668" s="26"/>
      <c r="I668" t="s">
        <v>2989</v>
      </c>
      <c r="J668" t="s">
        <v>2990</v>
      </c>
      <c r="K668" t="s">
        <v>59</v>
      </c>
      <c r="L668" t="s">
        <v>1373</v>
      </c>
      <c r="M668" t="s">
        <v>1396</v>
      </c>
      <c r="N668" t="s">
        <v>59</v>
      </c>
      <c r="O668" t="s">
        <v>116</v>
      </c>
      <c r="P668" t="s">
        <v>144</v>
      </c>
      <c r="Q668">
        <v>3</v>
      </c>
      <c r="R668" t="s">
        <v>2410</v>
      </c>
      <c r="S668" t="s">
        <v>129</v>
      </c>
      <c r="T668" s="52"/>
    </row>
    <row r="669" spans="1:20" x14ac:dyDescent="0.3">
      <c r="A669" t="s">
        <v>53</v>
      </c>
      <c r="B669" s="48">
        <v>46023</v>
      </c>
      <c r="C669" s="26"/>
      <c r="I669" t="s">
        <v>2991</v>
      </c>
      <c r="J669" t="s">
        <v>2992</v>
      </c>
      <c r="K669" t="s">
        <v>2993</v>
      </c>
      <c r="L669" t="s">
        <v>1373</v>
      </c>
      <c r="M669" t="s">
        <v>1519</v>
      </c>
      <c r="N669" t="s">
        <v>59</v>
      </c>
      <c r="O669" t="s">
        <v>143</v>
      </c>
      <c r="P669" t="s">
        <v>144</v>
      </c>
      <c r="Q669">
        <v>1</v>
      </c>
      <c r="R669" t="s">
        <v>757</v>
      </c>
      <c r="S669" t="s">
        <v>129</v>
      </c>
      <c r="T669" s="52"/>
    </row>
    <row r="670" spans="1:20" x14ac:dyDescent="0.3">
      <c r="A670" t="s">
        <v>53</v>
      </c>
      <c r="B670" s="48">
        <v>46023</v>
      </c>
      <c r="C670" s="26"/>
      <c r="I670" t="s">
        <v>2994</v>
      </c>
      <c r="J670" t="s">
        <v>2995</v>
      </c>
      <c r="K670" t="s">
        <v>59</v>
      </c>
      <c r="L670" t="s">
        <v>1373</v>
      </c>
      <c r="M670" t="s">
        <v>1396</v>
      </c>
      <c r="N670" t="s">
        <v>59</v>
      </c>
      <c r="O670" t="s">
        <v>143</v>
      </c>
      <c r="P670" t="s">
        <v>144</v>
      </c>
      <c r="Q670">
        <v>3</v>
      </c>
      <c r="R670" t="s">
        <v>2427</v>
      </c>
      <c r="S670" t="s">
        <v>112</v>
      </c>
      <c r="T670" s="52"/>
    </row>
    <row r="671" spans="1:20" x14ac:dyDescent="0.3">
      <c r="A671" t="s">
        <v>53</v>
      </c>
      <c r="B671" s="48">
        <v>46023</v>
      </c>
      <c r="C671" s="26"/>
      <c r="I671" t="s">
        <v>2996</v>
      </c>
      <c r="J671" t="s">
        <v>2997</v>
      </c>
      <c r="K671" t="s">
        <v>2997</v>
      </c>
      <c r="L671" t="s">
        <v>1373</v>
      </c>
      <c r="M671" t="s">
        <v>1396</v>
      </c>
      <c r="N671" t="s">
        <v>59</v>
      </c>
      <c r="O671" t="s">
        <v>116</v>
      </c>
      <c r="P671" t="s">
        <v>144</v>
      </c>
      <c r="Q671">
        <v>1</v>
      </c>
      <c r="R671" t="s">
        <v>2427</v>
      </c>
      <c r="S671" t="s">
        <v>1487</v>
      </c>
      <c r="T671" s="52"/>
    </row>
    <row r="672" spans="1:20" x14ac:dyDescent="0.3">
      <c r="A672" t="s">
        <v>53</v>
      </c>
      <c r="B672" s="48">
        <v>46023</v>
      </c>
      <c r="C672" s="26"/>
      <c r="I672" t="s">
        <v>2998</v>
      </c>
      <c r="J672" t="s">
        <v>2999</v>
      </c>
      <c r="K672" t="s">
        <v>3000</v>
      </c>
      <c r="L672" t="s">
        <v>1373</v>
      </c>
      <c r="M672" t="s">
        <v>1374</v>
      </c>
      <c r="N672" t="s">
        <v>59</v>
      </c>
      <c r="O672" t="s">
        <v>143</v>
      </c>
      <c r="P672" t="s">
        <v>144</v>
      </c>
      <c r="Q672">
        <v>2</v>
      </c>
      <c r="R672" t="s">
        <v>2427</v>
      </c>
      <c r="S672" t="s">
        <v>1487</v>
      </c>
      <c r="T672" s="52"/>
    </row>
    <row r="673" spans="1:20" x14ac:dyDescent="0.3">
      <c r="A673" t="s">
        <v>53</v>
      </c>
      <c r="B673" s="48">
        <v>46023</v>
      </c>
      <c r="C673" s="26"/>
      <c r="I673" t="s">
        <v>3001</v>
      </c>
      <c r="J673" t="s">
        <v>3002</v>
      </c>
      <c r="K673" t="s">
        <v>3003</v>
      </c>
      <c r="L673" t="s">
        <v>1373</v>
      </c>
      <c r="M673" t="s">
        <v>1374</v>
      </c>
      <c r="N673" t="s">
        <v>59</v>
      </c>
      <c r="O673" t="s">
        <v>143</v>
      </c>
      <c r="P673" t="s">
        <v>144</v>
      </c>
      <c r="Q673">
        <v>6</v>
      </c>
      <c r="R673" t="s">
        <v>2650</v>
      </c>
      <c r="S673" t="s">
        <v>1487</v>
      </c>
      <c r="T673" s="52"/>
    </row>
    <row r="674" spans="1:20" x14ac:dyDescent="0.3">
      <c r="A674" t="s">
        <v>53</v>
      </c>
      <c r="B674" s="48">
        <v>46023</v>
      </c>
      <c r="C674" s="26"/>
      <c r="I674" t="s">
        <v>3004</v>
      </c>
      <c r="J674" t="s">
        <v>3005</v>
      </c>
      <c r="K674" t="s">
        <v>1562</v>
      </c>
      <c r="L674" t="s">
        <v>1373</v>
      </c>
      <c r="M674" t="s">
        <v>1549</v>
      </c>
      <c r="N674" t="s">
        <v>59</v>
      </c>
      <c r="O674" t="s">
        <v>143</v>
      </c>
      <c r="P674" t="s">
        <v>144</v>
      </c>
      <c r="Q674">
        <v>2</v>
      </c>
      <c r="R674" t="s">
        <v>2650</v>
      </c>
      <c r="S674" t="s">
        <v>1487</v>
      </c>
      <c r="T674" s="52"/>
    </row>
    <row r="675" spans="1:20" x14ac:dyDescent="0.3">
      <c r="A675" t="s">
        <v>53</v>
      </c>
      <c r="B675" s="48">
        <v>46023</v>
      </c>
      <c r="C675" s="26"/>
      <c r="I675" t="s">
        <v>3006</v>
      </c>
      <c r="J675" t="s">
        <v>3007</v>
      </c>
      <c r="K675" t="s">
        <v>1562</v>
      </c>
      <c r="L675" t="s">
        <v>1373</v>
      </c>
      <c r="M675" t="s">
        <v>1549</v>
      </c>
      <c r="N675" t="s">
        <v>59</v>
      </c>
      <c r="O675" t="s">
        <v>143</v>
      </c>
      <c r="P675" t="s">
        <v>144</v>
      </c>
      <c r="Q675">
        <v>5</v>
      </c>
      <c r="R675" t="s">
        <v>2650</v>
      </c>
      <c r="S675" t="s">
        <v>1487</v>
      </c>
      <c r="T675" s="52"/>
    </row>
    <row r="676" spans="1:20" x14ac:dyDescent="0.3">
      <c r="A676" t="s">
        <v>53</v>
      </c>
      <c r="B676" s="48">
        <v>46023</v>
      </c>
      <c r="C676" s="26"/>
      <c r="I676" t="s">
        <v>3008</v>
      </c>
      <c r="J676" t="s">
        <v>3009</v>
      </c>
      <c r="K676" t="s">
        <v>3010</v>
      </c>
      <c r="L676" t="s">
        <v>1373</v>
      </c>
      <c r="M676" t="s">
        <v>1403</v>
      </c>
      <c r="N676" t="s">
        <v>59</v>
      </c>
      <c r="O676" t="s">
        <v>116</v>
      </c>
      <c r="P676" t="s">
        <v>144</v>
      </c>
      <c r="Q676">
        <v>1</v>
      </c>
      <c r="R676" t="s">
        <v>2650</v>
      </c>
      <c r="S676" t="s">
        <v>1487</v>
      </c>
      <c r="T676" s="52"/>
    </row>
    <row r="677" spans="1:20" x14ac:dyDescent="0.3">
      <c r="A677" t="s">
        <v>53</v>
      </c>
      <c r="B677" s="48">
        <v>46023</v>
      </c>
      <c r="C677" s="26"/>
      <c r="I677" t="s">
        <v>3011</v>
      </c>
      <c r="J677" t="s">
        <v>3012</v>
      </c>
      <c r="K677" t="s">
        <v>1943</v>
      </c>
      <c r="L677" t="s">
        <v>1373</v>
      </c>
      <c r="M677" t="s">
        <v>587</v>
      </c>
      <c r="N677" t="s">
        <v>59</v>
      </c>
      <c r="O677" t="s">
        <v>116</v>
      </c>
      <c r="P677" t="s">
        <v>144</v>
      </c>
      <c r="Q677">
        <v>1</v>
      </c>
      <c r="R677" t="s">
        <v>2650</v>
      </c>
      <c r="S677" t="s">
        <v>1487</v>
      </c>
      <c r="T677" s="52"/>
    </row>
    <row r="678" spans="1:20" x14ac:dyDescent="0.3">
      <c r="A678" t="s">
        <v>53</v>
      </c>
      <c r="B678" s="48">
        <v>46023</v>
      </c>
      <c r="C678" s="26"/>
      <c r="I678" t="s">
        <v>3013</v>
      </c>
      <c r="J678" t="s">
        <v>3014</v>
      </c>
      <c r="K678" t="s">
        <v>3015</v>
      </c>
      <c r="L678" t="s">
        <v>1373</v>
      </c>
      <c r="M678" t="s">
        <v>1403</v>
      </c>
      <c r="N678" t="s">
        <v>59</v>
      </c>
      <c r="O678" t="s">
        <v>116</v>
      </c>
      <c r="P678" t="s">
        <v>144</v>
      </c>
      <c r="Q678">
        <v>1</v>
      </c>
      <c r="R678" t="s">
        <v>2427</v>
      </c>
      <c r="S678" t="s">
        <v>1487</v>
      </c>
      <c r="T678" s="52"/>
    </row>
    <row r="679" spans="1:20" x14ac:dyDescent="0.3">
      <c r="A679" t="s">
        <v>53</v>
      </c>
      <c r="B679" s="48">
        <v>46023</v>
      </c>
      <c r="C679" s="26"/>
      <c r="I679" t="s">
        <v>3016</v>
      </c>
      <c r="J679" t="s">
        <v>3017</v>
      </c>
      <c r="K679" t="s">
        <v>3018</v>
      </c>
      <c r="L679" t="s">
        <v>1373</v>
      </c>
      <c r="M679" t="s">
        <v>1384</v>
      </c>
      <c r="N679" t="s">
        <v>59</v>
      </c>
      <c r="O679" t="s">
        <v>143</v>
      </c>
      <c r="P679" t="s">
        <v>144</v>
      </c>
      <c r="Q679">
        <v>1</v>
      </c>
      <c r="R679" t="s">
        <v>2427</v>
      </c>
      <c r="S679" t="s">
        <v>63</v>
      </c>
      <c r="T679" s="52"/>
    </row>
    <row r="680" spans="1:20" x14ac:dyDescent="0.3">
      <c r="A680" t="s">
        <v>53</v>
      </c>
      <c r="B680" s="48">
        <v>46023</v>
      </c>
      <c r="C680" s="26"/>
      <c r="I680" t="s">
        <v>3019</v>
      </c>
      <c r="J680" t="s">
        <v>3020</v>
      </c>
      <c r="K680" t="s">
        <v>3021</v>
      </c>
      <c r="L680" t="s">
        <v>1373</v>
      </c>
      <c r="M680" t="s">
        <v>1384</v>
      </c>
      <c r="N680" t="s">
        <v>59</v>
      </c>
      <c r="O680" t="s">
        <v>143</v>
      </c>
      <c r="P680" t="s">
        <v>144</v>
      </c>
      <c r="Q680">
        <v>1</v>
      </c>
      <c r="R680" t="s">
        <v>3022</v>
      </c>
      <c r="S680" t="s">
        <v>63</v>
      </c>
      <c r="T680" s="52"/>
    </row>
    <row r="681" spans="1:20" x14ac:dyDescent="0.3">
      <c r="A681" t="s">
        <v>53</v>
      </c>
      <c r="B681" s="48">
        <v>46023</v>
      </c>
      <c r="C681" s="26"/>
      <c r="I681" t="s">
        <v>3023</v>
      </c>
      <c r="J681" t="s">
        <v>3024</v>
      </c>
      <c r="K681" t="s">
        <v>3025</v>
      </c>
      <c r="L681" t="s">
        <v>1373</v>
      </c>
      <c r="M681" t="s">
        <v>1384</v>
      </c>
      <c r="N681" t="s">
        <v>59</v>
      </c>
      <c r="O681" t="s">
        <v>143</v>
      </c>
      <c r="P681" t="s">
        <v>144</v>
      </c>
      <c r="Q681">
        <v>1</v>
      </c>
      <c r="R681" t="s">
        <v>3022</v>
      </c>
      <c r="S681" t="s">
        <v>63</v>
      </c>
      <c r="T681" s="52"/>
    </row>
    <row r="682" spans="1:20" x14ac:dyDescent="0.3">
      <c r="A682" t="s">
        <v>53</v>
      </c>
      <c r="B682" s="48">
        <v>46023</v>
      </c>
      <c r="C682" s="26"/>
      <c r="I682" t="s">
        <v>3026</v>
      </c>
      <c r="J682" t="s">
        <v>3027</v>
      </c>
      <c r="K682" t="s">
        <v>3028</v>
      </c>
      <c r="L682" t="s">
        <v>1373</v>
      </c>
      <c r="M682" t="s">
        <v>587</v>
      </c>
      <c r="N682" t="s">
        <v>59</v>
      </c>
      <c r="O682" t="s">
        <v>143</v>
      </c>
      <c r="P682" t="s">
        <v>144</v>
      </c>
      <c r="Q682">
        <v>1</v>
      </c>
      <c r="R682" t="s">
        <v>3022</v>
      </c>
      <c r="S682" t="s">
        <v>63</v>
      </c>
      <c r="T682" s="52"/>
    </row>
    <row r="683" spans="1:20" x14ac:dyDescent="0.3">
      <c r="A683" t="s">
        <v>53</v>
      </c>
      <c r="B683" s="48">
        <v>46023</v>
      </c>
      <c r="C683" s="26"/>
      <c r="I683" t="s">
        <v>3029</v>
      </c>
      <c r="J683" t="s">
        <v>3030</v>
      </c>
      <c r="K683" t="s">
        <v>3031</v>
      </c>
      <c r="L683" t="s">
        <v>1373</v>
      </c>
      <c r="M683" t="s">
        <v>587</v>
      </c>
      <c r="N683" t="s">
        <v>59</v>
      </c>
      <c r="O683" t="s">
        <v>143</v>
      </c>
      <c r="P683" t="s">
        <v>144</v>
      </c>
      <c r="Q683">
        <v>1</v>
      </c>
      <c r="R683" t="s">
        <v>3022</v>
      </c>
      <c r="S683" t="s">
        <v>63</v>
      </c>
      <c r="T683" s="52"/>
    </row>
    <row r="684" spans="1:20" x14ac:dyDescent="0.3">
      <c r="A684" t="s">
        <v>53</v>
      </c>
      <c r="B684" s="48">
        <v>46023</v>
      </c>
      <c r="C684" s="26"/>
      <c r="I684" t="s">
        <v>3032</v>
      </c>
      <c r="J684" t="s">
        <v>3033</v>
      </c>
      <c r="K684" t="s">
        <v>3034</v>
      </c>
      <c r="L684" t="s">
        <v>1373</v>
      </c>
      <c r="M684" t="s">
        <v>1384</v>
      </c>
      <c r="N684">
        <v>645025</v>
      </c>
      <c r="O684" t="s">
        <v>143</v>
      </c>
      <c r="P684" t="s">
        <v>144</v>
      </c>
      <c r="Q684">
        <v>1</v>
      </c>
      <c r="R684" t="s">
        <v>3022</v>
      </c>
      <c r="S684" t="s">
        <v>63</v>
      </c>
      <c r="T684" s="52"/>
    </row>
    <row r="685" spans="1:20" x14ac:dyDescent="0.3">
      <c r="A685" t="s">
        <v>53</v>
      </c>
      <c r="B685" s="48">
        <v>46023</v>
      </c>
      <c r="C685" s="26"/>
      <c r="I685" t="s">
        <v>3035</v>
      </c>
      <c r="J685" t="s">
        <v>3036</v>
      </c>
      <c r="K685" t="s">
        <v>59</v>
      </c>
      <c r="L685" t="s">
        <v>1373</v>
      </c>
      <c r="M685" t="s">
        <v>1374</v>
      </c>
      <c r="N685" t="s">
        <v>59</v>
      </c>
      <c r="O685" t="s">
        <v>116</v>
      </c>
      <c r="P685" t="s">
        <v>144</v>
      </c>
      <c r="Q685">
        <v>1</v>
      </c>
      <c r="R685" t="s">
        <v>3037</v>
      </c>
      <c r="S685" t="s">
        <v>63</v>
      </c>
      <c r="T685" s="52"/>
    </row>
    <row r="686" spans="1:20" x14ac:dyDescent="0.3">
      <c r="A686" t="s">
        <v>53</v>
      </c>
      <c r="B686" s="48">
        <v>46023</v>
      </c>
      <c r="C686" s="26"/>
      <c r="I686" t="s">
        <v>3038</v>
      </c>
      <c r="J686" t="s">
        <v>3039</v>
      </c>
      <c r="K686" t="s">
        <v>3040</v>
      </c>
      <c r="L686" t="s">
        <v>1373</v>
      </c>
      <c r="M686" t="s">
        <v>587</v>
      </c>
      <c r="N686" t="s">
        <v>59</v>
      </c>
      <c r="O686" t="s">
        <v>143</v>
      </c>
      <c r="P686" t="s">
        <v>144</v>
      </c>
      <c r="Q686">
        <v>13</v>
      </c>
      <c r="R686" t="s">
        <v>3037</v>
      </c>
      <c r="S686" t="s">
        <v>63</v>
      </c>
      <c r="T686" s="52"/>
    </row>
    <row r="687" spans="1:20" x14ac:dyDescent="0.3">
      <c r="A687" t="s">
        <v>53</v>
      </c>
      <c r="B687" s="48">
        <v>46023</v>
      </c>
      <c r="C687" s="26"/>
      <c r="I687" t="s">
        <v>3041</v>
      </c>
      <c r="J687" t="s">
        <v>3042</v>
      </c>
      <c r="K687" t="s">
        <v>3040</v>
      </c>
      <c r="L687" t="s">
        <v>1373</v>
      </c>
      <c r="M687" t="s">
        <v>587</v>
      </c>
      <c r="N687" t="s">
        <v>59</v>
      </c>
      <c r="O687" t="s">
        <v>143</v>
      </c>
      <c r="P687" t="s">
        <v>144</v>
      </c>
      <c r="Q687">
        <v>5</v>
      </c>
      <c r="R687" t="s">
        <v>3037</v>
      </c>
      <c r="S687" t="s">
        <v>63</v>
      </c>
      <c r="T687" s="52"/>
    </row>
    <row r="688" spans="1:20" x14ac:dyDescent="0.3">
      <c r="A688" t="s">
        <v>53</v>
      </c>
      <c r="B688" s="48">
        <v>46023</v>
      </c>
      <c r="C688" s="26"/>
      <c r="I688" t="s">
        <v>3043</v>
      </c>
      <c r="J688" t="s">
        <v>3044</v>
      </c>
      <c r="K688" t="s">
        <v>3040</v>
      </c>
      <c r="L688" t="s">
        <v>1373</v>
      </c>
      <c r="M688" t="s">
        <v>587</v>
      </c>
      <c r="N688" t="s">
        <v>59</v>
      </c>
      <c r="O688" t="s">
        <v>143</v>
      </c>
      <c r="P688" t="s">
        <v>144</v>
      </c>
      <c r="Q688">
        <v>12</v>
      </c>
      <c r="R688" t="s">
        <v>3037</v>
      </c>
      <c r="S688" t="s">
        <v>63</v>
      </c>
      <c r="T688" s="52"/>
    </row>
    <row r="689" spans="1:20" x14ac:dyDescent="0.3">
      <c r="A689" t="s">
        <v>53</v>
      </c>
      <c r="B689" s="48">
        <v>46023</v>
      </c>
      <c r="C689" s="26"/>
      <c r="I689" t="s">
        <v>3045</v>
      </c>
      <c r="J689" t="s">
        <v>3046</v>
      </c>
      <c r="K689" t="s">
        <v>3047</v>
      </c>
      <c r="L689" t="s">
        <v>1373</v>
      </c>
      <c r="M689" t="s">
        <v>587</v>
      </c>
      <c r="N689" t="s">
        <v>59</v>
      </c>
      <c r="O689" t="s">
        <v>143</v>
      </c>
      <c r="P689" t="s">
        <v>144</v>
      </c>
      <c r="Q689">
        <v>34</v>
      </c>
      <c r="R689" t="s">
        <v>3037</v>
      </c>
      <c r="S689" t="s">
        <v>63</v>
      </c>
      <c r="T689" s="52"/>
    </row>
    <row r="690" spans="1:20" x14ac:dyDescent="0.3">
      <c r="A690" t="s">
        <v>53</v>
      </c>
      <c r="B690" s="48">
        <v>46023</v>
      </c>
      <c r="C690" s="26"/>
      <c r="I690" t="s">
        <v>3048</v>
      </c>
      <c r="J690" t="s">
        <v>3049</v>
      </c>
      <c r="K690" t="s">
        <v>3050</v>
      </c>
      <c r="L690" t="s">
        <v>1373</v>
      </c>
      <c r="M690" t="s">
        <v>587</v>
      </c>
      <c r="N690" t="s">
        <v>59</v>
      </c>
      <c r="O690" t="s">
        <v>143</v>
      </c>
      <c r="P690" t="s">
        <v>144</v>
      </c>
      <c r="Q690">
        <v>2</v>
      </c>
      <c r="R690" t="s">
        <v>3037</v>
      </c>
      <c r="S690" t="s">
        <v>63</v>
      </c>
      <c r="T690" s="52"/>
    </row>
    <row r="691" spans="1:20" x14ac:dyDescent="0.3">
      <c r="A691" t="s">
        <v>53</v>
      </c>
      <c r="B691" s="48">
        <v>46023</v>
      </c>
      <c r="C691" s="26"/>
      <c r="I691" t="s">
        <v>3051</v>
      </c>
      <c r="J691" t="s">
        <v>3052</v>
      </c>
      <c r="K691" t="s">
        <v>3050</v>
      </c>
      <c r="L691" t="s">
        <v>1373</v>
      </c>
      <c r="M691" t="s">
        <v>587</v>
      </c>
      <c r="N691" t="s">
        <v>59</v>
      </c>
      <c r="O691" t="s">
        <v>143</v>
      </c>
      <c r="P691" t="s">
        <v>144</v>
      </c>
      <c r="Q691">
        <v>21</v>
      </c>
      <c r="R691" t="s">
        <v>3037</v>
      </c>
      <c r="S691" t="s">
        <v>63</v>
      </c>
      <c r="T691" s="52"/>
    </row>
    <row r="692" spans="1:20" x14ac:dyDescent="0.3">
      <c r="A692" t="s">
        <v>53</v>
      </c>
      <c r="B692" s="48">
        <v>46023</v>
      </c>
      <c r="C692" s="26"/>
      <c r="I692" t="s">
        <v>3053</v>
      </c>
      <c r="J692" t="s">
        <v>3054</v>
      </c>
      <c r="K692" t="s">
        <v>3050</v>
      </c>
      <c r="L692" t="s">
        <v>1373</v>
      </c>
      <c r="M692" t="s">
        <v>587</v>
      </c>
      <c r="N692" t="s">
        <v>59</v>
      </c>
      <c r="O692" t="s">
        <v>143</v>
      </c>
      <c r="P692" t="s">
        <v>144</v>
      </c>
      <c r="Q692">
        <v>2</v>
      </c>
      <c r="R692" t="s">
        <v>3037</v>
      </c>
      <c r="S692" t="s">
        <v>63</v>
      </c>
      <c r="T692" s="52"/>
    </row>
    <row r="693" spans="1:20" x14ac:dyDescent="0.3">
      <c r="A693" t="s">
        <v>53</v>
      </c>
      <c r="B693" s="48">
        <v>46023</v>
      </c>
      <c r="C693" s="26"/>
      <c r="I693" t="s">
        <v>3055</v>
      </c>
      <c r="J693" t="s">
        <v>3056</v>
      </c>
      <c r="K693" t="s">
        <v>59</v>
      </c>
      <c r="L693" t="s">
        <v>1373</v>
      </c>
      <c r="M693" t="s">
        <v>1374</v>
      </c>
      <c r="N693" t="s">
        <v>59</v>
      </c>
      <c r="O693" t="s">
        <v>143</v>
      </c>
      <c r="P693" t="s">
        <v>144</v>
      </c>
      <c r="Q693">
        <v>11</v>
      </c>
      <c r="R693" t="s">
        <v>3037</v>
      </c>
      <c r="S693" t="s">
        <v>63</v>
      </c>
      <c r="T693" s="52"/>
    </row>
    <row r="694" spans="1:20" x14ac:dyDescent="0.3">
      <c r="A694" t="s">
        <v>53</v>
      </c>
      <c r="B694" s="48">
        <v>46023</v>
      </c>
      <c r="C694" s="26"/>
      <c r="I694" t="s">
        <v>3057</v>
      </c>
      <c r="J694" t="s">
        <v>3058</v>
      </c>
      <c r="K694" t="s">
        <v>59</v>
      </c>
      <c r="L694" t="s">
        <v>1373</v>
      </c>
      <c r="M694" t="s">
        <v>1374</v>
      </c>
      <c r="N694" t="s">
        <v>59</v>
      </c>
      <c r="O694" t="s">
        <v>143</v>
      </c>
      <c r="P694" t="s">
        <v>144</v>
      </c>
      <c r="Q694">
        <v>17</v>
      </c>
      <c r="R694" t="s">
        <v>3037</v>
      </c>
      <c r="S694" t="s">
        <v>63</v>
      </c>
      <c r="T694" s="52"/>
    </row>
    <row r="695" spans="1:20" x14ac:dyDescent="0.3">
      <c r="A695" t="s">
        <v>53</v>
      </c>
      <c r="B695" s="48">
        <v>46023</v>
      </c>
      <c r="C695" s="26"/>
      <c r="I695" t="s">
        <v>3059</v>
      </c>
      <c r="J695" t="s">
        <v>3060</v>
      </c>
      <c r="K695" t="s">
        <v>3061</v>
      </c>
      <c r="L695" t="s">
        <v>1373</v>
      </c>
      <c r="M695" t="s">
        <v>1384</v>
      </c>
      <c r="N695" t="s">
        <v>3062</v>
      </c>
      <c r="O695" t="s">
        <v>116</v>
      </c>
      <c r="P695" t="s">
        <v>144</v>
      </c>
      <c r="Q695">
        <v>1</v>
      </c>
      <c r="R695" t="s">
        <v>3037</v>
      </c>
      <c r="S695" t="s">
        <v>63</v>
      </c>
      <c r="T695" s="52"/>
    </row>
    <row r="696" spans="1:20" x14ac:dyDescent="0.3">
      <c r="A696" t="s">
        <v>53</v>
      </c>
      <c r="B696" s="48">
        <v>46023</v>
      </c>
      <c r="C696" s="26"/>
      <c r="I696" t="s">
        <v>3063</v>
      </c>
      <c r="J696" t="s">
        <v>3064</v>
      </c>
      <c r="K696" t="s">
        <v>59</v>
      </c>
      <c r="L696" t="s">
        <v>1373</v>
      </c>
      <c r="M696" t="s">
        <v>1396</v>
      </c>
      <c r="N696" t="s">
        <v>59</v>
      </c>
      <c r="O696" t="s">
        <v>116</v>
      </c>
      <c r="P696" t="s">
        <v>144</v>
      </c>
      <c r="Q696">
        <v>2</v>
      </c>
      <c r="R696" t="s">
        <v>3065</v>
      </c>
      <c r="S696" t="s">
        <v>112</v>
      </c>
      <c r="T696" s="52"/>
    </row>
    <row r="697" spans="1:20" x14ac:dyDescent="0.3">
      <c r="A697" t="s">
        <v>53</v>
      </c>
      <c r="B697" s="48">
        <v>46023</v>
      </c>
      <c r="C697" s="26"/>
      <c r="I697" t="s">
        <v>3066</v>
      </c>
      <c r="J697" t="s">
        <v>3067</v>
      </c>
      <c r="K697" t="s">
        <v>59</v>
      </c>
      <c r="L697" t="s">
        <v>1373</v>
      </c>
      <c r="M697" t="s">
        <v>1396</v>
      </c>
      <c r="N697" t="s">
        <v>59</v>
      </c>
      <c r="O697" t="s">
        <v>116</v>
      </c>
      <c r="P697" t="s">
        <v>144</v>
      </c>
      <c r="Q697">
        <v>2</v>
      </c>
      <c r="R697" t="s">
        <v>3065</v>
      </c>
      <c r="S697" t="s">
        <v>112</v>
      </c>
      <c r="T697" s="52"/>
    </row>
    <row r="698" spans="1:20" x14ac:dyDescent="0.3">
      <c r="A698" t="s">
        <v>53</v>
      </c>
      <c r="B698" s="48">
        <v>46023</v>
      </c>
      <c r="C698" s="26"/>
      <c r="I698" t="s">
        <v>3068</v>
      </c>
      <c r="J698" t="s">
        <v>3069</v>
      </c>
      <c r="K698" t="s">
        <v>59</v>
      </c>
      <c r="L698" t="s">
        <v>1373</v>
      </c>
      <c r="M698" t="s">
        <v>1396</v>
      </c>
      <c r="N698" t="s">
        <v>59</v>
      </c>
      <c r="O698" t="s">
        <v>116</v>
      </c>
      <c r="P698" t="s">
        <v>144</v>
      </c>
      <c r="Q698">
        <v>1</v>
      </c>
      <c r="R698" t="s">
        <v>3065</v>
      </c>
      <c r="S698" t="s">
        <v>112</v>
      </c>
      <c r="T698" s="52"/>
    </row>
    <row r="699" spans="1:20" x14ac:dyDescent="0.3">
      <c r="A699" t="s">
        <v>53</v>
      </c>
      <c r="B699" s="48">
        <v>46023</v>
      </c>
      <c r="C699" s="26"/>
      <c r="I699" t="s">
        <v>3070</v>
      </c>
      <c r="J699" t="s">
        <v>3071</v>
      </c>
      <c r="K699" t="s">
        <v>59</v>
      </c>
      <c r="L699" t="s">
        <v>1373</v>
      </c>
      <c r="M699" t="s">
        <v>1396</v>
      </c>
      <c r="N699" t="s">
        <v>59</v>
      </c>
      <c r="O699" t="s">
        <v>116</v>
      </c>
      <c r="P699" t="s">
        <v>144</v>
      </c>
      <c r="Q699">
        <v>1</v>
      </c>
      <c r="R699" t="s">
        <v>3065</v>
      </c>
      <c r="S699" t="s">
        <v>112</v>
      </c>
      <c r="T699" s="52"/>
    </row>
    <row r="700" spans="1:20" x14ac:dyDescent="0.3">
      <c r="A700" t="s">
        <v>53</v>
      </c>
      <c r="B700" s="48">
        <v>46023</v>
      </c>
      <c r="C700" s="26"/>
      <c r="I700" t="s">
        <v>3072</v>
      </c>
      <c r="J700" t="s">
        <v>3073</v>
      </c>
      <c r="K700" t="s">
        <v>59</v>
      </c>
      <c r="L700" t="s">
        <v>1373</v>
      </c>
      <c r="M700" t="s">
        <v>1396</v>
      </c>
      <c r="N700" t="s">
        <v>59</v>
      </c>
      <c r="O700" t="s">
        <v>116</v>
      </c>
      <c r="P700" t="s">
        <v>144</v>
      </c>
      <c r="Q700">
        <v>1</v>
      </c>
      <c r="R700" t="s">
        <v>3065</v>
      </c>
      <c r="S700" t="s">
        <v>112</v>
      </c>
      <c r="T700" s="52"/>
    </row>
    <row r="701" spans="1:20" x14ac:dyDescent="0.3">
      <c r="A701" t="s">
        <v>53</v>
      </c>
      <c r="B701" s="48">
        <v>46023</v>
      </c>
      <c r="C701" s="26"/>
      <c r="I701" t="s">
        <v>3074</v>
      </c>
      <c r="J701" t="s">
        <v>3075</v>
      </c>
      <c r="K701" t="s">
        <v>59</v>
      </c>
      <c r="L701" t="s">
        <v>1373</v>
      </c>
      <c r="M701" t="s">
        <v>1396</v>
      </c>
      <c r="N701" t="s">
        <v>59</v>
      </c>
      <c r="O701" t="s">
        <v>116</v>
      </c>
      <c r="P701" t="s">
        <v>144</v>
      </c>
      <c r="Q701">
        <v>3</v>
      </c>
      <c r="R701" t="s">
        <v>3065</v>
      </c>
      <c r="S701" t="s">
        <v>112</v>
      </c>
      <c r="T701" s="52"/>
    </row>
    <row r="702" spans="1:20" x14ac:dyDescent="0.3">
      <c r="A702" t="s">
        <v>53</v>
      </c>
      <c r="B702" s="48">
        <v>46023</v>
      </c>
      <c r="C702" s="26"/>
      <c r="I702" t="s">
        <v>3076</v>
      </c>
      <c r="J702" t="s">
        <v>3077</v>
      </c>
      <c r="K702" t="s">
        <v>59</v>
      </c>
      <c r="L702" t="s">
        <v>1373</v>
      </c>
      <c r="M702" t="s">
        <v>1396</v>
      </c>
      <c r="N702" t="s">
        <v>59</v>
      </c>
      <c r="O702" t="s">
        <v>116</v>
      </c>
      <c r="P702" t="s">
        <v>144</v>
      </c>
      <c r="Q702">
        <v>1</v>
      </c>
      <c r="R702" t="s">
        <v>3065</v>
      </c>
      <c r="S702" t="s">
        <v>112</v>
      </c>
      <c r="T702" s="52"/>
    </row>
    <row r="703" spans="1:20" x14ac:dyDescent="0.3">
      <c r="A703" t="s">
        <v>53</v>
      </c>
      <c r="B703" s="48">
        <v>46023</v>
      </c>
      <c r="C703" s="26"/>
      <c r="I703" t="s">
        <v>3078</v>
      </c>
      <c r="J703" t="s">
        <v>3079</v>
      </c>
      <c r="K703" t="s">
        <v>59</v>
      </c>
      <c r="L703" t="s">
        <v>1373</v>
      </c>
      <c r="M703" t="s">
        <v>3080</v>
      </c>
      <c r="N703" t="s">
        <v>59</v>
      </c>
      <c r="O703" t="s">
        <v>116</v>
      </c>
      <c r="P703" t="s">
        <v>144</v>
      </c>
      <c r="Q703">
        <v>1</v>
      </c>
      <c r="R703" t="s">
        <v>3081</v>
      </c>
      <c r="S703" t="s">
        <v>112</v>
      </c>
      <c r="T703" s="52"/>
    </row>
    <row r="704" spans="1:20" x14ac:dyDescent="0.3">
      <c r="A704" t="s">
        <v>53</v>
      </c>
      <c r="B704" s="48">
        <v>46023</v>
      </c>
      <c r="C704" s="26"/>
      <c r="I704" t="s">
        <v>52</v>
      </c>
      <c r="J704" t="s">
        <v>465</v>
      </c>
      <c r="K704" t="s">
        <v>59</v>
      </c>
      <c r="L704" t="s">
        <v>43</v>
      </c>
      <c r="M704" t="s">
        <v>466</v>
      </c>
      <c r="N704" t="s">
        <v>467</v>
      </c>
      <c r="O704" t="s">
        <v>468</v>
      </c>
      <c r="P704" t="s">
        <v>61</v>
      </c>
      <c r="Q704">
        <v>1</v>
      </c>
      <c r="R704" t="s">
        <v>469</v>
      </c>
      <c r="S704" t="s">
        <v>129</v>
      </c>
      <c r="T704" s="52"/>
    </row>
    <row r="705" spans="1:20" x14ac:dyDescent="0.3">
      <c r="A705" t="s">
        <v>53</v>
      </c>
      <c r="B705" s="48">
        <v>46023</v>
      </c>
      <c r="C705" s="26"/>
      <c r="I705" t="s">
        <v>470</v>
      </c>
      <c r="J705" t="s">
        <v>465</v>
      </c>
      <c r="K705" t="s">
        <v>59</v>
      </c>
      <c r="L705" t="s">
        <v>43</v>
      </c>
      <c r="M705" t="s">
        <v>466</v>
      </c>
      <c r="N705" t="s">
        <v>471</v>
      </c>
      <c r="O705" t="s">
        <v>116</v>
      </c>
      <c r="P705" t="s">
        <v>61</v>
      </c>
      <c r="Q705">
        <v>1</v>
      </c>
      <c r="R705" t="s">
        <v>469</v>
      </c>
      <c r="S705" t="s">
        <v>129</v>
      </c>
      <c r="T705" s="52"/>
    </row>
    <row r="706" spans="1:20" x14ac:dyDescent="0.3">
      <c r="A706" t="s">
        <v>53</v>
      </c>
      <c r="B706" s="48">
        <v>46023</v>
      </c>
      <c r="C706" s="26"/>
      <c r="I706" t="s">
        <v>472</v>
      </c>
      <c r="J706" t="s">
        <v>473</v>
      </c>
      <c r="K706" t="s">
        <v>474</v>
      </c>
      <c r="L706" t="s">
        <v>43</v>
      </c>
      <c r="M706" t="s">
        <v>475</v>
      </c>
      <c r="N706" t="s">
        <v>59</v>
      </c>
      <c r="O706" t="s">
        <v>60</v>
      </c>
      <c r="P706" t="s">
        <v>61</v>
      </c>
      <c r="Q706">
        <v>43</v>
      </c>
      <c r="R706" t="s">
        <v>476</v>
      </c>
      <c r="S706" t="s">
        <v>129</v>
      </c>
      <c r="T706" s="52"/>
    </row>
    <row r="707" spans="1:20" x14ac:dyDescent="0.3">
      <c r="A707" t="s">
        <v>53</v>
      </c>
      <c r="B707" s="48">
        <v>46023</v>
      </c>
      <c r="C707" s="26"/>
      <c r="I707" t="s">
        <v>477</v>
      </c>
      <c r="J707" t="s">
        <v>478</v>
      </c>
      <c r="K707" t="s">
        <v>474</v>
      </c>
      <c r="L707" t="s">
        <v>43</v>
      </c>
      <c r="M707" t="s">
        <v>475</v>
      </c>
      <c r="N707" t="s">
        <v>59</v>
      </c>
      <c r="O707" t="s">
        <v>60</v>
      </c>
      <c r="P707" t="s">
        <v>61</v>
      </c>
      <c r="Q707">
        <v>52</v>
      </c>
      <c r="R707" t="s">
        <v>476</v>
      </c>
      <c r="S707" t="s">
        <v>129</v>
      </c>
      <c r="T707" s="52"/>
    </row>
    <row r="708" spans="1:20" x14ac:dyDescent="0.3">
      <c r="A708" t="s">
        <v>53</v>
      </c>
      <c r="B708" s="48">
        <v>46023</v>
      </c>
      <c r="C708" s="26"/>
      <c r="I708" t="s">
        <v>479</v>
      </c>
      <c r="J708" t="s">
        <v>480</v>
      </c>
      <c r="K708" t="s">
        <v>474</v>
      </c>
      <c r="L708" t="s">
        <v>43</v>
      </c>
      <c r="M708" t="s">
        <v>475</v>
      </c>
      <c r="N708" t="s">
        <v>59</v>
      </c>
      <c r="O708" t="s">
        <v>60</v>
      </c>
      <c r="P708" t="s">
        <v>61</v>
      </c>
      <c r="Q708">
        <v>253</v>
      </c>
      <c r="R708" t="s">
        <v>476</v>
      </c>
      <c r="S708" t="s">
        <v>129</v>
      </c>
      <c r="T708" s="52"/>
    </row>
    <row r="709" spans="1:20" x14ac:dyDescent="0.3">
      <c r="A709" t="s">
        <v>53</v>
      </c>
      <c r="B709" s="48">
        <v>46023</v>
      </c>
      <c r="C709" s="26"/>
      <c r="I709" t="s">
        <v>481</v>
      </c>
      <c r="J709" t="s">
        <v>482</v>
      </c>
      <c r="K709" t="s">
        <v>474</v>
      </c>
      <c r="L709" t="s">
        <v>43</v>
      </c>
      <c r="M709" t="s">
        <v>475</v>
      </c>
      <c r="N709" t="s">
        <v>59</v>
      </c>
      <c r="O709" t="s">
        <v>60</v>
      </c>
      <c r="P709" t="s">
        <v>61</v>
      </c>
      <c r="Q709">
        <v>45</v>
      </c>
      <c r="R709" t="s">
        <v>476</v>
      </c>
      <c r="S709" t="s">
        <v>129</v>
      </c>
      <c r="T709" s="52"/>
    </row>
    <row r="710" spans="1:20" x14ac:dyDescent="0.3">
      <c r="A710" t="s">
        <v>53</v>
      </c>
      <c r="B710" s="48">
        <v>46023</v>
      </c>
      <c r="C710" s="26"/>
      <c r="I710" t="s">
        <v>483</v>
      </c>
      <c r="J710" t="s">
        <v>484</v>
      </c>
      <c r="K710" t="s">
        <v>474</v>
      </c>
      <c r="L710" t="s">
        <v>43</v>
      </c>
      <c r="M710" t="s">
        <v>475</v>
      </c>
      <c r="N710" t="s">
        <v>59</v>
      </c>
      <c r="O710" t="s">
        <v>60</v>
      </c>
      <c r="P710" t="s">
        <v>61</v>
      </c>
      <c r="Q710">
        <v>146</v>
      </c>
      <c r="R710" t="s">
        <v>476</v>
      </c>
      <c r="S710" t="s">
        <v>129</v>
      </c>
      <c r="T710" s="52"/>
    </row>
    <row r="711" spans="1:20" x14ac:dyDescent="0.3">
      <c r="A711" t="s">
        <v>53</v>
      </c>
      <c r="B711" s="48">
        <v>46023</v>
      </c>
      <c r="C711" s="26"/>
      <c r="I711" t="s">
        <v>485</v>
      </c>
      <c r="J711" t="s">
        <v>486</v>
      </c>
      <c r="K711" t="s">
        <v>474</v>
      </c>
      <c r="L711" t="s">
        <v>43</v>
      </c>
      <c r="M711" t="s">
        <v>475</v>
      </c>
      <c r="N711" t="s">
        <v>59</v>
      </c>
      <c r="O711" t="s">
        <v>60</v>
      </c>
      <c r="P711" t="s">
        <v>61</v>
      </c>
      <c r="Q711">
        <v>36</v>
      </c>
      <c r="R711" t="s">
        <v>476</v>
      </c>
      <c r="S711" t="s">
        <v>129</v>
      </c>
      <c r="T711" s="52"/>
    </row>
    <row r="712" spans="1:20" x14ac:dyDescent="0.3">
      <c r="A712" t="s">
        <v>53</v>
      </c>
      <c r="B712" s="48">
        <v>46023</v>
      </c>
      <c r="C712" s="26"/>
      <c r="I712" t="s">
        <v>487</v>
      </c>
      <c r="J712" t="s">
        <v>488</v>
      </c>
      <c r="K712" t="s">
        <v>59</v>
      </c>
      <c r="L712" t="s">
        <v>43</v>
      </c>
      <c r="M712" t="s">
        <v>475</v>
      </c>
      <c r="N712" t="s">
        <v>59</v>
      </c>
      <c r="O712" t="s">
        <v>60</v>
      </c>
      <c r="P712" t="s">
        <v>61</v>
      </c>
      <c r="Q712">
        <v>8</v>
      </c>
      <c r="R712" t="s">
        <v>476</v>
      </c>
      <c r="S712" t="s">
        <v>129</v>
      </c>
      <c r="T712" s="52"/>
    </row>
    <row r="713" spans="1:20" x14ac:dyDescent="0.3">
      <c r="A713" t="s">
        <v>53</v>
      </c>
      <c r="B713" s="48">
        <v>46023</v>
      </c>
      <c r="C713" s="26"/>
      <c r="I713" t="s">
        <v>489</v>
      </c>
      <c r="J713" t="s">
        <v>490</v>
      </c>
      <c r="K713" t="s">
        <v>59</v>
      </c>
      <c r="L713" t="s">
        <v>43</v>
      </c>
      <c r="M713" t="s">
        <v>475</v>
      </c>
      <c r="N713" t="s">
        <v>59</v>
      </c>
      <c r="O713" t="s">
        <v>60</v>
      </c>
      <c r="P713" t="s">
        <v>61</v>
      </c>
      <c r="Q713">
        <v>8</v>
      </c>
      <c r="R713" t="s">
        <v>476</v>
      </c>
      <c r="S713" t="s">
        <v>129</v>
      </c>
      <c r="T713" s="52"/>
    </row>
    <row r="714" spans="1:20" x14ac:dyDescent="0.3">
      <c r="A714" t="s">
        <v>53</v>
      </c>
      <c r="B714" s="48">
        <v>46023</v>
      </c>
      <c r="C714" s="26"/>
      <c r="I714" t="s">
        <v>491</v>
      </c>
      <c r="J714" t="s">
        <v>492</v>
      </c>
      <c r="K714" t="s">
        <v>59</v>
      </c>
      <c r="L714" t="s">
        <v>43</v>
      </c>
      <c r="M714" t="s">
        <v>475</v>
      </c>
      <c r="N714" t="s">
        <v>59</v>
      </c>
      <c r="O714" t="s">
        <v>60</v>
      </c>
      <c r="P714" t="s">
        <v>61</v>
      </c>
      <c r="Q714">
        <v>77</v>
      </c>
      <c r="R714" t="s">
        <v>493</v>
      </c>
      <c r="S714" t="s">
        <v>129</v>
      </c>
      <c r="T714" s="52"/>
    </row>
    <row r="715" spans="1:20" x14ac:dyDescent="0.3">
      <c r="A715" t="s">
        <v>53</v>
      </c>
      <c r="B715" s="48">
        <v>46023</v>
      </c>
      <c r="C715" s="26"/>
      <c r="I715" t="s">
        <v>494</v>
      </c>
      <c r="J715" t="s">
        <v>495</v>
      </c>
      <c r="K715" t="s">
        <v>59</v>
      </c>
      <c r="L715" t="s">
        <v>43</v>
      </c>
      <c r="M715" t="s">
        <v>475</v>
      </c>
      <c r="N715" t="s">
        <v>59</v>
      </c>
      <c r="O715" t="s">
        <v>60</v>
      </c>
      <c r="P715" t="s">
        <v>61</v>
      </c>
      <c r="Q715">
        <v>91</v>
      </c>
      <c r="R715" t="s">
        <v>493</v>
      </c>
      <c r="S715" t="s">
        <v>129</v>
      </c>
      <c r="T715" s="52"/>
    </row>
    <row r="716" spans="1:20" x14ac:dyDescent="0.3">
      <c r="A716" t="s">
        <v>53</v>
      </c>
      <c r="B716" s="48">
        <v>46023</v>
      </c>
      <c r="C716" s="26"/>
      <c r="I716" t="s">
        <v>496</v>
      </c>
      <c r="J716" t="s">
        <v>497</v>
      </c>
      <c r="K716" t="s">
        <v>59</v>
      </c>
      <c r="L716" t="s">
        <v>43</v>
      </c>
      <c r="M716" t="s">
        <v>475</v>
      </c>
      <c r="N716" t="s">
        <v>59</v>
      </c>
      <c r="O716" t="s">
        <v>60</v>
      </c>
      <c r="P716" t="s">
        <v>61</v>
      </c>
      <c r="Q716">
        <v>73</v>
      </c>
      <c r="R716" t="s">
        <v>493</v>
      </c>
      <c r="S716" t="s">
        <v>129</v>
      </c>
      <c r="T716" s="52"/>
    </row>
    <row r="717" spans="1:20" x14ac:dyDescent="0.3">
      <c r="A717" t="s">
        <v>53</v>
      </c>
      <c r="B717" s="48">
        <v>46023</v>
      </c>
      <c r="C717" s="26"/>
      <c r="I717" t="s">
        <v>498</v>
      </c>
      <c r="J717" t="s">
        <v>499</v>
      </c>
      <c r="K717" t="s">
        <v>59</v>
      </c>
      <c r="L717" t="s">
        <v>43</v>
      </c>
      <c r="M717" t="s">
        <v>475</v>
      </c>
      <c r="N717" t="s">
        <v>59</v>
      </c>
      <c r="O717" t="s">
        <v>60</v>
      </c>
      <c r="P717" t="s">
        <v>61</v>
      </c>
      <c r="Q717">
        <v>84</v>
      </c>
      <c r="R717" t="s">
        <v>493</v>
      </c>
      <c r="S717" t="s">
        <v>129</v>
      </c>
      <c r="T717" s="52"/>
    </row>
    <row r="718" spans="1:20" x14ac:dyDescent="0.3">
      <c r="A718" t="s">
        <v>53</v>
      </c>
      <c r="B718" s="48">
        <v>46023</v>
      </c>
      <c r="C718" s="26"/>
      <c r="I718" t="s">
        <v>500</v>
      </c>
      <c r="J718" t="s">
        <v>501</v>
      </c>
      <c r="K718" t="s">
        <v>59</v>
      </c>
      <c r="L718" t="s">
        <v>43</v>
      </c>
      <c r="M718" t="s">
        <v>475</v>
      </c>
      <c r="N718" t="s">
        <v>59</v>
      </c>
      <c r="O718" t="s">
        <v>60</v>
      </c>
      <c r="P718" t="s">
        <v>61</v>
      </c>
      <c r="Q718">
        <v>58</v>
      </c>
      <c r="R718" t="s">
        <v>493</v>
      </c>
      <c r="S718" t="s">
        <v>129</v>
      </c>
      <c r="T718" s="52"/>
    </row>
    <row r="719" spans="1:20" x14ac:dyDescent="0.3">
      <c r="A719" t="s">
        <v>53</v>
      </c>
      <c r="B719" s="48">
        <v>46023</v>
      </c>
      <c r="C719" s="26"/>
      <c r="I719" t="s">
        <v>502</v>
      </c>
      <c r="J719" t="s">
        <v>503</v>
      </c>
      <c r="K719" t="s">
        <v>59</v>
      </c>
      <c r="L719" t="s">
        <v>43</v>
      </c>
      <c r="M719" t="s">
        <v>475</v>
      </c>
      <c r="N719" t="s">
        <v>59</v>
      </c>
      <c r="O719" t="s">
        <v>60</v>
      </c>
      <c r="P719" t="s">
        <v>61</v>
      </c>
      <c r="Q719">
        <v>31</v>
      </c>
      <c r="R719" t="s">
        <v>493</v>
      </c>
      <c r="S719" t="s">
        <v>129</v>
      </c>
      <c r="T719" s="52"/>
    </row>
    <row r="720" spans="1:20" x14ac:dyDescent="0.3">
      <c r="A720" t="s">
        <v>53</v>
      </c>
      <c r="B720" s="48">
        <v>46023</v>
      </c>
      <c r="C720" s="26"/>
      <c r="I720" t="s">
        <v>504</v>
      </c>
      <c r="J720" t="s">
        <v>505</v>
      </c>
      <c r="K720" t="s">
        <v>59</v>
      </c>
      <c r="L720" t="s">
        <v>43</v>
      </c>
      <c r="M720" t="s">
        <v>475</v>
      </c>
      <c r="N720" t="s">
        <v>59</v>
      </c>
      <c r="O720" t="s">
        <v>60</v>
      </c>
      <c r="P720" t="s">
        <v>61</v>
      </c>
      <c r="Q720">
        <v>29</v>
      </c>
      <c r="R720" t="s">
        <v>493</v>
      </c>
      <c r="S720" t="s">
        <v>129</v>
      </c>
      <c r="T720" s="52"/>
    </row>
    <row r="721" spans="1:20" x14ac:dyDescent="0.3">
      <c r="A721" t="s">
        <v>53</v>
      </c>
      <c r="B721" s="48">
        <v>46023</v>
      </c>
      <c r="C721" s="26"/>
      <c r="I721" t="s">
        <v>506</v>
      </c>
      <c r="J721" t="s">
        <v>507</v>
      </c>
      <c r="K721" t="s">
        <v>59</v>
      </c>
      <c r="L721" t="s">
        <v>43</v>
      </c>
      <c r="M721" t="s">
        <v>475</v>
      </c>
      <c r="N721" t="s">
        <v>59</v>
      </c>
      <c r="O721" t="s">
        <v>60</v>
      </c>
      <c r="P721" t="s">
        <v>61</v>
      </c>
      <c r="Q721">
        <v>4</v>
      </c>
      <c r="R721" t="s">
        <v>493</v>
      </c>
      <c r="S721" t="s">
        <v>129</v>
      </c>
      <c r="T721" s="52"/>
    </row>
    <row r="722" spans="1:20" x14ac:dyDescent="0.3">
      <c r="A722" t="s">
        <v>53</v>
      </c>
      <c r="B722" s="48">
        <v>46023</v>
      </c>
      <c r="C722" s="26"/>
      <c r="I722" t="s">
        <v>508</v>
      </c>
      <c r="J722" t="s">
        <v>484</v>
      </c>
      <c r="K722" t="s">
        <v>474</v>
      </c>
      <c r="L722" t="s">
        <v>43</v>
      </c>
      <c r="M722" t="s">
        <v>475</v>
      </c>
      <c r="N722" t="s">
        <v>59</v>
      </c>
      <c r="O722" t="s">
        <v>116</v>
      </c>
      <c r="P722" t="s">
        <v>61</v>
      </c>
      <c r="Q722">
        <v>163</v>
      </c>
      <c r="R722" t="s">
        <v>493</v>
      </c>
      <c r="S722" t="s">
        <v>129</v>
      </c>
      <c r="T722" s="52"/>
    </row>
    <row r="723" spans="1:20" x14ac:dyDescent="0.3">
      <c r="A723" t="s">
        <v>53</v>
      </c>
      <c r="B723" s="48">
        <v>46023</v>
      </c>
      <c r="C723" s="26"/>
      <c r="I723" t="s">
        <v>509</v>
      </c>
      <c r="J723" t="s">
        <v>480</v>
      </c>
      <c r="K723" t="s">
        <v>474</v>
      </c>
      <c r="L723" t="s">
        <v>43</v>
      </c>
      <c r="M723" t="s">
        <v>475</v>
      </c>
      <c r="N723" t="s">
        <v>59</v>
      </c>
      <c r="O723" t="s">
        <v>116</v>
      </c>
      <c r="P723" t="s">
        <v>61</v>
      </c>
      <c r="Q723">
        <v>5</v>
      </c>
      <c r="R723" t="s">
        <v>493</v>
      </c>
      <c r="S723" t="s">
        <v>129</v>
      </c>
      <c r="T723" s="52"/>
    </row>
    <row r="724" spans="1:20" x14ac:dyDescent="0.3">
      <c r="A724" t="s">
        <v>53</v>
      </c>
      <c r="B724" s="48">
        <v>46023</v>
      </c>
      <c r="C724" s="26"/>
      <c r="I724" t="s">
        <v>510</v>
      </c>
      <c r="J724" t="s">
        <v>478</v>
      </c>
      <c r="K724" t="s">
        <v>474</v>
      </c>
      <c r="L724" t="s">
        <v>43</v>
      </c>
      <c r="M724" t="s">
        <v>475</v>
      </c>
      <c r="N724" t="s">
        <v>59</v>
      </c>
      <c r="O724" t="s">
        <v>116</v>
      </c>
      <c r="P724" t="s">
        <v>61</v>
      </c>
      <c r="Q724">
        <v>10</v>
      </c>
      <c r="R724" t="s">
        <v>493</v>
      </c>
      <c r="S724" t="s">
        <v>129</v>
      </c>
      <c r="T724" s="52"/>
    </row>
    <row r="725" spans="1:20" x14ac:dyDescent="0.3">
      <c r="A725" t="s">
        <v>53</v>
      </c>
      <c r="B725" s="48">
        <v>46023</v>
      </c>
      <c r="C725" s="26"/>
      <c r="I725" t="s">
        <v>511</v>
      </c>
      <c r="J725" t="s">
        <v>512</v>
      </c>
      <c r="K725" t="s">
        <v>474</v>
      </c>
      <c r="L725" t="s">
        <v>43</v>
      </c>
      <c r="M725" t="s">
        <v>475</v>
      </c>
      <c r="N725" t="s">
        <v>59</v>
      </c>
      <c r="O725" t="s">
        <v>60</v>
      </c>
      <c r="P725" t="s">
        <v>61</v>
      </c>
      <c r="Q725">
        <v>49</v>
      </c>
      <c r="R725" t="s">
        <v>493</v>
      </c>
      <c r="S725" t="s">
        <v>129</v>
      </c>
      <c r="T725" s="52"/>
    </row>
    <row r="726" spans="1:20" x14ac:dyDescent="0.3">
      <c r="A726" t="s">
        <v>53</v>
      </c>
      <c r="B726" s="48">
        <v>46023</v>
      </c>
      <c r="C726" s="26"/>
      <c r="I726" t="s">
        <v>513</v>
      </c>
      <c r="J726" t="s">
        <v>514</v>
      </c>
      <c r="K726" t="s">
        <v>474</v>
      </c>
      <c r="L726" t="s">
        <v>43</v>
      </c>
      <c r="M726" t="s">
        <v>475</v>
      </c>
      <c r="N726" t="s">
        <v>59</v>
      </c>
      <c r="O726" t="s">
        <v>60</v>
      </c>
      <c r="P726" t="s">
        <v>61</v>
      </c>
      <c r="Q726">
        <v>81</v>
      </c>
      <c r="R726" t="s">
        <v>493</v>
      </c>
      <c r="S726" t="s">
        <v>129</v>
      </c>
      <c r="T726" s="52"/>
    </row>
    <row r="727" spans="1:20" x14ac:dyDescent="0.3">
      <c r="A727" t="s">
        <v>53</v>
      </c>
      <c r="B727" s="48">
        <v>46023</v>
      </c>
      <c r="C727" s="26"/>
      <c r="I727" t="s">
        <v>515</v>
      </c>
      <c r="J727" t="s">
        <v>516</v>
      </c>
      <c r="K727" t="s">
        <v>59</v>
      </c>
      <c r="L727" t="s">
        <v>43</v>
      </c>
      <c r="M727" t="s">
        <v>475</v>
      </c>
      <c r="N727" t="s">
        <v>59</v>
      </c>
      <c r="O727" t="s">
        <v>116</v>
      </c>
      <c r="P727" t="s">
        <v>61</v>
      </c>
      <c r="Q727">
        <v>7</v>
      </c>
      <c r="R727" t="s">
        <v>493</v>
      </c>
      <c r="S727" t="s">
        <v>129</v>
      </c>
      <c r="T727" s="52"/>
    </row>
    <row r="728" spans="1:20" x14ac:dyDescent="0.3">
      <c r="A728" t="s">
        <v>53</v>
      </c>
      <c r="B728" s="48">
        <v>46023</v>
      </c>
      <c r="C728" s="26"/>
      <c r="I728" t="s">
        <v>517</v>
      </c>
      <c r="J728" t="s">
        <v>518</v>
      </c>
      <c r="K728" t="s">
        <v>474</v>
      </c>
      <c r="L728" t="s">
        <v>43</v>
      </c>
      <c r="M728" t="s">
        <v>475</v>
      </c>
      <c r="N728" t="s">
        <v>59</v>
      </c>
      <c r="O728" t="s">
        <v>60</v>
      </c>
      <c r="P728" t="s">
        <v>61</v>
      </c>
      <c r="Q728">
        <v>144</v>
      </c>
      <c r="R728" t="s">
        <v>493</v>
      </c>
      <c r="S728" t="s">
        <v>129</v>
      </c>
      <c r="T728" s="52"/>
    </row>
    <row r="729" spans="1:20" x14ac:dyDescent="0.3">
      <c r="A729" t="s">
        <v>53</v>
      </c>
      <c r="B729" s="48">
        <v>46023</v>
      </c>
      <c r="C729" s="26"/>
      <c r="I729" t="s">
        <v>519</v>
      </c>
      <c r="J729" t="s">
        <v>520</v>
      </c>
      <c r="K729" t="s">
        <v>474</v>
      </c>
      <c r="L729" t="s">
        <v>43</v>
      </c>
      <c r="M729" t="s">
        <v>475</v>
      </c>
      <c r="N729" t="s">
        <v>59</v>
      </c>
      <c r="O729" t="s">
        <v>60</v>
      </c>
      <c r="P729" t="s">
        <v>61</v>
      </c>
      <c r="Q729">
        <v>133</v>
      </c>
      <c r="R729" t="s">
        <v>493</v>
      </c>
      <c r="S729" t="s">
        <v>129</v>
      </c>
      <c r="T729" s="52"/>
    </row>
    <row r="730" spans="1:20" x14ac:dyDescent="0.3">
      <c r="A730" t="s">
        <v>53</v>
      </c>
      <c r="B730" s="48">
        <v>46023</v>
      </c>
      <c r="C730" s="26"/>
      <c r="I730" t="s">
        <v>521</v>
      </c>
      <c r="J730" t="s">
        <v>522</v>
      </c>
      <c r="K730" t="s">
        <v>474</v>
      </c>
      <c r="L730" t="s">
        <v>43</v>
      </c>
      <c r="M730" t="s">
        <v>475</v>
      </c>
      <c r="N730" t="s">
        <v>59</v>
      </c>
      <c r="O730" t="s">
        <v>116</v>
      </c>
      <c r="P730" t="s">
        <v>61</v>
      </c>
      <c r="Q730">
        <v>1</v>
      </c>
      <c r="R730" t="s">
        <v>493</v>
      </c>
      <c r="S730" t="s">
        <v>129</v>
      </c>
      <c r="T730" s="52"/>
    </row>
    <row r="731" spans="1:20" x14ac:dyDescent="0.3">
      <c r="A731" t="s">
        <v>53</v>
      </c>
      <c r="B731" s="48">
        <v>46023</v>
      </c>
      <c r="C731" s="26"/>
      <c r="I731" t="s">
        <v>523</v>
      </c>
      <c r="J731" t="s">
        <v>524</v>
      </c>
      <c r="K731" t="s">
        <v>474</v>
      </c>
      <c r="L731" t="s">
        <v>43</v>
      </c>
      <c r="M731" t="s">
        <v>475</v>
      </c>
      <c r="N731" t="s">
        <v>59</v>
      </c>
      <c r="O731" t="s">
        <v>60</v>
      </c>
      <c r="P731" t="s">
        <v>61</v>
      </c>
      <c r="Q731">
        <v>279</v>
      </c>
      <c r="R731" t="s">
        <v>493</v>
      </c>
      <c r="S731" t="s">
        <v>129</v>
      </c>
      <c r="T731" s="52"/>
    </row>
    <row r="732" spans="1:20" x14ac:dyDescent="0.3">
      <c r="A732" t="s">
        <v>53</v>
      </c>
      <c r="B732" s="48">
        <v>46023</v>
      </c>
      <c r="C732" s="26"/>
      <c r="I732" t="s">
        <v>525</v>
      </c>
      <c r="J732" t="s">
        <v>526</v>
      </c>
      <c r="K732" t="s">
        <v>474</v>
      </c>
      <c r="L732" t="s">
        <v>43</v>
      </c>
      <c r="M732" t="s">
        <v>475</v>
      </c>
      <c r="N732" t="s">
        <v>59</v>
      </c>
      <c r="O732" t="s">
        <v>60</v>
      </c>
      <c r="P732" t="s">
        <v>61</v>
      </c>
      <c r="Q732">
        <v>2</v>
      </c>
      <c r="R732" t="s">
        <v>493</v>
      </c>
      <c r="S732" t="s">
        <v>129</v>
      </c>
      <c r="T732" s="52"/>
    </row>
    <row r="733" spans="1:20" x14ac:dyDescent="0.3">
      <c r="A733" t="s">
        <v>53</v>
      </c>
      <c r="B733" s="48">
        <v>46023</v>
      </c>
      <c r="C733" s="26"/>
      <c r="I733" t="s">
        <v>42</v>
      </c>
      <c r="J733" t="s">
        <v>527</v>
      </c>
      <c r="K733" t="s">
        <v>474</v>
      </c>
      <c r="L733" t="s">
        <v>43</v>
      </c>
      <c r="M733" t="s">
        <v>475</v>
      </c>
      <c r="N733" t="s">
        <v>59</v>
      </c>
      <c r="O733" t="s">
        <v>60</v>
      </c>
      <c r="P733" t="s">
        <v>61</v>
      </c>
      <c r="Q733">
        <v>42</v>
      </c>
      <c r="R733" t="s">
        <v>493</v>
      </c>
      <c r="S733" t="s">
        <v>129</v>
      </c>
      <c r="T733" s="52"/>
    </row>
    <row r="734" spans="1:20" x14ac:dyDescent="0.3">
      <c r="A734" t="s">
        <v>53</v>
      </c>
      <c r="B734" s="48">
        <v>46023</v>
      </c>
      <c r="C734" s="26"/>
      <c r="I734" t="s">
        <v>45</v>
      </c>
      <c r="J734" t="s">
        <v>528</v>
      </c>
      <c r="K734" t="s">
        <v>474</v>
      </c>
      <c r="L734" t="s">
        <v>43</v>
      </c>
      <c r="M734" t="s">
        <v>475</v>
      </c>
      <c r="N734" t="s">
        <v>59</v>
      </c>
      <c r="O734" t="s">
        <v>116</v>
      </c>
      <c r="P734" t="s">
        <v>61</v>
      </c>
      <c r="Q734">
        <v>166</v>
      </c>
      <c r="R734" t="s">
        <v>493</v>
      </c>
      <c r="S734" t="s">
        <v>129</v>
      </c>
      <c r="T734" s="52"/>
    </row>
    <row r="735" spans="1:20" x14ac:dyDescent="0.3">
      <c r="A735" t="s">
        <v>53</v>
      </c>
      <c r="B735" s="48">
        <v>46023</v>
      </c>
      <c r="C735" s="26"/>
      <c r="I735" t="s">
        <v>46</v>
      </c>
      <c r="J735" t="s">
        <v>529</v>
      </c>
      <c r="K735" t="s">
        <v>474</v>
      </c>
      <c r="L735" t="s">
        <v>43</v>
      </c>
      <c r="M735" t="s">
        <v>475</v>
      </c>
      <c r="N735" t="s">
        <v>59</v>
      </c>
      <c r="O735" t="s">
        <v>116</v>
      </c>
      <c r="P735" t="s">
        <v>61</v>
      </c>
      <c r="Q735">
        <v>3</v>
      </c>
      <c r="R735" t="s">
        <v>493</v>
      </c>
      <c r="S735" t="s">
        <v>129</v>
      </c>
      <c r="T735" s="52"/>
    </row>
    <row r="736" spans="1:20" x14ac:dyDescent="0.3">
      <c r="A736" t="s">
        <v>53</v>
      </c>
      <c r="B736" s="48">
        <v>46023</v>
      </c>
      <c r="C736" s="26"/>
      <c r="I736" t="s">
        <v>49</v>
      </c>
      <c r="J736" t="s">
        <v>530</v>
      </c>
      <c r="K736" t="s">
        <v>531</v>
      </c>
      <c r="L736" t="s">
        <v>43</v>
      </c>
      <c r="M736" t="s">
        <v>475</v>
      </c>
      <c r="N736" t="s">
        <v>59</v>
      </c>
      <c r="O736" t="s">
        <v>116</v>
      </c>
      <c r="P736" t="s">
        <v>61</v>
      </c>
      <c r="Q736">
        <v>2</v>
      </c>
      <c r="R736" t="s">
        <v>493</v>
      </c>
      <c r="S736" t="s">
        <v>129</v>
      </c>
      <c r="T736" s="52"/>
    </row>
    <row r="737" spans="1:20" x14ac:dyDescent="0.3">
      <c r="A737" t="s">
        <v>53</v>
      </c>
      <c r="B737" s="48">
        <v>46023</v>
      </c>
      <c r="C737" s="26"/>
      <c r="I737" t="s">
        <v>50</v>
      </c>
      <c r="J737" t="s">
        <v>532</v>
      </c>
      <c r="K737" t="s">
        <v>59</v>
      </c>
      <c r="L737" t="s">
        <v>43</v>
      </c>
      <c r="M737" t="s">
        <v>475</v>
      </c>
      <c r="N737" t="s">
        <v>59</v>
      </c>
      <c r="O737" t="s">
        <v>60</v>
      </c>
      <c r="P737" t="s">
        <v>61</v>
      </c>
      <c r="Q737">
        <v>8</v>
      </c>
      <c r="R737" t="s">
        <v>493</v>
      </c>
      <c r="S737" t="s">
        <v>129</v>
      </c>
      <c r="T737" s="52"/>
    </row>
    <row r="738" spans="1:20" x14ac:dyDescent="0.3">
      <c r="A738" t="s">
        <v>53</v>
      </c>
      <c r="B738" s="48">
        <v>46023</v>
      </c>
      <c r="C738" s="26"/>
      <c r="I738" t="s">
        <v>51</v>
      </c>
      <c r="J738" t="s">
        <v>533</v>
      </c>
      <c r="K738" t="s">
        <v>474</v>
      </c>
      <c r="L738" t="s">
        <v>43</v>
      </c>
      <c r="M738" t="s">
        <v>475</v>
      </c>
      <c r="N738" t="s">
        <v>59</v>
      </c>
      <c r="O738" t="s">
        <v>60</v>
      </c>
      <c r="P738" t="s">
        <v>61</v>
      </c>
      <c r="Q738">
        <v>42</v>
      </c>
      <c r="R738" t="s">
        <v>493</v>
      </c>
      <c r="S738" t="s">
        <v>129</v>
      </c>
      <c r="T738" s="52"/>
    </row>
    <row r="739" spans="1:20" x14ac:dyDescent="0.3">
      <c r="A739" t="s">
        <v>53</v>
      </c>
      <c r="B739" s="48">
        <v>46023</v>
      </c>
      <c r="C739" s="26"/>
      <c r="I739" t="s">
        <v>534</v>
      </c>
      <c r="J739" t="s">
        <v>535</v>
      </c>
      <c r="K739" t="s">
        <v>474</v>
      </c>
      <c r="L739" t="s">
        <v>43</v>
      </c>
      <c r="M739" t="s">
        <v>475</v>
      </c>
      <c r="N739" t="s">
        <v>59</v>
      </c>
      <c r="O739" t="s">
        <v>60</v>
      </c>
      <c r="P739" t="s">
        <v>61</v>
      </c>
      <c r="Q739">
        <v>146</v>
      </c>
      <c r="R739" t="s">
        <v>493</v>
      </c>
      <c r="S739" t="s">
        <v>129</v>
      </c>
      <c r="T739" s="52"/>
    </row>
    <row r="740" spans="1:20" x14ac:dyDescent="0.3">
      <c r="A740" t="s">
        <v>53</v>
      </c>
      <c r="B740" s="48">
        <v>46023</v>
      </c>
      <c r="C740" s="26"/>
      <c r="I740" t="s">
        <v>536</v>
      </c>
      <c r="J740" t="s">
        <v>537</v>
      </c>
      <c r="K740" t="s">
        <v>474</v>
      </c>
      <c r="L740" t="s">
        <v>43</v>
      </c>
      <c r="M740" t="s">
        <v>475</v>
      </c>
      <c r="N740" t="s">
        <v>59</v>
      </c>
      <c r="O740" t="s">
        <v>60</v>
      </c>
      <c r="P740" t="s">
        <v>61</v>
      </c>
      <c r="Q740">
        <v>34</v>
      </c>
      <c r="R740" t="s">
        <v>493</v>
      </c>
      <c r="S740" t="s">
        <v>129</v>
      </c>
      <c r="T740" s="52"/>
    </row>
    <row r="741" spans="1:20" x14ac:dyDescent="0.3">
      <c r="A741" t="s">
        <v>53</v>
      </c>
      <c r="B741" s="48">
        <v>46023</v>
      </c>
      <c r="C741" s="26"/>
      <c r="I741" t="s">
        <v>538</v>
      </c>
      <c r="J741" t="s">
        <v>539</v>
      </c>
      <c r="K741" t="s">
        <v>474</v>
      </c>
      <c r="L741" t="s">
        <v>43</v>
      </c>
      <c r="M741" t="s">
        <v>475</v>
      </c>
      <c r="N741" t="s">
        <v>59</v>
      </c>
      <c r="O741" t="s">
        <v>60</v>
      </c>
      <c r="P741" t="s">
        <v>61</v>
      </c>
      <c r="Q741">
        <v>3</v>
      </c>
      <c r="R741" t="s">
        <v>493</v>
      </c>
      <c r="S741" t="s">
        <v>129</v>
      </c>
      <c r="T741" s="52"/>
    </row>
    <row r="742" spans="1:20" x14ac:dyDescent="0.3">
      <c r="A742" t="s">
        <v>53</v>
      </c>
      <c r="B742" s="48">
        <v>46023</v>
      </c>
      <c r="C742" s="26"/>
      <c r="I742" t="s">
        <v>540</v>
      </c>
      <c r="J742" t="s">
        <v>541</v>
      </c>
      <c r="K742" t="s">
        <v>474</v>
      </c>
      <c r="L742" t="s">
        <v>43</v>
      </c>
      <c r="M742" t="s">
        <v>475</v>
      </c>
      <c r="N742" t="s">
        <v>59</v>
      </c>
      <c r="O742" t="s">
        <v>60</v>
      </c>
      <c r="P742" t="s">
        <v>61</v>
      </c>
      <c r="Q742">
        <v>49</v>
      </c>
      <c r="R742" t="s">
        <v>493</v>
      </c>
      <c r="S742" t="s">
        <v>129</v>
      </c>
      <c r="T742" s="52"/>
    </row>
    <row r="743" spans="1:20" x14ac:dyDescent="0.3">
      <c r="A743" t="s">
        <v>53</v>
      </c>
      <c r="B743" s="48">
        <v>46023</v>
      </c>
      <c r="C743" s="26"/>
      <c r="I743" t="s">
        <v>542</v>
      </c>
      <c r="J743" t="s">
        <v>543</v>
      </c>
      <c r="K743" t="s">
        <v>474</v>
      </c>
      <c r="L743" t="s">
        <v>43</v>
      </c>
      <c r="M743" t="s">
        <v>475</v>
      </c>
      <c r="N743" t="s">
        <v>59</v>
      </c>
      <c r="O743" t="s">
        <v>60</v>
      </c>
      <c r="P743" t="s">
        <v>61</v>
      </c>
      <c r="Q743">
        <v>90</v>
      </c>
      <c r="R743" t="s">
        <v>493</v>
      </c>
      <c r="S743" t="s">
        <v>129</v>
      </c>
      <c r="T743" s="52"/>
    </row>
    <row r="744" spans="1:20" x14ac:dyDescent="0.3">
      <c r="A744" t="s">
        <v>53</v>
      </c>
      <c r="B744" s="48">
        <v>46023</v>
      </c>
      <c r="C744" s="26"/>
      <c r="I744" t="s">
        <v>544</v>
      </c>
      <c r="J744" t="s">
        <v>533</v>
      </c>
      <c r="K744" t="s">
        <v>474</v>
      </c>
      <c r="L744" t="s">
        <v>43</v>
      </c>
      <c r="M744" t="s">
        <v>475</v>
      </c>
      <c r="N744" t="s">
        <v>59</v>
      </c>
      <c r="O744" t="s">
        <v>60</v>
      </c>
      <c r="P744" t="s">
        <v>61</v>
      </c>
      <c r="Q744">
        <v>5</v>
      </c>
      <c r="R744" t="s">
        <v>493</v>
      </c>
      <c r="S744" t="s">
        <v>129</v>
      </c>
      <c r="T744" s="52"/>
    </row>
    <row r="745" spans="1:20" x14ac:dyDescent="0.3">
      <c r="A745" t="s">
        <v>53</v>
      </c>
      <c r="B745" s="48">
        <v>46023</v>
      </c>
      <c r="C745" s="26"/>
      <c r="I745" t="s">
        <v>545</v>
      </c>
      <c r="J745" t="s">
        <v>546</v>
      </c>
      <c r="K745" t="s">
        <v>59</v>
      </c>
      <c r="L745" t="s">
        <v>43</v>
      </c>
      <c r="M745" t="s">
        <v>475</v>
      </c>
      <c r="N745" t="s">
        <v>59</v>
      </c>
      <c r="O745" t="s">
        <v>60</v>
      </c>
      <c r="P745" t="s">
        <v>61</v>
      </c>
      <c r="Q745">
        <v>1</v>
      </c>
      <c r="R745" t="s">
        <v>547</v>
      </c>
      <c r="S745" t="s">
        <v>129</v>
      </c>
      <c r="T745" s="52"/>
    </row>
    <row r="746" spans="1:20" x14ac:dyDescent="0.3">
      <c r="A746" t="s">
        <v>53</v>
      </c>
      <c r="B746" s="48">
        <v>46023</v>
      </c>
      <c r="C746" s="26"/>
      <c r="I746" t="s">
        <v>548</v>
      </c>
      <c r="J746" t="s">
        <v>549</v>
      </c>
      <c r="K746" t="s">
        <v>59</v>
      </c>
      <c r="L746" t="s">
        <v>43</v>
      </c>
      <c r="M746" t="s">
        <v>475</v>
      </c>
      <c r="N746" t="s">
        <v>59</v>
      </c>
      <c r="O746" t="s">
        <v>60</v>
      </c>
      <c r="P746" t="s">
        <v>61</v>
      </c>
      <c r="Q746">
        <v>5</v>
      </c>
      <c r="R746" t="s">
        <v>547</v>
      </c>
      <c r="S746" t="s">
        <v>129</v>
      </c>
      <c r="T746" s="52"/>
    </row>
    <row r="747" spans="1:20" x14ac:dyDescent="0.3">
      <c r="A747" t="s">
        <v>53</v>
      </c>
      <c r="B747" s="48">
        <v>46023</v>
      </c>
      <c r="C747" s="26"/>
      <c r="I747" t="s">
        <v>550</v>
      </c>
      <c r="J747" t="s">
        <v>551</v>
      </c>
      <c r="K747" t="s">
        <v>59</v>
      </c>
      <c r="L747" t="s">
        <v>43</v>
      </c>
      <c r="M747" t="s">
        <v>475</v>
      </c>
      <c r="N747" t="s">
        <v>59</v>
      </c>
      <c r="O747" t="s">
        <v>60</v>
      </c>
      <c r="P747" t="s">
        <v>61</v>
      </c>
      <c r="Q747">
        <v>15</v>
      </c>
      <c r="R747" t="s">
        <v>547</v>
      </c>
      <c r="S747" t="s">
        <v>129</v>
      </c>
      <c r="T747" s="52"/>
    </row>
    <row r="748" spans="1:20" x14ac:dyDescent="0.3">
      <c r="A748" t="s">
        <v>53</v>
      </c>
      <c r="B748" s="48">
        <v>46023</v>
      </c>
      <c r="C748" s="26"/>
      <c r="I748" t="s">
        <v>552</v>
      </c>
      <c r="J748" t="s">
        <v>553</v>
      </c>
      <c r="K748" t="s">
        <v>474</v>
      </c>
      <c r="L748" t="s">
        <v>43</v>
      </c>
      <c r="M748" t="s">
        <v>475</v>
      </c>
      <c r="N748" t="s">
        <v>59</v>
      </c>
      <c r="O748" t="s">
        <v>60</v>
      </c>
      <c r="P748" t="s">
        <v>61</v>
      </c>
      <c r="Q748">
        <v>123</v>
      </c>
      <c r="R748" t="s">
        <v>547</v>
      </c>
      <c r="S748" t="s">
        <v>129</v>
      </c>
      <c r="T748" s="52"/>
    </row>
    <row r="749" spans="1:20" x14ac:dyDescent="0.3">
      <c r="A749" t="s">
        <v>53</v>
      </c>
      <c r="B749" s="48">
        <v>46023</v>
      </c>
      <c r="C749" s="26"/>
      <c r="I749" t="s">
        <v>554</v>
      </c>
      <c r="J749" t="s">
        <v>555</v>
      </c>
      <c r="K749" t="s">
        <v>59</v>
      </c>
      <c r="L749" t="s">
        <v>43</v>
      </c>
      <c r="M749" t="s">
        <v>475</v>
      </c>
      <c r="N749" t="s">
        <v>59</v>
      </c>
      <c r="O749" t="s">
        <v>60</v>
      </c>
      <c r="P749" t="s">
        <v>61</v>
      </c>
      <c r="Q749">
        <v>2</v>
      </c>
      <c r="R749" t="s">
        <v>547</v>
      </c>
      <c r="S749" t="s">
        <v>129</v>
      </c>
      <c r="T749" s="52"/>
    </row>
    <row r="750" spans="1:20" x14ac:dyDescent="0.3">
      <c r="A750" t="s">
        <v>53</v>
      </c>
      <c r="B750" s="48">
        <v>46023</v>
      </c>
      <c r="C750" s="26"/>
      <c r="I750" t="s">
        <v>556</v>
      </c>
      <c r="J750" t="s">
        <v>557</v>
      </c>
      <c r="K750" t="s">
        <v>59</v>
      </c>
      <c r="L750" t="s">
        <v>43</v>
      </c>
      <c r="M750" t="s">
        <v>475</v>
      </c>
      <c r="N750" t="s">
        <v>59</v>
      </c>
      <c r="O750" t="s">
        <v>60</v>
      </c>
      <c r="P750" t="s">
        <v>61</v>
      </c>
      <c r="Q750">
        <v>10</v>
      </c>
      <c r="R750" t="s">
        <v>547</v>
      </c>
      <c r="S750" t="s">
        <v>129</v>
      </c>
      <c r="T750" s="52"/>
    </row>
    <row r="751" spans="1:20" x14ac:dyDescent="0.3">
      <c r="A751" t="s">
        <v>53</v>
      </c>
      <c r="B751" s="48">
        <v>46023</v>
      </c>
      <c r="C751" s="26"/>
      <c r="I751" t="s">
        <v>558</v>
      </c>
      <c r="J751" t="s">
        <v>559</v>
      </c>
      <c r="K751" t="s">
        <v>59</v>
      </c>
      <c r="L751" t="s">
        <v>43</v>
      </c>
      <c r="M751" t="s">
        <v>475</v>
      </c>
      <c r="N751" t="s">
        <v>59</v>
      </c>
      <c r="O751" t="s">
        <v>60</v>
      </c>
      <c r="P751" t="s">
        <v>61</v>
      </c>
      <c r="Q751">
        <v>11</v>
      </c>
      <c r="R751" t="s">
        <v>547</v>
      </c>
      <c r="S751" t="s">
        <v>129</v>
      </c>
      <c r="T751" s="52"/>
    </row>
    <row r="752" spans="1:20" x14ac:dyDescent="0.3">
      <c r="A752" t="s">
        <v>53</v>
      </c>
      <c r="B752" s="48">
        <v>46023</v>
      </c>
      <c r="C752" s="26"/>
      <c r="I752" t="s">
        <v>560</v>
      </c>
      <c r="J752" t="s">
        <v>561</v>
      </c>
      <c r="K752" t="s">
        <v>59</v>
      </c>
      <c r="L752" t="s">
        <v>43</v>
      </c>
      <c r="M752" t="s">
        <v>475</v>
      </c>
      <c r="N752" t="s">
        <v>59</v>
      </c>
      <c r="O752" t="s">
        <v>60</v>
      </c>
      <c r="P752" t="s">
        <v>61</v>
      </c>
      <c r="Q752">
        <v>3</v>
      </c>
      <c r="R752" t="s">
        <v>547</v>
      </c>
      <c r="S752" t="s">
        <v>129</v>
      </c>
      <c r="T752" s="52"/>
    </row>
    <row r="753" spans="1:20" x14ac:dyDescent="0.3">
      <c r="A753" t="s">
        <v>53</v>
      </c>
      <c r="B753" s="48">
        <v>46023</v>
      </c>
      <c r="C753" s="26"/>
      <c r="I753" t="s">
        <v>562</v>
      </c>
      <c r="J753" t="s">
        <v>563</v>
      </c>
      <c r="K753" t="s">
        <v>59</v>
      </c>
      <c r="L753" t="s">
        <v>43</v>
      </c>
      <c r="M753" t="s">
        <v>475</v>
      </c>
      <c r="N753" t="s">
        <v>59</v>
      </c>
      <c r="O753" t="s">
        <v>60</v>
      </c>
      <c r="P753" t="s">
        <v>61</v>
      </c>
      <c r="Q753">
        <v>4</v>
      </c>
      <c r="R753" t="s">
        <v>547</v>
      </c>
      <c r="S753" t="s">
        <v>129</v>
      </c>
      <c r="T753" s="52"/>
    </row>
    <row r="754" spans="1:20" x14ac:dyDescent="0.3">
      <c r="A754" t="s">
        <v>53</v>
      </c>
      <c r="B754" s="48">
        <v>46023</v>
      </c>
      <c r="C754" s="26"/>
      <c r="I754" t="s">
        <v>564</v>
      </c>
      <c r="J754" t="s">
        <v>565</v>
      </c>
      <c r="K754" t="s">
        <v>59</v>
      </c>
      <c r="L754" t="s">
        <v>43</v>
      </c>
      <c r="M754" t="s">
        <v>475</v>
      </c>
      <c r="N754" t="s">
        <v>59</v>
      </c>
      <c r="O754" t="s">
        <v>60</v>
      </c>
      <c r="P754" t="s">
        <v>61</v>
      </c>
      <c r="Q754">
        <v>16</v>
      </c>
      <c r="R754" t="s">
        <v>547</v>
      </c>
      <c r="S754" t="s">
        <v>129</v>
      </c>
      <c r="T754" s="52"/>
    </row>
    <row r="755" spans="1:20" x14ac:dyDescent="0.3">
      <c r="A755" t="s">
        <v>53</v>
      </c>
      <c r="B755" s="48">
        <v>46023</v>
      </c>
      <c r="C755" s="26"/>
      <c r="I755" t="s">
        <v>566</v>
      </c>
      <c r="J755" t="s">
        <v>567</v>
      </c>
      <c r="K755" t="s">
        <v>59</v>
      </c>
      <c r="L755" t="s">
        <v>43</v>
      </c>
      <c r="M755" t="s">
        <v>475</v>
      </c>
      <c r="N755" t="s">
        <v>59</v>
      </c>
      <c r="O755" t="s">
        <v>116</v>
      </c>
      <c r="P755" t="s">
        <v>61</v>
      </c>
      <c r="Q755">
        <v>1</v>
      </c>
      <c r="R755" t="s">
        <v>547</v>
      </c>
      <c r="S755" t="s">
        <v>129</v>
      </c>
      <c r="T755" s="52"/>
    </row>
    <row r="756" spans="1:20" x14ac:dyDescent="0.3">
      <c r="A756" t="s">
        <v>53</v>
      </c>
      <c r="B756" s="48">
        <v>46023</v>
      </c>
      <c r="C756" s="26"/>
      <c r="I756" t="s">
        <v>568</v>
      </c>
      <c r="J756" t="s">
        <v>569</v>
      </c>
      <c r="K756" t="s">
        <v>59</v>
      </c>
      <c r="L756" t="s">
        <v>43</v>
      </c>
      <c r="M756" t="s">
        <v>475</v>
      </c>
      <c r="N756" t="s">
        <v>59</v>
      </c>
      <c r="O756" t="s">
        <v>116</v>
      </c>
      <c r="P756" t="s">
        <v>61</v>
      </c>
      <c r="Q756">
        <v>2</v>
      </c>
      <c r="R756" t="s">
        <v>547</v>
      </c>
      <c r="S756" t="s">
        <v>129</v>
      </c>
      <c r="T756" s="52"/>
    </row>
    <row r="757" spans="1:20" x14ac:dyDescent="0.3">
      <c r="A757" t="s">
        <v>53</v>
      </c>
      <c r="B757" s="48">
        <v>46023</v>
      </c>
      <c r="C757" s="26"/>
      <c r="I757" t="s">
        <v>570</v>
      </c>
      <c r="J757" t="s">
        <v>571</v>
      </c>
      <c r="K757" t="s">
        <v>59</v>
      </c>
      <c r="L757" t="s">
        <v>43</v>
      </c>
      <c r="M757" t="s">
        <v>475</v>
      </c>
      <c r="N757" t="s">
        <v>59</v>
      </c>
      <c r="O757" t="s">
        <v>60</v>
      </c>
      <c r="P757" t="s">
        <v>61</v>
      </c>
      <c r="Q757">
        <v>1</v>
      </c>
      <c r="R757" t="s">
        <v>547</v>
      </c>
      <c r="S757" t="s">
        <v>129</v>
      </c>
      <c r="T757" s="52"/>
    </row>
    <row r="758" spans="1:20" x14ac:dyDescent="0.3">
      <c r="A758" t="s">
        <v>53</v>
      </c>
      <c r="B758" s="48">
        <v>46023</v>
      </c>
      <c r="C758" s="26"/>
      <c r="I758" t="s">
        <v>572</v>
      </c>
      <c r="J758" t="s">
        <v>573</v>
      </c>
      <c r="K758" t="s">
        <v>59</v>
      </c>
      <c r="L758" t="s">
        <v>43</v>
      </c>
      <c r="M758" t="s">
        <v>475</v>
      </c>
      <c r="N758" t="s">
        <v>59</v>
      </c>
      <c r="O758" t="s">
        <v>60</v>
      </c>
      <c r="P758" t="s">
        <v>61</v>
      </c>
      <c r="Q758">
        <v>12</v>
      </c>
      <c r="R758" t="s">
        <v>547</v>
      </c>
      <c r="S758" t="s">
        <v>129</v>
      </c>
      <c r="T758" s="52"/>
    </row>
    <row r="759" spans="1:20" x14ac:dyDescent="0.3">
      <c r="A759" t="s">
        <v>53</v>
      </c>
      <c r="B759" s="48">
        <v>46023</v>
      </c>
      <c r="C759" s="26"/>
      <c r="I759" t="s">
        <v>574</v>
      </c>
      <c r="J759" t="s">
        <v>575</v>
      </c>
      <c r="K759" t="s">
        <v>59</v>
      </c>
      <c r="L759" t="s">
        <v>43</v>
      </c>
      <c r="M759" t="s">
        <v>475</v>
      </c>
      <c r="N759" t="s">
        <v>59</v>
      </c>
      <c r="O759" t="s">
        <v>60</v>
      </c>
      <c r="P759" t="s">
        <v>61</v>
      </c>
      <c r="Q759">
        <v>50</v>
      </c>
      <c r="R759" t="s">
        <v>547</v>
      </c>
      <c r="S759" t="s">
        <v>129</v>
      </c>
      <c r="T759" s="52"/>
    </row>
    <row r="760" spans="1:20" x14ac:dyDescent="0.3">
      <c r="A760" t="s">
        <v>53</v>
      </c>
      <c r="B760" s="48">
        <v>46023</v>
      </c>
      <c r="C760" s="26"/>
      <c r="I760" t="s">
        <v>576</v>
      </c>
      <c r="J760" t="s">
        <v>577</v>
      </c>
      <c r="K760" t="s">
        <v>59</v>
      </c>
      <c r="L760" t="s">
        <v>43</v>
      </c>
      <c r="M760" t="s">
        <v>475</v>
      </c>
      <c r="N760" t="s">
        <v>59</v>
      </c>
      <c r="O760" t="s">
        <v>60</v>
      </c>
      <c r="P760" t="s">
        <v>61</v>
      </c>
      <c r="Q760">
        <v>1</v>
      </c>
      <c r="R760" t="s">
        <v>547</v>
      </c>
      <c r="S760" t="s">
        <v>129</v>
      </c>
      <c r="T760" s="52"/>
    </row>
    <row r="761" spans="1:20" x14ac:dyDescent="0.3">
      <c r="A761" t="s">
        <v>53</v>
      </c>
      <c r="B761" s="48">
        <v>46023</v>
      </c>
      <c r="C761" s="26"/>
      <c r="I761" t="s">
        <v>578</v>
      </c>
      <c r="J761" t="s">
        <v>579</v>
      </c>
      <c r="K761" t="s">
        <v>474</v>
      </c>
      <c r="L761" t="s">
        <v>43</v>
      </c>
      <c r="M761" t="s">
        <v>475</v>
      </c>
      <c r="N761" t="s">
        <v>59</v>
      </c>
      <c r="O761" t="s">
        <v>60</v>
      </c>
      <c r="P761" t="s">
        <v>61</v>
      </c>
      <c r="Q761">
        <v>5</v>
      </c>
      <c r="R761" t="s">
        <v>547</v>
      </c>
      <c r="S761" t="s">
        <v>129</v>
      </c>
      <c r="T761" s="52"/>
    </row>
    <row r="762" spans="1:20" x14ac:dyDescent="0.3">
      <c r="A762" t="s">
        <v>53</v>
      </c>
      <c r="B762" s="48">
        <v>46023</v>
      </c>
      <c r="C762" s="26"/>
      <c r="I762" t="s">
        <v>580</v>
      </c>
      <c r="J762" t="s">
        <v>581</v>
      </c>
      <c r="K762" t="s">
        <v>59</v>
      </c>
      <c r="L762" t="s">
        <v>43</v>
      </c>
      <c r="M762" t="s">
        <v>475</v>
      </c>
      <c r="N762" t="s">
        <v>59</v>
      </c>
      <c r="O762" t="s">
        <v>60</v>
      </c>
      <c r="P762" t="s">
        <v>61</v>
      </c>
      <c r="Q762">
        <v>44</v>
      </c>
      <c r="R762" t="s">
        <v>582</v>
      </c>
      <c r="S762" t="s">
        <v>129</v>
      </c>
      <c r="T762" s="52"/>
    </row>
    <row r="763" spans="1:20" x14ac:dyDescent="0.3">
      <c r="A763" t="s">
        <v>53</v>
      </c>
      <c r="B763" s="48">
        <v>46023</v>
      </c>
      <c r="C763" s="26"/>
      <c r="I763" t="s">
        <v>583</v>
      </c>
      <c r="J763" t="s">
        <v>584</v>
      </c>
      <c r="K763" t="s">
        <v>59</v>
      </c>
      <c r="L763" t="s">
        <v>43</v>
      </c>
      <c r="M763" t="s">
        <v>475</v>
      </c>
      <c r="N763" t="s">
        <v>59</v>
      </c>
      <c r="O763" t="s">
        <v>143</v>
      </c>
      <c r="P763" t="s">
        <v>61</v>
      </c>
      <c r="Q763">
        <v>18</v>
      </c>
      <c r="R763" t="s">
        <v>582</v>
      </c>
      <c r="S763" t="s">
        <v>129</v>
      </c>
      <c r="T763" s="52"/>
    </row>
    <row r="764" spans="1:20" x14ac:dyDescent="0.3">
      <c r="A764" t="s">
        <v>53</v>
      </c>
      <c r="B764" s="48">
        <v>46023</v>
      </c>
      <c r="C764" s="26"/>
      <c r="I764" t="s">
        <v>585</v>
      </c>
      <c r="J764" t="s">
        <v>586</v>
      </c>
      <c r="K764" t="s">
        <v>59</v>
      </c>
      <c r="L764" t="s">
        <v>43</v>
      </c>
      <c r="M764" t="s">
        <v>587</v>
      </c>
      <c r="N764" t="s">
        <v>59</v>
      </c>
      <c r="O764" t="s">
        <v>60</v>
      </c>
      <c r="P764" t="s">
        <v>61</v>
      </c>
      <c r="Q764">
        <v>2</v>
      </c>
      <c r="R764" t="s">
        <v>62</v>
      </c>
      <c r="S764" t="s">
        <v>309</v>
      </c>
      <c r="T764" s="52"/>
    </row>
    <row r="765" spans="1:20" x14ac:dyDescent="0.3">
      <c r="A765" t="s">
        <v>53</v>
      </c>
      <c r="B765" s="48">
        <v>46023</v>
      </c>
      <c r="C765" s="26"/>
      <c r="I765" t="s">
        <v>588</v>
      </c>
      <c r="J765" t="s">
        <v>589</v>
      </c>
      <c r="K765" t="s">
        <v>590</v>
      </c>
      <c r="L765" t="s">
        <v>43</v>
      </c>
      <c r="M765" t="s">
        <v>587</v>
      </c>
      <c r="N765" t="s">
        <v>59</v>
      </c>
      <c r="O765" t="s">
        <v>60</v>
      </c>
      <c r="P765" t="s">
        <v>61</v>
      </c>
      <c r="Q765">
        <v>3</v>
      </c>
      <c r="R765" t="s">
        <v>62</v>
      </c>
      <c r="S765" t="s">
        <v>309</v>
      </c>
      <c r="T765" s="52"/>
    </row>
    <row r="766" spans="1:20" x14ac:dyDescent="0.3">
      <c r="A766" t="s">
        <v>53</v>
      </c>
      <c r="B766" s="48">
        <v>46023</v>
      </c>
      <c r="C766" s="26"/>
      <c r="I766" t="s">
        <v>591</v>
      </c>
      <c r="J766" t="s">
        <v>592</v>
      </c>
      <c r="K766" t="s">
        <v>59</v>
      </c>
      <c r="L766" t="s">
        <v>43</v>
      </c>
      <c r="M766" t="s">
        <v>475</v>
      </c>
      <c r="N766" t="s">
        <v>59</v>
      </c>
      <c r="O766" t="s">
        <v>143</v>
      </c>
      <c r="P766" t="s">
        <v>144</v>
      </c>
      <c r="Q766">
        <v>32</v>
      </c>
      <c r="R766" t="s">
        <v>593</v>
      </c>
      <c r="S766" t="s">
        <v>129</v>
      </c>
      <c r="T766" s="52"/>
    </row>
    <row r="767" spans="1:20" x14ac:dyDescent="0.3">
      <c r="A767" t="s">
        <v>53</v>
      </c>
      <c r="B767" s="48">
        <v>46023</v>
      </c>
      <c r="C767" s="26"/>
      <c r="I767" t="s">
        <v>594</v>
      </c>
      <c r="J767" t="s">
        <v>595</v>
      </c>
      <c r="K767" t="s">
        <v>59</v>
      </c>
      <c r="L767" t="s">
        <v>43</v>
      </c>
      <c r="M767" t="s">
        <v>475</v>
      </c>
      <c r="N767" t="s">
        <v>59</v>
      </c>
      <c r="O767" t="s">
        <v>143</v>
      </c>
      <c r="P767" t="s">
        <v>144</v>
      </c>
      <c r="Q767">
        <v>25</v>
      </c>
      <c r="R767" t="s">
        <v>593</v>
      </c>
      <c r="S767" t="s">
        <v>129</v>
      </c>
      <c r="T767" s="52"/>
    </row>
    <row r="768" spans="1:20" x14ac:dyDescent="0.3">
      <c r="A768" t="s">
        <v>53</v>
      </c>
      <c r="B768" s="48">
        <v>46023</v>
      </c>
      <c r="C768" s="26"/>
      <c r="I768" t="s">
        <v>596</v>
      </c>
      <c r="J768" t="s">
        <v>597</v>
      </c>
      <c r="K768" t="s">
        <v>59</v>
      </c>
      <c r="L768" t="s">
        <v>43</v>
      </c>
      <c r="M768" t="s">
        <v>475</v>
      </c>
      <c r="N768" t="s">
        <v>59</v>
      </c>
      <c r="O768" t="s">
        <v>143</v>
      </c>
      <c r="P768" t="s">
        <v>144</v>
      </c>
      <c r="Q768">
        <v>105</v>
      </c>
      <c r="R768" t="s">
        <v>593</v>
      </c>
      <c r="S768" t="s">
        <v>129</v>
      </c>
      <c r="T768" s="52"/>
    </row>
    <row r="769" spans="1:20" x14ac:dyDescent="0.3">
      <c r="A769" t="s">
        <v>53</v>
      </c>
      <c r="B769" s="48">
        <v>46023</v>
      </c>
      <c r="C769" s="26"/>
      <c r="I769" t="s">
        <v>598</v>
      </c>
      <c r="J769" t="s">
        <v>599</v>
      </c>
      <c r="K769" t="s">
        <v>59</v>
      </c>
      <c r="L769" t="s">
        <v>43</v>
      </c>
      <c r="M769" t="s">
        <v>475</v>
      </c>
      <c r="N769" t="s">
        <v>59</v>
      </c>
      <c r="O769" t="s">
        <v>143</v>
      </c>
      <c r="P769" t="s">
        <v>144</v>
      </c>
      <c r="Q769">
        <v>17</v>
      </c>
      <c r="R769" t="s">
        <v>593</v>
      </c>
      <c r="S769" t="s">
        <v>129</v>
      </c>
      <c r="T769" s="52"/>
    </row>
    <row r="770" spans="1:20" x14ac:dyDescent="0.3">
      <c r="A770" t="s">
        <v>53</v>
      </c>
      <c r="B770" s="48">
        <v>46023</v>
      </c>
      <c r="C770" s="26"/>
      <c r="I770" t="s">
        <v>600</v>
      </c>
      <c r="J770" t="s">
        <v>601</v>
      </c>
      <c r="K770" t="s">
        <v>59</v>
      </c>
      <c r="L770" t="s">
        <v>43</v>
      </c>
      <c r="M770" t="s">
        <v>475</v>
      </c>
      <c r="N770" t="s">
        <v>59</v>
      </c>
      <c r="O770" t="s">
        <v>143</v>
      </c>
      <c r="P770" t="s">
        <v>144</v>
      </c>
      <c r="Q770">
        <v>19</v>
      </c>
      <c r="R770" t="s">
        <v>593</v>
      </c>
      <c r="S770" t="s">
        <v>129</v>
      </c>
      <c r="T770" s="52"/>
    </row>
    <row r="771" spans="1:20" x14ac:dyDescent="0.3">
      <c r="A771" t="s">
        <v>53</v>
      </c>
      <c r="B771" s="48">
        <v>46023</v>
      </c>
      <c r="C771" s="26"/>
      <c r="I771" t="s">
        <v>602</v>
      </c>
      <c r="J771" t="s">
        <v>597</v>
      </c>
      <c r="K771" t="s">
        <v>59</v>
      </c>
      <c r="L771" t="s">
        <v>43</v>
      </c>
      <c r="M771" t="s">
        <v>475</v>
      </c>
      <c r="N771" t="s">
        <v>59</v>
      </c>
      <c r="O771" t="s">
        <v>143</v>
      </c>
      <c r="P771" t="s">
        <v>144</v>
      </c>
      <c r="Q771">
        <v>16</v>
      </c>
      <c r="R771" t="s">
        <v>593</v>
      </c>
      <c r="S771" t="s">
        <v>129</v>
      </c>
      <c r="T771" s="52"/>
    </row>
    <row r="772" spans="1:20" x14ac:dyDescent="0.3">
      <c r="A772" t="s">
        <v>53</v>
      </c>
      <c r="B772" s="48">
        <v>46023</v>
      </c>
      <c r="C772" s="26"/>
      <c r="I772" t="s">
        <v>603</v>
      </c>
      <c r="J772" t="s">
        <v>604</v>
      </c>
      <c r="K772" t="s">
        <v>59</v>
      </c>
      <c r="L772" t="s">
        <v>43</v>
      </c>
      <c r="M772" t="s">
        <v>475</v>
      </c>
      <c r="N772" t="s">
        <v>59</v>
      </c>
      <c r="O772" t="s">
        <v>143</v>
      </c>
      <c r="P772" t="s">
        <v>144</v>
      </c>
      <c r="Q772">
        <v>2</v>
      </c>
      <c r="R772" t="s">
        <v>593</v>
      </c>
      <c r="S772" t="s">
        <v>129</v>
      </c>
      <c r="T772" s="52"/>
    </row>
    <row r="773" spans="1:20" x14ac:dyDescent="0.3">
      <c r="A773" t="s">
        <v>53</v>
      </c>
      <c r="B773" s="48">
        <v>46023</v>
      </c>
      <c r="C773" s="26"/>
      <c r="I773" t="s">
        <v>605</v>
      </c>
      <c r="J773" t="s">
        <v>606</v>
      </c>
      <c r="K773" t="s">
        <v>59</v>
      </c>
      <c r="L773" t="s">
        <v>43</v>
      </c>
      <c r="M773" t="s">
        <v>475</v>
      </c>
      <c r="N773" t="s">
        <v>59</v>
      </c>
      <c r="O773" t="s">
        <v>143</v>
      </c>
      <c r="P773" t="s">
        <v>144</v>
      </c>
      <c r="Q773">
        <v>8</v>
      </c>
      <c r="R773" t="s">
        <v>593</v>
      </c>
      <c r="S773" t="s">
        <v>129</v>
      </c>
      <c r="T773" s="52"/>
    </row>
    <row r="774" spans="1:20" x14ac:dyDescent="0.3">
      <c r="A774" t="s">
        <v>53</v>
      </c>
      <c r="B774" s="48">
        <v>46023</v>
      </c>
      <c r="C774" s="26"/>
      <c r="I774" t="s">
        <v>607</v>
      </c>
      <c r="J774" t="s">
        <v>608</v>
      </c>
      <c r="K774" t="s">
        <v>59</v>
      </c>
      <c r="L774" t="s">
        <v>43</v>
      </c>
      <c r="M774" t="s">
        <v>475</v>
      </c>
      <c r="N774" t="s">
        <v>59</v>
      </c>
      <c r="O774" t="s">
        <v>143</v>
      </c>
      <c r="P774" t="s">
        <v>144</v>
      </c>
      <c r="Q774">
        <v>385</v>
      </c>
      <c r="R774" t="s">
        <v>593</v>
      </c>
      <c r="S774" t="s">
        <v>129</v>
      </c>
      <c r="T774" s="52"/>
    </row>
    <row r="775" spans="1:20" x14ac:dyDescent="0.3">
      <c r="A775" t="s">
        <v>53</v>
      </c>
      <c r="B775" s="48">
        <v>46023</v>
      </c>
      <c r="C775" s="26"/>
      <c r="I775" t="s">
        <v>609</v>
      </c>
      <c r="J775" t="s">
        <v>610</v>
      </c>
      <c r="K775" t="s">
        <v>59</v>
      </c>
      <c r="L775" t="s">
        <v>43</v>
      </c>
      <c r="M775" t="s">
        <v>475</v>
      </c>
      <c r="N775" t="s">
        <v>59</v>
      </c>
      <c r="O775" t="s">
        <v>143</v>
      </c>
      <c r="P775" t="s">
        <v>144</v>
      </c>
      <c r="Q775">
        <v>21</v>
      </c>
      <c r="R775" t="s">
        <v>593</v>
      </c>
      <c r="S775" t="s">
        <v>129</v>
      </c>
      <c r="T775" s="52"/>
    </row>
    <row r="776" spans="1:20" x14ac:dyDescent="0.3">
      <c r="A776" t="s">
        <v>53</v>
      </c>
      <c r="B776" s="48">
        <v>46023</v>
      </c>
      <c r="C776" s="26"/>
      <c r="I776" t="s">
        <v>611</v>
      </c>
      <c r="J776" t="s">
        <v>612</v>
      </c>
      <c r="K776" t="s">
        <v>59</v>
      </c>
      <c r="L776" t="s">
        <v>43</v>
      </c>
      <c r="M776" t="s">
        <v>475</v>
      </c>
      <c r="N776" t="s">
        <v>59</v>
      </c>
      <c r="O776" t="s">
        <v>143</v>
      </c>
      <c r="P776" t="s">
        <v>144</v>
      </c>
      <c r="Q776">
        <v>61</v>
      </c>
      <c r="R776" t="s">
        <v>593</v>
      </c>
      <c r="S776" t="s">
        <v>129</v>
      </c>
      <c r="T776" s="52"/>
    </row>
    <row r="777" spans="1:20" x14ac:dyDescent="0.3">
      <c r="A777" t="s">
        <v>53</v>
      </c>
      <c r="B777" s="48">
        <v>46023</v>
      </c>
      <c r="C777" s="26"/>
      <c r="I777" t="s">
        <v>613</v>
      </c>
      <c r="J777" t="s">
        <v>614</v>
      </c>
      <c r="K777" t="s">
        <v>59</v>
      </c>
      <c r="L777" t="s">
        <v>43</v>
      </c>
      <c r="M777" t="s">
        <v>475</v>
      </c>
      <c r="N777" t="s">
        <v>59</v>
      </c>
      <c r="O777" t="s">
        <v>143</v>
      </c>
      <c r="P777" t="s">
        <v>144</v>
      </c>
      <c r="Q777">
        <v>13</v>
      </c>
      <c r="R777" t="s">
        <v>593</v>
      </c>
      <c r="S777" t="s">
        <v>129</v>
      </c>
      <c r="T777" s="52"/>
    </row>
    <row r="778" spans="1:20" x14ac:dyDescent="0.3">
      <c r="A778" t="s">
        <v>53</v>
      </c>
      <c r="B778" s="48">
        <v>46023</v>
      </c>
      <c r="C778" s="26"/>
      <c r="I778" t="s">
        <v>615</v>
      </c>
      <c r="J778" t="s">
        <v>616</v>
      </c>
      <c r="K778" t="s">
        <v>59</v>
      </c>
      <c r="L778" t="s">
        <v>43</v>
      </c>
      <c r="M778" t="s">
        <v>475</v>
      </c>
      <c r="N778" t="s">
        <v>59</v>
      </c>
      <c r="O778" t="s">
        <v>143</v>
      </c>
      <c r="P778" t="s">
        <v>144</v>
      </c>
      <c r="Q778">
        <v>21</v>
      </c>
      <c r="R778" t="s">
        <v>593</v>
      </c>
      <c r="S778" t="s">
        <v>129</v>
      </c>
      <c r="T778" s="52"/>
    </row>
    <row r="779" spans="1:20" x14ac:dyDescent="0.3">
      <c r="A779" t="s">
        <v>53</v>
      </c>
      <c r="B779" s="48">
        <v>46023</v>
      </c>
      <c r="C779" s="26"/>
      <c r="I779" t="s">
        <v>617</v>
      </c>
      <c r="J779" t="s">
        <v>618</v>
      </c>
      <c r="K779" t="s">
        <v>59</v>
      </c>
      <c r="L779" t="s">
        <v>43</v>
      </c>
      <c r="M779" t="s">
        <v>475</v>
      </c>
      <c r="N779" t="s">
        <v>59</v>
      </c>
      <c r="O779" t="s">
        <v>143</v>
      </c>
      <c r="P779" t="s">
        <v>144</v>
      </c>
      <c r="Q779">
        <v>9</v>
      </c>
      <c r="R779" t="s">
        <v>593</v>
      </c>
      <c r="S779" t="s">
        <v>129</v>
      </c>
      <c r="T779" s="52"/>
    </row>
    <row r="780" spans="1:20" x14ac:dyDescent="0.3">
      <c r="A780" t="s">
        <v>53</v>
      </c>
      <c r="B780" s="48">
        <v>46023</v>
      </c>
      <c r="C780" s="26"/>
      <c r="I780" t="s">
        <v>619</v>
      </c>
      <c r="J780" t="s">
        <v>620</v>
      </c>
      <c r="K780" t="s">
        <v>59</v>
      </c>
      <c r="L780" t="s">
        <v>43</v>
      </c>
      <c r="M780" t="s">
        <v>475</v>
      </c>
      <c r="N780" t="s">
        <v>59</v>
      </c>
      <c r="O780" t="s">
        <v>143</v>
      </c>
      <c r="P780" t="s">
        <v>144</v>
      </c>
      <c r="Q780">
        <v>15</v>
      </c>
      <c r="R780" t="s">
        <v>593</v>
      </c>
      <c r="S780" t="s">
        <v>129</v>
      </c>
      <c r="T780" s="52"/>
    </row>
    <row r="781" spans="1:20" x14ac:dyDescent="0.3">
      <c r="A781" t="s">
        <v>53</v>
      </c>
      <c r="B781" s="48">
        <v>46023</v>
      </c>
      <c r="C781" s="26"/>
      <c r="I781" t="s">
        <v>621</v>
      </c>
      <c r="J781" t="s">
        <v>622</v>
      </c>
      <c r="K781" t="s">
        <v>59</v>
      </c>
      <c r="L781" t="s">
        <v>43</v>
      </c>
      <c r="M781" t="s">
        <v>475</v>
      </c>
      <c r="N781" t="s">
        <v>59</v>
      </c>
      <c r="O781" t="s">
        <v>143</v>
      </c>
      <c r="P781" t="s">
        <v>144</v>
      </c>
      <c r="Q781">
        <v>2</v>
      </c>
      <c r="R781" t="s">
        <v>593</v>
      </c>
      <c r="S781" t="s">
        <v>129</v>
      </c>
      <c r="T781" s="52"/>
    </row>
    <row r="782" spans="1:20" x14ac:dyDescent="0.3">
      <c r="A782" t="s">
        <v>53</v>
      </c>
      <c r="B782" s="48">
        <v>46023</v>
      </c>
      <c r="C782" s="26"/>
      <c r="I782" t="s">
        <v>623</v>
      </c>
      <c r="J782" t="s">
        <v>624</v>
      </c>
      <c r="K782" t="s">
        <v>59</v>
      </c>
      <c r="L782" t="s">
        <v>43</v>
      </c>
      <c r="M782" t="s">
        <v>475</v>
      </c>
      <c r="N782" t="s">
        <v>59</v>
      </c>
      <c r="O782" t="s">
        <v>143</v>
      </c>
      <c r="P782" t="s">
        <v>144</v>
      </c>
      <c r="Q782">
        <v>128</v>
      </c>
      <c r="R782" t="s">
        <v>593</v>
      </c>
      <c r="S782" t="s">
        <v>129</v>
      </c>
      <c r="T782" s="52"/>
    </row>
    <row r="783" spans="1:20" x14ac:dyDescent="0.3">
      <c r="A783" t="s">
        <v>53</v>
      </c>
      <c r="B783" s="48">
        <v>46023</v>
      </c>
      <c r="C783" s="26"/>
      <c r="I783" t="s">
        <v>625</v>
      </c>
      <c r="J783" t="s">
        <v>626</v>
      </c>
      <c r="K783" t="s">
        <v>59</v>
      </c>
      <c r="L783" t="s">
        <v>43</v>
      </c>
      <c r="M783" t="s">
        <v>475</v>
      </c>
      <c r="N783" t="s">
        <v>59</v>
      </c>
      <c r="O783" t="s">
        <v>143</v>
      </c>
      <c r="P783" t="s">
        <v>144</v>
      </c>
      <c r="Q783">
        <v>143</v>
      </c>
      <c r="R783" t="s">
        <v>593</v>
      </c>
      <c r="S783" t="s">
        <v>129</v>
      </c>
      <c r="T783" s="52"/>
    </row>
    <row r="784" spans="1:20" x14ac:dyDescent="0.3">
      <c r="A784" t="s">
        <v>53</v>
      </c>
      <c r="B784" s="48">
        <v>46023</v>
      </c>
      <c r="C784" s="26"/>
      <c r="I784" t="s">
        <v>627</v>
      </c>
      <c r="J784" t="s">
        <v>628</v>
      </c>
      <c r="K784" t="s">
        <v>59</v>
      </c>
      <c r="L784" t="s">
        <v>43</v>
      </c>
      <c r="M784" t="s">
        <v>475</v>
      </c>
      <c r="N784" t="s">
        <v>59</v>
      </c>
      <c r="O784" t="s">
        <v>143</v>
      </c>
      <c r="P784" t="s">
        <v>144</v>
      </c>
      <c r="Q784">
        <v>23</v>
      </c>
      <c r="R784" t="s">
        <v>593</v>
      </c>
      <c r="S784" t="s">
        <v>129</v>
      </c>
      <c r="T784" s="52"/>
    </row>
    <row r="785" spans="1:20" x14ac:dyDescent="0.3">
      <c r="A785" t="s">
        <v>53</v>
      </c>
      <c r="B785" s="48">
        <v>46023</v>
      </c>
      <c r="C785" s="26"/>
      <c r="I785" t="s">
        <v>629</v>
      </c>
      <c r="J785" t="s">
        <v>630</v>
      </c>
      <c r="K785" t="s">
        <v>59</v>
      </c>
      <c r="L785" t="s">
        <v>43</v>
      </c>
      <c r="M785" t="s">
        <v>475</v>
      </c>
      <c r="N785" t="s">
        <v>59</v>
      </c>
      <c r="O785" t="s">
        <v>116</v>
      </c>
      <c r="P785" t="s">
        <v>144</v>
      </c>
      <c r="Q785">
        <v>58</v>
      </c>
      <c r="R785" t="s">
        <v>631</v>
      </c>
      <c r="S785" t="s">
        <v>129</v>
      </c>
      <c r="T785" s="52"/>
    </row>
    <row r="786" spans="1:20" x14ac:dyDescent="0.3">
      <c r="A786" t="s">
        <v>53</v>
      </c>
      <c r="B786" s="48">
        <v>46023</v>
      </c>
      <c r="C786" s="26"/>
      <c r="I786" t="s">
        <v>632</v>
      </c>
      <c r="J786" t="s">
        <v>633</v>
      </c>
      <c r="K786" t="s">
        <v>59</v>
      </c>
      <c r="L786" t="s">
        <v>43</v>
      </c>
      <c r="M786" t="s">
        <v>475</v>
      </c>
      <c r="N786" t="s">
        <v>59</v>
      </c>
      <c r="O786" t="s">
        <v>116</v>
      </c>
      <c r="P786" t="s">
        <v>144</v>
      </c>
      <c r="Q786">
        <v>6</v>
      </c>
      <c r="R786" t="s">
        <v>631</v>
      </c>
      <c r="S786" t="s">
        <v>129</v>
      </c>
      <c r="T786" s="52"/>
    </row>
    <row r="787" spans="1:20" x14ac:dyDescent="0.3">
      <c r="A787" t="s">
        <v>53</v>
      </c>
      <c r="B787" s="48">
        <v>46023</v>
      </c>
      <c r="C787" s="26"/>
      <c r="I787" t="s">
        <v>634</v>
      </c>
      <c r="J787" t="s">
        <v>635</v>
      </c>
      <c r="K787" t="s">
        <v>59</v>
      </c>
      <c r="L787" t="s">
        <v>43</v>
      </c>
      <c r="M787" t="s">
        <v>475</v>
      </c>
      <c r="N787" t="s">
        <v>59</v>
      </c>
      <c r="O787" t="s">
        <v>116</v>
      </c>
      <c r="P787" t="s">
        <v>144</v>
      </c>
      <c r="Q787">
        <v>13</v>
      </c>
      <c r="R787" t="s">
        <v>631</v>
      </c>
      <c r="S787" t="s">
        <v>129</v>
      </c>
      <c r="T787" s="52"/>
    </row>
    <row r="788" spans="1:20" x14ac:dyDescent="0.3">
      <c r="A788" t="s">
        <v>53</v>
      </c>
      <c r="B788" s="48">
        <v>46023</v>
      </c>
      <c r="C788" s="26"/>
      <c r="I788" t="s">
        <v>636</v>
      </c>
      <c r="J788" t="s">
        <v>637</v>
      </c>
      <c r="K788" t="s">
        <v>59</v>
      </c>
      <c r="L788" t="s">
        <v>43</v>
      </c>
      <c r="M788" t="s">
        <v>475</v>
      </c>
      <c r="N788" t="s">
        <v>59</v>
      </c>
      <c r="O788" t="s">
        <v>143</v>
      </c>
      <c r="P788" t="s">
        <v>144</v>
      </c>
      <c r="Q788">
        <v>23</v>
      </c>
      <c r="R788" t="s">
        <v>631</v>
      </c>
      <c r="S788" t="s">
        <v>129</v>
      </c>
      <c r="T788" s="52"/>
    </row>
    <row r="789" spans="1:20" x14ac:dyDescent="0.3">
      <c r="A789" t="s">
        <v>53</v>
      </c>
      <c r="B789" s="48">
        <v>46023</v>
      </c>
      <c r="C789" s="26"/>
      <c r="I789" t="s">
        <v>638</v>
      </c>
      <c r="J789" t="s">
        <v>639</v>
      </c>
      <c r="K789" t="s">
        <v>59</v>
      </c>
      <c r="L789" t="s">
        <v>43</v>
      </c>
      <c r="M789" t="s">
        <v>475</v>
      </c>
      <c r="N789" t="s">
        <v>59</v>
      </c>
      <c r="O789" t="s">
        <v>143</v>
      </c>
      <c r="P789" t="s">
        <v>144</v>
      </c>
      <c r="Q789">
        <v>27</v>
      </c>
      <c r="R789" t="s">
        <v>631</v>
      </c>
      <c r="S789" t="s">
        <v>129</v>
      </c>
      <c r="T789" s="52"/>
    </row>
    <row r="790" spans="1:20" x14ac:dyDescent="0.3">
      <c r="A790" t="s">
        <v>53</v>
      </c>
      <c r="B790" s="48">
        <v>46023</v>
      </c>
      <c r="C790" s="26"/>
      <c r="I790" t="s">
        <v>640</v>
      </c>
      <c r="J790" t="s">
        <v>641</v>
      </c>
      <c r="K790" t="s">
        <v>59</v>
      </c>
      <c r="L790" t="s">
        <v>43</v>
      </c>
      <c r="M790" t="s">
        <v>475</v>
      </c>
      <c r="N790" t="s">
        <v>59</v>
      </c>
      <c r="O790" t="s">
        <v>143</v>
      </c>
      <c r="P790" t="s">
        <v>144</v>
      </c>
      <c r="Q790">
        <v>4</v>
      </c>
      <c r="R790" t="s">
        <v>631</v>
      </c>
      <c r="S790" t="s">
        <v>129</v>
      </c>
      <c r="T790" s="52"/>
    </row>
    <row r="791" spans="1:20" x14ac:dyDescent="0.3">
      <c r="A791" t="s">
        <v>53</v>
      </c>
      <c r="B791" s="48">
        <v>46023</v>
      </c>
      <c r="C791" s="26"/>
      <c r="I791" t="s">
        <v>642</v>
      </c>
      <c r="J791" t="s">
        <v>643</v>
      </c>
      <c r="K791" t="s">
        <v>59</v>
      </c>
      <c r="L791" t="s">
        <v>43</v>
      </c>
      <c r="M791" t="s">
        <v>475</v>
      </c>
      <c r="N791" t="s">
        <v>59</v>
      </c>
      <c r="O791" t="s">
        <v>143</v>
      </c>
      <c r="P791" t="s">
        <v>644</v>
      </c>
      <c r="Q791">
        <v>4</v>
      </c>
      <c r="R791" t="s">
        <v>645</v>
      </c>
      <c r="S791" t="s">
        <v>129</v>
      </c>
      <c r="T791" s="52"/>
    </row>
    <row r="792" spans="1:20" x14ac:dyDescent="0.3">
      <c r="A792" t="s">
        <v>53</v>
      </c>
      <c r="B792" s="48">
        <v>46023</v>
      </c>
      <c r="C792" s="26"/>
      <c r="I792" t="s">
        <v>646</v>
      </c>
      <c r="J792" t="s">
        <v>647</v>
      </c>
      <c r="K792" t="s">
        <v>59</v>
      </c>
      <c r="L792" t="s">
        <v>43</v>
      </c>
      <c r="M792" t="s">
        <v>475</v>
      </c>
      <c r="N792" t="s">
        <v>59</v>
      </c>
      <c r="O792" t="s">
        <v>143</v>
      </c>
      <c r="P792" t="s">
        <v>144</v>
      </c>
      <c r="Q792">
        <v>273</v>
      </c>
      <c r="R792" t="s">
        <v>645</v>
      </c>
      <c r="S792" t="s">
        <v>129</v>
      </c>
      <c r="T792" s="52"/>
    </row>
    <row r="793" spans="1:20" x14ac:dyDescent="0.3">
      <c r="A793" t="s">
        <v>53</v>
      </c>
      <c r="B793" s="48">
        <v>46023</v>
      </c>
      <c r="C793" s="26"/>
      <c r="I793" t="s">
        <v>648</v>
      </c>
      <c r="J793" t="s">
        <v>649</v>
      </c>
      <c r="K793" t="s">
        <v>59</v>
      </c>
      <c r="L793" t="s">
        <v>43</v>
      </c>
      <c r="M793" t="s">
        <v>475</v>
      </c>
      <c r="N793" t="s">
        <v>59</v>
      </c>
      <c r="O793" t="s">
        <v>116</v>
      </c>
      <c r="P793" t="s">
        <v>650</v>
      </c>
      <c r="Q793">
        <v>1</v>
      </c>
      <c r="R793" t="s">
        <v>645</v>
      </c>
      <c r="S793" t="s">
        <v>129</v>
      </c>
      <c r="T793" s="52"/>
    </row>
    <row r="794" spans="1:20" x14ac:dyDescent="0.3">
      <c r="A794" t="s">
        <v>53</v>
      </c>
      <c r="B794" s="48">
        <v>46023</v>
      </c>
      <c r="C794" s="26"/>
      <c r="I794" t="s">
        <v>651</v>
      </c>
      <c r="J794" t="s">
        <v>652</v>
      </c>
      <c r="K794" t="s">
        <v>59</v>
      </c>
      <c r="L794" t="s">
        <v>43</v>
      </c>
      <c r="M794" t="s">
        <v>475</v>
      </c>
      <c r="N794" t="s">
        <v>59</v>
      </c>
      <c r="O794" t="s">
        <v>143</v>
      </c>
      <c r="P794" t="s">
        <v>144</v>
      </c>
      <c r="Q794">
        <v>57</v>
      </c>
      <c r="R794" t="s">
        <v>645</v>
      </c>
      <c r="S794" t="s">
        <v>129</v>
      </c>
      <c r="T794" s="52"/>
    </row>
    <row r="795" spans="1:20" x14ac:dyDescent="0.3">
      <c r="A795" t="s">
        <v>53</v>
      </c>
      <c r="B795" s="48">
        <v>46023</v>
      </c>
      <c r="C795" s="26"/>
      <c r="I795" t="s">
        <v>653</v>
      </c>
      <c r="J795" t="s">
        <v>654</v>
      </c>
      <c r="K795" t="s">
        <v>59</v>
      </c>
      <c r="L795" t="s">
        <v>43</v>
      </c>
      <c r="M795" t="s">
        <v>475</v>
      </c>
      <c r="N795" t="s">
        <v>59</v>
      </c>
      <c r="O795" t="s">
        <v>143</v>
      </c>
      <c r="P795" t="s">
        <v>144</v>
      </c>
      <c r="Q795">
        <v>2</v>
      </c>
      <c r="R795" t="s">
        <v>645</v>
      </c>
      <c r="S795" t="s">
        <v>129</v>
      </c>
      <c r="T795" s="52"/>
    </row>
    <row r="796" spans="1:20" x14ac:dyDescent="0.3">
      <c r="A796" t="s">
        <v>53</v>
      </c>
      <c r="B796" s="48">
        <v>46023</v>
      </c>
      <c r="C796" s="26"/>
      <c r="I796" t="s">
        <v>655</v>
      </c>
      <c r="J796" t="s">
        <v>656</v>
      </c>
      <c r="K796" t="s">
        <v>59</v>
      </c>
      <c r="L796" t="s">
        <v>43</v>
      </c>
      <c r="M796" t="s">
        <v>475</v>
      </c>
      <c r="N796" t="s">
        <v>59</v>
      </c>
      <c r="O796" t="s">
        <v>143</v>
      </c>
      <c r="P796" t="s">
        <v>644</v>
      </c>
      <c r="Q796">
        <v>14</v>
      </c>
      <c r="R796" t="s">
        <v>645</v>
      </c>
      <c r="S796" t="s">
        <v>129</v>
      </c>
      <c r="T796" s="52"/>
    </row>
    <row r="797" spans="1:20" x14ac:dyDescent="0.3">
      <c r="A797" t="s">
        <v>53</v>
      </c>
      <c r="B797" s="48">
        <v>46023</v>
      </c>
      <c r="C797" s="26"/>
      <c r="I797" t="s">
        <v>657</v>
      </c>
      <c r="J797" t="s">
        <v>658</v>
      </c>
      <c r="K797" t="s">
        <v>59</v>
      </c>
      <c r="L797" t="s">
        <v>43</v>
      </c>
      <c r="M797" t="s">
        <v>475</v>
      </c>
      <c r="N797" t="s">
        <v>59</v>
      </c>
      <c r="O797" t="s">
        <v>143</v>
      </c>
      <c r="P797" t="s">
        <v>61</v>
      </c>
      <c r="Q797">
        <v>12</v>
      </c>
      <c r="R797" t="s">
        <v>645</v>
      </c>
      <c r="S797" t="s">
        <v>129</v>
      </c>
      <c r="T797" s="52"/>
    </row>
    <row r="798" spans="1:20" x14ac:dyDescent="0.3">
      <c r="A798" t="s">
        <v>53</v>
      </c>
      <c r="B798" s="48">
        <v>46023</v>
      </c>
      <c r="C798" s="26"/>
      <c r="I798" t="s">
        <v>659</v>
      </c>
      <c r="J798" t="s">
        <v>660</v>
      </c>
      <c r="K798" t="s">
        <v>59</v>
      </c>
      <c r="L798" t="s">
        <v>43</v>
      </c>
      <c r="M798" t="s">
        <v>475</v>
      </c>
      <c r="N798" t="s">
        <v>59</v>
      </c>
      <c r="O798" t="s">
        <v>116</v>
      </c>
      <c r="P798" t="s">
        <v>61</v>
      </c>
      <c r="Q798">
        <v>4</v>
      </c>
      <c r="R798" t="s">
        <v>661</v>
      </c>
      <c r="S798" t="s">
        <v>129</v>
      </c>
      <c r="T798" s="52"/>
    </row>
    <row r="799" spans="1:20" x14ac:dyDescent="0.3">
      <c r="A799" t="s">
        <v>53</v>
      </c>
      <c r="B799" s="48">
        <v>46023</v>
      </c>
      <c r="C799" s="26"/>
      <c r="I799" t="s">
        <v>662</v>
      </c>
      <c r="J799" t="s">
        <v>663</v>
      </c>
      <c r="K799" t="s">
        <v>59</v>
      </c>
      <c r="L799" t="s">
        <v>43</v>
      </c>
      <c r="M799" t="s">
        <v>475</v>
      </c>
      <c r="N799" t="s">
        <v>59</v>
      </c>
      <c r="O799" t="s">
        <v>116</v>
      </c>
      <c r="P799" t="s">
        <v>61</v>
      </c>
      <c r="Q799">
        <v>2</v>
      </c>
      <c r="R799" t="s">
        <v>664</v>
      </c>
      <c r="S799" t="s">
        <v>129</v>
      </c>
      <c r="T799" s="52"/>
    </row>
    <row r="800" spans="1:20" x14ac:dyDescent="0.3">
      <c r="A800" t="s">
        <v>53</v>
      </c>
      <c r="B800" s="48">
        <v>46023</v>
      </c>
      <c r="C800" s="26"/>
      <c r="I800" t="s">
        <v>665</v>
      </c>
      <c r="J800" t="s">
        <v>666</v>
      </c>
      <c r="K800" t="s">
        <v>59</v>
      </c>
      <c r="L800" t="s">
        <v>43</v>
      </c>
      <c r="M800" t="s">
        <v>475</v>
      </c>
      <c r="N800" t="s">
        <v>59</v>
      </c>
      <c r="O800" t="s">
        <v>116</v>
      </c>
      <c r="P800" t="s">
        <v>61</v>
      </c>
      <c r="Q800">
        <v>2</v>
      </c>
      <c r="R800" t="s">
        <v>664</v>
      </c>
      <c r="S800" t="s">
        <v>129</v>
      </c>
      <c r="T800" s="52"/>
    </row>
    <row r="801" spans="1:20" x14ac:dyDescent="0.3">
      <c r="A801" t="s">
        <v>53</v>
      </c>
      <c r="B801" s="48">
        <v>46023</v>
      </c>
      <c r="C801" s="26"/>
      <c r="I801" t="s">
        <v>667</v>
      </c>
      <c r="J801" t="s">
        <v>668</v>
      </c>
      <c r="K801" t="s">
        <v>59</v>
      </c>
      <c r="L801" t="s">
        <v>43</v>
      </c>
      <c r="M801" t="s">
        <v>475</v>
      </c>
      <c r="N801" t="s">
        <v>59</v>
      </c>
      <c r="O801" t="s">
        <v>116</v>
      </c>
      <c r="P801" t="s">
        <v>61</v>
      </c>
      <c r="Q801">
        <v>4</v>
      </c>
      <c r="R801" t="s">
        <v>664</v>
      </c>
      <c r="S801" t="s">
        <v>129</v>
      </c>
      <c r="T801" s="52"/>
    </row>
    <row r="802" spans="1:20" x14ac:dyDescent="0.3">
      <c r="A802" t="s">
        <v>53</v>
      </c>
      <c r="B802" s="48">
        <v>46023</v>
      </c>
      <c r="C802" s="26"/>
      <c r="I802" t="s">
        <v>669</v>
      </c>
      <c r="J802" t="s">
        <v>670</v>
      </c>
      <c r="K802" t="s">
        <v>59</v>
      </c>
      <c r="L802" t="s">
        <v>43</v>
      </c>
      <c r="M802" t="s">
        <v>475</v>
      </c>
      <c r="N802" t="s">
        <v>59</v>
      </c>
      <c r="O802" t="s">
        <v>116</v>
      </c>
      <c r="P802" t="s">
        <v>61</v>
      </c>
      <c r="Q802">
        <v>4</v>
      </c>
      <c r="R802" t="s">
        <v>664</v>
      </c>
      <c r="S802" t="s">
        <v>129</v>
      </c>
      <c r="T802" s="52"/>
    </row>
    <row r="803" spans="1:20" x14ac:dyDescent="0.3">
      <c r="A803" t="s">
        <v>53</v>
      </c>
      <c r="B803" s="48">
        <v>46023</v>
      </c>
      <c r="C803" s="26"/>
      <c r="I803" t="s">
        <v>671</v>
      </c>
      <c r="J803" t="s">
        <v>672</v>
      </c>
      <c r="K803" t="s">
        <v>59</v>
      </c>
      <c r="L803" t="s">
        <v>43</v>
      </c>
      <c r="M803" t="s">
        <v>475</v>
      </c>
      <c r="N803" t="s">
        <v>59</v>
      </c>
      <c r="O803" t="s">
        <v>116</v>
      </c>
      <c r="P803" t="s">
        <v>61</v>
      </c>
      <c r="Q803">
        <v>3</v>
      </c>
      <c r="R803" t="s">
        <v>664</v>
      </c>
      <c r="S803" t="s">
        <v>129</v>
      </c>
      <c r="T803" s="52"/>
    </row>
    <row r="804" spans="1:20" x14ac:dyDescent="0.3">
      <c r="A804" t="s">
        <v>53</v>
      </c>
      <c r="B804" s="48">
        <v>46023</v>
      </c>
      <c r="C804" s="26"/>
      <c r="I804" t="s">
        <v>673</v>
      </c>
      <c r="J804" t="s">
        <v>674</v>
      </c>
      <c r="K804" t="s">
        <v>59</v>
      </c>
      <c r="L804" t="s">
        <v>43</v>
      </c>
      <c r="M804" t="s">
        <v>475</v>
      </c>
      <c r="N804" t="s">
        <v>59</v>
      </c>
      <c r="O804" t="s">
        <v>116</v>
      </c>
      <c r="P804" t="s">
        <v>61</v>
      </c>
      <c r="Q804">
        <v>5</v>
      </c>
      <c r="R804" t="s">
        <v>664</v>
      </c>
      <c r="S804" t="s">
        <v>129</v>
      </c>
      <c r="T804" s="52"/>
    </row>
    <row r="805" spans="1:20" x14ac:dyDescent="0.3">
      <c r="A805" t="s">
        <v>53</v>
      </c>
      <c r="B805" s="48">
        <v>46023</v>
      </c>
      <c r="C805" s="26"/>
      <c r="I805" t="s">
        <v>675</v>
      </c>
      <c r="J805" t="s">
        <v>676</v>
      </c>
      <c r="K805" t="s">
        <v>59</v>
      </c>
      <c r="L805" t="s">
        <v>43</v>
      </c>
      <c r="M805" t="s">
        <v>475</v>
      </c>
      <c r="N805" t="s">
        <v>59</v>
      </c>
      <c r="O805" t="s">
        <v>116</v>
      </c>
      <c r="P805" t="s">
        <v>61</v>
      </c>
      <c r="Q805">
        <v>1</v>
      </c>
      <c r="R805" t="s">
        <v>664</v>
      </c>
      <c r="S805" t="s">
        <v>129</v>
      </c>
      <c r="T805" s="52"/>
    </row>
    <row r="806" spans="1:20" x14ac:dyDescent="0.3">
      <c r="A806" t="s">
        <v>53</v>
      </c>
      <c r="B806" s="48">
        <v>46023</v>
      </c>
      <c r="C806" s="26"/>
      <c r="I806" t="s">
        <v>677</v>
      </c>
      <c r="J806" t="s">
        <v>678</v>
      </c>
      <c r="K806" t="s">
        <v>59</v>
      </c>
      <c r="L806" t="s">
        <v>43</v>
      </c>
      <c r="M806" t="s">
        <v>475</v>
      </c>
      <c r="N806" t="s">
        <v>59</v>
      </c>
      <c r="O806" t="s">
        <v>116</v>
      </c>
      <c r="P806" t="s">
        <v>61</v>
      </c>
      <c r="Q806">
        <v>1</v>
      </c>
      <c r="R806" t="s">
        <v>664</v>
      </c>
      <c r="S806" t="s">
        <v>129</v>
      </c>
      <c r="T806" s="52"/>
    </row>
    <row r="807" spans="1:20" x14ac:dyDescent="0.3">
      <c r="A807" t="s">
        <v>53</v>
      </c>
      <c r="B807" s="48">
        <v>46023</v>
      </c>
      <c r="C807" s="26"/>
      <c r="I807" t="s">
        <v>679</v>
      </c>
      <c r="J807" t="s">
        <v>680</v>
      </c>
      <c r="K807" t="s">
        <v>59</v>
      </c>
      <c r="L807" t="s">
        <v>43</v>
      </c>
      <c r="M807" t="s">
        <v>475</v>
      </c>
      <c r="N807" t="s">
        <v>59</v>
      </c>
      <c r="O807" t="s">
        <v>116</v>
      </c>
      <c r="P807" t="s">
        <v>61</v>
      </c>
      <c r="Q807">
        <v>2</v>
      </c>
      <c r="R807" t="s">
        <v>664</v>
      </c>
      <c r="S807" t="s">
        <v>129</v>
      </c>
      <c r="T807" s="52"/>
    </row>
    <row r="808" spans="1:20" x14ac:dyDescent="0.3">
      <c r="A808" t="s">
        <v>53</v>
      </c>
      <c r="B808" s="48">
        <v>46023</v>
      </c>
      <c r="C808" s="26"/>
      <c r="I808" t="s">
        <v>681</v>
      </c>
      <c r="J808" t="s">
        <v>682</v>
      </c>
      <c r="K808" t="s">
        <v>59</v>
      </c>
      <c r="L808" t="s">
        <v>43</v>
      </c>
      <c r="M808" t="s">
        <v>475</v>
      </c>
      <c r="N808" t="s">
        <v>59</v>
      </c>
      <c r="O808" t="s">
        <v>116</v>
      </c>
      <c r="P808" t="s">
        <v>61</v>
      </c>
      <c r="Q808">
        <v>1</v>
      </c>
      <c r="R808" t="s">
        <v>664</v>
      </c>
      <c r="S808" t="s">
        <v>129</v>
      </c>
      <c r="T808" s="52"/>
    </row>
    <row r="809" spans="1:20" x14ac:dyDescent="0.3">
      <c r="A809" t="s">
        <v>53</v>
      </c>
      <c r="B809" s="48">
        <v>46023</v>
      </c>
      <c r="C809" s="26"/>
      <c r="I809" t="s">
        <v>683</v>
      </c>
      <c r="J809" t="s">
        <v>684</v>
      </c>
      <c r="K809" t="s">
        <v>59</v>
      </c>
      <c r="L809" t="s">
        <v>43</v>
      </c>
      <c r="M809" t="s">
        <v>475</v>
      </c>
      <c r="N809" t="s">
        <v>59</v>
      </c>
      <c r="O809" t="s">
        <v>116</v>
      </c>
      <c r="P809" t="s">
        <v>61</v>
      </c>
      <c r="Q809">
        <v>2</v>
      </c>
      <c r="R809" t="s">
        <v>664</v>
      </c>
      <c r="S809" t="s">
        <v>129</v>
      </c>
      <c r="T809" s="52"/>
    </row>
    <row r="810" spans="1:20" x14ac:dyDescent="0.3">
      <c r="A810" t="s">
        <v>53</v>
      </c>
      <c r="B810" s="48">
        <v>46023</v>
      </c>
      <c r="C810" s="26"/>
      <c r="I810" t="s">
        <v>685</v>
      </c>
      <c r="J810" t="s">
        <v>686</v>
      </c>
      <c r="K810" t="s">
        <v>59</v>
      </c>
      <c r="L810" t="s">
        <v>43</v>
      </c>
      <c r="M810" t="s">
        <v>687</v>
      </c>
      <c r="N810" t="s">
        <v>59</v>
      </c>
      <c r="O810" t="s">
        <v>116</v>
      </c>
      <c r="P810" t="s">
        <v>61</v>
      </c>
      <c r="Q810">
        <v>1</v>
      </c>
      <c r="R810" t="s">
        <v>664</v>
      </c>
      <c r="S810" t="s">
        <v>129</v>
      </c>
      <c r="T810" s="52"/>
    </row>
    <row r="811" spans="1:20" x14ac:dyDescent="0.3">
      <c r="A811" t="s">
        <v>53</v>
      </c>
      <c r="B811" s="48">
        <v>46023</v>
      </c>
      <c r="C811" s="26"/>
      <c r="I811" t="s">
        <v>688</v>
      </c>
      <c r="J811" t="s">
        <v>689</v>
      </c>
      <c r="K811" t="s">
        <v>59</v>
      </c>
      <c r="L811" t="s">
        <v>43</v>
      </c>
      <c r="M811" t="s">
        <v>475</v>
      </c>
      <c r="N811" t="s">
        <v>59</v>
      </c>
      <c r="O811" t="s">
        <v>116</v>
      </c>
      <c r="P811" t="s">
        <v>61</v>
      </c>
      <c r="Q811">
        <v>9</v>
      </c>
      <c r="R811" t="s">
        <v>661</v>
      </c>
      <c r="S811" t="s">
        <v>129</v>
      </c>
      <c r="T811" s="52"/>
    </row>
    <row r="812" spans="1:20" x14ac:dyDescent="0.3">
      <c r="A812" t="s">
        <v>53</v>
      </c>
      <c r="B812" s="48">
        <v>46023</v>
      </c>
      <c r="C812" s="26"/>
      <c r="I812" t="s">
        <v>690</v>
      </c>
      <c r="J812" t="s">
        <v>691</v>
      </c>
      <c r="K812" t="s">
        <v>59</v>
      </c>
      <c r="L812" t="s">
        <v>43</v>
      </c>
      <c r="M812" t="s">
        <v>475</v>
      </c>
      <c r="N812" t="s">
        <v>59</v>
      </c>
      <c r="O812" t="s">
        <v>116</v>
      </c>
      <c r="P812" t="s">
        <v>61</v>
      </c>
      <c r="Q812">
        <v>15</v>
      </c>
      <c r="R812" t="s">
        <v>661</v>
      </c>
      <c r="S812" t="s">
        <v>129</v>
      </c>
      <c r="T812" s="52"/>
    </row>
    <row r="813" spans="1:20" x14ac:dyDescent="0.3">
      <c r="A813" t="s">
        <v>53</v>
      </c>
      <c r="B813" s="48">
        <v>46023</v>
      </c>
      <c r="C813" s="26"/>
      <c r="I813" t="s">
        <v>692</v>
      </c>
      <c r="J813" t="s">
        <v>693</v>
      </c>
      <c r="K813" t="s">
        <v>59</v>
      </c>
      <c r="L813" t="s">
        <v>43</v>
      </c>
      <c r="M813" t="s">
        <v>475</v>
      </c>
      <c r="N813" t="s">
        <v>59</v>
      </c>
      <c r="O813" t="s">
        <v>116</v>
      </c>
      <c r="P813" t="s">
        <v>61</v>
      </c>
      <c r="Q813">
        <v>1</v>
      </c>
      <c r="R813" t="s">
        <v>661</v>
      </c>
      <c r="S813" t="s">
        <v>129</v>
      </c>
      <c r="T813" s="52"/>
    </row>
    <row r="814" spans="1:20" x14ac:dyDescent="0.3">
      <c r="A814" t="s">
        <v>53</v>
      </c>
      <c r="B814" s="48">
        <v>46023</v>
      </c>
      <c r="C814" s="26"/>
      <c r="I814" t="s">
        <v>694</v>
      </c>
      <c r="J814" t="s">
        <v>695</v>
      </c>
      <c r="K814" t="s">
        <v>59</v>
      </c>
      <c r="L814" t="s">
        <v>43</v>
      </c>
      <c r="M814" t="s">
        <v>475</v>
      </c>
      <c r="N814" t="s">
        <v>59</v>
      </c>
      <c r="O814" t="s">
        <v>143</v>
      </c>
      <c r="P814" t="s">
        <v>61</v>
      </c>
      <c r="Q814">
        <v>15</v>
      </c>
      <c r="R814" t="s">
        <v>661</v>
      </c>
      <c r="S814" t="s">
        <v>129</v>
      </c>
      <c r="T814" s="52"/>
    </row>
    <row r="815" spans="1:20" x14ac:dyDescent="0.3">
      <c r="A815" t="s">
        <v>53</v>
      </c>
      <c r="B815" s="48">
        <v>46023</v>
      </c>
      <c r="C815" s="26"/>
      <c r="I815" t="s">
        <v>696</v>
      </c>
      <c r="J815" t="s">
        <v>697</v>
      </c>
      <c r="K815" t="s">
        <v>59</v>
      </c>
      <c r="L815" t="s">
        <v>43</v>
      </c>
      <c r="M815" t="s">
        <v>475</v>
      </c>
      <c r="N815" t="s">
        <v>59</v>
      </c>
      <c r="O815" t="s">
        <v>143</v>
      </c>
      <c r="P815" t="s">
        <v>61</v>
      </c>
      <c r="Q815">
        <v>7</v>
      </c>
      <c r="R815" t="s">
        <v>661</v>
      </c>
      <c r="S815" t="s">
        <v>129</v>
      </c>
      <c r="T815" s="52"/>
    </row>
    <row r="816" spans="1:20" x14ac:dyDescent="0.3">
      <c r="A816" t="s">
        <v>53</v>
      </c>
      <c r="B816" s="48">
        <v>46023</v>
      </c>
      <c r="C816" s="26"/>
      <c r="I816" t="s">
        <v>698</v>
      </c>
      <c r="J816" t="s">
        <v>699</v>
      </c>
      <c r="K816" t="s">
        <v>59</v>
      </c>
      <c r="L816" t="s">
        <v>43</v>
      </c>
      <c r="M816" t="s">
        <v>475</v>
      </c>
      <c r="N816" t="s">
        <v>59</v>
      </c>
      <c r="O816" t="s">
        <v>143</v>
      </c>
      <c r="P816" t="s">
        <v>61</v>
      </c>
      <c r="Q816">
        <v>1</v>
      </c>
      <c r="R816" t="s">
        <v>661</v>
      </c>
      <c r="S816" t="s">
        <v>129</v>
      </c>
      <c r="T816" s="52"/>
    </row>
    <row r="817" spans="1:20" x14ac:dyDescent="0.3">
      <c r="A817" t="s">
        <v>53</v>
      </c>
      <c r="B817" s="48">
        <v>46023</v>
      </c>
      <c r="C817" s="26"/>
      <c r="I817" t="s">
        <v>700</v>
      </c>
      <c r="J817" t="s">
        <v>701</v>
      </c>
      <c r="K817" t="s">
        <v>59</v>
      </c>
      <c r="L817" t="s">
        <v>43</v>
      </c>
      <c r="M817" t="s">
        <v>475</v>
      </c>
      <c r="N817" t="s">
        <v>59</v>
      </c>
      <c r="O817" t="s">
        <v>116</v>
      </c>
      <c r="P817" t="s">
        <v>61</v>
      </c>
      <c r="Q817">
        <v>2</v>
      </c>
      <c r="R817" t="s">
        <v>664</v>
      </c>
      <c r="S817" t="s">
        <v>129</v>
      </c>
      <c r="T817" s="52"/>
    </row>
    <row r="818" spans="1:20" x14ac:dyDescent="0.3">
      <c r="A818" t="s">
        <v>53</v>
      </c>
      <c r="B818" s="48">
        <v>46023</v>
      </c>
      <c r="C818" s="26"/>
      <c r="I818" t="s">
        <v>702</v>
      </c>
      <c r="J818" t="s">
        <v>703</v>
      </c>
      <c r="K818" t="s">
        <v>59</v>
      </c>
      <c r="L818" t="s">
        <v>43</v>
      </c>
      <c r="M818" t="s">
        <v>587</v>
      </c>
      <c r="N818" t="s">
        <v>59</v>
      </c>
      <c r="O818" t="s">
        <v>143</v>
      </c>
      <c r="P818" t="s">
        <v>228</v>
      </c>
      <c r="Q818">
        <v>3</v>
      </c>
      <c r="R818" t="s">
        <v>704</v>
      </c>
      <c r="S818" t="s">
        <v>129</v>
      </c>
      <c r="T818" s="52"/>
    </row>
    <row r="819" spans="1:20" x14ac:dyDescent="0.3">
      <c r="A819" t="s">
        <v>53</v>
      </c>
      <c r="B819" s="48">
        <v>46023</v>
      </c>
      <c r="C819" s="26"/>
      <c r="I819" t="s">
        <v>705</v>
      </c>
      <c r="J819" t="s">
        <v>706</v>
      </c>
      <c r="K819" t="s">
        <v>59</v>
      </c>
      <c r="L819" t="s">
        <v>43</v>
      </c>
      <c r="M819" t="s">
        <v>475</v>
      </c>
      <c r="N819" t="s">
        <v>59</v>
      </c>
      <c r="O819" t="s">
        <v>143</v>
      </c>
      <c r="P819" t="s">
        <v>61</v>
      </c>
      <c r="Q819">
        <v>8</v>
      </c>
      <c r="R819" t="s">
        <v>661</v>
      </c>
      <c r="S819" t="s">
        <v>129</v>
      </c>
      <c r="T819" s="52"/>
    </row>
    <row r="820" spans="1:20" x14ac:dyDescent="0.3">
      <c r="A820" t="s">
        <v>53</v>
      </c>
      <c r="B820" s="48">
        <v>46023</v>
      </c>
      <c r="C820" s="26"/>
      <c r="I820" t="s">
        <v>707</v>
      </c>
      <c r="J820" t="s">
        <v>708</v>
      </c>
      <c r="K820" t="s">
        <v>59</v>
      </c>
      <c r="L820" t="s">
        <v>43</v>
      </c>
      <c r="M820" t="s">
        <v>475</v>
      </c>
      <c r="N820" t="s">
        <v>59</v>
      </c>
      <c r="O820" t="s">
        <v>143</v>
      </c>
      <c r="P820" t="s">
        <v>144</v>
      </c>
      <c r="Q820">
        <v>19</v>
      </c>
      <c r="R820" t="s">
        <v>709</v>
      </c>
      <c r="S820" t="s">
        <v>309</v>
      </c>
      <c r="T820" s="52"/>
    </row>
    <row r="821" spans="1:20" x14ac:dyDescent="0.3">
      <c r="A821" t="s">
        <v>53</v>
      </c>
      <c r="B821" s="48">
        <v>46023</v>
      </c>
      <c r="C821" s="26"/>
      <c r="I821" t="s">
        <v>710</v>
      </c>
      <c r="J821" t="s">
        <v>711</v>
      </c>
      <c r="K821" t="s">
        <v>59</v>
      </c>
      <c r="L821" t="s">
        <v>43</v>
      </c>
      <c r="M821" t="s">
        <v>475</v>
      </c>
      <c r="N821" t="s">
        <v>59</v>
      </c>
      <c r="O821" t="s">
        <v>143</v>
      </c>
      <c r="P821" t="s">
        <v>144</v>
      </c>
      <c r="Q821">
        <v>1</v>
      </c>
      <c r="R821" t="s">
        <v>709</v>
      </c>
      <c r="S821" t="s">
        <v>309</v>
      </c>
      <c r="T821" s="52"/>
    </row>
    <row r="822" spans="1:20" x14ac:dyDescent="0.3">
      <c r="A822" t="s">
        <v>53</v>
      </c>
      <c r="B822" s="48">
        <v>46023</v>
      </c>
      <c r="C822" s="26"/>
      <c r="I822" t="s">
        <v>712</v>
      </c>
      <c r="J822" t="s">
        <v>713</v>
      </c>
      <c r="K822" t="s">
        <v>59</v>
      </c>
      <c r="L822" t="s">
        <v>43</v>
      </c>
      <c r="M822" t="s">
        <v>475</v>
      </c>
      <c r="N822" t="s">
        <v>59</v>
      </c>
      <c r="O822" t="s">
        <v>143</v>
      </c>
      <c r="P822" t="s">
        <v>144</v>
      </c>
      <c r="Q822">
        <v>3</v>
      </c>
      <c r="R822" t="s">
        <v>709</v>
      </c>
      <c r="S822" t="s">
        <v>309</v>
      </c>
      <c r="T822" s="52"/>
    </row>
    <row r="823" spans="1:20" x14ac:dyDescent="0.3">
      <c r="A823" t="s">
        <v>53</v>
      </c>
      <c r="B823" s="48">
        <v>46023</v>
      </c>
      <c r="C823" s="26"/>
      <c r="I823" t="s">
        <v>714</v>
      </c>
      <c r="J823" t="s">
        <v>715</v>
      </c>
      <c r="K823" t="s">
        <v>59</v>
      </c>
      <c r="L823" t="s">
        <v>43</v>
      </c>
      <c r="M823" t="s">
        <v>475</v>
      </c>
      <c r="N823" t="s">
        <v>59</v>
      </c>
      <c r="O823" t="s">
        <v>143</v>
      </c>
      <c r="P823" t="s">
        <v>144</v>
      </c>
      <c r="Q823">
        <v>12</v>
      </c>
      <c r="R823" t="s">
        <v>709</v>
      </c>
      <c r="S823" t="s">
        <v>309</v>
      </c>
      <c r="T823" s="52"/>
    </row>
    <row r="824" spans="1:20" x14ac:dyDescent="0.3">
      <c r="A824" t="s">
        <v>53</v>
      </c>
      <c r="B824" s="48">
        <v>46023</v>
      </c>
      <c r="C824" s="26"/>
      <c r="I824" t="s">
        <v>716</v>
      </c>
      <c r="J824" t="s">
        <v>717</v>
      </c>
      <c r="K824" t="s">
        <v>59</v>
      </c>
      <c r="L824" t="s">
        <v>43</v>
      </c>
      <c r="M824" t="s">
        <v>475</v>
      </c>
      <c r="N824" t="s">
        <v>59</v>
      </c>
      <c r="O824" t="s">
        <v>143</v>
      </c>
      <c r="P824" t="s">
        <v>144</v>
      </c>
      <c r="Q824">
        <v>8</v>
      </c>
      <c r="R824" t="s">
        <v>709</v>
      </c>
      <c r="S824" t="s">
        <v>309</v>
      </c>
      <c r="T824" s="52"/>
    </row>
    <row r="825" spans="1:20" x14ac:dyDescent="0.3">
      <c r="A825" t="s">
        <v>53</v>
      </c>
      <c r="B825" s="48">
        <v>46023</v>
      </c>
      <c r="C825" s="26"/>
      <c r="I825" t="s">
        <v>718</v>
      </c>
      <c r="J825" t="s">
        <v>719</v>
      </c>
      <c r="K825" t="s">
        <v>59</v>
      </c>
      <c r="L825" t="s">
        <v>43</v>
      </c>
      <c r="M825" t="s">
        <v>475</v>
      </c>
      <c r="N825" t="s">
        <v>59</v>
      </c>
      <c r="O825" t="s">
        <v>143</v>
      </c>
      <c r="P825" t="s">
        <v>144</v>
      </c>
      <c r="Q825">
        <v>5</v>
      </c>
      <c r="R825" t="s">
        <v>709</v>
      </c>
      <c r="S825" t="s">
        <v>309</v>
      </c>
      <c r="T825" s="52"/>
    </row>
    <row r="826" spans="1:20" x14ac:dyDescent="0.3">
      <c r="A826" t="s">
        <v>53</v>
      </c>
      <c r="B826" s="48">
        <v>46023</v>
      </c>
      <c r="C826" s="26"/>
      <c r="I826" t="s">
        <v>720</v>
      </c>
      <c r="J826" t="s">
        <v>721</v>
      </c>
      <c r="K826" t="s">
        <v>59</v>
      </c>
      <c r="L826" t="s">
        <v>43</v>
      </c>
      <c r="M826" t="s">
        <v>475</v>
      </c>
      <c r="N826" t="s">
        <v>59</v>
      </c>
      <c r="O826" t="s">
        <v>143</v>
      </c>
      <c r="P826" t="s">
        <v>144</v>
      </c>
      <c r="Q826">
        <v>1</v>
      </c>
      <c r="R826" t="s">
        <v>709</v>
      </c>
      <c r="S826" t="s">
        <v>309</v>
      </c>
      <c r="T826" s="52"/>
    </row>
    <row r="827" spans="1:20" x14ac:dyDescent="0.3">
      <c r="A827" t="s">
        <v>53</v>
      </c>
      <c r="B827" s="48">
        <v>46023</v>
      </c>
      <c r="C827" s="26"/>
      <c r="I827" t="s">
        <v>722</v>
      </c>
      <c r="J827" t="s">
        <v>723</v>
      </c>
      <c r="K827" t="s">
        <v>59</v>
      </c>
      <c r="L827" t="s">
        <v>43</v>
      </c>
      <c r="M827" t="s">
        <v>475</v>
      </c>
      <c r="N827" t="s">
        <v>59</v>
      </c>
      <c r="O827" t="s">
        <v>143</v>
      </c>
      <c r="P827" t="s">
        <v>144</v>
      </c>
      <c r="Q827">
        <v>2</v>
      </c>
      <c r="R827" t="s">
        <v>709</v>
      </c>
      <c r="S827" t="s">
        <v>309</v>
      </c>
      <c r="T827" s="52"/>
    </row>
    <row r="828" spans="1:20" x14ac:dyDescent="0.3">
      <c r="A828" t="s">
        <v>53</v>
      </c>
      <c r="B828" s="48">
        <v>46023</v>
      </c>
      <c r="C828" s="26"/>
      <c r="I828" t="s">
        <v>724</v>
      </c>
      <c r="J828" t="s">
        <v>725</v>
      </c>
      <c r="K828" t="s">
        <v>59</v>
      </c>
      <c r="L828" t="s">
        <v>43</v>
      </c>
      <c r="M828" t="s">
        <v>475</v>
      </c>
      <c r="N828" t="s">
        <v>59</v>
      </c>
      <c r="O828" t="s">
        <v>143</v>
      </c>
      <c r="P828" t="s">
        <v>144</v>
      </c>
      <c r="Q828">
        <v>5</v>
      </c>
      <c r="R828" t="s">
        <v>709</v>
      </c>
      <c r="S828" t="s">
        <v>309</v>
      </c>
      <c r="T828" s="52"/>
    </row>
    <row r="829" spans="1:20" x14ac:dyDescent="0.3">
      <c r="A829" t="s">
        <v>53</v>
      </c>
      <c r="B829" s="48">
        <v>46023</v>
      </c>
      <c r="C829" s="26"/>
      <c r="I829" t="s">
        <v>726</v>
      </c>
      <c r="J829" t="s">
        <v>727</v>
      </c>
      <c r="K829" t="s">
        <v>59</v>
      </c>
      <c r="L829" t="s">
        <v>43</v>
      </c>
      <c r="M829" t="s">
        <v>475</v>
      </c>
      <c r="N829" t="s">
        <v>59</v>
      </c>
      <c r="O829" t="s">
        <v>143</v>
      </c>
      <c r="P829" t="s">
        <v>144</v>
      </c>
      <c r="Q829">
        <v>14</v>
      </c>
      <c r="R829" t="s">
        <v>709</v>
      </c>
      <c r="S829" t="s">
        <v>309</v>
      </c>
      <c r="T829" s="52"/>
    </row>
    <row r="830" spans="1:20" x14ac:dyDescent="0.3">
      <c r="A830" t="s">
        <v>53</v>
      </c>
      <c r="B830" s="48">
        <v>46023</v>
      </c>
      <c r="C830" s="26"/>
      <c r="I830" t="s">
        <v>728</v>
      </c>
      <c r="J830" t="s">
        <v>729</v>
      </c>
      <c r="K830" t="s">
        <v>59</v>
      </c>
      <c r="L830" t="s">
        <v>43</v>
      </c>
      <c r="M830" t="s">
        <v>475</v>
      </c>
      <c r="N830" t="s">
        <v>59</v>
      </c>
      <c r="O830" t="s">
        <v>143</v>
      </c>
      <c r="P830" t="s">
        <v>144</v>
      </c>
      <c r="Q830">
        <v>1</v>
      </c>
      <c r="R830" t="s">
        <v>709</v>
      </c>
      <c r="S830" t="s">
        <v>309</v>
      </c>
      <c r="T830" s="52"/>
    </row>
    <row r="831" spans="1:20" x14ac:dyDescent="0.3">
      <c r="A831" t="s">
        <v>53</v>
      </c>
      <c r="B831" s="48">
        <v>46023</v>
      </c>
      <c r="C831" s="26"/>
      <c r="I831" t="s">
        <v>730</v>
      </c>
      <c r="J831" t="s">
        <v>731</v>
      </c>
      <c r="K831" t="s">
        <v>59</v>
      </c>
      <c r="L831" t="s">
        <v>43</v>
      </c>
      <c r="M831" t="s">
        <v>475</v>
      </c>
      <c r="N831" t="s">
        <v>59</v>
      </c>
      <c r="O831" t="s">
        <v>143</v>
      </c>
      <c r="P831" t="s">
        <v>144</v>
      </c>
      <c r="Q831">
        <v>1</v>
      </c>
      <c r="R831" t="s">
        <v>709</v>
      </c>
      <c r="S831" t="s">
        <v>309</v>
      </c>
      <c r="T831" s="52"/>
    </row>
    <row r="832" spans="1:20" x14ac:dyDescent="0.3">
      <c r="A832" t="s">
        <v>53</v>
      </c>
      <c r="B832" s="48">
        <v>46023</v>
      </c>
      <c r="C832" s="26"/>
      <c r="I832" t="s">
        <v>732</v>
      </c>
      <c r="J832" t="s">
        <v>733</v>
      </c>
      <c r="K832" t="s">
        <v>59</v>
      </c>
      <c r="L832" t="s">
        <v>43</v>
      </c>
      <c r="M832" t="s">
        <v>475</v>
      </c>
      <c r="N832" t="s">
        <v>59</v>
      </c>
      <c r="O832" t="s">
        <v>143</v>
      </c>
      <c r="P832" t="s">
        <v>144</v>
      </c>
      <c r="Q832">
        <v>20</v>
      </c>
      <c r="R832" t="s">
        <v>734</v>
      </c>
      <c r="S832" t="s">
        <v>309</v>
      </c>
      <c r="T832" s="52"/>
    </row>
    <row r="833" spans="1:20" x14ac:dyDescent="0.3">
      <c r="A833" t="s">
        <v>53</v>
      </c>
      <c r="B833" s="48">
        <v>46023</v>
      </c>
      <c r="C833" s="26"/>
      <c r="I833" t="s">
        <v>735</v>
      </c>
      <c r="J833" t="s">
        <v>736</v>
      </c>
      <c r="K833" t="s">
        <v>59</v>
      </c>
      <c r="L833" t="s">
        <v>43</v>
      </c>
      <c r="M833" t="s">
        <v>475</v>
      </c>
      <c r="N833" t="s">
        <v>59</v>
      </c>
      <c r="O833" t="s">
        <v>143</v>
      </c>
      <c r="P833" t="s">
        <v>144</v>
      </c>
      <c r="Q833">
        <v>1</v>
      </c>
      <c r="R833" t="s">
        <v>734</v>
      </c>
      <c r="S833" t="s">
        <v>309</v>
      </c>
      <c r="T833" s="52"/>
    </row>
    <row r="834" spans="1:20" x14ac:dyDescent="0.3">
      <c r="A834" t="s">
        <v>53</v>
      </c>
      <c r="B834" s="48">
        <v>46023</v>
      </c>
      <c r="C834" s="26"/>
      <c r="I834" t="s">
        <v>737</v>
      </c>
      <c r="J834" t="s">
        <v>738</v>
      </c>
      <c r="K834" t="s">
        <v>59</v>
      </c>
      <c r="L834" t="s">
        <v>43</v>
      </c>
      <c r="M834" t="s">
        <v>475</v>
      </c>
      <c r="N834" t="s">
        <v>59</v>
      </c>
      <c r="O834" t="s">
        <v>143</v>
      </c>
      <c r="P834" t="s">
        <v>144</v>
      </c>
      <c r="Q834">
        <v>1</v>
      </c>
      <c r="R834" t="s">
        <v>734</v>
      </c>
      <c r="S834" t="s">
        <v>309</v>
      </c>
      <c r="T834" s="52"/>
    </row>
    <row r="835" spans="1:20" x14ac:dyDescent="0.3">
      <c r="A835" t="s">
        <v>53</v>
      </c>
      <c r="B835" s="48">
        <v>46023</v>
      </c>
      <c r="C835" s="26"/>
      <c r="I835" t="s">
        <v>739</v>
      </c>
      <c r="J835" t="s">
        <v>740</v>
      </c>
      <c r="K835" t="s">
        <v>59</v>
      </c>
      <c r="L835" t="s">
        <v>43</v>
      </c>
      <c r="M835" t="s">
        <v>475</v>
      </c>
      <c r="N835" t="s">
        <v>59</v>
      </c>
      <c r="O835" t="s">
        <v>143</v>
      </c>
      <c r="P835" t="s">
        <v>144</v>
      </c>
      <c r="Q835">
        <v>1</v>
      </c>
      <c r="R835" t="s">
        <v>734</v>
      </c>
      <c r="S835" t="s">
        <v>309</v>
      </c>
      <c r="T835" s="52"/>
    </row>
    <row r="836" spans="1:20" x14ac:dyDescent="0.3">
      <c r="A836" t="s">
        <v>53</v>
      </c>
      <c r="B836" s="48">
        <v>46023</v>
      </c>
      <c r="C836" s="26"/>
      <c r="I836" t="s">
        <v>741</v>
      </c>
      <c r="J836" t="s">
        <v>742</v>
      </c>
      <c r="K836" t="s">
        <v>59</v>
      </c>
      <c r="L836" t="s">
        <v>43</v>
      </c>
      <c r="M836" t="s">
        <v>475</v>
      </c>
      <c r="N836" t="s">
        <v>59</v>
      </c>
      <c r="O836" t="s">
        <v>143</v>
      </c>
      <c r="P836" t="s">
        <v>144</v>
      </c>
      <c r="Q836">
        <v>1</v>
      </c>
      <c r="R836" t="s">
        <v>734</v>
      </c>
      <c r="S836" t="s">
        <v>309</v>
      </c>
      <c r="T836" s="52"/>
    </row>
    <row r="837" spans="1:20" x14ac:dyDescent="0.3">
      <c r="A837" t="s">
        <v>53</v>
      </c>
      <c r="B837" s="48">
        <v>46023</v>
      </c>
      <c r="C837" s="26"/>
      <c r="I837" t="s">
        <v>743</v>
      </c>
      <c r="J837" t="s">
        <v>744</v>
      </c>
      <c r="K837" t="s">
        <v>59</v>
      </c>
      <c r="L837" t="s">
        <v>43</v>
      </c>
      <c r="M837" t="s">
        <v>475</v>
      </c>
      <c r="N837" t="s">
        <v>59</v>
      </c>
      <c r="O837" t="s">
        <v>143</v>
      </c>
      <c r="P837" t="s">
        <v>144</v>
      </c>
      <c r="Q837">
        <v>1</v>
      </c>
      <c r="R837" t="s">
        <v>734</v>
      </c>
      <c r="S837" t="s">
        <v>309</v>
      </c>
      <c r="T837" s="52"/>
    </row>
    <row r="838" spans="1:20" x14ac:dyDescent="0.3">
      <c r="A838" t="s">
        <v>53</v>
      </c>
      <c r="B838" s="48">
        <v>46023</v>
      </c>
      <c r="C838" s="26"/>
      <c r="I838" t="s">
        <v>745</v>
      </c>
      <c r="J838" t="s">
        <v>746</v>
      </c>
      <c r="K838" t="s">
        <v>59</v>
      </c>
      <c r="L838" t="s">
        <v>43</v>
      </c>
      <c r="M838" t="s">
        <v>475</v>
      </c>
      <c r="N838" t="s">
        <v>59</v>
      </c>
      <c r="O838" t="s">
        <v>143</v>
      </c>
      <c r="P838" t="s">
        <v>144</v>
      </c>
      <c r="Q838">
        <v>1</v>
      </c>
      <c r="R838" t="s">
        <v>734</v>
      </c>
      <c r="S838" t="s">
        <v>309</v>
      </c>
      <c r="T838" s="52"/>
    </row>
    <row r="839" spans="1:20" x14ac:dyDescent="0.3">
      <c r="A839" t="s">
        <v>53</v>
      </c>
      <c r="B839" s="48">
        <v>46023</v>
      </c>
      <c r="C839" s="26"/>
      <c r="I839" t="s">
        <v>747</v>
      </c>
      <c r="J839" t="s">
        <v>748</v>
      </c>
      <c r="K839" t="s">
        <v>749</v>
      </c>
      <c r="L839" t="s">
        <v>43</v>
      </c>
      <c r="M839" t="s">
        <v>475</v>
      </c>
      <c r="N839" t="s">
        <v>59</v>
      </c>
      <c r="O839" t="s">
        <v>143</v>
      </c>
      <c r="P839" t="s">
        <v>144</v>
      </c>
      <c r="Q839">
        <v>20</v>
      </c>
      <c r="R839" t="s">
        <v>734</v>
      </c>
      <c r="S839" t="s">
        <v>309</v>
      </c>
      <c r="T839" s="52"/>
    </row>
    <row r="840" spans="1:20" x14ac:dyDescent="0.3">
      <c r="A840" t="s">
        <v>53</v>
      </c>
      <c r="B840" s="48">
        <v>46023</v>
      </c>
      <c r="C840" s="26"/>
      <c r="I840" t="s">
        <v>750</v>
      </c>
      <c r="J840" t="s">
        <v>751</v>
      </c>
      <c r="K840" t="s">
        <v>59</v>
      </c>
      <c r="L840" t="s">
        <v>43</v>
      </c>
      <c r="M840" t="s">
        <v>475</v>
      </c>
      <c r="N840" t="s">
        <v>59</v>
      </c>
      <c r="O840" t="s">
        <v>143</v>
      </c>
      <c r="P840" t="s">
        <v>144</v>
      </c>
      <c r="Q840">
        <v>2</v>
      </c>
      <c r="R840" t="s">
        <v>734</v>
      </c>
      <c r="S840" t="s">
        <v>309</v>
      </c>
      <c r="T840" s="52"/>
    </row>
    <row r="841" spans="1:20" x14ac:dyDescent="0.3">
      <c r="A841" t="s">
        <v>53</v>
      </c>
      <c r="B841" s="48">
        <v>46023</v>
      </c>
      <c r="C841" s="26"/>
      <c r="I841" t="s">
        <v>752</v>
      </c>
      <c r="J841" t="s">
        <v>753</v>
      </c>
      <c r="K841" t="s">
        <v>754</v>
      </c>
      <c r="L841" t="s">
        <v>43</v>
      </c>
      <c r="M841" t="s">
        <v>687</v>
      </c>
      <c r="N841" t="s">
        <v>59</v>
      </c>
      <c r="O841" t="s">
        <v>116</v>
      </c>
      <c r="P841" t="s">
        <v>144</v>
      </c>
      <c r="Q841">
        <v>6</v>
      </c>
      <c r="R841" t="s">
        <v>308</v>
      </c>
      <c r="S841" t="s">
        <v>309</v>
      </c>
      <c r="T841" s="52"/>
    </row>
    <row r="842" spans="1:20" x14ac:dyDescent="0.3">
      <c r="A842" t="s">
        <v>53</v>
      </c>
      <c r="B842" s="48">
        <v>46023</v>
      </c>
      <c r="C842" s="26"/>
      <c r="I842" t="s">
        <v>755</v>
      </c>
      <c r="J842" t="s">
        <v>756</v>
      </c>
      <c r="K842" t="s">
        <v>59</v>
      </c>
      <c r="L842" t="s">
        <v>43</v>
      </c>
      <c r="M842" t="s">
        <v>475</v>
      </c>
      <c r="N842" t="s">
        <v>59</v>
      </c>
      <c r="O842" t="s">
        <v>143</v>
      </c>
      <c r="P842" t="s">
        <v>144</v>
      </c>
      <c r="Q842">
        <v>41</v>
      </c>
      <c r="R842" t="s">
        <v>757</v>
      </c>
      <c r="S842" t="s">
        <v>309</v>
      </c>
      <c r="T842" s="52"/>
    </row>
    <row r="843" spans="1:20" x14ac:dyDescent="0.3">
      <c r="A843" t="s">
        <v>53</v>
      </c>
      <c r="B843" s="48">
        <v>46023</v>
      </c>
      <c r="C843" s="26"/>
      <c r="I843" t="s">
        <v>758</v>
      </c>
      <c r="J843" t="s">
        <v>759</v>
      </c>
      <c r="K843" t="s">
        <v>59</v>
      </c>
      <c r="L843" t="s">
        <v>43</v>
      </c>
      <c r="M843" t="s">
        <v>475</v>
      </c>
      <c r="N843" t="s">
        <v>59</v>
      </c>
      <c r="O843" t="s">
        <v>143</v>
      </c>
      <c r="P843" t="s">
        <v>144</v>
      </c>
      <c r="Q843">
        <v>5</v>
      </c>
      <c r="R843" t="s">
        <v>757</v>
      </c>
      <c r="S843" t="s">
        <v>309</v>
      </c>
      <c r="T843" s="52"/>
    </row>
    <row r="844" spans="1:20" x14ac:dyDescent="0.3">
      <c r="A844" t="s">
        <v>53</v>
      </c>
      <c r="B844" s="48">
        <v>46023</v>
      </c>
      <c r="C844" s="26"/>
      <c r="I844" t="s">
        <v>760</v>
      </c>
      <c r="J844" t="s">
        <v>761</v>
      </c>
      <c r="K844" t="s">
        <v>59</v>
      </c>
      <c r="L844" t="s">
        <v>43</v>
      </c>
      <c r="M844" t="s">
        <v>475</v>
      </c>
      <c r="N844" t="s">
        <v>59</v>
      </c>
      <c r="O844" t="s">
        <v>143</v>
      </c>
      <c r="P844" t="s">
        <v>144</v>
      </c>
      <c r="Q844">
        <v>29</v>
      </c>
      <c r="R844" t="s">
        <v>757</v>
      </c>
      <c r="S844" t="s">
        <v>309</v>
      </c>
      <c r="T844" s="52"/>
    </row>
    <row r="845" spans="1:20" x14ac:dyDescent="0.3">
      <c r="A845" t="s">
        <v>53</v>
      </c>
      <c r="B845" s="48">
        <v>46023</v>
      </c>
      <c r="C845" s="26"/>
      <c r="I845" t="s">
        <v>762</v>
      </c>
      <c r="J845" t="s">
        <v>763</v>
      </c>
      <c r="K845" t="s">
        <v>59</v>
      </c>
      <c r="L845" t="s">
        <v>43</v>
      </c>
      <c r="M845" t="s">
        <v>475</v>
      </c>
      <c r="N845" t="s">
        <v>59</v>
      </c>
      <c r="O845" t="s">
        <v>143</v>
      </c>
      <c r="P845" t="s">
        <v>144</v>
      </c>
      <c r="Q845">
        <v>8</v>
      </c>
      <c r="R845" t="s">
        <v>757</v>
      </c>
      <c r="S845" t="s">
        <v>309</v>
      </c>
      <c r="T845" s="52"/>
    </row>
    <row r="846" spans="1:20" x14ac:dyDescent="0.3">
      <c r="A846" t="s">
        <v>53</v>
      </c>
      <c r="B846" s="48">
        <v>46023</v>
      </c>
      <c r="C846" s="26"/>
      <c r="I846" t="s">
        <v>764</v>
      </c>
      <c r="J846" t="s">
        <v>765</v>
      </c>
      <c r="K846" t="s">
        <v>59</v>
      </c>
      <c r="L846" t="s">
        <v>43</v>
      </c>
      <c r="M846" t="s">
        <v>475</v>
      </c>
      <c r="N846" t="s">
        <v>59</v>
      </c>
      <c r="O846" t="s">
        <v>116</v>
      </c>
      <c r="P846" t="s">
        <v>144</v>
      </c>
      <c r="Q846">
        <v>24</v>
      </c>
      <c r="R846" t="s">
        <v>757</v>
      </c>
      <c r="S846" t="s">
        <v>309</v>
      </c>
      <c r="T846" s="52"/>
    </row>
    <row r="847" spans="1:20" x14ac:dyDescent="0.3">
      <c r="A847" t="s">
        <v>53</v>
      </c>
      <c r="B847" s="48">
        <v>46023</v>
      </c>
      <c r="C847" s="26"/>
      <c r="I847" t="s">
        <v>766</v>
      </c>
      <c r="J847" t="s">
        <v>767</v>
      </c>
      <c r="K847" t="s">
        <v>59</v>
      </c>
      <c r="L847" t="s">
        <v>43</v>
      </c>
      <c r="M847" t="s">
        <v>475</v>
      </c>
      <c r="N847" t="s">
        <v>59</v>
      </c>
      <c r="O847" t="s">
        <v>116</v>
      </c>
      <c r="P847" t="s">
        <v>144</v>
      </c>
      <c r="Q847">
        <v>28</v>
      </c>
      <c r="R847" t="s">
        <v>757</v>
      </c>
      <c r="S847" t="s">
        <v>309</v>
      </c>
      <c r="T847" s="52"/>
    </row>
    <row r="848" spans="1:20" x14ac:dyDescent="0.3">
      <c r="A848" t="s">
        <v>53</v>
      </c>
      <c r="B848" s="48">
        <v>46023</v>
      </c>
      <c r="C848" s="26"/>
      <c r="I848" t="s">
        <v>768</v>
      </c>
      <c r="J848" t="s">
        <v>769</v>
      </c>
      <c r="K848" t="s">
        <v>59</v>
      </c>
      <c r="L848" t="s">
        <v>43</v>
      </c>
      <c r="M848" t="s">
        <v>475</v>
      </c>
      <c r="N848" t="s">
        <v>59</v>
      </c>
      <c r="O848" t="s">
        <v>116</v>
      </c>
      <c r="P848" t="s">
        <v>144</v>
      </c>
      <c r="Q848">
        <v>2</v>
      </c>
      <c r="R848" t="s">
        <v>757</v>
      </c>
      <c r="S848" t="s">
        <v>309</v>
      </c>
      <c r="T848" s="52"/>
    </row>
    <row r="849" spans="1:20" x14ac:dyDescent="0.3">
      <c r="A849" t="s">
        <v>53</v>
      </c>
      <c r="B849" s="48">
        <v>46023</v>
      </c>
      <c r="C849" s="26"/>
      <c r="I849" t="s">
        <v>770</v>
      </c>
      <c r="J849" t="s">
        <v>771</v>
      </c>
      <c r="K849" t="s">
        <v>59</v>
      </c>
      <c r="L849" t="s">
        <v>43</v>
      </c>
      <c r="M849" t="s">
        <v>475</v>
      </c>
      <c r="N849" t="s">
        <v>59</v>
      </c>
      <c r="O849" t="s">
        <v>116</v>
      </c>
      <c r="P849" t="s">
        <v>144</v>
      </c>
      <c r="Q849">
        <v>11</v>
      </c>
      <c r="R849" t="s">
        <v>757</v>
      </c>
      <c r="S849" t="s">
        <v>309</v>
      </c>
      <c r="T849" s="52"/>
    </row>
    <row r="850" spans="1:20" x14ac:dyDescent="0.3">
      <c r="A850" t="s">
        <v>53</v>
      </c>
      <c r="B850" s="48">
        <v>46023</v>
      </c>
      <c r="C850" s="26"/>
      <c r="I850" t="s">
        <v>772</v>
      </c>
      <c r="J850" t="s">
        <v>773</v>
      </c>
      <c r="K850" t="s">
        <v>59</v>
      </c>
      <c r="L850" t="s">
        <v>43</v>
      </c>
      <c r="M850" t="s">
        <v>475</v>
      </c>
      <c r="N850" t="s">
        <v>59</v>
      </c>
      <c r="O850" t="s">
        <v>116</v>
      </c>
      <c r="P850" t="s">
        <v>144</v>
      </c>
      <c r="Q850">
        <v>24</v>
      </c>
      <c r="R850" t="s">
        <v>757</v>
      </c>
      <c r="S850" t="s">
        <v>309</v>
      </c>
      <c r="T850" s="52"/>
    </row>
    <row r="851" spans="1:20" x14ac:dyDescent="0.3">
      <c r="A851" t="s">
        <v>53</v>
      </c>
      <c r="B851" s="48">
        <v>46023</v>
      </c>
      <c r="C851" s="26"/>
      <c r="I851" t="s">
        <v>774</v>
      </c>
      <c r="J851" t="s">
        <v>775</v>
      </c>
      <c r="K851" t="s">
        <v>59</v>
      </c>
      <c r="L851" t="s">
        <v>43</v>
      </c>
      <c r="M851" t="s">
        <v>475</v>
      </c>
      <c r="N851" t="s">
        <v>59</v>
      </c>
      <c r="O851" t="s">
        <v>116</v>
      </c>
      <c r="P851" t="s">
        <v>144</v>
      </c>
      <c r="Q851">
        <v>11</v>
      </c>
      <c r="R851" t="s">
        <v>757</v>
      </c>
      <c r="S851" t="s">
        <v>309</v>
      </c>
      <c r="T851" s="52"/>
    </row>
    <row r="852" spans="1:20" x14ac:dyDescent="0.3">
      <c r="A852" t="s">
        <v>53</v>
      </c>
      <c r="B852" s="48">
        <v>46023</v>
      </c>
      <c r="C852" s="26"/>
      <c r="I852" t="s">
        <v>776</v>
      </c>
      <c r="J852" t="s">
        <v>777</v>
      </c>
      <c r="K852" t="s">
        <v>59</v>
      </c>
      <c r="L852" t="s">
        <v>43</v>
      </c>
      <c r="M852" t="s">
        <v>475</v>
      </c>
      <c r="N852" t="s">
        <v>59</v>
      </c>
      <c r="O852" t="s">
        <v>116</v>
      </c>
      <c r="P852" t="s">
        <v>144</v>
      </c>
      <c r="Q852">
        <v>15</v>
      </c>
      <c r="R852" t="s">
        <v>757</v>
      </c>
      <c r="S852" t="s">
        <v>309</v>
      </c>
      <c r="T852" s="52"/>
    </row>
    <row r="853" spans="1:20" x14ac:dyDescent="0.3">
      <c r="A853" t="s">
        <v>53</v>
      </c>
      <c r="B853" s="48">
        <v>46023</v>
      </c>
      <c r="C853" s="26"/>
      <c r="I853" t="s">
        <v>778</v>
      </c>
      <c r="J853" t="s">
        <v>779</v>
      </c>
      <c r="K853" t="s">
        <v>59</v>
      </c>
      <c r="L853" t="s">
        <v>43</v>
      </c>
      <c r="M853" t="s">
        <v>475</v>
      </c>
      <c r="N853" t="s">
        <v>59</v>
      </c>
      <c r="O853" t="s">
        <v>116</v>
      </c>
      <c r="P853" t="s">
        <v>144</v>
      </c>
      <c r="Q853">
        <v>20</v>
      </c>
      <c r="R853" t="s">
        <v>757</v>
      </c>
      <c r="S853" t="s">
        <v>309</v>
      </c>
      <c r="T853" s="52"/>
    </row>
    <row r="854" spans="1:20" x14ac:dyDescent="0.3">
      <c r="A854" t="s">
        <v>53</v>
      </c>
      <c r="B854" s="48">
        <v>46023</v>
      </c>
      <c r="C854" s="26"/>
      <c r="I854" t="s">
        <v>780</v>
      </c>
      <c r="J854" t="s">
        <v>781</v>
      </c>
      <c r="K854" t="s">
        <v>59</v>
      </c>
      <c r="L854" t="s">
        <v>43</v>
      </c>
      <c r="M854" t="s">
        <v>475</v>
      </c>
      <c r="N854" t="s">
        <v>59</v>
      </c>
      <c r="O854" t="s">
        <v>116</v>
      </c>
      <c r="P854" t="s">
        <v>144</v>
      </c>
      <c r="Q854">
        <v>5</v>
      </c>
      <c r="R854" t="s">
        <v>757</v>
      </c>
      <c r="S854" t="s">
        <v>309</v>
      </c>
      <c r="T854" s="52"/>
    </row>
    <row r="855" spans="1:20" x14ac:dyDescent="0.3">
      <c r="A855" t="s">
        <v>53</v>
      </c>
      <c r="B855" s="48">
        <v>46023</v>
      </c>
      <c r="C855" s="26"/>
      <c r="I855" t="s">
        <v>782</v>
      </c>
      <c r="J855" t="s">
        <v>783</v>
      </c>
      <c r="K855" t="s">
        <v>59</v>
      </c>
      <c r="L855" t="s">
        <v>43</v>
      </c>
      <c r="M855" t="s">
        <v>475</v>
      </c>
      <c r="N855" t="s">
        <v>59</v>
      </c>
      <c r="O855" t="s">
        <v>116</v>
      </c>
      <c r="P855" t="s">
        <v>144</v>
      </c>
      <c r="Q855">
        <v>2</v>
      </c>
      <c r="R855" t="s">
        <v>757</v>
      </c>
      <c r="S855" t="s">
        <v>309</v>
      </c>
      <c r="T855" s="52"/>
    </row>
    <row r="856" spans="1:20" x14ac:dyDescent="0.3">
      <c r="A856" t="s">
        <v>53</v>
      </c>
      <c r="B856" s="48">
        <v>46023</v>
      </c>
      <c r="C856" s="26"/>
      <c r="I856" t="s">
        <v>784</v>
      </c>
      <c r="J856" t="s">
        <v>785</v>
      </c>
      <c r="K856" t="s">
        <v>59</v>
      </c>
      <c r="L856" t="s">
        <v>43</v>
      </c>
      <c r="M856" t="s">
        <v>475</v>
      </c>
      <c r="N856" t="s">
        <v>59</v>
      </c>
      <c r="O856" t="s">
        <v>116</v>
      </c>
      <c r="P856" t="s">
        <v>144</v>
      </c>
      <c r="Q856">
        <v>2</v>
      </c>
      <c r="R856" t="s">
        <v>757</v>
      </c>
      <c r="S856" t="s">
        <v>309</v>
      </c>
      <c r="T856" s="52"/>
    </row>
    <row r="857" spans="1:20" x14ac:dyDescent="0.3">
      <c r="A857" t="s">
        <v>53</v>
      </c>
      <c r="B857" s="48">
        <v>46023</v>
      </c>
      <c r="C857" s="26"/>
      <c r="I857" t="s">
        <v>786</v>
      </c>
      <c r="J857" t="s">
        <v>787</v>
      </c>
      <c r="K857" t="s">
        <v>59</v>
      </c>
      <c r="L857" t="s">
        <v>43</v>
      </c>
      <c r="M857" t="s">
        <v>475</v>
      </c>
      <c r="N857" t="s">
        <v>59</v>
      </c>
      <c r="O857" t="s">
        <v>116</v>
      </c>
      <c r="P857" t="s">
        <v>144</v>
      </c>
      <c r="Q857">
        <v>1</v>
      </c>
      <c r="R857" t="s">
        <v>757</v>
      </c>
      <c r="S857" t="s">
        <v>309</v>
      </c>
      <c r="T857" s="52"/>
    </row>
    <row r="858" spans="1:20" x14ac:dyDescent="0.3">
      <c r="A858" t="s">
        <v>53</v>
      </c>
      <c r="B858" s="48">
        <v>46023</v>
      </c>
      <c r="C858" s="26"/>
      <c r="I858" t="s">
        <v>788</v>
      </c>
      <c r="J858" t="s">
        <v>789</v>
      </c>
      <c r="K858" t="s">
        <v>59</v>
      </c>
      <c r="L858" t="s">
        <v>43</v>
      </c>
      <c r="M858" t="s">
        <v>475</v>
      </c>
      <c r="N858" t="s">
        <v>59</v>
      </c>
      <c r="O858" t="s">
        <v>116</v>
      </c>
      <c r="P858" t="s">
        <v>144</v>
      </c>
      <c r="Q858">
        <v>1</v>
      </c>
      <c r="R858" t="s">
        <v>757</v>
      </c>
      <c r="S858" t="s">
        <v>309</v>
      </c>
      <c r="T858" s="52"/>
    </row>
    <row r="859" spans="1:20" x14ac:dyDescent="0.3">
      <c r="A859" t="s">
        <v>53</v>
      </c>
      <c r="B859" s="48">
        <v>46023</v>
      </c>
      <c r="C859" s="26"/>
      <c r="I859" t="s">
        <v>790</v>
      </c>
      <c r="J859" t="s">
        <v>791</v>
      </c>
      <c r="K859" t="s">
        <v>59</v>
      </c>
      <c r="L859" t="s">
        <v>43</v>
      </c>
      <c r="M859" t="s">
        <v>475</v>
      </c>
      <c r="N859" t="s">
        <v>59</v>
      </c>
      <c r="O859" t="s">
        <v>116</v>
      </c>
      <c r="P859" t="s">
        <v>144</v>
      </c>
      <c r="Q859">
        <v>1</v>
      </c>
      <c r="R859" t="s">
        <v>757</v>
      </c>
      <c r="S859" t="s">
        <v>309</v>
      </c>
      <c r="T859" s="52"/>
    </row>
    <row r="860" spans="1:20" x14ac:dyDescent="0.3">
      <c r="A860" t="s">
        <v>53</v>
      </c>
      <c r="B860" s="48">
        <v>46023</v>
      </c>
      <c r="C860" s="26"/>
      <c r="I860" t="s">
        <v>792</v>
      </c>
      <c r="J860" t="s">
        <v>793</v>
      </c>
      <c r="K860" t="s">
        <v>59</v>
      </c>
      <c r="L860" t="s">
        <v>43</v>
      </c>
      <c r="M860" t="s">
        <v>475</v>
      </c>
      <c r="N860" t="s">
        <v>59</v>
      </c>
      <c r="O860" t="s">
        <v>116</v>
      </c>
      <c r="P860" t="s">
        <v>144</v>
      </c>
      <c r="Q860">
        <v>2</v>
      </c>
      <c r="R860" t="s">
        <v>757</v>
      </c>
      <c r="S860" t="s">
        <v>309</v>
      </c>
      <c r="T860" s="52"/>
    </row>
    <row r="861" spans="1:20" x14ac:dyDescent="0.3">
      <c r="A861" t="s">
        <v>53</v>
      </c>
      <c r="B861" s="48">
        <v>46023</v>
      </c>
      <c r="C861" s="26"/>
      <c r="I861" t="s">
        <v>794</v>
      </c>
      <c r="J861" t="s">
        <v>795</v>
      </c>
      <c r="K861" t="s">
        <v>59</v>
      </c>
      <c r="L861" t="s">
        <v>43</v>
      </c>
      <c r="M861" t="s">
        <v>475</v>
      </c>
      <c r="N861" t="s">
        <v>59</v>
      </c>
      <c r="O861" t="s">
        <v>116</v>
      </c>
      <c r="P861" t="s">
        <v>144</v>
      </c>
      <c r="Q861">
        <v>5</v>
      </c>
      <c r="R861" t="s">
        <v>757</v>
      </c>
      <c r="S861" t="s">
        <v>309</v>
      </c>
      <c r="T861" s="52"/>
    </row>
    <row r="862" spans="1:20" x14ac:dyDescent="0.3">
      <c r="A862" t="s">
        <v>53</v>
      </c>
      <c r="B862" s="48">
        <v>46023</v>
      </c>
      <c r="C862" s="26"/>
      <c r="I862" t="s">
        <v>796</v>
      </c>
      <c r="J862" t="s">
        <v>797</v>
      </c>
      <c r="K862" t="s">
        <v>59</v>
      </c>
      <c r="L862" t="s">
        <v>43</v>
      </c>
      <c r="M862" t="s">
        <v>475</v>
      </c>
      <c r="N862" t="s">
        <v>59</v>
      </c>
      <c r="O862" t="s">
        <v>116</v>
      </c>
      <c r="P862" t="s">
        <v>144</v>
      </c>
      <c r="Q862">
        <v>2</v>
      </c>
      <c r="R862" t="s">
        <v>757</v>
      </c>
      <c r="S862" t="s">
        <v>309</v>
      </c>
      <c r="T862" s="52"/>
    </row>
    <row r="863" spans="1:20" x14ac:dyDescent="0.3">
      <c r="A863" t="s">
        <v>53</v>
      </c>
      <c r="B863" s="48">
        <v>46023</v>
      </c>
      <c r="C863" s="26"/>
      <c r="I863" t="s">
        <v>798</v>
      </c>
      <c r="J863" t="s">
        <v>799</v>
      </c>
      <c r="K863" t="s">
        <v>59</v>
      </c>
      <c r="L863" t="s">
        <v>43</v>
      </c>
      <c r="M863" t="s">
        <v>475</v>
      </c>
      <c r="N863" t="s">
        <v>59</v>
      </c>
      <c r="O863" t="s">
        <v>116</v>
      </c>
      <c r="P863" t="s">
        <v>144</v>
      </c>
      <c r="Q863">
        <v>8</v>
      </c>
      <c r="R863" t="s">
        <v>757</v>
      </c>
      <c r="S863" t="s">
        <v>309</v>
      </c>
      <c r="T863" s="52"/>
    </row>
    <row r="864" spans="1:20" x14ac:dyDescent="0.3">
      <c r="A864" t="s">
        <v>53</v>
      </c>
      <c r="B864" s="48">
        <v>46023</v>
      </c>
      <c r="C864" s="26"/>
      <c r="I864" t="s">
        <v>800</v>
      </c>
      <c r="J864" t="s">
        <v>801</v>
      </c>
      <c r="K864" t="s">
        <v>59</v>
      </c>
      <c r="L864" t="s">
        <v>43</v>
      </c>
      <c r="M864" t="s">
        <v>475</v>
      </c>
      <c r="N864" t="s">
        <v>59</v>
      </c>
      <c r="O864" t="s">
        <v>116</v>
      </c>
      <c r="P864" t="s">
        <v>144</v>
      </c>
      <c r="Q864">
        <v>4</v>
      </c>
      <c r="R864" t="s">
        <v>757</v>
      </c>
      <c r="S864" t="s">
        <v>309</v>
      </c>
      <c r="T864" s="52"/>
    </row>
    <row r="865" spans="1:20" x14ac:dyDescent="0.3">
      <c r="A865" t="s">
        <v>53</v>
      </c>
      <c r="B865" s="48">
        <v>46023</v>
      </c>
      <c r="C865" s="26"/>
      <c r="I865" t="s">
        <v>802</v>
      </c>
      <c r="J865" t="s">
        <v>803</v>
      </c>
      <c r="K865" t="s">
        <v>59</v>
      </c>
      <c r="L865" t="s">
        <v>43</v>
      </c>
      <c r="M865" t="s">
        <v>475</v>
      </c>
      <c r="N865" t="s">
        <v>59</v>
      </c>
      <c r="O865" t="s">
        <v>116</v>
      </c>
      <c r="P865" t="s">
        <v>144</v>
      </c>
      <c r="Q865">
        <v>2</v>
      </c>
      <c r="R865" t="s">
        <v>757</v>
      </c>
      <c r="S865" t="s">
        <v>309</v>
      </c>
      <c r="T865" s="52"/>
    </row>
    <row r="866" spans="1:20" x14ac:dyDescent="0.3">
      <c r="A866" t="s">
        <v>53</v>
      </c>
      <c r="B866" s="48">
        <v>46023</v>
      </c>
      <c r="C866" s="26"/>
      <c r="I866" t="s">
        <v>804</v>
      </c>
      <c r="J866" t="s">
        <v>805</v>
      </c>
      <c r="K866" t="s">
        <v>59</v>
      </c>
      <c r="L866" t="s">
        <v>43</v>
      </c>
      <c r="M866" t="s">
        <v>475</v>
      </c>
      <c r="N866" t="s">
        <v>59</v>
      </c>
      <c r="O866" t="s">
        <v>116</v>
      </c>
      <c r="P866" t="s">
        <v>144</v>
      </c>
      <c r="Q866">
        <v>1</v>
      </c>
      <c r="R866" t="s">
        <v>757</v>
      </c>
      <c r="S866" t="s">
        <v>309</v>
      </c>
      <c r="T866" s="52"/>
    </row>
    <row r="867" spans="1:20" x14ac:dyDescent="0.3">
      <c r="A867" t="s">
        <v>53</v>
      </c>
      <c r="B867" s="48">
        <v>46023</v>
      </c>
      <c r="C867" s="26"/>
      <c r="I867" t="s">
        <v>806</v>
      </c>
      <c r="J867" t="s">
        <v>807</v>
      </c>
      <c r="K867" t="s">
        <v>59</v>
      </c>
      <c r="L867" t="s">
        <v>43</v>
      </c>
      <c r="M867" t="s">
        <v>475</v>
      </c>
      <c r="N867" t="s">
        <v>59</v>
      </c>
      <c r="O867" t="s">
        <v>116</v>
      </c>
      <c r="P867" t="s">
        <v>144</v>
      </c>
      <c r="Q867">
        <v>1</v>
      </c>
      <c r="R867" t="s">
        <v>757</v>
      </c>
      <c r="S867" t="s">
        <v>309</v>
      </c>
      <c r="T867" s="52"/>
    </row>
    <row r="868" spans="1:20" x14ac:dyDescent="0.3">
      <c r="A868" t="s">
        <v>53</v>
      </c>
      <c r="B868" s="48">
        <v>46023</v>
      </c>
      <c r="C868" s="26"/>
      <c r="I868" t="s">
        <v>808</v>
      </c>
      <c r="J868" t="s">
        <v>809</v>
      </c>
      <c r="K868" t="s">
        <v>59</v>
      </c>
      <c r="L868" t="s">
        <v>43</v>
      </c>
      <c r="M868" t="s">
        <v>475</v>
      </c>
      <c r="N868" t="s">
        <v>59</v>
      </c>
      <c r="O868" t="s">
        <v>116</v>
      </c>
      <c r="P868" t="s">
        <v>144</v>
      </c>
      <c r="Q868">
        <v>1</v>
      </c>
      <c r="R868" t="s">
        <v>757</v>
      </c>
      <c r="S868" t="s">
        <v>309</v>
      </c>
      <c r="T868" s="52"/>
    </row>
    <row r="869" spans="1:20" x14ac:dyDescent="0.3">
      <c r="A869" t="s">
        <v>53</v>
      </c>
      <c r="B869" s="48">
        <v>46023</v>
      </c>
      <c r="C869" s="26"/>
      <c r="I869" t="s">
        <v>810</v>
      </c>
      <c r="J869" t="s">
        <v>811</v>
      </c>
      <c r="K869" t="s">
        <v>59</v>
      </c>
      <c r="L869" t="s">
        <v>43</v>
      </c>
      <c r="M869" t="s">
        <v>475</v>
      </c>
      <c r="N869" t="s">
        <v>59</v>
      </c>
      <c r="O869" t="s">
        <v>116</v>
      </c>
      <c r="P869" t="s">
        <v>144</v>
      </c>
      <c r="Q869">
        <v>2</v>
      </c>
      <c r="R869" t="s">
        <v>757</v>
      </c>
      <c r="S869" t="s">
        <v>309</v>
      </c>
      <c r="T869" s="52"/>
    </row>
    <row r="870" spans="1:20" x14ac:dyDescent="0.3">
      <c r="A870" t="s">
        <v>53</v>
      </c>
      <c r="B870" s="48">
        <v>46023</v>
      </c>
      <c r="C870" s="26"/>
      <c r="I870" t="s">
        <v>812</v>
      </c>
      <c r="J870" t="s">
        <v>813</v>
      </c>
      <c r="K870" t="s">
        <v>59</v>
      </c>
      <c r="L870" t="s">
        <v>43</v>
      </c>
      <c r="M870" t="s">
        <v>475</v>
      </c>
      <c r="N870" t="s">
        <v>59</v>
      </c>
      <c r="O870" t="s">
        <v>116</v>
      </c>
      <c r="P870" t="s">
        <v>144</v>
      </c>
      <c r="Q870">
        <v>12</v>
      </c>
      <c r="R870" t="s">
        <v>757</v>
      </c>
      <c r="S870" t="s">
        <v>309</v>
      </c>
      <c r="T870" s="52"/>
    </row>
    <row r="871" spans="1:20" x14ac:dyDescent="0.3">
      <c r="A871" t="s">
        <v>53</v>
      </c>
      <c r="B871" s="48">
        <v>46023</v>
      </c>
      <c r="C871" s="26"/>
      <c r="I871" t="s">
        <v>814</v>
      </c>
      <c r="J871" t="s">
        <v>815</v>
      </c>
      <c r="K871" t="s">
        <v>59</v>
      </c>
      <c r="L871" t="s">
        <v>43</v>
      </c>
      <c r="M871" t="s">
        <v>475</v>
      </c>
      <c r="N871" t="s">
        <v>59</v>
      </c>
      <c r="O871" t="s">
        <v>116</v>
      </c>
      <c r="P871" t="s">
        <v>144</v>
      </c>
      <c r="Q871">
        <v>1</v>
      </c>
      <c r="R871" t="s">
        <v>757</v>
      </c>
      <c r="S871" t="s">
        <v>309</v>
      </c>
      <c r="T871" s="52"/>
    </row>
    <row r="872" spans="1:20" x14ac:dyDescent="0.3">
      <c r="A872" t="s">
        <v>53</v>
      </c>
      <c r="B872" s="48">
        <v>46023</v>
      </c>
      <c r="C872" s="26"/>
      <c r="I872" t="s">
        <v>816</v>
      </c>
      <c r="J872" t="s">
        <v>817</v>
      </c>
      <c r="K872" t="s">
        <v>59</v>
      </c>
      <c r="L872" t="s">
        <v>43</v>
      </c>
      <c r="M872" t="s">
        <v>475</v>
      </c>
      <c r="N872" t="s">
        <v>59</v>
      </c>
      <c r="O872" t="s">
        <v>116</v>
      </c>
      <c r="P872" t="s">
        <v>144</v>
      </c>
      <c r="Q872">
        <v>1</v>
      </c>
      <c r="R872" t="s">
        <v>757</v>
      </c>
      <c r="S872" t="s">
        <v>309</v>
      </c>
      <c r="T872" s="52"/>
    </row>
    <row r="873" spans="1:20" x14ac:dyDescent="0.3">
      <c r="A873" t="s">
        <v>53</v>
      </c>
      <c r="B873" s="48">
        <v>46023</v>
      </c>
      <c r="C873" s="26"/>
      <c r="I873" t="s">
        <v>818</v>
      </c>
      <c r="J873" t="s">
        <v>819</v>
      </c>
      <c r="K873" t="s">
        <v>820</v>
      </c>
      <c r="L873" t="s">
        <v>43</v>
      </c>
      <c r="N873" t="s">
        <v>59</v>
      </c>
      <c r="O873" t="s">
        <v>116</v>
      </c>
      <c r="P873" t="s">
        <v>144</v>
      </c>
      <c r="Q873">
        <v>3</v>
      </c>
      <c r="R873" t="s">
        <v>757</v>
      </c>
      <c r="S873" t="s">
        <v>309</v>
      </c>
      <c r="T873" s="52"/>
    </row>
    <row r="874" spans="1:20" x14ac:dyDescent="0.3">
      <c r="A874" t="s">
        <v>53</v>
      </c>
      <c r="B874" s="48">
        <v>46023</v>
      </c>
      <c r="C874" s="26"/>
      <c r="I874" t="s">
        <v>821</v>
      </c>
      <c r="J874" t="s">
        <v>822</v>
      </c>
      <c r="K874" t="s">
        <v>59</v>
      </c>
      <c r="L874" t="s">
        <v>43</v>
      </c>
      <c r="M874" t="s">
        <v>475</v>
      </c>
      <c r="N874" t="s">
        <v>59</v>
      </c>
      <c r="O874" t="s">
        <v>116</v>
      </c>
      <c r="P874" t="s">
        <v>144</v>
      </c>
      <c r="Q874">
        <v>1</v>
      </c>
      <c r="R874" t="s">
        <v>757</v>
      </c>
      <c r="S874" t="s">
        <v>309</v>
      </c>
      <c r="T874" s="52"/>
    </row>
    <row r="875" spans="1:20" x14ac:dyDescent="0.3">
      <c r="A875" t="s">
        <v>53</v>
      </c>
      <c r="B875" s="48">
        <v>46023</v>
      </c>
      <c r="C875" s="26"/>
      <c r="I875" t="s">
        <v>823</v>
      </c>
      <c r="J875" t="s">
        <v>824</v>
      </c>
      <c r="K875" t="s">
        <v>59</v>
      </c>
      <c r="L875" t="s">
        <v>43</v>
      </c>
      <c r="M875" t="s">
        <v>475</v>
      </c>
      <c r="N875" t="s">
        <v>59</v>
      </c>
      <c r="O875" t="s">
        <v>116</v>
      </c>
      <c r="P875" t="s">
        <v>144</v>
      </c>
      <c r="Q875">
        <v>10</v>
      </c>
      <c r="R875" t="s">
        <v>757</v>
      </c>
      <c r="S875" t="s">
        <v>309</v>
      </c>
      <c r="T875" s="52"/>
    </row>
    <row r="876" spans="1:20" x14ac:dyDescent="0.3">
      <c r="A876" t="s">
        <v>53</v>
      </c>
      <c r="B876" s="48">
        <v>46023</v>
      </c>
      <c r="C876" s="26"/>
      <c r="I876" t="s">
        <v>825</v>
      </c>
      <c r="J876" t="s">
        <v>826</v>
      </c>
      <c r="K876" t="s">
        <v>59</v>
      </c>
      <c r="L876" t="s">
        <v>43</v>
      </c>
      <c r="M876" t="s">
        <v>475</v>
      </c>
      <c r="N876" t="s">
        <v>59</v>
      </c>
      <c r="O876" t="s">
        <v>116</v>
      </c>
      <c r="P876" t="s">
        <v>144</v>
      </c>
      <c r="Q876">
        <v>2</v>
      </c>
      <c r="R876" t="s">
        <v>757</v>
      </c>
      <c r="S876" t="s">
        <v>309</v>
      </c>
      <c r="T876" s="52"/>
    </row>
    <row r="877" spans="1:20" x14ac:dyDescent="0.3">
      <c r="A877" t="s">
        <v>53</v>
      </c>
      <c r="B877" s="48">
        <v>46023</v>
      </c>
      <c r="C877" s="26"/>
      <c r="I877" t="s">
        <v>827</v>
      </c>
      <c r="J877" t="s">
        <v>828</v>
      </c>
      <c r="K877" t="s">
        <v>59</v>
      </c>
      <c r="L877" t="s">
        <v>43</v>
      </c>
      <c r="M877" t="s">
        <v>475</v>
      </c>
      <c r="N877" t="s">
        <v>59</v>
      </c>
      <c r="O877" t="s">
        <v>116</v>
      </c>
      <c r="P877" t="s">
        <v>144</v>
      </c>
      <c r="Q877">
        <v>3</v>
      </c>
      <c r="R877" t="s">
        <v>308</v>
      </c>
      <c r="S877" t="s">
        <v>309</v>
      </c>
      <c r="T877" s="52"/>
    </row>
    <row r="878" spans="1:20" x14ac:dyDescent="0.3">
      <c r="A878" t="s">
        <v>53</v>
      </c>
      <c r="B878" s="48">
        <v>46023</v>
      </c>
      <c r="C878" s="26"/>
      <c r="I878" t="s">
        <v>829</v>
      </c>
      <c r="J878" t="s">
        <v>830</v>
      </c>
      <c r="K878" t="s">
        <v>59</v>
      </c>
      <c r="L878" t="s">
        <v>43</v>
      </c>
      <c r="M878" t="s">
        <v>475</v>
      </c>
      <c r="N878" t="s">
        <v>59</v>
      </c>
      <c r="O878" t="s">
        <v>116</v>
      </c>
      <c r="P878" t="s">
        <v>144</v>
      </c>
      <c r="Q878">
        <v>5</v>
      </c>
      <c r="R878" t="s">
        <v>308</v>
      </c>
      <c r="S878" t="s">
        <v>309</v>
      </c>
      <c r="T878" s="52"/>
    </row>
    <row r="879" spans="1:20" x14ac:dyDescent="0.3">
      <c r="A879" t="s">
        <v>53</v>
      </c>
      <c r="B879" s="48">
        <v>46023</v>
      </c>
      <c r="C879" s="26"/>
      <c r="I879" t="s">
        <v>831</v>
      </c>
      <c r="J879" t="s">
        <v>832</v>
      </c>
      <c r="K879" t="s">
        <v>59</v>
      </c>
      <c r="L879" t="s">
        <v>43</v>
      </c>
      <c r="M879" t="s">
        <v>475</v>
      </c>
      <c r="N879" t="s">
        <v>59</v>
      </c>
      <c r="O879" t="s">
        <v>116</v>
      </c>
      <c r="P879" t="s">
        <v>144</v>
      </c>
      <c r="Q879">
        <v>9</v>
      </c>
      <c r="R879" t="s">
        <v>308</v>
      </c>
      <c r="S879" t="s">
        <v>309</v>
      </c>
      <c r="T879" s="52"/>
    </row>
    <row r="880" spans="1:20" x14ac:dyDescent="0.3">
      <c r="A880" t="s">
        <v>53</v>
      </c>
      <c r="B880" s="48">
        <v>46023</v>
      </c>
      <c r="C880" s="26"/>
      <c r="I880" t="s">
        <v>833</v>
      </c>
      <c r="J880" t="s">
        <v>834</v>
      </c>
      <c r="K880" t="s">
        <v>59</v>
      </c>
      <c r="L880" t="s">
        <v>43</v>
      </c>
      <c r="M880" t="s">
        <v>475</v>
      </c>
      <c r="N880" t="s">
        <v>59</v>
      </c>
      <c r="O880" t="s">
        <v>116</v>
      </c>
      <c r="P880" t="s">
        <v>144</v>
      </c>
      <c r="Q880">
        <v>5</v>
      </c>
      <c r="R880" t="s">
        <v>308</v>
      </c>
      <c r="S880" t="s">
        <v>309</v>
      </c>
      <c r="T880" s="52"/>
    </row>
    <row r="881" spans="1:20" x14ac:dyDescent="0.3">
      <c r="A881" t="s">
        <v>53</v>
      </c>
      <c r="B881" s="48">
        <v>46023</v>
      </c>
      <c r="C881" s="26"/>
      <c r="I881" t="s">
        <v>835</v>
      </c>
      <c r="J881" t="s">
        <v>836</v>
      </c>
      <c r="K881" t="s">
        <v>59</v>
      </c>
      <c r="L881" t="s">
        <v>43</v>
      </c>
      <c r="M881" t="s">
        <v>475</v>
      </c>
      <c r="N881" t="s">
        <v>59</v>
      </c>
      <c r="O881" t="s">
        <v>116</v>
      </c>
      <c r="P881" t="s">
        <v>144</v>
      </c>
      <c r="Q881">
        <v>4</v>
      </c>
      <c r="R881" t="s">
        <v>308</v>
      </c>
      <c r="S881" t="s">
        <v>309</v>
      </c>
      <c r="T881" s="52"/>
    </row>
    <row r="882" spans="1:20" x14ac:dyDescent="0.3">
      <c r="A882" t="s">
        <v>53</v>
      </c>
      <c r="B882" s="48">
        <v>46023</v>
      </c>
      <c r="C882" s="26"/>
      <c r="I882" t="s">
        <v>837</v>
      </c>
      <c r="J882" t="s">
        <v>838</v>
      </c>
      <c r="K882" t="s">
        <v>59</v>
      </c>
      <c r="L882" t="s">
        <v>43</v>
      </c>
      <c r="M882" t="s">
        <v>475</v>
      </c>
      <c r="N882" t="s">
        <v>59</v>
      </c>
      <c r="O882" t="s">
        <v>116</v>
      </c>
      <c r="P882" t="s">
        <v>144</v>
      </c>
      <c r="Q882">
        <v>6</v>
      </c>
      <c r="R882" t="s">
        <v>308</v>
      </c>
      <c r="S882" t="s">
        <v>309</v>
      </c>
      <c r="T882" s="52"/>
    </row>
    <row r="883" spans="1:20" x14ac:dyDescent="0.3">
      <c r="A883" t="s">
        <v>53</v>
      </c>
      <c r="B883" s="48">
        <v>46023</v>
      </c>
      <c r="C883" s="26"/>
      <c r="I883" t="s">
        <v>839</v>
      </c>
      <c r="J883" t="s">
        <v>840</v>
      </c>
      <c r="K883" t="s">
        <v>59</v>
      </c>
      <c r="L883" t="s">
        <v>43</v>
      </c>
      <c r="M883" t="s">
        <v>475</v>
      </c>
      <c r="N883" t="s">
        <v>59</v>
      </c>
      <c r="O883" t="s">
        <v>116</v>
      </c>
      <c r="P883" t="s">
        <v>144</v>
      </c>
      <c r="Q883">
        <v>1</v>
      </c>
      <c r="R883" t="s">
        <v>308</v>
      </c>
      <c r="S883" t="s">
        <v>309</v>
      </c>
      <c r="T883" s="52"/>
    </row>
    <row r="884" spans="1:20" x14ac:dyDescent="0.3">
      <c r="A884" t="s">
        <v>53</v>
      </c>
      <c r="B884" s="48">
        <v>46023</v>
      </c>
      <c r="C884" s="26"/>
      <c r="I884" t="s">
        <v>841</v>
      </c>
      <c r="J884" t="s">
        <v>842</v>
      </c>
      <c r="K884" t="s">
        <v>59</v>
      </c>
      <c r="L884" t="s">
        <v>43</v>
      </c>
      <c r="M884" t="s">
        <v>475</v>
      </c>
      <c r="N884" t="s">
        <v>59</v>
      </c>
      <c r="O884" t="s">
        <v>116</v>
      </c>
      <c r="P884" t="s">
        <v>144</v>
      </c>
      <c r="Q884">
        <v>3</v>
      </c>
      <c r="R884" t="s">
        <v>308</v>
      </c>
      <c r="S884" t="s">
        <v>309</v>
      </c>
      <c r="T884" s="52"/>
    </row>
    <row r="885" spans="1:20" x14ac:dyDescent="0.3">
      <c r="A885" t="s">
        <v>53</v>
      </c>
      <c r="B885" s="48">
        <v>46023</v>
      </c>
      <c r="C885" s="26"/>
      <c r="I885" t="s">
        <v>843</v>
      </c>
      <c r="J885" t="s">
        <v>844</v>
      </c>
      <c r="K885" t="s">
        <v>59</v>
      </c>
      <c r="L885" t="s">
        <v>43</v>
      </c>
      <c r="M885" t="s">
        <v>475</v>
      </c>
      <c r="N885" t="s">
        <v>59</v>
      </c>
      <c r="O885" t="s">
        <v>116</v>
      </c>
      <c r="P885" t="s">
        <v>144</v>
      </c>
      <c r="Q885">
        <v>1</v>
      </c>
      <c r="R885" t="s">
        <v>308</v>
      </c>
      <c r="S885" t="s">
        <v>309</v>
      </c>
      <c r="T885" s="52"/>
    </row>
    <row r="886" spans="1:20" x14ac:dyDescent="0.3">
      <c r="A886" t="s">
        <v>53</v>
      </c>
      <c r="B886" s="48">
        <v>46023</v>
      </c>
      <c r="C886" s="26"/>
      <c r="I886" t="s">
        <v>845</v>
      </c>
      <c r="J886" t="s">
        <v>846</v>
      </c>
      <c r="K886" t="s">
        <v>59</v>
      </c>
      <c r="L886" t="s">
        <v>43</v>
      </c>
      <c r="M886" t="s">
        <v>475</v>
      </c>
      <c r="N886" t="s">
        <v>59</v>
      </c>
      <c r="O886" t="s">
        <v>116</v>
      </c>
      <c r="P886" t="s">
        <v>144</v>
      </c>
      <c r="Q886">
        <v>6</v>
      </c>
      <c r="R886" t="s">
        <v>308</v>
      </c>
      <c r="S886" t="s">
        <v>309</v>
      </c>
      <c r="T886" s="52"/>
    </row>
    <row r="887" spans="1:20" x14ac:dyDescent="0.3">
      <c r="A887" t="s">
        <v>53</v>
      </c>
      <c r="B887" s="48">
        <v>46023</v>
      </c>
      <c r="C887" s="26"/>
      <c r="I887" t="s">
        <v>847</v>
      </c>
      <c r="J887" t="s">
        <v>848</v>
      </c>
      <c r="K887" t="s">
        <v>59</v>
      </c>
      <c r="L887" t="s">
        <v>43</v>
      </c>
      <c r="M887" t="s">
        <v>475</v>
      </c>
      <c r="N887" t="s">
        <v>59</v>
      </c>
      <c r="O887" t="s">
        <v>116</v>
      </c>
      <c r="P887" t="s">
        <v>144</v>
      </c>
      <c r="Q887">
        <v>2</v>
      </c>
      <c r="R887" t="s">
        <v>308</v>
      </c>
      <c r="S887" t="s">
        <v>309</v>
      </c>
      <c r="T887" s="52"/>
    </row>
    <row r="888" spans="1:20" x14ac:dyDescent="0.3">
      <c r="A888" t="s">
        <v>53</v>
      </c>
      <c r="B888" s="48">
        <v>46023</v>
      </c>
      <c r="C888" s="26"/>
      <c r="I888" t="s">
        <v>849</v>
      </c>
      <c r="J888" t="s">
        <v>850</v>
      </c>
      <c r="K888" t="s">
        <v>59</v>
      </c>
      <c r="L888" t="s">
        <v>43</v>
      </c>
      <c r="M888" t="s">
        <v>475</v>
      </c>
      <c r="N888" t="s">
        <v>59</v>
      </c>
      <c r="O888" t="s">
        <v>143</v>
      </c>
      <c r="P888" t="s">
        <v>144</v>
      </c>
      <c r="Q888">
        <v>75</v>
      </c>
      <c r="R888" t="s">
        <v>851</v>
      </c>
      <c r="S888" t="s">
        <v>309</v>
      </c>
      <c r="T888" s="52"/>
    </row>
    <row r="889" spans="1:20" x14ac:dyDescent="0.3">
      <c r="A889" t="s">
        <v>53</v>
      </c>
      <c r="B889" s="48">
        <v>46023</v>
      </c>
      <c r="C889" s="26"/>
      <c r="I889" t="s">
        <v>852</v>
      </c>
      <c r="J889" t="s">
        <v>853</v>
      </c>
      <c r="K889" t="s">
        <v>59</v>
      </c>
      <c r="L889" t="s">
        <v>43</v>
      </c>
      <c r="M889" t="s">
        <v>475</v>
      </c>
      <c r="N889" t="s">
        <v>59</v>
      </c>
      <c r="O889" t="s">
        <v>143</v>
      </c>
      <c r="P889" t="s">
        <v>144</v>
      </c>
      <c r="Q889">
        <v>14</v>
      </c>
      <c r="R889" t="s">
        <v>851</v>
      </c>
      <c r="S889" t="s">
        <v>309</v>
      </c>
      <c r="T889" s="52"/>
    </row>
    <row r="890" spans="1:20" x14ac:dyDescent="0.3">
      <c r="A890" t="s">
        <v>53</v>
      </c>
      <c r="B890" s="48">
        <v>46023</v>
      </c>
      <c r="C890" s="26"/>
      <c r="I890" t="s">
        <v>854</v>
      </c>
      <c r="J890" t="s">
        <v>855</v>
      </c>
      <c r="K890" t="s">
        <v>59</v>
      </c>
      <c r="L890" t="s">
        <v>43</v>
      </c>
      <c r="M890" t="s">
        <v>475</v>
      </c>
      <c r="N890" t="s">
        <v>59</v>
      </c>
      <c r="O890" t="s">
        <v>143</v>
      </c>
      <c r="P890" t="s">
        <v>144</v>
      </c>
      <c r="Q890">
        <v>15</v>
      </c>
      <c r="R890" t="s">
        <v>851</v>
      </c>
      <c r="S890" t="s">
        <v>309</v>
      </c>
      <c r="T890" s="52"/>
    </row>
    <row r="891" spans="1:20" x14ac:dyDescent="0.3">
      <c r="A891" t="s">
        <v>53</v>
      </c>
      <c r="B891" s="48">
        <v>46023</v>
      </c>
      <c r="C891" s="26"/>
      <c r="I891" t="s">
        <v>856</v>
      </c>
      <c r="J891" t="s">
        <v>857</v>
      </c>
      <c r="K891" t="s">
        <v>59</v>
      </c>
      <c r="L891" t="s">
        <v>43</v>
      </c>
      <c r="M891" t="s">
        <v>475</v>
      </c>
      <c r="N891" t="s">
        <v>59</v>
      </c>
      <c r="O891" t="s">
        <v>143</v>
      </c>
      <c r="P891" t="s">
        <v>144</v>
      </c>
      <c r="Q891">
        <v>3</v>
      </c>
      <c r="R891" t="s">
        <v>851</v>
      </c>
      <c r="S891" t="s">
        <v>309</v>
      </c>
      <c r="T891" s="52"/>
    </row>
    <row r="892" spans="1:20" x14ac:dyDescent="0.3">
      <c r="A892" t="s">
        <v>53</v>
      </c>
      <c r="B892" s="48">
        <v>46023</v>
      </c>
      <c r="C892" s="26"/>
      <c r="I892" t="s">
        <v>858</v>
      </c>
      <c r="J892" t="s">
        <v>859</v>
      </c>
      <c r="K892" t="s">
        <v>59</v>
      </c>
      <c r="L892" t="s">
        <v>43</v>
      </c>
      <c r="M892" t="s">
        <v>475</v>
      </c>
      <c r="N892" t="s">
        <v>59</v>
      </c>
      <c r="O892" t="s">
        <v>143</v>
      </c>
      <c r="P892" t="s">
        <v>144</v>
      </c>
      <c r="Q892">
        <v>2</v>
      </c>
      <c r="R892" t="s">
        <v>851</v>
      </c>
      <c r="S892" t="s">
        <v>309</v>
      </c>
      <c r="T892" s="52"/>
    </row>
    <row r="893" spans="1:20" x14ac:dyDescent="0.3">
      <c r="A893" t="s">
        <v>53</v>
      </c>
      <c r="B893" s="48">
        <v>46023</v>
      </c>
      <c r="C893" s="26"/>
      <c r="I893" t="s">
        <v>860</v>
      </c>
      <c r="J893" t="s">
        <v>861</v>
      </c>
      <c r="K893" t="s">
        <v>59</v>
      </c>
      <c r="L893" t="s">
        <v>43</v>
      </c>
      <c r="M893" t="s">
        <v>475</v>
      </c>
      <c r="N893" t="s">
        <v>59</v>
      </c>
      <c r="O893" t="s">
        <v>143</v>
      </c>
      <c r="P893" t="s">
        <v>144</v>
      </c>
      <c r="Q893">
        <v>4</v>
      </c>
      <c r="R893" t="s">
        <v>851</v>
      </c>
      <c r="S893" t="s">
        <v>309</v>
      </c>
      <c r="T893" s="52"/>
    </row>
    <row r="894" spans="1:20" x14ac:dyDescent="0.3">
      <c r="A894" t="s">
        <v>53</v>
      </c>
      <c r="B894" s="48">
        <v>46023</v>
      </c>
      <c r="C894" s="26"/>
      <c r="I894" t="s">
        <v>862</v>
      </c>
      <c r="J894" t="s">
        <v>863</v>
      </c>
      <c r="K894" t="s">
        <v>59</v>
      </c>
      <c r="L894" t="s">
        <v>43</v>
      </c>
      <c r="M894" t="s">
        <v>475</v>
      </c>
      <c r="N894" t="s">
        <v>59</v>
      </c>
      <c r="O894" t="s">
        <v>143</v>
      </c>
      <c r="P894" t="s">
        <v>144</v>
      </c>
      <c r="Q894">
        <v>1</v>
      </c>
      <c r="R894" t="s">
        <v>851</v>
      </c>
      <c r="S894" t="s">
        <v>309</v>
      </c>
      <c r="T894" s="52"/>
    </row>
    <row r="895" spans="1:20" x14ac:dyDescent="0.3">
      <c r="A895" t="s">
        <v>53</v>
      </c>
      <c r="B895" s="48">
        <v>46023</v>
      </c>
      <c r="C895" s="26"/>
      <c r="I895" t="s">
        <v>864</v>
      </c>
      <c r="J895" t="s">
        <v>865</v>
      </c>
      <c r="K895" t="s">
        <v>59</v>
      </c>
      <c r="L895" t="s">
        <v>43</v>
      </c>
      <c r="M895" t="s">
        <v>475</v>
      </c>
      <c r="N895" t="s">
        <v>59</v>
      </c>
      <c r="O895" t="s">
        <v>143</v>
      </c>
      <c r="P895" t="s">
        <v>144</v>
      </c>
      <c r="Q895">
        <v>6</v>
      </c>
      <c r="R895" t="s">
        <v>851</v>
      </c>
      <c r="S895" t="s">
        <v>309</v>
      </c>
      <c r="T895" s="52"/>
    </row>
    <row r="896" spans="1:20" x14ac:dyDescent="0.3">
      <c r="A896" t="s">
        <v>53</v>
      </c>
      <c r="B896" s="48">
        <v>46023</v>
      </c>
      <c r="C896" s="26"/>
      <c r="I896" t="s">
        <v>866</v>
      </c>
      <c r="J896" t="s">
        <v>867</v>
      </c>
      <c r="K896" t="s">
        <v>59</v>
      </c>
      <c r="L896" t="s">
        <v>43</v>
      </c>
      <c r="M896" t="s">
        <v>475</v>
      </c>
      <c r="N896" t="s">
        <v>59</v>
      </c>
      <c r="O896" t="s">
        <v>143</v>
      </c>
      <c r="P896" t="s">
        <v>144</v>
      </c>
      <c r="Q896">
        <v>4</v>
      </c>
      <c r="R896" t="s">
        <v>851</v>
      </c>
      <c r="S896" t="s">
        <v>309</v>
      </c>
      <c r="T896" s="52"/>
    </row>
    <row r="897" spans="1:20" x14ac:dyDescent="0.3">
      <c r="A897" t="s">
        <v>53</v>
      </c>
      <c r="B897" s="48">
        <v>46023</v>
      </c>
      <c r="C897" s="26"/>
      <c r="I897" t="s">
        <v>868</v>
      </c>
      <c r="J897" t="s">
        <v>869</v>
      </c>
      <c r="K897" t="s">
        <v>59</v>
      </c>
      <c r="L897" t="s">
        <v>43</v>
      </c>
      <c r="M897" t="s">
        <v>475</v>
      </c>
      <c r="N897" t="s">
        <v>59</v>
      </c>
      <c r="O897" t="s">
        <v>143</v>
      </c>
      <c r="P897" t="s">
        <v>144</v>
      </c>
      <c r="Q897">
        <v>2</v>
      </c>
      <c r="R897" t="s">
        <v>851</v>
      </c>
      <c r="S897" t="s">
        <v>309</v>
      </c>
      <c r="T897" s="52"/>
    </row>
    <row r="898" spans="1:20" x14ac:dyDescent="0.3">
      <c r="A898" t="s">
        <v>53</v>
      </c>
      <c r="B898" s="48">
        <v>46023</v>
      </c>
      <c r="C898" s="26"/>
      <c r="I898" t="s">
        <v>870</v>
      </c>
      <c r="J898" t="s">
        <v>871</v>
      </c>
      <c r="K898" t="s">
        <v>59</v>
      </c>
      <c r="L898" t="s">
        <v>43</v>
      </c>
      <c r="M898" t="s">
        <v>475</v>
      </c>
      <c r="N898" t="s">
        <v>59</v>
      </c>
      <c r="O898" t="s">
        <v>143</v>
      </c>
      <c r="P898" t="s">
        <v>144</v>
      </c>
      <c r="Q898">
        <v>2</v>
      </c>
      <c r="R898" t="s">
        <v>851</v>
      </c>
      <c r="S898" t="s">
        <v>309</v>
      </c>
      <c r="T898" s="52"/>
    </row>
    <row r="899" spans="1:20" x14ac:dyDescent="0.3">
      <c r="A899" t="s">
        <v>53</v>
      </c>
      <c r="B899" s="48">
        <v>46023</v>
      </c>
      <c r="C899" s="26"/>
      <c r="I899" t="s">
        <v>872</v>
      </c>
      <c r="J899" t="s">
        <v>873</v>
      </c>
      <c r="K899" t="s">
        <v>59</v>
      </c>
      <c r="L899" t="s">
        <v>43</v>
      </c>
      <c r="M899" t="s">
        <v>475</v>
      </c>
      <c r="N899" t="s">
        <v>59</v>
      </c>
      <c r="O899" t="s">
        <v>143</v>
      </c>
      <c r="P899" t="s">
        <v>144</v>
      </c>
      <c r="Q899">
        <v>1</v>
      </c>
      <c r="R899" t="s">
        <v>851</v>
      </c>
      <c r="S899" t="s">
        <v>309</v>
      </c>
      <c r="T899" s="52"/>
    </row>
    <row r="900" spans="1:20" x14ac:dyDescent="0.3">
      <c r="A900" t="s">
        <v>53</v>
      </c>
      <c r="B900" s="48">
        <v>46023</v>
      </c>
      <c r="C900" s="26"/>
      <c r="I900" t="s">
        <v>874</v>
      </c>
      <c r="J900" t="s">
        <v>875</v>
      </c>
      <c r="K900" t="s">
        <v>59</v>
      </c>
      <c r="L900" t="s">
        <v>43</v>
      </c>
      <c r="M900" t="s">
        <v>475</v>
      </c>
      <c r="N900" t="s">
        <v>59</v>
      </c>
      <c r="O900" t="s">
        <v>143</v>
      </c>
      <c r="P900" t="s">
        <v>144</v>
      </c>
      <c r="Q900">
        <v>2</v>
      </c>
      <c r="R900" t="s">
        <v>851</v>
      </c>
      <c r="S900" t="s">
        <v>309</v>
      </c>
      <c r="T900" s="52"/>
    </row>
    <row r="901" spans="1:20" x14ac:dyDescent="0.3">
      <c r="A901" t="s">
        <v>53</v>
      </c>
      <c r="B901" s="48">
        <v>46023</v>
      </c>
      <c r="C901" s="26"/>
      <c r="I901" t="s">
        <v>876</v>
      </c>
      <c r="J901" t="s">
        <v>877</v>
      </c>
      <c r="K901" t="s">
        <v>59</v>
      </c>
      <c r="L901" t="s">
        <v>43</v>
      </c>
      <c r="M901" t="s">
        <v>475</v>
      </c>
      <c r="N901" t="s">
        <v>59</v>
      </c>
      <c r="O901" t="s">
        <v>116</v>
      </c>
      <c r="P901" t="s">
        <v>144</v>
      </c>
      <c r="Q901">
        <v>17</v>
      </c>
      <c r="R901" t="s">
        <v>851</v>
      </c>
      <c r="S901" t="s">
        <v>309</v>
      </c>
      <c r="T901" s="52"/>
    </row>
    <row r="902" spans="1:20" x14ac:dyDescent="0.3">
      <c r="A902" t="s">
        <v>53</v>
      </c>
      <c r="B902" s="48">
        <v>46023</v>
      </c>
      <c r="C902" s="26"/>
      <c r="I902" t="s">
        <v>878</v>
      </c>
      <c r="J902" t="s">
        <v>879</v>
      </c>
      <c r="K902" t="s">
        <v>59</v>
      </c>
      <c r="L902" t="s">
        <v>43</v>
      </c>
      <c r="M902" t="s">
        <v>475</v>
      </c>
      <c r="N902" t="s">
        <v>59</v>
      </c>
      <c r="O902" t="s">
        <v>116</v>
      </c>
      <c r="P902" t="s">
        <v>144</v>
      </c>
      <c r="Q902">
        <v>51</v>
      </c>
      <c r="R902" t="s">
        <v>851</v>
      </c>
      <c r="S902" t="s">
        <v>309</v>
      </c>
      <c r="T902" s="52"/>
    </row>
    <row r="903" spans="1:20" x14ac:dyDescent="0.3">
      <c r="A903" t="s">
        <v>53</v>
      </c>
      <c r="B903" s="48">
        <v>46023</v>
      </c>
      <c r="C903" s="26"/>
      <c r="I903" t="s">
        <v>880</v>
      </c>
      <c r="J903" t="s">
        <v>881</v>
      </c>
      <c r="K903" t="s">
        <v>59</v>
      </c>
      <c r="L903" t="s">
        <v>43</v>
      </c>
      <c r="M903" t="s">
        <v>475</v>
      </c>
      <c r="N903" t="s">
        <v>59</v>
      </c>
      <c r="O903" t="s">
        <v>116</v>
      </c>
      <c r="P903" t="s">
        <v>144</v>
      </c>
      <c r="Q903">
        <v>4</v>
      </c>
      <c r="R903" t="s">
        <v>851</v>
      </c>
      <c r="S903" t="s">
        <v>309</v>
      </c>
      <c r="T903" s="52"/>
    </row>
    <row r="904" spans="1:20" x14ac:dyDescent="0.3">
      <c r="A904" t="s">
        <v>53</v>
      </c>
      <c r="B904" s="48">
        <v>46023</v>
      </c>
      <c r="C904" s="26"/>
      <c r="I904" t="s">
        <v>882</v>
      </c>
      <c r="J904" t="s">
        <v>883</v>
      </c>
      <c r="K904" t="s">
        <v>59</v>
      </c>
      <c r="L904" t="s">
        <v>43</v>
      </c>
      <c r="M904" t="s">
        <v>475</v>
      </c>
      <c r="N904" t="s">
        <v>59</v>
      </c>
      <c r="O904" t="s">
        <v>116</v>
      </c>
      <c r="P904" t="s">
        <v>144</v>
      </c>
      <c r="Q904">
        <v>30</v>
      </c>
      <c r="R904" t="s">
        <v>851</v>
      </c>
      <c r="S904" t="s">
        <v>309</v>
      </c>
      <c r="T904" s="52"/>
    </row>
    <row r="905" spans="1:20" x14ac:dyDescent="0.3">
      <c r="A905" t="s">
        <v>53</v>
      </c>
      <c r="B905" s="48">
        <v>46023</v>
      </c>
      <c r="C905" s="26"/>
      <c r="I905" t="s">
        <v>884</v>
      </c>
      <c r="J905" t="s">
        <v>885</v>
      </c>
      <c r="K905" t="s">
        <v>59</v>
      </c>
      <c r="L905" t="s">
        <v>43</v>
      </c>
      <c r="M905" t="s">
        <v>475</v>
      </c>
      <c r="N905" t="s">
        <v>59</v>
      </c>
      <c r="O905" t="s">
        <v>116</v>
      </c>
      <c r="P905" t="s">
        <v>144</v>
      </c>
      <c r="Q905">
        <v>17</v>
      </c>
      <c r="R905" t="s">
        <v>886</v>
      </c>
      <c r="S905" t="s">
        <v>309</v>
      </c>
      <c r="T905" s="52"/>
    </row>
    <row r="906" spans="1:20" x14ac:dyDescent="0.3">
      <c r="A906" t="s">
        <v>53</v>
      </c>
      <c r="B906" s="48">
        <v>46023</v>
      </c>
      <c r="C906" s="26"/>
      <c r="I906" t="s">
        <v>887</v>
      </c>
      <c r="J906" t="s">
        <v>888</v>
      </c>
      <c r="K906" t="s">
        <v>59</v>
      </c>
      <c r="L906" t="s">
        <v>43</v>
      </c>
      <c r="M906" t="s">
        <v>475</v>
      </c>
      <c r="N906" t="s">
        <v>59</v>
      </c>
      <c r="O906" t="s">
        <v>116</v>
      </c>
      <c r="P906" t="s">
        <v>144</v>
      </c>
      <c r="Q906">
        <v>8</v>
      </c>
      <c r="R906" t="s">
        <v>886</v>
      </c>
      <c r="S906" t="s">
        <v>309</v>
      </c>
      <c r="T906" s="52"/>
    </row>
    <row r="907" spans="1:20" x14ac:dyDescent="0.3">
      <c r="A907" t="s">
        <v>53</v>
      </c>
      <c r="B907" s="48">
        <v>46023</v>
      </c>
      <c r="C907" s="26"/>
      <c r="I907" t="s">
        <v>889</v>
      </c>
      <c r="J907" t="s">
        <v>890</v>
      </c>
      <c r="K907" t="s">
        <v>59</v>
      </c>
      <c r="L907" t="s">
        <v>43</v>
      </c>
      <c r="M907" t="s">
        <v>475</v>
      </c>
      <c r="N907" t="s">
        <v>59</v>
      </c>
      <c r="O907" t="s">
        <v>116</v>
      </c>
      <c r="P907" t="s">
        <v>144</v>
      </c>
      <c r="Q907">
        <v>15</v>
      </c>
      <c r="R907" t="s">
        <v>886</v>
      </c>
      <c r="S907" t="s">
        <v>309</v>
      </c>
      <c r="T907" s="52"/>
    </row>
    <row r="908" spans="1:20" x14ac:dyDescent="0.3">
      <c r="A908" t="s">
        <v>53</v>
      </c>
      <c r="B908" s="48">
        <v>46023</v>
      </c>
      <c r="C908" s="26"/>
      <c r="I908" t="s">
        <v>891</v>
      </c>
      <c r="J908" t="s">
        <v>892</v>
      </c>
      <c r="K908" t="s">
        <v>59</v>
      </c>
      <c r="L908" t="s">
        <v>43</v>
      </c>
      <c r="M908" t="s">
        <v>475</v>
      </c>
      <c r="N908" t="s">
        <v>59</v>
      </c>
      <c r="O908" t="s">
        <v>116</v>
      </c>
      <c r="P908" t="s">
        <v>144</v>
      </c>
      <c r="Q908">
        <v>13</v>
      </c>
      <c r="R908" t="s">
        <v>886</v>
      </c>
      <c r="S908" t="s">
        <v>309</v>
      </c>
      <c r="T908" s="52"/>
    </row>
    <row r="909" spans="1:20" x14ac:dyDescent="0.3">
      <c r="A909" t="s">
        <v>53</v>
      </c>
      <c r="B909" s="48">
        <v>46023</v>
      </c>
      <c r="C909" s="26"/>
      <c r="I909" t="s">
        <v>893</v>
      </c>
      <c r="J909" t="s">
        <v>894</v>
      </c>
      <c r="K909" t="s">
        <v>59</v>
      </c>
      <c r="L909" t="s">
        <v>43</v>
      </c>
      <c r="M909" t="s">
        <v>475</v>
      </c>
      <c r="N909" t="s">
        <v>59</v>
      </c>
      <c r="O909" t="s">
        <v>116</v>
      </c>
      <c r="P909" t="s">
        <v>144</v>
      </c>
      <c r="Q909">
        <v>6</v>
      </c>
      <c r="R909" t="s">
        <v>886</v>
      </c>
      <c r="S909" t="s">
        <v>309</v>
      </c>
      <c r="T909" s="52"/>
    </row>
    <row r="910" spans="1:20" x14ac:dyDescent="0.3">
      <c r="A910" t="s">
        <v>53</v>
      </c>
      <c r="B910" s="48">
        <v>46023</v>
      </c>
      <c r="C910" s="26"/>
      <c r="I910" t="s">
        <v>895</v>
      </c>
      <c r="J910" t="s">
        <v>896</v>
      </c>
      <c r="K910" t="s">
        <v>59</v>
      </c>
      <c r="L910" t="s">
        <v>43</v>
      </c>
      <c r="M910" t="s">
        <v>475</v>
      </c>
      <c r="N910" t="s">
        <v>59</v>
      </c>
      <c r="O910" t="s">
        <v>116</v>
      </c>
      <c r="P910" t="s">
        <v>144</v>
      </c>
      <c r="Q910">
        <v>5</v>
      </c>
      <c r="R910" t="s">
        <v>886</v>
      </c>
      <c r="S910" t="s">
        <v>309</v>
      </c>
      <c r="T910" s="52"/>
    </row>
    <row r="911" spans="1:20" x14ac:dyDescent="0.3">
      <c r="A911" t="s">
        <v>53</v>
      </c>
      <c r="B911" s="48">
        <v>46023</v>
      </c>
      <c r="C911" s="26"/>
      <c r="I911" t="s">
        <v>897</v>
      </c>
      <c r="J911" t="s">
        <v>898</v>
      </c>
      <c r="K911" t="s">
        <v>59</v>
      </c>
      <c r="L911" t="s">
        <v>43</v>
      </c>
      <c r="M911" t="s">
        <v>475</v>
      </c>
      <c r="N911" t="s">
        <v>59</v>
      </c>
      <c r="O911" t="s">
        <v>116</v>
      </c>
      <c r="P911" t="s">
        <v>144</v>
      </c>
      <c r="Q911">
        <v>8</v>
      </c>
      <c r="R911" t="s">
        <v>886</v>
      </c>
      <c r="S911" t="s">
        <v>309</v>
      </c>
      <c r="T911" s="52"/>
    </row>
    <row r="912" spans="1:20" x14ac:dyDescent="0.3">
      <c r="A912" t="s">
        <v>53</v>
      </c>
      <c r="B912" s="48">
        <v>46023</v>
      </c>
      <c r="C912" s="26"/>
      <c r="I912" t="s">
        <v>899</v>
      </c>
      <c r="J912" t="s">
        <v>900</v>
      </c>
      <c r="K912" t="s">
        <v>59</v>
      </c>
      <c r="L912" t="s">
        <v>43</v>
      </c>
      <c r="M912" t="s">
        <v>475</v>
      </c>
      <c r="N912" t="s">
        <v>59</v>
      </c>
      <c r="O912" t="s">
        <v>116</v>
      </c>
      <c r="P912" t="s">
        <v>144</v>
      </c>
      <c r="Q912">
        <v>4</v>
      </c>
      <c r="R912" t="s">
        <v>886</v>
      </c>
      <c r="S912" t="s">
        <v>309</v>
      </c>
      <c r="T912" s="52"/>
    </row>
    <row r="913" spans="1:20" x14ac:dyDescent="0.3">
      <c r="A913" t="s">
        <v>53</v>
      </c>
      <c r="B913" s="48">
        <v>46023</v>
      </c>
      <c r="C913" s="26"/>
      <c r="I913" t="s">
        <v>901</v>
      </c>
      <c r="J913" t="s">
        <v>902</v>
      </c>
      <c r="K913" t="s">
        <v>59</v>
      </c>
      <c r="L913" t="s">
        <v>43</v>
      </c>
      <c r="M913" t="s">
        <v>475</v>
      </c>
      <c r="N913" t="s">
        <v>59</v>
      </c>
      <c r="O913" t="s">
        <v>116</v>
      </c>
      <c r="P913" t="s">
        <v>144</v>
      </c>
      <c r="Q913">
        <v>3</v>
      </c>
      <c r="R913" t="s">
        <v>886</v>
      </c>
      <c r="S913" t="s">
        <v>309</v>
      </c>
      <c r="T913" s="52"/>
    </row>
    <row r="914" spans="1:20" x14ac:dyDescent="0.3">
      <c r="A914" t="s">
        <v>53</v>
      </c>
      <c r="B914" s="48">
        <v>46023</v>
      </c>
      <c r="C914" s="26"/>
      <c r="I914" t="s">
        <v>903</v>
      </c>
      <c r="J914" t="s">
        <v>904</v>
      </c>
      <c r="K914" t="s">
        <v>59</v>
      </c>
      <c r="L914" t="s">
        <v>43</v>
      </c>
      <c r="M914" t="s">
        <v>475</v>
      </c>
      <c r="N914" t="s">
        <v>59</v>
      </c>
      <c r="O914" t="s">
        <v>116</v>
      </c>
      <c r="P914" t="s">
        <v>144</v>
      </c>
      <c r="Q914">
        <v>1</v>
      </c>
      <c r="R914" t="s">
        <v>886</v>
      </c>
      <c r="S914" t="s">
        <v>309</v>
      </c>
      <c r="T914" s="52"/>
    </row>
    <row r="915" spans="1:20" x14ac:dyDescent="0.3">
      <c r="A915" t="s">
        <v>53</v>
      </c>
      <c r="B915" s="48">
        <v>46023</v>
      </c>
      <c r="C915" s="26"/>
      <c r="I915" t="s">
        <v>905</v>
      </c>
      <c r="J915" t="s">
        <v>906</v>
      </c>
      <c r="K915" t="s">
        <v>59</v>
      </c>
      <c r="L915" t="s">
        <v>43</v>
      </c>
      <c r="M915" t="s">
        <v>475</v>
      </c>
      <c r="N915" t="s">
        <v>59</v>
      </c>
      <c r="O915" t="s">
        <v>116</v>
      </c>
      <c r="P915" t="s">
        <v>144</v>
      </c>
      <c r="Q915">
        <v>2</v>
      </c>
      <c r="R915" t="s">
        <v>886</v>
      </c>
      <c r="S915" t="s">
        <v>309</v>
      </c>
      <c r="T915" s="52"/>
    </row>
    <row r="916" spans="1:20" x14ac:dyDescent="0.3">
      <c r="A916" t="s">
        <v>53</v>
      </c>
      <c r="B916" s="48">
        <v>46023</v>
      </c>
      <c r="C916" s="26"/>
      <c r="I916" t="s">
        <v>907</v>
      </c>
      <c r="J916" t="s">
        <v>908</v>
      </c>
      <c r="K916" t="s">
        <v>59</v>
      </c>
      <c r="L916" t="s">
        <v>43</v>
      </c>
      <c r="M916" t="s">
        <v>475</v>
      </c>
      <c r="N916" t="s">
        <v>59</v>
      </c>
      <c r="O916" t="s">
        <v>116</v>
      </c>
      <c r="P916" t="s">
        <v>144</v>
      </c>
      <c r="Q916">
        <v>5</v>
      </c>
      <c r="R916" t="s">
        <v>886</v>
      </c>
      <c r="S916" t="s">
        <v>309</v>
      </c>
      <c r="T916" s="52"/>
    </row>
    <row r="917" spans="1:20" x14ac:dyDescent="0.3">
      <c r="A917" t="s">
        <v>53</v>
      </c>
      <c r="B917" s="48">
        <v>46023</v>
      </c>
      <c r="C917" s="26"/>
      <c r="I917" t="s">
        <v>909</v>
      </c>
      <c r="J917" t="s">
        <v>910</v>
      </c>
      <c r="K917" t="s">
        <v>59</v>
      </c>
      <c r="L917" t="s">
        <v>43</v>
      </c>
      <c r="M917" t="s">
        <v>475</v>
      </c>
      <c r="N917" t="s">
        <v>59</v>
      </c>
      <c r="O917" t="s">
        <v>116</v>
      </c>
      <c r="P917" t="s">
        <v>144</v>
      </c>
      <c r="Q917">
        <v>2</v>
      </c>
      <c r="R917" t="s">
        <v>886</v>
      </c>
      <c r="S917" t="s">
        <v>309</v>
      </c>
      <c r="T917" s="52"/>
    </row>
    <row r="918" spans="1:20" x14ac:dyDescent="0.3">
      <c r="A918" t="s">
        <v>53</v>
      </c>
      <c r="B918" s="48">
        <v>46023</v>
      </c>
      <c r="C918" s="26"/>
      <c r="I918" t="s">
        <v>911</v>
      </c>
      <c r="J918" t="s">
        <v>912</v>
      </c>
      <c r="K918" t="s">
        <v>59</v>
      </c>
      <c r="L918" t="s">
        <v>43</v>
      </c>
      <c r="M918" t="s">
        <v>475</v>
      </c>
      <c r="N918" t="s">
        <v>59</v>
      </c>
      <c r="O918" t="s">
        <v>116</v>
      </c>
      <c r="P918" t="s">
        <v>144</v>
      </c>
      <c r="Q918">
        <v>2</v>
      </c>
      <c r="R918" t="s">
        <v>886</v>
      </c>
      <c r="S918" t="s">
        <v>309</v>
      </c>
      <c r="T918" s="52"/>
    </row>
    <row r="919" spans="1:20" x14ac:dyDescent="0.3">
      <c r="A919" t="s">
        <v>53</v>
      </c>
      <c r="B919" s="48">
        <v>46023</v>
      </c>
      <c r="C919" s="26"/>
      <c r="I919" t="s">
        <v>913</v>
      </c>
      <c r="J919" t="s">
        <v>914</v>
      </c>
      <c r="K919" t="s">
        <v>59</v>
      </c>
      <c r="L919" t="s">
        <v>43</v>
      </c>
      <c r="M919" t="s">
        <v>475</v>
      </c>
      <c r="N919" t="s">
        <v>59</v>
      </c>
      <c r="O919" t="s">
        <v>116</v>
      </c>
      <c r="P919" t="s">
        <v>144</v>
      </c>
      <c r="Q919">
        <v>10</v>
      </c>
      <c r="R919" t="s">
        <v>886</v>
      </c>
      <c r="S919" t="s">
        <v>309</v>
      </c>
      <c r="T919" s="52"/>
    </row>
    <row r="920" spans="1:20" x14ac:dyDescent="0.3">
      <c r="A920" t="s">
        <v>53</v>
      </c>
      <c r="B920" s="48">
        <v>46023</v>
      </c>
      <c r="C920" s="26"/>
      <c r="I920" t="s">
        <v>915</v>
      </c>
      <c r="J920" t="s">
        <v>916</v>
      </c>
      <c r="K920" t="s">
        <v>59</v>
      </c>
      <c r="L920" t="s">
        <v>43</v>
      </c>
      <c r="M920" t="s">
        <v>475</v>
      </c>
      <c r="N920" t="s">
        <v>59</v>
      </c>
      <c r="O920" t="s">
        <v>116</v>
      </c>
      <c r="P920" t="s">
        <v>144</v>
      </c>
      <c r="Q920">
        <v>29</v>
      </c>
      <c r="R920" t="s">
        <v>886</v>
      </c>
      <c r="S920" t="s">
        <v>309</v>
      </c>
      <c r="T920" s="52"/>
    </row>
    <row r="921" spans="1:20" x14ac:dyDescent="0.3">
      <c r="A921" t="s">
        <v>53</v>
      </c>
      <c r="B921" s="48">
        <v>46023</v>
      </c>
      <c r="C921" s="26"/>
      <c r="I921" t="s">
        <v>917</v>
      </c>
      <c r="J921" t="s">
        <v>918</v>
      </c>
      <c r="K921" t="s">
        <v>59</v>
      </c>
      <c r="L921" t="s">
        <v>43</v>
      </c>
      <c r="M921" t="s">
        <v>475</v>
      </c>
      <c r="N921" t="s">
        <v>59</v>
      </c>
      <c r="O921" t="s">
        <v>116</v>
      </c>
      <c r="P921" t="s">
        <v>144</v>
      </c>
      <c r="Q921">
        <v>1</v>
      </c>
      <c r="R921" t="s">
        <v>886</v>
      </c>
      <c r="S921" t="s">
        <v>309</v>
      </c>
      <c r="T921" s="52"/>
    </row>
    <row r="922" spans="1:20" x14ac:dyDescent="0.3">
      <c r="A922" t="s">
        <v>53</v>
      </c>
      <c r="B922" s="48">
        <v>46023</v>
      </c>
      <c r="C922" s="26"/>
      <c r="I922" t="s">
        <v>919</v>
      </c>
      <c r="J922" t="s">
        <v>920</v>
      </c>
      <c r="K922" t="s">
        <v>59</v>
      </c>
      <c r="L922" t="s">
        <v>43</v>
      </c>
      <c r="M922" t="s">
        <v>475</v>
      </c>
      <c r="N922" t="s">
        <v>59</v>
      </c>
      <c r="O922" t="s">
        <v>116</v>
      </c>
      <c r="P922" t="s">
        <v>144</v>
      </c>
      <c r="Q922">
        <v>15</v>
      </c>
      <c r="R922" t="s">
        <v>886</v>
      </c>
      <c r="S922" t="s">
        <v>309</v>
      </c>
      <c r="T922" s="52"/>
    </row>
    <row r="923" spans="1:20" x14ac:dyDescent="0.3">
      <c r="A923" t="s">
        <v>53</v>
      </c>
      <c r="B923" s="48">
        <v>46023</v>
      </c>
      <c r="C923" s="26"/>
      <c r="I923" t="s">
        <v>921</v>
      </c>
      <c r="J923" t="s">
        <v>922</v>
      </c>
      <c r="K923" t="s">
        <v>59</v>
      </c>
      <c r="L923" t="s">
        <v>43</v>
      </c>
      <c r="M923" t="s">
        <v>475</v>
      </c>
      <c r="N923" t="s">
        <v>59</v>
      </c>
      <c r="O923" t="s">
        <v>116</v>
      </c>
      <c r="P923" t="s">
        <v>144</v>
      </c>
      <c r="Q923">
        <v>4</v>
      </c>
      <c r="R923" t="s">
        <v>886</v>
      </c>
      <c r="S923" t="s">
        <v>309</v>
      </c>
      <c r="T923" s="52"/>
    </row>
    <row r="924" spans="1:20" x14ac:dyDescent="0.3">
      <c r="A924" t="s">
        <v>53</v>
      </c>
      <c r="B924" s="48">
        <v>46023</v>
      </c>
      <c r="C924" s="26"/>
      <c r="I924" t="s">
        <v>923</v>
      </c>
      <c r="J924" t="s">
        <v>924</v>
      </c>
      <c r="K924" t="s">
        <v>59</v>
      </c>
      <c r="L924" t="s">
        <v>43</v>
      </c>
      <c r="M924" t="s">
        <v>475</v>
      </c>
      <c r="N924" t="s">
        <v>59</v>
      </c>
      <c r="O924" t="s">
        <v>116</v>
      </c>
      <c r="P924" t="s">
        <v>144</v>
      </c>
      <c r="Q924">
        <v>4</v>
      </c>
      <c r="R924" t="s">
        <v>886</v>
      </c>
      <c r="S924" t="s">
        <v>309</v>
      </c>
      <c r="T924" s="52"/>
    </row>
    <row r="925" spans="1:20" x14ac:dyDescent="0.3">
      <c r="A925" t="s">
        <v>53</v>
      </c>
      <c r="B925" s="48">
        <v>46023</v>
      </c>
      <c r="C925" s="26"/>
      <c r="I925" t="s">
        <v>925</v>
      </c>
      <c r="J925" t="s">
        <v>926</v>
      </c>
      <c r="K925" t="s">
        <v>59</v>
      </c>
      <c r="L925" t="s">
        <v>43</v>
      </c>
      <c r="M925" t="s">
        <v>475</v>
      </c>
      <c r="N925" t="s">
        <v>59</v>
      </c>
      <c r="O925" t="s">
        <v>116</v>
      </c>
      <c r="P925" t="s">
        <v>144</v>
      </c>
      <c r="Q925">
        <v>3</v>
      </c>
      <c r="R925" t="s">
        <v>886</v>
      </c>
      <c r="S925" t="s">
        <v>309</v>
      </c>
      <c r="T925" s="52"/>
    </row>
    <row r="926" spans="1:20" x14ac:dyDescent="0.3">
      <c r="A926" t="s">
        <v>53</v>
      </c>
      <c r="B926" s="48">
        <v>46023</v>
      </c>
      <c r="C926" s="26"/>
      <c r="I926" t="s">
        <v>927</v>
      </c>
      <c r="J926" t="s">
        <v>928</v>
      </c>
      <c r="K926" t="s">
        <v>59</v>
      </c>
      <c r="L926" t="s">
        <v>43</v>
      </c>
      <c r="M926" t="s">
        <v>475</v>
      </c>
      <c r="N926" t="s">
        <v>59</v>
      </c>
      <c r="O926" t="s">
        <v>116</v>
      </c>
      <c r="P926" t="s">
        <v>144</v>
      </c>
      <c r="Q926">
        <v>6</v>
      </c>
      <c r="R926" t="s">
        <v>886</v>
      </c>
      <c r="S926" t="s">
        <v>309</v>
      </c>
      <c r="T926" s="52"/>
    </row>
    <row r="927" spans="1:20" x14ac:dyDescent="0.3">
      <c r="A927" t="s">
        <v>53</v>
      </c>
      <c r="B927" s="48">
        <v>46023</v>
      </c>
      <c r="C927" s="26"/>
      <c r="I927" t="s">
        <v>929</v>
      </c>
      <c r="J927" t="s">
        <v>930</v>
      </c>
      <c r="K927" t="s">
        <v>59</v>
      </c>
      <c r="L927" t="s">
        <v>43</v>
      </c>
      <c r="M927" t="s">
        <v>475</v>
      </c>
      <c r="N927" t="s">
        <v>59</v>
      </c>
      <c r="O927" t="s">
        <v>116</v>
      </c>
      <c r="P927" t="s">
        <v>144</v>
      </c>
      <c r="Q927">
        <v>2</v>
      </c>
      <c r="R927" t="s">
        <v>886</v>
      </c>
      <c r="S927" t="s">
        <v>309</v>
      </c>
      <c r="T927" s="52"/>
    </row>
    <row r="928" spans="1:20" x14ac:dyDescent="0.3">
      <c r="A928" t="s">
        <v>53</v>
      </c>
      <c r="B928" s="48">
        <v>46023</v>
      </c>
      <c r="C928" s="26"/>
      <c r="I928" t="s">
        <v>931</v>
      </c>
      <c r="J928" t="s">
        <v>932</v>
      </c>
      <c r="K928" t="s">
        <v>59</v>
      </c>
      <c r="L928" t="s">
        <v>43</v>
      </c>
      <c r="M928" t="s">
        <v>475</v>
      </c>
      <c r="N928" t="s">
        <v>59</v>
      </c>
      <c r="O928" t="s">
        <v>116</v>
      </c>
      <c r="P928" t="s">
        <v>144</v>
      </c>
      <c r="Q928">
        <v>2</v>
      </c>
      <c r="R928" t="s">
        <v>886</v>
      </c>
      <c r="S928" t="s">
        <v>309</v>
      </c>
      <c r="T928" s="52"/>
    </row>
    <row r="929" spans="1:20" x14ac:dyDescent="0.3">
      <c r="A929" t="s">
        <v>53</v>
      </c>
      <c r="B929" s="48">
        <v>46023</v>
      </c>
      <c r="C929" s="26"/>
      <c r="I929" t="s">
        <v>933</v>
      </c>
      <c r="J929" t="s">
        <v>934</v>
      </c>
      <c r="K929" t="s">
        <v>59</v>
      </c>
      <c r="L929" t="s">
        <v>43</v>
      </c>
      <c r="M929" t="s">
        <v>475</v>
      </c>
      <c r="N929" t="s">
        <v>59</v>
      </c>
      <c r="O929" t="s">
        <v>116</v>
      </c>
      <c r="P929" t="s">
        <v>144</v>
      </c>
      <c r="Q929">
        <v>1</v>
      </c>
      <c r="R929" t="s">
        <v>886</v>
      </c>
      <c r="S929" t="s">
        <v>309</v>
      </c>
      <c r="T929" s="52"/>
    </row>
    <row r="930" spans="1:20" x14ac:dyDescent="0.3">
      <c r="A930" t="s">
        <v>53</v>
      </c>
      <c r="B930" s="48">
        <v>46023</v>
      </c>
      <c r="C930" s="26"/>
      <c r="I930" t="s">
        <v>935</v>
      </c>
      <c r="J930" t="s">
        <v>928</v>
      </c>
      <c r="K930" t="s">
        <v>59</v>
      </c>
      <c r="L930" t="s">
        <v>43</v>
      </c>
      <c r="M930" t="s">
        <v>475</v>
      </c>
      <c r="N930" t="s">
        <v>59</v>
      </c>
      <c r="O930" t="s">
        <v>116</v>
      </c>
      <c r="P930" t="s">
        <v>144</v>
      </c>
      <c r="Q930">
        <v>1</v>
      </c>
      <c r="R930" t="s">
        <v>886</v>
      </c>
      <c r="S930" t="s">
        <v>309</v>
      </c>
      <c r="T930" s="52"/>
    </row>
    <row r="931" spans="1:20" x14ac:dyDescent="0.3">
      <c r="A931" t="s">
        <v>53</v>
      </c>
      <c r="B931" s="48">
        <v>46023</v>
      </c>
      <c r="C931" s="26"/>
      <c r="I931" t="s">
        <v>936</v>
      </c>
      <c r="J931" t="s">
        <v>937</v>
      </c>
      <c r="K931" t="s">
        <v>59</v>
      </c>
      <c r="L931" t="s">
        <v>43</v>
      </c>
      <c r="M931" t="s">
        <v>475</v>
      </c>
      <c r="N931" t="s">
        <v>59</v>
      </c>
      <c r="O931" t="s">
        <v>116</v>
      </c>
      <c r="P931" t="s">
        <v>144</v>
      </c>
      <c r="Q931">
        <v>5</v>
      </c>
      <c r="R931" t="s">
        <v>886</v>
      </c>
      <c r="S931" t="s">
        <v>309</v>
      </c>
      <c r="T931" s="52"/>
    </row>
    <row r="932" spans="1:20" x14ac:dyDescent="0.3">
      <c r="A932" t="s">
        <v>53</v>
      </c>
      <c r="B932" s="48">
        <v>46023</v>
      </c>
      <c r="C932" s="26"/>
      <c r="I932" t="s">
        <v>938</v>
      </c>
      <c r="J932" t="s">
        <v>939</v>
      </c>
      <c r="K932" t="s">
        <v>59</v>
      </c>
      <c r="L932" t="s">
        <v>43</v>
      </c>
      <c r="M932" t="s">
        <v>475</v>
      </c>
      <c r="N932" t="s">
        <v>59</v>
      </c>
      <c r="O932" t="s">
        <v>116</v>
      </c>
      <c r="P932" t="s">
        <v>144</v>
      </c>
      <c r="Q932">
        <v>4</v>
      </c>
      <c r="R932" t="s">
        <v>886</v>
      </c>
      <c r="S932" t="s">
        <v>309</v>
      </c>
      <c r="T932" s="52"/>
    </row>
    <row r="933" spans="1:20" x14ac:dyDescent="0.3">
      <c r="A933" t="s">
        <v>53</v>
      </c>
      <c r="B933" s="48">
        <v>46023</v>
      </c>
      <c r="C933" s="26"/>
      <c r="I933" t="s">
        <v>940</v>
      </c>
      <c r="J933" t="s">
        <v>941</v>
      </c>
      <c r="K933" t="s">
        <v>59</v>
      </c>
      <c r="L933" t="s">
        <v>43</v>
      </c>
      <c r="M933" t="s">
        <v>475</v>
      </c>
      <c r="N933" t="s">
        <v>59</v>
      </c>
      <c r="O933" t="s">
        <v>116</v>
      </c>
      <c r="P933" t="s">
        <v>144</v>
      </c>
      <c r="Q933">
        <v>1</v>
      </c>
      <c r="R933" t="s">
        <v>886</v>
      </c>
      <c r="S933" t="s">
        <v>309</v>
      </c>
      <c r="T933" s="52"/>
    </row>
    <row r="934" spans="1:20" x14ac:dyDescent="0.3">
      <c r="A934" t="s">
        <v>53</v>
      </c>
      <c r="B934" s="48">
        <v>46023</v>
      </c>
      <c r="C934" s="26"/>
      <c r="I934" t="s">
        <v>942</v>
      </c>
      <c r="J934" t="s">
        <v>943</v>
      </c>
      <c r="K934" t="s">
        <v>59</v>
      </c>
      <c r="L934" t="s">
        <v>43</v>
      </c>
      <c r="M934" t="s">
        <v>475</v>
      </c>
      <c r="N934" t="s">
        <v>59</v>
      </c>
      <c r="O934" t="s">
        <v>116</v>
      </c>
      <c r="P934" t="s">
        <v>144</v>
      </c>
      <c r="Q934">
        <v>6</v>
      </c>
      <c r="R934" t="s">
        <v>886</v>
      </c>
      <c r="S934" t="s">
        <v>309</v>
      </c>
      <c r="T934" s="52"/>
    </row>
    <row r="935" spans="1:20" x14ac:dyDescent="0.3">
      <c r="A935" t="s">
        <v>53</v>
      </c>
      <c r="B935" s="48">
        <v>46023</v>
      </c>
      <c r="C935" s="26"/>
      <c r="I935" t="s">
        <v>944</v>
      </c>
      <c r="J935" t="s">
        <v>945</v>
      </c>
      <c r="K935" t="s">
        <v>59</v>
      </c>
      <c r="L935" t="s">
        <v>43</v>
      </c>
      <c r="M935" t="s">
        <v>475</v>
      </c>
      <c r="N935" t="s">
        <v>59</v>
      </c>
      <c r="O935" t="s">
        <v>116</v>
      </c>
      <c r="P935" t="s">
        <v>144</v>
      </c>
      <c r="Q935">
        <v>3</v>
      </c>
      <c r="R935" t="s">
        <v>886</v>
      </c>
      <c r="S935" t="s">
        <v>309</v>
      </c>
      <c r="T935" s="52"/>
    </row>
    <row r="936" spans="1:20" x14ac:dyDescent="0.3">
      <c r="A936" t="s">
        <v>53</v>
      </c>
      <c r="B936" s="48">
        <v>46023</v>
      </c>
      <c r="C936" s="26"/>
      <c r="I936" t="s">
        <v>946</v>
      </c>
      <c r="J936" t="s">
        <v>947</v>
      </c>
      <c r="K936" t="s">
        <v>59</v>
      </c>
      <c r="L936" t="s">
        <v>43</v>
      </c>
      <c r="M936" t="s">
        <v>475</v>
      </c>
      <c r="N936" t="s">
        <v>59</v>
      </c>
      <c r="O936" t="s">
        <v>116</v>
      </c>
      <c r="P936" t="s">
        <v>144</v>
      </c>
      <c r="Q936">
        <v>10</v>
      </c>
      <c r="R936" t="s">
        <v>886</v>
      </c>
      <c r="S936" t="s">
        <v>309</v>
      </c>
      <c r="T936" s="52"/>
    </row>
    <row r="937" spans="1:20" x14ac:dyDescent="0.3">
      <c r="A937" t="s">
        <v>53</v>
      </c>
      <c r="B937" s="48">
        <v>46023</v>
      </c>
      <c r="C937" s="26"/>
      <c r="I937" t="s">
        <v>948</v>
      </c>
      <c r="J937" t="s">
        <v>949</v>
      </c>
      <c r="K937" t="s">
        <v>59</v>
      </c>
      <c r="L937" t="s">
        <v>43</v>
      </c>
      <c r="M937" t="s">
        <v>475</v>
      </c>
      <c r="N937" t="s">
        <v>59</v>
      </c>
      <c r="O937" t="s">
        <v>116</v>
      </c>
      <c r="P937" t="s">
        <v>144</v>
      </c>
      <c r="Q937">
        <v>2</v>
      </c>
      <c r="R937" t="s">
        <v>886</v>
      </c>
      <c r="S937" t="s">
        <v>309</v>
      </c>
      <c r="T937" s="52"/>
    </row>
    <row r="938" spans="1:20" x14ac:dyDescent="0.3">
      <c r="A938" t="s">
        <v>53</v>
      </c>
      <c r="B938" s="48">
        <v>46023</v>
      </c>
      <c r="C938" s="26"/>
      <c r="I938" t="s">
        <v>950</v>
      </c>
      <c r="J938" t="s">
        <v>951</v>
      </c>
      <c r="K938" t="s">
        <v>59</v>
      </c>
      <c r="L938" t="s">
        <v>43</v>
      </c>
      <c r="M938" t="s">
        <v>475</v>
      </c>
      <c r="N938" t="s">
        <v>59</v>
      </c>
      <c r="O938" t="s">
        <v>116</v>
      </c>
      <c r="P938" t="s">
        <v>144</v>
      </c>
      <c r="Q938">
        <v>8</v>
      </c>
      <c r="R938" t="s">
        <v>886</v>
      </c>
      <c r="S938" t="s">
        <v>309</v>
      </c>
      <c r="T938" s="52"/>
    </row>
    <row r="939" spans="1:20" x14ac:dyDescent="0.3">
      <c r="A939" t="s">
        <v>53</v>
      </c>
      <c r="B939" s="48">
        <v>46023</v>
      </c>
      <c r="C939" s="26"/>
      <c r="I939" t="s">
        <v>952</v>
      </c>
      <c r="J939" t="s">
        <v>953</v>
      </c>
      <c r="K939" t="s">
        <v>59</v>
      </c>
      <c r="L939" t="s">
        <v>43</v>
      </c>
      <c r="M939" t="s">
        <v>475</v>
      </c>
      <c r="N939" t="s">
        <v>59</v>
      </c>
      <c r="O939" t="s">
        <v>116</v>
      </c>
      <c r="P939" t="s">
        <v>144</v>
      </c>
      <c r="Q939">
        <v>1</v>
      </c>
      <c r="R939" t="s">
        <v>886</v>
      </c>
      <c r="S939" t="s">
        <v>309</v>
      </c>
      <c r="T939" s="52"/>
    </row>
    <row r="940" spans="1:20" x14ac:dyDescent="0.3">
      <c r="A940" t="s">
        <v>53</v>
      </c>
      <c r="B940" s="48">
        <v>46023</v>
      </c>
      <c r="C940" s="26"/>
      <c r="I940" t="s">
        <v>954</v>
      </c>
      <c r="J940" t="s">
        <v>955</v>
      </c>
      <c r="K940" t="s">
        <v>59</v>
      </c>
      <c r="L940" t="s">
        <v>43</v>
      </c>
      <c r="M940" t="s">
        <v>475</v>
      </c>
      <c r="N940" t="s">
        <v>59</v>
      </c>
      <c r="O940" t="s">
        <v>116</v>
      </c>
      <c r="P940" t="s">
        <v>144</v>
      </c>
      <c r="Q940">
        <v>5</v>
      </c>
      <c r="R940" t="s">
        <v>886</v>
      </c>
      <c r="S940" t="s">
        <v>309</v>
      </c>
      <c r="T940" s="52"/>
    </row>
    <row r="941" spans="1:20" x14ac:dyDescent="0.3">
      <c r="A941" t="s">
        <v>53</v>
      </c>
      <c r="B941" s="48">
        <v>46023</v>
      </c>
      <c r="C941" s="26"/>
      <c r="I941" t="s">
        <v>956</v>
      </c>
      <c r="J941" t="s">
        <v>957</v>
      </c>
      <c r="K941" t="s">
        <v>59</v>
      </c>
      <c r="L941" t="s">
        <v>43</v>
      </c>
      <c r="M941" t="s">
        <v>475</v>
      </c>
      <c r="N941" t="s">
        <v>59</v>
      </c>
      <c r="O941" t="s">
        <v>116</v>
      </c>
      <c r="P941" t="s">
        <v>144</v>
      </c>
      <c r="Q941">
        <v>2</v>
      </c>
      <c r="R941" t="s">
        <v>886</v>
      </c>
      <c r="S941" t="s">
        <v>309</v>
      </c>
      <c r="T941" s="52"/>
    </row>
    <row r="942" spans="1:20" x14ac:dyDescent="0.3">
      <c r="A942" t="s">
        <v>53</v>
      </c>
      <c r="B942" s="48">
        <v>46023</v>
      </c>
      <c r="C942" s="26"/>
      <c r="I942" t="s">
        <v>958</v>
      </c>
      <c r="J942" t="s">
        <v>959</v>
      </c>
      <c r="K942" t="s">
        <v>59</v>
      </c>
      <c r="L942" t="s">
        <v>43</v>
      </c>
      <c r="M942" t="s">
        <v>475</v>
      </c>
      <c r="N942" t="s">
        <v>59</v>
      </c>
      <c r="O942" t="s">
        <v>116</v>
      </c>
      <c r="P942" t="s">
        <v>144</v>
      </c>
      <c r="Q942">
        <v>2</v>
      </c>
      <c r="R942" t="s">
        <v>886</v>
      </c>
      <c r="S942" t="s">
        <v>309</v>
      </c>
      <c r="T942" s="52"/>
    </row>
    <row r="943" spans="1:20" x14ac:dyDescent="0.3">
      <c r="A943" t="s">
        <v>53</v>
      </c>
      <c r="B943" s="48">
        <v>46023</v>
      </c>
      <c r="C943" s="26"/>
      <c r="I943" t="s">
        <v>960</v>
      </c>
      <c r="J943" t="s">
        <v>961</v>
      </c>
      <c r="K943" t="s">
        <v>59</v>
      </c>
      <c r="L943" t="s">
        <v>43</v>
      </c>
      <c r="M943" t="s">
        <v>475</v>
      </c>
      <c r="N943" t="s">
        <v>59</v>
      </c>
      <c r="O943" t="s">
        <v>116</v>
      </c>
      <c r="P943" t="s">
        <v>144</v>
      </c>
      <c r="Q943">
        <v>7</v>
      </c>
      <c r="R943" t="s">
        <v>886</v>
      </c>
      <c r="S943" t="s">
        <v>309</v>
      </c>
      <c r="T943" s="52"/>
    </row>
    <row r="944" spans="1:20" x14ac:dyDescent="0.3">
      <c r="A944" t="s">
        <v>53</v>
      </c>
      <c r="B944" s="48">
        <v>46023</v>
      </c>
      <c r="C944" s="26"/>
      <c r="I944" t="s">
        <v>962</v>
      </c>
      <c r="J944" t="s">
        <v>963</v>
      </c>
      <c r="K944" t="s">
        <v>59</v>
      </c>
      <c r="L944" t="s">
        <v>43</v>
      </c>
      <c r="M944" t="s">
        <v>475</v>
      </c>
      <c r="N944" t="s">
        <v>59</v>
      </c>
      <c r="O944" t="s">
        <v>116</v>
      </c>
      <c r="P944" t="s">
        <v>144</v>
      </c>
      <c r="Q944">
        <v>7</v>
      </c>
      <c r="R944" t="s">
        <v>886</v>
      </c>
      <c r="S944" t="s">
        <v>309</v>
      </c>
      <c r="T944" s="52"/>
    </row>
    <row r="945" spans="1:20" x14ac:dyDescent="0.3">
      <c r="A945" t="s">
        <v>53</v>
      </c>
      <c r="B945" s="48">
        <v>46023</v>
      </c>
      <c r="C945" s="26"/>
      <c r="I945" t="s">
        <v>964</v>
      </c>
      <c r="J945" t="s">
        <v>965</v>
      </c>
      <c r="K945" t="s">
        <v>59</v>
      </c>
      <c r="L945" t="s">
        <v>43</v>
      </c>
      <c r="M945" t="s">
        <v>475</v>
      </c>
      <c r="N945" t="s">
        <v>59</v>
      </c>
      <c r="O945" t="s">
        <v>116</v>
      </c>
      <c r="P945" t="s">
        <v>144</v>
      </c>
      <c r="Q945">
        <v>55</v>
      </c>
      <c r="R945" t="s">
        <v>886</v>
      </c>
      <c r="S945" t="s">
        <v>309</v>
      </c>
      <c r="T945" s="52"/>
    </row>
    <row r="946" spans="1:20" x14ac:dyDescent="0.3">
      <c r="A946" t="s">
        <v>53</v>
      </c>
      <c r="B946" s="48">
        <v>46023</v>
      </c>
      <c r="C946" s="26"/>
      <c r="I946" t="s">
        <v>966</v>
      </c>
      <c r="J946" t="s">
        <v>967</v>
      </c>
      <c r="K946" t="s">
        <v>59</v>
      </c>
      <c r="L946" t="s">
        <v>43</v>
      </c>
      <c r="M946" t="s">
        <v>475</v>
      </c>
      <c r="N946" t="s">
        <v>59</v>
      </c>
      <c r="O946" t="s">
        <v>116</v>
      </c>
      <c r="P946" t="s">
        <v>144</v>
      </c>
      <c r="Q946">
        <v>20</v>
      </c>
      <c r="R946" t="s">
        <v>886</v>
      </c>
      <c r="S946" t="s">
        <v>309</v>
      </c>
      <c r="T946" s="52"/>
    </row>
    <row r="947" spans="1:20" x14ac:dyDescent="0.3">
      <c r="A947" t="s">
        <v>53</v>
      </c>
      <c r="B947" s="48">
        <v>46023</v>
      </c>
      <c r="C947" s="26"/>
      <c r="I947" t="s">
        <v>968</v>
      </c>
      <c r="J947" t="s">
        <v>969</v>
      </c>
      <c r="K947" t="s">
        <v>59</v>
      </c>
      <c r="L947" t="s">
        <v>43</v>
      </c>
      <c r="M947" t="s">
        <v>475</v>
      </c>
      <c r="N947" t="s">
        <v>59</v>
      </c>
      <c r="O947" t="s">
        <v>116</v>
      </c>
      <c r="P947" t="s">
        <v>144</v>
      </c>
      <c r="Q947">
        <v>48</v>
      </c>
      <c r="R947" t="s">
        <v>886</v>
      </c>
      <c r="S947" t="s">
        <v>309</v>
      </c>
      <c r="T947" s="52"/>
    </row>
    <row r="948" spans="1:20" x14ac:dyDescent="0.3">
      <c r="A948" t="s">
        <v>53</v>
      </c>
      <c r="B948" s="48">
        <v>46023</v>
      </c>
      <c r="C948" s="26"/>
      <c r="I948" t="s">
        <v>970</v>
      </c>
      <c r="J948" t="s">
        <v>971</v>
      </c>
      <c r="K948" t="s">
        <v>59</v>
      </c>
      <c r="L948" t="s">
        <v>43</v>
      </c>
      <c r="M948" t="s">
        <v>475</v>
      </c>
      <c r="N948" t="s">
        <v>59</v>
      </c>
      <c r="O948" t="s">
        <v>116</v>
      </c>
      <c r="P948" t="s">
        <v>144</v>
      </c>
      <c r="Q948">
        <v>1</v>
      </c>
      <c r="R948" t="s">
        <v>886</v>
      </c>
      <c r="S948" t="s">
        <v>309</v>
      </c>
      <c r="T948" s="52"/>
    </row>
    <row r="949" spans="1:20" x14ac:dyDescent="0.3">
      <c r="A949" t="s">
        <v>53</v>
      </c>
      <c r="B949" s="48">
        <v>46023</v>
      </c>
      <c r="C949" s="26"/>
      <c r="I949" t="s">
        <v>972</v>
      </c>
      <c r="J949" t="s">
        <v>973</v>
      </c>
      <c r="K949" t="s">
        <v>59</v>
      </c>
      <c r="L949" t="s">
        <v>43</v>
      </c>
      <c r="M949" t="s">
        <v>475</v>
      </c>
      <c r="N949" t="s">
        <v>59</v>
      </c>
      <c r="O949" t="s">
        <v>116</v>
      </c>
      <c r="P949" t="s">
        <v>144</v>
      </c>
      <c r="Q949">
        <v>2</v>
      </c>
      <c r="R949" t="s">
        <v>886</v>
      </c>
      <c r="S949" t="s">
        <v>309</v>
      </c>
      <c r="T949" s="52"/>
    </row>
    <row r="950" spans="1:20" x14ac:dyDescent="0.3">
      <c r="A950" t="s">
        <v>53</v>
      </c>
      <c r="B950" s="48">
        <v>46023</v>
      </c>
      <c r="C950" s="26"/>
      <c r="I950" t="s">
        <v>974</v>
      </c>
      <c r="J950" t="s">
        <v>975</v>
      </c>
      <c r="K950" t="s">
        <v>59</v>
      </c>
      <c r="L950" t="s">
        <v>43</v>
      </c>
      <c r="M950" t="s">
        <v>475</v>
      </c>
      <c r="N950" t="s">
        <v>59</v>
      </c>
      <c r="O950" t="s">
        <v>143</v>
      </c>
      <c r="P950" t="s">
        <v>144</v>
      </c>
      <c r="Q950">
        <v>12</v>
      </c>
      <c r="R950" t="s">
        <v>886</v>
      </c>
      <c r="S950" t="s">
        <v>309</v>
      </c>
      <c r="T950" s="52"/>
    </row>
    <row r="951" spans="1:20" x14ac:dyDescent="0.3">
      <c r="A951" t="s">
        <v>53</v>
      </c>
      <c r="B951" s="48">
        <v>46023</v>
      </c>
      <c r="C951" s="26"/>
      <c r="I951" t="s">
        <v>976</v>
      </c>
      <c r="J951" t="s">
        <v>977</v>
      </c>
      <c r="K951" t="s">
        <v>59</v>
      </c>
      <c r="L951" t="s">
        <v>43</v>
      </c>
      <c r="M951" t="s">
        <v>475</v>
      </c>
      <c r="N951" t="s">
        <v>59</v>
      </c>
      <c r="O951" t="s">
        <v>143</v>
      </c>
      <c r="P951" t="s">
        <v>144</v>
      </c>
      <c r="Q951">
        <v>14</v>
      </c>
      <c r="R951" t="s">
        <v>886</v>
      </c>
      <c r="S951" t="s">
        <v>309</v>
      </c>
      <c r="T951" s="52"/>
    </row>
    <row r="952" spans="1:20" x14ac:dyDescent="0.3">
      <c r="A952" t="s">
        <v>53</v>
      </c>
      <c r="B952" s="48">
        <v>46023</v>
      </c>
      <c r="C952" s="26"/>
      <c r="I952" t="s">
        <v>978</v>
      </c>
      <c r="J952" t="s">
        <v>979</v>
      </c>
      <c r="K952" t="s">
        <v>59</v>
      </c>
      <c r="L952" t="s">
        <v>43</v>
      </c>
      <c r="M952" t="s">
        <v>475</v>
      </c>
      <c r="N952" t="s">
        <v>59</v>
      </c>
      <c r="O952" t="s">
        <v>116</v>
      </c>
      <c r="P952" t="s">
        <v>144</v>
      </c>
      <c r="Q952">
        <v>5</v>
      </c>
      <c r="R952" t="s">
        <v>886</v>
      </c>
      <c r="S952" t="s">
        <v>309</v>
      </c>
      <c r="T952" s="52"/>
    </row>
    <row r="953" spans="1:20" x14ac:dyDescent="0.3">
      <c r="A953" t="s">
        <v>53</v>
      </c>
      <c r="B953" s="48">
        <v>46023</v>
      </c>
      <c r="C953" s="26"/>
      <c r="I953" t="s">
        <v>980</v>
      </c>
      <c r="J953" t="s">
        <v>981</v>
      </c>
      <c r="K953" t="s">
        <v>59</v>
      </c>
      <c r="L953" t="s">
        <v>43</v>
      </c>
      <c r="M953" t="s">
        <v>475</v>
      </c>
      <c r="N953" t="s">
        <v>59</v>
      </c>
      <c r="O953" t="s">
        <v>116</v>
      </c>
      <c r="P953" t="s">
        <v>144</v>
      </c>
      <c r="Q953">
        <v>2</v>
      </c>
      <c r="R953" t="s">
        <v>886</v>
      </c>
      <c r="S953" t="s">
        <v>309</v>
      </c>
      <c r="T953" s="52"/>
    </row>
    <row r="954" spans="1:20" x14ac:dyDescent="0.3">
      <c r="A954" t="s">
        <v>53</v>
      </c>
      <c r="B954" s="48">
        <v>46023</v>
      </c>
      <c r="C954" s="26"/>
      <c r="I954" t="s">
        <v>982</v>
      </c>
      <c r="J954" t="s">
        <v>983</v>
      </c>
      <c r="K954" t="s">
        <v>59</v>
      </c>
      <c r="L954" t="s">
        <v>43</v>
      </c>
      <c r="M954" t="s">
        <v>475</v>
      </c>
      <c r="N954" t="s">
        <v>59</v>
      </c>
      <c r="O954" t="s">
        <v>116</v>
      </c>
      <c r="P954" t="s">
        <v>144</v>
      </c>
      <c r="Q954">
        <v>1</v>
      </c>
      <c r="R954" t="s">
        <v>886</v>
      </c>
      <c r="S954" t="s">
        <v>309</v>
      </c>
      <c r="T954" s="52"/>
    </row>
    <row r="955" spans="1:20" x14ac:dyDescent="0.3">
      <c r="A955" t="s">
        <v>53</v>
      </c>
      <c r="B955" s="48">
        <v>46023</v>
      </c>
      <c r="C955" s="26"/>
      <c r="I955" t="s">
        <v>984</v>
      </c>
      <c r="J955" t="s">
        <v>985</v>
      </c>
      <c r="K955" t="s">
        <v>59</v>
      </c>
      <c r="L955" t="s">
        <v>43</v>
      </c>
      <c r="M955" t="s">
        <v>475</v>
      </c>
      <c r="N955" t="s">
        <v>59</v>
      </c>
      <c r="O955" t="s">
        <v>143</v>
      </c>
      <c r="P955" t="s">
        <v>144</v>
      </c>
      <c r="Q955">
        <v>12</v>
      </c>
      <c r="R955" t="s">
        <v>886</v>
      </c>
      <c r="S955" t="s">
        <v>309</v>
      </c>
      <c r="T955" s="52"/>
    </row>
    <row r="956" spans="1:20" x14ac:dyDescent="0.3">
      <c r="A956" t="s">
        <v>53</v>
      </c>
      <c r="B956" s="48">
        <v>46023</v>
      </c>
      <c r="C956" s="26"/>
      <c r="I956" t="s">
        <v>986</v>
      </c>
      <c r="J956" t="s">
        <v>987</v>
      </c>
      <c r="K956" t="s">
        <v>59</v>
      </c>
      <c r="L956" t="s">
        <v>43</v>
      </c>
      <c r="M956" t="s">
        <v>475</v>
      </c>
      <c r="N956" t="s">
        <v>59</v>
      </c>
      <c r="O956" t="s">
        <v>143</v>
      </c>
      <c r="P956" t="s">
        <v>144</v>
      </c>
      <c r="Q956">
        <v>8</v>
      </c>
      <c r="R956" t="s">
        <v>886</v>
      </c>
      <c r="S956" t="s">
        <v>309</v>
      </c>
      <c r="T956" s="52"/>
    </row>
    <row r="957" spans="1:20" x14ac:dyDescent="0.3">
      <c r="A957" t="s">
        <v>53</v>
      </c>
      <c r="B957" s="48">
        <v>46023</v>
      </c>
      <c r="C957" s="26"/>
      <c r="I957" t="s">
        <v>988</v>
      </c>
      <c r="J957" t="s">
        <v>989</v>
      </c>
      <c r="K957" t="s">
        <v>59</v>
      </c>
      <c r="L957" t="s">
        <v>43</v>
      </c>
      <c r="M957" t="s">
        <v>475</v>
      </c>
      <c r="N957" t="s">
        <v>59</v>
      </c>
      <c r="O957" t="s">
        <v>143</v>
      </c>
      <c r="P957" t="s">
        <v>144</v>
      </c>
      <c r="Q957">
        <v>6</v>
      </c>
      <c r="R957" t="s">
        <v>886</v>
      </c>
      <c r="S957" t="s">
        <v>309</v>
      </c>
      <c r="T957" s="52"/>
    </row>
    <row r="958" spans="1:20" x14ac:dyDescent="0.3">
      <c r="A958" t="s">
        <v>53</v>
      </c>
      <c r="B958" s="48">
        <v>46023</v>
      </c>
      <c r="C958" s="26"/>
      <c r="I958" t="s">
        <v>990</v>
      </c>
      <c r="J958" t="s">
        <v>991</v>
      </c>
      <c r="K958" t="s">
        <v>59</v>
      </c>
      <c r="L958" t="s">
        <v>43</v>
      </c>
      <c r="M958" t="s">
        <v>475</v>
      </c>
      <c r="N958" t="s">
        <v>59</v>
      </c>
      <c r="O958" t="s">
        <v>143</v>
      </c>
      <c r="P958" t="s">
        <v>144</v>
      </c>
      <c r="Q958">
        <v>1</v>
      </c>
      <c r="R958" t="s">
        <v>886</v>
      </c>
      <c r="S958" t="s">
        <v>309</v>
      </c>
      <c r="T958" s="52"/>
    </row>
    <row r="959" spans="1:20" x14ac:dyDescent="0.3">
      <c r="A959" t="s">
        <v>53</v>
      </c>
      <c r="B959" s="48">
        <v>46023</v>
      </c>
      <c r="C959" s="26"/>
      <c r="I959" t="s">
        <v>992</v>
      </c>
      <c r="J959" t="s">
        <v>993</v>
      </c>
      <c r="K959" t="s">
        <v>59</v>
      </c>
      <c r="L959" t="s">
        <v>43</v>
      </c>
      <c r="M959" t="s">
        <v>475</v>
      </c>
      <c r="N959" t="s">
        <v>59</v>
      </c>
      <c r="O959" t="s">
        <v>143</v>
      </c>
      <c r="P959" t="s">
        <v>144</v>
      </c>
      <c r="Q959">
        <v>3</v>
      </c>
      <c r="R959" t="s">
        <v>886</v>
      </c>
      <c r="S959" t="s">
        <v>309</v>
      </c>
      <c r="T959" s="52"/>
    </row>
    <row r="960" spans="1:20" x14ac:dyDescent="0.3">
      <c r="A960" t="s">
        <v>53</v>
      </c>
      <c r="B960" s="48">
        <v>46023</v>
      </c>
      <c r="C960" s="26"/>
      <c r="I960" t="s">
        <v>994</v>
      </c>
      <c r="J960" t="s">
        <v>995</v>
      </c>
      <c r="K960" t="s">
        <v>59</v>
      </c>
      <c r="L960" t="s">
        <v>43</v>
      </c>
      <c r="M960" t="s">
        <v>475</v>
      </c>
      <c r="N960" t="s">
        <v>59</v>
      </c>
      <c r="O960" t="s">
        <v>143</v>
      </c>
      <c r="P960" t="s">
        <v>144</v>
      </c>
      <c r="Q960">
        <v>26</v>
      </c>
      <c r="R960" t="s">
        <v>886</v>
      </c>
      <c r="S960" t="s">
        <v>309</v>
      </c>
      <c r="T960" s="52"/>
    </row>
    <row r="961" spans="1:20" x14ac:dyDescent="0.3">
      <c r="A961" t="s">
        <v>53</v>
      </c>
      <c r="B961" s="48">
        <v>46023</v>
      </c>
      <c r="C961" s="26"/>
      <c r="I961" t="s">
        <v>996</v>
      </c>
      <c r="J961" t="s">
        <v>997</v>
      </c>
      <c r="K961" t="s">
        <v>59</v>
      </c>
      <c r="L961" t="s">
        <v>43</v>
      </c>
      <c r="M961" t="s">
        <v>475</v>
      </c>
      <c r="N961" t="s">
        <v>59</v>
      </c>
      <c r="O961" t="s">
        <v>143</v>
      </c>
      <c r="P961" t="s">
        <v>144</v>
      </c>
      <c r="Q961">
        <v>12</v>
      </c>
      <c r="R961" t="s">
        <v>886</v>
      </c>
      <c r="S961" t="s">
        <v>309</v>
      </c>
      <c r="T961" s="52"/>
    </row>
    <row r="962" spans="1:20" x14ac:dyDescent="0.3">
      <c r="A962" t="s">
        <v>53</v>
      </c>
      <c r="B962" s="48">
        <v>46023</v>
      </c>
      <c r="C962" s="26"/>
      <c r="I962" t="s">
        <v>998</v>
      </c>
      <c r="J962" t="s">
        <v>999</v>
      </c>
      <c r="K962" t="s">
        <v>59</v>
      </c>
      <c r="L962" t="s">
        <v>43</v>
      </c>
      <c r="M962" t="s">
        <v>475</v>
      </c>
      <c r="N962" t="s">
        <v>59</v>
      </c>
      <c r="O962" t="s">
        <v>143</v>
      </c>
      <c r="P962" t="s">
        <v>144</v>
      </c>
      <c r="Q962">
        <v>4</v>
      </c>
      <c r="R962" t="s">
        <v>886</v>
      </c>
      <c r="S962" t="s">
        <v>309</v>
      </c>
      <c r="T962" s="52"/>
    </row>
    <row r="963" spans="1:20" x14ac:dyDescent="0.3">
      <c r="A963" t="s">
        <v>53</v>
      </c>
      <c r="B963" s="48">
        <v>46023</v>
      </c>
      <c r="C963" s="26"/>
      <c r="I963" t="s">
        <v>1000</v>
      </c>
      <c r="J963" t="s">
        <v>1001</v>
      </c>
      <c r="K963" t="s">
        <v>59</v>
      </c>
      <c r="L963" t="s">
        <v>43</v>
      </c>
      <c r="M963" t="s">
        <v>475</v>
      </c>
      <c r="N963" t="s">
        <v>59</v>
      </c>
      <c r="O963" t="s">
        <v>143</v>
      </c>
      <c r="P963" t="s">
        <v>144</v>
      </c>
      <c r="Q963">
        <v>10</v>
      </c>
      <c r="R963" t="s">
        <v>886</v>
      </c>
      <c r="S963" t="s">
        <v>309</v>
      </c>
      <c r="T963" s="52"/>
    </row>
    <row r="964" spans="1:20" x14ac:dyDescent="0.3">
      <c r="A964" t="s">
        <v>53</v>
      </c>
      <c r="B964" s="48">
        <v>46023</v>
      </c>
      <c r="C964" s="26"/>
      <c r="I964" t="s">
        <v>1002</v>
      </c>
      <c r="J964" t="s">
        <v>1003</v>
      </c>
      <c r="K964" t="s">
        <v>59</v>
      </c>
      <c r="L964" t="s">
        <v>43</v>
      </c>
      <c r="M964" t="s">
        <v>475</v>
      </c>
      <c r="N964" t="s">
        <v>59</v>
      </c>
      <c r="O964" t="s">
        <v>143</v>
      </c>
      <c r="P964" t="s">
        <v>144</v>
      </c>
      <c r="Q964">
        <v>15</v>
      </c>
      <c r="R964" t="s">
        <v>886</v>
      </c>
      <c r="S964" t="s">
        <v>309</v>
      </c>
      <c r="T964" s="52"/>
    </row>
    <row r="965" spans="1:20" x14ac:dyDescent="0.3">
      <c r="A965" t="s">
        <v>53</v>
      </c>
      <c r="B965" s="48">
        <v>46023</v>
      </c>
      <c r="C965" s="26"/>
      <c r="I965" t="s">
        <v>1004</v>
      </c>
      <c r="J965" t="s">
        <v>1005</v>
      </c>
      <c r="K965" t="s">
        <v>59</v>
      </c>
      <c r="L965" t="s">
        <v>43</v>
      </c>
      <c r="M965" t="s">
        <v>475</v>
      </c>
      <c r="N965" t="s">
        <v>59</v>
      </c>
      <c r="O965" t="s">
        <v>143</v>
      </c>
      <c r="P965" t="s">
        <v>144</v>
      </c>
      <c r="Q965">
        <v>1</v>
      </c>
      <c r="R965" t="s">
        <v>886</v>
      </c>
      <c r="S965" t="s">
        <v>309</v>
      </c>
      <c r="T965" s="52"/>
    </row>
    <row r="966" spans="1:20" x14ac:dyDescent="0.3">
      <c r="A966" t="s">
        <v>53</v>
      </c>
      <c r="B966" s="48">
        <v>46023</v>
      </c>
      <c r="C966" s="26"/>
      <c r="I966" t="s">
        <v>1006</v>
      </c>
      <c r="J966" t="s">
        <v>1007</v>
      </c>
      <c r="K966" t="s">
        <v>59</v>
      </c>
      <c r="L966" t="s">
        <v>43</v>
      </c>
      <c r="M966" t="s">
        <v>475</v>
      </c>
      <c r="N966" t="s">
        <v>59</v>
      </c>
      <c r="O966" t="s">
        <v>143</v>
      </c>
      <c r="P966" t="s">
        <v>144</v>
      </c>
      <c r="Q966">
        <v>1</v>
      </c>
      <c r="R966" t="s">
        <v>1008</v>
      </c>
      <c r="S966" t="s">
        <v>309</v>
      </c>
      <c r="T966" s="52"/>
    </row>
    <row r="967" spans="1:20" x14ac:dyDescent="0.3">
      <c r="A967" t="s">
        <v>53</v>
      </c>
      <c r="B967" s="48">
        <v>46023</v>
      </c>
      <c r="C967" s="26"/>
      <c r="I967" t="s">
        <v>1009</v>
      </c>
      <c r="J967" t="s">
        <v>1010</v>
      </c>
      <c r="K967" t="s">
        <v>59</v>
      </c>
      <c r="L967" t="s">
        <v>43</v>
      </c>
      <c r="M967" t="s">
        <v>475</v>
      </c>
      <c r="N967" t="s">
        <v>59</v>
      </c>
      <c r="O967" t="s">
        <v>116</v>
      </c>
      <c r="P967" t="s">
        <v>106</v>
      </c>
      <c r="Q967">
        <v>5.5</v>
      </c>
      <c r="R967" t="s">
        <v>1011</v>
      </c>
      <c r="S967" t="s">
        <v>309</v>
      </c>
      <c r="T967" s="52"/>
    </row>
    <row r="968" spans="1:20" x14ac:dyDescent="0.3">
      <c r="A968" t="s">
        <v>53</v>
      </c>
      <c r="B968" s="48">
        <v>46023</v>
      </c>
      <c r="C968" s="26"/>
      <c r="I968" t="s">
        <v>1012</v>
      </c>
      <c r="J968" t="s">
        <v>1013</v>
      </c>
      <c r="K968" t="s">
        <v>59</v>
      </c>
      <c r="L968" t="s">
        <v>43</v>
      </c>
      <c r="M968" t="s">
        <v>475</v>
      </c>
      <c r="N968" t="s">
        <v>59</v>
      </c>
      <c r="O968" t="s">
        <v>143</v>
      </c>
      <c r="P968" t="s">
        <v>144</v>
      </c>
      <c r="Q968">
        <v>3</v>
      </c>
      <c r="R968" t="s">
        <v>1011</v>
      </c>
      <c r="S968" t="s">
        <v>309</v>
      </c>
      <c r="T968" s="52"/>
    </row>
    <row r="969" spans="1:20" x14ac:dyDescent="0.3">
      <c r="A969" t="s">
        <v>53</v>
      </c>
      <c r="B969" s="48">
        <v>46023</v>
      </c>
      <c r="C969" s="26"/>
      <c r="I969" t="s">
        <v>1014</v>
      </c>
      <c r="J969" t="s">
        <v>1015</v>
      </c>
      <c r="K969" t="s">
        <v>59</v>
      </c>
      <c r="L969" t="s">
        <v>43</v>
      </c>
      <c r="M969" t="s">
        <v>475</v>
      </c>
      <c r="N969" t="s">
        <v>59</v>
      </c>
      <c r="O969" t="s">
        <v>143</v>
      </c>
      <c r="P969" t="s">
        <v>144</v>
      </c>
      <c r="Q969">
        <v>4</v>
      </c>
      <c r="R969" t="s">
        <v>1011</v>
      </c>
      <c r="S969" t="s">
        <v>309</v>
      </c>
      <c r="T969" s="52"/>
    </row>
    <row r="970" spans="1:20" x14ac:dyDescent="0.3">
      <c r="A970" t="s">
        <v>53</v>
      </c>
      <c r="B970" s="48">
        <v>46023</v>
      </c>
      <c r="C970" s="26"/>
      <c r="I970" t="s">
        <v>1016</v>
      </c>
      <c r="J970" t="s">
        <v>1017</v>
      </c>
      <c r="K970" t="s">
        <v>59</v>
      </c>
      <c r="L970" t="s">
        <v>43</v>
      </c>
      <c r="M970" t="s">
        <v>587</v>
      </c>
      <c r="N970" t="s">
        <v>59</v>
      </c>
      <c r="O970" t="s">
        <v>143</v>
      </c>
      <c r="P970" t="s">
        <v>144</v>
      </c>
      <c r="Q970">
        <v>400</v>
      </c>
      <c r="R970" t="s">
        <v>1008</v>
      </c>
      <c r="S970" t="s">
        <v>309</v>
      </c>
      <c r="T970" s="52"/>
    </row>
    <row r="971" spans="1:20" x14ac:dyDescent="0.3">
      <c r="A971" t="s">
        <v>53</v>
      </c>
      <c r="B971" s="48">
        <v>46023</v>
      </c>
      <c r="C971" s="26"/>
      <c r="I971" t="s">
        <v>1018</v>
      </c>
      <c r="J971" t="s">
        <v>1019</v>
      </c>
      <c r="K971" t="s">
        <v>749</v>
      </c>
      <c r="L971" t="s">
        <v>43</v>
      </c>
      <c r="M971" t="s">
        <v>1020</v>
      </c>
      <c r="N971" t="s">
        <v>59</v>
      </c>
      <c r="O971" t="s">
        <v>143</v>
      </c>
      <c r="P971" t="s">
        <v>144</v>
      </c>
      <c r="Q971">
        <v>3</v>
      </c>
      <c r="R971" t="s">
        <v>1008</v>
      </c>
      <c r="S971" t="s">
        <v>309</v>
      </c>
      <c r="T971" s="52"/>
    </row>
    <row r="972" spans="1:20" x14ac:dyDescent="0.3">
      <c r="A972" t="s">
        <v>53</v>
      </c>
      <c r="B972" s="48">
        <v>46023</v>
      </c>
      <c r="C972" s="26"/>
      <c r="I972" t="s">
        <v>1021</v>
      </c>
      <c r="J972" t="s">
        <v>1022</v>
      </c>
      <c r="K972" t="s">
        <v>749</v>
      </c>
      <c r="L972" t="s">
        <v>43</v>
      </c>
      <c r="M972" t="s">
        <v>1020</v>
      </c>
      <c r="N972" t="s">
        <v>59</v>
      </c>
      <c r="O972" t="s">
        <v>143</v>
      </c>
      <c r="P972" t="s">
        <v>144</v>
      </c>
      <c r="Q972">
        <v>1</v>
      </c>
      <c r="R972" t="s">
        <v>1008</v>
      </c>
      <c r="S972" t="s">
        <v>309</v>
      </c>
      <c r="T972" s="52"/>
    </row>
    <row r="973" spans="1:20" x14ac:dyDescent="0.3">
      <c r="A973" t="s">
        <v>53</v>
      </c>
      <c r="B973" s="48">
        <v>46023</v>
      </c>
      <c r="C973" s="26"/>
      <c r="I973" t="s">
        <v>1023</v>
      </c>
      <c r="J973" t="s">
        <v>1024</v>
      </c>
      <c r="K973" t="s">
        <v>749</v>
      </c>
      <c r="L973" t="s">
        <v>43</v>
      </c>
      <c r="M973" t="s">
        <v>1020</v>
      </c>
      <c r="N973" t="s">
        <v>59</v>
      </c>
      <c r="O973" t="s">
        <v>143</v>
      </c>
      <c r="P973" t="s">
        <v>144</v>
      </c>
      <c r="Q973">
        <v>2</v>
      </c>
      <c r="R973" t="s">
        <v>1008</v>
      </c>
      <c r="S973" t="s">
        <v>309</v>
      </c>
      <c r="T973" s="52"/>
    </row>
    <row r="974" spans="1:20" x14ac:dyDescent="0.3">
      <c r="A974" t="s">
        <v>53</v>
      </c>
      <c r="B974" s="48">
        <v>46023</v>
      </c>
      <c r="C974" s="26"/>
      <c r="I974" t="s">
        <v>1025</v>
      </c>
      <c r="J974" t="s">
        <v>1026</v>
      </c>
      <c r="K974" t="s">
        <v>59</v>
      </c>
      <c r="L974" t="s">
        <v>43</v>
      </c>
      <c r="M974" t="s">
        <v>475</v>
      </c>
      <c r="N974" t="s">
        <v>59</v>
      </c>
      <c r="O974" t="s">
        <v>60</v>
      </c>
      <c r="P974" t="s">
        <v>144</v>
      </c>
      <c r="Q974">
        <v>16</v>
      </c>
      <c r="R974" t="s">
        <v>1027</v>
      </c>
      <c r="S974" t="s">
        <v>309</v>
      </c>
      <c r="T974" s="52"/>
    </row>
    <row r="975" spans="1:20" x14ac:dyDescent="0.3">
      <c r="A975" t="s">
        <v>53</v>
      </c>
      <c r="B975" s="48">
        <v>46023</v>
      </c>
      <c r="C975" s="26"/>
      <c r="I975" t="s">
        <v>1028</v>
      </c>
      <c r="J975" t="s">
        <v>1029</v>
      </c>
      <c r="K975" t="s">
        <v>59</v>
      </c>
      <c r="L975" t="s">
        <v>43</v>
      </c>
      <c r="M975" t="s">
        <v>475</v>
      </c>
      <c r="N975" t="s">
        <v>59</v>
      </c>
      <c r="O975" t="s">
        <v>60</v>
      </c>
      <c r="P975" t="s">
        <v>144</v>
      </c>
      <c r="Q975">
        <v>8</v>
      </c>
      <c r="R975" t="s">
        <v>1027</v>
      </c>
      <c r="S975" t="s">
        <v>309</v>
      </c>
      <c r="T975" s="52"/>
    </row>
    <row r="976" spans="1:20" x14ac:dyDescent="0.3">
      <c r="A976" t="s">
        <v>53</v>
      </c>
      <c r="B976" s="48">
        <v>46023</v>
      </c>
      <c r="C976" s="26"/>
      <c r="I976" t="s">
        <v>1030</v>
      </c>
      <c r="J976" t="s">
        <v>1031</v>
      </c>
      <c r="K976" t="s">
        <v>59</v>
      </c>
      <c r="L976" t="s">
        <v>43</v>
      </c>
      <c r="M976" t="s">
        <v>475</v>
      </c>
      <c r="N976" t="s">
        <v>59</v>
      </c>
      <c r="O976" t="s">
        <v>60</v>
      </c>
      <c r="P976" t="s">
        <v>144</v>
      </c>
      <c r="Q976">
        <v>3</v>
      </c>
      <c r="R976" t="s">
        <v>1027</v>
      </c>
      <c r="S976" t="s">
        <v>309</v>
      </c>
      <c r="T976" s="52"/>
    </row>
    <row r="977" spans="1:20" x14ac:dyDescent="0.3">
      <c r="A977" t="s">
        <v>53</v>
      </c>
      <c r="B977" s="48">
        <v>46023</v>
      </c>
      <c r="C977" s="26"/>
      <c r="I977" t="s">
        <v>1032</v>
      </c>
      <c r="J977" t="s">
        <v>1033</v>
      </c>
      <c r="K977" t="s">
        <v>59</v>
      </c>
      <c r="L977" t="s">
        <v>43</v>
      </c>
      <c r="M977" t="s">
        <v>475</v>
      </c>
      <c r="N977" t="s">
        <v>59</v>
      </c>
      <c r="O977" t="s">
        <v>116</v>
      </c>
      <c r="P977" t="s">
        <v>61</v>
      </c>
      <c r="Q977">
        <v>19</v>
      </c>
      <c r="R977" t="s">
        <v>1034</v>
      </c>
      <c r="S977" t="s">
        <v>309</v>
      </c>
      <c r="T977" s="52"/>
    </row>
    <row r="978" spans="1:20" x14ac:dyDescent="0.3">
      <c r="A978" t="s">
        <v>53</v>
      </c>
      <c r="B978" s="48">
        <v>46023</v>
      </c>
      <c r="C978" s="26"/>
      <c r="I978" t="s">
        <v>1035</v>
      </c>
      <c r="J978" t="s">
        <v>1036</v>
      </c>
      <c r="K978" t="s">
        <v>59</v>
      </c>
      <c r="L978" t="s">
        <v>43</v>
      </c>
      <c r="M978" t="s">
        <v>475</v>
      </c>
      <c r="N978" t="s">
        <v>59</v>
      </c>
      <c r="O978" t="s">
        <v>60</v>
      </c>
      <c r="P978" t="s">
        <v>61</v>
      </c>
      <c r="Q978">
        <v>12</v>
      </c>
      <c r="R978" t="s">
        <v>1027</v>
      </c>
      <c r="S978" t="s">
        <v>309</v>
      </c>
      <c r="T978" s="52"/>
    </row>
    <row r="979" spans="1:20" x14ac:dyDescent="0.3">
      <c r="A979" t="s">
        <v>53</v>
      </c>
      <c r="B979" s="48">
        <v>46023</v>
      </c>
      <c r="C979" s="26"/>
      <c r="I979" t="s">
        <v>1037</v>
      </c>
      <c r="J979" t="s">
        <v>1038</v>
      </c>
      <c r="K979" t="s">
        <v>1039</v>
      </c>
      <c r="L979" t="s">
        <v>43</v>
      </c>
      <c r="M979" t="s">
        <v>475</v>
      </c>
      <c r="N979" t="s">
        <v>59</v>
      </c>
      <c r="O979" t="s">
        <v>60</v>
      </c>
      <c r="P979" t="s">
        <v>61</v>
      </c>
      <c r="Q979">
        <v>36</v>
      </c>
      <c r="R979" t="s">
        <v>1027</v>
      </c>
      <c r="S979" t="s">
        <v>309</v>
      </c>
      <c r="T979" s="52"/>
    </row>
    <row r="980" spans="1:20" x14ac:dyDescent="0.3">
      <c r="A980" t="s">
        <v>53</v>
      </c>
      <c r="B980" s="48">
        <v>46023</v>
      </c>
      <c r="C980" s="26"/>
      <c r="I980" t="s">
        <v>1040</v>
      </c>
      <c r="J980" t="s">
        <v>1041</v>
      </c>
      <c r="K980" t="s">
        <v>1039</v>
      </c>
      <c r="L980" t="s">
        <v>43</v>
      </c>
      <c r="M980" t="s">
        <v>475</v>
      </c>
      <c r="N980" t="s">
        <v>59</v>
      </c>
      <c r="O980" t="s">
        <v>60</v>
      </c>
      <c r="P980" t="s">
        <v>61</v>
      </c>
      <c r="Q980">
        <v>13</v>
      </c>
      <c r="R980" t="s">
        <v>1027</v>
      </c>
      <c r="S980" t="s">
        <v>309</v>
      </c>
      <c r="T980" s="52"/>
    </row>
    <row r="981" spans="1:20" x14ac:dyDescent="0.3">
      <c r="A981" t="s">
        <v>53</v>
      </c>
      <c r="B981" s="48">
        <v>46023</v>
      </c>
      <c r="C981" s="26"/>
      <c r="I981" t="s">
        <v>1042</v>
      </c>
      <c r="J981" t="s">
        <v>1043</v>
      </c>
      <c r="K981" t="s">
        <v>59</v>
      </c>
      <c r="L981" t="s">
        <v>43</v>
      </c>
      <c r="M981" t="s">
        <v>475</v>
      </c>
      <c r="N981" t="s">
        <v>59</v>
      </c>
      <c r="O981" t="s">
        <v>60</v>
      </c>
      <c r="P981" t="s">
        <v>61</v>
      </c>
      <c r="Q981">
        <v>46</v>
      </c>
      <c r="R981" t="s">
        <v>1027</v>
      </c>
      <c r="S981" t="s">
        <v>309</v>
      </c>
      <c r="T981" s="52"/>
    </row>
    <row r="982" spans="1:20" x14ac:dyDescent="0.3">
      <c r="A982" t="s">
        <v>53</v>
      </c>
      <c r="B982" s="48">
        <v>46023</v>
      </c>
      <c r="C982" s="26"/>
      <c r="I982" t="s">
        <v>1044</v>
      </c>
      <c r="J982" t="s">
        <v>1045</v>
      </c>
      <c r="K982" t="s">
        <v>59</v>
      </c>
      <c r="L982" t="s">
        <v>43</v>
      </c>
      <c r="M982" t="s">
        <v>475</v>
      </c>
      <c r="N982" t="s">
        <v>59</v>
      </c>
      <c r="O982" t="s">
        <v>60</v>
      </c>
      <c r="P982" t="s">
        <v>61</v>
      </c>
      <c r="Q982">
        <v>7</v>
      </c>
      <c r="R982" t="s">
        <v>1027</v>
      </c>
      <c r="S982" t="s">
        <v>309</v>
      </c>
      <c r="T982" s="52"/>
    </row>
    <row r="983" spans="1:20" x14ac:dyDescent="0.3">
      <c r="A983" t="s">
        <v>53</v>
      </c>
      <c r="B983" s="48">
        <v>46023</v>
      </c>
      <c r="C983" s="26"/>
      <c r="I983" t="s">
        <v>1046</v>
      </c>
      <c r="J983" t="s">
        <v>1047</v>
      </c>
      <c r="K983" t="s">
        <v>1039</v>
      </c>
      <c r="L983" t="s">
        <v>43</v>
      </c>
      <c r="M983" t="s">
        <v>475</v>
      </c>
      <c r="N983" t="s">
        <v>59</v>
      </c>
      <c r="O983" t="s">
        <v>60</v>
      </c>
      <c r="P983" t="s">
        <v>61</v>
      </c>
      <c r="Q983">
        <v>3</v>
      </c>
      <c r="R983" t="s">
        <v>1027</v>
      </c>
      <c r="S983" t="s">
        <v>309</v>
      </c>
      <c r="T983" s="52"/>
    </row>
    <row r="984" spans="1:20" x14ac:dyDescent="0.3">
      <c r="A984" t="s">
        <v>53</v>
      </c>
      <c r="B984" s="48">
        <v>46023</v>
      </c>
      <c r="C984" s="26"/>
      <c r="I984" t="s">
        <v>1048</v>
      </c>
      <c r="J984" t="s">
        <v>1049</v>
      </c>
      <c r="K984" t="s">
        <v>1039</v>
      </c>
      <c r="L984" t="s">
        <v>43</v>
      </c>
      <c r="M984" t="s">
        <v>475</v>
      </c>
      <c r="N984" t="s">
        <v>59</v>
      </c>
      <c r="O984" t="s">
        <v>60</v>
      </c>
      <c r="P984" t="s">
        <v>61</v>
      </c>
      <c r="Q984">
        <v>1</v>
      </c>
      <c r="R984" t="s">
        <v>1027</v>
      </c>
      <c r="S984" t="s">
        <v>309</v>
      </c>
      <c r="T984" s="52"/>
    </row>
    <row r="985" spans="1:20" x14ac:dyDescent="0.3">
      <c r="A985" t="s">
        <v>53</v>
      </c>
      <c r="B985" s="48">
        <v>46023</v>
      </c>
      <c r="C985" s="26"/>
      <c r="I985" t="s">
        <v>1050</v>
      </c>
      <c r="J985" t="s">
        <v>1051</v>
      </c>
      <c r="K985" t="s">
        <v>1039</v>
      </c>
      <c r="L985" t="s">
        <v>43</v>
      </c>
      <c r="M985" t="s">
        <v>587</v>
      </c>
      <c r="N985" t="s">
        <v>59</v>
      </c>
      <c r="O985" t="s">
        <v>60</v>
      </c>
      <c r="P985" t="s">
        <v>61</v>
      </c>
      <c r="Q985">
        <v>1</v>
      </c>
      <c r="R985" t="s">
        <v>1052</v>
      </c>
      <c r="S985" t="s">
        <v>309</v>
      </c>
      <c r="T985" s="52"/>
    </row>
    <row r="986" spans="1:20" x14ac:dyDescent="0.3">
      <c r="A986" t="s">
        <v>53</v>
      </c>
      <c r="B986" s="48">
        <v>46023</v>
      </c>
      <c r="C986" s="26"/>
      <c r="I986" t="s">
        <v>1053</v>
      </c>
      <c r="J986" t="s">
        <v>1054</v>
      </c>
      <c r="K986" t="s">
        <v>1055</v>
      </c>
      <c r="L986" t="s">
        <v>43</v>
      </c>
      <c r="M986" t="s">
        <v>587</v>
      </c>
      <c r="N986" t="s">
        <v>59</v>
      </c>
      <c r="O986" t="s">
        <v>60</v>
      </c>
      <c r="P986" t="s">
        <v>61</v>
      </c>
      <c r="Q986">
        <v>36</v>
      </c>
      <c r="R986" t="s">
        <v>1056</v>
      </c>
      <c r="S986" t="s">
        <v>309</v>
      </c>
      <c r="T986" s="52"/>
    </row>
    <row r="987" spans="1:20" x14ac:dyDescent="0.3">
      <c r="A987" t="s">
        <v>53</v>
      </c>
      <c r="B987" s="48">
        <v>46023</v>
      </c>
      <c r="C987" s="26"/>
      <c r="I987" t="s">
        <v>1057</v>
      </c>
      <c r="J987" t="s">
        <v>1058</v>
      </c>
      <c r="K987" t="s">
        <v>1055</v>
      </c>
      <c r="L987" t="s">
        <v>43</v>
      </c>
      <c r="M987" t="s">
        <v>587</v>
      </c>
      <c r="N987" t="s">
        <v>59</v>
      </c>
      <c r="O987" t="s">
        <v>60</v>
      </c>
      <c r="P987" t="s">
        <v>61</v>
      </c>
      <c r="Q987">
        <v>115</v>
      </c>
      <c r="R987" t="s">
        <v>1056</v>
      </c>
      <c r="S987" t="s">
        <v>309</v>
      </c>
      <c r="T987" s="52"/>
    </row>
    <row r="988" spans="1:20" x14ac:dyDescent="0.3">
      <c r="A988" t="s">
        <v>53</v>
      </c>
      <c r="B988" s="48">
        <v>46023</v>
      </c>
      <c r="C988" s="26"/>
      <c r="I988" t="s">
        <v>1059</v>
      </c>
      <c r="J988" t="s">
        <v>1060</v>
      </c>
      <c r="K988" t="s">
        <v>59</v>
      </c>
      <c r="L988" t="s">
        <v>43</v>
      </c>
      <c r="M988" t="s">
        <v>475</v>
      </c>
      <c r="N988" t="s">
        <v>59</v>
      </c>
      <c r="O988" t="s">
        <v>60</v>
      </c>
      <c r="P988" t="s">
        <v>61</v>
      </c>
      <c r="Q988">
        <v>13</v>
      </c>
      <c r="R988" t="s">
        <v>1061</v>
      </c>
      <c r="S988" t="s">
        <v>309</v>
      </c>
      <c r="T988" s="52"/>
    </row>
    <row r="989" spans="1:20" x14ac:dyDescent="0.3">
      <c r="A989" t="s">
        <v>53</v>
      </c>
      <c r="B989" s="48">
        <v>46023</v>
      </c>
      <c r="C989" s="26"/>
      <c r="I989" t="s">
        <v>1062</v>
      </c>
      <c r="J989" t="s">
        <v>1063</v>
      </c>
      <c r="K989" t="s">
        <v>59</v>
      </c>
      <c r="L989" t="s">
        <v>43</v>
      </c>
      <c r="M989" t="s">
        <v>587</v>
      </c>
      <c r="N989" t="s">
        <v>59</v>
      </c>
      <c r="O989" t="s">
        <v>60</v>
      </c>
      <c r="P989" t="s">
        <v>61</v>
      </c>
      <c r="Q989">
        <v>285</v>
      </c>
      <c r="R989" t="s">
        <v>1056</v>
      </c>
      <c r="S989" t="s">
        <v>309</v>
      </c>
      <c r="T989" s="52"/>
    </row>
    <row r="990" spans="1:20" x14ac:dyDescent="0.3">
      <c r="A990" t="s">
        <v>53</v>
      </c>
      <c r="B990" s="48">
        <v>46023</v>
      </c>
      <c r="C990" s="26"/>
      <c r="I990" t="s">
        <v>1064</v>
      </c>
      <c r="J990" t="s">
        <v>1065</v>
      </c>
      <c r="K990" t="s">
        <v>1066</v>
      </c>
      <c r="L990" t="s">
        <v>43</v>
      </c>
      <c r="M990" t="s">
        <v>475</v>
      </c>
      <c r="N990" t="s">
        <v>59</v>
      </c>
      <c r="O990" t="s">
        <v>60</v>
      </c>
      <c r="P990" t="s">
        <v>1067</v>
      </c>
      <c r="Q990">
        <v>2</v>
      </c>
      <c r="R990" t="s">
        <v>1027</v>
      </c>
      <c r="S990" t="s">
        <v>309</v>
      </c>
      <c r="T990" s="52"/>
    </row>
    <row r="991" spans="1:20" x14ac:dyDescent="0.3">
      <c r="A991" t="s">
        <v>53</v>
      </c>
      <c r="B991" s="48">
        <v>46023</v>
      </c>
      <c r="C991" s="26"/>
      <c r="I991" t="s">
        <v>1068</v>
      </c>
      <c r="J991" t="s">
        <v>1069</v>
      </c>
      <c r="K991" t="s">
        <v>59</v>
      </c>
      <c r="L991" t="s">
        <v>43</v>
      </c>
      <c r="M991" t="s">
        <v>475</v>
      </c>
      <c r="N991" t="s">
        <v>59</v>
      </c>
      <c r="O991" t="s">
        <v>60</v>
      </c>
      <c r="P991" t="s">
        <v>61</v>
      </c>
      <c r="Q991">
        <v>4</v>
      </c>
      <c r="R991" t="s">
        <v>1052</v>
      </c>
      <c r="S991" t="s">
        <v>309</v>
      </c>
      <c r="T991" s="52"/>
    </row>
    <row r="992" spans="1:20" x14ac:dyDescent="0.3">
      <c r="A992" t="s">
        <v>53</v>
      </c>
      <c r="B992" s="48">
        <v>46023</v>
      </c>
      <c r="C992" s="26"/>
      <c r="I992" t="s">
        <v>1070</v>
      </c>
      <c r="J992" t="s">
        <v>1071</v>
      </c>
      <c r="K992" t="s">
        <v>59</v>
      </c>
      <c r="L992" t="s">
        <v>43</v>
      </c>
      <c r="M992" t="s">
        <v>587</v>
      </c>
      <c r="N992" t="s">
        <v>59</v>
      </c>
      <c r="O992" t="s">
        <v>60</v>
      </c>
      <c r="P992" t="s">
        <v>61</v>
      </c>
      <c r="Q992">
        <v>3</v>
      </c>
      <c r="R992" t="s">
        <v>1027</v>
      </c>
      <c r="S992" t="s">
        <v>309</v>
      </c>
      <c r="T992" s="52"/>
    </row>
    <row r="993" spans="1:20" x14ac:dyDescent="0.3">
      <c r="A993" t="s">
        <v>53</v>
      </c>
      <c r="B993" s="48">
        <v>46023</v>
      </c>
      <c r="C993" s="26"/>
      <c r="I993" t="s">
        <v>1072</v>
      </c>
      <c r="J993" t="s">
        <v>1073</v>
      </c>
      <c r="K993" t="s">
        <v>1074</v>
      </c>
      <c r="L993" t="s">
        <v>43</v>
      </c>
      <c r="M993" t="s">
        <v>1020</v>
      </c>
      <c r="N993" t="s">
        <v>59</v>
      </c>
      <c r="O993" t="s">
        <v>60</v>
      </c>
      <c r="P993" t="s">
        <v>61</v>
      </c>
      <c r="Q993">
        <v>1</v>
      </c>
      <c r="R993" t="s">
        <v>1052</v>
      </c>
      <c r="S993" t="s">
        <v>309</v>
      </c>
      <c r="T993" s="52"/>
    </row>
    <row r="994" spans="1:20" x14ac:dyDescent="0.3">
      <c r="A994" t="s">
        <v>53</v>
      </c>
      <c r="B994" s="48">
        <v>46023</v>
      </c>
      <c r="C994" s="26"/>
      <c r="I994" t="s">
        <v>1075</v>
      </c>
      <c r="J994" t="s">
        <v>1076</v>
      </c>
      <c r="K994" t="s">
        <v>1077</v>
      </c>
      <c r="L994" t="s">
        <v>43</v>
      </c>
      <c r="M994" t="s">
        <v>1020</v>
      </c>
      <c r="N994" t="s">
        <v>59</v>
      </c>
      <c r="O994" t="s">
        <v>60</v>
      </c>
      <c r="P994" t="s">
        <v>61</v>
      </c>
      <c r="Q994">
        <v>1</v>
      </c>
      <c r="R994" t="s">
        <v>1052</v>
      </c>
      <c r="S994" t="s">
        <v>309</v>
      </c>
      <c r="T994" s="52"/>
    </row>
    <row r="995" spans="1:20" x14ac:dyDescent="0.3">
      <c r="A995" t="s">
        <v>53</v>
      </c>
      <c r="B995" s="48">
        <v>46023</v>
      </c>
      <c r="C995" s="26"/>
      <c r="I995" t="s">
        <v>1078</v>
      </c>
      <c r="J995" t="s">
        <v>1079</v>
      </c>
      <c r="K995" t="s">
        <v>1077</v>
      </c>
      <c r="L995" t="s">
        <v>43</v>
      </c>
      <c r="M995" t="s">
        <v>1020</v>
      </c>
      <c r="N995" t="s">
        <v>59</v>
      </c>
      <c r="O995" t="s">
        <v>60</v>
      </c>
      <c r="P995" t="s">
        <v>61</v>
      </c>
      <c r="Q995">
        <v>4</v>
      </c>
      <c r="R995" t="s">
        <v>1027</v>
      </c>
      <c r="S995" t="s">
        <v>309</v>
      </c>
      <c r="T995" s="52"/>
    </row>
    <row r="996" spans="1:20" x14ac:dyDescent="0.3">
      <c r="A996" t="s">
        <v>53</v>
      </c>
      <c r="B996" s="48">
        <v>46023</v>
      </c>
      <c r="C996" s="26"/>
      <c r="I996" t="s">
        <v>1080</v>
      </c>
      <c r="J996" t="s">
        <v>1081</v>
      </c>
      <c r="K996" t="s">
        <v>59</v>
      </c>
      <c r="L996" t="s">
        <v>43</v>
      </c>
      <c r="M996" t="s">
        <v>475</v>
      </c>
      <c r="N996" t="s">
        <v>59</v>
      </c>
      <c r="O996" t="s">
        <v>60</v>
      </c>
      <c r="P996" t="s">
        <v>106</v>
      </c>
      <c r="Q996">
        <v>6</v>
      </c>
      <c r="R996" t="s">
        <v>1052</v>
      </c>
      <c r="S996" t="s">
        <v>309</v>
      </c>
      <c r="T996" s="52"/>
    </row>
    <row r="997" spans="1:20" x14ac:dyDescent="0.3">
      <c r="A997" t="s">
        <v>53</v>
      </c>
      <c r="B997" s="48">
        <v>46023</v>
      </c>
      <c r="C997" s="26"/>
      <c r="I997" t="s">
        <v>1082</v>
      </c>
      <c r="J997" t="s">
        <v>1083</v>
      </c>
      <c r="K997" t="s">
        <v>1084</v>
      </c>
      <c r="L997" t="s">
        <v>43</v>
      </c>
      <c r="M997" t="s">
        <v>687</v>
      </c>
      <c r="N997" t="s">
        <v>59</v>
      </c>
      <c r="O997" t="s">
        <v>60</v>
      </c>
      <c r="P997" t="s">
        <v>144</v>
      </c>
      <c r="Q997">
        <v>1</v>
      </c>
      <c r="R997" t="s">
        <v>1052</v>
      </c>
      <c r="S997" t="s">
        <v>309</v>
      </c>
      <c r="T997" s="52"/>
    </row>
    <row r="998" spans="1:20" x14ac:dyDescent="0.3">
      <c r="A998" t="s">
        <v>53</v>
      </c>
      <c r="B998" s="48">
        <v>46023</v>
      </c>
      <c r="C998" s="26"/>
      <c r="I998" t="s">
        <v>1085</v>
      </c>
      <c r="J998" t="s">
        <v>1086</v>
      </c>
      <c r="K998" t="s">
        <v>1074</v>
      </c>
      <c r="L998" t="s">
        <v>43</v>
      </c>
      <c r="M998" t="s">
        <v>687</v>
      </c>
      <c r="N998" t="s">
        <v>59</v>
      </c>
      <c r="O998" t="s">
        <v>60</v>
      </c>
      <c r="P998" t="s">
        <v>144</v>
      </c>
      <c r="Q998">
        <v>1</v>
      </c>
      <c r="R998" t="s">
        <v>1034</v>
      </c>
      <c r="S998" t="s">
        <v>309</v>
      </c>
      <c r="T998" s="52"/>
    </row>
    <row r="999" spans="1:20" x14ac:dyDescent="0.3">
      <c r="A999" t="s">
        <v>53</v>
      </c>
      <c r="B999" s="48">
        <v>46023</v>
      </c>
      <c r="C999" s="26"/>
      <c r="I999" t="s">
        <v>1087</v>
      </c>
      <c r="J999" t="s">
        <v>1088</v>
      </c>
      <c r="K999" t="s">
        <v>59</v>
      </c>
      <c r="L999" t="s">
        <v>43</v>
      </c>
      <c r="M999" t="s">
        <v>475</v>
      </c>
      <c r="N999" t="s">
        <v>59</v>
      </c>
      <c r="O999" t="s">
        <v>60</v>
      </c>
      <c r="P999" t="s">
        <v>61</v>
      </c>
      <c r="Q999">
        <v>23</v>
      </c>
      <c r="R999" t="s">
        <v>1061</v>
      </c>
      <c r="S999" t="s">
        <v>309</v>
      </c>
      <c r="T999" s="52"/>
    </row>
    <row r="1000" spans="1:20" x14ac:dyDescent="0.3">
      <c r="A1000" t="s">
        <v>53</v>
      </c>
      <c r="B1000" s="48">
        <v>46023</v>
      </c>
      <c r="C1000" s="26"/>
      <c r="I1000" t="s">
        <v>1089</v>
      </c>
      <c r="J1000" t="s">
        <v>1090</v>
      </c>
      <c r="K1000" t="s">
        <v>59</v>
      </c>
      <c r="L1000" t="s">
        <v>43</v>
      </c>
      <c r="M1000" t="s">
        <v>475</v>
      </c>
      <c r="N1000" t="s">
        <v>59</v>
      </c>
      <c r="O1000" t="s">
        <v>60</v>
      </c>
      <c r="P1000" t="s">
        <v>61</v>
      </c>
      <c r="Q1000">
        <v>2</v>
      </c>
      <c r="R1000" t="s">
        <v>1061</v>
      </c>
      <c r="S1000" t="s">
        <v>309</v>
      </c>
      <c r="T1000" s="52"/>
    </row>
    <row r="1001" spans="1:20" x14ac:dyDescent="0.3">
      <c r="A1001" t="s">
        <v>53</v>
      </c>
      <c r="B1001" s="48">
        <v>46023</v>
      </c>
      <c r="C1001" s="26"/>
      <c r="I1001" t="s">
        <v>1091</v>
      </c>
      <c r="J1001" t="s">
        <v>1092</v>
      </c>
      <c r="K1001" t="s">
        <v>59</v>
      </c>
      <c r="L1001" t="s">
        <v>43</v>
      </c>
      <c r="M1001" t="s">
        <v>475</v>
      </c>
      <c r="N1001" t="s">
        <v>59</v>
      </c>
      <c r="O1001" t="s">
        <v>60</v>
      </c>
      <c r="P1001" t="s">
        <v>61</v>
      </c>
      <c r="Q1001">
        <v>6</v>
      </c>
      <c r="R1001" t="s">
        <v>1061</v>
      </c>
      <c r="S1001" t="s">
        <v>309</v>
      </c>
      <c r="T1001" s="52"/>
    </row>
    <row r="1002" spans="1:20" x14ac:dyDescent="0.3">
      <c r="A1002" t="s">
        <v>53</v>
      </c>
      <c r="B1002" s="48">
        <v>46023</v>
      </c>
      <c r="C1002" s="26"/>
      <c r="I1002" t="s">
        <v>1093</v>
      </c>
      <c r="J1002" t="s">
        <v>1094</v>
      </c>
      <c r="K1002" t="s">
        <v>59</v>
      </c>
      <c r="L1002" t="s">
        <v>43</v>
      </c>
      <c r="M1002" t="s">
        <v>587</v>
      </c>
      <c r="N1002" t="s">
        <v>59</v>
      </c>
      <c r="O1002" t="s">
        <v>60</v>
      </c>
      <c r="P1002" t="s">
        <v>61</v>
      </c>
      <c r="Q1002">
        <v>108</v>
      </c>
      <c r="R1002" t="s">
        <v>1056</v>
      </c>
      <c r="S1002" t="s">
        <v>309</v>
      </c>
      <c r="T1002" s="52"/>
    </row>
    <row r="1003" spans="1:20" x14ac:dyDescent="0.3">
      <c r="A1003" t="s">
        <v>53</v>
      </c>
      <c r="B1003" s="48">
        <v>46023</v>
      </c>
      <c r="C1003" s="26"/>
      <c r="I1003" t="s">
        <v>1095</v>
      </c>
      <c r="J1003" t="s">
        <v>1096</v>
      </c>
      <c r="K1003" t="s">
        <v>59</v>
      </c>
      <c r="L1003" t="s">
        <v>43</v>
      </c>
      <c r="M1003" t="s">
        <v>587</v>
      </c>
      <c r="N1003" t="s">
        <v>59</v>
      </c>
      <c r="O1003" t="s">
        <v>60</v>
      </c>
      <c r="P1003" t="s">
        <v>61</v>
      </c>
      <c r="Q1003">
        <v>31</v>
      </c>
      <c r="R1003" t="s">
        <v>1056</v>
      </c>
      <c r="S1003" t="s">
        <v>309</v>
      </c>
      <c r="T1003" s="52"/>
    </row>
    <row r="1004" spans="1:20" x14ac:dyDescent="0.3">
      <c r="A1004" t="s">
        <v>53</v>
      </c>
      <c r="B1004" s="48">
        <v>46023</v>
      </c>
      <c r="C1004" s="26"/>
      <c r="I1004" t="s">
        <v>1097</v>
      </c>
      <c r="J1004" t="s">
        <v>1098</v>
      </c>
      <c r="K1004" t="s">
        <v>1099</v>
      </c>
      <c r="L1004" t="s">
        <v>43</v>
      </c>
      <c r="M1004" t="s">
        <v>1100</v>
      </c>
      <c r="N1004" t="s">
        <v>59</v>
      </c>
      <c r="O1004" t="s">
        <v>143</v>
      </c>
      <c r="P1004" t="s">
        <v>144</v>
      </c>
      <c r="Q1004">
        <v>4</v>
      </c>
      <c r="R1004" t="s">
        <v>1101</v>
      </c>
      <c r="S1004" t="s">
        <v>309</v>
      </c>
      <c r="T1004" s="52"/>
    </row>
    <row r="1005" spans="1:20" x14ac:dyDescent="0.3">
      <c r="A1005" t="s">
        <v>53</v>
      </c>
      <c r="B1005" s="48">
        <v>46023</v>
      </c>
      <c r="C1005" s="26"/>
      <c r="I1005" t="s">
        <v>1102</v>
      </c>
      <c r="J1005" t="s">
        <v>1103</v>
      </c>
      <c r="K1005" t="s">
        <v>1099</v>
      </c>
      <c r="L1005" t="s">
        <v>43</v>
      </c>
      <c r="M1005" t="s">
        <v>1100</v>
      </c>
      <c r="N1005" t="s">
        <v>59</v>
      </c>
      <c r="O1005" t="s">
        <v>116</v>
      </c>
      <c r="P1005" t="s">
        <v>144</v>
      </c>
      <c r="Q1005">
        <v>6</v>
      </c>
      <c r="R1005" t="s">
        <v>1101</v>
      </c>
      <c r="S1005" t="s">
        <v>309</v>
      </c>
      <c r="T1005" s="52"/>
    </row>
    <row r="1006" spans="1:20" x14ac:dyDescent="0.3">
      <c r="A1006" t="s">
        <v>53</v>
      </c>
      <c r="B1006" s="48">
        <v>46023</v>
      </c>
      <c r="C1006" s="26"/>
      <c r="I1006" t="s">
        <v>1104</v>
      </c>
      <c r="J1006" t="s">
        <v>1103</v>
      </c>
      <c r="K1006" t="s">
        <v>1099</v>
      </c>
      <c r="L1006" t="s">
        <v>43</v>
      </c>
      <c r="M1006" t="s">
        <v>1100</v>
      </c>
      <c r="N1006" t="s">
        <v>59</v>
      </c>
      <c r="O1006" t="s">
        <v>143</v>
      </c>
      <c r="P1006" t="s">
        <v>144</v>
      </c>
      <c r="Q1006">
        <v>2</v>
      </c>
      <c r="R1006" t="s">
        <v>1101</v>
      </c>
      <c r="S1006" t="s">
        <v>309</v>
      </c>
      <c r="T1006" s="52"/>
    </row>
    <row r="1007" spans="1:20" x14ac:dyDescent="0.3">
      <c r="A1007" t="s">
        <v>53</v>
      </c>
      <c r="B1007" s="48">
        <v>46023</v>
      </c>
      <c r="C1007" s="26"/>
      <c r="I1007" t="s">
        <v>1105</v>
      </c>
      <c r="J1007" t="s">
        <v>1106</v>
      </c>
      <c r="K1007" t="s">
        <v>1099</v>
      </c>
      <c r="L1007" t="s">
        <v>43</v>
      </c>
      <c r="M1007" t="s">
        <v>1100</v>
      </c>
      <c r="N1007" t="s">
        <v>59</v>
      </c>
      <c r="O1007" t="s">
        <v>143</v>
      </c>
      <c r="P1007" t="s">
        <v>144</v>
      </c>
      <c r="Q1007">
        <v>13</v>
      </c>
      <c r="R1007" t="s">
        <v>1101</v>
      </c>
      <c r="S1007" t="s">
        <v>309</v>
      </c>
      <c r="T1007" s="52"/>
    </row>
    <row r="1008" spans="1:20" x14ac:dyDescent="0.3">
      <c r="A1008" t="s">
        <v>53</v>
      </c>
      <c r="B1008" s="48">
        <v>46023</v>
      </c>
      <c r="C1008" s="26"/>
      <c r="I1008" t="s">
        <v>1107</v>
      </c>
      <c r="J1008" t="s">
        <v>1108</v>
      </c>
      <c r="K1008" t="s">
        <v>59</v>
      </c>
      <c r="L1008" t="s">
        <v>43</v>
      </c>
      <c r="M1008" t="s">
        <v>1100</v>
      </c>
      <c r="N1008">
        <v>10205</v>
      </c>
      <c r="O1008" t="s">
        <v>143</v>
      </c>
      <c r="P1008" t="s">
        <v>144</v>
      </c>
      <c r="Q1008">
        <v>1</v>
      </c>
      <c r="R1008" t="s">
        <v>1101</v>
      </c>
      <c r="S1008" t="s">
        <v>309</v>
      </c>
      <c r="T1008" s="52"/>
    </row>
    <row r="1009" spans="1:20" x14ac:dyDescent="0.3">
      <c r="A1009" t="s">
        <v>53</v>
      </c>
      <c r="B1009" s="48">
        <v>46023</v>
      </c>
      <c r="C1009" s="26"/>
      <c r="I1009" t="s">
        <v>1109</v>
      </c>
      <c r="J1009" t="s">
        <v>1108</v>
      </c>
      <c r="K1009" t="s">
        <v>59</v>
      </c>
      <c r="L1009" t="s">
        <v>43</v>
      </c>
      <c r="M1009" t="s">
        <v>1100</v>
      </c>
      <c r="N1009">
        <v>10208</v>
      </c>
      <c r="O1009" t="s">
        <v>143</v>
      </c>
      <c r="P1009" t="s">
        <v>144</v>
      </c>
      <c r="Q1009">
        <v>1</v>
      </c>
      <c r="R1009" t="s">
        <v>1101</v>
      </c>
      <c r="S1009" t="s">
        <v>309</v>
      </c>
      <c r="T1009" s="52"/>
    </row>
    <row r="1010" spans="1:20" x14ac:dyDescent="0.3">
      <c r="A1010" t="s">
        <v>53</v>
      </c>
      <c r="B1010" s="48">
        <v>46023</v>
      </c>
      <c r="C1010" s="26"/>
      <c r="I1010" t="s">
        <v>1110</v>
      </c>
      <c r="J1010" t="s">
        <v>1108</v>
      </c>
      <c r="K1010" t="s">
        <v>59</v>
      </c>
      <c r="L1010" t="s">
        <v>43</v>
      </c>
      <c r="M1010" t="s">
        <v>1100</v>
      </c>
      <c r="N1010">
        <v>10211</v>
      </c>
      <c r="O1010" t="s">
        <v>143</v>
      </c>
      <c r="P1010" t="s">
        <v>144</v>
      </c>
      <c r="Q1010">
        <v>1</v>
      </c>
      <c r="R1010" t="s">
        <v>1101</v>
      </c>
      <c r="S1010" t="s">
        <v>309</v>
      </c>
      <c r="T1010" s="52"/>
    </row>
    <row r="1011" spans="1:20" x14ac:dyDescent="0.3">
      <c r="A1011" t="s">
        <v>53</v>
      </c>
      <c r="B1011" s="48">
        <v>46023</v>
      </c>
      <c r="C1011" s="26"/>
      <c r="I1011" t="s">
        <v>1111</v>
      </c>
      <c r="J1011" t="s">
        <v>1108</v>
      </c>
      <c r="K1011" t="s">
        <v>59</v>
      </c>
      <c r="L1011" t="s">
        <v>43</v>
      </c>
      <c r="M1011" t="s">
        <v>1100</v>
      </c>
      <c r="N1011">
        <v>10207</v>
      </c>
      <c r="O1011" t="s">
        <v>143</v>
      </c>
      <c r="P1011" t="s">
        <v>144</v>
      </c>
      <c r="Q1011">
        <v>1</v>
      </c>
      <c r="R1011" t="s">
        <v>1101</v>
      </c>
      <c r="S1011" t="s">
        <v>309</v>
      </c>
      <c r="T1011" s="52"/>
    </row>
    <row r="1012" spans="1:20" x14ac:dyDescent="0.3">
      <c r="A1012" t="s">
        <v>53</v>
      </c>
      <c r="B1012" s="48">
        <v>46023</v>
      </c>
      <c r="C1012" s="26"/>
      <c r="I1012" t="s">
        <v>1112</v>
      </c>
      <c r="J1012" t="s">
        <v>1108</v>
      </c>
      <c r="K1012" t="s">
        <v>59</v>
      </c>
      <c r="L1012" t="s">
        <v>43</v>
      </c>
      <c r="M1012" t="s">
        <v>1100</v>
      </c>
      <c r="N1012">
        <v>10206</v>
      </c>
      <c r="O1012" t="s">
        <v>143</v>
      </c>
      <c r="P1012" t="s">
        <v>144</v>
      </c>
      <c r="Q1012">
        <v>1</v>
      </c>
      <c r="R1012" t="s">
        <v>1101</v>
      </c>
      <c r="S1012" t="s">
        <v>309</v>
      </c>
      <c r="T1012" s="52"/>
    </row>
    <row r="1013" spans="1:20" x14ac:dyDescent="0.3">
      <c r="A1013" t="s">
        <v>53</v>
      </c>
      <c r="B1013" s="48">
        <v>46023</v>
      </c>
      <c r="C1013" s="26"/>
      <c r="I1013" t="s">
        <v>1113</v>
      </c>
      <c r="J1013" t="s">
        <v>1108</v>
      </c>
      <c r="K1013" t="s">
        <v>59</v>
      </c>
      <c r="L1013" t="s">
        <v>43</v>
      </c>
      <c r="M1013" t="s">
        <v>1100</v>
      </c>
      <c r="N1013">
        <v>10215</v>
      </c>
      <c r="O1013" t="s">
        <v>143</v>
      </c>
      <c r="P1013" t="s">
        <v>144</v>
      </c>
      <c r="Q1013">
        <v>1</v>
      </c>
      <c r="R1013" t="s">
        <v>1101</v>
      </c>
      <c r="S1013" t="s">
        <v>309</v>
      </c>
      <c r="T1013" s="52"/>
    </row>
    <row r="1014" spans="1:20" x14ac:dyDescent="0.3">
      <c r="A1014" t="s">
        <v>53</v>
      </c>
      <c r="B1014" s="48">
        <v>46023</v>
      </c>
      <c r="C1014" s="26"/>
      <c r="I1014" t="s">
        <v>1114</v>
      </c>
      <c r="J1014" t="s">
        <v>1108</v>
      </c>
      <c r="K1014" t="s">
        <v>59</v>
      </c>
      <c r="L1014" t="s">
        <v>43</v>
      </c>
      <c r="M1014" t="s">
        <v>1100</v>
      </c>
      <c r="N1014">
        <v>10200</v>
      </c>
      <c r="O1014" t="s">
        <v>143</v>
      </c>
      <c r="P1014" t="s">
        <v>144</v>
      </c>
      <c r="Q1014">
        <v>1</v>
      </c>
      <c r="R1014" t="s">
        <v>1101</v>
      </c>
      <c r="S1014" t="s">
        <v>309</v>
      </c>
      <c r="T1014" s="52"/>
    </row>
    <row r="1015" spans="1:20" x14ac:dyDescent="0.3">
      <c r="A1015" t="s">
        <v>53</v>
      </c>
      <c r="B1015" s="48">
        <v>46023</v>
      </c>
      <c r="C1015" s="26"/>
      <c r="I1015" t="s">
        <v>1115</v>
      </c>
      <c r="J1015" t="s">
        <v>1108</v>
      </c>
      <c r="K1015" t="s">
        <v>59</v>
      </c>
      <c r="L1015" t="s">
        <v>43</v>
      </c>
      <c r="M1015" t="s">
        <v>1100</v>
      </c>
      <c r="N1015">
        <v>10212</v>
      </c>
      <c r="O1015" t="s">
        <v>143</v>
      </c>
      <c r="P1015" t="s">
        <v>144</v>
      </c>
      <c r="Q1015">
        <v>1</v>
      </c>
      <c r="R1015" t="s">
        <v>1101</v>
      </c>
      <c r="S1015" t="s">
        <v>309</v>
      </c>
      <c r="T1015" s="52"/>
    </row>
    <row r="1016" spans="1:20" x14ac:dyDescent="0.3">
      <c r="A1016" t="s">
        <v>53</v>
      </c>
      <c r="B1016" s="48">
        <v>46023</v>
      </c>
      <c r="C1016" s="26"/>
      <c r="I1016" t="s">
        <v>1116</v>
      </c>
      <c r="J1016" t="s">
        <v>1108</v>
      </c>
      <c r="K1016" t="s">
        <v>59</v>
      </c>
      <c r="L1016" t="s">
        <v>43</v>
      </c>
      <c r="M1016" t="s">
        <v>1100</v>
      </c>
      <c r="N1016">
        <v>10201</v>
      </c>
      <c r="O1016" t="s">
        <v>143</v>
      </c>
      <c r="P1016" t="s">
        <v>144</v>
      </c>
      <c r="Q1016">
        <v>1</v>
      </c>
      <c r="R1016" t="s">
        <v>1101</v>
      </c>
      <c r="S1016" t="s">
        <v>309</v>
      </c>
      <c r="T1016" s="52"/>
    </row>
    <row r="1017" spans="1:20" x14ac:dyDescent="0.3">
      <c r="A1017" t="s">
        <v>53</v>
      </c>
      <c r="B1017" s="48">
        <v>46023</v>
      </c>
      <c r="C1017" s="26"/>
      <c r="I1017" t="s">
        <v>1117</v>
      </c>
      <c r="J1017" t="s">
        <v>1108</v>
      </c>
      <c r="K1017" t="s">
        <v>59</v>
      </c>
      <c r="L1017" t="s">
        <v>43</v>
      </c>
      <c r="M1017" t="s">
        <v>1100</v>
      </c>
      <c r="N1017">
        <v>3589</v>
      </c>
      <c r="O1017" t="s">
        <v>116</v>
      </c>
      <c r="P1017" t="s">
        <v>144</v>
      </c>
      <c r="Q1017">
        <v>1</v>
      </c>
      <c r="R1017" t="s">
        <v>1101</v>
      </c>
      <c r="S1017" t="s">
        <v>309</v>
      </c>
      <c r="T1017" s="52"/>
    </row>
    <row r="1018" spans="1:20" x14ac:dyDescent="0.3">
      <c r="A1018" t="s">
        <v>53</v>
      </c>
      <c r="B1018" s="48">
        <v>46023</v>
      </c>
      <c r="C1018" s="26"/>
      <c r="I1018" t="s">
        <v>1118</v>
      </c>
      <c r="J1018" t="s">
        <v>1119</v>
      </c>
      <c r="K1018" t="s">
        <v>59</v>
      </c>
      <c r="L1018" t="s">
        <v>43</v>
      </c>
      <c r="M1018" t="s">
        <v>1100</v>
      </c>
      <c r="N1018" t="s">
        <v>59</v>
      </c>
      <c r="O1018" t="s">
        <v>116</v>
      </c>
      <c r="P1018" t="s">
        <v>144</v>
      </c>
      <c r="Q1018">
        <v>1</v>
      </c>
      <c r="R1018" t="s">
        <v>1101</v>
      </c>
      <c r="S1018" t="s">
        <v>309</v>
      </c>
      <c r="T1018" s="52"/>
    </row>
    <row r="1019" spans="1:20" x14ac:dyDescent="0.3">
      <c r="A1019" t="s">
        <v>53</v>
      </c>
      <c r="B1019" s="48">
        <v>46023</v>
      </c>
      <c r="C1019" s="26"/>
      <c r="I1019" t="s">
        <v>1120</v>
      </c>
      <c r="J1019" t="s">
        <v>1121</v>
      </c>
      <c r="K1019" t="s">
        <v>1122</v>
      </c>
      <c r="L1019" t="s">
        <v>43</v>
      </c>
      <c r="M1019" t="s">
        <v>1100</v>
      </c>
      <c r="N1019" t="s">
        <v>59</v>
      </c>
      <c r="O1019" t="s">
        <v>116</v>
      </c>
      <c r="P1019" t="s">
        <v>144</v>
      </c>
      <c r="Q1019">
        <v>2</v>
      </c>
      <c r="R1019" t="s">
        <v>1101</v>
      </c>
      <c r="S1019" t="s">
        <v>309</v>
      </c>
      <c r="T1019" s="52"/>
    </row>
    <row r="1020" spans="1:20" x14ac:dyDescent="0.3">
      <c r="A1020" t="s">
        <v>53</v>
      </c>
      <c r="B1020" s="48">
        <v>46023</v>
      </c>
      <c r="C1020" s="26"/>
      <c r="I1020" t="s">
        <v>1123</v>
      </c>
      <c r="J1020" t="s">
        <v>1124</v>
      </c>
      <c r="K1020" t="s">
        <v>1122</v>
      </c>
      <c r="L1020" t="s">
        <v>43</v>
      </c>
      <c r="M1020" t="s">
        <v>1100</v>
      </c>
      <c r="N1020" t="s">
        <v>59</v>
      </c>
      <c r="O1020" t="s">
        <v>116</v>
      </c>
      <c r="P1020" t="s">
        <v>144</v>
      </c>
      <c r="Q1020">
        <v>27</v>
      </c>
      <c r="R1020" t="s">
        <v>1101</v>
      </c>
      <c r="S1020" t="s">
        <v>309</v>
      </c>
      <c r="T1020" s="52"/>
    </row>
    <row r="1021" spans="1:20" x14ac:dyDescent="0.3">
      <c r="A1021" t="s">
        <v>53</v>
      </c>
      <c r="B1021" s="48">
        <v>46023</v>
      </c>
      <c r="C1021" s="26"/>
      <c r="I1021" t="s">
        <v>1125</v>
      </c>
      <c r="J1021" t="s">
        <v>1126</v>
      </c>
      <c r="K1021" t="s">
        <v>1127</v>
      </c>
      <c r="L1021" t="s">
        <v>43</v>
      </c>
      <c r="M1021" t="s">
        <v>1100</v>
      </c>
      <c r="N1021" t="s">
        <v>59</v>
      </c>
      <c r="O1021" t="s">
        <v>116</v>
      </c>
      <c r="P1021" t="s">
        <v>144</v>
      </c>
      <c r="Q1021">
        <v>2</v>
      </c>
      <c r="R1021" t="s">
        <v>1101</v>
      </c>
      <c r="S1021" t="s">
        <v>309</v>
      </c>
      <c r="T1021" s="52"/>
    </row>
    <row r="1022" spans="1:20" x14ac:dyDescent="0.3">
      <c r="A1022" t="s">
        <v>53</v>
      </c>
      <c r="B1022" s="48">
        <v>46023</v>
      </c>
      <c r="C1022" s="26"/>
      <c r="I1022" t="s">
        <v>1128</v>
      </c>
      <c r="J1022" t="s">
        <v>1129</v>
      </c>
      <c r="K1022" t="s">
        <v>59</v>
      </c>
      <c r="L1022" t="s">
        <v>43</v>
      </c>
      <c r="M1022" t="s">
        <v>1100</v>
      </c>
      <c r="N1022" t="s">
        <v>59</v>
      </c>
      <c r="O1022" t="s">
        <v>116</v>
      </c>
      <c r="P1022" t="s">
        <v>144</v>
      </c>
      <c r="Q1022">
        <v>1</v>
      </c>
      <c r="R1022" t="s">
        <v>1101</v>
      </c>
      <c r="S1022" t="s">
        <v>309</v>
      </c>
      <c r="T1022" s="52"/>
    </row>
    <row r="1023" spans="1:20" x14ac:dyDescent="0.3">
      <c r="A1023" t="s">
        <v>53</v>
      </c>
      <c r="B1023" s="48">
        <v>46023</v>
      </c>
      <c r="C1023" s="26"/>
      <c r="I1023" t="s">
        <v>1130</v>
      </c>
      <c r="J1023" t="s">
        <v>1131</v>
      </c>
      <c r="K1023" t="s">
        <v>59</v>
      </c>
      <c r="L1023" t="s">
        <v>43</v>
      </c>
      <c r="M1023" t="s">
        <v>1100</v>
      </c>
      <c r="N1023" t="s">
        <v>59</v>
      </c>
      <c r="O1023" t="s">
        <v>143</v>
      </c>
      <c r="P1023" t="s">
        <v>144</v>
      </c>
      <c r="Q1023">
        <v>5</v>
      </c>
      <c r="R1023" t="s">
        <v>1101</v>
      </c>
      <c r="S1023" t="s">
        <v>309</v>
      </c>
      <c r="T1023" s="52"/>
    </row>
    <row r="1024" spans="1:20" x14ac:dyDescent="0.3">
      <c r="A1024" t="s">
        <v>53</v>
      </c>
      <c r="B1024" s="48">
        <v>46023</v>
      </c>
      <c r="C1024" s="26"/>
      <c r="I1024" t="s">
        <v>1132</v>
      </c>
      <c r="J1024" t="s">
        <v>1133</v>
      </c>
      <c r="K1024" t="s">
        <v>59</v>
      </c>
      <c r="L1024" t="s">
        <v>43</v>
      </c>
      <c r="M1024" t="s">
        <v>1100</v>
      </c>
      <c r="N1024" t="s">
        <v>1134</v>
      </c>
      <c r="O1024" t="s">
        <v>143</v>
      </c>
      <c r="P1024" t="s">
        <v>144</v>
      </c>
      <c r="Q1024">
        <v>1</v>
      </c>
      <c r="R1024" t="s">
        <v>1101</v>
      </c>
      <c r="S1024" t="s">
        <v>309</v>
      </c>
      <c r="T1024" s="52"/>
    </row>
    <row r="1025" spans="1:20" x14ac:dyDescent="0.3">
      <c r="A1025" t="s">
        <v>53</v>
      </c>
      <c r="B1025" s="48">
        <v>46023</v>
      </c>
      <c r="C1025" s="26"/>
      <c r="I1025" t="s">
        <v>1135</v>
      </c>
      <c r="J1025" t="s">
        <v>1133</v>
      </c>
      <c r="K1025" t="s">
        <v>59</v>
      </c>
      <c r="L1025" t="s">
        <v>43</v>
      </c>
      <c r="M1025" t="s">
        <v>1100</v>
      </c>
      <c r="N1025" t="s">
        <v>1136</v>
      </c>
      <c r="O1025" t="s">
        <v>143</v>
      </c>
      <c r="P1025" t="s">
        <v>144</v>
      </c>
      <c r="Q1025">
        <v>1</v>
      </c>
      <c r="R1025" t="s">
        <v>1101</v>
      </c>
      <c r="S1025" t="s">
        <v>309</v>
      </c>
      <c r="T1025" s="52"/>
    </row>
    <row r="1026" spans="1:20" x14ac:dyDescent="0.3">
      <c r="A1026" t="s">
        <v>53</v>
      </c>
      <c r="B1026" s="48">
        <v>46023</v>
      </c>
      <c r="C1026" s="26"/>
      <c r="I1026" t="s">
        <v>1137</v>
      </c>
      <c r="J1026" t="s">
        <v>1133</v>
      </c>
      <c r="K1026" t="s">
        <v>59</v>
      </c>
      <c r="L1026" t="s">
        <v>43</v>
      </c>
      <c r="M1026" t="s">
        <v>1100</v>
      </c>
      <c r="N1026" t="s">
        <v>1138</v>
      </c>
      <c r="O1026" t="s">
        <v>143</v>
      </c>
      <c r="P1026" t="s">
        <v>144</v>
      </c>
      <c r="Q1026">
        <v>1</v>
      </c>
      <c r="R1026" t="s">
        <v>1101</v>
      </c>
      <c r="S1026" t="s">
        <v>309</v>
      </c>
      <c r="T1026" s="52"/>
    </row>
    <row r="1027" spans="1:20" x14ac:dyDescent="0.3">
      <c r="A1027" t="s">
        <v>53</v>
      </c>
      <c r="B1027" s="48">
        <v>46023</v>
      </c>
      <c r="C1027" s="26"/>
      <c r="I1027" t="s">
        <v>1139</v>
      </c>
      <c r="J1027" t="s">
        <v>1140</v>
      </c>
      <c r="K1027" t="s">
        <v>59</v>
      </c>
      <c r="L1027" t="s">
        <v>43</v>
      </c>
      <c r="M1027" t="s">
        <v>1100</v>
      </c>
      <c r="N1027" t="s">
        <v>59</v>
      </c>
      <c r="O1027" t="s">
        <v>143</v>
      </c>
      <c r="P1027" t="s">
        <v>144</v>
      </c>
      <c r="Q1027">
        <v>1</v>
      </c>
      <c r="R1027" t="s">
        <v>1101</v>
      </c>
      <c r="S1027" t="s">
        <v>309</v>
      </c>
      <c r="T1027" s="52"/>
    </row>
    <row r="1028" spans="1:20" x14ac:dyDescent="0.3">
      <c r="A1028" t="s">
        <v>53</v>
      </c>
      <c r="B1028" s="48">
        <v>46023</v>
      </c>
      <c r="C1028" s="26"/>
      <c r="I1028" t="s">
        <v>1141</v>
      </c>
      <c r="J1028" t="s">
        <v>1142</v>
      </c>
      <c r="K1028" t="s">
        <v>1143</v>
      </c>
      <c r="L1028" t="s">
        <v>43</v>
      </c>
      <c r="M1028" t="s">
        <v>1100</v>
      </c>
      <c r="N1028" t="s">
        <v>59</v>
      </c>
      <c r="O1028" t="s">
        <v>143</v>
      </c>
      <c r="P1028" t="s">
        <v>144</v>
      </c>
      <c r="Q1028">
        <v>24</v>
      </c>
      <c r="R1028" t="s">
        <v>1101</v>
      </c>
      <c r="S1028" t="s">
        <v>309</v>
      </c>
      <c r="T1028" s="52"/>
    </row>
    <row r="1029" spans="1:20" x14ac:dyDescent="0.3">
      <c r="A1029" t="s">
        <v>53</v>
      </c>
      <c r="B1029" s="48">
        <v>46023</v>
      </c>
      <c r="C1029" s="26"/>
      <c r="I1029" t="s">
        <v>1144</v>
      </c>
      <c r="J1029" t="s">
        <v>1145</v>
      </c>
      <c r="K1029" t="s">
        <v>1146</v>
      </c>
      <c r="L1029" t="s">
        <v>43</v>
      </c>
      <c r="M1029" t="s">
        <v>1100</v>
      </c>
      <c r="N1029" t="s">
        <v>59</v>
      </c>
      <c r="O1029" t="s">
        <v>116</v>
      </c>
      <c r="P1029" t="s">
        <v>144</v>
      </c>
      <c r="Q1029">
        <v>1</v>
      </c>
      <c r="R1029" t="s">
        <v>1101</v>
      </c>
      <c r="S1029" t="s">
        <v>309</v>
      </c>
      <c r="T1029" s="52"/>
    </row>
    <row r="1030" spans="1:20" x14ac:dyDescent="0.3">
      <c r="A1030" t="s">
        <v>53</v>
      </c>
      <c r="B1030" s="48">
        <v>46023</v>
      </c>
      <c r="C1030" s="26"/>
      <c r="I1030" t="s">
        <v>1147</v>
      </c>
      <c r="J1030" t="s">
        <v>1148</v>
      </c>
      <c r="K1030" t="s">
        <v>1143</v>
      </c>
      <c r="L1030" t="s">
        <v>43</v>
      </c>
      <c r="M1030" t="s">
        <v>1100</v>
      </c>
      <c r="N1030" t="s">
        <v>59</v>
      </c>
      <c r="O1030" t="s">
        <v>116</v>
      </c>
      <c r="P1030" t="s">
        <v>144</v>
      </c>
      <c r="Q1030">
        <v>4</v>
      </c>
      <c r="R1030" t="s">
        <v>1101</v>
      </c>
      <c r="S1030" t="s">
        <v>309</v>
      </c>
      <c r="T1030" s="52"/>
    </row>
    <row r="1031" spans="1:20" x14ac:dyDescent="0.3">
      <c r="A1031" t="s">
        <v>53</v>
      </c>
      <c r="B1031" s="48">
        <v>46023</v>
      </c>
      <c r="C1031" s="26"/>
      <c r="I1031" t="s">
        <v>1149</v>
      </c>
      <c r="J1031" t="s">
        <v>1148</v>
      </c>
      <c r="K1031" t="s">
        <v>1143</v>
      </c>
      <c r="L1031" t="s">
        <v>43</v>
      </c>
      <c r="M1031" t="s">
        <v>1100</v>
      </c>
      <c r="N1031" t="s">
        <v>59</v>
      </c>
      <c r="O1031" t="s">
        <v>143</v>
      </c>
      <c r="P1031" t="s">
        <v>144</v>
      </c>
      <c r="Q1031">
        <v>1</v>
      </c>
      <c r="R1031" t="s">
        <v>1101</v>
      </c>
      <c r="S1031" t="s">
        <v>309</v>
      </c>
      <c r="T1031" s="52"/>
    </row>
    <row r="1032" spans="1:20" x14ac:dyDescent="0.3">
      <c r="A1032" t="s">
        <v>53</v>
      </c>
      <c r="B1032" s="48">
        <v>46023</v>
      </c>
      <c r="C1032" s="26"/>
      <c r="I1032" t="s">
        <v>1150</v>
      </c>
      <c r="J1032" t="s">
        <v>1151</v>
      </c>
      <c r="K1032" t="s">
        <v>59</v>
      </c>
      <c r="L1032" t="s">
        <v>43</v>
      </c>
      <c r="M1032" t="s">
        <v>1100</v>
      </c>
      <c r="N1032" t="s">
        <v>59</v>
      </c>
      <c r="O1032" t="s">
        <v>116</v>
      </c>
      <c r="P1032" t="s">
        <v>144</v>
      </c>
      <c r="Q1032">
        <v>8</v>
      </c>
      <c r="R1032" t="s">
        <v>1101</v>
      </c>
      <c r="S1032" t="s">
        <v>309</v>
      </c>
      <c r="T1032" s="52"/>
    </row>
    <row r="1033" spans="1:20" x14ac:dyDescent="0.3">
      <c r="A1033" t="s">
        <v>53</v>
      </c>
      <c r="B1033" s="48">
        <v>46023</v>
      </c>
      <c r="C1033" s="26"/>
      <c r="I1033" t="s">
        <v>1152</v>
      </c>
      <c r="J1033" t="s">
        <v>1151</v>
      </c>
      <c r="K1033" t="s">
        <v>59</v>
      </c>
      <c r="L1033" t="s">
        <v>43</v>
      </c>
      <c r="M1033" t="s">
        <v>1100</v>
      </c>
      <c r="N1033" t="s">
        <v>59</v>
      </c>
      <c r="O1033" t="s">
        <v>116</v>
      </c>
      <c r="P1033" t="s">
        <v>144</v>
      </c>
      <c r="Q1033">
        <v>2</v>
      </c>
      <c r="R1033" t="s">
        <v>1101</v>
      </c>
      <c r="S1033" t="s">
        <v>309</v>
      </c>
      <c r="T1033" s="52"/>
    </row>
    <row r="1034" spans="1:20" x14ac:dyDescent="0.3">
      <c r="A1034" t="s">
        <v>53</v>
      </c>
      <c r="B1034" s="48">
        <v>46023</v>
      </c>
      <c r="C1034" s="26"/>
      <c r="I1034" t="s">
        <v>1153</v>
      </c>
      <c r="J1034" t="s">
        <v>1154</v>
      </c>
      <c r="K1034" t="s">
        <v>1155</v>
      </c>
      <c r="L1034" t="s">
        <v>43</v>
      </c>
      <c r="M1034" t="s">
        <v>1100</v>
      </c>
      <c r="N1034" t="s">
        <v>59</v>
      </c>
      <c r="O1034" t="s">
        <v>143</v>
      </c>
      <c r="P1034" t="s">
        <v>144</v>
      </c>
      <c r="Q1034">
        <v>1</v>
      </c>
      <c r="R1034" t="s">
        <v>1101</v>
      </c>
      <c r="S1034" t="s">
        <v>309</v>
      </c>
      <c r="T1034" s="52"/>
    </row>
    <row r="1035" spans="1:20" x14ac:dyDescent="0.3">
      <c r="A1035" t="s">
        <v>53</v>
      </c>
      <c r="B1035" s="48">
        <v>46023</v>
      </c>
      <c r="C1035" s="26"/>
      <c r="I1035" t="s">
        <v>1156</v>
      </c>
      <c r="J1035" t="s">
        <v>1157</v>
      </c>
      <c r="K1035" t="s">
        <v>1155</v>
      </c>
      <c r="L1035" t="s">
        <v>43</v>
      </c>
      <c r="M1035" t="s">
        <v>1100</v>
      </c>
      <c r="N1035" t="s">
        <v>59</v>
      </c>
      <c r="O1035" t="s">
        <v>116</v>
      </c>
      <c r="P1035" t="s">
        <v>144</v>
      </c>
      <c r="Q1035">
        <v>1</v>
      </c>
      <c r="R1035" t="s">
        <v>1101</v>
      </c>
      <c r="S1035" t="s">
        <v>309</v>
      </c>
      <c r="T1035" s="52"/>
    </row>
    <row r="1036" spans="1:20" x14ac:dyDescent="0.3">
      <c r="A1036" t="s">
        <v>53</v>
      </c>
      <c r="B1036" s="48">
        <v>46023</v>
      </c>
      <c r="C1036" s="26"/>
      <c r="I1036" t="s">
        <v>1158</v>
      </c>
      <c r="J1036" t="s">
        <v>1159</v>
      </c>
      <c r="K1036" t="s">
        <v>1160</v>
      </c>
      <c r="L1036" t="s">
        <v>43</v>
      </c>
      <c r="M1036" t="s">
        <v>1100</v>
      </c>
      <c r="N1036" t="s">
        <v>59</v>
      </c>
      <c r="O1036" t="s">
        <v>116</v>
      </c>
      <c r="P1036" t="s">
        <v>144</v>
      </c>
      <c r="Q1036">
        <v>2</v>
      </c>
      <c r="R1036" t="s">
        <v>1101</v>
      </c>
      <c r="S1036" t="s">
        <v>309</v>
      </c>
      <c r="T1036" s="52"/>
    </row>
    <row r="1037" spans="1:20" x14ac:dyDescent="0.3">
      <c r="A1037" t="s">
        <v>53</v>
      </c>
      <c r="B1037" s="48">
        <v>46023</v>
      </c>
      <c r="C1037" s="26"/>
      <c r="I1037" t="s">
        <v>1161</v>
      </c>
      <c r="J1037" t="s">
        <v>1162</v>
      </c>
      <c r="K1037" t="s">
        <v>1163</v>
      </c>
      <c r="L1037" t="s">
        <v>43</v>
      </c>
      <c r="M1037" t="s">
        <v>1100</v>
      </c>
      <c r="N1037" t="s">
        <v>59</v>
      </c>
      <c r="O1037" t="s">
        <v>143</v>
      </c>
      <c r="P1037" t="s">
        <v>144</v>
      </c>
      <c r="Q1037">
        <v>2</v>
      </c>
      <c r="R1037" t="s">
        <v>1101</v>
      </c>
      <c r="S1037" t="s">
        <v>309</v>
      </c>
      <c r="T1037" s="52"/>
    </row>
    <row r="1038" spans="1:20" x14ac:dyDescent="0.3">
      <c r="A1038" t="s">
        <v>53</v>
      </c>
      <c r="B1038" s="48">
        <v>46023</v>
      </c>
      <c r="C1038" s="26"/>
      <c r="I1038" t="s">
        <v>1164</v>
      </c>
      <c r="J1038" t="s">
        <v>1165</v>
      </c>
      <c r="K1038" t="s">
        <v>1166</v>
      </c>
      <c r="L1038" t="s">
        <v>43</v>
      </c>
      <c r="M1038" t="s">
        <v>1100</v>
      </c>
      <c r="N1038" t="s">
        <v>59</v>
      </c>
      <c r="O1038" t="s">
        <v>143</v>
      </c>
      <c r="P1038" t="s">
        <v>144</v>
      </c>
      <c r="Q1038">
        <v>3</v>
      </c>
      <c r="R1038" t="s">
        <v>1101</v>
      </c>
      <c r="S1038" t="s">
        <v>309</v>
      </c>
      <c r="T1038" s="52"/>
    </row>
    <row r="1039" spans="1:20" x14ac:dyDescent="0.3">
      <c r="A1039" t="s">
        <v>53</v>
      </c>
      <c r="B1039" s="48">
        <v>46023</v>
      </c>
      <c r="C1039" s="26"/>
      <c r="I1039" t="s">
        <v>1167</v>
      </c>
      <c r="J1039" t="s">
        <v>1165</v>
      </c>
      <c r="K1039" t="s">
        <v>1166</v>
      </c>
      <c r="L1039" t="s">
        <v>43</v>
      </c>
      <c r="M1039" t="s">
        <v>1100</v>
      </c>
      <c r="N1039" t="s">
        <v>59</v>
      </c>
      <c r="O1039" t="s">
        <v>116</v>
      </c>
      <c r="P1039" t="s">
        <v>144</v>
      </c>
      <c r="Q1039">
        <v>10</v>
      </c>
      <c r="R1039" t="s">
        <v>1101</v>
      </c>
      <c r="S1039" t="s">
        <v>309</v>
      </c>
      <c r="T1039" s="52"/>
    </row>
    <row r="1040" spans="1:20" x14ac:dyDescent="0.3">
      <c r="A1040" t="s">
        <v>53</v>
      </c>
      <c r="B1040" s="48">
        <v>46023</v>
      </c>
      <c r="C1040" s="26"/>
      <c r="I1040" t="s">
        <v>1168</v>
      </c>
      <c r="J1040" t="s">
        <v>1169</v>
      </c>
      <c r="K1040" t="s">
        <v>1170</v>
      </c>
      <c r="L1040" t="s">
        <v>43</v>
      </c>
      <c r="M1040" t="s">
        <v>1100</v>
      </c>
      <c r="N1040" t="s">
        <v>59</v>
      </c>
      <c r="O1040" t="s">
        <v>116</v>
      </c>
      <c r="P1040" t="s">
        <v>144</v>
      </c>
      <c r="Q1040">
        <v>4</v>
      </c>
      <c r="R1040" t="s">
        <v>1101</v>
      </c>
      <c r="S1040" t="s">
        <v>309</v>
      </c>
      <c r="T1040" s="52"/>
    </row>
    <row r="1041" spans="1:20" x14ac:dyDescent="0.3">
      <c r="A1041" t="s">
        <v>53</v>
      </c>
      <c r="B1041" s="48">
        <v>46023</v>
      </c>
      <c r="C1041" s="26"/>
      <c r="I1041" t="s">
        <v>1171</v>
      </c>
      <c r="J1041" t="s">
        <v>1172</v>
      </c>
      <c r="K1041" t="s">
        <v>1173</v>
      </c>
      <c r="L1041" t="s">
        <v>43</v>
      </c>
      <c r="M1041" t="s">
        <v>1100</v>
      </c>
      <c r="N1041">
        <v>82602</v>
      </c>
      <c r="O1041" t="s">
        <v>143</v>
      </c>
      <c r="P1041" t="s">
        <v>144</v>
      </c>
      <c r="Q1041">
        <v>1</v>
      </c>
      <c r="R1041" t="s">
        <v>1101</v>
      </c>
      <c r="S1041" t="s">
        <v>309</v>
      </c>
      <c r="T1041" s="52"/>
    </row>
    <row r="1042" spans="1:20" x14ac:dyDescent="0.3">
      <c r="A1042" t="s">
        <v>53</v>
      </c>
      <c r="B1042" s="48">
        <v>46023</v>
      </c>
      <c r="C1042" s="26"/>
      <c r="I1042" t="s">
        <v>1174</v>
      </c>
      <c r="J1042" t="s">
        <v>1175</v>
      </c>
      <c r="K1042" t="s">
        <v>1176</v>
      </c>
      <c r="L1042" t="s">
        <v>43</v>
      </c>
      <c r="M1042" t="s">
        <v>1100</v>
      </c>
      <c r="N1042" t="s">
        <v>1177</v>
      </c>
      <c r="O1042" t="s">
        <v>143</v>
      </c>
      <c r="P1042" t="s">
        <v>144</v>
      </c>
      <c r="Q1042">
        <v>1</v>
      </c>
      <c r="R1042" t="s">
        <v>1101</v>
      </c>
      <c r="S1042" t="s">
        <v>309</v>
      </c>
      <c r="T1042" s="52"/>
    </row>
    <row r="1043" spans="1:20" x14ac:dyDescent="0.3">
      <c r="A1043" t="s">
        <v>53</v>
      </c>
      <c r="B1043" s="48">
        <v>46023</v>
      </c>
      <c r="C1043" s="26"/>
      <c r="I1043" t="s">
        <v>1178</v>
      </c>
      <c r="J1043" t="s">
        <v>1179</v>
      </c>
      <c r="K1043" t="s">
        <v>1180</v>
      </c>
      <c r="L1043" t="s">
        <v>43</v>
      </c>
      <c r="M1043" t="s">
        <v>1100</v>
      </c>
      <c r="N1043" t="s">
        <v>59</v>
      </c>
      <c r="O1043" t="s">
        <v>143</v>
      </c>
      <c r="P1043" t="s">
        <v>144</v>
      </c>
      <c r="Q1043">
        <v>2</v>
      </c>
      <c r="R1043" t="s">
        <v>1101</v>
      </c>
      <c r="S1043" t="s">
        <v>309</v>
      </c>
      <c r="T1043" s="52"/>
    </row>
    <row r="1044" spans="1:20" x14ac:dyDescent="0.3">
      <c r="A1044" t="s">
        <v>53</v>
      </c>
      <c r="B1044" s="48">
        <v>46023</v>
      </c>
      <c r="C1044" s="26"/>
      <c r="I1044" t="s">
        <v>1181</v>
      </c>
      <c r="J1044" t="s">
        <v>1179</v>
      </c>
      <c r="K1044" t="s">
        <v>1180</v>
      </c>
      <c r="L1044" t="s">
        <v>43</v>
      </c>
      <c r="M1044" t="s">
        <v>1100</v>
      </c>
      <c r="N1044" t="s">
        <v>59</v>
      </c>
      <c r="O1044" t="s">
        <v>116</v>
      </c>
      <c r="P1044" t="s">
        <v>144</v>
      </c>
      <c r="Q1044">
        <v>1</v>
      </c>
      <c r="R1044" t="s">
        <v>1101</v>
      </c>
      <c r="S1044" t="s">
        <v>309</v>
      </c>
      <c r="T1044" s="52"/>
    </row>
    <row r="1045" spans="1:20" x14ac:dyDescent="0.3">
      <c r="A1045" t="s">
        <v>53</v>
      </c>
      <c r="B1045" s="48">
        <v>46023</v>
      </c>
      <c r="C1045" s="26"/>
      <c r="I1045" t="s">
        <v>1182</v>
      </c>
      <c r="J1045" t="s">
        <v>1183</v>
      </c>
      <c r="K1045" t="s">
        <v>1180</v>
      </c>
      <c r="L1045" t="s">
        <v>43</v>
      </c>
      <c r="M1045" t="s">
        <v>1100</v>
      </c>
      <c r="N1045" t="s">
        <v>59</v>
      </c>
      <c r="O1045" t="s">
        <v>143</v>
      </c>
      <c r="P1045" t="s">
        <v>144</v>
      </c>
      <c r="Q1045">
        <v>2</v>
      </c>
      <c r="R1045" t="s">
        <v>1101</v>
      </c>
      <c r="S1045" t="s">
        <v>309</v>
      </c>
      <c r="T1045" s="52"/>
    </row>
    <row r="1046" spans="1:20" x14ac:dyDescent="0.3">
      <c r="A1046" t="s">
        <v>53</v>
      </c>
      <c r="B1046" s="48">
        <v>46023</v>
      </c>
      <c r="C1046" s="26"/>
      <c r="I1046" t="s">
        <v>1184</v>
      </c>
      <c r="J1046" t="s">
        <v>1185</v>
      </c>
      <c r="K1046" t="s">
        <v>59</v>
      </c>
      <c r="L1046" t="s">
        <v>43</v>
      </c>
      <c r="M1046" t="s">
        <v>466</v>
      </c>
      <c r="N1046" t="s">
        <v>59</v>
      </c>
      <c r="O1046" t="s">
        <v>143</v>
      </c>
      <c r="P1046" t="s">
        <v>144</v>
      </c>
      <c r="Q1046">
        <v>1</v>
      </c>
      <c r="R1046" t="s">
        <v>1186</v>
      </c>
      <c r="S1046" t="s">
        <v>309</v>
      </c>
      <c r="T1046" s="52"/>
    </row>
    <row r="1047" spans="1:20" x14ac:dyDescent="0.3">
      <c r="A1047" t="s">
        <v>53</v>
      </c>
      <c r="B1047" s="48">
        <v>46023</v>
      </c>
      <c r="C1047" s="26"/>
      <c r="I1047" t="s">
        <v>1187</v>
      </c>
      <c r="J1047" t="s">
        <v>1188</v>
      </c>
      <c r="K1047" t="s">
        <v>59</v>
      </c>
      <c r="L1047" t="s">
        <v>43</v>
      </c>
      <c r="M1047" t="s">
        <v>466</v>
      </c>
      <c r="N1047" t="s">
        <v>59</v>
      </c>
      <c r="O1047" t="s">
        <v>143</v>
      </c>
      <c r="P1047" t="s">
        <v>144</v>
      </c>
      <c r="Q1047">
        <v>1</v>
      </c>
      <c r="R1047" t="s">
        <v>1186</v>
      </c>
      <c r="S1047" t="s">
        <v>309</v>
      </c>
      <c r="T1047" s="52"/>
    </row>
    <row r="1048" spans="1:20" x14ac:dyDescent="0.3">
      <c r="A1048" t="s">
        <v>53</v>
      </c>
      <c r="B1048" s="48">
        <v>46023</v>
      </c>
      <c r="C1048" s="26"/>
      <c r="I1048" t="s">
        <v>1189</v>
      </c>
      <c r="J1048" t="s">
        <v>1190</v>
      </c>
      <c r="K1048" t="s">
        <v>1191</v>
      </c>
      <c r="L1048" t="s">
        <v>43</v>
      </c>
      <c r="M1048" t="s">
        <v>466</v>
      </c>
      <c r="N1048" t="s">
        <v>59</v>
      </c>
      <c r="O1048" t="s">
        <v>143</v>
      </c>
      <c r="P1048" t="s">
        <v>144</v>
      </c>
      <c r="Q1048">
        <v>1</v>
      </c>
      <c r="R1048" t="s">
        <v>1186</v>
      </c>
      <c r="S1048" t="s">
        <v>309</v>
      </c>
      <c r="T1048" s="52"/>
    </row>
    <row r="1049" spans="1:20" x14ac:dyDescent="0.3">
      <c r="A1049" t="s">
        <v>53</v>
      </c>
      <c r="B1049" s="48">
        <v>46023</v>
      </c>
      <c r="C1049" s="26"/>
      <c r="I1049" t="s">
        <v>1192</v>
      </c>
      <c r="J1049" t="s">
        <v>1193</v>
      </c>
      <c r="K1049" t="s">
        <v>59</v>
      </c>
      <c r="L1049" t="s">
        <v>43</v>
      </c>
      <c r="M1049" t="s">
        <v>466</v>
      </c>
      <c r="N1049" t="s">
        <v>59</v>
      </c>
      <c r="O1049" t="s">
        <v>143</v>
      </c>
      <c r="P1049" t="s">
        <v>144</v>
      </c>
      <c r="Q1049">
        <v>1</v>
      </c>
      <c r="R1049" t="s">
        <v>1186</v>
      </c>
      <c r="S1049" t="s">
        <v>309</v>
      </c>
      <c r="T1049" s="52"/>
    </row>
    <row r="1050" spans="1:20" x14ac:dyDescent="0.3">
      <c r="A1050" t="s">
        <v>53</v>
      </c>
      <c r="B1050" s="48">
        <v>46023</v>
      </c>
      <c r="C1050" s="26"/>
      <c r="I1050" t="s">
        <v>1194</v>
      </c>
      <c r="J1050" t="s">
        <v>1195</v>
      </c>
      <c r="K1050" t="s">
        <v>59</v>
      </c>
      <c r="L1050" t="s">
        <v>43</v>
      </c>
      <c r="M1050" t="s">
        <v>466</v>
      </c>
      <c r="N1050" t="s">
        <v>59</v>
      </c>
      <c r="O1050" t="s">
        <v>143</v>
      </c>
      <c r="P1050" t="s">
        <v>144</v>
      </c>
      <c r="Q1050">
        <v>1</v>
      </c>
      <c r="R1050" t="s">
        <v>1186</v>
      </c>
      <c r="S1050" t="s">
        <v>309</v>
      </c>
      <c r="T1050" s="52"/>
    </row>
    <row r="1051" spans="1:20" x14ac:dyDescent="0.3">
      <c r="A1051" t="s">
        <v>53</v>
      </c>
      <c r="B1051" s="48">
        <v>46023</v>
      </c>
      <c r="C1051" s="26"/>
      <c r="I1051" t="s">
        <v>1196</v>
      </c>
      <c r="J1051" t="s">
        <v>1197</v>
      </c>
      <c r="K1051" t="s">
        <v>59</v>
      </c>
      <c r="L1051" t="s">
        <v>43</v>
      </c>
      <c r="M1051" t="s">
        <v>466</v>
      </c>
      <c r="N1051" t="s">
        <v>59</v>
      </c>
      <c r="O1051" t="s">
        <v>143</v>
      </c>
      <c r="P1051" t="s">
        <v>144</v>
      </c>
      <c r="Q1051">
        <v>8</v>
      </c>
      <c r="R1051" t="s">
        <v>1186</v>
      </c>
      <c r="S1051" t="s">
        <v>309</v>
      </c>
      <c r="T1051" s="52"/>
    </row>
    <row r="1052" spans="1:20" x14ac:dyDescent="0.3">
      <c r="A1052" t="s">
        <v>53</v>
      </c>
      <c r="B1052" s="48">
        <v>46023</v>
      </c>
      <c r="C1052" s="26"/>
      <c r="I1052" t="s">
        <v>1198</v>
      </c>
      <c r="J1052" t="s">
        <v>1199</v>
      </c>
      <c r="K1052" t="s">
        <v>59</v>
      </c>
      <c r="L1052" t="s">
        <v>43</v>
      </c>
      <c r="M1052" t="s">
        <v>466</v>
      </c>
      <c r="N1052" t="s">
        <v>1200</v>
      </c>
      <c r="O1052" t="s">
        <v>143</v>
      </c>
      <c r="P1052" t="s">
        <v>144</v>
      </c>
      <c r="Q1052">
        <v>1</v>
      </c>
      <c r="R1052" t="s">
        <v>1186</v>
      </c>
      <c r="S1052" t="s">
        <v>309</v>
      </c>
      <c r="T1052" s="52"/>
    </row>
    <row r="1053" spans="1:20" x14ac:dyDescent="0.3">
      <c r="A1053" t="s">
        <v>53</v>
      </c>
      <c r="B1053" s="48">
        <v>46023</v>
      </c>
      <c r="C1053" s="26"/>
      <c r="I1053" t="s">
        <v>1201</v>
      </c>
      <c r="J1053" t="s">
        <v>1202</v>
      </c>
      <c r="K1053" t="s">
        <v>59</v>
      </c>
      <c r="L1053" t="s">
        <v>43</v>
      </c>
      <c r="M1053" t="s">
        <v>466</v>
      </c>
      <c r="N1053" t="s">
        <v>59</v>
      </c>
      <c r="O1053" t="s">
        <v>143</v>
      </c>
      <c r="P1053" t="s">
        <v>144</v>
      </c>
      <c r="Q1053">
        <v>4</v>
      </c>
      <c r="R1053" t="s">
        <v>1186</v>
      </c>
      <c r="S1053" t="s">
        <v>309</v>
      </c>
      <c r="T1053" s="52"/>
    </row>
    <row r="1054" spans="1:20" x14ac:dyDescent="0.3">
      <c r="A1054" t="s">
        <v>53</v>
      </c>
      <c r="B1054" s="48">
        <v>46023</v>
      </c>
      <c r="C1054" s="26"/>
      <c r="I1054" t="s">
        <v>1203</v>
      </c>
      <c r="J1054" t="s">
        <v>1204</v>
      </c>
      <c r="K1054" t="s">
        <v>59</v>
      </c>
      <c r="L1054" t="s">
        <v>43</v>
      </c>
      <c r="M1054" t="s">
        <v>466</v>
      </c>
      <c r="N1054" t="s">
        <v>59</v>
      </c>
      <c r="O1054" t="s">
        <v>143</v>
      </c>
      <c r="P1054" t="s">
        <v>144</v>
      </c>
      <c r="Q1054">
        <v>3</v>
      </c>
      <c r="R1054" t="s">
        <v>1186</v>
      </c>
      <c r="S1054" t="s">
        <v>309</v>
      </c>
      <c r="T1054" s="52"/>
    </row>
    <row r="1055" spans="1:20" x14ac:dyDescent="0.3">
      <c r="A1055" t="s">
        <v>53</v>
      </c>
      <c r="B1055" s="48">
        <v>46023</v>
      </c>
      <c r="C1055" s="26"/>
      <c r="I1055" t="s">
        <v>1205</v>
      </c>
      <c r="J1055" t="s">
        <v>1206</v>
      </c>
      <c r="K1055" t="s">
        <v>59</v>
      </c>
      <c r="L1055" t="s">
        <v>43</v>
      </c>
      <c r="M1055" t="s">
        <v>466</v>
      </c>
      <c r="N1055" t="s">
        <v>59</v>
      </c>
      <c r="O1055" t="s">
        <v>143</v>
      </c>
      <c r="P1055" t="s">
        <v>144</v>
      </c>
      <c r="Q1055">
        <v>4</v>
      </c>
      <c r="R1055" t="s">
        <v>1186</v>
      </c>
      <c r="S1055" t="s">
        <v>309</v>
      </c>
      <c r="T1055" s="52"/>
    </row>
    <row r="1056" spans="1:20" x14ac:dyDescent="0.3">
      <c r="A1056" t="s">
        <v>53</v>
      </c>
      <c r="B1056" s="48">
        <v>46023</v>
      </c>
      <c r="C1056" s="26"/>
      <c r="I1056" t="s">
        <v>1207</v>
      </c>
      <c r="J1056" t="s">
        <v>1208</v>
      </c>
      <c r="K1056" t="s">
        <v>1209</v>
      </c>
      <c r="L1056" t="s">
        <v>43</v>
      </c>
      <c r="M1056" t="s">
        <v>466</v>
      </c>
      <c r="N1056" t="s">
        <v>59</v>
      </c>
      <c r="O1056" t="s">
        <v>143</v>
      </c>
      <c r="P1056" t="s">
        <v>144</v>
      </c>
      <c r="Q1056">
        <v>1</v>
      </c>
      <c r="R1056" t="s">
        <v>1186</v>
      </c>
      <c r="S1056" t="s">
        <v>309</v>
      </c>
      <c r="T1056" s="52"/>
    </row>
    <row r="1057" spans="1:20" x14ac:dyDescent="0.3">
      <c r="A1057" t="s">
        <v>53</v>
      </c>
      <c r="B1057" s="48">
        <v>46023</v>
      </c>
      <c r="C1057" s="26"/>
      <c r="I1057" t="s">
        <v>1210</v>
      </c>
      <c r="J1057" t="s">
        <v>1211</v>
      </c>
      <c r="K1057" t="s">
        <v>1212</v>
      </c>
      <c r="L1057" t="s">
        <v>43</v>
      </c>
      <c r="M1057" t="s">
        <v>466</v>
      </c>
      <c r="N1057" t="s">
        <v>1213</v>
      </c>
      <c r="O1057" t="s">
        <v>143</v>
      </c>
      <c r="P1057" t="s">
        <v>144</v>
      </c>
      <c r="Q1057">
        <v>1</v>
      </c>
      <c r="R1057" t="s">
        <v>1186</v>
      </c>
      <c r="S1057" t="s">
        <v>309</v>
      </c>
      <c r="T1057" s="52"/>
    </row>
    <row r="1058" spans="1:20" x14ac:dyDescent="0.3">
      <c r="A1058" t="s">
        <v>53</v>
      </c>
      <c r="B1058" s="48">
        <v>46023</v>
      </c>
      <c r="C1058" s="26"/>
      <c r="I1058" t="s">
        <v>1214</v>
      </c>
      <c r="J1058" t="s">
        <v>1215</v>
      </c>
      <c r="K1058" t="s">
        <v>59</v>
      </c>
      <c r="L1058" t="s">
        <v>43</v>
      </c>
      <c r="M1058" t="s">
        <v>466</v>
      </c>
      <c r="N1058" t="s">
        <v>59</v>
      </c>
      <c r="O1058" t="s">
        <v>143</v>
      </c>
      <c r="P1058" t="s">
        <v>144</v>
      </c>
      <c r="Q1058">
        <v>10</v>
      </c>
      <c r="R1058" t="s">
        <v>1186</v>
      </c>
      <c r="S1058" t="s">
        <v>309</v>
      </c>
      <c r="T1058" s="52"/>
    </row>
    <row r="1059" spans="1:20" x14ac:dyDescent="0.3">
      <c r="A1059" t="s">
        <v>53</v>
      </c>
      <c r="B1059" s="48">
        <v>46023</v>
      </c>
      <c r="C1059" s="26"/>
      <c r="I1059" t="s">
        <v>1216</v>
      </c>
      <c r="J1059" t="s">
        <v>1217</v>
      </c>
      <c r="K1059" t="s">
        <v>1218</v>
      </c>
      <c r="L1059" t="s">
        <v>43</v>
      </c>
      <c r="M1059" t="s">
        <v>466</v>
      </c>
      <c r="N1059" t="s">
        <v>59</v>
      </c>
      <c r="O1059" t="s">
        <v>143</v>
      </c>
      <c r="P1059" t="s">
        <v>144</v>
      </c>
      <c r="Q1059">
        <v>1</v>
      </c>
      <c r="R1059" t="s">
        <v>1186</v>
      </c>
      <c r="S1059" t="s">
        <v>309</v>
      </c>
      <c r="T1059" s="52"/>
    </row>
    <row r="1060" spans="1:20" x14ac:dyDescent="0.3">
      <c r="A1060" t="s">
        <v>53</v>
      </c>
      <c r="B1060" s="48">
        <v>46023</v>
      </c>
      <c r="C1060" s="26"/>
      <c r="I1060" t="s">
        <v>1219</v>
      </c>
      <c r="J1060" t="s">
        <v>1220</v>
      </c>
      <c r="K1060" t="s">
        <v>59</v>
      </c>
      <c r="L1060" t="s">
        <v>43</v>
      </c>
      <c r="M1060" t="s">
        <v>466</v>
      </c>
      <c r="N1060" t="s">
        <v>59</v>
      </c>
      <c r="O1060" t="s">
        <v>143</v>
      </c>
      <c r="P1060" t="s">
        <v>144</v>
      </c>
      <c r="Q1060">
        <v>5</v>
      </c>
      <c r="R1060" t="s">
        <v>1186</v>
      </c>
      <c r="S1060" t="s">
        <v>309</v>
      </c>
      <c r="T1060" s="52"/>
    </row>
    <row r="1061" spans="1:20" x14ac:dyDescent="0.3">
      <c r="A1061" t="s">
        <v>53</v>
      </c>
      <c r="B1061" s="48">
        <v>46023</v>
      </c>
      <c r="C1061" s="26"/>
      <c r="I1061" t="s">
        <v>1221</v>
      </c>
      <c r="J1061" t="s">
        <v>1222</v>
      </c>
      <c r="K1061" t="s">
        <v>59</v>
      </c>
      <c r="L1061" t="s">
        <v>43</v>
      </c>
      <c r="M1061" t="s">
        <v>466</v>
      </c>
      <c r="N1061" t="s">
        <v>59</v>
      </c>
      <c r="O1061" t="s">
        <v>143</v>
      </c>
      <c r="P1061" t="s">
        <v>144</v>
      </c>
      <c r="Q1061">
        <v>4</v>
      </c>
      <c r="R1061" t="s">
        <v>1186</v>
      </c>
      <c r="S1061" t="s">
        <v>309</v>
      </c>
      <c r="T1061" s="52"/>
    </row>
    <row r="1062" spans="1:20" x14ac:dyDescent="0.3">
      <c r="A1062" t="s">
        <v>53</v>
      </c>
      <c r="B1062" s="48">
        <v>46023</v>
      </c>
      <c r="C1062" s="26"/>
      <c r="I1062" t="s">
        <v>1223</v>
      </c>
      <c r="J1062" t="s">
        <v>1224</v>
      </c>
      <c r="K1062" t="s">
        <v>1225</v>
      </c>
      <c r="L1062" t="s">
        <v>43</v>
      </c>
      <c r="M1062" t="s">
        <v>466</v>
      </c>
      <c r="N1062" t="s">
        <v>59</v>
      </c>
      <c r="O1062" t="s">
        <v>143</v>
      </c>
      <c r="P1062" t="s">
        <v>106</v>
      </c>
      <c r="Q1062">
        <v>1</v>
      </c>
      <c r="R1062" t="s">
        <v>1186</v>
      </c>
      <c r="S1062" t="s">
        <v>309</v>
      </c>
      <c r="T1062" s="52"/>
    </row>
    <row r="1063" spans="1:20" x14ac:dyDescent="0.3">
      <c r="A1063" t="s">
        <v>53</v>
      </c>
      <c r="B1063" s="48">
        <v>46023</v>
      </c>
      <c r="C1063" s="26"/>
      <c r="I1063" t="s">
        <v>1226</v>
      </c>
      <c r="J1063" t="s">
        <v>1227</v>
      </c>
      <c r="K1063" t="s">
        <v>59</v>
      </c>
      <c r="L1063" t="s">
        <v>43</v>
      </c>
      <c r="M1063" t="s">
        <v>466</v>
      </c>
      <c r="N1063" t="s">
        <v>59</v>
      </c>
      <c r="O1063" t="s">
        <v>143</v>
      </c>
      <c r="P1063" t="s">
        <v>144</v>
      </c>
      <c r="Q1063">
        <v>2</v>
      </c>
      <c r="R1063" t="s">
        <v>1186</v>
      </c>
      <c r="S1063" t="s">
        <v>309</v>
      </c>
      <c r="T1063" s="52"/>
    </row>
    <row r="1064" spans="1:20" x14ac:dyDescent="0.3">
      <c r="A1064" t="s">
        <v>53</v>
      </c>
      <c r="B1064" s="48">
        <v>46023</v>
      </c>
      <c r="C1064" s="26"/>
      <c r="I1064" t="s">
        <v>1228</v>
      </c>
      <c r="J1064" t="s">
        <v>1229</v>
      </c>
      <c r="K1064" t="s">
        <v>1230</v>
      </c>
      <c r="L1064" t="s">
        <v>43</v>
      </c>
      <c r="M1064" t="s">
        <v>466</v>
      </c>
      <c r="N1064" t="s">
        <v>59</v>
      </c>
      <c r="O1064" t="s">
        <v>143</v>
      </c>
      <c r="P1064" t="s">
        <v>144</v>
      </c>
      <c r="Q1064">
        <v>1</v>
      </c>
      <c r="R1064" t="s">
        <v>1186</v>
      </c>
      <c r="S1064" t="s">
        <v>309</v>
      </c>
      <c r="T1064" s="52"/>
    </row>
    <row r="1065" spans="1:20" x14ac:dyDescent="0.3">
      <c r="A1065" t="s">
        <v>53</v>
      </c>
      <c r="B1065" s="48">
        <v>46023</v>
      </c>
      <c r="C1065" s="26"/>
      <c r="I1065" t="s">
        <v>1231</v>
      </c>
      <c r="J1065" t="s">
        <v>1232</v>
      </c>
      <c r="K1065" t="s">
        <v>1230</v>
      </c>
      <c r="L1065" t="s">
        <v>43</v>
      </c>
      <c r="M1065" t="s">
        <v>466</v>
      </c>
      <c r="N1065">
        <v>186950</v>
      </c>
      <c r="O1065" t="s">
        <v>60</v>
      </c>
      <c r="P1065" t="s">
        <v>144</v>
      </c>
      <c r="Q1065">
        <v>1</v>
      </c>
      <c r="R1065" t="s">
        <v>1186</v>
      </c>
      <c r="S1065" t="s">
        <v>309</v>
      </c>
      <c r="T1065" s="52"/>
    </row>
    <row r="1066" spans="1:20" x14ac:dyDescent="0.3">
      <c r="A1066" t="s">
        <v>53</v>
      </c>
      <c r="B1066" s="48">
        <v>46023</v>
      </c>
      <c r="C1066" s="26"/>
      <c r="I1066" t="s">
        <v>1233</v>
      </c>
      <c r="J1066" t="s">
        <v>1232</v>
      </c>
      <c r="K1066" t="s">
        <v>1230</v>
      </c>
      <c r="L1066" t="s">
        <v>43</v>
      </c>
      <c r="M1066" t="s">
        <v>466</v>
      </c>
      <c r="N1066">
        <v>140085</v>
      </c>
      <c r="O1066" t="s">
        <v>60</v>
      </c>
      <c r="P1066" t="s">
        <v>144</v>
      </c>
      <c r="Q1066">
        <v>1</v>
      </c>
      <c r="R1066" t="s">
        <v>1186</v>
      </c>
      <c r="S1066" t="s">
        <v>309</v>
      </c>
      <c r="T1066" s="52"/>
    </row>
    <row r="1067" spans="1:20" x14ac:dyDescent="0.3">
      <c r="A1067" t="s">
        <v>53</v>
      </c>
      <c r="B1067" s="48">
        <v>46023</v>
      </c>
      <c r="C1067" s="26"/>
      <c r="I1067" t="s">
        <v>1234</v>
      </c>
      <c r="J1067" t="s">
        <v>1235</v>
      </c>
      <c r="K1067" t="s">
        <v>59</v>
      </c>
      <c r="L1067" t="s">
        <v>43</v>
      </c>
      <c r="M1067" t="s">
        <v>466</v>
      </c>
      <c r="N1067" t="s">
        <v>59</v>
      </c>
      <c r="O1067" t="s">
        <v>60</v>
      </c>
      <c r="P1067" t="s">
        <v>144</v>
      </c>
      <c r="Q1067">
        <v>1</v>
      </c>
      <c r="R1067" t="s">
        <v>1186</v>
      </c>
      <c r="S1067" t="s">
        <v>309</v>
      </c>
      <c r="T1067" s="52"/>
    </row>
    <row r="1068" spans="1:20" x14ac:dyDescent="0.3">
      <c r="A1068" t="s">
        <v>53</v>
      </c>
      <c r="B1068" s="48">
        <v>46023</v>
      </c>
      <c r="C1068" s="26"/>
      <c r="I1068" t="s">
        <v>1236</v>
      </c>
      <c r="J1068" t="s">
        <v>1237</v>
      </c>
      <c r="K1068" t="s">
        <v>59</v>
      </c>
      <c r="L1068" t="s">
        <v>43</v>
      </c>
      <c r="M1068" t="s">
        <v>466</v>
      </c>
      <c r="N1068" t="s">
        <v>59</v>
      </c>
      <c r="O1068" t="s">
        <v>60</v>
      </c>
      <c r="P1068" t="s">
        <v>144</v>
      </c>
      <c r="Q1068">
        <v>1</v>
      </c>
      <c r="R1068" t="s">
        <v>1186</v>
      </c>
      <c r="S1068" t="s">
        <v>309</v>
      </c>
      <c r="T1068" s="52"/>
    </row>
    <row r="1069" spans="1:20" x14ac:dyDescent="0.3">
      <c r="A1069" t="s">
        <v>53</v>
      </c>
      <c r="B1069" s="48">
        <v>46023</v>
      </c>
      <c r="C1069" s="26"/>
      <c r="I1069" t="s">
        <v>1238</v>
      </c>
      <c r="J1069" t="s">
        <v>1239</v>
      </c>
      <c r="K1069" t="s">
        <v>1240</v>
      </c>
      <c r="L1069" t="s">
        <v>43</v>
      </c>
      <c r="M1069" t="s">
        <v>466</v>
      </c>
      <c r="N1069" t="s">
        <v>1241</v>
      </c>
      <c r="O1069" t="s">
        <v>60</v>
      </c>
      <c r="P1069" t="s">
        <v>144</v>
      </c>
      <c r="Q1069">
        <v>1</v>
      </c>
      <c r="R1069" t="s">
        <v>1186</v>
      </c>
      <c r="S1069" t="s">
        <v>309</v>
      </c>
      <c r="T1069" s="52"/>
    </row>
    <row r="1070" spans="1:20" x14ac:dyDescent="0.3">
      <c r="A1070" t="s">
        <v>53</v>
      </c>
      <c r="B1070" s="48">
        <v>46023</v>
      </c>
      <c r="C1070" s="26"/>
      <c r="I1070" t="s">
        <v>1242</v>
      </c>
      <c r="J1070" t="s">
        <v>1243</v>
      </c>
      <c r="K1070" t="s">
        <v>59</v>
      </c>
      <c r="L1070" t="s">
        <v>43</v>
      </c>
      <c r="M1070" t="s">
        <v>466</v>
      </c>
      <c r="N1070" t="s">
        <v>59</v>
      </c>
      <c r="O1070" t="s">
        <v>60</v>
      </c>
      <c r="P1070" t="s">
        <v>144</v>
      </c>
      <c r="Q1070">
        <v>2</v>
      </c>
      <c r="R1070" t="s">
        <v>1186</v>
      </c>
      <c r="S1070" t="s">
        <v>309</v>
      </c>
      <c r="T1070" s="52"/>
    </row>
    <row r="1071" spans="1:20" x14ac:dyDescent="0.3">
      <c r="A1071" t="s">
        <v>53</v>
      </c>
      <c r="B1071" s="48">
        <v>46023</v>
      </c>
      <c r="C1071" s="26"/>
      <c r="I1071" t="s">
        <v>1244</v>
      </c>
      <c r="J1071" t="s">
        <v>1245</v>
      </c>
      <c r="K1071" t="s">
        <v>59</v>
      </c>
      <c r="L1071" t="s">
        <v>43</v>
      </c>
      <c r="M1071" t="s">
        <v>466</v>
      </c>
      <c r="N1071" t="s">
        <v>59</v>
      </c>
      <c r="O1071" t="s">
        <v>60</v>
      </c>
      <c r="P1071" t="s">
        <v>144</v>
      </c>
      <c r="Q1071">
        <v>1</v>
      </c>
      <c r="R1071" t="s">
        <v>1186</v>
      </c>
      <c r="S1071" t="s">
        <v>309</v>
      </c>
      <c r="T1071" s="52"/>
    </row>
    <row r="1072" spans="1:20" x14ac:dyDescent="0.3">
      <c r="A1072" t="s">
        <v>53</v>
      </c>
      <c r="B1072" s="48">
        <v>46023</v>
      </c>
      <c r="C1072" s="26"/>
      <c r="I1072" t="s">
        <v>1246</v>
      </c>
      <c r="J1072" t="s">
        <v>1247</v>
      </c>
      <c r="K1072" t="s">
        <v>1248</v>
      </c>
      <c r="L1072" t="s">
        <v>43</v>
      </c>
      <c r="M1072" t="s">
        <v>466</v>
      </c>
      <c r="N1072" t="s">
        <v>59</v>
      </c>
      <c r="O1072" t="s">
        <v>60</v>
      </c>
      <c r="P1072" t="s">
        <v>144</v>
      </c>
      <c r="Q1072">
        <v>1</v>
      </c>
      <c r="R1072" t="s">
        <v>1249</v>
      </c>
      <c r="S1072" t="s">
        <v>309</v>
      </c>
      <c r="T1072" s="52"/>
    </row>
    <row r="1073" spans="1:20" x14ac:dyDescent="0.3">
      <c r="A1073" t="s">
        <v>53</v>
      </c>
      <c r="B1073" s="48">
        <v>46023</v>
      </c>
      <c r="C1073" s="26"/>
      <c r="I1073" t="s">
        <v>1250</v>
      </c>
      <c r="J1073" t="s">
        <v>1251</v>
      </c>
      <c r="K1073" t="s">
        <v>59</v>
      </c>
      <c r="L1073" t="s">
        <v>43</v>
      </c>
      <c r="M1073" t="s">
        <v>466</v>
      </c>
      <c r="N1073" t="s">
        <v>59</v>
      </c>
      <c r="O1073" t="s">
        <v>60</v>
      </c>
      <c r="P1073" t="s">
        <v>144</v>
      </c>
      <c r="Q1073">
        <v>1</v>
      </c>
      <c r="R1073" t="s">
        <v>1249</v>
      </c>
      <c r="S1073" t="s">
        <v>309</v>
      </c>
      <c r="T1073" s="52"/>
    </row>
    <row r="1074" spans="1:20" x14ac:dyDescent="0.3">
      <c r="A1074" t="s">
        <v>53</v>
      </c>
      <c r="B1074" s="48">
        <v>46023</v>
      </c>
      <c r="C1074" s="26"/>
      <c r="I1074" t="s">
        <v>1252</v>
      </c>
      <c r="J1074" t="s">
        <v>1253</v>
      </c>
      <c r="K1074" t="s">
        <v>1254</v>
      </c>
      <c r="L1074" t="s">
        <v>43</v>
      </c>
      <c r="M1074" t="s">
        <v>466</v>
      </c>
      <c r="N1074" t="s">
        <v>1255</v>
      </c>
      <c r="O1074" t="s">
        <v>60</v>
      </c>
      <c r="P1074" t="s">
        <v>144</v>
      </c>
      <c r="Q1074">
        <v>7</v>
      </c>
      <c r="R1074" t="s">
        <v>1249</v>
      </c>
      <c r="S1074" t="s">
        <v>309</v>
      </c>
      <c r="T1074" s="52"/>
    </row>
    <row r="1075" spans="1:20" x14ac:dyDescent="0.3">
      <c r="A1075" t="s">
        <v>53</v>
      </c>
      <c r="B1075" s="48">
        <v>46023</v>
      </c>
      <c r="C1075" s="26"/>
      <c r="I1075" t="s">
        <v>1256</v>
      </c>
      <c r="J1075" t="s">
        <v>1257</v>
      </c>
      <c r="K1075" t="s">
        <v>59</v>
      </c>
      <c r="L1075" t="s">
        <v>43</v>
      </c>
      <c r="M1075" t="s">
        <v>466</v>
      </c>
      <c r="N1075" t="s">
        <v>59</v>
      </c>
      <c r="O1075" t="s">
        <v>60</v>
      </c>
      <c r="P1075" t="s">
        <v>144</v>
      </c>
      <c r="Q1075">
        <v>1</v>
      </c>
      <c r="R1075" t="s">
        <v>1249</v>
      </c>
      <c r="S1075" t="s">
        <v>309</v>
      </c>
      <c r="T1075" s="52"/>
    </row>
    <row r="1076" spans="1:20" x14ac:dyDescent="0.3">
      <c r="A1076" t="s">
        <v>53</v>
      </c>
      <c r="B1076" s="48">
        <v>46023</v>
      </c>
      <c r="C1076" s="26"/>
      <c r="I1076" t="s">
        <v>1258</v>
      </c>
      <c r="J1076" t="s">
        <v>1259</v>
      </c>
      <c r="K1076" t="s">
        <v>1260</v>
      </c>
      <c r="L1076" t="s">
        <v>43</v>
      </c>
      <c r="M1076" t="s">
        <v>466</v>
      </c>
      <c r="N1076" t="s">
        <v>1261</v>
      </c>
      <c r="O1076" t="s">
        <v>60</v>
      </c>
      <c r="P1076" t="s">
        <v>144</v>
      </c>
      <c r="Q1076">
        <v>1</v>
      </c>
      <c r="R1076" t="s">
        <v>1249</v>
      </c>
      <c r="S1076" t="s">
        <v>309</v>
      </c>
      <c r="T1076" s="52"/>
    </row>
    <row r="1077" spans="1:20" x14ac:dyDescent="0.3">
      <c r="A1077" t="s">
        <v>53</v>
      </c>
      <c r="B1077" s="48">
        <v>46023</v>
      </c>
      <c r="C1077" s="26"/>
      <c r="I1077" t="s">
        <v>1262</v>
      </c>
      <c r="J1077" t="s">
        <v>1263</v>
      </c>
      <c r="K1077" t="s">
        <v>59</v>
      </c>
      <c r="L1077" t="s">
        <v>43</v>
      </c>
      <c r="M1077" t="s">
        <v>466</v>
      </c>
      <c r="N1077" t="s">
        <v>59</v>
      </c>
      <c r="O1077" t="s">
        <v>60</v>
      </c>
      <c r="P1077" t="s">
        <v>144</v>
      </c>
      <c r="Q1077">
        <v>1</v>
      </c>
      <c r="R1077" t="s">
        <v>1249</v>
      </c>
      <c r="S1077" t="s">
        <v>309</v>
      </c>
      <c r="T1077" s="52"/>
    </row>
    <row r="1078" spans="1:20" x14ac:dyDescent="0.3">
      <c r="A1078" t="s">
        <v>53</v>
      </c>
      <c r="B1078" s="48">
        <v>46023</v>
      </c>
      <c r="C1078" s="26"/>
      <c r="I1078" t="s">
        <v>1264</v>
      </c>
      <c r="J1078" t="s">
        <v>1265</v>
      </c>
      <c r="K1078" t="s">
        <v>59</v>
      </c>
      <c r="L1078" t="s">
        <v>43</v>
      </c>
      <c r="M1078" t="s">
        <v>466</v>
      </c>
      <c r="N1078" t="s">
        <v>59</v>
      </c>
      <c r="O1078" t="s">
        <v>60</v>
      </c>
      <c r="P1078" t="s">
        <v>144</v>
      </c>
      <c r="Q1078">
        <v>4</v>
      </c>
      <c r="R1078" t="s">
        <v>1249</v>
      </c>
      <c r="S1078" t="s">
        <v>309</v>
      </c>
      <c r="T1078" s="52"/>
    </row>
    <row r="1079" spans="1:20" x14ac:dyDescent="0.3">
      <c r="A1079" t="s">
        <v>53</v>
      </c>
      <c r="B1079" s="48">
        <v>46023</v>
      </c>
      <c r="C1079" s="26"/>
      <c r="I1079" t="s">
        <v>1266</v>
      </c>
      <c r="J1079" t="s">
        <v>1267</v>
      </c>
      <c r="K1079" t="s">
        <v>59</v>
      </c>
      <c r="L1079" t="s">
        <v>43</v>
      </c>
      <c r="M1079" t="s">
        <v>466</v>
      </c>
      <c r="N1079" t="s">
        <v>59</v>
      </c>
      <c r="O1079" t="s">
        <v>60</v>
      </c>
      <c r="P1079" t="s">
        <v>144</v>
      </c>
      <c r="Q1079">
        <v>3</v>
      </c>
      <c r="R1079" t="s">
        <v>1249</v>
      </c>
      <c r="S1079" t="s">
        <v>309</v>
      </c>
      <c r="T1079" s="52"/>
    </row>
    <row r="1080" spans="1:20" x14ac:dyDescent="0.3">
      <c r="A1080" t="s">
        <v>53</v>
      </c>
      <c r="B1080" s="48">
        <v>46023</v>
      </c>
      <c r="C1080" s="26"/>
      <c r="I1080" t="s">
        <v>1268</v>
      </c>
      <c r="J1080" t="s">
        <v>1269</v>
      </c>
      <c r="K1080" t="s">
        <v>59</v>
      </c>
      <c r="L1080" t="s">
        <v>43</v>
      </c>
      <c r="M1080" t="s">
        <v>466</v>
      </c>
      <c r="N1080" t="s">
        <v>59</v>
      </c>
      <c r="O1080" t="s">
        <v>60</v>
      </c>
      <c r="P1080" t="s">
        <v>144</v>
      </c>
      <c r="Q1080">
        <v>7</v>
      </c>
      <c r="R1080" t="s">
        <v>1249</v>
      </c>
      <c r="S1080" t="s">
        <v>309</v>
      </c>
      <c r="T1080" s="52"/>
    </row>
    <row r="1081" spans="1:20" x14ac:dyDescent="0.3">
      <c r="A1081" t="s">
        <v>53</v>
      </c>
      <c r="B1081" s="48">
        <v>46023</v>
      </c>
      <c r="C1081" s="26"/>
      <c r="I1081" t="s">
        <v>1270</v>
      </c>
      <c r="J1081" t="s">
        <v>1271</v>
      </c>
      <c r="K1081" t="s">
        <v>1272</v>
      </c>
      <c r="L1081" t="s">
        <v>43</v>
      </c>
      <c r="M1081" t="s">
        <v>466</v>
      </c>
      <c r="N1081" t="s">
        <v>59</v>
      </c>
      <c r="O1081" t="s">
        <v>60</v>
      </c>
      <c r="P1081" t="s">
        <v>144</v>
      </c>
      <c r="Q1081">
        <v>1</v>
      </c>
      <c r="R1081" t="s">
        <v>1249</v>
      </c>
      <c r="S1081" t="s">
        <v>309</v>
      </c>
      <c r="T1081" s="52"/>
    </row>
    <row r="1082" spans="1:20" x14ac:dyDescent="0.3">
      <c r="A1082" t="s">
        <v>53</v>
      </c>
      <c r="B1082" s="48">
        <v>46023</v>
      </c>
      <c r="C1082" s="26"/>
      <c r="I1082" t="s">
        <v>1273</v>
      </c>
      <c r="J1082" t="s">
        <v>1274</v>
      </c>
      <c r="K1082" t="s">
        <v>59</v>
      </c>
      <c r="L1082" t="s">
        <v>43</v>
      </c>
      <c r="M1082" t="s">
        <v>466</v>
      </c>
      <c r="N1082" t="s">
        <v>59</v>
      </c>
      <c r="O1082" t="s">
        <v>60</v>
      </c>
      <c r="P1082" t="s">
        <v>144</v>
      </c>
      <c r="Q1082">
        <v>1</v>
      </c>
      <c r="R1082" t="s">
        <v>1249</v>
      </c>
      <c r="S1082" t="s">
        <v>309</v>
      </c>
      <c r="T1082" s="52"/>
    </row>
    <row r="1083" spans="1:20" x14ac:dyDescent="0.3">
      <c r="A1083" t="s">
        <v>53</v>
      </c>
      <c r="B1083" s="48">
        <v>46023</v>
      </c>
      <c r="C1083" s="26"/>
      <c r="I1083" t="s">
        <v>1275</v>
      </c>
      <c r="J1083" t="s">
        <v>1276</v>
      </c>
      <c r="K1083" t="s">
        <v>1277</v>
      </c>
      <c r="L1083" t="s">
        <v>43</v>
      </c>
      <c r="M1083" t="s">
        <v>466</v>
      </c>
      <c r="N1083" t="s">
        <v>1278</v>
      </c>
      <c r="O1083" t="s">
        <v>60</v>
      </c>
      <c r="P1083" t="s">
        <v>144</v>
      </c>
      <c r="Q1083">
        <v>3</v>
      </c>
      <c r="R1083" t="s">
        <v>1249</v>
      </c>
      <c r="S1083" t="s">
        <v>309</v>
      </c>
      <c r="T1083" s="52"/>
    </row>
    <row r="1084" spans="1:20" x14ac:dyDescent="0.3">
      <c r="A1084" t="s">
        <v>53</v>
      </c>
      <c r="B1084" s="48">
        <v>46023</v>
      </c>
      <c r="C1084" s="26"/>
      <c r="I1084" t="s">
        <v>1279</v>
      </c>
      <c r="J1084" t="s">
        <v>1280</v>
      </c>
      <c r="K1084" t="s">
        <v>1281</v>
      </c>
      <c r="L1084" t="s">
        <v>43</v>
      </c>
      <c r="M1084" t="s">
        <v>466</v>
      </c>
      <c r="N1084" t="s">
        <v>59</v>
      </c>
      <c r="O1084" t="s">
        <v>60</v>
      </c>
      <c r="P1084" t="s">
        <v>144</v>
      </c>
      <c r="Q1084">
        <v>1</v>
      </c>
      <c r="R1084" t="s">
        <v>1249</v>
      </c>
      <c r="S1084" t="s">
        <v>309</v>
      </c>
      <c r="T1084" s="52"/>
    </row>
    <row r="1085" spans="1:20" x14ac:dyDescent="0.3">
      <c r="A1085" t="s">
        <v>53</v>
      </c>
      <c r="B1085" s="48">
        <v>46023</v>
      </c>
      <c r="C1085" s="26"/>
      <c r="I1085" t="s">
        <v>1282</v>
      </c>
      <c r="J1085" t="s">
        <v>1283</v>
      </c>
      <c r="K1085" t="s">
        <v>59</v>
      </c>
      <c r="L1085" t="s">
        <v>43</v>
      </c>
      <c r="M1085" t="s">
        <v>466</v>
      </c>
      <c r="N1085" t="s">
        <v>59</v>
      </c>
      <c r="O1085" t="s">
        <v>60</v>
      </c>
      <c r="P1085" t="s">
        <v>144</v>
      </c>
      <c r="Q1085">
        <v>1</v>
      </c>
      <c r="R1085" t="s">
        <v>1249</v>
      </c>
      <c r="S1085" t="s">
        <v>309</v>
      </c>
      <c r="T1085" s="52"/>
    </row>
    <row r="1086" spans="1:20" x14ac:dyDescent="0.3">
      <c r="A1086" t="s">
        <v>53</v>
      </c>
      <c r="B1086" s="48">
        <v>46023</v>
      </c>
      <c r="C1086" s="26"/>
      <c r="I1086" t="s">
        <v>1284</v>
      </c>
      <c r="J1086" t="s">
        <v>1285</v>
      </c>
      <c r="K1086" t="s">
        <v>59</v>
      </c>
      <c r="L1086" t="s">
        <v>43</v>
      </c>
      <c r="M1086" t="s">
        <v>466</v>
      </c>
      <c r="N1086" t="s">
        <v>59</v>
      </c>
      <c r="O1086" t="s">
        <v>60</v>
      </c>
      <c r="P1086" t="s">
        <v>144</v>
      </c>
      <c r="Q1086">
        <v>1</v>
      </c>
      <c r="R1086" t="s">
        <v>1249</v>
      </c>
      <c r="S1086" t="s">
        <v>309</v>
      </c>
      <c r="T1086" s="52"/>
    </row>
    <row r="1087" spans="1:20" x14ac:dyDescent="0.3">
      <c r="A1087" t="s">
        <v>53</v>
      </c>
      <c r="B1087" s="48">
        <v>46023</v>
      </c>
      <c r="C1087" s="26"/>
      <c r="I1087" t="s">
        <v>1286</v>
      </c>
      <c r="J1087" t="s">
        <v>1287</v>
      </c>
      <c r="K1087" t="s">
        <v>59</v>
      </c>
      <c r="L1087" t="s">
        <v>43</v>
      </c>
      <c r="M1087" t="s">
        <v>466</v>
      </c>
      <c r="N1087" t="s">
        <v>59</v>
      </c>
      <c r="O1087" t="s">
        <v>60</v>
      </c>
      <c r="P1087" t="s">
        <v>144</v>
      </c>
      <c r="Q1087">
        <v>5</v>
      </c>
      <c r="R1087" t="s">
        <v>1249</v>
      </c>
      <c r="S1087" t="s">
        <v>309</v>
      </c>
      <c r="T1087" s="52"/>
    </row>
    <row r="1088" spans="1:20" x14ac:dyDescent="0.3">
      <c r="A1088" t="s">
        <v>53</v>
      </c>
      <c r="B1088" s="48">
        <v>46023</v>
      </c>
      <c r="C1088" s="26"/>
      <c r="I1088" t="s">
        <v>1288</v>
      </c>
      <c r="J1088" t="s">
        <v>1289</v>
      </c>
      <c r="K1088" t="s">
        <v>59</v>
      </c>
      <c r="L1088" t="s">
        <v>43</v>
      </c>
      <c r="M1088" t="s">
        <v>466</v>
      </c>
      <c r="N1088" t="s">
        <v>59</v>
      </c>
      <c r="O1088" t="s">
        <v>60</v>
      </c>
      <c r="P1088" t="s">
        <v>144</v>
      </c>
      <c r="Q1088">
        <v>4</v>
      </c>
      <c r="R1088" t="s">
        <v>1249</v>
      </c>
      <c r="S1088" t="s">
        <v>309</v>
      </c>
      <c r="T1088" s="52"/>
    </row>
    <row r="1089" spans="1:20" x14ac:dyDescent="0.3">
      <c r="A1089" t="s">
        <v>53</v>
      </c>
      <c r="B1089" s="48">
        <v>46023</v>
      </c>
      <c r="C1089" s="26"/>
      <c r="I1089" t="s">
        <v>1290</v>
      </c>
      <c r="J1089" t="s">
        <v>1291</v>
      </c>
      <c r="K1089" t="s">
        <v>59</v>
      </c>
      <c r="L1089" t="s">
        <v>43</v>
      </c>
      <c r="M1089" t="s">
        <v>466</v>
      </c>
      <c r="N1089" t="s">
        <v>59</v>
      </c>
      <c r="O1089" t="s">
        <v>60</v>
      </c>
      <c r="P1089" t="s">
        <v>144</v>
      </c>
      <c r="Q1089">
        <v>11</v>
      </c>
      <c r="R1089" t="s">
        <v>1249</v>
      </c>
      <c r="S1089" t="s">
        <v>309</v>
      </c>
      <c r="T1089" s="52"/>
    </row>
    <row r="1090" spans="1:20" x14ac:dyDescent="0.3">
      <c r="A1090" t="s">
        <v>53</v>
      </c>
      <c r="B1090" s="48">
        <v>46023</v>
      </c>
      <c r="C1090" s="26"/>
      <c r="I1090" t="s">
        <v>1292</v>
      </c>
      <c r="J1090" t="s">
        <v>1293</v>
      </c>
      <c r="K1090" t="s">
        <v>59</v>
      </c>
      <c r="L1090" t="s">
        <v>43</v>
      </c>
      <c r="M1090" t="s">
        <v>466</v>
      </c>
      <c r="N1090" t="s">
        <v>59</v>
      </c>
      <c r="O1090" t="s">
        <v>60</v>
      </c>
      <c r="P1090" t="s">
        <v>144</v>
      </c>
      <c r="Q1090">
        <v>14</v>
      </c>
      <c r="R1090" t="s">
        <v>1249</v>
      </c>
      <c r="S1090" t="s">
        <v>309</v>
      </c>
      <c r="T1090" s="52"/>
    </row>
    <row r="1091" spans="1:20" x14ac:dyDescent="0.3">
      <c r="A1091" t="s">
        <v>53</v>
      </c>
      <c r="B1091" s="48">
        <v>46023</v>
      </c>
      <c r="C1091" s="26"/>
      <c r="I1091" t="s">
        <v>1294</v>
      </c>
      <c r="J1091" t="s">
        <v>1295</v>
      </c>
      <c r="K1091" t="s">
        <v>59</v>
      </c>
      <c r="L1091" t="s">
        <v>43</v>
      </c>
      <c r="M1091" t="s">
        <v>466</v>
      </c>
      <c r="N1091" t="s">
        <v>59</v>
      </c>
      <c r="O1091" t="s">
        <v>60</v>
      </c>
      <c r="P1091" t="s">
        <v>144</v>
      </c>
      <c r="Q1091">
        <v>10</v>
      </c>
      <c r="R1091" t="s">
        <v>1249</v>
      </c>
      <c r="S1091" t="s">
        <v>309</v>
      </c>
      <c r="T1091" s="52"/>
    </row>
    <row r="1092" spans="1:20" x14ac:dyDescent="0.3">
      <c r="A1092" t="s">
        <v>53</v>
      </c>
      <c r="B1092" s="48">
        <v>46023</v>
      </c>
      <c r="C1092" s="26"/>
      <c r="I1092" t="s">
        <v>1296</v>
      </c>
      <c r="J1092" t="s">
        <v>1297</v>
      </c>
      <c r="K1092" t="s">
        <v>59</v>
      </c>
      <c r="L1092" t="s">
        <v>43</v>
      </c>
      <c r="M1092" t="s">
        <v>466</v>
      </c>
      <c r="N1092" t="s">
        <v>59</v>
      </c>
      <c r="O1092" t="s">
        <v>60</v>
      </c>
      <c r="P1092" t="s">
        <v>144</v>
      </c>
      <c r="Q1092">
        <v>2</v>
      </c>
      <c r="R1092" t="s">
        <v>1249</v>
      </c>
      <c r="S1092" t="s">
        <v>309</v>
      </c>
      <c r="T1092" s="52"/>
    </row>
    <row r="1093" spans="1:20" x14ac:dyDescent="0.3">
      <c r="A1093" t="s">
        <v>53</v>
      </c>
      <c r="B1093" s="48">
        <v>46023</v>
      </c>
      <c r="C1093" s="26"/>
      <c r="I1093" t="s">
        <v>1298</v>
      </c>
      <c r="J1093" t="s">
        <v>1299</v>
      </c>
      <c r="K1093" t="s">
        <v>59</v>
      </c>
      <c r="L1093" t="s">
        <v>43</v>
      </c>
      <c r="M1093" t="s">
        <v>466</v>
      </c>
      <c r="N1093" t="s">
        <v>59</v>
      </c>
      <c r="O1093" t="s">
        <v>60</v>
      </c>
      <c r="P1093" t="s">
        <v>144</v>
      </c>
      <c r="Q1093">
        <v>8</v>
      </c>
      <c r="R1093" t="s">
        <v>1249</v>
      </c>
      <c r="S1093" t="s">
        <v>309</v>
      </c>
      <c r="T1093" s="52"/>
    </row>
    <row r="1094" spans="1:20" x14ac:dyDescent="0.3">
      <c r="A1094" t="s">
        <v>53</v>
      </c>
      <c r="B1094" s="48">
        <v>46023</v>
      </c>
      <c r="C1094" s="26"/>
      <c r="I1094" t="s">
        <v>1300</v>
      </c>
      <c r="J1094" t="s">
        <v>1301</v>
      </c>
      <c r="K1094" t="s">
        <v>59</v>
      </c>
      <c r="L1094" t="s">
        <v>43</v>
      </c>
      <c r="M1094" t="s">
        <v>466</v>
      </c>
      <c r="N1094" t="s">
        <v>59</v>
      </c>
      <c r="O1094" t="s">
        <v>60</v>
      </c>
      <c r="P1094" t="s">
        <v>144</v>
      </c>
      <c r="Q1094">
        <v>1</v>
      </c>
      <c r="R1094" t="s">
        <v>1249</v>
      </c>
      <c r="S1094" t="s">
        <v>309</v>
      </c>
      <c r="T1094" s="52"/>
    </row>
    <row r="1095" spans="1:20" x14ac:dyDescent="0.3">
      <c r="A1095" t="s">
        <v>53</v>
      </c>
      <c r="B1095" s="48">
        <v>46023</v>
      </c>
      <c r="C1095" s="26"/>
      <c r="I1095" t="s">
        <v>1302</v>
      </c>
      <c r="J1095" t="s">
        <v>1303</v>
      </c>
      <c r="K1095" t="s">
        <v>59</v>
      </c>
      <c r="L1095" t="s">
        <v>43</v>
      </c>
      <c r="M1095" t="s">
        <v>466</v>
      </c>
      <c r="N1095" t="s">
        <v>59</v>
      </c>
      <c r="O1095" t="s">
        <v>60</v>
      </c>
      <c r="P1095" t="s">
        <v>144</v>
      </c>
      <c r="Q1095">
        <v>1</v>
      </c>
      <c r="R1095" t="s">
        <v>1249</v>
      </c>
      <c r="S1095" t="s">
        <v>309</v>
      </c>
      <c r="T1095" s="52"/>
    </row>
    <row r="1096" spans="1:20" x14ac:dyDescent="0.3">
      <c r="A1096" t="s">
        <v>53</v>
      </c>
      <c r="B1096" s="48">
        <v>46023</v>
      </c>
      <c r="C1096" s="26"/>
      <c r="I1096" t="s">
        <v>1304</v>
      </c>
      <c r="J1096" t="s">
        <v>1305</v>
      </c>
      <c r="K1096" t="s">
        <v>59</v>
      </c>
      <c r="L1096" t="s">
        <v>43</v>
      </c>
      <c r="M1096" t="s">
        <v>466</v>
      </c>
      <c r="N1096" t="s">
        <v>59</v>
      </c>
      <c r="O1096" t="s">
        <v>60</v>
      </c>
      <c r="P1096" t="s">
        <v>144</v>
      </c>
      <c r="Q1096">
        <v>1</v>
      </c>
      <c r="R1096" t="s">
        <v>1249</v>
      </c>
      <c r="S1096" t="s">
        <v>309</v>
      </c>
      <c r="T1096" s="52"/>
    </row>
    <row r="1097" spans="1:20" x14ac:dyDescent="0.3">
      <c r="A1097" t="s">
        <v>53</v>
      </c>
      <c r="B1097" s="48">
        <v>46023</v>
      </c>
      <c r="C1097" s="26"/>
      <c r="I1097" t="s">
        <v>1306</v>
      </c>
      <c r="J1097" t="s">
        <v>1307</v>
      </c>
      <c r="K1097" t="s">
        <v>59</v>
      </c>
      <c r="L1097" t="s">
        <v>43</v>
      </c>
      <c r="M1097" t="s">
        <v>466</v>
      </c>
      <c r="N1097" t="s">
        <v>59</v>
      </c>
      <c r="O1097" t="s">
        <v>60</v>
      </c>
      <c r="P1097" t="s">
        <v>144</v>
      </c>
      <c r="Q1097">
        <v>1</v>
      </c>
      <c r="R1097" t="s">
        <v>1249</v>
      </c>
      <c r="S1097" t="s">
        <v>309</v>
      </c>
      <c r="T1097" s="52"/>
    </row>
    <row r="1098" spans="1:20" x14ac:dyDescent="0.3">
      <c r="A1098" t="s">
        <v>53</v>
      </c>
      <c r="B1098" s="48">
        <v>46023</v>
      </c>
      <c r="C1098" s="26"/>
      <c r="I1098" t="s">
        <v>1308</v>
      </c>
      <c r="J1098" t="s">
        <v>1309</v>
      </c>
      <c r="K1098" t="s">
        <v>59</v>
      </c>
      <c r="L1098" t="s">
        <v>43</v>
      </c>
      <c r="M1098" t="s">
        <v>466</v>
      </c>
      <c r="N1098" t="s">
        <v>59</v>
      </c>
      <c r="O1098" t="s">
        <v>60</v>
      </c>
      <c r="P1098" t="s">
        <v>144</v>
      </c>
      <c r="Q1098">
        <v>2</v>
      </c>
      <c r="R1098" t="s">
        <v>1249</v>
      </c>
      <c r="S1098" t="s">
        <v>309</v>
      </c>
      <c r="T1098" s="52"/>
    </row>
    <row r="1099" spans="1:20" x14ac:dyDescent="0.3">
      <c r="A1099" t="s">
        <v>53</v>
      </c>
      <c r="B1099" s="48">
        <v>46023</v>
      </c>
      <c r="C1099" s="26"/>
      <c r="I1099" t="s">
        <v>1310</v>
      </c>
      <c r="J1099" t="s">
        <v>1311</v>
      </c>
      <c r="K1099" t="s">
        <v>59</v>
      </c>
      <c r="L1099" t="s">
        <v>43</v>
      </c>
      <c r="M1099" t="s">
        <v>466</v>
      </c>
      <c r="N1099" t="s">
        <v>59</v>
      </c>
      <c r="O1099" t="s">
        <v>60</v>
      </c>
      <c r="P1099" t="s">
        <v>144</v>
      </c>
      <c r="Q1099">
        <v>1</v>
      </c>
      <c r="R1099" t="s">
        <v>1249</v>
      </c>
      <c r="S1099" t="s">
        <v>309</v>
      </c>
      <c r="T1099" s="52"/>
    </row>
    <row r="1100" spans="1:20" x14ac:dyDescent="0.3">
      <c r="A1100" t="s">
        <v>53</v>
      </c>
      <c r="B1100" s="48">
        <v>46023</v>
      </c>
      <c r="C1100" s="26"/>
      <c r="I1100" t="s">
        <v>1312</v>
      </c>
      <c r="J1100" t="s">
        <v>1313</v>
      </c>
      <c r="K1100" t="s">
        <v>1314</v>
      </c>
      <c r="L1100" t="s">
        <v>43</v>
      </c>
      <c r="M1100" t="s">
        <v>466</v>
      </c>
      <c r="N1100" t="s">
        <v>59</v>
      </c>
      <c r="O1100" t="s">
        <v>60</v>
      </c>
      <c r="P1100" t="s">
        <v>144</v>
      </c>
      <c r="Q1100">
        <v>21</v>
      </c>
      <c r="R1100" t="s">
        <v>1249</v>
      </c>
      <c r="S1100" t="s">
        <v>309</v>
      </c>
      <c r="T1100" s="52"/>
    </row>
    <row r="1101" spans="1:20" x14ac:dyDescent="0.3">
      <c r="A1101" t="s">
        <v>53</v>
      </c>
      <c r="B1101" s="48">
        <v>46023</v>
      </c>
      <c r="C1101" s="26"/>
      <c r="I1101" t="s">
        <v>1315</v>
      </c>
      <c r="J1101" t="s">
        <v>1316</v>
      </c>
      <c r="K1101" t="s">
        <v>1317</v>
      </c>
      <c r="L1101" t="s">
        <v>43</v>
      </c>
      <c r="M1101" t="s">
        <v>466</v>
      </c>
      <c r="N1101" t="s">
        <v>59</v>
      </c>
      <c r="O1101" t="s">
        <v>60</v>
      </c>
      <c r="P1101" t="s">
        <v>144</v>
      </c>
      <c r="Q1101">
        <v>1</v>
      </c>
      <c r="R1101" t="s">
        <v>1249</v>
      </c>
      <c r="S1101" t="s">
        <v>309</v>
      </c>
      <c r="T1101" s="52"/>
    </row>
    <row r="1102" spans="1:20" x14ac:dyDescent="0.3">
      <c r="A1102" t="s">
        <v>53</v>
      </c>
      <c r="B1102" s="48">
        <v>46023</v>
      </c>
      <c r="C1102" s="26"/>
      <c r="I1102" t="s">
        <v>1318</v>
      </c>
      <c r="J1102" t="s">
        <v>1319</v>
      </c>
      <c r="K1102" t="s">
        <v>1320</v>
      </c>
      <c r="L1102" t="s">
        <v>43</v>
      </c>
      <c r="M1102" t="s">
        <v>466</v>
      </c>
      <c r="N1102" t="s">
        <v>59</v>
      </c>
      <c r="O1102" t="s">
        <v>60</v>
      </c>
      <c r="P1102" t="s">
        <v>144</v>
      </c>
      <c r="Q1102">
        <v>1</v>
      </c>
      <c r="R1102" t="s">
        <v>1249</v>
      </c>
      <c r="S1102" t="s">
        <v>309</v>
      </c>
      <c r="T1102" s="52"/>
    </row>
    <row r="1103" spans="1:20" x14ac:dyDescent="0.3">
      <c r="A1103" t="s">
        <v>53</v>
      </c>
      <c r="B1103" s="48">
        <v>46023</v>
      </c>
      <c r="C1103" s="26"/>
      <c r="I1103" t="s">
        <v>1321</v>
      </c>
      <c r="J1103" t="s">
        <v>1322</v>
      </c>
      <c r="K1103" t="s">
        <v>1323</v>
      </c>
      <c r="L1103" t="s">
        <v>43</v>
      </c>
      <c r="M1103" t="s">
        <v>466</v>
      </c>
      <c r="N1103" t="s">
        <v>59</v>
      </c>
      <c r="O1103" t="s">
        <v>60</v>
      </c>
      <c r="P1103" t="s">
        <v>144</v>
      </c>
      <c r="Q1103">
        <v>2</v>
      </c>
      <c r="R1103" t="s">
        <v>1249</v>
      </c>
      <c r="S1103" t="s">
        <v>309</v>
      </c>
      <c r="T1103" s="52"/>
    </row>
    <row r="1104" spans="1:20" x14ac:dyDescent="0.3">
      <c r="A1104" t="s">
        <v>53</v>
      </c>
      <c r="B1104" s="48">
        <v>46023</v>
      </c>
      <c r="C1104" s="26"/>
      <c r="I1104" t="s">
        <v>1324</v>
      </c>
      <c r="J1104" t="s">
        <v>1325</v>
      </c>
      <c r="K1104" t="s">
        <v>1326</v>
      </c>
      <c r="L1104" t="s">
        <v>43</v>
      </c>
      <c r="M1104" t="s">
        <v>466</v>
      </c>
      <c r="N1104" t="s">
        <v>1327</v>
      </c>
      <c r="O1104" t="s">
        <v>60</v>
      </c>
      <c r="P1104" t="s">
        <v>144</v>
      </c>
      <c r="Q1104">
        <v>5</v>
      </c>
      <c r="R1104" t="s">
        <v>1249</v>
      </c>
      <c r="S1104" t="s">
        <v>309</v>
      </c>
      <c r="T1104" s="52"/>
    </row>
    <row r="1105" spans="1:20" x14ac:dyDescent="0.3">
      <c r="A1105" t="s">
        <v>53</v>
      </c>
      <c r="B1105" s="48">
        <v>46023</v>
      </c>
      <c r="C1105" s="26"/>
      <c r="I1105" t="s">
        <v>1328</v>
      </c>
      <c r="J1105" t="s">
        <v>1329</v>
      </c>
      <c r="K1105" t="s">
        <v>1330</v>
      </c>
      <c r="L1105" t="s">
        <v>43</v>
      </c>
      <c r="M1105" t="s">
        <v>466</v>
      </c>
      <c r="N1105" t="s">
        <v>59</v>
      </c>
      <c r="O1105" t="s">
        <v>60</v>
      </c>
      <c r="P1105" t="s">
        <v>144</v>
      </c>
      <c r="Q1105">
        <v>4</v>
      </c>
      <c r="R1105" t="s">
        <v>1249</v>
      </c>
      <c r="S1105" t="s">
        <v>309</v>
      </c>
      <c r="T1105" s="52"/>
    </row>
    <row r="1106" spans="1:20" x14ac:dyDescent="0.3">
      <c r="A1106" t="s">
        <v>53</v>
      </c>
      <c r="B1106" s="48">
        <v>46023</v>
      </c>
      <c r="C1106" s="26"/>
      <c r="I1106" t="s">
        <v>1331</v>
      </c>
      <c r="J1106" t="s">
        <v>1332</v>
      </c>
      <c r="K1106" t="s">
        <v>59</v>
      </c>
      <c r="L1106" t="s">
        <v>43</v>
      </c>
      <c r="M1106" t="s">
        <v>466</v>
      </c>
      <c r="N1106" t="s">
        <v>59</v>
      </c>
      <c r="O1106" t="s">
        <v>60</v>
      </c>
      <c r="P1106" t="s">
        <v>144</v>
      </c>
      <c r="Q1106">
        <v>24</v>
      </c>
      <c r="R1106" t="s">
        <v>1249</v>
      </c>
      <c r="S1106" t="s">
        <v>309</v>
      </c>
      <c r="T1106" s="52"/>
    </row>
    <row r="1107" spans="1:20" x14ac:dyDescent="0.3">
      <c r="A1107" t="s">
        <v>53</v>
      </c>
      <c r="B1107" s="48">
        <v>46023</v>
      </c>
      <c r="C1107" s="26"/>
      <c r="I1107" t="s">
        <v>1333</v>
      </c>
      <c r="J1107" t="s">
        <v>1334</v>
      </c>
      <c r="K1107" t="s">
        <v>1335</v>
      </c>
      <c r="L1107" t="s">
        <v>43</v>
      </c>
      <c r="M1107" t="s">
        <v>466</v>
      </c>
      <c r="N1107">
        <v>3847</v>
      </c>
      <c r="O1107" t="s">
        <v>60</v>
      </c>
      <c r="P1107" t="s">
        <v>144</v>
      </c>
      <c r="Q1107">
        <v>1</v>
      </c>
      <c r="R1107" t="s">
        <v>1249</v>
      </c>
      <c r="S1107" t="s">
        <v>309</v>
      </c>
      <c r="T1107" s="52"/>
    </row>
    <row r="1108" spans="1:20" x14ac:dyDescent="0.3">
      <c r="A1108" t="s">
        <v>53</v>
      </c>
      <c r="B1108" s="48">
        <v>46023</v>
      </c>
      <c r="C1108" s="26"/>
      <c r="I1108" t="s">
        <v>1336</v>
      </c>
      <c r="J1108" t="s">
        <v>1337</v>
      </c>
      <c r="K1108" t="s">
        <v>1248</v>
      </c>
      <c r="L1108" t="s">
        <v>43</v>
      </c>
      <c r="M1108" t="s">
        <v>466</v>
      </c>
      <c r="N1108" t="s">
        <v>59</v>
      </c>
      <c r="O1108" t="s">
        <v>60</v>
      </c>
      <c r="P1108" t="s">
        <v>144</v>
      </c>
      <c r="Q1108">
        <v>1</v>
      </c>
      <c r="R1108" t="s">
        <v>1249</v>
      </c>
      <c r="S1108" t="s">
        <v>309</v>
      </c>
      <c r="T1108" s="52"/>
    </row>
    <row r="1109" spans="1:20" x14ac:dyDescent="0.3">
      <c r="A1109" t="s">
        <v>53</v>
      </c>
      <c r="B1109" s="48">
        <v>46023</v>
      </c>
      <c r="C1109" s="26"/>
      <c r="I1109" t="s">
        <v>1338</v>
      </c>
      <c r="J1109" t="s">
        <v>1339</v>
      </c>
      <c r="K1109" t="s">
        <v>1340</v>
      </c>
      <c r="L1109" t="s">
        <v>43</v>
      </c>
      <c r="M1109" t="s">
        <v>466</v>
      </c>
      <c r="N1109" t="s">
        <v>59</v>
      </c>
      <c r="O1109" t="s">
        <v>60</v>
      </c>
      <c r="P1109" t="s">
        <v>144</v>
      </c>
      <c r="Q1109">
        <v>2</v>
      </c>
      <c r="R1109" t="s">
        <v>1249</v>
      </c>
      <c r="S1109" t="s">
        <v>309</v>
      </c>
      <c r="T1109" s="52"/>
    </row>
    <row r="1110" spans="1:20" x14ac:dyDescent="0.3">
      <c r="A1110" t="s">
        <v>53</v>
      </c>
      <c r="B1110" s="48">
        <v>46023</v>
      </c>
      <c r="C1110" s="26"/>
      <c r="I1110" t="s">
        <v>1341</v>
      </c>
      <c r="J1110" t="s">
        <v>1342</v>
      </c>
      <c r="K1110" t="s">
        <v>59</v>
      </c>
      <c r="L1110" t="s">
        <v>43</v>
      </c>
      <c r="M1110" t="s">
        <v>466</v>
      </c>
      <c r="N1110" t="s">
        <v>59</v>
      </c>
      <c r="O1110" t="s">
        <v>60</v>
      </c>
      <c r="P1110" t="s">
        <v>144</v>
      </c>
      <c r="Q1110">
        <v>1</v>
      </c>
      <c r="R1110" t="s">
        <v>1249</v>
      </c>
      <c r="S1110" t="s">
        <v>309</v>
      </c>
      <c r="T1110" s="52"/>
    </row>
    <row r="1111" spans="1:20" x14ac:dyDescent="0.3">
      <c r="A1111" t="s">
        <v>53</v>
      </c>
      <c r="B1111" s="48">
        <v>46023</v>
      </c>
      <c r="C1111" s="26"/>
      <c r="I1111" t="s">
        <v>1343</v>
      </c>
      <c r="J1111" t="s">
        <v>1344</v>
      </c>
      <c r="K1111" t="s">
        <v>59</v>
      </c>
      <c r="L1111" t="s">
        <v>43</v>
      </c>
      <c r="M1111" t="s">
        <v>466</v>
      </c>
      <c r="N1111" t="s">
        <v>59</v>
      </c>
      <c r="O1111" t="s">
        <v>60</v>
      </c>
      <c r="P1111" t="s">
        <v>144</v>
      </c>
      <c r="Q1111">
        <v>9</v>
      </c>
      <c r="R1111" t="s">
        <v>1249</v>
      </c>
      <c r="S1111" t="s">
        <v>309</v>
      </c>
      <c r="T1111" s="52"/>
    </row>
    <row r="1112" spans="1:20" x14ac:dyDescent="0.3">
      <c r="A1112" t="s">
        <v>53</v>
      </c>
      <c r="B1112" s="48">
        <v>46023</v>
      </c>
      <c r="C1112" s="26"/>
      <c r="I1112" t="s">
        <v>1345</v>
      </c>
      <c r="J1112" t="s">
        <v>1346</v>
      </c>
      <c r="K1112" t="s">
        <v>1347</v>
      </c>
      <c r="L1112" t="s">
        <v>43</v>
      </c>
      <c r="M1112" t="s">
        <v>466</v>
      </c>
      <c r="N1112" t="s">
        <v>59</v>
      </c>
      <c r="O1112" t="s">
        <v>60</v>
      </c>
      <c r="P1112" t="s">
        <v>144</v>
      </c>
      <c r="Q1112">
        <v>1</v>
      </c>
      <c r="R1112" t="s">
        <v>1249</v>
      </c>
      <c r="S1112" t="s">
        <v>309</v>
      </c>
      <c r="T1112" s="52"/>
    </row>
    <row r="1113" spans="1:20" x14ac:dyDescent="0.3">
      <c r="A1113" t="s">
        <v>53</v>
      </c>
      <c r="B1113" s="48">
        <v>46023</v>
      </c>
      <c r="C1113" s="26"/>
      <c r="I1113" t="s">
        <v>1348</v>
      </c>
      <c r="J1113" t="s">
        <v>1349</v>
      </c>
      <c r="K1113" t="s">
        <v>1350</v>
      </c>
      <c r="L1113" t="s">
        <v>43</v>
      </c>
      <c r="M1113" t="s">
        <v>466</v>
      </c>
      <c r="N1113" t="s">
        <v>59</v>
      </c>
      <c r="O1113" t="s">
        <v>60</v>
      </c>
      <c r="P1113" t="s">
        <v>144</v>
      </c>
      <c r="Q1113">
        <v>1</v>
      </c>
      <c r="R1113" t="s">
        <v>1249</v>
      </c>
      <c r="S1113" t="s">
        <v>309</v>
      </c>
      <c r="T1113" s="52"/>
    </row>
    <row r="1114" spans="1:20" x14ac:dyDescent="0.3">
      <c r="A1114" t="s">
        <v>53</v>
      </c>
      <c r="B1114" s="48">
        <v>46023</v>
      </c>
      <c r="C1114" s="26"/>
      <c r="I1114" t="s">
        <v>1351</v>
      </c>
      <c r="J1114" t="s">
        <v>1352</v>
      </c>
      <c r="K1114" t="s">
        <v>59</v>
      </c>
      <c r="L1114" t="s">
        <v>43</v>
      </c>
      <c r="M1114" t="s">
        <v>466</v>
      </c>
      <c r="N1114" t="s">
        <v>59</v>
      </c>
      <c r="O1114" t="s">
        <v>60</v>
      </c>
      <c r="P1114" t="s">
        <v>144</v>
      </c>
      <c r="Q1114">
        <v>2</v>
      </c>
      <c r="R1114" t="s">
        <v>1249</v>
      </c>
      <c r="S1114" t="s">
        <v>309</v>
      </c>
      <c r="T1114" s="52"/>
    </row>
    <row r="1115" spans="1:20" x14ac:dyDescent="0.3">
      <c r="A1115" t="s">
        <v>53</v>
      </c>
      <c r="B1115" s="48">
        <v>46023</v>
      </c>
      <c r="C1115" s="26"/>
      <c r="I1115" t="s">
        <v>1353</v>
      </c>
      <c r="J1115" t="s">
        <v>1354</v>
      </c>
      <c r="K1115" t="s">
        <v>59</v>
      </c>
      <c r="L1115" t="s">
        <v>43</v>
      </c>
      <c r="M1115" t="s">
        <v>466</v>
      </c>
      <c r="N1115" t="s">
        <v>59</v>
      </c>
      <c r="O1115" t="s">
        <v>60</v>
      </c>
      <c r="P1115" t="s">
        <v>144</v>
      </c>
      <c r="Q1115">
        <v>13</v>
      </c>
      <c r="R1115" t="s">
        <v>1249</v>
      </c>
      <c r="S1115" t="s">
        <v>309</v>
      </c>
      <c r="T1115" s="52"/>
    </row>
    <row r="1116" spans="1:20" x14ac:dyDescent="0.3">
      <c r="A1116" t="s">
        <v>53</v>
      </c>
      <c r="B1116" s="48">
        <v>46023</v>
      </c>
      <c r="C1116" s="26"/>
      <c r="I1116" t="s">
        <v>1355</v>
      </c>
      <c r="J1116" t="s">
        <v>1356</v>
      </c>
      <c r="K1116" t="s">
        <v>59</v>
      </c>
      <c r="L1116" t="s">
        <v>43</v>
      </c>
      <c r="M1116" t="s">
        <v>466</v>
      </c>
      <c r="N1116" t="s">
        <v>59</v>
      </c>
      <c r="O1116" t="s">
        <v>60</v>
      </c>
      <c r="P1116" t="s">
        <v>144</v>
      </c>
      <c r="Q1116">
        <v>16</v>
      </c>
      <c r="R1116" t="s">
        <v>1249</v>
      </c>
      <c r="S1116" t="s">
        <v>309</v>
      </c>
      <c r="T1116" s="52"/>
    </row>
    <row r="1117" spans="1:20" x14ac:dyDescent="0.3">
      <c r="A1117" t="s">
        <v>53</v>
      </c>
      <c r="B1117" s="48">
        <v>46023</v>
      </c>
      <c r="C1117" s="26"/>
      <c r="I1117" t="s">
        <v>1357</v>
      </c>
      <c r="J1117" t="s">
        <v>1358</v>
      </c>
      <c r="K1117" t="s">
        <v>59</v>
      </c>
      <c r="L1117" t="s">
        <v>43</v>
      </c>
      <c r="M1117" t="s">
        <v>466</v>
      </c>
      <c r="N1117" t="s">
        <v>59</v>
      </c>
      <c r="O1117" t="s">
        <v>60</v>
      </c>
      <c r="P1117" t="s">
        <v>144</v>
      </c>
      <c r="Q1117">
        <v>4</v>
      </c>
      <c r="R1117" t="s">
        <v>1249</v>
      </c>
      <c r="S1117" t="s">
        <v>309</v>
      </c>
      <c r="T1117" s="52"/>
    </row>
    <row r="1118" spans="1:20" x14ac:dyDescent="0.3">
      <c r="A1118" t="s">
        <v>53</v>
      </c>
      <c r="B1118" s="48">
        <v>46023</v>
      </c>
      <c r="C1118" s="26"/>
      <c r="I1118" t="s">
        <v>1359</v>
      </c>
      <c r="J1118" t="s">
        <v>1360</v>
      </c>
      <c r="K1118" t="s">
        <v>59</v>
      </c>
      <c r="L1118" t="s">
        <v>43</v>
      </c>
      <c r="M1118" t="s">
        <v>466</v>
      </c>
      <c r="N1118" t="s">
        <v>59</v>
      </c>
      <c r="O1118" t="s">
        <v>60</v>
      </c>
      <c r="P1118" t="s">
        <v>144</v>
      </c>
      <c r="Q1118">
        <v>3</v>
      </c>
      <c r="R1118" t="s">
        <v>1249</v>
      </c>
      <c r="S1118" t="s">
        <v>309</v>
      </c>
      <c r="T1118" s="52"/>
    </row>
    <row r="1119" spans="1:20" x14ac:dyDescent="0.3">
      <c r="A1119" t="s">
        <v>53</v>
      </c>
      <c r="B1119" s="48">
        <v>46023</v>
      </c>
      <c r="C1119" s="26"/>
      <c r="I1119" t="s">
        <v>1361</v>
      </c>
      <c r="J1119" t="s">
        <v>1362</v>
      </c>
      <c r="K1119" t="s">
        <v>59</v>
      </c>
      <c r="L1119" t="s">
        <v>43</v>
      </c>
      <c r="M1119" t="s">
        <v>466</v>
      </c>
      <c r="N1119" t="s">
        <v>59</v>
      </c>
      <c r="O1119" t="s">
        <v>60</v>
      </c>
      <c r="P1119" t="s">
        <v>144</v>
      </c>
      <c r="Q1119">
        <v>8</v>
      </c>
      <c r="R1119" t="s">
        <v>1249</v>
      </c>
      <c r="S1119" t="s">
        <v>309</v>
      </c>
      <c r="T1119" s="52"/>
    </row>
    <row r="1120" spans="1:20" x14ac:dyDescent="0.3">
      <c r="A1120" t="s">
        <v>53</v>
      </c>
      <c r="B1120" s="48">
        <v>46023</v>
      </c>
      <c r="C1120" s="26"/>
      <c r="I1120" t="s">
        <v>1363</v>
      </c>
      <c r="J1120" t="s">
        <v>1364</v>
      </c>
      <c r="K1120" t="s">
        <v>1365</v>
      </c>
      <c r="L1120" t="s">
        <v>43</v>
      </c>
      <c r="M1120" t="s">
        <v>466</v>
      </c>
      <c r="N1120">
        <v>9159007</v>
      </c>
      <c r="O1120" t="s">
        <v>468</v>
      </c>
      <c r="P1120" t="s">
        <v>644</v>
      </c>
      <c r="Q1120">
        <v>1</v>
      </c>
      <c r="R1120" t="s">
        <v>1366</v>
      </c>
      <c r="S1120" t="s">
        <v>129</v>
      </c>
      <c r="T1120" s="52"/>
    </row>
    <row r="1121" spans="1:20" x14ac:dyDescent="0.3">
      <c r="A1121" t="s">
        <v>53</v>
      </c>
      <c r="B1121" s="48">
        <v>46023</v>
      </c>
      <c r="C1121" s="26"/>
      <c r="I1121" t="s">
        <v>1367</v>
      </c>
      <c r="J1121" t="s">
        <v>1368</v>
      </c>
      <c r="K1121" t="s">
        <v>1365</v>
      </c>
      <c r="L1121" t="s">
        <v>43</v>
      </c>
      <c r="M1121" t="s">
        <v>466</v>
      </c>
      <c r="N1121" t="s">
        <v>1369</v>
      </c>
      <c r="O1121" t="s">
        <v>468</v>
      </c>
      <c r="P1121" t="s">
        <v>61</v>
      </c>
      <c r="Q1121">
        <v>1</v>
      </c>
      <c r="R1121" t="s">
        <v>1370</v>
      </c>
      <c r="S1121" t="s">
        <v>309</v>
      </c>
      <c r="T1121" s="52"/>
    </row>
    <row r="1122" spans="1:20" x14ac:dyDescent="0.3">
      <c r="A1122" t="s">
        <v>53</v>
      </c>
      <c r="B1122" s="48">
        <v>46023</v>
      </c>
      <c r="C1122" s="26"/>
      <c r="I1122" t="s">
        <v>3082</v>
      </c>
      <c r="J1122" t="s">
        <v>3083</v>
      </c>
      <c r="K1122" t="s">
        <v>3084</v>
      </c>
      <c r="L1122" t="s">
        <v>43</v>
      </c>
      <c r="M1122" t="s">
        <v>3085</v>
      </c>
      <c r="N1122" t="s">
        <v>59</v>
      </c>
      <c r="O1122" t="s">
        <v>116</v>
      </c>
      <c r="P1122" t="s">
        <v>144</v>
      </c>
      <c r="Q1122">
        <v>79</v>
      </c>
      <c r="R1122" t="s">
        <v>3086</v>
      </c>
      <c r="S1122" t="s">
        <v>309</v>
      </c>
      <c r="T1122" s="52"/>
    </row>
    <row r="1123" spans="1:20" x14ac:dyDescent="0.3">
      <c r="A1123" t="s">
        <v>53</v>
      </c>
      <c r="B1123" s="48">
        <v>46023</v>
      </c>
      <c r="C1123" s="26"/>
      <c r="I1123" t="s">
        <v>3087</v>
      </c>
      <c r="J1123" t="s">
        <v>3088</v>
      </c>
      <c r="K1123" t="s">
        <v>3084</v>
      </c>
      <c r="L1123" t="s">
        <v>43</v>
      </c>
      <c r="M1123" t="s">
        <v>3085</v>
      </c>
      <c r="N1123" t="s">
        <v>59</v>
      </c>
      <c r="O1123" t="s">
        <v>116</v>
      </c>
      <c r="P1123" t="s">
        <v>144</v>
      </c>
      <c r="Q1123">
        <v>2</v>
      </c>
      <c r="R1123" t="s">
        <v>3089</v>
      </c>
      <c r="S1123" t="s">
        <v>129</v>
      </c>
      <c r="T1123" s="52"/>
    </row>
    <row r="1124" spans="1:20" x14ac:dyDescent="0.3">
      <c r="A1124" t="s">
        <v>53</v>
      </c>
      <c r="B1124" s="48">
        <v>46023</v>
      </c>
      <c r="C1124" s="26"/>
      <c r="I1124" t="s">
        <v>3090</v>
      </c>
      <c r="J1124" t="s">
        <v>3091</v>
      </c>
      <c r="K1124" t="s">
        <v>59</v>
      </c>
      <c r="L1124" t="s">
        <v>43</v>
      </c>
      <c r="M1124" t="s">
        <v>2686</v>
      </c>
      <c r="N1124" t="s">
        <v>59</v>
      </c>
      <c r="O1124" t="s">
        <v>143</v>
      </c>
      <c r="P1124" t="s">
        <v>144</v>
      </c>
      <c r="Q1124">
        <v>32</v>
      </c>
      <c r="R1124" t="s">
        <v>2282</v>
      </c>
      <c r="S1124" t="s">
        <v>129</v>
      </c>
      <c r="T1124" s="52"/>
    </row>
    <row r="1125" spans="1:20" x14ac:dyDescent="0.3">
      <c r="A1125" t="s">
        <v>53</v>
      </c>
      <c r="B1125" s="48">
        <v>46023</v>
      </c>
      <c r="C1125" s="26"/>
      <c r="I1125" t="s">
        <v>3092</v>
      </c>
      <c r="J1125" t="s">
        <v>3093</v>
      </c>
      <c r="K1125" t="s">
        <v>59</v>
      </c>
      <c r="L1125" t="s">
        <v>43</v>
      </c>
      <c r="M1125" t="s">
        <v>2686</v>
      </c>
      <c r="N1125" t="s">
        <v>59</v>
      </c>
      <c r="O1125" t="s">
        <v>143</v>
      </c>
      <c r="P1125" t="s">
        <v>144</v>
      </c>
      <c r="Q1125">
        <v>50</v>
      </c>
      <c r="R1125" t="s">
        <v>2282</v>
      </c>
      <c r="S1125" t="s">
        <v>129</v>
      </c>
      <c r="T1125" s="52"/>
    </row>
    <row r="1126" spans="1:20" x14ac:dyDescent="0.3">
      <c r="A1126" t="s">
        <v>53</v>
      </c>
      <c r="B1126" s="48">
        <v>46023</v>
      </c>
      <c r="C1126" s="26"/>
      <c r="I1126" t="s">
        <v>3094</v>
      </c>
      <c r="J1126" t="s">
        <v>3095</v>
      </c>
      <c r="K1126" t="s">
        <v>59</v>
      </c>
      <c r="L1126" t="s">
        <v>43</v>
      </c>
      <c r="M1126" t="s">
        <v>2686</v>
      </c>
      <c r="N1126" t="s">
        <v>59</v>
      </c>
      <c r="O1126" t="s">
        <v>143</v>
      </c>
      <c r="P1126" t="s">
        <v>144</v>
      </c>
      <c r="Q1126">
        <v>44</v>
      </c>
      <c r="R1126" t="s">
        <v>2282</v>
      </c>
      <c r="S1126" t="s">
        <v>129</v>
      </c>
      <c r="T1126" s="52"/>
    </row>
    <row r="1127" spans="1:20" x14ac:dyDescent="0.3">
      <c r="A1127" t="s">
        <v>53</v>
      </c>
      <c r="B1127" s="48">
        <v>46023</v>
      </c>
      <c r="C1127" s="26"/>
      <c r="I1127" t="s">
        <v>3096</v>
      </c>
      <c r="J1127" t="s">
        <v>3097</v>
      </c>
      <c r="K1127" t="s">
        <v>59</v>
      </c>
      <c r="L1127" t="s">
        <v>43</v>
      </c>
      <c r="M1127" t="s">
        <v>2686</v>
      </c>
      <c r="N1127" t="s">
        <v>59</v>
      </c>
      <c r="O1127" t="s">
        <v>143</v>
      </c>
      <c r="P1127" t="s">
        <v>144</v>
      </c>
      <c r="Q1127">
        <v>2</v>
      </c>
      <c r="R1127" t="s">
        <v>2282</v>
      </c>
      <c r="S1127" t="s">
        <v>129</v>
      </c>
      <c r="T1127" s="52"/>
    </row>
    <row r="1128" spans="1:20" x14ac:dyDescent="0.3">
      <c r="A1128" t="s">
        <v>53</v>
      </c>
      <c r="B1128" s="48">
        <v>46023</v>
      </c>
      <c r="C1128" s="26"/>
      <c r="I1128" t="s">
        <v>3098</v>
      </c>
      <c r="J1128" t="s">
        <v>3099</v>
      </c>
      <c r="K1128" t="s">
        <v>59</v>
      </c>
      <c r="L1128" t="s">
        <v>43</v>
      </c>
      <c r="M1128" t="s">
        <v>2686</v>
      </c>
      <c r="N1128" t="s">
        <v>59</v>
      </c>
      <c r="O1128" t="s">
        <v>143</v>
      </c>
      <c r="P1128" t="s">
        <v>144</v>
      </c>
      <c r="Q1128">
        <v>26</v>
      </c>
      <c r="R1128" t="s">
        <v>2282</v>
      </c>
      <c r="S1128" t="s">
        <v>129</v>
      </c>
      <c r="T1128" s="52"/>
    </row>
    <row r="1129" spans="1:20" x14ac:dyDescent="0.3">
      <c r="A1129" t="s">
        <v>53</v>
      </c>
      <c r="B1129" s="48">
        <v>46023</v>
      </c>
      <c r="C1129" s="26"/>
      <c r="I1129" t="s">
        <v>3100</v>
      </c>
      <c r="J1129" t="s">
        <v>3101</v>
      </c>
      <c r="K1129" t="s">
        <v>59</v>
      </c>
      <c r="L1129" t="s">
        <v>43</v>
      </c>
      <c r="M1129" t="s">
        <v>2686</v>
      </c>
      <c r="N1129" t="s">
        <v>59</v>
      </c>
      <c r="O1129" t="s">
        <v>143</v>
      </c>
      <c r="P1129" t="s">
        <v>144</v>
      </c>
      <c r="Q1129">
        <v>45</v>
      </c>
      <c r="R1129" t="s">
        <v>2282</v>
      </c>
      <c r="S1129" t="s">
        <v>129</v>
      </c>
      <c r="T1129" s="52"/>
    </row>
    <row r="1130" spans="1:20" x14ac:dyDescent="0.3">
      <c r="A1130" t="s">
        <v>53</v>
      </c>
      <c r="B1130" s="48">
        <v>46023</v>
      </c>
      <c r="C1130" s="26"/>
      <c r="I1130" t="s">
        <v>3102</v>
      </c>
      <c r="J1130" t="s">
        <v>3103</v>
      </c>
      <c r="K1130" t="s">
        <v>59</v>
      </c>
      <c r="L1130" t="s">
        <v>43</v>
      </c>
      <c r="M1130" t="s">
        <v>2686</v>
      </c>
      <c r="N1130" t="s">
        <v>59</v>
      </c>
      <c r="O1130" t="s">
        <v>143</v>
      </c>
      <c r="P1130" t="s">
        <v>144</v>
      </c>
      <c r="Q1130">
        <v>171</v>
      </c>
      <c r="R1130" t="s">
        <v>2282</v>
      </c>
      <c r="S1130" t="s">
        <v>129</v>
      </c>
      <c r="T1130" s="52"/>
    </row>
    <row r="1131" spans="1:20" x14ac:dyDescent="0.3">
      <c r="A1131" t="s">
        <v>53</v>
      </c>
      <c r="B1131" s="48">
        <v>46023</v>
      </c>
      <c r="C1131" s="26"/>
      <c r="I1131" t="s">
        <v>3104</v>
      </c>
      <c r="J1131" t="s">
        <v>3105</v>
      </c>
      <c r="K1131" t="s">
        <v>59</v>
      </c>
      <c r="L1131" t="s">
        <v>43</v>
      </c>
      <c r="M1131" t="s">
        <v>2686</v>
      </c>
      <c r="N1131" t="s">
        <v>59</v>
      </c>
      <c r="O1131" t="s">
        <v>143</v>
      </c>
      <c r="P1131" t="s">
        <v>144</v>
      </c>
      <c r="Q1131">
        <v>172</v>
      </c>
      <c r="R1131" t="s">
        <v>2282</v>
      </c>
      <c r="S1131" t="s">
        <v>129</v>
      </c>
      <c r="T1131" s="52"/>
    </row>
    <row r="1132" spans="1:20" x14ac:dyDescent="0.3">
      <c r="A1132" t="s">
        <v>53</v>
      </c>
      <c r="B1132" s="48">
        <v>46023</v>
      </c>
      <c r="C1132" s="26"/>
      <c r="I1132" t="s">
        <v>3106</v>
      </c>
      <c r="J1132" t="s">
        <v>3107</v>
      </c>
      <c r="K1132" t="s">
        <v>59</v>
      </c>
      <c r="L1132" t="s">
        <v>43</v>
      </c>
      <c r="M1132" t="s">
        <v>2686</v>
      </c>
      <c r="N1132" t="s">
        <v>59</v>
      </c>
      <c r="O1132" t="s">
        <v>143</v>
      </c>
      <c r="P1132" t="s">
        <v>144</v>
      </c>
      <c r="Q1132">
        <v>104</v>
      </c>
      <c r="R1132" t="s">
        <v>2282</v>
      </c>
      <c r="S1132" t="s">
        <v>129</v>
      </c>
      <c r="T1132" s="52"/>
    </row>
    <row r="1133" spans="1:20" x14ac:dyDescent="0.3">
      <c r="A1133" t="s">
        <v>53</v>
      </c>
      <c r="B1133" s="48">
        <v>46023</v>
      </c>
      <c r="C1133" s="26"/>
      <c r="I1133" t="s">
        <v>3108</v>
      </c>
      <c r="J1133" t="s">
        <v>3109</v>
      </c>
      <c r="K1133" t="s">
        <v>59</v>
      </c>
      <c r="L1133" t="s">
        <v>43</v>
      </c>
      <c r="M1133" t="s">
        <v>2686</v>
      </c>
      <c r="N1133" t="s">
        <v>59</v>
      </c>
      <c r="O1133" t="s">
        <v>143</v>
      </c>
      <c r="P1133" t="s">
        <v>144</v>
      </c>
      <c r="Q1133">
        <v>128</v>
      </c>
      <c r="R1133" t="s">
        <v>2282</v>
      </c>
      <c r="S1133" t="s">
        <v>129</v>
      </c>
      <c r="T1133" s="52"/>
    </row>
    <row r="1134" spans="1:20" x14ac:dyDescent="0.3">
      <c r="A1134" t="s">
        <v>53</v>
      </c>
      <c r="B1134" s="48">
        <v>46023</v>
      </c>
      <c r="C1134" s="26"/>
      <c r="I1134" t="s">
        <v>3110</v>
      </c>
      <c r="J1134" t="s">
        <v>3111</v>
      </c>
      <c r="K1134" t="s">
        <v>59</v>
      </c>
      <c r="L1134" t="s">
        <v>43</v>
      </c>
      <c r="M1134" t="s">
        <v>2686</v>
      </c>
      <c r="N1134" t="s">
        <v>59</v>
      </c>
      <c r="O1134" t="s">
        <v>143</v>
      </c>
      <c r="P1134" t="s">
        <v>144</v>
      </c>
      <c r="Q1134">
        <v>17</v>
      </c>
      <c r="R1134" t="s">
        <v>2282</v>
      </c>
      <c r="S1134" t="s">
        <v>129</v>
      </c>
      <c r="T1134" s="52"/>
    </row>
    <row r="1135" spans="1:20" x14ac:dyDescent="0.3">
      <c r="A1135" t="s">
        <v>53</v>
      </c>
      <c r="B1135" s="48">
        <v>46023</v>
      </c>
      <c r="C1135" s="26"/>
      <c r="I1135" t="s">
        <v>3112</v>
      </c>
      <c r="J1135" t="s">
        <v>3113</v>
      </c>
      <c r="K1135" t="s">
        <v>59</v>
      </c>
      <c r="L1135" t="s">
        <v>43</v>
      </c>
      <c r="M1135" t="s">
        <v>2686</v>
      </c>
      <c r="N1135" t="s">
        <v>59</v>
      </c>
      <c r="O1135" t="s">
        <v>143</v>
      </c>
      <c r="P1135" t="s">
        <v>144</v>
      </c>
      <c r="Q1135">
        <v>6</v>
      </c>
      <c r="R1135" t="s">
        <v>2282</v>
      </c>
      <c r="S1135" t="s">
        <v>309</v>
      </c>
      <c r="T1135" s="52"/>
    </row>
    <row r="1136" spans="1:20" x14ac:dyDescent="0.3">
      <c r="A1136" t="s">
        <v>53</v>
      </c>
      <c r="B1136" s="48">
        <v>46023</v>
      </c>
      <c r="C1136" s="26"/>
      <c r="I1136" t="s">
        <v>3114</v>
      </c>
      <c r="J1136" t="s">
        <v>3115</v>
      </c>
      <c r="K1136" t="s">
        <v>59</v>
      </c>
      <c r="L1136" t="s">
        <v>43</v>
      </c>
      <c r="M1136" t="s">
        <v>2686</v>
      </c>
      <c r="N1136" t="s">
        <v>59</v>
      </c>
      <c r="O1136" t="s">
        <v>143</v>
      </c>
      <c r="P1136" t="s">
        <v>144</v>
      </c>
      <c r="Q1136">
        <v>38</v>
      </c>
      <c r="R1136" t="s">
        <v>2282</v>
      </c>
      <c r="S1136" t="s">
        <v>129</v>
      </c>
      <c r="T1136" s="52"/>
    </row>
    <row r="1137" spans="1:20" x14ac:dyDescent="0.3">
      <c r="A1137" t="s">
        <v>53</v>
      </c>
      <c r="B1137" s="48">
        <v>46023</v>
      </c>
      <c r="C1137" s="26"/>
      <c r="I1137" t="s">
        <v>3116</v>
      </c>
      <c r="J1137" t="s">
        <v>3117</v>
      </c>
      <c r="K1137" t="s">
        <v>59</v>
      </c>
      <c r="L1137" t="s">
        <v>43</v>
      </c>
      <c r="M1137" t="s">
        <v>2686</v>
      </c>
      <c r="N1137" t="s">
        <v>59</v>
      </c>
      <c r="O1137" t="s">
        <v>143</v>
      </c>
      <c r="P1137" t="s">
        <v>144</v>
      </c>
      <c r="Q1137">
        <v>14</v>
      </c>
      <c r="R1137" t="s">
        <v>2282</v>
      </c>
      <c r="S1137" t="s">
        <v>129</v>
      </c>
      <c r="T1137" s="52"/>
    </row>
    <row r="1138" spans="1:20" x14ac:dyDescent="0.3">
      <c r="A1138" t="s">
        <v>53</v>
      </c>
      <c r="B1138" s="48">
        <v>46023</v>
      </c>
      <c r="C1138" s="26"/>
      <c r="I1138" t="s">
        <v>3118</v>
      </c>
      <c r="J1138" t="s">
        <v>3119</v>
      </c>
      <c r="K1138" t="s">
        <v>59</v>
      </c>
      <c r="L1138" t="s">
        <v>43</v>
      </c>
      <c r="M1138" t="s">
        <v>2686</v>
      </c>
      <c r="N1138" t="s">
        <v>59</v>
      </c>
      <c r="O1138" t="s">
        <v>143</v>
      </c>
      <c r="P1138" t="s">
        <v>144</v>
      </c>
      <c r="Q1138">
        <v>9</v>
      </c>
      <c r="R1138" t="s">
        <v>2282</v>
      </c>
      <c r="S1138" t="s">
        <v>129</v>
      </c>
      <c r="T1138" s="52"/>
    </row>
    <row r="1139" spans="1:20" x14ac:dyDescent="0.3">
      <c r="A1139" t="s">
        <v>53</v>
      </c>
      <c r="B1139" s="48">
        <v>46023</v>
      </c>
      <c r="C1139" s="26"/>
      <c r="I1139" t="s">
        <v>3120</v>
      </c>
      <c r="J1139" t="s">
        <v>3121</v>
      </c>
      <c r="K1139" t="s">
        <v>59</v>
      </c>
      <c r="L1139" t="s">
        <v>43</v>
      </c>
      <c r="M1139" t="s">
        <v>2686</v>
      </c>
      <c r="N1139" t="s">
        <v>59</v>
      </c>
      <c r="O1139" t="s">
        <v>143</v>
      </c>
      <c r="P1139" t="s">
        <v>144</v>
      </c>
      <c r="Q1139">
        <v>16</v>
      </c>
      <c r="R1139" t="s">
        <v>2282</v>
      </c>
      <c r="S1139" t="s">
        <v>129</v>
      </c>
      <c r="T1139" s="52"/>
    </row>
    <row r="1140" spans="1:20" x14ac:dyDescent="0.3">
      <c r="A1140" t="s">
        <v>53</v>
      </c>
      <c r="B1140" s="48">
        <v>46023</v>
      </c>
      <c r="C1140" s="26"/>
      <c r="I1140" t="s">
        <v>3122</v>
      </c>
      <c r="J1140" t="s">
        <v>3123</v>
      </c>
      <c r="K1140" t="s">
        <v>59</v>
      </c>
      <c r="L1140" t="s">
        <v>43</v>
      </c>
      <c r="M1140" t="s">
        <v>2686</v>
      </c>
      <c r="N1140" t="s">
        <v>59</v>
      </c>
      <c r="O1140" t="s">
        <v>143</v>
      </c>
      <c r="P1140" t="s">
        <v>144</v>
      </c>
      <c r="Q1140">
        <v>31</v>
      </c>
      <c r="R1140" t="s">
        <v>2282</v>
      </c>
      <c r="S1140" t="s">
        <v>129</v>
      </c>
      <c r="T1140" s="52"/>
    </row>
    <row r="1141" spans="1:20" x14ac:dyDescent="0.3">
      <c r="A1141" t="s">
        <v>53</v>
      </c>
      <c r="B1141" s="48">
        <v>46023</v>
      </c>
      <c r="C1141" s="26"/>
      <c r="I1141" t="s">
        <v>3124</v>
      </c>
      <c r="J1141" t="s">
        <v>3125</v>
      </c>
      <c r="K1141" t="s">
        <v>59</v>
      </c>
      <c r="L1141" t="s">
        <v>43</v>
      </c>
      <c r="M1141" t="s">
        <v>2686</v>
      </c>
      <c r="N1141" t="s">
        <v>59</v>
      </c>
      <c r="O1141" t="s">
        <v>143</v>
      </c>
      <c r="P1141" t="s">
        <v>144</v>
      </c>
      <c r="Q1141">
        <v>15</v>
      </c>
      <c r="R1141" t="s">
        <v>2282</v>
      </c>
      <c r="S1141" t="s">
        <v>129</v>
      </c>
      <c r="T1141" s="52"/>
    </row>
    <row r="1142" spans="1:20" x14ac:dyDescent="0.3">
      <c r="A1142" t="s">
        <v>53</v>
      </c>
      <c r="B1142" s="48">
        <v>46023</v>
      </c>
      <c r="C1142" s="26"/>
      <c r="I1142" t="s">
        <v>3126</v>
      </c>
      <c r="J1142" t="s">
        <v>3127</v>
      </c>
      <c r="K1142" t="s">
        <v>59</v>
      </c>
      <c r="L1142" t="s">
        <v>43</v>
      </c>
      <c r="M1142" t="s">
        <v>2686</v>
      </c>
      <c r="N1142" t="s">
        <v>59</v>
      </c>
      <c r="O1142" t="s">
        <v>143</v>
      </c>
      <c r="P1142" t="s">
        <v>144</v>
      </c>
      <c r="Q1142">
        <v>21</v>
      </c>
      <c r="R1142" t="s">
        <v>2282</v>
      </c>
      <c r="S1142" t="s">
        <v>129</v>
      </c>
      <c r="T1142" s="52"/>
    </row>
    <row r="1143" spans="1:20" x14ac:dyDescent="0.3">
      <c r="A1143" t="s">
        <v>53</v>
      </c>
      <c r="B1143" s="48">
        <v>46023</v>
      </c>
      <c r="C1143" s="26"/>
      <c r="I1143" t="s">
        <v>3128</v>
      </c>
      <c r="J1143" t="s">
        <v>3129</v>
      </c>
      <c r="K1143" t="s">
        <v>59</v>
      </c>
      <c r="L1143" t="s">
        <v>43</v>
      </c>
      <c r="M1143" t="s">
        <v>3130</v>
      </c>
      <c r="N1143" t="s">
        <v>59</v>
      </c>
      <c r="O1143" t="s">
        <v>143</v>
      </c>
      <c r="P1143" t="s">
        <v>144</v>
      </c>
      <c r="Q1143">
        <v>5</v>
      </c>
      <c r="R1143" t="s">
        <v>2282</v>
      </c>
      <c r="S1143" t="s">
        <v>309</v>
      </c>
      <c r="T1143" s="52"/>
    </row>
    <row r="1144" spans="1:20" x14ac:dyDescent="0.3">
      <c r="A1144" t="s">
        <v>53</v>
      </c>
      <c r="B1144" s="48">
        <v>46023</v>
      </c>
      <c r="C1144" s="26"/>
      <c r="I1144" t="s">
        <v>3131</v>
      </c>
      <c r="J1144" t="s">
        <v>3132</v>
      </c>
      <c r="K1144" t="s">
        <v>59</v>
      </c>
      <c r="L1144" t="s">
        <v>43</v>
      </c>
      <c r="M1144" t="s">
        <v>3130</v>
      </c>
      <c r="N1144" t="s">
        <v>59</v>
      </c>
      <c r="O1144" t="s">
        <v>143</v>
      </c>
      <c r="P1144" t="s">
        <v>144</v>
      </c>
      <c r="Q1144">
        <v>12</v>
      </c>
      <c r="R1144" t="s">
        <v>2282</v>
      </c>
      <c r="S1144" t="s">
        <v>309</v>
      </c>
      <c r="T1144" s="52"/>
    </row>
    <row r="1145" spans="1:20" x14ac:dyDescent="0.3">
      <c r="A1145" t="s">
        <v>53</v>
      </c>
      <c r="B1145" s="48">
        <v>46023</v>
      </c>
      <c r="C1145" s="26"/>
      <c r="I1145" t="s">
        <v>3133</v>
      </c>
      <c r="J1145" t="s">
        <v>3134</v>
      </c>
      <c r="K1145" t="s">
        <v>59</v>
      </c>
      <c r="L1145" t="s">
        <v>43</v>
      </c>
      <c r="M1145" t="s">
        <v>3130</v>
      </c>
      <c r="N1145" t="s">
        <v>59</v>
      </c>
      <c r="O1145" t="s">
        <v>143</v>
      </c>
      <c r="P1145" t="s">
        <v>144</v>
      </c>
      <c r="Q1145">
        <v>12</v>
      </c>
      <c r="R1145" t="s">
        <v>2282</v>
      </c>
      <c r="S1145" t="s">
        <v>309</v>
      </c>
      <c r="T1145" s="52"/>
    </row>
    <row r="1146" spans="1:20" x14ac:dyDescent="0.3">
      <c r="A1146" t="s">
        <v>53</v>
      </c>
      <c r="B1146" s="48">
        <v>46023</v>
      </c>
      <c r="C1146" s="26"/>
      <c r="I1146" t="s">
        <v>3135</v>
      </c>
      <c r="J1146" t="s">
        <v>3136</v>
      </c>
      <c r="K1146" t="s">
        <v>59</v>
      </c>
      <c r="L1146" t="s">
        <v>43</v>
      </c>
      <c r="M1146" t="s">
        <v>3130</v>
      </c>
      <c r="N1146" t="s">
        <v>59</v>
      </c>
      <c r="O1146" t="s">
        <v>143</v>
      </c>
      <c r="P1146" t="s">
        <v>144</v>
      </c>
      <c r="Q1146">
        <v>1</v>
      </c>
      <c r="R1146" t="s">
        <v>2282</v>
      </c>
      <c r="S1146" t="s">
        <v>309</v>
      </c>
      <c r="T1146" s="52"/>
    </row>
    <row r="1147" spans="1:20" x14ac:dyDescent="0.3">
      <c r="A1147" t="s">
        <v>53</v>
      </c>
      <c r="B1147" s="48">
        <v>46023</v>
      </c>
      <c r="C1147" s="26"/>
      <c r="I1147" t="s">
        <v>3137</v>
      </c>
      <c r="J1147" t="s">
        <v>3138</v>
      </c>
      <c r="K1147" t="s">
        <v>59</v>
      </c>
      <c r="L1147" t="s">
        <v>43</v>
      </c>
      <c r="M1147" t="s">
        <v>3130</v>
      </c>
      <c r="N1147" t="s">
        <v>59</v>
      </c>
      <c r="O1147" t="s">
        <v>143</v>
      </c>
      <c r="P1147" t="s">
        <v>144</v>
      </c>
      <c r="Q1147">
        <v>54</v>
      </c>
      <c r="R1147" t="s">
        <v>2282</v>
      </c>
      <c r="S1147" t="s">
        <v>309</v>
      </c>
      <c r="T1147" s="52"/>
    </row>
    <row r="1148" spans="1:20" x14ac:dyDescent="0.3">
      <c r="A1148" t="s">
        <v>53</v>
      </c>
      <c r="B1148" s="48">
        <v>46023</v>
      </c>
      <c r="C1148" s="26"/>
      <c r="I1148" t="s">
        <v>3139</v>
      </c>
      <c r="J1148" t="s">
        <v>3140</v>
      </c>
      <c r="K1148" t="s">
        <v>59</v>
      </c>
      <c r="L1148" t="s">
        <v>43</v>
      </c>
      <c r="M1148" t="s">
        <v>3130</v>
      </c>
      <c r="N1148" t="s">
        <v>59</v>
      </c>
      <c r="O1148" t="s">
        <v>143</v>
      </c>
      <c r="P1148" t="s">
        <v>144</v>
      </c>
      <c r="Q1148">
        <v>8</v>
      </c>
      <c r="R1148" t="s">
        <v>2282</v>
      </c>
      <c r="S1148" t="s">
        <v>309</v>
      </c>
      <c r="T1148" s="52"/>
    </row>
    <row r="1149" spans="1:20" x14ac:dyDescent="0.3">
      <c r="A1149" t="s">
        <v>53</v>
      </c>
      <c r="B1149" s="48">
        <v>46023</v>
      </c>
      <c r="C1149" s="26"/>
      <c r="I1149" t="s">
        <v>3141</v>
      </c>
      <c r="J1149" t="s">
        <v>3142</v>
      </c>
      <c r="K1149" t="s">
        <v>59</v>
      </c>
      <c r="L1149" t="s">
        <v>43</v>
      </c>
      <c r="M1149" t="s">
        <v>3130</v>
      </c>
      <c r="N1149" t="s">
        <v>59</v>
      </c>
      <c r="O1149" t="s">
        <v>143</v>
      </c>
      <c r="P1149" t="s">
        <v>144</v>
      </c>
      <c r="Q1149">
        <v>134</v>
      </c>
      <c r="R1149" t="s">
        <v>2282</v>
      </c>
      <c r="S1149" t="s">
        <v>309</v>
      </c>
      <c r="T1149" s="52"/>
    </row>
    <row r="1150" spans="1:20" x14ac:dyDescent="0.3">
      <c r="A1150" t="s">
        <v>53</v>
      </c>
      <c r="B1150" s="48">
        <v>46023</v>
      </c>
      <c r="C1150" s="26"/>
      <c r="I1150" t="s">
        <v>3143</v>
      </c>
      <c r="J1150" t="s">
        <v>3144</v>
      </c>
      <c r="K1150" t="s">
        <v>59</v>
      </c>
      <c r="L1150" t="s">
        <v>43</v>
      </c>
      <c r="M1150" t="s">
        <v>3130</v>
      </c>
      <c r="N1150" t="s">
        <v>59</v>
      </c>
      <c r="O1150" t="s">
        <v>143</v>
      </c>
      <c r="P1150" t="s">
        <v>144</v>
      </c>
      <c r="Q1150">
        <v>13</v>
      </c>
      <c r="R1150" t="s">
        <v>2282</v>
      </c>
      <c r="S1150" t="s">
        <v>309</v>
      </c>
      <c r="T1150" s="52"/>
    </row>
    <row r="1151" spans="1:20" x14ac:dyDescent="0.3">
      <c r="A1151" t="s">
        <v>53</v>
      </c>
      <c r="B1151" s="48">
        <v>46023</v>
      </c>
      <c r="C1151" s="26"/>
      <c r="I1151" t="s">
        <v>3145</v>
      </c>
      <c r="J1151" t="s">
        <v>3146</v>
      </c>
      <c r="K1151" t="s">
        <v>59</v>
      </c>
      <c r="L1151" t="s">
        <v>43</v>
      </c>
      <c r="M1151" t="s">
        <v>3130</v>
      </c>
      <c r="N1151" t="s">
        <v>59</v>
      </c>
      <c r="O1151" t="s">
        <v>143</v>
      </c>
      <c r="P1151" t="s">
        <v>144</v>
      </c>
      <c r="Q1151">
        <v>23</v>
      </c>
      <c r="R1151" t="s">
        <v>2282</v>
      </c>
      <c r="S1151" t="s">
        <v>309</v>
      </c>
      <c r="T1151" s="52"/>
    </row>
    <row r="1152" spans="1:20" x14ac:dyDescent="0.3">
      <c r="A1152" t="s">
        <v>53</v>
      </c>
      <c r="B1152" s="48">
        <v>46023</v>
      </c>
      <c r="C1152" s="26"/>
      <c r="I1152" t="s">
        <v>3147</v>
      </c>
      <c r="J1152" t="s">
        <v>3148</v>
      </c>
      <c r="K1152" t="s">
        <v>59</v>
      </c>
      <c r="L1152" t="s">
        <v>43</v>
      </c>
      <c r="M1152" t="s">
        <v>3130</v>
      </c>
      <c r="N1152" t="s">
        <v>59</v>
      </c>
      <c r="O1152" t="s">
        <v>143</v>
      </c>
      <c r="P1152" t="s">
        <v>144</v>
      </c>
      <c r="Q1152">
        <v>25</v>
      </c>
      <c r="R1152" t="s">
        <v>2282</v>
      </c>
      <c r="S1152" t="s">
        <v>309</v>
      </c>
      <c r="T1152" s="52"/>
    </row>
    <row r="1153" spans="1:20" x14ac:dyDescent="0.3">
      <c r="A1153" t="s">
        <v>53</v>
      </c>
      <c r="B1153" s="48">
        <v>46023</v>
      </c>
      <c r="C1153" s="26"/>
      <c r="I1153" t="s">
        <v>3149</v>
      </c>
      <c r="J1153" t="s">
        <v>3150</v>
      </c>
      <c r="K1153" t="s">
        <v>59</v>
      </c>
      <c r="L1153" t="s">
        <v>43</v>
      </c>
      <c r="M1153" t="s">
        <v>3151</v>
      </c>
      <c r="N1153" t="s">
        <v>59</v>
      </c>
      <c r="O1153" t="s">
        <v>143</v>
      </c>
      <c r="P1153" t="s">
        <v>144</v>
      </c>
      <c r="Q1153">
        <v>3</v>
      </c>
      <c r="R1153" t="s">
        <v>2282</v>
      </c>
      <c r="S1153" t="s">
        <v>309</v>
      </c>
      <c r="T1153" s="52"/>
    </row>
    <row r="1154" spans="1:20" x14ac:dyDescent="0.3">
      <c r="A1154" t="s">
        <v>53</v>
      </c>
      <c r="B1154" s="48">
        <v>46023</v>
      </c>
      <c r="C1154" s="26"/>
      <c r="I1154" t="s">
        <v>3152</v>
      </c>
      <c r="J1154" t="s">
        <v>3153</v>
      </c>
      <c r="K1154" t="s">
        <v>3154</v>
      </c>
      <c r="L1154" t="s">
        <v>43</v>
      </c>
      <c r="M1154" t="s">
        <v>3130</v>
      </c>
      <c r="N1154" t="s">
        <v>59</v>
      </c>
      <c r="O1154" t="s">
        <v>143</v>
      </c>
      <c r="P1154" t="s">
        <v>144</v>
      </c>
      <c r="Q1154">
        <v>9</v>
      </c>
      <c r="R1154" t="s">
        <v>2282</v>
      </c>
      <c r="S1154" t="s">
        <v>309</v>
      </c>
      <c r="T1154" s="52"/>
    </row>
    <row r="1155" spans="1:20" x14ac:dyDescent="0.3">
      <c r="A1155" t="s">
        <v>53</v>
      </c>
      <c r="B1155" s="48">
        <v>46023</v>
      </c>
      <c r="C1155" s="26"/>
      <c r="I1155" t="s">
        <v>3155</v>
      </c>
      <c r="J1155" t="s">
        <v>3156</v>
      </c>
      <c r="K1155" t="s">
        <v>3157</v>
      </c>
      <c r="L1155" t="s">
        <v>43</v>
      </c>
      <c r="M1155" t="s">
        <v>3130</v>
      </c>
      <c r="N1155" t="s">
        <v>59</v>
      </c>
      <c r="O1155" t="s">
        <v>143</v>
      </c>
      <c r="P1155" t="s">
        <v>144</v>
      </c>
      <c r="Q1155">
        <v>12</v>
      </c>
      <c r="R1155" t="s">
        <v>2282</v>
      </c>
      <c r="S1155" t="s">
        <v>309</v>
      </c>
      <c r="T1155" s="52"/>
    </row>
    <row r="1156" spans="1:20" x14ac:dyDescent="0.3">
      <c r="A1156" t="s">
        <v>53</v>
      </c>
      <c r="B1156" s="48">
        <v>46023</v>
      </c>
      <c r="C1156" s="26"/>
      <c r="I1156" t="s">
        <v>3158</v>
      </c>
      <c r="J1156" t="s">
        <v>3159</v>
      </c>
      <c r="K1156" t="s">
        <v>3160</v>
      </c>
      <c r="L1156" t="s">
        <v>43</v>
      </c>
      <c r="M1156" t="s">
        <v>3130</v>
      </c>
      <c r="N1156" t="s">
        <v>59</v>
      </c>
      <c r="O1156" t="s">
        <v>143</v>
      </c>
      <c r="P1156" t="s">
        <v>144</v>
      </c>
      <c r="Q1156">
        <v>6</v>
      </c>
      <c r="R1156" t="s">
        <v>2282</v>
      </c>
      <c r="S1156" t="s">
        <v>309</v>
      </c>
      <c r="T1156" s="52"/>
    </row>
    <row r="1157" spans="1:20" x14ac:dyDescent="0.3">
      <c r="A1157" t="s">
        <v>53</v>
      </c>
      <c r="B1157" s="48">
        <v>46023</v>
      </c>
      <c r="C1157" s="26"/>
      <c r="I1157" t="s">
        <v>3161</v>
      </c>
      <c r="J1157" t="s">
        <v>3162</v>
      </c>
      <c r="K1157" t="s">
        <v>3160</v>
      </c>
      <c r="L1157" t="s">
        <v>43</v>
      </c>
      <c r="M1157" t="s">
        <v>3130</v>
      </c>
      <c r="N1157" t="s">
        <v>59</v>
      </c>
      <c r="O1157" t="s">
        <v>116</v>
      </c>
      <c r="P1157" t="s">
        <v>144</v>
      </c>
      <c r="Q1157">
        <v>2</v>
      </c>
      <c r="R1157" t="s">
        <v>2282</v>
      </c>
      <c r="S1157" t="s">
        <v>309</v>
      </c>
      <c r="T1157" s="52"/>
    </row>
    <row r="1158" spans="1:20" x14ac:dyDescent="0.3">
      <c r="A1158" t="s">
        <v>53</v>
      </c>
      <c r="B1158" s="48">
        <v>46023</v>
      </c>
      <c r="C1158" s="26"/>
      <c r="I1158" t="s">
        <v>3163</v>
      </c>
      <c r="J1158" t="s">
        <v>3164</v>
      </c>
      <c r="K1158" t="s">
        <v>59</v>
      </c>
      <c r="L1158" t="s">
        <v>43</v>
      </c>
      <c r="M1158" t="s">
        <v>3130</v>
      </c>
      <c r="N1158" t="s">
        <v>59</v>
      </c>
      <c r="O1158" t="s">
        <v>116</v>
      </c>
      <c r="P1158" t="s">
        <v>144</v>
      </c>
      <c r="Q1158">
        <v>1</v>
      </c>
      <c r="R1158" t="s">
        <v>2282</v>
      </c>
      <c r="S1158" t="s">
        <v>309</v>
      </c>
      <c r="T1158" s="52"/>
    </row>
    <row r="1159" spans="1:20" x14ac:dyDescent="0.3">
      <c r="A1159" t="s">
        <v>53</v>
      </c>
      <c r="B1159" s="48">
        <v>46023</v>
      </c>
      <c r="C1159" s="26"/>
      <c r="I1159" t="s">
        <v>3165</v>
      </c>
      <c r="J1159" t="s">
        <v>3166</v>
      </c>
      <c r="K1159" t="s">
        <v>59</v>
      </c>
      <c r="L1159" t="s">
        <v>43</v>
      </c>
      <c r="M1159" t="s">
        <v>3130</v>
      </c>
      <c r="N1159" t="s">
        <v>59</v>
      </c>
      <c r="O1159" t="s">
        <v>116</v>
      </c>
      <c r="P1159" t="s">
        <v>144</v>
      </c>
      <c r="Q1159">
        <v>18</v>
      </c>
      <c r="R1159" t="s">
        <v>2282</v>
      </c>
      <c r="S1159" t="s">
        <v>309</v>
      </c>
      <c r="T1159" s="52"/>
    </row>
    <row r="1160" spans="1:20" x14ac:dyDescent="0.3">
      <c r="A1160" t="s">
        <v>53</v>
      </c>
      <c r="B1160" s="48">
        <v>46023</v>
      </c>
      <c r="C1160" s="26"/>
      <c r="I1160" t="s">
        <v>3167</v>
      </c>
      <c r="J1160" t="s">
        <v>3168</v>
      </c>
      <c r="K1160" t="s">
        <v>59</v>
      </c>
      <c r="L1160" t="s">
        <v>43</v>
      </c>
      <c r="M1160" t="s">
        <v>3130</v>
      </c>
      <c r="N1160" t="s">
        <v>59</v>
      </c>
      <c r="O1160" t="s">
        <v>116</v>
      </c>
      <c r="P1160" t="s">
        <v>144</v>
      </c>
      <c r="Q1160">
        <v>7</v>
      </c>
      <c r="R1160" t="s">
        <v>2282</v>
      </c>
      <c r="S1160" t="s">
        <v>309</v>
      </c>
      <c r="T1160" s="52"/>
    </row>
    <row r="1161" spans="1:20" x14ac:dyDescent="0.3">
      <c r="A1161" t="s">
        <v>53</v>
      </c>
      <c r="B1161" s="48">
        <v>46023</v>
      </c>
      <c r="C1161" s="26"/>
      <c r="I1161" t="s">
        <v>3169</v>
      </c>
      <c r="J1161" t="s">
        <v>3170</v>
      </c>
      <c r="K1161" t="s">
        <v>3084</v>
      </c>
      <c r="L1161" t="s">
        <v>43</v>
      </c>
      <c r="M1161" t="s">
        <v>3151</v>
      </c>
      <c r="N1161" t="s">
        <v>3171</v>
      </c>
      <c r="O1161" t="s">
        <v>116</v>
      </c>
      <c r="P1161" t="s">
        <v>144</v>
      </c>
      <c r="Q1161">
        <v>1</v>
      </c>
      <c r="R1161" t="s">
        <v>2679</v>
      </c>
      <c r="S1161" t="s">
        <v>309</v>
      </c>
      <c r="T1161" s="52"/>
    </row>
    <row r="1162" spans="1:20" x14ac:dyDescent="0.3">
      <c r="A1162" t="s">
        <v>53</v>
      </c>
      <c r="B1162" s="48">
        <v>46023</v>
      </c>
      <c r="C1162" s="26"/>
      <c r="I1162" t="s">
        <v>3172</v>
      </c>
      <c r="J1162" t="s">
        <v>3173</v>
      </c>
      <c r="K1162" t="s">
        <v>3174</v>
      </c>
      <c r="L1162" t="s">
        <v>43</v>
      </c>
      <c r="M1162" t="s">
        <v>475</v>
      </c>
      <c r="N1162" t="s">
        <v>59</v>
      </c>
      <c r="O1162" t="s">
        <v>143</v>
      </c>
      <c r="P1162" t="s">
        <v>144</v>
      </c>
      <c r="Q1162">
        <v>6</v>
      </c>
      <c r="R1162" t="s">
        <v>3175</v>
      </c>
      <c r="S1162" t="s">
        <v>129</v>
      </c>
      <c r="T1162" s="52"/>
    </row>
    <row r="1163" spans="1:20" x14ac:dyDescent="0.3">
      <c r="A1163" t="s">
        <v>53</v>
      </c>
      <c r="B1163" s="48">
        <v>46023</v>
      </c>
      <c r="C1163" s="26"/>
      <c r="I1163" t="s">
        <v>3176</v>
      </c>
      <c r="J1163" t="s">
        <v>3177</v>
      </c>
      <c r="K1163" t="s">
        <v>3174</v>
      </c>
      <c r="L1163" t="s">
        <v>43</v>
      </c>
      <c r="M1163" t="s">
        <v>475</v>
      </c>
      <c r="N1163" t="s">
        <v>59</v>
      </c>
      <c r="O1163" t="s">
        <v>143</v>
      </c>
      <c r="P1163" t="s">
        <v>144</v>
      </c>
      <c r="Q1163">
        <v>5</v>
      </c>
      <c r="R1163" t="s">
        <v>3175</v>
      </c>
      <c r="S1163" t="s">
        <v>129</v>
      </c>
      <c r="T1163" s="52"/>
    </row>
    <row r="1164" spans="1:20" x14ac:dyDescent="0.3">
      <c r="A1164" t="s">
        <v>53</v>
      </c>
      <c r="B1164" s="48">
        <v>46023</v>
      </c>
      <c r="C1164" s="26"/>
      <c r="I1164" t="s">
        <v>3178</v>
      </c>
      <c r="J1164" t="s">
        <v>3179</v>
      </c>
      <c r="K1164" t="s">
        <v>3174</v>
      </c>
      <c r="L1164" t="s">
        <v>43</v>
      </c>
      <c r="M1164" t="s">
        <v>475</v>
      </c>
      <c r="N1164" t="s">
        <v>59</v>
      </c>
      <c r="O1164" t="s">
        <v>143</v>
      </c>
      <c r="P1164" t="s">
        <v>144</v>
      </c>
      <c r="Q1164">
        <v>4</v>
      </c>
      <c r="R1164" t="s">
        <v>3175</v>
      </c>
      <c r="S1164" t="s">
        <v>129</v>
      </c>
      <c r="T1164" s="52"/>
    </row>
    <row r="1165" spans="1:20" x14ac:dyDescent="0.3">
      <c r="A1165" t="s">
        <v>53</v>
      </c>
      <c r="B1165" s="48">
        <v>46023</v>
      </c>
      <c r="C1165" s="26"/>
      <c r="I1165" t="s">
        <v>3180</v>
      </c>
      <c r="J1165" t="s">
        <v>3181</v>
      </c>
      <c r="K1165" t="s">
        <v>3182</v>
      </c>
      <c r="L1165" t="s">
        <v>43</v>
      </c>
      <c r="M1165" t="s">
        <v>475</v>
      </c>
      <c r="N1165" t="s">
        <v>59</v>
      </c>
      <c r="O1165" t="s">
        <v>143</v>
      </c>
      <c r="P1165" t="s">
        <v>144</v>
      </c>
      <c r="Q1165">
        <v>3</v>
      </c>
      <c r="R1165" t="s">
        <v>3175</v>
      </c>
      <c r="S1165" t="s">
        <v>129</v>
      </c>
      <c r="T1165" s="52"/>
    </row>
    <row r="1166" spans="1:20" x14ac:dyDescent="0.3">
      <c r="A1166" t="s">
        <v>53</v>
      </c>
      <c r="B1166" s="48">
        <v>46023</v>
      </c>
      <c r="C1166" s="26"/>
      <c r="I1166" t="s">
        <v>3183</v>
      </c>
      <c r="J1166" t="s">
        <v>3184</v>
      </c>
      <c r="K1166" t="s">
        <v>3182</v>
      </c>
      <c r="L1166" t="s">
        <v>43</v>
      </c>
      <c r="M1166" t="s">
        <v>475</v>
      </c>
      <c r="N1166" t="s">
        <v>59</v>
      </c>
      <c r="O1166" t="s">
        <v>143</v>
      </c>
      <c r="P1166" t="s">
        <v>144</v>
      </c>
      <c r="Q1166">
        <v>3</v>
      </c>
      <c r="R1166" t="s">
        <v>3175</v>
      </c>
      <c r="S1166" t="s">
        <v>129</v>
      </c>
      <c r="T1166" s="52"/>
    </row>
    <row r="1167" spans="1:20" x14ac:dyDescent="0.3">
      <c r="A1167" t="s">
        <v>53</v>
      </c>
      <c r="B1167" s="48">
        <v>46023</v>
      </c>
      <c r="C1167" s="26"/>
      <c r="I1167" t="s">
        <v>3185</v>
      </c>
      <c r="J1167" t="s">
        <v>3186</v>
      </c>
      <c r="K1167" t="s">
        <v>3182</v>
      </c>
      <c r="L1167" t="s">
        <v>43</v>
      </c>
      <c r="M1167" t="s">
        <v>475</v>
      </c>
      <c r="N1167" t="s">
        <v>59</v>
      </c>
      <c r="O1167" t="s">
        <v>143</v>
      </c>
      <c r="P1167" t="s">
        <v>144</v>
      </c>
      <c r="Q1167">
        <v>4</v>
      </c>
      <c r="R1167" t="s">
        <v>3175</v>
      </c>
      <c r="S1167" t="s">
        <v>129</v>
      </c>
      <c r="T1167" s="52"/>
    </row>
    <row r="1168" spans="1:20" x14ac:dyDescent="0.3">
      <c r="A1168" t="s">
        <v>53</v>
      </c>
      <c r="B1168" s="48">
        <v>46023</v>
      </c>
      <c r="C1168" s="26"/>
      <c r="I1168" t="s">
        <v>3187</v>
      </c>
      <c r="J1168" t="s">
        <v>3188</v>
      </c>
      <c r="K1168" t="s">
        <v>59</v>
      </c>
      <c r="L1168" t="s">
        <v>43</v>
      </c>
      <c r="M1168" t="s">
        <v>475</v>
      </c>
      <c r="N1168" t="s">
        <v>59</v>
      </c>
      <c r="O1168" t="s">
        <v>116</v>
      </c>
      <c r="P1168" t="s">
        <v>144</v>
      </c>
      <c r="Q1168">
        <v>727</v>
      </c>
      <c r="R1168" t="s">
        <v>2851</v>
      </c>
      <c r="S1168" t="s">
        <v>129</v>
      </c>
      <c r="T1168" s="52"/>
    </row>
    <row r="1169" spans="1:20" x14ac:dyDescent="0.3">
      <c r="A1169" t="s">
        <v>53</v>
      </c>
      <c r="B1169" s="48">
        <v>46023</v>
      </c>
      <c r="C1169" s="26"/>
      <c r="I1169" t="s">
        <v>3189</v>
      </c>
      <c r="J1169" t="s">
        <v>3190</v>
      </c>
      <c r="K1169" t="s">
        <v>59</v>
      </c>
      <c r="L1169" t="s">
        <v>43</v>
      </c>
      <c r="M1169" t="s">
        <v>475</v>
      </c>
      <c r="N1169" t="s">
        <v>59</v>
      </c>
      <c r="O1169" t="s">
        <v>143</v>
      </c>
      <c r="P1169" t="s">
        <v>144</v>
      </c>
      <c r="Q1169">
        <v>60</v>
      </c>
      <c r="R1169" t="s">
        <v>2851</v>
      </c>
      <c r="S1169" t="s">
        <v>129</v>
      </c>
      <c r="T1169" s="52"/>
    </row>
    <row r="1170" spans="1:20" x14ac:dyDescent="0.3">
      <c r="A1170" t="s">
        <v>53</v>
      </c>
      <c r="B1170" s="48">
        <v>46023</v>
      </c>
      <c r="C1170" s="26"/>
      <c r="I1170" t="s">
        <v>3191</v>
      </c>
      <c r="J1170" t="s">
        <v>3192</v>
      </c>
      <c r="K1170" t="s">
        <v>59</v>
      </c>
      <c r="L1170" t="s">
        <v>43</v>
      </c>
      <c r="M1170" t="s">
        <v>475</v>
      </c>
      <c r="N1170" t="s">
        <v>59</v>
      </c>
      <c r="O1170" t="s">
        <v>143</v>
      </c>
      <c r="P1170" t="s">
        <v>144</v>
      </c>
      <c r="Q1170">
        <v>17</v>
      </c>
      <c r="R1170" t="s">
        <v>2851</v>
      </c>
      <c r="S1170" t="s">
        <v>129</v>
      </c>
      <c r="T1170" s="52"/>
    </row>
    <row r="1171" spans="1:20" x14ac:dyDescent="0.3">
      <c r="A1171" t="s">
        <v>53</v>
      </c>
      <c r="B1171" s="48">
        <v>46023</v>
      </c>
      <c r="C1171" s="26"/>
      <c r="I1171" t="s">
        <v>3193</v>
      </c>
      <c r="J1171" t="s">
        <v>3194</v>
      </c>
      <c r="K1171" t="s">
        <v>59</v>
      </c>
      <c r="L1171" t="s">
        <v>43</v>
      </c>
      <c r="M1171" t="s">
        <v>475</v>
      </c>
      <c r="N1171" t="s">
        <v>59</v>
      </c>
      <c r="O1171" t="s">
        <v>143</v>
      </c>
      <c r="P1171" t="s">
        <v>144</v>
      </c>
      <c r="Q1171">
        <v>14</v>
      </c>
      <c r="R1171" t="s">
        <v>2851</v>
      </c>
      <c r="S1171" t="s">
        <v>129</v>
      </c>
      <c r="T1171" s="52"/>
    </row>
    <row r="1172" spans="1:20" x14ac:dyDescent="0.3">
      <c r="A1172" t="s">
        <v>53</v>
      </c>
      <c r="B1172" s="48">
        <v>46023</v>
      </c>
      <c r="C1172" s="26"/>
      <c r="I1172" t="s">
        <v>3195</v>
      </c>
      <c r="J1172" t="s">
        <v>3196</v>
      </c>
      <c r="K1172" t="s">
        <v>59</v>
      </c>
      <c r="L1172" t="s">
        <v>43</v>
      </c>
      <c r="M1172" t="s">
        <v>475</v>
      </c>
      <c r="N1172" t="s">
        <v>59</v>
      </c>
      <c r="O1172" t="s">
        <v>116</v>
      </c>
      <c r="P1172" t="s">
        <v>144</v>
      </c>
      <c r="Q1172">
        <v>9</v>
      </c>
      <c r="R1172" t="s">
        <v>2851</v>
      </c>
      <c r="S1172" t="s">
        <v>129</v>
      </c>
      <c r="T1172" s="52"/>
    </row>
    <row r="1173" spans="1:20" x14ac:dyDescent="0.3">
      <c r="A1173" t="s">
        <v>53</v>
      </c>
      <c r="B1173" s="48">
        <v>46023</v>
      </c>
      <c r="C1173" s="26"/>
      <c r="I1173" t="s">
        <v>3197</v>
      </c>
      <c r="J1173" t="s">
        <v>3198</v>
      </c>
      <c r="K1173" t="s">
        <v>59</v>
      </c>
      <c r="L1173" t="s">
        <v>43</v>
      </c>
      <c r="M1173" t="s">
        <v>475</v>
      </c>
      <c r="N1173" t="s">
        <v>59</v>
      </c>
      <c r="O1173" t="s">
        <v>116</v>
      </c>
      <c r="P1173" t="s">
        <v>144</v>
      </c>
      <c r="Q1173">
        <v>29</v>
      </c>
      <c r="R1173" t="s">
        <v>2851</v>
      </c>
      <c r="S1173" t="s">
        <v>129</v>
      </c>
      <c r="T1173" s="52"/>
    </row>
    <row r="1174" spans="1:20" x14ac:dyDescent="0.3">
      <c r="A1174" t="s">
        <v>53</v>
      </c>
      <c r="B1174" s="48">
        <v>46023</v>
      </c>
      <c r="C1174" s="26"/>
      <c r="I1174" t="s">
        <v>3199</v>
      </c>
      <c r="J1174" t="s">
        <v>3200</v>
      </c>
      <c r="K1174" t="s">
        <v>59</v>
      </c>
      <c r="L1174" t="s">
        <v>43</v>
      </c>
      <c r="M1174" t="s">
        <v>475</v>
      </c>
      <c r="N1174" t="s">
        <v>59</v>
      </c>
      <c r="O1174" t="s">
        <v>116</v>
      </c>
      <c r="P1174" t="s">
        <v>144</v>
      </c>
      <c r="Q1174">
        <v>5</v>
      </c>
      <c r="R1174" t="s">
        <v>2851</v>
      </c>
      <c r="S1174" t="s">
        <v>129</v>
      </c>
      <c r="T1174" s="52"/>
    </row>
    <row r="1175" spans="1:20" x14ac:dyDescent="0.3">
      <c r="A1175" t="s">
        <v>53</v>
      </c>
      <c r="B1175" s="48">
        <v>46023</v>
      </c>
      <c r="C1175" s="26"/>
      <c r="I1175" t="s">
        <v>3201</v>
      </c>
      <c r="J1175" t="s">
        <v>3202</v>
      </c>
      <c r="K1175" t="s">
        <v>59</v>
      </c>
      <c r="L1175" t="s">
        <v>43</v>
      </c>
      <c r="M1175" t="s">
        <v>475</v>
      </c>
      <c r="N1175" t="s">
        <v>59</v>
      </c>
      <c r="O1175" t="s">
        <v>143</v>
      </c>
      <c r="P1175" t="s">
        <v>144</v>
      </c>
      <c r="Q1175">
        <v>6</v>
      </c>
      <c r="R1175" t="s">
        <v>2851</v>
      </c>
      <c r="S1175" t="s">
        <v>129</v>
      </c>
      <c r="T1175" s="52"/>
    </row>
    <row r="1176" spans="1:20" x14ac:dyDescent="0.3">
      <c r="A1176" t="s">
        <v>53</v>
      </c>
      <c r="B1176" s="48">
        <v>46023</v>
      </c>
      <c r="C1176" s="26"/>
      <c r="I1176" t="s">
        <v>3203</v>
      </c>
      <c r="J1176" t="s">
        <v>3204</v>
      </c>
      <c r="K1176" t="s">
        <v>59</v>
      </c>
      <c r="L1176" t="s">
        <v>43</v>
      </c>
      <c r="M1176" t="s">
        <v>475</v>
      </c>
      <c r="N1176" t="s">
        <v>59</v>
      </c>
      <c r="O1176" t="s">
        <v>143</v>
      </c>
      <c r="P1176" t="s">
        <v>144</v>
      </c>
      <c r="Q1176">
        <v>3</v>
      </c>
      <c r="R1176" t="s">
        <v>2851</v>
      </c>
      <c r="S1176" t="s">
        <v>129</v>
      </c>
      <c r="T1176" s="52"/>
    </row>
    <row r="1177" spans="1:20" x14ac:dyDescent="0.3">
      <c r="A1177" t="s">
        <v>53</v>
      </c>
      <c r="B1177" s="48">
        <v>46023</v>
      </c>
      <c r="C1177" s="26"/>
      <c r="I1177" t="s">
        <v>3205</v>
      </c>
      <c r="J1177" t="s">
        <v>3206</v>
      </c>
      <c r="K1177" t="s">
        <v>59</v>
      </c>
      <c r="L1177" t="s">
        <v>43</v>
      </c>
      <c r="M1177" t="s">
        <v>475</v>
      </c>
      <c r="N1177" t="s">
        <v>59</v>
      </c>
      <c r="O1177" t="s">
        <v>143</v>
      </c>
      <c r="P1177" t="s">
        <v>144</v>
      </c>
      <c r="Q1177">
        <v>110</v>
      </c>
      <c r="R1177" t="s">
        <v>2851</v>
      </c>
      <c r="S1177" t="s">
        <v>129</v>
      </c>
      <c r="T1177" s="52"/>
    </row>
    <row r="1178" spans="1:20" x14ac:dyDescent="0.3">
      <c r="A1178" t="s">
        <v>53</v>
      </c>
      <c r="B1178" s="48">
        <v>46023</v>
      </c>
      <c r="C1178" s="26"/>
      <c r="I1178" t="s">
        <v>3207</v>
      </c>
      <c r="J1178" t="s">
        <v>3208</v>
      </c>
      <c r="K1178" t="s">
        <v>59</v>
      </c>
      <c r="L1178" t="s">
        <v>43</v>
      </c>
      <c r="M1178" t="s">
        <v>475</v>
      </c>
      <c r="N1178" t="s">
        <v>59</v>
      </c>
      <c r="O1178" t="s">
        <v>143</v>
      </c>
      <c r="P1178" t="s">
        <v>144</v>
      </c>
      <c r="Q1178">
        <v>19</v>
      </c>
      <c r="R1178" t="s">
        <v>2851</v>
      </c>
      <c r="S1178" t="s">
        <v>129</v>
      </c>
      <c r="T1178" s="52"/>
    </row>
    <row r="1179" spans="1:20" x14ac:dyDescent="0.3">
      <c r="A1179" t="s">
        <v>53</v>
      </c>
      <c r="B1179" s="48">
        <v>46023</v>
      </c>
      <c r="C1179" s="26"/>
      <c r="I1179" t="s">
        <v>3209</v>
      </c>
      <c r="J1179" t="s">
        <v>3210</v>
      </c>
      <c r="K1179" t="s">
        <v>59</v>
      </c>
      <c r="L1179" t="s">
        <v>43</v>
      </c>
      <c r="M1179" t="s">
        <v>475</v>
      </c>
      <c r="N1179" t="s">
        <v>59</v>
      </c>
      <c r="O1179" t="s">
        <v>143</v>
      </c>
      <c r="P1179" t="s">
        <v>144</v>
      </c>
      <c r="Q1179">
        <v>3</v>
      </c>
      <c r="R1179" t="s">
        <v>2851</v>
      </c>
      <c r="S1179" t="s">
        <v>129</v>
      </c>
      <c r="T1179" s="52"/>
    </row>
    <row r="1180" spans="1:20" x14ac:dyDescent="0.3">
      <c r="A1180" t="s">
        <v>53</v>
      </c>
      <c r="B1180" s="48">
        <v>46023</v>
      </c>
      <c r="C1180" s="26"/>
      <c r="I1180" t="s">
        <v>3211</v>
      </c>
      <c r="J1180" t="s">
        <v>3212</v>
      </c>
      <c r="K1180" t="s">
        <v>59</v>
      </c>
      <c r="L1180" t="s">
        <v>43</v>
      </c>
      <c r="M1180" t="s">
        <v>475</v>
      </c>
      <c r="N1180" t="s">
        <v>59</v>
      </c>
      <c r="O1180" t="s">
        <v>143</v>
      </c>
      <c r="P1180" t="s">
        <v>144</v>
      </c>
      <c r="Q1180">
        <v>84</v>
      </c>
      <c r="R1180" t="s">
        <v>2851</v>
      </c>
      <c r="S1180" t="s">
        <v>129</v>
      </c>
      <c r="T1180" s="52"/>
    </row>
    <row r="1181" spans="1:20" x14ac:dyDescent="0.3">
      <c r="A1181" t="s">
        <v>53</v>
      </c>
      <c r="B1181" s="48">
        <v>46023</v>
      </c>
      <c r="C1181" s="26"/>
      <c r="I1181" t="s">
        <v>3213</v>
      </c>
      <c r="J1181" t="s">
        <v>3214</v>
      </c>
      <c r="K1181" t="s">
        <v>59</v>
      </c>
      <c r="L1181" t="s">
        <v>43</v>
      </c>
      <c r="M1181" t="s">
        <v>3215</v>
      </c>
      <c r="N1181" t="s">
        <v>59</v>
      </c>
      <c r="O1181" t="s">
        <v>143</v>
      </c>
      <c r="P1181" t="s">
        <v>144</v>
      </c>
      <c r="Q1181">
        <v>71</v>
      </c>
      <c r="R1181" t="s">
        <v>3037</v>
      </c>
      <c r="S1181" t="s">
        <v>63</v>
      </c>
      <c r="T1181" s="52"/>
    </row>
    <row r="1182" spans="1:20" x14ac:dyDescent="0.3">
      <c r="A1182" t="s">
        <v>53</v>
      </c>
      <c r="B1182" s="48">
        <v>46023</v>
      </c>
      <c r="C1182" s="26"/>
      <c r="I1182" t="s">
        <v>3216</v>
      </c>
      <c r="J1182" t="s">
        <v>3217</v>
      </c>
      <c r="K1182" t="s">
        <v>3218</v>
      </c>
      <c r="L1182" t="s">
        <v>43</v>
      </c>
      <c r="M1182" t="s">
        <v>1020</v>
      </c>
      <c r="N1182">
        <v>190272</v>
      </c>
      <c r="O1182" t="s">
        <v>468</v>
      </c>
      <c r="P1182" t="s">
        <v>144</v>
      </c>
      <c r="Q1182">
        <v>1</v>
      </c>
      <c r="R1182" t="s">
        <v>3219</v>
      </c>
      <c r="S1182" t="s">
        <v>63</v>
      </c>
      <c r="T1182" s="52"/>
    </row>
    <row r="1183" spans="1:20" x14ac:dyDescent="0.3">
      <c r="A1183" t="s">
        <v>53</v>
      </c>
      <c r="B1183" s="48">
        <v>46023</v>
      </c>
      <c r="C1183" s="26"/>
      <c r="I1183" t="s">
        <v>3220</v>
      </c>
      <c r="J1183" t="s">
        <v>3221</v>
      </c>
      <c r="K1183" t="s">
        <v>3222</v>
      </c>
      <c r="L1183" t="s">
        <v>43</v>
      </c>
      <c r="M1183" t="s">
        <v>475</v>
      </c>
      <c r="N1183" t="s">
        <v>59</v>
      </c>
      <c r="O1183" t="s">
        <v>143</v>
      </c>
      <c r="P1183" t="s">
        <v>144</v>
      </c>
      <c r="Q1183">
        <v>2</v>
      </c>
      <c r="R1183" t="s">
        <v>3223</v>
      </c>
      <c r="S1183" t="s">
        <v>129</v>
      </c>
      <c r="T1183" s="52"/>
    </row>
    <row r="1184" spans="1:20" x14ac:dyDescent="0.3">
      <c r="A1184" t="s">
        <v>53</v>
      </c>
      <c r="B1184" s="48">
        <v>46023</v>
      </c>
      <c r="C1184" s="26"/>
      <c r="I1184" t="s">
        <v>3224</v>
      </c>
      <c r="J1184" t="s">
        <v>3225</v>
      </c>
      <c r="K1184" t="s">
        <v>3222</v>
      </c>
      <c r="L1184" t="s">
        <v>43</v>
      </c>
      <c r="M1184" t="s">
        <v>475</v>
      </c>
      <c r="N1184" t="s">
        <v>59</v>
      </c>
      <c r="O1184" t="s">
        <v>143</v>
      </c>
      <c r="P1184" t="s">
        <v>144</v>
      </c>
      <c r="Q1184">
        <v>4</v>
      </c>
      <c r="R1184" t="s">
        <v>3223</v>
      </c>
      <c r="S1184" t="s">
        <v>129</v>
      </c>
      <c r="T1184" s="52"/>
    </row>
    <row r="1185" spans="1:20" x14ac:dyDescent="0.3">
      <c r="A1185" t="s">
        <v>53</v>
      </c>
      <c r="B1185" s="48">
        <v>46023</v>
      </c>
      <c r="C1185" s="26"/>
      <c r="I1185" t="s">
        <v>3226</v>
      </c>
      <c r="J1185" t="s">
        <v>3221</v>
      </c>
      <c r="K1185" t="s">
        <v>3222</v>
      </c>
      <c r="L1185" t="s">
        <v>43</v>
      </c>
      <c r="M1185" t="s">
        <v>475</v>
      </c>
      <c r="N1185" t="s">
        <v>59</v>
      </c>
      <c r="O1185" t="s">
        <v>116</v>
      </c>
      <c r="P1185" t="s">
        <v>144</v>
      </c>
      <c r="Q1185">
        <v>55</v>
      </c>
      <c r="R1185" t="s">
        <v>3223</v>
      </c>
      <c r="S1185" t="s">
        <v>129</v>
      </c>
      <c r="T1185" s="52"/>
    </row>
    <row r="1186" spans="1:20" x14ac:dyDescent="0.3">
      <c r="A1186" t="s">
        <v>53</v>
      </c>
      <c r="B1186" s="48">
        <v>46023</v>
      </c>
      <c r="C1186" s="26"/>
      <c r="I1186" t="s">
        <v>3227</v>
      </c>
      <c r="J1186" t="s">
        <v>3228</v>
      </c>
      <c r="K1186" t="s">
        <v>3222</v>
      </c>
      <c r="L1186" t="s">
        <v>43</v>
      </c>
      <c r="M1186" t="s">
        <v>475</v>
      </c>
      <c r="N1186" t="s">
        <v>59</v>
      </c>
      <c r="O1186" t="s">
        <v>116</v>
      </c>
      <c r="P1186" t="s">
        <v>144</v>
      </c>
      <c r="Q1186">
        <v>16</v>
      </c>
      <c r="R1186" t="s">
        <v>3223</v>
      </c>
      <c r="S1186" t="s">
        <v>129</v>
      </c>
      <c r="T1186" s="52"/>
    </row>
    <row r="1187" spans="1:20" x14ac:dyDescent="0.3">
      <c r="A1187" t="s">
        <v>53</v>
      </c>
      <c r="B1187" s="48">
        <v>46023</v>
      </c>
      <c r="C1187" s="26"/>
      <c r="I1187" t="s">
        <v>3229</v>
      </c>
      <c r="J1187" t="s">
        <v>3230</v>
      </c>
      <c r="K1187" t="s">
        <v>3222</v>
      </c>
      <c r="L1187" t="s">
        <v>43</v>
      </c>
      <c r="M1187" t="s">
        <v>475</v>
      </c>
      <c r="N1187" t="s">
        <v>59</v>
      </c>
      <c r="O1187" t="s">
        <v>116</v>
      </c>
      <c r="P1187" t="s">
        <v>144</v>
      </c>
      <c r="Q1187">
        <v>7</v>
      </c>
      <c r="R1187" t="s">
        <v>3223</v>
      </c>
      <c r="S1187" t="s">
        <v>129</v>
      </c>
      <c r="T1187" s="52"/>
    </row>
    <row r="1188" spans="1:20" x14ac:dyDescent="0.3">
      <c r="A1188" t="s">
        <v>53</v>
      </c>
      <c r="B1188" s="48">
        <v>46023</v>
      </c>
      <c r="C1188" s="26"/>
      <c r="I1188" t="s">
        <v>3231</v>
      </c>
      <c r="J1188" t="s">
        <v>3232</v>
      </c>
      <c r="K1188" t="s">
        <v>3222</v>
      </c>
      <c r="L1188" t="s">
        <v>43</v>
      </c>
      <c r="M1188" t="s">
        <v>475</v>
      </c>
      <c r="N1188" t="s">
        <v>59</v>
      </c>
      <c r="O1188" t="s">
        <v>116</v>
      </c>
      <c r="P1188" t="s">
        <v>144</v>
      </c>
      <c r="Q1188">
        <v>4</v>
      </c>
      <c r="R1188" t="s">
        <v>3223</v>
      </c>
      <c r="S1188" t="s">
        <v>129</v>
      </c>
      <c r="T1188" s="52"/>
    </row>
    <row r="1189" spans="1:20" x14ac:dyDescent="0.3">
      <c r="A1189" t="s">
        <v>53</v>
      </c>
      <c r="B1189" s="48">
        <v>46023</v>
      </c>
      <c r="C1189" s="26"/>
      <c r="I1189" t="s">
        <v>3233</v>
      </c>
      <c r="J1189" t="s">
        <v>3225</v>
      </c>
      <c r="K1189" t="s">
        <v>3222</v>
      </c>
      <c r="L1189" t="s">
        <v>43</v>
      </c>
      <c r="M1189" t="s">
        <v>475</v>
      </c>
      <c r="N1189" t="s">
        <v>59</v>
      </c>
      <c r="O1189" t="s">
        <v>116</v>
      </c>
      <c r="P1189" t="s">
        <v>144</v>
      </c>
      <c r="Q1189">
        <v>8</v>
      </c>
      <c r="R1189" t="s">
        <v>3223</v>
      </c>
      <c r="S1189" t="s">
        <v>129</v>
      </c>
      <c r="T1189" s="52"/>
    </row>
    <row r="1190" spans="1:20" x14ac:dyDescent="0.3">
      <c r="A1190" t="s">
        <v>53</v>
      </c>
      <c r="B1190" s="48">
        <v>46023</v>
      </c>
      <c r="C1190" s="26"/>
      <c r="I1190" t="s">
        <v>3234</v>
      </c>
      <c r="J1190" t="s">
        <v>3235</v>
      </c>
      <c r="K1190" t="s">
        <v>3222</v>
      </c>
      <c r="L1190" t="s">
        <v>43</v>
      </c>
      <c r="M1190" t="s">
        <v>475</v>
      </c>
      <c r="N1190" t="s">
        <v>59</v>
      </c>
      <c r="O1190" t="s">
        <v>116</v>
      </c>
      <c r="P1190" t="s">
        <v>144</v>
      </c>
      <c r="Q1190">
        <v>5</v>
      </c>
      <c r="R1190" t="s">
        <v>3223</v>
      </c>
      <c r="S1190" t="s">
        <v>129</v>
      </c>
      <c r="T1190" s="52"/>
    </row>
    <row r="1191" spans="1:20" x14ac:dyDescent="0.3">
      <c r="A1191" t="s">
        <v>53</v>
      </c>
      <c r="B1191" s="48">
        <v>46023</v>
      </c>
      <c r="C1191" s="26"/>
      <c r="I1191" t="s">
        <v>3236</v>
      </c>
      <c r="J1191" t="s">
        <v>3237</v>
      </c>
      <c r="K1191" t="s">
        <v>3222</v>
      </c>
      <c r="L1191" t="s">
        <v>43</v>
      </c>
      <c r="M1191" t="s">
        <v>475</v>
      </c>
      <c r="N1191" t="s">
        <v>59</v>
      </c>
      <c r="O1191" t="s">
        <v>116</v>
      </c>
      <c r="P1191" t="s">
        <v>144</v>
      </c>
      <c r="Q1191">
        <v>3</v>
      </c>
      <c r="R1191" t="s">
        <v>3223</v>
      </c>
      <c r="S1191" t="s">
        <v>129</v>
      </c>
      <c r="T1191" s="52"/>
    </row>
    <row r="1192" spans="1:20" x14ac:dyDescent="0.3">
      <c r="A1192" t="s">
        <v>53</v>
      </c>
      <c r="B1192" s="48">
        <v>46023</v>
      </c>
      <c r="C1192" s="26"/>
      <c r="I1192" t="s">
        <v>3238</v>
      </c>
      <c r="J1192" t="s">
        <v>3239</v>
      </c>
      <c r="K1192" t="s">
        <v>3222</v>
      </c>
      <c r="L1192" t="s">
        <v>43</v>
      </c>
      <c r="M1192" t="s">
        <v>475</v>
      </c>
      <c r="N1192" t="s">
        <v>59</v>
      </c>
      <c r="O1192" t="s">
        <v>116</v>
      </c>
      <c r="P1192" t="s">
        <v>144</v>
      </c>
      <c r="Q1192">
        <v>1</v>
      </c>
      <c r="R1192" t="s">
        <v>3223</v>
      </c>
      <c r="S1192" t="s">
        <v>129</v>
      </c>
      <c r="T1192" s="52"/>
    </row>
    <row r="1193" spans="1:20" x14ac:dyDescent="0.3">
      <c r="A1193" t="s">
        <v>53</v>
      </c>
      <c r="B1193" s="48">
        <v>46023</v>
      </c>
      <c r="C1193" s="26"/>
      <c r="I1193" t="s">
        <v>3240</v>
      </c>
      <c r="J1193" t="s">
        <v>3241</v>
      </c>
      <c r="K1193" t="s">
        <v>3222</v>
      </c>
      <c r="L1193" t="s">
        <v>43</v>
      </c>
      <c r="M1193" t="s">
        <v>475</v>
      </c>
      <c r="N1193" t="s">
        <v>59</v>
      </c>
      <c r="O1193" t="s">
        <v>116</v>
      </c>
      <c r="P1193" t="s">
        <v>144</v>
      </c>
      <c r="Q1193">
        <v>1</v>
      </c>
      <c r="R1193" t="s">
        <v>3223</v>
      </c>
      <c r="S1193" t="s">
        <v>129</v>
      </c>
      <c r="T1193" s="52"/>
    </row>
    <row r="1194" spans="1:20" x14ac:dyDescent="0.3">
      <c r="A1194" t="s">
        <v>53</v>
      </c>
      <c r="B1194" s="48">
        <v>46023</v>
      </c>
      <c r="C1194" s="26"/>
      <c r="I1194" t="s">
        <v>3242</v>
      </c>
      <c r="J1194" t="s">
        <v>3243</v>
      </c>
      <c r="K1194" t="s">
        <v>3222</v>
      </c>
      <c r="L1194" t="s">
        <v>43</v>
      </c>
      <c r="M1194" t="s">
        <v>475</v>
      </c>
      <c r="N1194" t="s">
        <v>59</v>
      </c>
      <c r="O1194" t="s">
        <v>116</v>
      </c>
      <c r="P1194" t="s">
        <v>144</v>
      </c>
      <c r="Q1194">
        <v>1</v>
      </c>
      <c r="R1194" t="s">
        <v>3223</v>
      </c>
      <c r="S1194" t="s">
        <v>129</v>
      </c>
      <c r="T1194" s="52"/>
    </row>
    <row r="1195" spans="1:20" x14ac:dyDescent="0.3">
      <c r="A1195" t="s">
        <v>53</v>
      </c>
      <c r="B1195" s="48">
        <v>46023</v>
      </c>
      <c r="C1195" s="26"/>
      <c r="I1195" t="s">
        <v>3244</v>
      </c>
      <c r="J1195" t="s">
        <v>3245</v>
      </c>
      <c r="K1195" t="s">
        <v>3222</v>
      </c>
      <c r="L1195" t="s">
        <v>43</v>
      </c>
      <c r="M1195" t="s">
        <v>475</v>
      </c>
      <c r="N1195" t="s">
        <v>59</v>
      </c>
      <c r="O1195" t="s">
        <v>116</v>
      </c>
      <c r="P1195" t="s">
        <v>144</v>
      </c>
      <c r="Q1195">
        <v>1</v>
      </c>
      <c r="R1195" t="s">
        <v>3223</v>
      </c>
      <c r="S1195" t="s">
        <v>129</v>
      </c>
      <c r="T1195" s="52"/>
    </row>
    <row r="1196" spans="1:20" x14ac:dyDescent="0.3">
      <c r="A1196" t="s">
        <v>53</v>
      </c>
      <c r="B1196" s="48">
        <v>46023</v>
      </c>
      <c r="C1196" s="26"/>
      <c r="I1196" t="s">
        <v>3246</v>
      </c>
      <c r="J1196" t="s">
        <v>3247</v>
      </c>
      <c r="K1196" t="s">
        <v>3222</v>
      </c>
      <c r="L1196" t="s">
        <v>43</v>
      </c>
      <c r="M1196" t="s">
        <v>475</v>
      </c>
      <c r="N1196" t="s">
        <v>59</v>
      </c>
      <c r="O1196" t="s">
        <v>116</v>
      </c>
      <c r="P1196" t="s">
        <v>144</v>
      </c>
      <c r="Q1196">
        <v>33</v>
      </c>
      <c r="R1196" t="s">
        <v>3223</v>
      </c>
      <c r="S1196" t="s">
        <v>129</v>
      </c>
      <c r="T1196" s="52"/>
    </row>
    <row r="1197" spans="1:20" x14ac:dyDescent="0.3">
      <c r="A1197" t="s">
        <v>53</v>
      </c>
      <c r="B1197" s="48">
        <v>46023</v>
      </c>
      <c r="C1197" s="26"/>
      <c r="I1197" t="s">
        <v>3248</v>
      </c>
      <c r="J1197" t="s">
        <v>3249</v>
      </c>
      <c r="K1197" t="s">
        <v>3222</v>
      </c>
      <c r="L1197" t="s">
        <v>43</v>
      </c>
      <c r="M1197" t="s">
        <v>475</v>
      </c>
      <c r="N1197" t="s">
        <v>59</v>
      </c>
      <c r="O1197" t="s">
        <v>116</v>
      </c>
      <c r="P1197" t="s">
        <v>144</v>
      </c>
      <c r="Q1197">
        <v>7</v>
      </c>
      <c r="R1197" t="s">
        <v>3223</v>
      </c>
      <c r="S1197" t="s">
        <v>129</v>
      </c>
      <c r="T1197" s="52"/>
    </row>
    <row r="1198" spans="1:20" x14ac:dyDescent="0.3">
      <c r="A1198" t="s">
        <v>53</v>
      </c>
      <c r="B1198" s="48">
        <v>46023</v>
      </c>
      <c r="C1198" s="26"/>
      <c r="I1198" t="s">
        <v>3250</v>
      </c>
      <c r="J1198" t="s">
        <v>3251</v>
      </c>
      <c r="K1198" t="s">
        <v>3222</v>
      </c>
      <c r="L1198" t="s">
        <v>43</v>
      </c>
      <c r="M1198" t="s">
        <v>475</v>
      </c>
      <c r="N1198" t="s">
        <v>59</v>
      </c>
      <c r="O1198" t="s">
        <v>116</v>
      </c>
      <c r="P1198" t="s">
        <v>144</v>
      </c>
      <c r="Q1198">
        <v>14</v>
      </c>
      <c r="R1198" t="s">
        <v>3223</v>
      </c>
      <c r="S1198" t="s">
        <v>129</v>
      </c>
      <c r="T1198" s="52"/>
    </row>
    <row r="1199" spans="1:20" x14ac:dyDescent="0.3">
      <c r="A1199" t="s">
        <v>53</v>
      </c>
      <c r="B1199" s="48">
        <v>46023</v>
      </c>
      <c r="C1199" s="26"/>
      <c r="I1199" t="s">
        <v>3252</v>
      </c>
      <c r="J1199" t="s">
        <v>3253</v>
      </c>
      <c r="K1199" t="s">
        <v>3222</v>
      </c>
      <c r="L1199" t="s">
        <v>43</v>
      </c>
      <c r="M1199" t="s">
        <v>475</v>
      </c>
      <c r="N1199" t="s">
        <v>59</v>
      </c>
      <c r="O1199" t="s">
        <v>116</v>
      </c>
      <c r="P1199" t="s">
        <v>144</v>
      </c>
      <c r="Q1199">
        <v>3</v>
      </c>
      <c r="R1199" t="s">
        <v>3223</v>
      </c>
      <c r="S1199" t="s">
        <v>129</v>
      </c>
      <c r="T1199" s="52"/>
    </row>
    <row r="1200" spans="1:20" x14ac:dyDescent="0.3">
      <c r="A1200" t="s">
        <v>53</v>
      </c>
      <c r="B1200" s="48">
        <v>46023</v>
      </c>
      <c r="C1200" s="26"/>
      <c r="I1200" t="s">
        <v>3254</v>
      </c>
      <c r="J1200" t="s">
        <v>3255</v>
      </c>
      <c r="K1200" t="s">
        <v>3222</v>
      </c>
      <c r="L1200" t="s">
        <v>43</v>
      </c>
      <c r="M1200" t="s">
        <v>475</v>
      </c>
      <c r="N1200" t="s">
        <v>59</v>
      </c>
      <c r="O1200" t="s">
        <v>116</v>
      </c>
      <c r="P1200" t="s">
        <v>144</v>
      </c>
      <c r="Q1200">
        <v>3</v>
      </c>
      <c r="R1200" t="s">
        <v>3223</v>
      </c>
      <c r="S1200" t="s">
        <v>129</v>
      </c>
      <c r="T1200" s="52"/>
    </row>
    <row r="1201" spans="1:20" x14ac:dyDescent="0.3">
      <c r="A1201" t="s">
        <v>53</v>
      </c>
      <c r="B1201" s="48">
        <v>46023</v>
      </c>
      <c r="C1201" s="26"/>
      <c r="I1201" t="s">
        <v>3256</v>
      </c>
      <c r="J1201" t="s">
        <v>3257</v>
      </c>
      <c r="K1201" t="s">
        <v>59</v>
      </c>
      <c r="L1201" t="s">
        <v>43</v>
      </c>
      <c r="M1201" t="s">
        <v>475</v>
      </c>
      <c r="N1201" t="s">
        <v>59</v>
      </c>
      <c r="O1201" t="s">
        <v>143</v>
      </c>
      <c r="P1201" t="s">
        <v>144</v>
      </c>
      <c r="Q1201">
        <v>2</v>
      </c>
      <c r="R1201" t="s">
        <v>3258</v>
      </c>
      <c r="S1201" t="s">
        <v>129</v>
      </c>
      <c r="T1201" s="52"/>
    </row>
    <row r="1202" spans="1:20" x14ac:dyDescent="0.3">
      <c r="A1202" t="s">
        <v>53</v>
      </c>
      <c r="B1202" s="48">
        <v>46023</v>
      </c>
      <c r="C1202" s="26"/>
      <c r="I1202" t="s">
        <v>3259</v>
      </c>
      <c r="J1202" t="s">
        <v>3260</v>
      </c>
      <c r="K1202" t="s">
        <v>59</v>
      </c>
      <c r="L1202" t="s">
        <v>43</v>
      </c>
      <c r="M1202" t="s">
        <v>475</v>
      </c>
      <c r="N1202" t="s">
        <v>59</v>
      </c>
      <c r="O1202" t="s">
        <v>143</v>
      </c>
      <c r="P1202" t="s">
        <v>144</v>
      </c>
      <c r="Q1202">
        <v>10</v>
      </c>
      <c r="R1202" t="s">
        <v>3258</v>
      </c>
      <c r="S1202" t="s">
        <v>129</v>
      </c>
      <c r="T1202" s="52"/>
    </row>
    <row r="1203" spans="1:20" x14ac:dyDescent="0.3">
      <c r="A1203" t="s">
        <v>53</v>
      </c>
      <c r="B1203" s="48">
        <v>46023</v>
      </c>
      <c r="C1203" s="26"/>
      <c r="I1203" t="s">
        <v>3261</v>
      </c>
      <c r="J1203" t="s">
        <v>3262</v>
      </c>
      <c r="K1203" t="s">
        <v>59</v>
      </c>
      <c r="L1203" t="s">
        <v>43</v>
      </c>
      <c r="M1203" t="s">
        <v>475</v>
      </c>
      <c r="N1203" t="s">
        <v>59</v>
      </c>
      <c r="O1203" t="s">
        <v>143</v>
      </c>
      <c r="P1203" t="s">
        <v>144</v>
      </c>
      <c r="Q1203">
        <v>4</v>
      </c>
      <c r="R1203" t="s">
        <v>3258</v>
      </c>
      <c r="S1203" t="s">
        <v>129</v>
      </c>
      <c r="T1203" s="52"/>
    </row>
    <row r="1204" spans="1:20" x14ac:dyDescent="0.3">
      <c r="A1204" t="s">
        <v>53</v>
      </c>
      <c r="B1204" s="48">
        <v>46023</v>
      </c>
      <c r="C1204" s="26"/>
      <c r="I1204" t="s">
        <v>3263</v>
      </c>
      <c r="J1204" t="s">
        <v>3264</v>
      </c>
      <c r="K1204" t="s">
        <v>59</v>
      </c>
      <c r="L1204" t="s">
        <v>43</v>
      </c>
      <c r="M1204" t="s">
        <v>475</v>
      </c>
      <c r="N1204" t="s">
        <v>59</v>
      </c>
      <c r="O1204" t="s">
        <v>143</v>
      </c>
      <c r="P1204" t="s">
        <v>144</v>
      </c>
      <c r="Q1204">
        <v>17</v>
      </c>
      <c r="R1204" t="s">
        <v>3258</v>
      </c>
      <c r="S1204" t="s">
        <v>129</v>
      </c>
      <c r="T1204" s="52"/>
    </row>
    <row r="1205" spans="1:20" x14ac:dyDescent="0.3">
      <c r="A1205" t="s">
        <v>53</v>
      </c>
      <c r="B1205" s="48">
        <v>46023</v>
      </c>
      <c r="C1205" s="26"/>
      <c r="I1205" t="s">
        <v>3265</v>
      </c>
      <c r="J1205" t="s">
        <v>3266</v>
      </c>
      <c r="K1205" t="s">
        <v>59</v>
      </c>
      <c r="L1205" t="s">
        <v>43</v>
      </c>
      <c r="M1205" t="s">
        <v>475</v>
      </c>
      <c r="N1205" t="s">
        <v>59</v>
      </c>
      <c r="O1205" t="s">
        <v>143</v>
      </c>
      <c r="P1205" t="s">
        <v>144</v>
      </c>
      <c r="Q1205">
        <v>4</v>
      </c>
      <c r="R1205" t="s">
        <v>3258</v>
      </c>
      <c r="S1205" t="s">
        <v>129</v>
      </c>
      <c r="T1205" s="52"/>
    </row>
    <row r="1206" spans="1:20" x14ac:dyDescent="0.3">
      <c r="A1206" t="s">
        <v>53</v>
      </c>
      <c r="B1206" s="48">
        <v>46023</v>
      </c>
      <c r="C1206" s="26"/>
      <c r="I1206" t="s">
        <v>3267</v>
      </c>
      <c r="J1206" t="s">
        <v>3268</v>
      </c>
      <c r="K1206" t="s">
        <v>59</v>
      </c>
      <c r="L1206" t="s">
        <v>43</v>
      </c>
      <c r="M1206" t="s">
        <v>475</v>
      </c>
      <c r="N1206" t="s">
        <v>59</v>
      </c>
      <c r="O1206" t="s">
        <v>143</v>
      </c>
      <c r="P1206" t="s">
        <v>144</v>
      </c>
      <c r="Q1206">
        <v>4</v>
      </c>
      <c r="R1206" t="s">
        <v>3258</v>
      </c>
      <c r="S1206" t="s">
        <v>129</v>
      </c>
      <c r="T1206" s="52"/>
    </row>
    <row r="1207" spans="1:20" x14ac:dyDescent="0.3">
      <c r="A1207" t="s">
        <v>53</v>
      </c>
      <c r="B1207" s="48">
        <v>46023</v>
      </c>
      <c r="C1207" s="26"/>
      <c r="I1207" t="s">
        <v>3269</v>
      </c>
      <c r="J1207" t="s">
        <v>3270</v>
      </c>
      <c r="K1207" t="s">
        <v>59</v>
      </c>
      <c r="L1207" t="s">
        <v>43</v>
      </c>
      <c r="M1207" t="s">
        <v>475</v>
      </c>
      <c r="N1207" t="s">
        <v>59</v>
      </c>
      <c r="O1207" t="s">
        <v>143</v>
      </c>
      <c r="P1207" t="s">
        <v>144</v>
      </c>
      <c r="Q1207">
        <v>3</v>
      </c>
      <c r="R1207" t="s">
        <v>3258</v>
      </c>
      <c r="S1207" t="s">
        <v>129</v>
      </c>
      <c r="T1207" s="52"/>
    </row>
    <row r="1208" spans="1:20" x14ac:dyDescent="0.3">
      <c r="A1208" t="s">
        <v>53</v>
      </c>
      <c r="B1208" s="48">
        <v>46023</v>
      </c>
      <c r="C1208" s="26"/>
      <c r="I1208" t="s">
        <v>3271</v>
      </c>
      <c r="J1208" t="s">
        <v>3272</v>
      </c>
      <c r="K1208" t="s">
        <v>59</v>
      </c>
      <c r="L1208" t="s">
        <v>43</v>
      </c>
      <c r="M1208" t="s">
        <v>475</v>
      </c>
      <c r="N1208" t="s">
        <v>59</v>
      </c>
      <c r="O1208" t="s">
        <v>143</v>
      </c>
      <c r="P1208" t="s">
        <v>644</v>
      </c>
      <c r="Q1208">
        <v>1</v>
      </c>
      <c r="R1208" t="s">
        <v>3258</v>
      </c>
      <c r="S1208" t="s">
        <v>129</v>
      </c>
      <c r="T1208" s="52"/>
    </row>
    <row r="1209" spans="1:20" x14ac:dyDescent="0.3">
      <c r="A1209" t="s">
        <v>53</v>
      </c>
      <c r="B1209" s="48">
        <v>46023</v>
      </c>
      <c r="C1209" s="26"/>
      <c r="I1209" t="s">
        <v>3273</v>
      </c>
      <c r="J1209" t="s">
        <v>3274</v>
      </c>
      <c r="K1209" t="s">
        <v>59</v>
      </c>
      <c r="L1209" t="s">
        <v>43</v>
      </c>
      <c r="M1209" t="s">
        <v>587</v>
      </c>
      <c r="N1209" t="s">
        <v>59</v>
      </c>
      <c r="O1209" t="s">
        <v>143</v>
      </c>
      <c r="P1209" t="s">
        <v>144</v>
      </c>
      <c r="Q1209">
        <v>28</v>
      </c>
      <c r="R1209" t="s">
        <v>3258</v>
      </c>
      <c r="S1209" t="s">
        <v>129</v>
      </c>
      <c r="T1209" s="52"/>
    </row>
    <row r="1210" spans="1:20" x14ac:dyDescent="0.3">
      <c r="A1210" t="s">
        <v>53</v>
      </c>
      <c r="B1210" s="48">
        <v>46023</v>
      </c>
      <c r="C1210" s="26"/>
      <c r="I1210" t="s">
        <v>3275</v>
      </c>
      <c r="J1210" t="s">
        <v>3276</v>
      </c>
      <c r="K1210" t="s">
        <v>59</v>
      </c>
      <c r="L1210" t="s">
        <v>43</v>
      </c>
      <c r="M1210" t="s">
        <v>587</v>
      </c>
      <c r="N1210" t="s">
        <v>59</v>
      </c>
      <c r="O1210" t="s">
        <v>143</v>
      </c>
      <c r="P1210" t="s">
        <v>144</v>
      </c>
      <c r="Q1210">
        <v>19</v>
      </c>
      <c r="R1210" t="s">
        <v>3277</v>
      </c>
      <c r="S1210" t="s">
        <v>129</v>
      </c>
      <c r="T1210" s="52"/>
    </row>
    <row r="1211" spans="1:20" x14ac:dyDescent="0.3">
      <c r="A1211" t="s">
        <v>53</v>
      </c>
      <c r="B1211" s="48">
        <v>46023</v>
      </c>
      <c r="C1211" s="26"/>
      <c r="I1211" t="s">
        <v>3278</v>
      </c>
      <c r="J1211" t="s">
        <v>3279</v>
      </c>
      <c r="K1211" t="s">
        <v>59</v>
      </c>
      <c r="L1211" t="s">
        <v>43</v>
      </c>
      <c r="M1211" t="s">
        <v>587</v>
      </c>
      <c r="N1211" t="s">
        <v>59</v>
      </c>
      <c r="O1211" t="s">
        <v>143</v>
      </c>
      <c r="P1211" t="s">
        <v>144</v>
      </c>
      <c r="Q1211">
        <v>5</v>
      </c>
      <c r="R1211" t="s">
        <v>3280</v>
      </c>
      <c r="S1211" t="s">
        <v>129</v>
      </c>
      <c r="T1211" s="52"/>
    </row>
    <row r="1212" spans="1:20" x14ac:dyDescent="0.3">
      <c r="A1212" t="s">
        <v>53</v>
      </c>
      <c r="B1212" s="48">
        <v>46023</v>
      </c>
      <c r="C1212" s="26"/>
      <c r="I1212" t="s">
        <v>3281</v>
      </c>
      <c r="J1212" t="s">
        <v>3282</v>
      </c>
      <c r="K1212" t="s">
        <v>59</v>
      </c>
      <c r="L1212" t="s">
        <v>43</v>
      </c>
      <c r="M1212" t="s">
        <v>587</v>
      </c>
      <c r="N1212" t="s">
        <v>59</v>
      </c>
      <c r="O1212" t="s">
        <v>143</v>
      </c>
      <c r="P1212" t="s">
        <v>144</v>
      </c>
      <c r="Q1212">
        <v>7</v>
      </c>
      <c r="R1212" t="s">
        <v>3277</v>
      </c>
      <c r="S1212" t="s">
        <v>129</v>
      </c>
      <c r="T1212" s="52"/>
    </row>
    <row r="1213" spans="1:20" x14ac:dyDescent="0.3">
      <c r="A1213" t="s">
        <v>53</v>
      </c>
      <c r="B1213" s="48">
        <v>46023</v>
      </c>
      <c r="C1213" s="26"/>
      <c r="I1213" t="s">
        <v>3283</v>
      </c>
      <c r="J1213" t="s">
        <v>3284</v>
      </c>
      <c r="K1213" t="s">
        <v>59</v>
      </c>
      <c r="L1213" t="s">
        <v>43</v>
      </c>
      <c r="M1213" t="s">
        <v>587</v>
      </c>
      <c r="N1213" t="s">
        <v>59</v>
      </c>
      <c r="O1213" t="s">
        <v>143</v>
      </c>
      <c r="P1213" t="s">
        <v>144</v>
      </c>
      <c r="Q1213">
        <v>9</v>
      </c>
      <c r="R1213" t="s">
        <v>3277</v>
      </c>
      <c r="S1213" t="s">
        <v>129</v>
      </c>
      <c r="T1213" s="52"/>
    </row>
    <row r="1214" spans="1:20" x14ac:dyDescent="0.3">
      <c r="A1214" t="s">
        <v>53</v>
      </c>
      <c r="B1214" s="48">
        <v>46023</v>
      </c>
      <c r="C1214" s="26"/>
      <c r="I1214" t="s">
        <v>3285</v>
      </c>
      <c r="J1214" t="s">
        <v>3286</v>
      </c>
      <c r="K1214" t="s">
        <v>59</v>
      </c>
      <c r="L1214" t="s">
        <v>43</v>
      </c>
      <c r="M1214" t="s">
        <v>587</v>
      </c>
      <c r="N1214" t="s">
        <v>59</v>
      </c>
      <c r="O1214" t="s">
        <v>143</v>
      </c>
      <c r="P1214" t="s">
        <v>144</v>
      </c>
      <c r="Q1214">
        <v>13</v>
      </c>
      <c r="R1214" t="s">
        <v>3280</v>
      </c>
      <c r="S1214" t="s">
        <v>129</v>
      </c>
      <c r="T1214" s="52"/>
    </row>
    <row r="1215" spans="1:20" x14ac:dyDescent="0.3">
      <c r="A1215" t="s">
        <v>53</v>
      </c>
      <c r="B1215" s="48">
        <v>46023</v>
      </c>
      <c r="C1215" s="26"/>
      <c r="I1215" t="s">
        <v>3287</v>
      </c>
      <c r="J1215" t="s">
        <v>3288</v>
      </c>
      <c r="K1215" t="s">
        <v>59</v>
      </c>
      <c r="L1215" t="s">
        <v>43</v>
      </c>
      <c r="M1215" t="s">
        <v>587</v>
      </c>
      <c r="N1215" t="s">
        <v>59</v>
      </c>
      <c r="O1215" t="s">
        <v>143</v>
      </c>
      <c r="P1215" t="s">
        <v>144</v>
      </c>
      <c r="Q1215">
        <v>15</v>
      </c>
      <c r="R1215" t="s">
        <v>3277</v>
      </c>
      <c r="S1215" t="s">
        <v>129</v>
      </c>
      <c r="T1215" s="52"/>
    </row>
    <row r="1216" spans="1:20" x14ac:dyDescent="0.3">
      <c r="A1216" t="s">
        <v>53</v>
      </c>
      <c r="B1216" s="48">
        <v>46023</v>
      </c>
      <c r="C1216" s="26"/>
      <c r="I1216" t="s">
        <v>3289</v>
      </c>
      <c r="J1216" t="s">
        <v>3290</v>
      </c>
      <c r="K1216" t="s">
        <v>59</v>
      </c>
      <c r="L1216" t="s">
        <v>43</v>
      </c>
      <c r="M1216" t="s">
        <v>587</v>
      </c>
      <c r="N1216" t="s">
        <v>59</v>
      </c>
      <c r="O1216" t="s">
        <v>143</v>
      </c>
      <c r="P1216" t="s">
        <v>144</v>
      </c>
      <c r="Q1216">
        <v>2</v>
      </c>
      <c r="R1216" t="s">
        <v>3280</v>
      </c>
      <c r="S1216" t="s">
        <v>129</v>
      </c>
      <c r="T1216" s="52"/>
    </row>
    <row r="1217" spans="1:20" x14ac:dyDescent="0.3">
      <c r="A1217" t="s">
        <v>53</v>
      </c>
      <c r="B1217" s="48">
        <v>46023</v>
      </c>
      <c r="C1217" s="26"/>
      <c r="I1217" t="s">
        <v>3291</v>
      </c>
      <c r="J1217" t="s">
        <v>3292</v>
      </c>
      <c r="K1217" t="s">
        <v>59</v>
      </c>
      <c r="L1217" t="s">
        <v>43</v>
      </c>
      <c r="M1217" t="s">
        <v>587</v>
      </c>
      <c r="N1217" t="s">
        <v>59</v>
      </c>
      <c r="O1217" t="s">
        <v>143</v>
      </c>
      <c r="P1217" t="s">
        <v>144</v>
      </c>
      <c r="Q1217">
        <v>19</v>
      </c>
      <c r="R1217" t="s">
        <v>3280</v>
      </c>
      <c r="S1217" t="s">
        <v>129</v>
      </c>
      <c r="T1217" s="52"/>
    </row>
    <row r="1218" spans="1:20" x14ac:dyDescent="0.3">
      <c r="A1218" t="s">
        <v>53</v>
      </c>
      <c r="B1218" s="48">
        <v>46023</v>
      </c>
      <c r="C1218" s="26"/>
      <c r="I1218" t="s">
        <v>3293</v>
      </c>
      <c r="J1218" t="s">
        <v>3294</v>
      </c>
      <c r="K1218" t="s">
        <v>59</v>
      </c>
      <c r="L1218" t="s">
        <v>43</v>
      </c>
      <c r="M1218" t="s">
        <v>587</v>
      </c>
      <c r="N1218" t="s">
        <v>59</v>
      </c>
      <c r="O1218" t="s">
        <v>143</v>
      </c>
      <c r="P1218" t="s">
        <v>144</v>
      </c>
      <c r="Q1218">
        <v>1</v>
      </c>
      <c r="R1218" t="s">
        <v>3280</v>
      </c>
      <c r="S1218" t="s">
        <v>129</v>
      </c>
      <c r="T1218" s="52"/>
    </row>
    <row r="1219" spans="1:20" x14ac:dyDescent="0.3">
      <c r="A1219" t="s">
        <v>53</v>
      </c>
      <c r="B1219" s="48">
        <v>46023</v>
      </c>
      <c r="C1219" s="26"/>
      <c r="I1219" t="s">
        <v>3295</v>
      </c>
      <c r="J1219" t="s">
        <v>3296</v>
      </c>
      <c r="K1219" t="s">
        <v>59</v>
      </c>
      <c r="L1219" t="s">
        <v>43</v>
      </c>
      <c r="M1219" t="s">
        <v>587</v>
      </c>
      <c r="N1219" t="s">
        <v>59</v>
      </c>
      <c r="O1219" t="s">
        <v>143</v>
      </c>
      <c r="P1219" t="s">
        <v>144</v>
      </c>
      <c r="Q1219">
        <v>1</v>
      </c>
      <c r="R1219" t="s">
        <v>3280</v>
      </c>
      <c r="S1219" t="s">
        <v>129</v>
      </c>
      <c r="T1219" s="52"/>
    </row>
    <row r="1220" spans="1:20" x14ac:dyDescent="0.3">
      <c r="A1220" t="s">
        <v>53</v>
      </c>
      <c r="B1220" s="48">
        <v>46023</v>
      </c>
      <c r="C1220" s="26"/>
      <c r="I1220" t="s">
        <v>3297</v>
      </c>
      <c r="J1220" t="s">
        <v>3298</v>
      </c>
      <c r="K1220" t="s">
        <v>59</v>
      </c>
      <c r="L1220" t="s">
        <v>43</v>
      </c>
      <c r="M1220" t="s">
        <v>587</v>
      </c>
      <c r="N1220" t="s">
        <v>59</v>
      </c>
      <c r="O1220" t="s">
        <v>143</v>
      </c>
      <c r="P1220" t="s">
        <v>144</v>
      </c>
      <c r="Q1220">
        <v>35</v>
      </c>
      <c r="R1220" t="s">
        <v>3280</v>
      </c>
      <c r="S1220" t="s">
        <v>129</v>
      </c>
      <c r="T1220" s="52"/>
    </row>
    <row r="1221" spans="1:20" x14ac:dyDescent="0.3">
      <c r="A1221" t="s">
        <v>53</v>
      </c>
      <c r="B1221" s="48">
        <v>46023</v>
      </c>
      <c r="C1221" s="26"/>
      <c r="I1221" t="s">
        <v>3299</v>
      </c>
      <c r="J1221" t="s">
        <v>3300</v>
      </c>
      <c r="K1221" t="s">
        <v>59</v>
      </c>
      <c r="L1221" t="s">
        <v>43</v>
      </c>
      <c r="M1221" t="s">
        <v>587</v>
      </c>
      <c r="N1221" t="s">
        <v>59</v>
      </c>
      <c r="O1221" t="s">
        <v>143</v>
      </c>
      <c r="P1221" t="s">
        <v>144</v>
      </c>
      <c r="Q1221">
        <v>23</v>
      </c>
      <c r="R1221" t="s">
        <v>3280</v>
      </c>
      <c r="S1221" t="s">
        <v>129</v>
      </c>
      <c r="T1221" s="52"/>
    </row>
    <row r="1222" spans="1:20" x14ac:dyDescent="0.3">
      <c r="A1222" t="s">
        <v>53</v>
      </c>
      <c r="B1222" s="48">
        <v>46023</v>
      </c>
      <c r="C1222" s="26"/>
      <c r="I1222" t="s">
        <v>3301</v>
      </c>
      <c r="J1222" t="s">
        <v>3302</v>
      </c>
      <c r="K1222" t="s">
        <v>59</v>
      </c>
      <c r="L1222" t="s">
        <v>43</v>
      </c>
      <c r="M1222" t="s">
        <v>587</v>
      </c>
      <c r="N1222" t="s">
        <v>59</v>
      </c>
      <c r="O1222" t="s">
        <v>143</v>
      </c>
      <c r="P1222" t="s">
        <v>144</v>
      </c>
      <c r="Q1222">
        <v>31</v>
      </c>
      <c r="R1222" t="s">
        <v>3280</v>
      </c>
      <c r="S1222" t="s">
        <v>129</v>
      </c>
      <c r="T1222" s="52"/>
    </row>
    <row r="1223" spans="1:20" x14ac:dyDescent="0.3">
      <c r="A1223" t="s">
        <v>53</v>
      </c>
      <c r="B1223" s="48">
        <v>46023</v>
      </c>
      <c r="C1223" s="26"/>
      <c r="I1223" t="s">
        <v>3303</v>
      </c>
      <c r="J1223" t="s">
        <v>3304</v>
      </c>
      <c r="K1223" t="s">
        <v>59</v>
      </c>
      <c r="L1223" t="s">
        <v>43</v>
      </c>
      <c r="M1223" t="s">
        <v>587</v>
      </c>
      <c r="N1223" t="s">
        <v>59</v>
      </c>
      <c r="O1223" t="s">
        <v>143</v>
      </c>
      <c r="P1223" t="s">
        <v>144</v>
      </c>
      <c r="Q1223">
        <v>17</v>
      </c>
      <c r="R1223" t="s">
        <v>3280</v>
      </c>
      <c r="S1223" t="s">
        <v>129</v>
      </c>
      <c r="T1223" s="52"/>
    </row>
    <row r="1224" spans="1:20" x14ac:dyDescent="0.3">
      <c r="A1224" t="s">
        <v>53</v>
      </c>
      <c r="B1224" s="48">
        <v>46023</v>
      </c>
      <c r="C1224" s="26"/>
      <c r="I1224" t="s">
        <v>3305</v>
      </c>
      <c r="J1224" t="s">
        <v>3306</v>
      </c>
      <c r="K1224" t="s">
        <v>59</v>
      </c>
      <c r="L1224" t="s">
        <v>43</v>
      </c>
      <c r="M1224" t="s">
        <v>587</v>
      </c>
      <c r="N1224" t="s">
        <v>59</v>
      </c>
      <c r="O1224" t="s">
        <v>143</v>
      </c>
      <c r="P1224" t="s">
        <v>144</v>
      </c>
      <c r="Q1224">
        <v>15</v>
      </c>
      <c r="R1224" t="s">
        <v>3280</v>
      </c>
      <c r="S1224" t="s">
        <v>129</v>
      </c>
      <c r="T1224" s="52"/>
    </row>
    <row r="1225" spans="1:20" x14ac:dyDescent="0.3">
      <c r="A1225" t="s">
        <v>53</v>
      </c>
      <c r="B1225" s="48">
        <v>46023</v>
      </c>
      <c r="C1225" s="26"/>
      <c r="I1225" t="s">
        <v>3307</v>
      </c>
      <c r="J1225" t="s">
        <v>3308</v>
      </c>
      <c r="K1225" t="s">
        <v>59</v>
      </c>
      <c r="L1225" t="s">
        <v>43</v>
      </c>
      <c r="M1225" t="s">
        <v>587</v>
      </c>
      <c r="N1225" t="s">
        <v>59</v>
      </c>
      <c r="O1225" t="s">
        <v>143</v>
      </c>
      <c r="P1225" t="s">
        <v>144</v>
      </c>
      <c r="Q1225">
        <v>22</v>
      </c>
      <c r="R1225" t="s">
        <v>3280</v>
      </c>
      <c r="S1225" t="s">
        <v>129</v>
      </c>
      <c r="T1225" s="52"/>
    </row>
    <row r="1226" spans="1:20" x14ac:dyDescent="0.3">
      <c r="A1226" t="s">
        <v>53</v>
      </c>
      <c r="B1226" s="48">
        <v>46023</v>
      </c>
      <c r="C1226" s="26"/>
      <c r="I1226" t="s">
        <v>3309</v>
      </c>
      <c r="J1226" t="s">
        <v>3310</v>
      </c>
      <c r="K1226" t="s">
        <v>59</v>
      </c>
      <c r="L1226" t="s">
        <v>43</v>
      </c>
      <c r="M1226" t="s">
        <v>587</v>
      </c>
      <c r="N1226" t="s">
        <v>59</v>
      </c>
      <c r="O1226" t="s">
        <v>143</v>
      </c>
      <c r="P1226" t="s">
        <v>144</v>
      </c>
      <c r="Q1226">
        <v>9</v>
      </c>
      <c r="R1226" t="s">
        <v>3280</v>
      </c>
      <c r="S1226" t="s">
        <v>129</v>
      </c>
      <c r="T1226" s="52"/>
    </row>
    <row r="1227" spans="1:20" x14ac:dyDescent="0.3">
      <c r="A1227" t="s">
        <v>53</v>
      </c>
      <c r="B1227" s="48">
        <v>46023</v>
      </c>
      <c r="C1227" s="26"/>
      <c r="I1227" t="s">
        <v>3311</v>
      </c>
      <c r="J1227" t="s">
        <v>3312</v>
      </c>
      <c r="K1227" t="s">
        <v>59</v>
      </c>
      <c r="L1227" t="s">
        <v>43</v>
      </c>
      <c r="M1227" t="s">
        <v>587</v>
      </c>
      <c r="N1227" t="s">
        <v>59</v>
      </c>
      <c r="O1227" t="s">
        <v>143</v>
      </c>
      <c r="P1227" t="s">
        <v>144</v>
      </c>
      <c r="Q1227">
        <v>7</v>
      </c>
      <c r="R1227" t="s">
        <v>3280</v>
      </c>
      <c r="S1227" t="s">
        <v>129</v>
      </c>
      <c r="T1227" s="52"/>
    </row>
    <row r="1228" spans="1:20" x14ac:dyDescent="0.3">
      <c r="A1228" t="s">
        <v>53</v>
      </c>
      <c r="B1228" s="48">
        <v>46023</v>
      </c>
      <c r="C1228" s="26"/>
      <c r="I1228" t="s">
        <v>3313</v>
      </c>
      <c r="J1228" t="s">
        <v>3314</v>
      </c>
      <c r="K1228" t="s">
        <v>59</v>
      </c>
      <c r="L1228" t="s">
        <v>43</v>
      </c>
      <c r="M1228" t="s">
        <v>587</v>
      </c>
      <c r="N1228" t="s">
        <v>59</v>
      </c>
      <c r="O1228" t="s">
        <v>143</v>
      </c>
      <c r="P1228" t="s">
        <v>144</v>
      </c>
      <c r="Q1228">
        <v>6</v>
      </c>
      <c r="R1228" t="s">
        <v>3280</v>
      </c>
      <c r="S1228" t="s">
        <v>129</v>
      </c>
      <c r="T1228" s="52"/>
    </row>
    <row r="1229" spans="1:20" x14ac:dyDescent="0.3">
      <c r="A1229" t="s">
        <v>53</v>
      </c>
      <c r="B1229" s="48">
        <v>46023</v>
      </c>
      <c r="C1229" s="26"/>
      <c r="I1229" t="s">
        <v>3315</v>
      </c>
      <c r="J1229" t="s">
        <v>3316</v>
      </c>
      <c r="K1229" t="s">
        <v>59</v>
      </c>
      <c r="L1229" t="s">
        <v>43</v>
      </c>
      <c r="M1229" t="s">
        <v>587</v>
      </c>
      <c r="N1229" t="s">
        <v>59</v>
      </c>
      <c r="O1229" t="s">
        <v>143</v>
      </c>
      <c r="P1229" t="s">
        <v>144</v>
      </c>
      <c r="Q1229">
        <v>4</v>
      </c>
      <c r="R1229" t="s">
        <v>3280</v>
      </c>
      <c r="S1229" t="s">
        <v>129</v>
      </c>
      <c r="T1229" s="52"/>
    </row>
    <row r="1230" spans="1:20" x14ac:dyDescent="0.3">
      <c r="A1230" t="s">
        <v>53</v>
      </c>
      <c r="B1230" s="48">
        <v>46023</v>
      </c>
      <c r="C1230" s="26"/>
      <c r="I1230" t="s">
        <v>3317</v>
      </c>
      <c r="J1230" t="s">
        <v>3318</v>
      </c>
      <c r="K1230" t="s">
        <v>59</v>
      </c>
      <c r="L1230" t="s">
        <v>43</v>
      </c>
      <c r="M1230" t="s">
        <v>1020</v>
      </c>
      <c r="N1230" t="s">
        <v>59</v>
      </c>
      <c r="O1230" t="s">
        <v>116</v>
      </c>
      <c r="P1230" t="s">
        <v>144</v>
      </c>
      <c r="Q1230">
        <v>6</v>
      </c>
      <c r="R1230" t="s">
        <v>3081</v>
      </c>
      <c r="S1230" t="s">
        <v>112</v>
      </c>
      <c r="T1230" s="52"/>
    </row>
    <row r="1231" spans="1:20" x14ac:dyDescent="0.3">
      <c r="A1231" t="s">
        <v>53</v>
      </c>
      <c r="B1231" s="48">
        <v>46023</v>
      </c>
      <c r="C1231" s="26"/>
      <c r="I1231" t="s">
        <v>3319</v>
      </c>
      <c r="J1231" t="s">
        <v>3320</v>
      </c>
      <c r="K1231" t="s">
        <v>59</v>
      </c>
      <c r="L1231" t="s">
        <v>43</v>
      </c>
      <c r="M1231" t="s">
        <v>1020</v>
      </c>
      <c r="N1231" t="s">
        <v>59</v>
      </c>
      <c r="O1231" t="s">
        <v>116</v>
      </c>
      <c r="P1231" t="s">
        <v>144</v>
      </c>
      <c r="Q1231">
        <v>4</v>
      </c>
      <c r="R1231" t="s">
        <v>3081</v>
      </c>
      <c r="S1231" t="s">
        <v>112</v>
      </c>
      <c r="T1231" s="52"/>
    </row>
    <row r="1232" spans="1:20" x14ac:dyDescent="0.3">
      <c r="A1232" t="s">
        <v>53</v>
      </c>
      <c r="B1232" s="48">
        <v>46023</v>
      </c>
      <c r="C1232" s="26"/>
      <c r="I1232" t="s">
        <v>403</v>
      </c>
      <c r="J1232" t="s">
        <v>404</v>
      </c>
      <c r="K1232" t="s">
        <v>405</v>
      </c>
      <c r="L1232" t="s">
        <v>406</v>
      </c>
      <c r="M1232" t="s">
        <v>407</v>
      </c>
      <c r="N1232" t="s">
        <v>59</v>
      </c>
      <c r="O1232" t="s">
        <v>60</v>
      </c>
      <c r="P1232" t="s">
        <v>144</v>
      </c>
      <c r="Q1232">
        <v>1</v>
      </c>
      <c r="R1232" t="s">
        <v>334</v>
      </c>
      <c r="S1232" t="s">
        <v>309</v>
      </c>
      <c r="T1232" s="52"/>
    </row>
    <row r="1233" spans="1:20" x14ac:dyDescent="0.3">
      <c r="A1233" t="s">
        <v>53</v>
      </c>
      <c r="B1233" s="48">
        <v>46023</v>
      </c>
      <c r="C1233" s="26"/>
      <c r="I1233" t="s">
        <v>408</v>
      </c>
      <c r="J1233" t="s">
        <v>409</v>
      </c>
      <c r="K1233" t="s">
        <v>410</v>
      </c>
      <c r="L1233" t="s">
        <v>406</v>
      </c>
      <c r="M1233" t="s">
        <v>407</v>
      </c>
      <c r="N1233" t="s">
        <v>59</v>
      </c>
      <c r="O1233" t="s">
        <v>60</v>
      </c>
      <c r="P1233" t="s">
        <v>144</v>
      </c>
      <c r="Q1233">
        <v>1</v>
      </c>
      <c r="R1233" t="s">
        <v>334</v>
      </c>
      <c r="S1233" t="s">
        <v>309</v>
      </c>
      <c r="T1233" s="52"/>
    </row>
    <row r="1234" spans="1:20" x14ac:dyDescent="0.3">
      <c r="A1234" t="s">
        <v>53</v>
      </c>
      <c r="B1234" s="48">
        <v>46023</v>
      </c>
      <c r="C1234" s="26"/>
      <c r="I1234" t="s">
        <v>411</v>
      </c>
      <c r="J1234" t="s">
        <v>412</v>
      </c>
      <c r="K1234" t="s">
        <v>413</v>
      </c>
      <c r="L1234" t="s">
        <v>406</v>
      </c>
      <c r="M1234" t="s">
        <v>407</v>
      </c>
      <c r="N1234" t="s">
        <v>59</v>
      </c>
      <c r="O1234" t="s">
        <v>60</v>
      </c>
      <c r="P1234" t="s">
        <v>144</v>
      </c>
      <c r="Q1234">
        <v>3</v>
      </c>
      <c r="R1234" t="s">
        <v>334</v>
      </c>
      <c r="S1234" t="s">
        <v>309</v>
      </c>
      <c r="T1234" s="52"/>
    </row>
    <row r="1235" spans="1:20" x14ac:dyDescent="0.3">
      <c r="A1235" t="s">
        <v>53</v>
      </c>
      <c r="B1235" s="48">
        <v>46023</v>
      </c>
      <c r="C1235" s="26"/>
      <c r="I1235" t="s">
        <v>414</v>
      </c>
      <c r="J1235" t="s">
        <v>415</v>
      </c>
      <c r="K1235" t="s">
        <v>413</v>
      </c>
      <c r="L1235" t="s">
        <v>406</v>
      </c>
      <c r="M1235" t="s">
        <v>407</v>
      </c>
      <c r="N1235" t="s">
        <v>59</v>
      </c>
      <c r="O1235" t="s">
        <v>60</v>
      </c>
      <c r="P1235" t="s">
        <v>144</v>
      </c>
      <c r="Q1235">
        <v>1</v>
      </c>
      <c r="R1235" t="s">
        <v>334</v>
      </c>
      <c r="S1235" t="s">
        <v>309</v>
      </c>
      <c r="T1235" s="52"/>
    </row>
    <row r="1236" spans="1:20" x14ac:dyDescent="0.3">
      <c r="A1236" t="s">
        <v>53</v>
      </c>
      <c r="B1236" s="48">
        <v>46023</v>
      </c>
      <c r="C1236" s="26"/>
      <c r="I1236" t="s">
        <v>416</v>
      </c>
      <c r="J1236" t="s">
        <v>417</v>
      </c>
      <c r="K1236" t="s">
        <v>413</v>
      </c>
      <c r="L1236" t="s">
        <v>406</v>
      </c>
      <c r="M1236" t="s">
        <v>407</v>
      </c>
      <c r="N1236" t="s">
        <v>59</v>
      </c>
      <c r="O1236" t="s">
        <v>60</v>
      </c>
      <c r="P1236" t="s">
        <v>144</v>
      </c>
      <c r="Q1236">
        <v>2</v>
      </c>
      <c r="R1236" t="s">
        <v>334</v>
      </c>
      <c r="S1236" t="s">
        <v>309</v>
      </c>
      <c r="T1236" s="52"/>
    </row>
    <row r="1237" spans="1:20" x14ac:dyDescent="0.3">
      <c r="A1237" t="s">
        <v>53</v>
      </c>
      <c r="B1237" s="48">
        <v>46023</v>
      </c>
      <c r="C1237" s="26"/>
      <c r="I1237" t="s">
        <v>418</v>
      </c>
      <c r="J1237" t="s">
        <v>419</v>
      </c>
      <c r="K1237" t="s">
        <v>420</v>
      </c>
      <c r="L1237" t="s">
        <v>406</v>
      </c>
      <c r="M1237" t="s">
        <v>407</v>
      </c>
      <c r="N1237" t="s">
        <v>59</v>
      </c>
      <c r="O1237" t="s">
        <v>60</v>
      </c>
      <c r="P1237" t="s">
        <v>144</v>
      </c>
      <c r="Q1237">
        <v>2</v>
      </c>
      <c r="R1237" t="s">
        <v>334</v>
      </c>
      <c r="S1237" t="s">
        <v>309</v>
      </c>
      <c r="T1237" s="52"/>
    </row>
    <row r="1238" spans="1:20" x14ac:dyDescent="0.3">
      <c r="A1238" t="s">
        <v>53</v>
      </c>
      <c r="B1238" s="48">
        <v>46023</v>
      </c>
      <c r="C1238" s="26"/>
      <c r="I1238" t="s">
        <v>421</v>
      </c>
      <c r="J1238" t="s">
        <v>419</v>
      </c>
      <c r="K1238" t="s">
        <v>422</v>
      </c>
      <c r="L1238" t="s">
        <v>406</v>
      </c>
      <c r="M1238" t="s">
        <v>407</v>
      </c>
      <c r="N1238" t="s">
        <v>59</v>
      </c>
      <c r="O1238" t="s">
        <v>60</v>
      </c>
      <c r="P1238" t="s">
        <v>144</v>
      </c>
      <c r="Q1238">
        <v>1</v>
      </c>
      <c r="R1238" t="s">
        <v>334</v>
      </c>
      <c r="S1238" t="s">
        <v>309</v>
      </c>
      <c r="T1238" s="52"/>
    </row>
    <row r="1239" spans="1:20" x14ac:dyDescent="0.3">
      <c r="A1239" t="s">
        <v>53</v>
      </c>
      <c r="B1239" s="48">
        <v>46023</v>
      </c>
      <c r="C1239" s="26"/>
      <c r="I1239" t="s">
        <v>423</v>
      </c>
      <c r="J1239" t="s">
        <v>419</v>
      </c>
      <c r="K1239" t="s">
        <v>424</v>
      </c>
      <c r="L1239" t="s">
        <v>406</v>
      </c>
      <c r="M1239" t="s">
        <v>407</v>
      </c>
      <c r="N1239" t="s">
        <v>59</v>
      </c>
      <c r="O1239" t="s">
        <v>60</v>
      </c>
      <c r="P1239" t="s">
        <v>144</v>
      </c>
      <c r="Q1239">
        <v>3</v>
      </c>
      <c r="R1239" t="s">
        <v>334</v>
      </c>
      <c r="S1239" t="s">
        <v>309</v>
      </c>
      <c r="T1239" s="52"/>
    </row>
    <row r="1240" spans="1:20" x14ac:dyDescent="0.3">
      <c r="A1240" t="s">
        <v>53</v>
      </c>
      <c r="B1240" s="48">
        <v>46023</v>
      </c>
      <c r="C1240" s="26"/>
      <c r="I1240" t="s">
        <v>425</v>
      </c>
      <c r="J1240" t="s">
        <v>426</v>
      </c>
      <c r="K1240" t="s">
        <v>410</v>
      </c>
      <c r="L1240" t="s">
        <v>406</v>
      </c>
      <c r="M1240" t="s">
        <v>407</v>
      </c>
      <c r="N1240" t="s">
        <v>59</v>
      </c>
      <c r="O1240" t="s">
        <v>60</v>
      </c>
      <c r="P1240" t="s">
        <v>144</v>
      </c>
      <c r="Q1240">
        <v>1</v>
      </c>
      <c r="R1240" t="s">
        <v>334</v>
      </c>
      <c r="S1240" t="s">
        <v>309</v>
      </c>
      <c r="T1240" s="52"/>
    </row>
    <row r="1241" spans="1:20" x14ac:dyDescent="0.3">
      <c r="A1241" t="s">
        <v>53</v>
      </c>
      <c r="B1241" s="48">
        <v>46023</v>
      </c>
      <c r="C1241" s="26"/>
      <c r="I1241" t="s">
        <v>427</v>
      </c>
      <c r="J1241" t="s">
        <v>428</v>
      </c>
      <c r="K1241" t="s">
        <v>429</v>
      </c>
      <c r="L1241" t="s">
        <v>406</v>
      </c>
      <c r="M1241" t="s">
        <v>407</v>
      </c>
      <c r="N1241" t="s">
        <v>59</v>
      </c>
      <c r="O1241" t="s">
        <v>60</v>
      </c>
      <c r="P1241" t="s">
        <v>144</v>
      </c>
      <c r="Q1241">
        <v>6</v>
      </c>
      <c r="R1241" t="s">
        <v>334</v>
      </c>
      <c r="S1241" t="s">
        <v>309</v>
      </c>
      <c r="T1241" s="52"/>
    </row>
    <row r="1242" spans="1:20" x14ac:dyDescent="0.3">
      <c r="A1242" t="s">
        <v>53</v>
      </c>
      <c r="B1242" s="48">
        <v>46023</v>
      </c>
      <c r="C1242" s="26"/>
      <c r="I1242" t="s">
        <v>430</v>
      </c>
      <c r="J1242" t="s">
        <v>431</v>
      </c>
      <c r="K1242" t="s">
        <v>432</v>
      </c>
      <c r="L1242" t="s">
        <v>406</v>
      </c>
      <c r="M1242" t="s">
        <v>407</v>
      </c>
      <c r="N1242" t="s">
        <v>59</v>
      </c>
      <c r="O1242" t="s">
        <v>60</v>
      </c>
      <c r="P1242" t="s">
        <v>144</v>
      </c>
      <c r="Q1242">
        <v>2</v>
      </c>
      <c r="R1242" t="s">
        <v>334</v>
      </c>
      <c r="S1242" t="s">
        <v>309</v>
      </c>
      <c r="T1242" s="52"/>
    </row>
    <row r="1243" spans="1:20" x14ac:dyDescent="0.3">
      <c r="A1243" t="s">
        <v>53</v>
      </c>
      <c r="B1243" s="48">
        <v>46023</v>
      </c>
      <c r="C1243" s="26"/>
      <c r="I1243" t="s">
        <v>433</v>
      </c>
      <c r="J1243" t="s">
        <v>434</v>
      </c>
      <c r="K1243" t="s">
        <v>435</v>
      </c>
      <c r="L1243" t="s">
        <v>406</v>
      </c>
      <c r="M1243" t="s">
        <v>407</v>
      </c>
      <c r="N1243" t="s">
        <v>59</v>
      </c>
      <c r="O1243" t="s">
        <v>60</v>
      </c>
      <c r="P1243" t="s">
        <v>144</v>
      </c>
      <c r="Q1243">
        <v>5</v>
      </c>
      <c r="R1243" t="s">
        <v>334</v>
      </c>
      <c r="S1243" t="s">
        <v>309</v>
      </c>
      <c r="T1243" s="52"/>
    </row>
    <row r="1244" spans="1:20" x14ac:dyDescent="0.3">
      <c r="A1244" t="s">
        <v>53</v>
      </c>
      <c r="B1244" s="48">
        <v>46023</v>
      </c>
      <c r="C1244" s="26"/>
      <c r="I1244" t="s">
        <v>436</v>
      </c>
      <c r="J1244" t="s">
        <v>437</v>
      </c>
      <c r="K1244" t="s">
        <v>438</v>
      </c>
      <c r="L1244" t="s">
        <v>406</v>
      </c>
      <c r="M1244" t="s">
        <v>407</v>
      </c>
      <c r="N1244" t="s">
        <v>59</v>
      </c>
      <c r="O1244" t="s">
        <v>60</v>
      </c>
      <c r="P1244" t="s">
        <v>144</v>
      </c>
      <c r="Q1244">
        <v>5</v>
      </c>
      <c r="R1244" t="s">
        <v>334</v>
      </c>
      <c r="S1244" t="s">
        <v>309</v>
      </c>
      <c r="T1244" s="52"/>
    </row>
    <row r="1245" spans="1:20" x14ac:dyDescent="0.3">
      <c r="A1245" t="s">
        <v>53</v>
      </c>
      <c r="B1245" s="48">
        <v>46023</v>
      </c>
      <c r="C1245" s="26"/>
      <c r="I1245" t="s">
        <v>439</v>
      </c>
      <c r="J1245" t="s">
        <v>440</v>
      </c>
      <c r="K1245" t="s">
        <v>441</v>
      </c>
      <c r="L1245" t="s">
        <v>406</v>
      </c>
      <c r="M1245" t="s">
        <v>407</v>
      </c>
      <c r="N1245" t="s">
        <v>59</v>
      </c>
      <c r="O1245" t="s">
        <v>60</v>
      </c>
      <c r="P1245" t="s">
        <v>144</v>
      </c>
      <c r="Q1245">
        <v>4</v>
      </c>
      <c r="R1245" t="s">
        <v>334</v>
      </c>
      <c r="S1245" t="s">
        <v>309</v>
      </c>
      <c r="T1245" s="52"/>
    </row>
    <row r="1246" spans="1:20" x14ac:dyDescent="0.3">
      <c r="A1246" t="s">
        <v>53</v>
      </c>
      <c r="B1246" s="48">
        <v>46023</v>
      </c>
      <c r="C1246" s="26"/>
      <c r="I1246" t="s">
        <v>442</v>
      </c>
      <c r="J1246" t="s">
        <v>443</v>
      </c>
      <c r="K1246" t="s">
        <v>444</v>
      </c>
      <c r="L1246" t="s">
        <v>406</v>
      </c>
      <c r="M1246" t="s">
        <v>407</v>
      </c>
      <c r="N1246" t="s">
        <v>59</v>
      </c>
      <c r="O1246" t="s">
        <v>60</v>
      </c>
      <c r="P1246" t="s">
        <v>144</v>
      </c>
      <c r="Q1246">
        <v>2</v>
      </c>
      <c r="R1246" t="s">
        <v>334</v>
      </c>
      <c r="S1246" t="s">
        <v>309</v>
      </c>
      <c r="T1246" s="52"/>
    </row>
    <row r="1247" spans="1:20" x14ac:dyDescent="0.3">
      <c r="A1247" t="s">
        <v>53</v>
      </c>
      <c r="B1247" s="48">
        <v>46023</v>
      </c>
      <c r="C1247" s="26"/>
      <c r="I1247" t="s">
        <v>445</v>
      </c>
      <c r="J1247" t="s">
        <v>446</v>
      </c>
      <c r="K1247" t="s">
        <v>441</v>
      </c>
      <c r="L1247" t="s">
        <v>406</v>
      </c>
      <c r="M1247" t="s">
        <v>407</v>
      </c>
      <c r="N1247" t="s">
        <v>59</v>
      </c>
      <c r="O1247" t="s">
        <v>60</v>
      </c>
      <c r="P1247" t="s">
        <v>144</v>
      </c>
      <c r="Q1247">
        <v>1</v>
      </c>
      <c r="R1247" t="s">
        <v>334</v>
      </c>
      <c r="S1247" t="s">
        <v>309</v>
      </c>
      <c r="T1247" s="52"/>
    </row>
    <row r="1248" spans="1:20" x14ac:dyDescent="0.3">
      <c r="A1248" t="s">
        <v>53</v>
      </c>
      <c r="B1248" s="48">
        <v>46023</v>
      </c>
      <c r="C1248" s="26"/>
      <c r="I1248" t="s">
        <v>447</v>
      </c>
      <c r="J1248" t="s">
        <v>448</v>
      </c>
      <c r="K1248" t="s">
        <v>59</v>
      </c>
      <c r="L1248" t="s">
        <v>406</v>
      </c>
      <c r="M1248" t="s">
        <v>407</v>
      </c>
      <c r="N1248" t="s">
        <v>59</v>
      </c>
      <c r="O1248" t="s">
        <v>60</v>
      </c>
      <c r="P1248" t="s">
        <v>144</v>
      </c>
      <c r="Q1248">
        <v>2</v>
      </c>
      <c r="R1248" t="s">
        <v>334</v>
      </c>
      <c r="S1248" t="s">
        <v>309</v>
      </c>
      <c r="T1248" s="52"/>
    </row>
    <row r="1249" spans="1:20" x14ac:dyDescent="0.3">
      <c r="A1249" t="s">
        <v>53</v>
      </c>
      <c r="B1249" s="48">
        <v>46023</v>
      </c>
      <c r="C1249" s="26"/>
      <c r="I1249" t="s">
        <v>449</v>
      </c>
      <c r="J1249" t="s">
        <v>450</v>
      </c>
      <c r="K1249" t="s">
        <v>422</v>
      </c>
      <c r="L1249" t="s">
        <v>406</v>
      </c>
      <c r="M1249" t="s">
        <v>407</v>
      </c>
      <c r="N1249" t="s">
        <v>59</v>
      </c>
      <c r="O1249" t="s">
        <v>60</v>
      </c>
      <c r="P1249" t="s">
        <v>144</v>
      </c>
      <c r="Q1249">
        <v>1</v>
      </c>
      <c r="R1249" t="s">
        <v>334</v>
      </c>
      <c r="S1249" t="s">
        <v>309</v>
      </c>
      <c r="T1249" s="52"/>
    </row>
    <row r="1250" spans="1:20" x14ac:dyDescent="0.3">
      <c r="A1250" t="s">
        <v>53</v>
      </c>
      <c r="B1250" s="48">
        <v>46023</v>
      </c>
      <c r="C1250" s="26"/>
      <c r="I1250" t="s">
        <v>451</v>
      </c>
      <c r="J1250" t="s">
        <v>452</v>
      </c>
      <c r="K1250" t="s">
        <v>453</v>
      </c>
      <c r="L1250" t="s">
        <v>406</v>
      </c>
      <c r="M1250" t="s">
        <v>407</v>
      </c>
      <c r="N1250" t="s">
        <v>59</v>
      </c>
      <c r="O1250" t="s">
        <v>60</v>
      </c>
      <c r="P1250" t="s">
        <v>144</v>
      </c>
      <c r="Q1250">
        <v>4</v>
      </c>
      <c r="R1250" t="s">
        <v>334</v>
      </c>
      <c r="S1250" t="s">
        <v>309</v>
      </c>
      <c r="T1250" s="52"/>
    </row>
    <row r="1251" spans="1:20" x14ac:dyDescent="0.3">
      <c r="A1251" t="s">
        <v>53</v>
      </c>
      <c r="B1251" s="48">
        <v>46023</v>
      </c>
      <c r="C1251" s="26"/>
      <c r="I1251" t="s">
        <v>454</v>
      </c>
      <c r="J1251" t="s">
        <v>455</v>
      </c>
      <c r="K1251" t="s">
        <v>453</v>
      </c>
      <c r="L1251" t="s">
        <v>406</v>
      </c>
      <c r="M1251" t="s">
        <v>407</v>
      </c>
      <c r="N1251" t="s">
        <v>59</v>
      </c>
      <c r="O1251" t="s">
        <v>60</v>
      </c>
      <c r="P1251" t="s">
        <v>144</v>
      </c>
      <c r="Q1251">
        <v>2</v>
      </c>
      <c r="R1251" t="s">
        <v>334</v>
      </c>
      <c r="S1251" t="s">
        <v>309</v>
      </c>
      <c r="T1251" s="52"/>
    </row>
    <row r="1252" spans="1:20" x14ac:dyDescent="0.3">
      <c r="A1252" t="s">
        <v>53</v>
      </c>
      <c r="B1252" s="48">
        <v>46023</v>
      </c>
      <c r="C1252" s="26"/>
      <c r="I1252" t="s">
        <v>456</v>
      </c>
      <c r="J1252" t="s">
        <v>457</v>
      </c>
      <c r="K1252" t="s">
        <v>458</v>
      </c>
      <c r="L1252" t="s">
        <v>406</v>
      </c>
      <c r="M1252" t="s">
        <v>459</v>
      </c>
      <c r="N1252" t="s">
        <v>59</v>
      </c>
      <c r="O1252" t="s">
        <v>60</v>
      </c>
      <c r="P1252" t="s">
        <v>144</v>
      </c>
      <c r="Q1252">
        <v>119</v>
      </c>
      <c r="R1252" t="s">
        <v>341</v>
      </c>
      <c r="S1252" t="s">
        <v>309</v>
      </c>
      <c r="T1252" s="52"/>
    </row>
    <row r="1253" spans="1:20" x14ac:dyDescent="0.3">
      <c r="A1253" t="s">
        <v>53</v>
      </c>
      <c r="B1253" s="48">
        <v>46023</v>
      </c>
      <c r="C1253" s="26"/>
      <c r="I1253" t="s">
        <v>460</v>
      </c>
      <c r="J1253" t="s">
        <v>461</v>
      </c>
      <c r="K1253" t="s">
        <v>462</v>
      </c>
      <c r="L1253" t="s">
        <v>406</v>
      </c>
      <c r="M1253" t="s">
        <v>463</v>
      </c>
      <c r="N1253" t="s">
        <v>59</v>
      </c>
      <c r="O1253" t="s">
        <v>143</v>
      </c>
      <c r="P1253" t="s">
        <v>144</v>
      </c>
      <c r="Q1253">
        <v>1</v>
      </c>
      <c r="R1253" t="s">
        <v>464</v>
      </c>
      <c r="S1253" t="s">
        <v>325</v>
      </c>
      <c r="T1253" s="52"/>
    </row>
    <row r="1254" spans="1:20" x14ac:dyDescent="0.3">
      <c r="A1254" t="s">
        <v>53</v>
      </c>
      <c r="B1254" s="48">
        <v>46023</v>
      </c>
      <c r="C1254" s="26"/>
      <c r="I1254" t="s">
        <v>317</v>
      </c>
      <c r="J1254" t="s">
        <v>318</v>
      </c>
      <c r="K1254" t="s">
        <v>59</v>
      </c>
      <c r="L1254" t="s">
        <v>319</v>
      </c>
      <c r="M1254" t="s">
        <v>320</v>
      </c>
      <c r="N1254" t="s">
        <v>59</v>
      </c>
      <c r="O1254" t="s">
        <v>116</v>
      </c>
      <c r="P1254" t="s">
        <v>144</v>
      </c>
      <c r="Q1254">
        <v>5</v>
      </c>
      <c r="R1254" t="s">
        <v>321</v>
      </c>
      <c r="S1254" t="s">
        <v>309</v>
      </c>
      <c r="T1254" s="52"/>
    </row>
    <row r="1255" spans="1:20" x14ac:dyDescent="0.3">
      <c r="A1255" t="s">
        <v>53</v>
      </c>
      <c r="B1255" s="48">
        <v>46023</v>
      </c>
      <c r="C1255" s="26"/>
      <c r="I1255" t="s">
        <v>322</v>
      </c>
      <c r="J1255" t="s">
        <v>323</v>
      </c>
      <c r="K1255" t="s">
        <v>59</v>
      </c>
      <c r="L1255" t="s">
        <v>319</v>
      </c>
      <c r="M1255" t="s">
        <v>324</v>
      </c>
      <c r="N1255" t="s">
        <v>59</v>
      </c>
      <c r="O1255" t="s">
        <v>116</v>
      </c>
      <c r="P1255" t="s">
        <v>144</v>
      </c>
      <c r="Q1255">
        <v>7</v>
      </c>
      <c r="R1255" t="s">
        <v>321</v>
      </c>
      <c r="S1255" t="s">
        <v>325</v>
      </c>
      <c r="T1255" s="52"/>
    </row>
    <row r="1256" spans="1:20" x14ac:dyDescent="0.3">
      <c r="A1256" t="s">
        <v>53</v>
      </c>
      <c r="B1256" s="48">
        <v>46023</v>
      </c>
      <c r="C1256" s="26"/>
      <c r="I1256" t="s">
        <v>326</v>
      </c>
      <c r="J1256" t="s">
        <v>327</v>
      </c>
      <c r="K1256" t="s">
        <v>59</v>
      </c>
      <c r="L1256" t="s">
        <v>319</v>
      </c>
      <c r="M1256" t="s">
        <v>324</v>
      </c>
      <c r="N1256" t="s">
        <v>59</v>
      </c>
      <c r="O1256" t="s">
        <v>116</v>
      </c>
      <c r="P1256" t="s">
        <v>144</v>
      </c>
      <c r="Q1256">
        <v>2</v>
      </c>
      <c r="R1256" t="s">
        <v>328</v>
      </c>
      <c r="S1256" t="s">
        <v>309</v>
      </c>
      <c r="T1256" s="52"/>
    </row>
    <row r="1257" spans="1:20" x14ac:dyDescent="0.3">
      <c r="A1257" t="s">
        <v>53</v>
      </c>
      <c r="B1257" s="48">
        <v>46023</v>
      </c>
      <c r="C1257" s="26"/>
      <c r="I1257" t="s">
        <v>329</v>
      </c>
      <c r="J1257" t="s">
        <v>327</v>
      </c>
      <c r="K1257" t="s">
        <v>59</v>
      </c>
      <c r="L1257" t="s">
        <v>319</v>
      </c>
      <c r="M1257" t="s">
        <v>324</v>
      </c>
      <c r="N1257" t="s">
        <v>59</v>
      </c>
      <c r="O1257" t="s">
        <v>60</v>
      </c>
      <c r="P1257" t="s">
        <v>144</v>
      </c>
      <c r="Q1257">
        <v>3</v>
      </c>
      <c r="R1257" t="s">
        <v>328</v>
      </c>
      <c r="S1257" t="s">
        <v>309</v>
      </c>
      <c r="T1257" s="52"/>
    </row>
    <row r="1258" spans="1:20" x14ac:dyDescent="0.3">
      <c r="A1258" t="s">
        <v>53</v>
      </c>
      <c r="B1258" s="48">
        <v>46023</v>
      </c>
      <c r="C1258" s="26"/>
      <c r="I1258" t="s">
        <v>330</v>
      </c>
      <c r="J1258" t="s">
        <v>331</v>
      </c>
      <c r="K1258" t="s">
        <v>332</v>
      </c>
      <c r="L1258" t="s">
        <v>319</v>
      </c>
      <c r="M1258" t="s">
        <v>333</v>
      </c>
      <c r="N1258" t="s">
        <v>59</v>
      </c>
      <c r="O1258" t="s">
        <v>116</v>
      </c>
      <c r="P1258" t="s">
        <v>144</v>
      </c>
      <c r="Q1258">
        <v>3</v>
      </c>
      <c r="R1258" t="s">
        <v>334</v>
      </c>
      <c r="S1258" t="s">
        <v>309</v>
      </c>
      <c r="T1258" s="52"/>
    </row>
    <row r="1259" spans="1:20" x14ac:dyDescent="0.3">
      <c r="A1259" t="s">
        <v>53</v>
      </c>
      <c r="B1259" s="48">
        <v>46023</v>
      </c>
      <c r="C1259" s="26"/>
      <c r="I1259" t="s">
        <v>335</v>
      </c>
      <c r="J1259" t="s">
        <v>336</v>
      </c>
      <c r="K1259" t="s">
        <v>337</v>
      </c>
      <c r="L1259" t="s">
        <v>319</v>
      </c>
      <c r="M1259" t="s">
        <v>324</v>
      </c>
      <c r="N1259" t="s">
        <v>59</v>
      </c>
      <c r="O1259" t="s">
        <v>60</v>
      </c>
      <c r="P1259" t="s">
        <v>61</v>
      </c>
      <c r="Q1259">
        <v>1</v>
      </c>
      <c r="R1259" t="s">
        <v>334</v>
      </c>
      <c r="S1259" t="s">
        <v>309</v>
      </c>
      <c r="T1259" s="52"/>
    </row>
    <row r="1260" spans="1:20" x14ac:dyDescent="0.3">
      <c r="A1260" t="s">
        <v>53</v>
      </c>
      <c r="B1260" s="48">
        <v>46023</v>
      </c>
      <c r="C1260" s="26"/>
      <c r="I1260" t="s">
        <v>338</v>
      </c>
      <c r="J1260" t="s">
        <v>339</v>
      </c>
      <c r="K1260" t="s">
        <v>332</v>
      </c>
      <c r="L1260" t="s">
        <v>319</v>
      </c>
      <c r="M1260" t="s">
        <v>340</v>
      </c>
      <c r="N1260" t="s">
        <v>59</v>
      </c>
      <c r="O1260" t="s">
        <v>60</v>
      </c>
      <c r="P1260" t="s">
        <v>127</v>
      </c>
      <c r="Q1260">
        <v>46</v>
      </c>
      <c r="R1260" t="s">
        <v>341</v>
      </c>
      <c r="S1260" t="s">
        <v>309</v>
      </c>
      <c r="T1260" s="52"/>
    </row>
    <row r="1261" spans="1:20" x14ac:dyDescent="0.3">
      <c r="A1261" t="s">
        <v>53</v>
      </c>
      <c r="B1261" s="48">
        <v>46023</v>
      </c>
      <c r="C1261" s="26"/>
      <c r="I1261" t="s">
        <v>342</v>
      </c>
      <c r="J1261" t="s">
        <v>343</v>
      </c>
      <c r="K1261" t="s">
        <v>344</v>
      </c>
      <c r="L1261" t="s">
        <v>319</v>
      </c>
      <c r="M1261" t="s">
        <v>324</v>
      </c>
      <c r="N1261" t="s">
        <v>59</v>
      </c>
      <c r="O1261" t="s">
        <v>60</v>
      </c>
      <c r="P1261" t="s">
        <v>61</v>
      </c>
      <c r="Q1261">
        <v>8</v>
      </c>
      <c r="R1261" t="s">
        <v>62</v>
      </c>
      <c r="S1261" t="s">
        <v>63</v>
      </c>
      <c r="T1261" s="52"/>
    </row>
    <row r="1262" spans="1:20" x14ac:dyDescent="0.3">
      <c r="A1262" t="s">
        <v>53</v>
      </c>
      <c r="B1262" s="48">
        <v>46023</v>
      </c>
      <c r="C1262" s="26"/>
      <c r="I1262" t="s">
        <v>345</v>
      </c>
      <c r="J1262" t="s">
        <v>346</v>
      </c>
      <c r="K1262" t="s">
        <v>347</v>
      </c>
      <c r="L1262" t="s">
        <v>319</v>
      </c>
      <c r="M1262" t="s">
        <v>333</v>
      </c>
      <c r="N1262" t="s">
        <v>59</v>
      </c>
      <c r="O1262" t="s">
        <v>60</v>
      </c>
      <c r="P1262" t="s">
        <v>61</v>
      </c>
      <c r="Q1262">
        <v>5</v>
      </c>
      <c r="R1262" t="s">
        <v>348</v>
      </c>
      <c r="S1262" t="s">
        <v>129</v>
      </c>
      <c r="T1262" s="52"/>
    </row>
    <row r="1263" spans="1:20" x14ac:dyDescent="0.3">
      <c r="A1263" t="s">
        <v>53</v>
      </c>
      <c r="B1263" s="48">
        <v>46023</v>
      </c>
      <c r="C1263" s="26"/>
      <c r="I1263" t="s">
        <v>349</v>
      </c>
      <c r="J1263" t="s">
        <v>350</v>
      </c>
      <c r="K1263" t="s">
        <v>347</v>
      </c>
      <c r="L1263" t="s">
        <v>319</v>
      </c>
      <c r="M1263" t="s">
        <v>333</v>
      </c>
      <c r="N1263" t="s">
        <v>59</v>
      </c>
      <c r="O1263" t="s">
        <v>60</v>
      </c>
      <c r="P1263" t="s">
        <v>127</v>
      </c>
      <c r="Q1263">
        <v>16</v>
      </c>
      <c r="R1263" t="s">
        <v>348</v>
      </c>
      <c r="S1263" t="s">
        <v>112</v>
      </c>
      <c r="T1263" s="52"/>
    </row>
    <row r="1264" spans="1:20" x14ac:dyDescent="0.3">
      <c r="A1264" t="s">
        <v>53</v>
      </c>
      <c r="B1264" s="48">
        <v>46023</v>
      </c>
      <c r="C1264" s="26"/>
      <c r="I1264" t="s">
        <v>351</v>
      </c>
      <c r="J1264" t="s">
        <v>352</v>
      </c>
      <c r="K1264" t="s">
        <v>59</v>
      </c>
      <c r="L1264" t="s">
        <v>319</v>
      </c>
      <c r="M1264" t="s">
        <v>353</v>
      </c>
      <c r="N1264" t="s">
        <v>59</v>
      </c>
      <c r="O1264" t="s">
        <v>60</v>
      </c>
      <c r="P1264" t="s">
        <v>127</v>
      </c>
      <c r="Q1264">
        <v>12</v>
      </c>
      <c r="R1264" t="s">
        <v>348</v>
      </c>
      <c r="S1264" t="s">
        <v>309</v>
      </c>
      <c r="T1264" s="52"/>
    </row>
    <row r="1265" spans="1:20" x14ac:dyDescent="0.3">
      <c r="A1265" t="s">
        <v>53</v>
      </c>
      <c r="B1265" s="48">
        <v>46023</v>
      </c>
      <c r="C1265" s="26"/>
      <c r="I1265" t="s">
        <v>354</v>
      </c>
      <c r="J1265" t="s">
        <v>355</v>
      </c>
      <c r="K1265" t="s">
        <v>59</v>
      </c>
      <c r="L1265" t="s">
        <v>319</v>
      </c>
      <c r="M1265" t="s">
        <v>353</v>
      </c>
      <c r="N1265" t="s">
        <v>59</v>
      </c>
      <c r="O1265" t="s">
        <v>60</v>
      </c>
      <c r="P1265" t="s">
        <v>127</v>
      </c>
      <c r="Q1265">
        <v>24</v>
      </c>
      <c r="R1265" t="s">
        <v>348</v>
      </c>
      <c r="S1265" t="s">
        <v>309</v>
      </c>
      <c r="T1265" s="52"/>
    </row>
    <row r="1266" spans="1:20" x14ac:dyDescent="0.3">
      <c r="A1266" t="s">
        <v>53</v>
      </c>
      <c r="B1266" s="48">
        <v>46023</v>
      </c>
      <c r="C1266" s="26"/>
      <c r="I1266" t="s">
        <v>356</v>
      </c>
      <c r="J1266" t="s">
        <v>357</v>
      </c>
      <c r="K1266" t="s">
        <v>347</v>
      </c>
      <c r="L1266" t="s">
        <v>319</v>
      </c>
      <c r="M1266" t="s">
        <v>333</v>
      </c>
      <c r="N1266" t="s">
        <v>59</v>
      </c>
      <c r="O1266" t="s">
        <v>60</v>
      </c>
      <c r="P1266" t="s">
        <v>61</v>
      </c>
      <c r="Q1266">
        <v>70</v>
      </c>
      <c r="R1266" t="s">
        <v>348</v>
      </c>
      <c r="S1266" t="s">
        <v>129</v>
      </c>
      <c r="T1266" s="52"/>
    </row>
    <row r="1267" spans="1:20" x14ac:dyDescent="0.3">
      <c r="A1267" t="s">
        <v>53</v>
      </c>
      <c r="B1267" s="48">
        <v>46023</v>
      </c>
      <c r="C1267" s="26"/>
      <c r="I1267" t="s">
        <v>358</v>
      </c>
      <c r="J1267" t="s">
        <v>359</v>
      </c>
      <c r="K1267" t="s">
        <v>347</v>
      </c>
      <c r="L1267" t="s">
        <v>319</v>
      </c>
      <c r="M1267" t="s">
        <v>333</v>
      </c>
      <c r="N1267" t="s">
        <v>59</v>
      </c>
      <c r="O1267" t="s">
        <v>60</v>
      </c>
      <c r="P1267" t="s">
        <v>61</v>
      </c>
      <c r="Q1267">
        <v>10</v>
      </c>
      <c r="R1267" t="s">
        <v>348</v>
      </c>
      <c r="S1267" t="s">
        <v>129</v>
      </c>
      <c r="T1267" s="52"/>
    </row>
    <row r="1268" spans="1:20" x14ac:dyDescent="0.3">
      <c r="A1268" t="s">
        <v>53</v>
      </c>
      <c r="B1268" s="48">
        <v>46023</v>
      </c>
      <c r="C1268" s="26"/>
      <c r="I1268" t="s">
        <v>360</v>
      </c>
      <c r="J1268" t="s">
        <v>361</v>
      </c>
      <c r="K1268" t="s">
        <v>362</v>
      </c>
      <c r="L1268" t="s">
        <v>319</v>
      </c>
      <c r="M1268" t="s">
        <v>363</v>
      </c>
      <c r="N1268" t="s">
        <v>59</v>
      </c>
      <c r="O1268" t="s">
        <v>60</v>
      </c>
      <c r="P1268" t="s">
        <v>127</v>
      </c>
      <c r="Q1268">
        <v>2</v>
      </c>
      <c r="R1268" t="s">
        <v>364</v>
      </c>
      <c r="S1268" t="s">
        <v>129</v>
      </c>
      <c r="T1268" s="52"/>
    </row>
    <row r="1269" spans="1:20" x14ac:dyDescent="0.3">
      <c r="A1269" t="s">
        <v>53</v>
      </c>
      <c r="B1269" s="48">
        <v>46023</v>
      </c>
      <c r="C1269" s="26"/>
      <c r="I1269" t="s">
        <v>365</v>
      </c>
      <c r="J1269" t="s">
        <v>366</v>
      </c>
      <c r="K1269" t="s">
        <v>362</v>
      </c>
      <c r="L1269" t="s">
        <v>319</v>
      </c>
      <c r="M1269" t="s">
        <v>363</v>
      </c>
      <c r="N1269" t="s">
        <v>59</v>
      </c>
      <c r="O1269" t="s">
        <v>60</v>
      </c>
      <c r="P1269" t="s">
        <v>127</v>
      </c>
      <c r="Q1269">
        <v>2</v>
      </c>
      <c r="R1269" t="s">
        <v>364</v>
      </c>
      <c r="S1269" t="s">
        <v>129</v>
      </c>
      <c r="T1269" s="52"/>
    </row>
    <row r="1270" spans="1:20" x14ac:dyDescent="0.3">
      <c r="A1270" t="s">
        <v>53</v>
      </c>
      <c r="B1270" s="48">
        <v>46023</v>
      </c>
      <c r="C1270" s="26"/>
      <c r="I1270" t="s">
        <v>367</v>
      </c>
      <c r="J1270" t="s">
        <v>368</v>
      </c>
      <c r="K1270" t="s">
        <v>369</v>
      </c>
      <c r="L1270" t="s">
        <v>319</v>
      </c>
      <c r="M1270" t="s">
        <v>333</v>
      </c>
      <c r="N1270" t="s">
        <v>59</v>
      </c>
      <c r="O1270" t="s">
        <v>60</v>
      </c>
      <c r="P1270" t="s">
        <v>61</v>
      </c>
      <c r="Q1270">
        <v>6</v>
      </c>
      <c r="R1270" t="s">
        <v>364</v>
      </c>
      <c r="S1270" t="s">
        <v>129</v>
      </c>
      <c r="T1270" s="52"/>
    </row>
    <row r="1271" spans="1:20" x14ac:dyDescent="0.3">
      <c r="A1271" t="s">
        <v>53</v>
      </c>
      <c r="B1271" s="48">
        <v>46023</v>
      </c>
      <c r="C1271" s="26"/>
      <c r="I1271" t="s">
        <v>370</v>
      </c>
      <c r="J1271" t="s">
        <v>371</v>
      </c>
      <c r="K1271" t="s">
        <v>372</v>
      </c>
      <c r="L1271" t="s">
        <v>319</v>
      </c>
      <c r="M1271" t="s">
        <v>340</v>
      </c>
      <c r="N1271" t="s">
        <v>59</v>
      </c>
      <c r="O1271" t="s">
        <v>60</v>
      </c>
      <c r="P1271" t="s">
        <v>127</v>
      </c>
      <c r="Q1271">
        <v>2</v>
      </c>
      <c r="R1271" t="s">
        <v>364</v>
      </c>
      <c r="S1271" t="s">
        <v>129</v>
      </c>
      <c r="T1271" s="52"/>
    </row>
    <row r="1272" spans="1:20" x14ac:dyDescent="0.3">
      <c r="A1272" t="s">
        <v>53</v>
      </c>
      <c r="B1272" s="48">
        <v>46023</v>
      </c>
      <c r="C1272" s="26"/>
      <c r="I1272" t="s">
        <v>373</v>
      </c>
      <c r="J1272" t="s">
        <v>374</v>
      </c>
      <c r="K1272" t="s">
        <v>375</v>
      </c>
      <c r="L1272" t="s">
        <v>319</v>
      </c>
      <c r="M1272" t="s">
        <v>363</v>
      </c>
      <c r="N1272" t="s">
        <v>59</v>
      </c>
      <c r="O1272" t="s">
        <v>60</v>
      </c>
      <c r="P1272" t="s">
        <v>127</v>
      </c>
      <c r="Q1272">
        <v>2</v>
      </c>
      <c r="R1272" t="s">
        <v>128</v>
      </c>
      <c r="S1272" t="s">
        <v>129</v>
      </c>
      <c r="T1272" s="52"/>
    </row>
    <row r="1273" spans="1:20" x14ac:dyDescent="0.3">
      <c r="A1273" t="s">
        <v>53</v>
      </c>
      <c r="B1273" s="48">
        <v>46023</v>
      </c>
      <c r="C1273" s="26"/>
      <c r="I1273" t="s">
        <v>376</v>
      </c>
      <c r="J1273" t="s">
        <v>377</v>
      </c>
      <c r="K1273" t="s">
        <v>375</v>
      </c>
      <c r="L1273" t="s">
        <v>319</v>
      </c>
      <c r="M1273" t="s">
        <v>363</v>
      </c>
      <c r="N1273" t="s">
        <v>59</v>
      </c>
      <c r="O1273" t="s">
        <v>60</v>
      </c>
      <c r="P1273" t="s">
        <v>127</v>
      </c>
      <c r="Q1273">
        <v>1</v>
      </c>
      <c r="R1273" t="s">
        <v>128</v>
      </c>
      <c r="S1273" t="s">
        <v>129</v>
      </c>
      <c r="T1273" s="52"/>
    </row>
    <row r="1274" spans="1:20" x14ac:dyDescent="0.3">
      <c r="A1274" t="s">
        <v>53</v>
      </c>
      <c r="B1274" s="48">
        <v>46023</v>
      </c>
      <c r="C1274" s="26"/>
      <c r="I1274" t="s">
        <v>378</v>
      </c>
      <c r="J1274" t="s">
        <v>379</v>
      </c>
      <c r="K1274" t="s">
        <v>375</v>
      </c>
      <c r="L1274" t="s">
        <v>319</v>
      </c>
      <c r="M1274" t="s">
        <v>363</v>
      </c>
      <c r="N1274" t="s">
        <v>59</v>
      </c>
      <c r="O1274" t="s">
        <v>60</v>
      </c>
      <c r="P1274" t="s">
        <v>127</v>
      </c>
      <c r="Q1274">
        <v>1</v>
      </c>
      <c r="R1274" t="s">
        <v>128</v>
      </c>
      <c r="S1274" t="s">
        <v>129</v>
      </c>
      <c r="T1274" s="52"/>
    </row>
    <row r="1275" spans="1:20" x14ac:dyDescent="0.3">
      <c r="A1275" t="s">
        <v>53</v>
      </c>
      <c r="B1275" s="48">
        <v>46023</v>
      </c>
      <c r="C1275" s="26"/>
      <c r="I1275" t="s">
        <v>380</v>
      </c>
      <c r="J1275" t="s">
        <v>381</v>
      </c>
      <c r="K1275" t="s">
        <v>375</v>
      </c>
      <c r="L1275" t="s">
        <v>319</v>
      </c>
      <c r="M1275" t="s">
        <v>363</v>
      </c>
      <c r="N1275" t="s">
        <v>59</v>
      </c>
      <c r="O1275" t="s">
        <v>60</v>
      </c>
      <c r="P1275" t="s">
        <v>127</v>
      </c>
      <c r="Q1275">
        <v>1</v>
      </c>
      <c r="R1275" t="s">
        <v>128</v>
      </c>
      <c r="S1275" t="s">
        <v>129</v>
      </c>
      <c r="T1275" s="52"/>
    </row>
    <row r="1276" spans="1:20" x14ac:dyDescent="0.3">
      <c r="A1276" t="s">
        <v>53</v>
      </c>
      <c r="B1276" s="48">
        <v>46023</v>
      </c>
      <c r="C1276" s="26"/>
      <c r="I1276" t="s">
        <v>382</v>
      </c>
      <c r="J1276" t="s">
        <v>383</v>
      </c>
      <c r="K1276" t="s">
        <v>375</v>
      </c>
      <c r="L1276" t="s">
        <v>319</v>
      </c>
      <c r="M1276" t="s">
        <v>363</v>
      </c>
      <c r="N1276" t="s">
        <v>59</v>
      </c>
      <c r="O1276" t="s">
        <v>60</v>
      </c>
      <c r="P1276" t="s">
        <v>127</v>
      </c>
      <c r="Q1276">
        <v>1</v>
      </c>
      <c r="R1276" t="s">
        <v>137</v>
      </c>
      <c r="S1276" t="s">
        <v>129</v>
      </c>
      <c r="T1276" s="52"/>
    </row>
    <row r="1277" spans="1:20" x14ac:dyDescent="0.3">
      <c r="A1277" t="s">
        <v>53</v>
      </c>
      <c r="B1277" s="48">
        <v>46023</v>
      </c>
      <c r="C1277" s="26"/>
      <c r="I1277" t="s">
        <v>384</v>
      </c>
      <c r="J1277" t="s">
        <v>383</v>
      </c>
      <c r="K1277" t="s">
        <v>385</v>
      </c>
      <c r="L1277" t="s">
        <v>319</v>
      </c>
      <c r="M1277" t="s">
        <v>363</v>
      </c>
      <c r="N1277" t="s">
        <v>59</v>
      </c>
      <c r="O1277" t="s">
        <v>60</v>
      </c>
      <c r="P1277" t="s">
        <v>127</v>
      </c>
      <c r="Q1277">
        <v>1</v>
      </c>
      <c r="R1277" t="s">
        <v>137</v>
      </c>
      <c r="S1277" t="s">
        <v>129</v>
      </c>
      <c r="T1277" s="52"/>
    </row>
    <row r="1278" spans="1:20" x14ac:dyDescent="0.3">
      <c r="A1278" t="s">
        <v>53</v>
      </c>
      <c r="B1278" s="48">
        <v>46023</v>
      </c>
      <c r="C1278" s="26"/>
      <c r="I1278" t="s">
        <v>386</v>
      </c>
      <c r="J1278" t="s">
        <v>387</v>
      </c>
      <c r="K1278" t="s">
        <v>388</v>
      </c>
      <c r="L1278" t="s">
        <v>319</v>
      </c>
      <c r="M1278" t="s">
        <v>363</v>
      </c>
      <c r="N1278" t="s">
        <v>59</v>
      </c>
      <c r="O1278" t="s">
        <v>60</v>
      </c>
      <c r="P1278" t="s">
        <v>127</v>
      </c>
      <c r="Q1278">
        <v>1</v>
      </c>
      <c r="R1278" t="s">
        <v>137</v>
      </c>
      <c r="S1278" t="s">
        <v>129</v>
      </c>
      <c r="T1278" s="52"/>
    </row>
    <row r="1279" spans="1:20" x14ac:dyDescent="0.3">
      <c r="A1279" t="s">
        <v>53</v>
      </c>
      <c r="B1279" s="48">
        <v>46023</v>
      </c>
      <c r="C1279" s="26"/>
      <c r="I1279" t="s">
        <v>389</v>
      </c>
      <c r="J1279" t="s">
        <v>390</v>
      </c>
      <c r="K1279" t="s">
        <v>388</v>
      </c>
      <c r="L1279" t="s">
        <v>319</v>
      </c>
      <c r="M1279" t="s">
        <v>363</v>
      </c>
      <c r="N1279" t="s">
        <v>59</v>
      </c>
      <c r="O1279" t="s">
        <v>60</v>
      </c>
      <c r="P1279" t="s">
        <v>127</v>
      </c>
      <c r="Q1279">
        <v>1</v>
      </c>
      <c r="R1279" t="s">
        <v>137</v>
      </c>
      <c r="S1279" t="s">
        <v>129</v>
      </c>
      <c r="T1279" s="52"/>
    </row>
    <row r="1280" spans="1:20" x14ac:dyDescent="0.3">
      <c r="A1280" t="s">
        <v>53</v>
      </c>
      <c r="B1280" s="48">
        <v>46023</v>
      </c>
      <c r="C1280" s="26"/>
      <c r="I1280" t="s">
        <v>391</v>
      </c>
      <c r="J1280" t="s">
        <v>392</v>
      </c>
      <c r="K1280" t="s">
        <v>388</v>
      </c>
      <c r="L1280" t="s">
        <v>319</v>
      </c>
      <c r="M1280" t="s">
        <v>363</v>
      </c>
      <c r="N1280" t="s">
        <v>59</v>
      </c>
      <c r="O1280" t="s">
        <v>60</v>
      </c>
      <c r="P1280" t="s">
        <v>127</v>
      </c>
      <c r="Q1280">
        <v>1</v>
      </c>
      <c r="R1280" t="s">
        <v>137</v>
      </c>
      <c r="S1280" t="s">
        <v>129</v>
      </c>
      <c r="T1280" s="52"/>
    </row>
    <row r="1281" spans="1:20" x14ac:dyDescent="0.3">
      <c r="A1281" t="s">
        <v>53</v>
      </c>
      <c r="B1281" s="48">
        <v>46023</v>
      </c>
      <c r="C1281" s="26"/>
      <c r="I1281" t="s">
        <v>393</v>
      </c>
      <c r="J1281" t="s">
        <v>394</v>
      </c>
      <c r="K1281" t="s">
        <v>59</v>
      </c>
      <c r="L1281" t="s">
        <v>319</v>
      </c>
      <c r="M1281" t="s">
        <v>324</v>
      </c>
      <c r="N1281" t="s">
        <v>59</v>
      </c>
      <c r="O1281" t="s">
        <v>60</v>
      </c>
      <c r="P1281" t="s">
        <v>61</v>
      </c>
      <c r="Q1281">
        <v>1</v>
      </c>
      <c r="R1281" t="s">
        <v>137</v>
      </c>
      <c r="S1281" t="s">
        <v>395</v>
      </c>
      <c r="T1281" s="52"/>
    </row>
    <row r="1282" spans="1:20" x14ac:dyDescent="0.3">
      <c r="A1282" t="s">
        <v>53</v>
      </c>
      <c r="B1282" s="48">
        <v>46023</v>
      </c>
      <c r="C1282" s="26"/>
      <c r="I1282" t="s">
        <v>396</v>
      </c>
      <c r="J1282" t="s">
        <v>397</v>
      </c>
      <c r="K1282" t="s">
        <v>398</v>
      </c>
      <c r="L1282" t="s">
        <v>319</v>
      </c>
      <c r="M1282" t="s">
        <v>324</v>
      </c>
      <c r="N1282" t="s">
        <v>59</v>
      </c>
      <c r="O1282" t="s">
        <v>60</v>
      </c>
      <c r="P1282" t="s">
        <v>61</v>
      </c>
      <c r="Q1282">
        <v>1</v>
      </c>
      <c r="R1282" t="s">
        <v>137</v>
      </c>
      <c r="S1282" t="s">
        <v>395</v>
      </c>
      <c r="T1282" s="52"/>
    </row>
    <row r="1283" spans="1:20" x14ac:dyDescent="0.3">
      <c r="A1283" t="s">
        <v>53</v>
      </c>
      <c r="B1283" s="48">
        <v>46023</v>
      </c>
      <c r="C1283" s="26"/>
      <c r="I1283" t="s">
        <v>399</v>
      </c>
      <c r="J1283" t="s">
        <v>400</v>
      </c>
      <c r="K1283" t="s">
        <v>398</v>
      </c>
      <c r="L1283" t="s">
        <v>319</v>
      </c>
      <c r="M1283" t="s">
        <v>324</v>
      </c>
      <c r="N1283" t="s">
        <v>59</v>
      </c>
      <c r="O1283" t="s">
        <v>60</v>
      </c>
      <c r="P1283" t="s">
        <v>61</v>
      </c>
      <c r="Q1283">
        <v>1</v>
      </c>
      <c r="R1283" t="s">
        <v>137</v>
      </c>
      <c r="S1283" t="s">
        <v>395</v>
      </c>
      <c r="T1283" s="52"/>
    </row>
    <row r="1284" spans="1:20" x14ac:dyDescent="0.3">
      <c r="A1284" t="s">
        <v>53</v>
      </c>
      <c r="B1284" s="48">
        <v>46023</v>
      </c>
      <c r="C1284" s="26"/>
      <c r="I1284" t="s">
        <v>401</v>
      </c>
      <c r="J1284" t="s">
        <v>402</v>
      </c>
      <c r="K1284" t="s">
        <v>59</v>
      </c>
      <c r="L1284" t="s">
        <v>319</v>
      </c>
      <c r="M1284" t="s">
        <v>324</v>
      </c>
      <c r="N1284" t="s">
        <v>59</v>
      </c>
      <c r="O1284" t="s">
        <v>60</v>
      </c>
      <c r="P1284" t="s">
        <v>61</v>
      </c>
      <c r="Q1284">
        <v>1</v>
      </c>
      <c r="R1284" t="s">
        <v>137</v>
      </c>
      <c r="S1284" t="s">
        <v>395</v>
      </c>
      <c r="T1284" s="52"/>
    </row>
    <row r="1285" spans="1:20" x14ac:dyDescent="0.3">
      <c r="A1285" t="s">
        <v>53</v>
      </c>
      <c r="B1285" s="48">
        <v>46023</v>
      </c>
      <c r="C1285" s="26"/>
      <c r="I1285" t="s">
        <v>291</v>
      </c>
      <c r="J1285" t="s">
        <v>292</v>
      </c>
      <c r="K1285" t="s">
        <v>293</v>
      </c>
      <c r="L1285" t="s">
        <v>294</v>
      </c>
      <c r="M1285" t="s">
        <v>295</v>
      </c>
      <c r="N1285" t="s">
        <v>296</v>
      </c>
      <c r="O1285" t="s">
        <v>116</v>
      </c>
      <c r="P1285" t="s">
        <v>61</v>
      </c>
      <c r="Q1285">
        <v>1</v>
      </c>
      <c r="R1285" t="s">
        <v>62</v>
      </c>
      <c r="S1285" t="s">
        <v>63</v>
      </c>
      <c r="T1285" s="52"/>
    </row>
    <row r="1286" spans="1:20" x14ac:dyDescent="0.3">
      <c r="A1286" t="s">
        <v>53</v>
      </c>
      <c r="B1286" s="48">
        <v>46023</v>
      </c>
      <c r="C1286" s="26"/>
      <c r="I1286" t="s">
        <v>297</v>
      </c>
      <c r="J1286" t="s">
        <v>292</v>
      </c>
      <c r="K1286" t="s">
        <v>293</v>
      </c>
      <c r="L1286" t="s">
        <v>294</v>
      </c>
      <c r="M1286" t="s">
        <v>295</v>
      </c>
      <c r="N1286" t="s">
        <v>298</v>
      </c>
      <c r="O1286" t="s">
        <v>116</v>
      </c>
      <c r="P1286" t="s">
        <v>61</v>
      </c>
      <c r="Q1286">
        <v>1</v>
      </c>
      <c r="R1286" t="s">
        <v>62</v>
      </c>
      <c r="S1286" t="s">
        <v>63</v>
      </c>
      <c r="T1286" s="52"/>
    </row>
    <row r="1287" spans="1:20" x14ac:dyDescent="0.3">
      <c r="A1287" t="s">
        <v>53</v>
      </c>
      <c r="B1287" s="48">
        <v>46023</v>
      </c>
      <c r="C1287" s="26"/>
      <c r="I1287" t="s">
        <v>299</v>
      </c>
      <c r="J1287" t="s">
        <v>300</v>
      </c>
      <c r="K1287" t="s">
        <v>301</v>
      </c>
      <c r="L1287" t="s">
        <v>294</v>
      </c>
      <c r="M1287" t="s">
        <v>302</v>
      </c>
      <c r="N1287" t="s">
        <v>303</v>
      </c>
      <c r="O1287" t="s">
        <v>116</v>
      </c>
      <c r="P1287" t="s">
        <v>61</v>
      </c>
      <c r="Q1287">
        <v>1</v>
      </c>
      <c r="R1287" t="s">
        <v>62</v>
      </c>
      <c r="S1287" t="s">
        <v>63</v>
      </c>
      <c r="T1287" s="52"/>
    </row>
    <row r="1288" spans="1:20" x14ac:dyDescent="0.3">
      <c r="A1288" t="s">
        <v>53</v>
      </c>
      <c r="B1288" s="48">
        <v>46023</v>
      </c>
      <c r="C1288" s="26"/>
      <c r="I1288" t="s">
        <v>304</v>
      </c>
      <c r="J1288" t="s">
        <v>305</v>
      </c>
      <c r="K1288" t="s">
        <v>306</v>
      </c>
      <c r="L1288" t="s">
        <v>294</v>
      </c>
      <c r="M1288" t="s">
        <v>307</v>
      </c>
      <c r="N1288" t="s">
        <v>59</v>
      </c>
      <c r="O1288" t="s">
        <v>116</v>
      </c>
      <c r="P1288" t="s">
        <v>144</v>
      </c>
      <c r="Q1288">
        <v>1</v>
      </c>
      <c r="R1288" t="s">
        <v>308</v>
      </c>
      <c r="S1288" t="s">
        <v>309</v>
      </c>
      <c r="T1288" s="52"/>
    </row>
    <row r="1289" spans="1:20" x14ac:dyDescent="0.3">
      <c r="A1289" t="s">
        <v>53</v>
      </c>
      <c r="B1289" s="48">
        <v>46023</v>
      </c>
      <c r="C1289" s="26"/>
      <c r="I1289" t="s">
        <v>310</v>
      </c>
      <c r="J1289" t="s">
        <v>311</v>
      </c>
      <c r="K1289" t="s">
        <v>312</v>
      </c>
      <c r="L1289" t="s">
        <v>294</v>
      </c>
      <c r="M1289" t="s">
        <v>313</v>
      </c>
      <c r="N1289">
        <v>699005</v>
      </c>
      <c r="O1289" t="s">
        <v>116</v>
      </c>
      <c r="P1289" t="s">
        <v>61</v>
      </c>
      <c r="Q1289">
        <v>1</v>
      </c>
      <c r="R1289" t="s">
        <v>314</v>
      </c>
      <c r="S1289" t="s">
        <v>63</v>
      </c>
      <c r="T1289" s="52"/>
    </row>
    <row r="1290" spans="1:20" x14ac:dyDescent="0.3">
      <c r="A1290" t="s">
        <v>53</v>
      </c>
      <c r="B1290" s="48">
        <v>46023</v>
      </c>
      <c r="C1290" s="26"/>
      <c r="I1290" t="s">
        <v>315</v>
      </c>
      <c r="J1290" t="s">
        <v>311</v>
      </c>
      <c r="K1290" t="s">
        <v>316</v>
      </c>
      <c r="L1290" t="s">
        <v>294</v>
      </c>
      <c r="M1290" t="s">
        <v>313</v>
      </c>
      <c r="N1290">
        <v>100106738</v>
      </c>
      <c r="O1290" t="s">
        <v>116</v>
      </c>
      <c r="P1290" t="s">
        <v>61</v>
      </c>
      <c r="Q1290">
        <v>1</v>
      </c>
      <c r="R1290" t="s">
        <v>314</v>
      </c>
      <c r="S1290" t="s">
        <v>63</v>
      </c>
      <c r="T1290" s="52"/>
    </row>
    <row r="1291" spans="1:20" x14ac:dyDescent="0.3">
      <c r="A1291" t="s">
        <v>53</v>
      </c>
      <c r="B1291" s="48">
        <v>46023</v>
      </c>
      <c r="C1291" s="26"/>
      <c r="I1291" t="s">
        <v>3321</v>
      </c>
      <c r="J1291" t="s">
        <v>3322</v>
      </c>
      <c r="K1291" t="s">
        <v>59</v>
      </c>
      <c r="L1291" t="s">
        <v>294</v>
      </c>
      <c r="M1291" t="s">
        <v>307</v>
      </c>
      <c r="N1291" t="s">
        <v>59</v>
      </c>
      <c r="O1291" t="s">
        <v>116</v>
      </c>
      <c r="P1291" t="s">
        <v>144</v>
      </c>
      <c r="Q1291">
        <v>1</v>
      </c>
      <c r="R1291" t="s">
        <v>3323</v>
      </c>
      <c r="S1291" t="s">
        <v>63</v>
      </c>
      <c r="T1291" s="52"/>
    </row>
    <row r="1292" spans="1:20" x14ac:dyDescent="0.3">
      <c r="A1292" t="s">
        <v>53</v>
      </c>
      <c r="B1292" s="48">
        <v>46023</v>
      </c>
      <c r="C1292" s="26"/>
      <c r="I1292" t="s">
        <v>3324</v>
      </c>
      <c r="J1292" t="s">
        <v>3325</v>
      </c>
      <c r="K1292" t="s">
        <v>59</v>
      </c>
      <c r="L1292" t="s">
        <v>294</v>
      </c>
      <c r="M1292" t="s">
        <v>307</v>
      </c>
      <c r="N1292" t="s">
        <v>59</v>
      </c>
      <c r="O1292" t="s">
        <v>116</v>
      </c>
      <c r="P1292" t="s">
        <v>144</v>
      </c>
      <c r="Q1292">
        <v>1</v>
      </c>
      <c r="R1292" t="s">
        <v>2548</v>
      </c>
      <c r="S1292" t="s">
        <v>63</v>
      </c>
      <c r="T1292" s="52"/>
    </row>
    <row r="1293" spans="1:20" x14ac:dyDescent="0.3">
      <c r="A1293" t="s">
        <v>53</v>
      </c>
      <c r="B1293" s="48">
        <v>46023</v>
      </c>
      <c r="C1293" s="26"/>
      <c r="I1293" t="s">
        <v>3326</v>
      </c>
      <c r="J1293" t="s">
        <v>3327</v>
      </c>
      <c r="K1293" t="s">
        <v>3328</v>
      </c>
      <c r="L1293" t="s">
        <v>294</v>
      </c>
      <c r="M1293" t="s">
        <v>302</v>
      </c>
      <c r="N1293" t="s">
        <v>59</v>
      </c>
      <c r="O1293" t="s">
        <v>1894</v>
      </c>
      <c r="P1293" t="s">
        <v>144</v>
      </c>
      <c r="Q1293">
        <v>1</v>
      </c>
      <c r="R1293" t="s">
        <v>2320</v>
      </c>
      <c r="S1293" t="s">
        <v>63</v>
      </c>
      <c r="T1293" s="52"/>
    </row>
    <row r="1294" spans="1:20" x14ac:dyDescent="0.3">
      <c r="A1294" t="s">
        <v>53</v>
      </c>
      <c r="B1294" s="48">
        <v>46023</v>
      </c>
      <c r="C1294" s="26"/>
      <c r="I1294" t="s">
        <v>3329</v>
      </c>
      <c r="J1294" t="s">
        <v>3330</v>
      </c>
      <c r="K1294" t="s">
        <v>3331</v>
      </c>
      <c r="L1294" t="s">
        <v>294</v>
      </c>
      <c r="M1294" t="s">
        <v>313</v>
      </c>
      <c r="N1294" t="s">
        <v>3332</v>
      </c>
      <c r="O1294" t="s">
        <v>468</v>
      </c>
      <c r="P1294" t="s">
        <v>144</v>
      </c>
      <c r="Q1294">
        <v>1</v>
      </c>
      <c r="R1294" t="s">
        <v>2368</v>
      </c>
      <c r="S1294" t="s">
        <v>1953</v>
      </c>
      <c r="T1294" s="52"/>
    </row>
    <row r="1295" spans="1:20" x14ac:dyDescent="0.3">
      <c r="A1295" t="s">
        <v>53</v>
      </c>
      <c r="B1295" s="48">
        <v>46023</v>
      </c>
      <c r="C1295" s="26"/>
      <c r="I1295" t="s">
        <v>3333</v>
      </c>
      <c r="J1295" t="s">
        <v>3334</v>
      </c>
      <c r="K1295" t="s">
        <v>3335</v>
      </c>
      <c r="L1295" t="s">
        <v>294</v>
      </c>
      <c r="M1295" t="s">
        <v>307</v>
      </c>
      <c r="N1295" t="s">
        <v>3336</v>
      </c>
      <c r="O1295" t="s">
        <v>116</v>
      </c>
      <c r="P1295" t="s">
        <v>144</v>
      </c>
      <c r="Q1295">
        <v>1</v>
      </c>
      <c r="R1295" t="s">
        <v>2395</v>
      </c>
      <c r="S1295" t="s">
        <v>1953</v>
      </c>
      <c r="T1295" s="52"/>
    </row>
    <row r="1296" spans="1:20" x14ac:dyDescent="0.3">
      <c r="A1296" t="s">
        <v>53</v>
      </c>
      <c r="B1296" s="48">
        <v>46023</v>
      </c>
      <c r="C1296" s="26"/>
      <c r="I1296" t="s">
        <v>3337</v>
      </c>
      <c r="J1296" t="s">
        <v>3338</v>
      </c>
      <c r="K1296" t="s">
        <v>2356</v>
      </c>
      <c r="L1296" t="s">
        <v>294</v>
      </c>
      <c r="M1296" t="s">
        <v>307</v>
      </c>
      <c r="N1296" t="s">
        <v>59</v>
      </c>
      <c r="O1296" t="s">
        <v>116</v>
      </c>
      <c r="P1296" t="s">
        <v>144</v>
      </c>
      <c r="Q1296">
        <v>1</v>
      </c>
      <c r="R1296" t="s">
        <v>2646</v>
      </c>
      <c r="S1296" t="s">
        <v>1953</v>
      </c>
      <c r="T1296" s="52"/>
    </row>
    <row r="1297" spans="1:20" x14ac:dyDescent="0.3">
      <c r="A1297" t="s">
        <v>53</v>
      </c>
      <c r="B1297" s="48">
        <v>46023</v>
      </c>
      <c r="C1297" s="26"/>
      <c r="I1297" t="s">
        <v>54</v>
      </c>
      <c r="J1297" t="s">
        <v>55</v>
      </c>
      <c r="K1297" t="s">
        <v>56</v>
      </c>
      <c r="L1297" t="s">
        <v>57</v>
      </c>
      <c r="M1297" t="s">
        <v>58</v>
      </c>
      <c r="N1297" t="s">
        <v>59</v>
      </c>
      <c r="O1297" t="s">
        <v>60</v>
      </c>
      <c r="P1297" t="s">
        <v>61</v>
      </c>
      <c r="Q1297">
        <v>88</v>
      </c>
      <c r="R1297" t="s">
        <v>62</v>
      </c>
      <c r="S1297" t="s">
        <v>63</v>
      </c>
      <c r="T1297" s="52"/>
    </row>
    <row r="1298" spans="1:20" x14ac:dyDescent="0.3">
      <c r="A1298" t="s">
        <v>53</v>
      </c>
      <c r="B1298" s="48">
        <v>46023</v>
      </c>
      <c r="C1298" s="26"/>
      <c r="I1298" t="s">
        <v>64</v>
      </c>
      <c r="J1298" t="s">
        <v>65</v>
      </c>
      <c r="K1298" t="s">
        <v>56</v>
      </c>
      <c r="L1298" t="s">
        <v>57</v>
      </c>
      <c r="M1298" t="s">
        <v>58</v>
      </c>
      <c r="N1298" t="s">
        <v>59</v>
      </c>
      <c r="O1298" t="s">
        <v>60</v>
      </c>
      <c r="P1298" t="s">
        <v>61</v>
      </c>
      <c r="Q1298">
        <v>2</v>
      </c>
      <c r="R1298" t="s">
        <v>62</v>
      </c>
      <c r="S1298" t="s">
        <v>63</v>
      </c>
      <c r="T1298" s="52"/>
    </row>
    <row r="1299" spans="1:20" x14ac:dyDescent="0.3">
      <c r="A1299" t="s">
        <v>53</v>
      </c>
      <c r="B1299" s="48">
        <v>46023</v>
      </c>
      <c r="C1299" s="26"/>
      <c r="I1299" t="s">
        <v>66</v>
      </c>
      <c r="J1299" t="s">
        <v>65</v>
      </c>
      <c r="K1299" t="s">
        <v>67</v>
      </c>
      <c r="L1299" t="s">
        <v>57</v>
      </c>
      <c r="M1299" t="s">
        <v>58</v>
      </c>
      <c r="N1299" t="s">
        <v>59</v>
      </c>
      <c r="O1299" t="s">
        <v>60</v>
      </c>
      <c r="P1299" t="s">
        <v>61</v>
      </c>
      <c r="Q1299">
        <v>2</v>
      </c>
      <c r="R1299" t="s">
        <v>62</v>
      </c>
      <c r="S1299" t="s">
        <v>63</v>
      </c>
      <c r="T1299" s="52"/>
    </row>
    <row r="1300" spans="1:20" x14ac:dyDescent="0.3">
      <c r="A1300" t="s">
        <v>53</v>
      </c>
      <c r="B1300" s="48">
        <v>46023</v>
      </c>
      <c r="C1300" s="26"/>
      <c r="I1300" t="s">
        <v>68</v>
      </c>
      <c r="J1300" t="s">
        <v>69</v>
      </c>
      <c r="K1300" t="s">
        <v>70</v>
      </c>
      <c r="L1300" t="s">
        <v>57</v>
      </c>
      <c r="M1300" t="s">
        <v>58</v>
      </c>
      <c r="N1300" t="s">
        <v>59</v>
      </c>
      <c r="O1300" t="s">
        <v>60</v>
      </c>
      <c r="P1300" t="s">
        <v>61</v>
      </c>
      <c r="Q1300">
        <v>12</v>
      </c>
      <c r="R1300" t="s">
        <v>62</v>
      </c>
      <c r="S1300" t="s">
        <v>63</v>
      </c>
      <c r="T1300" s="52"/>
    </row>
    <row r="1301" spans="1:20" x14ac:dyDescent="0.3">
      <c r="A1301" t="s">
        <v>53</v>
      </c>
      <c r="B1301" s="48">
        <v>46023</v>
      </c>
      <c r="C1301" s="26"/>
      <c r="I1301" t="s">
        <v>71</v>
      </c>
      <c r="J1301" t="s">
        <v>72</v>
      </c>
      <c r="K1301" t="s">
        <v>70</v>
      </c>
      <c r="L1301" t="s">
        <v>57</v>
      </c>
      <c r="M1301" t="s">
        <v>58</v>
      </c>
      <c r="N1301" t="s">
        <v>59</v>
      </c>
      <c r="O1301" t="s">
        <v>60</v>
      </c>
      <c r="P1301" t="s">
        <v>61</v>
      </c>
      <c r="Q1301">
        <v>11</v>
      </c>
      <c r="R1301" t="s">
        <v>62</v>
      </c>
      <c r="S1301" t="s">
        <v>63</v>
      </c>
      <c r="T1301" s="52"/>
    </row>
    <row r="1302" spans="1:20" x14ac:dyDescent="0.3">
      <c r="A1302" t="s">
        <v>53</v>
      </c>
      <c r="B1302" s="48">
        <v>46023</v>
      </c>
      <c r="C1302" s="26"/>
      <c r="I1302" t="s">
        <v>73</v>
      </c>
      <c r="J1302" t="s">
        <v>74</v>
      </c>
      <c r="K1302" t="s">
        <v>70</v>
      </c>
      <c r="L1302" t="s">
        <v>57</v>
      </c>
      <c r="M1302" t="s">
        <v>58</v>
      </c>
      <c r="N1302" t="s">
        <v>59</v>
      </c>
      <c r="O1302" t="s">
        <v>60</v>
      </c>
      <c r="P1302" t="s">
        <v>61</v>
      </c>
      <c r="Q1302">
        <v>9</v>
      </c>
      <c r="R1302" t="s">
        <v>62</v>
      </c>
      <c r="S1302" t="s">
        <v>63</v>
      </c>
      <c r="T1302" s="52"/>
    </row>
    <row r="1303" spans="1:20" x14ac:dyDescent="0.3">
      <c r="A1303" t="s">
        <v>53</v>
      </c>
      <c r="B1303" s="48">
        <v>46023</v>
      </c>
      <c r="C1303" s="26"/>
      <c r="I1303" t="s">
        <v>75</v>
      </c>
      <c r="J1303" t="s">
        <v>76</v>
      </c>
      <c r="K1303" t="s">
        <v>77</v>
      </c>
      <c r="L1303" t="s">
        <v>57</v>
      </c>
      <c r="M1303" t="s">
        <v>78</v>
      </c>
      <c r="N1303" t="s">
        <v>59</v>
      </c>
      <c r="O1303" t="s">
        <v>60</v>
      </c>
      <c r="P1303" t="s">
        <v>79</v>
      </c>
      <c r="Q1303">
        <v>28</v>
      </c>
      <c r="R1303" t="s">
        <v>62</v>
      </c>
      <c r="S1303" t="s">
        <v>63</v>
      </c>
      <c r="T1303" s="52"/>
    </row>
    <row r="1304" spans="1:20" x14ac:dyDescent="0.3">
      <c r="A1304" t="s">
        <v>53</v>
      </c>
      <c r="B1304" s="48">
        <v>46023</v>
      </c>
      <c r="C1304" s="26"/>
      <c r="I1304" t="s">
        <v>80</v>
      </c>
      <c r="J1304" t="s">
        <v>81</v>
      </c>
      <c r="K1304" t="s">
        <v>77</v>
      </c>
      <c r="L1304" t="s">
        <v>57</v>
      </c>
      <c r="M1304" t="s">
        <v>78</v>
      </c>
      <c r="N1304" t="s">
        <v>59</v>
      </c>
      <c r="O1304" t="s">
        <v>60</v>
      </c>
      <c r="P1304" t="s">
        <v>79</v>
      </c>
      <c r="Q1304">
        <v>48</v>
      </c>
      <c r="R1304" t="s">
        <v>62</v>
      </c>
      <c r="S1304" t="s">
        <v>63</v>
      </c>
      <c r="T1304" s="52"/>
    </row>
    <row r="1305" spans="1:20" x14ac:dyDescent="0.3">
      <c r="A1305" t="s">
        <v>53</v>
      </c>
      <c r="B1305" s="48">
        <v>46023</v>
      </c>
      <c r="C1305" s="26"/>
      <c r="I1305" t="s">
        <v>82</v>
      </c>
      <c r="J1305" t="s">
        <v>83</v>
      </c>
      <c r="K1305" t="s">
        <v>77</v>
      </c>
      <c r="L1305" t="s">
        <v>57</v>
      </c>
      <c r="M1305" t="s">
        <v>78</v>
      </c>
      <c r="N1305" t="s">
        <v>59</v>
      </c>
      <c r="O1305" t="s">
        <v>60</v>
      </c>
      <c r="P1305" t="s">
        <v>79</v>
      </c>
      <c r="Q1305">
        <v>48</v>
      </c>
      <c r="R1305" t="s">
        <v>62</v>
      </c>
      <c r="S1305" t="s">
        <v>63</v>
      </c>
      <c r="T1305" s="52"/>
    </row>
    <row r="1306" spans="1:20" x14ac:dyDescent="0.3">
      <c r="A1306" t="s">
        <v>53</v>
      </c>
      <c r="B1306" s="48">
        <v>46023</v>
      </c>
      <c r="C1306" s="26"/>
      <c r="I1306" t="s">
        <v>84</v>
      </c>
      <c r="J1306" t="s">
        <v>85</v>
      </c>
      <c r="K1306" t="s">
        <v>86</v>
      </c>
      <c r="L1306" t="s">
        <v>57</v>
      </c>
      <c r="M1306" t="s">
        <v>78</v>
      </c>
      <c r="N1306" t="s">
        <v>59</v>
      </c>
      <c r="O1306" t="s">
        <v>60</v>
      </c>
      <c r="P1306" t="s">
        <v>87</v>
      </c>
      <c r="Q1306">
        <v>24</v>
      </c>
      <c r="R1306" t="s">
        <v>62</v>
      </c>
      <c r="S1306" t="s">
        <v>63</v>
      </c>
      <c r="T1306" s="52"/>
    </row>
    <row r="1307" spans="1:20" x14ac:dyDescent="0.3">
      <c r="A1307" t="s">
        <v>53</v>
      </c>
      <c r="B1307" s="48">
        <v>46023</v>
      </c>
      <c r="C1307" s="26"/>
      <c r="I1307" t="s">
        <v>88</v>
      </c>
      <c r="J1307" t="s">
        <v>89</v>
      </c>
      <c r="K1307" t="s">
        <v>59</v>
      </c>
      <c r="L1307" t="s">
        <v>57</v>
      </c>
      <c r="M1307" t="s">
        <v>78</v>
      </c>
      <c r="N1307" t="s">
        <v>59</v>
      </c>
      <c r="O1307" t="s">
        <v>60</v>
      </c>
      <c r="P1307" t="s">
        <v>61</v>
      </c>
      <c r="Q1307">
        <v>540</v>
      </c>
      <c r="R1307" t="s">
        <v>62</v>
      </c>
      <c r="S1307" t="s">
        <v>63</v>
      </c>
      <c r="T1307" s="52"/>
    </row>
    <row r="1308" spans="1:20" x14ac:dyDescent="0.3">
      <c r="A1308" t="s">
        <v>53</v>
      </c>
      <c r="B1308" s="48">
        <v>46023</v>
      </c>
      <c r="C1308" s="26"/>
      <c r="I1308" t="s">
        <v>90</v>
      </c>
      <c r="J1308" t="s">
        <v>91</v>
      </c>
      <c r="K1308" t="s">
        <v>59</v>
      </c>
      <c r="L1308" t="s">
        <v>57</v>
      </c>
      <c r="M1308" t="s">
        <v>78</v>
      </c>
      <c r="N1308" t="s">
        <v>59</v>
      </c>
      <c r="O1308" t="s">
        <v>60</v>
      </c>
      <c r="P1308" t="s">
        <v>61</v>
      </c>
      <c r="Q1308">
        <v>200</v>
      </c>
      <c r="R1308" t="s">
        <v>62</v>
      </c>
      <c r="S1308" t="s">
        <v>63</v>
      </c>
      <c r="T1308" s="52"/>
    </row>
    <row r="1309" spans="1:20" x14ac:dyDescent="0.3">
      <c r="A1309" t="s">
        <v>53</v>
      </c>
      <c r="B1309" s="48">
        <v>46023</v>
      </c>
      <c r="C1309" s="26"/>
      <c r="I1309" t="s">
        <v>92</v>
      </c>
      <c r="J1309" t="s">
        <v>93</v>
      </c>
      <c r="K1309" t="s">
        <v>59</v>
      </c>
      <c r="L1309" t="s">
        <v>57</v>
      </c>
      <c r="M1309" t="s">
        <v>78</v>
      </c>
      <c r="N1309" t="s">
        <v>59</v>
      </c>
      <c r="O1309" t="s">
        <v>60</v>
      </c>
      <c r="P1309" t="s">
        <v>61</v>
      </c>
      <c r="Q1309">
        <v>1500</v>
      </c>
      <c r="R1309" t="s">
        <v>62</v>
      </c>
      <c r="S1309" t="s">
        <v>63</v>
      </c>
      <c r="T1309" s="52"/>
    </row>
    <row r="1310" spans="1:20" x14ac:dyDescent="0.3">
      <c r="A1310" t="s">
        <v>53</v>
      </c>
      <c r="B1310" s="48">
        <v>46023</v>
      </c>
      <c r="C1310" s="26"/>
      <c r="I1310" t="s">
        <v>94</v>
      </c>
      <c r="J1310" t="s">
        <v>95</v>
      </c>
      <c r="K1310" t="s">
        <v>59</v>
      </c>
      <c r="L1310" t="s">
        <v>57</v>
      </c>
      <c r="M1310" t="s">
        <v>78</v>
      </c>
      <c r="N1310" t="s">
        <v>59</v>
      </c>
      <c r="O1310" t="s">
        <v>60</v>
      </c>
      <c r="P1310" t="s">
        <v>61</v>
      </c>
      <c r="Q1310">
        <v>1500</v>
      </c>
      <c r="R1310" t="s">
        <v>62</v>
      </c>
      <c r="S1310" t="s">
        <v>63</v>
      </c>
      <c r="T1310" s="52"/>
    </row>
    <row r="1311" spans="1:20" x14ac:dyDescent="0.3">
      <c r="A1311" t="s">
        <v>53</v>
      </c>
      <c r="B1311" s="48">
        <v>46023</v>
      </c>
      <c r="C1311" s="26"/>
      <c r="I1311" t="s">
        <v>96</v>
      </c>
      <c r="J1311" t="s">
        <v>97</v>
      </c>
      <c r="K1311" t="s">
        <v>98</v>
      </c>
      <c r="L1311" t="s">
        <v>57</v>
      </c>
      <c r="M1311" t="s">
        <v>78</v>
      </c>
      <c r="N1311" t="s">
        <v>59</v>
      </c>
      <c r="O1311" t="s">
        <v>60</v>
      </c>
      <c r="P1311" t="s">
        <v>61</v>
      </c>
      <c r="Q1311">
        <v>21</v>
      </c>
      <c r="R1311" t="s">
        <v>62</v>
      </c>
      <c r="S1311" t="s">
        <v>63</v>
      </c>
      <c r="T1311" s="52"/>
    </row>
    <row r="1312" spans="1:20" x14ac:dyDescent="0.3">
      <c r="A1312" t="s">
        <v>53</v>
      </c>
      <c r="B1312" s="48">
        <v>46023</v>
      </c>
      <c r="C1312" s="26"/>
      <c r="I1312" t="s">
        <v>99</v>
      </c>
      <c r="J1312" t="s">
        <v>100</v>
      </c>
      <c r="K1312" t="s">
        <v>98</v>
      </c>
      <c r="L1312" t="s">
        <v>57</v>
      </c>
      <c r="M1312" t="s">
        <v>78</v>
      </c>
      <c r="N1312" t="s">
        <v>59</v>
      </c>
      <c r="O1312" t="s">
        <v>60</v>
      </c>
      <c r="P1312" t="s">
        <v>61</v>
      </c>
      <c r="Q1312">
        <v>2</v>
      </c>
      <c r="R1312" t="s">
        <v>62</v>
      </c>
      <c r="S1312" t="s">
        <v>63</v>
      </c>
      <c r="T1312" s="52"/>
    </row>
    <row r="1313" spans="1:20" x14ac:dyDescent="0.3">
      <c r="A1313" t="s">
        <v>53</v>
      </c>
      <c r="B1313" s="48">
        <v>46023</v>
      </c>
      <c r="C1313" s="26"/>
      <c r="I1313" t="s">
        <v>101</v>
      </c>
      <c r="J1313" t="s">
        <v>102</v>
      </c>
      <c r="K1313" t="s">
        <v>98</v>
      </c>
      <c r="L1313" t="s">
        <v>57</v>
      </c>
      <c r="M1313" t="s">
        <v>78</v>
      </c>
      <c r="N1313" t="s">
        <v>59</v>
      </c>
      <c r="O1313" t="s">
        <v>60</v>
      </c>
      <c r="P1313" t="s">
        <v>61</v>
      </c>
      <c r="Q1313">
        <v>3</v>
      </c>
      <c r="R1313" t="s">
        <v>62</v>
      </c>
      <c r="S1313" t="s">
        <v>63</v>
      </c>
      <c r="T1313" s="52"/>
    </row>
    <row r="1314" spans="1:20" x14ac:dyDescent="0.3">
      <c r="A1314" t="s">
        <v>53</v>
      </c>
      <c r="B1314" s="48">
        <v>46023</v>
      </c>
      <c r="C1314" s="26"/>
      <c r="I1314" t="s">
        <v>103</v>
      </c>
      <c r="J1314" t="s">
        <v>104</v>
      </c>
      <c r="K1314" t="s">
        <v>59</v>
      </c>
      <c r="L1314" t="s">
        <v>57</v>
      </c>
      <c r="M1314" t="s">
        <v>105</v>
      </c>
      <c r="N1314" t="s">
        <v>59</v>
      </c>
      <c r="O1314" t="s">
        <v>60</v>
      </c>
      <c r="P1314" t="s">
        <v>106</v>
      </c>
      <c r="Q1314">
        <v>9</v>
      </c>
      <c r="R1314" t="s">
        <v>62</v>
      </c>
      <c r="S1314" t="s">
        <v>63</v>
      </c>
      <c r="T1314" s="52"/>
    </row>
    <row r="1315" spans="1:20" x14ac:dyDescent="0.3">
      <c r="A1315" t="s">
        <v>53</v>
      </c>
      <c r="B1315" s="48">
        <v>46023</v>
      </c>
      <c r="C1315" s="26"/>
      <c r="I1315" t="s">
        <v>107</v>
      </c>
      <c r="J1315" t="s">
        <v>108</v>
      </c>
      <c r="K1315" t="s">
        <v>59</v>
      </c>
      <c r="L1315" t="s">
        <v>57</v>
      </c>
      <c r="M1315" t="s">
        <v>78</v>
      </c>
      <c r="N1315" t="s">
        <v>59</v>
      </c>
      <c r="O1315" t="s">
        <v>60</v>
      </c>
      <c r="P1315" t="s">
        <v>61</v>
      </c>
      <c r="Q1315">
        <v>5</v>
      </c>
      <c r="R1315" t="s">
        <v>62</v>
      </c>
      <c r="S1315" t="s">
        <v>63</v>
      </c>
      <c r="T1315" s="52"/>
    </row>
    <row r="1316" spans="1:20" x14ac:dyDescent="0.3">
      <c r="A1316" t="s">
        <v>53</v>
      </c>
      <c r="B1316" s="48">
        <v>46023</v>
      </c>
      <c r="C1316" s="26"/>
      <c r="I1316" t="s">
        <v>109</v>
      </c>
      <c r="J1316" t="s">
        <v>110</v>
      </c>
      <c r="K1316" t="s">
        <v>59</v>
      </c>
      <c r="L1316" t="s">
        <v>57</v>
      </c>
      <c r="M1316" t="s">
        <v>78</v>
      </c>
      <c r="N1316" t="s">
        <v>59</v>
      </c>
      <c r="O1316" t="s">
        <v>60</v>
      </c>
      <c r="P1316" t="s">
        <v>111</v>
      </c>
      <c r="Q1316">
        <v>160</v>
      </c>
      <c r="R1316" t="s">
        <v>62</v>
      </c>
      <c r="S1316" t="s">
        <v>112</v>
      </c>
      <c r="T1316" s="52"/>
    </row>
    <row r="1317" spans="1:20" x14ac:dyDescent="0.3">
      <c r="A1317" t="s">
        <v>53</v>
      </c>
      <c r="B1317" s="48">
        <v>46023</v>
      </c>
      <c r="C1317" s="26"/>
      <c r="I1317" t="s">
        <v>113</v>
      </c>
      <c r="J1317" t="s">
        <v>114</v>
      </c>
      <c r="K1317" t="s">
        <v>59</v>
      </c>
      <c r="L1317" t="s">
        <v>57</v>
      </c>
      <c r="M1317" t="s">
        <v>115</v>
      </c>
      <c r="N1317" t="s">
        <v>59</v>
      </c>
      <c r="O1317" t="s">
        <v>116</v>
      </c>
      <c r="P1317" t="s">
        <v>61</v>
      </c>
      <c r="Q1317">
        <v>1</v>
      </c>
      <c r="R1317" t="s">
        <v>62</v>
      </c>
      <c r="S1317" t="s">
        <v>63</v>
      </c>
      <c r="T1317" s="52"/>
    </row>
    <row r="1318" spans="1:20" x14ac:dyDescent="0.3">
      <c r="A1318" t="s">
        <v>53</v>
      </c>
      <c r="B1318" s="48">
        <v>46023</v>
      </c>
      <c r="C1318" s="26"/>
      <c r="I1318" t="s">
        <v>117</v>
      </c>
      <c r="J1318" t="s">
        <v>118</v>
      </c>
      <c r="K1318" t="s">
        <v>59</v>
      </c>
      <c r="L1318" t="s">
        <v>57</v>
      </c>
      <c r="M1318" t="s">
        <v>105</v>
      </c>
      <c r="N1318" t="s">
        <v>59</v>
      </c>
      <c r="O1318" t="s">
        <v>116</v>
      </c>
      <c r="P1318" t="s">
        <v>61</v>
      </c>
      <c r="Q1318">
        <v>8</v>
      </c>
      <c r="R1318" t="s">
        <v>62</v>
      </c>
      <c r="S1318" t="s">
        <v>63</v>
      </c>
      <c r="T1318" s="52"/>
    </row>
    <row r="1319" spans="1:20" x14ac:dyDescent="0.3">
      <c r="A1319" t="s">
        <v>53</v>
      </c>
      <c r="B1319" s="48">
        <v>46023</v>
      </c>
      <c r="C1319" s="26"/>
      <c r="I1319" t="s">
        <v>119</v>
      </c>
      <c r="J1319" t="s">
        <v>120</v>
      </c>
      <c r="K1319" t="s">
        <v>59</v>
      </c>
      <c r="L1319" t="s">
        <v>57</v>
      </c>
      <c r="M1319" t="s">
        <v>105</v>
      </c>
      <c r="N1319" t="s">
        <v>59</v>
      </c>
      <c r="O1319" t="s">
        <v>116</v>
      </c>
      <c r="P1319" t="s">
        <v>61</v>
      </c>
      <c r="Q1319">
        <v>3</v>
      </c>
      <c r="R1319" t="s">
        <v>62</v>
      </c>
      <c r="S1319" t="s">
        <v>63</v>
      </c>
      <c r="T1319" s="52"/>
    </row>
    <row r="1320" spans="1:20" x14ac:dyDescent="0.3">
      <c r="A1320" t="s">
        <v>53</v>
      </c>
      <c r="B1320" s="48">
        <v>46023</v>
      </c>
      <c r="C1320" s="26"/>
      <c r="I1320" t="s">
        <v>121</v>
      </c>
      <c r="J1320" t="s">
        <v>122</v>
      </c>
      <c r="K1320" t="s">
        <v>59</v>
      </c>
      <c r="L1320" t="s">
        <v>57</v>
      </c>
      <c r="M1320" t="s">
        <v>105</v>
      </c>
      <c r="N1320" t="s">
        <v>59</v>
      </c>
      <c r="O1320" t="s">
        <v>116</v>
      </c>
      <c r="P1320" t="s">
        <v>61</v>
      </c>
      <c r="Q1320">
        <v>10</v>
      </c>
      <c r="R1320" t="s">
        <v>62</v>
      </c>
      <c r="S1320" t="s">
        <v>63</v>
      </c>
      <c r="T1320" s="52"/>
    </row>
    <row r="1321" spans="1:20" x14ac:dyDescent="0.3">
      <c r="A1321" t="s">
        <v>53</v>
      </c>
      <c r="B1321" s="48">
        <v>46023</v>
      </c>
      <c r="C1321" s="26"/>
      <c r="I1321" t="s">
        <v>123</v>
      </c>
      <c r="J1321" t="s">
        <v>124</v>
      </c>
      <c r="K1321" t="s">
        <v>125</v>
      </c>
      <c r="L1321" t="s">
        <v>57</v>
      </c>
      <c r="M1321" t="s">
        <v>126</v>
      </c>
      <c r="N1321" t="s">
        <v>59</v>
      </c>
      <c r="O1321" t="s">
        <v>60</v>
      </c>
      <c r="P1321" t="s">
        <v>127</v>
      </c>
      <c r="Q1321">
        <v>48</v>
      </c>
      <c r="R1321" t="s">
        <v>128</v>
      </c>
      <c r="S1321" t="s">
        <v>129</v>
      </c>
      <c r="T1321" s="52"/>
    </row>
    <row r="1322" spans="1:20" x14ac:dyDescent="0.3">
      <c r="A1322" t="s">
        <v>53</v>
      </c>
      <c r="B1322" s="48">
        <v>46023</v>
      </c>
      <c r="C1322" s="26"/>
      <c r="I1322" t="s">
        <v>130</v>
      </c>
      <c r="J1322" t="s">
        <v>131</v>
      </c>
      <c r="K1322" t="s">
        <v>132</v>
      </c>
      <c r="L1322" t="s">
        <v>57</v>
      </c>
      <c r="M1322" t="s">
        <v>126</v>
      </c>
      <c r="N1322" t="s">
        <v>59</v>
      </c>
      <c r="O1322" t="s">
        <v>60</v>
      </c>
      <c r="P1322" t="s">
        <v>127</v>
      </c>
      <c r="Q1322">
        <v>49</v>
      </c>
      <c r="R1322" t="s">
        <v>128</v>
      </c>
      <c r="S1322" t="s">
        <v>129</v>
      </c>
      <c r="T1322" s="52"/>
    </row>
    <row r="1323" spans="1:20" x14ac:dyDescent="0.3">
      <c r="A1323" t="s">
        <v>53</v>
      </c>
      <c r="B1323" s="48">
        <v>46023</v>
      </c>
      <c r="C1323" s="26"/>
      <c r="I1323" t="s">
        <v>133</v>
      </c>
      <c r="J1323" t="s">
        <v>134</v>
      </c>
      <c r="K1323" t="s">
        <v>135</v>
      </c>
      <c r="L1323" t="s">
        <v>57</v>
      </c>
      <c r="M1323" t="s">
        <v>136</v>
      </c>
      <c r="N1323" t="s">
        <v>59</v>
      </c>
      <c r="O1323" t="s">
        <v>60</v>
      </c>
      <c r="P1323" t="s">
        <v>127</v>
      </c>
      <c r="Q1323">
        <v>1</v>
      </c>
      <c r="R1323" t="s">
        <v>137</v>
      </c>
      <c r="S1323" t="s">
        <v>129</v>
      </c>
      <c r="T1323" s="52"/>
    </row>
    <row r="1324" spans="1:20" x14ac:dyDescent="0.3">
      <c r="A1324" t="s">
        <v>53</v>
      </c>
      <c r="B1324" s="48">
        <v>46023</v>
      </c>
      <c r="C1324" s="26"/>
      <c r="I1324" t="s">
        <v>138</v>
      </c>
      <c r="J1324" t="s">
        <v>139</v>
      </c>
      <c r="K1324" t="s">
        <v>135</v>
      </c>
      <c r="L1324" t="s">
        <v>57</v>
      </c>
      <c r="M1324" t="s">
        <v>136</v>
      </c>
      <c r="N1324" t="s">
        <v>59</v>
      </c>
      <c r="O1324" t="s">
        <v>60</v>
      </c>
      <c r="P1324" t="s">
        <v>127</v>
      </c>
      <c r="Q1324">
        <v>1</v>
      </c>
      <c r="R1324" t="s">
        <v>137</v>
      </c>
      <c r="S1324" t="s">
        <v>129</v>
      </c>
      <c r="T1324" s="52"/>
    </row>
    <row r="1325" spans="1:20" x14ac:dyDescent="0.3">
      <c r="A1325" t="s">
        <v>53</v>
      </c>
      <c r="B1325" s="48">
        <v>46023</v>
      </c>
      <c r="C1325" s="26"/>
      <c r="I1325" t="s">
        <v>140</v>
      </c>
      <c r="J1325" t="s">
        <v>141</v>
      </c>
      <c r="K1325" t="s">
        <v>142</v>
      </c>
      <c r="L1325" t="s">
        <v>57</v>
      </c>
      <c r="M1325" t="s">
        <v>115</v>
      </c>
      <c r="N1325" t="s">
        <v>59</v>
      </c>
      <c r="O1325" t="s">
        <v>143</v>
      </c>
      <c r="P1325" t="s">
        <v>144</v>
      </c>
      <c r="Q1325">
        <v>6</v>
      </c>
      <c r="R1325" t="s">
        <v>145</v>
      </c>
      <c r="S1325" t="s">
        <v>146</v>
      </c>
      <c r="T1325" s="52"/>
    </row>
    <row r="1326" spans="1:20" x14ac:dyDescent="0.3">
      <c r="A1326" t="s">
        <v>53</v>
      </c>
      <c r="B1326" s="48">
        <v>46023</v>
      </c>
      <c r="C1326" s="26"/>
      <c r="I1326" t="s">
        <v>147</v>
      </c>
      <c r="J1326" t="s">
        <v>148</v>
      </c>
      <c r="K1326" t="s">
        <v>149</v>
      </c>
      <c r="L1326" t="s">
        <v>57</v>
      </c>
      <c r="M1326" t="s">
        <v>115</v>
      </c>
      <c r="N1326" t="s">
        <v>59</v>
      </c>
      <c r="O1326" t="s">
        <v>143</v>
      </c>
      <c r="P1326" t="s">
        <v>61</v>
      </c>
      <c r="Q1326">
        <v>38</v>
      </c>
      <c r="R1326" t="s">
        <v>150</v>
      </c>
      <c r="S1326" t="s">
        <v>63</v>
      </c>
      <c r="T1326" s="52"/>
    </row>
    <row r="1327" spans="1:20" x14ac:dyDescent="0.3">
      <c r="A1327" t="s">
        <v>53</v>
      </c>
      <c r="B1327" s="48">
        <v>46023</v>
      </c>
      <c r="C1327" s="26"/>
      <c r="I1327" t="s">
        <v>151</v>
      </c>
      <c r="J1327" t="s">
        <v>152</v>
      </c>
      <c r="K1327" t="s">
        <v>153</v>
      </c>
      <c r="L1327" t="s">
        <v>57</v>
      </c>
      <c r="M1327" t="s">
        <v>115</v>
      </c>
      <c r="N1327" t="s">
        <v>59</v>
      </c>
      <c r="O1327" t="s">
        <v>143</v>
      </c>
      <c r="P1327" t="s">
        <v>61</v>
      </c>
      <c r="Q1327">
        <v>17</v>
      </c>
      <c r="R1327" t="s">
        <v>150</v>
      </c>
      <c r="S1327" t="s">
        <v>63</v>
      </c>
      <c r="T1327" s="52"/>
    </row>
    <row r="1328" spans="1:20" x14ac:dyDescent="0.3">
      <c r="A1328" t="s">
        <v>53</v>
      </c>
      <c r="B1328" s="48">
        <v>46023</v>
      </c>
      <c r="C1328" s="26"/>
      <c r="I1328" t="s">
        <v>154</v>
      </c>
      <c r="J1328" t="s">
        <v>155</v>
      </c>
      <c r="K1328" t="s">
        <v>156</v>
      </c>
      <c r="L1328" t="s">
        <v>57</v>
      </c>
      <c r="M1328" t="s">
        <v>115</v>
      </c>
      <c r="N1328" t="s">
        <v>59</v>
      </c>
      <c r="O1328" t="s">
        <v>143</v>
      </c>
      <c r="P1328" t="s">
        <v>61</v>
      </c>
      <c r="Q1328">
        <v>13</v>
      </c>
      <c r="R1328" t="s">
        <v>150</v>
      </c>
      <c r="S1328" t="s">
        <v>63</v>
      </c>
      <c r="T1328" s="52"/>
    </row>
    <row r="1329" spans="1:20" x14ac:dyDescent="0.3">
      <c r="A1329" t="s">
        <v>53</v>
      </c>
      <c r="B1329" s="48">
        <v>46023</v>
      </c>
      <c r="C1329" s="26"/>
      <c r="I1329" t="s">
        <v>157</v>
      </c>
      <c r="J1329" t="s">
        <v>158</v>
      </c>
      <c r="K1329" t="s">
        <v>159</v>
      </c>
      <c r="L1329" t="s">
        <v>57</v>
      </c>
      <c r="M1329" t="s">
        <v>115</v>
      </c>
      <c r="N1329" t="s">
        <v>59</v>
      </c>
      <c r="O1329" t="s">
        <v>143</v>
      </c>
      <c r="P1329" t="s">
        <v>61</v>
      </c>
      <c r="Q1329">
        <v>6</v>
      </c>
      <c r="R1329" t="s">
        <v>150</v>
      </c>
      <c r="S1329" t="s">
        <v>63</v>
      </c>
      <c r="T1329" s="52"/>
    </row>
    <row r="1330" spans="1:20" x14ac:dyDescent="0.3">
      <c r="A1330" t="s">
        <v>53</v>
      </c>
      <c r="B1330" s="48">
        <v>46023</v>
      </c>
      <c r="C1330" s="26"/>
      <c r="I1330" t="s">
        <v>160</v>
      </c>
      <c r="J1330" t="s">
        <v>161</v>
      </c>
      <c r="K1330" t="s">
        <v>159</v>
      </c>
      <c r="L1330" t="s">
        <v>57</v>
      </c>
      <c r="M1330" t="s">
        <v>115</v>
      </c>
      <c r="N1330" t="s">
        <v>59</v>
      </c>
      <c r="O1330" t="s">
        <v>143</v>
      </c>
      <c r="P1330" t="s">
        <v>61</v>
      </c>
      <c r="Q1330">
        <v>5</v>
      </c>
      <c r="R1330" t="s">
        <v>150</v>
      </c>
      <c r="S1330" t="s">
        <v>63</v>
      </c>
      <c r="T1330" s="52"/>
    </row>
    <row r="1331" spans="1:20" x14ac:dyDescent="0.3">
      <c r="A1331" t="s">
        <v>53</v>
      </c>
      <c r="B1331" s="48">
        <v>46023</v>
      </c>
      <c r="C1331" s="26"/>
      <c r="I1331" t="s">
        <v>162</v>
      </c>
      <c r="J1331" t="s">
        <v>163</v>
      </c>
      <c r="K1331" t="s">
        <v>164</v>
      </c>
      <c r="L1331" t="s">
        <v>57</v>
      </c>
      <c r="M1331" t="s">
        <v>115</v>
      </c>
      <c r="N1331" t="s">
        <v>59</v>
      </c>
      <c r="O1331" t="s">
        <v>143</v>
      </c>
      <c r="P1331" t="s">
        <v>61</v>
      </c>
      <c r="Q1331">
        <v>5</v>
      </c>
      <c r="R1331" t="s">
        <v>150</v>
      </c>
      <c r="S1331" t="s">
        <v>63</v>
      </c>
      <c r="T1331" s="52"/>
    </row>
    <row r="1332" spans="1:20" x14ac:dyDescent="0.3">
      <c r="A1332" t="s">
        <v>53</v>
      </c>
      <c r="B1332" s="48">
        <v>46023</v>
      </c>
      <c r="C1332" s="26"/>
      <c r="I1332" t="s">
        <v>165</v>
      </c>
      <c r="J1332" t="s">
        <v>166</v>
      </c>
      <c r="K1332" t="s">
        <v>167</v>
      </c>
      <c r="L1332" t="s">
        <v>57</v>
      </c>
      <c r="M1332" t="s">
        <v>115</v>
      </c>
      <c r="N1332" t="s">
        <v>59</v>
      </c>
      <c r="O1332" t="s">
        <v>143</v>
      </c>
      <c r="P1332" t="s">
        <v>61</v>
      </c>
      <c r="Q1332">
        <v>92</v>
      </c>
      <c r="R1332" t="s">
        <v>150</v>
      </c>
      <c r="S1332" t="s">
        <v>63</v>
      </c>
      <c r="T1332" s="52"/>
    </row>
    <row r="1333" spans="1:20" x14ac:dyDescent="0.3">
      <c r="A1333" t="s">
        <v>53</v>
      </c>
      <c r="B1333" s="48">
        <v>46023</v>
      </c>
      <c r="C1333" s="26"/>
      <c r="I1333" t="s">
        <v>168</v>
      </c>
      <c r="J1333" t="s">
        <v>169</v>
      </c>
      <c r="K1333" t="s">
        <v>170</v>
      </c>
      <c r="L1333" t="s">
        <v>57</v>
      </c>
      <c r="M1333" t="s">
        <v>115</v>
      </c>
      <c r="N1333" t="s">
        <v>59</v>
      </c>
      <c r="O1333" t="s">
        <v>143</v>
      </c>
      <c r="P1333" t="s">
        <v>61</v>
      </c>
      <c r="Q1333">
        <v>36</v>
      </c>
      <c r="R1333" t="s">
        <v>150</v>
      </c>
      <c r="S1333" t="s">
        <v>63</v>
      </c>
      <c r="T1333" s="52"/>
    </row>
    <row r="1334" spans="1:20" x14ac:dyDescent="0.3">
      <c r="A1334" t="s">
        <v>53</v>
      </c>
      <c r="B1334" s="48">
        <v>46023</v>
      </c>
      <c r="C1334" s="26"/>
      <c r="I1334" t="s">
        <v>171</v>
      </c>
      <c r="J1334" t="s">
        <v>172</v>
      </c>
      <c r="K1334" t="s">
        <v>167</v>
      </c>
      <c r="L1334" t="s">
        <v>57</v>
      </c>
      <c r="M1334" t="s">
        <v>115</v>
      </c>
      <c r="N1334" t="s">
        <v>59</v>
      </c>
      <c r="O1334" t="s">
        <v>143</v>
      </c>
      <c r="P1334" t="s">
        <v>61</v>
      </c>
      <c r="Q1334">
        <v>9</v>
      </c>
      <c r="R1334" t="s">
        <v>150</v>
      </c>
      <c r="S1334" t="s">
        <v>63</v>
      </c>
      <c r="T1334" s="52"/>
    </row>
    <row r="1335" spans="1:20" x14ac:dyDescent="0.3">
      <c r="A1335" t="s">
        <v>53</v>
      </c>
      <c r="B1335" s="48">
        <v>46023</v>
      </c>
      <c r="C1335" s="26"/>
      <c r="I1335" t="s">
        <v>173</v>
      </c>
      <c r="J1335" t="s">
        <v>174</v>
      </c>
      <c r="K1335" t="s">
        <v>159</v>
      </c>
      <c r="L1335" t="s">
        <v>57</v>
      </c>
      <c r="M1335" t="s">
        <v>115</v>
      </c>
      <c r="N1335" t="s">
        <v>59</v>
      </c>
      <c r="O1335" t="s">
        <v>143</v>
      </c>
      <c r="P1335" t="s">
        <v>61</v>
      </c>
      <c r="Q1335">
        <v>14</v>
      </c>
      <c r="R1335" t="s">
        <v>150</v>
      </c>
      <c r="S1335" t="s">
        <v>63</v>
      </c>
      <c r="T1335" s="52"/>
    </row>
    <row r="1336" spans="1:20" x14ac:dyDescent="0.3">
      <c r="A1336" t="s">
        <v>53</v>
      </c>
      <c r="B1336" s="48">
        <v>46023</v>
      </c>
      <c r="C1336" s="26"/>
      <c r="I1336" t="s">
        <v>175</v>
      </c>
      <c r="J1336" t="s">
        <v>176</v>
      </c>
      <c r="K1336" t="s">
        <v>177</v>
      </c>
      <c r="L1336" t="s">
        <v>57</v>
      </c>
      <c r="M1336" t="s">
        <v>115</v>
      </c>
      <c r="N1336" t="s">
        <v>59</v>
      </c>
      <c r="O1336" t="s">
        <v>143</v>
      </c>
      <c r="P1336" t="s">
        <v>61</v>
      </c>
      <c r="Q1336">
        <v>6</v>
      </c>
      <c r="R1336" t="s">
        <v>150</v>
      </c>
      <c r="S1336" t="s">
        <v>63</v>
      </c>
      <c r="T1336" s="52"/>
    </row>
    <row r="1337" spans="1:20" x14ac:dyDescent="0.3">
      <c r="A1337" t="s">
        <v>53</v>
      </c>
      <c r="B1337" s="48">
        <v>46023</v>
      </c>
      <c r="C1337" s="26"/>
      <c r="I1337" t="s">
        <v>178</v>
      </c>
      <c r="J1337" t="s">
        <v>179</v>
      </c>
      <c r="K1337" t="s">
        <v>177</v>
      </c>
      <c r="L1337" t="s">
        <v>57</v>
      </c>
      <c r="M1337" t="s">
        <v>115</v>
      </c>
      <c r="N1337" t="s">
        <v>59</v>
      </c>
      <c r="O1337" t="s">
        <v>143</v>
      </c>
      <c r="P1337" t="s">
        <v>61</v>
      </c>
      <c r="Q1337">
        <v>6</v>
      </c>
      <c r="R1337" t="s">
        <v>150</v>
      </c>
      <c r="S1337" t="s">
        <v>63</v>
      </c>
      <c r="T1337" s="52"/>
    </row>
    <row r="1338" spans="1:20" x14ac:dyDescent="0.3">
      <c r="A1338" t="s">
        <v>53</v>
      </c>
      <c r="B1338" s="48">
        <v>46023</v>
      </c>
      <c r="C1338" s="26"/>
      <c r="I1338" t="s">
        <v>180</v>
      </c>
      <c r="J1338" t="s">
        <v>181</v>
      </c>
      <c r="K1338" t="s">
        <v>182</v>
      </c>
      <c r="L1338" t="s">
        <v>57</v>
      </c>
      <c r="M1338" t="s">
        <v>115</v>
      </c>
      <c r="N1338" t="s">
        <v>59</v>
      </c>
      <c r="O1338" t="s">
        <v>143</v>
      </c>
      <c r="P1338" t="s">
        <v>61</v>
      </c>
      <c r="Q1338">
        <v>2</v>
      </c>
      <c r="R1338" t="s">
        <v>150</v>
      </c>
      <c r="S1338" t="s">
        <v>63</v>
      </c>
      <c r="T1338" s="52"/>
    </row>
    <row r="1339" spans="1:20" x14ac:dyDescent="0.3">
      <c r="A1339" t="s">
        <v>53</v>
      </c>
      <c r="B1339" s="48">
        <v>46023</v>
      </c>
      <c r="C1339" s="26"/>
      <c r="I1339" t="s">
        <v>183</v>
      </c>
      <c r="J1339" t="s">
        <v>184</v>
      </c>
      <c r="K1339" t="s">
        <v>185</v>
      </c>
      <c r="L1339" t="s">
        <v>57</v>
      </c>
      <c r="M1339" t="s">
        <v>115</v>
      </c>
      <c r="N1339" t="s">
        <v>59</v>
      </c>
      <c r="O1339" t="s">
        <v>143</v>
      </c>
      <c r="P1339" t="s">
        <v>61</v>
      </c>
      <c r="Q1339">
        <v>3</v>
      </c>
      <c r="R1339" t="s">
        <v>150</v>
      </c>
      <c r="S1339" t="s">
        <v>63</v>
      </c>
      <c r="T1339" s="52"/>
    </row>
    <row r="1340" spans="1:20" x14ac:dyDescent="0.3">
      <c r="A1340" t="s">
        <v>53</v>
      </c>
      <c r="B1340" s="48">
        <v>46023</v>
      </c>
      <c r="C1340" s="26"/>
      <c r="I1340" t="s">
        <v>186</v>
      </c>
      <c r="J1340" t="s">
        <v>187</v>
      </c>
      <c r="K1340" t="s">
        <v>188</v>
      </c>
      <c r="L1340" t="s">
        <v>57</v>
      </c>
      <c r="M1340" t="s">
        <v>115</v>
      </c>
      <c r="N1340" t="s">
        <v>59</v>
      </c>
      <c r="O1340" t="s">
        <v>143</v>
      </c>
      <c r="P1340" t="s">
        <v>61</v>
      </c>
      <c r="Q1340">
        <v>60</v>
      </c>
      <c r="R1340" t="s">
        <v>150</v>
      </c>
      <c r="S1340" t="s">
        <v>63</v>
      </c>
      <c r="T1340" s="52"/>
    </row>
    <row r="1341" spans="1:20" x14ac:dyDescent="0.3">
      <c r="A1341" t="s">
        <v>53</v>
      </c>
      <c r="B1341" s="48">
        <v>46023</v>
      </c>
      <c r="C1341" s="26"/>
      <c r="I1341" t="s">
        <v>189</v>
      </c>
      <c r="J1341" t="s">
        <v>190</v>
      </c>
      <c r="K1341" t="s">
        <v>191</v>
      </c>
      <c r="L1341" t="s">
        <v>57</v>
      </c>
      <c r="M1341" t="s">
        <v>115</v>
      </c>
      <c r="N1341" t="s">
        <v>59</v>
      </c>
      <c r="O1341" t="s">
        <v>143</v>
      </c>
      <c r="P1341" t="s">
        <v>61</v>
      </c>
      <c r="Q1341">
        <v>94</v>
      </c>
      <c r="R1341" t="s">
        <v>150</v>
      </c>
      <c r="S1341" t="s">
        <v>63</v>
      </c>
      <c r="T1341" s="52"/>
    </row>
    <row r="1342" spans="1:20" x14ac:dyDescent="0.3">
      <c r="A1342" t="s">
        <v>53</v>
      </c>
      <c r="B1342" s="48">
        <v>46023</v>
      </c>
      <c r="C1342" s="26"/>
      <c r="I1342" t="s">
        <v>192</v>
      </c>
      <c r="J1342" t="s">
        <v>193</v>
      </c>
      <c r="K1342" t="s">
        <v>153</v>
      </c>
      <c r="L1342" t="s">
        <v>57</v>
      </c>
      <c r="M1342" t="s">
        <v>115</v>
      </c>
      <c r="N1342" t="s">
        <v>59</v>
      </c>
      <c r="O1342" t="s">
        <v>143</v>
      </c>
      <c r="P1342" t="s">
        <v>61</v>
      </c>
      <c r="Q1342">
        <v>297</v>
      </c>
      <c r="R1342" t="s">
        <v>150</v>
      </c>
      <c r="S1342" t="s">
        <v>63</v>
      </c>
      <c r="T1342" s="52"/>
    </row>
    <row r="1343" spans="1:20" x14ac:dyDescent="0.3">
      <c r="A1343" t="s">
        <v>53</v>
      </c>
      <c r="B1343" s="48">
        <v>46023</v>
      </c>
      <c r="C1343" s="26"/>
      <c r="I1343" t="s">
        <v>194</v>
      </c>
      <c r="J1343" t="s">
        <v>195</v>
      </c>
      <c r="K1343" t="s">
        <v>185</v>
      </c>
      <c r="L1343" t="s">
        <v>57</v>
      </c>
      <c r="M1343" t="s">
        <v>115</v>
      </c>
      <c r="N1343" t="s">
        <v>59</v>
      </c>
      <c r="O1343" t="s">
        <v>143</v>
      </c>
      <c r="P1343" t="s">
        <v>61</v>
      </c>
      <c r="Q1343">
        <v>3</v>
      </c>
      <c r="R1343" t="s">
        <v>150</v>
      </c>
      <c r="S1343" t="s">
        <v>63</v>
      </c>
      <c r="T1343" s="52"/>
    </row>
    <row r="1344" spans="1:20" x14ac:dyDescent="0.3">
      <c r="A1344" t="s">
        <v>53</v>
      </c>
      <c r="B1344" s="48">
        <v>46023</v>
      </c>
      <c r="C1344" s="26"/>
      <c r="I1344" t="s">
        <v>196</v>
      </c>
      <c r="J1344" t="s">
        <v>197</v>
      </c>
      <c r="K1344" t="s">
        <v>185</v>
      </c>
      <c r="L1344" t="s">
        <v>57</v>
      </c>
      <c r="M1344" t="s">
        <v>115</v>
      </c>
      <c r="N1344" t="s">
        <v>59</v>
      </c>
      <c r="O1344" t="s">
        <v>143</v>
      </c>
      <c r="P1344" t="s">
        <v>61</v>
      </c>
      <c r="Q1344">
        <v>23</v>
      </c>
      <c r="R1344" t="s">
        <v>150</v>
      </c>
      <c r="S1344" t="s">
        <v>63</v>
      </c>
      <c r="T1344" s="52"/>
    </row>
    <row r="1345" spans="1:20" x14ac:dyDescent="0.3">
      <c r="A1345" t="s">
        <v>53</v>
      </c>
      <c r="B1345" s="48">
        <v>46023</v>
      </c>
      <c r="C1345" s="26"/>
      <c r="I1345" t="s">
        <v>198</v>
      </c>
      <c r="J1345" t="s">
        <v>199</v>
      </c>
      <c r="K1345" t="s">
        <v>159</v>
      </c>
      <c r="L1345" t="s">
        <v>57</v>
      </c>
      <c r="M1345" t="s">
        <v>115</v>
      </c>
      <c r="N1345" t="s">
        <v>59</v>
      </c>
      <c r="O1345" t="s">
        <v>143</v>
      </c>
      <c r="P1345" t="s">
        <v>61</v>
      </c>
      <c r="Q1345">
        <v>1</v>
      </c>
      <c r="R1345" t="s">
        <v>150</v>
      </c>
      <c r="S1345" t="s">
        <v>63</v>
      </c>
      <c r="T1345" s="52"/>
    </row>
    <row r="1346" spans="1:20" x14ac:dyDescent="0.3">
      <c r="A1346" t="s">
        <v>53</v>
      </c>
      <c r="B1346" s="48">
        <v>46023</v>
      </c>
      <c r="C1346" s="26"/>
      <c r="I1346" t="s">
        <v>200</v>
      </c>
      <c r="J1346" t="s">
        <v>201</v>
      </c>
      <c r="K1346" t="s">
        <v>153</v>
      </c>
      <c r="L1346" t="s">
        <v>57</v>
      </c>
      <c r="M1346" t="s">
        <v>115</v>
      </c>
      <c r="N1346" t="s">
        <v>59</v>
      </c>
      <c r="O1346" t="s">
        <v>143</v>
      </c>
      <c r="P1346" t="s">
        <v>61</v>
      </c>
      <c r="Q1346">
        <v>2</v>
      </c>
      <c r="R1346" t="s">
        <v>150</v>
      </c>
      <c r="S1346" t="s">
        <v>63</v>
      </c>
      <c r="T1346" s="52"/>
    </row>
    <row r="1347" spans="1:20" x14ac:dyDescent="0.3">
      <c r="A1347" t="s">
        <v>53</v>
      </c>
      <c r="B1347" s="48">
        <v>46023</v>
      </c>
      <c r="C1347" s="26"/>
      <c r="I1347" t="s">
        <v>202</v>
      </c>
      <c r="J1347" t="s">
        <v>201</v>
      </c>
      <c r="K1347" t="s">
        <v>203</v>
      </c>
      <c r="L1347" t="s">
        <v>57</v>
      </c>
      <c r="M1347" t="s">
        <v>115</v>
      </c>
      <c r="N1347" t="s">
        <v>59</v>
      </c>
      <c r="O1347" t="s">
        <v>143</v>
      </c>
      <c r="P1347" t="s">
        <v>61</v>
      </c>
      <c r="Q1347">
        <v>1</v>
      </c>
      <c r="R1347" t="s">
        <v>150</v>
      </c>
      <c r="S1347" t="s">
        <v>63</v>
      </c>
      <c r="T1347" s="52"/>
    </row>
    <row r="1348" spans="1:20" x14ac:dyDescent="0.3">
      <c r="A1348" t="s">
        <v>53</v>
      </c>
      <c r="B1348" s="48">
        <v>46023</v>
      </c>
      <c r="C1348" s="26"/>
      <c r="I1348" t="s">
        <v>204</v>
      </c>
      <c r="J1348" t="s">
        <v>205</v>
      </c>
      <c r="K1348" t="s">
        <v>206</v>
      </c>
      <c r="L1348" t="s">
        <v>57</v>
      </c>
      <c r="M1348" t="s">
        <v>115</v>
      </c>
      <c r="N1348" t="s">
        <v>59</v>
      </c>
      <c r="O1348" t="s">
        <v>143</v>
      </c>
      <c r="P1348" t="s">
        <v>61</v>
      </c>
      <c r="Q1348">
        <v>2</v>
      </c>
      <c r="R1348" t="s">
        <v>150</v>
      </c>
      <c r="S1348" t="s">
        <v>63</v>
      </c>
      <c r="T1348" s="52"/>
    </row>
    <row r="1349" spans="1:20" x14ac:dyDescent="0.3">
      <c r="A1349" t="s">
        <v>53</v>
      </c>
      <c r="B1349" s="48">
        <v>46023</v>
      </c>
      <c r="C1349" s="26"/>
      <c r="I1349" t="s">
        <v>207</v>
      </c>
      <c r="J1349" t="s">
        <v>205</v>
      </c>
      <c r="K1349" t="s">
        <v>59</v>
      </c>
      <c r="L1349" t="s">
        <v>57</v>
      </c>
      <c r="M1349" t="s">
        <v>115</v>
      </c>
      <c r="N1349" t="s">
        <v>59</v>
      </c>
      <c r="O1349" t="s">
        <v>143</v>
      </c>
      <c r="P1349" t="s">
        <v>61</v>
      </c>
      <c r="Q1349">
        <v>1</v>
      </c>
      <c r="R1349" t="s">
        <v>150</v>
      </c>
      <c r="S1349" t="s">
        <v>63</v>
      </c>
      <c r="T1349" s="52"/>
    </row>
    <row r="1350" spans="1:20" x14ac:dyDescent="0.3">
      <c r="A1350" t="s">
        <v>53</v>
      </c>
      <c r="B1350" s="48">
        <v>46023</v>
      </c>
      <c r="C1350" s="26"/>
      <c r="I1350" t="s">
        <v>208</v>
      </c>
      <c r="J1350" t="s">
        <v>209</v>
      </c>
      <c r="K1350" t="s">
        <v>210</v>
      </c>
      <c r="L1350" t="s">
        <v>57</v>
      </c>
      <c r="M1350" t="s">
        <v>115</v>
      </c>
      <c r="N1350" t="s">
        <v>59</v>
      </c>
      <c r="O1350" t="s">
        <v>143</v>
      </c>
      <c r="P1350" t="s">
        <v>61</v>
      </c>
      <c r="Q1350">
        <v>2</v>
      </c>
      <c r="R1350" t="s">
        <v>150</v>
      </c>
      <c r="S1350" t="s">
        <v>63</v>
      </c>
      <c r="T1350" s="52"/>
    </row>
    <row r="1351" spans="1:20" x14ac:dyDescent="0.3">
      <c r="A1351" t="s">
        <v>53</v>
      </c>
      <c r="B1351" s="48">
        <v>46023</v>
      </c>
      <c r="C1351" s="26"/>
      <c r="I1351" t="s">
        <v>211</v>
      </c>
      <c r="J1351" t="s">
        <v>212</v>
      </c>
      <c r="K1351" t="s">
        <v>185</v>
      </c>
      <c r="L1351" t="s">
        <v>57</v>
      </c>
      <c r="M1351" t="s">
        <v>115</v>
      </c>
      <c r="N1351" t="s">
        <v>59</v>
      </c>
      <c r="O1351" t="s">
        <v>143</v>
      </c>
      <c r="P1351" t="s">
        <v>61</v>
      </c>
      <c r="Q1351">
        <v>94</v>
      </c>
      <c r="R1351" t="s">
        <v>150</v>
      </c>
      <c r="S1351" t="s">
        <v>63</v>
      </c>
      <c r="T1351" s="52"/>
    </row>
    <row r="1352" spans="1:20" x14ac:dyDescent="0.3">
      <c r="A1352" t="s">
        <v>53</v>
      </c>
      <c r="B1352" s="48">
        <v>46023</v>
      </c>
      <c r="C1352" s="26"/>
      <c r="I1352" t="s">
        <v>213</v>
      </c>
      <c r="J1352" t="s">
        <v>214</v>
      </c>
      <c r="K1352" t="s">
        <v>177</v>
      </c>
      <c r="L1352" t="s">
        <v>57</v>
      </c>
      <c r="M1352" t="s">
        <v>115</v>
      </c>
      <c r="N1352" t="s">
        <v>59</v>
      </c>
      <c r="O1352" t="s">
        <v>143</v>
      </c>
      <c r="P1352" t="s">
        <v>61</v>
      </c>
      <c r="Q1352">
        <v>270</v>
      </c>
      <c r="R1352" t="s">
        <v>150</v>
      </c>
      <c r="S1352" t="s">
        <v>63</v>
      </c>
      <c r="T1352" s="52"/>
    </row>
    <row r="1353" spans="1:20" x14ac:dyDescent="0.3">
      <c r="A1353" t="s">
        <v>53</v>
      </c>
      <c r="B1353" s="48">
        <v>46023</v>
      </c>
      <c r="C1353" s="26"/>
      <c r="I1353" t="s">
        <v>215</v>
      </c>
      <c r="J1353" t="s">
        <v>216</v>
      </c>
      <c r="K1353" t="s">
        <v>177</v>
      </c>
      <c r="L1353" t="s">
        <v>57</v>
      </c>
      <c r="M1353" t="s">
        <v>115</v>
      </c>
      <c r="N1353" t="s">
        <v>59</v>
      </c>
      <c r="O1353" t="s">
        <v>143</v>
      </c>
      <c r="P1353" t="s">
        <v>217</v>
      </c>
      <c r="Q1353">
        <v>6</v>
      </c>
      <c r="R1353" t="s">
        <v>150</v>
      </c>
      <c r="S1353" t="s">
        <v>63</v>
      </c>
      <c r="T1353" s="52"/>
    </row>
    <row r="1354" spans="1:20" x14ac:dyDescent="0.3">
      <c r="A1354" t="s">
        <v>53</v>
      </c>
      <c r="B1354" s="48">
        <v>46023</v>
      </c>
      <c r="C1354" s="26"/>
      <c r="I1354" t="s">
        <v>218</v>
      </c>
      <c r="J1354" t="s">
        <v>219</v>
      </c>
      <c r="K1354" t="s">
        <v>177</v>
      </c>
      <c r="L1354" t="s">
        <v>57</v>
      </c>
      <c r="M1354" t="s">
        <v>115</v>
      </c>
      <c r="N1354" t="s">
        <v>59</v>
      </c>
      <c r="O1354" t="s">
        <v>143</v>
      </c>
      <c r="P1354" t="s">
        <v>217</v>
      </c>
      <c r="Q1354">
        <v>3</v>
      </c>
      <c r="R1354" t="s">
        <v>150</v>
      </c>
      <c r="S1354" t="s">
        <v>63</v>
      </c>
      <c r="T1354" s="52"/>
    </row>
    <row r="1355" spans="1:20" x14ac:dyDescent="0.3">
      <c r="A1355" t="s">
        <v>53</v>
      </c>
      <c r="B1355" s="48">
        <v>46023</v>
      </c>
      <c r="C1355" s="26"/>
      <c r="I1355" t="s">
        <v>220</v>
      </c>
      <c r="J1355" t="s">
        <v>221</v>
      </c>
      <c r="K1355" t="s">
        <v>59</v>
      </c>
      <c r="L1355" t="s">
        <v>57</v>
      </c>
      <c r="M1355" t="s">
        <v>115</v>
      </c>
      <c r="N1355" t="s">
        <v>59</v>
      </c>
      <c r="O1355" t="s">
        <v>143</v>
      </c>
      <c r="P1355" t="s">
        <v>61</v>
      </c>
      <c r="Q1355">
        <v>19</v>
      </c>
      <c r="R1355" t="s">
        <v>150</v>
      </c>
      <c r="S1355" t="s">
        <v>63</v>
      </c>
      <c r="T1355" s="52"/>
    </row>
    <row r="1356" spans="1:20" x14ac:dyDescent="0.3">
      <c r="A1356" t="s">
        <v>53</v>
      </c>
      <c r="B1356" s="48">
        <v>46023</v>
      </c>
      <c r="C1356" s="26"/>
      <c r="I1356" t="s">
        <v>222</v>
      </c>
      <c r="J1356" t="s">
        <v>223</v>
      </c>
      <c r="K1356" t="s">
        <v>59</v>
      </c>
      <c r="L1356" t="s">
        <v>57</v>
      </c>
      <c r="M1356" t="s">
        <v>115</v>
      </c>
      <c r="N1356" t="s">
        <v>59</v>
      </c>
      <c r="O1356" t="s">
        <v>143</v>
      </c>
      <c r="P1356" t="s">
        <v>61</v>
      </c>
      <c r="Q1356">
        <v>139</v>
      </c>
      <c r="R1356" t="s">
        <v>150</v>
      </c>
      <c r="S1356" t="s">
        <v>63</v>
      </c>
      <c r="T1356" s="52"/>
    </row>
    <row r="1357" spans="1:20" x14ac:dyDescent="0.3">
      <c r="A1357" t="s">
        <v>53</v>
      </c>
      <c r="B1357" s="48">
        <v>46023</v>
      </c>
      <c r="C1357" s="26"/>
      <c r="I1357" t="s">
        <v>224</v>
      </c>
      <c r="J1357" t="s">
        <v>225</v>
      </c>
      <c r="K1357" t="s">
        <v>59</v>
      </c>
      <c r="L1357" t="s">
        <v>57</v>
      </c>
      <c r="M1357" t="s">
        <v>115</v>
      </c>
      <c r="N1357" t="s">
        <v>59</v>
      </c>
      <c r="O1357" t="s">
        <v>143</v>
      </c>
      <c r="P1357" t="s">
        <v>61</v>
      </c>
      <c r="Q1357">
        <v>34</v>
      </c>
      <c r="R1357" t="s">
        <v>150</v>
      </c>
      <c r="S1357" t="s">
        <v>63</v>
      </c>
      <c r="T1357" s="52"/>
    </row>
    <row r="1358" spans="1:20" x14ac:dyDescent="0.3">
      <c r="A1358" t="s">
        <v>53</v>
      </c>
      <c r="B1358" s="48">
        <v>46023</v>
      </c>
      <c r="C1358" s="26"/>
      <c r="I1358" t="s">
        <v>226</v>
      </c>
      <c r="J1358" t="s">
        <v>227</v>
      </c>
      <c r="K1358" t="s">
        <v>59</v>
      </c>
      <c r="L1358" t="s">
        <v>57</v>
      </c>
      <c r="M1358" t="s">
        <v>115</v>
      </c>
      <c r="N1358" t="s">
        <v>59</v>
      </c>
      <c r="O1358" t="s">
        <v>143</v>
      </c>
      <c r="P1358" t="s">
        <v>228</v>
      </c>
      <c r="Q1358">
        <v>5</v>
      </c>
      <c r="R1358" t="s">
        <v>150</v>
      </c>
      <c r="S1358" t="s">
        <v>63</v>
      </c>
      <c r="T1358" s="52"/>
    </row>
    <row r="1359" spans="1:20" x14ac:dyDescent="0.3">
      <c r="A1359" t="s">
        <v>53</v>
      </c>
      <c r="B1359" s="48">
        <v>46023</v>
      </c>
      <c r="C1359" s="26"/>
      <c r="I1359" t="s">
        <v>229</v>
      </c>
      <c r="J1359" t="s">
        <v>230</v>
      </c>
      <c r="K1359" t="s">
        <v>59</v>
      </c>
      <c r="L1359" t="s">
        <v>57</v>
      </c>
      <c r="M1359" t="s">
        <v>115</v>
      </c>
      <c r="N1359" t="s">
        <v>59</v>
      </c>
      <c r="O1359" t="s">
        <v>143</v>
      </c>
      <c r="P1359" t="s">
        <v>61</v>
      </c>
      <c r="Q1359">
        <v>5</v>
      </c>
      <c r="R1359" t="s">
        <v>150</v>
      </c>
      <c r="S1359" t="s">
        <v>63</v>
      </c>
      <c r="T1359" s="52"/>
    </row>
    <row r="1360" spans="1:20" x14ac:dyDescent="0.3">
      <c r="A1360" t="s">
        <v>53</v>
      </c>
      <c r="B1360" s="48">
        <v>46023</v>
      </c>
      <c r="C1360" s="26"/>
      <c r="I1360" t="s">
        <v>231</v>
      </c>
      <c r="J1360" t="s">
        <v>232</v>
      </c>
      <c r="K1360" t="s">
        <v>233</v>
      </c>
      <c r="L1360" t="s">
        <v>57</v>
      </c>
      <c r="M1360" t="s">
        <v>115</v>
      </c>
      <c r="N1360" t="s">
        <v>59</v>
      </c>
      <c r="O1360" t="s">
        <v>143</v>
      </c>
      <c r="P1360" t="s">
        <v>61</v>
      </c>
      <c r="Q1360">
        <v>3</v>
      </c>
      <c r="R1360" t="s">
        <v>150</v>
      </c>
      <c r="S1360" t="s">
        <v>63</v>
      </c>
      <c r="T1360" s="52"/>
    </row>
    <row r="1361" spans="1:20" x14ac:dyDescent="0.3">
      <c r="A1361" t="s">
        <v>53</v>
      </c>
      <c r="B1361" s="48">
        <v>46023</v>
      </c>
      <c r="C1361" s="26"/>
      <c r="I1361" t="s">
        <v>234</v>
      </c>
      <c r="J1361" t="s">
        <v>235</v>
      </c>
      <c r="K1361" t="s">
        <v>185</v>
      </c>
      <c r="L1361" t="s">
        <v>57</v>
      </c>
      <c r="M1361" t="s">
        <v>115</v>
      </c>
      <c r="N1361" t="s">
        <v>59</v>
      </c>
      <c r="O1361" t="s">
        <v>143</v>
      </c>
      <c r="P1361" t="s">
        <v>217</v>
      </c>
      <c r="Q1361">
        <v>2</v>
      </c>
      <c r="R1361" t="s">
        <v>150</v>
      </c>
      <c r="S1361" t="s">
        <v>63</v>
      </c>
      <c r="T1361" s="52"/>
    </row>
    <row r="1362" spans="1:20" x14ac:dyDescent="0.3">
      <c r="A1362" t="s">
        <v>53</v>
      </c>
      <c r="B1362" s="48">
        <v>46023</v>
      </c>
      <c r="C1362" s="26"/>
      <c r="I1362" t="s">
        <v>236</v>
      </c>
      <c r="J1362" t="s">
        <v>237</v>
      </c>
      <c r="K1362" t="s">
        <v>177</v>
      </c>
      <c r="L1362" t="s">
        <v>57</v>
      </c>
      <c r="M1362" t="s">
        <v>115</v>
      </c>
      <c r="N1362" t="s">
        <v>59</v>
      </c>
      <c r="O1362" t="s">
        <v>143</v>
      </c>
      <c r="P1362" t="s">
        <v>61</v>
      </c>
      <c r="Q1362">
        <v>164</v>
      </c>
      <c r="R1362" t="s">
        <v>150</v>
      </c>
      <c r="S1362" t="s">
        <v>63</v>
      </c>
      <c r="T1362" s="52"/>
    </row>
    <row r="1363" spans="1:20" x14ac:dyDescent="0.3">
      <c r="A1363" t="s">
        <v>53</v>
      </c>
      <c r="B1363" s="48">
        <v>46023</v>
      </c>
      <c r="C1363" s="26"/>
      <c r="I1363" t="s">
        <v>238</v>
      </c>
      <c r="J1363" t="s">
        <v>239</v>
      </c>
      <c r="K1363" t="s">
        <v>59</v>
      </c>
      <c r="L1363" t="s">
        <v>57</v>
      </c>
      <c r="M1363" t="s">
        <v>115</v>
      </c>
      <c r="N1363" t="s">
        <v>59</v>
      </c>
      <c r="O1363" t="s">
        <v>143</v>
      </c>
      <c r="P1363" t="s">
        <v>61</v>
      </c>
      <c r="Q1363">
        <v>18</v>
      </c>
      <c r="R1363" t="s">
        <v>240</v>
      </c>
      <c r="S1363" t="s">
        <v>63</v>
      </c>
      <c r="T1363" s="52"/>
    </row>
    <row r="1364" spans="1:20" x14ac:dyDescent="0.3">
      <c r="A1364" t="s">
        <v>53</v>
      </c>
      <c r="B1364" s="48">
        <v>46023</v>
      </c>
      <c r="C1364" s="26"/>
      <c r="I1364" t="s">
        <v>241</v>
      </c>
      <c r="J1364" t="s">
        <v>242</v>
      </c>
      <c r="K1364" t="s">
        <v>185</v>
      </c>
      <c r="L1364" t="s">
        <v>57</v>
      </c>
      <c r="M1364" t="s">
        <v>115</v>
      </c>
      <c r="N1364" t="s">
        <v>59</v>
      </c>
      <c r="O1364" t="s">
        <v>143</v>
      </c>
      <c r="P1364" t="s">
        <v>61</v>
      </c>
      <c r="Q1364">
        <v>10</v>
      </c>
      <c r="R1364" t="s">
        <v>240</v>
      </c>
      <c r="S1364" t="s">
        <v>63</v>
      </c>
      <c r="T1364" s="52"/>
    </row>
    <row r="1365" spans="1:20" x14ac:dyDescent="0.3">
      <c r="A1365" t="s">
        <v>53</v>
      </c>
      <c r="B1365" s="48">
        <v>46023</v>
      </c>
      <c r="C1365" s="26"/>
      <c r="I1365" t="s">
        <v>243</v>
      </c>
      <c r="J1365" t="s">
        <v>244</v>
      </c>
      <c r="K1365" t="s">
        <v>245</v>
      </c>
      <c r="L1365" t="s">
        <v>57</v>
      </c>
      <c r="M1365" t="s">
        <v>115</v>
      </c>
      <c r="N1365" t="s">
        <v>59</v>
      </c>
      <c r="O1365" t="s">
        <v>143</v>
      </c>
      <c r="P1365" t="s">
        <v>61</v>
      </c>
      <c r="Q1365">
        <v>38</v>
      </c>
      <c r="R1365" t="s">
        <v>240</v>
      </c>
      <c r="S1365" t="s">
        <v>63</v>
      </c>
      <c r="T1365" s="52"/>
    </row>
    <row r="1366" spans="1:20" x14ac:dyDescent="0.3">
      <c r="A1366" t="s">
        <v>53</v>
      </c>
      <c r="B1366" s="48">
        <v>46023</v>
      </c>
      <c r="C1366" s="26"/>
      <c r="I1366" t="s">
        <v>246</v>
      </c>
      <c r="J1366" t="s">
        <v>247</v>
      </c>
      <c r="K1366" t="s">
        <v>210</v>
      </c>
      <c r="L1366" t="s">
        <v>57</v>
      </c>
      <c r="M1366" t="s">
        <v>115</v>
      </c>
      <c r="N1366" t="s">
        <v>59</v>
      </c>
      <c r="O1366" t="s">
        <v>143</v>
      </c>
      <c r="P1366" t="s">
        <v>61</v>
      </c>
      <c r="Q1366">
        <v>34</v>
      </c>
      <c r="R1366" t="s">
        <v>240</v>
      </c>
      <c r="S1366" t="s">
        <v>63</v>
      </c>
      <c r="T1366" s="52"/>
    </row>
    <row r="1367" spans="1:20" x14ac:dyDescent="0.3">
      <c r="A1367" t="s">
        <v>53</v>
      </c>
      <c r="B1367" s="48">
        <v>46023</v>
      </c>
      <c r="C1367" s="26"/>
      <c r="I1367" t="s">
        <v>248</v>
      </c>
      <c r="J1367" t="s">
        <v>249</v>
      </c>
      <c r="K1367" t="s">
        <v>185</v>
      </c>
      <c r="L1367" t="s">
        <v>57</v>
      </c>
      <c r="M1367" t="s">
        <v>115</v>
      </c>
      <c r="N1367" t="s">
        <v>59</v>
      </c>
      <c r="O1367" t="s">
        <v>143</v>
      </c>
      <c r="P1367" t="s">
        <v>61</v>
      </c>
      <c r="Q1367">
        <v>68</v>
      </c>
      <c r="R1367" t="s">
        <v>240</v>
      </c>
      <c r="S1367" t="s">
        <v>63</v>
      </c>
      <c r="T1367" s="52"/>
    </row>
    <row r="1368" spans="1:20" x14ac:dyDescent="0.3">
      <c r="A1368" t="s">
        <v>53</v>
      </c>
      <c r="B1368" s="48">
        <v>46023</v>
      </c>
      <c r="C1368" s="26"/>
      <c r="I1368" t="s">
        <v>250</v>
      </c>
      <c r="J1368" t="s">
        <v>251</v>
      </c>
      <c r="K1368" t="s">
        <v>59</v>
      </c>
      <c r="L1368" t="s">
        <v>57</v>
      </c>
      <c r="M1368" t="s">
        <v>115</v>
      </c>
      <c r="N1368" t="s">
        <v>59</v>
      </c>
      <c r="O1368" t="s">
        <v>143</v>
      </c>
      <c r="P1368" t="s">
        <v>61</v>
      </c>
      <c r="Q1368">
        <v>534</v>
      </c>
      <c r="R1368" t="s">
        <v>240</v>
      </c>
      <c r="S1368" t="s">
        <v>63</v>
      </c>
      <c r="T1368" s="52"/>
    </row>
    <row r="1369" spans="1:20" x14ac:dyDescent="0.3">
      <c r="A1369" t="s">
        <v>53</v>
      </c>
      <c r="B1369" s="48">
        <v>46023</v>
      </c>
      <c r="C1369" s="26"/>
      <c r="I1369" t="s">
        <v>252</v>
      </c>
      <c r="J1369" t="s">
        <v>253</v>
      </c>
      <c r="K1369" t="s">
        <v>59</v>
      </c>
      <c r="L1369" t="s">
        <v>57</v>
      </c>
      <c r="M1369" t="s">
        <v>115</v>
      </c>
      <c r="N1369" t="s">
        <v>59</v>
      </c>
      <c r="O1369" t="s">
        <v>143</v>
      </c>
      <c r="P1369" t="s">
        <v>61</v>
      </c>
      <c r="Q1369">
        <v>81</v>
      </c>
      <c r="R1369" t="s">
        <v>240</v>
      </c>
      <c r="S1369" t="s">
        <v>63</v>
      </c>
      <c r="T1369" s="52"/>
    </row>
    <row r="1370" spans="1:20" x14ac:dyDescent="0.3">
      <c r="A1370" t="s">
        <v>53</v>
      </c>
      <c r="B1370" s="48">
        <v>46023</v>
      </c>
      <c r="C1370" s="26"/>
      <c r="I1370" t="s">
        <v>254</v>
      </c>
      <c r="J1370" t="s">
        <v>255</v>
      </c>
      <c r="K1370" t="s">
        <v>59</v>
      </c>
      <c r="L1370" t="s">
        <v>57</v>
      </c>
      <c r="M1370" t="s">
        <v>115</v>
      </c>
      <c r="N1370" t="s">
        <v>59</v>
      </c>
      <c r="O1370" t="s">
        <v>143</v>
      </c>
      <c r="P1370" t="s">
        <v>61</v>
      </c>
      <c r="Q1370">
        <v>64</v>
      </c>
      <c r="R1370" t="s">
        <v>240</v>
      </c>
      <c r="S1370" t="s">
        <v>63</v>
      </c>
      <c r="T1370" s="52"/>
    </row>
    <row r="1371" spans="1:20" x14ac:dyDescent="0.3">
      <c r="A1371" t="s">
        <v>53</v>
      </c>
      <c r="B1371" s="48">
        <v>46023</v>
      </c>
      <c r="C1371" s="26"/>
      <c r="I1371" t="s">
        <v>256</v>
      </c>
      <c r="J1371" t="s">
        <v>257</v>
      </c>
      <c r="K1371" t="s">
        <v>59</v>
      </c>
      <c r="L1371" t="s">
        <v>57</v>
      </c>
      <c r="M1371" t="s">
        <v>115</v>
      </c>
      <c r="N1371" t="s">
        <v>59</v>
      </c>
      <c r="O1371" t="s">
        <v>143</v>
      </c>
      <c r="P1371" t="s">
        <v>258</v>
      </c>
      <c r="Q1371">
        <v>98</v>
      </c>
      <c r="R1371" t="s">
        <v>240</v>
      </c>
      <c r="S1371" t="s">
        <v>63</v>
      </c>
      <c r="T1371" s="52"/>
    </row>
    <row r="1372" spans="1:20" x14ac:dyDescent="0.3">
      <c r="A1372" t="s">
        <v>53</v>
      </c>
      <c r="B1372" s="48">
        <v>46023</v>
      </c>
      <c r="C1372" s="26"/>
      <c r="I1372" t="s">
        <v>259</v>
      </c>
      <c r="J1372" t="s">
        <v>260</v>
      </c>
      <c r="K1372" t="s">
        <v>59</v>
      </c>
      <c r="L1372" t="s">
        <v>57</v>
      </c>
      <c r="M1372" t="s">
        <v>115</v>
      </c>
      <c r="N1372" t="s">
        <v>59</v>
      </c>
      <c r="O1372" t="s">
        <v>143</v>
      </c>
      <c r="P1372" t="s">
        <v>61</v>
      </c>
      <c r="Q1372">
        <v>167</v>
      </c>
      <c r="R1372" t="s">
        <v>240</v>
      </c>
      <c r="S1372" t="s">
        <v>63</v>
      </c>
      <c r="T1372" s="52"/>
    </row>
    <row r="1373" spans="1:20" x14ac:dyDescent="0.3">
      <c r="A1373" t="s">
        <v>53</v>
      </c>
      <c r="B1373" s="48">
        <v>46023</v>
      </c>
      <c r="C1373" s="26"/>
      <c r="I1373" t="s">
        <v>261</v>
      </c>
      <c r="J1373" t="s">
        <v>262</v>
      </c>
      <c r="K1373" t="s">
        <v>263</v>
      </c>
      <c r="L1373" t="s">
        <v>57</v>
      </c>
      <c r="M1373" t="s">
        <v>115</v>
      </c>
      <c r="N1373" t="s">
        <v>59</v>
      </c>
      <c r="O1373" t="s">
        <v>143</v>
      </c>
      <c r="P1373" t="s">
        <v>61</v>
      </c>
      <c r="Q1373">
        <v>606</v>
      </c>
      <c r="R1373" t="s">
        <v>240</v>
      </c>
      <c r="S1373" t="s">
        <v>63</v>
      </c>
      <c r="T1373" s="52"/>
    </row>
    <row r="1374" spans="1:20" x14ac:dyDescent="0.3">
      <c r="A1374" t="s">
        <v>53</v>
      </c>
      <c r="B1374" s="48">
        <v>46023</v>
      </c>
      <c r="C1374" s="26"/>
      <c r="I1374" t="s">
        <v>264</v>
      </c>
      <c r="J1374" t="s">
        <v>265</v>
      </c>
      <c r="K1374" t="s">
        <v>59</v>
      </c>
      <c r="L1374" t="s">
        <v>57</v>
      </c>
      <c r="M1374" t="s">
        <v>115</v>
      </c>
      <c r="N1374" t="s">
        <v>59</v>
      </c>
      <c r="O1374" t="s">
        <v>143</v>
      </c>
      <c r="P1374" t="s">
        <v>61</v>
      </c>
      <c r="Q1374">
        <v>146</v>
      </c>
      <c r="R1374" t="s">
        <v>266</v>
      </c>
      <c r="S1374" t="s">
        <v>63</v>
      </c>
      <c r="T1374" s="52"/>
    </row>
    <row r="1375" spans="1:20" x14ac:dyDescent="0.3">
      <c r="A1375" t="s">
        <v>53</v>
      </c>
      <c r="B1375" s="48">
        <v>46023</v>
      </c>
      <c r="C1375" s="26"/>
      <c r="I1375" t="s">
        <v>267</v>
      </c>
      <c r="J1375" t="s">
        <v>268</v>
      </c>
      <c r="K1375" t="s">
        <v>59</v>
      </c>
      <c r="L1375" t="s">
        <v>57</v>
      </c>
      <c r="M1375" t="s">
        <v>115</v>
      </c>
      <c r="N1375" t="s">
        <v>59</v>
      </c>
      <c r="O1375" t="s">
        <v>143</v>
      </c>
      <c r="P1375" t="s">
        <v>61</v>
      </c>
      <c r="Q1375">
        <v>88</v>
      </c>
      <c r="R1375" t="s">
        <v>266</v>
      </c>
      <c r="S1375" t="s">
        <v>63</v>
      </c>
      <c r="T1375" s="52"/>
    </row>
    <row r="1376" spans="1:20" x14ac:dyDescent="0.3">
      <c r="A1376" t="s">
        <v>53</v>
      </c>
      <c r="B1376" s="48">
        <v>46023</v>
      </c>
      <c r="C1376" s="26"/>
      <c r="I1376" t="s">
        <v>269</v>
      </c>
      <c r="J1376" t="s">
        <v>270</v>
      </c>
      <c r="K1376" t="s">
        <v>59</v>
      </c>
      <c r="L1376" t="s">
        <v>57</v>
      </c>
      <c r="M1376" t="s">
        <v>115</v>
      </c>
      <c r="N1376" t="s">
        <v>59</v>
      </c>
      <c r="O1376" t="s">
        <v>143</v>
      </c>
      <c r="P1376" t="s">
        <v>61</v>
      </c>
      <c r="Q1376">
        <v>183</v>
      </c>
      <c r="R1376" t="s">
        <v>266</v>
      </c>
      <c r="S1376" t="s">
        <v>63</v>
      </c>
      <c r="T1376" s="52"/>
    </row>
    <row r="1377" spans="1:20" x14ac:dyDescent="0.3">
      <c r="A1377" t="s">
        <v>53</v>
      </c>
      <c r="B1377" s="48">
        <v>46023</v>
      </c>
      <c r="C1377" s="26"/>
      <c r="I1377" t="s">
        <v>271</v>
      </c>
      <c r="J1377" t="s">
        <v>272</v>
      </c>
      <c r="K1377" t="s">
        <v>59</v>
      </c>
      <c r="L1377" t="s">
        <v>57</v>
      </c>
      <c r="M1377" t="s">
        <v>115</v>
      </c>
      <c r="N1377" t="s">
        <v>59</v>
      </c>
      <c r="O1377" t="s">
        <v>143</v>
      </c>
      <c r="P1377" t="s">
        <v>61</v>
      </c>
      <c r="Q1377">
        <v>85</v>
      </c>
      <c r="R1377" t="s">
        <v>266</v>
      </c>
      <c r="S1377" t="s">
        <v>63</v>
      </c>
      <c r="T1377" s="52"/>
    </row>
    <row r="1378" spans="1:20" x14ac:dyDescent="0.3">
      <c r="A1378" t="s">
        <v>53</v>
      </c>
      <c r="B1378" s="48">
        <v>46023</v>
      </c>
      <c r="C1378" s="26"/>
      <c r="I1378" t="s">
        <v>273</v>
      </c>
      <c r="J1378" t="s">
        <v>274</v>
      </c>
      <c r="K1378" t="s">
        <v>167</v>
      </c>
      <c r="L1378" t="s">
        <v>57</v>
      </c>
      <c r="M1378" t="s">
        <v>115</v>
      </c>
      <c r="N1378" t="s">
        <v>59</v>
      </c>
      <c r="O1378" t="s">
        <v>143</v>
      </c>
      <c r="P1378" t="s">
        <v>61</v>
      </c>
      <c r="Q1378">
        <v>4</v>
      </c>
      <c r="R1378" t="s">
        <v>266</v>
      </c>
      <c r="S1378" t="s">
        <v>63</v>
      </c>
      <c r="T1378" s="52"/>
    </row>
    <row r="1379" spans="1:20" x14ac:dyDescent="0.3">
      <c r="A1379" t="s">
        <v>53</v>
      </c>
      <c r="B1379" s="48">
        <v>46023</v>
      </c>
      <c r="C1379" s="26"/>
      <c r="I1379" t="s">
        <v>275</v>
      </c>
      <c r="J1379" t="s">
        <v>276</v>
      </c>
      <c r="K1379" t="s">
        <v>170</v>
      </c>
      <c r="L1379" t="s">
        <v>57</v>
      </c>
      <c r="M1379" t="s">
        <v>115</v>
      </c>
      <c r="N1379" t="s">
        <v>59</v>
      </c>
      <c r="O1379" t="s">
        <v>143</v>
      </c>
      <c r="P1379" t="s">
        <v>61</v>
      </c>
      <c r="Q1379">
        <v>200</v>
      </c>
      <c r="R1379" t="s">
        <v>266</v>
      </c>
      <c r="S1379" t="s">
        <v>63</v>
      </c>
      <c r="T1379" s="52"/>
    </row>
    <row r="1380" spans="1:20" x14ac:dyDescent="0.3">
      <c r="A1380" t="s">
        <v>53</v>
      </c>
      <c r="B1380" s="48">
        <v>46023</v>
      </c>
      <c r="C1380" s="26"/>
      <c r="I1380" t="s">
        <v>277</v>
      </c>
      <c r="J1380" t="s">
        <v>278</v>
      </c>
      <c r="K1380" t="s">
        <v>185</v>
      </c>
      <c r="L1380" t="s">
        <v>57</v>
      </c>
      <c r="M1380" t="s">
        <v>115</v>
      </c>
      <c r="N1380" t="s">
        <v>59</v>
      </c>
      <c r="O1380" t="s">
        <v>143</v>
      </c>
      <c r="P1380" t="s">
        <v>61</v>
      </c>
      <c r="Q1380">
        <v>42</v>
      </c>
      <c r="R1380" t="s">
        <v>266</v>
      </c>
      <c r="S1380" t="s">
        <v>63</v>
      </c>
      <c r="T1380" s="52"/>
    </row>
    <row r="1381" spans="1:20" x14ac:dyDescent="0.3">
      <c r="A1381" t="s">
        <v>53</v>
      </c>
      <c r="B1381" s="48">
        <v>46023</v>
      </c>
      <c r="C1381" s="26"/>
      <c r="I1381" t="s">
        <v>279</v>
      </c>
      <c r="J1381" t="s">
        <v>280</v>
      </c>
      <c r="K1381" t="s">
        <v>59</v>
      </c>
      <c r="L1381" t="s">
        <v>57</v>
      </c>
      <c r="M1381" t="s">
        <v>115</v>
      </c>
      <c r="N1381" t="s">
        <v>59</v>
      </c>
      <c r="O1381" t="s">
        <v>143</v>
      </c>
      <c r="P1381" t="s">
        <v>61</v>
      </c>
      <c r="Q1381">
        <v>42</v>
      </c>
      <c r="R1381" t="s">
        <v>266</v>
      </c>
      <c r="S1381" t="s">
        <v>63</v>
      </c>
      <c r="T1381" s="52"/>
    </row>
    <row r="1382" spans="1:20" x14ac:dyDescent="0.3">
      <c r="A1382" t="s">
        <v>53</v>
      </c>
      <c r="B1382" s="48">
        <v>46023</v>
      </c>
      <c r="C1382" s="26"/>
      <c r="I1382" t="s">
        <v>281</v>
      </c>
      <c r="J1382" t="s">
        <v>282</v>
      </c>
      <c r="K1382" t="s">
        <v>59</v>
      </c>
      <c r="L1382" t="s">
        <v>57</v>
      </c>
      <c r="M1382" t="s">
        <v>115</v>
      </c>
      <c r="N1382" t="s">
        <v>59</v>
      </c>
      <c r="O1382" t="s">
        <v>143</v>
      </c>
      <c r="P1382" t="s">
        <v>61</v>
      </c>
      <c r="Q1382">
        <v>20</v>
      </c>
      <c r="R1382" t="s">
        <v>266</v>
      </c>
      <c r="S1382" t="s">
        <v>63</v>
      </c>
      <c r="T1382" s="52"/>
    </row>
    <row r="1383" spans="1:20" x14ac:dyDescent="0.3">
      <c r="A1383" t="s">
        <v>53</v>
      </c>
      <c r="B1383" s="48">
        <v>46023</v>
      </c>
      <c r="C1383" s="26"/>
      <c r="I1383" t="s">
        <v>283</v>
      </c>
      <c r="J1383" t="s">
        <v>282</v>
      </c>
      <c r="K1383" t="s">
        <v>59</v>
      </c>
      <c r="L1383" t="s">
        <v>57</v>
      </c>
      <c r="M1383" t="s">
        <v>115</v>
      </c>
      <c r="N1383" t="s">
        <v>59</v>
      </c>
      <c r="O1383" t="s">
        <v>116</v>
      </c>
      <c r="P1383" t="s">
        <v>61</v>
      </c>
      <c r="Q1383">
        <v>11</v>
      </c>
      <c r="R1383" t="s">
        <v>266</v>
      </c>
      <c r="S1383" t="s">
        <v>63</v>
      </c>
      <c r="T1383" s="52"/>
    </row>
    <row r="1384" spans="1:20" x14ac:dyDescent="0.3">
      <c r="A1384" t="s">
        <v>53</v>
      </c>
      <c r="B1384" s="48">
        <v>46023</v>
      </c>
      <c r="C1384" s="26"/>
      <c r="I1384" t="s">
        <v>284</v>
      </c>
      <c r="J1384" t="s">
        <v>285</v>
      </c>
      <c r="K1384" t="s">
        <v>59</v>
      </c>
      <c r="L1384" t="s">
        <v>57</v>
      </c>
      <c r="M1384" t="s">
        <v>115</v>
      </c>
      <c r="N1384" t="s">
        <v>59</v>
      </c>
      <c r="O1384" t="s">
        <v>143</v>
      </c>
      <c r="P1384" t="s">
        <v>61</v>
      </c>
      <c r="Q1384">
        <v>28</v>
      </c>
      <c r="R1384" t="s">
        <v>266</v>
      </c>
      <c r="S1384" t="s">
        <v>63</v>
      </c>
      <c r="T1384" s="52"/>
    </row>
    <row r="1385" spans="1:20" x14ac:dyDescent="0.3">
      <c r="A1385" t="s">
        <v>53</v>
      </c>
      <c r="B1385" s="48">
        <v>46023</v>
      </c>
      <c r="C1385" s="26"/>
      <c r="I1385" t="s">
        <v>286</v>
      </c>
      <c r="J1385" t="s">
        <v>287</v>
      </c>
      <c r="K1385" t="s">
        <v>59</v>
      </c>
      <c r="L1385" t="s">
        <v>57</v>
      </c>
      <c r="M1385" t="s">
        <v>115</v>
      </c>
      <c r="N1385" t="s">
        <v>59</v>
      </c>
      <c r="O1385" t="s">
        <v>143</v>
      </c>
      <c r="P1385" t="s">
        <v>61</v>
      </c>
      <c r="Q1385">
        <v>7</v>
      </c>
      <c r="R1385" t="s">
        <v>266</v>
      </c>
      <c r="S1385" t="s">
        <v>63</v>
      </c>
      <c r="T1385" s="52"/>
    </row>
    <row r="1386" spans="1:20" x14ac:dyDescent="0.3">
      <c r="A1386" t="s">
        <v>53</v>
      </c>
      <c r="B1386" s="48">
        <v>46023</v>
      </c>
      <c r="C1386" s="26"/>
      <c r="I1386" t="s">
        <v>288</v>
      </c>
      <c r="J1386" t="s">
        <v>289</v>
      </c>
      <c r="K1386" t="s">
        <v>59</v>
      </c>
      <c r="L1386" t="s">
        <v>57</v>
      </c>
      <c r="M1386" t="s">
        <v>115</v>
      </c>
      <c r="N1386" t="s">
        <v>59</v>
      </c>
      <c r="O1386" t="s">
        <v>143</v>
      </c>
      <c r="P1386" t="s">
        <v>290</v>
      </c>
      <c r="Q1386">
        <v>800</v>
      </c>
      <c r="R1386" t="s">
        <v>266</v>
      </c>
      <c r="S1386" t="s">
        <v>63</v>
      </c>
      <c r="T1386" s="52"/>
    </row>
    <row r="1387" spans="1:20" x14ac:dyDescent="0.3">
      <c r="A1387" t="s">
        <v>53</v>
      </c>
      <c r="B1387" s="48">
        <v>46023</v>
      </c>
      <c r="C1387" s="26"/>
      <c r="I1387" t="s">
        <v>3339</v>
      </c>
      <c r="J1387" t="s">
        <v>3340</v>
      </c>
      <c r="K1387" t="s">
        <v>3341</v>
      </c>
      <c r="L1387" t="s">
        <v>57</v>
      </c>
      <c r="M1387" t="s">
        <v>136</v>
      </c>
      <c r="N1387" t="s">
        <v>59</v>
      </c>
      <c r="O1387" t="s">
        <v>116</v>
      </c>
      <c r="P1387" t="s">
        <v>144</v>
      </c>
      <c r="Q1387">
        <v>1</v>
      </c>
      <c r="R1387" t="s">
        <v>3342</v>
      </c>
      <c r="S1387" t="s">
        <v>63</v>
      </c>
      <c r="T1387" s="52"/>
    </row>
    <row r="1388" spans="1:20" x14ac:dyDescent="0.3">
      <c r="A1388" t="s">
        <v>53</v>
      </c>
      <c r="B1388" s="48">
        <v>46023</v>
      </c>
      <c r="C1388" s="26"/>
      <c r="I1388" t="s">
        <v>3343</v>
      </c>
      <c r="J1388" t="s">
        <v>3340</v>
      </c>
      <c r="K1388" t="s">
        <v>3344</v>
      </c>
      <c r="L1388" t="s">
        <v>57</v>
      </c>
      <c r="M1388" t="s">
        <v>136</v>
      </c>
      <c r="N1388" t="s">
        <v>59</v>
      </c>
      <c r="O1388" t="s">
        <v>116</v>
      </c>
      <c r="P1388" t="s">
        <v>144</v>
      </c>
      <c r="Q1388">
        <v>1</v>
      </c>
      <c r="R1388" t="s">
        <v>3342</v>
      </c>
      <c r="S1388" t="s">
        <v>63</v>
      </c>
      <c r="T1388" s="52"/>
    </row>
    <row r="1389" spans="1:20" x14ac:dyDescent="0.3">
      <c r="A1389" t="s">
        <v>53</v>
      </c>
      <c r="B1389" s="48">
        <v>46023</v>
      </c>
      <c r="C1389" s="26"/>
      <c r="I1389" t="s">
        <v>3345</v>
      </c>
      <c r="J1389" t="s">
        <v>3340</v>
      </c>
      <c r="K1389" t="s">
        <v>3346</v>
      </c>
      <c r="L1389" t="s">
        <v>57</v>
      </c>
      <c r="M1389" t="s">
        <v>136</v>
      </c>
      <c r="N1389" t="s">
        <v>59</v>
      </c>
      <c r="O1389" t="s">
        <v>116</v>
      </c>
      <c r="P1389" t="s">
        <v>144</v>
      </c>
      <c r="Q1389">
        <v>1</v>
      </c>
      <c r="R1389" t="s">
        <v>3342</v>
      </c>
      <c r="S1389" t="s">
        <v>63</v>
      </c>
      <c r="T1389" s="52"/>
    </row>
    <row r="1390" spans="1:20" x14ac:dyDescent="0.3">
      <c r="A1390" t="s">
        <v>53</v>
      </c>
      <c r="B1390" s="48">
        <v>46023</v>
      </c>
      <c r="C1390" s="26"/>
      <c r="I1390" t="s">
        <v>3347</v>
      </c>
      <c r="J1390" t="s">
        <v>3348</v>
      </c>
      <c r="K1390" t="s">
        <v>3341</v>
      </c>
      <c r="L1390" t="s">
        <v>57</v>
      </c>
      <c r="M1390" t="s">
        <v>136</v>
      </c>
      <c r="N1390" t="s">
        <v>59</v>
      </c>
      <c r="O1390" t="s">
        <v>116</v>
      </c>
      <c r="P1390" t="s">
        <v>144</v>
      </c>
      <c r="Q1390">
        <v>1</v>
      </c>
      <c r="R1390" t="s">
        <v>3342</v>
      </c>
      <c r="S1390" t="s">
        <v>63</v>
      </c>
      <c r="T1390" s="52"/>
    </row>
    <row r="1391" spans="1:20" x14ac:dyDescent="0.3">
      <c r="A1391" t="s">
        <v>53</v>
      </c>
      <c r="B1391" s="48">
        <v>46023</v>
      </c>
      <c r="C1391" s="26"/>
      <c r="I1391" t="s">
        <v>3349</v>
      </c>
      <c r="J1391" t="s">
        <v>3348</v>
      </c>
      <c r="K1391" t="s">
        <v>3350</v>
      </c>
      <c r="L1391" t="s">
        <v>57</v>
      </c>
      <c r="M1391" t="s">
        <v>136</v>
      </c>
      <c r="N1391" t="s">
        <v>59</v>
      </c>
      <c r="O1391" t="s">
        <v>116</v>
      </c>
      <c r="P1391" t="s">
        <v>144</v>
      </c>
      <c r="Q1391">
        <v>1</v>
      </c>
      <c r="R1391" t="s">
        <v>3342</v>
      </c>
      <c r="S1391" t="s">
        <v>63</v>
      </c>
      <c r="T1391" s="52"/>
    </row>
    <row r="1392" spans="1:20" x14ac:dyDescent="0.3">
      <c r="A1392" t="s">
        <v>53</v>
      </c>
      <c r="B1392" s="48">
        <v>46023</v>
      </c>
      <c r="C1392" s="26"/>
      <c r="I1392" t="s">
        <v>3351</v>
      </c>
      <c r="J1392" t="s">
        <v>3352</v>
      </c>
      <c r="K1392" t="s">
        <v>59</v>
      </c>
      <c r="L1392" t="s">
        <v>57</v>
      </c>
      <c r="M1392" t="s">
        <v>136</v>
      </c>
      <c r="N1392" t="s">
        <v>59</v>
      </c>
      <c r="O1392" t="s">
        <v>116</v>
      </c>
      <c r="P1392" t="s">
        <v>144</v>
      </c>
      <c r="Q1392">
        <v>1</v>
      </c>
      <c r="R1392" t="s">
        <v>3342</v>
      </c>
      <c r="S1392" t="s">
        <v>63</v>
      </c>
      <c r="T1392" s="52"/>
    </row>
    <row r="1393" spans="1:20" x14ac:dyDescent="0.3">
      <c r="A1393" t="s">
        <v>53</v>
      </c>
      <c r="B1393" s="48">
        <v>46023</v>
      </c>
      <c r="C1393" s="26"/>
      <c r="I1393" t="s">
        <v>3353</v>
      </c>
      <c r="J1393" t="s">
        <v>3354</v>
      </c>
      <c r="K1393" t="s">
        <v>3355</v>
      </c>
      <c r="L1393" t="s">
        <v>57</v>
      </c>
      <c r="M1393" t="s">
        <v>136</v>
      </c>
      <c r="N1393" t="s">
        <v>59</v>
      </c>
      <c r="O1393" t="s">
        <v>116</v>
      </c>
      <c r="P1393" t="s">
        <v>144</v>
      </c>
      <c r="Q1393">
        <v>3</v>
      </c>
      <c r="R1393" t="s">
        <v>3342</v>
      </c>
      <c r="S1393" t="s">
        <v>63</v>
      </c>
      <c r="T1393" s="52"/>
    </row>
    <row r="1394" spans="1:20" x14ac:dyDescent="0.3">
      <c r="A1394" t="s">
        <v>53</v>
      </c>
      <c r="B1394" s="48">
        <v>46023</v>
      </c>
      <c r="C1394" s="26"/>
      <c r="I1394" t="s">
        <v>3356</v>
      </c>
      <c r="J1394" t="s">
        <v>3357</v>
      </c>
      <c r="K1394" t="s">
        <v>59</v>
      </c>
      <c r="L1394" t="s">
        <v>57</v>
      </c>
      <c r="M1394" t="s">
        <v>136</v>
      </c>
      <c r="N1394" t="s">
        <v>59</v>
      </c>
      <c r="O1394" t="s">
        <v>116</v>
      </c>
      <c r="P1394" t="s">
        <v>144</v>
      </c>
      <c r="Q1394">
        <v>1</v>
      </c>
      <c r="R1394" t="s">
        <v>3342</v>
      </c>
      <c r="S1394" t="s">
        <v>63</v>
      </c>
      <c r="T1394" s="52"/>
    </row>
    <row r="1395" spans="1:20" x14ac:dyDescent="0.3">
      <c r="A1395" t="s">
        <v>53</v>
      </c>
      <c r="B1395" s="48">
        <v>46023</v>
      </c>
      <c r="C1395" s="26"/>
      <c r="I1395" t="s">
        <v>3358</v>
      </c>
      <c r="J1395" t="s">
        <v>3359</v>
      </c>
      <c r="K1395" t="s">
        <v>3360</v>
      </c>
      <c r="L1395" t="s">
        <v>57</v>
      </c>
      <c r="M1395" t="s">
        <v>136</v>
      </c>
      <c r="N1395" t="s">
        <v>59</v>
      </c>
      <c r="O1395" t="s">
        <v>116</v>
      </c>
      <c r="P1395" t="s">
        <v>144</v>
      </c>
      <c r="Q1395">
        <v>2</v>
      </c>
      <c r="R1395" t="s">
        <v>3342</v>
      </c>
      <c r="S1395" t="s">
        <v>63</v>
      </c>
      <c r="T1395" s="52"/>
    </row>
    <row r="1396" spans="1:20" x14ac:dyDescent="0.3">
      <c r="A1396" t="s">
        <v>53</v>
      </c>
      <c r="B1396" s="48">
        <v>46023</v>
      </c>
      <c r="C1396" s="26"/>
      <c r="I1396" t="s">
        <v>3361</v>
      </c>
      <c r="J1396" t="s">
        <v>3362</v>
      </c>
      <c r="K1396" t="s">
        <v>59</v>
      </c>
      <c r="L1396" t="s">
        <v>57</v>
      </c>
      <c r="M1396" t="s">
        <v>136</v>
      </c>
      <c r="N1396" t="s">
        <v>59</v>
      </c>
      <c r="O1396" t="s">
        <v>116</v>
      </c>
      <c r="P1396" t="s">
        <v>144</v>
      </c>
      <c r="Q1396">
        <v>1</v>
      </c>
      <c r="R1396" t="s">
        <v>3342</v>
      </c>
      <c r="S1396" t="s">
        <v>63</v>
      </c>
      <c r="T1396" s="52"/>
    </row>
    <row r="1397" spans="1:20" x14ac:dyDescent="0.3">
      <c r="A1397" t="s">
        <v>53</v>
      </c>
      <c r="B1397" s="48">
        <v>46023</v>
      </c>
      <c r="C1397" s="26"/>
      <c r="I1397" t="s">
        <v>3363</v>
      </c>
      <c r="J1397" t="s">
        <v>3364</v>
      </c>
      <c r="K1397" t="s">
        <v>59</v>
      </c>
      <c r="L1397" t="s">
        <v>57</v>
      </c>
      <c r="M1397" t="s">
        <v>136</v>
      </c>
      <c r="N1397" t="s">
        <v>59</v>
      </c>
      <c r="O1397" t="s">
        <v>116</v>
      </c>
      <c r="P1397" t="s">
        <v>144</v>
      </c>
      <c r="Q1397">
        <v>1</v>
      </c>
      <c r="R1397" t="s">
        <v>3342</v>
      </c>
      <c r="S1397" t="s">
        <v>63</v>
      </c>
      <c r="T1397" s="52"/>
    </row>
    <row r="1398" spans="1:20" x14ac:dyDescent="0.3">
      <c r="A1398" t="s">
        <v>53</v>
      </c>
      <c r="B1398" s="48">
        <v>46023</v>
      </c>
      <c r="C1398" s="26"/>
      <c r="I1398" t="s">
        <v>3365</v>
      </c>
      <c r="J1398" t="s">
        <v>3366</v>
      </c>
      <c r="K1398" t="s">
        <v>3367</v>
      </c>
      <c r="L1398" t="s">
        <v>57</v>
      </c>
      <c r="M1398" t="s">
        <v>136</v>
      </c>
      <c r="N1398" t="s">
        <v>59</v>
      </c>
      <c r="O1398" t="s">
        <v>116</v>
      </c>
      <c r="P1398" t="s">
        <v>144</v>
      </c>
      <c r="Q1398">
        <v>8</v>
      </c>
      <c r="R1398" t="s">
        <v>3342</v>
      </c>
      <c r="S1398" t="s">
        <v>63</v>
      </c>
      <c r="T1398" s="52"/>
    </row>
    <row r="1399" spans="1:20" x14ac:dyDescent="0.3">
      <c r="A1399" t="s">
        <v>53</v>
      </c>
      <c r="B1399" s="48">
        <v>46023</v>
      </c>
      <c r="C1399" s="26"/>
      <c r="I1399" t="s">
        <v>3368</v>
      </c>
      <c r="J1399" t="s">
        <v>3369</v>
      </c>
      <c r="K1399" t="s">
        <v>135</v>
      </c>
      <c r="L1399" t="s">
        <v>57</v>
      </c>
      <c r="M1399" t="s">
        <v>136</v>
      </c>
      <c r="N1399" t="s">
        <v>59</v>
      </c>
      <c r="O1399" t="s">
        <v>116</v>
      </c>
      <c r="P1399" t="s">
        <v>144</v>
      </c>
      <c r="Q1399">
        <v>2</v>
      </c>
      <c r="R1399" t="s">
        <v>3342</v>
      </c>
      <c r="S1399" t="s">
        <v>63</v>
      </c>
      <c r="T1399" s="52"/>
    </row>
    <row r="1400" spans="1:20" x14ac:dyDescent="0.3">
      <c r="A1400" t="s">
        <v>53</v>
      </c>
      <c r="B1400" s="48">
        <v>46023</v>
      </c>
      <c r="C1400" s="26"/>
      <c r="I1400" t="s">
        <v>3370</v>
      </c>
      <c r="J1400" t="s">
        <v>3371</v>
      </c>
      <c r="K1400" t="s">
        <v>3372</v>
      </c>
      <c r="L1400" t="s">
        <v>57</v>
      </c>
      <c r="M1400" t="s">
        <v>3373</v>
      </c>
      <c r="N1400" t="s">
        <v>59</v>
      </c>
      <c r="O1400" t="s">
        <v>143</v>
      </c>
      <c r="P1400" t="s">
        <v>144</v>
      </c>
      <c r="Q1400">
        <v>4</v>
      </c>
      <c r="R1400" t="s">
        <v>3374</v>
      </c>
      <c r="S1400" t="s">
        <v>63</v>
      </c>
      <c r="T1400" s="52"/>
    </row>
    <row r="1401" spans="1:20" x14ac:dyDescent="0.3">
      <c r="A1401" t="s">
        <v>53</v>
      </c>
      <c r="B1401" s="48">
        <v>46023</v>
      </c>
      <c r="C1401" s="26"/>
      <c r="I1401" t="s">
        <v>3375</v>
      </c>
      <c r="J1401" t="s">
        <v>3376</v>
      </c>
      <c r="K1401" t="s">
        <v>3372</v>
      </c>
      <c r="L1401" t="s">
        <v>57</v>
      </c>
      <c r="M1401" t="s">
        <v>3373</v>
      </c>
      <c r="N1401" t="s">
        <v>59</v>
      </c>
      <c r="O1401" t="s">
        <v>143</v>
      </c>
      <c r="P1401" t="s">
        <v>144</v>
      </c>
      <c r="Q1401">
        <v>4</v>
      </c>
      <c r="R1401" t="s">
        <v>3374</v>
      </c>
      <c r="S1401" t="s">
        <v>63</v>
      </c>
      <c r="T1401" s="52"/>
    </row>
    <row r="1402" spans="1:20" x14ac:dyDescent="0.3">
      <c r="A1402" t="s">
        <v>53</v>
      </c>
      <c r="B1402" s="48">
        <v>46023</v>
      </c>
      <c r="C1402" s="26"/>
      <c r="I1402" t="s">
        <v>3377</v>
      </c>
      <c r="J1402" t="s">
        <v>3378</v>
      </c>
      <c r="K1402" t="s">
        <v>3372</v>
      </c>
      <c r="L1402" t="s">
        <v>57</v>
      </c>
      <c r="M1402" t="s">
        <v>3373</v>
      </c>
      <c r="N1402" t="s">
        <v>59</v>
      </c>
      <c r="O1402" t="s">
        <v>143</v>
      </c>
      <c r="P1402" t="s">
        <v>144</v>
      </c>
      <c r="Q1402">
        <v>3</v>
      </c>
      <c r="R1402" t="s">
        <v>3374</v>
      </c>
      <c r="S1402" t="s">
        <v>63</v>
      </c>
      <c r="T1402" s="52"/>
    </row>
    <row r="1403" spans="1:20" x14ac:dyDescent="0.3">
      <c r="A1403" t="s">
        <v>53</v>
      </c>
      <c r="B1403" s="48">
        <v>46023</v>
      </c>
      <c r="C1403" s="26"/>
      <c r="I1403" t="s">
        <v>3379</v>
      </c>
      <c r="J1403" t="s">
        <v>3380</v>
      </c>
      <c r="K1403" t="s">
        <v>3372</v>
      </c>
      <c r="L1403" t="s">
        <v>57</v>
      </c>
      <c r="M1403" t="s">
        <v>3373</v>
      </c>
      <c r="N1403" t="s">
        <v>59</v>
      </c>
      <c r="O1403" t="s">
        <v>143</v>
      </c>
      <c r="P1403" t="s">
        <v>144</v>
      </c>
      <c r="Q1403">
        <v>1</v>
      </c>
      <c r="R1403" t="s">
        <v>3374</v>
      </c>
      <c r="S1403" t="s">
        <v>63</v>
      </c>
      <c r="T1403" s="52"/>
    </row>
    <row r="1404" spans="1:20" x14ac:dyDescent="0.3">
      <c r="A1404" t="s">
        <v>53</v>
      </c>
      <c r="B1404" s="48">
        <v>46023</v>
      </c>
      <c r="C1404" s="26"/>
      <c r="I1404" t="s">
        <v>3381</v>
      </c>
      <c r="J1404" t="s">
        <v>3382</v>
      </c>
      <c r="K1404" t="s">
        <v>3383</v>
      </c>
      <c r="L1404" t="s">
        <v>57</v>
      </c>
      <c r="M1404" t="s">
        <v>3373</v>
      </c>
      <c r="N1404" t="s">
        <v>59</v>
      </c>
      <c r="O1404" t="s">
        <v>143</v>
      </c>
      <c r="P1404" t="s">
        <v>144</v>
      </c>
      <c r="Q1404">
        <v>2</v>
      </c>
      <c r="R1404" t="s">
        <v>3384</v>
      </c>
      <c r="S1404" t="s">
        <v>3385</v>
      </c>
      <c r="T1404" s="52"/>
    </row>
    <row r="1405" spans="1:20" x14ac:dyDescent="0.3">
      <c r="A1405" t="s">
        <v>53</v>
      </c>
      <c r="B1405" s="48">
        <v>46023</v>
      </c>
      <c r="C1405" s="26"/>
      <c r="I1405" t="s">
        <v>3386</v>
      </c>
      <c r="J1405" t="s">
        <v>3387</v>
      </c>
      <c r="K1405" t="s">
        <v>3388</v>
      </c>
      <c r="L1405" t="s">
        <v>57</v>
      </c>
      <c r="M1405" t="s">
        <v>3373</v>
      </c>
      <c r="N1405" t="s">
        <v>59</v>
      </c>
      <c r="O1405" t="s">
        <v>143</v>
      </c>
      <c r="P1405" t="s">
        <v>144</v>
      </c>
      <c r="Q1405">
        <v>1</v>
      </c>
      <c r="R1405" t="s">
        <v>3389</v>
      </c>
      <c r="S1405" t="s">
        <v>1953</v>
      </c>
      <c r="T1405" s="52"/>
    </row>
    <row r="1406" spans="1:20" x14ac:dyDescent="0.3">
      <c r="A1406" t="s">
        <v>53</v>
      </c>
      <c r="B1406" s="48">
        <v>46023</v>
      </c>
      <c r="C1406" s="26"/>
      <c r="I1406" t="s">
        <v>3390</v>
      </c>
      <c r="J1406" t="s">
        <v>3391</v>
      </c>
      <c r="K1406" t="s">
        <v>1949</v>
      </c>
      <c r="L1406" t="s">
        <v>57</v>
      </c>
      <c r="M1406" t="s">
        <v>3373</v>
      </c>
      <c r="N1406" t="s">
        <v>59</v>
      </c>
      <c r="O1406" t="s">
        <v>143</v>
      </c>
      <c r="P1406" t="s">
        <v>144</v>
      </c>
      <c r="Q1406">
        <v>1</v>
      </c>
      <c r="R1406" t="s">
        <v>3389</v>
      </c>
      <c r="S1406" t="s">
        <v>1953</v>
      </c>
      <c r="T1406" s="52"/>
    </row>
    <row r="1407" spans="1:20" x14ac:dyDescent="0.3">
      <c r="A1407" t="s">
        <v>53</v>
      </c>
      <c r="B1407" s="48">
        <v>46023</v>
      </c>
      <c r="C1407" s="26"/>
      <c r="I1407" t="s">
        <v>3392</v>
      </c>
      <c r="J1407" t="s">
        <v>3393</v>
      </c>
      <c r="K1407" t="s">
        <v>1949</v>
      </c>
      <c r="L1407" t="s">
        <v>57</v>
      </c>
      <c r="M1407" t="s">
        <v>3373</v>
      </c>
      <c r="N1407" t="s">
        <v>59</v>
      </c>
      <c r="O1407" t="s">
        <v>143</v>
      </c>
      <c r="P1407" t="s">
        <v>144</v>
      </c>
      <c r="Q1407">
        <v>1</v>
      </c>
      <c r="R1407" t="s">
        <v>3389</v>
      </c>
      <c r="S1407" t="s">
        <v>1953</v>
      </c>
      <c r="T1407" s="52"/>
    </row>
    <row r="1408" spans="1:20" x14ac:dyDescent="0.3">
      <c r="A1408" t="s">
        <v>53</v>
      </c>
      <c r="B1408" s="48">
        <v>46023</v>
      </c>
      <c r="C1408" s="26"/>
      <c r="I1408" t="s">
        <v>3394</v>
      </c>
      <c r="J1408" t="s">
        <v>3395</v>
      </c>
      <c r="K1408" t="s">
        <v>3396</v>
      </c>
      <c r="L1408" t="s">
        <v>57</v>
      </c>
      <c r="M1408" t="s">
        <v>3373</v>
      </c>
      <c r="N1408" t="s">
        <v>59</v>
      </c>
      <c r="O1408" t="s">
        <v>143</v>
      </c>
      <c r="P1408" t="s">
        <v>144</v>
      </c>
      <c r="Q1408">
        <v>1</v>
      </c>
      <c r="R1408" t="s">
        <v>3389</v>
      </c>
      <c r="S1408" t="s">
        <v>1953</v>
      </c>
      <c r="T1408" s="52"/>
    </row>
    <row r="1409" spans="1:20" x14ac:dyDescent="0.3">
      <c r="A1409" t="s">
        <v>53</v>
      </c>
      <c r="B1409" s="48">
        <v>46023</v>
      </c>
      <c r="C1409" s="26"/>
      <c r="I1409" t="s">
        <v>3397</v>
      </c>
      <c r="J1409" t="s">
        <v>3398</v>
      </c>
      <c r="K1409" t="s">
        <v>3396</v>
      </c>
      <c r="L1409" t="s">
        <v>57</v>
      </c>
      <c r="M1409" t="s">
        <v>3373</v>
      </c>
      <c r="N1409" t="s">
        <v>59</v>
      </c>
      <c r="O1409" t="s">
        <v>143</v>
      </c>
      <c r="P1409" t="s">
        <v>144</v>
      </c>
      <c r="Q1409">
        <v>1</v>
      </c>
      <c r="R1409" t="s">
        <v>3389</v>
      </c>
      <c r="S1409" t="s">
        <v>1953</v>
      </c>
      <c r="T1409" s="52"/>
    </row>
    <row r="1410" spans="1:20" x14ac:dyDescent="0.3">
      <c r="A1410" t="s">
        <v>53</v>
      </c>
      <c r="B1410" s="48">
        <v>46023</v>
      </c>
      <c r="C1410" s="26"/>
      <c r="I1410" t="s">
        <v>3399</v>
      </c>
      <c r="J1410" t="s">
        <v>3400</v>
      </c>
      <c r="K1410" t="s">
        <v>3401</v>
      </c>
      <c r="L1410" t="s">
        <v>57</v>
      </c>
      <c r="M1410" t="s">
        <v>3373</v>
      </c>
      <c r="N1410" t="s">
        <v>59</v>
      </c>
      <c r="O1410" t="s">
        <v>143</v>
      </c>
      <c r="P1410" t="s">
        <v>144</v>
      </c>
      <c r="Q1410">
        <v>1</v>
      </c>
      <c r="R1410" t="s">
        <v>3389</v>
      </c>
      <c r="S1410" t="s">
        <v>1953</v>
      </c>
      <c r="T1410" s="52"/>
    </row>
    <row r="1411" spans="1:20" x14ac:dyDescent="0.3">
      <c r="A1411" t="s">
        <v>53</v>
      </c>
      <c r="B1411" s="48">
        <v>46023</v>
      </c>
      <c r="C1411" s="26"/>
      <c r="I1411" t="s">
        <v>3402</v>
      </c>
      <c r="J1411" t="s">
        <v>3403</v>
      </c>
      <c r="K1411" t="s">
        <v>3401</v>
      </c>
      <c r="L1411" t="s">
        <v>57</v>
      </c>
      <c r="M1411" t="s">
        <v>3373</v>
      </c>
      <c r="N1411" t="s">
        <v>59</v>
      </c>
      <c r="O1411" t="s">
        <v>143</v>
      </c>
      <c r="P1411" t="s">
        <v>144</v>
      </c>
      <c r="Q1411">
        <v>1</v>
      </c>
      <c r="R1411" t="s">
        <v>3389</v>
      </c>
      <c r="S1411" t="s">
        <v>1953</v>
      </c>
      <c r="T1411" s="52"/>
    </row>
    <row r="1412" spans="1:20" x14ac:dyDescent="0.3">
      <c r="A1412" t="s">
        <v>53</v>
      </c>
      <c r="B1412" s="48">
        <v>46023</v>
      </c>
      <c r="C1412" s="26"/>
      <c r="I1412" t="s">
        <v>3404</v>
      </c>
      <c r="J1412" t="s">
        <v>3405</v>
      </c>
      <c r="K1412" t="s">
        <v>3401</v>
      </c>
      <c r="L1412" t="s">
        <v>57</v>
      </c>
      <c r="M1412" t="s">
        <v>3373</v>
      </c>
      <c r="N1412" t="s">
        <v>59</v>
      </c>
      <c r="O1412" t="s">
        <v>143</v>
      </c>
      <c r="P1412" t="s">
        <v>144</v>
      </c>
      <c r="Q1412">
        <v>1</v>
      </c>
      <c r="R1412" t="s">
        <v>3389</v>
      </c>
      <c r="S1412" t="s">
        <v>1953</v>
      </c>
      <c r="T1412" s="52"/>
    </row>
    <row r="1413" spans="1:20" x14ac:dyDescent="0.3">
      <c r="A1413" t="s">
        <v>53</v>
      </c>
      <c r="B1413" s="48">
        <v>46023</v>
      </c>
      <c r="C1413" s="26"/>
      <c r="I1413" t="s">
        <v>3406</v>
      </c>
      <c r="J1413" t="s">
        <v>3407</v>
      </c>
      <c r="K1413" t="s">
        <v>1949</v>
      </c>
      <c r="L1413" t="s">
        <v>57</v>
      </c>
      <c r="M1413" t="s">
        <v>3373</v>
      </c>
      <c r="N1413" t="s">
        <v>59</v>
      </c>
      <c r="O1413" t="s">
        <v>143</v>
      </c>
      <c r="P1413" t="s">
        <v>144</v>
      </c>
      <c r="Q1413">
        <v>6</v>
      </c>
      <c r="R1413" t="s">
        <v>3389</v>
      </c>
      <c r="S1413" t="s">
        <v>1953</v>
      </c>
      <c r="T1413" s="52"/>
    </row>
    <row r="1414" spans="1:20" x14ac:dyDescent="0.3">
      <c r="A1414" t="s">
        <v>53</v>
      </c>
      <c r="B1414" s="48">
        <v>46023</v>
      </c>
      <c r="C1414" s="26"/>
      <c r="I1414" t="s">
        <v>3408</v>
      </c>
      <c r="J1414" t="s">
        <v>3409</v>
      </c>
      <c r="K1414" t="s">
        <v>1949</v>
      </c>
      <c r="L1414" t="s">
        <v>57</v>
      </c>
      <c r="M1414" t="s">
        <v>3373</v>
      </c>
      <c r="N1414" t="s">
        <v>59</v>
      </c>
      <c r="O1414" t="s">
        <v>143</v>
      </c>
      <c r="P1414" t="s">
        <v>144</v>
      </c>
      <c r="Q1414">
        <v>3</v>
      </c>
      <c r="R1414" t="s">
        <v>3389</v>
      </c>
      <c r="S1414" t="s">
        <v>1953</v>
      </c>
      <c r="T1414" s="52"/>
    </row>
    <row r="1415" spans="1:20" x14ac:dyDescent="0.3">
      <c r="A1415" t="s">
        <v>53</v>
      </c>
      <c r="B1415" s="48">
        <v>46023</v>
      </c>
      <c r="C1415" s="26"/>
      <c r="I1415" t="s">
        <v>3410</v>
      </c>
      <c r="J1415" t="s">
        <v>3411</v>
      </c>
      <c r="K1415" t="s">
        <v>1949</v>
      </c>
      <c r="L1415" t="s">
        <v>57</v>
      </c>
      <c r="M1415" t="s">
        <v>3373</v>
      </c>
      <c r="N1415" t="s">
        <v>59</v>
      </c>
      <c r="O1415" t="s">
        <v>143</v>
      </c>
      <c r="P1415" t="s">
        <v>144</v>
      </c>
      <c r="Q1415">
        <v>3</v>
      </c>
      <c r="R1415" t="s">
        <v>3389</v>
      </c>
      <c r="S1415" t="s">
        <v>1953</v>
      </c>
      <c r="T1415" s="52"/>
    </row>
    <row r="1416" spans="1:20" x14ac:dyDescent="0.3">
      <c r="A1416" t="s">
        <v>53</v>
      </c>
      <c r="B1416" s="48">
        <v>46023</v>
      </c>
      <c r="C1416" s="26"/>
      <c r="I1416" t="s">
        <v>3412</v>
      </c>
      <c r="J1416" t="s">
        <v>3413</v>
      </c>
      <c r="K1416" t="s">
        <v>1949</v>
      </c>
      <c r="L1416" t="s">
        <v>57</v>
      </c>
      <c r="M1416" t="s">
        <v>3373</v>
      </c>
      <c r="N1416" t="s">
        <v>59</v>
      </c>
      <c r="O1416" t="s">
        <v>143</v>
      </c>
      <c r="P1416" t="s">
        <v>144</v>
      </c>
      <c r="Q1416">
        <v>4</v>
      </c>
      <c r="R1416" t="s">
        <v>3389</v>
      </c>
      <c r="S1416" t="s">
        <v>1953</v>
      </c>
      <c r="T1416" s="52"/>
    </row>
    <row r="1417" spans="1:20" x14ac:dyDescent="0.3">
      <c r="A1417" t="s">
        <v>53</v>
      </c>
      <c r="B1417" s="48">
        <v>46023</v>
      </c>
      <c r="C1417" s="26"/>
      <c r="I1417" t="s">
        <v>3414</v>
      </c>
      <c r="J1417" t="s">
        <v>3415</v>
      </c>
      <c r="K1417" t="s">
        <v>1949</v>
      </c>
      <c r="L1417" t="s">
        <v>57</v>
      </c>
      <c r="M1417" t="s">
        <v>3373</v>
      </c>
      <c r="N1417" t="s">
        <v>59</v>
      </c>
      <c r="O1417" t="s">
        <v>143</v>
      </c>
      <c r="P1417" t="s">
        <v>144</v>
      </c>
      <c r="Q1417">
        <v>1</v>
      </c>
      <c r="R1417" t="s">
        <v>3389</v>
      </c>
      <c r="S1417" t="s">
        <v>1953</v>
      </c>
      <c r="T1417" s="52"/>
    </row>
    <row r="1418" spans="1:20" x14ac:dyDescent="0.3">
      <c r="A1418" t="s">
        <v>53</v>
      </c>
      <c r="B1418" s="48">
        <v>46023</v>
      </c>
      <c r="C1418" s="26"/>
      <c r="I1418" t="s">
        <v>3416</v>
      </c>
      <c r="J1418" t="s">
        <v>3417</v>
      </c>
      <c r="K1418" t="s">
        <v>1949</v>
      </c>
      <c r="L1418" t="s">
        <v>57</v>
      </c>
      <c r="M1418" t="s">
        <v>3373</v>
      </c>
      <c r="N1418" t="s">
        <v>59</v>
      </c>
      <c r="O1418" t="s">
        <v>143</v>
      </c>
      <c r="P1418" t="s">
        <v>144</v>
      </c>
      <c r="Q1418">
        <v>1</v>
      </c>
      <c r="R1418" t="s">
        <v>3389</v>
      </c>
      <c r="S1418" t="s">
        <v>1953</v>
      </c>
      <c r="T1418" s="52"/>
    </row>
    <row r="1419" spans="1:20" x14ac:dyDescent="0.3">
      <c r="A1419" t="s">
        <v>53</v>
      </c>
      <c r="B1419" s="48">
        <v>46023</v>
      </c>
      <c r="C1419" s="26"/>
      <c r="I1419" t="s">
        <v>3418</v>
      </c>
      <c r="J1419" t="s">
        <v>3419</v>
      </c>
      <c r="K1419" t="s">
        <v>1949</v>
      </c>
      <c r="L1419" t="s">
        <v>57</v>
      </c>
      <c r="M1419" t="s">
        <v>3373</v>
      </c>
      <c r="N1419" t="s">
        <v>59</v>
      </c>
      <c r="O1419" t="s">
        <v>143</v>
      </c>
      <c r="P1419" t="s">
        <v>144</v>
      </c>
      <c r="Q1419">
        <v>1</v>
      </c>
      <c r="R1419" t="s">
        <v>3389</v>
      </c>
      <c r="S1419" t="s">
        <v>1953</v>
      </c>
      <c r="T1419" s="52"/>
    </row>
    <row r="1420" spans="1:20" x14ac:dyDescent="0.3">
      <c r="A1420" t="s">
        <v>53</v>
      </c>
      <c r="B1420" s="48">
        <v>46023</v>
      </c>
      <c r="C1420" s="26"/>
      <c r="I1420" t="s">
        <v>3420</v>
      </c>
      <c r="J1420" t="s">
        <v>3421</v>
      </c>
      <c r="K1420" t="s">
        <v>2521</v>
      </c>
      <c r="L1420" t="s">
        <v>57</v>
      </c>
      <c r="M1420" t="s">
        <v>3373</v>
      </c>
      <c r="N1420" t="s">
        <v>59</v>
      </c>
      <c r="O1420" t="s">
        <v>143</v>
      </c>
      <c r="P1420" t="s">
        <v>144</v>
      </c>
      <c r="Q1420">
        <v>1</v>
      </c>
      <c r="R1420" t="s">
        <v>3389</v>
      </c>
      <c r="S1420" t="s">
        <v>1953</v>
      </c>
      <c r="T1420" s="52"/>
    </row>
    <row r="1421" spans="1:20" x14ac:dyDescent="0.3">
      <c r="A1421" t="s">
        <v>53</v>
      </c>
      <c r="B1421" s="48">
        <v>46023</v>
      </c>
      <c r="C1421" s="26"/>
      <c r="I1421" t="s">
        <v>3422</v>
      </c>
      <c r="J1421" t="s">
        <v>3421</v>
      </c>
      <c r="K1421" t="s">
        <v>2521</v>
      </c>
      <c r="L1421" t="s">
        <v>57</v>
      </c>
      <c r="M1421" t="s">
        <v>3373</v>
      </c>
      <c r="N1421" t="s">
        <v>59</v>
      </c>
      <c r="O1421" t="s">
        <v>143</v>
      </c>
      <c r="P1421" t="s">
        <v>144</v>
      </c>
      <c r="Q1421">
        <v>1</v>
      </c>
      <c r="R1421" t="s">
        <v>3389</v>
      </c>
      <c r="S1421" t="s">
        <v>1953</v>
      </c>
      <c r="T1421" s="52"/>
    </row>
    <row r="1422" spans="1:20" x14ac:dyDescent="0.3">
      <c r="A1422" t="s">
        <v>53</v>
      </c>
      <c r="B1422" s="48">
        <v>46023</v>
      </c>
      <c r="C1422" s="26"/>
      <c r="I1422" t="s">
        <v>3423</v>
      </c>
      <c r="J1422" t="s">
        <v>3424</v>
      </c>
      <c r="K1422" t="s">
        <v>2521</v>
      </c>
      <c r="L1422" t="s">
        <v>57</v>
      </c>
      <c r="M1422" t="s">
        <v>3373</v>
      </c>
      <c r="N1422" t="s">
        <v>59</v>
      </c>
      <c r="O1422" t="s">
        <v>143</v>
      </c>
      <c r="P1422" t="s">
        <v>144</v>
      </c>
      <c r="Q1422">
        <v>1</v>
      </c>
      <c r="R1422" t="s">
        <v>3389</v>
      </c>
      <c r="S1422" t="s">
        <v>1953</v>
      </c>
      <c r="T1422" s="52"/>
    </row>
    <row r="1423" spans="1:20" x14ac:dyDescent="0.3">
      <c r="A1423" t="s">
        <v>53</v>
      </c>
      <c r="B1423" s="48">
        <v>46023</v>
      </c>
      <c r="C1423" s="26"/>
      <c r="I1423" t="s">
        <v>3425</v>
      </c>
      <c r="J1423" t="s">
        <v>3426</v>
      </c>
      <c r="K1423" t="s">
        <v>2521</v>
      </c>
      <c r="L1423" t="s">
        <v>57</v>
      </c>
      <c r="M1423" t="s">
        <v>3373</v>
      </c>
      <c r="N1423" t="s">
        <v>59</v>
      </c>
      <c r="O1423" t="s">
        <v>143</v>
      </c>
      <c r="P1423" t="s">
        <v>144</v>
      </c>
      <c r="Q1423">
        <v>1</v>
      </c>
      <c r="R1423" t="s">
        <v>3389</v>
      </c>
      <c r="S1423" t="s">
        <v>1953</v>
      </c>
      <c r="T1423" s="52"/>
    </row>
    <row r="1424" spans="1:20" x14ac:dyDescent="0.3">
      <c r="A1424" t="s">
        <v>53</v>
      </c>
      <c r="B1424" s="48">
        <v>46023</v>
      </c>
      <c r="C1424" s="26"/>
      <c r="I1424" t="s">
        <v>3427</v>
      </c>
      <c r="J1424" t="s">
        <v>3428</v>
      </c>
      <c r="K1424" t="s">
        <v>2521</v>
      </c>
      <c r="L1424" t="s">
        <v>57</v>
      </c>
      <c r="M1424" t="s">
        <v>3373</v>
      </c>
      <c r="N1424" t="s">
        <v>59</v>
      </c>
      <c r="O1424" t="s">
        <v>143</v>
      </c>
      <c r="P1424" t="s">
        <v>144</v>
      </c>
      <c r="Q1424">
        <v>1</v>
      </c>
      <c r="R1424" t="s">
        <v>3389</v>
      </c>
      <c r="S1424" t="s">
        <v>1953</v>
      </c>
      <c r="T1424" s="52"/>
    </row>
    <row r="1425" spans="1:20" x14ac:dyDescent="0.3">
      <c r="A1425" t="s">
        <v>53</v>
      </c>
      <c r="B1425" s="48">
        <v>46023</v>
      </c>
      <c r="C1425" s="26"/>
      <c r="I1425" t="s">
        <v>3429</v>
      </c>
      <c r="J1425" t="s">
        <v>3430</v>
      </c>
      <c r="K1425" t="s">
        <v>2521</v>
      </c>
      <c r="L1425" t="s">
        <v>57</v>
      </c>
      <c r="M1425" t="s">
        <v>3373</v>
      </c>
      <c r="N1425" t="s">
        <v>59</v>
      </c>
      <c r="O1425" t="s">
        <v>143</v>
      </c>
      <c r="P1425" t="s">
        <v>144</v>
      </c>
      <c r="Q1425">
        <v>1</v>
      </c>
      <c r="R1425" t="s">
        <v>3389</v>
      </c>
      <c r="S1425" t="s">
        <v>1953</v>
      </c>
      <c r="T1425" s="52"/>
    </row>
    <row r="1426" spans="1:20" x14ac:dyDescent="0.3">
      <c r="A1426" t="s">
        <v>53</v>
      </c>
      <c r="B1426" s="48">
        <v>46023</v>
      </c>
      <c r="C1426" s="26"/>
      <c r="I1426" t="s">
        <v>3431</v>
      </c>
      <c r="J1426" t="s">
        <v>3432</v>
      </c>
      <c r="K1426" t="s">
        <v>3433</v>
      </c>
      <c r="L1426" t="s">
        <v>57</v>
      </c>
      <c r="M1426" t="s">
        <v>3373</v>
      </c>
      <c r="N1426" t="s">
        <v>59</v>
      </c>
      <c r="O1426" t="s">
        <v>143</v>
      </c>
      <c r="P1426" t="s">
        <v>144</v>
      </c>
      <c r="Q1426">
        <v>2</v>
      </c>
      <c r="R1426" t="s">
        <v>3389</v>
      </c>
      <c r="S1426" t="s">
        <v>1953</v>
      </c>
      <c r="T1426" s="52"/>
    </row>
    <row r="1427" spans="1:20" x14ac:dyDescent="0.3">
      <c r="A1427" t="s">
        <v>53</v>
      </c>
      <c r="B1427" s="48">
        <v>46023</v>
      </c>
      <c r="C1427" s="26"/>
      <c r="I1427" t="s">
        <v>3434</v>
      </c>
      <c r="J1427" t="s">
        <v>3417</v>
      </c>
      <c r="K1427" t="s">
        <v>3433</v>
      </c>
      <c r="L1427" t="s">
        <v>57</v>
      </c>
      <c r="M1427" t="s">
        <v>3373</v>
      </c>
      <c r="N1427" t="s">
        <v>59</v>
      </c>
      <c r="O1427" t="s">
        <v>143</v>
      </c>
      <c r="P1427" t="s">
        <v>144</v>
      </c>
      <c r="Q1427">
        <v>3</v>
      </c>
      <c r="R1427" t="s">
        <v>3389</v>
      </c>
      <c r="S1427" t="s">
        <v>1953</v>
      </c>
      <c r="T1427" s="52"/>
    </row>
    <row r="1428" spans="1:20" x14ac:dyDescent="0.3">
      <c r="A1428" t="s">
        <v>53</v>
      </c>
      <c r="B1428" s="48">
        <v>46023</v>
      </c>
      <c r="C1428" s="26"/>
      <c r="I1428" t="s">
        <v>3435</v>
      </c>
      <c r="J1428" t="s">
        <v>3436</v>
      </c>
      <c r="K1428" t="s">
        <v>59</v>
      </c>
      <c r="L1428" t="s">
        <v>57</v>
      </c>
      <c r="M1428" t="s">
        <v>3373</v>
      </c>
      <c r="N1428" t="s">
        <v>59</v>
      </c>
      <c r="O1428" t="s">
        <v>143</v>
      </c>
      <c r="P1428" t="s">
        <v>144</v>
      </c>
      <c r="Q1428">
        <v>1</v>
      </c>
      <c r="R1428" t="s">
        <v>3389</v>
      </c>
      <c r="S1428" t="s">
        <v>1953</v>
      </c>
      <c r="T1428" s="52"/>
    </row>
    <row r="1429" spans="1:20" x14ac:dyDescent="0.3">
      <c r="A1429" t="s">
        <v>53</v>
      </c>
      <c r="B1429" s="48">
        <v>46023</v>
      </c>
      <c r="C1429" s="26"/>
      <c r="I1429" t="s">
        <v>3437</v>
      </c>
      <c r="J1429" t="s">
        <v>3438</v>
      </c>
      <c r="K1429" t="s">
        <v>59</v>
      </c>
      <c r="L1429" t="s">
        <v>57</v>
      </c>
      <c r="M1429" t="s">
        <v>3373</v>
      </c>
      <c r="N1429" t="s">
        <v>59</v>
      </c>
      <c r="O1429" t="s">
        <v>143</v>
      </c>
      <c r="P1429" t="s">
        <v>144</v>
      </c>
      <c r="Q1429">
        <v>1</v>
      </c>
      <c r="R1429" t="s">
        <v>3389</v>
      </c>
      <c r="S1429" t="s">
        <v>1953</v>
      </c>
      <c r="T1429" s="52"/>
    </row>
    <row r="1430" spans="1:20" x14ac:dyDescent="0.3">
      <c r="A1430" t="s">
        <v>53</v>
      </c>
      <c r="B1430" s="48">
        <v>46023</v>
      </c>
      <c r="C1430" s="26"/>
      <c r="I1430" t="s">
        <v>3439</v>
      </c>
      <c r="J1430" t="s">
        <v>3440</v>
      </c>
      <c r="K1430" t="s">
        <v>3441</v>
      </c>
      <c r="L1430" t="s">
        <v>57</v>
      </c>
      <c r="M1430" t="s">
        <v>3373</v>
      </c>
      <c r="N1430" t="s">
        <v>59</v>
      </c>
      <c r="O1430" t="s">
        <v>143</v>
      </c>
      <c r="P1430" t="s">
        <v>144</v>
      </c>
      <c r="Q1430">
        <v>1</v>
      </c>
      <c r="R1430" t="s">
        <v>1347</v>
      </c>
      <c r="S1430" t="s">
        <v>1953</v>
      </c>
      <c r="T1430" s="52"/>
    </row>
    <row r="1431" spans="1:20" x14ac:dyDescent="0.3">
      <c r="A1431" t="s">
        <v>53</v>
      </c>
      <c r="B1431" s="48">
        <v>46023</v>
      </c>
      <c r="C1431" s="26"/>
      <c r="I1431" t="s">
        <v>3442</v>
      </c>
      <c r="J1431" t="s">
        <v>3443</v>
      </c>
      <c r="K1431" t="s">
        <v>3441</v>
      </c>
      <c r="L1431" t="s">
        <v>57</v>
      </c>
      <c r="M1431" t="s">
        <v>3373</v>
      </c>
      <c r="N1431" t="s">
        <v>59</v>
      </c>
      <c r="O1431" t="s">
        <v>143</v>
      </c>
      <c r="P1431" t="s">
        <v>144</v>
      </c>
      <c r="Q1431">
        <v>2</v>
      </c>
      <c r="R1431" t="s">
        <v>1347</v>
      </c>
      <c r="S1431" t="s">
        <v>1953</v>
      </c>
      <c r="T1431" s="52"/>
    </row>
    <row r="1432" spans="1:20" x14ac:dyDescent="0.3">
      <c r="A1432" t="s">
        <v>53</v>
      </c>
      <c r="B1432" s="48">
        <v>46023</v>
      </c>
      <c r="C1432" s="26"/>
      <c r="I1432" t="s">
        <v>3444</v>
      </c>
      <c r="J1432" t="s">
        <v>3445</v>
      </c>
      <c r="K1432" t="s">
        <v>3441</v>
      </c>
      <c r="L1432" t="s">
        <v>57</v>
      </c>
      <c r="M1432" t="s">
        <v>3373</v>
      </c>
      <c r="N1432" t="s">
        <v>59</v>
      </c>
      <c r="O1432" t="s">
        <v>143</v>
      </c>
      <c r="P1432" t="s">
        <v>144</v>
      </c>
      <c r="Q1432">
        <v>3</v>
      </c>
      <c r="R1432" t="s">
        <v>1347</v>
      </c>
      <c r="S1432" t="s">
        <v>1953</v>
      </c>
      <c r="T1432" s="52"/>
    </row>
    <row r="1433" spans="1:20" x14ac:dyDescent="0.3">
      <c r="A1433" t="s">
        <v>53</v>
      </c>
      <c r="B1433" s="48">
        <v>46023</v>
      </c>
      <c r="C1433" s="26"/>
      <c r="I1433" t="s">
        <v>3446</v>
      </c>
      <c r="J1433" t="s">
        <v>3447</v>
      </c>
      <c r="K1433" t="s">
        <v>3441</v>
      </c>
      <c r="L1433" t="s">
        <v>57</v>
      </c>
      <c r="M1433" t="s">
        <v>3373</v>
      </c>
      <c r="N1433" t="s">
        <v>59</v>
      </c>
      <c r="O1433" t="s">
        <v>143</v>
      </c>
      <c r="P1433" t="s">
        <v>144</v>
      </c>
      <c r="Q1433">
        <v>3</v>
      </c>
      <c r="R1433" t="s">
        <v>1347</v>
      </c>
      <c r="S1433" t="s">
        <v>1953</v>
      </c>
      <c r="T1433" s="52"/>
    </row>
    <row r="1434" spans="1:20" x14ac:dyDescent="0.3">
      <c r="A1434" t="s">
        <v>53</v>
      </c>
      <c r="B1434" s="48">
        <v>46023</v>
      </c>
      <c r="C1434" s="26"/>
      <c r="I1434" t="s">
        <v>3448</v>
      </c>
      <c r="J1434" t="s">
        <v>3449</v>
      </c>
      <c r="K1434" t="s">
        <v>3450</v>
      </c>
      <c r="L1434" t="s">
        <v>57</v>
      </c>
      <c r="M1434" t="s">
        <v>3373</v>
      </c>
      <c r="N1434" t="s">
        <v>59</v>
      </c>
      <c r="O1434" t="s">
        <v>143</v>
      </c>
      <c r="P1434" t="s">
        <v>144</v>
      </c>
      <c r="Q1434">
        <v>1</v>
      </c>
      <c r="R1434" t="s">
        <v>1347</v>
      </c>
      <c r="S1434" t="s">
        <v>1953</v>
      </c>
      <c r="T1434" s="52"/>
    </row>
    <row r="1435" spans="1:20" x14ac:dyDescent="0.3">
      <c r="A1435" t="s">
        <v>53</v>
      </c>
      <c r="B1435" s="48">
        <v>46023</v>
      </c>
      <c r="C1435" s="26"/>
      <c r="I1435" t="s">
        <v>3451</v>
      </c>
      <c r="J1435" t="s">
        <v>3452</v>
      </c>
      <c r="K1435" t="s">
        <v>3450</v>
      </c>
      <c r="L1435" t="s">
        <v>57</v>
      </c>
      <c r="M1435" t="s">
        <v>3373</v>
      </c>
      <c r="N1435" t="s">
        <v>59</v>
      </c>
      <c r="O1435" t="s">
        <v>143</v>
      </c>
      <c r="P1435" t="s">
        <v>144</v>
      </c>
      <c r="Q1435">
        <v>1</v>
      </c>
      <c r="R1435" t="s">
        <v>1347</v>
      </c>
      <c r="S1435" t="s">
        <v>1953</v>
      </c>
      <c r="T1435" s="52"/>
    </row>
    <row r="1436" spans="1:20" x14ac:dyDescent="0.3">
      <c r="A1436" t="s">
        <v>53</v>
      </c>
      <c r="B1436" s="48">
        <v>46023</v>
      </c>
      <c r="C1436" s="26"/>
      <c r="I1436" t="s">
        <v>3453</v>
      </c>
      <c r="J1436" t="s">
        <v>3454</v>
      </c>
      <c r="K1436" t="s">
        <v>3450</v>
      </c>
      <c r="L1436" t="s">
        <v>57</v>
      </c>
      <c r="M1436" t="s">
        <v>3373</v>
      </c>
      <c r="N1436" t="s">
        <v>59</v>
      </c>
      <c r="O1436" t="s">
        <v>143</v>
      </c>
      <c r="P1436" t="s">
        <v>144</v>
      </c>
      <c r="Q1436">
        <v>1</v>
      </c>
      <c r="R1436" t="s">
        <v>1347</v>
      </c>
      <c r="S1436" t="s">
        <v>1953</v>
      </c>
      <c r="T1436" s="52"/>
    </row>
    <row r="1437" spans="1:20" x14ac:dyDescent="0.3">
      <c r="A1437" t="s">
        <v>53</v>
      </c>
      <c r="B1437" s="48">
        <v>46023</v>
      </c>
      <c r="C1437" s="26"/>
      <c r="I1437" t="s">
        <v>3455</v>
      </c>
      <c r="J1437" t="s">
        <v>3449</v>
      </c>
      <c r="K1437" t="s">
        <v>3456</v>
      </c>
      <c r="L1437" t="s">
        <v>57</v>
      </c>
      <c r="M1437" t="s">
        <v>3373</v>
      </c>
      <c r="N1437" t="s">
        <v>59</v>
      </c>
      <c r="O1437" t="s">
        <v>2610</v>
      </c>
      <c r="P1437" t="s">
        <v>144</v>
      </c>
      <c r="Q1437">
        <v>1</v>
      </c>
      <c r="R1437" t="s">
        <v>1347</v>
      </c>
      <c r="S1437" t="s">
        <v>1953</v>
      </c>
      <c r="T1437" s="52"/>
    </row>
    <row r="1438" spans="1:20" x14ac:dyDescent="0.3">
      <c r="A1438" t="s">
        <v>53</v>
      </c>
      <c r="B1438" s="48">
        <v>46023</v>
      </c>
      <c r="C1438" s="26"/>
      <c r="I1438" t="s">
        <v>3457</v>
      </c>
      <c r="J1438" t="s">
        <v>3443</v>
      </c>
      <c r="K1438" t="s">
        <v>3441</v>
      </c>
      <c r="L1438" t="s">
        <v>57</v>
      </c>
      <c r="M1438" t="s">
        <v>3373</v>
      </c>
      <c r="N1438" t="s">
        <v>59</v>
      </c>
      <c r="O1438" t="s">
        <v>2610</v>
      </c>
      <c r="P1438" t="s">
        <v>144</v>
      </c>
      <c r="Q1438">
        <v>1</v>
      </c>
      <c r="R1438" t="s">
        <v>1347</v>
      </c>
      <c r="S1438" t="s">
        <v>1953</v>
      </c>
      <c r="T1438" s="52"/>
    </row>
    <row r="1439" spans="1:20" x14ac:dyDescent="0.3">
      <c r="A1439" t="s">
        <v>53</v>
      </c>
      <c r="B1439" s="48">
        <v>46023</v>
      </c>
      <c r="C1439" s="26"/>
      <c r="I1439" t="s">
        <v>3458</v>
      </c>
      <c r="J1439" t="s">
        <v>3443</v>
      </c>
      <c r="K1439" t="s">
        <v>3459</v>
      </c>
      <c r="L1439" t="s">
        <v>57</v>
      </c>
      <c r="M1439" t="s">
        <v>3373</v>
      </c>
      <c r="N1439" t="s">
        <v>59</v>
      </c>
      <c r="O1439" t="s">
        <v>2610</v>
      </c>
      <c r="P1439" t="s">
        <v>144</v>
      </c>
      <c r="Q1439">
        <v>1</v>
      </c>
      <c r="R1439" t="s">
        <v>1347</v>
      </c>
      <c r="S1439" t="s">
        <v>1953</v>
      </c>
      <c r="T1439" s="52"/>
    </row>
    <row r="1440" spans="1:20" x14ac:dyDescent="0.3">
      <c r="A1440" t="s">
        <v>53</v>
      </c>
      <c r="B1440" s="48">
        <v>46023</v>
      </c>
      <c r="C1440" s="26"/>
      <c r="I1440" t="s">
        <v>3460</v>
      </c>
      <c r="J1440" t="s">
        <v>3447</v>
      </c>
      <c r="K1440" t="s">
        <v>3433</v>
      </c>
      <c r="L1440" t="s">
        <v>57</v>
      </c>
      <c r="M1440" t="s">
        <v>3373</v>
      </c>
      <c r="N1440" t="s">
        <v>59</v>
      </c>
      <c r="O1440" t="s">
        <v>2610</v>
      </c>
      <c r="P1440" t="s">
        <v>144</v>
      </c>
      <c r="Q1440">
        <v>1</v>
      </c>
      <c r="R1440" t="s">
        <v>1347</v>
      </c>
      <c r="S1440" t="s">
        <v>1953</v>
      </c>
      <c r="T1440" s="52"/>
    </row>
    <row r="1441" spans="1:20" x14ac:dyDescent="0.3">
      <c r="A1441" t="s">
        <v>53</v>
      </c>
      <c r="B1441" s="48">
        <v>46023</v>
      </c>
      <c r="C1441" s="26"/>
      <c r="I1441" t="s">
        <v>3461</v>
      </c>
      <c r="J1441" t="s">
        <v>3447</v>
      </c>
      <c r="K1441" t="s">
        <v>3459</v>
      </c>
      <c r="L1441" t="s">
        <v>57</v>
      </c>
      <c r="M1441" t="s">
        <v>3373</v>
      </c>
      <c r="N1441" t="s">
        <v>59</v>
      </c>
      <c r="O1441" t="s">
        <v>2610</v>
      </c>
      <c r="P1441" t="s">
        <v>144</v>
      </c>
      <c r="Q1441">
        <v>1</v>
      </c>
      <c r="R1441" t="s">
        <v>1347</v>
      </c>
      <c r="S1441" t="s">
        <v>1953</v>
      </c>
      <c r="T1441" s="52"/>
    </row>
    <row r="1442" spans="1:20" x14ac:dyDescent="0.3">
      <c r="A1442" t="s">
        <v>53</v>
      </c>
      <c r="B1442" s="48">
        <v>46023</v>
      </c>
      <c r="C1442" s="26"/>
      <c r="I1442" t="s">
        <v>3462</v>
      </c>
      <c r="J1442" t="s">
        <v>3463</v>
      </c>
      <c r="K1442" t="s">
        <v>3459</v>
      </c>
      <c r="L1442" t="s">
        <v>57</v>
      </c>
      <c r="M1442" t="s">
        <v>3373</v>
      </c>
      <c r="N1442" t="s">
        <v>59</v>
      </c>
      <c r="O1442" t="s">
        <v>2610</v>
      </c>
      <c r="P1442" t="s">
        <v>144</v>
      </c>
      <c r="Q1442">
        <v>1</v>
      </c>
      <c r="R1442" t="s">
        <v>1347</v>
      </c>
      <c r="S1442" t="s">
        <v>1953</v>
      </c>
      <c r="T1442" s="52"/>
    </row>
    <row r="1443" spans="1:20" x14ac:dyDescent="0.3">
      <c r="A1443" t="s">
        <v>53</v>
      </c>
      <c r="B1443" s="48">
        <v>46023</v>
      </c>
      <c r="C1443" s="26"/>
      <c r="I1443" t="s">
        <v>3464</v>
      </c>
      <c r="J1443" t="s">
        <v>3465</v>
      </c>
      <c r="K1443" t="s">
        <v>3466</v>
      </c>
      <c r="L1443" t="s">
        <v>57</v>
      </c>
      <c r="M1443" t="s">
        <v>3373</v>
      </c>
      <c r="N1443" t="s">
        <v>59</v>
      </c>
      <c r="O1443" t="s">
        <v>2610</v>
      </c>
      <c r="P1443" t="s">
        <v>144</v>
      </c>
      <c r="Q1443">
        <v>1</v>
      </c>
      <c r="R1443" t="s">
        <v>1347</v>
      </c>
      <c r="S1443" t="s">
        <v>1953</v>
      </c>
      <c r="T1443" s="52"/>
    </row>
    <row r="1444" spans="1:20" x14ac:dyDescent="0.3">
      <c r="A1444" t="s">
        <v>53</v>
      </c>
      <c r="B1444" s="48">
        <v>46023</v>
      </c>
      <c r="C1444" s="26"/>
      <c r="I1444" t="s">
        <v>3467</v>
      </c>
      <c r="J1444" t="s">
        <v>3465</v>
      </c>
      <c r="K1444" t="s">
        <v>3459</v>
      </c>
      <c r="L1444" t="s">
        <v>57</v>
      </c>
      <c r="M1444" t="s">
        <v>3373</v>
      </c>
      <c r="N1444" t="s">
        <v>59</v>
      </c>
      <c r="O1444" t="s">
        <v>2610</v>
      </c>
      <c r="P1444" t="s">
        <v>144</v>
      </c>
      <c r="Q1444">
        <v>1</v>
      </c>
      <c r="R1444" t="s">
        <v>1347</v>
      </c>
      <c r="S1444" t="s">
        <v>1953</v>
      </c>
      <c r="T1444" s="52"/>
    </row>
    <row r="1445" spans="1:20" x14ac:dyDescent="0.3">
      <c r="A1445" t="s">
        <v>53</v>
      </c>
      <c r="B1445" s="48">
        <v>46023</v>
      </c>
      <c r="C1445" s="26"/>
      <c r="I1445" t="s">
        <v>3468</v>
      </c>
      <c r="J1445" t="s">
        <v>3469</v>
      </c>
      <c r="K1445" t="s">
        <v>3459</v>
      </c>
      <c r="L1445" t="s">
        <v>57</v>
      </c>
      <c r="M1445" t="s">
        <v>3373</v>
      </c>
      <c r="N1445" t="s">
        <v>59</v>
      </c>
      <c r="O1445" t="s">
        <v>2610</v>
      </c>
      <c r="P1445" t="s">
        <v>144</v>
      </c>
      <c r="Q1445">
        <v>1</v>
      </c>
      <c r="R1445" t="s">
        <v>1347</v>
      </c>
      <c r="S1445" t="s">
        <v>1953</v>
      </c>
      <c r="T1445" s="52"/>
    </row>
    <row r="1446" spans="1:20" x14ac:dyDescent="0.3">
      <c r="A1446" t="s">
        <v>53</v>
      </c>
      <c r="B1446" s="48">
        <v>46023</v>
      </c>
      <c r="C1446" s="26"/>
      <c r="I1446" t="s">
        <v>3470</v>
      </c>
      <c r="J1446" t="s">
        <v>3471</v>
      </c>
      <c r="K1446" t="s">
        <v>3396</v>
      </c>
      <c r="L1446" t="s">
        <v>57</v>
      </c>
      <c r="M1446" t="s">
        <v>3373</v>
      </c>
      <c r="N1446" t="s">
        <v>59</v>
      </c>
      <c r="O1446" t="s">
        <v>143</v>
      </c>
      <c r="P1446" t="s">
        <v>144</v>
      </c>
      <c r="Q1446">
        <v>1</v>
      </c>
      <c r="R1446" t="s">
        <v>2432</v>
      </c>
      <c r="S1446" t="s">
        <v>1953</v>
      </c>
      <c r="T1446" s="52"/>
    </row>
    <row r="1447" spans="1:20" x14ac:dyDescent="0.3">
      <c r="A1447" t="s">
        <v>53</v>
      </c>
      <c r="B1447" s="48">
        <v>46023</v>
      </c>
      <c r="C1447" s="26"/>
      <c r="I1447" t="s">
        <v>3472</v>
      </c>
      <c r="J1447" t="s">
        <v>3473</v>
      </c>
      <c r="K1447" t="s">
        <v>3396</v>
      </c>
      <c r="L1447" t="s">
        <v>57</v>
      </c>
      <c r="M1447" t="s">
        <v>3373</v>
      </c>
      <c r="N1447" t="s">
        <v>59</v>
      </c>
      <c r="O1447" t="s">
        <v>143</v>
      </c>
      <c r="P1447" t="s">
        <v>144</v>
      </c>
      <c r="Q1447">
        <v>2</v>
      </c>
      <c r="R1447" t="s">
        <v>2432</v>
      </c>
      <c r="S1447" t="s">
        <v>1953</v>
      </c>
      <c r="T1447" s="52"/>
    </row>
    <row r="1448" spans="1:20" x14ac:dyDescent="0.3">
      <c r="A1448" t="s">
        <v>53</v>
      </c>
      <c r="B1448" s="48">
        <v>46023</v>
      </c>
      <c r="C1448" s="26"/>
      <c r="I1448" t="s">
        <v>3474</v>
      </c>
      <c r="J1448" t="s">
        <v>3475</v>
      </c>
      <c r="K1448" t="s">
        <v>3396</v>
      </c>
      <c r="L1448" t="s">
        <v>57</v>
      </c>
      <c r="M1448" t="s">
        <v>3373</v>
      </c>
      <c r="N1448" t="s">
        <v>59</v>
      </c>
      <c r="O1448" t="s">
        <v>143</v>
      </c>
      <c r="P1448" t="s">
        <v>144</v>
      </c>
      <c r="Q1448">
        <v>2</v>
      </c>
      <c r="R1448" t="s">
        <v>2432</v>
      </c>
      <c r="S1448" t="s">
        <v>1953</v>
      </c>
      <c r="T1448" s="52"/>
    </row>
    <row r="1449" spans="1:20" x14ac:dyDescent="0.3">
      <c r="A1449" t="s">
        <v>53</v>
      </c>
      <c r="B1449" s="48">
        <v>46023</v>
      </c>
      <c r="C1449" s="26"/>
      <c r="I1449" t="s">
        <v>3476</v>
      </c>
      <c r="J1449" t="s">
        <v>3477</v>
      </c>
      <c r="K1449" t="s">
        <v>3396</v>
      </c>
      <c r="L1449" t="s">
        <v>57</v>
      </c>
      <c r="M1449" t="s">
        <v>3373</v>
      </c>
      <c r="N1449" t="s">
        <v>59</v>
      </c>
      <c r="O1449" t="s">
        <v>143</v>
      </c>
      <c r="P1449" t="s">
        <v>144</v>
      </c>
      <c r="Q1449">
        <v>1</v>
      </c>
      <c r="R1449" t="s">
        <v>2432</v>
      </c>
      <c r="S1449" t="s">
        <v>1953</v>
      </c>
      <c r="T1449" s="52"/>
    </row>
    <row r="1450" spans="1:20" x14ac:dyDescent="0.3">
      <c r="A1450" t="s">
        <v>53</v>
      </c>
      <c r="B1450" s="48">
        <v>46023</v>
      </c>
      <c r="C1450" s="26"/>
      <c r="I1450" t="s">
        <v>3478</v>
      </c>
      <c r="J1450" t="s">
        <v>3479</v>
      </c>
      <c r="K1450" t="s">
        <v>3480</v>
      </c>
      <c r="L1450" t="s">
        <v>57</v>
      </c>
      <c r="M1450" t="s">
        <v>3481</v>
      </c>
      <c r="N1450" t="s">
        <v>59</v>
      </c>
      <c r="O1450" t="s">
        <v>143</v>
      </c>
      <c r="P1450" t="s">
        <v>144</v>
      </c>
      <c r="Q1450">
        <v>5</v>
      </c>
      <c r="R1450" t="s">
        <v>2282</v>
      </c>
      <c r="S1450" t="s">
        <v>63</v>
      </c>
      <c r="T1450" s="52"/>
    </row>
    <row r="1451" spans="1:20" x14ac:dyDescent="0.3">
      <c r="A1451" t="s">
        <v>53</v>
      </c>
      <c r="B1451" s="48">
        <v>46023</v>
      </c>
      <c r="C1451" s="26"/>
      <c r="I1451" t="s">
        <v>3482</v>
      </c>
      <c r="J1451" t="s">
        <v>3483</v>
      </c>
      <c r="K1451" t="s">
        <v>3484</v>
      </c>
      <c r="L1451" t="s">
        <v>57</v>
      </c>
      <c r="M1451" t="s">
        <v>3481</v>
      </c>
      <c r="N1451" t="s">
        <v>59</v>
      </c>
      <c r="O1451" t="s">
        <v>143</v>
      </c>
      <c r="P1451" t="s">
        <v>144</v>
      </c>
      <c r="Q1451">
        <v>1</v>
      </c>
      <c r="R1451" t="s">
        <v>2282</v>
      </c>
      <c r="S1451" t="s">
        <v>63</v>
      </c>
      <c r="T1451" s="52"/>
    </row>
    <row r="1452" spans="1:20" x14ac:dyDescent="0.3">
      <c r="A1452" t="s">
        <v>53</v>
      </c>
      <c r="B1452" s="48">
        <v>46023</v>
      </c>
      <c r="C1452" s="26"/>
      <c r="I1452" t="s">
        <v>3485</v>
      </c>
      <c r="J1452" t="s">
        <v>3486</v>
      </c>
      <c r="K1452" t="s">
        <v>3487</v>
      </c>
      <c r="L1452" t="s">
        <v>57</v>
      </c>
      <c r="M1452" t="s">
        <v>3481</v>
      </c>
      <c r="N1452" t="s">
        <v>59</v>
      </c>
      <c r="O1452" t="s">
        <v>143</v>
      </c>
      <c r="P1452" t="s">
        <v>144</v>
      </c>
      <c r="Q1452">
        <v>6</v>
      </c>
      <c r="R1452" t="s">
        <v>2282</v>
      </c>
      <c r="S1452" t="s">
        <v>63</v>
      </c>
      <c r="T1452" s="52"/>
    </row>
    <row r="1453" spans="1:20" x14ac:dyDescent="0.3">
      <c r="A1453" t="s">
        <v>53</v>
      </c>
      <c r="B1453" s="48">
        <v>46023</v>
      </c>
      <c r="C1453" s="26"/>
      <c r="I1453" t="s">
        <v>3488</v>
      </c>
      <c r="J1453" t="s">
        <v>3489</v>
      </c>
      <c r="K1453" t="s">
        <v>3487</v>
      </c>
      <c r="L1453" t="s">
        <v>57</v>
      </c>
      <c r="M1453" t="s">
        <v>3481</v>
      </c>
      <c r="N1453" t="s">
        <v>59</v>
      </c>
      <c r="O1453" t="s">
        <v>143</v>
      </c>
      <c r="P1453" t="s">
        <v>144</v>
      </c>
      <c r="Q1453">
        <v>6</v>
      </c>
      <c r="R1453" t="s">
        <v>2282</v>
      </c>
      <c r="S1453" t="s">
        <v>63</v>
      </c>
      <c r="T1453" s="52"/>
    </row>
    <row r="1454" spans="1:20" x14ac:dyDescent="0.3">
      <c r="A1454" t="s">
        <v>53</v>
      </c>
      <c r="B1454" s="48">
        <v>46023</v>
      </c>
      <c r="C1454" s="26"/>
      <c r="I1454" t="s">
        <v>3490</v>
      </c>
      <c r="J1454" t="s">
        <v>3491</v>
      </c>
      <c r="K1454" t="s">
        <v>3480</v>
      </c>
      <c r="L1454" t="s">
        <v>57</v>
      </c>
      <c r="M1454" t="s">
        <v>3481</v>
      </c>
      <c r="N1454" t="s">
        <v>59</v>
      </c>
      <c r="O1454" t="s">
        <v>143</v>
      </c>
      <c r="P1454" t="s">
        <v>144</v>
      </c>
      <c r="Q1454">
        <v>6</v>
      </c>
      <c r="R1454" t="s">
        <v>2282</v>
      </c>
      <c r="S1454" t="s">
        <v>63</v>
      </c>
      <c r="T1454" s="52"/>
    </row>
    <row r="1455" spans="1:20" x14ac:dyDescent="0.3">
      <c r="A1455" t="s">
        <v>53</v>
      </c>
      <c r="B1455" s="48">
        <v>46023</v>
      </c>
      <c r="C1455" s="26"/>
      <c r="I1455" t="s">
        <v>3492</v>
      </c>
      <c r="J1455" t="s">
        <v>3493</v>
      </c>
      <c r="K1455" t="s">
        <v>59</v>
      </c>
      <c r="L1455" t="s">
        <v>57</v>
      </c>
      <c r="M1455" t="s">
        <v>3481</v>
      </c>
      <c r="N1455" t="s">
        <v>59</v>
      </c>
      <c r="O1455" t="s">
        <v>143</v>
      </c>
      <c r="P1455" t="s">
        <v>144</v>
      </c>
      <c r="Q1455">
        <v>1</v>
      </c>
      <c r="R1455" t="s">
        <v>2329</v>
      </c>
      <c r="S1455" t="s">
        <v>1953</v>
      </c>
      <c r="T1455" s="52"/>
    </row>
    <row r="1456" spans="1:20" x14ac:dyDescent="0.3">
      <c r="A1456" t="s">
        <v>3494</v>
      </c>
      <c r="B1456" s="48">
        <v>46080</v>
      </c>
      <c r="C1456" s="26">
        <f>TablaENTRADA[[#This Row],[FECHA]]</f>
        <v>46080</v>
      </c>
      <c r="I1456" t="s">
        <v>3495</v>
      </c>
      <c r="J1456" t="s">
        <v>3496</v>
      </c>
      <c r="L1456" t="s">
        <v>43</v>
      </c>
      <c r="M1456" t="s">
        <v>3497</v>
      </c>
      <c r="T1456" s="9"/>
    </row>
    <row r="1457" spans="1:20" x14ac:dyDescent="0.3">
      <c r="A1457" t="s">
        <v>3494</v>
      </c>
      <c r="B1457" s="48">
        <v>46080</v>
      </c>
      <c r="C1457" s="26">
        <f>TablaENTRADA[[#This Row],[FECHA]]</f>
        <v>46080</v>
      </c>
      <c r="I1457" t="s">
        <v>3498</v>
      </c>
      <c r="L1457" t="s">
        <v>43</v>
      </c>
      <c r="M1457" t="s">
        <v>3499</v>
      </c>
      <c r="T1457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E74C-A6C5-433E-9422-0A616E9423E5}">
  <sheetPr codeName="Hoja3">
    <tabColor rgb="FFFF0000"/>
  </sheetPr>
  <dimension ref="A1:R6"/>
  <sheetViews>
    <sheetView zoomScale="70" zoomScaleNormal="70" workbookViewId="0">
      <selection activeCell="A4" sqref="A3:R4"/>
    </sheetView>
  </sheetViews>
  <sheetFormatPr baseColWidth="10" defaultRowHeight="14.4" x14ac:dyDescent="0.3"/>
  <cols>
    <col min="1" max="1" width="29.109375" customWidth="1"/>
    <col min="2" max="2" width="13.33203125" customWidth="1"/>
    <col min="3" max="3" width="12.33203125" customWidth="1"/>
    <col min="4" max="4" width="24.88671875" customWidth="1"/>
    <col min="5" max="5" width="18.109375" customWidth="1"/>
    <col min="6" max="6" width="22.33203125" customWidth="1"/>
    <col min="7" max="7" width="16" customWidth="1"/>
    <col min="8" max="8" width="38.5546875" customWidth="1"/>
    <col min="9" max="9" width="17.109375" customWidth="1"/>
    <col min="10" max="10" width="16.88671875" customWidth="1"/>
    <col min="11" max="11" width="19.6640625" customWidth="1"/>
    <col min="12" max="12" width="18.5546875" customWidth="1"/>
    <col min="13" max="13" width="18.33203125" customWidth="1"/>
    <col min="14" max="14" width="12.6640625" customWidth="1"/>
    <col min="16" max="16" width="12.44140625" customWidth="1"/>
    <col min="17" max="17" width="12.6640625" customWidth="1"/>
    <col min="18" max="18" width="39.44140625" customWidth="1"/>
  </cols>
  <sheetData>
    <row r="1" spans="1:18" ht="37.200000000000003" customHeight="1" x14ac:dyDescent="0.3">
      <c r="A1" s="9" t="s">
        <v>15</v>
      </c>
      <c r="B1" s="9" t="s">
        <v>16</v>
      </c>
      <c r="C1" s="9" t="s">
        <v>17</v>
      </c>
      <c r="D1" s="12" t="s">
        <v>31</v>
      </c>
      <c r="E1" s="9" t="s">
        <v>25</v>
      </c>
      <c r="F1" s="9" t="s">
        <v>26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23</v>
      </c>
      <c r="L1" s="9" t="s">
        <v>7</v>
      </c>
      <c r="M1" s="9" t="s">
        <v>8</v>
      </c>
      <c r="N1" s="12" t="s">
        <v>9</v>
      </c>
      <c r="O1" s="9" t="s">
        <v>24</v>
      </c>
      <c r="P1" s="9" t="s">
        <v>10</v>
      </c>
      <c r="Q1" s="9" t="s">
        <v>27</v>
      </c>
      <c r="R1" s="11" t="s">
        <v>47</v>
      </c>
    </row>
    <row r="2" spans="1:18" x14ac:dyDescent="0.3">
      <c r="A2" s="9"/>
      <c r="B2" s="47">
        <v>46023</v>
      </c>
      <c r="C2" s="9"/>
      <c r="D2" s="9"/>
      <c r="E2" s="9"/>
      <c r="F2" s="9"/>
      <c r="G2" s="9"/>
      <c r="H2" s="24" t="s">
        <v>2277</v>
      </c>
      <c r="I2" s="9"/>
      <c r="J2" s="9"/>
      <c r="K2" s="9"/>
      <c r="L2" s="9"/>
      <c r="M2" s="9"/>
      <c r="N2" s="9"/>
      <c r="O2" s="9"/>
      <c r="P2" s="9"/>
      <c r="Q2" s="9"/>
      <c r="R2" s="23"/>
    </row>
    <row r="3" spans="1:18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6" spans="1:18" x14ac:dyDescent="0.3">
      <c r="A6" s="10"/>
      <c r="B6" s="10"/>
      <c r="D6" s="10"/>
      <c r="E6" s="10"/>
      <c r="F6" s="10"/>
      <c r="R6" s="10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062F-17CA-44C9-828D-1D5622C6C73B}">
  <sheetPr codeName="Hoja5">
    <tabColor rgb="FFFFFF00"/>
  </sheetPr>
  <dimension ref="A1:U1457"/>
  <sheetViews>
    <sheetView tabSelected="1" workbookViewId="0">
      <pane ySplit="1" topLeftCell="A1366" activePane="bottomLeft" state="frozen"/>
      <selection activeCell="E1" sqref="E1"/>
      <selection pane="bottomLeft" activeCell="U3" sqref="U3"/>
    </sheetView>
  </sheetViews>
  <sheetFormatPr baseColWidth="10" defaultRowHeight="14.4" x14ac:dyDescent="0.3"/>
  <cols>
    <col min="1" max="1" width="12.5546875" customWidth="1"/>
    <col min="2" max="2" width="30.6640625" customWidth="1"/>
    <col min="3" max="3" width="13.6640625" customWidth="1"/>
    <col min="4" max="4" width="27.109375" style="14" bestFit="1" customWidth="1"/>
    <col min="5" max="5" width="54.6640625" bestFit="1" customWidth="1"/>
    <col min="7" max="7" width="13.109375" customWidth="1"/>
    <col min="8" max="8" width="14.109375" customWidth="1"/>
    <col min="9" max="9" width="19" style="38" bestFit="1" customWidth="1"/>
    <col min="10" max="10" width="28.5546875" style="38" customWidth="1"/>
    <col min="11" max="11" width="31" bestFit="1" customWidth="1"/>
    <col min="12" max="12" width="14.5546875" customWidth="1"/>
    <col min="13" max="13" width="14.6640625" customWidth="1"/>
    <col min="14" max="14" width="13.6640625" customWidth="1"/>
    <col min="15" max="15" width="11.6640625" customWidth="1"/>
    <col min="17" max="17" width="12.6640625" customWidth="1"/>
    <col min="19" max="19" width="16.88671875" customWidth="1"/>
    <col min="20" max="20" width="23" customWidth="1"/>
    <col min="21" max="21" width="18.6640625" customWidth="1"/>
  </cols>
  <sheetData>
    <row r="1" spans="1:21" s="19" customFormat="1" ht="49.2" customHeight="1" x14ac:dyDescent="0.3">
      <c r="A1" s="16" t="s">
        <v>2</v>
      </c>
      <c r="B1" s="17" t="s">
        <v>28</v>
      </c>
      <c r="C1" s="17" t="s">
        <v>4</v>
      </c>
      <c r="D1" s="17" t="s">
        <v>5</v>
      </c>
      <c r="E1" s="17" t="s">
        <v>29</v>
      </c>
      <c r="F1" s="17" t="s">
        <v>8</v>
      </c>
      <c r="G1" s="17" t="s">
        <v>9</v>
      </c>
      <c r="H1" s="17" t="s">
        <v>7</v>
      </c>
      <c r="I1" s="17" t="s">
        <v>30</v>
      </c>
      <c r="J1" s="17" t="s">
        <v>10</v>
      </c>
      <c r="K1" s="17" t="s">
        <v>11</v>
      </c>
      <c r="L1" s="17" t="s">
        <v>48</v>
      </c>
      <c r="M1" s="17" t="s">
        <v>32</v>
      </c>
      <c r="N1" s="17" t="s">
        <v>33</v>
      </c>
      <c r="O1" s="17" t="s">
        <v>34</v>
      </c>
      <c r="P1" s="17" t="s">
        <v>35</v>
      </c>
      <c r="Q1" s="17" t="s">
        <v>36</v>
      </c>
      <c r="R1" s="17" t="s">
        <v>37</v>
      </c>
      <c r="S1" s="17" t="s">
        <v>38</v>
      </c>
      <c r="T1" s="17" t="s">
        <v>39</v>
      </c>
      <c r="U1" s="18" t="s">
        <v>40</v>
      </c>
    </row>
    <row r="2" spans="1:21" x14ac:dyDescent="0.3">
      <c r="A2" s="6"/>
      <c r="B2" s="13" t="e">
        <f>_xlfn.XLOOKUP(TablaSTOCKINV[[#This Row],[SKU]],TablaINVENTARIO[SKU],TablaINVENTARIO[DESCRIPCION])</f>
        <v>#N/A</v>
      </c>
      <c r="C2" s="13" t="e">
        <f>_xlfn.XLOOKUP(TablaSTOCKINV[[#This Row],[SKU]],TablaINVENTARIO[SKU],TablaINVENTARIO[MARCA])</f>
        <v>#N/A</v>
      </c>
      <c r="D2" s="15" t="e">
        <f>_xlfn.XLOOKUP(TablaSTOCKINV[[#This Row],[SKU]],TablaINVENTARIO[SKU],TablaINVENTARIO[CATEGORIA])</f>
        <v>#N/A</v>
      </c>
      <c r="E2" s="15" t="e">
        <f>_xlfn.XLOOKUP(TablaSTOCKINV[[#This Row],[SKU]],TablaINVENTARIO[SKU],TablaINVENTARIO[SUBCATEGORIA])</f>
        <v>#N/A</v>
      </c>
      <c r="F2" s="15" t="e">
        <f>_xlfn.XLOOKUP(TablaSTOCKINV[[#This Row],[SKU]],TablaINVENTARIO[SKU],TablaINVENTARIO[ESTADO])</f>
        <v>#N/A</v>
      </c>
      <c r="G2" s="15" t="e">
        <f>_xlfn.XLOOKUP(TablaSTOCKINV[[#This Row],[SKU]],TablaINVENTARIO[SKU],TablaINVENTARIO[MEDIDA])</f>
        <v>#N/A</v>
      </c>
      <c r="H2" s="15" t="e">
        <f>_xlfn.XLOOKUP(TablaSTOCKINV[[#This Row],[SKU]],TablaINVENTARIO[SKU],TablaINVENTARIO[SERIAL])</f>
        <v>#N/A</v>
      </c>
      <c r="I2" s="20" t="e">
        <f>_xlfn.XLOOKUP(TablaSTOCKINV[[#This Row],[SKU]],TablaINVENTARIO[SKU],TablaINVENTARIO[ALMACEN])</f>
        <v>#N/A</v>
      </c>
      <c r="J2" s="20" t="e">
        <f>_xlfn.XLOOKUP(TablaSTOCKINV[[#This Row],[SKU]],TablaINVENTARIO[SKU],TablaINVENTARIO[UBICACION])</f>
        <v>#N/A</v>
      </c>
      <c r="K2" s="20" t="e">
        <f>_xlfn.XLOOKUP(TablaSTOCKINV[[#This Row],[SKU]],TablaINVENTARIO[SKU],TablaINVENTARIO[DPTO RESPONSABLE])</f>
        <v>#N/A</v>
      </c>
      <c r="L2" s="20" t="e">
        <f>_xlfn.XLOOKUP(TablaSTOCKINV[[#This Row],[SKU]],TablaINVENTARIO[SKU],TablaINVENTARIO[RANGO MIN])</f>
        <v>#N/A</v>
      </c>
      <c r="M2" s="20" cm="1">
        <f t="array" ref="M2">_xlfn.IFS(TablaSTOCKINV[[#This Row],[CANT. TOTAL]]&lt;=0,1,TablaSTOCKINV[[#This Row],[CANT. TOTAL]]&lt;=TablaSTOCKINV[[#This Row],[MIN]],2,TablaSTOCKINV[[#This Row],[CANT. TOTAL]]&gt;TablaSTOCKINV[[#This Row],[MIN]],3)</f>
        <v>1</v>
      </c>
      <c r="N2" s="22">
        <f>TablaSTOCKINV[[#This Row],[ENTRADAS]]-TablaSTOCKINV[[#This Row],[SALIDAS]]</f>
        <v>0</v>
      </c>
      <c r="O2" s="21">
        <f>SUMIFS(TablaENTRADA[CANT],TablaENTRADA[SKU],TablaSTOCKINV[[#This Row],[SKU]])</f>
        <v>0</v>
      </c>
      <c r="P2" s="21">
        <f>SUMIFS(TablaSALIDA[CANT],TablaSALIDA[SKU],TablaSTOCKINV[[#This Row],[SKU]])</f>
        <v>0</v>
      </c>
      <c r="Q2" s="20" t="e">
        <f>_xlfn.XLOOKUP(TablaSTOCKINV[[#This Row],[SKU]],TablaINVENTARIO[SKU],TablaINVENTARIO[PRECIO])</f>
        <v>#N/A</v>
      </c>
      <c r="R2" s="20" t="e">
        <f>TablaSTOCKINV[[#This Row],[P.UNITARIO]]*TablaSTOCKINV[[#This Row],[CANT. TOTAL]]</f>
        <v>#N/A</v>
      </c>
      <c r="S2" s="43" t="e">
        <f>_xlfn.XLOOKUP(TablaSTOCKINV[[#This Row],[SKU]],TablaINVENTARIO[SKU],TablaINVENTARIO[FECHA INGRESO])</f>
        <v>#N/A</v>
      </c>
      <c r="T2" s="43">
        <f>_xlfn.XLOOKUP(TablaSTOCKINV[[#This Row],[SKU]],TablaENTRADA[SKU],TablaENTRADA[FECHA],,0,-1)</f>
        <v>0</v>
      </c>
      <c r="U2" s="45">
        <f>IFERROR((_xlfn.XLOOKUP(TablaSTOCKINV[[#This Row],[SKU]],TablaSALIDA[SKU],TablaSALIDA[FECHA],,0,-1))," " )</f>
        <v>46023</v>
      </c>
    </row>
    <row r="3" spans="1:21" x14ac:dyDescent="0.3">
      <c r="A3" s="27" t="s">
        <v>2260</v>
      </c>
      <c r="B3" s="32" t="str">
        <f>_xlfn.XLOOKUP(TablaSTOCKINV[[#This Row],[SKU]],TablaINVENTARIO[SKU],TablaINVENTARIO[DESCRIPCION])</f>
        <v>TERMO DE 7 LTS</v>
      </c>
      <c r="C3" s="32" t="str">
        <f>_xlfn.XLOOKUP(TablaSTOCKINV[[#This Row],[SKU]],TablaINVENTARIO[SKU],TablaINVENTARIO[MARCA])</f>
        <v>POTAMITO</v>
      </c>
      <c r="D3" s="33" t="str">
        <f>_xlfn.XLOOKUP(TablaSTOCKINV[[#This Row],[SKU]],TablaINVENTARIO[SKU],TablaINVENTARIO[CATEGORIA])</f>
        <v xml:space="preserve">UTENSILIOS_DE_COCINA </v>
      </c>
      <c r="E3" s="33" t="str">
        <f>_xlfn.XLOOKUP(TablaSTOCKINV[[#This Row],[SKU]],TablaINVENTARIO[SKU],TablaINVENTARIO[SUBCATEGORIA])</f>
        <v xml:space="preserve">ALMACENAMIENTO TÉRMICO </v>
      </c>
      <c r="F3" s="33" t="str">
        <f>_xlfn.XLOOKUP(TablaSTOCKINV[[#This Row],[SKU]],TablaINVENTARIO[SKU],TablaINVENTARIO[ESTADO])</f>
        <v>USADO</v>
      </c>
      <c r="G3" s="33" t="str">
        <f>_xlfn.XLOOKUP(TablaSTOCKINV[[#This Row],[SKU]],TablaINVENTARIO[SKU],TablaINVENTARIO[MEDIDA])</f>
        <v xml:space="preserve">UND </v>
      </c>
      <c r="H3" s="33" t="str">
        <f>_xlfn.XLOOKUP(TablaSTOCKINV[[#This Row],[SKU]],TablaINVENTARIO[SKU],TablaINVENTARIO[SERIAL])</f>
        <v>N/A</v>
      </c>
      <c r="I3" s="34" t="str">
        <f>_xlfn.XLOOKUP(TablaSTOCKINV[[#This Row],[SKU]],TablaINVENTARIO[SKU],TablaINVENTARIO[ALMACEN])</f>
        <v>ALMACEN PRINCIPAL</v>
      </c>
      <c r="J3" s="34" t="str">
        <f>_xlfn.XLOOKUP(TablaSTOCKINV[[#This Row],[SKU]],TablaINVENTARIO[SKU],TablaINVENTARIO[UBICACION])</f>
        <v xml:space="preserve">CUARTO DE ALMACENAMIENTO </v>
      </c>
      <c r="K3" s="34" t="str">
        <f>_xlfn.XLOOKUP(TablaSTOCKINV[[#This Row],[SKU]],TablaINVENTARIO[SKU],TablaINVENTARIO[DPTO RESPONSABLE])</f>
        <v xml:space="preserve">CONSUMO GENERAL </v>
      </c>
      <c r="L3" s="36">
        <f>_xlfn.XLOOKUP(TablaSTOCKINV[[#This Row],[SKU]],TablaINVENTARIO[SKU],TablaINVENTARIO[RANGO MIN])</f>
        <v>0</v>
      </c>
      <c r="M3" s="34" cm="1">
        <f t="array" ref="M3">_xlfn.IFS(TablaSTOCKINV[[#This Row],[CANT. TOTAL]]&lt;=0,1,TablaSTOCKINV[[#This Row],[CANT. TOTAL]]&lt;=TablaSTOCKINV[[#This Row],[MIN]],2,TablaSTOCKINV[[#This Row],[CANT. TOTAL]]&gt;TablaSTOCKINV[[#This Row],[MIN]],3)</f>
        <v>3</v>
      </c>
      <c r="N3" s="34">
        <f>TablaSTOCKINV[[#This Row],[ENTRADAS]]-TablaSTOCKINV[[#This Row],[SALIDAS]]</f>
        <v>3</v>
      </c>
      <c r="O3" s="35">
        <f>SUMIFS(TablaENTRADA[CANT],TablaENTRADA[SKU],TablaSTOCKINV[[#This Row],[SKU]])</f>
        <v>3</v>
      </c>
      <c r="P3" s="35">
        <f>SUMIFS(TablaSALIDA[CANT],TablaSALIDA[SKU],TablaSTOCKINV[[#This Row],[SKU]])</f>
        <v>0</v>
      </c>
      <c r="Q3" s="34">
        <f>_xlfn.XLOOKUP(TablaSTOCKINV[[#This Row],[SKU]],TablaINVENTARIO[SKU],TablaINVENTARIO[PRECIO])</f>
        <v>0</v>
      </c>
      <c r="R3" s="34">
        <f>TablaSTOCKINV[[#This Row],[P.UNITARIO]]*TablaSTOCKINV[[#This Row],[CANT. TOTAL]]</f>
        <v>0</v>
      </c>
      <c r="S3" s="44">
        <f>_xlfn.XLOOKUP(TablaSTOCKINV[[#This Row],[SKU]],TablaINVENTARIO[SKU],TablaINVENTARIO[FECHA INGRESO])</f>
        <v>46023</v>
      </c>
      <c r="T3" s="44">
        <f>_xlfn.XLOOKUP(TablaSTOCKINV[[#This Row],[SKU]],TablaENTRADA[SKU],TablaENTRADA[FECHA],,0,-1)</f>
        <v>46023</v>
      </c>
      <c r="U3" s="46" t="str">
        <f>IFERROR((_xlfn.XLOOKUP(TablaSTOCKINV[[#This Row],[SKU]],TablaSALIDA[SKU],TablaSALIDA[FECHA],,0,-1))," " )</f>
        <v xml:space="preserve"> </v>
      </c>
    </row>
    <row r="4" spans="1:21" x14ac:dyDescent="0.3">
      <c r="A4" s="27" t="s">
        <v>2265</v>
      </c>
      <c r="B4" s="32" t="str">
        <f>_xlfn.XLOOKUP(TablaSTOCKINV[[#This Row],[SKU]],TablaINVENTARIO[SKU],TablaINVENTARIO[DESCRIPCION])</f>
        <v xml:space="preserve">TERMO DE 15 LTS </v>
      </c>
      <c r="C4" s="32" t="str">
        <f>_xlfn.XLOOKUP(TablaSTOCKINV[[#This Row],[SKU]],TablaINVENTARIO[SKU],TablaINVENTARIO[MARCA])</f>
        <v>POTAMITO</v>
      </c>
      <c r="D4" s="33" t="str">
        <f>_xlfn.XLOOKUP(TablaSTOCKINV[[#This Row],[SKU]],TablaINVENTARIO[SKU],TablaINVENTARIO[CATEGORIA])</f>
        <v xml:space="preserve">UTENSILIOS_DE_COCINA </v>
      </c>
      <c r="E4" s="33" t="str">
        <f>_xlfn.XLOOKUP(TablaSTOCKINV[[#This Row],[SKU]],TablaINVENTARIO[SKU],TablaINVENTARIO[SUBCATEGORIA])</f>
        <v xml:space="preserve">ALMACENAMIENTO TÉRMICO </v>
      </c>
      <c r="F4" s="33" t="str">
        <f>_xlfn.XLOOKUP(TablaSTOCKINV[[#This Row],[SKU]],TablaINVENTARIO[SKU],TablaINVENTARIO[ESTADO])</f>
        <v>USADO</v>
      </c>
      <c r="G4" s="33" t="str">
        <f>_xlfn.XLOOKUP(TablaSTOCKINV[[#This Row],[SKU]],TablaINVENTARIO[SKU],TablaINVENTARIO[MEDIDA])</f>
        <v xml:space="preserve">UND </v>
      </c>
      <c r="H4" s="33" t="str">
        <f>_xlfn.XLOOKUP(TablaSTOCKINV[[#This Row],[SKU]],TablaINVENTARIO[SKU],TablaINVENTARIO[SERIAL])</f>
        <v>N/A</v>
      </c>
      <c r="I4" s="34" t="str">
        <f>_xlfn.XLOOKUP(TablaSTOCKINV[[#This Row],[SKU]],TablaINVENTARIO[SKU],TablaINVENTARIO[ALMACEN])</f>
        <v>ALMACEN PRINCIPAL</v>
      </c>
      <c r="J4" s="34" t="str">
        <f>_xlfn.XLOOKUP(TablaSTOCKINV[[#This Row],[SKU]],TablaINVENTARIO[SKU],TablaINVENTARIO[UBICACION])</f>
        <v xml:space="preserve">CUARTO DE ALMACENAMIENTO </v>
      </c>
      <c r="K4" s="34" t="str">
        <f>_xlfn.XLOOKUP(TablaSTOCKINV[[#This Row],[SKU]],TablaINVENTARIO[SKU],TablaINVENTARIO[DPTO RESPONSABLE])</f>
        <v xml:space="preserve">CONSUMO GENERAL </v>
      </c>
      <c r="L4" s="36">
        <f>_xlfn.XLOOKUP(TablaSTOCKINV[[#This Row],[SKU]],TablaINVENTARIO[SKU],TablaINVENTARIO[RANGO MIN])</f>
        <v>0</v>
      </c>
      <c r="M4" s="34" cm="1">
        <f t="array" ref="M4">_xlfn.IFS(TablaSTOCKINV[[#This Row],[CANT. TOTAL]]&lt;=0,1,TablaSTOCKINV[[#This Row],[CANT. TOTAL]]&lt;=TablaSTOCKINV[[#This Row],[MIN]],2,TablaSTOCKINV[[#This Row],[CANT. TOTAL]]&gt;TablaSTOCKINV[[#This Row],[MIN]],3)</f>
        <v>3</v>
      </c>
      <c r="N4" s="34">
        <f>TablaSTOCKINV[[#This Row],[ENTRADAS]]-TablaSTOCKINV[[#This Row],[SALIDAS]]</f>
        <v>4</v>
      </c>
      <c r="O4" s="35">
        <f>SUMIFS(TablaENTRADA[CANT],TablaENTRADA[SKU],TablaSTOCKINV[[#This Row],[SKU]])</f>
        <v>4</v>
      </c>
      <c r="P4" s="35">
        <f>SUMIFS(TablaSALIDA[CANT],TablaSALIDA[SKU],TablaSTOCKINV[[#This Row],[SKU]])</f>
        <v>0</v>
      </c>
      <c r="Q4" s="34">
        <f>_xlfn.XLOOKUP(TablaSTOCKINV[[#This Row],[SKU]],TablaINVENTARIO[SKU],TablaINVENTARIO[PRECIO])</f>
        <v>0</v>
      </c>
      <c r="R4" s="34">
        <f>TablaSTOCKINV[[#This Row],[P.UNITARIO]]*TablaSTOCKINV[[#This Row],[CANT. TOTAL]]</f>
        <v>0</v>
      </c>
      <c r="S4" s="44">
        <f>_xlfn.XLOOKUP(TablaSTOCKINV[[#This Row],[SKU]],TablaINVENTARIO[SKU],TablaINVENTARIO[FECHA INGRESO])</f>
        <v>46023</v>
      </c>
      <c r="T4" s="44">
        <f>_xlfn.XLOOKUP(TablaSTOCKINV[[#This Row],[SKU]],TablaENTRADA[SKU],TablaENTRADA[FECHA],,0,-1)</f>
        <v>46023</v>
      </c>
      <c r="U4" s="46" t="str">
        <f>IFERROR((_xlfn.XLOOKUP(TablaSTOCKINV[[#This Row],[SKU]],TablaSALIDA[SKU],TablaSALIDA[FECHA],,0,-1))," " )</f>
        <v xml:space="preserve"> </v>
      </c>
    </row>
    <row r="5" spans="1:21" x14ac:dyDescent="0.3">
      <c r="A5" s="27" t="s">
        <v>2267</v>
      </c>
      <c r="B5" s="32" t="str">
        <f>_xlfn.XLOOKUP(TablaSTOCKINV[[#This Row],[SKU]],TablaINVENTARIO[SKU],TablaINVENTARIO[DESCRIPCION])</f>
        <v xml:space="preserve">TERMO DE 48 LTS </v>
      </c>
      <c r="C5" s="32" t="str">
        <f>_xlfn.XLOOKUP(TablaSTOCKINV[[#This Row],[SKU]],TablaINVENTARIO[SKU],TablaINVENTARIO[MARCA])</f>
        <v>POTAMITO</v>
      </c>
      <c r="D5" s="33" t="str">
        <f>_xlfn.XLOOKUP(TablaSTOCKINV[[#This Row],[SKU]],TablaINVENTARIO[SKU],TablaINVENTARIO[CATEGORIA])</f>
        <v xml:space="preserve">UTENSILIOS_DE_COCINA </v>
      </c>
      <c r="E5" s="33" t="str">
        <f>_xlfn.XLOOKUP(TablaSTOCKINV[[#This Row],[SKU]],TablaINVENTARIO[SKU],TablaINVENTARIO[SUBCATEGORIA])</f>
        <v xml:space="preserve">ALMACENAMIENTO TÉRMICO </v>
      </c>
      <c r="F5" s="33" t="str">
        <f>_xlfn.XLOOKUP(TablaSTOCKINV[[#This Row],[SKU]],TablaINVENTARIO[SKU],TablaINVENTARIO[ESTADO])</f>
        <v>USADO</v>
      </c>
      <c r="G5" s="33" t="str">
        <f>_xlfn.XLOOKUP(TablaSTOCKINV[[#This Row],[SKU]],TablaINVENTARIO[SKU],TablaINVENTARIO[MEDIDA])</f>
        <v xml:space="preserve">UND </v>
      </c>
      <c r="H5" s="33" t="str">
        <f>_xlfn.XLOOKUP(TablaSTOCKINV[[#This Row],[SKU]],TablaINVENTARIO[SKU],TablaINVENTARIO[SERIAL])</f>
        <v>N/A</v>
      </c>
      <c r="I5" s="34" t="str">
        <f>_xlfn.XLOOKUP(TablaSTOCKINV[[#This Row],[SKU]],TablaINVENTARIO[SKU],TablaINVENTARIO[ALMACEN])</f>
        <v>ALMACEN PRINCIPAL</v>
      </c>
      <c r="J5" s="34" t="str">
        <f>_xlfn.XLOOKUP(TablaSTOCKINV[[#This Row],[SKU]],TablaINVENTARIO[SKU],TablaINVENTARIO[UBICACION])</f>
        <v xml:space="preserve">CUARTO DE ALMACENAMIENTO </v>
      </c>
      <c r="K5" s="34" t="str">
        <f>_xlfn.XLOOKUP(TablaSTOCKINV[[#This Row],[SKU]],TablaINVENTARIO[SKU],TablaINVENTARIO[DPTO RESPONSABLE])</f>
        <v xml:space="preserve">CONSUMO GENERAL </v>
      </c>
      <c r="L5" s="36">
        <f>_xlfn.XLOOKUP(TablaSTOCKINV[[#This Row],[SKU]],TablaINVENTARIO[SKU],TablaINVENTARIO[RANGO MIN])</f>
        <v>0</v>
      </c>
      <c r="M5" s="34" cm="1">
        <f t="array" ref="M5">_xlfn.IFS(TablaSTOCKINV[[#This Row],[CANT. TOTAL]]&lt;=0,1,TablaSTOCKINV[[#This Row],[CANT. TOTAL]]&lt;=TablaSTOCKINV[[#This Row],[MIN]],2,TablaSTOCKINV[[#This Row],[CANT. TOTAL]]&gt;TablaSTOCKINV[[#This Row],[MIN]],3)</f>
        <v>3</v>
      </c>
      <c r="N5" s="34">
        <f>TablaSTOCKINV[[#This Row],[ENTRADAS]]-TablaSTOCKINV[[#This Row],[SALIDAS]]</f>
        <v>2</v>
      </c>
      <c r="O5" s="35">
        <f>SUMIFS(TablaENTRADA[CANT],TablaENTRADA[SKU],TablaSTOCKINV[[#This Row],[SKU]])</f>
        <v>2</v>
      </c>
      <c r="P5" s="35">
        <f>SUMIFS(TablaSALIDA[CANT],TablaSALIDA[SKU],TablaSTOCKINV[[#This Row],[SKU]])</f>
        <v>0</v>
      </c>
      <c r="Q5" s="34">
        <f>_xlfn.XLOOKUP(TablaSTOCKINV[[#This Row],[SKU]],TablaINVENTARIO[SKU],TablaINVENTARIO[PRECIO])</f>
        <v>0</v>
      </c>
      <c r="R5" s="34">
        <f>TablaSTOCKINV[[#This Row],[P.UNITARIO]]*TablaSTOCKINV[[#This Row],[CANT. TOTAL]]</f>
        <v>0</v>
      </c>
      <c r="S5" s="44">
        <f>_xlfn.XLOOKUP(TablaSTOCKINV[[#This Row],[SKU]],TablaINVENTARIO[SKU],TablaINVENTARIO[FECHA INGRESO])</f>
        <v>46023</v>
      </c>
      <c r="T5" s="44">
        <f>_xlfn.XLOOKUP(TablaSTOCKINV[[#This Row],[SKU]],TablaENTRADA[SKU],TablaENTRADA[FECHA],,0,-1)</f>
        <v>46023</v>
      </c>
      <c r="U5" s="46" t="str">
        <f>IFERROR((_xlfn.XLOOKUP(TablaSTOCKINV[[#This Row],[SKU]],TablaSALIDA[SKU],TablaSALIDA[FECHA],,0,-1))," " )</f>
        <v xml:space="preserve"> </v>
      </c>
    </row>
    <row r="6" spans="1:21" x14ac:dyDescent="0.3">
      <c r="A6" s="27" t="s">
        <v>2269</v>
      </c>
      <c r="B6" s="32" t="str">
        <f>_xlfn.XLOOKUP(TablaSTOCKINV[[#This Row],[SKU]],TablaINVENTARIO[SKU],TablaINVENTARIO[DESCRIPCION])</f>
        <v>CAFETERA 12 TAZAS MODELO: BVSTDCS12BN-013</v>
      </c>
      <c r="C6" s="32" t="str">
        <f>_xlfn.XLOOKUP(TablaSTOCKINV[[#This Row],[SKU]],TablaINVENTARIO[SKU],TablaINVENTARIO[MARCA])</f>
        <v>OSTER</v>
      </c>
      <c r="D6" s="33" t="str">
        <f>_xlfn.XLOOKUP(TablaSTOCKINV[[#This Row],[SKU]],TablaINVENTARIO[SKU],TablaINVENTARIO[CATEGORIA])</f>
        <v xml:space="preserve">UTENSILIOS_DE_COCINA </v>
      </c>
      <c r="E6" s="33" t="str">
        <f>_xlfn.XLOOKUP(TablaSTOCKINV[[#This Row],[SKU]],TablaINVENTARIO[SKU],TablaINVENTARIO[SUBCATEGORIA])</f>
        <v>ELECTRODOMÉSTICO</v>
      </c>
      <c r="F6" s="33" t="str">
        <f>_xlfn.XLOOKUP(TablaSTOCKINV[[#This Row],[SKU]],TablaINVENTARIO[SKU],TablaINVENTARIO[ESTADO])</f>
        <v>USADO</v>
      </c>
      <c r="G6" s="33" t="str">
        <f>_xlfn.XLOOKUP(TablaSTOCKINV[[#This Row],[SKU]],TablaINVENTARIO[SKU],TablaINVENTARIO[MEDIDA])</f>
        <v xml:space="preserve">UND </v>
      </c>
      <c r="H6" s="33" t="str">
        <f>_xlfn.XLOOKUP(TablaSTOCKINV[[#This Row],[SKU]],TablaINVENTARIO[SKU],TablaINVENTARIO[SERIAL])</f>
        <v>N/A</v>
      </c>
      <c r="I6" s="34" t="str">
        <f>_xlfn.XLOOKUP(TablaSTOCKINV[[#This Row],[SKU]],TablaINVENTARIO[SKU],TablaINVENTARIO[ALMACEN])</f>
        <v>ALMACEN PRINCIPAL</v>
      </c>
      <c r="J6" s="34" t="str">
        <f>_xlfn.XLOOKUP(TablaSTOCKINV[[#This Row],[SKU]],TablaINVENTARIO[SKU],TablaINVENTARIO[UBICACION])</f>
        <v xml:space="preserve">CUARTO DE ALMACENAMIENTO </v>
      </c>
      <c r="K6" s="34" t="str">
        <f>_xlfn.XLOOKUP(TablaSTOCKINV[[#This Row],[SKU]],TablaINVENTARIO[SKU],TablaINVENTARIO[DPTO RESPONSABLE])</f>
        <v xml:space="preserve">CONSUMO GENERAL </v>
      </c>
      <c r="L6" s="36">
        <f>_xlfn.XLOOKUP(TablaSTOCKINV[[#This Row],[SKU]],TablaINVENTARIO[SKU],TablaINVENTARIO[RANGO MIN])</f>
        <v>0</v>
      </c>
      <c r="M6" s="34" cm="1">
        <f t="array" ref="M6">_xlfn.IFS(TablaSTOCKINV[[#This Row],[CANT. TOTAL]]&lt;=0,1,TablaSTOCKINV[[#This Row],[CANT. TOTAL]]&lt;=TablaSTOCKINV[[#This Row],[MIN]],2,TablaSTOCKINV[[#This Row],[CANT. TOTAL]]&gt;TablaSTOCKINV[[#This Row],[MIN]],3)</f>
        <v>3</v>
      </c>
      <c r="N6" s="34">
        <f>TablaSTOCKINV[[#This Row],[ENTRADAS]]-TablaSTOCKINV[[#This Row],[SALIDAS]]</f>
        <v>1</v>
      </c>
      <c r="O6" s="35">
        <f>SUMIFS(TablaENTRADA[CANT],TablaENTRADA[SKU],TablaSTOCKINV[[#This Row],[SKU]])</f>
        <v>1</v>
      </c>
      <c r="P6" s="35">
        <f>SUMIFS(TablaSALIDA[CANT],TablaSALIDA[SKU],TablaSTOCKINV[[#This Row],[SKU]])</f>
        <v>0</v>
      </c>
      <c r="Q6" s="34">
        <f>_xlfn.XLOOKUP(TablaSTOCKINV[[#This Row],[SKU]],TablaINVENTARIO[SKU],TablaINVENTARIO[PRECIO])</f>
        <v>0</v>
      </c>
      <c r="R6" s="34">
        <f>TablaSTOCKINV[[#This Row],[P.UNITARIO]]*TablaSTOCKINV[[#This Row],[CANT. TOTAL]]</f>
        <v>0</v>
      </c>
      <c r="S6" s="44">
        <f>_xlfn.XLOOKUP(TablaSTOCKINV[[#This Row],[SKU]],TablaINVENTARIO[SKU],TablaINVENTARIO[FECHA INGRESO])</f>
        <v>46023</v>
      </c>
      <c r="T6" s="44">
        <f>_xlfn.XLOOKUP(TablaSTOCKINV[[#This Row],[SKU]],TablaENTRADA[SKU],TablaENTRADA[FECHA],,0,-1)</f>
        <v>46023</v>
      </c>
      <c r="U6" s="46" t="str">
        <f>IFERROR((_xlfn.XLOOKUP(TablaSTOCKINV[[#This Row],[SKU]],TablaSALIDA[SKU],TablaSALIDA[FECHA],,0,-1))," " )</f>
        <v xml:space="preserve"> </v>
      </c>
    </row>
    <row r="7" spans="1:21" x14ac:dyDescent="0.3">
      <c r="A7" s="27" t="s">
        <v>2273</v>
      </c>
      <c r="B7" s="32" t="str">
        <f>_xlfn.XLOOKUP(TablaSTOCKINV[[#This Row],[SKU]],TablaINVENTARIO[SKU],TablaINVENTARIO[DESCRIPCION])</f>
        <v xml:space="preserve">OLLA SOPERA </v>
      </c>
      <c r="C7" s="32" t="str">
        <f>_xlfn.XLOOKUP(TablaSTOCKINV[[#This Row],[SKU]],TablaINVENTARIO[SKU],TablaINVENTARIO[MARCA])</f>
        <v>N/A</v>
      </c>
      <c r="D7" s="33" t="str">
        <f>_xlfn.XLOOKUP(TablaSTOCKINV[[#This Row],[SKU]],TablaINVENTARIO[SKU],TablaINVENTARIO[CATEGORIA])</f>
        <v xml:space="preserve">UTENSILIOS_DE_COCINA </v>
      </c>
      <c r="E7" s="33" t="str">
        <f>_xlfn.XLOOKUP(TablaSTOCKINV[[#This Row],[SKU]],TablaINVENTARIO[SKU],TablaINVENTARIO[SUBCATEGORIA])</f>
        <v xml:space="preserve">PREPARACIÓN DE ALIMENTOS </v>
      </c>
      <c r="F7" s="33" t="str">
        <f>_xlfn.XLOOKUP(TablaSTOCKINV[[#This Row],[SKU]],TablaINVENTARIO[SKU],TablaINVENTARIO[ESTADO])</f>
        <v>USADO</v>
      </c>
      <c r="G7" s="33" t="str">
        <f>_xlfn.XLOOKUP(TablaSTOCKINV[[#This Row],[SKU]],TablaINVENTARIO[SKU],TablaINVENTARIO[MEDIDA])</f>
        <v xml:space="preserve">UND </v>
      </c>
      <c r="H7" s="33" t="str">
        <f>_xlfn.XLOOKUP(TablaSTOCKINV[[#This Row],[SKU]],TablaINVENTARIO[SKU],TablaINVENTARIO[SERIAL])</f>
        <v>N/A</v>
      </c>
      <c r="I7" s="34" t="str">
        <f>_xlfn.XLOOKUP(TablaSTOCKINV[[#This Row],[SKU]],TablaINVENTARIO[SKU],TablaINVENTARIO[ALMACEN])</f>
        <v>ALMACEN PRINCIPAL</v>
      </c>
      <c r="J7" s="34" t="str">
        <f>_xlfn.XLOOKUP(TablaSTOCKINV[[#This Row],[SKU]],TablaINVENTARIO[SKU],TablaINVENTARIO[UBICACION])</f>
        <v xml:space="preserve">CUARTO DE ALMACENAMIENTO </v>
      </c>
      <c r="K7" s="34" t="str">
        <f>_xlfn.XLOOKUP(TablaSTOCKINV[[#This Row],[SKU]],TablaINVENTARIO[SKU],TablaINVENTARIO[DPTO RESPONSABLE])</f>
        <v xml:space="preserve">CONSUMO GENERAL </v>
      </c>
      <c r="L7" s="36">
        <f>_xlfn.XLOOKUP(TablaSTOCKINV[[#This Row],[SKU]],TablaINVENTARIO[SKU],TablaINVENTARIO[RANGO MIN])</f>
        <v>0</v>
      </c>
      <c r="M7" s="34" cm="1">
        <f t="array" ref="M7">_xlfn.IFS(TablaSTOCKINV[[#This Row],[CANT. TOTAL]]&lt;=0,1,TablaSTOCKINV[[#This Row],[CANT. TOTAL]]&lt;=TablaSTOCKINV[[#This Row],[MIN]],2,TablaSTOCKINV[[#This Row],[CANT. TOTAL]]&gt;TablaSTOCKINV[[#This Row],[MIN]],3)</f>
        <v>3</v>
      </c>
      <c r="N7" s="34">
        <f>TablaSTOCKINV[[#This Row],[ENTRADAS]]-TablaSTOCKINV[[#This Row],[SALIDAS]]</f>
        <v>1</v>
      </c>
      <c r="O7" s="35">
        <f>SUMIFS(TablaENTRADA[CANT],TablaENTRADA[SKU],TablaSTOCKINV[[#This Row],[SKU]])</f>
        <v>1</v>
      </c>
      <c r="P7" s="35">
        <f>SUMIFS(TablaSALIDA[CANT],TablaSALIDA[SKU],TablaSTOCKINV[[#This Row],[SKU]])</f>
        <v>0</v>
      </c>
      <c r="Q7" s="34">
        <f>_xlfn.XLOOKUP(TablaSTOCKINV[[#This Row],[SKU]],TablaINVENTARIO[SKU],TablaINVENTARIO[PRECIO])</f>
        <v>0</v>
      </c>
      <c r="R7" s="34">
        <f>TablaSTOCKINV[[#This Row],[P.UNITARIO]]*TablaSTOCKINV[[#This Row],[CANT. TOTAL]]</f>
        <v>0</v>
      </c>
      <c r="S7" s="44">
        <f>_xlfn.XLOOKUP(TablaSTOCKINV[[#This Row],[SKU]],TablaINVENTARIO[SKU],TablaINVENTARIO[FECHA INGRESO])</f>
        <v>46023</v>
      </c>
      <c r="T7" s="44">
        <f>_xlfn.XLOOKUP(TablaSTOCKINV[[#This Row],[SKU]],TablaENTRADA[SKU],TablaENTRADA[FECHA],,0,-1)</f>
        <v>46023</v>
      </c>
      <c r="U7" s="46" t="str">
        <f>IFERROR((_xlfn.XLOOKUP(TablaSTOCKINV[[#This Row],[SKU]],TablaSALIDA[SKU],TablaSALIDA[FECHA],,0,-1))," " )</f>
        <v xml:space="preserve"> </v>
      </c>
    </row>
    <row r="8" spans="1:21" x14ac:dyDescent="0.3">
      <c r="A8" s="27" t="s">
        <v>2246</v>
      </c>
      <c r="B8" s="32" t="str">
        <f>_xlfn.XLOOKUP(TablaSTOCKINV[[#This Row],[SKU]],TablaINVENTARIO[SKU],TablaINVENTARIO[DESCRIPCION])</f>
        <v xml:space="preserve">CABLE DE RED </v>
      </c>
      <c r="C8" s="32" t="str">
        <f>_xlfn.XLOOKUP(TablaSTOCKINV[[#This Row],[SKU]],TablaINVENTARIO[SKU],TablaINVENTARIO[MARCA])</f>
        <v>N/A</v>
      </c>
      <c r="D8" s="33" t="str">
        <f>_xlfn.XLOOKUP(TablaSTOCKINV[[#This Row],[SKU]],TablaINVENTARIO[SKU],TablaINVENTARIO[CATEGORIA])</f>
        <v xml:space="preserve">TELECOMUNICACIONES </v>
      </c>
      <c r="E8" s="33" t="str">
        <f>_xlfn.XLOOKUP(TablaSTOCKINV[[#This Row],[SKU]],TablaINVENTARIO[SKU],TablaINVENTARIO[SUBCATEGORIA])</f>
        <v xml:space="preserve">ACCESORIO DE RED </v>
      </c>
      <c r="F8" s="33" t="str">
        <f>_xlfn.XLOOKUP(TablaSTOCKINV[[#This Row],[SKU]],TablaINVENTARIO[SKU],TablaINVENTARIO[ESTADO])</f>
        <v xml:space="preserve">NUEVO </v>
      </c>
      <c r="G8" s="33" t="str">
        <f>_xlfn.XLOOKUP(TablaSTOCKINV[[#This Row],[SKU]],TablaINVENTARIO[SKU],TablaINVENTARIO[MEDIDA])</f>
        <v>UND</v>
      </c>
      <c r="H8" s="33" t="str">
        <f>_xlfn.XLOOKUP(TablaSTOCKINV[[#This Row],[SKU]],TablaINVENTARIO[SKU],TablaINVENTARIO[SERIAL])</f>
        <v>N/A</v>
      </c>
      <c r="I8" s="34" t="str">
        <f>_xlfn.XLOOKUP(TablaSTOCKINV[[#This Row],[SKU]],TablaINVENTARIO[SKU],TablaINVENTARIO[ALMACEN])</f>
        <v>ALMACEN PRINCIPAL</v>
      </c>
      <c r="J8" s="34" t="str">
        <f>_xlfn.XLOOKUP(TablaSTOCKINV[[#This Row],[SKU]],TablaINVENTARIO[SKU],TablaINVENTARIO[UBICACION])</f>
        <v>I1-1</v>
      </c>
      <c r="K8" s="34" t="str">
        <f>_xlfn.XLOOKUP(TablaSTOCKINV[[#This Row],[SKU]],TablaINVENTARIO[SKU],TablaINVENTARIO[DPTO RESPONSABLE])</f>
        <v>OPERACIONES</v>
      </c>
      <c r="L8" s="36">
        <f>_xlfn.XLOOKUP(TablaSTOCKINV[[#This Row],[SKU]],TablaINVENTARIO[SKU],TablaINVENTARIO[RANGO MIN])</f>
        <v>0</v>
      </c>
      <c r="M8" s="34" cm="1">
        <f t="array" ref="M8">_xlfn.IFS(TablaSTOCKINV[[#This Row],[CANT. TOTAL]]&lt;=0,1,TablaSTOCKINV[[#This Row],[CANT. TOTAL]]&lt;=TablaSTOCKINV[[#This Row],[MIN]],2,TablaSTOCKINV[[#This Row],[CANT. TOTAL]]&gt;TablaSTOCKINV[[#This Row],[MIN]],3)</f>
        <v>3</v>
      </c>
      <c r="N8" s="34">
        <f>TablaSTOCKINV[[#This Row],[ENTRADAS]]-TablaSTOCKINV[[#This Row],[SALIDAS]]</f>
        <v>5</v>
      </c>
      <c r="O8" s="35">
        <f>SUMIFS(TablaENTRADA[CANT],TablaENTRADA[SKU],TablaSTOCKINV[[#This Row],[SKU]])</f>
        <v>5</v>
      </c>
      <c r="P8" s="35">
        <f>SUMIFS(TablaSALIDA[CANT],TablaSALIDA[SKU],TablaSTOCKINV[[#This Row],[SKU]])</f>
        <v>0</v>
      </c>
      <c r="Q8" s="34">
        <f>_xlfn.XLOOKUP(TablaSTOCKINV[[#This Row],[SKU]],TablaINVENTARIO[SKU],TablaINVENTARIO[PRECIO])</f>
        <v>0</v>
      </c>
      <c r="R8" s="34">
        <f>TablaSTOCKINV[[#This Row],[P.UNITARIO]]*TablaSTOCKINV[[#This Row],[CANT. TOTAL]]</f>
        <v>0</v>
      </c>
      <c r="S8" s="44">
        <f>_xlfn.XLOOKUP(TablaSTOCKINV[[#This Row],[SKU]],TablaINVENTARIO[SKU],TablaINVENTARIO[FECHA INGRESO])</f>
        <v>46023</v>
      </c>
      <c r="T8" s="44">
        <f>_xlfn.XLOOKUP(TablaSTOCKINV[[#This Row],[SKU]],TablaENTRADA[SKU],TablaENTRADA[FECHA],,0,-1)</f>
        <v>46023</v>
      </c>
      <c r="U8" s="46" t="str">
        <f>IFERROR((_xlfn.XLOOKUP(TablaSTOCKINV[[#This Row],[SKU]],TablaSALIDA[SKU],TablaSALIDA[FECHA],,0,-1))," " )</f>
        <v xml:space="preserve"> </v>
      </c>
    </row>
    <row r="9" spans="1:21" x14ac:dyDescent="0.3">
      <c r="A9" s="27" t="s">
        <v>2250</v>
      </c>
      <c r="B9" s="32" t="str">
        <f>_xlfn.XLOOKUP(TablaSTOCKINV[[#This Row],[SKU]],TablaINVENTARIO[SKU],TablaINVENTARIO[DESCRIPCION])</f>
        <v>ADAPTADOR DE EMPALME BNC HEMBRA A HEMBRA</v>
      </c>
      <c r="C9" s="32" t="str">
        <f>_xlfn.XLOOKUP(TablaSTOCKINV[[#This Row],[SKU]],TablaINVENTARIO[SKU],TablaINVENTARIO[MARCA])</f>
        <v>N/A</v>
      </c>
      <c r="D9" s="33" t="str">
        <f>_xlfn.XLOOKUP(TablaSTOCKINV[[#This Row],[SKU]],TablaINVENTARIO[SKU],TablaINVENTARIO[CATEGORIA])</f>
        <v xml:space="preserve">TELECOMUNICACIONES </v>
      </c>
      <c r="E9" s="33" t="str">
        <f>_xlfn.XLOOKUP(TablaSTOCKINV[[#This Row],[SKU]],TablaINVENTARIO[SKU],TablaINVENTARIO[SUBCATEGORIA])</f>
        <v>ACCESORIO ELECTRÓNICO</v>
      </c>
      <c r="F9" s="33" t="str">
        <f>_xlfn.XLOOKUP(TablaSTOCKINV[[#This Row],[SKU]],TablaINVENTARIO[SKU],TablaINVENTARIO[ESTADO])</f>
        <v xml:space="preserve">NUEVO </v>
      </c>
      <c r="G9" s="33" t="str">
        <f>_xlfn.XLOOKUP(TablaSTOCKINV[[#This Row],[SKU]],TablaINVENTARIO[SKU],TablaINVENTARIO[MEDIDA])</f>
        <v xml:space="preserve">UND </v>
      </c>
      <c r="H9" s="33" t="str">
        <f>_xlfn.XLOOKUP(TablaSTOCKINV[[#This Row],[SKU]],TablaINVENTARIO[SKU],TablaINVENTARIO[SERIAL])</f>
        <v>N/A</v>
      </c>
      <c r="I9" s="34" t="str">
        <f>_xlfn.XLOOKUP(TablaSTOCKINV[[#This Row],[SKU]],TablaINVENTARIO[SKU],TablaINVENTARIO[ALMACEN])</f>
        <v>ALMACEN PRINCIPAL</v>
      </c>
      <c r="J9" s="34" t="str">
        <f>_xlfn.XLOOKUP(TablaSTOCKINV[[#This Row],[SKU]],TablaINVENTARIO[SKU],TablaINVENTARIO[UBICACION])</f>
        <v>2B</v>
      </c>
      <c r="K9" s="34" t="str">
        <f>_xlfn.XLOOKUP(TablaSTOCKINV[[#This Row],[SKU]],TablaINVENTARIO[SKU],TablaINVENTARIO[DPTO RESPONSABLE])</f>
        <v xml:space="preserve">AIT  </v>
      </c>
      <c r="L9" s="36">
        <f>_xlfn.XLOOKUP(TablaSTOCKINV[[#This Row],[SKU]],TablaINVENTARIO[SKU],TablaINVENTARIO[RANGO MIN])</f>
        <v>0</v>
      </c>
      <c r="M9" s="34" cm="1">
        <f t="array" ref="M9">_xlfn.IFS(TablaSTOCKINV[[#This Row],[CANT. TOTAL]]&lt;=0,1,TablaSTOCKINV[[#This Row],[CANT. TOTAL]]&lt;=TablaSTOCKINV[[#This Row],[MIN]],2,TablaSTOCKINV[[#This Row],[CANT. TOTAL]]&gt;TablaSTOCKINV[[#This Row],[MIN]],3)</f>
        <v>3</v>
      </c>
      <c r="N9" s="34">
        <f>TablaSTOCKINV[[#This Row],[ENTRADAS]]-TablaSTOCKINV[[#This Row],[SALIDAS]]</f>
        <v>13</v>
      </c>
      <c r="O9" s="35">
        <f>SUMIFS(TablaENTRADA[CANT],TablaENTRADA[SKU],TablaSTOCKINV[[#This Row],[SKU]])</f>
        <v>13</v>
      </c>
      <c r="P9" s="35">
        <f>SUMIFS(TablaSALIDA[CANT],TablaSALIDA[SKU],TablaSTOCKINV[[#This Row],[SKU]])</f>
        <v>0</v>
      </c>
      <c r="Q9" s="34">
        <f>_xlfn.XLOOKUP(TablaSTOCKINV[[#This Row],[SKU]],TablaINVENTARIO[SKU],TablaINVENTARIO[PRECIO])</f>
        <v>0</v>
      </c>
      <c r="R9" s="34">
        <f>TablaSTOCKINV[[#This Row],[P.UNITARIO]]*TablaSTOCKINV[[#This Row],[CANT. TOTAL]]</f>
        <v>0</v>
      </c>
      <c r="S9" s="44">
        <f>_xlfn.XLOOKUP(TablaSTOCKINV[[#This Row],[SKU]],TablaINVENTARIO[SKU],TablaINVENTARIO[FECHA INGRESO])</f>
        <v>46023</v>
      </c>
      <c r="T9" s="44">
        <f>_xlfn.XLOOKUP(TablaSTOCKINV[[#This Row],[SKU]],TablaENTRADA[SKU],TablaENTRADA[FECHA],,0,-1)</f>
        <v>46023</v>
      </c>
      <c r="U9" s="46" t="str">
        <f>IFERROR((_xlfn.XLOOKUP(TablaSTOCKINV[[#This Row],[SKU]],TablaSALIDA[SKU],TablaSALIDA[FECHA],,0,-1))," " )</f>
        <v xml:space="preserve"> </v>
      </c>
    </row>
    <row r="10" spans="1:21" x14ac:dyDescent="0.3">
      <c r="A10" s="27" t="s">
        <v>2254</v>
      </c>
      <c r="B10" s="32" t="str">
        <f>_xlfn.XLOOKUP(TablaSTOCKINV[[#This Row],[SKU]],TablaINVENTARIO[SKU],TablaINVENTARIO[DESCRIPCION])</f>
        <v xml:space="preserve">CONECTOR RCA MACHO AEREO DE METAL </v>
      </c>
      <c r="C10" s="32" t="str">
        <f>_xlfn.XLOOKUP(TablaSTOCKINV[[#This Row],[SKU]],TablaINVENTARIO[SKU],TablaINVENTARIO[MARCA])</f>
        <v>N/A</v>
      </c>
      <c r="D10" s="33" t="str">
        <f>_xlfn.XLOOKUP(TablaSTOCKINV[[#This Row],[SKU]],TablaINVENTARIO[SKU],TablaINVENTARIO[CATEGORIA])</f>
        <v xml:space="preserve">TELECOMUNICACIONES </v>
      </c>
      <c r="E10" s="33" t="str">
        <f>_xlfn.XLOOKUP(TablaSTOCKINV[[#This Row],[SKU]],TablaINVENTARIO[SKU],TablaINVENTARIO[SUBCATEGORIA])</f>
        <v>ACCESORIO ELECTRÓNICO</v>
      </c>
      <c r="F10" s="33" t="str">
        <f>_xlfn.XLOOKUP(TablaSTOCKINV[[#This Row],[SKU]],TablaINVENTARIO[SKU],TablaINVENTARIO[ESTADO])</f>
        <v xml:space="preserve">NUEVO </v>
      </c>
      <c r="G10" s="33" t="str">
        <f>_xlfn.XLOOKUP(TablaSTOCKINV[[#This Row],[SKU]],TablaINVENTARIO[SKU],TablaINVENTARIO[MEDIDA])</f>
        <v xml:space="preserve">UND </v>
      </c>
      <c r="H10" s="33" t="str">
        <f>_xlfn.XLOOKUP(TablaSTOCKINV[[#This Row],[SKU]],TablaINVENTARIO[SKU],TablaINVENTARIO[SERIAL])</f>
        <v>N/A</v>
      </c>
      <c r="I10" s="34" t="str">
        <f>_xlfn.XLOOKUP(TablaSTOCKINV[[#This Row],[SKU]],TablaINVENTARIO[SKU],TablaINVENTARIO[ALMACEN])</f>
        <v>ALMACEN PRINCIPAL</v>
      </c>
      <c r="J10" s="34" t="str">
        <f>_xlfn.XLOOKUP(TablaSTOCKINV[[#This Row],[SKU]],TablaINVENTARIO[SKU],TablaINVENTARIO[UBICACION])</f>
        <v>2B</v>
      </c>
      <c r="K10" s="34" t="str">
        <f>_xlfn.XLOOKUP(TablaSTOCKINV[[#This Row],[SKU]],TablaINVENTARIO[SKU],TablaINVENTARIO[DPTO RESPONSABLE])</f>
        <v xml:space="preserve">AIT  </v>
      </c>
      <c r="L10" s="36">
        <f>_xlfn.XLOOKUP(TablaSTOCKINV[[#This Row],[SKU]],TablaINVENTARIO[SKU],TablaINVENTARIO[RANGO MIN])</f>
        <v>0</v>
      </c>
      <c r="M10" s="34" cm="1">
        <f t="array" ref="M10">_xlfn.IFS(TablaSTOCKINV[[#This Row],[CANT. TOTAL]]&lt;=0,1,TablaSTOCKINV[[#This Row],[CANT. TOTAL]]&lt;=TablaSTOCKINV[[#This Row],[MIN]],2,TablaSTOCKINV[[#This Row],[CANT. TOTAL]]&gt;TablaSTOCKINV[[#This Row],[MIN]],3)</f>
        <v>3</v>
      </c>
      <c r="N10" s="34">
        <f>TablaSTOCKINV[[#This Row],[ENTRADAS]]-TablaSTOCKINV[[#This Row],[SALIDAS]]</f>
        <v>4</v>
      </c>
      <c r="O10" s="35">
        <f>SUMIFS(TablaENTRADA[CANT],TablaENTRADA[SKU],TablaSTOCKINV[[#This Row],[SKU]])</f>
        <v>4</v>
      </c>
      <c r="P10" s="35">
        <f>SUMIFS(TablaSALIDA[CANT],TablaSALIDA[SKU],TablaSTOCKINV[[#This Row],[SKU]])</f>
        <v>0</v>
      </c>
      <c r="Q10" s="34">
        <f>_xlfn.XLOOKUP(TablaSTOCKINV[[#This Row],[SKU]],TablaINVENTARIO[SKU],TablaINVENTARIO[PRECIO])</f>
        <v>0</v>
      </c>
      <c r="R10" s="34">
        <f>TablaSTOCKINV[[#This Row],[P.UNITARIO]]*TablaSTOCKINV[[#This Row],[CANT. TOTAL]]</f>
        <v>0</v>
      </c>
      <c r="S10" s="44">
        <f>_xlfn.XLOOKUP(TablaSTOCKINV[[#This Row],[SKU]],TablaINVENTARIO[SKU],TablaINVENTARIO[FECHA INGRESO])</f>
        <v>46023</v>
      </c>
      <c r="T10" s="44">
        <f>_xlfn.XLOOKUP(TablaSTOCKINV[[#This Row],[SKU]],TablaENTRADA[SKU],TablaENTRADA[FECHA],,0,-1)</f>
        <v>46023</v>
      </c>
      <c r="U10" s="46" t="str">
        <f>IFERROR((_xlfn.XLOOKUP(TablaSTOCKINV[[#This Row],[SKU]],TablaSALIDA[SKU],TablaSALIDA[FECHA],,0,-1))," " )</f>
        <v xml:space="preserve"> </v>
      </c>
    </row>
    <row r="11" spans="1:21" x14ac:dyDescent="0.3">
      <c r="A11" s="27" t="s">
        <v>2256</v>
      </c>
      <c r="B11" s="32" t="str">
        <f>_xlfn.XLOOKUP(TablaSTOCKINV[[#This Row],[SKU]],TablaINVENTARIO[SKU],TablaINVENTARIO[DESCRIPCION])</f>
        <v xml:space="preserve">MICROLINK HART PROTOCOL  MODEM WITH RS-232 INTERFACE </v>
      </c>
      <c r="C11" s="32" t="str">
        <f>_xlfn.XLOOKUP(TablaSTOCKINV[[#This Row],[SKU]],TablaINVENTARIO[SKU],TablaINVENTARIO[MARCA])</f>
        <v xml:space="preserve">MICROFLEX </v>
      </c>
      <c r="D11" s="33" t="str">
        <f>_xlfn.XLOOKUP(TablaSTOCKINV[[#This Row],[SKU]],TablaINVENTARIO[SKU],TablaINVENTARIO[CATEGORIA])</f>
        <v xml:space="preserve">TELECOMUNICACIONES </v>
      </c>
      <c r="E11" s="33" t="str">
        <f>_xlfn.XLOOKUP(TablaSTOCKINV[[#This Row],[SKU]],TablaINVENTARIO[SKU],TablaINVENTARIO[SUBCATEGORIA])</f>
        <v xml:space="preserve">EQUIPO DE RED </v>
      </c>
      <c r="F11" s="33" t="str">
        <f>_xlfn.XLOOKUP(TablaSTOCKINV[[#This Row],[SKU]],TablaINVENTARIO[SKU],TablaINVENTARIO[ESTADO])</f>
        <v>NUEVO</v>
      </c>
      <c r="G11" s="33" t="str">
        <f>_xlfn.XLOOKUP(TablaSTOCKINV[[#This Row],[SKU]],TablaINVENTARIO[SKU],TablaINVENTARIO[MEDIDA])</f>
        <v xml:space="preserve">UND </v>
      </c>
      <c r="H11" s="33" t="str">
        <f>_xlfn.XLOOKUP(TablaSTOCKINV[[#This Row],[SKU]],TablaINVENTARIO[SKU],TablaINVENTARIO[SERIAL])</f>
        <v>N/A</v>
      </c>
      <c r="I11" s="34" t="str">
        <f>_xlfn.XLOOKUP(TablaSTOCKINV[[#This Row],[SKU]],TablaINVENTARIO[SKU],TablaINVENTARIO[ALMACEN])</f>
        <v>ALMACEN PRINCIPAL</v>
      </c>
      <c r="J11" s="34" t="str">
        <f>_xlfn.XLOOKUP(TablaSTOCKINV[[#This Row],[SKU]],TablaINVENTARIO[SKU],TablaINVENTARIO[UBICACION])</f>
        <v>2B</v>
      </c>
      <c r="K11" s="34" t="str">
        <f>_xlfn.XLOOKUP(TablaSTOCKINV[[#This Row],[SKU]],TablaINVENTARIO[SKU],TablaINVENTARIO[DPTO RESPONSABLE])</f>
        <v xml:space="preserve">OPERACIONES </v>
      </c>
      <c r="L11" s="36">
        <f>_xlfn.XLOOKUP(TablaSTOCKINV[[#This Row],[SKU]],TablaINVENTARIO[SKU],TablaINVENTARIO[RANGO MIN])</f>
        <v>0</v>
      </c>
      <c r="M11" s="34" cm="1">
        <f t="array" ref="M11">_xlfn.IFS(TablaSTOCKINV[[#This Row],[CANT. TOTAL]]&lt;=0,1,TablaSTOCKINV[[#This Row],[CANT. TOTAL]]&lt;=TablaSTOCKINV[[#This Row],[MIN]],2,TablaSTOCKINV[[#This Row],[CANT. TOTAL]]&gt;TablaSTOCKINV[[#This Row],[MIN]],3)</f>
        <v>3</v>
      </c>
      <c r="N11" s="34">
        <f>TablaSTOCKINV[[#This Row],[ENTRADAS]]-TablaSTOCKINV[[#This Row],[SALIDAS]]</f>
        <v>4</v>
      </c>
      <c r="O11" s="35">
        <f>SUMIFS(TablaENTRADA[CANT],TablaENTRADA[SKU],TablaSTOCKINV[[#This Row],[SKU]])</f>
        <v>4</v>
      </c>
      <c r="P11" s="35">
        <f>SUMIFS(TablaSALIDA[CANT],TablaSALIDA[SKU],TablaSTOCKINV[[#This Row],[SKU]])</f>
        <v>0</v>
      </c>
      <c r="Q11" s="34">
        <f>_xlfn.XLOOKUP(TablaSTOCKINV[[#This Row],[SKU]],TablaINVENTARIO[SKU],TablaINVENTARIO[PRECIO])</f>
        <v>0</v>
      </c>
      <c r="R11" s="34">
        <f>TablaSTOCKINV[[#This Row],[P.UNITARIO]]*TablaSTOCKINV[[#This Row],[CANT. TOTAL]]</f>
        <v>0</v>
      </c>
      <c r="S11" s="44">
        <f>_xlfn.XLOOKUP(TablaSTOCKINV[[#This Row],[SKU]],TablaINVENTARIO[SKU],TablaINVENTARIO[FECHA INGRESO])</f>
        <v>46023</v>
      </c>
      <c r="T11" s="44">
        <f>_xlfn.XLOOKUP(TablaSTOCKINV[[#This Row],[SKU]],TablaENTRADA[SKU],TablaENTRADA[FECHA],,0,-1)</f>
        <v>46023</v>
      </c>
      <c r="U11" s="46" t="str">
        <f>IFERROR((_xlfn.XLOOKUP(TablaSTOCKINV[[#This Row],[SKU]],TablaSALIDA[SKU],TablaSALIDA[FECHA],,0,-1))," " )</f>
        <v xml:space="preserve"> </v>
      </c>
    </row>
    <row r="12" spans="1:21" x14ac:dyDescent="0.3">
      <c r="A12" s="27" t="s">
        <v>2278</v>
      </c>
      <c r="B12" s="32" t="str">
        <f>_xlfn.XLOOKUP(TablaSTOCKINV[[#This Row],[SKU]],TablaINVENTARIO[SKU],TablaINVENTARIO[DESCRIPCION])</f>
        <v xml:space="preserve">CABLE DE CONEXIÓN A RADIO </v>
      </c>
      <c r="C12" s="32" t="str">
        <f>_xlfn.XLOOKUP(TablaSTOCKINV[[#This Row],[SKU]],TablaINVENTARIO[SKU],TablaINVENTARIO[MARCA])</f>
        <v>BINGFU</v>
      </c>
      <c r="D12" s="33" t="str">
        <f>_xlfn.XLOOKUP(TablaSTOCKINV[[#This Row],[SKU]],TablaINVENTARIO[SKU],TablaINVENTARIO[CATEGORIA])</f>
        <v xml:space="preserve">TELECOMUNICACIONES </v>
      </c>
      <c r="E12" s="33" t="str">
        <f>_xlfn.XLOOKUP(TablaSTOCKINV[[#This Row],[SKU]],TablaINVENTARIO[SKU],TablaINVENTARIO[SUBCATEGORIA])</f>
        <v>ACCESORIO DE RED</v>
      </c>
      <c r="F12" s="33" t="str">
        <f>_xlfn.XLOOKUP(TablaSTOCKINV[[#This Row],[SKU]],TablaINVENTARIO[SKU],TablaINVENTARIO[ESTADO])</f>
        <v xml:space="preserve">NUEVO </v>
      </c>
      <c r="G12" s="33" t="str">
        <f>_xlfn.XLOOKUP(TablaSTOCKINV[[#This Row],[SKU]],TablaINVENTARIO[SKU],TablaINVENTARIO[MEDIDA])</f>
        <v>UND</v>
      </c>
      <c r="H12" s="33" t="str">
        <f>_xlfn.XLOOKUP(TablaSTOCKINV[[#This Row],[SKU]],TablaINVENTARIO[SKU],TablaINVENTARIO[SERIAL])</f>
        <v>N/A</v>
      </c>
      <c r="I12" s="34" t="str">
        <f>_xlfn.XLOOKUP(TablaSTOCKINV[[#This Row],[SKU]],TablaINVENTARIO[SKU],TablaINVENTARIO[ALMACEN])</f>
        <v>ALMACEN PRINCIPAL</v>
      </c>
      <c r="J12" s="34" t="str">
        <f>_xlfn.XLOOKUP(TablaSTOCKINV[[#This Row],[SKU]],TablaINVENTARIO[SKU],TablaINVENTARIO[UBICACION])</f>
        <v>C4</v>
      </c>
      <c r="K12" s="34" t="str">
        <f>_xlfn.XLOOKUP(TablaSTOCKINV[[#This Row],[SKU]],TablaINVENTARIO[SKU],TablaINVENTARIO[DPTO RESPONSABLE])</f>
        <v>AIT</v>
      </c>
      <c r="L12" s="36">
        <f>_xlfn.XLOOKUP(TablaSTOCKINV[[#This Row],[SKU]],TablaINVENTARIO[SKU],TablaINVENTARIO[RANGO MIN])</f>
        <v>0</v>
      </c>
      <c r="M12" s="34" cm="1">
        <f t="array" ref="M12">_xlfn.IFS(TablaSTOCKINV[[#This Row],[CANT. TOTAL]]&lt;=0,1,TablaSTOCKINV[[#This Row],[CANT. TOTAL]]&lt;=TablaSTOCKINV[[#This Row],[MIN]],2,TablaSTOCKINV[[#This Row],[CANT. TOTAL]]&gt;TablaSTOCKINV[[#This Row],[MIN]],3)</f>
        <v>3</v>
      </c>
      <c r="N12" s="34">
        <f>TablaSTOCKINV[[#This Row],[ENTRADAS]]-TablaSTOCKINV[[#This Row],[SALIDAS]]</f>
        <v>2</v>
      </c>
      <c r="O12" s="35">
        <f>SUMIFS(TablaENTRADA[CANT],TablaENTRADA[SKU],TablaSTOCKINV[[#This Row],[SKU]])</f>
        <v>2</v>
      </c>
      <c r="P12" s="35">
        <f>SUMIFS(TablaSALIDA[CANT],TablaSALIDA[SKU],TablaSTOCKINV[[#This Row],[SKU]])</f>
        <v>0</v>
      </c>
      <c r="Q12" s="34">
        <f>_xlfn.XLOOKUP(TablaSTOCKINV[[#This Row],[SKU]],TablaINVENTARIO[SKU],TablaINVENTARIO[PRECIO])</f>
        <v>0</v>
      </c>
      <c r="R12" s="34">
        <f>TablaSTOCKINV[[#This Row],[P.UNITARIO]]*TablaSTOCKINV[[#This Row],[CANT. TOTAL]]</f>
        <v>0</v>
      </c>
      <c r="S12" s="44">
        <f>_xlfn.XLOOKUP(TablaSTOCKINV[[#This Row],[SKU]],TablaINVENTARIO[SKU],TablaINVENTARIO[FECHA INGRESO])</f>
        <v>46023</v>
      </c>
      <c r="T12" s="44">
        <f>_xlfn.XLOOKUP(TablaSTOCKINV[[#This Row],[SKU]],TablaENTRADA[SKU],TablaENTRADA[FECHA],,0,-1)</f>
        <v>46023</v>
      </c>
      <c r="U12" s="46" t="str">
        <f>IFERROR((_xlfn.XLOOKUP(TablaSTOCKINV[[#This Row],[SKU]],TablaSALIDA[SKU],TablaSALIDA[FECHA],,0,-1))," " )</f>
        <v xml:space="preserve"> </v>
      </c>
    </row>
    <row r="13" spans="1:21" x14ac:dyDescent="0.3">
      <c r="A13" s="27" t="s">
        <v>2283</v>
      </c>
      <c r="B13" s="32" t="str">
        <f>_xlfn.XLOOKUP(TablaSTOCKINV[[#This Row],[SKU]],TablaINVENTARIO[SKU],TablaINVENTARIO[DESCRIPCION])</f>
        <v xml:space="preserve">ANTENA OMNI-DIRECCIONAL ADHESIVA </v>
      </c>
      <c r="C13" s="32" t="str">
        <f>_xlfn.XLOOKUP(TablaSTOCKINV[[#This Row],[SKU]],TablaINVENTARIO[SKU],TablaINVENTARIO[MARCA])</f>
        <v>SUPERBAT</v>
      </c>
      <c r="D13" s="33" t="str">
        <f>_xlfn.XLOOKUP(TablaSTOCKINV[[#This Row],[SKU]],TablaINVENTARIO[SKU],TablaINVENTARIO[CATEGORIA])</f>
        <v xml:space="preserve">TELECOMUNICACIONES </v>
      </c>
      <c r="E13" s="33" t="str">
        <f>_xlfn.XLOOKUP(TablaSTOCKINV[[#This Row],[SKU]],TablaINVENTARIO[SKU],TablaINVENTARIO[SUBCATEGORIA])</f>
        <v>ACCESORIO DE RED</v>
      </c>
      <c r="F13" s="33" t="str">
        <f>_xlfn.XLOOKUP(TablaSTOCKINV[[#This Row],[SKU]],TablaINVENTARIO[SKU],TablaINVENTARIO[ESTADO])</f>
        <v xml:space="preserve">NUEVO </v>
      </c>
      <c r="G13" s="33" t="str">
        <f>_xlfn.XLOOKUP(TablaSTOCKINV[[#This Row],[SKU]],TablaINVENTARIO[SKU],TablaINVENTARIO[MEDIDA])</f>
        <v>UND</v>
      </c>
      <c r="H13" s="33" t="str">
        <f>_xlfn.XLOOKUP(TablaSTOCKINV[[#This Row],[SKU]],TablaINVENTARIO[SKU],TablaINVENTARIO[SERIAL])</f>
        <v>N/A</v>
      </c>
      <c r="I13" s="34" t="str">
        <f>_xlfn.XLOOKUP(TablaSTOCKINV[[#This Row],[SKU]],TablaINVENTARIO[SKU],TablaINVENTARIO[ALMACEN])</f>
        <v>ALMACEN PRINCIPAL</v>
      </c>
      <c r="J13" s="34" t="str">
        <f>_xlfn.XLOOKUP(TablaSTOCKINV[[#This Row],[SKU]],TablaINVENTARIO[SKU],TablaINVENTARIO[UBICACION])</f>
        <v>C4</v>
      </c>
      <c r="K13" s="34" t="str">
        <f>_xlfn.XLOOKUP(TablaSTOCKINV[[#This Row],[SKU]],TablaINVENTARIO[SKU],TablaINVENTARIO[DPTO RESPONSABLE])</f>
        <v>AIT</v>
      </c>
      <c r="L13" s="36">
        <f>_xlfn.XLOOKUP(TablaSTOCKINV[[#This Row],[SKU]],TablaINVENTARIO[SKU],TablaINVENTARIO[RANGO MIN])</f>
        <v>0</v>
      </c>
      <c r="M13" s="34" cm="1">
        <f t="array" ref="M13">_xlfn.IFS(TablaSTOCKINV[[#This Row],[CANT. TOTAL]]&lt;=0,1,TablaSTOCKINV[[#This Row],[CANT. TOTAL]]&lt;=TablaSTOCKINV[[#This Row],[MIN]],2,TablaSTOCKINV[[#This Row],[CANT. TOTAL]]&gt;TablaSTOCKINV[[#This Row],[MIN]],3)</f>
        <v>3</v>
      </c>
      <c r="N13" s="34">
        <f>TablaSTOCKINV[[#This Row],[ENTRADAS]]-TablaSTOCKINV[[#This Row],[SALIDAS]]</f>
        <v>2</v>
      </c>
      <c r="O13" s="35">
        <f>SUMIFS(TablaENTRADA[CANT],TablaENTRADA[SKU],TablaSTOCKINV[[#This Row],[SKU]])</f>
        <v>2</v>
      </c>
      <c r="P13" s="35">
        <f>SUMIFS(TablaSALIDA[CANT],TablaSALIDA[SKU],TablaSTOCKINV[[#This Row],[SKU]])</f>
        <v>0</v>
      </c>
      <c r="Q13" s="34">
        <f>_xlfn.XLOOKUP(TablaSTOCKINV[[#This Row],[SKU]],TablaINVENTARIO[SKU],TablaINVENTARIO[PRECIO])</f>
        <v>0</v>
      </c>
      <c r="R13" s="34">
        <f>TablaSTOCKINV[[#This Row],[P.UNITARIO]]*TablaSTOCKINV[[#This Row],[CANT. TOTAL]]</f>
        <v>0</v>
      </c>
      <c r="S13" s="44">
        <f>_xlfn.XLOOKUP(TablaSTOCKINV[[#This Row],[SKU]],TablaINVENTARIO[SKU],TablaINVENTARIO[FECHA INGRESO])</f>
        <v>46023</v>
      </c>
      <c r="T13" s="44">
        <f>_xlfn.XLOOKUP(TablaSTOCKINV[[#This Row],[SKU]],TablaENTRADA[SKU],TablaENTRADA[FECHA],,0,-1)</f>
        <v>46023</v>
      </c>
      <c r="U13" s="46" t="str">
        <f>IFERROR((_xlfn.XLOOKUP(TablaSTOCKINV[[#This Row],[SKU]],TablaSALIDA[SKU],TablaSALIDA[FECHA],,0,-1))," " )</f>
        <v xml:space="preserve"> </v>
      </c>
    </row>
    <row r="14" spans="1:21" x14ac:dyDescent="0.3">
      <c r="A14" s="27" t="s">
        <v>2286</v>
      </c>
      <c r="B14" s="32" t="str">
        <f>_xlfn.XLOOKUP(TablaSTOCKINV[[#This Row],[SKU]],TablaINVENTARIO[SKU],TablaINVENTARIO[DESCRIPCION])</f>
        <v>EXTENSOR ADAPTADOR USB A RJ45</v>
      </c>
      <c r="C14" s="32" t="str">
        <f>_xlfn.XLOOKUP(TablaSTOCKINV[[#This Row],[SKU]],TablaINVENTARIO[SKU],TablaINVENTARIO[MARCA])</f>
        <v>N/A</v>
      </c>
      <c r="D14" s="33" t="str">
        <f>_xlfn.XLOOKUP(TablaSTOCKINV[[#This Row],[SKU]],TablaINVENTARIO[SKU],TablaINVENTARIO[CATEGORIA])</f>
        <v xml:space="preserve">TELECOMUNICACIONES </v>
      </c>
      <c r="E14" s="33" t="str">
        <f>_xlfn.XLOOKUP(TablaSTOCKINV[[#This Row],[SKU]],TablaINVENTARIO[SKU],TablaINVENTARIO[SUBCATEGORIA])</f>
        <v>ACCESORIO DE RED</v>
      </c>
      <c r="F14" s="33" t="str">
        <f>_xlfn.XLOOKUP(TablaSTOCKINV[[#This Row],[SKU]],TablaINVENTARIO[SKU],TablaINVENTARIO[ESTADO])</f>
        <v xml:space="preserve">NUEVO </v>
      </c>
      <c r="G14" s="33" t="str">
        <f>_xlfn.XLOOKUP(TablaSTOCKINV[[#This Row],[SKU]],TablaINVENTARIO[SKU],TablaINVENTARIO[MEDIDA])</f>
        <v>UND</v>
      </c>
      <c r="H14" s="33" t="str">
        <f>_xlfn.XLOOKUP(TablaSTOCKINV[[#This Row],[SKU]],TablaINVENTARIO[SKU],TablaINVENTARIO[SERIAL])</f>
        <v>N/A</v>
      </c>
      <c r="I14" s="34" t="str">
        <f>_xlfn.XLOOKUP(TablaSTOCKINV[[#This Row],[SKU]],TablaINVENTARIO[SKU],TablaINVENTARIO[ALMACEN])</f>
        <v>ALMACEN PRINCIPAL</v>
      </c>
      <c r="J14" s="34" t="str">
        <f>_xlfn.XLOOKUP(TablaSTOCKINV[[#This Row],[SKU]],TablaINVENTARIO[SKU],TablaINVENTARIO[UBICACION])</f>
        <v>C4</v>
      </c>
      <c r="K14" s="34" t="str">
        <f>_xlfn.XLOOKUP(TablaSTOCKINV[[#This Row],[SKU]],TablaINVENTARIO[SKU],TablaINVENTARIO[DPTO RESPONSABLE])</f>
        <v>AIT</v>
      </c>
      <c r="L14" s="36">
        <f>_xlfn.XLOOKUP(TablaSTOCKINV[[#This Row],[SKU]],TablaINVENTARIO[SKU],TablaINVENTARIO[RANGO MIN])</f>
        <v>0</v>
      </c>
      <c r="M14" s="34" cm="1">
        <f t="array" ref="M14">_xlfn.IFS(TablaSTOCKINV[[#This Row],[CANT. TOTAL]]&lt;=0,1,TablaSTOCKINV[[#This Row],[CANT. TOTAL]]&lt;=TablaSTOCKINV[[#This Row],[MIN]],2,TablaSTOCKINV[[#This Row],[CANT. TOTAL]]&gt;TablaSTOCKINV[[#This Row],[MIN]],3)</f>
        <v>3</v>
      </c>
      <c r="N14" s="34">
        <f>TablaSTOCKINV[[#This Row],[ENTRADAS]]-TablaSTOCKINV[[#This Row],[SALIDAS]]</f>
        <v>2</v>
      </c>
      <c r="O14" s="35">
        <f>SUMIFS(TablaENTRADA[CANT],TablaENTRADA[SKU],TablaSTOCKINV[[#This Row],[SKU]])</f>
        <v>2</v>
      </c>
      <c r="P14" s="35">
        <f>SUMIFS(TablaSALIDA[CANT],TablaSALIDA[SKU],TablaSTOCKINV[[#This Row],[SKU]])</f>
        <v>0</v>
      </c>
      <c r="Q14" s="34">
        <f>_xlfn.XLOOKUP(TablaSTOCKINV[[#This Row],[SKU]],TablaINVENTARIO[SKU],TablaINVENTARIO[PRECIO])</f>
        <v>0</v>
      </c>
      <c r="R14" s="34">
        <f>TablaSTOCKINV[[#This Row],[P.UNITARIO]]*TablaSTOCKINV[[#This Row],[CANT. TOTAL]]</f>
        <v>0</v>
      </c>
      <c r="S14" s="44">
        <f>_xlfn.XLOOKUP(TablaSTOCKINV[[#This Row],[SKU]],TablaINVENTARIO[SKU],TablaINVENTARIO[FECHA INGRESO])</f>
        <v>46023</v>
      </c>
      <c r="T14" s="44">
        <f>_xlfn.XLOOKUP(TablaSTOCKINV[[#This Row],[SKU]],TablaENTRADA[SKU],TablaENTRADA[FECHA],,0,-1)</f>
        <v>46023</v>
      </c>
      <c r="U14" s="46" t="str">
        <f>IFERROR((_xlfn.XLOOKUP(TablaSTOCKINV[[#This Row],[SKU]],TablaSALIDA[SKU],TablaSALIDA[FECHA],,0,-1))," " )</f>
        <v xml:space="preserve"> </v>
      </c>
    </row>
    <row r="15" spans="1:21" x14ac:dyDescent="0.3">
      <c r="A15" s="27" t="s">
        <v>2288</v>
      </c>
      <c r="B15" s="32" t="str">
        <f>_xlfn.XLOOKUP(TablaSTOCKINV[[#This Row],[SKU]],TablaINVENTARIO[SKU],TablaINVENTARIO[DESCRIPCION])</f>
        <v>CONECTOR RJ45 MACHO CAT 5E</v>
      </c>
      <c r="C15" s="32" t="str">
        <f>_xlfn.XLOOKUP(TablaSTOCKINV[[#This Row],[SKU]],TablaINVENTARIO[SKU],TablaINVENTARIO[MARCA])</f>
        <v>N/A</v>
      </c>
      <c r="D15" s="33" t="str">
        <f>_xlfn.XLOOKUP(TablaSTOCKINV[[#This Row],[SKU]],TablaINVENTARIO[SKU],TablaINVENTARIO[CATEGORIA])</f>
        <v xml:space="preserve">TELECOMUNICACIONES </v>
      </c>
      <c r="E15" s="33" t="str">
        <f>_xlfn.XLOOKUP(TablaSTOCKINV[[#This Row],[SKU]],TablaINVENTARIO[SKU],TablaINVENTARIO[SUBCATEGORIA])</f>
        <v>ACCESORIO DE RED</v>
      </c>
      <c r="F15" s="33" t="str">
        <f>_xlfn.XLOOKUP(TablaSTOCKINV[[#This Row],[SKU]],TablaINVENTARIO[SKU],TablaINVENTARIO[ESTADO])</f>
        <v xml:space="preserve">NUEVO </v>
      </c>
      <c r="G15" s="33" t="str">
        <f>_xlfn.XLOOKUP(TablaSTOCKINV[[#This Row],[SKU]],TablaINVENTARIO[SKU],TablaINVENTARIO[MEDIDA])</f>
        <v>UND</v>
      </c>
      <c r="H15" s="33" t="str">
        <f>_xlfn.XLOOKUP(TablaSTOCKINV[[#This Row],[SKU]],TablaINVENTARIO[SKU],TablaINVENTARIO[SERIAL])</f>
        <v>N/A</v>
      </c>
      <c r="I15" s="34" t="str">
        <f>_xlfn.XLOOKUP(TablaSTOCKINV[[#This Row],[SKU]],TablaINVENTARIO[SKU],TablaINVENTARIO[ALMACEN])</f>
        <v>ALMACEN PRINCIPAL</v>
      </c>
      <c r="J15" s="34" t="str">
        <f>_xlfn.XLOOKUP(TablaSTOCKINV[[#This Row],[SKU]],TablaINVENTARIO[SKU],TablaINVENTARIO[UBICACION])</f>
        <v>C4</v>
      </c>
      <c r="K15" s="34" t="str">
        <f>_xlfn.XLOOKUP(TablaSTOCKINV[[#This Row],[SKU]],TablaINVENTARIO[SKU],TablaINVENTARIO[DPTO RESPONSABLE])</f>
        <v>AIT</v>
      </c>
      <c r="L15" s="36">
        <f>_xlfn.XLOOKUP(TablaSTOCKINV[[#This Row],[SKU]],TablaINVENTARIO[SKU],TablaINVENTARIO[RANGO MIN])</f>
        <v>0</v>
      </c>
      <c r="M15" s="34" cm="1">
        <f t="array" ref="M15">_xlfn.IFS(TablaSTOCKINV[[#This Row],[CANT. TOTAL]]&lt;=0,1,TablaSTOCKINV[[#This Row],[CANT. TOTAL]]&lt;=TablaSTOCKINV[[#This Row],[MIN]],2,TablaSTOCKINV[[#This Row],[CANT. TOTAL]]&gt;TablaSTOCKINV[[#This Row],[MIN]],3)</f>
        <v>3</v>
      </c>
      <c r="N15" s="34">
        <f>TablaSTOCKINV[[#This Row],[ENTRADAS]]-TablaSTOCKINV[[#This Row],[SALIDAS]]</f>
        <v>14</v>
      </c>
      <c r="O15" s="35">
        <f>SUMIFS(TablaENTRADA[CANT],TablaENTRADA[SKU],TablaSTOCKINV[[#This Row],[SKU]])</f>
        <v>14</v>
      </c>
      <c r="P15" s="35">
        <f>SUMIFS(TablaSALIDA[CANT],TablaSALIDA[SKU],TablaSTOCKINV[[#This Row],[SKU]])</f>
        <v>0</v>
      </c>
      <c r="Q15" s="34">
        <f>_xlfn.XLOOKUP(TablaSTOCKINV[[#This Row],[SKU]],TablaINVENTARIO[SKU],TablaINVENTARIO[PRECIO])</f>
        <v>0</v>
      </c>
      <c r="R15" s="34">
        <f>TablaSTOCKINV[[#This Row],[P.UNITARIO]]*TablaSTOCKINV[[#This Row],[CANT. TOTAL]]</f>
        <v>0</v>
      </c>
      <c r="S15" s="44">
        <f>_xlfn.XLOOKUP(TablaSTOCKINV[[#This Row],[SKU]],TablaINVENTARIO[SKU],TablaINVENTARIO[FECHA INGRESO])</f>
        <v>46023</v>
      </c>
      <c r="T15" s="44">
        <f>_xlfn.XLOOKUP(TablaSTOCKINV[[#This Row],[SKU]],TablaENTRADA[SKU],TablaENTRADA[FECHA],,0,-1)</f>
        <v>46023</v>
      </c>
      <c r="U15" s="46" t="str">
        <f>IFERROR((_xlfn.XLOOKUP(TablaSTOCKINV[[#This Row],[SKU]],TablaSALIDA[SKU],TablaSALIDA[FECHA],,0,-1))," " )</f>
        <v xml:space="preserve"> </v>
      </c>
    </row>
    <row r="16" spans="1:21" x14ac:dyDescent="0.3">
      <c r="A16" s="27" t="s">
        <v>2290</v>
      </c>
      <c r="B16" s="32" t="str">
        <f>_xlfn.XLOOKUP(TablaSTOCKINV[[#This Row],[SKU]],TablaINVENTARIO[SKU],TablaINVENTARIO[DESCRIPCION])</f>
        <v>CONECTOR JACK CAT 6</v>
      </c>
      <c r="C16" s="32" t="str">
        <f>_xlfn.XLOOKUP(TablaSTOCKINV[[#This Row],[SKU]],TablaINVENTARIO[SKU],TablaINVENTARIO[MARCA])</f>
        <v xml:space="preserve">NEXXT SOLUTIONS </v>
      </c>
      <c r="D16" s="33" t="str">
        <f>_xlfn.XLOOKUP(TablaSTOCKINV[[#This Row],[SKU]],TablaINVENTARIO[SKU],TablaINVENTARIO[CATEGORIA])</f>
        <v xml:space="preserve">TELECOMUNICACIONES </v>
      </c>
      <c r="E16" s="33" t="str">
        <f>_xlfn.XLOOKUP(TablaSTOCKINV[[#This Row],[SKU]],TablaINVENTARIO[SKU],TablaINVENTARIO[SUBCATEGORIA])</f>
        <v>ACCESORIO DE RED</v>
      </c>
      <c r="F16" s="33" t="str">
        <f>_xlfn.XLOOKUP(TablaSTOCKINV[[#This Row],[SKU]],TablaINVENTARIO[SKU],TablaINVENTARIO[ESTADO])</f>
        <v xml:space="preserve">NUEVO </v>
      </c>
      <c r="G16" s="33" t="str">
        <f>_xlfn.XLOOKUP(TablaSTOCKINV[[#This Row],[SKU]],TablaINVENTARIO[SKU],TablaINVENTARIO[MEDIDA])</f>
        <v>UND</v>
      </c>
      <c r="H16" s="33" t="str">
        <f>_xlfn.XLOOKUP(TablaSTOCKINV[[#This Row],[SKU]],TablaINVENTARIO[SKU],TablaINVENTARIO[SERIAL])</f>
        <v>N/A</v>
      </c>
      <c r="I16" s="34" t="str">
        <f>_xlfn.XLOOKUP(TablaSTOCKINV[[#This Row],[SKU]],TablaINVENTARIO[SKU],TablaINVENTARIO[ALMACEN])</f>
        <v>ALMACEN PRINCIPAL</v>
      </c>
      <c r="J16" s="34" t="str">
        <f>_xlfn.XLOOKUP(TablaSTOCKINV[[#This Row],[SKU]],TablaINVENTARIO[SKU],TablaINVENTARIO[UBICACION])</f>
        <v>C4</v>
      </c>
      <c r="K16" s="34" t="str">
        <f>_xlfn.XLOOKUP(TablaSTOCKINV[[#This Row],[SKU]],TablaINVENTARIO[SKU],TablaINVENTARIO[DPTO RESPONSABLE])</f>
        <v>AIT</v>
      </c>
      <c r="L16" s="36">
        <f>_xlfn.XLOOKUP(TablaSTOCKINV[[#This Row],[SKU]],TablaINVENTARIO[SKU],TablaINVENTARIO[RANGO MIN])</f>
        <v>0</v>
      </c>
      <c r="M16" s="34" cm="1">
        <f t="array" ref="M16">_xlfn.IFS(TablaSTOCKINV[[#This Row],[CANT. TOTAL]]&lt;=0,1,TablaSTOCKINV[[#This Row],[CANT. TOTAL]]&lt;=TablaSTOCKINV[[#This Row],[MIN]],2,TablaSTOCKINV[[#This Row],[CANT. TOTAL]]&gt;TablaSTOCKINV[[#This Row],[MIN]],3)</f>
        <v>3</v>
      </c>
      <c r="N16" s="34">
        <f>TablaSTOCKINV[[#This Row],[ENTRADAS]]-TablaSTOCKINV[[#This Row],[SALIDAS]]</f>
        <v>3</v>
      </c>
      <c r="O16" s="35">
        <f>SUMIFS(TablaENTRADA[CANT],TablaENTRADA[SKU],TablaSTOCKINV[[#This Row],[SKU]])</f>
        <v>3</v>
      </c>
      <c r="P16" s="35">
        <f>SUMIFS(TablaSALIDA[CANT],TablaSALIDA[SKU],TablaSTOCKINV[[#This Row],[SKU]])</f>
        <v>0</v>
      </c>
      <c r="Q16" s="34">
        <f>_xlfn.XLOOKUP(TablaSTOCKINV[[#This Row],[SKU]],TablaINVENTARIO[SKU],TablaINVENTARIO[PRECIO])</f>
        <v>0</v>
      </c>
      <c r="R16" s="34">
        <f>TablaSTOCKINV[[#This Row],[P.UNITARIO]]*TablaSTOCKINV[[#This Row],[CANT. TOTAL]]</f>
        <v>0</v>
      </c>
      <c r="S16" s="44">
        <f>_xlfn.XLOOKUP(TablaSTOCKINV[[#This Row],[SKU]],TablaINVENTARIO[SKU],TablaINVENTARIO[FECHA INGRESO])</f>
        <v>46023</v>
      </c>
      <c r="T16" s="44">
        <f>_xlfn.XLOOKUP(TablaSTOCKINV[[#This Row],[SKU]],TablaENTRADA[SKU],TablaENTRADA[FECHA],,0,-1)</f>
        <v>46023</v>
      </c>
      <c r="U16" s="46" t="str">
        <f>IFERROR((_xlfn.XLOOKUP(TablaSTOCKINV[[#This Row],[SKU]],TablaSALIDA[SKU],TablaSALIDA[FECHA],,0,-1))," " )</f>
        <v xml:space="preserve"> </v>
      </c>
    </row>
    <row r="17" spans="1:21" x14ac:dyDescent="0.3">
      <c r="A17" s="27" t="s">
        <v>2293</v>
      </c>
      <c r="B17" s="32" t="str">
        <f>_xlfn.XLOOKUP(TablaSTOCKINV[[#This Row],[SKU]],TablaINVENTARIO[SKU],TablaINVENTARIO[DESCRIPCION])</f>
        <v xml:space="preserve">PLACA DE PARED PARA CONECTOR RJ </v>
      </c>
      <c r="C17" s="32" t="str">
        <f>_xlfn.XLOOKUP(TablaSTOCKINV[[#This Row],[SKU]],TablaINVENTARIO[SKU],TablaINVENTARIO[MARCA])</f>
        <v xml:space="preserve">NEXXT SOLUTIONS </v>
      </c>
      <c r="D17" s="33" t="str">
        <f>_xlfn.XLOOKUP(TablaSTOCKINV[[#This Row],[SKU]],TablaINVENTARIO[SKU],TablaINVENTARIO[CATEGORIA])</f>
        <v xml:space="preserve">TELECOMUNICACIONES </v>
      </c>
      <c r="E17" s="33" t="str">
        <f>_xlfn.XLOOKUP(TablaSTOCKINV[[#This Row],[SKU]],TablaINVENTARIO[SKU],TablaINVENTARIO[SUBCATEGORIA])</f>
        <v>ACCESORIO</v>
      </c>
      <c r="F17" s="33" t="str">
        <f>_xlfn.XLOOKUP(TablaSTOCKINV[[#This Row],[SKU]],TablaINVENTARIO[SKU],TablaINVENTARIO[ESTADO])</f>
        <v xml:space="preserve">NUEVO </v>
      </c>
      <c r="G17" s="33" t="str">
        <f>_xlfn.XLOOKUP(TablaSTOCKINV[[#This Row],[SKU]],TablaINVENTARIO[SKU],TablaINVENTARIO[MEDIDA])</f>
        <v>UND</v>
      </c>
      <c r="H17" s="33" t="str">
        <f>_xlfn.XLOOKUP(TablaSTOCKINV[[#This Row],[SKU]],TablaINVENTARIO[SKU],TablaINVENTARIO[SERIAL])</f>
        <v>N/A</v>
      </c>
      <c r="I17" s="34" t="str">
        <f>_xlfn.XLOOKUP(TablaSTOCKINV[[#This Row],[SKU]],TablaINVENTARIO[SKU],TablaINVENTARIO[ALMACEN])</f>
        <v>ALMACEN PRINCIPAL</v>
      </c>
      <c r="J17" s="34" t="str">
        <f>_xlfn.XLOOKUP(TablaSTOCKINV[[#This Row],[SKU]],TablaINVENTARIO[SKU],TablaINVENTARIO[UBICACION])</f>
        <v>C4</v>
      </c>
      <c r="K17" s="34" t="str">
        <f>_xlfn.XLOOKUP(TablaSTOCKINV[[#This Row],[SKU]],TablaINVENTARIO[SKU],TablaINVENTARIO[DPTO RESPONSABLE])</f>
        <v>AIT</v>
      </c>
      <c r="L17" s="36">
        <f>_xlfn.XLOOKUP(TablaSTOCKINV[[#This Row],[SKU]],TablaINVENTARIO[SKU],TablaINVENTARIO[RANGO MIN])</f>
        <v>0</v>
      </c>
      <c r="M17" s="34" cm="1">
        <f t="array" ref="M17">_xlfn.IFS(TablaSTOCKINV[[#This Row],[CANT. TOTAL]]&lt;=0,1,TablaSTOCKINV[[#This Row],[CANT. TOTAL]]&lt;=TablaSTOCKINV[[#This Row],[MIN]],2,TablaSTOCKINV[[#This Row],[CANT. TOTAL]]&gt;TablaSTOCKINV[[#This Row],[MIN]],3)</f>
        <v>3</v>
      </c>
      <c r="N17" s="34">
        <f>TablaSTOCKINV[[#This Row],[ENTRADAS]]-TablaSTOCKINV[[#This Row],[SALIDAS]]</f>
        <v>4</v>
      </c>
      <c r="O17" s="35">
        <f>SUMIFS(TablaENTRADA[CANT],TablaENTRADA[SKU],TablaSTOCKINV[[#This Row],[SKU]])</f>
        <v>4</v>
      </c>
      <c r="P17" s="35">
        <f>SUMIFS(TablaSALIDA[CANT],TablaSALIDA[SKU],TablaSTOCKINV[[#This Row],[SKU]])</f>
        <v>0</v>
      </c>
      <c r="Q17" s="34">
        <f>_xlfn.XLOOKUP(TablaSTOCKINV[[#This Row],[SKU]],TablaINVENTARIO[SKU],TablaINVENTARIO[PRECIO])</f>
        <v>0</v>
      </c>
      <c r="R17" s="34">
        <f>TablaSTOCKINV[[#This Row],[P.UNITARIO]]*TablaSTOCKINV[[#This Row],[CANT. TOTAL]]</f>
        <v>0</v>
      </c>
      <c r="S17" s="44">
        <f>_xlfn.XLOOKUP(TablaSTOCKINV[[#This Row],[SKU]],TablaINVENTARIO[SKU],TablaINVENTARIO[FECHA INGRESO])</f>
        <v>46023</v>
      </c>
      <c r="T17" s="44">
        <f>_xlfn.XLOOKUP(TablaSTOCKINV[[#This Row],[SKU]],TablaENTRADA[SKU],TablaENTRADA[FECHA],,0,-1)</f>
        <v>46023</v>
      </c>
      <c r="U17" s="46" t="str">
        <f>IFERROR((_xlfn.XLOOKUP(TablaSTOCKINV[[#This Row],[SKU]],TablaSALIDA[SKU],TablaSALIDA[FECHA],,0,-1))," " )</f>
        <v xml:space="preserve"> </v>
      </c>
    </row>
    <row r="18" spans="1:21" x14ac:dyDescent="0.3">
      <c r="A18" s="27" t="s">
        <v>2296</v>
      </c>
      <c r="B18" s="32" t="str">
        <f>_xlfn.XLOOKUP(TablaSTOCKINV[[#This Row],[SKU]],TablaINVENTARIO[SKU],TablaINVENTARIO[DESCRIPCION])</f>
        <v xml:space="preserve">CABLE DE AUDIO Y VIDEO </v>
      </c>
      <c r="C18" s="32" t="str">
        <f>_xlfn.XLOOKUP(TablaSTOCKINV[[#This Row],[SKU]],TablaINVENTARIO[SKU],TablaINVENTARIO[MARCA])</f>
        <v>N/A</v>
      </c>
      <c r="D18" s="33" t="str">
        <f>_xlfn.XLOOKUP(TablaSTOCKINV[[#This Row],[SKU]],TablaINVENTARIO[SKU],TablaINVENTARIO[CATEGORIA])</f>
        <v xml:space="preserve">TELECOMUNICACIONES </v>
      </c>
      <c r="E18" s="33" t="str">
        <f>_xlfn.XLOOKUP(TablaSTOCKINV[[#This Row],[SKU]],TablaINVENTARIO[SKU],TablaINVENTARIO[SUBCATEGORIA])</f>
        <v>ACCESORIO</v>
      </c>
      <c r="F18" s="33" t="str">
        <f>_xlfn.XLOOKUP(TablaSTOCKINV[[#This Row],[SKU]],TablaINVENTARIO[SKU],TablaINVENTARIO[ESTADO])</f>
        <v xml:space="preserve">NUEVO </v>
      </c>
      <c r="G18" s="33" t="str">
        <f>_xlfn.XLOOKUP(TablaSTOCKINV[[#This Row],[SKU]],TablaINVENTARIO[SKU],TablaINVENTARIO[MEDIDA])</f>
        <v>UND</v>
      </c>
      <c r="H18" s="33" t="str">
        <f>_xlfn.XLOOKUP(TablaSTOCKINV[[#This Row],[SKU]],TablaINVENTARIO[SKU],TablaINVENTARIO[SERIAL])</f>
        <v>N/A</v>
      </c>
      <c r="I18" s="34" t="str">
        <f>_xlfn.XLOOKUP(TablaSTOCKINV[[#This Row],[SKU]],TablaINVENTARIO[SKU],TablaINVENTARIO[ALMACEN])</f>
        <v>ALMACEN PRINCIPAL</v>
      </c>
      <c r="J18" s="34" t="str">
        <f>_xlfn.XLOOKUP(TablaSTOCKINV[[#This Row],[SKU]],TablaINVENTARIO[SKU],TablaINVENTARIO[UBICACION])</f>
        <v>C4</v>
      </c>
      <c r="K18" s="34" t="str">
        <f>_xlfn.XLOOKUP(TablaSTOCKINV[[#This Row],[SKU]],TablaINVENTARIO[SKU],TablaINVENTARIO[DPTO RESPONSABLE])</f>
        <v>AIT</v>
      </c>
      <c r="L18" s="36">
        <f>_xlfn.XLOOKUP(TablaSTOCKINV[[#This Row],[SKU]],TablaINVENTARIO[SKU],TablaINVENTARIO[RANGO MIN])</f>
        <v>0</v>
      </c>
      <c r="M18" s="34" cm="1">
        <f t="array" ref="M18">_xlfn.IFS(TablaSTOCKINV[[#This Row],[CANT. TOTAL]]&lt;=0,1,TablaSTOCKINV[[#This Row],[CANT. TOTAL]]&lt;=TablaSTOCKINV[[#This Row],[MIN]],2,TablaSTOCKINV[[#This Row],[CANT. TOTAL]]&gt;TablaSTOCKINV[[#This Row],[MIN]],3)</f>
        <v>3</v>
      </c>
      <c r="N18" s="34">
        <f>TablaSTOCKINV[[#This Row],[ENTRADAS]]-TablaSTOCKINV[[#This Row],[SALIDAS]]</f>
        <v>1</v>
      </c>
      <c r="O18" s="35">
        <f>SUMIFS(TablaENTRADA[CANT],TablaENTRADA[SKU],TablaSTOCKINV[[#This Row],[SKU]])</f>
        <v>1</v>
      </c>
      <c r="P18" s="35">
        <f>SUMIFS(TablaSALIDA[CANT],TablaSALIDA[SKU],TablaSTOCKINV[[#This Row],[SKU]])</f>
        <v>0</v>
      </c>
      <c r="Q18" s="34">
        <f>_xlfn.XLOOKUP(TablaSTOCKINV[[#This Row],[SKU]],TablaINVENTARIO[SKU],TablaINVENTARIO[PRECIO])</f>
        <v>0</v>
      </c>
      <c r="R18" s="34">
        <f>TablaSTOCKINV[[#This Row],[P.UNITARIO]]*TablaSTOCKINV[[#This Row],[CANT. TOTAL]]</f>
        <v>0</v>
      </c>
      <c r="S18" s="44">
        <f>_xlfn.XLOOKUP(TablaSTOCKINV[[#This Row],[SKU]],TablaINVENTARIO[SKU],TablaINVENTARIO[FECHA INGRESO])</f>
        <v>46023</v>
      </c>
      <c r="T18" s="44">
        <f>_xlfn.XLOOKUP(TablaSTOCKINV[[#This Row],[SKU]],TablaENTRADA[SKU],TablaENTRADA[FECHA],,0,-1)</f>
        <v>46023</v>
      </c>
      <c r="U18" s="46" t="str">
        <f>IFERROR((_xlfn.XLOOKUP(TablaSTOCKINV[[#This Row],[SKU]],TablaSALIDA[SKU],TablaSALIDA[FECHA],,0,-1))," " )</f>
        <v xml:space="preserve"> </v>
      </c>
    </row>
    <row r="19" spans="1:21" x14ac:dyDescent="0.3">
      <c r="A19" s="27" t="s">
        <v>2298</v>
      </c>
      <c r="B19" s="32" t="str">
        <f>_xlfn.XLOOKUP(TablaSTOCKINV[[#This Row],[SKU]],TablaINVENTARIO[SKU],TablaINVENTARIO[DESCRIPCION])</f>
        <v>PLACA DE PARED PARA CONECTOR RJ MACHO</v>
      </c>
      <c r="C19" s="32" t="str">
        <f>_xlfn.XLOOKUP(TablaSTOCKINV[[#This Row],[SKU]],TablaINVENTARIO[SKU],TablaINVENTARIO[MARCA])</f>
        <v>N/A</v>
      </c>
      <c r="D19" s="33" t="str">
        <f>_xlfn.XLOOKUP(TablaSTOCKINV[[#This Row],[SKU]],TablaINVENTARIO[SKU],TablaINVENTARIO[CATEGORIA])</f>
        <v xml:space="preserve">TELECOMUNICACIONES </v>
      </c>
      <c r="E19" s="33" t="str">
        <f>_xlfn.XLOOKUP(TablaSTOCKINV[[#This Row],[SKU]],TablaINVENTARIO[SKU],TablaINVENTARIO[SUBCATEGORIA])</f>
        <v>ACCESORIO</v>
      </c>
      <c r="F19" s="33" t="str">
        <f>_xlfn.XLOOKUP(TablaSTOCKINV[[#This Row],[SKU]],TablaINVENTARIO[SKU],TablaINVENTARIO[ESTADO])</f>
        <v xml:space="preserve">NUEVO </v>
      </c>
      <c r="G19" s="33" t="str">
        <f>_xlfn.XLOOKUP(TablaSTOCKINV[[#This Row],[SKU]],TablaINVENTARIO[SKU],TablaINVENTARIO[MEDIDA])</f>
        <v>UND</v>
      </c>
      <c r="H19" s="33" t="str">
        <f>_xlfn.XLOOKUP(TablaSTOCKINV[[#This Row],[SKU]],TablaINVENTARIO[SKU],TablaINVENTARIO[SERIAL])</f>
        <v>N/A</v>
      </c>
      <c r="I19" s="34" t="str">
        <f>_xlfn.XLOOKUP(TablaSTOCKINV[[#This Row],[SKU]],TablaINVENTARIO[SKU],TablaINVENTARIO[ALMACEN])</f>
        <v>ALMACEN PRINCIPAL</v>
      </c>
      <c r="J19" s="34" t="str">
        <f>_xlfn.XLOOKUP(TablaSTOCKINV[[#This Row],[SKU]],TablaINVENTARIO[SKU],TablaINVENTARIO[UBICACION])</f>
        <v>C4</v>
      </c>
      <c r="K19" s="34" t="str">
        <f>_xlfn.XLOOKUP(TablaSTOCKINV[[#This Row],[SKU]],TablaINVENTARIO[SKU],TablaINVENTARIO[DPTO RESPONSABLE])</f>
        <v>AIT</v>
      </c>
      <c r="L19" s="36">
        <f>_xlfn.XLOOKUP(TablaSTOCKINV[[#This Row],[SKU]],TablaINVENTARIO[SKU],TablaINVENTARIO[RANGO MIN])</f>
        <v>0</v>
      </c>
      <c r="M19" s="34" cm="1">
        <f t="array" ref="M19">_xlfn.IFS(TablaSTOCKINV[[#This Row],[CANT. TOTAL]]&lt;=0,1,TablaSTOCKINV[[#This Row],[CANT. TOTAL]]&lt;=TablaSTOCKINV[[#This Row],[MIN]],2,TablaSTOCKINV[[#This Row],[CANT. TOTAL]]&gt;TablaSTOCKINV[[#This Row],[MIN]],3)</f>
        <v>3</v>
      </c>
      <c r="N19" s="34">
        <f>TablaSTOCKINV[[#This Row],[ENTRADAS]]-TablaSTOCKINV[[#This Row],[SALIDAS]]</f>
        <v>1</v>
      </c>
      <c r="O19" s="35">
        <f>SUMIFS(TablaENTRADA[CANT],TablaENTRADA[SKU],TablaSTOCKINV[[#This Row],[SKU]])</f>
        <v>1</v>
      </c>
      <c r="P19" s="35">
        <f>SUMIFS(TablaSALIDA[CANT],TablaSALIDA[SKU],TablaSTOCKINV[[#This Row],[SKU]])</f>
        <v>0</v>
      </c>
      <c r="Q19" s="34">
        <f>_xlfn.XLOOKUP(TablaSTOCKINV[[#This Row],[SKU]],TablaINVENTARIO[SKU],TablaINVENTARIO[PRECIO])</f>
        <v>0</v>
      </c>
      <c r="R19" s="34">
        <f>TablaSTOCKINV[[#This Row],[P.UNITARIO]]*TablaSTOCKINV[[#This Row],[CANT. TOTAL]]</f>
        <v>0</v>
      </c>
      <c r="S19" s="44">
        <f>_xlfn.XLOOKUP(TablaSTOCKINV[[#This Row],[SKU]],TablaINVENTARIO[SKU],TablaINVENTARIO[FECHA INGRESO])</f>
        <v>46023</v>
      </c>
      <c r="T19" s="44">
        <f>_xlfn.XLOOKUP(TablaSTOCKINV[[#This Row],[SKU]],TablaENTRADA[SKU],TablaENTRADA[FECHA],,0,-1)</f>
        <v>46023</v>
      </c>
      <c r="U19" s="46" t="str">
        <f>IFERROR((_xlfn.XLOOKUP(TablaSTOCKINV[[#This Row],[SKU]],TablaSALIDA[SKU],TablaSALIDA[FECHA],,0,-1))," " )</f>
        <v xml:space="preserve"> </v>
      </c>
    </row>
    <row r="20" spans="1:21" x14ac:dyDescent="0.3">
      <c r="A20" s="27" t="s">
        <v>2300</v>
      </c>
      <c r="B20" s="32" t="str">
        <f>_xlfn.XLOOKUP(TablaSTOCKINV[[#This Row],[SKU]],TablaINVENTARIO[SKU],TablaINVENTARIO[DESCRIPCION])</f>
        <v>CONECTOR MACHO RCA</v>
      </c>
      <c r="C20" s="32" t="str">
        <f>_xlfn.XLOOKUP(TablaSTOCKINV[[#This Row],[SKU]],TablaINVENTARIO[SKU],TablaINVENTARIO[MARCA])</f>
        <v>N/A</v>
      </c>
      <c r="D20" s="33" t="str">
        <f>_xlfn.XLOOKUP(TablaSTOCKINV[[#This Row],[SKU]],TablaINVENTARIO[SKU],TablaINVENTARIO[CATEGORIA])</f>
        <v xml:space="preserve">TELECOMUNICACIONES </v>
      </c>
      <c r="E20" s="33" t="str">
        <f>_xlfn.XLOOKUP(TablaSTOCKINV[[#This Row],[SKU]],TablaINVENTARIO[SKU],TablaINVENTARIO[SUBCATEGORIA])</f>
        <v>ACCESORIO</v>
      </c>
      <c r="F20" s="33" t="str">
        <f>_xlfn.XLOOKUP(TablaSTOCKINV[[#This Row],[SKU]],TablaINVENTARIO[SKU],TablaINVENTARIO[ESTADO])</f>
        <v xml:space="preserve">NUEVO </v>
      </c>
      <c r="G20" s="33" t="str">
        <f>_xlfn.XLOOKUP(TablaSTOCKINV[[#This Row],[SKU]],TablaINVENTARIO[SKU],TablaINVENTARIO[MEDIDA])</f>
        <v>UND</v>
      </c>
      <c r="H20" s="33" t="str">
        <f>_xlfn.XLOOKUP(TablaSTOCKINV[[#This Row],[SKU]],TablaINVENTARIO[SKU],TablaINVENTARIO[SERIAL])</f>
        <v>N/A</v>
      </c>
      <c r="I20" s="34" t="str">
        <f>_xlfn.XLOOKUP(TablaSTOCKINV[[#This Row],[SKU]],TablaINVENTARIO[SKU],TablaINVENTARIO[ALMACEN])</f>
        <v>ALMACEN PRINCIPAL</v>
      </c>
      <c r="J20" s="34" t="str">
        <f>_xlfn.XLOOKUP(TablaSTOCKINV[[#This Row],[SKU]],TablaINVENTARIO[SKU],TablaINVENTARIO[UBICACION])</f>
        <v>C4</v>
      </c>
      <c r="K20" s="34" t="str">
        <f>_xlfn.XLOOKUP(TablaSTOCKINV[[#This Row],[SKU]],TablaINVENTARIO[SKU],TablaINVENTARIO[DPTO RESPONSABLE])</f>
        <v>AIT</v>
      </c>
      <c r="L20" s="36">
        <f>_xlfn.XLOOKUP(TablaSTOCKINV[[#This Row],[SKU]],TablaINVENTARIO[SKU],TablaINVENTARIO[RANGO MIN])</f>
        <v>0</v>
      </c>
      <c r="M20" s="34" cm="1">
        <f t="array" ref="M20">_xlfn.IFS(TablaSTOCKINV[[#This Row],[CANT. TOTAL]]&lt;=0,1,TablaSTOCKINV[[#This Row],[CANT. TOTAL]]&lt;=TablaSTOCKINV[[#This Row],[MIN]],2,TablaSTOCKINV[[#This Row],[CANT. TOTAL]]&gt;TablaSTOCKINV[[#This Row],[MIN]],3)</f>
        <v>3</v>
      </c>
      <c r="N20" s="34">
        <f>TablaSTOCKINV[[#This Row],[ENTRADAS]]-TablaSTOCKINV[[#This Row],[SALIDAS]]</f>
        <v>16</v>
      </c>
      <c r="O20" s="35">
        <f>SUMIFS(TablaENTRADA[CANT],TablaENTRADA[SKU],TablaSTOCKINV[[#This Row],[SKU]])</f>
        <v>16</v>
      </c>
      <c r="P20" s="35">
        <f>SUMIFS(TablaSALIDA[CANT],TablaSALIDA[SKU],TablaSTOCKINV[[#This Row],[SKU]])</f>
        <v>0</v>
      </c>
      <c r="Q20" s="34">
        <f>_xlfn.XLOOKUP(TablaSTOCKINV[[#This Row],[SKU]],TablaINVENTARIO[SKU],TablaINVENTARIO[PRECIO])</f>
        <v>0</v>
      </c>
      <c r="R20" s="34">
        <f>TablaSTOCKINV[[#This Row],[P.UNITARIO]]*TablaSTOCKINV[[#This Row],[CANT. TOTAL]]</f>
        <v>0</v>
      </c>
      <c r="S20" s="44">
        <f>_xlfn.XLOOKUP(TablaSTOCKINV[[#This Row],[SKU]],TablaINVENTARIO[SKU],TablaINVENTARIO[FECHA INGRESO])</f>
        <v>46023</v>
      </c>
      <c r="T20" s="44">
        <f>_xlfn.XLOOKUP(TablaSTOCKINV[[#This Row],[SKU]],TablaENTRADA[SKU],TablaENTRADA[FECHA],,0,-1)</f>
        <v>46023</v>
      </c>
      <c r="U20" s="46" t="str">
        <f>IFERROR((_xlfn.XLOOKUP(TablaSTOCKINV[[#This Row],[SKU]],TablaSALIDA[SKU],TablaSALIDA[FECHA],,0,-1))," " )</f>
        <v xml:space="preserve"> </v>
      </c>
    </row>
    <row r="21" spans="1:21" x14ac:dyDescent="0.3">
      <c r="A21" s="27" t="s">
        <v>2302</v>
      </c>
      <c r="B21" s="32" t="str">
        <f>_xlfn.XLOOKUP(TablaSTOCKINV[[#This Row],[SKU]],TablaINVENTARIO[SKU],TablaINVENTARIO[DESCRIPCION])</f>
        <v>AISLADOR DE BUCLE DE TIERRA (BALUN)</v>
      </c>
      <c r="C21" s="32" t="str">
        <f>_xlfn.XLOOKUP(TablaSTOCKINV[[#This Row],[SKU]],TablaINVENTARIO[SKU],TablaINVENTARIO[MARCA])</f>
        <v>N/A</v>
      </c>
      <c r="D21" s="33" t="str">
        <f>_xlfn.XLOOKUP(TablaSTOCKINV[[#This Row],[SKU]],TablaINVENTARIO[SKU],TablaINVENTARIO[CATEGORIA])</f>
        <v xml:space="preserve">TELECOMUNICACIONES </v>
      </c>
      <c r="E21" s="33" t="str">
        <f>_xlfn.XLOOKUP(TablaSTOCKINV[[#This Row],[SKU]],TablaINVENTARIO[SKU],TablaINVENTARIO[SUBCATEGORIA])</f>
        <v>ACCESORIO ELECTRONICO</v>
      </c>
      <c r="F21" s="33" t="str">
        <f>_xlfn.XLOOKUP(TablaSTOCKINV[[#This Row],[SKU]],TablaINVENTARIO[SKU],TablaINVENTARIO[ESTADO])</f>
        <v xml:space="preserve">NUEVO </v>
      </c>
      <c r="G21" s="33" t="str">
        <f>_xlfn.XLOOKUP(TablaSTOCKINV[[#This Row],[SKU]],TablaINVENTARIO[SKU],TablaINVENTARIO[MEDIDA])</f>
        <v>UND</v>
      </c>
      <c r="H21" s="33" t="str">
        <f>_xlfn.XLOOKUP(TablaSTOCKINV[[#This Row],[SKU]],TablaINVENTARIO[SKU],TablaINVENTARIO[SERIAL])</f>
        <v>N/A</v>
      </c>
      <c r="I21" s="34" t="str">
        <f>_xlfn.XLOOKUP(TablaSTOCKINV[[#This Row],[SKU]],TablaINVENTARIO[SKU],TablaINVENTARIO[ALMACEN])</f>
        <v>ALMACEN PRINCIPAL</v>
      </c>
      <c r="J21" s="34" t="str">
        <f>_xlfn.XLOOKUP(TablaSTOCKINV[[#This Row],[SKU]],TablaINVENTARIO[SKU],TablaINVENTARIO[UBICACION])</f>
        <v>C4</v>
      </c>
      <c r="K21" s="34" t="str">
        <f>_xlfn.XLOOKUP(TablaSTOCKINV[[#This Row],[SKU]],TablaINVENTARIO[SKU],TablaINVENTARIO[DPTO RESPONSABLE])</f>
        <v>AIT</v>
      </c>
      <c r="L21" s="36">
        <f>_xlfn.XLOOKUP(TablaSTOCKINV[[#This Row],[SKU]],TablaINVENTARIO[SKU],TablaINVENTARIO[RANGO MIN])</f>
        <v>0</v>
      </c>
      <c r="M21" s="34" cm="1">
        <f t="array" ref="M21">_xlfn.IFS(TablaSTOCKINV[[#This Row],[CANT. TOTAL]]&lt;=0,1,TablaSTOCKINV[[#This Row],[CANT. TOTAL]]&lt;=TablaSTOCKINV[[#This Row],[MIN]],2,TablaSTOCKINV[[#This Row],[CANT. TOTAL]]&gt;TablaSTOCKINV[[#This Row],[MIN]],3)</f>
        <v>3</v>
      </c>
      <c r="N21" s="34">
        <f>TablaSTOCKINV[[#This Row],[ENTRADAS]]-TablaSTOCKINV[[#This Row],[SALIDAS]]</f>
        <v>7</v>
      </c>
      <c r="O21" s="35">
        <f>SUMIFS(TablaENTRADA[CANT],TablaENTRADA[SKU],TablaSTOCKINV[[#This Row],[SKU]])</f>
        <v>7</v>
      </c>
      <c r="P21" s="35">
        <f>SUMIFS(TablaSALIDA[CANT],TablaSALIDA[SKU],TablaSTOCKINV[[#This Row],[SKU]])</f>
        <v>0</v>
      </c>
      <c r="Q21" s="34">
        <f>_xlfn.XLOOKUP(TablaSTOCKINV[[#This Row],[SKU]],TablaINVENTARIO[SKU],TablaINVENTARIO[PRECIO])</f>
        <v>0</v>
      </c>
      <c r="R21" s="34">
        <f>TablaSTOCKINV[[#This Row],[P.UNITARIO]]*TablaSTOCKINV[[#This Row],[CANT. TOTAL]]</f>
        <v>0</v>
      </c>
      <c r="S21" s="44">
        <f>_xlfn.XLOOKUP(TablaSTOCKINV[[#This Row],[SKU]],TablaINVENTARIO[SKU],TablaINVENTARIO[FECHA INGRESO])</f>
        <v>46023</v>
      </c>
      <c r="T21" s="44">
        <f>_xlfn.XLOOKUP(TablaSTOCKINV[[#This Row],[SKU]],TablaENTRADA[SKU],TablaENTRADA[FECHA],,0,-1)</f>
        <v>46023</v>
      </c>
      <c r="U21" s="46" t="str">
        <f>IFERROR((_xlfn.XLOOKUP(TablaSTOCKINV[[#This Row],[SKU]],TablaSALIDA[SKU],TablaSALIDA[FECHA],,0,-1))," " )</f>
        <v xml:space="preserve"> </v>
      </c>
    </row>
    <row r="22" spans="1:21" x14ac:dyDescent="0.3">
      <c r="A22" s="27" t="s">
        <v>2305</v>
      </c>
      <c r="B22" s="32" t="str">
        <f>_xlfn.XLOOKUP(TablaSTOCKINV[[#This Row],[SKU]],TablaINVENTARIO[SKU],TablaINVENTARIO[DESCRIPCION])</f>
        <v>TRANSCEPTOR DE VIDEO PASIVO (VIDEO BALUN)</v>
      </c>
      <c r="C22" s="32" t="str">
        <f>_xlfn.XLOOKUP(TablaSTOCKINV[[#This Row],[SKU]],TablaINVENTARIO[SKU],TablaINVENTARIO[MARCA])</f>
        <v>N/A</v>
      </c>
      <c r="D22" s="33" t="str">
        <f>_xlfn.XLOOKUP(TablaSTOCKINV[[#This Row],[SKU]],TablaINVENTARIO[SKU],TablaINVENTARIO[CATEGORIA])</f>
        <v xml:space="preserve">TELECOMUNICACIONES </v>
      </c>
      <c r="E22" s="33" t="str">
        <f>_xlfn.XLOOKUP(TablaSTOCKINV[[#This Row],[SKU]],TablaINVENTARIO[SKU],TablaINVENTARIO[SUBCATEGORIA])</f>
        <v>ACCESORIO ELECTRONICO</v>
      </c>
      <c r="F22" s="33" t="str">
        <f>_xlfn.XLOOKUP(TablaSTOCKINV[[#This Row],[SKU]],TablaINVENTARIO[SKU],TablaINVENTARIO[ESTADO])</f>
        <v xml:space="preserve">NUEVO </v>
      </c>
      <c r="G22" s="33" t="str">
        <f>_xlfn.XLOOKUP(TablaSTOCKINV[[#This Row],[SKU]],TablaINVENTARIO[SKU],TablaINVENTARIO[MEDIDA])</f>
        <v>UND</v>
      </c>
      <c r="H22" s="33" t="str">
        <f>_xlfn.XLOOKUP(TablaSTOCKINV[[#This Row],[SKU]],TablaINVENTARIO[SKU],TablaINVENTARIO[SERIAL])</f>
        <v>N/A</v>
      </c>
      <c r="I22" s="34" t="str">
        <f>_xlfn.XLOOKUP(TablaSTOCKINV[[#This Row],[SKU]],TablaINVENTARIO[SKU],TablaINVENTARIO[ALMACEN])</f>
        <v>ALMACEN PRINCIPAL</v>
      </c>
      <c r="J22" s="34" t="str">
        <f>_xlfn.XLOOKUP(TablaSTOCKINV[[#This Row],[SKU]],TablaINVENTARIO[SKU],TablaINVENTARIO[UBICACION])</f>
        <v>C4</v>
      </c>
      <c r="K22" s="34" t="str">
        <f>_xlfn.XLOOKUP(TablaSTOCKINV[[#This Row],[SKU]],TablaINVENTARIO[SKU],TablaINVENTARIO[DPTO RESPONSABLE])</f>
        <v>AIT</v>
      </c>
      <c r="L22" s="36">
        <f>_xlfn.XLOOKUP(TablaSTOCKINV[[#This Row],[SKU]],TablaINVENTARIO[SKU],TablaINVENTARIO[RANGO MIN])</f>
        <v>0</v>
      </c>
      <c r="M22" s="34" cm="1">
        <f t="array" ref="M22">_xlfn.IFS(TablaSTOCKINV[[#This Row],[CANT. TOTAL]]&lt;=0,1,TablaSTOCKINV[[#This Row],[CANT. TOTAL]]&lt;=TablaSTOCKINV[[#This Row],[MIN]],2,TablaSTOCKINV[[#This Row],[CANT. TOTAL]]&gt;TablaSTOCKINV[[#This Row],[MIN]],3)</f>
        <v>3</v>
      </c>
      <c r="N22" s="34">
        <f>TablaSTOCKINV[[#This Row],[ENTRADAS]]-TablaSTOCKINV[[#This Row],[SALIDAS]]</f>
        <v>4</v>
      </c>
      <c r="O22" s="35">
        <f>SUMIFS(TablaENTRADA[CANT],TablaENTRADA[SKU],TablaSTOCKINV[[#This Row],[SKU]])</f>
        <v>4</v>
      </c>
      <c r="P22" s="35">
        <f>SUMIFS(TablaSALIDA[CANT],TablaSALIDA[SKU],TablaSTOCKINV[[#This Row],[SKU]])</f>
        <v>0</v>
      </c>
      <c r="Q22" s="34">
        <f>_xlfn.XLOOKUP(TablaSTOCKINV[[#This Row],[SKU]],TablaINVENTARIO[SKU],TablaINVENTARIO[PRECIO])</f>
        <v>0</v>
      </c>
      <c r="R22" s="34">
        <f>TablaSTOCKINV[[#This Row],[P.UNITARIO]]*TablaSTOCKINV[[#This Row],[CANT. TOTAL]]</f>
        <v>0</v>
      </c>
      <c r="S22" s="44">
        <f>_xlfn.XLOOKUP(TablaSTOCKINV[[#This Row],[SKU]],TablaINVENTARIO[SKU],TablaINVENTARIO[FECHA INGRESO])</f>
        <v>46023</v>
      </c>
      <c r="T22" s="44">
        <f>_xlfn.XLOOKUP(TablaSTOCKINV[[#This Row],[SKU]],TablaENTRADA[SKU],TablaENTRADA[FECHA],,0,-1)</f>
        <v>46023</v>
      </c>
      <c r="U22" s="46" t="str">
        <f>IFERROR((_xlfn.XLOOKUP(TablaSTOCKINV[[#This Row],[SKU]],TablaSALIDA[SKU],TablaSALIDA[FECHA],,0,-1))," " )</f>
        <v xml:space="preserve"> </v>
      </c>
    </row>
    <row r="23" spans="1:21" x14ac:dyDescent="0.3">
      <c r="A23" s="27" t="s">
        <v>2307</v>
      </c>
      <c r="B23" s="32" t="str">
        <f>_xlfn.XLOOKUP(TablaSTOCKINV[[#This Row],[SKU]],TablaINVENTARIO[SKU],TablaINVENTARIO[DESCRIPCION])</f>
        <v>TRANSCEPTOR DE PAR TRENZADO (BALUN DE VIDEO)</v>
      </c>
      <c r="C23" s="32" t="str">
        <f>_xlfn.XLOOKUP(TablaSTOCKINV[[#This Row],[SKU]],TablaINVENTARIO[SKU],TablaINVENTARIO[MARCA])</f>
        <v>N/A</v>
      </c>
      <c r="D23" s="33" t="str">
        <f>_xlfn.XLOOKUP(TablaSTOCKINV[[#This Row],[SKU]],TablaINVENTARIO[SKU],TablaINVENTARIO[CATEGORIA])</f>
        <v xml:space="preserve">TELECOMUNICACIONES </v>
      </c>
      <c r="E23" s="33" t="str">
        <f>_xlfn.XLOOKUP(TablaSTOCKINV[[#This Row],[SKU]],TablaINVENTARIO[SKU],TablaINVENTARIO[SUBCATEGORIA])</f>
        <v>ACCESORIO ELECTRONICO</v>
      </c>
      <c r="F23" s="33" t="str">
        <f>_xlfn.XLOOKUP(TablaSTOCKINV[[#This Row],[SKU]],TablaINVENTARIO[SKU],TablaINVENTARIO[ESTADO])</f>
        <v xml:space="preserve">NUEVO </v>
      </c>
      <c r="G23" s="33" t="str">
        <f>_xlfn.XLOOKUP(TablaSTOCKINV[[#This Row],[SKU]],TablaINVENTARIO[SKU],TablaINVENTARIO[MEDIDA])</f>
        <v>UND</v>
      </c>
      <c r="H23" s="33" t="str">
        <f>_xlfn.XLOOKUP(TablaSTOCKINV[[#This Row],[SKU]],TablaINVENTARIO[SKU],TablaINVENTARIO[SERIAL])</f>
        <v>N/A</v>
      </c>
      <c r="I23" s="34" t="str">
        <f>_xlfn.XLOOKUP(TablaSTOCKINV[[#This Row],[SKU]],TablaINVENTARIO[SKU],TablaINVENTARIO[ALMACEN])</f>
        <v>ALMACEN PRINCIPAL</v>
      </c>
      <c r="J23" s="34" t="str">
        <f>_xlfn.XLOOKUP(TablaSTOCKINV[[#This Row],[SKU]],TablaINVENTARIO[SKU],TablaINVENTARIO[UBICACION])</f>
        <v>C4</v>
      </c>
      <c r="K23" s="34" t="str">
        <f>_xlfn.XLOOKUP(TablaSTOCKINV[[#This Row],[SKU]],TablaINVENTARIO[SKU],TablaINVENTARIO[DPTO RESPONSABLE])</f>
        <v>AIT</v>
      </c>
      <c r="L23" s="36">
        <f>_xlfn.XLOOKUP(TablaSTOCKINV[[#This Row],[SKU]],TablaINVENTARIO[SKU],TablaINVENTARIO[RANGO MIN])</f>
        <v>0</v>
      </c>
      <c r="M23" s="34" cm="1">
        <f t="array" ref="M23">_xlfn.IFS(TablaSTOCKINV[[#This Row],[CANT. TOTAL]]&lt;=0,1,TablaSTOCKINV[[#This Row],[CANT. TOTAL]]&lt;=TablaSTOCKINV[[#This Row],[MIN]],2,TablaSTOCKINV[[#This Row],[CANT. TOTAL]]&gt;TablaSTOCKINV[[#This Row],[MIN]],3)</f>
        <v>3</v>
      </c>
      <c r="N23" s="34">
        <f>TablaSTOCKINV[[#This Row],[ENTRADAS]]-TablaSTOCKINV[[#This Row],[SALIDAS]]</f>
        <v>3</v>
      </c>
      <c r="O23" s="35">
        <f>SUMIFS(TablaENTRADA[CANT],TablaENTRADA[SKU],TablaSTOCKINV[[#This Row],[SKU]])</f>
        <v>3</v>
      </c>
      <c r="P23" s="35">
        <f>SUMIFS(TablaSALIDA[CANT],TablaSALIDA[SKU],TablaSTOCKINV[[#This Row],[SKU]])</f>
        <v>0</v>
      </c>
      <c r="Q23" s="34">
        <f>_xlfn.XLOOKUP(TablaSTOCKINV[[#This Row],[SKU]],TablaINVENTARIO[SKU],TablaINVENTARIO[PRECIO])</f>
        <v>0</v>
      </c>
      <c r="R23" s="34">
        <f>TablaSTOCKINV[[#This Row],[P.UNITARIO]]*TablaSTOCKINV[[#This Row],[CANT. TOTAL]]</f>
        <v>0</v>
      </c>
      <c r="S23" s="44">
        <f>_xlfn.XLOOKUP(TablaSTOCKINV[[#This Row],[SKU]],TablaINVENTARIO[SKU],TablaINVENTARIO[FECHA INGRESO])</f>
        <v>46023</v>
      </c>
      <c r="T23" s="44">
        <f>_xlfn.XLOOKUP(TablaSTOCKINV[[#This Row],[SKU]],TablaENTRADA[SKU],TablaENTRADA[FECHA],,0,-1)</f>
        <v>46023</v>
      </c>
      <c r="U23" s="46" t="str">
        <f>IFERROR((_xlfn.XLOOKUP(TablaSTOCKINV[[#This Row],[SKU]],TablaSALIDA[SKU],TablaSALIDA[FECHA],,0,-1))," " )</f>
        <v xml:space="preserve"> </v>
      </c>
    </row>
    <row r="24" spans="1:21" x14ac:dyDescent="0.3">
      <c r="A24" s="27" t="s">
        <v>2309</v>
      </c>
      <c r="B24" s="32" t="str">
        <f>_xlfn.XLOOKUP(TablaSTOCKINV[[#This Row],[SKU]],TablaINVENTARIO[SKU],TablaINVENTARIO[DESCRIPCION])</f>
        <v>EXTENSOR ADAPTADOR USB A RJ45</v>
      </c>
      <c r="C24" s="32" t="str">
        <f>_xlfn.XLOOKUP(TablaSTOCKINV[[#This Row],[SKU]],TablaINVENTARIO[SKU],TablaINVENTARIO[MARCA])</f>
        <v>N/A</v>
      </c>
      <c r="D24" s="33" t="str">
        <f>_xlfn.XLOOKUP(TablaSTOCKINV[[#This Row],[SKU]],TablaINVENTARIO[SKU],TablaINVENTARIO[CATEGORIA])</f>
        <v xml:space="preserve">TELECOMUNICACIONES </v>
      </c>
      <c r="E24" s="33" t="str">
        <f>_xlfn.XLOOKUP(TablaSTOCKINV[[#This Row],[SKU]],TablaINVENTARIO[SKU],TablaINVENTARIO[SUBCATEGORIA])</f>
        <v>ACCESORIO DE RED</v>
      </c>
      <c r="F24" s="33" t="str">
        <f>_xlfn.XLOOKUP(TablaSTOCKINV[[#This Row],[SKU]],TablaINVENTARIO[SKU],TablaINVENTARIO[ESTADO])</f>
        <v>USADO</v>
      </c>
      <c r="G24" s="33" t="str">
        <f>_xlfn.XLOOKUP(TablaSTOCKINV[[#This Row],[SKU]],TablaINVENTARIO[SKU],TablaINVENTARIO[MEDIDA])</f>
        <v>UND</v>
      </c>
      <c r="H24" s="33" t="str">
        <f>_xlfn.XLOOKUP(TablaSTOCKINV[[#This Row],[SKU]],TablaINVENTARIO[SKU],TablaINVENTARIO[SERIAL])</f>
        <v>N/A</v>
      </c>
      <c r="I24" s="34" t="str">
        <f>_xlfn.XLOOKUP(TablaSTOCKINV[[#This Row],[SKU]],TablaINVENTARIO[SKU],TablaINVENTARIO[ALMACEN])</f>
        <v>ALMACEN PRINCIPAL</v>
      </c>
      <c r="J24" s="34" t="str">
        <f>_xlfn.XLOOKUP(TablaSTOCKINV[[#This Row],[SKU]],TablaINVENTARIO[SKU],TablaINVENTARIO[UBICACION])</f>
        <v>C4</v>
      </c>
      <c r="K24" s="34" t="str">
        <f>_xlfn.XLOOKUP(TablaSTOCKINV[[#This Row],[SKU]],TablaINVENTARIO[SKU],TablaINVENTARIO[DPTO RESPONSABLE])</f>
        <v>AIT</v>
      </c>
      <c r="L24" s="36">
        <f>_xlfn.XLOOKUP(TablaSTOCKINV[[#This Row],[SKU]],TablaINVENTARIO[SKU],TablaINVENTARIO[RANGO MIN])</f>
        <v>0</v>
      </c>
      <c r="M24" s="34" cm="1">
        <f t="array" ref="M24">_xlfn.IFS(TablaSTOCKINV[[#This Row],[CANT. TOTAL]]&lt;=0,1,TablaSTOCKINV[[#This Row],[CANT. TOTAL]]&lt;=TablaSTOCKINV[[#This Row],[MIN]],2,TablaSTOCKINV[[#This Row],[CANT. TOTAL]]&gt;TablaSTOCKINV[[#This Row],[MIN]],3)</f>
        <v>3</v>
      </c>
      <c r="N24" s="34">
        <f>TablaSTOCKINV[[#This Row],[ENTRADAS]]-TablaSTOCKINV[[#This Row],[SALIDAS]]</f>
        <v>3</v>
      </c>
      <c r="O24" s="35">
        <f>SUMIFS(TablaENTRADA[CANT],TablaENTRADA[SKU],TablaSTOCKINV[[#This Row],[SKU]])</f>
        <v>3</v>
      </c>
      <c r="P24" s="35">
        <f>SUMIFS(TablaSALIDA[CANT],TablaSALIDA[SKU],TablaSTOCKINV[[#This Row],[SKU]])</f>
        <v>0</v>
      </c>
      <c r="Q24" s="34">
        <f>_xlfn.XLOOKUP(TablaSTOCKINV[[#This Row],[SKU]],TablaINVENTARIO[SKU],TablaINVENTARIO[PRECIO])</f>
        <v>0</v>
      </c>
      <c r="R24" s="34">
        <f>TablaSTOCKINV[[#This Row],[P.UNITARIO]]*TablaSTOCKINV[[#This Row],[CANT. TOTAL]]</f>
        <v>0</v>
      </c>
      <c r="S24" s="44">
        <f>_xlfn.XLOOKUP(TablaSTOCKINV[[#This Row],[SKU]],TablaINVENTARIO[SKU],TablaINVENTARIO[FECHA INGRESO])</f>
        <v>46023</v>
      </c>
      <c r="T24" s="44">
        <f>_xlfn.XLOOKUP(TablaSTOCKINV[[#This Row],[SKU]],TablaENTRADA[SKU],TablaENTRADA[FECHA],,0,-1)</f>
        <v>46023</v>
      </c>
      <c r="U24" s="46" t="str">
        <f>IFERROR((_xlfn.XLOOKUP(TablaSTOCKINV[[#This Row],[SKU]],TablaSALIDA[SKU],TablaSALIDA[FECHA],,0,-1))," " )</f>
        <v xml:space="preserve"> </v>
      </c>
    </row>
    <row r="25" spans="1:21" x14ac:dyDescent="0.3">
      <c r="A25" s="27" t="s">
        <v>2310</v>
      </c>
      <c r="B25" s="32" t="str">
        <f>_xlfn.XLOOKUP(TablaSTOCKINV[[#This Row],[SKU]],TablaINVENTARIO[SKU],TablaINVENTARIO[DESCRIPCION])</f>
        <v>ADAPTADOR VGA A BNC/RCA</v>
      </c>
      <c r="C25" s="32" t="str">
        <f>_xlfn.XLOOKUP(TablaSTOCKINV[[#This Row],[SKU]],TablaINVENTARIO[SKU],TablaINVENTARIO[MARCA])</f>
        <v>N/A</v>
      </c>
      <c r="D25" s="33" t="str">
        <f>_xlfn.XLOOKUP(TablaSTOCKINV[[#This Row],[SKU]],TablaINVENTARIO[SKU],TablaINVENTARIO[CATEGORIA])</f>
        <v xml:space="preserve">TELECOMUNICACIONES </v>
      </c>
      <c r="E25" s="33" t="str">
        <f>_xlfn.XLOOKUP(TablaSTOCKINV[[#This Row],[SKU]],TablaINVENTARIO[SKU],TablaINVENTARIO[SUBCATEGORIA])</f>
        <v>ACCESORIO</v>
      </c>
      <c r="F25" s="33" t="str">
        <f>_xlfn.XLOOKUP(TablaSTOCKINV[[#This Row],[SKU]],TablaINVENTARIO[SKU],TablaINVENTARIO[ESTADO])</f>
        <v xml:space="preserve">NUEVO </v>
      </c>
      <c r="G25" s="33" t="str">
        <f>_xlfn.XLOOKUP(TablaSTOCKINV[[#This Row],[SKU]],TablaINVENTARIO[SKU],TablaINVENTARIO[MEDIDA])</f>
        <v>UND</v>
      </c>
      <c r="H25" s="33" t="str">
        <f>_xlfn.XLOOKUP(TablaSTOCKINV[[#This Row],[SKU]],TablaINVENTARIO[SKU],TablaINVENTARIO[SERIAL])</f>
        <v>N/A</v>
      </c>
      <c r="I25" s="34" t="str">
        <f>_xlfn.XLOOKUP(TablaSTOCKINV[[#This Row],[SKU]],TablaINVENTARIO[SKU],TablaINVENTARIO[ALMACEN])</f>
        <v>ALMACEN PRINCIPAL</v>
      </c>
      <c r="J25" s="34" t="str">
        <f>_xlfn.XLOOKUP(TablaSTOCKINV[[#This Row],[SKU]],TablaINVENTARIO[SKU],TablaINVENTARIO[UBICACION])</f>
        <v>C4</v>
      </c>
      <c r="K25" s="34" t="str">
        <f>_xlfn.XLOOKUP(TablaSTOCKINV[[#This Row],[SKU]],TablaINVENTARIO[SKU],TablaINVENTARIO[DPTO RESPONSABLE])</f>
        <v>AIT</v>
      </c>
      <c r="L25" s="36">
        <f>_xlfn.XLOOKUP(TablaSTOCKINV[[#This Row],[SKU]],TablaINVENTARIO[SKU],TablaINVENTARIO[RANGO MIN])</f>
        <v>0</v>
      </c>
      <c r="M25" s="34" cm="1">
        <f t="array" ref="M25">_xlfn.IFS(TablaSTOCKINV[[#This Row],[CANT. TOTAL]]&lt;=0,1,TablaSTOCKINV[[#This Row],[CANT. TOTAL]]&lt;=TablaSTOCKINV[[#This Row],[MIN]],2,TablaSTOCKINV[[#This Row],[CANT. TOTAL]]&gt;TablaSTOCKINV[[#This Row],[MIN]],3)</f>
        <v>3</v>
      </c>
      <c r="N25" s="34">
        <f>TablaSTOCKINV[[#This Row],[ENTRADAS]]-TablaSTOCKINV[[#This Row],[SALIDAS]]</f>
        <v>4</v>
      </c>
      <c r="O25" s="35">
        <f>SUMIFS(TablaENTRADA[CANT],TablaENTRADA[SKU],TablaSTOCKINV[[#This Row],[SKU]])</f>
        <v>4</v>
      </c>
      <c r="P25" s="35">
        <f>SUMIFS(TablaSALIDA[CANT],TablaSALIDA[SKU],TablaSTOCKINV[[#This Row],[SKU]])</f>
        <v>0</v>
      </c>
      <c r="Q25" s="34">
        <f>_xlfn.XLOOKUP(TablaSTOCKINV[[#This Row],[SKU]],TablaINVENTARIO[SKU],TablaINVENTARIO[PRECIO])</f>
        <v>0</v>
      </c>
      <c r="R25" s="34">
        <f>TablaSTOCKINV[[#This Row],[P.UNITARIO]]*TablaSTOCKINV[[#This Row],[CANT. TOTAL]]</f>
        <v>0</v>
      </c>
      <c r="S25" s="44">
        <f>_xlfn.XLOOKUP(TablaSTOCKINV[[#This Row],[SKU]],TablaINVENTARIO[SKU],TablaINVENTARIO[FECHA INGRESO])</f>
        <v>46023</v>
      </c>
      <c r="T25" s="44">
        <f>_xlfn.XLOOKUP(TablaSTOCKINV[[#This Row],[SKU]],TablaENTRADA[SKU],TablaENTRADA[FECHA],,0,-1)</f>
        <v>46023</v>
      </c>
      <c r="U25" s="46" t="str">
        <f>IFERROR((_xlfn.XLOOKUP(TablaSTOCKINV[[#This Row],[SKU]],TablaSALIDA[SKU],TablaSALIDA[FECHA],,0,-1))," " )</f>
        <v xml:space="preserve"> </v>
      </c>
    </row>
    <row r="26" spans="1:21" x14ac:dyDescent="0.3">
      <c r="A26" s="27" t="s">
        <v>2312</v>
      </c>
      <c r="B26" s="32" t="str">
        <f>_xlfn.XLOOKUP(TablaSTOCKINV[[#This Row],[SKU]],TablaINVENTARIO[SKU],TablaINVENTARIO[DESCRIPCION])</f>
        <v xml:space="preserve">VIDEO BALUN PASIVO </v>
      </c>
      <c r="C26" s="32" t="str">
        <f>_xlfn.XLOOKUP(TablaSTOCKINV[[#This Row],[SKU]],TablaINVENTARIO[SKU],TablaINVENTARIO[MARCA])</f>
        <v>N/A</v>
      </c>
      <c r="D26" s="33" t="str">
        <f>_xlfn.XLOOKUP(TablaSTOCKINV[[#This Row],[SKU]],TablaINVENTARIO[SKU],TablaINVENTARIO[CATEGORIA])</f>
        <v xml:space="preserve">TELECOMUNICACIONES </v>
      </c>
      <c r="E26" s="33" t="str">
        <f>_xlfn.XLOOKUP(TablaSTOCKINV[[#This Row],[SKU]],TablaINVENTARIO[SKU],TablaINVENTARIO[SUBCATEGORIA])</f>
        <v>ACCESORIO ELECTRONICO</v>
      </c>
      <c r="F26" s="33" t="str">
        <f>_xlfn.XLOOKUP(TablaSTOCKINV[[#This Row],[SKU]],TablaINVENTARIO[SKU],TablaINVENTARIO[ESTADO])</f>
        <v xml:space="preserve">NUEVO </v>
      </c>
      <c r="G26" s="33" t="str">
        <f>_xlfn.XLOOKUP(TablaSTOCKINV[[#This Row],[SKU]],TablaINVENTARIO[SKU],TablaINVENTARIO[MEDIDA])</f>
        <v>UND</v>
      </c>
      <c r="H26" s="33" t="str">
        <f>_xlfn.XLOOKUP(TablaSTOCKINV[[#This Row],[SKU]],TablaINVENTARIO[SKU],TablaINVENTARIO[SERIAL])</f>
        <v>N/A</v>
      </c>
      <c r="I26" s="34" t="str">
        <f>_xlfn.XLOOKUP(TablaSTOCKINV[[#This Row],[SKU]],TablaINVENTARIO[SKU],TablaINVENTARIO[ALMACEN])</f>
        <v>ALMACEN PRINCIPAL</v>
      </c>
      <c r="J26" s="34" t="str">
        <f>_xlfn.XLOOKUP(TablaSTOCKINV[[#This Row],[SKU]],TablaINVENTARIO[SKU],TablaINVENTARIO[UBICACION])</f>
        <v>C4</v>
      </c>
      <c r="K26" s="34" t="str">
        <f>_xlfn.XLOOKUP(TablaSTOCKINV[[#This Row],[SKU]],TablaINVENTARIO[SKU],TablaINVENTARIO[DPTO RESPONSABLE])</f>
        <v>AIT</v>
      </c>
      <c r="L26" s="36">
        <f>_xlfn.XLOOKUP(TablaSTOCKINV[[#This Row],[SKU]],TablaINVENTARIO[SKU],TablaINVENTARIO[RANGO MIN])</f>
        <v>0</v>
      </c>
      <c r="M26" s="34" cm="1">
        <f t="array" ref="M26">_xlfn.IFS(TablaSTOCKINV[[#This Row],[CANT. TOTAL]]&lt;=0,1,TablaSTOCKINV[[#This Row],[CANT. TOTAL]]&lt;=TablaSTOCKINV[[#This Row],[MIN]],2,TablaSTOCKINV[[#This Row],[CANT. TOTAL]]&gt;TablaSTOCKINV[[#This Row],[MIN]],3)</f>
        <v>3</v>
      </c>
      <c r="N26" s="34">
        <f>TablaSTOCKINV[[#This Row],[ENTRADAS]]-TablaSTOCKINV[[#This Row],[SALIDAS]]</f>
        <v>8</v>
      </c>
      <c r="O26" s="35">
        <f>SUMIFS(TablaENTRADA[CANT],TablaENTRADA[SKU],TablaSTOCKINV[[#This Row],[SKU]])</f>
        <v>8</v>
      </c>
      <c r="P26" s="35">
        <f>SUMIFS(TablaSALIDA[CANT],TablaSALIDA[SKU],TablaSTOCKINV[[#This Row],[SKU]])</f>
        <v>0</v>
      </c>
      <c r="Q26" s="34">
        <f>_xlfn.XLOOKUP(TablaSTOCKINV[[#This Row],[SKU]],TablaINVENTARIO[SKU],TablaINVENTARIO[PRECIO])</f>
        <v>0</v>
      </c>
      <c r="R26" s="34">
        <f>TablaSTOCKINV[[#This Row],[P.UNITARIO]]*TablaSTOCKINV[[#This Row],[CANT. TOTAL]]</f>
        <v>0</v>
      </c>
      <c r="S26" s="44">
        <f>_xlfn.XLOOKUP(TablaSTOCKINV[[#This Row],[SKU]],TablaINVENTARIO[SKU],TablaINVENTARIO[FECHA INGRESO])</f>
        <v>46023</v>
      </c>
      <c r="T26" s="44">
        <f>_xlfn.XLOOKUP(TablaSTOCKINV[[#This Row],[SKU]],TablaENTRADA[SKU],TablaENTRADA[FECHA],,0,-1)</f>
        <v>46023</v>
      </c>
      <c r="U26" s="46" t="str">
        <f>IFERROR((_xlfn.XLOOKUP(TablaSTOCKINV[[#This Row],[SKU]],TablaSALIDA[SKU],TablaSALIDA[FECHA],,0,-1))," " )</f>
        <v xml:space="preserve"> </v>
      </c>
    </row>
    <row r="27" spans="1:21" x14ac:dyDescent="0.3">
      <c r="A27" s="27" t="s">
        <v>2314</v>
      </c>
      <c r="B27" s="32" t="str">
        <f>_xlfn.XLOOKUP(TablaSTOCKINV[[#This Row],[SKU]],TablaINVENTARIO[SKU],TablaINVENTARIO[DESCRIPCION])</f>
        <v xml:space="preserve">VIDEO BALUN PASIVO CONEXION DIRECTA </v>
      </c>
      <c r="C27" s="32" t="str">
        <f>_xlfn.XLOOKUP(TablaSTOCKINV[[#This Row],[SKU]],TablaINVENTARIO[SKU],TablaINVENTARIO[MARCA])</f>
        <v>N/A</v>
      </c>
      <c r="D27" s="33" t="str">
        <f>_xlfn.XLOOKUP(TablaSTOCKINV[[#This Row],[SKU]],TablaINVENTARIO[SKU],TablaINVENTARIO[CATEGORIA])</f>
        <v xml:space="preserve">TELECOMUNICACIONES </v>
      </c>
      <c r="E27" s="33" t="str">
        <f>_xlfn.XLOOKUP(TablaSTOCKINV[[#This Row],[SKU]],TablaINVENTARIO[SKU],TablaINVENTARIO[SUBCATEGORIA])</f>
        <v>ACCESORIO ELECTRONICO</v>
      </c>
      <c r="F27" s="33" t="str">
        <f>_xlfn.XLOOKUP(TablaSTOCKINV[[#This Row],[SKU]],TablaINVENTARIO[SKU],TablaINVENTARIO[ESTADO])</f>
        <v xml:space="preserve">NUEVO </v>
      </c>
      <c r="G27" s="33" t="str">
        <f>_xlfn.XLOOKUP(TablaSTOCKINV[[#This Row],[SKU]],TablaINVENTARIO[SKU],TablaINVENTARIO[MEDIDA])</f>
        <v>UND</v>
      </c>
      <c r="H27" s="33" t="str">
        <f>_xlfn.XLOOKUP(TablaSTOCKINV[[#This Row],[SKU]],TablaINVENTARIO[SKU],TablaINVENTARIO[SERIAL])</f>
        <v>N/A</v>
      </c>
      <c r="I27" s="34" t="str">
        <f>_xlfn.XLOOKUP(TablaSTOCKINV[[#This Row],[SKU]],TablaINVENTARIO[SKU],TablaINVENTARIO[ALMACEN])</f>
        <v>ALMACEN PRINCIPAL</v>
      </c>
      <c r="J27" s="34" t="str">
        <f>_xlfn.XLOOKUP(TablaSTOCKINV[[#This Row],[SKU]],TablaINVENTARIO[SKU],TablaINVENTARIO[UBICACION])</f>
        <v>C4</v>
      </c>
      <c r="K27" s="34" t="str">
        <f>_xlfn.XLOOKUP(TablaSTOCKINV[[#This Row],[SKU]],TablaINVENTARIO[SKU],TablaINVENTARIO[DPTO RESPONSABLE])</f>
        <v>AIT</v>
      </c>
      <c r="L27" s="36">
        <f>_xlfn.XLOOKUP(TablaSTOCKINV[[#This Row],[SKU]],TablaINVENTARIO[SKU],TablaINVENTARIO[RANGO MIN])</f>
        <v>0</v>
      </c>
      <c r="M27" s="34" cm="1">
        <f t="array" ref="M27">_xlfn.IFS(TablaSTOCKINV[[#This Row],[CANT. TOTAL]]&lt;=0,1,TablaSTOCKINV[[#This Row],[CANT. TOTAL]]&lt;=TablaSTOCKINV[[#This Row],[MIN]],2,TablaSTOCKINV[[#This Row],[CANT. TOTAL]]&gt;TablaSTOCKINV[[#This Row],[MIN]],3)</f>
        <v>3</v>
      </c>
      <c r="N27" s="34">
        <f>TablaSTOCKINV[[#This Row],[ENTRADAS]]-TablaSTOCKINV[[#This Row],[SALIDAS]]</f>
        <v>25</v>
      </c>
      <c r="O27" s="35">
        <f>SUMIFS(TablaENTRADA[CANT],TablaENTRADA[SKU],TablaSTOCKINV[[#This Row],[SKU]])</f>
        <v>25</v>
      </c>
      <c r="P27" s="35">
        <f>SUMIFS(TablaSALIDA[CANT],TablaSALIDA[SKU],TablaSTOCKINV[[#This Row],[SKU]])</f>
        <v>0</v>
      </c>
      <c r="Q27" s="34">
        <f>_xlfn.XLOOKUP(TablaSTOCKINV[[#This Row],[SKU]],TablaINVENTARIO[SKU],TablaINVENTARIO[PRECIO])</f>
        <v>0</v>
      </c>
      <c r="R27" s="34">
        <f>TablaSTOCKINV[[#This Row],[P.UNITARIO]]*TablaSTOCKINV[[#This Row],[CANT. TOTAL]]</f>
        <v>0</v>
      </c>
      <c r="S27" s="44">
        <f>_xlfn.XLOOKUP(TablaSTOCKINV[[#This Row],[SKU]],TablaINVENTARIO[SKU],TablaINVENTARIO[FECHA INGRESO])</f>
        <v>46023</v>
      </c>
      <c r="T27" s="44">
        <f>_xlfn.XLOOKUP(TablaSTOCKINV[[#This Row],[SKU]],TablaENTRADA[SKU],TablaENTRADA[FECHA],,0,-1)</f>
        <v>46023</v>
      </c>
      <c r="U27" s="46" t="str">
        <f>IFERROR((_xlfn.XLOOKUP(TablaSTOCKINV[[#This Row],[SKU]],TablaSALIDA[SKU],TablaSALIDA[FECHA],,0,-1))," " )</f>
        <v xml:space="preserve"> </v>
      </c>
    </row>
    <row r="28" spans="1:21" x14ac:dyDescent="0.3">
      <c r="A28" s="27" t="s">
        <v>2316</v>
      </c>
      <c r="B28" s="32" t="str">
        <f>_xlfn.XLOOKUP(TablaSTOCKINV[[#This Row],[SKU]],TablaINVENTARIO[SKU],TablaINVENTARIO[DESCRIPCION])</f>
        <v xml:space="preserve">ANTENA STARLINK </v>
      </c>
      <c r="C28" s="32" t="str">
        <f>_xlfn.XLOOKUP(TablaSTOCKINV[[#This Row],[SKU]],TablaINVENTARIO[SKU],TablaINVENTARIO[MARCA])</f>
        <v xml:space="preserve">STARLINK </v>
      </c>
      <c r="D28" s="33" t="str">
        <f>_xlfn.XLOOKUP(TablaSTOCKINV[[#This Row],[SKU]],TablaINVENTARIO[SKU],TablaINVENTARIO[CATEGORIA])</f>
        <v xml:space="preserve">TELECOMUNICACIONES </v>
      </c>
      <c r="E28" s="33" t="str">
        <f>_xlfn.XLOOKUP(TablaSTOCKINV[[#This Row],[SKU]],TablaINVENTARIO[SKU],TablaINVENTARIO[SUBCATEGORIA])</f>
        <v xml:space="preserve">EQUIPO DE RED </v>
      </c>
      <c r="F28" s="33" t="str">
        <f>_xlfn.XLOOKUP(TablaSTOCKINV[[#This Row],[SKU]],TablaINVENTARIO[SKU],TablaINVENTARIO[ESTADO])</f>
        <v>USADO</v>
      </c>
      <c r="G28" s="33" t="str">
        <f>_xlfn.XLOOKUP(TablaSTOCKINV[[#This Row],[SKU]],TablaINVENTARIO[SKU],TablaINVENTARIO[MEDIDA])</f>
        <v>UND</v>
      </c>
      <c r="H28" s="33" t="str">
        <f>_xlfn.XLOOKUP(TablaSTOCKINV[[#This Row],[SKU]],TablaINVENTARIO[SKU],TablaINVENTARIO[SERIAL])</f>
        <v>M1HT00174608</v>
      </c>
      <c r="I28" s="34" t="str">
        <f>_xlfn.XLOOKUP(TablaSTOCKINV[[#This Row],[SKU]],TablaINVENTARIO[SKU],TablaINVENTARIO[ALMACEN])</f>
        <v>ALMACEN PRINCIPAL</v>
      </c>
      <c r="J28" s="34" t="str">
        <f>_xlfn.XLOOKUP(TablaSTOCKINV[[#This Row],[SKU]],TablaINVENTARIO[SKU],TablaINVENTARIO[UBICACION])</f>
        <v>D2-1</v>
      </c>
      <c r="K28" s="34" t="str">
        <f>_xlfn.XLOOKUP(TablaSTOCKINV[[#This Row],[SKU]],TablaINVENTARIO[SKU],TablaINVENTARIO[DPTO RESPONSABLE])</f>
        <v>AIT</v>
      </c>
      <c r="L28" s="36">
        <f>_xlfn.XLOOKUP(TablaSTOCKINV[[#This Row],[SKU]],TablaINVENTARIO[SKU],TablaINVENTARIO[RANGO MIN])</f>
        <v>0</v>
      </c>
      <c r="M28" s="34" cm="1">
        <f t="array" ref="M28">_xlfn.IFS(TablaSTOCKINV[[#This Row],[CANT. TOTAL]]&lt;=0,1,TablaSTOCKINV[[#This Row],[CANT. TOTAL]]&lt;=TablaSTOCKINV[[#This Row],[MIN]],2,TablaSTOCKINV[[#This Row],[CANT. TOTAL]]&gt;TablaSTOCKINV[[#This Row],[MIN]],3)</f>
        <v>3</v>
      </c>
      <c r="N28" s="34">
        <f>TablaSTOCKINV[[#This Row],[ENTRADAS]]-TablaSTOCKINV[[#This Row],[SALIDAS]]</f>
        <v>1</v>
      </c>
      <c r="O28" s="35">
        <f>SUMIFS(TablaENTRADA[CANT],TablaENTRADA[SKU],TablaSTOCKINV[[#This Row],[SKU]])</f>
        <v>1</v>
      </c>
      <c r="P28" s="35">
        <f>SUMIFS(TablaSALIDA[CANT],TablaSALIDA[SKU],TablaSTOCKINV[[#This Row],[SKU]])</f>
        <v>0</v>
      </c>
      <c r="Q28" s="34">
        <f>_xlfn.XLOOKUP(TablaSTOCKINV[[#This Row],[SKU]],TablaINVENTARIO[SKU],TablaINVENTARIO[PRECIO])</f>
        <v>0</v>
      </c>
      <c r="R28" s="34">
        <f>TablaSTOCKINV[[#This Row],[P.UNITARIO]]*TablaSTOCKINV[[#This Row],[CANT. TOTAL]]</f>
        <v>0</v>
      </c>
      <c r="S28" s="44">
        <f>_xlfn.XLOOKUP(TablaSTOCKINV[[#This Row],[SKU]],TablaINVENTARIO[SKU],TablaINVENTARIO[FECHA INGRESO])</f>
        <v>46023</v>
      </c>
      <c r="T28" s="44">
        <f>_xlfn.XLOOKUP(TablaSTOCKINV[[#This Row],[SKU]],TablaENTRADA[SKU],TablaENTRADA[FECHA],,0,-1)</f>
        <v>46023</v>
      </c>
      <c r="U28" s="46" t="str">
        <f>IFERROR((_xlfn.XLOOKUP(TablaSTOCKINV[[#This Row],[SKU]],TablaSALIDA[SKU],TablaSALIDA[FECHA],,0,-1))," " )</f>
        <v xml:space="preserve"> </v>
      </c>
    </row>
    <row r="29" spans="1:21" x14ac:dyDescent="0.3">
      <c r="A29" s="27" t="s">
        <v>2321</v>
      </c>
      <c r="B29" s="32" t="str">
        <f>_xlfn.XLOOKUP(TablaSTOCKINV[[#This Row],[SKU]],TablaINVENTARIO[SKU],TablaINVENTARIO[DESCRIPCION])</f>
        <v xml:space="preserve">ANTENA STARLINK </v>
      </c>
      <c r="C29" s="32" t="str">
        <f>_xlfn.XLOOKUP(TablaSTOCKINV[[#This Row],[SKU]],TablaINVENTARIO[SKU],TablaINVENTARIO[MARCA])</f>
        <v xml:space="preserve">STARLINK </v>
      </c>
      <c r="D29" s="33" t="str">
        <f>_xlfn.XLOOKUP(TablaSTOCKINV[[#This Row],[SKU]],TablaINVENTARIO[SKU],TablaINVENTARIO[CATEGORIA])</f>
        <v xml:space="preserve">TELECOMUNICACIONES </v>
      </c>
      <c r="E29" s="33" t="str">
        <f>_xlfn.XLOOKUP(TablaSTOCKINV[[#This Row],[SKU]],TablaINVENTARIO[SKU],TablaINVENTARIO[SUBCATEGORIA])</f>
        <v xml:space="preserve">EQUIPO DE RED </v>
      </c>
      <c r="F29" s="33" t="str">
        <f>_xlfn.XLOOKUP(TablaSTOCKINV[[#This Row],[SKU]],TablaINVENTARIO[SKU],TablaINVENTARIO[ESTADO])</f>
        <v>USADO</v>
      </c>
      <c r="G29" s="33" t="str">
        <f>_xlfn.XLOOKUP(TablaSTOCKINV[[#This Row],[SKU]],TablaINVENTARIO[SKU],TablaINVENTARIO[MEDIDA])</f>
        <v>UND</v>
      </c>
      <c r="H29" s="33" t="str">
        <f>_xlfn.XLOOKUP(TablaSTOCKINV[[#This Row],[SKU]],TablaINVENTARIO[SKU],TablaINVENTARIO[SERIAL])</f>
        <v>M1HT00186396</v>
      </c>
      <c r="I29" s="34" t="str">
        <f>_xlfn.XLOOKUP(TablaSTOCKINV[[#This Row],[SKU]],TablaINVENTARIO[SKU],TablaINVENTARIO[ALMACEN])</f>
        <v>ALMACEN PRINCIPAL</v>
      </c>
      <c r="J29" s="34" t="str">
        <f>_xlfn.XLOOKUP(TablaSTOCKINV[[#This Row],[SKU]],TablaINVENTARIO[SKU],TablaINVENTARIO[UBICACION])</f>
        <v>D2-1</v>
      </c>
      <c r="K29" s="34" t="str">
        <f>_xlfn.XLOOKUP(TablaSTOCKINV[[#This Row],[SKU]],TablaINVENTARIO[SKU],TablaINVENTARIO[DPTO RESPONSABLE])</f>
        <v>AIT</v>
      </c>
      <c r="L29" s="36">
        <f>_xlfn.XLOOKUP(TablaSTOCKINV[[#This Row],[SKU]],TablaINVENTARIO[SKU],TablaINVENTARIO[RANGO MIN])</f>
        <v>0</v>
      </c>
      <c r="M29" s="34" cm="1">
        <f t="array" ref="M29">_xlfn.IFS(TablaSTOCKINV[[#This Row],[CANT. TOTAL]]&lt;=0,1,TablaSTOCKINV[[#This Row],[CANT. TOTAL]]&lt;=TablaSTOCKINV[[#This Row],[MIN]],2,TablaSTOCKINV[[#This Row],[CANT. TOTAL]]&gt;TablaSTOCKINV[[#This Row],[MIN]],3)</f>
        <v>3</v>
      </c>
      <c r="N29" s="34">
        <f>TablaSTOCKINV[[#This Row],[ENTRADAS]]-TablaSTOCKINV[[#This Row],[SALIDAS]]</f>
        <v>1</v>
      </c>
      <c r="O29" s="35">
        <f>SUMIFS(TablaENTRADA[CANT],TablaENTRADA[SKU],TablaSTOCKINV[[#This Row],[SKU]])</f>
        <v>1</v>
      </c>
      <c r="P29" s="35">
        <f>SUMIFS(TablaSALIDA[CANT],TablaSALIDA[SKU],TablaSTOCKINV[[#This Row],[SKU]])</f>
        <v>0</v>
      </c>
      <c r="Q29" s="34">
        <f>_xlfn.XLOOKUP(TablaSTOCKINV[[#This Row],[SKU]],TablaINVENTARIO[SKU],TablaINVENTARIO[PRECIO])</f>
        <v>0</v>
      </c>
      <c r="R29" s="34">
        <f>TablaSTOCKINV[[#This Row],[P.UNITARIO]]*TablaSTOCKINV[[#This Row],[CANT. TOTAL]]</f>
        <v>0</v>
      </c>
      <c r="S29" s="44">
        <f>_xlfn.XLOOKUP(TablaSTOCKINV[[#This Row],[SKU]],TablaINVENTARIO[SKU],TablaINVENTARIO[FECHA INGRESO])</f>
        <v>46023</v>
      </c>
      <c r="T29" s="44">
        <f>_xlfn.XLOOKUP(TablaSTOCKINV[[#This Row],[SKU]],TablaENTRADA[SKU],TablaENTRADA[FECHA],,0,-1)</f>
        <v>46023</v>
      </c>
      <c r="U29" s="46" t="str">
        <f>IFERROR((_xlfn.XLOOKUP(TablaSTOCKINV[[#This Row],[SKU]],TablaSALIDA[SKU],TablaSALIDA[FECHA],,0,-1))," " )</f>
        <v xml:space="preserve"> </v>
      </c>
    </row>
    <row r="30" spans="1:21" x14ac:dyDescent="0.3">
      <c r="A30" s="27" t="s">
        <v>2323</v>
      </c>
      <c r="B30" s="32" t="str">
        <f>_xlfn.XLOOKUP(TablaSTOCKINV[[#This Row],[SKU]],TablaINVENTARIO[SKU],TablaINVENTARIO[DESCRIPCION])</f>
        <v xml:space="preserve">ANTENA STARLINK </v>
      </c>
      <c r="C30" s="32" t="str">
        <f>_xlfn.XLOOKUP(TablaSTOCKINV[[#This Row],[SKU]],TablaINVENTARIO[SKU],TablaINVENTARIO[MARCA])</f>
        <v xml:space="preserve">STARLINK </v>
      </c>
      <c r="D30" s="33" t="str">
        <f>_xlfn.XLOOKUP(TablaSTOCKINV[[#This Row],[SKU]],TablaINVENTARIO[SKU],TablaINVENTARIO[CATEGORIA])</f>
        <v xml:space="preserve">TELECOMUNICACIONES </v>
      </c>
      <c r="E30" s="33" t="str">
        <f>_xlfn.XLOOKUP(TablaSTOCKINV[[#This Row],[SKU]],TablaINVENTARIO[SKU],TablaINVENTARIO[SUBCATEGORIA])</f>
        <v xml:space="preserve">EQUIPO DE RED </v>
      </c>
      <c r="F30" s="33" t="str">
        <f>_xlfn.XLOOKUP(TablaSTOCKINV[[#This Row],[SKU]],TablaINVENTARIO[SKU],TablaINVENTARIO[ESTADO])</f>
        <v>USADO</v>
      </c>
      <c r="G30" s="33" t="str">
        <f>_xlfn.XLOOKUP(TablaSTOCKINV[[#This Row],[SKU]],TablaINVENTARIO[SKU],TablaINVENTARIO[MEDIDA])</f>
        <v>UND</v>
      </c>
      <c r="H30" s="33" t="str">
        <f>_xlfn.XLOOKUP(TablaSTOCKINV[[#This Row],[SKU]],TablaINVENTARIO[SKU],TablaINVENTARIO[SERIAL])</f>
        <v>M1HT00956982</v>
      </c>
      <c r="I30" s="34" t="str">
        <f>_xlfn.XLOOKUP(TablaSTOCKINV[[#This Row],[SKU]],TablaINVENTARIO[SKU],TablaINVENTARIO[ALMACEN])</f>
        <v>ALMACEN PRINCIPAL</v>
      </c>
      <c r="J30" s="34" t="str">
        <f>_xlfn.XLOOKUP(TablaSTOCKINV[[#This Row],[SKU]],TablaINVENTARIO[SKU],TablaINVENTARIO[UBICACION])</f>
        <v>D2-1</v>
      </c>
      <c r="K30" s="34" t="str">
        <f>_xlfn.XLOOKUP(TablaSTOCKINV[[#This Row],[SKU]],TablaINVENTARIO[SKU],TablaINVENTARIO[DPTO RESPONSABLE])</f>
        <v>AIT</v>
      </c>
      <c r="L30" s="36">
        <f>_xlfn.XLOOKUP(TablaSTOCKINV[[#This Row],[SKU]],TablaINVENTARIO[SKU],TablaINVENTARIO[RANGO MIN])</f>
        <v>0</v>
      </c>
      <c r="M30" s="34" cm="1">
        <f t="array" ref="M30">_xlfn.IFS(TablaSTOCKINV[[#This Row],[CANT. TOTAL]]&lt;=0,1,TablaSTOCKINV[[#This Row],[CANT. TOTAL]]&lt;=TablaSTOCKINV[[#This Row],[MIN]],2,TablaSTOCKINV[[#This Row],[CANT. TOTAL]]&gt;TablaSTOCKINV[[#This Row],[MIN]],3)</f>
        <v>3</v>
      </c>
      <c r="N30" s="34">
        <f>TablaSTOCKINV[[#This Row],[ENTRADAS]]-TablaSTOCKINV[[#This Row],[SALIDAS]]</f>
        <v>1</v>
      </c>
      <c r="O30" s="35">
        <f>SUMIFS(TablaENTRADA[CANT],TablaENTRADA[SKU],TablaSTOCKINV[[#This Row],[SKU]])</f>
        <v>1</v>
      </c>
      <c r="P30" s="35">
        <f>SUMIFS(TablaSALIDA[CANT],TablaSALIDA[SKU],TablaSTOCKINV[[#This Row],[SKU]])</f>
        <v>0</v>
      </c>
      <c r="Q30" s="34">
        <f>_xlfn.XLOOKUP(TablaSTOCKINV[[#This Row],[SKU]],TablaINVENTARIO[SKU],TablaINVENTARIO[PRECIO])</f>
        <v>0</v>
      </c>
      <c r="R30" s="34">
        <f>TablaSTOCKINV[[#This Row],[P.UNITARIO]]*TablaSTOCKINV[[#This Row],[CANT. TOTAL]]</f>
        <v>0</v>
      </c>
      <c r="S30" s="44">
        <f>_xlfn.XLOOKUP(TablaSTOCKINV[[#This Row],[SKU]],TablaINVENTARIO[SKU],TablaINVENTARIO[FECHA INGRESO])</f>
        <v>46023</v>
      </c>
      <c r="T30" s="44">
        <f>_xlfn.XLOOKUP(TablaSTOCKINV[[#This Row],[SKU]],TablaENTRADA[SKU],TablaENTRADA[FECHA],,0,-1)</f>
        <v>46023</v>
      </c>
      <c r="U30" s="46" t="str">
        <f>IFERROR((_xlfn.XLOOKUP(TablaSTOCKINV[[#This Row],[SKU]],TablaSALIDA[SKU],TablaSALIDA[FECHA],,0,-1))," " )</f>
        <v xml:space="preserve"> </v>
      </c>
    </row>
    <row r="31" spans="1:21" x14ac:dyDescent="0.3">
      <c r="A31" s="27" t="s">
        <v>2325</v>
      </c>
      <c r="B31" s="32" t="str">
        <f>_xlfn.XLOOKUP(TablaSTOCKINV[[#This Row],[SKU]],TablaINVENTARIO[SKU],TablaINVENTARIO[DESCRIPCION])</f>
        <v xml:space="preserve">ANTENA STARLINK </v>
      </c>
      <c r="C31" s="32" t="str">
        <f>_xlfn.XLOOKUP(TablaSTOCKINV[[#This Row],[SKU]],TablaINVENTARIO[SKU],TablaINVENTARIO[MARCA])</f>
        <v xml:space="preserve">STARLINK </v>
      </c>
      <c r="D31" s="33" t="str">
        <f>_xlfn.XLOOKUP(TablaSTOCKINV[[#This Row],[SKU]],TablaINVENTARIO[SKU],TablaINVENTARIO[CATEGORIA])</f>
        <v xml:space="preserve">TELECOMUNICACIONES </v>
      </c>
      <c r="E31" s="33" t="str">
        <f>_xlfn.XLOOKUP(TablaSTOCKINV[[#This Row],[SKU]],TablaINVENTARIO[SKU],TablaINVENTARIO[SUBCATEGORIA])</f>
        <v xml:space="preserve">EQUIPO DE RED </v>
      </c>
      <c r="F31" s="33" t="str">
        <f>_xlfn.XLOOKUP(TablaSTOCKINV[[#This Row],[SKU]],TablaINVENTARIO[SKU],TablaINVENTARIO[ESTADO])</f>
        <v>USADO</v>
      </c>
      <c r="G31" s="33" t="str">
        <f>_xlfn.XLOOKUP(TablaSTOCKINV[[#This Row],[SKU]],TablaINVENTARIO[SKU],TablaINVENTARIO[MEDIDA])</f>
        <v>UND</v>
      </c>
      <c r="H31" s="33" t="str">
        <f>_xlfn.XLOOKUP(TablaSTOCKINV[[#This Row],[SKU]],TablaINVENTARIO[SKU],TablaINVENTARIO[SERIAL])</f>
        <v>M1HT01500056</v>
      </c>
      <c r="I31" s="34" t="str">
        <f>_xlfn.XLOOKUP(TablaSTOCKINV[[#This Row],[SKU]],TablaINVENTARIO[SKU],TablaINVENTARIO[ALMACEN])</f>
        <v>ALMACEN PRINCIPAL</v>
      </c>
      <c r="J31" s="34" t="str">
        <f>_xlfn.XLOOKUP(TablaSTOCKINV[[#This Row],[SKU]],TablaINVENTARIO[SKU],TablaINVENTARIO[UBICACION])</f>
        <v>D2-1</v>
      </c>
      <c r="K31" s="34" t="str">
        <f>_xlfn.XLOOKUP(TablaSTOCKINV[[#This Row],[SKU]],TablaINVENTARIO[SKU],TablaINVENTARIO[DPTO RESPONSABLE])</f>
        <v>AIT</v>
      </c>
      <c r="L31" s="36">
        <f>_xlfn.XLOOKUP(TablaSTOCKINV[[#This Row],[SKU]],TablaINVENTARIO[SKU],TablaINVENTARIO[RANGO MIN])</f>
        <v>0</v>
      </c>
      <c r="M31" s="34" cm="1">
        <f t="array" ref="M31">_xlfn.IFS(TablaSTOCKINV[[#This Row],[CANT. TOTAL]]&lt;=0,1,TablaSTOCKINV[[#This Row],[CANT. TOTAL]]&lt;=TablaSTOCKINV[[#This Row],[MIN]],2,TablaSTOCKINV[[#This Row],[CANT. TOTAL]]&gt;TablaSTOCKINV[[#This Row],[MIN]],3)</f>
        <v>3</v>
      </c>
      <c r="N31" s="34">
        <f>TablaSTOCKINV[[#This Row],[ENTRADAS]]-TablaSTOCKINV[[#This Row],[SALIDAS]]</f>
        <v>1</v>
      </c>
      <c r="O31" s="35">
        <f>SUMIFS(TablaENTRADA[CANT],TablaENTRADA[SKU],TablaSTOCKINV[[#This Row],[SKU]])</f>
        <v>1</v>
      </c>
      <c r="P31" s="35">
        <f>SUMIFS(TablaSALIDA[CANT],TablaSALIDA[SKU],TablaSTOCKINV[[#This Row],[SKU]])</f>
        <v>0</v>
      </c>
      <c r="Q31" s="34">
        <f>_xlfn.XLOOKUP(TablaSTOCKINV[[#This Row],[SKU]],TablaINVENTARIO[SKU],TablaINVENTARIO[PRECIO])</f>
        <v>0</v>
      </c>
      <c r="R31" s="34">
        <f>TablaSTOCKINV[[#This Row],[P.UNITARIO]]*TablaSTOCKINV[[#This Row],[CANT. TOTAL]]</f>
        <v>0</v>
      </c>
      <c r="S31" s="44">
        <f>_xlfn.XLOOKUP(TablaSTOCKINV[[#This Row],[SKU]],TablaINVENTARIO[SKU],TablaINVENTARIO[FECHA INGRESO])</f>
        <v>46023</v>
      </c>
      <c r="T31" s="44">
        <f>_xlfn.XLOOKUP(TablaSTOCKINV[[#This Row],[SKU]],TablaENTRADA[SKU],TablaENTRADA[FECHA],,0,-1)</f>
        <v>46023</v>
      </c>
      <c r="U31" s="46" t="str">
        <f>IFERROR((_xlfn.XLOOKUP(TablaSTOCKINV[[#This Row],[SKU]],TablaSALIDA[SKU],TablaSALIDA[FECHA],,0,-1))," " )</f>
        <v xml:space="preserve"> </v>
      </c>
    </row>
    <row r="32" spans="1:21" x14ac:dyDescent="0.3">
      <c r="A32" s="27" t="s">
        <v>2327</v>
      </c>
      <c r="B32" s="32" t="str">
        <f>_xlfn.XLOOKUP(TablaSTOCKINV[[#This Row],[SKU]],TablaINVENTARIO[SKU],TablaINVENTARIO[DESCRIPCION])</f>
        <v xml:space="preserve">PROBADOR DE CABLES DE RED MULTIFUNCION </v>
      </c>
      <c r="C32" s="32" t="str">
        <f>_xlfn.XLOOKUP(TablaSTOCKINV[[#This Row],[SKU]],TablaINVENTARIO[SKU],TablaINVENTARIO[MARCA])</f>
        <v>N/A</v>
      </c>
      <c r="D32" s="33" t="str">
        <f>_xlfn.XLOOKUP(TablaSTOCKINV[[#This Row],[SKU]],TablaINVENTARIO[SKU],TablaINVENTARIO[CATEGORIA])</f>
        <v xml:space="preserve">TELECOMUNICACIONES </v>
      </c>
      <c r="E32" s="33" t="str">
        <f>_xlfn.XLOOKUP(TablaSTOCKINV[[#This Row],[SKU]],TablaINVENTARIO[SKU],TablaINVENTARIO[SUBCATEGORIA])</f>
        <v>ACCESORIO DE RED</v>
      </c>
      <c r="F32" s="33" t="str">
        <f>_xlfn.XLOOKUP(TablaSTOCKINV[[#This Row],[SKU]],TablaINVENTARIO[SKU],TablaINVENTARIO[ESTADO])</f>
        <v>USADO</v>
      </c>
      <c r="G32" s="33" t="str">
        <f>_xlfn.XLOOKUP(TablaSTOCKINV[[#This Row],[SKU]],TablaINVENTARIO[SKU],TablaINVENTARIO[MEDIDA])</f>
        <v>UND</v>
      </c>
      <c r="H32" s="33" t="str">
        <f>_xlfn.XLOOKUP(TablaSTOCKINV[[#This Row],[SKU]],TablaINVENTARIO[SKU],TablaINVENTARIO[SERIAL])</f>
        <v>N/A</v>
      </c>
      <c r="I32" s="34" t="str">
        <f>_xlfn.XLOOKUP(TablaSTOCKINV[[#This Row],[SKU]],TablaINVENTARIO[SKU],TablaINVENTARIO[ALMACEN])</f>
        <v>ALMACEN PRINCIPAL</v>
      </c>
      <c r="J32" s="34" t="str">
        <f>_xlfn.XLOOKUP(TablaSTOCKINV[[#This Row],[SKU]],TablaINVENTARIO[SKU],TablaINVENTARIO[UBICACION])</f>
        <v>D2-2</v>
      </c>
      <c r="K32" s="34" t="str">
        <f>_xlfn.XLOOKUP(TablaSTOCKINV[[#This Row],[SKU]],TablaINVENTARIO[SKU],TablaINVENTARIO[DPTO RESPONSABLE])</f>
        <v>AIT</v>
      </c>
      <c r="L32" s="36">
        <f>_xlfn.XLOOKUP(TablaSTOCKINV[[#This Row],[SKU]],TablaINVENTARIO[SKU],TablaINVENTARIO[RANGO MIN])</f>
        <v>0</v>
      </c>
      <c r="M32" s="34" cm="1">
        <f t="array" ref="M32">_xlfn.IFS(TablaSTOCKINV[[#This Row],[CANT. TOTAL]]&lt;=0,1,TablaSTOCKINV[[#This Row],[CANT. TOTAL]]&lt;=TablaSTOCKINV[[#This Row],[MIN]],2,TablaSTOCKINV[[#This Row],[CANT. TOTAL]]&gt;TablaSTOCKINV[[#This Row],[MIN]],3)</f>
        <v>3</v>
      </c>
      <c r="N32" s="34">
        <f>TablaSTOCKINV[[#This Row],[ENTRADAS]]-TablaSTOCKINV[[#This Row],[SALIDAS]]</f>
        <v>1</v>
      </c>
      <c r="O32" s="35">
        <f>SUMIFS(TablaENTRADA[CANT],TablaENTRADA[SKU],TablaSTOCKINV[[#This Row],[SKU]])</f>
        <v>1</v>
      </c>
      <c r="P32" s="35">
        <f>SUMIFS(TablaSALIDA[CANT],TablaSALIDA[SKU],TablaSTOCKINV[[#This Row],[SKU]])</f>
        <v>0</v>
      </c>
      <c r="Q32" s="34">
        <f>_xlfn.XLOOKUP(TablaSTOCKINV[[#This Row],[SKU]],TablaINVENTARIO[SKU],TablaINVENTARIO[PRECIO])</f>
        <v>0</v>
      </c>
      <c r="R32" s="34">
        <f>TablaSTOCKINV[[#This Row],[P.UNITARIO]]*TablaSTOCKINV[[#This Row],[CANT. TOTAL]]</f>
        <v>0</v>
      </c>
      <c r="S32" s="44">
        <f>_xlfn.XLOOKUP(TablaSTOCKINV[[#This Row],[SKU]],TablaINVENTARIO[SKU],TablaINVENTARIO[FECHA INGRESO])</f>
        <v>46023</v>
      </c>
      <c r="T32" s="44">
        <f>_xlfn.XLOOKUP(TablaSTOCKINV[[#This Row],[SKU]],TablaENTRADA[SKU],TablaENTRADA[FECHA],,0,-1)</f>
        <v>46023</v>
      </c>
      <c r="U32" s="46" t="str">
        <f>IFERROR((_xlfn.XLOOKUP(TablaSTOCKINV[[#This Row],[SKU]],TablaSALIDA[SKU],TablaSALIDA[FECHA],,0,-1))," " )</f>
        <v xml:space="preserve"> </v>
      </c>
    </row>
    <row r="33" spans="1:21" x14ac:dyDescent="0.3">
      <c r="A33" s="27" t="s">
        <v>2330</v>
      </c>
      <c r="B33" s="32" t="str">
        <f>_xlfn.XLOOKUP(TablaSTOCKINV[[#This Row],[SKU]],TablaINVENTARIO[SKU],TablaINVENTARIO[DESCRIPCION])</f>
        <v>SOPORTE UNIVERSAL PARA TELEFONO</v>
      </c>
      <c r="C33" s="32" t="str">
        <f>_xlfn.XLOOKUP(TablaSTOCKINV[[#This Row],[SKU]],TablaINVENTARIO[SKU],TablaINVENTARIO[MARCA])</f>
        <v>N/A</v>
      </c>
      <c r="D33" s="33" t="str">
        <f>_xlfn.XLOOKUP(TablaSTOCKINV[[#This Row],[SKU]],TablaINVENTARIO[SKU],TablaINVENTARIO[CATEGORIA])</f>
        <v xml:space="preserve">TELECOMUNICACIONES </v>
      </c>
      <c r="E33" s="33" t="str">
        <f>_xlfn.XLOOKUP(TablaSTOCKINV[[#This Row],[SKU]],TablaINVENTARIO[SKU],TablaINVENTARIO[SUBCATEGORIA])</f>
        <v>ACCESORIO</v>
      </c>
      <c r="F33" s="33" t="str">
        <f>_xlfn.XLOOKUP(TablaSTOCKINV[[#This Row],[SKU]],TablaINVENTARIO[SKU],TablaINVENTARIO[ESTADO])</f>
        <v>USADO</v>
      </c>
      <c r="G33" s="33" t="str">
        <f>_xlfn.XLOOKUP(TablaSTOCKINV[[#This Row],[SKU]],TablaINVENTARIO[SKU],TablaINVENTARIO[MEDIDA])</f>
        <v>UND</v>
      </c>
      <c r="H33" s="33" t="str">
        <f>_xlfn.XLOOKUP(TablaSTOCKINV[[#This Row],[SKU]],TablaINVENTARIO[SKU],TablaINVENTARIO[SERIAL])</f>
        <v>N/A</v>
      </c>
      <c r="I33" s="34" t="str">
        <f>_xlfn.XLOOKUP(TablaSTOCKINV[[#This Row],[SKU]],TablaINVENTARIO[SKU],TablaINVENTARIO[ALMACEN])</f>
        <v>ALMACEN PRINCIPAL</v>
      </c>
      <c r="J33" s="34" t="str">
        <f>_xlfn.XLOOKUP(TablaSTOCKINV[[#This Row],[SKU]],TablaINVENTARIO[SKU],TablaINVENTARIO[UBICACION])</f>
        <v>D2-2</v>
      </c>
      <c r="K33" s="34" t="str">
        <f>_xlfn.XLOOKUP(TablaSTOCKINV[[#This Row],[SKU]],TablaINVENTARIO[SKU],TablaINVENTARIO[DPTO RESPONSABLE])</f>
        <v>AIT</v>
      </c>
      <c r="L33" s="36">
        <f>_xlfn.XLOOKUP(TablaSTOCKINV[[#This Row],[SKU]],TablaINVENTARIO[SKU],TablaINVENTARIO[RANGO MIN])</f>
        <v>0</v>
      </c>
      <c r="M33" s="34" cm="1">
        <f t="array" ref="M33">_xlfn.IFS(TablaSTOCKINV[[#This Row],[CANT. TOTAL]]&lt;=0,1,TablaSTOCKINV[[#This Row],[CANT. TOTAL]]&lt;=TablaSTOCKINV[[#This Row],[MIN]],2,TablaSTOCKINV[[#This Row],[CANT. TOTAL]]&gt;TablaSTOCKINV[[#This Row],[MIN]],3)</f>
        <v>3</v>
      </c>
      <c r="N33" s="34">
        <f>TablaSTOCKINV[[#This Row],[ENTRADAS]]-TablaSTOCKINV[[#This Row],[SALIDAS]]</f>
        <v>2</v>
      </c>
      <c r="O33" s="35">
        <f>SUMIFS(TablaENTRADA[CANT],TablaENTRADA[SKU],TablaSTOCKINV[[#This Row],[SKU]])</f>
        <v>2</v>
      </c>
      <c r="P33" s="35">
        <f>SUMIFS(TablaSALIDA[CANT],TablaSALIDA[SKU],TablaSTOCKINV[[#This Row],[SKU]])</f>
        <v>0</v>
      </c>
      <c r="Q33" s="34">
        <f>_xlfn.XLOOKUP(TablaSTOCKINV[[#This Row],[SKU]],TablaINVENTARIO[SKU],TablaINVENTARIO[PRECIO])</f>
        <v>0</v>
      </c>
      <c r="R33" s="34">
        <f>TablaSTOCKINV[[#This Row],[P.UNITARIO]]*TablaSTOCKINV[[#This Row],[CANT. TOTAL]]</f>
        <v>0</v>
      </c>
      <c r="S33" s="44">
        <f>_xlfn.XLOOKUP(TablaSTOCKINV[[#This Row],[SKU]],TablaINVENTARIO[SKU],TablaINVENTARIO[FECHA INGRESO])</f>
        <v>46023</v>
      </c>
      <c r="T33" s="44">
        <f>_xlfn.XLOOKUP(TablaSTOCKINV[[#This Row],[SKU]],TablaENTRADA[SKU],TablaENTRADA[FECHA],,0,-1)</f>
        <v>46023</v>
      </c>
      <c r="U33" s="46" t="str">
        <f>IFERROR((_xlfn.XLOOKUP(TablaSTOCKINV[[#This Row],[SKU]],TablaSALIDA[SKU],TablaSALIDA[FECHA],,0,-1))," " )</f>
        <v xml:space="preserve"> </v>
      </c>
    </row>
    <row r="34" spans="1:21" x14ac:dyDescent="0.3">
      <c r="A34" s="27" t="s">
        <v>2332</v>
      </c>
      <c r="B34" s="32" t="str">
        <f>_xlfn.XLOOKUP(TablaSTOCKINV[[#This Row],[SKU]],TablaINVENTARIO[SKU],TablaINVENTARIO[DESCRIPCION])</f>
        <v>ANTENA NANOSTATION LOCO M2</v>
      </c>
      <c r="C34" s="32" t="str">
        <f>_xlfn.XLOOKUP(TablaSTOCKINV[[#This Row],[SKU]],TablaINVENTARIO[SKU],TablaINVENTARIO[MARCA])</f>
        <v xml:space="preserve">UBIQUITI </v>
      </c>
      <c r="D34" s="33" t="str">
        <f>_xlfn.XLOOKUP(TablaSTOCKINV[[#This Row],[SKU]],TablaINVENTARIO[SKU],TablaINVENTARIO[CATEGORIA])</f>
        <v xml:space="preserve">TELECOMUNICACIONES </v>
      </c>
      <c r="E34" s="33" t="str">
        <f>_xlfn.XLOOKUP(TablaSTOCKINV[[#This Row],[SKU]],TablaINVENTARIO[SKU],TablaINVENTARIO[SUBCATEGORIA])</f>
        <v xml:space="preserve">EQUIPO DE RED </v>
      </c>
      <c r="F34" s="33" t="str">
        <f>_xlfn.XLOOKUP(TablaSTOCKINV[[#This Row],[SKU]],TablaINVENTARIO[SKU],TablaINVENTARIO[ESTADO])</f>
        <v xml:space="preserve">NUEVO </v>
      </c>
      <c r="G34" s="33" t="str">
        <f>_xlfn.XLOOKUP(TablaSTOCKINV[[#This Row],[SKU]],TablaINVENTARIO[SKU],TablaINVENTARIO[MEDIDA])</f>
        <v>UND</v>
      </c>
      <c r="H34" s="33" t="str">
        <f>_xlfn.XLOOKUP(TablaSTOCKINV[[#This Row],[SKU]],TablaINVENTARIO[SKU],TablaINVENTARIO[SERIAL])</f>
        <v>N/A</v>
      </c>
      <c r="I34" s="34" t="str">
        <f>_xlfn.XLOOKUP(TablaSTOCKINV[[#This Row],[SKU]],TablaINVENTARIO[SKU],TablaINVENTARIO[ALMACEN])</f>
        <v>ALMACEN PRINCIPAL</v>
      </c>
      <c r="J34" s="34" t="str">
        <f>_xlfn.XLOOKUP(TablaSTOCKINV[[#This Row],[SKU]],TablaINVENTARIO[SKU],TablaINVENTARIO[UBICACION])</f>
        <v>D2-2</v>
      </c>
      <c r="K34" s="34" t="str">
        <f>_xlfn.XLOOKUP(TablaSTOCKINV[[#This Row],[SKU]],TablaINVENTARIO[SKU],TablaINVENTARIO[DPTO RESPONSABLE])</f>
        <v>AIT</v>
      </c>
      <c r="L34" s="36">
        <f>_xlfn.XLOOKUP(TablaSTOCKINV[[#This Row],[SKU]],TablaINVENTARIO[SKU],TablaINVENTARIO[RANGO MIN])</f>
        <v>0</v>
      </c>
      <c r="M34" s="34" cm="1">
        <f t="array" ref="M34">_xlfn.IFS(TablaSTOCKINV[[#This Row],[CANT. TOTAL]]&lt;=0,1,TablaSTOCKINV[[#This Row],[CANT. TOTAL]]&lt;=TablaSTOCKINV[[#This Row],[MIN]],2,TablaSTOCKINV[[#This Row],[CANT. TOTAL]]&gt;TablaSTOCKINV[[#This Row],[MIN]],3)</f>
        <v>3</v>
      </c>
      <c r="N34" s="34">
        <f>TablaSTOCKINV[[#This Row],[ENTRADAS]]-TablaSTOCKINV[[#This Row],[SALIDAS]]</f>
        <v>2</v>
      </c>
      <c r="O34" s="35">
        <f>SUMIFS(TablaENTRADA[CANT],TablaENTRADA[SKU],TablaSTOCKINV[[#This Row],[SKU]])</f>
        <v>2</v>
      </c>
      <c r="P34" s="35">
        <f>SUMIFS(TablaSALIDA[CANT],TablaSALIDA[SKU],TablaSTOCKINV[[#This Row],[SKU]])</f>
        <v>0</v>
      </c>
      <c r="Q34" s="34">
        <f>_xlfn.XLOOKUP(TablaSTOCKINV[[#This Row],[SKU]],TablaINVENTARIO[SKU],TablaINVENTARIO[PRECIO])</f>
        <v>0</v>
      </c>
      <c r="R34" s="34">
        <f>TablaSTOCKINV[[#This Row],[P.UNITARIO]]*TablaSTOCKINV[[#This Row],[CANT. TOTAL]]</f>
        <v>0</v>
      </c>
      <c r="S34" s="44">
        <f>_xlfn.XLOOKUP(TablaSTOCKINV[[#This Row],[SKU]],TablaINVENTARIO[SKU],TablaINVENTARIO[FECHA INGRESO])</f>
        <v>46023</v>
      </c>
      <c r="T34" s="44">
        <f>_xlfn.XLOOKUP(TablaSTOCKINV[[#This Row],[SKU]],TablaENTRADA[SKU],TablaENTRADA[FECHA],,0,-1)</f>
        <v>46023</v>
      </c>
      <c r="U34" s="46" t="str">
        <f>IFERROR((_xlfn.XLOOKUP(TablaSTOCKINV[[#This Row],[SKU]],TablaSALIDA[SKU],TablaSALIDA[FECHA],,0,-1))," " )</f>
        <v xml:space="preserve"> </v>
      </c>
    </row>
    <row r="35" spans="1:21" x14ac:dyDescent="0.3">
      <c r="A35" s="27" t="s">
        <v>2335</v>
      </c>
      <c r="B35" s="32" t="str">
        <f>_xlfn.XLOOKUP(TablaSTOCKINV[[#This Row],[SKU]],TablaINVENTARIO[SKU],TablaINVENTARIO[DESCRIPCION])</f>
        <v>HERRAMIENTA DE IMPACTO (PONCHADORA)</v>
      </c>
      <c r="C35" s="32" t="str">
        <f>_xlfn.XLOOKUP(TablaSTOCKINV[[#This Row],[SKU]],TablaINVENTARIO[SKU],TablaINVENTARIO[MARCA])</f>
        <v>WIREPLUS</v>
      </c>
      <c r="D35" s="33" t="str">
        <f>_xlfn.XLOOKUP(TablaSTOCKINV[[#This Row],[SKU]],TablaINVENTARIO[SKU],TablaINVENTARIO[CATEGORIA])</f>
        <v xml:space="preserve">TELECOMUNICACIONES </v>
      </c>
      <c r="E35" s="33" t="str">
        <f>_xlfn.XLOOKUP(TablaSTOCKINV[[#This Row],[SKU]],TablaINVENTARIO[SKU],TablaINVENTARIO[SUBCATEGORIA])</f>
        <v>ACCESORIO</v>
      </c>
      <c r="F35" s="33" t="str">
        <f>_xlfn.XLOOKUP(TablaSTOCKINV[[#This Row],[SKU]],TablaINVENTARIO[SKU],TablaINVENTARIO[ESTADO])</f>
        <v>USADO</v>
      </c>
      <c r="G35" s="33" t="str">
        <f>_xlfn.XLOOKUP(TablaSTOCKINV[[#This Row],[SKU]],TablaINVENTARIO[SKU],TablaINVENTARIO[MEDIDA])</f>
        <v>UND</v>
      </c>
      <c r="H35" s="33" t="str">
        <f>_xlfn.XLOOKUP(TablaSTOCKINV[[#This Row],[SKU]],TablaINVENTARIO[SKU],TablaINVENTARIO[SERIAL])</f>
        <v>N/A</v>
      </c>
      <c r="I35" s="34" t="str">
        <f>_xlfn.XLOOKUP(TablaSTOCKINV[[#This Row],[SKU]],TablaINVENTARIO[SKU],TablaINVENTARIO[ALMACEN])</f>
        <v>ALMACEN PRINCIPAL</v>
      </c>
      <c r="J35" s="34" t="str">
        <f>_xlfn.XLOOKUP(TablaSTOCKINV[[#This Row],[SKU]],TablaINVENTARIO[SKU],TablaINVENTARIO[UBICACION])</f>
        <v>D2-2</v>
      </c>
      <c r="K35" s="34" t="str">
        <f>_xlfn.XLOOKUP(TablaSTOCKINV[[#This Row],[SKU]],TablaINVENTARIO[SKU],TablaINVENTARIO[DPTO RESPONSABLE])</f>
        <v>AIT</v>
      </c>
      <c r="L35" s="36">
        <f>_xlfn.XLOOKUP(TablaSTOCKINV[[#This Row],[SKU]],TablaINVENTARIO[SKU],TablaINVENTARIO[RANGO MIN])</f>
        <v>0</v>
      </c>
      <c r="M35" s="34" cm="1">
        <f t="array" ref="M35">_xlfn.IFS(TablaSTOCKINV[[#This Row],[CANT. TOTAL]]&lt;=0,1,TablaSTOCKINV[[#This Row],[CANT. TOTAL]]&lt;=TablaSTOCKINV[[#This Row],[MIN]],2,TablaSTOCKINV[[#This Row],[CANT. TOTAL]]&gt;TablaSTOCKINV[[#This Row],[MIN]],3)</f>
        <v>3</v>
      </c>
      <c r="N35" s="34">
        <f>TablaSTOCKINV[[#This Row],[ENTRADAS]]-TablaSTOCKINV[[#This Row],[SALIDAS]]</f>
        <v>1</v>
      </c>
      <c r="O35" s="35">
        <f>SUMIFS(TablaENTRADA[CANT],TablaENTRADA[SKU],TablaSTOCKINV[[#This Row],[SKU]])</f>
        <v>1</v>
      </c>
      <c r="P35" s="35">
        <f>SUMIFS(TablaSALIDA[CANT],TablaSALIDA[SKU],TablaSTOCKINV[[#This Row],[SKU]])</f>
        <v>0</v>
      </c>
      <c r="Q35" s="34">
        <f>_xlfn.XLOOKUP(TablaSTOCKINV[[#This Row],[SKU]],TablaINVENTARIO[SKU],TablaINVENTARIO[PRECIO])</f>
        <v>0</v>
      </c>
      <c r="R35" s="34">
        <f>TablaSTOCKINV[[#This Row],[P.UNITARIO]]*TablaSTOCKINV[[#This Row],[CANT. TOTAL]]</f>
        <v>0</v>
      </c>
      <c r="S35" s="44">
        <f>_xlfn.XLOOKUP(TablaSTOCKINV[[#This Row],[SKU]],TablaINVENTARIO[SKU],TablaINVENTARIO[FECHA INGRESO])</f>
        <v>46023</v>
      </c>
      <c r="T35" s="44">
        <f>_xlfn.XLOOKUP(TablaSTOCKINV[[#This Row],[SKU]],TablaENTRADA[SKU],TablaENTRADA[FECHA],,0,-1)</f>
        <v>46023</v>
      </c>
      <c r="U35" s="46" t="str">
        <f>IFERROR((_xlfn.XLOOKUP(TablaSTOCKINV[[#This Row],[SKU]],TablaSALIDA[SKU],TablaSALIDA[FECHA],,0,-1))," " )</f>
        <v xml:space="preserve"> </v>
      </c>
    </row>
    <row r="36" spans="1:21" x14ac:dyDescent="0.3">
      <c r="A36" s="27" t="s">
        <v>2338</v>
      </c>
      <c r="B36" s="32" t="str">
        <f>_xlfn.XLOOKUP(TablaSTOCKINV[[#This Row],[SKU]],TablaINVENTARIO[SKU],TablaINVENTARIO[DESCRIPCION])</f>
        <v>SWITCH FAST ETHERNET NWAY 24 PUERTOS MODELO: ENH924-AUT</v>
      </c>
      <c r="C36" s="32" t="str">
        <f>_xlfn.XLOOKUP(TablaSTOCKINV[[#This Row],[SKU]],TablaINVENTARIO[SKU],TablaINVENTARIO[MARCA])</f>
        <v>ENCORE</v>
      </c>
      <c r="D36" s="33" t="str">
        <f>_xlfn.XLOOKUP(TablaSTOCKINV[[#This Row],[SKU]],TablaINVENTARIO[SKU],TablaINVENTARIO[CATEGORIA])</f>
        <v xml:space="preserve">TELECOMUNICACIONES </v>
      </c>
      <c r="E36" s="33" t="str">
        <f>_xlfn.XLOOKUP(TablaSTOCKINV[[#This Row],[SKU]],TablaINVENTARIO[SKU],TablaINVENTARIO[SUBCATEGORIA])</f>
        <v xml:space="preserve">EQUIPO DE RED </v>
      </c>
      <c r="F36" s="33" t="str">
        <f>_xlfn.XLOOKUP(TablaSTOCKINV[[#This Row],[SKU]],TablaINVENTARIO[SKU],TablaINVENTARIO[ESTADO])</f>
        <v>USADO</v>
      </c>
      <c r="G36" s="33" t="str">
        <f>_xlfn.XLOOKUP(TablaSTOCKINV[[#This Row],[SKU]],TablaINVENTARIO[SKU],TablaINVENTARIO[MEDIDA])</f>
        <v>UND</v>
      </c>
      <c r="H36" s="33">
        <f>_xlfn.XLOOKUP(TablaSTOCKINV[[#This Row],[SKU]],TablaINVENTARIO[SKU],TablaINVENTARIO[SERIAL])</f>
        <v>11200000000000</v>
      </c>
      <c r="I36" s="34" t="str">
        <f>_xlfn.XLOOKUP(TablaSTOCKINV[[#This Row],[SKU]],TablaINVENTARIO[SKU],TablaINVENTARIO[ALMACEN])</f>
        <v>ALMACEN PRINCIPAL</v>
      </c>
      <c r="J36" s="34" t="str">
        <f>_xlfn.XLOOKUP(TablaSTOCKINV[[#This Row],[SKU]],TablaINVENTARIO[SKU],TablaINVENTARIO[UBICACION])</f>
        <v>D2-2</v>
      </c>
      <c r="K36" s="34" t="str">
        <f>_xlfn.XLOOKUP(TablaSTOCKINV[[#This Row],[SKU]],TablaINVENTARIO[SKU],TablaINVENTARIO[DPTO RESPONSABLE])</f>
        <v>AIT</v>
      </c>
      <c r="L36" s="36">
        <f>_xlfn.XLOOKUP(TablaSTOCKINV[[#This Row],[SKU]],TablaINVENTARIO[SKU],TablaINVENTARIO[RANGO MIN])</f>
        <v>0</v>
      </c>
      <c r="M36" s="34" cm="1">
        <f t="array" ref="M36">_xlfn.IFS(TablaSTOCKINV[[#This Row],[CANT. TOTAL]]&lt;=0,1,TablaSTOCKINV[[#This Row],[CANT. TOTAL]]&lt;=TablaSTOCKINV[[#This Row],[MIN]],2,TablaSTOCKINV[[#This Row],[CANT. TOTAL]]&gt;TablaSTOCKINV[[#This Row],[MIN]],3)</f>
        <v>3</v>
      </c>
      <c r="N36" s="34">
        <f>TablaSTOCKINV[[#This Row],[ENTRADAS]]-TablaSTOCKINV[[#This Row],[SALIDAS]]</f>
        <v>1</v>
      </c>
      <c r="O36" s="35">
        <f>SUMIFS(TablaENTRADA[CANT],TablaENTRADA[SKU],TablaSTOCKINV[[#This Row],[SKU]])</f>
        <v>1</v>
      </c>
      <c r="P36" s="35">
        <f>SUMIFS(TablaSALIDA[CANT],TablaSALIDA[SKU],TablaSTOCKINV[[#This Row],[SKU]])</f>
        <v>0</v>
      </c>
      <c r="Q36" s="34">
        <f>_xlfn.XLOOKUP(TablaSTOCKINV[[#This Row],[SKU]],TablaINVENTARIO[SKU],TablaINVENTARIO[PRECIO])</f>
        <v>0</v>
      </c>
      <c r="R36" s="34">
        <f>TablaSTOCKINV[[#This Row],[P.UNITARIO]]*TablaSTOCKINV[[#This Row],[CANT. TOTAL]]</f>
        <v>0</v>
      </c>
      <c r="S36" s="44">
        <f>_xlfn.XLOOKUP(TablaSTOCKINV[[#This Row],[SKU]],TablaINVENTARIO[SKU],TablaINVENTARIO[FECHA INGRESO])</f>
        <v>46023</v>
      </c>
      <c r="T36" s="44">
        <f>_xlfn.XLOOKUP(TablaSTOCKINV[[#This Row],[SKU]],TablaENTRADA[SKU],TablaENTRADA[FECHA],,0,-1)</f>
        <v>46023</v>
      </c>
      <c r="U36" s="46" t="str">
        <f>IFERROR((_xlfn.XLOOKUP(TablaSTOCKINV[[#This Row],[SKU]],TablaSALIDA[SKU],TablaSALIDA[FECHA],,0,-1))," " )</f>
        <v xml:space="preserve"> </v>
      </c>
    </row>
    <row r="37" spans="1:21" x14ac:dyDescent="0.3">
      <c r="A37" s="27" t="s">
        <v>2341</v>
      </c>
      <c r="B37" s="32" t="str">
        <f>_xlfn.XLOOKUP(TablaSTOCKINV[[#This Row],[SKU]],TablaINVENTARIO[SKU],TablaINVENTARIO[DESCRIPCION])</f>
        <v>CPE INALAMBRICO 2.4GHZ MODELO: TL-WA5210G</v>
      </c>
      <c r="C37" s="32" t="str">
        <f>_xlfn.XLOOKUP(TablaSTOCKINV[[#This Row],[SKU]],TablaINVENTARIO[SKU],TablaINVENTARIO[MARCA])</f>
        <v>TP-LINK</v>
      </c>
      <c r="D37" s="33" t="str">
        <f>_xlfn.XLOOKUP(TablaSTOCKINV[[#This Row],[SKU]],TablaINVENTARIO[SKU],TablaINVENTARIO[CATEGORIA])</f>
        <v xml:space="preserve">TELECOMUNICACIONES </v>
      </c>
      <c r="E37" s="33" t="str">
        <f>_xlfn.XLOOKUP(TablaSTOCKINV[[#This Row],[SKU]],TablaINVENTARIO[SKU],TablaINVENTARIO[SUBCATEGORIA])</f>
        <v xml:space="preserve">EQUIPO DE RED </v>
      </c>
      <c r="F37" s="33" t="str">
        <f>_xlfn.XLOOKUP(TablaSTOCKINV[[#This Row],[SKU]],TablaINVENTARIO[SKU],TablaINVENTARIO[ESTADO])</f>
        <v>USADO</v>
      </c>
      <c r="G37" s="33" t="str">
        <f>_xlfn.XLOOKUP(TablaSTOCKINV[[#This Row],[SKU]],TablaINVENTARIO[SKU],TablaINVENTARIO[MEDIDA])</f>
        <v>UND</v>
      </c>
      <c r="H37" s="33" t="str">
        <f>_xlfn.XLOOKUP(TablaSTOCKINV[[#This Row],[SKU]],TablaINVENTARIO[SKU],TablaINVENTARIO[SERIAL])</f>
        <v>10A61101810</v>
      </c>
      <c r="I37" s="34" t="str">
        <f>_xlfn.XLOOKUP(TablaSTOCKINV[[#This Row],[SKU]],TablaINVENTARIO[SKU],TablaINVENTARIO[ALMACEN])</f>
        <v>ALMACEN PRINCIPAL</v>
      </c>
      <c r="J37" s="34" t="str">
        <f>_xlfn.XLOOKUP(TablaSTOCKINV[[#This Row],[SKU]],TablaINVENTARIO[SKU],TablaINVENTARIO[UBICACION])</f>
        <v>D2-2</v>
      </c>
      <c r="K37" s="34" t="str">
        <f>_xlfn.XLOOKUP(TablaSTOCKINV[[#This Row],[SKU]],TablaINVENTARIO[SKU],TablaINVENTARIO[DPTO RESPONSABLE])</f>
        <v>AIT</v>
      </c>
      <c r="L37" s="36">
        <f>_xlfn.XLOOKUP(TablaSTOCKINV[[#This Row],[SKU]],TablaINVENTARIO[SKU],TablaINVENTARIO[RANGO MIN])</f>
        <v>0</v>
      </c>
      <c r="M37" s="34" cm="1">
        <f t="array" ref="M37">_xlfn.IFS(TablaSTOCKINV[[#This Row],[CANT. TOTAL]]&lt;=0,1,TablaSTOCKINV[[#This Row],[CANT. TOTAL]]&lt;=TablaSTOCKINV[[#This Row],[MIN]],2,TablaSTOCKINV[[#This Row],[CANT. TOTAL]]&gt;TablaSTOCKINV[[#This Row],[MIN]],3)</f>
        <v>3</v>
      </c>
      <c r="N37" s="34">
        <f>TablaSTOCKINV[[#This Row],[ENTRADAS]]-TablaSTOCKINV[[#This Row],[SALIDAS]]</f>
        <v>1</v>
      </c>
      <c r="O37" s="35">
        <f>SUMIFS(TablaENTRADA[CANT],TablaENTRADA[SKU],TablaSTOCKINV[[#This Row],[SKU]])</f>
        <v>1</v>
      </c>
      <c r="P37" s="35">
        <f>SUMIFS(TablaSALIDA[CANT],TablaSALIDA[SKU],TablaSTOCKINV[[#This Row],[SKU]])</f>
        <v>0</v>
      </c>
      <c r="Q37" s="34">
        <f>_xlfn.XLOOKUP(TablaSTOCKINV[[#This Row],[SKU]],TablaINVENTARIO[SKU],TablaINVENTARIO[PRECIO])</f>
        <v>0</v>
      </c>
      <c r="R37" s="34">
        <f>TablaSTOCKINV[[#This Row],[P.UNITARIO]]*TablaSTOCKINV[[#This Row],[CANT. TOTAL]]</f>
        <v>0</v>
      </c>
      <c r="S37" s="44">
        <f>_xlfn.XLOOKUP(TablaSTOCKINV[[#This Row],[SKU]],TablaINVENTARIO[SKU],TablaINVENTARIO[FECHA INGRESO])</f>
        <v>46023</v>
      </c>
      <c r="T37" s="44">
        <f>_xlfn.XLOOKUP(TablaSTOCKINV[[#This Row],[SKU]],TablaENTRADA[SKU],TablaENTRADA[FECHA],,0,-1)</f>
        <v>46023</v>
      </c>
      <c r="U37" s="46" t="str">
        <f>IFERROR((_xlfn.XLOOKUP(TablaSTOCKINV[[#This Row],[SKU]],TablaSALIDA[SKU],TablaSALIDA[FECHA],,0,-1))," " )</f>
        <v xml:space="preserve"> </v>
      </c>
    </row>
    <row r="38" spans="1:21" x14ac:dyDescent="0.3">
      <c r="A38" s="27" t="s">
        <v>2345</v>
      </c>
      <c r="B38" s="32" t="str">
        <f>_xlfn.XLOOKUP(TablaSTOCKINV[[#This Row],[SKU]],TablaINVENTARIO[SKU],TablaINVENTARIO[DESCRIPCION])</f>
        <v>CPE INALAMBRICO 2.4GHZ MODELO: TL-WA5210G</v>
      </c>
      <c r="C38" s="32" t="str">
        <f>_xlfn.XLOOKUP(TablaSTOCKINV[[#This Row],[SKU]],TablaINVENTARIO[SKU],TablaINVENTARIO[MARCA])</f>
        <v>TP-LINK</v>
      </c>
      <c r="D38" s="33" t="str">
        <f>_xlfn.XLOOKUP(TablaSTOCKINV[[#This Row],[SKU]],TablaINVENTARIO[SKU],TablaINVENTARIO[CATEGORIA])</f>
        <v xml:space="preserve">TELECOMUNICACIONES </v>
      </c>
      <c r="E38" s="33" t="str">
        <f>_xlfn.XLOOKUP(TablaSTOCKINV[[#This Row],[SKU]],TablaINVENTARIO[SKU],TablaINVENTARIO[SUBCATEGORIA])</f>
        <v xml:space="preserve">EQUIPO DE RED </v>
      </c>
      <c r="F38" s="33" t="str">
        <f>_xlfn.XLOOKUP(TablaSTOCKINV[[#This Row],[SKU]],TablaINVENTARIO[SKU],TablaINVENTARIO[ESTADO])</f>
        <v>USADO</v>
      </c>
      <c r="G38" s="33" t="str">
        <f>_xlfn.XLOOKUP(TablaSTOCKINV[[#This Row],[SKU]],TablaINVENTARIO[SKU],TablaINVENTARIO[MEDIDA])</f>
        <v>UND</v>
      </c>
      <c r="H38" s="33" t="str">
        <f>_xlfn.XLOOKUP(TablaSTOCKINV[[#This Row],[SKU]],TablaINVENTARIO[SKU],TablaINVENTARIO[SERIAL])</f>
        <v>10B85402287</v>
      </c>
      <c r="I38" s="34" t="str">
        <f>_xlfn.XLOOKUP(TablaSTOCKINV[[#This Row],[SKU]],TablaINVENTARIO[SKU],TablaINVENTARIO[ALMACEN])</f>
        <v>ALMACEN PRINCIPAL</v>
      </c>
      <c r="J38" s="34" t="str">
        <f>_xlfn.XLOOKUP(TablaSTOCKINV[[#This Row],[SKU]],TablaINVENTARIO[SKU],TablaINVENTARIO[UBICACION])</f>
        <v>D2-2</v>
      </c>
      <c r="K38" s="34" t="str">
        <f>_xlfn.XLOOKUP(TablaSTOCKINV[[#This Row],[SKU]],TablaINVENTARIO[SKU],TablaINVENTARIO[DPTO RESPONSABLE])</f>
        <v>AIT</v>
      </c>
      <c r="L38" s="36">
        <f>_xlfn.XLOOKUP(TablaSTOCKINV[[#This Row],[SKU]],TablaINVENTARIO[SKU],TablaINVENTARIO[RANGO MIN])</f>
        <v>0</v>
      </c>
      <c r="M38" s="34" cm="1">
        <f t="array" ref="M38">_xlfn.IFS(TablaSTOCKINV[[#This Row],[CANT. TOTAL]]&lt;=0,1,TablaSTOCKINV[[#This Row],[CANT. TOTAL]]&lt;=TablaSTOCKINV[[#This Row],[MIN]],2,TablaSTOCKINV[[#This Row],[CANT. TOTAL]]&gt;TablaSTOCKINV[[#This Row],[MIN]],3)</f>
        <v>3</v>
      </c>
      <c r="N38" s="34">
        <f>TablaSTOCKINV[[#This Row],[ENTRADAS]]-TablaSTOCKINV[[#This Row],[SALIDAS]]</f>
        <v>1</v>
      </c>
      <c r="O38" s="35">
        <f>SUMIFS(TablaENTRADA[CANT],TablaENTRADA[SKU],TablaSTOCKINV[[#This Row],[SKU]])</f>
        <v>1</v>
      </c>
      <c r="P38" s="35">
        <f>SUMIFS(TablaSALIDA[CANT],TablaSALIDA[SKU],TablaSTOCKINV[[#This Row],[SKU]])</f>
        <v>0</v>
      </c>
      <c r="Q38" s="34">
        <f>_xlfn.XLOOKUP(TablaSTOCKINV[[#This Row],[SKU]],TablaINVENTARIO[SKU],TablaINVENTARIO[PRECIO])</f>
        <v>0</v>
      </c>
      <c r="R38" s="34">
        <f>TablaSTOCKINV[[#This Row],[P.UNITARIO]]*TablaSTOCKINV[[#This Row],[CANT. TOTAL]]</f>
        <v>0</v>
      </c>
      <c r="S38" s="44">
        <f>_xlfn.XLOOKUP(TablaSTOCKINV[[#This Row],[SKU]],TablaINVENTARIO[SKU],TablaINVENTARIO[FECHA INGRESO])</f>
        <v>46023</v>
      </c>
      <c r="T38" s="44">
        <f>_xlfn.XLOOKUP(TablaSTOCKINV[[#This Row],[SKU]],TablaENTRADA[SKU],TablaENTRADA[FECHA],,0,-1)</f>
        <v>46023</v>
      </c>
      <c r="U38" s="46" t="str">
        <f>IFERROR((_xlfn.XLOOKUP(TablaSTOCKINV[[#This Row],[SKU]],TablaSALIDA[SKU],TablaSALIDA[FECHA],,0,-1))," " )</f>
        <v xml:space="preserve"> </v>
      </c>
    </row>
    <row r="39" spans="1:21" x14ac:dyDescent="0.3">
      <c r="A39" s="27" t="s">
        <v>2347</v>
      </c>
      <c r="B39" s="32" t="str">
        <f>_xlfn.XLOOKUP(TablaSTOCKINV[[#This Row],[SKU]],TablaINVENTARIO[SKU],TablaINVENTARIO[DESCRIPCION])</f>
        <v>ANTENA OMNIDIRECCIONAL DE ESCRITORIO PARA INTERIORES MODELO: TL-ANT2408C  TP-LINK</v>
      </c>
      <c r="C39" s="32">
        <f>_xlfn.XLOOKUP(TablaSTOCKINV[[#This Row],[SKU]],TablaINVENTARIO[SKU],TablaINVENTARIO[MARCA])</f>
        <v>0</v>
      </c>
      <c r="D39" s="33" t="str">
        <f>_xlfn.XLOOKUP(TablaSTOCKINV[[#This Row],[SKU]],TablaINVENTARIO[SKU],TablaINVENTARIO[CATEGORIA])</f>
        <v xml:space="preserve">TELECOMUNICACIONES </v>
      </c>
      <c r="E39" s="33" t="str">
        <f>_xlfn.XLOOKUP(TablaSTOCKINV[[#This Row],[SKU]],TablaINVENTARIO[SKU],TablaINVENTARIO[SUBCATEGORIA])</f>
        <v xml:space="preserve">EQUIPO DE RED </v>
      </c>
      <c r="F39" s="33" t="str">
        <f>_xlfn.XLOOKUP(TablaSTOCKINV[[#This Row],[SKU]],TablaINVENTARIO[SKU],TablaINVENTARIO[ESTADO])</f>
        <v>USADO</v>
      </c>
      <c r="G39" s="33" t="str">
        <f>_xlfn.XLOOKUP(TablaSTOCKINV[[#This Row],[SKU]],TablaINVENTARIO[SKU],TablaINVENTARIO[MEDIDA])</f>
        <v>UND</v>
      </c>
      <c r="H39" s="33" t="str">
        <f>_xlfn.XLOOKUP(TablaSTOCKINV[[#This Row],[SKU]],TablaINVENTARIO[SKU],TablaINVENTARIO[SERIAL])</f>
        <v>137A1403013</v>
      </c>
      <c r="I39" s="34" t="str">
        <f>_xlfn.XLOOKUP(TablaSTOCKINV[[#This Row],[SKU]],TablaINVENTARIO[SKU],TablaINVENTARIO[ALMACEN])</f>
        <v>ALMACEN PRINCIPAL</v>
      </c>
      <c r="J39" s="34" t="str">
        <f>_xlfn.XLOOKUP(TablaSTOCKINV[[#This Row],[SKU]],TablaINVENTARIO[SKU],TablaINVENTARIO[UBICACION])</f>
        <v>D2-2</v>
      </c>
      <c r="K39" s="34" t="str">
        <f>_xlfn.XLOOKUP(TablaSTOCKINV[[#This Row],[SKU]],TablaINVENTARIO[SKU],TablaINVENTARIO[DPTO RESPONSABLE])</f>
        <v>AIT</v>
      </c>
      <c r="L39" s="36">
        <f>_xlfn.XLOOKUP(TablaSTOCKINV[[#This Row],[SKU]],TablaINVENTARIO[SKU],TablaINVENTARIO[RANGO MIN])</f>
        <v>0</v>
      </c>
      <c r="M39" s="34" cm="1">
        <f t="array" ref="M39">_xlfn.IFS(TablaSTOCKINV[[#This Row],[CANT. TOTAL]]&lt;=0,1,TablaSTOCKINV[[#This Row],[CANT. TOTAL]]&lt;=TablaSTOCKINV[[#This Row],[MIN]],2,TablaSTOCKINV[[#This Row],[CANT. TOTAL]]&gt;TablaSTOCKINV[[#This Row],[MIN]],3)</f>
        <v>3</v>
      </c>
      <c r="N39" s="34">
        <f>TablaSTOCKINV[[#This Row],[ENTRADAS]]-TablaSTOCKINV[[#This Row],[SALIDAS]]</f>
        <v>1</v>
      </c>
      <c r="O39" s="35">
        <f>SUMIFS(TablaENTRADA[CANT],TablaENTRADA[SKU],TablaSTOCKINV[[#This Row],[SKU]])</f>
        <v>1</v>
      </c>
      <c r="P39" s="35">
        <f>SUMIFS(TablaSALIDA[CANT],TablaSALIDA[SKU],TablaSTOCKINV[[#This Row],[SKU]])</f>
        <v>0</v>
      </c>
      <c r="Q39" s="34">
        <f>_xlfn.XLOOKUP(TablaSTOCKINV[[#This Row],[SKU]],TablaINVENTARIO[SKU],TablaINVENTARIO[PRECIO])</f>
        <v>0</v>
      </c>
      <c r="R39" s="34">
        <f>TablaSTOCKINV[[#This Row],[P.UNITARIO]]*TablaSTOCKINV[[#This Row],[CANT. TOTAL]]</f>
        <v>0</v>
      </c>
      <c r="S39" s="44">
        <f>_xlfn.XLOOKUP(TablaSTOCKINV[[#This Row],[SKU]],TablaINVENTARIO[SKU],TablaINVENTARIO[FECHA INGRESO])</f>
        <v>46023</v>
      </c>
      <c r="T39" s="44">
        <f>_xlfn.XLOOKUP(TablaSTOCKINV[[#This Row],[SKU]],TablaENTRADA[SKU],TablaENTRADA[FECHA],,0,-1)</f>
        <v>46023</v>
      </c>
      <c r="U39" s="46" t="str">
        <f>IFERROR((_xlfn.XLOOKUP(TablaSTOCKINV[[#This Row],[SKU]],TablaSALIDA[SKU],TablaSALIDA[FECHA],,0,-1))," " )</f>
        <v xml:space="preserve"> </v>
      </c>
    </row>
    <row r="40" spans="1:21" x14ac:dyDescent="0.3">
      <c r="A40" s="27" t="s">
        <v>2350</v>
      </c>
      <c r="B40" s="32" t="str">
        <f>_xlfn.XLOOKUP(TablaSTOCKINV[[#This Row],[SKU]],TablaINVENTARIO[SKU],TablaINVENTARIO[DESCRIPCION])</f>
        <v>ROUTER 2.4 GHZ MODELO: WRT54G</v>
      </c>
      <c r="C40" s="32" t="str">
        <f>_xlfn.XLOOKUP(TablaSTOCKINV[[#This Row],[SKU]],TablaINVENTARIO[SKU],TablaINVENTARIO[MARCA])</f>
        <v>LINKSYS</v>
      </c>
      <c r="D40" s="33" t="str">
        <f>_xlfn.XLOOKUP(TablaSTOCKINV[[#This Row],[SKU]],TablaINVENTARIO[SKU],TablaINVENTARIO[CATEGORIA])</f>
        <v xml:space="preserve">TELECOMUNICACIONES </v>
      </c>
      <c r="E40" s="33" t="str">
        <f>_xlfn.XLOOKUP(TablaSTOCKINV[[#This Row],[SKU]],TablaINVENTARIO[SKU],TablaINVENTARIO[SUBCATEGORIA])</f>
        <v xml:space="preserve">EQUIPO DE RED </v>
      </c>
      <c r="F40" s="33" t="str">
        <f>_xlfn.XLOOKUP(TablaSTOCKINV[[#This Row],[SKU]],TablaINVENTARIO[SKU],TablaINVENTARIO[ESTADO])</f>
        <v>USADO</v>
      </c>
      <c r="G40" s="33" t="str">
        <f>_xlfn.XLOOKUP(TablaSTOCKINV[[#This Row],[SKU]],TablaINVENTARIO[SKU],TablaINVENTARIO[MEDIDA])</f>
        <v>UND</v>
      </c>
      <c r="H40" s="33" t="str">
        <f>_xlfn.XLOOKUP(TablaSTOCKINV[[#This Row],[SKU]],TablaINVENTARIO[SKU],TablaINVENTARIO[SERIAL])</f>
        <v>CDF70DC46368</v>
      </c>
      <c r="I40" s="34" t="str">
        <f>_xlfn.XLOOKUP(TablaSTOCKINV[[#This Row],[SKU]],TablaINVENTARIO[SKU],TablaINVENTARIO[ALMACEN])</f>
        <v>ALMACEN PRINCIPAL</v>
      </c>
      <c r="J40" s="34" t="str">
        <f>_xlfn.XLOOKUP(TablaSTOCKINV[[#This Row],[SKU]],TablaINVENTARIO[SKU],TablaINVENTARIO[UBICACION])</f>
        <v>D2-2</v>
      </c>
      <c r="K40" s="34" t="str">
        <f>_xlfn.XLOOKUP(TablaSTOCKINV[[#This Row],[SKU]],TablaINVENTARIO[SKU],TablaINVENTARIO[DPTO RESPONSABLE])</f>
        <v>AIT</v>
      </c>
      <c r="L40" s="36">
        <f>_xlfn.XLOOKUP(TablaSTOCKINV[[#This Row],[SKU]],TablaINVENTARIO[SKU],TablaINVENTARIO[RANGO MIN])</f>
        <v>0</v>
      </c>
      <c r="M40" s="34" cm="1">
        <f t="array" ref="M40">_xlfn.IFS(TablaSTOCKINV[[#This Row],[CANT. TOTAL]]&lt;=0,1,TablaSTOCKINV[[#This Row],[CANT. TOTAL]]&lt;=TablaSTOCKINV[[#This Row],[MIN]],2,TablaSTOCKINV[[#This Row],[CANT. TOTAL]]&gt;TablaSTOCKINV[[#This Row],[MIN]],3)</f>
        <v>3</v>
      </c>
      <c r="N40" s="34">
        <f>TablaSTOCKINV[[#This Row],[ENTRADAS]]-TablaSTOCKINV[[#This Row],[SALIDAS]]</f>
        <v>1</v>
      </c>
      <c r="O40" s="35">
        <f>SUMIFS(TablaENTRADA[CANT],TablaENTRADA[SKU],TablaSTOCKINV[[#This Row],[SKU]])</f>
        <v>1</v>
      </c>
      <c r="P40" s="35">
        <f>SUMIFS(TablaSALIDA[CANT],TablaSALIDA[SKU],TablaSTOCKINV[[#This Row],[SKU]])</f>
        <v>0</v>
      </c>
      <c r="Q40" s="34">
        <f>_xlfn.XLOOKUP(TablaSTOCKINV[[#This Row],[SKU]],TablaINVENTARIO[SKU],TablaINVENTARIO[PRECIO])</f>
        <v>0</v>
      </c>
      <c r="R40" s="34">
        <f>TablaSTOCKINV[[#This Row],[P.UNITARIO]]*TablaSTOCKINV[[#This Row],[CANT. TOTAL]]</f>
        <v>0</v>
      </c>
      <c r="S40" s="44">
        <f>_xlfn.XLOOKUP(TablaSTOCKINV[[#This Row],[SKU]],TablaINVENTARIO[SKU],TablaINVENTARIO[FECHA INGRESO])</f>
        <v>46023</v>
      </c>
      <c r="T40" s="44">
        <f>_xlfn.XLOOKUP(TablaSTOCKINV[[#This Row],[SKU]],TablaENTRADA[SKU],TablaENTRADA[FECHA],,0,-1)</f>
        <v>46023</v>
      </c>
      <c r="U40" s="46" t="str">
        <f>IFERROR((_xlfn.XLOOKUP(TablaSTOCKINV[[#This Row],[SKU]],TablaSALIDA[SKU],TablaSALIDA[FECHA],,0,-1))," " )</f>
        <v xml:space="preserve"> </v>
      </c>
    </row>
    <row r="41" spans="1:21" x14ac:dyDescent="0.3">
      <c r="A41" s="27" t="s">
        <v>2354</v>
      </c>
      <c r="B41" s="32" t="str">
        <f>_xlfn.XLOOKUP(TablaSTOCKINV[[#This Row],[SKU]],TablaINVENTARIO[SKU],TablaINVENTARIO[DESCRIPCION])</f>
        <v>ROUTER MODELO: LP-550G</v>
      </c>
      <c r="C41" s="32" t="str">
        <f>_xlfn.XLOOKUP(TablaSTOCKINV[[#This Row],[SKU]],TablaINVENTARIO[SKU],TablaINVENTARIO[MARCA])</f>
        <v>LANPRO</v>
      </c>
      <c r="D41" s="33" t="str">
        <f>_xlfn.XLOOKUP(TablaSTOCKINV[[#This Row],[SKU]],TablaINVENTARIO[SKU],TablaINVENTARIO[CATEGORIA])</f>
        <v xml:space="preserve">TELECOMUNICACIONES </v>
      </c>
      <c r="E41" s="33" t="str">
        <f>_xlfn.XLOOKUP(TablaSTOCKINV[[#This Row],[SKU]],TablaINVENTARIO[SKU],TablaINVENTARIO[SUBCATEGORIA])</f>
        <v xml:space="preserve">EQUIPO DE RED </v>
      </c>
      <c r="F41" s="33" t="str">
        <f>_xlfn.XLOOKUP(TablaSTOCKINV[[#This Row],[SKU]],TablaINVENTARIO[SKU],TablaINVENTARIO[ESTADO])</f>
        <v>USADO</v>
      </c>
      <c r="G41" s="33" t="str">
        <f>_xlfn.XLOOKUP(TablaSTOCKINV[[#This Row],[SKU]],TablaINVENTARIO[SKU],TablaINVENTARIO[MEDIDA])</f>
        <v>UND</v>
      </c>
      <c r="H41" s="33">
        <f>_xlfn.XLOOKUP(TablaSTOCKINV[[#This Row],[SKU]],TablaINVENTARIO[SKU],TablaINVENTARIO[SERIAL])</f>
        <v>8846003449</v>
      </c>
      <c r="I41" s="34" t="str">
        <f>_xlfn.XLOOKUP(TablaSTOCKINV[[#This Row],[SKU]],TablaINVENTARIO[SKU],TablaINVENTARIO[ALMACEN])</f>
        <v>ALMACEN PRINCIPAL</v>
      </c>
      <c r="J41" s="34" t="str">
        <f>_xlfn.XLOOKUP(TablaSTOCKINV[[#This Row],[SKU]],TablaINVENTARIO[SKU],TablaINVENTARIO[UBICACION])</f>
        <v>D2-2</v>
      </c>
      <c r="K41" s="34" t="str">
        <f>_xlfn.XLOOKUP(TablaSTOCKINV[[#This Row],[SKU]],TablaINVENTARIO[SKU],TablaINVENTARIO[DPTO RESPONSABLE])</f>
        <v>AIT</v>
      </c>
      <c r="L41" s="36">
        <f>_xlfn.XLOOKUP(TablaSTOCKINV[[#This Row],[SKU]],TablaINVENTARIO[SKU],TablaINVENTARIO[RANGO MIN])</f>
        <v>0</v>
      </c>
      <c r="M41" s="34" cm="1">
        <f t="array" ref="M41">_xlfn.IFS(TablaSTOCKINV[[#This Row],[CANT. TOTAL]]&lt;=0,1,TablaSTOCKINV[[#This Row],[CANT. TOTAL]]&lt;=TablaSTOCKINV[[#This Row],[MIN]],2,TablaSTOCKINV[[#This Row],[CANT. TOTAL]]&gt;TablaSTOCKINV[[#This Row],[MIN]],3)</f>
        <v>3</v>
      </c>
      <c r="N41" s="34">
        <f>TablaSTOCKINV[[#This Row],[ENTRADAS]]-TablaSTOCKINV[[#This Row],[SALIDAS]]</f>
        <v>1</v>
      </c>
      <c r="O41" s="35">
        <f>SUMIFS(TablaENTRADA[CANT],TablaENTRADA[SKU],TablaSTOCKINV[[#This Row],[SKU]])</f>
        <v>1</v>
      </c>
      <c r="P41" s="35">
        <f>SUMIFS(TablaSALIDA[CANT],TablaSALIDA[SKU],TablaSTOCKINV[[#This Row],[SKU]])</f>
        <v>0</v>
      </c>
      <c r="Q41" s="34">
        <f>_xlfn.XLOOKUP(TablaSTOCKINV[[#This Row],[SKU]],TablaINVENTARIO[SKU],TablaINVENTARIO[PRECIO])</f>
        <v>0</v>
      </c>
      <c r="R41" s="34">
        <f>TablaSTOCKINV[[#This Row],[P.UNITARIO]]*TablaSTOCKINV[[#This Row],[CANT. TOTAL]]</f>
        <v>0</v>
      </c>
      <c r="S41" s="44">
        <f>_xlfn.XLOOKUP(TablaSTOCKINV[[#This Row],[SKU]],TablaINVENTARIO[SKU],TablaINVENTARIO[FECHA INGRESO])</f>
        <v>46023</v>
      </c>
      <c r="T41" s="44">
        <f>_xlfn.XLOOKUP(TablaSTOCKINV[[#This Row],[SKU]],TablaENTRADA[SKU],TablaENTRADA[FECHA],,0,-1)</f>
        <v>46023</v>
      </c>
      <c r="U41" s="46" t="str">
        <f>IFERROR((_xlfn.XLOOKUP(TablaSTOCKINV[[#This Row],[SKU]],TablaSALIDA[SKU],TablaSALIDA[FECHA],,0,-1))," " )</f>
        <v xml:space="preserve"> </v>
      </c>
    </row>
    <row r="42" spans="1:21" x14ac:dyDescent="0.3">
      <c r="A42" s="27" t="s">
        <v>2357</v>
      </c>
      <c r="B42" s="32" t="str">
        <f>_xlfn.XLOOKUP(TablaSTOCKINV[[#This Row],[SKU]],TablaINVENTARIO[SKU],TablaINVENTARIO[DESCRIPCION])</f>
        <v>TARJETA DE RED WIFI MODELO: TL-WN651G</v>
      </c>
      <c r="C42" s="32" t="str">
        <f>_xlfn.XLOOKUP(TablaSTOCKINV[[#This Row],[SKU]],TablaINVENTARIO[SKU],TablaINVENTARIO[MARCA])</f>
        <v>TP-LINK</v>
      </c>
      <c r="D42" s="33" t="str">
        <f>_xlfn.XLOOKUP(TablaSTOCKINV[[#This Row],[SKU]],TablaINVENTARIO[SKU],TablaINVENTARIO[CATEGORIA])</f>
        <v xml:space="preserve">TELECOMUNICACIONES </v>
      </c>
      <c r="E42" s="33" t="str">
        <f>_xlfn.XLOOKUP(TablaSTOCKINV[[#This Row],[SKU]],TablaINVENTARIO[SKU],TablaINVENTARIO[SUBCATEGORIA])</f>
        <v xml:space="preserve">EQUIPO DE RED </v>
      </c>
      <c r="F42" s="33" t="str">
        <f>_xlfn.XLOOKUP(TablaSTOCKINV[[#This Row],[SKU]],TablaINVENTARIO[SKU],TablaINVENTARIO[ESTADO])</f>
        <v>USADO</v>
      </c>
      <c r="G42" s="33" t="str">
        <f>_xlfn.XLOOKUP(TablaSTOCKINV[[#This Row],[SKU]],TablaINVENTARIO[SKU],TablaINVENTARIO[MEDIDA])</f>
        <v>UND</v>
      </c>
      <c r="H42" s="33">
        <f>_xlfn.XLOOKUP(TablaSTOCKINV[[#This Row],[SKU]],TablaINVENTARIO[SKU],TablaINVENTARIO[SERIAL])</f>
        <v>10369103429</v>
      </c>
      <c r="I42" s="34" t="str">
        <f>_xlfn.XLOOKUP(TablaSTOCKINV[[#This Row],[SKU]],TablaINVENTARIO[SKU],TablaINVENTARIO[ALMACEN])</f>
        <v>ALMACEN PRINCIPAL</v>
      </c>
      <c r="J42" s="34" t="str">
        <f>_xlfn.XLOOKUP(TablaSTOCKINV[[#This Row],[SKU]],TablaINVENTARIO[SKU],TablaINVENTARIO[UBICACION])</f>
        <v>D2-2</v>
      </c>
      <c r="K42" s="34" t="str">
        <f>_xlfn.XLOOKUP(TablaSTOCKINV[[#This Row],[SKU]],TablaINVENTARIO[SKU],TablaINVENTARIO[DPTO RESPONSABLE])</f>
        <v>AIT</v>
      </c>
      <c r="L42" s="36">
        <f>_xlfn.XLOOKUP(TablaSTOCKINV[[#This Row],[SKU]],TablaINVENTARIO[SKU],TablaINVENTARIO[RANGO MIN])</f>
        <v>0</v>
      </c>
      <c r="M42" s="34" cm="1">
        <f t="array" ref="M42">_xlfn.IFS(TablaSTOCKINV[[#This Row],[CANT. TOTAL]]&lt;=0,1,TablaSTOCKINV[[#This Row],[CANT. TOTAL]]&lt;=TablaSTOCKINV[[#This Row],[MIN]],2,TablaSTOCKINV[[#This Row],[CANT. TOTAL]]&gt;TablaSTOCKINV[[#This Row],[MIN]],3)</f>
        <v>3</v>
      </c>
      <c r="N42" s="34">
        <f>TablaSTOCKINV[[#This Row],[ENTRADAS]]-TablaSTOCKINV[[#This Row],[SALIDAS]]</f>
        <v>1</v>
      </c>
      <c r="O42" s="35">
        <f>SUMIFS(TablaENTRADA[CANT],TablaENTRADA[SKU],TablaSTOCKINV[[#This Row],[SKU]])</f>
        <v>1</v>
      </c>
      <c r="P42" s="35">
        <f>SUMIFS(TablaSALIDA[CANT],TablaSALIDA[SKU],TablaSTOCKINV[[#This Row],[SKU]])</f>
        <v>0</v>
      </c>
      <c r="Q42" s="34">
        <f>_xlfn.XLOOKUP(TablaSTOCKINV[[#This Row],[SKU]],TablaINVENTARIO[SKU],TablaINVENTARIO[PRECIO])</f>
        <v>0</v>
      </c>
      <c r="R42" s="34">
        <f>TablaSTOCKINV[[#This Row],[P.UNITARIO]]*TablaSTOCKINV[[#This Row],[CANT. TOTAL]]</f>
        <v>0</v>
      </c>
      <c r="S42" s="44">
        <f>_xlfn.XLOOKUP(TablaSTOCKINV[[#This Row],[SKU]],TablaINVENTARIO[SKU],TablaINVENTARIO[FECHA INGRESO])</f>
        <v>46023</v>
      </c>
      <c r="T42" s="44">
        <f>_xlfn.XLOOKUP(TablaSTOCKINV[[#This Row],[SKU]],TablaENTRADA[SKU],TablaENTRADA[FECHA],,0,-1)</f>
        <v>46023</v>
      </c>
      <c r="U42" s="46" t="str">
        <f>IFERROR((_xlfn.XLOOKUP(TablaSTOCKINV[[#This Row],[SKU]],TablaSALIDA[SKU],TablaSALIDA[FECHA],,0,-1))," " )</f>
        <v xml:space="preserve"> </v>
      </c>
    </row>
    <row r="43" spans="1:21" x14ac:dyDescent="0.3">
      <c r="A43" s="27" t="s">
        <v>2359</v>
      </c>
      <c r="B43" s="32" t="str">
        <f>_xlfn.XLOOKUP(TablaSTOCKINV[[#This Row],[SKU]],TablaINVENTARIO[SKU],TablaINVENTARIO[DESCRIPCION])</f>
        <v>TARJETA DE RED WIFI MODELO: TF-3239DL</v>
      </c>
      <c r="C43" s="32" t="str">
        <f>_xlfn.XLOOKUP(TablaSTOCKINV[[#This Row],[SKU]],TablaINVENTARIO[SKU],TablaINVENTARIO[MARCA])</f>
        <v>TP-LINK</v>
      </c>
      <c r="D43" s="33" t="str">
        <f>_xlfn.XLOOKUP(TablaSTOCKINV[[#This Row],[SKU]],TablaINVENTARIO[SKU],TablaINVENTARIO[CATEGORIA])</f>
        <v xml:space="preserve">TELECOMUNICACIONES </v>
      </c>
      <c r="E43" s="33" t="str">
        <f>_xlfn.XLOOKUP(TablaSTOCKINV[[#This Row],[SKU]],TablaINVENTARIO[SKU],TablaINVENTARIO[SUBCATEGORIA])</f>
        <v xml:space="preserve">EQUIPO DE RED </v>
      </c>
      <c r="F43" s="33" t="str">
        <f>_xlfn.XLOOKUP(TablaSTOCKINV[[#This Row],[SKU]],TablaINVENTARIO[SKU],TablaINVENTARIO[ESTADO])</f>
        <v>USADO</v>
      </c>
      <c r="G43" s="33" t="str">
        <f>_xlfn.XLOOKUP(TablaSTOCKINV[[#This Row],[SKU]],TablaINVENTARIO[SKU],TablaINVENTARIO[MEDIDA])</f>
        <v>UND</v>
      </c>
      <c r="H43" s="33">
        <f>_xlfn.XLOOKUP(TablaSTOCKINV[[#This Row],[SKU]],TablaINVENTARIO[SKU],TablaINVENTARIO[SERIAL])</f>
        <v>2150000000000</v>
      </c>
      <c r="I43" s="34" t="str">
        <f>_xlfn.XLOOKUP(TablaSTOCKINV[[#This Row],[SKU]],TablaINVENTARIO[SKU],TablaINVENTARIO[ALMACEN])</f>
        <v>ALMACEN PRINCIPAL</v>
      </c>
      <c r="J43" s="34" t="str">
        <f>_xlfn.XLOOKUP(TablaSTOCKINV[[#This Row],[SKU]],TablaINVENTARIO[SKU],TablaINVENTARIO[UBICACION])</f>
        <v>D2-2</v>
      </c>
      <c r="K43" s="34" t="str">
        <f>_xlfn.XLOOKUP(TablaSTOCKINV[[#This Row],[SKU]],TablaINVENTARIO[SKU],TablaINVENTARIO[DPTO RESPONSABLE])</f>
        <v>AIT</v>
      </c>
      <c r="L43" s="36">
        <f>_xlfn.XLOOKUP(TablaSTOCKINV[[#This Row],[SKU]],TablaINVENTARIO[SKU],TablaINVENTARIO[RANGO MIN])</f>
        <v>0</v>
      </c>
      <c r="M43" s="34" cm="1">
        <f t="array" ref="M43">_xlfn.IFS(TablaSTOCKINV[[#This Row],[CANT. TOTAL]]&lt;=0,1,TablaSTOCKINV[[#This Row],[CANT. TOTAL]]&lt;=TablaSTOCKINV[[#This Row],[MIN]],2,TablaSTOCKINV[[#This Row],[CANT. TOTAL]]&gt;TablaSTOCKINV[[#This Row],[MIN]],3)</f>
        <v>3</v>
      </c>
      <c r="N43" s="34">
        <f>TablaSTOCKINV[[#This Row],[ENTRADAS]]-TablaSTOCKINV[[#This Row],[SALIDAS]]</f>
        <v>1</v>
      </c>
      <c r="O43" s="35">
        <f>SUMIFS(TablaENTRADA[CANT],TablaENTRADA[SKU],TablaSTOCKINV[[#This Row],[SKU]])</f>
        <v>1</v>
      </c>
      <c r="P43" s="35">
        <f>SUMIFS(TablaSALIDA[CANT],TablaSALIDA[SKU],TablaSTOCKINV[[#This Row],[SKU]])</f>
        <v>0</v>
      </c>
      <c r="Q43" s="34">
        <f>_xlfn.XLOOKUP(TablaSTOCKINV[[#This Row],[SKU]],TablaINVENTARIO[SKU],TablaINVENTARIO[PRECIO])</f>
        <v>0</v>
      </c>
      <c r="R43" s="34">
        <f>TablaSTOCKINV[[#This Row],[P.UNITARIO]]*TablaSTOCKINV[[#This Row],[CANT. TOTAL]]</f>
        <v>0</v>
      </c>
      <c r="S43" s="44">
        <f>_xlfn.XLOOKUP(TablaSTOCKINV[[#This Row],[SKU]],TablaINVENTARIO[SKU],TablaINVENTARIO[FECHA INGRESO])</f>
        <v>46023</v>
      </c>
      <c r="T43" s="44">
        <f>_xlfn.XLOOKUP(TablaSTOCKINV[[#This Row],[SKU]],TablaENTRADA[SKU],TablaENTRADA[FECHA],,0,-1)</f>
        <v>46023</v>
      </c>
      <c r="U43" s="46" t="str">
        <f>IFERROR((_xlfn.XLOOKUP(TablaSTOCKINV[[#This Row],[SKU]],TablaSALIDA[SKU],TablaSALIDA[FECHA],,0,-1))," " )</f>
        <v xml:space="preserve"> </v>
      </c>
    </row>
    <row r="44" spans="1:21" x14ac:dyDescent="0.3">
      <c r="A44" s="27" t="s">
        <v>2361</v>
      </c>
      <c r="B44" s="32" t="str">
        <f>_xlfn.XLOOKUP(TablaSTOCKINV[[#This Row],[SKU]],TablaINVENTARIO[SKU],TablaINVENTARIO[DESCRIPCION])</f>
        <v xml:space="preserve">TARJETA DE INFERFAZ DE TELEFONIA ANALOGICA 8 PUERTOS </v>
      </c>
      <c r="C44" s="32" t="str">
        <f>_xlfn.XLOOKUP(TablaSTOCKINV[[#This Row],[SKU]],TablaINVENTARIO[SKU],TablaINVENTARIO[MARCA])</f>
        <v>DIGIUM</v>
      </c>
      <c r="D44" s="33" t="str">
        <f>_xlfn.XLOOKUP(TablaSTOCKINV[[#This Row],[SKU]],TablaINVENTARIO[SKU],TablaINVENTARIO[CATEGORIA])</f>
        <v xml:space="preserve">TELECOMUNICACIONES </v>
      </c>
      <c r="E44" s="33" t="str">
        <f>_xlfn.XLOOKUP(TablaSTOCKINV[[#This Row],[SKU]],TablaINVENTARIO[SKU],TablaINVENTARIO[SUBCATEGORIA])</f>
        <v xml:space="preserve">ACCESORIO DE RED </v>
      </c>
      <c r="F44" s="33" t="str">
        <f>_xlfn.XLOOKUP(TablaSTOCKINV[[#This Row],[SKU]],TablaINVENTARIO[SKU],TablaINVENTARIO[ESTADO])</f>
        <v xml:space="preserve">NUEVO </v>
      </c>
      <c r="G44" s="33" t="str">
        <f>_xlfn.XLOOKUP(TablaSTOCKINV[[#This Row],[SKU]],TablaINVENTARIO[SKU],TablaINVENTARIO[MEDIDA])</f>
        <v>UND</v>
      </c>
      <c r="H44" s="33" t="str">
        <f>_xlfn.XLOOKUP(TablaSTOCKINV[[#This Row],[SKU]],TablaINVENTARIO[SKU],TablaINVENTARIO[SERIAL])</f>
        <v>DM3611020346</v>
      </c>
      <c r="I44" s="34" t="str">
        <f>_xlfn.XLOOKUP(TablaSTOCKINV[[#This Row],[SKU]],TablaINVENTARIO[SKU],TablaINVENTARIO[ALMACEN])</f>
        <v>ALMACEN PRINCIPAL</v>
      </c>
      <c r="J44" s="34" t="str">
        <f>_xlfn.XLOOKUP(TablaSTOCKINV[[#This Row],[SKU]],TablaINVENTARIO[SKU],TablaINVENTARIO[UBICACION])</f>
        <v>D2-2</v>
      </c>
      <c r="K44" s="34" t="str">
        <f>_xlfn.XLOOKUP(TablaSTOCKINV[[#This Row],[SKU]],TablaINVENTARIO[SKU],TablaINVENTARIO[DPTO RESPONSABLE])</f>
        <v>AIT</v>
      </c>
      <c r="L44" s="36">
        <f>_xlfn.XLOOKUP(TablaSTOCKINV[[#This Row],[SKU]],TablaINVENTARIO[SKU],TablaINVENTARIO[RANGO MIN])</f>
        <v>0</v>
      </c>
      <c r="M44" s="34" cm="1">
        <f t="array" ref="M44">_xlfn.IFS(TablaSTOCKINV[[#This Row],[CANT. TOTAL]]&lt;=0,1,TablaSTOCKINV[[#This Row],[CANT. TOTAL]]&lt;=TablaSTOCKINV[[#This Row],[MIN]],2,TablaSTOCKINV[[#This Row],[CANT. TOTAL]]&gt;TablaSTOCKINV[[#This Row],[MIN]],3)</f>
        <v>3</v>
      </c>
      <c r="N44" s="34">
        <f>TablaSTOCKINV[[#This Row],[ENTRADAS]]-TablaSTOCKINV[[#This Row],[SALIDAS]]</f>
        <v>1</v>
      </c>
      <c r="O44" s="35">
        <f>SUMIFS(TablaENTRADA[CANT],TablaENTRADA[SKU],TablaSTOCKINV[[#This Row],[SKU]])</f>
        <v>1</v>
      </c>
      <c r="P44" s="35">
        <f>SUMIFS(TablaSALIDA[CANT],TablaSALIDA[SKU],TablaSTOCKINV[[#This Row],[SKU]])</f>
        <v>0</v>
      </c>
      <c r="Q44" s="34">
        <f>_xlfn.XLOOKUP(TablaSTOCKINV[[#This Row],[SKU]],TablaINVENTARIO[SKU],TablaINVENTARIO[PRECIO])</f>
        <v>0</v>
      </c>
      <c r="R44" s="34">
        <f>TablaSTOCKINV[[#This Row],[P.UNITARIO]]*TablaSTOCKINV[[#This Row],[CANT. TOTAL]]</f>
        <v>0</v>
      </c>
      <c r="S44" s="44">
        <f>_xlfn.XLOOKUP(TablaSTOCKINV[[#This Row],[SKU]],TablaINVENTARIO[SKU],TablaINVENTARIO[FECHA INGRESO])</f>
        <v>46023</v>
      </c>
      <c r="T44" s="44">
        <f>_xlfn.XLOOKUP(TablaSTOCKINV[[#This Row],[SKU]],TablaENTRADA[SKU],TablaENTRADA[FECHA],,0,-1)</f>
        <v>46023</v>
      </c>
      <c r="U44" s="46" t="str">
        <f>IFERROR((_xlfn.XLOOKUP(TablaSTOCKINV[[#This Row],[SKU]],TablaSALIDA[SKU],TablaSALIDA[FECHA],,0,-1))," " )</f>
        <v xml:space="preserve"> </v>
      </c>
    </row>
    <row r="45" spans="1:21" x14ac:dyDescent="0.3">
      <c r="A45" s="27" t="s">
        <v>2365</v>
      </c>
      <c r="B45" s="32" t="str">
        <f>_xlfn.XLOOKUP(TablaSTOCKINV[[#This Row],[SKU]],TablaINVENTARIO[SKU],TablaINVENTARIO[DESCRIPCION])</f>
        <v>TARJETA DE RED WIFI MODELO: TL-MR3420</v>
      </c>
      <c r="C45" s="32" t="str">
        <f>_xlfn.XLOOKUP(TablaSTOCKINV[[#This Row],[SKU]],TablaINVENTARIO[SKU],TablaINVENTARIO[MARCA])</f>
        <v>TP-LINK</v>
      </c>
      <c r="D45" s="33" t="str">
        <f>_xlfn.XLOOKUP(TablaSTOCKINV[[#This Row],[SKU]],TablaINVENTARIO[SKU],TablaINVENTARIO[CATEGORIA])</f>
        <v xml:space="preserve">TELECOMUNICACIONES </v>
      </c>
      <c r="E45" s="33" t="str">
        <f>_xlfn.XLOOKUP(TablaSTOCKINV[[#This Row],[SKU]],TablaINVENTARIO[SKU],TablaINVENTARIO[SUBCATEGORIA])</f>
        <v xml:space="preserve">EQUIPO DE RED </v>
      </c>
      <c r="F45" s="33" t="str">
        <f>_xlfn.XLOOKUP(TablaSTOCKINV[[#This Row],[SKU]],TablaINVENTARIO[SKU],TablaINVENTARIO[ESTADO])</f>
        <v xml:space="preserve">NUEVO </v>
      </c>
      <c r="G45" s="33" t="str">
        <f>_xlfn.XLOOKUP(TablaSTOCKINV[[#This Row],[SKU]],TablaINVENTARIO[SKU],TablaINVENTARIO[MEDIDA])</f>
        <v>UND</v>
      </c>
      <c r="H45" s="33" t="str">
        <f>_xlfn.XLOOKUP(TablaSTOCKINV[[#This Row],[SKU]],TablaINVENTARIO[SKU],TablaINVENTARIO[SERIAL])</f>
        <v>119B0108530</v>
      </c>
      <c r="I45" s="34" t="str">
        <f>_xlfn.XLOOKUP(TablaSTOCKINV[[#This Row],[SKU]],TablaINVENTARIO[SKU],TablaINVENTARIO[ALMACEN])</f>
        <v>ALMACEN PRINCIPAL</v>
      </c>
      <c r="J45" s="34" t="str">
        <f>_xlfn.XLOOKUP(TablaSTOCKINV[[#This Row],[SKU]],TablaINVENTARIO[SKU],TablaINVENTARIO[UBICACION])</f>
        <v>D2-3</v>
      </c>
      <c r="K45" s="34" t="str">
        <f>_xlfn.XLOOKUP(TablaSTOCKINV[[#This Row],[SKU]],TablaINVENTARIO[SKU],TablaINVENTARIO[DPTO RESPONSABLE])</f>
        <v>AIT</v>
      </c>
      <c r="L45" s="36">
        <f>_xlfn.XLOOKUP(TablaSTOCKINV[[#This Row],[SKU]],TablaINVENTARIO[SKU],TablaINVENTARIO[RANGO MIN])</f>
        <v>0</v>
      </c>
      <c r="M45" s="34" cm="1">
        <f t="array" ref="M45">_xlfn.IFS(TablaSTOCKINV[[#This Row],[CANT. TOTAL]]&lt;=0,1,TablaSTOCKINV[[#This Row],[CANT. TOTAL]]&lt;=TablaSTOCKINV[[#This Row],[MIN]],2,TablaSTOCKINV[[#This Row],[CANT. TOTAL]]&gt;TablaSTOCKINV[[#This Row],[MIN]],3)</f>
        <v>3</v>
      </c>
      <c r="N45" s="34">
        <f>TablaSTOCKINV[[#This Row],[ENTRADAS]]-TablaSTOCKINV[[#This Row],[SALIDAS]]</f>
        <v>1</v>
      </c>
      <c r="O45" s="35">
        <f>SUMIFS(TablaENTRADA[CANT],TablaENTRADA[SKU],TablaSTOCKINV[[#This Row],[SKU]])</f>
        <v>1</v>
      </c>
      <c r="P45" s="35">
        <f>SUMIFS(TablaSALIDA[CANT],TablaSALIDA[SKU],TablaSTOCKINV[[#This Row],[SKU]])</f>
        <v>0</v>
      </c>
      <c r="Q45" s="34">
        <f>_xlfn.XLOOKUP(TablaSTOCKINV[[#This Row],[SKU]],TablaINVENTARIO[SKU],TablaINVENTARIO[PRECIO])</f>
        <v>0</v>
      </c>
      <c r="R45" s="34">
        <f>TablaSTOCKINV[[#This Row],[P.UNITARIO]]*TablaSTOCKINV[[#This Row],[CANT. TOTAL]]</f>
        <v>0</v>
      </c>
      <c r="S45" s="44">
        <f>_xlfn.XLOOKUP(TablaSTOCKINV[[#This Row],[SKU]],TablaINVENTARIO[SKU],TablaINVENTARIO[FECHA INGRESO])</f>
        <v>46023</v>
      </c>
      <c r="T45" s="44">
        <f>_xlfn.XLOOKUP(TablaSTOCKINV[[#This Row],[SKU]],TablaENTRADA[SKU],TablaENTRADA[FECHA],,0,-1)</f>
        <v>46023</v>
      </c>
      <c r="U45" s="46" t="str">
        <f>IFERROR((_xlfn.XLOOKUP(TablaSTOCKINV[[#This Row],[SKU]],TablaSALIDA[SKU],TablaSALIDA[FECHA],,0,-1))," " )</f>
        <v xml:space="preserve"> </v>
      </c>
    </row>
    <row r="46" spans="1:21" x14ac:dyDescent="0.3">
      <c r="A46" s="27" t="s">
        <v>2369</v>
      </c>
      <c r="B46" s="32" t="str">
        <f>_xlfn.XLOOKUP(TablaSTOCKINV[[#This Row],[SKU]],TablaINVENTARIO[SKU],TablaINVENTARIO[DESCRIPCION])</f>
        <v xml:space="preserve">DECODIFICADOR TV CON CONTROL </v>
      </c>
      <c r="C46" s="32" t="str">
        <f>_xlfn.XLOOKUP(TablaSTOCKINV[[#This Row],[SKU]],TablaINVENTARIO[SKU],TablaINVENTARIO[MARCA])</f>
        <v>MOVISTAR</v>
      </c>
      <c r="D46" s="33" t="str">
        <f>_xlfn.XLOOKUP(TablaSTOCKINV[[#This Row],[SKU]],TablaINVENTARIO[SKU],TablaINVENTARIO[CATEGORIA])</f>
        <v xml:space="preserve">TELECOMUNICACIONES </v>
      </c>
      <c r="E46" s="33" t="str">
        <f>_xlfn.XLOOKUP(TablaSTOCKINV[[#This Row],[SKU]],TablaINVENTARIO[SKU],TablaINVENTARIO[SUBCATEGORIA])</f>
        <v>ACCESORIO</v>
      </c>
      <c r="F46" s="33" t="str">
        <f>_xlfn.XLOOKUP(TablaSTOCKINV[[#This Row],[SKU]],TablaINVENTARIO[SKU],TablaINVENTARIO[ESTADO])</f>
        <v>USADO</v>
      </c>
      <c r="G46" s="33" t="str">
        <f>_xlfn.XLOOKUP(TablaSTOCKINV[[#This Row],[SKU]],TablaINVENTARIO[SKU],TablaINVENTARIO[MEDIDA])</f>
        <v>UND</v>
      </c>
      <c r="H46" s="33">
        <f>_xlfn.XLOOKUP(TablaSTOCKINV[[#This Row],[SKU]],TablaINVENTARIO[SKU],TablaINVENTARIO[SERIAL])</f>
        <v>614000000000</v>
      </c>
      <c r="I46" s="34" t="str">
        <f>_xlfn.XLOOKUP(TablaSTOCKINV[[#This Row],[SKU]],TablaINVENTARIO[SKU],TablaINVENTARIO[ALMACEN])</f>
        <v>ALMACEN PRINCIPAL</v>
      </c>
      <c r="J46" s="34" t="str">
        <f>_xlfn.XLOOKUP(TablaSTOCKINV[[#This Row],[SKU]],TablaINVENTARIO[SKU],TablaINVENTARIO[UBICACION])</f>
        <v>D2-3</v>
      </c>
      <c r="K46" s="34" t="str">
        <f>_xlfn.XLOOKUP(TablaSTOCKINV[[#This Row],[SKU]],TablaINVENTARIO[SKU],TablaINVENTARIO[DPTO RESPONSABLE])</f>
        <v>AIT</v>
      </c>
      <c r="L46" s="36">
        <f>_xlfn.XLOOKUP(TablaSTOCKINV[[#This Row],[SKU]],TablaINVENTARIO[SKU],TablaINVENTARIO[RANGO MIN])</f>
        <v>0</v>
      </c>
      <c r="M46" s="34" cm="1">
        <f t="array" ref="M46">_xlfn.IFS(TablaSTOCKINV[[#This Row],[CANT. TOTAL]]&lt;=0,1,TablaSTOCKINV[[#This Row],[CANT. TOTAL]]&lt;=TablaSTOCKINV[[#This Row],[MIN]],2,TablaSTOCKINV[[#This Row],[CANT. TOTAL]]&gt;TablaSTOCKINV[[#This Row],[MIN]],3)</f>
        <v>3</v>
      </c>
      <c r="N46" s="34">
        <f>TablaSTOCKINV[[#This Row],[ENTRADAS]]-TablaSTOCKINV[[#This Row],[SALIDAS]]</f>
        <v>1</v>
      </c>
      <c r="O46" s="35">
        <f>SUMIFS(TablaENTRADA[CANT],TablaENTRADA[SKU],TablaSTOCKINV[[#This Row],[SKU]])</f>
        <v>1</v>
      </c>
      <c r="P46" s="35">
        <f>SUMIFS(TablaSALIDA[CANT],TablaSALIDA[SKU],TablaSTOCKINV[[#This Row],[SKU]])</f>
        <v>0</v>
      </c>
      <c r="Q46" s="34">
        <f>_xlfn.XLOOKUP(TablaSTOCKINV[[#This Row],[SKU]],TablaINVENTARIO[SKU],TablaINVENTARIO[PRECIO])</f>
        <v>0</v>
      </c>
      <c r="R46" s="34">
        <f>TablaSTOCKINV[[#This Row],[P.UNITARIO]]*TablaSTOCKINV[[#This Row],[CANT. TOTAL]]</f>
        <v>0</v>
      </c>
      <c r="S46" s="44">
        <f>_xlfn.XLOOKUP(TablaSTOCKINV[[#This Row],[SKU]],TablaINVENTARIO[SKU],TablaINVENTARIO[FECHA INGRESO])</f>
        <v>46023</v>
      </c>
      <c r="T46" s="44">
        <f>_xlfn.XLOOKUP(TablaSTOCKINV[[#This Row],[SKU]],TablaENTRADA[SKU],TablaENTRADA[FECHA],,0,-1)</f>
        <v>46023</v>
      </c>
      <c r="U46" s="46" t="str">
        <f>IFERROR((_xlfn.XLOOKUP(TablaSTOCKINV[[#This Row],[SKU]],TablaSALIDA[SKU],TablaSALIDA[FECHA],,0,-1))," " )</f>
        <v xml:space="preserve"> </v>
      </c>
    </row>
    <row r="47" spans="1:21" x14ac:dyDescent="0.3">
      <c r="A47" s="27" t="s">
        <v>2372</v>
      </c>
      <c r="B47" s="32" t="str">
        <f>_xlfn.XLOOKUP(TablaSTOCKINV[[#This Row],[SKU]],TablaINVENTARIO[SKU],TablaINVENTARIO[DESCRIPCION])</f>
        <v>TELULAR MOVISTAR MODELO: SX5E</v>
      </c>
      <c r="C47" s="32" t="str">
        <f>_xlfn.XLOOKUP(TablaSTOCKINV[[#This Row],[SKU]],TablaINVENTARIO[SKU],TablaINVENTARIO[MARCA])</f>
        <v>MOVISTAR</v>
      </c>
      <c r="D47" s="33" t="str">
        <f>_xlfn.XLOOKUP(TablaSTOCKINV[[#This Row],[SKU]],TablaINVENTARIO[SKU],TablaINVENTARIO[CATEGORIA])</f>
        <v xml:space="preserve">TELECOMUNICACIONES </v>
      </c>
      <c r="E47" s="33" t="str">
        <f>_xlfn.XLOOKUP(TablaSTOCKINV[[#This Row],[SKU]],TablaINVENTARIO[SKU],TablaINVENTARIO[SUBCATEGORIA])</f>
        <v xml:space="preserve">EQUIPO DE RED </v>
      </c>
      <c r="F47" s="33" t="str">
        <f>_xlfn.XLOOKUP(TablaSTOCKINV[[#This Row],[SKU]],TablaINVENTARIO[SKU],TablaINVENTARIO[ESTADO])</f>
        <v>USADO</v>
      </c>
      <c r="G47" s="33" t="str">
        <f>_xlfn.XLOOKUP(TablaSTOCKINV[[#This Row],[SKU]],TablaINVENTARIO[SKU],TablaINVENTARIO[MEDIDA])</f>
        <v>UND</v>
      </c>
      <c r="H47" s="33" t="str">
        <f>_xlfn.XLOOKUP(TablaSTOCKINV[[#This Row],[SKU]],TablaINVENTARIO[SKU],TablaINVENTARIO[SERIAL])</f>
        <v>0803118KD</v>
      </c>
      <c r="I47" s="34" t="str">
        <f>_xlfn.XLOOKUP(TablaSTOCKINV[[#This Row],[SKU]],TablaINVENTARIO[SKU],TablaINVENTARIO[ALMACEN])</f>
        <v>ALMACEN PRINCIPAL</v>
      </c>
      <c r="J47" s="34" t="str">
        <f>_xlfn.XLOOKUP(TablaSTOCKINV[[#This Row],[SKU]],TablaINVENTARIO[SKU],TablaINVENTARIO[UBICACION])</f>
        <v>D2-3</v>
      </c>
      <c r="K47" s="34" t="str">
        <f>_xlfn.XLOOKUP(TablaSTOCKINV[[#This Row],[SKU]],TablaINVENTARIO[SKU],TablaINVENTARIO[DPTO RESPONSABLE])</f>
        <v>AIT</v>
      </c>
      <c r="L47" s="36">
        <f>_xlfn.XLOOKUP(TablaSTOCKINV[[#This Row],[SKU]],TablaINVENTARIO[SKU],TablaINVENTARIO[RANGO MIN])</f>
        <v>0</v>
      </c>
      <c r="M47" s="34" cm="1">
        <f t="array" ref="M47">_xlfn.IFS(TablaSTOCKINV[[#This Row],[CANT. TOTAL]]&lt;=0,1,TablaSTOCKINV[[#This Row],[CANT. TOTAL]]&lt;=TablaSTOCKINV[[#This Row],[MIN]],2,TablaSTOCKINV[[#This Row],[CANT. TOTAL]]&gt;TablaSTOCKINV[[#This Row],[MIN]],3)</f>
        <v>3</v>
      </c>
      <c r="N47" s="34">
        <f>TablaSTOCKINV[[#This Row],[ENTRADAS]]-TablaSTOCKINV[[#This Row],[SALIDAS]]</f>
        <v>1</v>
      </c>
      <c r="O47" s="35">
        <f>SUMIFS(TablaENTRADA[CANT],TablaENTRADA[SKU],TablaSTOCKINV[[#This Row],[SKU]])</f>
        <v>1</v>
      </c>
      <c r="P47" s="35">
        <f>SUMIFS(TablaSALIDA[CANT],TablaSALIDA[SKU],TablaSTOCKINV[[#This Row],[SKU]])</f>
        <v>0</v>
      </c>
      <c r="Q47" s="34">
        <f>_xlfn.XLOOKUP(TablaSTOCKINV[[#This Row],[SKU]],TablaINVENTARIO[SKU],TablaINVENTARIO[PRECIO])</f>
        <v>0</v>
      </c>
      <c r="R47" s="34">
        <f>TablaSTOCKINV[[#This Row],[P.UNITARIO]]*TablaSTOCKINV[[#This Row],[CANT. TOTAL]]</f>
        <v>0</v>
      </c>
      <c r="S47" s="44">
        <f>_xlfn.XLOOKUP(TablaSTOCKINV[[#This Row],[SKU]],TablaINVENTARIO[SKU],TablaINVENTARIO[FECHA INGRESO])</f>
        <v>46023</v>
      </c>
      <c r="T47" s="44">
        <f>_xlfn.XLOOKUP(TablaSTOCKINV[[#This Row],[SKU]],TablaENTRADA[SKU],TablaENTRADA[FECHA],,0,-1)</f>
        <v>46023</v>
      </c>
      <c r="U47" s="46" t="str">
        <f>IFERROR((_xlfn.XLOOKUP(TablaSTOCKINV[[#This Row],[SKU]],TablaSALIDA[SKU],TablaSALIDA[FECHA],,0,-1))," " )</f>
        <v xml:space="preserve"> </v>
      </c>
    </row>
    <row r="48" spans="1:21" x14ac:dyDescent="0.3">
      <c r="A48" s="27" t="s">
        <v>2375</v>
      </c>
      <c r="B48" s="32" t="str">
        <f>_xlfn.XLOOKUP(TablaSTOCKINV[[#This Row],[SKU]],TablaINVENTARIO[SKU],TablaINVENTARIO[DESCRIPCION])</f>
        <v>DECODIFICADOR STB DTH TECHNICOLOR</v>
      </c>
      <c r="C48" s="32" t="str">
        <f>_xlfn.XLOOKUP(TablaSTOCKINV[[#This Row],[SKU]],TablaINVENTARIO[SKU],TablaINVENTARIO[MARCA])</f>
        <v>MOVISTAR</v>
      </c>
      <c r="D48" s="33" t="str">
        <f>_xlfn.XLOOKUP(TablaSTOCKINV[[#This Row],[SKU]],TablaINVENTARIO[SKU],TablaINVENTARIO[CATEGORIA])</f>
        <v xml:space="preserve">TELECOMUNICACIONES </v>
      </c>
      <c r="E48" s="33" t="str">
        <f>_xlfn.XLOOKUP(TablaSTOCKINV[[#This Row],[SKU]],TablaINVENTARIO[SKU],TablaINVENTARIO[SUBCATEGORIA])</f>
        <v>ACCESORIO</v>
      </c>
      <c r="F48" s="33" t="str">
        <f>_xlfn.XLOOKUP(TablaSTOCKINV[[#This Row],[SKU]],TablaINVENTARIO[SKU],TablaINVENTARIO[ESTADO])</f>
        <v>USADO</v>
      </c>
      <c r="G48" s="33" t="str">
        <f>_xlfn.XLOOKUP(TablaSTOCKINV[[#This Row],[SKU]],TablaINVENTARIO[SKU],TablaINVENTARIO[MEDIDA])</f>
        <v>UND</v>
      </c>
      <c r="H48" s="33">
        <f>_xlfn.XLOOKUP(TablaSTOCKINV[[#This Row],[SKU]],TablaINVENTARIO[SKU],TablaINVENTARIO[SERIAL])</f>
        <v>16800000000000</v>
      </c>
      <c r="I48" s="34" t="str">
        <f>_xlfn.XLOOKUP(TablaSTOCKINV[[#This Row],[SKU]],TablaINVENTARIO[SKU],TablaINVENTARIO[ALMACEN])</f>
        <v>ALMACEN PRINCIPAL</v>
      </c>
      <c r="J48" s="34" t="str">
        <f>_xlfn.XLOOKUP(TablaSTOCKINV[[#This Row],[SKU]],TablaINVENTARIO[SKU],TablaINVENTARIO[UBICACION])</f>
        <v>D2-3</v>
      </c>
      <c r="K48" s="34" t="str">
        <f>_xlfn.XLOOKUP(TablaSTOCKINV[[#This Row],[SKU]],TablaINVENTARIO[SKU],TablaINVENTARIO[DPTO RESPONSABLE])</f>
        <v>AIT</v>
      </c>
      <c r="L48" s="36">
        <f>_xlfn.XLOOKUP(TablaSTOCKINV[[#This Row],[SKU]],TablaINVENTARIO[SKU],TablaINVENTARIO[RANGO MIN])</f>
        <v>0</v>
      </c>
      <c r="M48" s="34" cm="1">
        <f t="array" ref="M48">_xlfn.IFS(TablaSTOCKINV[[#This Row],[CANT. TOTAL]]&lt;=0,1,TablaSTOCKINV[[#This Row],[CANT. TOTAL]]&lt;=TablaSTOCKINV[[#This Row],[MIN]],2,TablaSTOCKINV[[#This Row],[CANT. TOTAL]]&gt;TablaSTOCKINV[[#This Row],[MIN]],3)</f>
        <v>3</v>
      </c>
      <c r="N48" s="34">
        <f>TablaSTOCKINV[[#This Row],[ENTRADAS]]-TablaSTOCKINV[[#This Row],[SALIDAS]]</f>
        <v>1</v>
      </c>
      <c r="O48" s="35">
        <f>SUMIFS(TablaENTRADA[CANT],TablaENTRADA[SKU],TablaSTOCKINV[[#This Row],[SKU]])</f>
        <v>1</v>
      </c>
      <c r="P48" s="35">
        <f>SUMIFS(TablaSALIDA[CANT],TablaSALIDA[SKU],TablaSTOCKINV[[#This Row],[SKU]])</f>
        <v>0</v>
      </c>
      <c r="Q48" s="34">
        <f>_xlfn.XLOOKUP(TablaSTOCKINV[[#This Row],[SKU]],TablaINVENTARIO[SKU],TablaINVENTARIO[PRECIO])</f>
        <v>0</v>
      </c>
      <c r="R48" s="34">
        <f>TablaSTOCKINV[[#This Row],[P.UNITARIO]]*TablaSTOCKINV[[#This Row],[CANT. TOTAL]]</f>
        <v>0</v>
      </c>
      <c r="S48" s="44">
        <f>_xlfn.XLOOKUP(TablaSTOCKINV[[#This Row],[SKU]],TablaINVENTARIO[SKU],TablaINVENTARIO[FECHA INGRESO])</f>
        <v>46023</v>
      </c>
      <c r="T48" s="44">
        <f>_xlfn.XLOOKUP(TablaSTOCKINV[[#This Row],[SKU]],TablaENTRADA[SKU],TablaENTRADA[FECHA],,0,-1)</f>
        <v>46023</v>
      </c>
      <c r="U48" s="46" t="str">
        <f>IFERROR((_xlfn.XLOOKUP(TablaSTOCKINV[[#This Row],[SKU]],TablaSALIDA[SKU],TablaSALIDA[FECHA],,0,-1))," " )</f>
        <v xml:space="preserve"> </v>
      </c>
    </row>
    <row r="49" spans="1:21" x14ac:dyDescent="0.3">
      <c r="A49" s="27" t="s">
        <v>2377</v>
      </c>
      <c r="B49" s="32" t="str">
        <f>_xlfn.XLOOKUP(TablaSTOCKINV[[#This Row],[SKU]],TablaINVENTARIO[SKU],TablaINVENTARIO[DESCRIPCION])</f>
        <v>ROUTER CELULAR INDUSTRIAL MODELO: WR11</v>
      </c>
      <c r="C49" s="32" t="str">
        <f>_xlfn.XLOOKUP(TablaSTOCKINV[[#This Row],[SKU]],TablaINVENTARIO[SKU],TablaINVENTARIO[MARCA])</f>
        <v>DIGIUM</v>
      </c>
      <c r="D49" s="33" t="str">
        <f>_xlfn.XLOOKUP(TablaSTOCKINV[[#This Row],[SKU]],TablaINVENTARIO[SKU],TablaINVENTARIO[CATEGORIA])</f>
        <v xml:space="preserve">TELECOMUNICACIONES </v>
      </c>
      <c r="E49" s="33" t="str">
        <f>_xlfn.XLOOKUP(TablaSTOCKINV[[#This Row],[SKU]],TablaINVENTARIO[SKU],TablaINVENTARIO[SUBCATEGORIA])</f>
        <v xml:space="preserve">EQUIPO DE RED </v>
      </c>
      <c r="F49" s="33" t="str">
        <f>_xlfn.XLOOKUP(TablaSTOCKINV[[#This Row],[SKU]],TablaINVENTARIO[SKU],TablaINVENTARIO[ESTADO])</f>
        <v>USADO</v>
      </c>
      <c r="G49" s="33" t="str">
        <f>_xlfn.XLOOKUP(TablaSTOCKINV[[#This Row],[SKU]],TablaINVENTARIO[SKU],TablaINVENTARIO[MEDIDA])</f>
        <v>UND</v>
      </c>
      <c r="H49" s="33">
        <f>_xlfn.XLOOKUP(TablaSTOCKINV[[#This Row],[SKU]],TablaINVENTARIO[SKU],TablaINVENTARIO[SERIAL])</f>
        <v>749431</v>
      </c>
      <c r="I49" s="34" t="str">
        <f>_xlfn.XLOOKUP(TablaSTOCKINV[[#This Row],[SKU]],TablaINVENTARIO[SKU],TablaINVENTARIO[ALMACEN])</f>
        <v>ALMACEN PRINCIPAL</v>
      </c>
      <c r="J49" s="34" t="str">
        <f>_xlfn.XLOOKUP(TablaSTOCKINV[[#This Row],[SKU]],TablaINVENTARIO[SKU],TablaINVENTARIO[UBICACION])</f>
        <v>D2-3</v>
      </c>
      <c r="K49" s="34" t="str">
        <f>_xlfn.XLOOKUP(TablaSTOCKINV[[#This Row],[SKU]],TablaINVENTARIO[SKU],TablaINVENTARIO[DPTO RESPONSABLE])</f>
        <v>AIT</v>
      </c>
      <c r="L49" s="36">
        <f>_xlfn.XLOOKUP(TablaSTOCKINV[[#This Row],[SKU]],TablaINVENTARIO[SKU],TablaINVENTARIO[RANGO MIN])</f>
        <v>0</v>
      </c>
      <c r="M49" s="34" cm="1">
        <f t="array" ref="M49">_xlfn.IFS(TablaSTOCKINV[[#This Row],[CANT. TOTAL]]&lt;=0,1,TablaSTOCKINV[[#This Row],[CANT. TOTAL]]&lt;=TablaSTOCKINV[[#This Row],[MIN]],2,TablaSTOCKINV[[#This Row],[CANT. TOTAL]]&gt;TablaSTOCKINV[[#This Row],[MIN]],3)</f>
        <v>3</v>
      </c>
      <c r="N49" s="34">
        <f>TablaSTOCKINV[[#This Row],[ENTRADAS]]-TablaSTOCKINV[[#This Row],[SALIDAS]]</f>
        <v>1</v>
      </c>
      <c r="O49" s="35">
        <f>SUMIFS(TablaENTRADA[CANT],TablaENTRADA[SKU],TablaSTOCKINV[[#This Row],[SKU]])</f>
        <v>1</v>
      </c>
      <c r="P49" s="35">
        <f>SUMIFS(TablaSALIDA[CANT],TablaSALIDA[SKU],TablaSTOCKINV[[#This Row],[SKU]])</f>
        <v>0</v>
      </c>
      <c r="Q49" s="34">
        <f>_xlfn.XLOOKUP(TablaSTOCKINV[[#This Row],[SKU]],TablaINVENTARIO[SKU],TablaINVENTARIO[PRECIO])</f>
        <v>0</v>
      </c>
      <c r="R49" s="34">
        <f>TablaSTOCKINV[[#This Row],[P.UNITARIO]]*TablaSTOCKINV[[#This Row],[CANT. TOTAL]]</f>
        <v>0</v>
      </c>
      <c r="S49" s="44">
        <f>_xlfn.XLOOKUP(TablaSTOCKINV[[#This Row],[SKU]],TablaINVENTARIO[SKU],TablaINVENTARIO[FECHA INGRESO])</f>
        <v>46023</v>
      </c>
      <c r="T49" s="44">
        <f>_xlfn.XLOOKUP(TablaSTOCKINV[[#This Row],[SKU]],TablaENTRADA[SKU],TablaENTRADA[FECHA],,0,-1)</f>
        <v>46023</v>
      </c>
      <c r="U49" s="46" t="str">
        <f>IFERROR((_xlfn.XLOOKUP(TablaSTOCKINV[[#This Row],[SKU]],TablaSALIDA[SKU],TablaSALIDA[FECHA],,0,-1))," " )</f>
        <v xml:space="preserve"> </v>
      </c>
    </row>
    <row r="50" spans="1:21" x14ac:dyDescent="0.3">
      <c r="A50" s="27" t="s">
        <v>2379</v>
      </c>
      <c r="B50" s="32" t="str">
        <f>_xlfn.XLOOKUP(TablaSTOCKINV[[#This Row],[SKU]],TablaINVENTARIO[SKU],TablaINVENTARIO[DESCRIPCION])</f>
        <v>ROUTER CELULAR INDUSTRIAL MODELO: WR11</v>
      </c>
      <c r="C50" s="32" t="str">
        <f>_xlfn.XLOOKUP(TablaSTOCKINV[[#This Row],[SKU]],TablaINVENTARIO[SKU],TablaINVENTARIO[MARCA])</f>
        <v>DIGIUM</v>
      </c>
      <c r="D50" s="33" t="str">
        <f>_xlfn.XLOOKUP(TablaSTOCKINV[[#This Row],[SKU]],TablaINVENTARIO[SKU],TablaINVENTARIO[CATEGORIA])</f>
        <v xml:space="preserve">TELECOMUNICACIONES </v>
      </c>
      <c r="E50" s="33" t="str">
        <f>_xlfn.XLOOKUP(TablaSTOCKINV[[#This Row],[SKU]],TablaINVENTARIO[SKU],TablaINVENTARIO[SUBCATEGORIA])</f>
        <v xml:space="preserve">EQUIPO DE RED </v>
      </c>
      <c r="F50" s="33" t="str">
        <f>_xlfn.XLOOKUP(TablaSTOCKINV[[#This Row],[SKU]],TablaINVENTARIO[SKU],TablaINVENTARIO[ESTADO])</f>
        <v>USADO</v>
      </c>
      <c r="G50" s="33" t="str">
        <f>_xlfn.XLOOKUP(TablaSTOCKINV[[#This Row],[SKU]],TablaINVENTARIO[SKU],TablaINVENTARIO[MEDIDA])</f>
        <v>UND</v>
      </c>
      <c r="H50" s="33">
        <f>_xlfn.XLOOKUP(TablaSTOCKINV[[#This Row],[SKU]],TablaINVENTARIO[SKU],TablaINVENTARIO[SERIAL])</f>
        <v>748715</v>
      </c>
      <c r="I50" s="34" t="str">
        <f>_xlfn.XLOOKUP(TablaSTOCKINV[[#This Row],[SKU]],TablaINVENTARIO[SKU],TablaINVENTARIO[ALMACEN])</f>
        <v>ALMACEN PRINCIPAL</v>
      </c>
      <c r="J50" s="34" t="str">
        <f>_xlfn.XLOOKUP(TablaSTOCKINV[[#This Row],[SKU]],TablaINVENTARIO[SKU],TablaINVENTARIO[UBICACION])</f>
        <v>D2-3</v>
      </c>
      <c r="K50" s="34" t="str">
        <f>_xlfn.XLOOKUP(TablaSTOCKINV[[#This Row],[SKU]],TablaINVENTARIO[SKU],TablaINVENTARIO[DPTO RESPONSABLE])</f>
        <v>AIT</v>
      </c>
      <c r="L50" s="36">
        <f>_xlfn.XLOOKUP(TablaSTOCKINV[[#This Row],[SKU]],TablaINVENTARIO[SKU],TablaINVENTARIO[RANGO MIN])</f>
        <v>0</v>
      </c>
      <c r="M50" s="34" cm="1">
        <f t="array" ref="M50">_xlfn.IFS(TablaSTOCKINV[[#This Row],[CANT. TOTAL]]&lt;=0,1,TablaSTOCKINV[[#This Row],[CANT. TOTAL]]&lt;=TablaSTOCKINV[[#This Row],[MIN]],2,TablaSTOCKINV[[#This Row],[CANT. TOTAL]]&gt;TablaSTOCKINV[[#This Row],[MIN]],3)</f>
        <v>3</v>
      </c>
      <c r="N50" s="34">
        <f>TablaSTOCKINV[[#This Row],[ENTRADAS]]-TablaSTOCKINV[[#This Row],[SALIDAS]]</f>
        <v>1</v>
      </c>
      <c r="O50" s="35">
        <f>SUMIFS(TablaENTRADA[CANT],TablaENTRADA[SKU],TablaSTOCKINV[[#This Row],[SKU]])</f>
        <v>1</v>
      </c>
      <c r="P50" s="35">
        <f>SUMIFS(TablaSALIDA[CANT],TablaSALIDA[SKU],TablaSTOCKINV[[#This Row],[SKU]])</f>
        <v>0</v>
      </c>
      <c r="Q50" s="34">
        <f>_xlfn.XLOOKUP(TablaSTOCKINV[[#This Row],[SKU]],TablaINVENTARIO[SKU],TablaINVENTARIO[PRECIO])</f>
        <v>0</v>
      </c>
      <c r="R50" s="34">
        <f>TablaSTOCKINV[[#This Row],[P.UNITARIO]]*TablaSTOCKINV[[#This Row],[CANT. TOTAL]]</f>
        <v>0</v>
      </c>
      <c r="S50" s="44">
        <f>_xlfn.XLOOKUP(TablaSTOCKINV[[#This Row],[SKU]],TablaINVENTARIO[SKU],TablaINVENTARIO[FECHA INGRESO])</f>
        <v>46023</v>
      </c>
      <c r="T50" s="44">
        <f>_xlfn.XLOOKUP(TablaSTOCKINV[[#This Row],[SKU]],TablaENTRADA[SKU],TablaENTRADA[FECHA],,0,-1)</f>
        <v>46023</v>
      </c>
      <c r="U50" s="46" t="str">
        <f>IFERROR((_xlfn.XLOOKUP(TablaSTOCKINV[[#This Row],[SKU]],TablaSALIDA[SKU],TablaSALIDA[FECHA],,0,-1))," " )</f>
        <v xml:space="preserve"> </v>
      </c>
    </row>
    <row r="51" spans="1:21" x14ac:dyDescent="0.3">
      <c r="A51" s="27" t="s">
        <v>2380</v>
      </c>
      <c r="B51" s="32" t="str">
        <f>_xlfn.XLOOKUP(TablaSTOCKINV[[#This Row],[SKU]],TablaINVENTARIO[SKU],TablaINVENTARIO[DESCRIPCION])</f>
        <v xml:space="preserve">TARJETA DE INFERFAZ DE TELEFONIA ANALOGICA 8 PUERTOS </v>
      </c>
      <c r="C51" s="32" t="str">
        <f>_xlfn.XLOOKUP(TablaSTOCKINV[[#This Row],[SKU]],TablaINVENTARIO[SKU],TablaINVENTARIO[MARCA])</f>
        <v>DIGIUM</v>
      </c>
      <c r="D51" s="33" t="str">
        <f>_xlfn.XLOOKUP(TablaSTOCKINV[[#This Row],[SKU]],TablaINVENTARIO[SKU],TablaINVENTARIO[CATEGORIA])</f>
        <v xml:space="preserve">TELECOMUNICACIONES </v>
      </c>
      <c r="E51" s="33" t="str">
        <f>_xlfn.XLOOKUP(TablaSTOCKINV[[#This Row],[SKU]],TablaINVENTARIO[SKU],TablaINVENTARIO[SUBCATEGORIA])</f>
        <v xml:space="preserve">ACCESORIO DE RED </v>
      </c>
      <c r="F51" s="33" t="str">
        <f>_xlfn.XLOOKUP(TablaSTOCKINV[[#This Row],[SKU]],TablaINVENTARIO[SKU],TablaINVENTARIO[ESTADO])</f>
        <v xml:space="preserve">NUEVO </v>
      </c>
      <c r="G51" s="33" t="str">
        <f>_xlfn.XLOOKUP(TablaSTOCKINV[[#This Row],[SKU]],TablaINVENTARIO[SKU],TablaINVENTARIO[MEDIDA])</f>
        <v>UND</v>
      </c>
      <c r="H51" s="33" t="str">
        <f>_xlfn.XLOOKUP(TablaSTOCKINV[[#This Row],[SKU]],TablaINVENTARIO[SKU],TablaINVENTARIO[SERIAL])</f>
        <v>DM5410706124</v>
      </c>
      <c r="I51" s="34" t="str">
        <f>_xlfn.XLOOKUP(TablaSTOCKINV[[#This Row],[SKU]],TablaINVENTARIO[SKU],TablaINVENTARIO[ALMACEN])</f>
        <v>ALMACEN PRINCIPAL</v>
      </c>
      <c r="J51" s="34" t="str">
        <f>_xlfn.XLOOKUP(TablaSTOCKINV[[#This Row],[SKU]],TablaINVENTARIO[SKU],TablaINVENTARIO[UBICACION])</f>
        <v>D2-3</v>
      </c>
      <c r="K51" s="34" t="str">
        <f>_xlfn.XLOOKUP(TablaSTOCKINV[[#This Row],[SKU]],TablaINVENTARIO[SKU],TablaINVENTARIO[DPTO RESPONSABLE])</f>
        <v>AIT</v>
      </c>
      <c r="L51" s="36">
        <f>_xlfn.XLOOKUP(TablaSTOCKINV[[#This Row],[SKU]],TablaINVENTARIO[SKU],TablaINVENTARIO[RANGO MIN])</f>
        <v>0</v>
      </c>
      <c r="M51" s="34" cm="1">
        <f t="array" ref="M51">_xlfn.IFS(TablaSTOCKINV[[#This Row],[CANT. TOTAL]]&lt;=0,1,TablaSTOCKINV[[#This Row],[CANT. TOTAL]]&lt;=TablaSTOCKINV[[#This Row],[MIN]],2,TablaSTOCKINV[[#This Row],[CANT. TOTAL]]&gt;TablaSTOCKINV[[#This Row],[MIN]],3)</f>
        <v>3</v>
      </c>
      <c r="N51" s="34">
        <f>TablaSTOCKINV[[#This Row],[ENTRADAS]]-TablaSTOCKINV[[#This Row],[SALIDAS]]</f>
        <v>1</v>
      </c>
      <c r="O51" s="35">
        <f>SUMIFS(TablaENTRADA[CANT],TablaENTRADA[SKU],TablaSTOCKINV[[#This Row],[SKU]])</f>
        <v>1</v>
      </c>
      <c r="P51" s="35">
        <f>SUMIFS(TablaSALIDA[CANT],TablaSALIDA[SKU],TablaSTOCKINV[[#This Row],[SKU]])</f>
        <v>0</v>
      </c>
      <c r="Q51" s="34">
        <f>_xlfn.XLOOKUP(TablaSTOCKINV[[#This Row],[SKU]],TablaINVENTARIO[SKU],TablaINVENTARIO[PRECIO])</f>
        <v>0</v>
      </c>
      <c r="R51" s="34">
        <f>TablaSTOCKINV[[#This Row],[P.UNITARIO]]*TablaSTOCKINV[[#This Row],[CANT. TOTAL]]</f>
        <v>0</v>
      </c>
      <c r="S51" s="44">
        <f>_xlfn.XLOOKUP(TablaSTOCKINV[[#This Row],[SKU]],TablaINVENTARIO[SKU],TablaINVENTARIO[FECHA INGRESO])</f>
        <v>46023</v>
      </c>
      <c r="T51" s="44">
        <f>_xlfn.XLOOKUP(TablaSTOCKINV[[#This Row],[SKU]],TablaENTRADA[SKU],TablaENTRADA[FECHA],,0,-1)</f>
        <v>46023</v>
      </c>
      <c r="U51" s="46" t="str">
        <f>IFERROR((_xlfn.XLOOKUP(TablaSTOCKINV[[#This Row],[SKU]],TablaSALIDA[SKU],TablaSALIDA[FECHA],,0,-1))," " )</f>
        <v xml:space="preserve"> </v>
      </c>
    </row>
    <row r="52" spans="1:21" x14ac:dyDescent="0.3">
      <c r="A52" s="27" t="s">
        <v>2382</v>
      </c>
      <c r="B52" s="32" t="str">
        <f>_xlfn.XLOOKUP(TablaSTOCKINV[[#This Row],[SKU]],TablaINVENTARIO[SKU],TablaINVENTARIO[DESCRIPCION])</f>
        <v xml:space="preserve">TARJETA DE INFERFAZ DE TELEFONIA ANALOGICA 8 PUERTOS </v>
      </c>
      <c r="C52" s="32" t="str">
        <f>_xlfn.XLOOKUP(TablaSTOCKINV[[#This Row],[SKU]],TablaINVENTARIO[SKU],TablaINVENTARIO[MARCA])</f>
        <v>DIGIUM</v>
      </c>
      <c r="D52" s="33" t="str">
        <f>_xlfn.XLOOKUP(TablaSTOCKINV[[#This Row],[SKU]],TablaINVENTARIO[SKU],TablaINVENTARIO[CATEGORIA])</f>
        <v xml:space="preserve">TELECOMUNICACIONES </v>
      </c>
      <c r="E52" s="33" t="str">
        <f>_xlfn.XLOOKUP(TablaSTOCKINV[[#This Row],[SKU]],TablaINVENTARIO[SKU],TablaINVENTARIO[SUBCATEGORIA])</f>
        <v xml:space="preserve">ACCESORIO DE RED </v>
      </c>
      <c r="F52" s="33" t="str">
        <f>_xlfn.XLOOKUP(TablaSTOCKINV[[#This Row],[SKU]],TablaINVENTARIO[SKU],TablaINVENTARIO[ESTADO])</f>
        <v xml:space="preserve">NUEVO </v>
      </c>
      <c r="G52" s="33" t="str">
        <f>_xlfn.XLOOKUP(TablaSTOCKINV[[#This Row],[SKU]],TablaINVENTARIO[SKU],TablaINVENTARIO[MEDIDA])</f>
        <v>UND</v>
      </c>
      <c r="H52" s="33" t="str">
        <f>_xlfn.XLOOKUP(TablaSTOCKINV[[#This Row],[SKU]],TablaINVENTARIO[SKU],TablaINVENTARIO[SERIAL])</f>
        <v>DM5410706564</v>
      </c>
      <c r="I52" s="34" t="str">
        <f>_xlfn.XLOOKUP(TablaSTOCKINV[[#This Row],[SKU]],TablaINVENTARIO[SKU],TablaINVENTARIO[ALMACEN])</f>
        <v>ALMACEN PRINCIPAL</v>
      </c>
      <c r="J52" s="34" t="str">
        <f>_xlfn.XLOOKUP(TablaSTOCKINV[[#This Row],[SKU]],TablaINVENTARIO[SKU],TablaINVENTARIO[UBICACION])</f>
        <v>D2-3</v>
      </c>
      <c r="K52" s="34" t="str">
        <f>_xlfn.XLOOKUP(TablaSTOCKINV[[#This Row],[SKU]],TablaINVENTARIO[SKU],TablaINVENTARIO[DPTO RESPONSABLE])</f>
        <v>AIT</v>
      </c>
      <c r="L52" s="36">
        <f>_xlfn.XLOOKUP(TablaSTOCKINV[[#This Row],[SKU]],TablaINVENTARIO[SKU],TablaINVENTARIO[RANGO MIN])</f>
        <v>0</v>
      </c>
      <c r="M52" s="34" cm="1">
        <f t="array" ref="M52">_xlfn.IFS(TablaSTOCKINV[[#This Row],[CANT. TOTAL]]&lt;=0,1,TablaSTOCKINV[[#This Row],[CANT. TOTAL]]&lt;=TablaSTOCKINV[[#This Row],[MIN]],2,TablaSTOCKINV[[#This Row],[CANT. TOTAL]]&gt;TablaSTOCKINV[[#This Row],[MIN]],3)</f>
        <v>3</v>
      </c>
      <c r="N52" s="34">
        <f>TablaSTOCKINV[[#This Row],[ENTRADAS]]-TablaSTOCKINV[[#This Row],[SALIDAS]]</f>
        <v>1</v>
      </c>
      <c r="O52" s="35">
        <f>SUMIFS(TablaENTRADA[CANT],TablaENTRADA[SKU],TablaSTOCKINV[[#This Row],[SKU]])</f>
        <v>1</v>
      </c>
      <c r="P52" s="35">
        <f>SUMIFS(TablaSALIDA[CANT],TablaSALIDA[SKU],TablaSTOCKINV[[#This Row],[SKU]])</f>
        <v>0</v>
      </c>
      <c r="Q52" s="34">
        <f>_xlfn.XLOOKUP(TablaSTOCKINV[[#This Row],[SKU]],TablaINVENTARIO[SKU],TablaINVENTARIO[PRECIO])</f>
        <v>0</v>
      </c>
      <c r="R52" s="34">
        <f>TablaSTOCKINV[[#This Row],[P.UNITARIO]]*TablaSTOCKINV[[#This Row],[CANT. TOTAL]]</f>
        <v>0</v>
      </c>
      <c r="S52" s="44">
        <f>_xlfn.XLOOKUP(TablaSTOCKINV[[#This Row],[SKU]],TablaINVENTARIO[SKU],TablaINVENTARIO[FECHA INGRESO])</f>
        <v>46023</v>
      </c>
      <c r="T52" s="44">
        <f>_xlfn.XLOOKUP(TablaSTOCKINV[[#This Row],[SKU]],TablaENTRADA[SKU],TablaENTRADA[FECHA],,0,-1)</f>
        <v>46023</v>
      </c>
      <c r="U52" s="46" t="str">
        <f>IFERROR((_xlfn.XLOOKUP(TablaSTOCKINV[[#This Row],[SKU]],TablaSALIDA[SKU],TablaSALIDA[FECHA],,0,-1))," " )</f>
        <v xml:space="preserve"> </v>
      </c>
    </row>
    <row r="53" spans="1:21" x14ac:dyDescent="0.3">
      <c r="A53" s="27" t="s">
        <v>2384</v>
      </c>
      <c r="B53" s="32" t="str">
        <f>_xlfn.XLOOKUP(TablaSTOCKINV[[#This Row],[SKU]],TablaINVENTARIO[SKU],TablaINVENTARIO[DESCRIPCION])</f>
        <v>TARJETA DE RED WIFI MODELO:TL-WN353G</v>
      </c>
      <c r="C53" s="32" t="str">
        <f>_xlfn.XLOOKUP(TablaSTOCKINV[[#This Row],[SKU]],TablaINVENTARIO[SKU],TablaINVENTARIO[MARCA])</f>
        <v>TP-LINK</v>
      </c>
      <c r="D53" s="33" t="str">
        <f>_xlfn.XLOOKUP(TablaSTOCKINV[[#This Row],[SKU]],TablaINVENTARIO[SKU],TablaINVENTARIO[CATEGORIA])</f>
        <v xml:space="preserve">TELECOMUNICACIONES </v>
      </c>
      <c r="E53" s="33" t="str">
        <f>_xlfn.XLOOKUP(TablaSTOCKINV[[#This Row],[SKU]],TablaINVENTARIO[SKU],TablaINVENTARIO[SUBCATEGORIA])</f>
        <v xml:space="preserve">EQUIPO DE RED </v>
      </c>
      <c r="F53" s="33" t="str">
        <f>_xlfn.XLOOKUP(TablaSTOCKINV[[#This Row],[SKU]],TablaINVENTARIO[SKU],TablaINVENTARIO[ESTADO])</f>
        <v xml:space="preserve">NUEVO </v>
      </c>
      <c r="G53" s="33" t="str">
        <f>_xlfn.XLOOKUP(TablaSTOCKINV[[#This Row],[SKU]],TablaINVENTARIO[SKU],TablaINVENTARIO[MEDIDA])</f>
        <v>UND</v>
      </c>
      <c r="H53" s="33">
        <f>_xlfn.XLOOKUP(TablaSTOCKINV[[#This Row],[SKU]],TablaINVENTARIO[SKU],TablaINVENTARIO[SERIAL])</f>
        <v>10661402584</v>
      </c>
      <c r="I53" s="34" t="str">
        <f>_xlfn.XLOOKUP(TablaSTOCKINV[[#This Row],[SKU]],TablaINVENTARIO[SKU],TablaINVENTARIO[ALMACEN])</f>
        <v>ALMACEN PRINCIPAL</v>
      </c>
      <c r="J53" s="34" t="str">
        <f>_xlfn.XLOOKUP(TablaSTOCKINV[[#This Row],[SKU]],TablaINVENTARIO[SKU],TablaINVENTARIO[UBICACION])</f>
        <v>D2-3</v>
      </c>
      <c r="K53" s="34" t="str">
        <f>_xlfn.XLOOKUP(TablaSTOCKINV[[#This Row],[SKU]],TablaINVENTARIO[SKU],TablaINVENTARIO[DPTO RESPONSABLE])</f>
        <v>AIT</v>
      </c>
      <c r="L53" s="36">
        <f>_xlfn.XLOOKUP(TablaSTOCKINV[[#This Row],[SKU]],TablaINVENTARIO[SKU],TablaINVENTARIO[RANGO MIN])</f>
        <v>0</v>
      </c>
      <c r="M53" s="34" cm="1">
        <f t="array" ref="M53">_xlfn.IFS(TablaSTOCKINV[[#This Row],[CANT. TOTAL]]&lt;=0,1,TablaSTOCKINV[[#This Row],[CANT. TOTAL]]&lt;=TablaSTOCKINV[[#This Row],[MIN]],2,TablaSTOCKINV[[#This Row],[CANT. TOTAL]]&gt;TablaSTOCKINV[[#This Row],[MIN]],3)</f>
        <v>3</v>
      </c>
      <c r="N53" s="34">
        <f>TablaSTOCKINV[[#This Row],[ENTRADAS]]-TablaSTOCKINV[[#This Row],[SALIDAS]]</f>
        <v>1</v>
      </c>
      <c r="O53" s="35">
        <f>SUMIFS(TablaENTRADA[CANT],TablaENTRADA[SKU],TablaSTOCKINV[[#This Row],[SKU]])</f>
        <v>1</v>
      </c>
      <c r="P53" s="35">
        <f>SUMIFS(TablaSALIDA[CANT],TablaSALIDA[SKU],TablaSTOCKINV[[#This Row],[SKU]])</f>
        <v>0</v>
      </c>
      <c r="Q53" s="34">
        <f>_xlfn.XLOOKUP(TablaSTOCKINV[[#This Row],[SKU]],TablaINVENTARIO[SKU],TablaINVENTARIO[PRECIO])</f>
        <v>0</v>
      </c>
      <c r="R53" s="34">
        <f>TablaSTOCKINV[[#This Row],[P.UNITARIO]]*TablaSTOCKINV[[#This Row],[CANT. TOTAL]]</f>
        <v>0</v>
      </c>
      <c r="S53" s="44">
        <f>_xlfn.XLOOKUP(TablaSTOCKINV[[#This Row],[SKU]],TablaINVENTARIO[SKU],TablaINVENTARIO[FECHA INGRESO])</f>
        <v>46023</v>
      </c>
      <c r="T53" s="44">
        <f>_xlfn.XLOOKUP(TablaSTOCKINV[[#This Row],[SKU]],TablaENTRADA[SKU],TablaENTRADA[FECHA],,0,-1)</f>
        <v>46023</v>
      </c>
      <c r="U53" s="46" t="str">
        <f>IFERROR((_xlfn.XLOOKUP(TablaSTOCKINV[[#This Row],[SKU]],TablaSALIDA[SKU],TablaSALIDA[FECHA],,0,-1))," " )</f>
        <v xml:space="preserve"> </v>
      </c>
    </row>
    <row r="54" spans="1:21" x14ac:dyDescent="0.3">
      <c r="A54" s="27" t="s">
        <v>2386</v>
      </c>
      <c r="B54" s="32" t="str">
        <f>_xlfn.XLOOKUP(TablaSTOCKINV[[#This Row],[SKU]],TablaINVENTARIO[SKU],TablaINVENTARIO[DESCRIPCION])</f>
        <v>TARJETA DE RED WIFI MODELO:TG-3269</v>
      </c>
      <c r="C54" s="32" t="str">
        <f>_xlfn.XLOOKUP(TablaSTOCKINV[[#This Row],[SKU]],TablaINVENTARIO[SKU],TablaINVENTARIO[MARCA])</f>
        <v>TP-LINK</v>
      </c>
      <c r="D54" s="33" t="str">
        <f>_xlfn.XLOOKUP(TablaSTOCKINV[[#This Row],[SKU]],TablaINVENTARIO[SKU],TablaINVENTARIO[CATEGORIA])</f>
        <v xml:space="preserve">TELECOMUNICACIONES </v>
      </c>
      <c r="E54" s="33" t="str">
        <f>_xlfn.XLOOKUP(TablaSTOCKINV[[#This Row],[SKU]],TablaINVENTARIO[SKU],TablaINVENTARIO[SUBCATEGORIA])</f>
        <v xml:space="preserve">EQUIPO DE RED </v>
      </c>
      <c r="F54" s="33" t="str">
        <f>_xlfn.XLOOKUP(TablaSTOCKINV[[#This Row],[SKU]],TablaINVENTARIO[SKU],TablaINVENTARIO[ESTADO])</f>
        <v xml:space="preserve">NUEVO </v>
      </c>
      <c r="G54" s="33" t="str">
        <f>_xlfn.XLOOKUP(TablaSTOCKINV[[#This Row],[SKU]],TablaINVENTARIO[SKU],TablaINVENTARIO[MEDIDA])</f>
        <v>UND</v>
      </c>
      <c r="H54" s="33" t="str">
        <f>_xlfn.XLOOKUP(TablaSTOCKINV[[#This Row],[SKU]],TablaINVENTARIO[SKU],TablaINVENTARIO[SERIAL])</f>
        <v>138C9800208</v>
      </c>
      <c r="I54" s="34" t="str">
        <f>_xlfn.XLOOKUP(TablaSTOCKINV[[#This Row],[SKU]],TablaINVENTARIO[SKU],TablaINVENTARIO[ALMACEN])</f>
        <v>ALMACEN PRINCIPAL</v>
      </c>
      <c r="J54" s="34" t="str">
        <f>_xlfn.XLOOKUP(TablaSTOCKINV[[#This Row],[SKU]],TablaINVENTARIO[SKU],TablaINVENTARIO[UBICACION])</f>
        <v>D2-3</v>
      </c>
      <c r="K54" s="34" t="str">
        <f>_xlfn.XLOOKUP(TablaSTOCKINV[[#This Row],[SKU]],TablaINVENTARIO[SKU],TablaINVENTARIO[DPTO RESPONSABLE])</f>
        <v>AIT</v>
      </c>
      <c r="L54" s="36">
        <f>_xlfn.XLOOKUP(TablaSTOCKINV[[#This Row],[SKU]],TablaINVENTARIO[SKU],TablaINVENTARIO[RANGO MIN])</f>
        <v>0</v>
      </c>
      <c r="M54" s="34" cm="1">
        <f t="array" ref="M54">_xlfn.IFS(TablaSTOCKINV[[#This Row],[CANT. TOTAL]]&lt;=0,1,TablaSTOCKINV[[#This Row],[CANT. TOTAL]]&lt;=TablaSTOCKINV[[#This Row],[MIN]],2,TablaSTOCKINV[[#This Row],[CANT. TOTAL]]&gt;TablaSTOCKINV[[#This Row],[MIN]],3)</f>
        <v>3</v>
      </c>
      <c r="N54" s="34">
        <f>TablaSTOCKINV[[#This Row],[ENTRADAS]]-TablaSTOCKINV[[#This Row],[SALIDAS]]</f>
        <v>1</v>
      </c>
      <c r="O54" s="35">
        <f>SUMIFS(TablaENTRADA[CANT],TablaENTRADA[SKU],TablaSTOCKINV[[#This Row],[SKU]])</f>
        <v>1</v>
      </c>
      <c r="P54" s="35">
        <f>SUMIFS(TablaSALIDA[CANT],TablaSALIDA[SKU],TablaSTOCKINV[[#This Row],[SKU]])</f>
        <v>0</v>
      </c>
      <c r="Q54" s="34">
        <f>_xlfn.XLOOKUP(TablaSTOCKINV[[#This Row],[SKU]],TablaINVENTARIO[SKU],TablaINVENTARIO[PRECIO])</f>
        <v>0</v>
      </c>
      <c r="R54" s="34">
        <f>TablaSTOCKINV[[#This Row],[P.UNITARIO]]*TablaSTOCKINV[[#This Row],[CANT. TOTAL]]</f>
        <v>0</v>
      </c>
      <c r="S54" s="44">
        <f>_xlfn.XLOOKUP(TablaSTOCKINV[[#This Row],[SKU]],TablaINVENTARIO[SKU],TablaINVENTARIO[FECHA INGRESO])</f>
        <v>46023</v>
      </c>
      <c r="T54" s="44">
        <f>_xlfn.XLOOKUP(TablaSTOCKINV[[#This Row],[SKU]],TablaENTRADA[SKU],TablaENTRADA[FECHA],,0,-1)</f>
        <v>46023</v>
      </c>
      <c r="U54" s="46" t="str">
        <f>IFERROR((_xlfn.XLOOKUP(TablaSTOCKINV[[#This Row],[SKU]],TablaSALIDA[SKU],TablaSALIDA[FECHA],,0,-1))," " )</f>
        <v xml:space="preserve"> </v>
      </c>
    </row>
    <row r="55" spans="1:21" x14ac:dyDescent="0.3">
      <c r="A55" s="27" t="s">
        <v>2389</v>
      </c>
      <c r="B55" s="32" t="str">
        <f>_xlfn.XLOOKUP(TablaSTOCKINV[[#This Row],[SKU]],TablaINVENTARIO[SKU],TablaINVENTARIO[DESCRIPCION])</f>
        <v>TARJETA DE RED WIFI MODELO: DFE-538TX</v>
      </c>
      <c r="C55" s="32" t="str">
        <f>_xlfn.XLOOKUP(TablaSTOCKINV[[#This Row],[SKU]],TablaINVENTARIO[SKU],TablaINVENTARIO[MARCA])</f>
        <v>D-LINK</v>
      </c>
      <c r="D55" s="33" t="str">
        <f>_xlfn.XLOOKUP(TablaSTOCKINV[[#This Row],[SKU]],TablaINVENTARIO[SKU],TablaINVENTARIO[CATEGORIA])</f>
        <v xml:space="preserve">TELECOMUNICACIONES </v>
      </c>
      <c r="E55" s="33" t="str">
        <f>_xlfn.XLOOKUP(TablaSTOCKINV[[#This Row],[SKU]],TablaINVENTARIO[SKU],TablaINVENTARIO[SUBCATEGORIA])</f>
        <v xml:space="preserve">EQUIPO DE RED </v>
      </c>
      <c r="F55" s="33" t="str">
        <f>_xlfn.XLOOKUP(TablaSTOCKINV[[#This Row],[SKU]],TablaINVENTARIO[SKU],TablaINVENTARIO[ESTADO])</f>
        <v xml:space="preserve">NUEVO </v>
      </c>
      <c r="G55" s="33" t="str">
        <f>_xlfn.XLOOKUP(TablaSTOCKINV[[#This Row],[SKU]],TablaINVENTARIO[SKU],TablaINVENTARIO[MEDIDA])</f>
        <v>UND</v>
      </c>
      <c r="H55" s="33" t="str">
        <f>_xlfn.XLOOKUP(TablaSTOCKINV[[#This Row],[SKU]],TablaINVENTARIO[SKU],TablaINVENTARIO[SERIAL])</f>
        <v>0050BA89BAE6</v>
      </c>
      <c r="I55" s="34" t="str">
        <f>_xlfn.XLOOKUP(TablaSTOCKINV[[#This Row],[SKU]],TablaINVENTARIO[SKU],TablaINVENTARIO[ALMACEN])</f>
        <v>ALMACEN PRINCIPAL</v>
      </c>
      <c r="J55" s="34" t="str">
        <f>_xlfn.XLOOKUP(TablaSTOCKINV[[#This Row],[SKU]],TablaINVENTARIO[SKU],TablaINVENTARIO[UBICACION])</f>
        <v>D2-3</v>
      </c>
      <c r="K55" s="34" t="str">
        <f>_xlfn.XLOOKUP(TablaSTOCKINV[[#This Row],[SKU]],TablaINVENTARIO[SKU],TablaINVENTARIO[DPTO RESPONSABLE])</f>
        <v>AIT</v>
      </c>
      <c r="L55" s="36">
        <f>_xlfn.XLOOKUP(TablaSTOCKINV[[#This Row],[SKU]],TablaINVENTARIO[SKU],TablaINVENTARIO[RANGO MIN])</f>
        <v>0</v>
      </c>
      <c r="M55" s="34" cm="1">
        <f t="array" ref="M55">_xlfn.IFS(TablaSTOCKINV[[#This Row],[CANT. TOTAL]]&lt;=0,1,TablaSTOCKINV[[#This Row],[CANT. TOTAL]]&lt;=TablaSTOCKINV[[#This Row],[MIN]],2,TablaSTOCKINV[[#This Row],[CANT. TOTAL]]&gt;TablaSTOCKINV[[#This Row],[MIN]],3)</f>
        <v>3</v>
      </c>
      <c r="N55" s="34">
        <f>TablaSTOCKINV[[#This Row],[ENTRADAS]]-TablaSTOCKINV[[#This Row],[SALIDAS]]</f>
        <v>1</v>
      </c>
      <c r="O55" s="35">
        <f>SUMIFS(TablaENTRADA[CANT],TablaENTRADA[SKU],TablaSTOCKINV[[#This Row],[SKU]])</f>
        <v>1</v>
      </c>
      <c r="P55" s="35">
        <f>SUMIFS(TablaSALIDA[CANT],TablaSALIDA[SKU],TablaSTOCKINV[[#This Row],[SKU]])</f>
        <v>0</v>
      </c>
      <c r="Q55" s="34">
        <f>_xlfn.XLOOKUP(TablaSTOCKINV[[#This Row],[SKU]],TablaINVENTARIO[SKU],TablaINVENTARIO[PRECIO])</f>
        <v>0</v>
      </c>
      <c r="R55" s="34">
        <f>TablaSTOCKINV[[#This Row],[P.UNITARIO]]*TablaSTOCKINV[[#This Row],[CANT. TOTAL]]</f>
        <v>0</v>
      </c>
      <c r="S55" s="44">
        <f>_xlfn.XLOOKUP(TablaSTOCKINV[[#This Row],[SKU]],TablaINVENTARIO[SKU],TablaINVENTARIO[FECHA INGRESO])</f>
        <v>46023</v>
      </c>
      <c r="T55" s="44">
        <f>_xlfn.XLOOKUP(TablaSTOCKINV[[#This Row],[SKU]],TablaENTRADA[SKU],TablaENTRADA[FECHA],,0,-1)</f>
        <v>46023</v>
      </c>
      <c r="U55" s="46" t="str">
        <f>IFERROR((_xlfn.XLOOKUP(TablaSTOCKINV[[#This Row],[SKU]],TablaSALIDA[SKU],TablaSALIDA[FECHA],,0,-1))," " )</f>
        <v xml:space="preserve"> </v>
      </c>
    </row>
    <row r="56" spans="1:21" x14ac:dyDescent="0.3">
      <c r="A56" s="27" t="s">
        <v>2393</v>
      </c>
      <c r="B56" s="32" t="str">
        <f>_xlfn.XLOOKUP(TablaSTOCKINV[[#This Row],[SKU]],TablaINVENTARIO[SKU],TablaINVENTARIO[DESCRIPCION])</f>
        <v xml:space="preserve">CABLE TELEFONICO CON CONECTORES RJ11 </v>
      </c>
      <c r="C56" s="32" t="str">
        <f>_xlfn.XLOOKUP(TablaSTOCKINV[[#This Row],[SKU]],TablaINVENTARIO[SKU],TablaINVENTARIO[MARCA])</f>
        <v>N/A</v>
      </c>
      <c r="D56" s="33" t="str">
        <f>_xlfn.XLOOKUP(TablaSTOCKINV[[#This Row],[SKU]],TablaINVENTARIO[SKU],TablaINVENTARIO[CATEGORIA])</f>
        <v xml:space="preserve">TELECOMUNICACIONES </v>
      </c>
      <c r="E56" s="33" t="str">
        <f>_xlfn.XLOOKUP(TablaSTOCKINV[[#This Row],[SKU]],TablaINVENTARIO[SKU],TablaINVENTARIO[SUBCATEGORIA])</f>
        <v xml:space="preserve">ACCESORIO DE RED </v>
      </c>
      <c r="F56" s="33" t="str">
        <f>_xlfn.XLOOKUP(TablaSTOCKINV[[#This Row],[SKU]],TablaINVENTARIO[SKU],TablaINVENTARIO[ESTADO])</f>
        <v xml:space="preserve">NUEVO </v>
      </c>
      <c r="G56" s="33" t="str">
        <f>_xlfn.XLOOKUP(TablaSTOCKINV[[#This Row],[SKU]],TablaINVENTARIO[SKU],TablaINVENTARIO[MEDIDA])</f>
        <v>UND</v>
      </c>
      <c r="H56" s="33" t="str">
        <f>_xlfn.XLOOKUP(TablaSTOCKINV[[#This Row],[SKU]],TablaINVENTARIO[SKU],TablaINVENTARIO[SERIAL])</f>
        <v>N/A</v>
      </c>
      <c r="I56" s="34" t="str">
        <f>_xlfn.XLOOKUP(TablaSTOCKINV[[#This Row],[SKU]],TablaINVENTARIO[SKU],TablaINVENTARIO[ALMACEN])</f>
        <v>ALMACEN PRINCIPAL</v>
      </c>
      <c r="J56" s="34" t="str">
        <f>_xlfn.XLOOKUP(TablaSTOCKINV[[#This Row],[SKU]],TablaINVENTARIO[SKU],TablaINVENTARIO[UBICACION])</f>
        <v>D1-2</v>
      </c>
      <c r="K56" s="34" t="str">
        <f>_xlfn.XLOOKUP(TablaSTOCKINV[[#This Row],[SKU]],TablaINVENTARIO[SKU],TablaINVENTARIO[DPTO RESPONSABLE])</f>
        <v>AIT</v>
      </c>
      <c r="L56" s="36">
        <f>_xlfn.XLOOKUP(TablaSTOCKINV[[#This Row],[SKU]],TablaINVENTARIO[SKU],TablaINVENTARIO[RANGO MIN])</f>
        <v>0</v>
      </c>
      <c r="M56" s="34" cm="1">
        <f t="array" ref="M56">_xlfn.IFS(TablaSTOCKINV[[#This Row],[CANT. TOTAL]]&lt;=0,1,TablaSTOCKINV[[#This Row],[CANT. TOTAL]]&lt;=TablaSTOCKINV[[#This Row],[MIN]],2,TablaSTOCKINV[[#This Row],[CANT. TOTAL]]&gt;TablaSTOCKINV[[#This Row],[MIN]],3)</f>
        <v>3</v>
      </c>
      <c r="N56" s="34">
        <f>TablaSTOCKINV[[#This Row],[ENTRADAS]]-TablaSTOCKINV[[#This Row],[SALIDAS]]</f>
        <v>1</v>
      </c>
      <c r="O56" s="35">
        <f>SUMIFS(TablaENTRADA[CANT],TablaENTRADA[SKU],TablaSTOCKINV[[#This Row],[SKU]])</f>
        <v>1</v>
      </c>
      <c r="P56" s="35">
        <f>SUMIFS(TablaSALIDA[CANT],TablaSALIDA[SKU],TablaSTOCKINV[[#This Row],[SKU]])</f>
        <v>0</v>
      </c>
      <c r="Q56" s="34">
        <f>_xlfn.XLOOKUP(TablaSTOCKINV[[#This Row],[SKU]],TablaINVENTARIO[SKU],TablaINVENTARIO[PRECIO])</f>
        <v>0</v>
      </c>
      <c r="R56" s="34">
        <f>TablaSTOCKINV[[#This Row],[P.UNITARIO]]*TablaSTOCKINV[[#This Row],[CANT. TOTAL]]</f>
        <v>0</v>
      </c>
      <c r="S56" s="44">
        <f>_xlfn.XLOOKUP(TablaSTOCKINV[[#This Row],[SKU]],TablaINVENTARIO[SKU],TablaINVENTARIO[FECHA INGRESO])</f>
        <v>46023</v>
      </c>
      <c r="T56" s="44">
        <f>_xlfn.XLOOKUP(TablaSTOCKINV[[#This Row],[SKU]],TablaENTRADA[SKU],TablaENTRADA[FECHA],,0,-1)</f>
        <v>46023</v>
      </c>
      <c r="U56" s="46" t="str">
        <f>IFERROR((_xlfn.XLOOKUP(TablaSTOCKINV[[#This Row],[SKU]],TablaSALIDA[SKU],TablaSALIDA[FECHA],,0,-1))," " )</f>
        <v xml:space="preserve"> </v>
      </c>
    </row>
    <row r="57" spans="1:21" x14ac:dyDescent="0.3">
      <c r="A57" s="27" t="s">
        <v>2396</v>
      </c>
      <c r="B57" s="32" t="str">
        <f>_xlfn.XLOOKUP(TablaSTOCKINV[[#This Row],[SKU]],TablaINVENTARIO[SKU],TablaINVENTARIO[DESCRIPCION])</f>
        <v>CABLE RS-232 HEMBRA A RJ11</v>
      </c>
      <c r="C57" s="32" t="str">
        <f>_xlfn.XLOOKUP(TablaSTOCKINV[[#This Row],[SKU]],TablaINVENTARIO[SKU],TablaINVENTARIO[MARCA])</f>
        <v>N/A</v>
      </c>
      <c r="D57" s="33" t="str">
        <f>_xlfn.XLOOKUP(TablaSTOCKINV[[#This Row],[SKU]],TablaINVENTARIO[SKU],TablaINVENTARIO[CATEGORIA])</f>
        <v xml:space="preserve">TELECOMUNICACIONES </v>
      </c>
      <c r="E57" s="33" t="str">
        <f>_xlfn.XLOOKUP(TablaSTOCKINV[[#This Row],[SKU]],TablaINVENTARIO[SKU],TablaINVENTARIO[SUBCATEGORIA])</f>
        <v xml:space="preserve">ACCESORIO DE RED </v>
      </c>
      <c r="F57" s="33" t="str">
        <f>_xlfn.XLOOKUP(TablaSTOCKINV[[#This Row],[SKU]],TablaINVENTARIO[SKU],TablaINVENTARIO[ESTADO])</f>
        <v xml:space="preserve">NUEVO </v>
      </c>
      <c r="G57" s="33" t="str">
        <f>_xlfn.XLOOKUP(TablaSTOCKINV[[#This Row],[SKU]],TablaINVENTARIO[SKU],TablaINVENTARIO[MEDIDA])</f>
        <v>UND</v>
      </c>
      <c r="H57" s="33" t="str">
        <f>_xlfn.XLOOKUP(TablaSTOCKINV[[#This Row],[SKU]],TablaINVENTARIO[SKU],TablaINVENTARIO[SERIAL])</f>
        <v>N/A</v>
      </c>
      <c r="I57" s="34" t="str">
        <f>_xlfn.XLOOKUP(TablaSTOCKINV[[#This Row],[SKU]],TablaINVENTARIO[SKU],TablaINVENTARIO[ALMACEN])</f>
        <v>ALMACEN PRINCIPAL</v>
      </c>
      <c r="J57" s="34" t="str">
        <f>_xlfn.XLOOKUP(TablaSTOCKINV[[#This Row],[SKU]],TablaINVENTARIO[SKU],TablaINVENTARIO[UBICACION])</f>
        <v>D1-2</v>
      </c>
      <c r="K57" s="34" t="str">
        <f>_xlfn.XLOOKUP(TablaSTOCKINV[[#This Row],[SKU]],TablaINVENTARIO[SKU],TablaINVENTARIO[DPTO RESPONSABLE])</f>
        <v>AIT</v>
      </c>
      <c r="L57" s="36">
        <f>_xlfn.XLOOKUP(TablaSTOCKINV[[#This Row],[SKU]],TablaINVENTARIO[SKU],TablaINVENTARIO[RANGO MIN])</f>
        <v>0</v>
      </c>
      <c r="M57" s="34" cm="1">
        <f t="array" ref="M57">_xlfn.IFS(TablaSTOCKINV[[#This Row],[CANT. TOTAL]]&lt;=0,1,TablaSTOCKINV[[#This Row],[CANT. TOTAL]]&lt;=TablaSTOCKINV[[#This Row],[MIN]],2,TablaSTOCKINV[[#This Row],[CANT. TOTAL]]&gt;TablaSTOCKINV[[#This Row],[MIN]],3)</f>
        <v>3</v>
      </c>
      <c r="N57" s="34">
        <f>TablaSTOCKINV[[#This Row],[ENTRADAS]]-TablaSTOCKINV[[#This Row],[SALIDAS]]</f>
        <v>1</v>
      </c>
      <c r="O57" s="35">
        <f>SUMIFS(TablaENTRADA[CANT],TablaENTRADA[SKU],TablaSTOCKINV[[#This Row],[SKU]])</f>
        <v>1</v>
      </c>
      <c r="P57" s="35">
        <f>SUMIFS(TablaSALIDA[CANT],TablaSALIDA[SKU],TablaSTOCKINV[[#This Row],[SKU]])</f>
        <v>0</v>
      </c>
      <c r="Q57" s="34">
        <f>_xlfn.XLOOKUP(TablaSTOCKINV[[#This Row],[SKU]],TablaINVENTARIO[SKU],TablaINVENTARIO[PRECIO])</f>
        <v>0</v>
      </c>
      <c r="R57" s="34">
        <f>TablaSTOCKINV[[#This Row],[P.UNITARIO]]*TablaSTOCKINV[[#This Row],[CANT. TOTAL]]</f>
        <v>0</v>
      </c>
      <c r="S57" s="44">
        <f>_xlfn.XLOOKUP(TablaSTOCKINV[[#This Row],[SKU]],TablaINVENTARIO[SKU],TablaINVENTARIO[FECHA INGRESO])</f>
        <v>46023</v>
      </c>
      <c r="T57" s="44">
        <f>_xlfn.XLOOKUP(TablaSTOCKINV[[#This Row],[SKU]],TablaENTRADA[SKU],TablaENTRADA[FECHA],,0,-1)</f>
        <v>46023</v>
      </c>
      <c r="U57" s="46" t="str">
        <f>IFERROR((_xlfn.XLOOKUP(TablaSTOCKINV[[#This Row],[SKU]],TablaSALIDA[SKU],TablaSALIDA[FECHA],,0,-1))," " )</f>
        <v xml:space="preserve"> </v>
      </c>
    </row>
    <row r="58" spans="1:21" x14ac:dyDescent="0.3">
      <c r="A58" s="27" t="s">
        <v>2237</v>
      </c>
      <c r="B58" s="32" t="str">
        <f>_xlfn.XLOOKUP(TablaSTOCKINV[[#This Row],[SKU]],TablaINVENTARIO[SKU],TablaINVENTARIO[DESCRIPCION])</f>
        <v xml:space="preserve">DELANTAL DE SOLDADURA </v>
      </c>
      <c r="C58" s="32" t="str">
        <f>_xlfn.XLOOKUP(TablaSTOCKINV[[#This Row],[SKU]],TablaINVENTARIO[SKU],TablaINVENTARIO[MARCA])</f>
        <v>N/A</v>
      </c>
      <c r="D58" s="33" t="str">
        <f>_xlfn.XLOOKUP(TablaSTOCKINV[[#This Row],[SKU]],TablaINVENTARIO[SKU],TablaINVENTARIO[CATEGORIA])</f>
        <v xml:space="preserve">SOLDADURA </v>
      </c>
      <c r="E58" s="33" t="str">
        <f>_xlfn.XLOOKUP(TablaSTOCKINV[[#This Row],[SKU]],TablaINVENTARIO[SKU],TablaINVENTARIO[SUBCATEGORIA])</f>
        <v xml:space="preserve">EQUIPO DE PROTECCIÓN  </v>
      </c>
      <c r="F58" s="33" t="str">
        <f>_xlfn.XLOOKUP(TablaSTOCKINV[[#This Row],[SKU]],TablaINVENTARIO[SKU],TablaINVENTARIO[ESTADO])</f>
        <v>NUEVO</v>
      </c>
      <c r="G58" s="33" t="str">
        <f>_xlfn.XLOOKUP(TablaSTOCKINV[[#This Row],[SKU]],TablaINVENTARIO[SKU],TablaINVENTARIO[MEDIDA])</f>
        <v>UND</v>
      </c>
      <c r="H58" s="33" t="str">
        <f>_xlfn.XLOOKUP(TablaSTOCKINV[[#This Row],[SKU]],TablaINVENTARIO[SKU],TablaINVENTARIO[SERIAL])</f>
        <v>N/A</v>
      </c>
      <c r="I58" s="34" t="str">
        <f>_xlfn.XLOOKUP(TablaSTOCKINV[[#This Row],[SKU]],TablaINVENTARIO[SKU],TablaINVENTARIO[ALMACEN])</f>
        <v>ALMACEN PRINCIPAL</v>
      </c>
      <c r="J58" s="34" t="str">
        <f>_xlfn.XLOOKUP(TablaSTOCKINV[[#This Row],[SKU]],TablaINVENTARIO[SKU],TablaINVENTARIO[UBICACION])</f>
        <v>L2</v>
      </c>
      <c r="K58" s="34" t="str">
        <f>_xlfn.XLOOKUP(TablaSTOCKINV[[#This Row],[SKU]],TablaINVENTARIO[SKU],TablaINVENTARIO[DPTO RESPONSABLE])</f>
        <v>MANTENIMIENTO</v>
      </c>
      <c r="L58" s="36">
        <f>_xlfn.XLOOKUP(TablaSTOCKINV[[#This Row],[SKU]],TablaINVENTARIO[SKU],TablaINVENTARIO[RANGO MIN])</f>
        <v>0</v>
      </c>
      <c r="M58" s="34" cm="1">
        <f t="array" ref="M58">_xlfn.IFS(TablaSTOCKINV[[#This Row],[CANT. TOTAL]]&lt;=0,1,TablaSTOCKINV[[#This Row],[CANT. TOTAL]]&lt;=TablaSTOCKINV[[#This Row],[MIN]],2,TablaSTOCKINV[[#This Row],[CANT. TOTAL]]&gt;TablaSTOCKINV[[#This Row],[MIN]],3)</f>
        <v>3</v>
      </c>
      <c r="N58" s="34">
        <f>TablaSTOCKINV[[#This Row],[ENTRADAS]]-TablaSTOCKINV[[#This Row],[SALIDAS]]</f>
        <v>1</v>
      </c>
      <c r="O58" s="35">
        <f>SUMIFS(TablaENTRADA[CANT],TablaENTRADA[SKU],TablaSTOCKINV[[#This Row],[SKU]])</f>
        <v>1</v>
      </c>
      <c r="P58" s="35">
        <f>SUMIFS(TablaSALIDA[CANT],TablaSALIDA[SKU],TablaSTOCKINV[[#This Row],[SKU]])</f>
        <v>0</v>
      </c>
      <c r="Q58" s="34">
        <f>_xlfn.XLOOKUP(TablaSTOCKINV[[#This Row],[SKU]],TablaINVENTARIO[SKU],TablaINVENTARIO[PRECIO])</f>
        <v>0</v>
      </c>
      <c r="R58" s="34">
        <f>TablaSTOCKINV[[#This Row],[P.UNITARIO]]*TablaSTOCKINV[[#This Row],[CANT. TOTAL]]</f>
        <v>0</v>
      </c>
      <c r="S58" s="44">
        <f>_xlfn.XLOOKUP(TablaSTOCKINV[[#This Row],[SKU]],TablaINVENTARIO[SKU],TablaINVENTARIO[FECHA INGRESO])</f>
        <v>46023</v>
      </c>
      <c r="T58" s="44">
        <f>_xlfn.XLOOKUP(TablaSTOCKINV[[#This Row],[SKU]],TablaENTRADA[SKU],TablaENTRADA[FECHA],,0,-1)</f>
        <v>46023</v>
      </c>
      <c r="U58" s="46" t="str">
        <f>IFERROR((_xlfn.XLOOKUP(TablaSTOCKINV[[#This Row],[SKU]],TablaSALIDA[SKU],TablaSALIDA[FECHA],,0,-1))," " )</f>
        <v xml:space="preserve"> </v>
      </c>
    </row>
    <row r="59" spans="1:21" x14ac:dyDescent="0.3">
      <c r="A59" s="27" t="s">
        <v>2241</v>
      </c>
      <c r="B59" s="32" t="str">
        <f>_xlfn.XLOOKUP(TablaSTOCKINV[[#This Row],[SKU]],TablaINVENTARIO[SKU],TablaINVENTARIO[DESCRIPCION])</f>
        <v xml:space="preserve">DELANTAL DE SOLDADURA </v>
      </c>
      <c r="C59" s="32" t="str">
        <f>_xlfn.XLOOKUP(TablaSTOCKINV[[#This Row],[SKU]],TablaINVENTARIO[SKU],TablaINVENTARIO[MARCA])</f>
        <v>N/A</v>
      </c>
      <c r="D59" s="33" t="str">
        <f>_xlfn.XLOOKUP(TablaSTOCKINV[[#This Row],[SKU]],TablaINVENTARIO[SKU],TablaINVENTARIO[CATEGORIA])</f>
        <v xml:space="preserve">SOLDADURA </v>
      </c>
      <c r="E59" s="33" t="str">
        <f>_xlfn.XLOOKUP(TablaSTOCKINV[[#This Row],[SKU]],TablaINVENTARIO[SKU],TablaINVENTARIO[SUBCATEGORIA])</f>
        <v xml:space="preserve">EQUIPO DE PROTECCIÓN  </v>
      </c>
      <c r="F59" s="33" t="str">
        <f>_xlfn.XLOOKUP(TablaSTOCKINV[[#This Row],[SKU]],TablaINVENTARIO[SKU],TablaINVENTARIO[ESTADO])</f>
        <v>USADO</v>
      </c>
      <c r="G59" s="33" t="str">
        <f>_xlfn.XLOOKUP(TablaSTOCKINV[[#This Row],[SKU]],TablaINVENTARIO[SKU],TablaINVENTARIO[MEDIDA])</f>
        <v>UND</v>
      </c>
      <c r="H59" s="33" t="str">
        <f>_xlfn.XLOOKUP(TablaSTOCKINV[[#This Row],[SKU]],TablaINVENTARIO[SKU],TablaINVENTARIO[SERIAL])</f>
        <v>N/A</v>
      </c>
      <c r="I59" s="34" t="str">
        <f>_xlfn.XLOOKUP(TablaSTOCKINV[[#This Row],[SKU]],TablaINVENTARIO[SKU],TablaINVENTARIO[ALMACEN])</f>
        <v>ALMACEN PRINCIPAL</v>
      </c>
      <c r="J59" s="34" t="str">
        <f>_xlfn.XLOOKUP(TablaSTOCKINV[[#This Row],[SKU]],TablaINVENTARIO[SKU],TablaINVENTARIO[UBICACION])</f>
        <v>L2</v>
      </c>
      <c r="K59" s="34" t="str">
        <f>_xlfn.XLOOKUP(TablaSTOCKINV[[#This Row],[SKU]],TablaINVENTARIO[SKU],TablaINVENTARIO[DPTO RESPONSABLE])</f>
        <v>MANTENIMIENTO</v>
      </c>
      <c r="L59" s="36">
        <f>_xlfn.XLOOKUP(TablaSTOCKINV[[#This Row],[SKU]],TablaINVENTARIO[SKU],TablaINVENTARIO[RANGO MIN])</f>
        <v>0</v>
      </c>
      <c r="M59" s="34" cm="1">
        <f t="array" ref="M59">_xlfn.IFS(TablaSTOCKINV[[#This Row],[CANT. TOTAL]]&lt;=0,1,TablaSTOCKINV[[#This Row],[CANT. TOTAL]]&lt;=TablaSTOCKINV[[#This Row],[MIN]],2,TablaSTOCKINV[[#This Row],[CANT. TOTAL]]&gt;TablaSTOCKINV[[#This Row],[MIN]],3)</f>
        <v>3</v>
      </c>
      <c r="N59" s="34">
        <f>TablaSTOCKINV[[#This Row],[ENTRADAS]]-TablaSTOCKINV[[#This Row],[SALIDAS]]</f>
        <v>1</v>
      </c>
      <c r="O59" s="35">
        <f>SUMIFS(TablaENTRADA[CANT],TablaENTRADA[SKU],TablaSTOCKINV[[#This Row],[SKU]])</f>
        <v>1</v>
      </c>
      <c r="P59" s="35">
        <f>SUMIFS(TablaSALIDA[CANT],TablaSALIDA[SKU],TablaSTOCKINV[[#This Row],[SKU]])</f>
        <v>0</v>
      </c>
      <c r="Q59" s="34">
        <f>_xlfn.XLOOKUP(TablaSTOCKINV[[#This Row],[SKU]],TablaINVENTARIO[SKU],TablaINVENTARIO[PRECIO])</f>
        <v>0</v>
      </c>
      <c r="R59" s="34">
        <f>TablaSTOCKINV[[#This Row],[P.UNITARIO]]*TablaSTOCKINV[[#This Row],[CANT. TOTAL]]</f>
        <v>0</v>
      </c>
      <c r="S59" s="44">
        <f>_xlfn.XLOOKUP(TablaSTOCKINV[[#This Row],[SKU]],TablaINVENTARIO[SKU],TablaINVENTARIO[FECHA INGRESO])</f>
        <v>46023</v>
      </c>
      <c r="T59" s="44">
        <f>_xlfn.XLOOKUP(TablaSTOCKINV[[#This Row],[SKU]],TablaENTRADA[SKU],TablaENTRADA[FECHA],,0,-1)</f>
        <v>46023</v>
      </c>
      <c r="U59" s="46" t="str">
        <f>IFERROR((_xlfn.XLOOKUP(TablaSTOCKINV[[#This Row],[SKU]],TablaSALIDA[SKU],TablaSALIDA[FECHA],,0,-1))," " )</f>
        <v xml:space="preserve"> </v>
      </c>
    </row>
    <row r="60" spans="1:21" x14ac:dyDescent="0.3">
      <c r="A60" s="27" t="s">
        <v>2242</v>
      </c>
      <c r="B60" s="32" t="str">
        <f>_xlfn.XLOOKUP(TablaSTOCKINV[[#This Row],[SKU]],TablaINVENTARIO[SKU],TablaINVENTARIO[DESCRIPCION])</f>
        <v xml:space="preserve">CAMISA DE SOLDADURA </v>
      </c>
      <c r="C60" s="32" t="str">
        <f>_xlfn.XLOOKUP(TablaSTOCKINV[[#This Row],[SKU]],TablaINVENTARIO[SKU],TablaINVENTARIO[MARCA])</f>
        <v xml:space="preserve">BLACK STALLION </v>
      </c>
      <c r="D60" s="33" t="str">
        <f>_xlfn.XLOOKUP(TablaSTOCKINV[[#This Row],[SKU]],TablaINVENTARIO[SKU],TablaINVENTARIO[CATEGORIA])</f>
        <v xml:space="preserve">SOLDADURA </v>
      </c>
      <c r="E60" s="33" t="str">
        <f>_xlfn.XLOOKUP(TablaSTOCKINV[[#This Row],[SKU]],TablaINVENTARIO[SKU],TablaINVENTARIO[SUBCATEGORIA])</f>
        <v xml:space="preserve">EQUIPO DE PROTECCIÓN  </v>
      </c>
      <c r="F60" s="33" t="str">
        <f>_xlfn.XLOOKUP(TablaSTOCKINV[[#This Row],[SKU]],TablaINVENTARIO[SKU],TablaINVENTARIO[ESTADO])</f>
        <v>NUEVO</v>
      </c>
      <c r="G60" s="33" t="str">
        <f>_xlfn.XLOOKUP(TablaSTOCKINV[[#This Row],[SKU]],TablaINVENTARIO[SKU],TablaINVENTARIO[MEDIDA])</f>
        <v>UND</v>
      </c>
      <c r="H60" s="33" t="str">
        <f>_xlfn.XLOOKUP(TablaSTOCKINV[[#This Row],[SKU]],TablaINVENTARIO[SKU],TablaINVENTARIO[SERIAL])</f>
        <v>N/A</v>
      </c>
      <c r="I60" s="34" t="str">
        <f>_xlfn.XLOOKUP(TablaSTOCKINV[[#This Row],[SKU]],TablaINVENTARIO[SKU],TablaINVENTARIO[ALMACEN])</f>
        <v>ALMACEN PRINCIPAL</v>
      </c>
      <c r="J60" s="34" t="str">
        <f>_xlfn.XLOOKUP(TablaSTOCKINV[[#This Row],[SKU]],TablaINVENTARIO[SKU],TablaINVENTARIO[UBICACION])</f>
        <v>L2</v>
      </c>
      <c r="K60" s="34" t="str">
        <f>_xlfn.XLOOKUP(TablaSTOCKINV[[#This Row],[SKU]],TablaINVENTARIO[SKU],TablaINVENTARIO[DPTO RESPONSABLE])</f>
        <v>MANTENIMIENTO</v>
      </c>
      <c r="L60" s="36">
        <f>_xlfn.XLOOKUP(TablaSTOCKINV[[#This Row],[SKU]],TablaINVENTARIO[SKU],TablaINVENTARIO[RANGO MIN])</f>
        <v>0</v>
      </c>
      <c r="M60" s="34" cm="1">
        <f t="array" ref="M60">_xlfn.IFS(TablaSTOCKINV[[#This Row],[CANT. TOTAL]]&lt;=0,1,TablaSTOCKINV[[#This Row],[CANT. TOTAL]]&lt;=TablaSTOCKINV[[#This Row],[MIN]],2,TablaSTOCKINV[[#This Row],[CANT. TOTAL]]&gt;TablaSTOCKINV[[#This Row],[MIN]],3)</f>
        <v>3</v>
      </c>
      <c r="N60" s="34">
        <f>TablaSTOCKINV[[#This Row],[ENTRADAS]]-TablaSTOCKINV[[#This Row],[SALIDAS]]</f>
        <v>1</v>
      </c>
      <c r="O60" s="35">
        <f>SUMIFS(TablaENTRADA[CANT],TablaENTRADA[SKU],TablaSTOCKINV[[#This Row],[SKU]])</f>
        <v>1</v>
      </c>
      <c r="P60" s="35">
        <f>SUMIFS(TablaSALIDA[CANT],TablaSALIDA[SKU],TablaSTOCKINV[[#This Row],[SKU]])</f>
        <v>0</v>
      </c>
      <c r="Q60" s="34">
        <f>_xlfn.XLOOKUP(TablaSTOCKINV[[#This Row],[SKU]],TablaINVENTARIO[SKU],TablaINVENTARIO[PRECIO])</f>
        <v>0</v>
      </c>
      <c r="R60" s="34">
        <f>TablaSTOCKINV[[#This Row],[P.UNITARIO]]*TablaSTOCKINV[[#This Row],[CANT. TOTAL]]</f>
        <v>0</v>
      </c>
      <c r="S60" s="44">
        <f>_xlfn.XLOOKUP(TablaSTOCKINV[[#This Row],[SKU]],TablaINVENTARIO[SKU],TablaINVENTARIO[FECHA INGRESO])</f>
        <v>46023</v>
      </c>
      <c r="T60" s="44">
        <f>_xlfn.XLOOKUP(TablaSTOCKINV[[#This Row],[SKU]],TablaENTRADA[SKU],TablaENTRADA[FECHA],,0,-1)</f>
        <v>46023</v>
      </c>
      <c r="U60" s="46" t="str">
        <f>IFERROR((_xlfn.XLOOKUP(TablaSTOCKINV[[#This Row],[SKU]],TablaSALIDA[SKU],TablaSALIDA[FECHA],,0,-1))," " )</f>
        <v xml:space="preserve"> </v>
      </c>
    </row>
    <row r="61" spans="1:21" x14ac:dyDescent="0.3">
      <c r="A61" s="27" t="s">
        <v>2245</v>
      </c>
      <c r="B61" s="32" t="str">
        <f>_xlfn.XLOOKUP(TablaSTOCKINV[[#This Row],[SKU]],TablaINVENTARIO[SKU],TablaINVENTARIO[DESCRIPCION])</f>
        <v xml:space="preserve">GUANTES DE CARNAZA PARA SOLDADOR </v>
      </c>
      <c r="C61" s="32" t="str">
        <f>_xlfn.XLOOKUP(TablaSTOCKINV[[#This Row],[SKU]],TablaINVENTARIO[SKU],TablaINVENTARIO[MARCA])</f>
        <v>N/A</v>
      </c>
      <c r="D61" s="33" t="str">
        <f>_xlfn.XLOOKUP(TablaSTOCKINV[[#This Row],[SKU]],TablaINVENTARIO[SKU],TablaINVENTARIO[CATEGORIA])</f>
        <v xml:space="preserve">SOLDADURA </v>
      </c>
      <c r="E61" s="33" t="str">
        <f>_xlfn.XLOOKUP(TablaSTOCKINV[[#This Row],[SKU]],TablaINVENTARIO[SKU],TablaINVENTARIO[SUBCATEGORIA])</f>
        <v xml:space="preserve">EQUIPO DE PROTECCIÓN  </v>
      </c>
      <c r="F61" s="33" t="str">
        <f>_xlfn.XLOOKUP(TablaSTOCKINV[[#This Row],[SKU]],TablaINVENTARIO[SKU],TablaINVENTARIO[ESTADO])</f>
        <v>NUEVO</v>
      </c>
      <c r="G61" s="33" t="str">
        <f>_xlfn.XLOOKUP(TablaSTOCKINV[[#This Row],[SKU]],TablaINVENTARIO[SKU],TablaINVENTARIO[MEDIDA])</f>
        <v>PAR</v>
      </c>
      <c r="H61" s="33" t="str">
        <f>_xlfn.XLOOKUP(TablaSTOCKINV[[#This Row],[SKU]],TablaINVENTARIO[SKU],TablaINVENTARIO[SERIAL])</f>
        <v>N/A</v>
      </c>
      <c r="I61" s="34" t="str">
        <f>_xlfn.XLOOKUP(TablaSTOCKINV[[#This Row],[SKU]],TablaINVENTARIO[SKU],TablaINVENTARIO[ALMACEN])</f>
        <v>ALMACEN PRINCIPAL</v>
      </c>
      <c r="J61" s="34" t="str">
        <f>_xlfn.XLOOKUP(TablaSTOCKINV[[#This Row],[SKU]],TablaINVENTARIO[SKU],TablaINVENTARIO[UBICACION])</f>
        <v>G1</v>
      </c>
      <c r="K61" s="34" t="str">
        <f>_xlfn.XLOOKUP(TablaSTOCKINV[[#This Row],[SKU]],TablaINVENTARIO[SKU],TablaINVENTARIO[DPTO RESPONSABLE])</f>
        <v>MANTENIMIENTO</v>
      </c>
      <c r="L61" s="36">
        <f>_xlfn.XLOOKUP(TablaSTOCKINV[[#This Row],[SKU]],TablaINVENTARIO[SKU],TablaINVENTARIO[RANGO MIN])</f>
        <v>0</v>
      </c>
      <c r="M61" s="34" cm="1">
        <f t="array" ref="M61">_xlfn.IFS(TablaSTOCKINV[[#This Row],[CANT. TOTAL]]&lt;=0,1,TablaSTOCKINV[[#This Row],[CANT. TOTAL]]&lt;=TablaSTOCKINV[[#This Row],[MIN]],2,TablaSTOCKINV[[#This Row],[CANT. TOTAL]]&gt;TablaSTOCKINV[[#This Row],[MIN]],3)</f>
        <v>3</v>
      </c>
      <c r="N61" s="34">
        <f>TablaSTOCKINV[[#This Row],[ENTRADAS]]-TablaSTOCKINV[[#This Row],[SALIDAS]]</f>
        <v>4</v>
      </c>
      <c r="O61" s="35">
        <f>SUMIFS(TablaENTRADA[CANT],TablaENTRADA[SKU],TablaSTOCKINV[[#This Row],[SKU]])</f>
        <v>4</v>
      </c>
      <c r="P61" s="35">
        <f>SUMIFS(TablaSALIDA[CANT],TablaSALIDA[SKU],TablaSTOCKINV[[#This Row],[SKU]])</f>
        <v>0</v>
      </c>
      <c r="Q61" s="34">
        <f>_xlfn.XLOOKUP(TablaSTOCKINV[[#This Row],[SKU]],TablaINVENTARIO[SKU],TablaINVENTARIO[PRECIO])</f>
        <v>0</v>
      </c>
      <c r="R61" s="34">
        <f>TablaSTOCKINV[[#This Row],[P.UNITARIO]]*TablaSTOCKINV[[#This Row],[CANT. TOTAL]]</f>
        <v>0</v>
      </c>
      <c r="S61" s="44">
        <f>_xlfn.XLOOKUP(TablaSTOCKINV[[#This Row],[SKU]],TablaINVENTARIO[SKU],TablaINVENTARIO[FECHA INGRESO])</f>
        <v>46023</v>
      </c>
      <c r="T61" s="44">
        <f>_xlfn.XLOOKUP(TablaSTOCKINV[[#This Row],[SKU]],TablaENTRADA[SKU],TablaENTRADA[FECHA],,0,-1)</f>
        <v>46023</v>
      </c>
      <c r="U61" s="46" t="str">
        <f>IFERROR((_xlfn.XLOOKUP(TablaSTOCKINV[[#This Row],[SKU]],TablaSALIDA[SKU],TablaSALIDA[FECHA],,0,-1))," " )</f>
        <v xml:space="preserve"> </v>
      </c>
    </row>
    <row r="62" spans="1:21" x14ac:dyDescent="0.3">
      <c r="A62" s="27" t="s">
        <v>2398</v>
      </c>
      <c r="B62" s="32" t="str">
        <f>_xlfn.XLOOKUP(TablaSTOCKINV[[#This Row],[SKU]],TablaINVENTARIO[SKU],TablaINVENTARIO[DESCRIPCION])</f>
        <v xml:space="preserve">SOLDADURA LIQUIDA PVC 8 OZ </v>
      </c>
      <c r="C62" s="32" t="str">
        <f>_xlfn.XLOOKUP(TablaSTOCKINV[[#This Row],[SKU]],TablaINVENTARIO[SKU],TablaINVENTARIO[MARCA])</f>
        <v>TUBRICA</v>
      </c>
      <c r="D62" s="33" t="str">
        <f>_xlfn.XLOOKUP(TablaSTOCKINV[[#This Row],[SKU]],TablaINVENTARIO[SKU],TablaINVENTARIO[CATEGORIA])</f>
        <v xml:space="preserve">SOLDADURA </v>
      </c>
      <c r="E62" s="33" t="str">
        <f>_xlfn.XLOOKUP(TablaSTOCKINV[[#This Row],[SKU]],TablaINVENTARIO[SKU],TablaINVENTARIO[SUBCATEGORIA])</f>
        <v xml:space="preserve">MATERIAL DE APORTE </v>
      </c>
      <c r="F62" s="33" t="str">
        <f>_xlfn.XLOOKUP(TablaSTOCKINV[[#This Row],[SKU]],TablaINVENTARIO[SKU],TablaINVENTARIO[ESTADO])</f>
        <v>USADO</v>
      </c>
      <c r="G62" s="33" t="str">
        <f>_xlfn.XLOOKUP(TablaSTOCKINV[[#This Row],[SKU]],TablaINVENTARIO[SKU],TablaINVENTARIO[MEDIDA])</f>
        <v>UND</v>
      </c>
      <c r="H62" s="33" t="str">
        <f>_xlfn.XLOOKUP(TablaSTOCKINV[[#This Row],[SKU]],TablaINVENTARIO[SKU],TablaINVENTARIO[SERIAL])</f>
        <v>N/A</v>
      </c>
      <c r="I62" s="34" t="str">
        <f>_xlfn.XLOOKUP(TablaSTOCKINV[[#This Row],[SKU]],TablaINVENTARIO[SKU],TablaINVENTARIO[ALMACEN])</f>
        <v>ALMACEN PRINCIPAL</v>
      </c>
      <c r="J62" s="34" t="str">
        <f>_xlfn.XLOOKUP(TablaSTOCKINV[[#This Row],[SKU]],TablaINVENTARIO[SKU],TablaINVENTARIO[UBICACION])</f>
        <v>E2-2</v>
      </c>
      <c r="K62" s="34" t="str">
        <f>_xlfn.XLOOKUP(TablaSTOCKINV[[#This Row],[SKU]],TablaINVENTARIO[SKU],TablaINVENTARIO[DPTO RESPONSABLE])</f>
        <v xml:space="preserve">MANTENIMIENTO </v>
      </c>
      <c r="L62" s="36">
        <f>_xlfn.XLOOKUP(TablaSTOCKINV[[#This Row],[SKU]],TablaINVENTARIO[SKU],TablaINVENTARIO[RANGO MIN])</f>
        <v>0</v>
      </c>
      <c r="M62" s="34" cm="1">
        <f t="array" ref="M62">_xlfn.IFS(TablaSTOCKINV[[#This Row],[CANT. TOTAL]]&lt;=0,1,TablaSTOCKINV[[#This Row],[CANT. TOTAL]]&lt;=TablaSTOCKINV[[#This Row],[MIN]],2,TablaSTOCKINV[[#This Row],[CANT. TOTAL]]&gt;TablaSTOCKINV[[#This Row],[MIN]],3)</f>
        <v>3</v>
      </c>
      <c r="N62" s="34">
        <f>TablaSTOCKINV[[#This Row],[ENTRADAS]]-TablaSTOCKINV[[#This Row],[SALIDAS]]</f>
        <v>1</v>
      </c>
      <c r="O62" s="35">
        <f>SUMIFS(TablaENTRADA[CANT],TablaENTRADA[SKU],TablaSTOCKINV[[#This Row],[SKU]])</f>
        <v>1</v>
      </c>
      <c r="P62" s="35">
        <f>SUMIFS(TablaSALIDA[CANT],TablaSALIDA[SKU],TablaSTOCKINV[[#This Row],[SKU]])</f>
        <v>0</v>
      </c>
      <c r="Q62" s="34">
        <f>_xlfn.XLOOKUP(TablaSTOCKINV[[#This Row],[SKU]],TablaINVENTARIO[SKU],TablaINVENTARIO[PRECIO])</f>
        <v>0</v>
      </c>
      <c r="R62" s="34">
        <f>TablaSTOCKINV[[#This Row],[P.UNITARIO]]*TablaSTOCKINV[[#This Row],[CANT. TOTAL]]</f>
        <v>0</v>
      </c>
      <c r="S62" s="44">
        <f>_xlfn.XLOOKUP(TablaSTOCKINV[[#This Row],[SKU]],TablaINVENTARIO[SKU],TablaINVENTARIO[FECHA INGRESO])</f>
        <v>46023</v>
      </c>
      <c r="T62" s="44">
        <f>_xlfn.XLOOKUP(TablaSTOCKINV[[#This Row],[SKU]],TablaENTRADA[SKU],TablaENTRADA[FECHA],,0,-1)</f>
        <v>46023</v>
      </c>
      <c r="U62" s="46" t="str">
        <f>IFERROR((_xlfn.XLOOKUP(TablaSTOCKINV[[#This Row],[SKU]],TablaSALIDA[SKU],TablaSALIDA[FECHA],,0,-1))," " )</f>
        <v xml:space="preserve"> </v>
      </c>
    </row>
    <row r="63" spans="1:21" x14ac:dyDescent="0.3">
      <c r="A63" s="27" t="s">
        <v>2403</v>
      </c>
      <c r="B63" s="32" t="str">
        <f>_xlfn.XLOOKUP(TablaSTOCKINV[[#This Row],[SKU]],TablaINVENTARIO[SKU],TablaINVENTARIO[DESCRIPCION])</f>
        <v xml:space="preserve">SOLDADURA LIQUIDA PVC 2 OZ </v>
      </c>
      <c r="C63" s="32" t="str">
        <f>_xlfn.XLOOKUP(TablaSTOCKINV[[#This Row],[SKU]],TablaINVENTARIO[SKU],TablaINVENTARIO[MARCA])</f>
        <v>TUBRICA</v>
      </c>
      <c r="D63" s="33" t="str">
        <f>_xlfn.XLOOKUP(TablaSTOCKINV[[#This Row],[SKU]],TablaINVENTARIO[SKU],TablaINVENTARIO[CATEGORIA])</f>
        <v xml:space="preserve">SOLDADURA </v>
      </c>
      <c r="E63" s="33" t="str">
        <f>_xlfn.XLOOKUP(TablaSTOCKINV[[#This Row],[SKU]],TablaINVENTARIO[SKU],TablaINVENTARIO[SUBCATEGORIA])</f>
        <v xml:space="preserve">MATERIAL DE APORTE </v>
      </c>
      <c r="F63" s="33" t="str">
        <f>_xlfn.XLOOKUP(TablaSTOCKINV[[#This Row],[SKU]],TablaINVENTARIO[SKU],TablaINVENTARIO[ESTADO])</f>
        <v>USADO</v>
      </c>
      <c r="G63" s="33" t="str">
        <f>_xlfn.XLOOKUP(TablaSTOCKINV[[#This Row],[SKU]],TablaINVENTARIO[SKU],TablaINVENTARIO[MEDIDA])</f>
        <v>UND</v>
      </c>
      <c r="H63" s="33" t="str">
        <f>_xlfn.XLOOKUP(TablaSTOCKINV[[#This Row],[SKU]],TablaINVENTARIO[SKU],TablaINVENTARIO[SERIAL])</f>
        <v>N/A</v>
      </c>
      <c r="I63" s="34" t="str">
        <f>_xlfn.XLOOKUP(TablaSTOCKINV[[#This Row],[SKU]],TablaINVENTARIO[SKU],TablaINVENTARIO[ALMACEN])</f>
        <v>ALMACEN PRINCIPAL</v>
      </c>
      <c r="J63" s="34" t="str">
        <f>_xlfn.XLOOKUP(TablaSTOCKINV[[#This Row],[SKU]],TablaINVENTARIO[SKU],TablaINVENTARIO[UBICACION])</f>
        <v>E2-2</v>
      </c>
      <c r="K63" s="34" t="str">
        <f>_xlfn.XLOOKUP(TablaSTOCKINV[[#This Row],[SKU]],TablaINVENTARIO[SKU],TablaINVENTARIO[DPTO RESPONSABLE])</f>
        <v xml:space="preserve">MANTENIMIENTO </v>
      </c>
      <c r="L63" s="36">
        <f>_xlfn.XLOOKUP(TablaSTOCKINV[[#This Row],[SKU]],TablaINVENTARIO[SKU],TablaINVENTARIO[RANGO MIN])</f>
        <v>0</v>
      </c>
      <c r="M63" s="34" cm="1">
        <f t="array" ref="M63">_xlfn.IFS(TablaSTOCKINV[[#This Row],[CANT. TOTAL]]&lt;=0,1,TablaSTOCKINV[[#This Row],[CANT. TOTAL]]&lt;=TablaSTOCKINV[[#This Row],[MIN]],2,TablaSTOCKINV[[#This Row],[CANT. TOTAL]]&gt;TablaSTOCKINV[[#This Row],[MIN]],3)</f>
        <v>3</v>
      </c>
      <c r="N63" s="34">
        <f>TablaSTOCKINV[[#This Row],[ENTRADAS]]-TablaSTOCKINV[[#This Row],[SALIDAS]]</f>
        <v>2</v>
      </c>
      <c r="O63" s="35">
        <f>SUMIFS(TablaENTRADA[CANT],TablaENTRADA[SKU],TablaSTOCKINV[[#This Row],[SKU]])</f>
        <v>2</v>
      </c>
      <c r="P63" s="35">
        <f>SUMIFS(TablaSALIDA[CANT],TablaSALIDA[SKU],TablaSTOCKINV[[#This Row],[SKU]])</f>
        <v>0</v>
      </c>
      <c r="Q63" s="34">
        <f>_xlfn.XLOOKUP(TablaSTOCKINV[[#This Row],[SKU]],TablaINVENTARIO[SKU],TablaINVENTARIO[PRECIO])</f>
        <v>0</v>
      </c>
      <c r="R63" s="34">
        <f>TablaSTOCKINV[[#This Row],[P.UNITARIO]]*TablaSTOCKINV[[#This Row],[CANT. TOTAL]]</f>
        <v>0</v>
      </c>
      <c r="S63" s="44">
        <f>_xlfn.XLOOKUP(TablaSTOCKINV[[#This Row],[SKU]],TablaINVENTARIO[SKU],TablaINVENTARIO[FECHA INGRESO])</f>
        <v>46023</v>
      </c>
      <c r="T63" s="44">
        <f>_xlfn.XLOOKUP(TablaSTOCKINV[[#This Row],[SKU]],TablaENTRADA[SKU],TablaENTRADA[FECHA],,0,-1)</f>
        <v>46023</v>
      </c>
      <c r="U63" s="46" t="str">
        <f>IFERROR((_xlfn.XLOOKUP(TablaSTOCKINV[[#This Row],[SKU]],TablaSALIDA[SKU],TablaSALIDA[FECHA],,0,-1))," " )</f>
        <v xml:space="preserve"> </v>
      </c>
    </row>
    <row r="64" spans="1:21" x14ac:dyDescent="0.3">
      <c r="A64" s="27" t="s">
        <v>2405</v>
      </c>
      <c r="B64" s="32" t="str">
        <f>_xlfn.XLOOKUP(TablaSTOCKINV[[#This Row],[SKU]],TablaINVENTARIO[SKU],TablaINVENTARIO[DESCRIPCION])</f>
        <v xml:space="preserve">VIDRIO PARA CARETA DE SOLDADOR OSCURO </v>
      </c>
      <c r="C64" s="32" t="str">
        <f>_xlfn.XLOOKUP(TablaSTOCKINV[[#This Row],[SKU]],TablaINVENTARIO[SKU],TablaINVENTARIO[MARCA])</f>
        <v>N/A</v>
      </c>
      <c r="D64" s="33" t="str">
        <f>_xlfn.XLOOKUP(TablaSTOCKINV[[#This Row],[SKU]],TablaINVENTARIO[SKU],TablaINVENTARIO[CATEGORIA])</f>
        <v xml:space="preserve">SOLDADURA </v>
      </c>
      <c r="E64" s="33" t="str">
        <f>_xlfn.XLOOKUP(TablaSTOCKINV[[#This Row],[SKU]],TablaINVENTARIO[SKU],TablaINVENTARIO[SUBCATEGORIA])</f>
        <v xml:space="preserve">EQUIPO DE PROTECCIÓN  </v>
      </c>
      <c r="F64" s="33" t="str">
        <f>_xlfn.XLOOKUP(TablaSTOCKINV[[#This Row],[SKU]],TablaINVENTARIO[SKU],TablaINVENTARIO[ESTADO])</f>
        <v xml:space="preserve">NUEVO </v>
      </c>
      <c r="G64" s="33" t="str">
        <f>_xlfn.XLOOKUP(TablaSTOCKINV[[#This Row],[SKU]],TablaINVENTARIO[SKU],TablaINVENTARIO[MEDIDA])</f>
        <v>UND</v>
      </c>
      <c r="H64" s="33" t="str">
        <f>_xlfn.XLOOKUP(TablaSTOCKINV[[#This Row],[SKU]],TablaINVENTARIO[SKU],TablaINVENTARIO[SERIAL])</f>
        <v>N/A</v>
      </c>
      <c r="I64" s="34" t="str">
        <f>_xlfn.XLOOKUP(TablaSTOCKINV[[#This Row],[SKU]],TablaINVENTARIO[SKU],TablaINVENTARIO[ALMACEN])</f>
        <v>ALMACEN PRINCIPAL</v>
      </c>
      <c r="J64" s="34" t="str">
        <f>_xlfn.XLOOKUP(TablaSTOCKINV[[#This Row],[SKU]],TablaINVENTARIO[SKU],TablaINVENTARIO[UBICACION])</f>
        <v>E2-2</v>
      </c>
      <c r="K64" s="34" t="str">
        <f>_xlfn.XLOOKUP(TablaSTOCKINV[[#This Row],[SKU]],TablaINVENTARIO[SKU],TablaINVENTARIO[DPTO RESPONSABLE])</f>
        <v xml:space="preserve">MANTENIMIENTO </v>
      </c>
      <c r="L64" s="36">
        <f>_xlfn.XLOOKUP(TablaSTOCKINV[[#This Row],[SKU]],TablaINVENTARIO[SKU],TablaINVENTARIO[RANGO MIN])</f>
        <v>0</v>
      </c>
      <c r="M64" s="34" cm="1">
        <f t="array" ref="M64">_xlfn.IFS(TablaSTOCKINV[[#This Row],[CANT. TOTAL]]&lt;=0,1,TablaSTOCKINV[[#This Row],[CANT. TOTAL]]&lt;=TablaSTOCKINV[[#This Row],[MIN]],2,TablaSTOCKINV[[#This Row],[CANT. TOTAL]]&gt;TablaSTOCKINV[[#This Row],[MIN]],3)</f>
        <v>3</v>
      </c>
      <c r="N64" s="34">
        <f>TablaSTOCKINV[[#This Row],[ENTRADAS]]-TablaSTOCKINV[[#This Row],[SALIDAS]]</f>
        <v>72</v>
      </c>
      <c r="O64" s="35">
        <f>SUMIFS(TablaENTRADA[CANT],TablaENTRADA[SKU],TablaSTOCKINV[[#This Row],[SKU]])</f>
        <v>72</v>
      </c>
      <c r="P64" s="35">
        <f>SUMIFS(TablaSALIDA[CANT],TablaSALIDA[SKU],TablaSTOCKINV[[#This Row],[SKU]])</f>
        <v>0</v>
      </c>
      <c r="Q64" s="34">
        <f>_xlfn.XLOOKUP(TablaSTOCKINV[[#This Row],[SKU]],TablaINVENTARIO[SKU],TablaINVENTARIO[PRECIO])</f>
        <v>0</v>
      </c>
      <c r="R64" s="34">
        <f>TablaSTOCKINV[[#This Row],[P.UNITARIO]]*TablaSTOCKINV[[#This Row],[CANT. TOTAL]]</f>
        <v>0</v>
      </c>
      <c r="S64" s="44">
        <f>_xlfn.XLOOKUP(TablaSTOCKINV[[#This Row],[SKU]],TablaINVENTARIO[SKU],TablaINVENTARIO[FECHA INGRESO])</f>
        <v>46023</v>
      </c>
      <c r="T64" s="44">
        <f>_xlfn.XLOOKUP(TablaSTOCKINV[[#This Row],[SKU]],TablaENTRADA[SKU],TablaENTRADA[FECHA],,0,-1)</f>
        <v>46023</v>
      </c>
      <c r="U64" s="46" t="str">
        <f>IFERROR((_xlfn.XLOOKUP(TablaSTOCKINV[[#This Row],[SKU]],TablaSALIDA[SKU],TablaSALIDA[FECHA],,0,-1))," " )</f>
        <v xml:space="preserve"> </v>
      </c>
    </row>
    <row r="65" spans="1:21" x14ac:dyDescent="0.3">
      <c r="A65" s="27" t="s">
        <v>2407</v>
      </c>
      <c r="B65" s="32" t="str">
        <f>_xlfn.XLOOKUP(TablaSTOCKINV[[#This Row],[SKU]],TablaINVENTARIO[SKU],TablaINVENTARIO[DESCRIPCION])</f>
        <v>BORA DE BRONZE</v>
      </c>
      <c r="C65" s="32" t="str">
        <f>_xlfn.XLOOKUP(TablaSTOCKINV[[#This Row],[SKU]],TablaINVENTARIO[SKU],TablaINVENTARIO[MARCA])</f>
        <v>GAS FLUX</v>
      </c>
      <c r="D65" s="33" t="str">
        <f>_xlfn.XLOOKUP(TablaSTOCKINV[[#This Row],[SKU]],TablaINVENTARIO[SKU],TablaINVENTARIO[CATEGORIA])</f>
        <v xml:space="preserve">SOLDADURA </v>
      </c>
      <c r="E65" s="33" t="str">
        <f>_xlfn.XLOOKUP(TablaSTOCKINV[[#This Row],[SKU]],TablaINVENTARIO[SKU],TablaINVENTARIO[SUBCATEGORIA])</f>
        <v xml:space="preserve">MATERIAL DE APORTE </v>
      </c>
      <c r="F65" s="33" t="str">
        <f>_xlfn.XLOOKUP(TablaSTOCKINV[[#This Row],[SKU]],TablaINVENTARIO[SKU],TablaINVENTARIO[ESTADO])</f>
        <v>USADO</v>
      </c>
      <c r="G65" s="33" t="str">
        <f>_xlfn.XLOOKUP(TablaSTOCKINV[[#This Row],[SKU]],TablaINVENTARIO[SKU],TablaINVENTARIO[MEDIDA])</f>
        <v>UND</v>
      </c>
      <c r="H65" s="33" t="str">
        <f>_xlfn.XLOOKUP(TablaSTOCKINV[[#This Row],[SKU]],TablaINVENTARIO[SKU],TablaINVENTARIO[SERIAL])</f>
        <v>N/A</v>
      </c>
      <c r="I65" s="34" t="str">
        <f>_xlfn.XLOOKUP(TablaSTOCKINV[[#This Row],[SKU]],TablaINVENTARIO[SKU],TablaINVENTARIO[ALMACEN])</f>
        <v>ALMACEN PRINCIPAL</v>
      </c>
      <c r="J65" s="34" t="str">
        <f>_xlfn.XLOOKUP(TablaSTOCKINV[[#This Row],[SKU]],TablaINVENTARIO[SKU],TablaINVENTARIO[UBICACION])</f>
        <v>E4-1</v>
      </c>
      <c r="K65" s="34" t="str">
        <f>_xlfn.XLOOKUP(TablaSTOCKINV[[#This Row],[SKU]],TablaINVENTARIO[SKU],TablaINVENTARIO[DPTO RESPONSABLE])</f>
        <v xml:space="preserve">MANTENIMIENTO </v>
      </c>
      <c r="L65" s="36">
        <f>_xlfn.XLOOKUP(TablaSTOCKINV[[#This Row],[SKU]],TablaINVENTARIO[SKU],TablaINVENTARIO[RANGO MIN])</f>
        <v>0</v>
      </c>
      <c r="M65" s="34" cm="1">
        <f t="array" ref="M65">_xlfn.IFS(TablaSTOCKINV[[#This Row],[CANT. TOTAL]]&lt;=0,1,TablaSTOCKINV[[#This Row],[CANT. TOTAL]]&lt;=TablaSTOCKINV[[#This Row],[MIN]],2,TablaSTOCKINV[[#This Row],[CANT. TOTAL]]&gt;TablaSTOCKINV[[#This Row],[MIN]],3)</f>
        <v>3</v>
      </c>
      <c r="N65" s="34">
        <f>TablaSTOCKINV[[#This Row],[ENTRADAS]]-TablaSTOCKINV[[#This Row],[SALIDAS]]</f>
        <v>1</v>
      </c>
      <c r="O65" s="35">
        <f>SUMIFS(TablaENTRADA[CANT],TablaENTRADA[SKU],TablaSTOCKINV[[#This Row],[SKU]])</f>
        <v>1</v>
      </c>
      <c r="P65" s="35">
        <f>SUMIFS(TablaSALIDA[CANT],TablaSALIDA[SKU],TablaSTOCKINV[[#This Row],[SKU]])</f>
        <v>0</v>
      </c>
      <c r="Q65" s="34">
        <f>_xlfn.XLOOKUP(TablaSTOCKINV[[#This Row],[SKU]],TablaINVENTARIO[SKU],TablaINVENTARIO[PRECIO])</f>
        <v>0</v>
      </c>
      <c r="R65" s="34">
        <f>TablaSTOCKINV[[#This Row],[P.UNITARIO]]*TablaSTOCKINV[[#This Row],[CANT. TOTAL]]</f>
        <v>0</v>
      </c>
      <c r="S65" s="44">
        <f>_xlfn.XLOOKUP(TablaSTOCKINV[[#This Row],[SKU]],TablaINVENTARIO[SKU],TablaINVENTARIO[FECHA INGRESO])</f>
        <v>46023</v>
      </c>
      <c r="T65" s="44">
        <f>_xlfn.XLOOKUP(TablaSTOCKINV[[#This Row],[SKU]],TablaENTRADA[SKU],TablaENTRADA[FECHA],,0,-1)</f>
        <v>46023</v>
      </c>
      <c r="U65" s="46" t="str">
        <f>IFERROR((_xlfn.XLOOKUP(TablaSTOCKINV[[#This Row],[SKU]],TablaSALIDA[SKU],TablaSALIDA[FECHA],,0,-1))," " )</f>
        <v xml:space="preserve"> </v>
      </c>
    </row>
    <row r="66" spans="1:21" x14ac:dyDescent="0.3">
      <c r="A66" s="27" t="s">
        <v>2411</v>
      </c>
      <c r="B66" s="32" t="str">
        <f>_xlfn.XLOOKUP(TablaSTOCKINV[[#This Row],[SKU]],TablaINVENTARIO[SKU],TablaINVENTARIO[DESCRIPCION])</f>
        <v xml:space="preserve">SELLADOR COMPUESTO EN POLVO </v>
      </c>
      <c r="C66" s="32" t="str">
        <f>_xlfn.XLOOKUP(TablaSTOCKINV[[#This Row],[SKU]],TablaINVENTARIO[SKU],TablaINVENTARIO[MARCA])</f>
        <v>COOPER</v>
      </c>
      <c r="D66" s="33" t="str">
        <f>_xlfn.XLOOKUP(TablaSTOCKINV[[#This Row],[SKU]],TablaINVENTARIO[SKU],TablaINVENTARIO[CATEGORIA])</f>
        <v xml:space="preserve">SOLDADURA </v>
      </c>
      <c r="E66" s="33" t="str">
        <f>_xlfn.XLOOKUP(TablaSTOCKINV[[#This Row],[SKU]],TablaINVENTARIO[SKU],TablaINVENTARIO[SUBCATEGORIA])</f>
        <v xml:space="preserve">MATERIAL DE APORTE </v>
      </c>
      <c r="F66" s="33" t="str">
        <f>_xlfn.XLOOKUP(TablaSTOCKINV[[#This Row],[SKU]],TablaINVENTARIO[SKU],TablaINVENTARIO[ESTADO])</f>
        <v xml:space="preserve">NUEVO </v>
      </c>
      <c r="G66" s="33" t="str">
        <f>_xlfn.XLOOKUP(TablaSTOCKINV[[#This Row],[SKU]],TablaINVENTARIO[SKU],TablaINVENTARIO[MEDIDA])</f>
        <v>UND</v>
      </c>
      <c r="H66" s="33" t="str">
        <f>_xlfn.XLOOKUP(TablaSTOCKINV[[#This Row],[SKU]],TablaINVENTARIO[SKU],TablaINVENTARIO[SERIAL])</f>
        <v>N/A</v>
      </c>
      <c r="I66" s="34" t="str">
        <f>_xlfn.XLOOKUP(TablaSTOCKINV[[#This Row],[SKU]],TablaINVENTARIO[SKU],TablaINVENTARIO[ALMACEN])</f>
        <v>ALMACEN PRINCIPAL</v>
      </c>
      <c r="J66" s="34" t="str">
        <f>_xlfn.XLOOKUP(TablaSTOCKINV[[#This Row],[SKU]],TablaINVENTARIO[SKU],TablaINVENTARIO[UBICACION])</f>
        <v>E4-1</v>
      </c>
      <c r="K66" s="34" t="str">
        <f>_xlfn.XLOOKUP(TablaSTOCKINV[[#This Row],[SKU]],TablaINVENTARIO[SKU],TablaINVENTARIO[DPTO RESPONSABLE])</f>
        <v xml:space="preserve">MANTENIMIENTO </v>
      </c>
      <c r="L66" s="36">
        <f>_xlfn.XLOOKUP(TablaSTOCKINV[[#This Row],[SKU]],TablaINVENTARIO[SKU],TablaINVENTARIO[RANGO MIN])</f>
        <v>0</v>
      </c>
      <c r="M66" s="34" cm="1">
        <f t="array" ref="M66">_xlfn.IFS(TablaSTOCKINV[[#This Row],[CANT. TOTAL]]&lt;=0,1,TablaSTOCKINV[[#This Row],[CANT. TOTAL]]&lt;=TablaSTOCKINV[[#This Row],[MIN]],2,TablaSTOCKINV[[#This Row],[CANT. TOTAL]]&gt;TablaSTOCKINV[[#This Row],[MIN]],3)</f>
        <v>3</v>
      </c>
      <c r="N66" s="34">
        <f>TablaSTOCKINV[[#This Row],[ENTRADAS]]-TablaSTOCKINV[[#This Row],[SALIDAS]]</f>
        <v>2</v>
      </c>
      <c r="O66" s="35">
        <f>SUMIFS(TablaENTRADA[CANT],TablaENTRADA[SKU],TablaSTOCKINV[[#This Row],[SKU]])</f>
        <v>2</v>
      </c>
      <c r="P66" s="35">
        <f>SUMIFS(TablaSALIDA[CANT],TablaSALIDA[SKU],TablaSTOCKINV[[#This Row],[SKU]])</f>
        <v>0</v>
      </c>
      <c r="Q66" s="34">
        <f>_xlfn.XLOOKUP(TablaSTOCKINV[[#This Row],[SKU]],TablaINVENTARIO[SKU],TablaINVENTARIO[PRECIO])</f>
        <v>0</v>
      </c>
      <c r="R66" s="34">
        <f>TablaSTOCKINV[[#This Row],[P.UNITARIO]]*TablaSTOCKINV[[#This Row],[CANT. TOTAL]]</f>
        <v>0</v>
      </c>
      <c r="S66" s="44">
        <f>_xlfn.XLOOKUP(TablaSTOCKINV[[#This Row],[SKU]],TablaINVENTARIO[SKU],TablaINVENTARIO[FECHA INGRESO])</f>
        <v>46023</v>
      </c>
      <c r="T66" s="44">
        <f>_xlfn.XLOOKUP(TablaSTOCKINV[[#This Row],[SKU]],TablaENTRADA[SKU],TablaENTRADA[FECHA],,0,-1)</f>
        <v>46023</v>
      </c>
      <c r="U66" s="46" t="str">
        <f>IFERROR((_xlfn.XLOOKUP(TablaSTOCKINV[[#This Row],[SKU]],TablaSALIDA[SKU],TablaSALIDA[FECHA],,0,-1))," " )</f>
        <v xml:space="preserve"> </v>
      </c>
    </row>
    <row r="67" spans="1:21" x14ac:dyDescent="0.3">
      <c r="A67" s="27" t="s">
        <v>2414</v>
      </c>
      <c r="B67" s="32" t="str">
        <f>_xlfn.XLOOKUP(TablaSTOCKINV[[#This Row],[SKU]],TablaINVENTARIO[SKU],TablaINVENTARIO[DESCRIPCION])</f>
        <v xml:space="preserve">SPRAY PENETRANTE PARA PRUBA DE SOLDADURA </v>
      </c>
      <c r="C67" s="32" t="str">
        <f>_xlfn.XLOOKUP(TablaSTOCKINV[[#This Row],[SKU]],TablaINVENTARIO[SKU],TablaINVENTARIO[MARCA])</f>
        <v>MAGNAFLUX</v>
      </c>
      <c r="D67" s="33" t="str">
        <f>_xlfn.XLOOKUP(TablaSTOCKINV[[#This Row],[SKU]],TablaINVENTARIO[SKU],TablaINVENTARIO[CATEGORIA])</f>
        <v xml:space="preserve">SOLDADURA </v>
      </c>
      <c r="E67" s="33" t="str">
        <f>_xlfn.XLOOKUP(TablaSTOCKINV[[#This Row],[SKU]],TablaINVENTARIO[SKU],TablaINVENTARIO[SUBCATEGORIA])</f>
        <v xml:space="preserve">MATERIAL DE APORTE </v>
      </c>
      <c r="F67" s="33" t="str">
        <f>_xlfn.XLOOKUP(TablaSTOCKINV[[#This Row],[SKU]],TablaINVENTARIO[SKU],TablaINVENTARIO[ESTADO])</f>
        <v>USADO</v>
      </c>
      <c r="G67" s="33" t="str">
        <f>_xlfn.XLOOKUP(TablaSTOCKINV[[#This Row],[SKU]],TablaINVENTARIO[SKU],TablaINVENTARIO[MEDIDA])</f>
        <v>UND</v>
      </c>
      <c r="H67" s="33" t="str">
        <f>_xlfn.XLOOKUP(TablaSTOCKINV[[#This Row],[SKU]],TablaINVENTARIO[SKU],TablaINVENTARIO[SERIAL])</f>
        <v>N/A</v>
      </c>
      <c r="I67" s="34" t="str">
        <f>_xlfn.XLOOKUP(TablaSTOCKINV[[#This Row],[SKU]],TablaINVENTARIO[SKU],TablaINVENTARIO[ALMACEN])</f>
        <v>ALMACEN PRINCIPAL</v>
      </c>
      <c r="J67" s="34" t="str">
        <f>_xlfn.XLOOKUP(TablaSTOCKINV[[#This Row],[SKU]],TablaINVENTARIO[SKU],TablaINVENTARIO[UBICACION])</f>
        <v>E4-1</v>
      </c>
      <c r="K67" s="34" t="str">
        <f>_xlfn.XLOOKUP(TablaSTOCKINV[[#This Row],[SKU]],TablaINVENTARIO[SKU],TablaINVENTARIO[DPTO RESPONSABLE])</f>
        <v xml:space="preserve">MANTENIMIENTO </v>
      </c>
      <c r="L67" s="36">
        <f>_xlfn.XLOOKUP(TablaSTOCKINV[[#This Row],[SKU]],TablaINVENTARIO[SKU],TablaINVENTARIO[RANGO MIN])</f>
        <v>0</v>
      </c>
      <c r="M67" s="34" cm="1">
        <f t="array" ref="M67">_xlfn.IFS(TablaSTOCKINV[[#This Row],[CANT. TOTAL]]&lt;=0,1,TablaSTOCKINV[[#This Row],[CANT. TOTAL]]&lt;=TablaSTOCKINV[[#This Row],[MIN]],2,TablaSTOCKINV[[#This Row],[CANT. TOTAL]]&gt;TablaSTOCKINV[[#This Row],[MIN]],3)</f>
        <v>3</v>
      </c>
      <c r="N67" s="34">
        <f>TablaSTOCKINV[[#This Row],[ENTRADAS]]-TablaSTOCKINV[[#This Row],[SALIDAS]]</f>
        <v>2</v>
      </c>
      <c r="O67" s="35">
        <f>SUMIFS(TablaENTRADA[CANT],TablaENTRADA[SKU],TablaSTOCKINV[[#This Row],[SKU]])</f>
        <v>2</v>
      </c>
      <c r="P67" s="35">
        <f>SUMIFS(TablaSALIDA[CANT],TablaSALIDA[SKU],TablaSTOCKINV[[#This Row],[SKU]])</f>
        <v>0</v>
      </c>
      <c r="Q67" s="34">
        <f>_xlfn.XLOOKUP(TablaSTOCKINV[[#This Row],[SKU]],TablaINVENTARIO[SKU],TablaINVENTARIO[PRECIO])</f>
        <v>0</v>
      </c>
      <c r="R67" s="34">
        <f>TablaSTOCKINV[[#This Row],[P.UNITARIO]]*TablaSTOCKINV[[#This Row],[CANT. TOTAL]]</f>
        <v>0</v>
      </c>
      <c r="S67" s="44">
        <f>_xlfn.XLOOKUP(TablaSTOCKINV[[#This Row],[SKU]],TablaINVENTARIO[SKU],TablaINVENTARIO[FECHA INGRESO])</f>
        <v>46023</v>
      </c>
      <c r="T67" s="44">
        <f>_xlfn.XLOOKUP(TablaSTOCKINV[[#This Row],[SKU]],TablaENTRADA[SKU],TablaENTRADA[FECHA],,0,-1)</f>
        <v>46023</v>
      </c>
      <c r="U67" s="46" t="str">
        <f>IFERROR((_xlfn.XLOOKUP(TablaSTOCKINV[[#This Row],[SKU]],TablaSALIDA[SKU],TablaSALIDA[FECHA],,0,-1))," " )</f>
        <v xml:space="preserve"> </v>
      </c>
    </row>
    <row r="68" spans="1:21" x14ac:dyDescent="0.3">
      <c r="A68" s="27" t="s">
        <v>2417</v>
      </c>
      <c r="B68" s="32" t="str">
        <f>_xlfn.XLOOKUP(TablaSTOCKINV[[#This Row],[SKU]],TablaINVENTARIO[SKU],TablaINVENTARIO[DESCRIPCION])</f>
        <v xml:space="preserve">SPRAY PENETRANTE CRACK1 ROJO </v>
      </c>
      <c r="C68" s="32" t="str">
        <f>_xlfn.XLOOKUP(TablaSTOCKINV[[#This Row],[SKU]],TablaINVENTARIO[SKU],TablaINVENTARIO[MARCA])</f>
        <v>WHALE SPRAY</v>
      </c>
      <c r="D68" s="33" t="str">
        <f>_xlfn.XLOOKUP(TablaSTOCKINV[[#This Row],[SKU]],TablaINVENTARIO[SKU],TablaINVENTARIO[CATEGORIA])</f>
        <v xml:space="preserve">SOLDADURA </v>
      </c>
      <c r="E68" s="33" t="str">
        <f>_xlfn.XLOOKUP(TablaSTOCKINV[[#This Row],[SKU]],TablaINVENTARIO[SKU],TablaINVENTARIO[SUBCATEGORIA])</f>
        <v xml:space="preserve">MATERIAL DE APORTE </v>
      </c>
      <c r="F68" s="33" t="str">
        <f>_xlfn.XLOOKUP(TablaSTOCKINV[[#This Row],[SKU]],TablaINVENTARIO[SKU],TablaINVENTARIO[ESTADO])</f>
        <v>USADO</v>
      </c>
      <c r="G68" s="33" t="str">
        <f>_xlfn.XLOOKUP(TablaSTOCKINV[[#This Row],[SKU]],TablaINVENTARIO[SKU],TablaINVENTARIO[MEDIDA])</f>
        <v>UND</v>
      </c>
      <c r="H68" s="33" t="str">
        <f>_xlfn.XLOOKUP(TablaSTOCKINV[[#This Row],[SKU]],TablaINVENTARIO[SKU],TablaINVENTARIO[SERIAL])</f>
        <v>N/A</v>
      </c>
      <c r="I68" s="34" t="str">
        <f>_xlfn.XLOOKUP(TablaSTOCKINV[[#This Row],[SKU]],TablaINVENTARIO[SKU],TablaINVENTARIO[ALMACEN])</f>
        <v>ALMACEN PRINCIPAL</v>
      </c>
      <c r="J68" s="34" t="str">
        <f>_xlfn.XLOOKUP(TablaSTOCKINV[[#This Row],[SKU]],TablaINVENTARIO[SKU],TablaINVENTARIO[UBICACION])</f>
        <v>E4-1</v>
      </c>
      <c r="K68" s="34" t="str">
        <f>_xlfn.XLOOKUP(TablaSTOCKINV[[#This Row],[SKU]],TablaINVENTARIO[SKU],TablaINVENTARIO[DPTO RESPONSABLE])</f>
        <v xml:space="preserve">MANTENIMIENTO </v>
      </c>
      <c r="L68" s="36">
        <f>_xlfn.XLOOKUP(TablaSTOCKINV[[#This Row],[SKU]],TablaINVENTARIO[SKU],TablaINVENTARIO[RANGO MIN])</f>
        <v>0</v>
      </c>
      <c r="M68" s="34" cm="1">
        <f t="array" ref="M68">_xlfn.IFS(TablaSTOCKINV[[#This Row],[CANT. TOTAL]]&lt;=0,1,TablaSTOCKINV[[#This Row],[CANT. TOTAL]]&lt;=TablaSTOCKINV[[#This Row],[MIN]],2,TablaSTOCKINV[[#This Row],[CANT. TOTAL]]&gt;TablaSTOCKINV[[#This Row],[MIN]],3)</f>
        <v>3</v>
      </c>
      <c r="N68" s="34">
        <f>TablaSTOCKINV[[#This Row],[ENTRADAS]]-TablaSTOCKINV[[#This Row],[SALIDAS]]</f>
        <v>1</v>
      </c>
      <c r="O68" s="35">
        <f>SUMIFS(TablaENTRADA[CANT],TablaENTRADA[SKU],TablaSTOCKINV[[#This Row],[SKU]])</f>
        <v>1</v>
      </c>
      <c r="P68" s="35">
        <f>SUMIFS(TablaSALIDA[CANT],TablaSALIDA[SKU],TablaSTOCKINV[[#This Row],[SKU]])</f>
        <v>0</v>
      </c>
      <c r="Q68" s="34">
        <f>_xlfn.XLOOKUP(TablaSTOCKINV[[#This Row],[SKU]],TablaINVENTARIO[SKU],TablaINVENTARIO[PRECIO])</f>
        <v>0</v>
      </c>
      <c r="R68" s="34">
        <f>TablaSTOCKINV[[#This Row],[P.UNITARIO]]*TablaSTOCKINV[[#This Row],[CANT. TOTAL]]</f>
        <v>0</v>
      </c>
      <c r="S68" s="44">
        <f>_xlfn.XLOOKUP(TablaSTOCKINV[[#This Row],[SKU]],TablaINVENTARIO[SKU],TablaINVENTARIO[FECHA INGRESO])</f>
        <v>46023</v>
      </c>
      <c r="T68" s="44">
        <f>_xlfn.XLOOKUP(TablaSTOCKINV[[#This Row],[SKU]],TablaENTRADA[SKU],TablaENTRADA[FECHA],,0,-1)</f>
        <v>46023</v>
      </c>
      <c r="U68" s="46" t="str">
        <f>IFERROR((_xlfn.XLOOKUP(TablaSTOCKINV[[#This Row],[SKU]],TablaSALIDA[SKU],TablaSALIDA[FECHA],,0,-1))," " )</f>
        <v xml:space="preserve"> </v>
      </c>
    </row>
    <row r="69" spans="1:21" x14ac:dyDescent="0.3">
      <c r="A69" s="27" t="s">
        <v>2420</v>
      </c>
      <c r="B69" s="32" t="str">
        <f>_xlfn.XLOOKUP(TablaSTOCKINV[[#This Row],[SKU]],TablaINVENTARIO[SKU],TablaINVENTARIO[DESCRIPCION])</f>
        <v xml:space="preserve">SPRAY PENETRANTE CRACK2 BLANCO </v>
      </c>
      <c r="C69" s="32" t="str">
        <f>_xlfn.XLOOKUP(TablaSTOCKINV[[#This Row],[SKU]],TablaINVENTARIO[SKU],TablaINVENTARIO[MARCA])</f>
        <v>WHALE SPRAY</v>
      </c>
      <c r="D69" s="33" t="str">
        <f>_xlfn.XLOOKUP(TablaSTOCKINV[[#This Row],[SKU]],TablaINVENTARIO[SKU],TablaINVENTARIO[CATEGORIA])</f>
        <v xml:space="preserve">SOLDADURA </v>
      </c>
      <c r="E69" s="33" t="str">
        <f>_xlfn.XLOOKUP(TablaSTOCKINV[[#This Row],[SKU]],TablaINVENTARIO[SKU],TablaINVENTARIO[SUBCATEGORIA])</f>
        <v xml:space="preserve">MATERIAL DE APORTE </v>
      </c>
      <c r="F69" s="33" t="str">
        <f>_xlfn.XLOOKUP(TablaSTOCKINV[[#This Row],[SKU]],TablaINVENTARIO[SKU],TablaINVENTARIO[ESTADO])</f>
        <v>USADO</v>
      </c>
      <c r="G69" s="33" t="str">
        <f>_xlfn.XLOOKUP(TablaSTOCKINV[[#This Row],[SKU]],TablaINVENTARIO[SKU],TablaINVENTARIO[MEDIDA])</f>
        <v>UND</v>
      </c>
      <c r="H69" s="33" t="str">
        <f>_xlfn.XLOOKUP(TablaSTOCKINV[[#This Row],[SKU]],TablaINVENTARIO[SKU],TablaINVENTARIO[SERIAL])</f>
        <v>N/A</v>
      </c>
      <c r="I69" s="34" t="str">
        <f>_xlfn.XLOOKUP(TablaSTOCKINV[[#This Row],[SKU]],TablaINVENTARIO[SKU],TablaINVENTARIO[ALMACEN])</f>
        <v>ALMACEN PRINCIPAL</v>
      </c>
      <c r="J69" s="34" t="str">
        <f>_xlfn.XLOOKUP(TablaSTOCKINV[[#This Row],[SKU]],TablaINVENTARIO[SKU],TablaINVENTARIO[UBICACION])</f>
        <v>E4-1</v>
      </c>
      <c r="K69" s="34" t="str">
        <f>_xlfn.XLOOKUP(TablaSTOCKINV[[#This Row],[SKU]],TablaINVENTARIO[SKU],TablaINVENTARIO[DPTO RESPONSABLE])</f>
        <v xml:space="preserve">MANTENIMIENTO </v>
      </c>
      <c r="L69" s="36">
        <f>_xlfn.XLOOKUP(TablaSTOCKINV[[#This Row],[SKU]],TablaINVENTARIO[SKU],TablaINVENTARIO[RANGO MIN])</f>
        <v>0</v>
      </c>
      <c r="M69" s="34" cm="1">
        <f t="array" ref="M69">_xlfn.IFS(TablaSTOCKINV[[#This Row],[CANT. TOTAL]]&lt;=0,1,TablaSTOCKINV[[#This Row],[CANT. TOTAL]]&lt;=TablaSTOCKINV[[#This Row],[MIN]],2,TablaSTOCKINV[[#This Row],[CANT. TOTAL]]&gt;TablaSTOCKINV[[#This Row],[MIN]],3)</f>
        <v>3</v>
      </c>
      <c r="N69" s="34">
        <f>TablaSTOCKINV[[#This Row],[ENTRADAS]]-TablaSTOCKINV[[#This Row],[SALIDAS]]</f>
        <v>1</v>
      </c>
      <c r="O69" s="35">
        <f>SUMIFS(TablaENTRADA[CANT],TablaENTRADA[SKU],TablaSTOCKINV[[#This Row],[SKU]])</f>
        <v>1</v>
      </c>
      <c r="P69" s="35">
        <f>SUMIFS(TablaSALIDA[CANT],TablaSALIDA[SKU],TablaSTOCKINV[[#This Row],[SKU]])</f>
        <v>0</v>
      </c>
      <c r="Q69" s="34">
        <f>_xlfn.XLOOKUP(TablaSTOCKINV[[#This Row],[SKU]],TablaINVENTARIO[SKU],TablaINVENTARIO[PRECIO])</f>
        <v>0</v>
      </c>
      <c r="R69" s="34">
        <f>TablaSTOCKINV[[#This Row],[P.UNITARIO]]*TablaSTOCKINV[[#This Row],[CANT. TOTAL]]</f>
        <v>0</v>
      </c>
      <c r="S69" s="44">
        <f>_xlfn.XLOOKUP(TablaSTOCKINV[[#This Row],[SKU]],TablaINVENTARIO[SKU],TablaINVENTARIO[FECHA INGRESO])</f>
        <v>46023</v>
      </c>
      <c r="T69" s="44">
        <f>_xlfn.XLOOKUP(TablaSTOCKINV[[#This Row],[SKU]],TablaENTRADA[SKU],TablaENTRADA[FECHA],,0,-1)</f>
        <v>46023</v>
      </c>
      <c r="U69" s="46" t="str">
        <f>IFERROR((_xlfn.XLOOKUP(TablaSTOCKINV[[#This Row],[SKU]],TablaSALIDA[SKU],TablaSALIDA[FECHA],,0,-1))," " )</f>
        <v xml:space="preserve"> </v>
      </c>
    </row>
    <row r="70" spans="1:21" x14ac:dyDescent="0.3">
      <c r="A70" s="27" t="s">
        <v>2422</v>
      </c>
      <c r="B70" s="32" t="str">
        <f>_xlfn.XLOOKUP(TablaSTOCKINV[[#This Row],[SKU]],TablaINVENTARIO[SKU],TablaINVENTARIO[DESCRIPCION])</f>
        <v xml:space="preserve">SPRAY PENETRANTE CRACK3 TRANSPARENTE  </v>
      </c>
      <c r="C70" s="32" t="str">
        <f>_xlfn.XLOOKUP(TablaSTOCKINV[[#This Row],[SKU]],TablaINVENTARIO[SKU],TablaINVENTARIO[MARCA])</f>
        <v>WHALE SPRAY</v>
      </c>
      <c r="D70" s="33" t="str">
        <f>_xlfn.XLOOKUP(TablaSTOCKINV[[#This Row],[SKU]],TablaINVENTARIO[SKU],TablaINVENTARIO[CATEGORIA])</f>
        <v xml:space="preserve">SOLDADURA </v>
      </c>
      <c r="E70" s="33" t="str">
        <f>_xlfn.XLOOKUP(TablaSTOCKINV[[#This Row],[SKU]],TablaINVENTARIO[SKU],TablaINVENTARIO[SUBCATEGORIA])</f>
        <v xml:space="preserve">MATERIAL DE APORTE </v>
      </c>
      <c r="F70" s="33" t="str">
        <f>_xlfn.XLOOKUP(TablaSTOCKINV[[#This Row],[SKU]],TablaINVENTARIO[SKU],TablaINVENTARIO[ESTADO])</f>
        <v>USADO</v>
      </c>
      <c r="G70" s="33" t="str">
        <f>_xlfn.XLOOKUP(TablaSTOCKINV[[#This Row],[SKU]],TablaINVENTARIO[SKU],TablaINVENTARIO[MEDIDA])</f>
        <v>UND</v>
      </c>
      <c r="H70" s="33" t="str">
        <f>_xlfn.XLOOKUP(TablaSTOCKINV[[#This Row],[SKU]],TablaINVENTARIO[SKU],TablaINVENTARIO[SERIAL])</f>
        <v>N/A</v>
      </c>
      <c r="I70" s="34" t="str">
        <f>_xlfn.XLOOKUP(TablaSTOCKINV[[#This Row],[SKU]],TablaINVENTARIO[SKU],TablaINVENTARIO[ALMACEN])</f>
        <v>ALMACEN PRINCIPAL</v>
      </c>
      <c r="J70" s="34" t="str">
        <f>_xlfn.XLOOKUP(TablaSTOCKINV[[#This Row],[SKU]],TablaINVENTARIO[SKU],TablaINVENTARIO[UBICACION])</f>
        <v>E4-1</v>
      </c>
      <c r="K70" s="34" t="str">
        <f>_xlfn.XLOOKUP(TablaSTOCKINV[[#This Row],[SKU]],TablaINVENTARIO[SKU],TablaINVENTARIO[DPTO RESPONSABLE])</f>
        <v xml:space="preserve">MANTENIMIENTO </v>
      </c>
      <c r="L70" s="36">
        <f>_xlfn.XLOOKUP(TablaSTOCKINV[[#This Row],[SKU]],TablaINVENTARIO[SKU],TablaINVENTARIO[RANGO MIN])</f>
        <v>0</v>
      </c>
      <c r="M70" s="34" cm="1">
        <f t="array" ref="M70">_xlfn.IFS(TablaSTOCKINV[[#This Row],[CANT. TOTAL]]&lt;=0,1,TablaSTOCKINV[[#This Row],[CANT. TOTAL]]&lt;=TablaSTOCKINV[[#This Row],[MIN]],2,TablaSTOCKINV[[#This Row],[CANT. TOTAL]]&gt;TablaSTOCKINV[[#This Row],[MIN]],3)</f>
        <v>3</v>
      </c>
      <c r="N70" s="34">
        <f>TablaSTOCKINV[[#This Row],[ENTRADAS]]-TablaSTOCKINV[[#This Row],[SALIDAS]]</f>
        <v>1</v>
      </c>
      <c r="O70" s="35">
        <f>SUMIFS(TablaENTRADA[CANT],TablaENTRADA[SKU],TablaSTOCKINV[[#This Row],[SKU]])</f>
        <v>1</v>
      </c>
      <c r="P70" s="35">
        <f>SUMIFS(TablaSALIDA[CANT],TablaSALIDA[SKU],TablaSTOCKINV[[#This Row],[SKU]])</f>
        <v>0</v>
      </c>
      <c r="Q70" s="34">
        <f>_xlfn.XLOOKUP(TablaSTOCKINV[[#This Row],[SKU]],TablaINVENTARIO[SKU],TablaINVENTARIO[PRECIO])</f>
        <v>0</v>
      </c>
      <c r="R70" s="34">
        <f>TablaSTOCKINV[[#This Row],[P.UNITARIO]]*TablaSTOCKINV[[#This Row],[CANT. TOTAL]]</f>
        <v>0</v>
      </c>
      <c r="S70" s="44">
        <f>_xlfn.XLOOKUP(TablaSTOCKINV[[#This Row],[SKU]],TablaINVENTARIO[SKU],TablaINVENTARIO[FECHA INGRESO])</f>
        <v>46023</v>
      </c>
      <c r="T70" s="44">
        <f>_xlfn.XLOOKUP(TablaSTOCKINV[[#This Row],[SKU]],TablaENTRADA[SKU],TablaENTRADA[FECHA],,0,-1)</f>
        <v>46023</v>
      </c>
      <c r="U70" s="46" t="str">
        <f>IFERROR((_xlfn.XLOOKUP(TablaSTOCKINV[[#This Row],[SKU]],TablaSALIDA[SKU],TablaSALIDA[FECHA],,0,-1))," " )</f>
        <v xml:space="preserve"> </v>
      </c>
    </row>
    <row r="71" spans="1:21" x14ac:dyDescent="0.3">
      <c r="A71" s="27" t="s">
        <v>2424</v>
      </c>
      <c r="B71" s="32" t="str">
        <f>_xlfn.XLOOKUP(TablaSTOCKINV[[#This Row],[SKU]],TablaINVENTARIO[SKU],TablaINVENTARIO[DESCRIPCION])</f>
        <v xml:space="preserve">ELECTRODO DE ACERO INOXCIDABLE </v>
      </c>
      <c r="C71" s="32" t="str">
        <f>_xlfn.XLOOKUP(TablaSTOCKINV[[#This Row],[SKU]],TablaINVENTARIO[SKU],TablaINVENTARIO[MARCA])</f>
        <v>LINCON GRINOX</v>
      </c>
      <c r="D71" s="33" t="str">
        <f>_xlfn.XLOOKUP(TablaSTOCKINV[[#This Row],[SKU]],TablaINVENTARIO[SKU],TablaINVENTARIO[CATEGORIA])</f>
        <v xml:space="preserve">SOLDADURA </v>
      </c>
      <c r="E71" s="33" t="str">
        <f>_xlfn.XLOOKUP(TablaSTOCKINV[[#This Row],[SKU]],TablaINVENTARIO[SKU],TablaINVENTARIO[SUBCATEGORIA])</f>
        <v xml:space="preserve">MATERIAL DE APORTE </v>
      </c>
      <c r="F71" s="33" t="str">
        <f>_xlfn.XLOOKUP(TablaSTOCKINV[[#This Row],[SKU]],TablaINVENTARIO[SKU],TablaINVENTARIO[ESTADO])</f>
        <v xml:space="preserve">NUEVO </v>
      </c>
      <c r="G71" s="33" t="str">
        <f>_xlfn.XLOOKUP(TablaSTOCKINV[[#This Row],[SKU]],TablaINVENTARIO[SKU],TablaINVENTARIO[MEDIDA])</f>
        <v>UND</v>
      </c>
      <c r="H71" s="33" t="str">
        <f>_xlfn.XLOOKUP(TablaSTOCKINV[[#This Row],[SKU]],TablaINVENTARIO[SKU],TablaINVENTARIO[SERIAL])</f>
        <v>N/A</v>
      </c>
      <c r="I71" s="34" t="str">
        <f>_xlfn.XLOOKUP(TablaSTOCKINV[[#This Row],[SKU]],TablaINVENTARIO[SKU],TablaINVENTARIO[ALMACEN])</f>
        <v>ALMACEN PRINCIPAL</v>
      </c>
      <c r="J71" s="34" t="str">
        <f>_xlfn.XLOOKUP(TablaSTOCKINV[[#This Row],[SKU]],TablaINVENTARIO[SKU],TablaINVENTARIO[UBICACION])</f>
        <v>E1-2</v>
      </c>
      <c r="K71" s="34" t="str">
        <f>_xlfn.XLOOKUP(TablaSTOCKINV[[#This Row],[SKU]],TablaINVENTARIO[SKU],TablaINVENTARIO[DPTO RESPONSABLE])</f>
        <v xml:space="preserve">MANTENIMIENTO </v>
      </c>
      <c r="L71" s="36">
        <f>_xlfn.XLOOKUP(TablaSTOCKINV[[#This Row],[SKU]],TablaINVENTARIO[SKU],TablaINVENTARIO[RANGO MIN])</f>
        <v>0</v>
      </c>
      <c r="M71" s="34" cm="1">
        <f t="array" ref="M71">_xlfn.IFS(TablaSTOCKINV[[#This Row],[CANT. TOTAL]]&lt;=0,1,TablaSTOCKINV[[#This Row],[CANT. TOTAL]]&lt;=TablaSTOCKINV[[#This Row],[MIN]],2,TablaSTOCKINV[[#This Row],[CANT. TOTAL]]&gt;TablaSTOCKINV[[#This Row],[MIN]],3)</f>
        <v>3</v>
      </c>
      <c r="N71" s="34">
        <f>TablaSTOCKINV[[#This Row],[ENTRADAS]]-TablaSTOCKINV[[#This Row],[SALIDAS]]</f>
        <v>62</v>
      </c>
      <c r="O71" s="35">
        <f>SUMIFS(TablaENTRADA[CANT],TablaENTRADA[SKU],TablaSTOCKINV[[#This Row],[SKU]])</f>
        <v>62</v>
      </c>
      <c r="P71" s="35">
        <f>SUMIFS(TablaSALIDA[CANT],TablaSALIDA[SKU],TablaSTOCKINV[[#This Row],[SKU]])</f>
        <v>0</v>
      </c>
      <c r="Q71" s="34">
        <f>_xlfn.XLOOKUP(TablaSTOCKINV[[#This Row],[SKU]],TablaINVENTARIO[SKU],TablaINVENTARIO[PRECIO])</f>
        <v>0</v>
      </c>
      <c r="R71" s="34">
        <f>TablaSTOCKINV[[#This Row],[P.UNITARIO]]*TablaSTOCKINV[[#This Row],[CANT. TOTAL]]</f>
        <v>0</v>
      </c>
      <c r="S71" s="44">
        <f>_xlfn.XLOOKUP(TablaSTOCKINV[[#This Row],[SKU]],TablaINVENTARIO[SKU],TablaINVENTARIO[FECHA INGRESO])</f>
        <v>46023</v>
      </c>
      <c r="T71" s="44">
        <f>_xlfn.XLOOKUP(TablaSTOCKINV[[#This Row],[SKU]],TablaENTRADA[SKU],TablaENTRADA[FECHA],,0,-1)</f>
        <v>46023</v>
      </c>
      <c r="U71" s="46" t="str">
        <f>IFERROR((_xlfn.XLOOKUP(TablaSTOCKINV[[#This Row],[SKU]],TablaSALIDA[SKU],TablaSALIDA[FECHA],,0,-1))," " )</f>
        <v xml:space="preserve"> </v>
      </c>
    </row>
    <row r="72" spans="1:21" x14ac:dyDescent="0.3">
      <c r="A72" s="27" t="s">
        <v>2154</v>
      </c>
      <c r="B72" s="32" t="str">
        <f>_xlfn.XLOOKUP(TablaSTOCKINV[[#This Row],[SKU]],TablaINVENTARIO[SKU],TablaINVENTARIO[DESCRIPCION])</f>
        <v xml:space="preserve">TRIANGULO DE SEGURIDAD  </v>
      </c>
      <c r="C72" s="32" t="str">
        <f>_xlfn.XLOOKUP(TablaSTOCKINV[[#This Row],[SKU]],TablaINVENTARIO[SKU],TablaINVENTARIO[MARCA])</f>
        <v>N/A</v>
      </c>
      <c r="D72" s="33" t="str">
        <f>_xlfn.XLOOKUP(TablaSTOCKINV[[#This Row],[SKU]],TablaINVENTARIO[SKU],TablaINVENTARIO[CATEGORIA])</f>
        <v>SISTEMA_DE_SEGURIDAD</v>
      </c>
      <c r="E72" s="33" t="str">
        <f>_xlfn.XLOOKUP(TablaSTOCKINV[[#This Row],[SKU]],TablaINVENTARIO[SKU],TablaINVENTARIO[SUBCATEGORIA])</f>
        <v>SEÑALIZACIONES</v>
      </c>
      <c r="F72" s="33" t="str">
        <f>_xlfn.XLOOKUP(TablaSTOCKINV[[#This Row],[SKU]],TablaINVENTARIO[SKU],TablaINVENTARIO[ESTADO])</f>
        <v>DAÑADO</v>
      </c>
      <c r="G72" s="33" t="str">
        <f>_xlfn.XLOOKUP(TablaSTOCKINV[[#This Row],[SKU]],TablaINVENTARIO[SKU],TablaINVENTARIO[MEDIDA])</f>
        <v>UND</v>
      </c>
      <c r="H72" s="33" t="str">
        <f>_xlfn.XLOOKUP(TablaSTOCKINV[[#This Row],[SKU]],TablaINVENTARIO[SKU],TablaINVENTARIO[SERIAL])</f>
        <v>N/A</v>
      </c>
      <c r="I72" s="34" t="str">
        <f>_xlfn.XLOOKUP(TablaSTOCKINV[[#This Row],[SKU]],TablaINVENTARIO[SKU],TablaINVENTARIO[ALMACEN])</f>
        <v>ALMACEN PRINCIPAL</v>
      </c>
      <c r="J72" s="34" t="str">
        <f>_xlfn.XLOOKUP(TablaSTOCKINV[[#This Row],[SKU]],TablaINVENTARIO[SKU],TablaINVENTARIO[UBICACION])</f>
        <v>L2</v>
      </c>
      <c r="K72" s="34" t="str">
        <f>_xlfn.XLOOKUP(TablaSTOCKINV[[#This Row],[SKU]],TablaINVENTARIO[SKU],TablaINVENTARIO[DPTO RESPONSABLE])</f>
        <v>MANTENIMIENTO</v>
      </c>
      <c r="L72" s="36">
        <f>_xlfn.XLOOKUP(TablaSTOCKINV[[#This Row],[SKU]],TablaINVENTARIO[SKU],TablaINVENTARIO[RANGO MIN])</f>
        <v>0</v>
      </c>
      <c r="M72" s="34" cm="1">
        <f t="array" ref="M72">_xlfn.IFS(TablaSTOCKINV[[#This Row],[CANT. TOTAL]]&lt;=0,1,TablaSTOCKINV[[#This Row],[CANT. TOTAL]]&lt;=TablaSTOCKINV[[#This Row],[MIN]],2,TablaSTOCKINV[[#This Row],[CANT. TOTAL]]&gt;TablaSTOCKINV[[#This Row],[MIN]],3)</f>
        <v>3</v>
      </c>
      <c r="N72" s="34">
        <f>TablaSTOCKINV[[#This Row],[ENTRADAS]]-TablaSTOCKINV[[#This Row],[SALIDAS]]</f>
        <v>2</v>
      </c>
      <c r="O72" s="35">
        <f>SUMIFS(TablaENTRADA[CANT],TablaENTRADA[SKU],TablaSTOCKINV[[#This Row],[SKU]])</f>
        <v>2</v>
      </c>
      <c r="P72" s="35">
        <f>SUMIFS(TablaSALIDA[CANT],TablaSALIDA[SKU],TablaSTOCKINV[[#This Row],[SKU]])</f>
        <v>0</v>
      </c>
      <c r="Q72" s="34">
        <f>_xlfn.XLOOKUP(TablaSTOCKINV[[#This Row],[SKU]],TablaINVENTARIO[SKU],TablaINVENTARIO[PRECIO])</f>
        <v>0</v>
      </c>
      <c r="R72" s="34">
        <f>TablaSTOCKINV[[#This Row],[P.UNITARIO]]*TablaSTOCKINV[[#This Row],[CANT. TOTAL]]</f>
        <v>0</v>
      </c>
      <c r="S72" s="44">
        <f>_xlfn.XLOOKUP(TablaSTOCKINV[[#This Row],[SKU]],TablaINVENTARIO[SKU],TablaINVENTARIO[FECHA INGRESO])</f>
        <v>46023</v>
      </c>
      <c r="T72" s="44">
        <f>_xlfn.XLOOKUP(TablaSTOCKINV[[#This Row],[SKU]],TablaENTRADA[SKU],TablaENTRADA[FECHA],,0,-1)</f>
        <v>46023</v>
      </c>
      <c r="U72" s="46" t="str">
        <f>IFERROR((_xlfn.XLOOKUP(TablaSTOCKINV[[#This Row],[SKU]],TablaSALIDA[SKU],TablaSALIDA[FECHA],,0,-1))," " )</f>
        <v xml:space="preserve"> </v>
      </c>
    </row>
    <row r="73" spans="1:21" x14ac:dyDescent="0.3">
      <c r="A73" s="27" t="s">
        <v>2158</v>
      </c>
      <c r="B73" s="32" t="str">
        <f>_xlfn.XLOOKUP(TablaSTOCKINV[[#This Row],[SKU]],TablaINVENTARIO[SKU],TablaINVENTARIO[DESCRIPCION])</f>
        <v>CINTA AMARILLA DE "PELIGRO"</v>
      </c>
      <c r="C73" s="32" t="str">
        <f>_xlfn.XLOOKUP(TablaSTOCKINV[[#This Row],[SKU]],TablaINVENTARIO[SKU],TablaINVENTARIO[MARCA])</f>
        <v>N/A</v>
      </c>
      <c r="D73" s="33" t="str">
        <f>_xlfn.XLOOKUP(TablaSTOCKINV[[#This Row],[SKU]],TablaINVENTARIO[SKU],TablaINVENTARIO[CATEGORIA])</f>
        <v>SISTEMA_DE_SEGURIDAD</v>
      </c>
      <c r="E73" s="33" t="str">
        <f>_xlfn.XLOOKUP(TablaSTOCKINV[[#This Row],[SKU]],TablaINVENTARIO[SKU],TablaINVENTARIO[SUBCATEGORIA])</f>
        <v>SEÑALIZACIONES</v>
      </c>
      <c r="F73" s="33" t="str">
        <f>_xlfn.XLOOKUP(TablaSTOCKINV[[#This Row],[SKU]],TablaINVENTARIO[SKU],TablaINVENTARIO[ESTADO])</f>
        <v>NUEVO</v>
      </c>
      <c r="G73" s="33" t="str">
        <f>_xlfn.XLOOKUP(TablaSTOCKINV[[#This Row],[SKU]],TablaINVENTARIO[SKU],TablaINVENTARIO[MEDIDA])</f>
        <v>ROLLO</v>
      </c>
      <c r="H73" s="33" t="str">
        <f>_xlfn.XLOOKUP(TablaSTOCKINV[[#This Row],[SKU]],TablaINVENTARIO[SKU],TablaINVENTARIO[SERIAL])</f>
        <v>N/A</v>
      </c>
      <c r="I73" s="34" t="str">
        <f>_xlfn.XLOOKUP(TablaSTOCKINV[[#This Row],[SKU]],TablaINVENTARIO[SKU],TablaINVENTARIO[ALMACEN])</f>
        <v>ALMACEN PRINCIPAL</v>
      </c>
      <c r="J73" s="34" t="str">
        <f>_xlfn.XLOOKUP(TablaSTOCKINV[[#This Row],[SKU]],TablaINVENTARIO[SKU],TablaINVENTARIO[UBICACION])</f>
        <v>L2</v>
      </c>
      <c r="K73" s="34" t="str">
        <f>_xlfn.XLOOKUP(TablaSTOCKINV[[#This Row],[SKU]],TablaINVENTARIO[SKU],TablaINVENTARIO[DPTO RESPONSABLE])</f>
        <v>SIHO</v>
      </c>
      <c r="L73" s="36">
        <f>_xlfn.XLOOKUP(TablaSTOCKINV[[#This Row],[SKU]],TablaINVENTARIO[SKU],TablaINVENTARIO[RANGO MIN])</f>
        <v>0</v>
      </c>
      <c r="M73" s="34" cm="1">
        <f t="array" ref="M73">_xlfn.IFS(TablaSTOCKINV[[#This Row],[CANT. TOTAL]]&lt;=0,1,TablaSTOCKINV[[#This Row],[CANT. TOTAL]]&lt;=TablaSTOCKINV[[#This Row],[MIN]],2,TablaSTOCKINV[[#This Row],[CANT. TOTAL]]&gt;TablaSTOCKINV[[#This Row],[MIN]],3)</f>
        <v>3</v>
      </c>
      <c r="N73" s="34">
        <f>TablaSTOCKINV[[#This Row],[ENTRADAS]]-TablaSTOCKINV[[#This Row],[SALIDAS]]</f>
        <v>3</v>
      </c>
      <c r="O73" s="35">
        <f>SUMIFS(TablaENTRADA[CANT],TablaENTRADA[SKU],TablaSTOCKINV[[#This Row],[SKU]])</f>
        <v>3</v>
      </c>
      <c r="P73" s="35">
        <f>SUMIFS(TablaSALIDA[CANT],TablaSALIDA[SKU],TablaSTOCKINV[[#This Row],[SKU]])</f>
        <v>0</v>
      </c>
      <c r="Q73" s="34">
        <f>_xlfn.XLOOKUP(TablaSTOCKINV[[#This Row],[SKU]],TablaINVENTARIO[SKU],TablaINVENTARIO[PRECIO])</f>
        <v>0</v>
      </c>
      <c r="R73" s="34">
        <f>TablaSTOCKINV[[#This Row],[P.UNITARIO]]*TablaSTOCKINV[[#This Row],[CANT. TOTAL]]</f>
        <v>0</v>
      </c>
      <c r="S73" s="44">
        <f>_xlfn.XLOOKUP(TablaSTOCKINV[[#This Row],[SKU]],TablaINVENTARIO[SKU],TablaINVENTARIO[FECHA INGRESO])</f>
        <v>46023</v>
      </c>
      <c r="T73" s="44">
        <f>_xlfn.XLOOKUP(TablaSTOCKINV[[#This Row],[SKU]],TablaENTRADA[SKU],TablaENTRADA[FECHA],,0,-1)</f>
        <v>46023</v>
      </c>
      <c r="U73" s="46" t="str">
        <f>IFERROR((_xlfn.XLOOKUP(TablaSTOCKINV[[#This Row],[SKU]],TablaSALIDA[SKU],TablaSALIDA[FECHA],,0,-1))," " )</f>
        <v xml:space="preserve"> </v>
      </c>
    </row>
    <row r="74" spans="1:21" x14ac:dyDescent="0.3">
      <c r="A74" s="27" t="s">
        <v>2160</v>
      </c>
      <c r="B74" s="32" t="str">
        <f>_xlfn.XLOOKUP(TablaSTOCKINV[[#This Row],[SKU]],TablaINVENTARIO[SKU],TablaINVENTARIO[DESCRIPCION])</f>
        <v>SEÑALIZACION "USE MASCARA PARA SOLDAR"</v>
      </c>
      <c r="C74" s="32" t="str">
        <f>_xlfn.XLOOKUP(TablaSTOCKINV[[#This Row],[SKU]],TablaINVENTARIO[SKU],TablaINVENTARIO[MARCA])</f>
        <v>N/A</v>
      </c>
      <c r="D74" s="33" t="str">
        <f>_xlfn.XLOOKUP(TablaSTOCKINV[[#This Row],[SKU]],TablaINVENTARIO[SKU],TablaINVENTARIO[CATEGORIA])</f>
        <v>SISTEMA_DE_SEGURIDAD</v>
      </c>
      <c r="E74" s="33" t="str">
        <f>_xlfn.XLOOKUP(TablaSTOCKINV[[#This Row],[SKU]],TablaINVENTARIO[SKU],TablaINVENTARIO[SUBCATEGORIA])</f>
        <v>SEÑALIZACIONES</v>
      </c>
      <c r="F74" s="33" t="str">
        <f>_xlfn.XLOOKUP(TablaSTOCKINV[[#This Row],[SKU]],TablaINVENTARIO[SKU],TablaINVENTARIO[ESTADO])</f>
        <v>USADO</v>
      </c>
      <c r="G74" s="33" t="str">
        <f>_xlfn.XLOOKUP(TablaSTOCKINV[[#This Row],[SKU]],TablaINVENTARIO[SKU],TablaINVENTARIO[MEDIDA])</f>
        <v xml:space="preserve">UND </v>
      </c>
      <c r="H74" s="33" t="str">
        <f>_xlfn.XLOOKUP(TablaSTOCKINV[[#This Row],[SKU]],TablaINVENTARIO[SKU],TablaINVENTARIO[SERIAL])</f>
        <v>N/A</v>
      </c>
      <c r="I74" s="34" t="str">
        <f>_xlfn.XLOOKUP(TablaSTOCKINV[[#This Row],[SKU]],TablaINVENTARIO[SKU],TablaINVENTARIO[ALMACEN])</f>
        <v>ALMACEN PRINCIPAL</v>
      </c>
      <c r="J74" s="34" t="str">
        <f>_xlfn.XLOOKUP(TablaSTOCKINV[[#This Row],[SKU]],TablaINVENTARIO[SKU],TablaINVENTARIO[UBICACION])</f>
        <v>L2</v>
      </c>
      <c r="K74" s="34" t="str">
        <f>_xlfn.XLOOKUP(TablaSTOCKINV[[#This Row],[SKU]],TablaINVENTARIO[SKU],TablaINVENTARIO[DPTO RESPONSABLE])</f>
        <v>SIHO</v>
      </c>
      <c r="L74" s="36">
        <f>_xlfn.XLOOKUP(TablaSTOCKINV[[#This Row],[SKU]],TablaINVENTARIO[SKU],TablaINVENTARIO[RANGO MIN])</f>
        <v>0</v>
      </c>
      <c r="M74" s="34" cm="1">
        <f t="array" ref="M74">_xlfn.IFS(TablaSTOCKINV[[#This Row],[CANT. TOTAL]]&lt;=0,1,TablaSTOCKINV[[#This Row],[CANT. TOTAL]]&lt;=TablaSTOCKINV[[#This Row],[MIN]],2,TablaSTOCKINV[[#This Row],[CANT. TOTAL]]&gt;TablaSTOCKINV[[#This Row],[MIN]],3)</f>
        <v>3</v>
      </c>
      <c r="N74" s="34">
        <f>TablaSTOCKINV[[#This Row],[ENTRADAS]]-TablaSTOCKINV[[#This Row],[SALIDAS]]</f>
        <v>1</v>
      </c>
      <c r="O74" s="35">
        <f>SUMIFS(TablaENTRADA[CANT],TablaENTRADA[SKU],TablaSTOCKINV[[#This Row],[SKU]])</f>
        <v>1</v>
      </c>
      <c r="P74" s="35">
        <f>SUMIFS(TablaSALIDA[CANT],TablaSALIDA[SKU],TablaSTOCKINV[[#This Row],[SKU]])</f>
        <v>0</v>
      </c>
      <c r="Q74" s="34">
        <f>_xlfn.XLOOKUP(TablaSTOCKINV[[#This Row],[SKU]],TablaINVENTARIO[SKU],TablaINVENTARIO[PRECIO])</f>
        <v>0</v>
      </c>
      <c r="R74" s="34">
        <f>TablaSTOCKINV[[#This Row],[P.UNITARIO]]*TablaSTOCKINV[[#This Row],[CANT. TOTAL]]</f>
        <v>0</v>
      </c>
      <c r="S74" s="44">
        <f>_xlfn.XLOOKUP(TablaSTOCKINV[[#This Row],[SKU]],TablaINVENTARIO[SKU],TablaINVENTARIO[FECHA INGRESO])</f>
        <v>46023</v>
      </c>
      <c r="T74" s="44">
        <f>_xlfn.XLOOKUP(TablaSTOCKINV[[#This Row],[SKU]],TablaENTRADA[SKU],TablaENTRADA[FECHA],,0,-1)</f>
        <v>46023</v>
      </c>
      <c r="U74" s="46" t="str">
        <f>IFERROR((_xlfn.XLOOKUP(TablaSTOCKINV[[#This Row],[SKU]],TablaSALIDA[SKU],TablaSALIDA[FECHA],,0,-1))," " )</f>
        <v xml:space="preserve"> </v>
      </c>
    </row>
    <row r="75" spans="1:21" x14ac:dyDescent="0.3">
      <c r="A75" s="27" t="s">
        <v>2162</v>
      </c>
      <c r="B75" s="32" t="str">
        <f>_xlfn.XLOOKUP(TablaSTOCKINV[[#This Row],[SKU]],TablaINVENTARIO[SKU],TablaINVENTARIO[DESCRIPCION])</f>
        <v>SEÑALIZACION "USE PROTECTOR DE OIDOS"</v>
      </c>
      <c r="C75" s="32" t="str">
        <f>_xlfn.XLOOKUP(TablaSTOCKINV[[#This Row],[SKU]],TablaINVENTARIO[SKU],TablaINVENTARIO[MARCA])</f>
        <v>N/A</v>
      </c>
      <c r="D75" s="33" t="str">
        <f>_xlfn.XLOOKUP(TablaSTOCKINV[[#This Row],[SKU]],TablaINVENTARIO[SKU],TablaINVENTARIO[CATEGORIA])</f>
        <v>SISTEMA_DE_SEGURIDAD</v>
      </c>
      <c r="E75" s="33" t="str">
        <f>_xlfn.XLOOKUP(TablaSTOCKINV[[#This Row],[SKU]],TablaINVENTARIO[SKU],TablaINVENTARIO[SUBCATEGORIA])</f>
        <v>SEÑALIZACIONES</v>
      </c>
      <c r="F75" s="33" t="str">
        <f>_xlfn.XLOOKUP(TablaSTOCKINV[[#This Row],[SKU]],TablaINVENTARIO[SKU],TablaINVENTARIO[ESTADO])</f>
        <v>USADO</v>
      </c>
      <c r="G75" s="33" t="str">
        <f>_xlfn.XLOOKUP(TablaSTOCKINV[[#This Row],[SKU]],TablaINVENTARIO[SKU],TablaINVENTARIO[MEDIDA])</f>
        <v xml:space="preserve">UND </v>
      </c>
      <c r="H75" s="33" t="str">
        <f>_xlfn.XLOOKUP(TablaSTOCKINV[[#This Row],[SKU]],TablaINVENTARIO[SKU],TablaINVENTARIO[SERIAL])</f>
        <v>N/A</v>
      </c>
      <c r="I75" s="34" t="str">
        <f>_xlfn.XLOOKUP(TablaSTOCKINV[[#This Row],[SKU]],TablaINVENTARIO[SKU],TablaINVENTARIO[ALMACEN])</f>
        <v>ALMACEN PRINCIPAL</v>
      </c>
      <c r="J75" s="34" t="str">
        <f>_xlfn.XLOOKUP(TablaSTOCKINV[[#This Row],[SKU]],TablaINVENTARIO[SKU],TablaINVENTARIO[UBICACION])</f>
        <v>L2</v>
      </c>
      <c r="K75" s="34" t="str">
        <f>_xlfn.XLOOKUP(TablaSTOCKINV[[#This Row],[SKU]],TablaINVENTARIO[SKU],TablaINVENTARIO[DPTO RESPONSABLE])</f>
        <v>SIHO</v>
      </c>
      <c r="L75" s="36">
        <f>_xlfn.XLOOKUP(TablaSTOCKINV[[#This Row],[SKU]],TablaINVENTARIO[SKU],TablaINVENTARIO[RANGO MIN])</f>
        <v>0</v>
      </c>
      <c r="M75" s="34" cm="1">
        <f t="array" ref="M75">_xlfn.IFS(TablaSTOCKINV[[#This Row],[CANT. TOTAL]]&lt;=0,1,TablaSTOCKINV[[#This Row],[CANT. TOTAL]]&lt;=TablaSTOCKINV[[#This Row],[MIN]],2,TablaSTOCKINV[[#This Row],[CANT. TOTAL]]&gt;TablaSTOCKINV[[#This Row],[MIN]],3)</f>
        <v>3</v>
      </c>
      <c r="N75" s="34">
        <f>TablaSTOCKINV[[#This Row],[ENTRADAS]]-TablaSTOCKINV[[#This Row],[SALIDAS]]</f>
        <v>1</v>
      </c>
      <c r="O75" s="35">
        <f>SUMIFS(TablaENTRADA[CANT],TablaENTRADA[SKU],TablaSTOCKINV[[#This Row],[SKU]])</f>
        <v>1</v>
      </c>
      <c r="P75" s="35">
        <f>SUMIFS(TablaSALIDA[CANT],TablaSALIDA[SKU],TablaSTOCKINV[[#This Row],[SKU]])</f>
        <v>0</v>
      </c>
      <c r="Q75" s="34">
        <f>_xlfn.XLOOKUP(TablaSTOCKINV[[#This Row],[SKU]],TablaINVENTARIO[SKU],TablaINVENTARIO[PRECIO])</f>
        <v>0</v>
      </c>
      <c r="R75" s="34">
        <f>TablaSTOCKINV[[#This Row],[P.UNITARIO]]*TablaSTOCKINV[[#This Row],[CANT. TOTAL]]</f>
        <v>0</v>
      </c>
      <c r="S75" s="44">
        <f>_xlfn.XLOOKUP(TablaSTOCKINV[[#This Row],[SKU]],TablaINVENTARIO[SKU],TablaINVENTARIO[FECHA INGRESO])</f>
        <v>46023</v>
      </c>
      <c r="T75" s="44">
        <f>_xlfn.XLOOKUP(TablaSTOCKINV[[#This Row],[SKU]],TablaENTRADA[SKU],TablaENTRADA[FECHA],,0,-1)</f>
        <v>46023</v>
      </c>
      <c r="U75" s="46" t="str">
        <f>IFERROR((_xlfn.XLOOKUP(TablaSTOCKINV[[#This Row],[SKU]],TablaSALIDA[SKU],TablaSALIDA[FECHA],,0,-1))," " )</f>
        <v xml:space="preserve"> </v>
      </c>
    </row>
    <row r="76" spans="1:21" x14ac:dyDescent="0.3">
      <c r="A76" s="27" t="s">
        <v>2164</v>
      </c>
      <c r="B76" s="32" t="str">
        <f>_xlfn.XLOOKUP(TablaSTOCKINV[[#This Row],[SKU]],TablaINVENTARIO[SKU],TablaINVENTARIO[DESCRIPCION])</f>
        <v>SEÑALIZACION "UTILICE EQUIPOS DE PROTECCION PERSONAL"</v>
      </c>
      <c r="C76" s="32" t="str">
        <f>_xlfn.XLOOKUP(TablaSTOCKINV[[#This Row],[SKU]],TablaINVENTARIO[SKU],TablaINVENTARIO[MARCA])</f>
        <v>N/A</v>
      </c>
      <c r="D76" s="33" t="str">
        <f>_xlfn.XLOOKUP(TablaSTOCKINV[[#This Row],[SKU]],TablaINVENTARIO[SKU],TablaINVENTARIO[CATEGORIA])</f>
        <v>SISTEMA_DE_SEGURIDAD</v>
      </c>
      <c r="E76" s="33" t="str">
        <f>_xlfn.XLOOKUP(TablaSTOCKINV[[#This Row],[SKU]],TablaINVENTARIO[SKU],TablaINVENTARIO[SUBCATEGORIA])</f>
        <v>SEÑALIZACIONES</v>
      </c>
      <c r="F76" s="33" t="str">
        <f>_xlfn.XLOOKUP(TablaSTOCKINV[[#This Row],[SKU]],TablaINVENTARIO[SKU],TablaINVENTARIO[ESTADO])</f>
        <v>USADO</v>
      </c>
      <c r="G76" s="33" t="str">
        <f>_xlfn.XLOOKUP(TablaSTOCKINV[[#This Row],[SKU]],TablaINVENTARIO[SKU],TablaINVENTARIO[MEDIDA])</f>
        <v xml:space="preserve">UND </v>
      </c>
      <c r="H76" s="33" t="str">
        <f>_xlfn.XLOOKUP(TablaSTOCKINV[[#This Row],[SKU]],TablaINVENTARIO[SKU],TablaINVENTARIO[SERIAL])</f>
        <v>N/A</v>
      </c>
      <c r="I76" s="34" t="str">
        <f>_xlfn.XLOOKUP(TablaSTOCKINV[[#This Row],[SKU]],TablaINVENTARIO[SKU],TablaINVENTARIO[ALMACEN])</f>
        <v>ALMACEN PRINCIPAL</v>
      </c>
      <c r="J76" s="34" t="str">
        <f>_xlfn.XLOOKUP(TablaSTOCKINV[[#This Row],[SKU]],TablaINVENTARIO[SKU],TablaINVENTARIO[UBICACION])</f>
        <v>L2</v>
      </c>
      <c r="K76" s="34" t="str">
        <f>_xlfn.XLOOKUP(TablaSTOCKINV[[#This Row],[SKU]],TablaINVENTARIO[SKU],TablaINVENTARIO[DPTO RESPONSABLE])</f>
        <v>SIHO</v>
      </c>
      <c r="L76" s="36">
        <f>_xlfn.XLOOKUP(TablaSTOCKINV[[#This Row],[SKU]],TablaINVENTARIO[SKU],TablaINVENTARIO[RANGO MIN])</f>
        <v>0</v>
      </c>
      <c r="M76" s="34" cm="1">
        <f t="array" ref="M76">_xlfn.IFS(TablaSTOCKINV[[#This Row],[CANT. TOTAL]]&lt;=0,1,TablaSTOCKINV[[#This Row],[CANT. TOTAL]]&lt;=TablaSTOCKINV[[#This Row],[MIN]],2,TablaSTOCKINV[[#This Row],[CANT. TOTAL]]&gt;TablaSTOCKINV[[#This Row],[MIN]],3)</f>
        <v>3</v>
      </c>
      <c r="N76" s="34">
        <f>TablaSTOCKINV[[#This Row],[ENTRADAS]]-TablaSTOCKINV[[#This Row],[SALIDAS]]</f>
        <v>1</v>
      </c>
      <c r="O76" s="35">
        <f>SUMIFS(TablaENTRADA[CANT],TablaENTRADA[SKU],TablaSTOCKINV[[#This Row],[SKU]])</f>
        <v>1</v>
      </c>
      <c r="P76" s="35">
        <f>SUMIFS(TablaSALIDA[CANT],TablaSALIDA[SKU],TablaSTOCKINV[[#This Row],[SKU]])</f>
        <v>0</v>
      </c>
      <c r="Q76" s="34">
        <f>_xlfn.XLOOKUP(TablaSTOCKINV[[#This Row],[SKU]],TablaINVENTARIO[SKU],TablaINVENTARIO[PRECIO])</f>
        <v>0</v>
      </c>
      <c r="R76" s="34">
        <f>TablaSTOCKINV[[#This Row],[P.UNITARIO]]*TablaSTOCKINV[[#This Row],[CANT. TOTAL]]</f>
        <v>0</v>
      </c>
      <c r="S76" s="44">
        <f>_xlfn.XLOOKUP(TablaSTOCKINV[[#This Row],[SKU]],TablaINVENTARIO[SKU],TablaINVENTARIO[FECHA INGRESO])</f>
        <v>46023</v>
      </c>
      <c r="T76" s="44">
        <f>_xlfn.XLOOKUP(TablaSTOCKINV[[#This Row],[SKU]],TablaENTRADA[SKU],TablaENTRADA[FECHA],,0,-1)</f>
        <v>46023</v>
      </c>
      <c r="U76" s="46" t="str">
        <f>IFERROR((_xlfn.XLOOKUP(TablaSTOCKINV[[#This Row],[SKU]],TablaSALIDA[SKU],TablaSALIDA[FECHA],,0,-1))," " )</f>
        <v xml:space="preserve"> </v>
      </c>
    </row>
    <row r="77" spans="1:21" x14ac:dyDescent="0.3">
      <c r="A77" s="27" t="s">
        <v>2166</v>
      </c>
      <c r="B77" s="32" t="str">
        <f>_xlfn.XLOOKUP(TablaSTOCKINV[[#This Row],[SKU]],TablaINVENTARIO[SKU],TablaINVENTARIO[DESCRIPCION])</f>
        <v>SEÑALIZACION "EXTINTOR CONTRA INCENDIOS"</v>
      </c>
      <c r="C77" s="32" t="str">
        <f>_xlfn.XLOOKUP(TablaSTOCKINV[[#This Row],[SKU]],TablaINVENTARIO[SKU],TablaINVENTARIO[MARCA])</f>
        <v>N/A</v>
      </c>
      <c r="D77" s="33" t="str">
        <f>_xlfn.XLOOKUP(TablaSTOCKINV[[#This Row],[SKU]],TablaINVENTARIO[SKU],TablaINVENTARIO[CATEGORIA])</f>
        <v>SISTEMA_DE_SEGURIDAD</v>
      </c>
      <c r="E77" s="33" t="str">
        <f>_xlfn.XLOOKUP(TablaSTOCKINV[[#This Row],[SKU]],TablaINVENTARIO[SKU],TablaINVENTARIO[SUBCATEGORIA])</f>
        <v>SEÑALIZACIONES</v>
      </c>
      <c r="F77" s="33" t="str">
        <f>_xlfn.XLOOKUP(TablaSTOCKINV[[#This Row],[SKU]],TablaINVENTARIO[SKU],TablaINVENTARIO[ESTADO])</f>
        <v>USADO</v>
      </c>
      <c r="G77" s="33" t="str">
        <f>_xlfn.XLOOKUP(TablaSTOCKINV[[#This Row],[SKU]],TablaINVENTARIO[SKU],TablaINVENTARIO[MEDIDA])</f>
        <v xml:space="preserve">UND </v>
      </c>
      <c r="H77" s="33" t="str">
        <f>_xlfn.XLOOKUP(TablaSTOCKINV[[#This Row],[SKU]],TablaINVENTARIO[SKU],TablaINVENTARIO[SERIAL])</f>
        <v>N/A</v>
      </c>
      <c r="I77" s="34" t="str">
        <f>_xlfn.XLOOKUP(TablaSTOCKINV[[#This Row],[SKU]],TablaINVENTARIO[SKU],TablaINVENTARIO[ALMACEN])</f>
        <v>ALMACEN PRINCIPAL</v>
      </c>
      <c r="J77" s="34" t="str">
        <f>_xlfn.XLOOKUP(TablaSTOCKINV[[#This Row],[SKU]],TablaINVENTARIO[SKU],TablaINVENTARIO[UBICACION])</f>
        <v>L2</v>
      </c>
      <c r="K77" s="34" t="str">
        <f>_xlfn.XLOOKUP(TablaSTOCKINV[[#This Row],[SKU]],TablaINVENTARIO[SKU],TablaINVENTARIO[DPTO RESPONSABLE])</f>
        <v>SIHO</v>
      </c>
      <c r="L77" s="36">
        <f>_xlfn.XLOOKUP(TablaSTOCKINV[[#This Row],[SKU]],TablaINVENTARIO[SKU],TablaINVENTARIO[RANGO MIN])</f>
        <v>0</v>
      </c>
      <c r="M77" s="34" cm="1">
        <f t="array" ref="M77">_xlfn.IFS(TablaSTOCKINV[[#This Row],[CANT. TOTAL]]&lt;=0,1,TablaSTOCKINV[[#This Row],[CANT. TOTAL]]&lt;=TablaSTOCKINV[[#This Row],[MIN]],2,TablaSTOCKINV[[#This Row],[CANT. TOTAL]]&gt;TablaSTOCKINV[[#This Row],[MIN]],3)</f>
        <v>3</v>
      </c>
      <c r="N77" s="34">
        <f>TablaSTOCKINV[[#This Row],[ENTRADAS]]-TablaSTOCKINV[[#This Row],[SALIDAS]]</f>
        <v>1</v>
      </c>
      <c r="O77" s="35">
        <f>SUMIFS(TablaENTRADA[CANT],TablaENTRADA[SKU],TablaSTOCKINV[[#This Row],[SKU]])</f>
        <v>1</v>
      </c>
      <c r="P77" s="35">
        <f>SUMIFS(TablaSALIDA[CANT],TablaSALIDA[SKU],TablaSTOCKINV[[#This Row],[SKU]])</f>
        <v>0</v>
      </c>
      <c r="Q77" s="34">
        <f>_xlfn.XLOOKUP(TablaSTOCKINV[[#This Row],[SKU]],TablaINVENTARIO[SKU],TablaINVENTARIO[PRECIO])</f>
        <v>0</v>
      </c>
      <c r="R77" s="34">
        <f>TablaSTOCKINV[[#This Row],[P.UNITARIO]]*TablaSTOCKINV[[#This Row],[CANT. TOTAL]]</f>
        <v>0</v>
      </c>
      <c r="S77" s="44">
        <f>_xlfn.XLOOKUP(TablaSTOCKINV[[#This Row],[SKU]],TablaINVENTARIO[SKU],TablaINVENTARIO[FECHA INGRESO])</f>
        <v>46023</v>
      </c>
      <c r="T77" s="44">
        <f>_xlfn.XLOOKUP(TablaSTOCKINV[[#This Row],[SKU]],TablaENTRADA[SKU],TablaENTRADA[FECHA],,0,-1)</f>
        <v>46023</v>
      </c>
      <c r="U77" s="46" t="str">
        <f>IFERROR((_xlfn.XLOOKUP(TablaSTOCKINV[[#This Row],[SKU]],TablaSALIDA[SKU],TablaSALIDA[FECHA],,0,-1))," " )</f>
        <v xml:space="preserve"> </v>
      </c>
    </row>
    <row r="78" spans="1:21" x14ac:dyDescent="0.3">
      <c r="A78" s="27" t="s">
        <v>2168</v>
      </c>
      <c r="B78" s="32" t="str">
        <f>_xlfn.XLOOKUP(TablaSTOCKINV[[#This Row],[SKU]],TablaINVENTARIO[SKU],TablaINVENTARIO[DESCRIPCION])</f>
        <v>SEÑALIZACION "DEPOSITE LOS PAPELES AQUI"</v>
      </c>
      <c r="C78" s="32" t="str">
        <f>_xlfn.XLOOKUP(TablaSTOCKINV[[#This Row],[SKU]],TablaINVENTARIO[SKU],TablaINVENTARIO[MARCA])</f>
        <v>N/A</v>
      </c>
      <c r="D78" s="33" t="str">
        <f>_xlfn.XLOOKUP(TablaSTOCKINV[[#This Row],[SKU]],TablaINVENTARIO[SKU],TablaINVENTARIO[CATEGORIA])</f>
        <v>SISTEMA_DE_SEGURIDAD</v>
      </c>
      <c r="E78" s="33" t="str">
        <f>_xlfn.XLOOKUP(TablaSTOCKINV[[#This Row],[SKU]],TablaINVENTARIO[SKU],TablaINVENTARIO[SUBCATEGORIA])</f>
        <v>SEÑALIZACIONES</v>
      </c>
      <c r="F78" s="33" t="str">
        <f>_xlfn.XLOOKUP(TablaSTOCKINV[[#This Row],[SKU]],TablaINVENTARIO[SKU],TablaINVENTARIO[ESTADO])</f>
        <v>USADO</v>
      </c>
      <c r="G78" s="33" t="str">
        <f>_xlfn.XLOOKUP(TablaSTOCKINV[[#This Row],[SKU]],TablaINVENTARIO[SKU],TablaINVENTARIO[MEDIDA])</f>
        <v xml:space="preserve">UND </v>
      </c>
      <c r="H78" s="33" t="str">
        <f>_xlfn.XLOOKUP(TablaSTOCKINV[[#This Row],[SKU]],TablaINVENTARIO[SKU],TablaINVENTARIO[SERIAL])</f>
        <v>N/A</v>
      </c>
      <c r="I78" s="34" t="str">
        <f>_xlfn.XLOOKUP(TablaSTOCKINV[[#This Row],[SKU]],TablaINVENTARIO[SKU],TablaINVENTARIO[ALMACEN])</f>
        <v>ALMACEN PRINCIPAL</v>
      </c>
      <c r="J78" s="34" t="str">
        <f>_xlfn.XLOOKUP(TablaSTOCKINV[[#This Row],[SKU]],TablaINVENTARIO[SKU],TablaINVENTARIO[UBICACION])</f>
        <v>L2</v>
      </c>
      <c r="K78" s="34" t="str">
        <f>_xlfn.XLOOKUP(TablaSTOCKINV[[#This Row],[SKU]],TablaINVENTARIO[SKU],TablaINVENTARIO[DPTO RESPONSABLE])</f>
        <v>SIHO</v>
      </c>
      <c r="L78" s="36">
        <f>_xlfn.XLOOKUP(TablaSTOCKINV[[#This Row],[SKU]],TablaINVENTARIO[SKU],TablaINVENTARIO[RANGO MIN])</f>
        <v>0</v>
      </c>
      <c r="M78" s="34" cm="1">
        <f t="array" ref="M78">_xlfn.IFS(TablaSTOCKINV[[#This Row],[CANT. TOTAL]]&lt;=0,1,TablaSTOCKINV[[#This Row],[CANT. TOTAL]]&lt;=TablaSTOCKINV[[#This Row],[MIN]],2,TablaSTOCKINV[[#This Row],[CANT. TOTAL]]&gt;TablaSTOCKINV[[#This Row],[MIN]],3)</f>
        <v>3</v>
      </c>
      <c r="N78" s="34">
        <f>TablaSTOCKINV[[#This Row],[ENTRADAS]]-TablaSTOCKINV[[#This Row],[SALIDAS]]</f>
        <v>2</v>
      </c>
      <c r="O78" s="35">
        <f>SUMIFS(TablaENTRADA[CANT],TablaENTRADA[SKU],TablaSTOCKINV[[#This Row],[SKU]])</f>
        <v>2</v>
      </c>
      <c r="P78" s="35">
        <f>SUMIFS(TablaSALIDA[CANT],TablaSALIDA[SKU],TablaSTOCKINV[[#This Row],[SKU]])</f>
        <v>0</v>
      </c>
      <c r="Q78" s="34">
        <f>_xlfn.XLOOKUP(TablaSTOCKINV[[#This Row],[SKU]],TablaINVENTARIO[SKU],TablaINVENTARIO[PRECIO])</f>
        <v>0</v>
      </c>
      <c r="R78" s="34">
        <f>TablaSTOCKINV[[#This Row],[P.UNITARIO]]*TablaSTOCKINV[[#This Row],[CANT. TOTAL]]</f>
        <v>0</v>
      </c>
      <c r="S78" s="44">
        <f>_xlfn.XLOOKUP(TablaSTOCKINV[[#This Row],[SKU]],TablaINVENTARIO[SKU],TablaINVENTARIO[FECHA INGRESO])</f>
        <v>46023</v>
      </c>
      <c r="T78" s="44">
        <f>_xlfn.XLOOKUP(TablaSTOCKINV[[#This Row],[SKU]],TablaENTRADA[SKU],TablaENTRADA[FECHA],,0,-1)</f>
        <v>46023</v>
      </c>
      <c r="U78" s="46" t="str">
        <f>IFERROR((_xlfn.XLOOKUP(TablaSTOCKINV[[#This Row],[SKU]],TablaSALIDA[SKU],TablaSALIDA[FECHA],,0,-1))," " )</f>
        <v xml:space="preserve"> </v>
      </c>
    </row>
    <row r="79" spans="1:21" x14ac:dyDescent="0.3">
      <c r="A79" s="27" t="s">
        <v>2170</v>
      </c>
      <c r="B79" s="32" t="str">
        <f>_xlfn.XLOOKUP(TablaSTOCKINV[[#This Row],[SKU]],TablaINVENTARIO[SKU],TablaINVENTARIO[DESCRIPCION])</f>
        <v>SEÑALIZACION "VIA DE ESCAPE"</v>
      </c>
      <c r="C79" s="32" t="str">
        <f>_xlfn.XLOOKUP(TablaSTOCKINV[[#This Row],[SKU]],TablaINVENTARIO[SKU],TablaINVENTARIO[MARCA])</f>
        <v>N/A</v>
      </c>
      <c r="D79" s="33" t="str">
        <f>_xlfn.XLOOKUP(TablaSTOCKINV[[#This Row],[SKU]],TablaINVENTARIO[SKU],TablaINVENTARIO[CATEGORIA])</f>
        <v>SISTEMA_DE_SEGURIDAD</v>
      </c>
      <c r="E79" s="33" t="str">
        <f>_xlfn.XLOOKUP(TablaSTOCKINV[[#This Row],[SKU]],TablaINVENTARIO[SKU],TablaINVENTARIO[SUBCATEGORIA])</f>
        <v>SEÑALIZACIONES</v>
      </c>
      <c r="F79" s="33" t="str">
        <f>_xlfn.XLOOKUP(TablaSTOCKINV[[#This Row],[SKU]],TablaINVENTARIO[SKU],TablaINVENTARIO[ESTADO])</f>
        <v>USADO</v>
      </c>
      <c r="G79" s="33" t="str">
        <f>_xlfn.XLOOKUP(TablaSTOCKINV[[#This Row],[SKU]],TablaINVENTARIO[SKU],TablaINVENTARIO[MEDIDA])</f>
        <v xml:space="preserve">UND </v>
      </c>
      <c r="H79" s="33" t="str">
        <f>_xlfn.XLOOKUP(TablaSTOCKINV[[#This Row],[SKU]],TablaINVENTARIO[SKU],TablaINVENTARIO[SERIAL])</f>
        <v>N/A</v>
      </c>
      <c r="I79" s="34" t="str">
        <f>_xlfn.XLOOKUP(TablaSTOCKINV[[#This Row],[SKU]],TablaINVENTARIO[SKU],TablaINVENTARIO[ALMACEN])</f>
        <v>ALMACEN PRINCIPAL</v>
      </c>
      <c r="J79" s="34" t="str">
        <f>_xlfn.XLOOKUP(TablaSTOCKINV[[#This Row],[SKU]],TablaINVENTARIO[SKU],TablaINVENTARIO[UBICACION])</f>
        <v>L2</v>
      </c>
      <c r="K79" s="34" t="str">
        <f>_xlfn.XLOOKUP(TablaSTOCKINV[[#This Row],[SKU]],TablaINVENTARIO[SKU],TablaINVENTARIO[DPTO RESPONSABLE])</f>
        <v>SIHO</v>
      </c>
      <c r="L79" s="36">
        <f>_xlfn.XLOOKUP(TablaSTOCKINV[[#This Row],[SKU]],TablaINVENTARIO[SKU],TablaINVENTARIO[RANGO MIN])</f>
        <v>0</v>
      </c>
      <c r="M79" s="34" cm="1">
        <f t="array" ref="M79">_xlfn.IFS(TablaSTOCKINV[[#This Row],[CANT. TOTAL]]&lt;=0,1,TablaSTOCKINV[[#This Row],[CANT. TOTAL]]&lt;=TablaSTOCKINV[[#This Row],[MIN]],2,TablaSTOCKINV[[#This Row],[CANT. TOTAL]]&gt;TablaSTOCKINV[[#This Row],[MIN]],3)</f>
        <v>3</v>
      </c>
      <c r="N79" s="34">
        <f>TablaSTOCKINV[[#This Row],[ENTRADAS]]-TablaSTOCKINV[[#This Row],[SALIDAS]]</f>
        <v>7</v>
      </c>
      <c r="O79" s="35">
        <f>SUMIFS(TablaENTRADA[CANT],TablaENTRADA[SKU],TablaSTOCKINV[[#This Row],[SKU]])</f>
        <v>7</v>
      </c>
      <c r="P79" s="35">
        <f>SUMIFS(TablaSALIDA[CANT],TablaSALIDA[SKU],TablaSTOCKINV[[#This Row],[SKU]])</f>
        <v>0</v>
      </c>
      <c r="Q79" s="34">
        <f>_xlfn.XLOOKUP(TablaSTOCKINV[[#This Row],[SKU]],TablaINVENTARIO[SKU],TablaINVENTARIO[PRECIO])</f>
        <v>0</v>
      </c>
      <c r="R79" s="34">
        <f>TablaSTOCKINV[[#This Row],[P.UNITARIO]]*TablaSTOCKINV[[#This Row],[CANT. TOTAL]]</f>
        <v>0</v>
      </c>
      <c r="S79" s="44">
        <f>_xlfn.XLOOKUP(TablaSTOCKINV[[#This Row],[SKU]],TablaINVENTARIO[SKU],TablaINVENTARIO[FECHA INGRESO])</f>
        <v>46023</v>
      </c>
      <c r="T79" s="44">
        <f>_xlfn.XLOOKUP(TablaSTOCKINV[[#This Row],[SKU]],TablaENTRADA[SKU],TablaENTRADA[FECHA],,0,-1)</f>
        <v>46023</v>
      </c>
      <c r="U79" s="46" t="str">
        <f>IFERROR((_xlfn.XLOOKUP(TablaSTOCKINV[[#This Row],[SKU]],TablaSALIDA[SKU],TablaSALIDA[FECHA],,0,-1))," " )</f>
        <v xml:space="preserve"> </v>
      </c>
    </row>
    <row r="80" spans="1:21" x14ac:dyDescent="0.3">
      <c r="A80" s="27" t="s">
        <v>2172</v>
      </c>
      <c r="B80" s="32" t="str">
        <f>_xlfn.XLOOKUP(TablaSTOCKINV[[#This Row],[SKU]],TablaINVENTARIO[SKU],TablaINVENTARIO[DESCRIPCION])</f>
        <v>SEÑALIZACION "USE CARETA"</v>
      </c>
      <c r="C80" s="32" t="str">
        <f>_xlfn.XLOOKUP(TablaSTOCKINV[[#This Row],[SKU]],TablaINVENTARIO[SKU],TablaINVENTARIO[MARCA])</f>
        <v>N/A</v>
      </c>
      <c r="D80" s="33" t="str">
        <f>_xlfn.XLOOKUP(TablaSTOCKINV[[#This Row],[SKU]],TablaINVENTARIO[SKU],TablaINVENTARIO[CATEGORIA])</f>
        <v>SISTEMA_DE_SEGURIDAD</v>
      </c>
      <c r="E80" s="33" t="str">
        <f>_xlfn.XLOOKUP(TablaSTOCKINV[[#This Row],[SKU]],TablaINVENTARIO[SKU],TablaINVENTARIO[SUBCATEGORIA])</f>
        <v>SEÑALIZACIONES</v>
      </c>
      <c r="F80" s="33" t="str">
        <f>_xlfn.XLOOKUP(TablaSTOCKINV[[#This Row],[SKU]],TablaINVENTARIO[SKU],TablaINVENTARIO[ESTADO])</f>
        <v>NUEVO</v>
      </c>
      <c r="G80" s="33" t="str">
        <f>_xlfn.XLOOKUP(TablaSTOCKINV[[#This Row],[SKU]],TablaINVENTARIO[SKU],TablaINVENTARIO[MEDIDA])</f>
        <v xml:space="preserve">UND </v>
      </c>
      <c r="H80" s="33" t="str">
        <f>_xlfn.XLOOKUP(TablaSTOCKINV[[#This Row],[SKU]],TablaINVENTARIO[SKU],TablaINVENTARIO[SERIAL])</f>
        <v>N/A</v>
      </c>
      <c r="I80" s="34" t="str">
        <f>_xlfn.XLOOKUP(TablaSTOCKINV[[#This Row],[SKU]],TablaINVENTARIO[SKU],TablaINVENTARIO[ALMACEN])</f>
        <v>ALMACEN PRINCIPAL</v>
      </c>
      <c r="J80" s="34" t="str">
        <f>_xlfn.XLOOKUP(TablaSTOCKINV[[#This Row],[SKU]],TablaINVENTARIO[SKU],TablaINVENTARIO[UBICACION])</f>
        <v>L2</v>
      </c>
      <c r="K80" s="34" t="str">
        <f>_xlfn.XLOOKUP(TablaSTOCKINV[[#This Row],[SKU]],TablaINVENTARIO[SKU],TablaINVENTARIO[DPTO RESPONSABLE])</f>
        <v>SIHO</v>
      </c>
      <c r="L80" s="36">
        <f>_xlfn.XLOOKUP(TablaSTOCKINV[[#This Row],[SKU]],TablaINVENTARIO[SKU],TablaINVENTARIO[RANGO MIN])</f>
        <v>0</v>
      </c>
      <c r="M80" s="34" cm="1">
        <f t="array" ref="M80">_xlfn.IFS(TablaSTOCKINV[[#This Row],[CANT. TOTAL]]&lt;=0,1,TablaSTOCKINV[[#This Row],[CANT. TOTAL]]&lt;=TablaSTOCKINV[[#This Row],[MIN]],2,TablaSTOCKINV[[#This Row],[CANT. TOTAL]]&gt;TablaSTOCKINV[[#This Row],[MIN]],3)</f>
        <v>3</v>
      </c>
      <c r="N80" s="34">
        <f>TablaSTOCKINV[[#This Row],[ENTRADAS]]-TablaSTOCKINV[[#This Row],[SALIDAS]]</f>
        <v>8</v>
      </c>
      <c r="O80" s="35">
        <f>SUMIFS(TablaENTRADA[CANT],TablaENTRADA[SKU],TablaSTOCKINV[[#This Row],[SKU]])</f>
        <v>8</v>
      </c>
      <c r="P80" s="35">
        <f>SUMIFS(TablaSALIDA[CANT],TablaSALIDA[SKU],TablaSTOCKINV[[#This Row],[SKU]])</f>
        <v>0</v>
      </c>
      <c r="Q80" s="34">
        <f>_xlfn.XLOOKUP(TablaSTOCKINV[[#This Row],[SKU]],TablaINVENTARIO[SKU],TablaINVENTARIO[PRECIO])</f>
        <v>0</v>
      </c>
      <c r="R80" s="34">
        <f>TablaSTOCKINV[[#This Row],[P.UNITARIO]]*TablaSTOCKINV[[#This Row],[CANT. TOTAL]]</f>
        <v>0</v>
      </c>
      <c r="S80" s="44">
        <f>_xlfn.XLOOKUP(TablaSTOCKINV[[#This Row],[SKU]],TablaINVENTARIO[SKU],TablaINVENTARIO[FECHA INGRESO])</f>
        <v>46023</v>
      </c>
      <c r="T80" s="44">
        <f>_xlfn.XLOOKUP(TablaSTOCKINV[[#This Row],[SKU]],TablaENTRADA[SKU],TablaENTRADA[FECHA],,0,-1)</f>
        <v>46023</v>
      </c>
      <c r="U80" s="46" t="str">
        <f>IFERROR((_xlfn.XLOOKUP(TablaSTOCKINV[[#This Row],[SKU]],TablaSALIDA[SKU],TablaSALIDA[FECHA],,0,-1))," " )</f>
        <v xml:space="preserve"> </v>
      </c>
    </row>
    <row r="81" spans="1:21" x14ac:dyDescent="0.3">
      <c r="A81" s="27" t="s">
        <v>2174</v>
      </c>
      <c r="B81" s="32" t="str">
        <f>_xlfn.XLOOKUP(TablaSTOCKINV[[#This Row],[SKU]],TablaINVENTARIO[SKU],TablaINVENTARIO[DESCRIPCION])</f>
        <v>SEÑALIZACION PARA BAÑO "FIGURA MASCULINA"</v>
      </c>
      <c r="C81" s="32" t="str">
        <f>_xlfn.XLOOKUP(TablaSTOCKINV[[#This Row],[SKU]],TablaINVENTARIO[SKU],TablaINVENTARIO[MARCA])</f>
        <v>N/A</v>
      </c>
      <c r="D81" s="33" t="str">
        <f>_xlfn.XLOOKUP(TablaSTOCKINV[[#This Row],[SKU]],TablaINVENTARIO[SKU],TablaINVENTARIO[CATEGORIA])</f>
        <v>SISTEMA_DE_SEGURIDAD</v>
      </c>
      <c r="E81" s="33" t="str">
        <f>_xlfn.XLOOKUP(TablaSTOCKINV[[#This Row],[SKU]],TablaINVENTARIO[SKU],TablaINVENTARIO[SUBCATEGORIA])</f>
        <v>SEÑALIZACIONES</v>
      </c>
      <c r="F81" s="33" t="str">
        <f>_xlfn.XLOOKUP(TablaSTOCKINV[[#This Row],[SKU]],TablaINVENTARIO[SKU],TablaINVENTARIO[ESTADO])</f>
        <v>USADO</v>
      </c>
      <c r="G81" s="33" t="str">
        <f>_xlfn.XLOOKUP(TablaSTOCKINV[[#This Row],[SKU]],TablaINVENTARIO[SKU],TablaINVENTARIO[MEDIDA])</f>
        <v xml:space="preserve">UND </v>
      </c>
      <c r="H81" s="33" t="str">
        <f>_xlfn.XLOOKUP(TablaSTOCKINV[[#This Row],[SKU]],TablaINVENTARIO[SKU],TablaINVENTARIO[SERIAL])</f>
        <v>N/A</v>
      </c>
      <c r="I81" s="34" t="str">
        <f>_xlfn.XLOOKUP(TablaSTOCKINV[[#This Row],[SKU]],TablaINVENTARIO[SKU],TablaINVENTARIO[ALMACEN])</f>
        <v>ALMACEN PRINCIPAL</v>
      </c>
      <c r="J81" s="34" t="str">
        <f>_xlfn.XLOOKUP(TablaSTOCKINV[[#This Row],[SKU]],TablaINVENTARIO[SKU],TablaINVENTARIO[UBICACION])</f>
        <v>L2</v>
      </c>
      <c r="K81" s="34" t="str">
        <f>_xlfn.XLOOKUP(TablaSTOCKINV[[#This Row],[SKU]],TablaINVENTARIO[SKU],TablaINVENTARIO[DPTO RESPONSABLE])</f>
        <v>SIHO</v>
      </c>
      <c r="L81" s="36">
        <f>_xlfn.XLOOKUP(TablaSTOCKINV[[#This Row],[SKU]],TablaINVENTARIO[SKU],TablaINVENTARIO[RANGO MIN])</f>
        <v>0</v>
      </c>
      <c r="M81" s="34" cm="1">
        <f t="array" ref="M81">_xlfn.IFS(TablaSTOCKINV[[#This Row],[CANT. TOTAL]]&lt;=0,1,TablaSTOCKINV[[#This Row],[CANT. TOTAL]]&lt;=TablaSTOCKINV[[#This Row],[MIN]],2,TablaSTOCKINV[[#This Row],[CANT. TOTAL]]&gt;TablaSTOCKINV[[#This Row],[MIN]],3)</f>
        <v>3</v>
      </c>
      <c r="N81" s="34">
        <f>TablaSTOCKINV[[#This Row],[ENTRADAS]]-TablaSTOCKINV[[#This Row],[SALIDAS]]</f>
        <v>1</v>
      </c>
      <c r="O81" s="35">
        <f>SUMIFS(TablaENTRADA[CANT],TablaENTRADA[SKU],TablaSTOCKINV[[#This Row],[SKU]])</f>
        <v>1</v>
      </c>
      <c r="P81" s="35">
        <f>SUMIFS(TablaSALIDA[CANT],TablaSALIDA[SKU],TablaSTOCKINV[[#This Row],[SKU]])</f>
        <v>0</v>
      </c>
      <c r="Q81" s="34">
        <f>_xlfn.XLOOKUP(TablaSTOCKINV[[#This Row],[SKU]],TablaINVENTARIO[SKU],TablaINVENTARIO[PRECIO])</f>
        <v>0</v>
      </c>
      <c r="R81" s="34">
        <f>TablaSTOCKINV[[#This Row],[P.UNITARIO]]*TablaSTOCKINV[[#This Row],[CANT. TOTAL]]</f>
        <v>0</v>
      </c>
      <c r="S81" s="44">
        <f>_xlfn.XLOOKUP(TablaSTOCKINV[[#This Row],[SKU]],TablaINVENTARIO[SKU],TablaINVENTARIO[FECHA INGRESO])</f>
        <v>46023</v>
      </c>
      <c r="T81" s="44">
        <f>_xlfn.XLOOKUP(TablaSTOCKINV[[#This Row],[SKU]],TablaENTRADA[SKU],TablaENTRADA[FECHA],,0,-1)</f>
        <v>46023</v>
      </c>
      <c r="U81" s="46" t="str">
        <f>IFERROR((_xlfn.XLOOKUP(TablaSTOCKINV[[#This Row],[SKU]],TablaSALIDA[SKU],TablaSALIDA[FECHA],,0,-1))," " )</f>
        <v xml:space="preserve"> </v>
      </c>
    </row>
    <row r="82" spans="1:21" x14ac:dyDescent="0.3">
      <c r="A82" s="27" t="s">
        <v>2176</v>
      </c>
      <c r="B82" s="32" t="str">
        <f>_xlfn.XLOOKUP(TablaSTOCKINV[[#This Row],[SKU]],TablaINVENTARIO[SKU],TablaINVENTARIO[DESCRIPCION])</f>
        <v>SEÑALIZACION "USE CASCO"</v>
      </c>
      <c r="C82" s="32" t="str">
        <f>_xlfn.XLOOKUP(TablaSTOCKINV[[#This Row],[SKU]],TablaINVENTARIO[SKU],TablaINVENTARIO[MARCA])</f>
        <v>N/A</v>
      </c>
      <c r="D82" s="33" t="str">
        <f>_xlfn.XLOOKUP(TablaSTOCKINV[[#This Row],[SKU]],TablaINVENTARIO[SKU],TablaINVENTARIO[CATEGORIA])</f>
        <v>SISTEMA_DE_SEGURIDAD</v>
      </c>
      <c r="E82" s="33" t="str">
        <f>_xlfn.XLOOKUP(TablaSTOCKINV[[#This Row],[SKU]],TablaINVENTARIO[SKU],TablaINVENTARIO[SUBCATEGORIA])</f>
        <v>SEÑALIZACIONES</v>
      </c>
      <c r="F82" s="33" t="str">
        <f>_xlfn.XLOOKUP(TablaSTOCKINV[[#This Row],[SKU]],TablaINVENTARIO[SKU],TablaINVENTARIO[ESTADO])</f>
        <v>NUEVO</v>
      </c>
      <c r="G82" s="33" t="str">
        <f>_xlfn.XLOOKUP(TablaSTOCKINV[[#This Row],[SKU]],TablaINVENTARIO[SKU],TablaINVENTARIO[MEDIDA])</f>
        <v xml:space="preserve">UND </v>
      </c>
      <c r="H82" s="33" t="str">
        <f>_xlfn.XLOOKUP(TablaSTOCKINV[[#This Row],[SKU]],TablaINVENTARIO[SKU],TablaINVENTARIO[SERIAL])</f>
        <v>N/A</v>
      </c>
      <c r="I82" s="34" t="str">
        <f>_xlfn.XLOOKUP(TablaSTOCKINV[[#This Row],[SKU]],TablaINVENTARIO[SKU],TablaINVENTARIO[ALMACEN])</f>
        <v>ALMACEN PRINCIPAL</v>
      </c>
      <c r="J82" s="34" t="str">
        <f>_xlfn.XLOOKUP(TablaSTOCKINV[[#This Row],[SKU]],TablaINVENTARIO[SKU],TablaINVENTARIO[UBICACION])</f>
        <v>L2</v>
      </c>
      <c r="K82" s="34" t="str">
        <f>_xlfn.XLOOKUP(TablaSTOCKINV[[#This Row],[SKU]],TablaINVENTARIO[SKU],TablaINVENTARIO[DPTO RESPONSABLE])</f>
        <v>SIHO</v>
      </c>
      <c r="L82" s="36">
        <f>_xlfn.XLOOKUP(TablaSTOCKINV[[#This Row],[SKU]],TablaINVENTARIO[SKU],TablaINVENTARIO[RANGO MIN])</f>
        <v>0</v>
      </c>
      <c r="M82" s="34" cm="1">
        <f t="array" ref="M82">_xlfn.IFS(TablaSTOCKINV[[#This Row],[CANT. TOTAL]]&lt;=0,1,TablaSTOCKINV[[#This Row],[CANT. TOTAL]]&lt;=TablaSTOCKINV[[#This Row],[MIN]],2,TablaSTOCKINV[[#This Row],[CANT. TOTAL]]&gt;TablaSTOCKINV[[#This Row],[MIN]],3)</f>
        <v>3</v>
      </c>
      <c r="N82" s="34">
        <f>TablaSTOCKINV[[#This Row],[ENTRADAS]]-TablaSTOCKINV[[#This Row],[SALIDAS]]</f>
        <v>3</v>
      </c>
      <c r="O82" s="35">
        <f>SUMIFS(TablaENTRADA[CANT],TablaENTRADA[SKU],TablaSTOCKINV[[#This Row],[SKU]])</f>
        <v>3</v>
      </c>
      <c r="P82" s="35">
        <f>SUMIFS(TablaSALIDA[CANT],TablaSALIDA[SKU],TablaSTOCKINV[[#This Row],[SKU]])</f>
        <v>0</v>
      </c>
      <c r="Q82" s="34">
        <f>_xlfn.XLOOKUP(TablaSTOCKINV[[#This Row],[SKU]],TablaINVENTARIO[SKU],TablaINVENTARIO[PRECIO])</f>
        <v>0</v>
      </c>
      <c r="R82" s="34">
        <f>TablaSTOCKINV[[#This Row],[P.UNITARIO]]*TablaSTOCKINV[[#This Row],[CANT. TOTAL]]</f>
        <v>0</v>
      </c>
      <c r="S82" s="44">
        <f>_xlfn.XLOOKUP(TablaSTOCKINV[[#This Row],[SKU]],TablaINVENTARIO[SKU],TablaINVENTARIO[FECHA INGRESO])</f>
        <v>46023</v>
      </c>
      <c r="T82" s="44">
        <f>_xlfn.XLOOKUP(TablaSTOCKINV[[#This Row],[SKU]],TablaENTRADA[SKU],TablaENTRADA[FECHA],,0,-1)</f>
        <v>46023</v>
      </c>
      <c r="U82" s="46" t="str">
        <f>IFERROR((_xlfn.XLOOKUP(TablaSTOCKINV[[#This Row],[SKU]],TablaSALIDA[SKU],TablaSALIDA[FECHA],,0,-1))," " )</f>
        <v xml:space="preserve"> </v>
      </c>
    </row>
    <row r="83" spans="1:21" x14ac:dyDescent="0.3">
      <c r="A83" s="27" t="s">
        <v>2178</v>
      </c>
      <c r="B83" s="32" t="str">
        <f>_xlfn.XLOOKUP(TablaSTOCKINV[[#This Row],[SKU]],TablaINVENTARIO[SKU],TablaINVENTARIO[DESCRIPCION])</f>
        <v>SEÑALIZACION "USE GUANTES"</v>
      </c>
      <c r="C83" s="32" t="str">
        <f>_xlfn.XLOOKUP(TablaSTOCKINV[[#This Row],[SKU]],TablaINVENTARIO[SKU],TablaINVENTARIO[MARCA])</f>
        <v>N/A</v>
      </c>
      <c r="D83" s="33" t="str">
        <f>_xlfn.XLOOKUP(TablaSTOCKINV[[#This Row],[SKU]],TablaINVENTARIO[SKU],TablaINVENTARIO[CATEGORIA])</f>
        <v>SISTEMA_DE_SEGURIDAD</v>
      </c>
      <c r="E83" s="33" t="str">
        <f>_xlfn.XLOOKUP(TablaSTOCKINV[[#This Row],[SKU]],TablaINVENTARIO[SKU],TablaINVENTARIO[SUBCATEGORIA])</f>
        <v>SEÑALIZACIONES</v>
      </c>
      <c r="F83" s="33" t="str">
        <f>_xlfn.XLOOKUP(TablaSTOCKINV[[#This Row],[SKU]],TablaINVENTARIO[SKU],TablaINVENTARIO[ESTADO])</f>
        <v>NUEVO</v>
      </c>
      <c r="G83" s="33" t="str">
        <f>_xlfn.XLOOKUP(TablaSTOCKINV[[#This Row],[SKU]],TablaINVENTARIO[SKU],TablaINVENTARIO[MEDIDA])</f>
        <v xml:space="preserve">UND </v>
      </c>
      <c r="H83" s="33" t="str">
        <f>_xlfn.XLOOKUP(TablaSTOCKINV[[#This Row],[SKU]],TablaINVENTARIO[SKU],TablaINVENTARIO[SERIAL])</f>
        <v>N/A</v>
      </c>
      <c r="I83" s="34" t="str">
        <f>_xlfn.XLOOKUP(TablaSTOCKINV[[#This Row],[SKU]],TablaINVENTARIO[SKU],TablaINVENTARIO[ALMACEN])</f>
        <v>ALMACEN PRINCIPAL</v>
      </c>
      <c r="J83" s="34" t="str">
        <f>_xlfn.XLOOKUP(TablaSTOCKINV[[#This Row],[SKU]],TablaINVENTARIO[SKU],TablaINVENTARIO[UBICACION])</f>
        <v>L2</v>
      </c>
      <c r="K83" s="34" t="str">
        <f>_xlfn.XLOOKUP(TablaSTOCKINV[[#This Row],[SKU]],TablaINVENTARIO[SKU],TablaINVENTARIO[DPTO RESPONSABLE])</f>
        <v>SIHO</v>
      </c>
      <c r="L83" s="36">
        <f>_xlfn.XLOOKUP(TablaSTOCKINV[[#This Row],[SKU]],TablaINVENTARIO[SKU],TablaINVENTARIO[RANGO MIN])</f>
        <v>0</v>
      </c>
      <c r="M83" s="34" cm="1">
        <f t="array" ref="M83">_xlfn.IFS(TablaSTOCKINV[[#This Row],[CANT. TOTAL]]&lt;=0,1,TablaSTOCKINV[[#This Row],[CANT. TOTAL]]&lt;=TablaSTOCKINV[[#This Row],[MIN]],2,TablaSTOCKINV[[#This Row],[CANT. TOTAL]]&gt;TablaSTOCKINV[[#This Row],[MIN]],3)</f>
        <v>3</v>
      </c>
      <c r="N83" s="34">
        <f>TablaSTOCKINV[[#This Row],[ENTRADAS]]-TablaSTOCKINV[[#This Row],[SALIDAS]]</f>
        <v>4</v>
      </c>
      <c r="O83" s="35">
        <f>SUMIFS(TablaENTRADA[CANT],TablaENTRADA[SKU],TablaSTOCKINV[[#This Row],[SKU]])</f>
        <v>4</v>
      </c>
      <c r="P83" s="35">
        <f>SUMIFS(TablaSALIDA[CANT],TablaSALIDA[SKU],TablaSTOCKINV[[#This Row],[SKU]])</f>
        <v>0</v>
      </c>
      <c r="Q83" s="34">
        <f>_xlfn.XLOOKUP(TablaSTOCKINV[[#This Row],[SKU]],TablaINVENTARIO[SKU],TablaINVENTARIO[PRECIO])</f>
        <v>0</v>
      </c>
      <c r="R83" s="34">
        <f>TablaSTOCKINV[[#This Row],[P.UNITARIO]]*TablaSTOCKINV[[#This Row],[CANT. TOTAL]]</f>
        <v>0</v>
      </c>
      <c r="S83" s="44">
        <f>_xlfn.XLOOKUP(TablaSTOCKINV[[#This Row],[SKU]],TablaINVENTARIO[SKU],TablaINVENTARIO[FECHA INGRESO])</f>
        <v>46023</v>
      </c>
      <c r="T83" s="44">
        <f>_xlfn.XLOOKUP(TablaSTOCKINV[[#This Row],[SKU]],TablaENTRADA[SKU],TablaENTRADA[FECHA],,0,-1)</f>
        <v>46023</v>
      </c>
      <c r="U83" s="46" t="str">
        <f>IFERROR((_xlfn.XLOOKUP(TablaSTOCKINV[[#This Row],[SKU]],TablaSALIDA[SKU],TablaSALIDA[FECHA],,0,-1))," " )</f>
        <v xml:space="preserve"> </v>
      </c>
    </row>
    <row r="84" spans="1:21" x14ac:dyDescent="0.3">
      <c r="A84" s="27" t="s">
        <v>2180</v>
      </c>
      <c r="B84" s="32" t="str">
        <f>_xlfn.XLOOKUP(TablaSTOCKINV[[#This Row],[SKU]],TablaINVENTARIO[SKU],TablaINVENTARIO[DESCRIPCION])</f>
        <v>SEÑALIZACION "USE ANTEOJOS"</v>
      </c>
      <c r="C84" s="32" t="str">
        <f>_xlfn.XLOOKUP(TablaSTOCKINV[[#This Row],[SKU]],TablaINVENTARIO[SKU],TablaINVENTARIO[MARCA])</f>
        <v>N/A</v>
      </c>
      <c r="D84" s="33" t="str">
        <f>_xlfn.XLOOKUP(TablaSTOCKINV[[#This Row],[SKU]],TablaINVENTARIO[SKU],TablaINVENTARIO[CATEGORIA])</f>
        <v>SISTEMA_DE_SEGURIDAD</v>
      </c>
      <c r="E84" s="33" t="str">
        <f>_xlfn.XLOOKUP(TablaSTOCKINV[[#This Row],[SKU]],TablaINVENTARIO[SKU],TablaINVENTARIO[SUBCATEGORIA])</f>
        <v>SEÑALIZACIONES</v>
      </c>
      <c r="F84" s="33" t="str">
        <f>_xlfn.XLOOKUP(TablaSTOCKINV[[#This Row],[SKU]],TablaINVENTARIO[SKU],TablaINVENTARIO[ESTADO])</f>
        <v>USADO</v>
      </c>
      <c r="G84" s="33" t="str">
        <f>_xlfn.XLOOKUP(TablaSTOCKINV[[#This Row],[SKU]],TablaINVENTARIO[SKU],TablaINVENTARIO[MEDIDA])</f>
        <v xml:space="preserve">UND </v>
      </c>
      <c r="H84" s="33" t="str">
        <f>_xlfn.XLOOKUP(TablaSTOCKINV[[#This Row],[SKU]],TablaINVENTARIO[SKU],TablaINVENTARIO[SERIAL])</f>
        <v>N/A</v>
      </c>
      <c r="I84" s="34" t="str">
        <f>_xlfn.XLOOKUP(TablaSTOCKINV[[#This Row],[SKU]],TablaINVENTARIO[SKU],TablaINVENTARIO[ALMACEN])</f>
        <v>ALMACEN PRINCIPAL</v>
      </c>
      <c r="J84" s="34" t="str">
        <f>_xlfn.XLOOKUP(TablaSTOCKINV[[#This Row],[SKU]],TablaINVENTARIO[SKU],TablaINVENTARIO[UBICACION])</f>
        <v>L2</v>
      </c>
      <c r="K84" s="34" t="str">
        <f>_xlfn.XLOOKUP(TablaSTOCKINV[[#This Row],[SKU]],TablaINVENTARIO[SKU],TablaINVENTARIO[DPTO RESPONSABLE])</f>
        <v>SIHO</v>
      </c>
      <c r="L84" s="36">
        <f>_xlfn.XLOOKUP(TablaSTOCKINV[[#This Row],[SKU]],TablaINVENTARIO[SKU],TablaINVENTARIO[RANGO MIN])</f>
        <v>0</v>
      </c>
      <c r="M84" s="34" cm="1">
        <f t="array" ref="M84">_xlfn.IFS(TablaSTOCKINV[[#This Row],[CANT. TOTAL]]&lt;=0,1,TablaSTOCKINV[[#This Row],[CANT. TOTAL]]&lt;=TablaSTOCKINV[[#This Row],[MIN]],2,TablaSTOCKINV[[#This Row],[CANT. TOTAL]]&gt;TablaSTOCKINV[[#This Row],[MIN]],3)</f>
        <v>3</v>
      </c>
      <c r="N84" s="34">
        <f>TablaSTOCKINV[[#This Row],[ENTRADAS]]-TablaSTOCKINV[[#This Row],[SALIDAS]]</f>
        <v>1</v>
      </c>
      <c r="O84" s="35">
        <f>SUMIFS(TablaENTRADA[CANT],TablaENTRADA[SKU],TablaSTOCKINV[[#This Row],[SKU]])</f>
        <v>1</v>
      </c>
      <c r="P84" s="35">
        <f>SUMIFS(TablaSALIDA[CANT],TablaSALIDA[SKU],TablaSTOCKINV[[#This Row],[SKU]])</f>
        <v>0</v>
      </c>
      <c r="Q84" s="34">
        <f>_xlfn.XLOOKUP(TablaSTOCKINV[[#This Row],[SKU]],TablaINVENTARIO[SKU],TablaINVENTARIO[PRECIO])</f>
        <v>0</v>
      </c>
      <c r="R84" s="34">
        <f>TablaSTOCKINV[[#This Row],[P.UNITARIO]]*TablaSTOCKINV[[#This Row],[CANT. TOTAL]]</f>
        <v>0</v>
      </c>
      <c r="S84" s="44">
        <f>_xlfn.XLOOKUP(TablaSTOCKINV[[#This Row],[SKU]],TablaINVENTARIO[SKU],TablaINVENTARIO[FECHA INGRESO])</f>
        <v>46023</v>
      </c>
      <c r="T84" s="44">
        <f>_xlfn.XLOOKUP(TablaSTOCKINV[[#This Row],[SKU]],TablaENTRADA[SKU],TablaENTRADA[FECHA],,0,-1)</f>
        <v>46023</v>
      </c>
      <c r="U84" s="46" t="str">
        <f>IFERROR((_xlfn.XLOOKUP(TablaSTOCKINV[[#This Row],[SKU]],TablaSALIDA[SKU],TablaSALIDA[FECHA],,0,-1))," " )</f>
        <v xml:space="preserve"> </v>
      </c>
    </row>
    <row r="85" spans="1:21" x14ac:dyDescent="0.3">
      <c r="A85" s="27" t="s">
        <v>2182</v>
      </c>
      <c r="B85" s="32" t="str">
        <f>_xlfn.XLOOKUP(TablaSTOCKINV[[#This Row],[SKU]],TablaINVENTARIO[SKU],TablaINVENTARIO[DESCRIPCION])</f>
        <v>SEÑALIZACION "MANTENGA ESTA AREA LIMPIA Y ORDENADA"</v>
      </c>
      <c r="C85" s="32" t="str">
        <f>_xlfn.XLOOKUP(TablaSTOCKINV[[#This Row],[SKU]],TablaINVENTARIO[SKU],TablaINVENTARIO[MARCA])</f>
        <v>N/A</v>
      </c>
      <c r="D85" s="33" t="str">
        <f>_xlfn.XLOOKUP(TablaSTOCKINV[[#This Row],[SKU]],TablaINVENTARIO[SKU],TablaINVENTARIO[CATEGORIA])</f>
        <v>SISTEMA_DE_SEGURIDAD</v>
      </c>
      <c r="E85" s="33" t="str">
        <f>_xlfn.XLOOKUP(TablaSTOCKINV[[#This Row],[SKU]],TablaINVENTARIO[SKU],TablaINVENTARIO[SUBCATEGORIA])</f>
        <v>SEÑALIZACIONES</v>
      </c>
      <c r="F85" s="33" t="str">
        <f>_xlfn.XLOOKUP(TablaSTOCKINV[[#This Row],[SKU]],TablaINVENTARIO[SKU],TablaINVENTARIO[ESTADO])</f>
        <v>USADO</v>
      </c>
      <c r="G85" s="33" t="str">
        <f>_xlfn.XLOOKUP(TablaSTOCKINV[[#This Row],[SKU]],TablaINVENTARIO[SKU],TablaINVENTARIO[MEDIDA])</f>
        <v xml:space="preserve">UND </v>
      </c>
      <c r="H85" s="33" t="str">
        <f>_xlfn.XLOOKUP(TablaSTOCKINV[[#This Row],[SKU]],TablaINVENTARIO[SKU],TablaINVENTARIO[SERIAL])</f>
        <v>N/A</v>
      </c>
      <c r="I85" s="34" t="str">
        <f>_xlfn.XLOOKUP(TablaSTOCKINV[[#This Row],[SKU]],TablaINVENTARIO[SKU],TablaINVENTARIO[ALMACEN])</f>
        <v>ALMACEN PRINCIPAL</v>
      </c>
      <c r="J85" s="34" t="str">
        <f>_xlfn.XLOOKUP(TablaSTOCKINV[[#This Row],[SKU]],TablaINVENTARIO[SKU],TablaINVENTARIO[UBICACION])</f>
        <v>L2</v>
      </c>
      <c r="K85" s="34" t="str">
        <f>_xlfn.XLOOKUP(TablaSTOCKINV[[#This Row],[SKU]],TablaINVENTARIO[SKU],TablaINVENTARIO[DPTO RESPONSABLE])</f>
        <v>SIHO</v>
      </c>
      <c r="L85" s="36">
        <f>_xlfn.XLOOKUP(TablaSTOCKINV[[#This Row],[SKU]],TablaINVENTARIO[SKU],TablaINVENTARIO[RANGO MIN])</f>
        <v>0</v>
      </c>
      <c r="M85" s="34" cm="1">
        <f t="array" ref="M85">_xlfn.IFS(TablaSTOCKINV[[#This Row],[CANT. TOTAL]]&lt;=0,1,TablaSTOCKINV[[#This Row],[CANT. TOTAL]]&lt;=TablaSTOCKINV[[#This Row],[MIN]],2,TablaSTOCKINV[[#This Row],[CANT. TOTAL]]&gt;TablaSTOCKINV[[#This Row],[MIN]],3)</f>
        <v>3</v>
      </c>
      <c r="N85" s="34">
        <f>TablaSTOCKINV[[#This Row],[ENTRADAS]]-TablaSTOCKINV[[#This Row],[SALIDAS]]</f>
        <v>5</v>
      </c>
      <c r="O85" s="35">
        <f>SUMIFS(TablaENTRADA[CANT],TablaENTRADA[SKU],TablaSTOCKINV[[#This Row],[SKU]])</f>
        <v>5</v>
      </c>
      <c r="P85" s="35">
        <f>SUMIFS(TablaSALIDA[CANT],TablaSALIDA[SKU],TablaSTOCKINV[[#This Row],[SKU]])</f>
        <v>0</v>
      </c>
      <c r="Q85" s="34">
        <f>_xlfn.XLOOKUP(TablaSTOCKINV[[#This Row],[SKU]],TablaINVENTARIO[SKU],TablaINVENTARIO[PRECIO])</f>
        <v>0</v>
      </c>
      <c r="R85" s="34">
        <f>TablaSTOCKINV[[#This Row],[P.UNITARIO]]*TablaSTOCKINV[[#This Row],[CANT. TOTAL]]</f>
        <v>0</v>
      </c>
      <c r="S85" s="44">
        <f>_xlfn.XLOOKUP(TablaSTOCKINV[[#This Row],[SKU]],TablaINVENTARIO[SKU],TablaINVENTARIO[FECHA INGRESO])</f>
        <v>46023</v>
      </c>
      <c r="T85" s="44">
        <f>_xlfn.XLOOKUP(TablaSTOCKINV[[#This Row],[SKU]],TablaENTRADA[SKU],TablaENTRADA[FECHA],,0,-1)</f>
        <v>46023</v>
      </c>
      <c r="U85" s="46" t="str">
        <f>IFERROR((_xlfn.XLOOKUP(TablaSTOCKINV[[#This Row],[SKU]],TablaSALIDA[SKU],TablaSALIDA[FECHA],,0,-1))," " )</f>
        <v xml:space="preserve"> </v>
      </c>
    </row>
    <row r="86" spans="1:21" x14ac:dyDescent="0.3">
      <c r="A86" s="27" t="s">
        <v>2184</v>
      </c>
      <c r="B86" s="32" t="str">
        <f>_xlfn.XLOOKUP(TablaSTOCKINV[[#This Row],[SKU]],TablaINVENTARIO[SKU],TablaINVENTARIO[DESCRIPCION])</f>
        <v>SEÑALIZACION "PUNTO DE REUNION"</v>
      </c>
      <c r="C86" s="32" t="str">
        <f>_xlfn.XLOOKUP(TablaSTOCKINV[[#This Row],[SKU]],TablaINVENTARIO[SKU],TablaINVENTARIO[MARCA])</f>
        <v>N/A</v>
      </c>
      <c r="D86" s="33" t="str">
        <f>_xlfn.XLOOKUP(TablaSTOCKINV[[#This Row],[SKU]],TablaINVENTARIO[SKU],TablaINVENTARIO[CATEGORIA])</f>
        <v>SISTEMA_DE_SEGURIDAD</v>
      </c>
      <c r="E86" s="33" t="str">
        <f>_xlfn.XLOOKUP(TablaSTOCKINV[[#This Row],[SKU]],TablaINVENTARIO[SKU],TablaINVENTARIO[SUBCATEGORIA])</f>
        <v>SEÑALIZACIONES</v>
      </c>
      <c r="F86" s="33" t="str">
        <f>_xlfn.XLOOKUP(TablaSTOCKINV[[#This Row],[SKU]],TablaINVENTARIO[SKU],TablaINVENTARIO[ESTADO])</f>
        <v>NUEVO</v>
      </c>
      <c r="G86" s="33" t="str">
        <f>_xlfn.XLOOKUP(TablaSTOCKINV[[#This Row],[SKU]],TablaINVENTARIO[SKU],TablaINVENTARIO[MEDIDA])</f>
        <v xml:space="preserve">UND </v>
      </c>
      <c r="H86" s="33" t="str">
        <f>_xlfn.XLOOKUP(TablaSTOCKINV[[#This Row],[SKU]],TablaINVENTARIO[SKU],TablaINVENTARIO[SERIAL])</f>
        <v>N/A</v>
      </c>
      <c r="I86" s="34" t="str">
        <f>_xlfn.XLOOKUP(TablaSTOCKINV[[#This Row],[SKU]],TablaINVENTARIO[SKU],TablaINVENTARIO[ALMACEN])</f>
        <v>ALMACEN PRINCIPAL</v>
      </c>
      <c r="J86" s="34" t="str">
        <f>_xlfn.XLOOKUP(TablaSTOCKINV[[#This Row],[SKU]],TablaINVENTARIO[SKU],TablaINVENTARIO[UBICACION])</f>
        <v>L2</v>
      </c>
      <c r="K86" s="34" t="str">
        <f>_xlfn.XLOOKUP(TablaSTOCKINV[[#This Row],[SKU]],TablaINVENTARIO[SKU],TablaINVENTARIO[DPTO RESPONSABLE])</f>
        <v>SIHO</v>
      </c>
      <c r="L86" s="36">
        <f>_xlfn.XLOOKUP(TablaSTOCKINV[[#This Row],[SKU]],TablaINVENTARIO[SKU],TablaINVENTARIO[RANGO MIN])</f>
        <v>0</v>
      </c>
      <c r="M86" s="34" cm="1">
        <f t="array" ref="M86">_xlfn.IFS(TablaSTOCKINV[[#This Row],[CANT. TOTAL]]&lt;=0,1,TablaSTOCKINV[[#This Row],[CANT. TOTAL]]&lt;=TablaSTOCKINV[[#This Row],[MIN]],2,TablaSTOCKINV[[#This Row],[CANT. TOTAL]]&gt;TablaSTOCKINV[[#This Row],[MIN]],3)</f>
        <v>3</v>
      </c>
      <c r="N86" s="34">
        <f>TablaSTOCKINV[[#This Row],[ENTRADAS]]-TablaSTOCKINV[[#This Row],[SALIDAS]]</f>
        <v>1</v>
      </c>
      <c r="O86" s="35">
        <f>SUMIFS(TablaENTRADA[CANT],TablaENTRADA[SKU],TablaSTOCKINV[[#This Row],[SKU]])</f>
        <v>1</v>
      </c>
      <c r="P86" s="35">
        <f>SUMIFS(TablaSALIDA[CANT],TablaSALIDA[SKU],TablaSTOCKINV[[#This Row],[SKU]])</f>
        <v>0</v>
      </c>
      <c r="Q86" s="34">
        <f>_xlfn.XLOOKUP(TablaSTOCKINV[[#This Row],[SKU]],TablaINVENTARIO[SKU],TablaINVENTARIO[PRECIO])</f>
        <v>0</v>
      </c>
      <c r="R86" s="34">
        <f>TablaSTOCKINV[[#This Row],[P.UNITARIO]]*TablaSTOCKINV[[#This Row],[CANT. TOTAL]]</f>
        <v>0</v>
      </c>
      <c r="S86" s="44">
        <f>_xlfn.XLOOKUP(TablaSTOCKINV[[#This Row],[SKU]],TablaINVENTARIO[SKU],TablaINVENTARIO[FECHA INGRESO])</f>
        <v>46023</v>
      </c>
      <c r="T86" s="44">
        <f>_xlfn.XLOOKUP(TablaSTOCKINV[[#This Row],[SKU]],TablaENTRADA[SKU],TablaENTRADA[FECHA],,0,-1)</f>
        <v>46023</v>
      </c>
      <c r="U86" s="46" t="str">
        <f>IFERROR((_xlfn.XLOOKUP(TablaSTOCKINV[[#This Row],[SKU]],TablaSALIDA[SKU],TablaSALIDA[FECHA],,0,-1))," " )</f>
        <v xml:space="preserve"> </v>
      </c>
    </row>
    <row r="87" spans="1:21" x14ac:dyDescent="0.3">
      <c r="A87" s="27" t="s">
        <v>2186</v>
      </c>
      <c r="B87" s="32" t="str">
        <f>_xlfn.XLOOKUP(TablaSTOCKINV[[#This Row],[SKU]],TablaINVENTARIO[SKU],TablaINVENTARIO[DESCRIPCION])</f>
        <v>SEÑALIZACION "USE  BOTAS"</v>
      </c>
      <c r="C87" s="32" t="str">
        <f>_xlfn.XLOOKUP(TablaSTOCKINV[[#This Row],[SKU]],TablaINVENTARIO[SKU],TablaINVENTARIO[MARCA])</f>
        <v>N/A</v>
      </c>
      <c r="D87" s="33" t="str">
        <f>_xlfn.XLOOKUP(TablaSTOCKINV[[#This Row],[SKU]],TablaINVENTARIO[SKU],TablaINVENTARIO[CATEGORIA])</f>
        <v>SISTEMA_DE_SEGURIDAD</v>
      </c>
      <c r="E87" s="33" t="str">
        <f>_xlfn.XLOOKUP(TablaSTOCKINV[[#This Row],[SKU]],TablaINVENTARIO[SKU],TablaINVENTARIO[SUBCATEGORIA])</f>
        <v>SEÑALIZACIONES</v>
      </c>
      <c r="F87" s="33" t="str">
        <f>_xlfn.XLOOKUP(TablaSTOCKINV[[#This Row],[SKU]],TablaINVENTARIO[SKU],TablaINVENTARIO[ESTADO])</f>
        <v>USADO</v>
      </c>
      <c r="G87" s="33" t="str">
        <f>_xlfn.XLOOKUP(TablaSTOCKINV[[#This Row],[SKU]],TablaINVENTARIO[SKU],TablaINVENTARIO[MEDIDA])</f>
        <v xml:space="preserve">UND </v>
      </c>
      <c r="H87" s="33" t="str">
        <f>_xlfn.XLOOKUP(TablaSTOCKINV[[#This Row],[SKU]],TablaINVENTARIO[SKU],TablaINVENTARIO[SERIAL])</f>
        <v>N/A</v>
      </c>
      <c r="I87" s="34" t="str">
        <f>_xlfn.XLOOKUP(TablaSTOCKINV[[#This Row],[SKU]],TablaINVENTARIO[SKU],TablaINVENTARIO[ALMACEN])</f>
        <v>ALMACEN PRINCIPAL</v>
      </c>
      <c r="J87" s="34" t="str">
        <f>_xlfn.XLOOKUP(TablaSTOCKINV[[#This Row],[SKU]],TablaINVENTARIO[SKU],TablaINVENTARIO[UBICACION])</f>
        <v>L2</v>
      </c>
      <c r="K87" s="34" t="str">
        <f>_xlfn.XLOOKUP(TablaSTOCKINV[[#This Row],[SKU]],TablaINVENTARIO[SKU],TablaINVENTARIO[DPTO RESPONSABLE])</f>
        <v>SIHO</v>
      </c>
      <c r="L87" s="36">
        <f>_xlfn.XLOOKUP(TablaSTOCKINV[[#This Row],[SKU]],TablaINVENTARIO[SKU],TablaINVENTARIO[RANGO MIN])</f>
        <v>0</v>
      </c>
      <c r="M87" s="34" cm="1">
        <f t="array" ref="M87">_xlfn.IFS(TablaSTOCKINV[[#This Row],[CANT. TOTAL]]&lt;=0,1,TablaSTOCKINV[[#This Row],[CANT. TOTAL]]&lt;=TablaSTOCKINV[[#This Row],[MIN]],2,TablaSTOCKINV[[#This Row],[CANT. TOTAL]]&gt;TablaSTOCKINV[[#This Row],[MIN]],3)</f>
        <v>3</v>
      </c>
      <c r="N87" s="34">
        <f>TablaSTOCKINV[[#This Row],[ENTRADAS]]-TablaSTOCKINV[[#This Row],[SALIDAS]]</f>
        <v>5</v>
      </c>
      <c r="O87" s="35">
        <f>SUMIFS(TablaENTRADA[CANT],TablaENTRADA[SKU],TablaSTOCKINV[[#This Row],[SKU]])</f>
        <v>5</v>
      </c>
      <c r="P87" s="35">
        <f>SUMIFS(TablaSALIDA[CANT],TablaSALIDA[SKU],TablaSTOCKINV[[#This Row],[SKU]])</f>
        <v>0</v>
      </c>
      <c r="Q87" s="34">
        <f>_xlfn.XLOOKUP(TablaSTOCKINV[[#This Row],[SKU]],TablaINVENTARIO[SKU],TablaINVENTARIO[PRECIO])</f>
        <v>0</v>
      </c>
      <c r="R87" s="34">
        <f>TablaSTOCKINV[[#This Row],[P.UNITARIO]]*TablaSTOCKINV[[#This Row],[CANT. TOTAL]]</f>
        <v>0</v>
      </c>
      <c r="S87" s="44">
        <f>_xlfn.XLOOKUP(TablaSTOCKINV[[#This Row],[SKU]],TablaINVENTARIO[SKU],TablaINVENTARIO[FECHA INGRESO])</f>
        <v>46023</v>
      </c>
      <c r="T87" s="44">
        <f>_xlfn.XLOOKUP(TablaSTOCKINV[[#This Row],[SKU]],TablaENTRADA[SKU],TablaENTRADA[FECHA],,0,-1)</f>
        <v>46023</v>
      </c>
      <c r="U87" s="46" t="str">
        <f>IFERROR((_xlfn.XLOOKUP(TablaSTOCKINV[[#This Row],[SKU]],TablaSALIDA[SKU],TablaSALIDA[FECHA],,0,-1))," " )</f>
        <v xml:space="preserve"> </v>
      </c>
    </row>
    <row r="88" spans="1:21" x14ac:dyDescent="0.3">
      <c r="A88" s="27" t="s">
        <v>2188</v>
      </c>
      <c r="B88" s="32" t="str">
        <f>_xlfn.XLOOKUP(TablaSTOCKINV[[#This Row],[SKU]],TablaINVENTARIO[SKU],TablaINVENTARIO[DESCRIPCION])</f>
        <v>SEÑALIZACION "PROHIBIDO FUMAR"</v>
      </c>
      <c r="C88" s="32" t="str">
        <f>_xlfn.XLOOKUP(TablaSTOCKINV[[#This Row],[SKU]],TablaINVENTARIO[SKU],TablaINVENTARIO[MARCA])</f>
        <v>N/A</v>
      </c>
      <c r="D88" s="33" t="str">
        <f>_xlfn.XLOOKUP(TablaSTOCKINV[[#This Row],[SKU]],TablaINVENTARIO[SKU],TablaINVENTARIO[CATEGORIA])</f>
        <v>SISTEMA_DE_SEGURIDAD</v>
      </c>
      <c r="E88" s="33" t="str">
        <f>_xlfn.XLOOKUP(TablaSTOCKINV[[#This Row],[SKU]],TablaINVENTARIO[SKU],TablaINVENTARIO[SUBCATEGORIA])</f>
        <v>SEÑALIZACIONES</v>
      </c>
      <c r="F88" s="33" t="str">
        <f>_xlfn.XLOOKUP(TablaSTOCKINV[[#This Row],[SKU]],TablaINVENTARIO[SKU],TablaINVENTARIO[ESTADO])</f>
        <v>USADO</v>
      </c>
      <c r="G88" s="33" t="str">
        <f>_xlfn.XLOOKUP(TablaSTOCKINV[[#This Row],[SKU]],TablaINVENTARIO[SKU],TablaINVENTARIO[MEDIDA])</f>
        <v xml:space="preserve">UND </v>
      </c>
      <c r="H88" s="33" t="str">
        <f>_xlfn.XLOOKUP(TablaSTOCKINV[[#This Row],[SKU]],TablaINVENTARIO[SKU],TablaINVENTARIO[SERIAL])</f>
        <v>N/A</v>
      </c>
      <c r="I88" s="34" t="str">
        <f>_xlfn.XLOOKUP(TablaSTOCKINV[[#This Row],[SKU]],TablaINVENTARIO[SKU],TablaINVENTARIO[ALMACEN])</f>
        <v>ALMACEN PRINCIPAL</v>
      </c>
      <c r="J88" s="34" t="str">
        <f>_xlfn.XLOOKUP(TablaSTOCKINV[[#This Row],[SKU]],TablaINVENTARIO[SKU],TablaINVENTARIO[UBICACION])</f>
        <v>L2</v>
      </c>
      <c r="K88" s="34" t="str">
        <f>_xlfn.XLOOKUP(TablaSTOCKINV[[#This Row],[SKU]],TablaINVENTARIO[SKU],TablaINVENTARIO[DPTO RESPONSABLE])</f>
        <v>SIHO</v>
      </c>
      <c r="L88" s="36">
        <f>_xlfn.XLOOKUP(TablaSTOCKINV[[#This Row],[SKU]],TablaINVENTARIO[SKU],TablaINVENTARIO[RANGO MIN])</f>
        <v>0</v>
      </c>
      <c r="M88" s="34" cm="1">
        <f t="array" ref="M88">_xlfn.IFS(TablaSTOCKINV[[#This Row],[CANT. TOTAL]]&lt;=0,1,TablaSTOCKINV[[#This Row],[CANT. TOTAL]]&lt;=TablaSTOCKINV[[#This Row],[MIN]],2,TablaSTOCKINV[[#This Row],[CANT. TOTAL]]&gt;TablaSTOCKINV[[#This Row],[MIN]],3)</f>
        <v>3</v>
      </c>
      <c r="N88" s="34">
        <f>TablaSTOCKINV[[#This Row],[ENTRADAS]]-TablaSTOCKINV[[#This Row],[SALIDAS]]</f>
        <v>2</v>
      </c>
      <c r="O88" s="35">
        <f>SUMIFS(TablaENTRADA[CANT],TablaENTRADA[SKU],TablaSTOCKINV[[#This Row],[SKU]])</f>
        <v>2</v>
      </c>
      <c r="P88" s="35">
        <f>SUMIFS(TablaSALIDA[CANT],TablaSALIDA[SKU],TablaSTOCKINV[[#This Row],[SKU]])</f>
        <v>0</v>
      </c>
      <c r="Q88" s="34">
        <f>_xlfn.XLOOKUP(TablaSTOCKINV[[#This Row],[SKU]],TablaINVENTARIO[SKU],TablaINVENTARIO[PRECIO])</f>
        <v>0</v>
      </c>
      <c r="R88" s="34">
        <f>TablaSTOCKINV[[#This Row],[P.UNITARIO]]*TablaSTOCKINV[[#This Row],[CANT. TOTAL]]</f>
        <v>0</v>
      </c>
      <c r="S88" s="44">
        <f>_xlfn.XLOOKUP(TablaSTOCKINV[[#This Row],[SKU]],TablaINVENTARIO[SKU],TablaINVENTARIO[FECHA INGRESO])</f>
        <v>46023</v>
      </c>
      <c r="T88" s="44">
        <f>_xlfn.XLOOKUP(TablaSTOCKINV[[#This Row],[SKU]],TablaENTRADA[SKU],TablaENTRADA[FECHA],,0,-1)</f>
        <v>46023</v>
      </c>
      <c r="U88" s="46" t="str">
        <f>IFERROR((_xlfn.XLOOKUP(TablaSTOCKINV[[#This Row],[SKU]],TablaSALIDA[SKU],TablaSALIDA[FECHA],,0,-1))," " )</f>
        <v xml:space="preserve"> </v>
      </c>
    </row>
    <row r="89" spans="1:21" x14ac:dyDescent="0.3">
      <c r="A89" s="27" t="s">
        <v>2190</v>
      </c>
      <c r="B89" s="32" t="str">
        <f>_xlfn.XLOOKUP(TablaSTOCKINV[[#This Row],[SKU]],TablaINVENTARIO[SKU],TablaINVENTARIO[DESCRIPCION])</f>
        <v>SEÑALIZACION "ESCALERA"</v>
      </c>
      <c r="C89" s="32" t="str">
        <f>_xlfn.XLOOKUP(TablaSTOCKINV[[#This Row],[SKU]],TablaINVENTARIO[SKU],TablaINVENTARIO[MARCA])</f>
        <v>N/A</v>
      </c>
      <c r="D89" s="33" t="str">
        <f>_xlfn.XLOOKUP(TablaSTOCKINV[[#This Row],[SKU]],TablaINVENTARIO[SKU],TablaINVENTARIO[CATEGORIA])</f>
        <v>SISTEMA_DE_SEGURIDAD</v>
      </c>
      <c r="E89" s="33" t="str">
        <f>_xlfn.XLOOKUP(TablaSTOCKINV[[#This Row],[SKU]],TablaINVENTARIO[SKU],TablaINVENTARIO[SUBCATEGORIA])</f>
        <v>SEÑALIZACIONES</v>
      </c>
      <c r="F89" s="33" t="str">
        <f>_xlfn.XLOOKUP(TablaSTOCKINV[[#This Row],[SKU]],TablaINVENTARIO[SKU],TablaINVENTARIO[ESTADO])</f>
        <v>USADO</v>
      </c>
      <c r="G89" s="33" t="str">
        <f>_xlfn.XLOOKUP(TablaSTOCKINV[[#This Row],[SKU]],TablaINVENTARIO[SKU],TablaINVENTARIO[MEDIDA])</f>
        <v xml:space="preserve">UND </v>
      </c>
      <c r="H89" s="33" t="str">
        <f>_xlfn.XLOOKUP(TablaSTOCKINV[[#This Row],[SKU]],TablaINVENTARIO[SKU],TablaINVENTARIO[SERIAL])</f>
        <v>N/A</v>
      </c>
      <c r="I89" s="34" t="str">
        <f>_xlfn.XLOOKUP(TablaSTOCKINV[[#This Row],[SKU]],TablaINVENTARIO[SKU],TablaINVENTARIO[ALMACEN])</f>
        <v>ALMACEN PRINCIPAL</v>
      </c>
      <c r="J89" s="34" t="str">
        <f>_xlfn.XLOOKUP(TablaSTOCKINV[[#This Row],[SKU]],TablaINVENTARIO[SKU],TablaINVENTARIO[UBICACION])</f>
        <v>L2</v>
      </c>
      <c r="K89" s="34" t="str">
        <f>_xlfn.XLOOKUP(TablaSTOCKINV[[#This Row],[SKU]],TablaINVENTARIO[SKU],TablaINVENTARIO[DPTO RESPONSABLE])</f>
        <v>SIHO</v>
      </c>
      <c r="L89" s="36">
        <f>_xlfn.XLOOKUP(TablaSTOCKINV[[#This Row],[SKU]],TablaINVENTARIO[SKU],TablaINVENTARIO[RANGO MIN])</f>
        <v>0</v>
      </c>
      <c r="M89" s="34" cm="1">
        <f t="array" ref="M89">_xlfn.IFS(TablaSTOCKINV[[#This Row],[CANT. TOTAL]]&lt;=0,1,TablaSTOCKINV[[#This Row],[CANT. TOTAL]]&lt;=TablaSTOCKINV[[#This Row],[MIN]],2,TablaSTOCKINV[[#This Row],[CANT. TOTAL]]&gt;TablaSTOCKINV[[#This Row],[MIN]],3)</f>
        <v>3</v>
      </c>
      <c r="N89" s="34">
        <f>TablaSTOCKINV[[#This Row],[ENTRADAS]]-TablaSTOCKINV[[#This Row],[SALIDAS]]</f>
        <v>1</v>
      </c>
      <c r="O89" s="35">
        <f>SUMIFS(TablaENTRADA[CANT],TablaENTRADA[SKU],TablaSTOCKINV[[#This Row],[SKU]])</f>
        <v>1</v>
      </c>
      <c r="P89" s="35">
        <f>SUMIFS(TablaSALIDA[CANT],TablaSALIDA[SKU],TablaSTOCKINV[[#This Row],[SKU]])</f>
        <v>0</v>
      </c>
      <c r="Q89" s="34">
        <f>_xlfn.XLOOKUP(TablaSTOCKINV[[#This Row],[SKU]],TablaINVENTARIO[SKU],TablaINVENTARIO[PRECIO])</f>
        <v>0</v>
      </c>
      <c r="R89" s="34">
        <f>TablaSTOCKINV[[#This Row],[P.UNITARIO]]*TablaSTOCKINV[[#This Row],[CANT. TOTAL]]</f>
        <v>0</v>
      </c>
      <c r="S89" s="44">
        <f>_xlfn.XLOOKUP(TablaSTOCKINV[[#This Row],[SKU]],TablaINVENTARIO[SKU],TablaINVENTARIO[FECHA INGRESO])</f>
        <v>46023</v>
      </c>
      <c r="T89" s="44">
        <f>_xlfn.XLOOKUP(TablaSTOCKINV[[#This Row],[SKU]],TablaENTRADA[SKU],TablaENTRADA[FECHA],,0,-1)</f>
        <v>46023</v>
      </c>
      <c r="U89" s="46" t="str">
        <f>IFERROR((_xlfn.XLOOKUP(TablaSTOCKINV[[#This Row],[SKU]],TablaSALIDA[SKU],TablaSALIDA[FECHA],,0,-1))," " )</f>
        <v xml:space="preserve"> </v>
      </c>
    </row>
    <row r="90" spans="1:21" x14ac:dyDescent="0.3">
      <c r="A90" s="27" t="s">
        <v>2192</v>
      </c>
      <c r="B90" s="32" t="str">
        <f>_xlfn.XLOOKUP(TablaSTOCKINV[[#This Row],[SKU]],TablaINVENTARIO[SKU],TablaINVENTARIO[DESCRIPCION])</f>
        <v>SEÑALIZACION "HALE"</v>
      </c>
      <c r="C90" s="32" t="str">
        <f>_xlfn.XLOOKUP(TablaSTOCKINV[[#This Row],[SKU]],TablaINVENTARIO[SKU],TablaINVENTARIO[MARCA])</f>
        <v>N/A</v>
      </c>
      <c r="D90" s="33" t="str">
        <f>_xlfn.XLOOKUP(TablaSTOCKINV[[#This Row],[SKU]],TablaINVENTARIO[SKU],TablaINVENTARIO[CATEGORIA])</f>
        <v>SISTEMA_DE_SEGURIDAD</v>
      </c>
      <c r="E90" s="33" t="str">
        <f>_xlfn.XLOOKUP(TablaSTOCKINV[[#This Row],[SKU]],TablaINVENTARIO[SKU],TablaINVENTARIO[SUBCATEGORIA])</f>
        <v>SEÑALIZACIONES</v>
      </c>
      <c r="F90" s="33" t="str">
        <f>_xlfn.XLOOKUP(TablaSTOCKINV[[#This Row],[SKU]],TablaINVENTARIO[SKU],TablaINVENTARIO[ESTADO])</f>
        <v>USADO</v>
      </c>
      <c r="G90" s="33" t="str">
        <f>_xlfn.XLOOKUP(TablaSTOCKINV[[#This Row],[SKU]],TablaINVENTARIO[SKU],TablaINVENTARIO[MEDIDA])</f>
        <v xml:space="preserve">UND </v>
      </c>
      <c r="H90" s="33" t="str">
        <f>_xlfn.XLOOKUP(TablaSTOCKINV[[#This Row],[SKU]],TablaINVENTARIO[SKU],TablaINVENTARIO[SERIAL])</f>
        <v>N/A</v>
      </c>
      <c r="I90" s="34" t="str">
        <f>_xlfn.XLOOKUP(TablaSTOCKINV[[#This Row],[SKU]],TablaINVENTARIO[SKU],TablaINVENTARIO[ALMACEN])</f>
        <v>ALMACEN PRINCIPAL</v>
      </c>
      <c r="J90" s="34" t="str">
        <f>_xlfn.XLOOKUP(TablaSTOCKINV[[#This Row],[SKU]],TablaINVENTARIO[SKU],TablaINVENTARIO[UBICACION])</f>
        <v>L2</v>
      </c>
      <c r="K90" s="34" t="str">
        <f>_xlfn.XLOOKUP(TablaSTOCKINV[[#This Row],[SKU]],TablaINVENTARIO[SKU],TablaINVENTARIO[DPTO RESPONSABLE])</f>
        <v>SIHO</v>
      </c>
      <c r="L90" s="36">
        <f>_xlfn.XLOOKUP(TablaSTOCKINV[[#This Row],[SKU]],TablaINVENTARIO[SKU],TablaINVENTARIO[RANGO MIN])</f>
        <v>0</v>
      </c>
      <c r="M90" s="34" cm="1">
        <f t="array" ref="M90">_xlfn.IFS(TablaSTOCKINV[[#This Row],[CANT. TOTAL]]&lt;=0,1,TablaSTOCKINV[[#This Row],[CANT. TOTAL]]&lt;=TablaSTOCKINV[[#This Row],[MIN]],2,TablaSTOCKINV[[#This Row],[CANT. TOTAL]]&gt;TablaSTOCKINV[[#This Row],[MIN]],3)</f>
        <v>3</v>
      </c>
      <c r="N90" s="34">
        <f>TablaSTOCKINV[[#This Row],[ENTRADAS]]-TablaSTOCKINV[[#This Row],[SALIDAS]]</f>
        <v>1</v>
      </c>
      <c r="O90" s="35">
        <f>SUMIFS(TablaENTRADA[CANT],TablaENTRADA[SKU],TablaSTOCKINV[[#This Row],[SKU]])</f>
        <v>1</v>
      </c>
      <c r="P90" s="35">
        <f>SUMIFS(TablaSALIDA[CANT],TablaSALIDA[SKU],TablaSTOCKINV[[#This Row],[SKU]])</f>
        <v>0</v>
      </c>
      <c r="Q90" s="34">
        <f>_xlfn.XLOOKUP(TablaSTOCKINV[[#This Row],[SKU]],TablaINVENTARIO[SKU],TablaINVENTARIO[PRECIO])</f>
        <v>0</v>
      </c>
      <c r="R90" s="34">
        <f>TablaSTOCKINV[[#This Row],[P.UNITARIO]]*TablaSTOCKINV[[#This Row],[CANT. TOTAL]]</f>
        <v>0</v>
      </c>
      <c r="S90" s="44">
        <f>_xlfn.XLOOKUP(TablaSTOCKINV[[#This Row],[SKU]],TablaINVENTARIO[SKU],TablaINVENTARIO[FECHA INGRESO])</f>
        <v>46023</v>
      </c>
      <c r="T90" s="44">
        <f>_xlfn.XLOOKUP(TablaSTOCKINV[[#This Row],[SKU]],TablaENTRADA[SKU],TablaENTRADA[FECHA],,0,-1)</f>
        <v>46023</v>
      </c>
      <c r="U90" s="46" t="str">
        <f>IFERROR((_xlfn.XLOOKUP(TablaSTOCKINV[[#This Row],[SKU]],TablaSALIDA[SKU],TablaSALIDA[FECHA],,0,-1))," " )</f>
        <v xml:space="preserve"> </v>
      </c>
    </row>
    <row r="91" spans="1:21" x14ac:dyDescent="0.3">
      <c r="A91" s="27" t="s">
        <v>2194</v>
      </c>
      <c r="B91" s="32" t="str">
        <f>_xlfn.XLOOKUP(TablaSTOCKINV[[#This Row],[SKU]],TablaINVENTARIO[SKU],TablaINVENTARIO[DESCRIPCION])</f>
        <v>SEÑALIZACION "DESECHOS BIOLOGICOS"</v>
      </c>
      <c r="C91" s="32" t="str">
        <f>_xlfn.XLOOKUP(TablaSTOCKINV[[#This Row],[SKU]],TablaINVENTARIO[SKU],TablaINVENTARIO[MARCA])</f>
        <v>N/A</v>
      </c>
      <c r="D91" s="33" t="str">
        <f>_xlfn.XLOOKUP(TablaSTOCKINV[[#This Row],[SKU]],TablaINVENTARIO[SKU],TablaINVENTARIO[CATEGORIA])</f>
        <v>SISTEMA_DE_SEGURIDAD</v>
      </c>
      <c r="E91" s="33" t="str">
        <f>_xlfn.XLOOKUP(TablaSTOCKINV[[#This Row],[SKU]],TablaINVENTARIO[SKU],TablaINVENTARIO[SUBCATEGORIA])</f>
        <v>SEÑALIZACIONES</v>
      </c>
      <c r="F91" s="33" t="str">
        <f>_xlfn.XLOOKUP(TablaSTOCKINV[[#This Row],[SKU]],TablaINVENTARIO[SKU],TablaINVENTARIO[ESTADO])</f>
        <v>NUEVO</v>
      </c>
      <c r="G91" s="33" t="str">
        <f>_xlfn.XLOOKUP(TablaSTOCKINV[[#This Row],[SKU]],TablaINVENTARIO[SKU],TablaINVENTARIO[MEDIDA])</f>
        <v xml:space="preserve">UND </v>
      </c>
      <c r="H91" s="33" t="str">
        <f>_xlfn.XLOOKUP(TablaSTOCKINV[[#This Row],[SKU]],TablaINVENTARIO[SKU],TablaINVENTARIO[SERIAL])</f>
        <v>N/A</v>
      </c>
      <c r="I91" s="34" t="str">
        <f>_xlfn.XLOOKUP(TablaSTOCKINV[[#This Row],[SKU]],TablaINVENTARIO[SKU],TablaINVENTARIO[ALMACEN])</f>
        <v>ALMACEN PRINCIPAL</v>
      </c>
      <c r="J91" s="34" t="str">
        <f>_xlfn.XLOOKUP(TablaSTOCKINV[[#This Row],[SKU]],TablaINVENTARIO[SKU],TablaINVENTARIO[UBICACION])</f>
        <v>L2</v>
      </c>
      <c r="K91" s="34" t="str">
        <f>_xlfn.XLOOKUP(TablaSTOCKINV[[#This Row],[SKU]],TablaINVENTARIO[SKU],TablaINVENTARIO[DPTO RESPONSABLE])</f>
        <v>SIHO</v>
      </c>
      <c r="L91" s="36">
        <f>_xlfn.XLOOKUP(TablaSTOCKINV[[#This Row],[SKU]],TablaINVENTARIO[SKU],TablaINVENTARIO[RANGO MIN])</f>
        <v>0</v>
      </c>
      <c r="M91" s="34" cm="1">
        <f t="array" ref="M91">_xlfn.IFS(TablaSTOCKINV[[#This Row],[CANT. TOTAL]]&lt;=0,1,TablaSTOCKINV[[#This Row],[CANT. TOTAL]]&lt;=TablaSTOCKINV[[#This Row],[MIN]],2,TablaSTOCKINV[[#This Row],[CANT. TOTAL]]&gt;TablaSTOCKINV[[#This Row],[MIN]],3)</f>
        <v>3</v>
      </c>
      <c r="N91" s="34">
        <f>TablaSTOCKINV[[#This Row],[ENTRADAS]]-TablaSTOCKINV[[#This Row],[SALIDAS]]</f>
        <v>1</v>
      </c>
      <c r="O91" s="35">
        <f>SUMIFS(TablaENTRADA[CANT],TablaENTRADA[SKU],TablaSTOCKINV[[#This Row],[SKU]])</f>
        <v>1</v>
      </c>
      <c r="P91" s="35">
        <f>SUMIFS(TablaSALIDA[CANT],TablaSALIDA[SKU],TablaSTOCKINV[[#This Row],[SKU]])</f>
        <v>0</v>
      </c>
      <c r="Q91" s="34">
        <f>_xlfn.XLOOKUP(TablaSTOCKINV[[#This Row],[SKU]],TablaINVENTARIO[SKU],TablaINVENTARIO[PRECIO])</f>
        <v>0</v>
      </c>
      <c r="R91" s="34">
        <f>TablaSTOCKINV[[#This Row],[P.UNITARIO]]*TablaSTOCKINV[[#This Row],[CANT. TOTAL]]</f>
        <v>0</v>
      </c>
      <c r="S91" s="44">
        <f>_xlfn.XLOOKUP(TablaSTOCKINV[[#This Row],[SKU]],TablaINVENTARIO[SKU],TablaINVENTARIO[FECHA INGRESO])</f>
        <v>46023</v>
      </c>
      <c r="T91" s="44">
        <f>_xlfn.XLOOKUP(TablaSTOCKINV[[#This Row],[SKU]],TablaENTRADA[SKU],TablaENTRADA[FECHA],,0,-1)</f>
        <v>46023</v>
      </c>
      <c r="U91" s="46" t="str">
        <f>IFERROR((_xlfn.XLOOKUP(TablaSTOCKINV[[#This Row],[SKU]],TablaSALIDA[SKU],TablaSALIDA[FECHA],,0,-1))," " )</f>
        <v xml:space="preserve"> </v>
      </c>
    </row>
    <row r="92" spans="1:21" x14ac:dyDescent="0.3">
      <c r="A92" s="27" t="s">
        <v>2196</v>
      </c>
      <c r="B92" s="32" t="str">
        <f>_xlfn.XLOOKUP(TablaSTOCKINV[[#This Row],[SKU]],TablaINVENTARIO[SKU],TablaINVENTARIO[DESCRIPCION])</f>
        <v>SEÑALIZACION "DESECHOS PELIGROSOS"</v>
      </c>
      <c r="C92" s="32" t="str">
        <f>_xlfn.XLOOKUP(TablaSTOCKINV[[#This Row],[SKU]],TablaINVENTARIO[SKU],TablaINVENTARIO[MARCA])</f>
        <v>N/A</v>
      </c>
      <c r="D92" s="33" t="str">
        <f>_xlfn.XLOOKUP(TablaSTOCKINV[[#This Row],[SKU]],TablaINVENTARIO[SKU],TablaINVENTARIO[CATEGORIA])</f>
        <v>SISTEMA_DE_SEGURIDAD</v>
      </c>
      <c r="E92" s="33" t="str">
        <f>_xlfn.XLOOKUP(TablaSTOCKINV[[#This Row],[SKU]],TablaINVENTARIO[SKU],TablaINVENTARIO[SUBCATEGORIA])</f>
        <v>SEÑALIZACIONES</v>
      </c>
      <c r="F92" s="33" t="str">
        <f>_xlfn.XLOOKUP(TablaSTOCKINV[[#This Row],[SKU]],TablaINVENTARIO[SKU],TablaINVENTARIO[ESTADO])</f>
        <v>USADO</v>
      </c>
      <c r="G92" s="33" t="str">
        <f>_xlfn.XLOOKUP(TablaSTOCKINV[[#This Row],[SKU]],TablaINVENTARIO[SKU],TablaINVENTARIO[MEDIDA])</f>
        <v xml:space="preserve">UND </v>
      </c>
      <c r="H92" s="33" t="str">
        <f>_xlfn.XLOOKUP(TablaSTOCKINV[[#This Row],[SKU]],TablaINVENTARIO[SKU],TablaINVENTARIO[SERIAL])</f>
        <v>N/A</v>
      </c>
      <c r="I92" s="34" t="str">
        <f>_xlfn.XLOOKUP(TablaSTOCKINV[[#This Row],[SKU]],TablaINVENTARIO[SKU],TablaINVENTARIO[ALMACEN])</f>
        <v>ALMACEN PRINCIPAL</v>
      </c>
      <c r="J92" s="34" t="str">
        <f>_xlfn.XLOOKUP(TablaSTOCKINV[[#This Row],[SKU]],TablaINVENTARIO[SKU],TablaINVENTARIO[UBICACION])</f>
        <v>L2</v>
      </c>
      <c r="K92" s="34" t="str">
        <f>_xlfn.XLOOKUP(TablaSTOCKINV[[#This Row],[SKU]],TablaINVENTARIO[SKU],TablaINVENTARIO[DPTO RESPONSABLE])</f>
        <v>SIHO</v>
      </c>
      <c r="L92" s="36">
        <f>_xlfn.XLOOKUP(TablaSTOCKINV[[#This Row],[SKU]],TablaINVENTARIO[SKU],TablaINVENTARIO[RANGO MIN])</f>
        <v>0</v>
      </c>
      <c r="M92" s="34" cm="1">
        <f t="array" ref="M92">_xlfn.IFS(TablaSTOCKINV[[#This Row],[CANT. TOTAL]]&lt;=0,1,TablaSTOCKINV[[#This Row],[CANT. TOTAL]]&lt;=TablaSTOCKINV[[#This Row],[MIN]],2,TablaSTOCKINV[[#This Row],[CANT. TOTAL]]&gt;TablaSTOCKINV[[#This Row],[MIN]],3)</f>
        <v>3</v>
      </c>
      <c r="N92" s="34">
        <f>TablaSTOCKINV[[#This Row],[ENTRADAS]]-TablaSTOCKINV[[#This Row],[SALIDAS]]</f>
        <v>4</v>
      </c>
      <c r="O92" s="35">
        <f>SUMIFS(TablaENTRADA[CANT],TablaENTRADA[SKU],TablaSTOCKINV[[#This Row],[SKU]])</f>
        <v>4</v>
      </c>
      <c r="P92" s="35">
        <f>SUMIFS(TablaSALIDA[CANT],TablaSALIDA[SKU],TablaSTOCKINV[[#This Row],[SKU]])</f>
        <v>0</v>
      </c>
      <c r="Q92" s="34">
        <f>_xlfn.XLOOKUP(TablaSTOCKINV[[#This Row],[SKU]],TablaINVENTARIO[SKU],TablaINVENTARIO[PRECIO])</f>
        <v>0</v>
      </c>
      <c r="R92" s="34">
        <f>TablaSTOCKINV[[#This Row],[P.UNITARIO]]*TablaSTOCKINV[[#This Row],[CANT. TOTAL]]</f>
        <v>0</v>
      </c>
      <c r="S92" s="44">
        <f>_xlfn.XLOOKUP(TablaSTOCKINV[[#This Row],[SKU]],TablaINVENTARIO[SKU],TablaINVENTARIO[FECHA INGRESO])</f>
        <v>46023</v>
      </c>
      <c r="T92" s="44">
        <f>_xlfn.XLOOKUP(TablaSTOCKINV[[#This Row],[SKU]],TablaENTRADA[SKU],TablaENTRADA[FECHA],,0,-1)</f>
        <v>46023</v>
      </c>
      <c r="U92" s="46" t="str">
        <f>IFERROR((_xlfn.XLOOKUP(TablaSTOCKINV[[#This Row],[SKU]],TablaSALIDA[SKU],TablaSALIDA[FECHA],,0,-1))," " )</f>
        <v xml:space="preserve"> </v>
      </c>
    </row>
    <row r="93" spans="1:21" x14ac:dyDescent="0.3">
      <c r="A93" s="27" t="s">
        <v>2198</v>
      </c>
      <c r="B93" s="32" t="str">
        <f>_xlfn.XLOOKUP(TablaSTOCKINV[[#This Row],[SKU]],TablaINVENTARIO[SKU],TablaINVENTARIO[DESCRIPCION])</f>
        <v>SEÑALIZACION "BATERIAS USADAS"</v>
      </c>
      <c r="C93" s="32" t="str">
        <f>_xlfn.XLOOKUP(TablaSTOCKINV[[#This Row],[SKU]],TablaINVENTARIO[SKU],TablaINVENTARIO[MARCA])</f>
        <v>N/A</v>
      </c>
      <c r="D93" s="33" t="str">
        <f>_xlfn.XLOOKUP(TablaSTOCKINV[[#This Row],[SKU]],TablaINVENTARIO[SKU],TablaINVENTARIO[CATEGORIA])</f>
        <v>SISTEMA_DE_SEGURIDAD</v>
      </c>
      <c r="E93" s="33" t="str">
        <f>_xlfn.XLOOKUP(TablaSTOCKINV[[#This Row],[SKU]],TablaINVENTARIO[SKU],TablaINVENTARIO[SUBCATEGORIA])</f>
        <v>SEÑALIZACIONES</v>
      </c>
      <c r="F93" s="33" t="str">
        <f>_xlfn.XLOOKUP(TablaSTOCKINV[[#This Row],[SKU]],TablaINVENTARIO[SKU],TablaINVENTARIO[ESTADO])</f>
        <v>USADO</v>
      </c>
      <c r="G93" s="33" t="str">
        <f>_xlfn.XLOOKUP(TablaSTOCKINV[[#This Row],[SKU]],TablaINVENTARIO[SKU],TablaINVENTARIO[MEDIDA])</f>
        <v xml:space="preserve">UND </v>
      </c>
      <c r="H93" s="33" t="str">
        <f>_xlfn.XLOOKUP(TablaSTOCKINV[[#This Row],[SKU]],TablaINVENTARIO[SKU],TablaINVENTARIO[SERIAL])</f>
        <v>N/A</v>
      </c>
      <c r="I93" s="34" t="str">
        <f>_xlfn.XLOOKUP(TablaSTOCKINV[[#This Row],[SKU]],TablaINVENTARIO[SKU],TablaINVENTARIO[ALMACEN])</f>
        <v>ALMACEN PRINCIPAL</v>
      </c>
      <c r="J93" s="34" t="str">
        <f>_xlfn.XLOOKUP(TablaSTOCKINV[[#This Row],[SKU]],TablaINVENTARIO[SKU],TablaINVENTARIO[UBICACION])</f>
        <v>L2</v>
      </c>
      <c r="K93" s="34" t="str">
        <f>_xlfn.XLOOKUP(TablaSTOCKINV[[#This Row],[SKU]],TablaINVENTARIO[SKU],TablaINVENTARIO[DPTO RESPONSABLE])</f>
        <v>SIHO</v>
      </c>
      <c r="L93" s="36">
        <f>_xlfn.XLOOKUP(TablaSTOCKINV[[#This Row],[SKU]],TablaINVENTARIO[SKU],TablaINVENTARIO[RANGO MIN])</f>
        <v>0</v>
      </c>
      <c r="M93" s="34" cm="1">
        <f t="array" ref="M93">_xlfn.IFS(TablaSTOCKINV[[#This Row],[CANT. TOTAL]]&lt;=0,1,TablaSTOCKINV[[#This Row],[CANT. TOTAL]]&lt;=TablaSTOCKINV[[#This Row],[MIN]],2,TablaSTOCKINV[[#This Row],[CANT. TOTAL]]&gt;TablaSTOCKINV[[#This Row],[MIN]],3)</f>
        <v>3</v>
      </c>
      <c r="N93" s="34">
        <f>TablaSTOCKINV[[#This Row],[ENTRADAS]]-TablaSTOCKINV[[#This Row],[SALIDAS]]</f>
        <v>2</v>
      </c>
      <c r="O93" s="35">
        <f>SUMIFS(TablaENTRADA[CANT],TablaENTRADA[SKU],TablaSTOCKINV[[#This Row],[SKU]])</f>
        <v>2</v>
      </c>
      <c r="P93" s="35">
        <f>SUMIFS(TablaSALIDA[CANT],TablaSALIDA[SKU],TablaSTOCKINV[[#This Row],[SKU]])</f>
        <v>0</v>
      </c>
      <c r="Q93" s="34">
        <f>_xlfn.XLOOKUP(TablaSTOCKINV[[#This Row],[SKU]],TablaINVENTARIO[SKU],TablaINVENTARIO[PRECIO])</f>
        <v>0</v>
      </c>
      <c r="R93" s="34">
        <f>TablaSTOCKINV[[#This Row],[P.UNITARIO]]*TablaSTOCKINV[[#This Row],[CANT. TOTAL]]</f>
        <v>0</v>
      </c>
      <c r="S93" s="44">
        <f>_xlfn.XLOOKUP(TablaSTOCKINV[[#This Row],[SKU]],TablaINVENTARIO[SKU],TablaINVENTARIO[FECHA INGRESO])</f>
        <v>46023</v>
      </c>
      <c r="T93" s="44">
        <f>_xlfn.XLOOKUP(TablaSTOCKINV[[#This Row],[SKU]],TablaENTRADA[SKU],TablaENTRADA[FECHA],,0,-1)</f>
        <v>46023</v>
      </c>
      <c r="U93" s="46" t="str">
        <f>IFERROR((_xlfn.XLOOKUP(TablaSTOCKINV[[#This Row],[SKU]],TablaSALIDA[SKU],TablaSALIDA[FECHA],,0,-1))," " )</f>
        <v xml:space="preserve"> </v>
      </c>
    </row>
    <row r="94" spans="1:21" x14ac:dyDescent="0.3">
      <c r="A94" s="27" t="s">
        <v>2200</v>
      </c>
      <c r="B94" s="32" t="str">
        <f>_xlfn.XLOOKUP(TablaSTOCKINV[[#This Row],[SKU]],TablaINVENTARIO[SKU],TablaINVENTARIO[DESCRIPCION])</f>
        <v>SEÑALIZACION "LAZO DE PRUEBAS DE TRANSMISION DE DATOS DE ALTA TENSION"</v>
      </c>
      <c r="C94" s="32" t="str">
        <f>_xlfn.XLOOKUP(TablaSTOCKINV[[#This Row],[SKU]],TablaINVENTARIO[SKU],TablaINVENTARIO[MARCA])</f>
        <v>N/A</v>
      </c>
      <c r="D94" s="33" t="str">
        <f>_xlfn.XLOOKUP(TablaSTOCKINV[[#This Row],[SKU]],TablaINVENTARIO[SKU],TablaINVENTARIO[CATEGORIA])</f>
        <v>SISTEMA_DE_SEGURIDAD</v>
      </c>
      <c r="E94" s="33" t="str">
        <f>_xlfn.XLOOKUP(TablaSTOCKINV[[#This Row],[SKU]],TablaINVENTARIO[SKU],TablaINVENTARIO[SUBCATEGORIA])</f>
        <v>SEÑALIZACIONES</v>
      </c>
      <c r="F94" s="33" t="str">
        <f>_xlfn.XLOOKUP(TablaSTOCKINV[[#This Row],[SKU]],TablaINVENTARIO[SKU],TablaINVENTARIO[ESTADO])</f>
        <v>USADO</v>
      </c>
      <c r="G94" s="33" t="str">
        <f>_xlfn.XLOOKUP(TablaSTOCKINV[[#This Row],[SKU]],TablaINVENTARIO[SKU],TablaINVENTARIO[MEDIDA])</f>
        <v xml:space="preserve">UND </v>
      </c>
      <c r="H94" s="33" t="str">
        <f>_xlfn.XLOOKUP(TablaSTOCKINV[[#This Row],[SKU]],TablaINVENTARIO[SKU],TablaINVENTARIO[SERIAL])</f>
        <v>N/A</v>
      </c>
      <c r="I94" s="34" t="str">
        <f>_xlfn.XLOOKUP(TablaSTOCKINV[[#This Row],[SKU]],TablaINVENTARIO[SKU],TablaINVENTARIO[ALMACEN])</f>
        <v>ALMACEN PRINCIPAL</v>
      </c>
      <c r="J94" s="34" t="str">
        <f>_xlfn.XLOOKUP(TablaSTOCKINV[[#This Row],[SKU]],TablaINVENTARIO[SKU],TablaINVENTARIO[UBICACION])</f>
        <v>L2</v>
      </c>
      <c r="K94" s="34" t="str">
        <f>_xlfn.XLOOKUP(TablaSTOCKINV[[#This Row],[SKU]],TablaINVENTARIO[SKU],TablaINVENTARIO[DPTO RESPONSABLE])</f>
        <v>SIHO</v>
      </c>
      <c r="L94" s="36">
        <f>_xlfn.XLOOKUP(TablaSTOCKINV[[#This Row],[SKU]],TablaINVENTARIO[SKU],TablaINVENTARIO[RANGO MIN])</f>
        <v>0</v>
      </c>
      <c r="M94" s="34" cm="1">
        <f t="array" ref="M94">_xlfn.IFS(TablaSTOCKINV[[#This Row],[CANT. TOTAL]]&lt;=0,1,TablaSTOCKINV[[#This Row],[CANT. TOTAL]]&lt;=TablaSTOCKINV[[#This Row],[MIN]],2,TablaSTOCKINV[[#This Row],[CANT. TOTAL]]&gt;TablaSTOCKINV[[#This Row],[MIN]],3)</f>
        <v>3</v>
      </c>
      <c r="N94" s="34">
        <f>TablaSTOCKINV[[#This Row],[ENTRADAS]]-TablaSTOCKINV[[#This Row],[SALIDAS]]</f>
        <v>4</v>
      </c>
      <c r="O94" s="35">
        <f>SUMIFS(TablaENTRADA[CANT],TablaENTRADA[SKU],TablaSTOCKINV[[#This Row],[SKU]])</f>
        <v>4</v>
      </c>
      <c r="P94" s="35">
        <f>SUMIFS(TablaSALIDA[CANT],TablaSALIDA[SKU],TablaSTOCKINV[[#This Row],[SKU]])</f>
        <v>0</v>
      </c>
      <c r="Q94" s="34">
        <f>_xlfn.XLOOKUP(TablaSTOCKINV[[#This Row],[SKU]],TablaINVENTARIO[SKU],TablaINVENTARIO[PRECIO])</f>
        <v>0</v>
      </c>
      <c r="R94" s="34">
        <f>TablaSTOCKINV[[#This Row],[P.UNITARIO]]*TablaSTOCKINV[[#This Row],[CANT. TOTAL]]</f>
        <v>0</v>
      </c>
      <c r="S94" s="44">
        <f>_xlfn.XLOOKUP(TablaSTOCKINV[[#This Row],[SKU]],TablaINVENTARIO[SKU],TablaINVENTARIO[FECHA INGRESO])</f>
        <v>46023</v>
      </c>
      <c r="T94" s="44">
        <f>_xlfn.XLOOKUP(TablaSTOCKINV[[#This Row],[SKU]],TablaENTRADA[SKU],TablaENTRADA[FECHA],,0,-1)</f>
        <v>46023</v>
      </c>
      <c r="U94" s="46" t="str">
        <f>IFERROR((_xlfn.XLOOKUP(TablaSTOCKINV[[#This Row],[SKU]],TablaSALIDA[SKU],TablaSALIDA[FECHA],,0,-1))," " )</f>
        <v xml:space="preserve"> </v>
      </c>
    </row>
    <row r="95" spans="1:21" x14ac:dyDescent="0.3">
      <c r="A95" s="27" t="s">
        <v>2202</v>
      </c>
      <c r="B95" s="32" t="str">
        <f>_xlfn.XLOOKUP(TablaSTOCKINV[[#This Row],[SKU]],TablaINVENTARIO[SKU],TablaINVENTARIO[DESCRIPCION])</f>
        <v>SEÑALIZACION "DESECHOS INORGANICOS"</v>
      </c>
      <c r="C95" s="32" t="str">
        <f>_xlfn.XLOOKUP(TablaSTOCKINV[[#This Row],[SKU]],TablaINVENTARIO[SKU],TablaINVENTARIO[MARCA])</f>
        <v>N/A</v>
      </c>
      <c r="D95" s="33" t="str">
        <f>_xlfn.XLOOKUP(TablaSTOCKINV[[#This Row],[SKU]],TablaINVENTARIO[SKU],TablaINVENTARIO[CATEGORIA])</f>
        <v>SISTEMA_DE_SEGURIDAD</v>
      </c>
      <c r="E95" s="33" t="str">
        <f>_xlfn.XLOOKUP(TablaSTOCKINV[[#This Row],[SKU]],TablaINVENTARIO[SKU],TablaINVENTARIO[SUBCATEGORIA])</f>
        <v>SEÑALIZACIONES</v>
      </c>
      <c r="F95" s="33" t="str">
        <f>_xlfn.XLOOKUP(TablaSTOCKINV[[#This Row],[SKU]],TablaINVENTARIO[SKU],TablaINVENTARIO[ESTADO])</f>
        <v>USADO</v>
      </c>
      <c r="G95" s="33" t="str">
        <f>_xlfn.XLOOKUP(TablaSTOCKINV[[#This Row],[SKU]],TablaINVENTARIO[SKU],TablaINVENTARIO[MEDIDA])</f>
        <v xml:space="preserve">UND </v>
      </c>
      <c r="H95" s="33" t="str">
        <f>_xlfn.XLOOKUP(TablaSTOCKINV[[#This Row],[SKU]],TablaINVENTARIO[SKU],TablaINVENTARIO[SERIAL])</f>
        <v>N/A</v>
      </c>
      <c r="I95" s="34" t="str">
        <f>_xlfn.XLOOKUP(TablaSTOCKINV[[#This Row],[SKU]],TablaINVENTARIO[SKU],TablaINVENTARIO[ALMACEN])</f>
        <v>ALMACEN PRINCIPAL</v>
      </c>
      <c r="J95" s="34" t="str">
        <f>_xlfn.XLOOKUP(TablaSTOCKINV[[#This Row],[SKU]],TablaINVENTARIO[SKU],TablaINVENTARIO[UBICACION])</f>
        <v>L2</v>
      </c>
      <c r="K95" s="34" t="str">
        <f>_xlfn.XLOOKUP(TablaSTOCKINV[[#This Row],[SKU]],TablaINVENTARIO[SKU],TablaINVENTARIO[DPTO RESPONSABLE])</f>
        <v>SIHO</v>
      </c>
      <c r="L95" s="36">
        <f>_xlfn.XLOOKUP(TablaSTOCKINV[[#This Row],[SKU]],TablaINVENTARIO[SKU],TablaINVENTARIO[RANGO MIN])</f>
        <v>0</v>
      </c>
      <c r="M95" s="34" cm="1">
        <f t="array" ref="M95">_xlfn.IFS(TablaSTOCKINV[[#This Row],[CANT. TOTAL]]&lt;=0,1,TablaSTOCKINV[[#This Row],[CANT. TOTAL]]&lt;=TablaSTOCKINV[[#This Row],[MIN]],2,TablaSTOCKINV[[#This Row],[CANT. TOTAL]]&gt;TablaSTOCKINV[[#This Row],[MIN]],3)</f>
        <v>3</v>
      </c>
      <c r="N95" s="34">
        <f>TablaSTOCKINV[[#This Row],[ENTRADAS]]-TablaSTOCKINV[[#This Row],[SALIDAS]]</f>
        <v>9</v>
      </c>
      <c r="O95" s="35">
        <f>SUMIFS(TablaENTRADA[CANT],TablaENTRADA[SKU],TablaSTOCKINV[[#This Row],[SKU]])</f>
        <v>9</v>
      </c>
      <c r="P95" s="35">
        <f>SUMIFS(TablaSALIDA[CANT],TablaSALIDA[SKU],TablaSTOCKINV[[#This Row],[SKU]])</f>
        <v>0</v>
      </c>
      <c r="Q95" s="34">
        <f>_xlfn.XLOOKUP(TablaSTOCKINV[[#This Row],[SKU]],TablaINVENTARIO[SKU],TablaINVENTARIO[PRECIO])</f>
        <v>0</v>
      </c>
      <c r="R95" s="34">
        <f>TablaSTOCKINV[[#This Row],[P.UNITARIO]]*TablaSTOCKINV[[#This Row],[CANT. TOTAL]]</f>
        <v>0</v>
      </c>
      <c r="S95" s="44">
        <f>_xlfn.XLOOKUP(TablaSTOCKINV[[#This Row],[SKU]],TablaINVENTARIO[SKU],TablaINVENTARIO[FECHA INGRESO])</f>
        <v>46023</v>
      </c>
      <c r="T95" s="44">
        <f>_xlfn.XLOOKUP(TablaSTOCKINV[[#This Row],[SKU]],TablaENTRADA[SKU],TablaENTRADA[FECHA],,0,-1)</f>
        <v>46023</v>
      </c>
      <c r="U95" s="46" t="str">
        <f>IFERROR((_xlfn.XLOOKUP(TablaSTOCKINV[[#This Row],[SKU]],TablaSALIDA[SKU],TablaSALIDA[FECHA],,0,-1))," " )</f>
        <v xml:space="preserve"> </v>
      </c>
    </row>
    <row r="96" spans="1:21" x14ac:dyDescent="0.3">
      <c r="A96" s="27" t="s">
        <v>2204</v>
      </c>
      <c r="B96" s="32" t="str">
        <f>_xlfn.XLOOKUP(TablaSTOCKINV[[#This Row],[SKU]],TablaINVENTARIO[SKU],TablaINVENTARIO[DESCRIPCION])</f>
        <v>SEÑALIZACION "RIESGO ELECTRICO"</v>
      </c>
      <c r="C96" s="32" t="str">
        <f>_xlfn.XLOOKUP(TablaSTOCKINV[[#This Row],[SKU]],TablaINVENTARIO[SKU],TablaINVENTARIO[MARCA])</f>
        <v>N/A</v>
      </c>
      <c r="D96" s="33" t="str">
        <f>_xlfn.XLOOKUP(TablaSTOCKINV[[#This Row],[SKU]],TablaINVENTARIO[SKU],TablaINVENTARIO[CATEGORIA])</f>
        <v>SISTEMA_DE_SEGURIDAD</v>
      </c>
      <c r="E96" s="33" t="str">
        <f>_xlfn.XLOOKUP(TablaSTOCKINV[[#This Row],[SKU]],TablaINVENTARIO[SKU],TablaINVENTARIO[SUBCATEGORIA])</f>
        <v>SEÑALIZACIONES</v>
      </c>
      <c r="F96" s="33" t="str">
        <f>_xlfn.XLOOKUP(TablaSTOCKINV[[#This Row],[SKU]],TablaINVENTARIO[SKU],TablaINVENTARIO[ESTADO])</f>
        <v>USADO</v>
      </c>
      <c r="G96" s="33" t="str">
        <f>_xlfn.XLOOKUP(TablaSTOCKINV[[#This Row],[SKU]],TablaINVENTARIO[SKU],TablaINVENTARIO[MEDIDA])</f>
        <v xml:space="preserve">UND </v>
      </c>
      <c r="H96" s="33" t="str">
        <f>_xlfn.XLOOKUP(TablaSTOCKINV[[#This Row],[SKU]],TablaINVENTARIO[SKU],TablaINVENTARIO[SERIAL])</f>
        <v>N/A</v>
      </c>
      <c r="I96" s="34" t="str">
        <f>_xlfn.XLOOKUP(TablaSTOCKINV[[#This Row],[SKU]],TablaINVENTARIO[SKU],TablaINVENTARIO[ALMACEN])</f>
        <v>ALMACEN PRINCIPAL</v>
      </c>
      <c r="J96" s="34" t="str">
        <f>_xlfn.XLOOKUP(TablaSTOCKINV[[#This Row],[SKU]],TablaINVENTARIO[SKU],TablaINVENTARIO[UBICACION])</f>
        <v>L2</v>
      </c>
      <c r="K96" s="34" t="str">
        <f>_xlfn.XLOOKUP(TablaSTOCKINV[[#This Row],[SKU]],TablaINVENTARIO[SKU],TablaINVENTARIO[DPTO RESPONSABLE])</f>
        <v>SIHO</v>
      </c>
      <c r="L96" s="36">
        <f>_xlfn.XLOOKUP(TablaSTOCKINV[[#This Row],[SKU]],TablaINVENTARIO[SKU],TablaINVENTARIO[RANGO MIN])</f>
        <v>0</v>
      </c>
      <c r="M96" s="34" cm="1">
        <f t="array" ref="M96">_xlfn.IFS(TablaSTOCKINV[[#This Row],[CANT. TOTAL]]&lt;=0,1,TablaSTOCKINV[[#This Row],[CANT. TOTAL]]&lt;=TablaSTOCKINV[[#This Row],[MIN]],2,TablaSTOCKINV[[#This Row],[CANT. TOTAL]]&gt;TablaSTOCKINV[[#This Row],[MIN]],3)</f>
        <v>3</v>
      </c>
      <c r="N96" s="34">
        <f>TablaSTOCKINV[[#This Row],[ENTRADAS]]-TablaSTOCKINV[[#This Row],[SALIDAS]]</f>
        <v>3</v>
      </c>
      <c r="O96" s="35">
        <f>SUMIFS(TablaENTRADA[CANT],TablaENTRADA[SKU],TablaSTOCKINV[[#This Row],[SKU]])</f>
        <v>3</v>
      </c>
      <c r="P96" s="35">
        <f>SUMIFS(TablaSALIDA[CANT],TablaSALIDA[SKU],TablaSTOCKINV[[#This Row],[SKU]])</f>
        <v>0</v>
      </c>
      <c r="Q96" s="34">
        <f>_xlfn.XLOOKUP(TablaSTOCKINV[[#This Row],[SKU]],TablaINVENTARIO[SKU],TablaINVENTARIO[PRECIO])</f>
        <v>0</v>
      </c>
      <c r="R96" s="34">
        <f>TablaSTOCKINV[[#This Row],[P.UNITARIO]]*TablaSTOCKINV[[#This Row],[CANT. TOTAL]]</f>
        <v>0</v>
      </c>
      <c r="S96" s="44">
        <f>_xlfn.XLOOKUP(TablaSTOCKINV[[#This Row],[SKU]],TablaINVENTARIO[SKU],TablaINVENTARIO[FECHA INGRESO])</f>
        <v>46023</v>
      </c>
      <c r="T96" s="44">
        <f>_xlfn.XLOOKUP(TablaSTOCKINV[[#This Row],[SKU]],TablaENTRADA[SKU],TablaENTRADA[FECHA],,0,-1)</f>
        <v>46023</v>
      </c>
      <c r="U96" s="46" t="str">
        <f>IFERROR((_xlfn.XLOOKUP(TablaSTOCKINV[[#This Row],[SKU]],TablaSALIDA[SKU],TablaSALIDA[FECHA],,0,-1))," " )</f>
        <v xml:space="preserve"> </v>
      </c>
    </row>
    <row r="97" spans="1:21" x14ac:dyDescent="0.3">
      <c r="A97" s="27" t="s">
        <v>2206</v>
      </c>
      <c r="B97" s="32" t="str">
        <f>_xlfn.XLOOKUP(TablaSTOCKINV[[#This Row],[SKU]],TablaINVENTARIO[SKU],TablaINVENTARIO[DESCRIPCION])</f>
        <v xml:space="preserve">BOLA EXTINTOR DE FUEGO </v>
      </c>
      <c r="C97" s="32" t="str">
        <f>_xlfn.XLOOKUP(TablaSTOCKINV[[#This Row],[SKU]],TablaINVENTARIO[SKU],TablaINVENTARIO[MARCA])</f>
        <v>N/A</v>
      </c>
      <c r="D97" s="33" t="str">
        <f>_xlfn.XLOOKUP(TablaSTOCKINV[[#This Row],[SKU]],TablaINVENTARIO[SKU],TablaINVENTARIO[CATEGORIA])</f>
        <v>SISTEMA_DE_SEGURIDAD</v>
      </c>
      <c r="E97" s="33" t="str">
        <f>_xlfn.XLOOKUP(TablaSTOCKINV[[#This Row],[SKU]],TablaINVENTARIO[SKU],TablaINVENTARIO[SUBCATEGORIA])</f>
        <v xml:space="preserve">EQUIPO CONTRA INCENDIOS </v>
      </c>
      <c r="F97" s="33" t="str">
        <f>_xlfn.XLOOKUP(TablaSTOCKINV[[#This Row],[SKU]],TablaINVENTARIO[SKU],TablaINVENTARIO[ESTADO])</f>
        <v>NUEVO</v>
      </c>
      <c r="G97" s="33" t="str">
        <f>_xlfn.XLOOKUP(TablaSTOCKINV[[#This Row],[SKU]],TablaINVENTARIO[SKU],TablaINVENTARIO[MEDIDA])</f>
        <v>UND</v>
      </c>
      <c r="H97" s="33" t="str">
        <f>_xlfn.XLOOKUP(TablaSTOCKINV[[#This Row],[SKU]],TablaINVENTARIO[SKU],TablaINVENTARIO[SERIAL])</f>
        <v>N/A</v>
      </c>
      <c r="I97" s="34" t="str">
        <f>_xlfn.XLOOKUP(TablaSTOCKINV[[#This Row],[SKU]],TablaINVENTARIO[SKU],TablaINVENTARIO[ALMACEN])</f>
        <v>ALMACEN PRINCIPAL</v>
      </c>
      <c r="J97" s="34" t="str">
        <f>_xlfn.XLOOKUP(TablaSTOCKINV[[#This Row],[SKU]],TablaINVENTARIO[SKU],TablaINVENTARIO[UBICACION])</f>
        <v>L3</v>
      </c>
      <c r="K97" s="34" t="str">
        <f>_xlfn.XLOOKUP(TablaSTOCKINV[[#This Row],[SKU]],TablaINVENTARIO[SKU],TablaINVENTARIO[DPTO RESPONSABLE])</f>
        <v>OPERACIONES</v>
      </c>
      <c r="L97" s="36">
        <f>_xlfn.XLOOKUP(TablaSTOCKINV[[#This Row],[SKU]],TablaINVENTARIO[SKU],TablaINVENTARIO[RANGO MIN])</f>
        <v>0</v>
      </c>
      <c r="M97" s="34" cm="1">
        <f t="array" ref="M97">_xlfn.IFS(TablaSTOCKINV[[#This Row],[CANT. TOTAL]]&lt;=0,1,TablaSTOCKINV[[#This Row],[CANT. TOTAL]]&lt;=TablaSTOCKINV[[#This Row],[MIN]],2,TablaSTOCKINV[[#This Row],[CANT. TOTAL]]&gt;TablaSTOCKINV[[#This Row],[MIN]],3)</f>
        <v>3</v>
      </c>
      <c r="N97" s="34">
        <f>TablaSTOCKINV[[#This Row],[ENTRADAS]]-TablaSTOCKINV[[#This Row],[SALIDAS]]</f>
        <v>1</v>
      </c>
      <c r="O97" s="35">
        <f>SUMIFS(TablaENTRADA[CANT],TablaENTRADA[SKU],TablaSTOCKINV[[#This Row],[SKU]])</f>
        <v>1</v>
      </c>
      <c r="P97" s="35">
        <f>SUMIFS(TablaSALIDA[CANT],TablaSALIDA[SKU],TablaSTOCKINV[[#This Row],[SKU]])</f>
        <v>0</v>
      </c>
      <c r="Q97" s="34">
        <f>_xlfn.XLOOKUP(TablaSTOCKINV[[#This Row],[SKU]],TablaINVENTARIO[SKU],TablaINVENTARIO[PRECIO])</f>
        <v>0</v>
      </c>
      <c r="R97" s="34">
        <f>TablaSTOCKINV[[#This Row],[P.UNITARIO]]*TablaSTOCKINV[[#This Row],[CANT. TOTAL]]</f>
        <v>0</v>
      </c>
      <c r="S97" s="44">
        <f>_xlfn.XLOOKUP(TablaSTOCKINV[[#This Row],[SKU]],TablaINVENTARIO[SKU],TablaINVENTARIO[FECHA INGRESO])</f>
        <v>46023</v>
      </c>
      <c r="T97" s="44">
        <f>_xlfn.XLOOKUP(TablaSTOCKINV[[#This Row],[SKU]],TablaENTRADA[SKU],TablaENTRADA[FECHA],,0,-1)</f>
        <v>46023</v>
      </c>
      <c r="U97" s="46" t="str">
        <f>IFERROR((_xlfn.XLOOKUP(TablaSTOCKINV[[#This Row],[SKU]],TablaSALIDA[SKU],TablaSALIDA[FECHA],,0,-1))," " )</f>
        <v xml:space="preserve"> </v>
      </c>
    </row>
    <row r="98" spans="1:21" x14ac:dyDescent="0.3">
      <c r="A98" s="27" t="s">
        <v>2209</v>
      </c>
      <c r="B98" s="32" t="str">
        <f>_xlfn.XLOOKUP(TablaSTOCKINV[[#This Row],[SKU]],TablaINVENTARIO[SKU],TablaINVENTARIO[DESCRIPCION])</f>
        <v xml:space="preserve">CINTURON DE SEGURIDAD CON CINTA REFLECTIVA </v>
      </c>
      <c r="C98" s="32" t="str">
        <f>_xlfn.XLOOKUP(TablaSTOCKINV[[#This Row],[SKU]],TablaINVENTARIO[SKU],TablaINVENTARIO[MARCA])</f>
        <v>N/A</v>
      </c>
      <c r="D98" s="33" t="str">
        <f>_xlfn.XLOOKUP(TablaSTOCKINV[[#This Row],[SKU]],TablaINVENTARIO[SKU],TablaINVENTARIO[CATEGORIA])</f>
        <v>SISTEMA_DE_SEGURIDAD</v>
      </c>
      <c r="E98" s="33" t="str">
        <f>_xlfn.XLOOKUP(TablaSTOCKINV[[#This Row],[SKU]],TablaINVENTARIO[SKU],TablaINVENTARIO[SUBCATEGORIA])</f>
        <v>SEÑALIZACIONES</v>
      </c>
      <c r="F98" s="33" t="str">
        <f>_xlfn.XLOOKUP(TablaSTOCKINV[[#This Row],[SKU]],TablaINVENTARIO[SKU],TablaINVENTARIO[ESTADO])</f>
        <v>USADO</v>
      </c>
      <c r="G98" s="33" t="str">
        <f>_xlfn.XLOOKUP(TablaSTOCKINV[[#This Row],[SKU]],TablaINVENTARIO[SKU],TablaINVENTARIO[MEDIDA])</f>
        <v>UND</v>
      </c>
      <c r="H98" s="33" t="str">
        <f>_xlfn.XLOOKUP(TablaSTOCKINV[[#This Row],[SKU]],TablaINVENTARIO[SKU],TablaINVENTARIO[SERIAL])</f>
        <v>N/A</v>
      </c>
      <c r="I98" s="34" t="str">
        <f>_xlfn.XLOOKUP(TablaSTOCKINV[[#This Row],[SKU]],TablaINVENTARIO[SKU],TablaINVENTARIO[ALMACEN])</f>
        <v>ALMACEN PRINCIPAL</v>
      </c>
      <c r="J98" s="34" t="str">
        <f>_xlfn.XLOOKUP(TablaSTOCKINV[[#This Row],[SKU]],TablaINVENTARIO[SKU],TablaINVENTARIO[UBICACION])</f>
        <v>L3</v>
      </c>
      <c r="K98" s="34" t="str">
        <f>_xlfn.XLOOKUP(TablaSTOCKINV[[#This Row],[SKU]],TablaINVENTARIO[SKU],TablaINVENTARIO[DPTO RESPONSABLE])</f>
        <v>SIHO</v>
      </c>
      <c r="L98" s="36">
        <f>_xlfn.XLOOKUP(TablaSTOCKINV[[#This Row],[SKU]],TablaINVENTARIO[SKU],TablaINVENTARIO[RANGO MIN])</f>
        <v>0</v>
      </c>
      <c r="M98" s="34" cm="1">
        <f t="array" ref="M98">_xlfn.IFS(TablaSTOCKINV[[#This Row],[CANT. TOTAL]]&lt;=0,1,TablaSTOCKINV[[#This Row],[CANT. TOTAL]]&lt;=TablaSTOCKINV[[#This Row],[MIN]],2,TablaSTOCKINV[[#This Row],[CANT. TOTAL]]&gt;TablaSTOCKINV[[#This Row],[MIN]],3)</f>
        <v>3</v>
      </c>
      <c r="N98" s="34">
        <f>TablaSTOCKINV[[#This Row],[ENTRADAS]]-TablaSTOCKINV[[#This Row],[SALIDAS]]</f>
        <v>10</v>
      </c>
      <c r="O98" s="35">
        <f>SUMIFS(TablaENTRADA[CANT],TablaENTRADA[SKU],TablaSTOCKINV[[#This Row],[SKU]])</f>
        <v>10</v>
      </c>
      <c r="P98" s="35">
        <f>SUMIFS(TablaSALIDA[CANT],TablaSALIDA[SKU],TablaSTOCKINV[[#This Row],[SKU]])</f>
        <v>0</v>
      </c>
      <c r="Q98" s="34">
        <f>_xlfn.XLOOKUP(TablaSTOCKINV[[#This Row],[SKU]],TablaINVENTARIO[SKU],TablaINVENTARIO[PRECIO])</f>
        <v>0</v>
      </c>
      <c r="R98" s="34">
        <f>TablaSTOCKINV[[#This Row],[P.UNITARIO]]*TablaSTOCKINV[[#This Row],[CANT. TOTAL]]</f>
        <v>0</v>
      </c>
      <c r="S98" s="44">
        <f>_xlfn.XLOOKUP(TablaSTOCKINV[[#This Row],[SKU]],TablaINVENTARIO[SKU],TablaINVENTARIO[FECHA INGRESO])</f>
        <v>46023</v>
      </c>
      <c r="T98" s="44">
        <f>_xlfn.XLOOKUP(TablaSTOCKINV[[#This Row],[SKU]],TablaENTRADA[SKU],TablaENTRADA[FECHA],,0,-1)</f>
        <v>46023</v>
      </c>
      <c r="U98" s="46" t="str">
        <f>IFERROR((_xlfn.XLOOKUP(TablaSTOCKINV[[#This Row],[SKU]],TablaSALIDA[SKU],TablaSALIDA[FECHA],,0,-1))," " )</f>
        <v xml:space="preserve"> </v>
      </c>
    </row>
    <row r="99" spans="1:21" x14ac:dyDescent="0.3">
      <c r="A99" s="27" t="s">
        <v>2211</v>
      </c>
      <c r="B99" s="32" t="str">
        <f>_xlfn.XLOOKUP(TablaSTOCKINV[[#This Row],[SKU]],TablaINVENTARIO[SKU],TablaINVENTARIO[DESCRIPCION])</f>
        <v>EXTINTOR DE INCENDIO CO2</v>
      </c>
      <c r="C99" s="32" t="str">
        <f>_xlfn.XLOOKUP(TablaSTOCKINV[[#This Row],[SKU]],TablaINVENTARIO[SKU],TablaINVENTARIO[MARCA])</f>
        <v>MAP</v>
      </c>
      <c r="D99" s="33" t="str">
        <f>_xlfn.XLOOKUP(TablaSTOCKINV[[#This Row],[SKU]],TablaINVENTARIO[SKU],TablaINVENTARIO[CATEGORIA])</f>
        <v>SISTEMA_DE_SEGURIDAD</v>
      </c>
      <c r="E99" s="33" t="str">
        <f>_xlfn.XLOOKUP(TablaSTOCKINV[[#This Row],[SKU]],TablaINVENTARIO[SKU],TablaINVENTARIO[SUBCATEGORIA])</f>
        <v xml:space="preserve">EQUIPO CONTRA INCENDIOS </v>
      </c>
      <c r="F99" s="33" t="str">
        <f>_xlfn.XLOOKUP(TablaSTOCKINV[[#This Row],[SKU]],TablaINVENTARIO[SKU],TablaINVENTARIO[ESTADO])</f>
        <v>NUEVO</v>
      </c>
      <c r="G99" s="33" t="str">
        <f>_xlfn.XLOOKUP(TablaSTOCKINV[[#This Row],[SKU]],TablaINVENTARIO[SKU],TablaINVENTARIO[MEDIDA])</f>
        <v>UND</v>
      </c>
      <c r="H99" s="33" t="str">
        <f>_xlfn.XLOOKUP(TablaSTOCKINV[[#This Row],[SKU]],TablaINVENTARIO[SKU],TablaINVENTARIO[SERIAL])</f>
        <v>N/A</v>
      </c>
      <c r="I99" s="34" t="str">
        <f>_xlfn.XLOOKUP(TablaSTOCKINV[[#This Row],[SKU]],TablaINVENTARIO[SKU],TablaINVENTARIO[ALMACEN])</f>
        <v>ALMACEN PRINCIPAL</v>
      </c>
      <c r="J99" s="34" t="str">
        <f>_xlfn.XLOOKUP(TablaSTOCKINV[[#This Row],[SKU]],TablaINVENTARIO[SKU],TablaINVENTARIO[UBICACION])</f>
        <v>L5</v>
      </c>
      <c r="K99" s="34" t="str">
        <f>_xlfn.XLOOKUP(TablaSTOCKINV[[#This Row],[SKU]],TablaINVENTARIO[SKU],TablaINVENTARIO[DPTO RESPONSABLE])</f>
        <v>OPERACIONES</v>
      </c>
      <c r="L99" s="36">
        <f>_xlfn.XLOOKUP(TablaSTOCKINV[[#This Row],[SKU]],TablaINVENTARIO[SKU],TablaINVENTARIO[RANGO MIN])</f>
        <v>0</v>
      </c>
      <c r="M99" s="34" cm="1">
        <f t="array" ref="M99">_xlfn.IFS(TablaSTOCKINV[[#This Row],[CANT. TOTAL]]&lt;=0,1,TablaSTOCKINV[[#This Row],[CANT. TOTAL]]&lt;=TablaSTOCKINV[[#This Row],[MIN]],2,TablaSTOCKINV[[#This Row],[CANT. TOTAL]]&gt;TablaSTOCKINV[[#This Row],[MIN]],3)</f>
        <v>3</v>
      </c>
      <c r="N99" s="34">
        <f>TablaSTOCKINV[[#This Row],[ENTRADAS]]-TablaSTOCKINV[[#This Row],[SALIDAS]]</f>
        <v>5</v>
      </c>
      <c r="O99" s="35">
        <f>SUMIFS(TablaENTRADA[CANT],TablaENTRADA[SKU],TablaSTOCKINV[[#This Row],[SKU]])</f>
        <v>5</v>
      </c>
      <c r="P99" s="35">
        <f>SUMIFS(TablaSALIDA[CANT],TablaSALIDA[SKU],TablaSTOCKINV[[#This Row],[SKU]])</f>
        <v>0</v>
      </c>
      <c r="Q99" s="34">
        <f>_xlfn.XLOOKUP(TablaSTOCKINV[[#This Row],[SKU]],TablaINVENTARIO[SKU],TablaINVENTARIO[PRECIO])</f>
        <v>0</v>
      </c>
      <c r="R99" s="34">
        <f>TablaSTOCKINV[[#This Row],[P.UNITARIO]]*TablaSTOCKINV[[#This Row],[CANT. TOTAL]]</f>
        <v>0</v>
      </c>
      <c r="S99" s="44">
        <f>_xlfn.XLOOKUP(TablaSTOCKINV[[#This Row],[SKU]],TablaINVENTARIO[SKU],TablaINVENTARIO[FECHA INGRESO])</f>
        <v>46023</v>
      </c>
      <c r="T99" s="44">
        <f>_xlfn.XLOOKUP(TablaSTOCKINV[[#This Row],[SKU]],TablaENTRADA[SKU],TablaENTRADA[FECHA],,0,-1)</f>
        <v>46023</v>
      </c>
      <c r="U99" s="46" t="str">
        <f>IFERROR((_xlfn.XLOOKUP(TablaSTOCKINV[[#This Row],[SKU]],TablaSALIDA[SKU],TablaSALIDA[FECHA],,0,-1))," " )</f>
        <v xml:space="preserve"> </v>
      </c>
    </row>
    <row r="100" spans="1:21" x14ac:dyDescent="0.3">
      <c r="A100" s="27" t="s">
        <v>2215</v>
      </c>
      <c r="B100" s="32" t="str">
        <f>_xlfn.XLOOKUP(TablaSTOCKINV[[#This Row],[SKU]],TablaINVENTARIO[SKU],TablaINVENTARIO[DESCRIPCION])</f>
        <v>EXTINTOR DE INCENDIO 30LB</v>
      </c>
      <c r="C100" s="32" t="str">
        <f>_xlfn.XLOOKUP(TablaSTOCKINV[[#This Row],[SKU]],TablaINVENTARIO[SKU],TablaINVENTARIO[MARCA])</f>
        <v>N/A</v>
      </c>
      <c r="D100" s="33" t="str">
        <f>_xlfn.XLOOKUP(TablaSTOCKINV[[#This Row],[SKU]],TablaINVENTARIO[SKU],TablaINVENTARIO[CATEGORIA])</f>
        <v>SISTEMA_DE_SEGURIDAD</v>
      </c>
      <c r="E100" s="33" t="str">
        <f>_xlfn.XLOOKUP(TablaSTOCKINV[[#This Row],[SKU]],TablaINVENTARIO[SKU],TablaINVENTARIO[SUBCATEGORIA])</f>
        <v xml:space="preserve">EQUIPO CONTRA INCENDIOS </v>
      </c>
      <c r="F100" s="33" t="str">
        <f>_xlfn.XLOOKUP(TablaSTOCKINV[[#This Row],[SKU]],TablaINVENTARIO[SKU],TablaINVENTARIO[ESTADO])</f>
        <v>NUEVO</v>
      </c>
      <c r="G100" s="33" t="str">
        <f>_xlfn.XLOOKUP(TablaSTOCKINV[[#This Row],[SKU]],TablaINVENTARIO[SKU],TablaINVENTARIO[MEDIDA])</f>
        <v>UND</v>
      </c>
      <c r="H100" s="33" t="str">
        <f>_xlfn.XLOOKUP(TablaSTOCKINV[[#This Row],[SKU]],TablaINVENTARIO[SKU],TablaINVENTARIO[SERIAL])</f>
        <v>N/A</v>
      </c>
      <c r="I100" s="34" t="str">
        <f>_xlfn.XLOOKUP(TablaSTOCKINV[[#This Row],[SKU]],TablaINVENTARIO[SKU],TablaINVENTARIO[ALMACEN])</f>
        <v>ALMACEN PRINCIPAL</v>
      </c>
      <c r="J100" s="34" t="str">
        <f>_xlfn.XLOOKUP(TablaSTOCKINV[[#This Row],[SKU]],TablaINVENTARIO[SKU],TablaINVENTARIO[UBICACION])</f>
        <v>L5</v>
      </c>
      <c r="K100" s="34" t="str">
        <f>_xlfn.XLOOKUP(TablaSTOCKINV[[#This Row],[SKU]],TablaINVENTARIO[SKU],TablaINVENTARIO[DPTO RESPONSABLE])</f>
        <v>OPERACIONES</v>
      </c>
      <c r="L100" s="36">
        <f>_xlfn.XLOOKUP(TablaSTOCKINV[[#This Row],[SKU]],TablaINVENTARIO[SKU],TablaINVENTARIO[RANGO MIN])</f>
        <v>0</v>
      </c>
      <c r="M100" s="34" cm="1">
        <f t="array" ref="M100">_xlfn.IFS(TablaSTOCKINV[[#This Row],[CANT. TOTAL]]&lt;=0,1,TablaSTOCKINV[[#This Row],[CANT. TOTAL]]&lt;=TablaSTOCKINV[[#This Row],[MIN]],2,TablaSTOCKINV[[#This Row],[CANT. TOTAL]]&gt;TablaSTOCKINV[[#This Row],[MIN]],3)</f>
        <v>3</v>
      </c>
      <c r="N100" s="34">
        <f>TablaSTOCKINV[[#This Row],[ENTRADAS]]-TablaSTOCKINV[[#This Row],[SALIDAS]]</f>
        <v>3</v>
      </c>
      <c r="O100" s="35">
        <f>SUMIFS(TablaENTRADA[CANT],TablaENTRADA[SKU],TablaSTOCKINV[[#This Row],[SKU]])</f>
        <v>3</v>
      </c>
      <c r="P100" s="35">
        <f>SUMIFS(TablaSALIDA[CANT],TablaSALIDA[SKU],TablaSTOCKINV[[#This Row],[SKU]])</f>
        <v>0</v>
      </c>
      <c r="Q100" s="34">
        <f>_xlfn.XLOOKUP(TablaSTOCKINV[[#This Row],[SKU]],TablaINVENTARIO[SKU],TablaINVENTARIO[PRECIO])</f>
        <v>0</v>
      </c>
      <c r="R100" s="34">
        <f>TablaSTOCKINV[[#This Row],[P.UNITARIO]]*TablaSTOCKINV[[#This Row],[CANT. TOTAL]]</f>
        <v>0</v>
      </c>
      <c r="S100" s="44">
        <f>_xlfn.XLOOKUP(TablaSTOCKINV[[#This Row],[SKU]],TablaINVENTARIO[SKU],TablaINVENTARIO[FECHA INGRESO])</f>
        <v>46023</v>
      </c>
      <c r="T100" s="44">
        <f>_xlfn.XLOOKUP(TablaSTOCKINV[[#This Row],[SKU]],TablaENTRADA[SKU],TablaENTRADA[FECHA],,0,-1)</f>
        <v>46023</v>
      </c>
      <c r="U100" s="46" t="str">
        <f>IFERROR((_xlfn.XLOOKUP(TablaSTOCKINV[[#This Row],[SKU]],TablaSALIDA[SKU],TablaSALIDA[FECHA],,0,-1))," " )</f>
        <v xml:space="preserve"> </v>
      </c>
    </row>
    <row r="101" spans="1:21" x14ac:dyDescent="0.3">
      <c r="A101" s="27" t="s">
        <v>2217</v>
      </c>
      <c r="B101" s="32" t="str">
        <f>_xlfn.XLOOKUP(TablaSTOCKINV[[#This Row],[SKU]],TablaINVENTARIO[SKU],TablaINVENTARIO[DESCRIPCION])</f>
        <v>AVISO DE SEGURIDAD (PUNTO DE CONCENTRACION)</v>
      </c>
      <c r="C101" s="32" t="str">
        <f>_xlfn.XLOOKUP(TablaSTOCKINV[[#This Row],[SKU]],TablaINVENTARIO[SKU],TablaINVENTARIO[MARCA])</f>
        <v>N/A</v>
      </c>
      <c r="D101" s="33" t="str">
        <f>_xlfn.XLOOKUP(TablaSTOCKINV[[#This Row],[SKU]],TablaINVENTARIO[SKU],TablaINVENTARIO[CATEGORIA])</f>
        <v>SISTEMA_DE_SEGURIDAD</v>
      </c>
      <c r="E101" s="33" t="str">
        <f>_xlfn.XLOOKUP(TablaSTOCKINV[[#This Row],[SKU]],TablaINVENTARIO[SKU],TablaINVENTARIO[SUBCATEGORIA])</f>
        <v>SEÑALIZACIONES</v>
      </c>
      <c r="F101" s="33" t="str">
        <f>_xlfn.XLOOKUP(TablaSTOCKINV[[#This Row],[SKU]],TablaINVENTARIO[SKU],TablaINVENTARIO[ESTADO])</f>
        <v>NUEVO</v>
      </c>
      <c r="G101" s="33" t="str">
        <f>_xlfn.XLOOKUP(TablaSTOCKINV[[#This Row],[SKU]],TablaINVENTARIO[SKU],TablaINVENTARIO[MEDIDA])</f>
        <v xml:space="preserve">UND </v>
      </c>
      <c r="H101" s="33" t="str">
        <f>_xlfn.XLOOKUP(TablaSTOCKINV[[#This Row],[SKU]],TablaINVENTARIO[SKU],TablaINVENTARIO[SERIAL])</f>
        <v>N/A</v>
      </c>
      <c r="I101" s="34" t="str">
        <f>_xlfn.XLOOKUP(TablaSTOCKINV[[#This Row],[SKU]],TablaINVENTARIO[SKU],TablaINVENTARIO[ALMACEN])</f>
        <v>ALMACEN PRINCIPAL</v>
      </c>
      <c r="J101" s="34" t="str">
        <f>_xlfn.XLOOKUP(TablaSTOCKINV[[#This Row],[SKU]],TablaINVENTARIO[SKU],TablaINVENTARIO[UBICACION])</f>
        <v xml:space="preserve">CUARTO DE ALMACENAMIENTO </v>
      </c>
      <c r="K101" s="34" t="str">
        <f>_xlfn.XLOOKUP(TablaSTOCKINV[[#This Row],[SKU]],TablaINVENTARIO[SKU],TablaINVENTARIO[DPTO RESPONSABLE])</f>
        <v>SIHO-A</v>
      </c>
      <c r="L101" s="36">
        <f>_xlfn.XLOOKUP(TablaSTOCKINV[[#This Row],[SKU]],TablaINVENTARIO[SKU],TablaINVENTARIO[RANGO MIN])</f>
        <v>0</v>
      </c>
      <c r="M101" s="34" cm="1">
        <f t="array" ref="M101">_xlfn.IFS(TablaSTOCKINV[[#This Row],[CANT. TOTAL]]&lt;=0,1,TablaSTOCKINV[[#This Row],[CANT. TOTAL]]&lt;=TablaSTOCKINV[[#This Row],[MIN]],2,TablaSTOCKINV[[#This Row],[CANT. TOTAL]]&gt;TablaSTOCKINV[[#This Row],[MIN]],3)</f>
        <v>3</v>
      </c>
      <c r="N101" s="34">
        <f>TablaSTOCKINV[[#This Row],[ENTRADAS]]-TablaSTOCKINV[[#This Row],[SALIDAS]]</f>
        <v>1</v>
      </c>
      <c r="O101" s="35">
        <f>SUMIFS(TablaENTRADA[CANT],TablaENTRADA[SKU],TablaSTOCKINV[[#This Row],[SKU]])</f>
        <v>1</v>
      </c>
      <c r="P101" s="35">
        <f>SUMIFS(TablaSALIDA[CANT],TablaSALIDA[SKU],TablaSTOCKINV[[#This Row],[SKU]])</f>
        <v>0</v>
      </c>
      <c r="Q101" s="34">
        <f>_xlfn.XLOOKUP(TablaSTOCKINV[[#This Row],[SKU]],TablaINVENTARIO[SKU],TablaINVENTARIO[PRECIO])</f>
        <v>0</v>
      </c>
      <c r="R101" s="34">
        <f>TablaSTOCKINV[[#This Row],[P.UNITARIO]]*TablaSTOCKINV[[#This Row],[CANT. TOTAL]]</f>
        <v>0</v>
      </c>
      <c r="S101" s="44">
        <f>_xlfn.XLOOKUP(TablaSTOCKINV[[#This Row],[SKU]],TablaINVENTARIO[SKU],TablaINVENTARIO[FECHA INGRESO])</f>
        <v>46023</v>
      </c>
      <c r="T101" s="44">
        <f>_xlfn.XLOOKUP(TablaSTOCKINV[[#This Row],[SKU]],TablaENTRADA[SKU],TablaENTRADA[FECHA],,0,-1)</f>
        <v>46023</v>
      </c>
      <c r="U101" s="46" t="str">
        <f>IFERROR((_xlfn.XLOOKUP(TablaSTOCKINV[[#This Row],[SKU]],TablaSALIDA[SKU],TablaSALIDA[FECHA],,0,-1))," " )</f>
        <v xml:space="preserve"> </v>
      </c>
    </row>
    <row r="102" spans="1:21" x14ac:dyDescent="0.3">
      <c r="A102" s="27" t="s">
        <v>2220</v>
      </c>
      <c r="B102" s="32" t="str">
        <f>_xlfn.XLOOKUP(TablaSTOCKINV[[#This Row],[SKU]],TablaINVENTARIO[SKU],TablaINVENTARIO[DESCRIPCION])</f>
        <v>AVISO DE SEGURIDAD (USO OBLIGATORIO DE EPP)</v>
      </c>
      <c r="C102" s="32" t="str">
        <f>_xlfn.XLOOKUP(TablaSTOCKINV[[#This Row],[SKU]],TablaINVENTARIO[SKU],TablaINVENTARIO[MARCA])</f>
        <v>N/A</v>
      </c>
      <c r="D102" s="33" t="str">
        <f>_xlfn.XLOOKUP(TablaSTOCKINV[[#This Row],[SKU]],TablaINVENTARIO[SKU],TablaINVENTARIO[CATEGORIA])</f>
        <v>SISTEMA_DE_SEGURIDAD</v>
      </c>
      <c r="E102" s="33" t="str">
        <f>_xlfn.XLOOKUP(TablaSTOCKINV[[#This Row],[SKU]],TablaINVENTARIO[SKU],TablaINVENTARIO[SUBCATEGORIA])</f>
        <v>SEÑALIZACIONES</v>
      </c>
      <c r="F102" s="33" t="str">
        <f>_xlfn.XLOOKUP(TablaSTOCKINV[[#This Row],[SKU]],TablaINVENTARIO[SKU],TablaINVENTARIO[ESTADO])</f>
        <v>NUEVO</v>
      </c>
      <c r="G102" s="33" t="str">
        <f>_xlfn.XLOOKUP(TablaSTOCKINV[[#This Row],[SKU]],TablaINVENTARIO[SKU],TablaINVENTARIO[MEDIDA])</f>
        <v xml:space="preserve">UND </v>
      </c>
      <c r="H102" s="33" t="str">
        <f>_xlfn.XLOOKUP(TablaSTOCKINV[[#This Row],[SKU]],TablaINVENTARIO[SKU],TablaINVENTARIO[SERIAL])</f>
        <v>N/A</v>
      </c>
      <c r="I102" s="34" t="str">
        <f>_xlfn.XLOOKUP(TablaSTOCKINV[[#This Row],[SKU]],TablaINVENTARIO[SKU],TablaINVENTARIO[ALMACEN])</f>
        <v>ALMACEN PRINCIPAL</v>
      </c>
      <c r="J102" s="34" t="str">
        <f>_xlfn.XLOOKUP(TablaSTOCKINV[[#This Row],[SKU]],TablaINVENTARIO[SKU],TablaINVENTARIO[UBICACION])</f>
        <v xml:space="preserve">CUARTO DE ALMACENAMIENTO </v>
      </c>
      <c r="K102" s="34" t="str">
        <f>_xlfn.XLOOKUP(TablaSTOCKINV[[#This Row],[SKU]],TablaINVENTARIO[SKU],TablaINVENTARIO[DPTO RESPONSABLE])</f>
        <v>SIHO-A</v>
      </c>
      <c r="L102" s="36">
        <f>_xlfn.XLOOKUP(TablaSTOCKINV[[#This Row],[SKU]],TablaINVENTARIO[SKU],TablaINVENTARIO[RANGO MIN])</f>
        <v>0</v>
      </c>
      <c r="M102" s="34" cm="1">
        <f t="array" ref="M102">_xlfn.IFS(TablaSTOCKINV[[#This Row],[CANT. TOTAL]]&lt;=0,1,TablaSTOCKINV[[#This Row],[CANT. TOTAL]]&lt;=TablaSTOCKINV[[#This Row],[MIN]],2,TablaSTOCKINV[[#This Row],[CANT. TOTAL]]&gt;TablaSTOCKINV[[#This Row],[MIN]],3)</f>
        <v>3</v>
      </c>
      <c r="N102" s="34">
        <f>TablaSTOCKINV[[#This Row],[ENTRADAS]]-TablaSTOCKINV[[#This Row],[SALIDAS]]</f>
        <v>2</v>
      </c>
      <c r="O102" s="35">
        <f>SUMIFS(TablaENTRADA[CANT],TablaENTRADA[SKU],TablaSTOCKINV[[#This Row],[SKU]])</f>
        <v>2</v>
      </c>
      <c r="P102" s="35">
        <f>SUMIFS(TablaSALIDA[CANT],TablaSALIDA[SKU],TablaSTOCKINV[[#This Row],[SKU]])</f>
        <v>0</v>
      </c>
      <c r="Q102" s="34">
        <f>_xlfn.XLOOKUP(TablaSTOCKINV[[#This Row],[SKU]],TablaINVENTARIO[SKU],TablaINVENTARIO[PRECIO])</f>
        <v>0</v>
      </c>
      <c r="R102" s="34">
        <f>TablaSTOCKINV[[#This Row],[P.UNITARIO]]*TablaSTOCKINV[[#This Row],[CANT. TOTAL]]</f>
        <v>0</v>
      </c>
      <c r="S102" s="44">
        <f>_xlfn.XLOOKUP(TablaSTOCKINV[[#This Row],[SKU]],TablaINVENTARIO[SKU],TablaINVENTARIO[FECHA INGRESO])</f>
        <v>46023</v>
      </c>
      <c r="T102" s="44">
        <f>_xlfn.XLOOKUP(TablaSTOCKINV[[#This Row],[SKU]],TablaENTRADA[SKU],TablaENTRADA[FECHA],,0,-1)</f>
        <v>46023</v>
      </c>
      <c r="U102" s="46" t="str">
        <f>IFERROR((_xlfn.XLOOKUP(TablaSTOCKINV[[#This Row],[SKU]],TablaSALIDA[SKU],TablaSALIDA[FECHA],,0,-1))," " )</f>
        <v xml:space="preserve"> </v>
      </c>
    </row>
    <row r="103" spans="1:21" x14ac:dyDescent="0.3">
      <c r="A103" s="27" t="s">
        <v>2222</v>
      </c>
      <c r="B103" s="32" t="str">
        <f>_xlfn.XLOOKUP(TablaSTOCKINV[[#This Row],[SKU]],TablaINVENTARIO[SKU],TablaINVENTARIO[DESCRIPCION])</f>
        <v xml:space="preserve">KIT ANTIDERRAME </v>
      </c>
      <c r="C103" s="32" t="str">
        <f>_xlfn.XLOOKUP(TablaSTOCKINV[[#This Row],[SKU]],TablaINVENTARIO[SKU],TablaINVENTARIO[MARCA])</f>
        <v>N/A</v>
      </c>
      <c r="D103" s="33" t="str">
        <f>_xlfn.XLOOKUP(TablaSTOCKINV[[#This Row],[SKU]],TablaINVENTARIO[SKU],TablaINVENTARIO[CATEGORIA])</f>
        <v>SISTEMA_DE_SEGURIDAD</v>
      </c>
      <c r="E103" s="33" t="str">
        <f>_xlfn.XLOOKUP(TablaSTOCKINV[[#This Row],[SKU]],TablaINVENTARIO[SKU],TablaINVENTARIO[SUBCATEGORIA])</f>
        <v>ANTIDERRAMES</v>
      </c>
      <c r="F103" s="33" t="str">
        <f>_xlfn.XLOOKUP(TablaSTOCKINV[[#This Row],[SKU]],TablaINVENTARIO[SKU],TablaINVENTARIO[ESTADO])</f>
        <v>NUEVO</v>
      </c>
      <c r="G103" s="33" t="str">
        <f>_xlfn.XLOOKUP(TablaSTOCKINV[[#This Row],[SKU]],TablaINVENTARIO[SKU],TablaINVENTARIO[MEDIDA])</f>
        <v>KIT</v>
      </c>
      <c r="H103" s="33" t="str">
        <f>_xlfn.XLOOKUP(TablaSTOCKINV[[#This Row],[SKU]],TablaINVENTARIO[SKU],TablaINVENTARIO[SERIAL])</f>
        <v>N/A</v>
      </c>
      <c r="I103" s="34" t="str">
        <f>_xlfn.XLOOKUP(TablaSTOCKINV[[#This Row],[SKU]],TablaINVENTARIO[SKU],TablaINVENTARIO[ALMACEN])</f>
        <v>ALMACEN PRINCIPAL</v>
      </c>
      <c r="J103" s="34" t="str">
        <f>_xlfn.XLOOKUP(TablaSTOCKINV[[#This Row],[SKU]],TablaINVENTARIO[SKU],TablaINVENTARIO[UBICACION])</f>
        <v xml:space="preserve">CUARTO DE ALMACENAMIENTO </v>
      </c>
      <c r="K103" s="34" t="str">
        <f>_xlfn.XLOOKUP(TablaSTOCKINV[[#This Row],[SKU]],TablaINVENTARIO[SKU],TablaINVENTARIO[DPTO RESPONSABLE])</f>
        <v>OPERACIONES</v>
      </c>
      <c r="L103" s="36">
        <f>_xlfn.XLOOKUP(TablaSTOCKINV[[#This Row],[SKU]],TablaINVENTARIO[SKU],TablaINVENTARIO[RANGO MIN])</f>
        <v>0</v>
      </c>
      <c r="M103" s="34" cm="1">
        <f t="array" ref="M103">_xlfn.IFS(TablaSTOCKINV[[#This Row],[CANT. TOTAL]]&lt;=0,1,TablaSTOCKINV[[#This Row],[CANT. TOTAL]]&lt;=TablaSTOCKINV[[#This Row],[MIN]],2,TablaSTOCKINV[[#This Row],[CANT. TOTAL]]&gt;TablaSTOCKINV[[#This Row],[MIN]],3)</f>
        <v>3</v>
      </c>
      <c r="N103" s="34">
        <f>TablaSTOCKINV[[#This Row],[ENTRADAS]]-TablaSTOCKINV[[#This Row],[SALIDAS]]</f>
        <v>1</v>
      </c>
      <c r="O103" s="35">
        <f>SUMIFS(TablaENTRADA[CANT],TablaENTRADA[SKU],TablaSTOCKINV[[#This Row],[SKU]])</f>
        <v>1</v>
      </c>
      <c r="P103" s="35">
        <f>SUMIFS(TablaSALIDA[CANT],TablaSALIDA[SKU],TablaSTOCKINV[[#This Row],[SKU]])</f>
        <v>0</v>
      </c>
      <c r="Q103" s="34">
        <f>_xlfn.XLOOKUP(TablaSTOCKINV[[#This Row],[SKU]],TablaINVENTARIO[SKU],TablaINVENTARIO[PRECIO])</f>
        <v>0</v>
      </c>
      <c r="R103" s="34">
        <f>TablaSTOCKINV[[#This Row],[P.UNITARIO]]*TablaSTOCKINV[[#This Row],[CANT. TOTAL]]</f>
        <v>0</v>
      </c>
      <c r="S103" s="44">
        <f>_xlfn.XLOOKUP(TablaSTOCKINV[[#This Row],[SKU]],TablaINVENTARIO[SKU],TablaINVENTARIO[FECHA INGRESO])</f>
        <v>46023</v>
      </c>
      <c r="T103" s="44">
        <f>_xlfn.XLOOKUP(TablaSTOCKINV[[#This Row],[SKU]],TablaENTRADA[SKU],TablaENTRADA[FECHA],,0,-1)</f>
        <v>46023</v>
      </c>
      <c r="U103" s="46" t="str">
        <f>IFERROR((_xlfn.XLOOKUP(TablaSTOCKINV[[#This Row],[SKU]],TablaSALIDA[SKU],TablaSALIDA[FECHA],,0,-1))," " )</f>
        <v xml:space="preserve"> </v>
      </c>
    </row>
    <row r="104" spans="1:21" x14ac:dyDescent="0.3">
      <c r="A104" s="27" t="s">
        <v>2225</v>
      </c>
      <c r="B104" s="32" t="str">
        <f>_xlfn.XLOOKUP(TablaSTOCKINV[[#This Row],[SKU]],TablaINVENTARIO[SKU],TablaINVENTARIO[DESCRIPCION])</f>
        <v xml:space="preserve">GANCHO PORTA EXTINTOR </v>
      </c>
      <c r="C104" s="32" t="str">
        <f>_xlfn.XLOOKUP(TablaSTOCKINV[[#This Row],[SKU]],TablaINVENTARIO[SKU],TablaINVENTARIO[MARCA])</f>
        <v>N/A</v>
      </c>
      <c r="D104" s="33" t="str">
        <f>_xlfn.XLOOKUP(TablaSTOCKINV[[#This Row],[SKU]],TablaINVENTARIO[SKU],TablaINVENTARIO[CATEGORIA])</f>
        <v>SISTEMA_DE_SEGURIDAD</v>
      </c>
      <c r="E104" s="33" t="str">
        <f>_xlfn.XLOOKUP(TablaSTOCKINV[[#This Row],[SKU]],TablaINVENTARIO[SKU],TablaINVENTARIO[SUBCATEGORIA])</f>
        <v xml:space="preserve">EQUIPO CONTRA INCENDIOS </v>
      </c>
      <c r="F104" s="33" t="str">
        <f>_xlfn.XLOOKUP(TablaSTOCKINV[[#This Row],[SKU]],TablaINVENTARIO[SKU],TablaINVENTARIO[ESTADO])</f>
        <v xml:space="preserve">NUEVO </v>
      </c>
      <c r="G104" s="33" t="str">
        <f>_xlfn.XLOOKUP(TablaSTOCKINV[[#This Row],[SKU]],TablaINVENTARIO[SKU],TablaINVENTARIO[MEDIDA])</f>
        <v>UND</v>
      </c>
      <c r="H104" s="33" t="str">
        <f>_xlfn.XLOOKUP(TablaSTOCKINV[[#This Row],[SKU]],TablaINVENTARIO[SKU],TablaINVENTARIO[SERIAL])</f>
        <v>N/A</v>
      </c>
      <c r="I104" s="34" t="str">
        <f>_xlfn.XLOOKUP(TablaSTOCKINV[[#This Row],[SKU]],TablaINVENTARIO[SKU],TablaINVENTARIO[ALMACEN])</f>
        <v>ALMACEN PRINCIPAL</v>
      </c>
      <c r="J104" s="34" t="str">
        <f>_xlfn.XLOOKUP(TablaSTOCKINV[[#This Row],[SKU]],TablaINVENTARIO[SKU],TablaINVENTARIO[UBICACION])</f>
        <v>VER</v>
      </c>
      <c r="K104" s="34" t="str">
        <f>_xlfn.XLOOKUP(TablaSTOCKINV[[#This Row],[SKU]],TablaINVENTARIO[SKU],TablaINVENTARIO[DPTO RESPONSABLE])</f>
        <v>OPERACIONES</v>
      </c>
      <c r="L104" s="36">
        <f>_xlfn.XLOOKUP(TablaSTOCKINV[[#This Row],[SKU]],TablaINVENTARIO[SKU],TablaINVENTARIO[RANGO MIN])</f>
        <v>0</v>
      </c>
      <c r="M104" s="34" cm="1">
        <f t="array" ref="M104">_xlfn.IFS(TablaSTOCKINV[[#This Row],[CANT. TOTAL]]&lt;=0,1,TablaSTOCKINV[[#This Row],[CANT. TOTAL]]&lt;=TablaSTOCKINV[[#This Row],[MIN]],2,TablaSTOCKINV[[#This Row],[CANT. TOTAL]]&gt;TablaSTOCKINV[[#This Row],[MIN]],3)</f>
        <v>1</v>
      </c>
      <c r="N104" s="34">
        <f>TablaSTOCKINV[[#This Row],[ENTRADAS]]-TablaSTOCKINV[[#This Row],[SALIDAS]]</f>
        <v>0</v>
      </c>
      <c r="O104" s="35">
        <f>SUMIFS(TablaENTRADA[CANT],TablaENTRADA[SKU],TablaSTOCKINV[[#This Row],[SKU]])</f>
        <v>0</v>
      </c>
      <c r="P104" s="35">
        <f>SUMIFS(TablaSALIDA[CANT],TablaSALIDA[SKU],TablaSTOCKINV[[#This Row],[SKU]])</f>
        <v>0</v>
      </c>
      <c r="Q104" s="34">
        <f>_xlfn.XLOOKUP(TablaSTOCKINV[[#This Row],[SKU]],TablaINVENTARIO[SKU],TablaINVENTARIO[PRECIO])</f>
        <v>0</v>
      </c>
      <c r="R104" s="34">
        <f>TablaSTOCKINV[[#This Row],[P.UNITARIO]]*TablaSTOCKINV[[#This Row],[CANT. TOTAL]]</f>
        <v>0</v>
      </c>
      <c r="S104" s="44">
        <f>_xlfn.XLOOKUP(TablaSTOCKINV[[#This Row],[SKU]],TablaINVENTARIO[SKU],TablaINVENTARIO[FECHA INGRESO])</f>
        <v>46023</v>
      </c>
      <c r="T104" s="44">
        <f>_xlfn.XLOOKUP(TablaSTOCKINV[[#This Row],[SKU]],TablaENTRADA[SKU],TablaENTRADA[FECHA],,0,-1)</f>
        <v>46023</v>
      </c>
      <c r="U104" s="46" t="str">
        <f>IFERROR((_xlfn.XLOOKUP(TablaSTOCKINV[[#This Row],[SKU]],TablaSALIDA[SKU],TablaSALIDA[FECHA],,0,-1))," " )</f>
        <v xml:space="preserve"> </v>
      </c>
    </row>
    <row r="105" spans="1:21" x14ac:dyDescent="0.3">
      <c r="A105" s="27" t="s">
        <v>2227</v>
      </c>
      <c r="B105" s="32" t="str">
        <f>_xlfn.XLOOKUP(TablaSTOCKINV[[#This Row],[SKU]],TablaINVENTARIO[SKU],TablaINVENTARIO[DESCRIPCION])</f>
        <v>BASE PARA MANGA DE VIENTO</v>
      </c>
      <c r="C105" s="32" t="str">
        <f>_xlfn.XLOOKUP(TablaSTOCKINV[[#This Row],[SKU]],TablaINVENTARIO[SKU],TablaINVENTARIO[MARCA])</f>
        <v>N/A</v>
      </c>
      <c r="D105" s="33" t="str">
        <f>_xlfn.XLOOKUP(TablaSTOCKINV[[#This Row],[SKU]],TablaINVENTARIO[SKU],TablaINVENTARIO[CATEGORIA])</f>
        <v>SISTEMA_DE_SEGURIDAD</v>
      </c>
      <c r="E105" s="33" t="str">
        <f>_xlfn.XLOOKUP(TablaSTOCKINV[[#This Row],[SKU]],TablaINVENTARIO[SKU],TablaINVENTARIO[SUBCATEGORIA])</f>
        <v>SEÑALIZACIONES</v>
      </c>
      <c r="F105" s="33" t="str">
        <f>_xlfn.XLOOKUP(TablaSTOCKINV[[#This Row],[SKU]],TablaINVENTARIO[SKU],TablaINVENTARIO[ESTADO])</f>
        <v>NUEVO</v>
      </c>
      <c r="G105" s="33" t="str">
        <f>_xlfn.XLOOKUP(TablaSTOCKINV[[#This Row],[SKU]],TablaINVENTARIO[SKU],TablaINVENTARIO[MEDIDA])</f>
        <v xml:space="preserve">UND </v>
      </c>
      <c r="H105" s="33" t="str">
        <f>_xlfn.XLOOKUP(TablaSTOCKINV[[#This Row],[SKU]],TablaINVENTARIO[SKU],TablaINVENTARIO[SERIAL])</f>
        <v>N/A</v>
      </c>
      <c r="I105" s="34" t="str">
        <f>_xlfn.XLOOKUP(TablaSTOCKINV[[#This Row],[SKU]],TablaINVENTARIO[SKU],TablaINVENTARIO[ALMACEN])</f>
        <v>ALMACEN PRINCIPAL</v>
      </c>
      <c r="J105" s="34" t="str">
        <f>_xlfn.XLOOKUP(TablaSTOCKINV[[#This Row],[SKU]],TablaINVENTARIO[SKU],TablaINVENTARIO[UBICACION])</f>
        <v>G1</v>
      </c>
      <c r="K105" s="34" t="str">
        <f>_xlfn.XLOOKUP(TablaSTOCKINV[[#This Row],[SKU]],TablaINVENTARIO[SKU],TablaINVENTARIO[DPTO RESPONSABLE])</f>
        <v xml:space="preserve">OPERACIONES </v>
      </c>
      <c r="L105" s="36">
        <f>_xlfn.XLOOKUP(TablaSTOCKINV[[#This Row],[SKU]],TablaINVENTARIO[SKU],TablaINVENTARIO[RANGO MIN])</f>
        <v>0</v>
      </c>
      <c r="M105" s="34" cm="1">
        <f t="array" ref="M105">_xlfn.IFS(TablaSTOCKINV[[#This Row],[CANT. TOTAL]]&lt;=0,1,TablaSTOCKINV[[#This Row],[CANT. TOTAL]]&lt;=TablaSTOCKINV[[#This Row],[MIN]],2,TablaSTOCKINV[[#This Row],[CANT. TOTAL]]&gt;TablaSTOCKINV[[#This Row],[MIN]],3)</f>
        <v>3</v>
      </c>
      <c r="N105" s="34">
        <f>TablaSTOCKINV[[#This Row],[ENTRADAS]]-TablaSTOCKINV[[#This Row],[SALIDAS]]</f>
        <v>1</v>
      </c>
      <c r="O105" s="35">
        <f>SUMIFS(TablaENTRADA[CANT],TablaENTRADA[SKU],TablaSTOCKINV[[#This Row],[SKU]])</f>
        <v>1</v>
      </c>
      <c r="P105" s="35">
        <f>SUMIFS(TablaSALIDA[CANT],TablaSALIDA[SKU],TablaSTOCKINV[[#This Row],[SKU]])</f>
        <v>0</v>
      </c>
      <c r="Q105" s="34">
        <f>_xlfn.XLOOKUP(TablaSTOCKINV[[#This Row],[SKU]],TablaINVENTARIO[SKU],TablaINVENTARIO[PRECIO])</f>
        <v>0</v>
      </c>
      <c r="R105" s="34">
        <f>TablaSTOCKINV[[#This Row],[P.UNITARIO]]*TablaSTOCKINV[[#This Row],[CANT. TOTAL]]</f>
        <v>0</v>
      </c>
      <c r="S105" s="44">
        <f>_xlfn.XLOOKUP(TablaSTOCKINV[[#This Row],[SKU]],TablaINVENTARIO[SKU],TablaINVENTARIO[FECHA INGRESO])</f>
        <v>46023</v>
      </c>
      <c r="T105" s="44">
        <f>_xlfn.XLOOKUP(TablaSTOCKINV[[#This Row],[SKU]],TablaENTRADA[SKU],TablaENTRADA[FECHA],,0,-1)</f>
        <v>46023</v>
      </c>
      <c r="U105" s="46" t="str">
        <f>IFERROR((_xlfn.XLOOKUP(TablaSTOCKINV[[#This Row],[SKU]],TablaSALIDA[SKU],TablaSALIDA[FECHA],,0,-1))," " )</f>
        <v xml:space="preserve"> </v>
      </c>
    </row>
    <row r="106" spans="1:21" x14ac:dyDescent="0.3">
      <c r="A106" s="27" t="s">
        <v>2229</v>
      </c>
      <c r="B106" s="32" t="str">
        <f>_xlfn.XLOOKUP(TablaSTOCKINV[[#This Row],[SKU]],TablaINVENTARIO[SKU],TablaINVENTARIO[DESCRIPCION])</f>
        <v xml:space="preserve">MANGA DE VIENTO </v>
      </c>
      <c r="C106" s="32" t="str">
        <f>_xlfn.XLOOKUP(TablaSTOCKINV[[#This Row],[SKU]],TablaINVENTARIO[SKU],TablaINVENTARIO[MARCA])</f>
        <v>N/A</v>
      </c>
      <c r="D106" s="33" t="str">
        <f>_xlfn.XLOOKUP(TablaSTOCKINV[[#This Row],[SKU]],TablaINVENTARIO[SKU],TablaINVENTARIO[CATEGORIA])</f>
        <v>SISTEMA_DE_SEGURIDAD</v>
      </c>
      <c r="E106" s="33" t="str">
        <f>_xlfn.XLOOKUP(TablaSTOCKINV[[#This Row],[SKU]],TablaINVENTARIO[SKU],TablaINVENTARIO[SUBCATEGORIA])</f>
        <v>SEÑALIZACIONES</v>
      </c>
      <c r="F106" s="33" t="str">
        <f>_xlfn.XLOOKUP(TablaSTOCKINV[[#This Row],[SKU]],TablaINVENTARIO[SKU],TablaINVENTARIO[ESTADO])</f>
        <v>NUEVO</v>
      </c>
      <c r="G106" s="33" t="str">
        <f>_xlfn.XLOOKUP(TablaSTOCKINV[[#This Row],[SKU]],TablaINVENTARIO[SKU],TablaINVENTARIO[MEDIDA])</f>
        <v xml:space="preserve">UND </v>
      </c>
      <c r="H106" s="33" t="str">
        <f>_xlfn.XLOOKUP(TablaSTOCKINV[[#This Row],[SKU]],TablaINVENTARIO[SKU],TablaINVENTARIO[SERIAL])</f>
        <v>N/A</v>
      </c>
      <c r="I106" s="34" t="str">
        <f>_xlfn.XLOOKUP(TablaSTOCKINV[[#This Row],[SKU]],TablaINVENTARIO[SKU],TablaINVENTARIO[ALMACEN])</f>
        <v>ALMACEN PRINCIPAL</v>
      </c>
      <c r="J106" s="34" t="str">
        <f>_xlfn.XLOOKUP(TablaSTOCKINV[[#This Row],[SKU]],TablaINVENTARIO[SKU],TablaINVENTARIO[UBICACION])</f>
        <v>G2</v>
      </c>
      <c r="K106" s="34" t="str">
        <f>_xlfn.XLOOKUP(TablaSTOCKINV[[#This Row],[SKU]],TablaINVENTARIO[SKU],TablaINVENTARIO[DPTO RESPONSABLE])</f>
        <v xml:space="preserve">OPERACIONES </v>
      </c>
      <c r="L106" s="36">
        <f>_xlfn.XLOOKUP(TablaSTOCKINV[[#This Row],[SKU]],TablaINVENTARIO[SKU],TablaINVENTARIO[RANGO MIN])</f>
        <v>0</v>
      </c>
      <c r="M106" s="34" cm="1">
        <f t="array" ref="M106">_xlfn.IFS(TablaSTOCKINV[[#This Row],[CANT. TOTAL]]&lt;=0,1,TablaSTOCKINV[[#This Row],[CANT. TOTAL]]&lt;=TablaSTOCKINV[[#This Row],[MIN]],2,TablaSTOCKINV[[#This Row],[CANT. TOTAL]]&gt;TablaSTOCKINV[[#This Row],[MIN]],3)</f>
        <v>3</v>
      </c>
      <c r="N106" s="34">
        <f>TablaSTOCKINV[[#This Row],[ENTRADAS]]-TablaSTOCKINV[[#This Row],[SALIDAS]]</f>
        <v>4</v>
      </c>
      <c r="O106" s="35">
        <f>SUMIFS(TablaENTRADA[CANT],TablaENTRADA[SKU],TablaSTOCKINV[[#This Row],[SKU]])</f>
        <v>4</v>
      </c>
      <c r="P106" s="35">
        <f>SUMIFS(TablaSALIDA[CANT],TablaSALIDA[SKU],TablaSTOCKINV[[#This Row],[SKU]])</f>
        <v>0</v>
      </c>
      <c r="Q106" s="34">
        <f>_xlfn.XLOOKUP(TablaSTOCKINV[[#This Row],[SKU]],TablaINVENTARIO[SKU],TablaINVENTARIO[PRECIO])</f>
        <v>0</v>
      </c>
      <c r="R106" s="34">
        <f>TablaSTOCKINV[[#This Row],[P.UNITARIO]]*TablaSTOCKINV[[#This Row],[CANT. TOTAL]]</f>
        <v>0</v>
      </c>
      <c r="S106" s="44">
        <f>_xlfn.XLOOKUP(TablaSTOCKINV[[#This Row],[SKU]],TablaINVENTARIO[SKU],TablaINVENTARIO[FECHA INGRESO])</f>
        <v>46023</v>
      </c>
      <c r="T106" s="44">
        <f>_xlfn.XLOOKUP(TablaSTOCKINV[[#This Row],[SKU]],TablaENTRADA[SKU],TablaENTRADA[FECHA],,0,-1)</f>
        <v>46023</v>
      </c>
      <c r="U106" s="46" t="str">
        <f>IFERROR((_xlfn.XLOOKUP(TablaSTOCKINV[[#This Row],[SKU]],TablaSALIDA[SKU],TablaSALIDA[FECHA],,0,-1))," " )</f>
        <v xml:space="preserve"> </v>
      </c>
    </row>
    <row r="107" spans="1:21" x14ac:dyDescent="0.3">
      <c r="A107" s="27" t="s">
        <v>2231</v>
      </c>
      <c r="B107" s="32" t="str">
        <f>_xlfn.XLOOKUP(TablaSTOCKINV[[#This Row],[SKU]],TablaINVENTARIO[SKU],TablaINVENTARIO[DESCRIPCION])</f>
        <v xml:space="preserve">CINTA REFLECTIVA </v>
      </c>
      <c r="C107" s="32" t="str">
        <f>_xlfn.XLOOKUP(TablaSTOCKINV[[#This Row],[SKU]],TablaINVENTARIO[SKU],TablaINVENTARIO[MARCA])</f>
        <v>3M</v>
      </c>
      <c r="D107" s="33" t="str">
        <f>_xlfn.XLOOKUP(TablaSTOCKINV[[#This Row],[SKU]],TablaINVENTARIO[SKU],TablaINVENTARIO[CATEGORIA])</f>
        <v>SISTEMA_DE_SEGURIDAD</v>
      </c>
      <c r="E107" s="33" t="str">
        <f>_xlfn.XLOOKUP(TablaSTOCKINV[[#This Row],[SKU]],TablaINVENTARIO[SKU],TablaINVENTARIO[SUBCATEGORIA])</f>
        <v>SEÑALIZACIONES</v>
      </c>
      <c r="F107" s="33" t="str">
        <f>_xlfn.XLOOKUP(TablaSTOCKINV[[#This Row],[SKU]],TablaINVENTARIO[SKU],TablaINVENTARIO[ESTADO])</f>
        <v xml:space="preserve">NUEVO </v>
      </c>
      <c r="G107" s="33" t="str">
        <f>_xlfn.XLOOKUP(TablaSTOCKINV[[#This Row],[SKU]],TablaINVENTARIO[SKU],TablaINVENTARIO[MEDIDA])</f>
        <v>MTS</v>
      </c>
      <c r="H107" s="33" t="str">
        <f>_xlfn.XLOOKUP(TablaSTOCKINV[[#This Row],[SKU]],TablaINVENTARIO[SKU],TablaINVENTARIO[SERIAL])</f>
        <v>N/A</v>
      </c>
      <c r="I107" s="34" t="str">
        <f>_xlfn.XLOOKUP(TablaSTOCKINV[[#This Row],[SKU]],TablaINVENTARIO[SKU],TablaINVENTARIO[ALMACEN])</f>
        <v>ALMACEN PRINCIPAL</v>
      </c>
      <c r="J107" s="34" t="str">
        <f>_xlfn.XLOOKUP(TablaSTOCKINV[[#This Row],[SKU]],TablaINVENTARIO[SKU],TablaINVENTARIO[UBICACION])</f>
        <v>3I</v>
      </c>
      <c r="K107" s="34" t="str">
        <f>_xlfn.XLOOKUP(TablaSTOCKINV[[#This Row],[SKU]],TablaINVENTARIO[SKU],TablaINVENTARIO[DPTO RESPONSABLE])</f>
        <v>OPERACIONES / MANTENIMIENTO</v>
      </c>
      <c r="L107" s="36">
        <f>_xlfn.XLOOKUP(TablaSTOCKINV[[#This Row],[SKU]],TablaINVENTARIO[SKU],TablaINVENTARIO[RANGO MIN])</f>
        <v>0</v>
      </c>
      <c r="M107" s="34" cm="1">
        <f t="array" ref="M107">_xlfn.IFS(TablaSTOCKINV[[#This Row],[CANT. TOTAL]]&lt;=0,1,TablaSTOCKINV[[#This Row],[CANT. TOTAL]]&lt;=TablaSTOCKINV[[#This Row],[MIN]],2,TablaSTOCKINV[[#This Row],[CANT. TOTAL]]&gt;TablaSTOCKINV[[#This Row],[MIN]],3)</f>
        <v>3</v>
      </c>
      <c r="N107" s="34">
        <f>TablaSTOCKINV[[#This Row],[ENTRADAS]]-TablaSTOCKINV[[#This Row],[SALIDAS]]</f>
        <v>21</v>
      </c>
      <c r="O107" s="35">
        <f>SUMIFS(TablaENTRADA[CANT],TablaENTRADA[SKU],TablaSTOCKINV[[#This Row],[SKU]])</f>
        <v>21</v>
      </c>
      <c r="P107" s="35">
        <f>SUMIFS(TablaSALIDA[CANT],TablaSALIDA[SKU],TablaSTOCKINV[[#This Row],[SKU]])</f>
        <v>0</v>
      </c>
      <c r="Q107" s="34">
        <f>_xlfn.XLOOKUP(TablaSTOCKINV[[#This Row],[SKU]],TablaINVENTARIO[SKU],TablaINVENTARIO[PRECIO])</f>
        <v>0</v>
      </c>
      <c r="R107" s="34">
        <f>TablaSTOCKINV[[#This Row],[P.UNITARIO]]*TablaSTOCKINV[[#This Row],[CANT. TOTAL]]</f>
        <v>0</v>
      </c>
      <c r="S107" s="44">
        <f>_xlfn.XLOOKUP(TablaSTOCKINV[[#This Row],[SKU]],TablaINVENTARIO[SKU],TablaINVENTARIO[FECHA INGRESO])</f>
        <v>46023</v>
      </c>
      <c r="T107" s="44">
        <f>_xlfn.XLOOKUP(TablaSTOCKINV[[#This Row],[SKU]],TablaENTRADA[SKU],TablaENTRADA[FECHA],,0,-1)</f>
        <v>46023</v>
      </c>
      <c r="U107" s="46" t="str">
        <f>IFERROR((_xlfn.XLOOKUP(TablaSTOCKINV[[#This Row],[SKU]],TablaSALIDA[SKU],TablaSALIDA[FECHA],,0,-1))," " )</f>
        <v xml:space="preserve"> </v>
      </c>
    </row>
    <row r="108" spans="1:21" x14ac:dyDescent="0.3">
      <c r="A108" s="27" t="s">
        <v>2233</v>
      </c>
      <c r="B108" s="32" t="str">
        <f>_xlfn.XLOOKUP(TablaSTOCKINV[[#This Row],[SKU]],TablaINVENTARIO[SKU],TablaINVENTARIO[DESCRIPCION])</f>
        <v xml:space="preserve">DETECTOR TERMICO </v>
      </c>
      <c r="C108" s="32" t="str">
        <f>_xlfn.XLOOKUP(TablaSTOCKINV[[#This Row],[SKU]],TablaINVENTARIO[SKU],TablaINVENTARIO[MARCA])</f>
        <v xml:space="preserve">SOVICA ELECTRONIC </v>
      </c>
      <c r="D108" s="33" t="str">
        <f>_xlfn.XLOOKUP(TablaSTOCKINV[[#This Row],[SKU]],TablaINVENTARIO[SKU],TablaINVENTARIO[CATEGORIA])</f>
        <v>SISTEMA_DE_SEGURIDAD</v>
      </c>
      <c r="E108" s="33" t="str">
        <f>_xlfn.XLOOKUP(TablaSTOCKINV[[#This Row],[SKU]],TablaINVENTARIO[SKU],TablaINVENTARIO[SUBCATEGORIA])</f>
        <v xml:space="preserve">DETECTOR DE INCENDIOS </v>
      </c>
      <c r="F108" s="33" t="str">
        <f>_xlfn.XLOOKUP(TablaSTOCKINV[[#This Row],[SKU]],TablaINVENTARIO[SKU],TablaINVENTARIO[ESTADO])</f>
        <v>USADO</v>
      </c>
      <c r="G108" s="33" t="str">
        <f>_xlfn.XLOOKUP(TablaSTOCKINV[[#This Row],[SKU]],TablaINVENTARIO[SKU],TablaINVENTARIO[MEDIDA])</f>
        <v>UND</v>
      </c>
      <c r="H108" s="33" t="str">
        <f>_xlfn.XLOOKUP(TablaSTOCKINV[[#This Row],[SKU]],TablaINVENTARIO[SKU],TablaINVENTARIO[SERIAL])</f>
        <v>N/A</v>
      </c>
      <c r="I108" s="34" t="str">
        <f>_xlfn.XLOOKUP(TablaSTOCKINV[[#This Row],[SKU]],TablaINVENTARIO[SKU],TablaINVENTARIO[ALMACEN])</f>
        <v>ALMACEN PRINCIPAL</v>
      </c>
      <c r="J108" s="34" t="str">
        <f>_xlfn.XLOOKUP(TablaSTOCKINV[[#This Row],[SKU]],TablaINVENTARIO[SKU],TablaINVENTARIO[UBICACION])</f>
        <v>3D</v>
      </c>
      <c r="K108" s="34" t="str">
        <f>_xlfn.XLOOKUP(TablaSTOCKINV[[#This Row],[SKU]],TablaINVENTARIO[SKU],TablaINVENTARIO[DPTO RESPONSABLE])</f>
        <v>SIHO</v>
      </c>
      <c r="L108" s="36">
        <f>_xlfn.XLOOKUP(TablaSTOCKINV[[#This Row],[SKU]],TablaINVENTARIO[SKU],TablaINVENTARIO[RANGO MIN])</f>
        <v>0</v>
      </c>
      <c r="M108" s="34" cm="1">
        <f t="array" ref="M108">_xlfn.IFS(TablaSTOCKINV[[#This Row],[CANT. TOTAL]]&lt;=0,1,TablaSTOCKINV[[#This Row],[CANT. TOTAL]]&lt;=TablaSTOCKINV[[#This Row],[MIN]],2,TablaSTOCKINV[[#This Row],[CANT. TOTAL]]&gt;TablaSTOCKINV[[#This Row],[MIN]],3)</f>
        <v>3</v>
      </c>
      <c r="N108" s="34">
        <f>TablaSTOCKINV[[#This Row],[ENTRADAS]]-TablaSTOCKINV[[#This Row],[SALIDAS]]</f>
        <v>2</v>
      </c>
      <c r="O108" s="35">
        <f>SUMIFS(TablaENTRADA[CANT],TablaENTRADA[SKU],TablaSTOCKINV[[#This Row],[SKU]])</f>
        <v>2</v>
      </c>
      <c r="P108" s="35">
        <f>SUMIFS(TablaSALIDA[CANT],TablaSALIDA[SKU],TablaSTOCKINV[[#This Row],[SKU]])</f>
        <v>0</v>
      </c>
      <c r="Q108" s="34">
        <f>_xlfn.XLOOKUP(TablaSTOCKINV[[#This Row],[SKU]],TablaINVENTARIO[SKU],TablaINVENTARIO[PRECIO])</f>
        <v>0</v>
      </c>
      <c r="R108" s="34">
        <f>TablaSTOCKINV[[#This Row],[P.UNITARIO]]*TablaSTOCKINV[[#This Row],[CANT. TOTAL]]</f>
        <v>0</v>
      </c>
      <c r="S108" s="44">
        <f>_xlfn.XLOOKUP(TablaSTOCKINV[[#This Row],[SKU]],TablaINVENTARIO[SKU],TablaINVENTARIO[FECHA INGRESO])</f>
        <v>46023</v>
      </c>
      <c r="T108" s="44">
        <f>_xlfn.XLOOKUP(TablaSTOCKINV[[#This Row],[SKU]],TablaENTRADA[SKU],TablaENTRADA[FECHA],,0,-1)</f>
        <v>46023</v>
      </c>
      <c r="U108" s="46" t="str">
        <f>IFERROR((_xlfn.XLOOKUP(TablaSTOCKINV[[#This Row],[SKU]],TablaSALIDA[SKU],TablaSALIDA[FECHA],,0,-1))," " )</f>
        <v xml:space="preserve"> </v>
      </c>
    </row>
    <row r="109" spans="1:21" x14ac:dyDescent="0.3">
      <c r="A109" s="27" t="s">
        <v>2428</v>
      </c>
      <c r="B109" s="32" t="str">
        <f>_xlfn.XLOOKUP(TablaSTOCKINV[[#This Row],[SKU]],TablaINVENTARIO[SKU],TablaINVENTARIO[DESCRIPCION])</f>
        <v>CAMARA DE SEGURIDAD WIFI 360° MODELO C500</v>
      </c>
      <c r="C109" s="32" t="str">
        <f>_xlfn.XLOOKUP(TablaSTOCKINV[[#This Row],[SKU]],TablaINVENTARIO[SKU],TablaINVENTARIO[MARCA])</f>
        <v>TAPO</v>
      </c>
      <c r="D109" s="33" t="str">
        <f>_xlfn.XLOOKUP(TablaSTOCKINV[[#This Row],[SKU]],TablaINVENTARIO[SKU],TablaINVENTARIO[CATEGORIA])</f>
        <v>SISTEMA_DE_SEGURIDAD</v>
      </c>
      <c r="E109" s="33" t="str">
        <f>_xlfn.XLOOKUP(TablaSTOCKINV[[#This Row],[SKU]],TablaINVENTARIO[SKU],TablaINVENTARIO[SUBCATEGORIA])</f>
        <v xml:space="preserve">VIGILANCIA Y MONITOREO </v>
      </c>
      <c r="F109" s="33" t="str">
        <f>_xlfn.XLOOKUP(TablaSTOCKINV[[#This Row],[SKU]],TablaINVENTARIO[SKU],TablaINVENTARIO[ESTADO])</f>
        <v xml:space="preserve">NUEVO </v>
      </c>
      <c r="G109" s="33" t="str">
        <f>_xlfn.XLOOKUP(TablaSTOCKINV[[#This Row],[SKU]],TablaINVENTARIO[SKU],TablaINVENTARIO[MEDIDA])</f>
        <v>UND</v>
      </c>
      <c r="H109" s="33">
        <f>_xlfn.XLOOKUP(TablaSTOCKINV[[#This Row],[SKU]],TablaINVENTARIO[SKU],TablaINVENTARIO[SERIAL])</f>
        <v>2250000000000</v>
      </c>
      <c r="I109" s="34" t="str">
        <f>_xlfn.XLOOKUP(TablaSTOCKINV[[#This Row],[SKU]],TablaINVENTARIO[SKU],TablaINVENTARIO[ALMACEN])</f>
        <v>ALMACEN PRINCIPAL</v>
      </c>
      <c r="J109" s="34" t="str">
        <f>_xlfn.XLOOKUP(TablaSTOCKINV[[#This Row],[SKU]],TablaINVENTARIO[SKU],TablaINVENTARIO[UBICACION])</f>
        <v>C3</v>
      </c>
      <c r="K109" s="34" t="str">
        <f>_xlfn.XLOOKUP(TablaSTOCKINV[[#This Row],[SKU]],TablaINVENTARIO[SKU],TablaINVENTARIO[DPTO RESPONSABLE])</f>
        <v>AIT</v>
      </c>
      <c r="L109" s="36">
        <f>_xlfn.XLOOKUP(TablaSTOCKINV[[#This Row],[SKU]],TablaINVENTARIO[SKU],TablaINVENTARIO[RANGO MIN])</f>
        <v>0</v>
      </c>
      <c r="M109" s="34" cm="1">
        <f t="array" ref="M109">_xlfn.IFS(TablaSTOCKINV[[#This Row],[CANT. TOTAL]]&lt;=0,1,TablaSTOCKINV[[#This Row],[CANT. TOTAL]]&lt;=TablaSTOCKINV[[#This Row],[MIN]],2,TablaSTOCKINV[[#This Row],[CANT. TOTAL]]&gt;TablaSTOCKINV[[#This Row],[MIN]],3)</f>
        <v>3</v>
      </c>
      <c r="N109" s="34">
        <f>TablaSTOCKINV[[#This Row],[ENTRADAS]]-TablaSTOCKINV[[#This Row],[SALIDAS]]</f>
        <v>1</v>
      </c>
      <c r="O109" s="35">
        <f>SUMIFS(TablaENTRADA[CANT],TablaENTRADA[SKU],TablaSTOCKINV[[#This Row],[SKU]])</f>
        <v>1</v>
      </c>
      <c r="P109" s="35">
        <f>SUMIFS(TablaSALIDA[CANT],TablaSALIDA[SKU],TablaSTOCKINV[[#This Row],[SKU]])</f>
        <v>0</v>
      </c>
      <c r="Q109" s="34">
        <f>_xlfn.XLOOKUP(TablaSTOCKINV[[#This Row],[SKU]],TablaINVENTARIO[SKU],TablaINVENTARIO[PRECIO])</f>
        <v>0</v>
      </c>
      <c r="R109" s="34">
        <f>TablaSTOCKINV[[#This Row],[P.UNITARIO]]*TablaSTOCKINV[[#This Row],[CANT. TOTAL]]</f>
        <v>0</v>
      </c>
      <c r="S109" s="44">
        <f>_xlfn.XLOOKUP(TablaSTOCKINV[[#This Row],[SKU]],TablaINVENTARIO[SKU],TablaINVENTARIO[FECHA INGRESO])</f>
        <v>46023</v>
      </c>
      <c r="T109" s="44">
        <f>_xlfn.XLOOKUP(TablaSTOCKINV[[#This Row],[SKU]],TablaENTRADA[SKU],TablaENTRADA[FECHA],,0,-1)</f>
        <v>46023</v>
      </c>
      <c r="U109" s="46" t="str">
        <f>IFERROR((_xlfn.XLOOKUP(TablaSTOCKINV[[#This Row],[SKU]],TablaSALIDA[SKU],TablaSALIDA[FECHA],,0,-1))," " )</f>
        <v xml:space="preserve"> </v>
      </c>
    </row>
    <row r="110" spans="1:21" x14ac:dyDescent="0.3">
      <c r="A110" s="27" t="s">
        <v>2433</v>
      </c>
      <c r="B110" s="32" t="str">
        <f>_xlfn.XLOOKUP(TablaSTOCKINV[[#This Row],[SKU]],TablaINVENTARIO[SKU],TablaINVENTARIO[DESCRIPCION])</f>
        <v>CAMARA DE SEGURIDAD WIFI 360° MODELO C500</v>
      </c>
      <c r="C110" s="32" t="str">
        <f>_xlfn.XLOOKUP(TablaSTOCKINV[[#This Row],[SKU]],TablaINVENTARIO[SKU],TablaINVENTARIO[MARCA])</f>
        <v>TAPO</v>
      </c>
      <c r="D110" s="33" t="str">
        <f>_xlfn.XLOOKUP(TablaSTOCKINV[[#This Row],[SKU]],TablaINVENTARIO[SKU],TablaINVENTARIO[CATEGORIA])</f>
        <v>SISTEMA_DE_SEGURIDAD</v>
      </c>
      <c r="E110" s="33" t="str">
        <f>_xlfn.XLOOKUP(TablaSTOCKINV[[#This Row],[SKU]],TablaINVENTARIO[SKU],TablaINVENTARIO[SUBCATEGORIA])</f>
        <v xml:space="preserve">VIGILANCIA Y MONITOREO </v>
      </c>
      <c r="F110" s="33" t="str">
        <f>_xlfn.XLOOKUP(TablaSTOCKINV[[#This Row],[SKU]],TablaINVENTARIO[SKU],TablaINVENTARIO[ESTADO])</f>
        <v xml:space="preserve">NUEVO </v>
      </c>
      <c r="G110" s="33" t="str">
        <f>_xlfn.XLOOKUP(TablaSTOCKINV[[#This Row],[SKU]],TablaINVENTARIO[SKU],TablaINVENTARIO[MEDIDA])</f>
        <v>UND</v>
      </c>
      <c r="H110" s="33">
        <f>_xlfn.XLOOKUP(TablaSTOCKINV[[#This Row],[SKU]],TablaINVENTARIO[SKU],TablaINVENTARIO[SERIAL])</f>
        <v>2250000000000</v>
      </c>
      <c r="I110" s="34" t="str">
        <f>_xlfn.XLOOKUP(TablaSTOCKINV[[#This Row],[SKU]],TablaINVENTARIO[SKU],TablaINVENTARIO[ALMACEN])</f>
        <v>ALMACEN PRINCIPAL</v>
      </c>
      <c r="J110" s="34" t="str">
        <f>_xlfn.XLOOKUP(TablaSTOCKINV[[#This Row],[SKU]],TablaINVENTARIO[SKU],TablaINVENTARIO[UBICACION])</f>
        <v>C3</v>
      </c>
      <c r="K110" s="34" t="str">
        <f>_xlfn.XLOOKUP(TablaSTOCKINV[[#This Row],[SKU]],TablaINVENTARIO[SKU],TablaINVENTARIO[DPTO RESPONSABLE])</f>
        <v>AIT</v>
      </c>
      <c r="L110" s="36">
        <f>_xlfn.XLOOKUP(TablaSTOCKINV[[#This Row],[SKU]],TablaINVENTARIO[SKU],TablaINVENTARIO[RANGO MIN])</f>
        <v>0</v>
      </c>
      <c r="M110" s="34" cm="1">
        <f t="array" ref="M110">_xlfn.IFS(TablaSTOCKINV[[#This Row],[CANT. TOTAL]]&lt;=0,1,TablaSTOCKINV[[#This Row],[CANT. TOTAL]]&lt;=TablaSTOCKINV[[#This Row],[MIN]],2,TablaSTOCKINV[[#This Row],[CANT. TOTAL]]&gt;TablaSTOCKINV[[#This Row],[MIN]],3)</f>
        <v>3</v>
      </c>
      <c r="N110" s="34">
        <f>TablaSTOCKINV[[#This Row],[ENTRADAS]]-TablaSTOCKINV[[#This Row],[SALIDAS]]</f>
        <v>1</v>
      </c>
      <c r="O110" s="35">
        <f>SUMIFS(TablaENTRADA[CANT],TablaENTRADA[SKU],TablaSTOCKINV[[#This Row],[SKU]])</f>
        <v>1</v>
      </c>
      <c r="P110" s="35">
        <f>SUMIFS(TablaSALIDA[CANT],TablaSALIDA[SKU],TablaSTOCKINV[[#This Row],[SKU]])</f>
        <v>0</v>
      </c>
      <c r="Q110" s="34">
        <f>_xlfn.XLOOKUP(TablaSTOCKINV[[#This Row],[SKU]],TablaINVENTARIO[SKU],TablaINVENTARIO[PRECIO])</f>
        <v>0</v>
      </c>
      <c r="R110" s="34">
        <f>TablaSTOCKINV[[#This Row],[P.UNITARIO]]*TablaSTOCKINV[[#This Row],[CANT. TOTAL]]</f>
        <v>0</v>
      </c>
      <c r="S110" s="44">
        <f>_xlfn.XLOOKUP(TablaSTOCKINV[[#This Row],[SKU]],TablaINVENTARIO[SKU],TablaINVENTARIO[FECHA INGRESO])</f>
        <v>46023</v>
      </c>
      <c r="T110" s="44">
        <f>_xlfn.XLOOKUP(TablaSTOCKINV[[#This Row],[SKU]],TablaENTRADA[SKU],TablaENTRADA[FECHA],,0,-1)</f>
        <v>46023</v>
      </c>
      <c r="U110" s="46" t="str">
        <f>IFERROR((_xlfn.XLOOKUP(TablaSTOCKINV[[#This Row],[SKU]],TablaSALIDA[SKU],TablaSALIDA[FECHA],,0,-1))," " )</f>
        <v xml:space="preserve"> </v>
      </c>
    </row>
    <row r="111" spans="1:21" x14ac:dyDescent="0.3">
      <c r="A111" s="27" t="s">
        <v>2434</v>
      </c>
      <c r="B111" s="32" t="str">
        <f>_xlfn.XLOOKUP(TablaSTOCKINV[[#This Row],[SKU]],TablaINVENTARIO[SKU],TablaINVENTARIO[DESCRIPCION])</f>
        <v>CAMARA DE SEGURIDAD WIFI 360° MODELO C500</v>
      </c>
      <c r="C111" s="32" t="str">
        <f>_xlfn.XLOOKUP(TablaSTOCKINV[[#This Row],[SKU]],TablaINVENTARIO[SKU],TablaINVENTARIO[MARCA])</f>
        <v>TAPO</v>
      </c>
      <c r="D111" s="33" t="str">
        <f>_xlfn.XLOOKUP(TablaSTOCKINV[[#This Row],[SKU]],TablaINVENTARIO[SKU],TablaINVENTARIO[CATEGORIA])</f>
        <v>SISTEMA_DE_SEGURIDAD</v>
      </c>
      <c r="E111" s="33" t="str">
        <f>_xlfn.XLOOKUP(TablaSTOCKINV[[#This Row],[SKU]],TablaINVENTARIO[SKU],TablaINVENTARIO[SUBCATEGORIA])</f>
        <v xml:space="preserve">VIGILANCIA Y MONITOREO </v>
      </c>
      <c r="F111" s="33" t="str">
        <f>_xlfn.XLOOKUP(TablaSTOCKINV[[#This Row],[SKU]],TablaINVENTARIO[SKU],TablaINVENTARIO[ESTADO])</f>
        <v>USADO</v>
      </c>
      <c r="G111" s="33" t="str">
        <f>_xlfn.XLOOKUP(TablaSTOCKINV[[#This Row],[SKU]],TablaINVENTARIO[SKU],TablaINVENTARIO[MEDIDA])</f>
        <v>UND</v>
      </c>
      <c r="H111" s="33" t="str">
        <f>_xlfn.XLOOKUP(TablaSTOCKINV[[#This Row],[SKU]],TablaINVENTARIO[SKU],TablaINVENTARIO[SERIAL])</f>
        <v>22494T6006663</v>
      </c>
      <c r="I111" s="34" t="str">
        <f>_xlfn.XLOOKUP(TablaSTOCKINV[[#This Row],[SKU]],TablaINVENTARIO[SKU],TablaINVENTARIO[ALMACEN])</f>
        <v>ALMACEN PRINCIPAL</v>
      </c>
      <c r="J111" s="34" t="str">
        <f>_xlfn.XLOOKUP(TablaSTOCKINV[[#This Row],[SKU]],TablaINVENTARIO[SKU],TablaINVENTARIO[UBICACION])</f>
        <v>C3</v>
      </c>
      <c r="K111" s="34" t="str">
        <f>_xlfn.XLOOKUP(TablaSTOCKINV[[#This Row],[SKU]],TablaINVENTARIO[SKU],TablaINVENTARIO[DPTO RESPONSABLE])</f>
        <v>AIT</v>
      </c>
      <c r="L111" s="36">
        <f>_xlfn.XLOOKUP(TablaSTOCKINV[[#This Row],[SKU]],TablaINVENTARIO[SKU],TablaINVENTARIO[RANGO MIN])</f>
        <v>0</v>
      </c>
      <c r="M111" s="34" cm="1">
        <f t="array" ref="M111">_xlfn.IFS(TablaSTOCKINV[[#This Row],[CANT. TOTAL]]&lt;=0,1,TablaSTOCKINV[[#This Row],[CANT. TOTAL]]&lt;=TablaSTOCKINV[[#This Row],[MIN]],2,TablaSTOCKINV[[#This Row],[CANT. TOTAL]]&gt;TablaSTOCKINV[[#This Row],[MIN]],3)</f>
        <v>3</v>
      </c>
      <c r="N111" s="34">
        <f>TablaSTOCKINV[[#This Row],[ENTRADAS]]-TablaSTOCKINV[[#This Row],[SALIDAS]]</f>
        <v>1</v>
      </c>
      <c r="O111" s="35">
        <f>SUMIFS(TablaENTRADA[CANT],TablaENTRADA[SKU],TablaSTOCKINV[[#This Row],[SKU]])</f>
        <v>1</v>
      </c>
      <c r="P111" s="35">
        <f>SUMIFS(TablaSALIDA[CANT],TablaSALIDA[SKU],TablaSTOCKINV[[#This Row],[SKU]])</f>
        <v>0</v>
      </c>
      <c r="Q111" s="34">
        <f>_xlfn.XLOOKUP(TablaSTOCKINV[[#This Row],[SKU]],TablaINVENTARIO[SKU],TablaINVENTARIO[PRECIO])</f>
        <v>0</v>
      </c>
      <c r="R111" s="34">
        <f>TablaSTOCKINV[[#This Row],[P.UNITARIO]]*TablaSTOCKINV[[#This Row],[CANT. TOTAL]]</f>
        <v>0</v>
      </c>
      <c r="S111" s="44">
        <f>_xlfn.XLOOKUP(TablaSTOCKINV[[#This Row],[SKU]],TablaINVENTARIO[SKU],TablaINVENTARIO[FECHA INGRESO])</f>
        <v>46023</v>
      </c>
      <c r="T111" s="44">
        <f>_xlfn.XLOOKUP(TablaSTOCKINV[[#This Row],[SKU]],TablaENTRADA[SKU],TablaENTRADA[FECHA],,0,-1)</f>
        <v>46023</v>
      </c>
      <c r="U111" s="46" t="str">
        <f>IFERROR((_xlfn.XLOOKUP(TablaSTOCKINV[[#This Row],[SKU]],TablaSALIDA[SKU],TablaSALIDA[FECHA],,0,-1))," " )</f>
        <v xml:space="preserve"> </v>
      </c>
    </row>
    <row r="112" spans="1:21" x14ac:dyDescent="0.3">
      <c r="A112" s="27" t="s">
        <v>2436</v>
      </c>
      <c r="B112" s="32" t="str">
        <f>_xlfn.XLOOKUP(TablaSTOCKINV[[#This Row],[SKU]],TablaINVENTARIO[SKU],TablaINVENTARIO[DESCRIPCION])</f>
        <v>CAMARA DE SEGURIDAD WIFI 360° MODELO C500</v>
      </c>
      <c r="C112" s="32" t="str">
        <f>_xlfn.XLOOKUP(TablaSTOCKINV[[#This Row],[SKU]],TablaINVENTARIO[SKU],TablaINVENTARIO[MARCA])</f>
        <v>TAPO</v>
      </c>
      <c r="D112" s="33" t="str">
        <f>_xlfn.XLOOKUP(TablaSTOCKINV[[#This Row],[SKU]],TablaINVENTARIO[SKU],TablaINVENTARIO[CATEGORIA])</f>
        <v>SISTEMA_DE_SEGURIDAD</v>
      </c>
      <c r="E112" s="33" t="str">
        <f>_xlfn.XLOOKUP(TablaSTOCKINV[[#This Row],[SKU]],TablaINVENTARIO[SKU],TablaINVENTARIO[SUBCATEGORIA])</f>
        <v xml:space="preserve">VIGILANCIA Y MONITOREO </v>
      </c>
      <c r="F112" s="33" t="str">
        <f>_xlfn.XLOOKUP(TablaSTOCKINV[[#This Row],[SKU]],TablaINVENTARIO[SKU],TablaINVENTARIO[ESTADO])</f>
        <v>USADO</v>
      </c>
      <c r="G112" s="33" t="str">
        <f>_xlfn.XLOOKUP(TablaSTOCKINV[[#This Row],[SKU]],TablaINVENTARIO[SKU],TablaINVENTARIO[MEDIDA])</f>
        <v>UND</v>
      </c>
      <c r="H112" s="33" t="str">
        <f>_xlfn.XLOOKUP(TablaSTOCKINV[[#This Row],[SKU]],TablaINVENTARIO[SKU],TablaINVENTARIO[SERIAL])</f>
        <v>224A2C3006999</v>
      </c>
      <c r="I112" s="34" t="str">
        <f>_xlfn.XLOOKUP(TablaSTOCKINV[[#This Row],[SKU]],TablaINVENTARIO[SKU],TablaINVENTARIO[ALMACEN])</f>
        <v>ALMACEN PRINCIPAL</v>
      </c>
      <c r="J112" s="34" t="str">
        <f>_xlfn.XLOOKUP(TablaSTOCKINV[[#This Row],[SKU]],TablaINVENTARIO[SKU],TablaINVENTARIO[UBICACION])</f>
        <v>C3</v>
      </c>
      <c r="K112" s="34" t="str">
        <f>_xlfn.XLOOKUP(TablaSTOCKINV[[#This Row],[SKU]],TablaINVENTARIO[SKU],TablaINVENTARIO[DPTO RESPONSABLE])</f>
        <v>AIT</v>
      </c>
      <c r="L112" s="36">
        <f>_xlfn.XLOOKUP(TablaSTOCKINV[[#This Row],[SKU]],TablaINVENTARIO[SKU],TablaINVENTARIO[RANGO MIN])</f>
        <v>0</v>
      </c>
      <c r="M112" s="34" cm="1">
        <f t="array" ref="M112">_xlfn.IFS(TablaSTOCKINV[[#This Row],[CANT. TOTAL]]&lt;=0,1,TablaSTOCKINV[[#This Row],[CANT. TOTAL]]&lt;=TablaSTOCKINV[[#This Row],[MIN]],2,TablaSTOCKINV[[#This Row],[CANT. TOTAL]]&gt;TablaSTOCKINV[[#This Row],[MIN]],3)</f>
        <v>3</v>
      </c>
      <c r="N112" s="34">
        <f>TablaSTOCKINV[[#This Row],[ENTRADAS]]-TablaSTOCKINV[[#This Row],[SALIDAS]]</f>
        <v>1</v>
      </c>
      <c r="O112" s="35">
        <f>SUMIFS(TablaENTRADA[CANT],TablaENTRADA[SKU],TablaSTOCKINV[[#This Row],[SKU]])</f>
        <v>1</v>
      </c>
      <c r="P112" s="35">
        <f>SUMIFS(TablaSALIDA[CANT],TablaSALIDA[SKU],TablaSTOCKINV[[#This Row],[SKU]])</f>
        <v>0</v>
      </c>
      <c r="Q112" s="34">
        <f>_xlfn.XLOOKUP(TablaSTOCKINV[[#This Row],[SKU]],TablaINVENTARIO[SKU],TablaINVENTARIO[PRECIO])</f>
        <v>0</v>
      </c>
      <c r="R112" s="34">
        <f>TablaSTOCKINV[[#This Row],[P.UNITARIO]]*TablaSTOCKINV[[#This Row],[CANT. TOTAL]]</f>
        <v>0</v>
      </c>
      <c r="S112" s="44">
        <f>_xlfn.XLOOKUP(TablaSTOCKINV[[#This Row],[SKU]],TablaINVENTARIO[SKU],TablaINVENTARIO[FECHA INGRESO])</f>
        <v>46023</v>
      </c>
      <c r="T112" s="44">
        <f>_xlfn.XLOOKUP(TablaSTOCKINV[[#This Row],[SKU]],TablaENTRADA[SKU],TablaENTRADA[FECHA],,0,-1)</f>
        <v>46023</v>
      </c>
      <c r="U112" s="46" t="str">
        <f>IFERROR((_xlfn.XLOOKUP(TablaSTOCKINV[[#This Row],[SKU]],TablaSALIDA[SKU],TablaSALIDA[FECHA],,0,-1))," " )</f>
        <v xml:space="preserve"> </v>
      </c>
    </row>
    <row r="113" spans="1:21" x14ac:dyDescent="0.3">
      <c r="A113" s="27" t="s">
        <v>2438</v>
      </c>
      <c r="B113" s="32" t="str">
        <f>_xlfn.XLOOKUP(TablaSTOCKINV[[#This Row],[SKU]],TablaINVENTARIO[SKU],TablaINVENTARIO[DESCRIPCION])</f>
        <v>CAMARA DE SEGURIDAD WIFI 360° MODELO C200</v>
      </c>
      <c r="C113" s="32" t="str">
        <f>_xlfn.XLOOKUP(TablaSTOCKINV[[#This Row],[SKU]],TablaINVENTARIO[SKU],TablaINVENTARIO[MARCA])</f>
        <v>TAPO</v>
      </c>
      <c r="D113" s="33" t="str">
        <f>_xlfn.XLOOKUP(TablaSTOCKINV[[#This Row],[SKU]],TablaINVENTARIO[SKU],TablaINVENTARIO[CATEGORIA])</f>
        <v>SISTEMA_DE_SEGURIDAD</v>
      </c>
      <c r="E113" s="33" t="str">
        <f>_xlfn.XLOOKUP(TablaSTOCKINV[[#This Row],[SKU]],TablaINVENTARIO[SKU],TablaINVENTARIO[SUBCATEGORIA])</f>
        <v xml:space="preserve">VIGILANCIA Y MONITOREO </v>
      </c>
      <c r="F113" s="33" t="str">
        <f>_xlfn.XLOOKUP(TablaSTOCKINV[[#This Row],[SKU]],TablaINVENTARIO[SKU],TablaINVENTARIO[ESTADO])</f>
        <v xml:space="preserve">NUEVO </v>
      </c>
      <c r="G113" s="33" t="str">
        <f>_xlfn.XLOOKUP(TablaSTOCKINV[[#This Row],[SKU]],TablaINVENTARIO[SKU],TablaINVENTARIO[MEDIDA])</f>
        <v>UND</v>
      </c>
      <c r="H113" s="33" t="str">
        <f>_xlfn.XLOOKUP(TablaSTOCKINV[[#This Row],[SKU]],TablaINVENTARIO[SKU],TablaINVENTARIO[SERIAL])</f>
        <v>22520J5007704</v>
      </c>
      <c r="I113" s="34" t="str">
        <f>_xlfn.XLOOKUP(TablaSTOCKINV[[#This Row],[SKU]],TablaINVENTARIO[SKU],TablaINVENTARIO[ALMACEN])</f>
        <v>ALMACEN PRINCIPAL</v>
      </c>
      <c r="J113" s="34" t="str">
        <f>_xlfn.XLOOKUP(TablaSTOCKINV[[#This Row],[SKU]],TablaINVENTARIO[SKU],TablaINVENTARIO[UBICACION])</f>
        <v>C3</v>
      </c>
      <c r="K113" s="34" t="str">
        <f>_xlfn.XLOOKUP(TablaSTOCKINV[[#This Row],[SKU]],TablaINVENTARIO[SKU],TablaINVENTARIO[DPTO RESPONSABLE])</f>
        <v>AIT</v>
      </c>
      <c r="L113" s="36">
        <f>_xlfn.XLOOKUP(TablaSTOCKINV[[#This Row],[SKU]],TablaINVENTARIO[SKU],TablaINVENTARIO[RANGO MIN])</f>
        <v>0</v>
      </c>
      <c r="M113" s="34" cm="1">
        <f t="array" ref="M113">_xlfn.IFS(TablaSTOCKINV[[#This Row],[CANT. TOTAL]]&lt;=0,1,TablaSTOCKINV[[#This Row],[CANT. TOTAL]]&lt;=TablaSTOCKINV[[#This Row],[MIN]],2,TablaSTOCKINV[[#This Row],[CANT. TOTAL]]&gt;TablaSTOCKINV[[#This Row],[MIN]],3)</f>
        <v>3</v>
      </c>
      <c r="N113" s="34">
        <f>TablaSTOCKINV[[#This Row],[ENTRADAS]]-TablaSTOCKINV[[#This Row],[SALIDAS]]</f>
        <v>1</v>
      </c>
      <c r="O113" s="35">
        <f>SUMIFS(TablaENTRADA[CANT],TablaENTRADA[SKU],TablaSTOCKINV[[#This Row],[SKU]])</f>
        <v>1</v>
      </c>
      <c r="P113" s="35">
        <f>SUMIFS(TablaSALIDA[CANT],TablaSALIDA[SKU],TablaSTOCKINV[[#This Row],[SKU]])</f>
        <v>0</v>
      </c>
      <c r="Q113" s="34">
        <f>_xlfn.XLOOKUP(TablaSTOCKINV[[#This Row],[SKU]],TablaINVENTARIO[SKU],TablaINVENTARIO[PRECIO])</f>
        <v>0</v>
      </c>
      <c r="R113" s="34">
        <f>TablaSTOCKINV[[#This Row],[P.UNITARIO]]*TablaSTOCKINV[[#This Row],[CANT. TOTAL]]</f>
        <v>0</v>
      </c>
      <c r="S113" s="44">
        <f>_xlfn.XLOOKUP(TablaSTOCKINV[[#This Row],[SKU]],TablaINVENTARIO[SKU],TablaINVENTARIO[FECHA INGRESO])</f>
        <v>46023</v>
      </c>
      <c r="T113" s="44">
        <f>_xlfn.XLOOKUP(TablaSTOCKINV[[#This Row],[SKU]],TablaENTRADA[SKU],TablaENTRADA[FECHA],,0,-1)</f>
        <v>46023</v>
      </c>
      <c r="U113" s="46" t="str">
        <f>IFERROR((_xlfn.XLOOKUP(TablaSTOCKINV[[#This Row],[SKU]],TablaSALIDA[SKU],TablaSALIDA[FECHA],,0,-1))," " )</f>
        <v xml:space="preserve"> </v>
      </c>
    </row>
    <row r="114" spans="1:21" x14ac:dyDescent="0.3">
      <c r="A114" s="27" t="s">
        <v>2441</v>
      </c>
      <c r="B114" s="32" t="str">
        <f>_xlfn.XLOOKUP(TablaSTOCKINV[[#This Row],[SKU]],TablaINVENTARIO[SKU],TablaINVENTARIO[DESCRIPCION])</f>
        <v>MINI CAMARA MODELO: TTM-218</v>
      </c>
      <c r="C114" s="32" t="str">
        <f>_xlfn.XLOOKUP(TablaSTOCKINV[[#This Row],[SKU]],TablaINVENTARIO[SKU],TablaINVENTARIO[MARCA])</f>
        <v>CCTV</v>
      </c>
      <c r="D114" s="33" t="str">
        <f>_xlfn.XLOOKUP(TablaSTOCKINV[[#This Row],[SKU]],TablaINVENTARIO[SKU],TablaINVENTARIO[CATEGORIA])</f>
        <v>SISTEMA_DE_SEGURIDAD</v>
      </c>
      <c r="E114" s="33" t="str">
        <f>_xlfn.XLOOKUP(TablaSTOCKINV[[#This Row],[SKU]],TablaINVENTARIO[SKU],TablaINVENTARIO[SUBCATEGORIA])</f>
        <v xml:space="preserve">VIGILANCIA Y MONITOREO </v>
      </c>
      <c r="F114" s="33" t="str">
        <f>_xlfn.XLOOKUP(TablaSTOCKINV[[#This Row],[SKU]],TablaINVENTARIO[SKU],TablaINVENTARIO[ESTADO])</f>
        <v>USADO</v>
      </c>
      <c r="G114" s="33" t="str">
        <f>_xlfn.XLOOKUP(TablaSTOCKINV[[#This Row],[SKU]],TablaINVENTARIO[SKU],TablaINVENTARIO[MEDIDA])</f>
        <v>UND</v>
      </c>
      <c r="H114" s="33" t="str">
        <f>_xlfn.XLOOKUP(TablaSTOCKINV[[#This Row],[SKU]],TablaINVENTARIO[SKU],TablaINVENTARIO[SERIAL])</f>
        <v>TTM20092526</v>
      </c>
      <c r="I114" s="34" t="str">
        <f>_xlfn.XLOOKUP(TablaSTOCKINV[[#This Row],[SKU]],TablaINVENTARIO[SKU],TablaINVENTARIO[ALMACEN])</f>
        <v>ALMACEN PRINCIPAL</v>
      </c>
      <c r="J114" s="34" t="str">
        <f>_xlfn.XLOOKUP(TablaSTOCKINV[[#This Row],[SKU]],TablaINVENTARIO[SKU],TablaINVENTARIO[UBICACION])</f>
        <v>C4</v>
      </c>
      <c r="K114" s="34" t="str">
        <f>_xlfn.XLOOKUP(TablaSTOCKINV[[#This Row],[SKU]],TablaINVENTARIO[SKU],TablaINVENTARIO[DPTO RESPONSABLE])</f>
        <v>AIT</v>
      </c>
      <c r="L114" s="36">
        <f>_xlfn.XLOOKUP(TablaSTOCKINV[[#This Row],[SKU]],TablaINVENTARIO[SKU],TablaINVENTARIO[RANGO MIN])</f>
        <v>0</v>
      </c>
      <c r="M114" s="34" cm="1">
        <f t="array" ref="M114">_xlfn.IFS(TablaSTOCKINV[[#This Row],[CANT. TOTAL]]&lt;=0,1,TablaSTOCKINV[[#This Row],[CANT. TOTAL]]&lt;=TablaSTOCKINV[[#This Row],[MIN]],2,TablaSTOCKINV[[#This Row],[CANT. TOTAL]]&gt;TablaSTOCKINV[[#This Row],[MIN]],3)</f>
        <v>3</v>
      </c>
      <c r="N114" s="34">
        <f>TablaSTOCKINV[[#This Row],[ENTRADAS]]-TablaSTOCKINV[[#This Row],[SALIDAS]]</f>
        <v>1</v>
      </c>
      <c r="O114" s="35">
        <f>SUMIFS(TablaENTRADA[CANT],TablaENTRADA[SKU],TablaSTOCKINV[[#This Row],[SKU]])</f>
        <v>1</v>
      </c>
      <c r="P114" s="35">
        <f>SUMIFS(TablaSALIDA[CANT],TablaSALIDA[SKU],TablaSTOCKINV[[#This Row],[SKU]])</f>
        <v>0</v>
      </c>
      <c r="Q114" s="34">
        <f>_xlfn.XLOOKUP(TablaSTOCKINV[[#This Row],[SKU]],TablaINVENTARIO[SKU],TablaINVENTARIO[PRECIO])</f>
        <v>0</v>
      </c>
      <c r="R114" s="34">
        <f>TablaSTOCKINV[[#This Row],[P.UNITARIO]]*TablaSTOCKINV[[#This Row],[CANT. TOTAL]]</f>
        <v>0</v>
      </c>
      <c r="S114" s="44">
        <f>_xlfn.XLOOKUP(TablaSTOCKINV[[#This Row],[SKU]],TablaINVENTARIO[SKU],TablaINVENTARIO[FECHA INGRESO])</f>
        <v>46023</v>
      </c>
      <c r="T114" s="44">
        <f>_xlfn.XLOOKUP(TablaSTOCKINV[[#This Row],[SKU]],TablaENTRADA[SKU],TablaENTRADA[FECHA],,0,-1)</f>
        <v>46023</v>
      </c>
      <c r="U114" s="46" t="str">
        <f>IFERROR((_xlfn.XLOOKUP(TablaSTOCKINV[[#This Row],[SKU]],TablaSALIDA[SKU],TablaSALIDA[FECHA],,0,-1))," " )</f>
        <v xml:space="preserve"> </v>
      </c>
    </row>
    <row r="115" spans="1:21" x14ac:dyDescent="0.3">
      <c r="A115" s="27" t="s">
        <v>2445</v>
      </c>
      <c r="B115" s="32" t="str">
        <f>_xlfn.XLOOKUP(TablaSTOCKINV[[#This Row],[SKU]],TablaINVENTARIO[SKU],TablaINVENTARIO[DESCRIPCION])</f>
        <v>CAMARA INFRAROJO MODELO: KR-60CM60C</v>
      </c>
      <c r="C115" s="32" t="str">
        <f>_xlfn.XLOOKUP(TablaSTOCKINV[[#This Row],[SKU]],TablaINVENTARIO[SKU],TablaINVENTARIO[MARCA])</f>
        <v>N/A</v>
      </c>
      <c r="D115" s="33" t="str">
        <f>_xlfn.XLOOKUP(TablaSTOCKINV[[#This Row],[SKU]],TablaINVENTARIO[SKU],TablaINVENTARIO[CATEGORIA])</f>
        <v>SISTEMA_DE_SEGURIDAD</v>
      </c>
      <c r="E115" s="33" t="str">
        <f>_xlfn.XLOOKUP(TablaSTOCKINV[[#This Row],[SKU]],TablaINVENTARIO[SKU],TablaINVENTARIO[SUBCATEGORIA])</f>
        <v xml:space="preserve">VIGILANCIA Y MONITOREO </v>
      </c>
      <c r="F115" s="33" t="str">
        <f>_xlfn.XLOOKUP(TablaSTOCKINV[[#This Row],[SKU]],TablaINVENTARIO[SKU],TablaINVENTARIO[ESTADO])</f>
        <v>DAÑADO</v>
      </c>
      <c r="G115" s="33" t="str">
        <f>_xlfn.XLOOKUP(TablaSTOCKINV[[#This Row],[SKU]],TablaINVENTARIO[SKU],TablaINVENTARIO[MEDIDA])</f>
        <v>UND</v>
      </c>
      <c r="H115" s="33">
        <f>_xlfn.XLOOKUP(TablaSTOCKINV[[#This Row],[SKU]],TablaINVENTARIO[SKU],TablaINVENTARIO[SERIAL])</f>
        <v>1310000000000</v>
      </c>
      <c r="I115" s="34" t="str">
        <f>_xlfn.XLOOKUP(TablaSTOCKINV[[#This Row],[SKU]],TablaINVENTARIO[SKU],TablaINVENTARIO[ALMACEN])</f>
        <v>ALMACEN PRINCIPAL</v>
      </c>
      <c r="J115" s="34" t="str">
        <f>_xlfn.XLOOKUP(TablaSTOCKINV[[#This Row],[SKU]],TablaINVENTARIO[SKU],TablaINVENTARIO[UBICACION])</f>
        <v>C4</v>
      </c>
      <c r="K115" s="34" t="str">
        <f>_xlfn.XLOOKUP(TablaSTOCKINV[[#This Row],[SKU]],TablaINVENTARIO[SKU],TablaINVENTARIO[DPTO RESPONSABLE])</f>
        <v>AIT</v>
      </c>
      <c r="L115" s="36">
        <f>_xlfn.XLOOKUP(TablaSTOCKINV[[#This Row],[SKU]],TablaINVENTARIO[SKU],TablaINVENTARIO[RANGO MIN])</f>
        <v>0</v>
      </c>
      <c r="M115" s="34" cm="1">
        <f t="array" ref="M115">_xlfn.IFS(TablaSTOCKINV[[#This Row],[CANT. TOTAL]]&lt;=0,1,TablaSTOCKINV[[#This Row],[CANT. TOTAL]]&lt;=TablaSTOCKINV[[#This Row],[MIN]],2,TablaSTOCKINV[[#This Row],[CANT. TOTAL]]&gt;TablaSTOCKINV[[#This Row],[MIN]],3)</f>
        <v>3</v>
      </c>
      <c r="N115" s="34">
        <f>TablaSTOCKINV[[#This Row],[ENTRADAS]]-TablaSTOCKINV[[#This Row],[SALIDAS]]</f>
        <v>1</v>
      </c>
      <c r="O115" s="35">
        <f>SUMIFS(TablaENTRADA[CANT],TablaENTRADA[SKU],TablaSTOCKINV[[#This Row],[SKU]])</f>
        <v>1</v>
      </c>
      <c r="P115" s="35">
        <f>SUMIFS(TablaSALIDA[CANT],TablaSALIDA[SKU],TablaSTOCKINV[[#This Row],[SKU]])</f>
        <v>0</v>
      </c>
      <c r="Q115" s="34">
        <f>_xlfn.XLOOKUP(TablaSTOCKINV[[#This Row],[SKU]],TablaINVENTARIO[SKU],TablaINVENTARIO[PRECIO])</f>
        <v>0</v>
      </c>
      <c r="R115" s="34">
        <f>TablaSTOCKINV[[#This Row],[P.UNITARIO]]*TablaSTOCKINV[[#This Row],[CANT. TOTAL]]</f>
        <v>0</v>
      </c>
      <c r="S115" s="44">
        <f>_xlfn.XLOOKUP(TablaSTOCKINV[[#This Row],[SKU]],TablaINVENTARIO[SKU],TablaINVENTARIO[FECHA INGRESO])</f>
        <v>46023</v>
      </c>
      <c r="T115" s="44">
        <f>_xlfn.XLOOKUP(TablaSTOCKINV[[#This Row],[SKU]],TablaENTRADA[SKU],TablaENTRADA[FECHA],,0,-1)</f>
        <v>46023</v>
      </c>
      <c r="U115" s="46" t="str">
        <f>IFERROR((_xlfn.XLOOKUP(TablaSTOCKINV[[#This Row],[SKU]],TablaSALIDA[SKU],TablaSALIDA[FECHA],,0,-1))," " )</f>
        <v xml:space="preserve"> </v>
      </c>
    </row>
    <row r="116" spans="1:21" x14ac:dyDescent="0.3">
      <c r="A116" s="27" t="s">
        <v>2447</v>
      </c>
      <c r="B116" s="32" t="str">
        <f>_xlfn.XLOOKUP(TablaSTOCKINV[[#This Row],[SKU]],TablaINVENTARIO[SKU],TablaINVENTARIO[DESCRIPCION])</f>
        <v xml:space="preserve">CAMARA WEB DE ALTA DEFINICION </v>
      </c>
      <c r="C116" s="32" t="str">
        <f>_xlfn.XLOOKUP(TablaSTOCKINV[[#This Row],[SKU]],TablaINVENTARIO[SKU],TablaINVENTARIO[MARCA])</f>
        <v>N/A</v>
      </c>
      <c r="D116" s="33" t="str">
        <f>_xlfn.XLOOKUP(TablaSTOCKINV[[#This Row],[SKU]],TablaINVENTARIO[SKU],TablaINVENTARIO[CATEGORIA])</f>
        <v>SISTEMA_DE_SEGURIDAD</v>
      </c>
      <c r="E116" s="33" t="str">
        <f>_xlfn.XLOOKUP(TablaSTOCKINV[[#This Row],[SKU]],TablaINVENTARIO[SKU],TablaINVENTARIO[SUBCATEGORIA])</f>
        <v xml:space="preserve">VIGILANCIA Y MONITOREO </v>
      </c>
      <c r="F116" s="33" t="str">
        <f>_xlfn.XLOOKUP(TablaSTOCKINV[[#This Row],[SKU]],TablaINVENTARIO[SKU],TablaINVENTARIO[ESTADO])</f>
        <v>USADO</v>
      </c>
      <c r="G116" s="33" t="str">
        <f>_xlfn.XLOOKUP(TablaSTOCKINV[[#This Row],[SKU]],TablaINVENTARIO[SKU],TablaINVENTARIO[MEDIDA])</f>
        <v>UND</v>
      </c>
      <c r="H116" s="33" t="str">
        <f>_xlfn.XLOOKUP(TablaSTOCKINV[[#This Row],[SKU]],TablaINVENTARIO[SKU],TablaINVENTARIO[SERIAL])</f>
        <v>N/A</v>
      </c>
      <c r="I116" s="34" t="str">
        <f>_xlfn.XLOOKUP(TablaSTOCKINV[[#This Row],[SKU]],TablaINVENTARIO[SKU],TablaINVENTARIO[ALMACEN])</f>
        <v>ALMACEN PRINCIPAL</v>
      </c>
      <c r="J116" s="34" t="str">
        <f>_xlfn.XLOOKUP(TablaSTOCKINV[[#This Row],[SKU]],TablaINVENTARIO[SKU],TablaINVENTARIO[UBICACION])</f>
        <v>C4</v>
      </c>
      <c r="K116" s="34" t="str">
        <f>_xlfn.XLOOKUP(TablaSTOCKINV[[#This Row],[SKU]],TablaINVENTARIO[SKU],TablaINVENTARIO[DPTO RESPONSABLE])</f>
        <v>AIT</v>
      </c>
      <c r="L116" s="36">
        <f>_xlfn.XLOOKUP(TablaSTOCKINV[[#This Row],[SKU]],TablaINVENTARIO[SKU],TablaINVENTARIO[RANGO MIN])</f>
        <v>0</v>
      </c>
      <c r="M116" s="34" cm="1">
        <f t="array" ref="M116">_xlfn.IFS(TablaSTOCKINV[[#This Row],[CANT. TOTAL]]&lt;=0,1,TablaSTOCKINV[[#This Row],[CANT. TOTAL]]&lt;=TablaSTOCKINV[[#This Row],[MIN]],2,TablaSTOCKINV[[#This Row],[CANT. TOTAL]]&gt;TablaSTOCKINV[[#This Row],[MIN]],3)</f>
        <v>3</v>
      </c>
      <c r="N116" s="34">
        <f>TablaSTOCKINV[[#This Row],[ENTRADAS]]-TablaSTOCKINV[[#This Row],[SALIDAS]]</f>
        <v>1</v>
      </c>
      <c r="O116" s="35">
        <f>SUMIFS(TablaENTRADA[CANT],TablaENTRADA[SKU],TablaSTOCKINV[[#This Row],[SKU]])</f>
        <v>1</v>
      </c>
      <c r="P116" s="35">
        <f>SUMIFS(TablaSALIDA[CANT],TablaSALIDA[SKU],TablaSTOCKINV[[#This Row],[SKU]])</f>
        <v>0</v>
      </c>
      <c r="Q116" s="34">
        <f>_xlfn.XLOOKUP(TablaSTOCKINV[[#This Row],[SKU]],TablaINVENTARIO[SKU],TablaINVENTARIO[PRECIO])</f>
        <v>0</v>
      </c>
      <c r="R116" s="34">
        <f>TablaSTOCKINV[[#This Row],[P.UNITARIO]]*TablaSTOCKINV[[#This Row],[CANT. TOTAL]]</f>
        <v>0</v>
      </c>
      <c r="S116" s="44">
        <f>_xlfn.XLOOKUP(TablaSTOCKINV[[#This Row],[SKU]],TablaINVENTARIO[SKU],TablaINVENTARIO[FECHA INGRESO])</f>
        <v>46023</v>
      </c>
      <c r="T116" s="44">
        <f>_xlfn.XLOOKUP(TablaSTOCKINV[[#This Row],[SKU]],TablaENTRADA[SKU],TablaENTRADA[FECHA],,0,-1)</f>
        <v>46023</v>
      </c>
      <c r="U116" s="46" t="str">
        <f>IFERROR((_xlfn.XLOOKUP(TablaSTOCKINV[[#This Row],[SKU]],TablaSALIDA[SKU],TablaSALIDA[FECHA],,0,-1))," " )</f>
        <v xml:space="preserve"> </v>
      </c>
    </row>
    <row r="117" spans="1:21" x14ac:dyDescent="0.3">
      <c r="A117" s="27" t="s">
        <v>2449</v>
      </c>
      <c r="B117" s="32" t="str">
        <f>_xlfn.XLOOKUP(TablaSTOCKINV[[#This Row],[SKU]],TablaINVENTARIO[SKU],TablaINVENTARIO[DESCRIPCION])</f>
        <v>CAMARA INFRAROJO MODELO: UV-5906C</v>
      </c>
      <c r="C117" s="32" t="str">
        <f>_xlfn.XLOOKUP(TablaSTOCKINV[[#This Row],[SKU]],TablaINVENTARIO[SKU],TablaINVENTARIO[MARCA])</f>
        <v>N/A</v>
      </c>
      <c r="D117" s="33" t="str">
        <f>_xlfn.XLOOKUP(TablaSTOCKINV[[#This Row],[SKU]],TablaINVENTARIO[SKU],TablaINVENTARIO[CATEGORIA])</f>
        <v>SISTEMA_DE_SEGURIDAD</v>
      </c>
      <c r="E117" s="33" t="str">
        <f>_xlfn.XLOOKUP(TablaSTOCKINV[[#This Row],[SKU]],TablaINVENTARIO[SKU],TablaINVENTARIO[SUBCATEGORIA])</f>
        <v xml:space="preserve">VIGILANCIA Y MONITOREO </v>
      </c>
      <c r="F117" s="33" t="str">
        <f>_xlfn.XLOOKUP(TablaSTOCKINV[[#This Row],[SKU]],TablaINVENTARIO[SKU],TablaINVENTARIO[ESTADO])</f>
        <v>USADO</v>
      </c>
      <c r="G117" s="33" t="str">
        <f>_xlfn.XLOOKUP(TablaSTOCKINV[[#This Row],[SKU]],TablaINVENTARIO[SKU],TablaINVENTARIO[MEDIDA])</f>
        <v>UND</v>
      </c>
      <c r="H117" s="33">
        <f>_xlfn.XLOOKUP(TablaSTOCKINV[[#This Row],[SKU]],TablaINVENTARIO[SKU],TablaINVENTARIO[SERIAL])</f>
        <v>201000000000</v>
      </c>
      <c r="I117" s="34" t="str">
        <f>_xlfn.XLOOKUP(TablaSTOCKINV[[#This Row],[SKU]],TablaINVENTARIO[SKU],TablaINVENTARIO[ALMACEN])</f>
        <v>ALMACEN PRINCIPAL</v>
      </c>
      <c r="J117" s="34" t="str">
        <f>_xlfn.XLOOKUP(TablaSTOCKINV[[#This Row],[SKU]],TablaINVENTARIO[SKU],TablaINVENTARIO[UBICACION])</f>
        <v>C4</v>
      </c>
      <c r="K117" s="34" t="str">
        <f>_xlfn.XLOOKUP(TablaSTOCKINV[[#This Row],[SKU]],TablaINVENTARIO[SKU],TablaINVENTARIO[DPTO RESPONSABLE])</f>
        <v>AIT</v>
      </c>
      <c r="L117" s="36">
        <f>_xlfn.XLOOKUP(TablaSTOCKINV[[#This Row],[SKU]],TablaINVENTARIO[SKU],TablaINVENTARIO[RANGO MIN])</f>
        <v>0</v>
      </c>
      <c r="M117" s="34" cm="1">
        <f t="array" ref="M117">_xlfn.IFS(TablaSTOCKINV[[#This Row],[CANT. TOTAL]]&lt;=0,1,TablaSTOCKINV[[#This Row],[CANT. TOTAL]]&lt;=TablaSTOCKINV[[#This Row],[MIN]],2,TablaSTOCKINV[[#This Row],[CANT. TOTAL]]&gt;TablaSTOCKINV[[#This Row],[MIN]],3)</f>
        <v>3</v>
      </c>
      <c r="N117" s="34">
        <f>TablaSTOCKINV[[#This Row],[ENTRADAS]]-TablaSTOCKINV[[#This Row],[SALIDAS]]</f>
        <v>1</v>
      </c>
      <c r="O117" s="35">
        <f>SUMIFS(TablaENTRADA[CANT],TablaENTRADA[SKU],TablaSTOCKINV[[#This Row],[SKU]])</f>
        <v>1</v>
      </c>
      <c r="P117" s="35">
        <f>SUMIFS(TablaSALIDA[CANT],TablaSALIDA[SKU],TablaSTOCKINV[[#This Row],[SKU]])</f>
        <v>0</v>
      </c>
      <c r="Q117" s="34">
        <f>_xlfn.XLOOKUP(TablaSTOCKINV[[#This Row],[SKU]],TablaINVENTARIO[SKU],TablaINVENTARIO[PRECIO])</f>
        <v>0</v>
      </c>
      <c r="R117" s="34">
        <f>TablaSTOCKINV[[#This Row],[P.UNITARIO]]*TablaSTOCKINV[[#This Row],[CANT. TOTAL]]</f>
        <v>0</v>
      </c>
      <c r="S117" s="44">
        <f>_xlfn.XLOOKUP(TablaSTOCKINV[[#This Row],[SKU]],TablaINVENTARIO[SKU],TablaINVENTARIO[FECHA INGRESO])</f>
        <v>46023</v>
      </c>
      <c r="T117" s="44">
        <f>_xlfn.XLOOKUP(TablaSTOCKINV[[#This Row],[SKU]],TablaENTRADA[SKU],TablaENTRADA[FECHA],,0,-1)</f>
        <v>46023</v>
      </c>
      <c r="U117" s="46" t="str">
        <f>IFERROR((_xlfn.XLOOKUP(TablaSTOCKINV[[#This Row],[SKU]],TablaSALIDA[SKU],TablaSALIDA[FECHA],,0,-1))," " )</f>
        <v xml:space="preserve"> </v>
      </c>
    </row>
    <row r="118" spans="1:21" x14ac:dyDescent="0.3">
      <c r="A118" s="27" t="s">
        <v>2451</v>
      </c>
      <c r="B118" s="32" t="str">
        <f>_xlfn.XLOOKUP(TablaSTOCKINV[[#This Row],[SKU]],TablaINVENTARIO[SKU],TablaINVENTARIO[DESCRIPCION])</f>
        <v>SISTEMA DE CONTROL DE ACCESO MODELO: MITA F08</v>
      </c>
      <c r="C118" s="32" t="str">
        <f>_xlfn.XLOOKUP(TablaSTOCKINV[[#This Row],[SKU]],TablaINVENTARIO[SKU],TablaINVENTARIO[MARCA])</f>
        <v xml:space="preserve">ADVANCE </v>
      </c>
      <c r="D118" s="33" t="str">
        <f>_xlfn.XLOOKUP(TablaSTOCKINV[[#This Row],[SKU]],TablaINVENTARIO[SKU],TablaINVENTARIO[CATEGORIA])</f>
        <v>SISTEMA_DE_SEGURIDAD</v>
      </c>
      <c r="E118" s="33" t="str">
        <f>_xlfn.XLOOKUP(TablaSTOCKINV[[#This Row],[SKU]],TablaINVENTARIO[SKU],TablaINVENTARIO[SUBCATEGORIA])</f>
        <v>CONTROL DE ACCESO</v>
      </c>
      <c r="F118" s="33" t="str">
        <f>_xlfn.XLOOKUP(TablaSTOCKINV[[#This Row],[SKU]],TablaINVENTARIO[SKU],TablaINVENTARIO[ESTADO])</f>
        <v>USADO</v>
      </c>
      <c r="G118" s="33" t="str">
        <f>_xlfn.XLOOKUP(TablaSTOCKINV[[#This Row],[SKU]],TablaINVENTARIO[SKU],TablaINVENTARIO[MEDIDA])</f>
        <v>UND</v>
      </c>
      <c r="H118" s="33">
        <f>_xlfn.XLOOKUP(TablaSTOCKINV[[#This Row],[SKU]],TablaINVENTARIO[SKU],TablaINVENTARIO[SERIAL])</f>
        <v>2630000000000</v>
      </c>
      <c r="I118" s="34" t="str">
        <f>_xlfn.XLOOKUP(TablaSTOCKINV[[#This Row],[SKU]],TablaINVENTARIO[SKU],TablaINVENTARIO[ALMACEN])</f>
        <v>ALMACEN PRINCIPAL</v>
      </c>
      <c r="J118" s="34" t="str">
        <f>_xlfn.XLOOKUP(TablaSTOCKINV[[#This Row],[SKU]],TablaINVENTARIO[SKU],TablaINVENTARIO[UBICACION])</f>
        <v>D2-2</v>
      </c>
      <c r="K118" s="34" t="str">
        <f>_xlfn.XLOOKUP(TablaSTOCKINV[[#This Row],[SKU]],TablaINVENTARIO[SKU],TablaINVENTARIO[DPTO RESPONSABLE])</f>
        <v>AIT</v>
      </c>
      <c r="L118" s="36">
        <f>_xlfn.XLOOKUP(TablaSTOCKINV[[#This Row],[SKU]],TablaINVENTARIO[SKU],TablaINVENTARIO[RANGO MIN])</f>
        <v>0</v>
      </c>
      <c r="M118" s="34" cm="1">
        <f t="array" ref="M118">_xlfn.IFS(TablaSTOCKINV[[#This Row],[CANT. TOTAL]]&lt;=0,1,TablaSTOCKINV[[#This Row],[CANT. TOTAL]]&lt;=TablaSTOCKINV[[#This Row],[MIN]],2,TablaSTOCKINV[[#This Row],[CANT. TOTAL]]&gt;TablaSTOCKINV[[#This Row],[MIN]],3)</f>
        <v>3</v>
      </c>
      <c r="N118" s="34">
        <f>TablaSTOCKINV[[#This Row],[ENTRADAS]]-TablaSTOCKINV[[#This Row],[SALIDAS]]</f>
        <v>1</v>
      </c>
      <c r="O118" s="35">
        <f>SUMIFS(TablaENTRADA[CANT],TablaENTRADA[SKU],TablaSTOCKINV[[#This Row],[SKU]])</f>
        <v>1</v>
      </c>
      <c r="P118" s="35">
        <f>SUMIFS(TablaSALIDA[CANT],TablaSALIDA[SKU],TablaSTOCKINV[[#This Row],[SKU]])</f>
        <v>0</v>
      </c>
      <c r="Q118" s="34">
        <f>_xlfn.XLOOKUP(TablaSTOCKINV[[#This Row],[SKU]],TablaINVENTARIO[SKU],TablaINVENTARIO[PRECIO])</f>
        <v>0</v>
      </c>
      <c r="R118" s="34">
        <f>TablaSTOCKINV[[#This Row],[P.UNITARIO]]*TablaSTOCKINV[[#This Row],[CANT. TOTAL]]</f>
        <v>0</v>
      </c>
      <c r="S118" s="44">
        <f>_xlfn.XLOOKUP(TablaSTOCKINV[[#This Row],[SKU]],TablaINVENTARIO[SKU],TablaINVENTARIO[FECHA INGRESO])</f>
        <v>46023</v>
      </c>
      <c r="T118" s="44">
        <f>_xlfn.XLOOKUP(TablaSTOCKINV[[#This Row],[SKU]],TablaENTRADA[SKU],TablaENTRADA[FECHA],,0,-1)</f>
        <v>46023</v>
      </c>
      <c r="U118" s="46" t="str">
        <f>IFERROR((_xlfn.XLOOKUP(TablaSTOCKINV[[#This Row],[SKU]],TablaSALIDA[SKU],TablaSALIDA[FECHA],,0,-1))," " )</f>
        <v xml:space="preserve"> </v>
      </c>
    </row>
    <row r="119" spans="1:21" x14ac:dyDescent="0.3">
      <c r="A119" s="27" t="s">
        <v>2455</v>
      </c>
      <c r="B119" s="32" t="str">
        <f>_xlfn.XLOOKUP(TablaSTOCKINV[[#This Row],[SKU]],TablaINVENTARIO[SKU],TablaINVENTARIO[DESCRIPCION])</f>
        <v>TERMINAL DE RECONOCIMIENTO FACIAL MODELO: DS-K1T671M</v>
      </c>
      <c r="C119" s="32" t="str">
        <f>_xlfn.XLOOKUP(TablaSTOCKINV[[#This Row],[SKU]],TablaINVENTARIO[SKU],TablaINVENTARIO[MARCA])</f>
        <v>HIKVISION</v>
      </c>
      <c r="D119" s="33" t="str">
        <f>_xlfn.XLOOKUP(TablaSTOCKINV[[#This Row],[SKU]],TablaINVENTARIO[SKU],TablaINVENTARIO[CATEGORIA])</f>
        <v>SISTEMA_DE_SEGURIDAD</v>
      </c>
      <c r="E119" s="33" t="str">
        <f>_xlfn.XLOOKUP(TablaSTOCKINV[[#This Row],[SKU]],TablaINVENTARIO[SKU],TablaINVENTARIO[SUBCATEGORIA])</f>
        <v>CONTROL DE ACCESO</v>
      </c>
      <c r="F119" s="33" t="str">
        <f>_xlfn.XLOOKUP(TablaSTOCKINV[[#This Row],[SKU]],TablaINVENTARIO[SKU],TablaINVENTARIO[ESTADO])</f>
        <v xml:space="preserve">NUEVO </v>
      </c>
      <c r="G119" s="33" t="str">
        <f>_xlfn.XLOOKUP(TablaSTOCKINV[[#This Row],[SKU]],TablaINVENTARIO[SKU],TablaINVENTARIO[MEDIDA])</f>
        <v>UND</v>
      </c>
      <c r="H119" s="33" t="str">
        <f>_xlfn.XLOOKUP(TablaSTOCKINV[[#This Row],[SKU]],TablaINVENTARIO[SKU],TablaINVENTARIO[SERIAL])</f>
        <v>L05015829</v>
      </c>
      <c r="I119" s="34" t="str">
        <f>_xlfn.XLOOKUP(TablaSTOCKINV[[#This Row],[SKU]],TablaINVENTARIO[SKU],TablaINVENTARIO[ALMACEN])</f>
        <v>ALMACEN PRINCIPAL</v>
      </c>
      <c r="J119" s="34" t="str">
        <f>_xlfn.XLOOKUP(TablaSTOCKINV[[#This Row],[SKU]],TablaINVENTARIO[SKU],TablaINVENTARIO[UBICACION])</f>
        <v>D2-2</v>
      </c>
      <c r="K119" s="34" t="str">
        <f>_xlfn.XLOOKUP(TablaSTOCKINV[[#This Row],[SKU]],TablaINVENTARIO[SKU],TablaINVENTARIO[DPTO RESPONSABLE])</f>
        <v>AIT</v>
      </c>
      <c r="L119" s="36">
        <f>_xlfn.XLOOKUP(TablaSTOCKINV[[#This Row],[SKU]],TablaINVENTARIO[SKU],TablaINVENTARIO[RANGO MIN])</f>
        <v>0</v>
      </c>
      <c r="M119" s="34" cm="1">
        <f t="array" ref="M119">_xlfn.IFS(TablaSTOCKINV[[#This Row],[CANT. TOTAL]]&lt;=0,1,TablaSTOCKINV[[#This Row],[CANT. TOTAL]]&lt;=TablaSTOCKINV[[#This Row],[MIN]],2,TablaSTOCKINV[[#This Row],[CANT. TOTAL]]&gt;TablaSTOCKINV[[#This Row],[MIN]],3)</f>
        <v>3</v>
      </c>
      <c r="N119" s="34">
        <f>TablaSTOCKINV[[#This Row],[ENTRADAS]]-TablaSTOCKINV[[#This Row],[SALIDAS]]</f>
        <v>1</v>
      </c>
      <c r="O119" s="35">
        <f>SUMIFS(TablaENTRADA[CANT],TablaENTRADA[SKU],TablaSTOCKINV[[#This Row],[SKU]])</f>
        <v>1</v>
      </c>
      <c r="P119" s="35">
        <f>SUMIFS(TablaSALIDA[CANT],TablaSALIDA[SKU],TablaSTOCKINV[[#This Row],[SKU]])</f>
        <v>0</v>
      </c>
      <c r="Q119" s="34">
        <f>_xlfn.XLOOKUP(TablaSTOCKINV[[#This Row],[SKU]],TablaINVENTARIO[SKU],TablaINVENTARIO[PRECIO])</f>
        <v>0</v>
      </c>
      <c r="R119" s="34">
        <f>TablaSTOCKINV[[#This Row],[P.UNITARIO]]*TablaSTOCKINV[[#This Row],[CANT. TOTAL]]</f>
        <v>0</v>
      </c>
      <c r="S119" s="44">
        <f>_xlfn.XLOOKUP(TablaSTOCKINV[[#This Row],[SKU]],TablaINVENTARIO[SKU],TablaINVENTARIO[FECHA INGRESO])</f>
        <v>46023</v>
      </c>
      <c r="T119" s="44">
        <f>_xlfn.XLOOKUP(TablaSTOCKINV[[#This Row],[SKU]],TablaENTRADA[SKU],TablaENTRADA[FECHA],,0,-1)</f>
        <v>46023</v>
      </c>
      <c r="U119" s="46" t="str">
        <f>IFERROR((_xlfn.XLOOKUP(TablaSTOCKINV[[#This Row],[SKU]],TablaSALIDA[SKU],TablaSALIDA[FECHA],,0,-1))," " )</f>
        <v xml:space="preserve"> </v>
      </c>
    </row>
    <row r="120" spans="1:21" x14ac:dyDescent="0.3">
      <c r="A120" s="27" t="s">
        <v>2459</v>
      </c>
      <c r="B120" s="32" t="str">
        <f>_xlfn.XLOOKUP(TablaSTOCKINV[[#This Row],[SKU]],TablaINVENTARIO[SKU],TablaINVENTARIO[DESCRIPCION])</f>
        <v>MONITOR DE VIDEOPORTERO MODELO: T-708C</v>
      </c>
      <c r="C120" s="32" t="str">
        <f>_xlfn.XLOOKUP(TablaSTOCKINV[[#This Row],[SKU]],TablaINVENTARIO[SKU],TablaINVENTARIO[MARCA])</f>
        <v>ETE</v>
      </c>
      <c r="D120" s="33" t="str">
        <f>_xlfn.XLOOKUP(TablaSTOCKINV[[#This Row],[SKU]],TablaINVENTARIO[SKU],TablaINVENTARIO[CATEGORIA])</f>
        <v>SISTEMA_DE_SEGURIDAD</v>
      </c>
      <c r="E120" s="33" t="str">
        <f>_xlfn.XLOOKUP(TablaSTOCKINV[[#This Row],[SKU]],TablaINVENTARIO[SKU],TablaINVENTARIO[SUBCATEGORIA])</f>
        <v>CONTROL DE ACCESO</v>
      </c>
      <c r="F120" s="33" t="str">
        <f>_xlfn.XLOOKUP(TablaSTOCKINV[[#This Row],[SKU]],TablaINVENTARIO[SKU],TablaINVENTARIO[ESTADO])</f>
        <v>DAÑADO</v>
      </c>
      <c r="G120" s="33" t="str">
        <f>_xlfn.XLOOKUP(TablaSTOCKINV[[#This Row],[SKU]],TablaINVENTARIO[SKU],TablaINVENTARIO[MEDIDA])</f>
        <v>UND</v>
      </c>
      <c r="H120" s="33" t="str">
        <f>_xlfn.XLOOKUP(TablaSTOCKINV[[#This Row],[SKU]],TablaINVENTARIO[SKU],TablaINVENTARIO[SERIAL])</f>
        <v>N/A</v>
      </c>
      <c r="I120" s="34" t="str">
        <f>_xlfn.XLOOKUP(TablaSTOCKINV[[#This Row],[SKU]],TablaINVENTARIO[SKU],TablaINVENTARIO[ALMACEN])</f>
        <v>ALMACEN PRINCIPAL</v>
      </c>
      <c r="J120" s="34" t="str">
        <f>_xlfn.XLOOKUP(TablaSTOCKINV[[#This Row],[SKU]],TablaINVENTARIO[SKU],TablaINVENTARIO[UBICACION])</f>
        <v>D2-3</v>
      </c>
      <c r="K120" s="34" t="str">
        <f>_xlfn.XLOOKUP(TablaSTOCKINV[[#This Row],[SKU]],TablaINVENTARIO[SKU],TablaINVENTARIO[DPTO RESPONSABLE])</f>
        <v>AIT</v>
      </c>
      <c r="L120" s="36">
        <f>_xlfn.XLOOKUP(TablaSTOCKINV[[#This Row],[SKU]],TablaINVENTARIO[SKU],TablaINVENTARIO[RANGO MIN])</f>
        <v>0</v>
      </c>
      <c r="M120" s="34" cm="1">
        <f t="array" ref="M120">_xlfn.IFS(TablaSTOCKINV[[#This Row],[CANT. TOTAL]]&lt;=0,1,TablaSTOCKINV[[#This Row],[CANT. TOTAL]]&lt;=TablaSTOCKINV[[#This Row],[MIN]],2,TablaSTOCKINV[[#This Row],[CANT. TOTAL]]&gt;TablaSTOCKINV[[#This Row],[MIN]],3)</f>
        <v>3</v>
      </c>
      <c r="N120" s="34">
        <f>TablaSTOCKINV[[#This Row],[ENTRADAS]]-TablaSTOCKINV[[#This Row],[SALIDAS]]</f>
        <v>1</v>
      </c>
      <c r="O120" s="35">
        <f>SUMIFS(TablaENTRADA[CANT],TablaENTRADA[SKU],TablaSTOCKINV[[#This Row],[SKU]])</f>
        <v>1</v>
      </c>
      <c r="P120" s="35">
        <f>SUMIFS(TablaSALIDA[CANT],TablaSALIDA[SKU],TablaSTOCKINV[[#This Row],[SKU]])</f>
        <v>0</v>
      </c>
      <c r="Q120" s="34">
        <f>_xlfn.XLOOKUP(TablaSTOCKINV[[#This Row],[SKU]],TablaINVENTARIO[SKU],TablaINVENTARIO[PRECIO])</f>
        <v>0</v>
      </c>
      <c r="R120" s="34">
        <f>TablaSTOCKINV[[#This Row],[P.UNITARIO]]*TablaSTOCKINV[[#This Row],[CANT. TOTAL]]</f>
        <v>0</v>
      </c>
      <c r="S120" s="44">
        <f>_xlfn.XLOOKUP(TablaSTOCKINV[[#This Row],[SKU]],TablaINVENTARIO[SKU],TablaINVENTARIO[FECHA INGRESO])</f>
        <v>46023</v>
      </c>
      <c r="T120" s="44">
        <f>_xlfn.XLOOKUP(TablaSTOCKINV[[#This Row],[SKU]],TablaENTRADA[SKU],TablaENTRADA[FECHA],,0,-1)</f>
        <v>46023</v>
      </c>
      <c r="U120" s="46" t="str">
        <f>IFERROR((_xlfn.XLOOKUP(TablaSTOCKINV[[#This Row],[SKU]],TablaSALIDA[SKU],TablaSALIDA[FECHA],,0,-1))," " )</f>
        <v xml:space="preserve"> </v>
      </c>
    </row>
    <row r="121" spans="1:21" x14ac:dyDescent="0.3">
      <c r="A121" s="27" t="s">
        <v>2140</v>
      </c>
      <c r="B121" s="32" t="str">
        <f>_xlfn.XLOOKUP(TablaSTOCKINV[[#This Row],[SKU]],TablaINVENTARIO[SKU],TablaINVENTARIO[DESCRIPCION])</f>
        <v xml:space="preserve">GLICERINA </v>
      </c>
      <c r="C121" s="32" t="str">
        <f>_xlfn.XLOOKUP(TablaSTOCKINV[[#This Row],[SKU]],TablaINVENTARIO[SKU],TablaINVENTARIO[MARCA])</f>
        <v>USP</v>
      </c>
      <c r="D121" s="33" t="str">
        <f>_xlfn.XLOOKUP(TablaSTOCKINV[[#This Row],[SKU]],TablaINVENTARIO[SKU],TablaINVENTARIO[CATEGORIA])</f>
        <v xml:space="preserve">PRODUCTOS_QUIMICOS </v>
      </c>
      <c r="E121" s="33" t="str">
        <f>_xlfn.XLOOKUP(TablaSTOCKINV[[#This Row],[SKU]],TablaINVENTARIO[SKU],TablaINVENTARIO[SUBCATEGORIA])</f>
        <v xml:space="preserve">GLICERINA </v>
      </c>
      <c r="F121" s="33" t="str">
        <f>_xlfn.XLOOKUP(TablaSTOCKINV[[#This Row],[SKU]],TablaINVENTARIO[SKU],TablaINVENTARIO[ESTADO])</f>
        <v>NUEVO</v>
      </c>
      <c r="G121" s="33" t="str">
        <f>_xlfn.XLOOKUP(TablaSTOCKINV[[#This Row],[SKU]],TablaINVENTARIO[SKU],TablaINVENTARIO[MEDIDA])</f>
        <v>LTS</v>
      </c>
      <c r="H121" s="33" t="str">
        <f>_xlfn.XLOOKUP(TablaSTOCKINV[[#This Row],[SKU]],TablaINVENTARIO[SKU],TablaINVENTARIO[SERIAL])</f>
        <v>N/A</v>
      </c>
      <c r="I121" s="34" t="str">
        <f>_xlfn.XLOOKUP(TablaSTOCKINV[[#This Row],[SKU]],TablaINVENTARIO[SKU],TablaINVENTARIO[ALMACEN])</f>
        <v>ALMACEN PRINCIPAL</v>
      </c>
      <c r="J121" s="34" t="str">
        <f>_xlfn.XLOOKUP(TablaSTOCKINV[[#This Row],[SKU]],TablaINVENTARIO[SKU],TablaINVENTARIO[UBICACION])</f>
        <v xml:space="preserve">CUARTO DE ALMACENAMIENTO </v>
      </c>
      <c r="K121" s="34" t="str">
        <f>_xlfn.XLOOKUP(TablaSTOCKINV[[#This Row],[SKU]],TablaINVENTARIO[SKU],TablaINVENTARIO[DPTO RESPONSABLE])</f>
        <v xml:space="preserve">CONSUMO GENERAL </v>
      </c>
      <c r="L121" s="36">
        <f>_xlfn.XLOOKUP(TablaSTOCKINV[[#This Row],[SKU]],TablaINVENTARIO[SKU],TablaINVENTARIO[RANGO MIN])</f>
        <v>0</v>
      </c>
      <c r="M121" s="34" cm="1">
        <f t="array" ref="M121">_xlfn.IFS(TablaSTOCKINV[[#This Row],[CANT. TOTAL]]&lt;=0,1,TablaSTOCKINV[[#This Row],[CANT. TOTAL]]&lt;=TablaSTOCKINV[[#This Row],[MIN]],2,TablaSTOCKINV[[#This Row],[CANT. TOTAL]]&gt;TablaSTOCKINV[[#This Row],[MIN]],3)</f>
        <v>3</v>
      </c>
      <c r="N121" s="34">
        <f>TablaSTOCKINV[[#This Row],[ENTRADAS]]-TablaSTOCKINV[[#This Row],[SALIDAS]]</f>
        <v>60</v>
      </c>
      <c r="O121" s="35">
        <f>SUMIFS(TablaENTRADA[CANT],TablaENTRADA[SKU],TablaSTOCKINV[[#This Row],[SKU]])</f>
        <v>60</v>
      </c>
      <c r="P121" s="35">
        <f>SUMIFS(TablaSALIDA[CANT],TablaSALIDA[SKU],TablaSTOCKINV[[#This Row],[SKU]])</f>
        <v>0</v>
      </c>
      <c r="Q121" s="34">
        <f>_xlfn.XLOOKUP(TablaSTOCKINV[[#This Row],[SKU]],TablaINVENTARIO[SKU],TablaINVENTARIO[PRECIO])</f>
        <v>0</v>
      </c>
      <c r="R121" s="34">
        <f>TablaSTOCKINV[[#This Row],[P.UNITARIO]]*TablaSTOCKINV[[#This Row],[CANT. TOTAL]]</f>
        <v>0</v>
      </c>
      <c r="S121" s="44">
        <f>_xlfn.XLOOKUP(TablaSTOCKINV[[#This Row],[SKU]],TablaINVENTARIO[SKU],TablaINVENTARIO[FECHA INGRESO])</f>
        <v>46023</v>
      </c>
      <c r="T121" s="44">
        <f>_xlfn.XLOOKUP(TablaSTOCKINV[[#This Row],[SKU]],TablaENTRADA[SKU],TablaENTRADA[FECHA],,0,-1)</f>
        <v>46023</v>
      </c>
      <c r="U121" s="46" t="str">
        <f>IFERROR((_xlfn.XLOOKUP(TablaSTOCKINV[[#This Row],[SKU]],TablaSALIDA[SKU],TablaSALIDA[FECHA],,0,-1))," " )</f>
        <v xml:space="preserve"> </v>
      </c>
    </row>
    <row r="122" spans="1:21" x14ac:dyDescent="0.3">
      <c r="A122" s="27" t="s">
        <v>2144</v>
      </c>
      <c r="B122" s="32" t="str">
        <f>_xlfn.XLOOKUP(TablaSTOCKINV[[#This Row],[SKU]],TablaINVENTARIO[SKU],TablaINVENTARIO[DESCRIPCION])</f>
        <v xml:space="preserve">KEROSENE </v>
      </c>
      <c r="C122" s="32" t="str">
        <f>_xlfn.XLOOKUP(TablaSTOCKINV[[#This Row],[SKU]],TablaINVENTARIO[SKU],TablaINVENTARIO[MARCA])</f>
        <v xml:space="preserve">KEROSENE </v>
      </c>
      <c r="D122" s="33" t="str">
        <f>_xlfn.XLOOKUP(TablaSTOCKINV[[#This Row],[SKU]],TablaINVENTARIO[SKU],TablaINVENTARIO[CATEGORIA])</f>
        <v xml:space="preserve">PRODUCTOS_QUIMICOS </v>
      </c>
      <c r="E122" s="33" t="str">
        <f>_xlfn.XLOOKUP(TablaSTOCKINV[[#This Row],[SKU]],TablaINVENTARIO[SKU],TablaINVENTARIO[SUBCATEGORIA])</f>
        <v xml:space="preserve">DILUYENTES Y SOLVENTES </v>
      </c>
      <c r="F122" s="33" t="str">
        <f>_xlfn.XLOOKUP(TablaSTOCKINV[[#This Row],[SKU]],TablaINVENTARIO[SKU],TablaINVENTARIO[ESTADO])</f>
        <v>NUEVO</v>
      </c>
      <c r="G122" s="33" t="str">
        <f>_xlfn.XLOOKUP(TablaSTOCKINV[[#This Row],[SKU]],TablaINVENTARIO[SKU],TablaINVENTARIO[MEDIDA])</f>
        <v>LTS</v>
      </c>
      <c r="H122" s="33" t="str">
        <f>_xlfn.XLOOKUP(TablaSTOCKINV[[#This Row],[SKU]],TablaINVENTARIO[SKU],TablaINVENTARIO[SERIAL])</f>
        <v>N/A</v>
      </c>
      <c r="I122" s="34" t="str">
        <f>_xlfn.XLOOKUP(TablaSTOCKINV[[#This Row],[SKU]],TablaINVENTARIO[SKU],TablaINVENTARIO[ALMACEN])</f>
        <v>ALMACEN PRINCIPAL</v>
      </c>
      <c r="J122" s="34" t="str">
        <f>_xlfn.XLOOKUP(TablaSTOCKINV[[#This Row],[SKU]],TablaINVENTARIO[SKU],TablaINVENTARIO[UBICACION])</f>
        <v xml:space="preserve">CUARTO DE ALMACENAMIENTO </v>
      </c>
      <c r="K122" s="34" t="str">
        <f>_xlfn.XLOOKUP(TablaSTOCKINV[[#This Row],[SKU]],TablaINVENTARIO[SKU],TablaINVENTARIO[DPTO RESPONSABLE])</f>
        <v xml:space="preserve">CONSUMO GENERAL </v>
      </c>
      <c r="L122" s="36">
        <f>_xlfn.XLOOKUP(TablaSTOCKINV[[#This Row],[SKU]],TablaINVENTARIO[SKU],TablaINVENTARIO[RANGO MIN])</f>
        <v>0</v>
      </c>
      <c r="M122" s="34" cm="1">
        <f t="array" ref="M122">_xlfn.IFS(TablaSTOCKINV[[#This Row],[CANT. TOTAL]]&lt;=0,1,TablaSTOCKINV[[#This Row],[CANT. TOTAL]]&lt;=TablaSTOCKINV[[#This Row],[MIN]],2,TablaSTOCKINV[[#This Row],[CANT. TOTAL]]&gt;TablaSTOCKINV[[#This Row],[MIN]],3)</f>
        <v>3</v>
      </c>
      <c r="N122" s="34">
        <f>TablaSTOCKINV[[#This Row],[ENTRADAS]]-TablaSTOCKINV[[#This Row],[SALIDAS]]</f>
        <v>4</v>
      </c>
      <c r="O122" s="35">
        <f>SUMIFS(TablaENTRADA[CANT],TablaENTRADA[SKU],TablaSTOCKINV[[#This Row],[SKU]])</f>
        <v>4</v>
      </c>
      <c r="P122" s="35">
        <f>SUMIFS(TablaSALIDA[CANT],TablaSALIDA[SKU],TablaSTOCKINV[[#This Row],[SKU]])</f>
        <v>0</v>
      </c>
      <c r="Q122" s="34">
        <f>_xlfn.XLOOKUP(TablaSTOCKINV[[#This Row],[SKU]],TablaINVENTARIO[SKU],TablaINVENTARIO[PRECIO])</f>
        <v>0</v>
      </c>
      <c r="R122" s="34">
        <f>TablaSTOCKINV[[#This Row],[P.UNITARIO]]*TablaSTOCKINV[[#This Row],[CANT. TOTAL]]</f>
        <v>0</v>
      </c>
      <c r="S122" s="44">
        <f>_xlfn.XLOOKUP(TablaSTOCKINV[[#This Row],[SKU]],TablaINVENTARIO[SKU],TablaINVENTARIO[FECHA INGRESO])</f>
        <v>46023</v>
      </c>
      <c r="T122" s="44">
        <f>_xlfn.XLOOKUP(TablaSTOCKINV[[#This Row],[SKU]],TablaENTRADA[SKU],TablaENTRADA[FECHA],,0,-1)</f>
        <v>46023</v>
      </c>
      <c r="U122" s="46" t="str">
        <f>IFERROR((_xlfn.XLOOKUP(TablaSTOCKINV[[#This Row],[SKU]],TablaSALIDA[SKU],TablaSALIDA[FECHA],,0,-1))," " )</f>
        <v xml:space="preserve"> </v>
      </c>
    </row>
    <row r="123" spans="1:21" x14ac:dyDescent="0.3">
      <c r="A123" s="27" t="s">
        <v>2147</v>
      </c>
      <c r="B123" s="32" t="str">
        <f>_xlfn.XLOOKUP(TablaSTOCKINV[[#This Row],[SKU]],TablaINVENTARIO[SKU],TablaINVENTARIO[DESCRIPCION])</f>
        <v>FLUIDO DE PURGA DOW COURNING</v>
      </c>
      <c r="C123" s="32" t="str">
        <f>_xlfn.XLOOKUP(TablaSTOCKINV[[#This Row],[SKU]],TablaINVENTARIO[SKU],TablaINVENTARIO[MARCA])</f>
        <v>N/A</v>
      </c>
      <c r="D123" s="33" t="str">
        <f>_xlfn.XLOOKUP(TablaSTOCKINV[[#This Row],[SKU]],TablaINVENTARIO[SKU],TablaINVENTARIO[CATEGORIA])</f>
        <v xml:space="preserve">PRODUCTOS_QUIMICOS </v>
      </c>
      <c r="E123" s="33" t="str">
        <f>_xlfn.XLOOKUP(TablaSTOCKINV[[#This Row],[SKU]],TablaINVENTARIO[SKU],TablaINVENTARIO[SUBCATEGORIA])</f>
        <v xml:space="preserve">DILUYENTES Y SOLVENTES </v>
      </c>
      <c r="F123" s="33" t="str">
        <f>_xlfn.XLOOKUP(TablaSTOCKINV[[#This Row],[SKU]],TablaINVENTARIO[SKU],TablaINVENTARIO[ESTADO])</f>
        <v>NUEVO</v>
      </c>
      <c r="G123" s="33" t="str">
        <f>_xlfn.XLOOKUP(TablaSTOCKINV[[#This Row],[SKU]],TablaINVENTARIO[SKU],TablaINVENTARIO[MEDIDA])</f>
        <v>KG</v>
      </c>
      <c r="H123" s="33" t="str">
        <f>_xlfn.XLOOKUP(TablaSTOCKINV[[#This Row],[SKU]],TablaINVENTARIO[SKU],TablaINVENTARIO[SERIAL])</f>
        <v>N/A</v>
      </c>
      <c r="I123" s="34" t="str">
        <f>_xlfn.XLOOKUP(TablaSTOCKINV[[#This Row],[SKU]],TablaINVENTARIO[SKU],TablaINVENTARIO[ALMACEN])</f>
        <v>ALMACEN PRINCIPAL</v>
      </c>
      <c r="J123" s="34" t="str">
        <f>_xlfn.XLOOKUP(TablaSTOCKINV[[#This Row],[SKU]],TablaINVENTARIO[SKU],TablaINVENTARIO[UBICACION])</f>
        <v>H3-1</v>
      </c>
      <c r="K123" s="34" t="str">
        <f>_xlfn.XLOOKUP(TablaSTOCKINV[[#This Row],[SKU]],TablaINVENTARIO[SKU],TablaINVENTARIO[DPTO RESPONSABLE])</f>
        <v>OPERACIONES</v>
      </c>
      <c r="L123" s="36">
        <f>_xlfn.XLOOKUP(TablaSTOCKINV[[#This Row],[SKU]],TablaINVENTARIO[SKU],TablaINVENTARIO[RANGO MIN])</f>
        <v>0</v>
      </c>
      <c r="M123" s="34" cm="1">
        <f t="array" ref="M123">_xlfn.IFS(TablaSTOCKINV[[#This Row],[CANT. TOTAL]]&lt;=0,1,TablaSTOCKINV[[#This Row],[CANT. TOTAL]]&lt;=TablaSTOCKINV[[#This Row],[MIN]],2,TablaSTOCKINV[[#This Row],[CANT. TOTAL]]&gt;TablaSTOCKINV[[#This Row],[MIN]],3)</f>
        <v>3</v>
      </c>
      <c r="N123" s="34">
        <f>TablaSTOCKINV[[#This Row],[ENTRADAS]]-TablaSTOCKINV[[#This Row],[SALIDAS]]</f>
        <v>48</v>
      </c>
      <c r="O123" s="35">
        <f>SUMIFS(TablaENTRADA[CANT],TablaENTRADA[SKU],TablaSTOCKINV[[#This Row],[SKU]])</f>
        <v>48</v>
      </c>
      <c r="P123" s="35">
        <f>SUMIFS(TablaSALIDA[CANT],TablaSALIDA[SKU],TablaSTOCKINV[[#This Row],[SKU]])</f>
        <v>0</v>
      </c>
      <c r="Q123" s="34">
        <f>_xlfn.XLOOKUP(TablaSTOCKINV[[#This Row],[SKU]],TablaINVENTARIO[SKU],TablaINVENTARIO[PRECIO])</f>
        <v>0</v>
      </c>
      <c r="R123" s="34">
        <f>TablaSTOCKINV[[#This Row],[P.UNITARIO]]*TablaSTOCKINV[[#This Row],[CANT. TOTAL]]</f>
        <v>0</v>
      </c>
      <c r="S123" s="44">
        <f>_xlfn.XLOOKUP(TablaSTOCKINV[[#This Row],[SKU]],TablaINVENTARIO[SKU],TablaINVENTARIO[FECHA INGRESO])</f>
        <v>46023</v>
      </c>
      <c r="T123" s="44">
        <f>_xlfn.XLOOKUP(TablaSTOCKINV[[#This Row],[SKU]],TablaENTRADA[SKU],TablaENTRADA[FECHA],,0,-1)</f>
        <v>46023</v>
      </c>
      <c r="U123" s="46" t="str">
        <f>IFERROR((_xlfn.XLOOKUP(TablaSTOCKINV[[#This Row],[SKU]],TablaSALIDA[SKU],TablaSALIDA[FECHA],,0,-1))," " )</f>
        <v xml:space="preserve"> </v>
      </c>
    </row>
    <row r="124" spans="1:21" x14ac:dyDescent="0.3">
      <c r="A124" s="27" t="s">
        <v>2151</v>
      </c>
      <c r="B124" s="32" t="str">
        <f>_xlfn.XLOOKUP(TablaSTOCKINV[[#This Row],[SKU]],TablaINVENTARIO[SKU],TablaINVENTARIO[DESCRIPCION])</f>
        <v>LUBRICANTE NIQUEL ANTINSEIZE</v>
      </c>
      <c r="C124" s="32" t="str">
        <f>_xlfn.XLOOKUP(TablaSTOCKINV[[#This Row],[SKU]],TablaINVENTARIO[SKU],TablaINVENTARIO[MARCA])</f>
        <v>N/A</v>
      </c>
      <c r="D124" s="33" t="str">
        <f>_xlfn.XLOOKUP(TablaSTOCKINV[[#This Row],[SKU]],TablaINVENTARIO[SKU],TablaINVENTARIO[CATEGORIA])</f>
        <v xml:space="preserve">PRODUCTOS_QUIMICOS </v>
      </c>
      <c r="E124" s="33" t="str">
        <f>_xlfn.XLOOKUP(TablaSTOCKINV[[#This Row],[SKU]],TablaINVENTARIO[SKU],TablaINVENTARIO[SUBCATEGORIA])</f>
        <v xml:space="preserve">LUBRICACION </v>
      </c>
      <c r="F124" s="33" t="str">
        <f>_xlfn.XLOOKUP(TablaSTOCKINV[[#This Row],[SKU]],TablaINVENTARIO[SKU],TablaINVENTARIO[ESTADO])</f>
        <v>USADO</v>
      </c>
      <c r="G124" s="33" t="str">
        <f>_xlfn.XLOOKUP(TablaSTOCKINV[[#This Row],[SKU]],TablaINVENTARIO[SKU],TablaINVENTARIO[MEDIDA])</f>
        <v xml:space="preserve">UND </v>
      </c>
      <c r="H124" s="33" t="str">
        <f>_xlfn.XLOOKUP(TablaSTOCKINV[[#This Row],[SKU]],TablaINVENTARIO[SKU],TablaINVENTARIO[SERIAL])</f>
        <v>N/A</v>
      </c>
      <c r="I124" s="34" t="str">
        <f>_xlfn.XLOOKUP(TablaSTOCKINV[[#This Row],[SKU]],TablaINVENTARIO[SKU],TablaINVENTARIO[ALMACEN])</f>
        <v>ALMACEN PRINCIPAL</v>
      </c>
      <c r="J124" s="34" t="str">
        <f>_xlfn.XLOOKUP(TablaSTOCKINV[[#This Row],[SKU]],TablaINVENTARIO[SKU],TablaINVENTARIO[UBICACION])</f>
        <v>2D</v>
      </c>
      <c r="K124" s="34" t="str">
        <f>_xlfn.XLOOKUP(TablaSTOCKINV[[#This Row],[SKU]],TablaINVENTARIO[SKU],TablaINVENTARIO[DPTO RESPONSABLE])</f>
        <v>OPERACIONES</v>
      </c>
      <c r="L124" s="36">
        <f>_xlfn.XLOOKUP(TablaSTOCKINV[[#This Row],[SKU]],TablaINVENTARIO[SKU],TablaINVENTARIO[RANGO MIN])</f>
        <v>0</v>
      </c>
      <c r="M124" s="34" cm="1">
        <f t="array" ref="M124">_xlfn.IFS(TablaSTOCKINV[[#This Row],[CANT. TOTAL]]&lt;=0,1,TablaSTOCKINV[[#This Row],[CANT. TOTAL]]&lt;=TablaSTOCKINV[[#This Row],[MIN]],2,TablaSTOCKINV[[#This Row],[CANT. TOTAL]]&gt;TablaSTOCKINV[[#This Row],[MIN]],3)</f>
        <v>3</v>
      </c>
      <c r="N124" s="34">
        <f>TablaSTOCKINV[[#This Row],[ENTRADAS]]-TablaSTOCKINV[[#This Row],[SALIDAS]]</f>
        <v>1</v>
      </c>
      <c r="O124" s="35">
        <f>SUMIFS(TablaENTRADA[CANT],TablaENTRADA[SKU],TablaSTOCKINV[[#This Row],[SKU]])</f>
        <v>1</v>
      </c>
      <c r="P124" s="35">
        <f>SUMIFS(TablaSALIDA[CANT],TablaSALIDA[SKU],TablaSTOCKINV[[#This Row],[SKU]])</f>
        <v>0</v>
      </c>
      <c r="Q124" s="34">
        <f>_xlfn.XLOOKUP(TablaSTOCKINV[[#This Row],[SKU]],TablaINVENTARIO[SKU],TablaINVENTARIO[PRECIO])</f>
        <v>0</v>
      </c>
      <c r="R124" s="34">
        <f>TablaSTOCKINV[[#This Row],[P.UNITARIO]]*TablaSTOCKINV[[#This Row],[CANT. TOTAL]]</f>
        <v>0</v>
      </c>
      <c r="S124" s="44">
        <f>_xlfn.XLOOKUP(TablaSTOCKINV[[#This Row],[SKU]],TablaINVENTARIO[SKU],TablaINVENTARIO[FECHA INGRESO])</f>
        <v>46023</v>
      </c>
      <c r="T124" s="44">
        <f>_xlfn.XLOOKUP(TablaSTOCKINV[[#This Row],[SKU]],TablaENTRADA[SKU],TablaENTRADA[FECHA],,0,-1)</f>
        <v>46023</v>
      </c>
      <c r="U124" s="46" t="str">
        <f>IFERROR((_xlfn.XLOOKUP(TablaSTOCKINV[[#This Row],[SKU]],TablaSALIDA[SKU],TablaSALIDA[FECHA],,0,-1))," " )</f>
        <v xml:space="preserve"> </v>
      </c>
    </row>
    <row r="125" spans="1:21" x14ac:dyDescent="0.3">
      <c r="A125" s="27" t="s">
        <v>2462</v>
      </c>
      <c r="B125" s="32" t="str">
        <f>_xlfn.XLOOKUP(TablaSTOCKINV[[#This Row],[SKU]],TablaINVENTARIO[SKU],TablaINVENTARIO[DESCRIPCION])</f>
        <v xml:space="preserve">VENENO AHUYENTAVES </v>
      </c>
      <c r="C125" s="32" t="str">
        <f>_xlfn.XLOOKUP(TablaSTOCKINV[[#This Row],[SKU]],TablaINVENTARIO[SKU],TablaINVENTARIO[MARCA])</f>
        <v>N/A</v>
      </c>
      <c r="D125" s="33" t="str">
        <f>_xlfn.XLOOKUP(TablaSTOCKINV[[#This Row],[SKU]],TablaINVENTARIO[SKU],TablaINVENTARIO[CATEGORIA])</f>
        <v xml:space="preserve">PRODUCTOS_QUIMICOS </v>
      </c>
      <c r="E125" s="33" t="str">
        <f>_xlfn.XLOOKUP(TablaSTOCKINV[[#This Row],[SKU]],TablaINVENTARIO[SKU],TablaINVENTARIO[SUBCATEGORIA])</f>
        <v xml:space="preserve">VENENO </v>
      </c>
      <c r="F125" s="33" t="str">
        <f>_xlfn.XLOOKUP(TablaSTOCKINV[[#This Row],[SKU]],TablaINVENTARIO[SKU],TablaINVENTARIO[ESTADO])</f>
        <v xml:space="preserve">NUEVO </v>
      </c>
      <c r="G125" s="33" t="str">
        <f>_xlfn.XLOOKUP(TablaSTOCKINV[[#This Row],[SKU]],TablaINVENTARIO[SKU],TablaINVENTARIO[MEDIDA])</f>
        <v>UND</v>
      </c>
      <c r="H125" s="33" t="str">
        <f>_xlfn.XLOOKUP(TablaSTOCKINV[[#This Row],[SKU]],TablaINVENTARIO[SKU],TablaINVENTARIO[SERIAL])</f>
        <v>N/A</v>
      </c>
      <c r="I125" s="34" t="str">
        <f>_xlfn.XLOOKUP(TablaSTOCKINV[[#This Row],[SKU]],TablaINVENTARIO[SKU],TablaINVENTARIO[ALMACEN])</f>
        <v>ALMACEN PRINCIPAL</v>
      </c>
      <c r="J125" s="34" t="str">
        <f>_xlfn.XLOOKUP(TablaSTOCKINV[[#This Row],[SKU]],TablaINVENTARIO[SKU],TablaINVENTARIO[UBICACION])</f>
        <v>B3</v>
      </c>
      <c r="K125" s="34" t="str">
        <f>_xlfn.XLOOKUP(TablaSTOCKINV[[#This Row],[SKU]],TablaINVENTARIO[SKU],TablaINVENTARIO[DPTO RESPONSABLE])</f>
        <v>SIHO-A</v>
      </c>
      <c r="L125" s="36">
        <f>_xlfn.XLOOKUP(TablaSTOCKINV[[#This Row],[SKU]],TablaINVENTARIO[SKU],TablaINVENTARIO[RANGO MIN])</f>
        <v>0</v>
      </c>
      <c r="M125" s="34" cm="1">
        <f t="array" ref="M125">_xlfn.IFS(TablaSTOCKINV[[#This Row],[CANT. TOTAL]]&lt;=0,1,TablaSTOCKINV[[#This Row],[CANT. TOTAL]]&lt;=TablaSTOCKINV[[#This Row],[MIN]],2,TablaSTOCKINV[[#This Row],[CANT. TOTAL]]&gt;TablaSTOCKINV[[#This Row],[MIN]],3)</f>
        <v>3</v>
      </c>
      <c r="N125" s="34">
        <f>TablaSTOCKINV[[#This Row],[ENTRADAS]]-TablaSTOCKINV[[#This Row],[SALIDAS]]</f>
        <v>2</v>
      </c>
      <c r="O125" s="35">
        <f>SUMIFS(TablaENTRADA[CANT],TablaENTRADA[SKU],TablaSTOCKINV[[#This Row],[SKU]])</f>
        <v>2</v>
      </c>
      <c r="P125" s="35">
        <f>SUMIFS(TablaSALIDA[CANT],TablaSALIDA[SKU],TablaSTOCKINV[[#This Row],[SKU]])</f>
        <v>0</v>
      </c>
      <c r="Q125" s="34">
        <f>_xlfn.XLOOKUP(TablaSTOCKINV[[#This Row],[SKU]],TablaINVENTARIO[SKU],TablaINVENTARIO[PRECIO])</f>
        <v>0</v>
      </c>
      <c r="R125" s="34">
        <f>TablaSTOCKINV[[#This Row],[P.UNITARIO]]*TablaSTOCKINV[[#This Row],[CANT. TOTAL]]</f>
        <v>0</v>
      </c>
      <c r="S125" s="44">
        <f>_xlfn.XLOOKUP(TablaSTOCKINV[[#This Row],[SKU]],TablaINVENTARIO[SKU],TablaINVENTARIO[FECHA INGRESO])</f>
        <v>46023</v>
      </c>
      <c r="T125" s="44">
        <f>_xlfn.XLOOKUP(TablaSTOCKINV[[#This Row],[SKU]],TablaENTRADA[SKU],TablaENTRADA[FECHA],,0,-1)</f>
        <v>46023</v>
      </c>
      <c r="U125" s="46" t="str">
        <f>IFERROR((_xlfn.XLOOKUP(TablaSTOCKINV[[#This Row],[SKU]],TablaSALIDA[SKU],TablaSALIDA[FECHA],,0,-1))," " )</f>
        <v xml:space="preserve"> </v>
      </c>
    </row>
    <row r="126" spans="1:21" x14ac:dyDescent="0.3">
      <c r="A126" s="27" t="s">
        <v>2031</v>
      </c>
      <c r="B126" s="32" t="str">
        <f>_xlfn.XLOOKUP(TablaSTOCKINV[[#This Row],[SKU]],TablaINVENTARIO[SKU],TablaINVENTARIO[DESCRIPCION])</f>
        <v>INYECTADORA 60ML</v>
      </c>
      <c r="C126" s="32" t="str">
        <f>_xlfn.XLOOKUP(TablaSTOCKINV[[#This Row],[SKU]],TablaINVENTARIO[SKU],TablaINVENTARIO[MARCA])</f>
        <v>GROSSMED</v>
      </c>
      <c r="D126" s="33" t="str">
        <f>_xlfn.XLOOKUP(TablaSTOCKINV[[#This Row],[SKU]],TablaINVENTARIO[SKU],TablaINVENTARIO[CATEGORIA])</f>
        <v xml:space="preserve">MEDICAMENTOS </v>
      </c>
      <c r="E126" s="33" t="str">
        <f>_xlfn.XLOOKUP(TablaSTOCKINV[[#This Row],[SKU]],TablaINVENTARIO[SKU],TablaINVENTARIO[SUBCATEGORIA])</f>
        <v>INSTRUMENTO QUIRURGICO</v>
      </c>
      <c r="F126" s="33" t="str">
        <f>_xlfn.XLOOKUP(TablaSTOCKINV[[#This Row],[SKU]],TablaINVENTARIO[SKU],TablaINVENTARIO[ESTADO])</f>
        <v>NUEVO</v>
      </c>
      <c r="G126" s="33" t="str">
        <f>_xlfn.XLOOKUP(TablaSTOCKINV[[#This Row],[SKU]],TablaINVENTARIO[SKU],TablaINVENTARIO[MEDIDA])</f>
        <v>UND</v>
      </c>
      <c r="H126" s="33" t="str">
        <f>_xlfn.XLOOKUP(TablaSTOCKINV[[#This Row],[SKU]],TablaINVENTARIO[SKU],TablaINVENTARIO[SERIAL])</f>
        <v>N/A</v>
      </c>
      <c r="I126" s="34" t="str">
        <f>_xlfn.XLOOKUP(TablaSTOCKINV[[#This Row],[SKU]],TablaINVENTARIO[SKU],TablaINVENTARIO[ALMACEN])</f>
        <v>ALMACEN PRINCIPAL</v>
      </c>
      <c r="J126" s="34" t="str">
        <f>_xlfn.XLOOKUP(TablaSTOCKINV[[#This Row],[SKU]],TablaINVENTARIO[SKU],TablaINVENTARIO[UBICACION])</f>
        <v>L4</v>
      </c>
      <c r="K126" s="34" t="str">
        <f>_xlfn.XLOOKUP(TablaSTOCKINV[[#This Row],[SKU]],TablaINVENTARIO[SKU],TablaINVENTARIO[DPTO RESPONSABLE])</f>
        <v>OPERACIONES</v>
      </c>
      <c r="L126" s="36">
        <f>_xlfn.XLOOKUP(TablaSTOCKINV[[#This Row],[SKU]],TablaINVENTARIO[SKU],TablaINVENTARIO[RANGO MIN])</f>
        <v>0</v>
      </c>
      <c r="M126" s="34" cm="1">
        <f t="array" ref="M126">_xlfn.IFS(TablaSTOCKINV[[#This Row],[CANT. TOTAL]]&lt;=0,1,TablaSTOCKINV[[#This Row],[CANT. TOTAL]]&lt;=TablaSTOCKINV[[#This Row],[MIN]],2,TablaSTOCKINV[[#This Row],[CANT. TOTAL]]&gt;TablaSTOCKINV[[#This Row],[MIN]],3)</f>
        <v>3</v>
      </c>
      <c r="N126" s="34">
        <f>TablaSTOCKINV[[#This Row],[ENTRADAS]]-TablaSTOCKINV[[#This Row],[SALIDAS]]</f>
        <v>11</v>
      </c>
      <c r="O126" s="35">
        <f>SUMIFS(TablaENTRADA[CANT],TablaENTRADA[SKU],TablaSTOCKINV[[#This Row],[SKU]])</f>
        <v>11</v>
      </c>
      <c r="P126" s="35">
        <f>SUMIFS(TablaSALIDA[CANT],TablaSALIDA[SKU],TablaSTOCKINV[[#This Row],[SKU]])</f>
        <v>0</v>
      </c>
      <c r="Q126" s="34">
        <f>_xlfn.XLOOKUP(TablaSTOCKINV[[#This Row],[SKU]],TablaINVENTARIO[SKU],TablaINVENTARIO[PRECIO])</f>
        <v>0</v>
      </c>
      <c r="R126" s="34">
        <f>TablaSTOCKINV[[#This Row],[P.UNITARIO]]*TablaSTOCKINV[[#This Row],[CANT. TOTAL]]</f>
        <v>0</v>
      </c>
      <c r="S126" s="44">
        <f>_xlfn.XLOOKUP(TablaSTOCKINV[[#This Row],[SKU]],TablaINVENTARIO[SKU],TablaINVENTARIO[FECHA INGRESO])</f>
        <v>46023</v>
      </c>
      <c r="T126" s="44">
        <f>_xlfn.XLOOKUP(TablaSTOCKINV[[#This Row],[SKU]],TablaENTRADA[SKU],TablaENTRADA[FECHA],,0,-1)</f>
        <v>46023</v>
      </c>
      <c r="U126" s="46" t="str">
        <f>IFERROR((_xlfn.XLOOKUP(TablaSTOCKINV[[#This Row],[SKU]],TablaSALIDA[SKU],TablaSALIDA[FECHA],,0,-1))," " )</f>
        <v xml:space="preserve"> </v>
      </c>
    </row>
    <row r="127" spans="1:21" x14ac:dyDescent="0.3">
      <c r="A127" s="27" t="s">
        <v>2036</v>
      </c>
      <c r="B127" s="32" t="str">
        <f>_xlfn.XLOOKUP(TablaSTOCKINV[[#This Row],[SKU]],TablaINVENTARIO[SKU],TablaINVENTARIO[DESCRIPCION])</f>
        <v xml:space="preserve">LAFARCAINA </v>
      </c>
      <c r="C127" s="32" t="str">
        <f>_xlfn.XLOOKUP(TablaSTOCKINV[[#This Row],[SKU]],TablaINVENTARIO[SKU],TablaINVENTARIO[MARCA])</f>
        <v xml:space="preserve">ELMOR </v>
      </c>
      <c r="D127" s="33" t="str">
        <f>_xlfn.XLOOKUP(TablaSTOCKINV[[#This Row],[SKU]],TablaINVENTARIO[SKU],TablaINVENTARIO[CATEGORIA])</f>
        <v xml:space="preserve">MEDICAMENTOS </v>
      </c>
      <c r="E127" s="33" t="str">
        <f>_xlfn.XLOOKUP(TablaSTOCKINV[[#This Row],[SKU]],TablaINVENTARIO[SKU],TablaINVENTARIO[SUBCATEGORIA])</f>
        <v>ANTISEPTICO</v>
      </c>
      <c r="F127" s="33" t="str">
        <f>_xlfn.XLOOKUP(TablaSTOCKINV[[#This Row],[SKU]],TablaINVENTARIO[SKU],TablaINVENTARIO[ESTADO])</f>
        <v xml:space="preserve">NUEVO </v>
      </c>
      <c r="G127" s="33" t="str">
        <f>_xlfn.XLOOKUP(TablaSTOCKINV[[#This Row],[SKU]],TablaINVENTARIO[SKU],TablaINVENTARIO[MEDIDA])</f>
        <v xml:space="preserve">UND </v>
      </c>
      <c r="H127" s="33" t="str">
        <f>_xlfn.XLOOKUP(TablaSTOCKINV[[#This Row],[SKU]],TablaINVENTARIO[SKU],TablaINVENTARIO[SERIAL])</f>
        <v>N/A</v>
      </c>
      <c r="I127" s="34" t="str">
        <f>_xlfn.XLOOKUP(TablaSTOCKINV[[#This Row],[SKU]],TablaINVENTARIO[SKU],TablaINVENTARIO[ALMACEN])</f>
        <v>ALMACEN PRINCIPAL</v>
      </c>
      <c r="J127" s="34" t="str">
        <f>_xlfn.XLOOKUP(TablaSTOCKINV[[#This Row],[SKU]],TablaINVENTARIO[SKU],TablaINVENTARIO[UBICACION])</f>
        <v>1A</v>
      </c>
      <c r="K127" s="34" t="str">
        <f>_xlfn.XLOOKUP(TablaSTOCKINV[[#This Row],[SKU]],TablaINVENTARIO[SKU],TablaINVENTARIO[DPTO RESPONSABLE])</f>
        <v xml:space="preserve">CONSUMO GENERAL </v>
      </c>
      <c r="L127" s="36">
        <f>_xlfn.XLOOKUP(TablaSTOCKINV[[#This Row],[SKU]],TablaINVENTARIO[SKU],TablaINVENTARIO[RANGO MIN])</f>
        <v>0</v>
      </c>
      <c r="M127" s="34" cm="1">
        <f t="array" ref="M127">_xlfn.IFS(TablaSTOCKINV[[#This Row],[CANT. TOTAL]]&lt;=0,1,TablaSTOCKINV[[#This Row],[CANT. TOTAL]]&lt;=TablaSTOCKINV[[#This Row],[MIN]],2,TablaSTOCKINV[[#This Row],[CANT. TOTAL]]&gt;TablaSTOCKINV[[#This Row],[MIN]],3)</f>
        <v>3</v>
      </c>
      <c r="N127" s="34">
        <f>TablaSTOCKINV[[#This Row],[ENTRADAS]]-TablaSTOCKINV[[#This Row],[SALIDAS]]</f>
        <v>40</v>
      </c>
      <c r="O127" s="35">
        <f>SUMIFS(TablaENTRADA[CANT],TablaENTRADA[SKU],TablaSTOCKINV[[#This Row],[SKU]])</f>
        <v>40</v>
      </c>
      <c r="P127" s="35">
        <f>SUMIFS(TablaSALIDA[CANT],TablaSALIDA[SKU],TablaSTOCKINV[[#This Row],[SKU]])</f>
        <v>0</v>
      </c>
      <c r="Q127" s="34">
        <f>_xlfn.XLOOKUP(TablaSTOCKINV[[#This Row],[SKU]],TablaINVENTARIO[SKU],TablaINVENTARIO[PRECIO])</f>
        <v>0</v>
      </c>
      <c r="R127" s="34">
        <f>TablaSTOCKINV[[#This Row],[P.UNITARIO]]*TablaSTOCKINV[[#This Row],[CANT. TOTAL]]</f>
        <v>0</v>
      </c>
      <c r="S127" s="44">
        <f>_xlfn.XLOOKUP(TablaSTOCKINV[[#This Row],[SKU]],TablaINVENTARIO[SKU],TablaINVENTARIO[FECHA INGRESO])</f>
        <v>46023</v>
      </c>
      <c r="T127" s="44">
        <f>_xlfn.XLOOKUP(TablaSTOCKINV[[#This Row],[SKU]],TablaENTRADA[SKU],TablaENTRADA[FECHA],,0,-1)</f>
        <v>46023</v>
      </c>
      <c r="U127" s="46" t="str">
        <f>IFERROR((_xlfn.XLOOKUP(TablaSTOCKINV[[#This Row],[SKU]],TablaSALIDA[SKU],TablaSALIDA[FECHA],,0,-1))," " )</f>
        <v xml:space="preserve"> </v>
      </c>
    </row>
    <row r="128" spans="1:21" x14ac:dyDescent="0.3">
      <c r="A128" s="27" t="s">
        <v>2041</v>
      </c>
      <c r="B128" s="32" t="str">
        <f>_xlfn.XLOOKUP(TablaSTOCKINV[[#This Row],[SKU]],TablaINVENTARIO[SKU],TablaINVENTARIO[DESCRIPCION])</f>
        <v xml:space="preserve">LOPERAMIDA </v>
      </c>
      <c r="C128" s="32" t="str">
        <f>_xlfn.XLOOKUP(TablaSTOCKINV[[#This Row],[SKU]],TablaINVENTARIO[SKU],TablaINVENTARIO[MARCA])</f>
        <v>GEAGAR</v>
      </c>
      <c r="D128" s="33" t="str">
        <f>_xlfn.XLOOKUP(TablaSTOCKINV[[#This Row],[SKU]],TablaINVENTARIO[SKU],TablaINVENTARIO[CATEGORIA])</f>
        <v xml:space="preserve">MEDICAMENTOS </v>
      </c>
      <c r="E128" s="33" t="str">
        <f>_xlfn.XLOOKUP(TablaSTOCKINV[[#This Row],[SKU]],TablaINVENTARIO[SKU],TablaINVENTARIO[SUBCATEGORIA])</f>
        <v>ANTIDIARREICO</v>
      </c>
      <c r="F128" s="33" t="str">
        <f>_xlfn.XLOOKUP(TablaSTOCKINV[[#This Row],[SKU]],TablaINVENTARIO[SKU],TablaINVENTARIO[ESTADO])</f>
        <v xml:space="preserve">NUEVO </v>
      </c>
      <c r="G128" s="33" t="str">
        <f>_xlfn.XLOOKUP(TablaSTOCKINV[[#This Row],[SKU]],TablaINVENTARIO[SKU],TablaINVENTARIO[MEDIDA])</f>
        <v xml:space="preserve">UND </v>
      </c>
      <c r="H128" s="33" t="str">
        <f>_xlfn.XLOOKUP(TablaSTOCKINV[[#This Row],[SKU]],TablaINVENTARIO[SKU],TablaINVENTARIO[SERIAL])</f>
        <v>N/A</v>
      </c>
      <c r="I128" s="34" t="str">
        <f>_xlfn.XLOOKUP(TablaSTOCKINV[[#This Row],[SKU]],TablaINVENTARIO[SKU],TablaINVENTARIO[ALMACEN])</f>
        <v>ALMACEN PRINCIPAL</v>
      </c>
      <c r="J128" s="34" t="str">
        <f>_xlfn.XLOOKUP(TablaSTOCKINV[[#This Row],[SKU]],TablaINVENTARIO[SKU],TablaINVENTARIO[UBICACION])</f>
        <v>1A</v>
      </c>
      <c r="K128" s="34" t="str">
        <f>_xlfn.XLOOKUP(TablaSTOCKINV[[#This Row],[SKU]],TablaINVENTARIO[SKU],TablaINVENTARIO[DPTO RESPONSABLE])</f>
        <v xml:space="preserve">CONSUMO GENERAL </v>
      </c>
      <c r="L128" s="36">
        <f>_xlfn.XLOOKUP(TablaSTOCKINV[[#This Row],[SKU]],TablaINVENTARIO[SKU],TablaINVENTARIO[RANGO MIN])</f>
        <v>0</v>
      </c>
      <c r="M128" s="34" cm="1">
        <f t="array" ref="M128">_xlfn.IFS(TablaSTOCKINV[[#This Row],[CANT. TOTAL]]&lt;=0,1,TablaSTOCKINV[[#This Row],[CANT. TOTAL]]&lt;=TablaSTOCKINV[[#This Row],[MIN]],2,TablaSTOCKINV[[#This Row],[CANT. TOTAL]]&gt;TablaSTOCKINV[[#This Row],[MIN]],3)</f>
        <v>3</v>
      </c>
      <c r="N128" s="34">
        <f>TablaSTOCKINV[[#This Row],[ENTRADAS]]-TablaSTOCKINV[[#This Row],[SALIDAS]]</f>
        <v>2</v>
      </c>
      <c r="O128" s="35">
        <f>SUMIFS(TablaENTRADA[CANT],TablaENTRADA[SKU],TablaSTOCKINV[[#This Row],[SKU]])</f>
        <v>2</v>
      </c>
      <c r="P128" s="35">
        <f>SUMIFS(TablaSALIDA[CANT],TablaSALIDA[SKU],TablaSTOCKINV[[#This Row],[SKU]])</f>
        <v>0</v>
      </c>
      <c r="Q128" s="34">
        <f>_xlfn.XLOOKUP(TablaSTOCKINV[[#This Row],[SKU]],TablaINVENTARIO[SKU],TablaINVENTARIO[PRECIO])</f>
        <v>0</v>
      </c>
      <c r="R128" s="34">
        <f>TablaSTOCKINV[[#This Row],[P.UNITARIO]]*TablaSTOCKINV[[#This Row],[CANT. TOTAL]]</f>
        <v>0</v>
      </c>
      <c r="S128" s="44">
        <f>_xlfn.XLOOKUP(TablaSTOCKINV[[#This Row],[SKU]],TablaINVENTARIO[SKU],TablaINVENTARIO[FECHA INGRESO])</f>
        <v>46023</v>
      </c>
      <c r="T128" s="44">
        <f>_xlfn.XLOOKUP(TablaSTOCKINV[[#This Row],[SKU]],TablaENTRADA[SKU],TablaENTRADA[FECHA],,0,-1)</f>
        <v>46023</v>
      </c>
      <c r="U128" s="46" t="str">
        <f>IFERROR((_xlfn.XLOOKUP(TablaSTOCKINV[[#This Row],[SKU]],TablaSALIDA[SKU],TablaSALIDA[FECHA],,0,-1))," " )</f>
        <v xml:space="preserve"> </v>
      </c>
    </row>
    <row r="129" spans="1:21" x14ac:dyDescent="0.3">
      <c r="A129" s="27" t="s">
        <v>2045</v>
      </c>
      <c r="B129" s="32" t="str">
        <f>_xlfn.XLOOKUP(TablaSTOCKINV[[#This Row],[SKU]],TablaINVENTARIO[SKU],TablaINVENTARIO[DESCRIPCION])</f>
        <v>ACETAMINOFEN 650 MG</v>
      </c>
      <c r="C129" s="32" t="str">
        <f>_xlfn.XLOOKUP(TablaSTOCKINV[[#This Row],[SKU]],TablaINVENTARIO[SKU],TablaINVENTARIO[MARCA])</f>
        <v>PLUS ANDEX</v>
      </c>
      <c r="D129" s="33" t="str">
        <f>_xlfn.XLOOKUP(TablaSTOCKINV[[#This Row],[SKU]],TablaINVENTARIO[SKU],TablaINVENTARIO[CATEGORIA])</f>
        <v xml:space="preserve">MEDICAMENTOS </v>
      </c>
      <c r="E129" s="33" t="str">
        <f>_xlfn.XLOOKUP(TablaSTOCKINV[[#This Row],[SKU]],TablaINVENTARIO[SKU],TablaINVENTARIO[SUBCATEGORIA])</f>
        <v>ANALGESICO</v>
      </c>
      <c r="F129" s="33" t="str">
        <f>_xlfn.XLOOKUP(TablaSTOCKINV[[#This Row],[SKU]],TablaINVENTARIO[SKU],TablaINVENTARIO[ESTADO])</f>
        <v xml:space="preserve">NUEVO </v>
      </c>
      <c r="G129" s="33" t="str">
        <f>_xlfn.XLOOKUP(TablaSTOCKINV[[#This Row],[SKU]],TablaINVENTARIO[SKU],TablaINVENTARIO[MEDIDA])</f>
        <v xml:space="preserve">UND </v>
      </c>
      <c r="H129" s="33" t="str">
        <f>_xlfn.XLOOKUP(TablaSTOCKINV[[#This Row],[SKU]],TablaINVENTARIO[SKU],TablaINVENTARIO[SERIAL])</f>
        <v>N/A</v>
      </c>
      <c r="I129" s="34" t="str">
        <f>_xlfn.XLOOKUP(TablaSTOCKINV[[#This Row],[SKU]],TablaINVENTARIO[SKU],TablaINVENTARIO[ALMACEN])</f>
        <v>ALMACEN PRINCIPAL</v>
      </c>
      <c r="J129" s="34" t="str">
        <f>_xlfn.XLOOKUP(TablaSTOCKINV[[#This Row],[SKU]],TablaINVENTARIO[SKU],TablaINVENTARIO[UBICACION])</f>
        <v>1A</v>
      </c>
      <c r="K129" s="34" t="str">
        <f>_xlfn.XLOOKUP(TablaSTOCKINV[[#This Row],[SKU]],TablaINVENTARIO[SKU],TablaINVENTARIO[DPTO RESPONSABLE])</f>
        <v xml:space="preserve">CONSUMO GENERAL </v>
      </c>
      <c r="L129" s="36">
        <f>_xlfn.XLOOKUP(TablaSTOCKINV[[#This Row],[SKU]],TablaINVENTARIO[SKU],TablaINVENTARIO[RANGO MIN])</f>
        <v>0</v>
      </c>
      <c r="M129" s="34" cm="1">
        <f t="array" ref="M129">_xlfn.IFS(TablaSTOCKINV[[#This Row],[CANT. TOTAL]]&lt;=0,1,TablaSTOCKINV[[#This Row],[CANT. TOTAL]]&lt;=TablaSTOCKINV[[#This Row],[MIN]],2,TablaSTOCKINV[[#This Row],[CANT. TOTAL]]&gt;TablaSTOCKINV[[#This Row],[MIN]],3)</f>
        <v>3</v>
      </c>
      <c r="N129" s="34">
        <f>TablaSTOCKINV[[#This Row],[ENTRADAS]]-TablaSTOCKINV[[#This Row],[SALIDAS]]</f>
        <v>29</v>
      </c>
      <c r="O129" s="35">
        <f>SUMIFS(TablaENTRADA[CANT],TablaENTRADA[SKU],TablaSTOCKINV[[#This Row],[SKU]])</f>
        <v>29</v>
      </c>
      <c r="P129" s="35">
        <f>SUMIFS(TablaSALIDA[CANT],TablaSALIDA[SKU],TablaSTOCKINV[[#This Row],[SKU]])</f>
        <v>0</v>
      </c>
      <c r="Q129" s="34">
        <f>_xlfn.XLOOKUP(TablaSTOCKINV[[#This Row],[SKU]],TablaINVENTARIO[SKU],TablaINVENTARIO[PRECIO])</f>
        <v>0</v>
      </c>
      <c r="R129" s="34">
        <f>TablaSTOCKINV[[#This Row],[P.UNITARIO]]*TablaSTOCKINV[[#This Row],[CANT. TOTAL]]</f>
        <v>0</v>
      </c>
      <c r="S129" s="44">
        <f>_xlfn.XLOOKUP(TablaSTOCKINV[[#This Row],[SKU]],TablaINVENTARIO[SKU],TablaINVENTARIO[FECHA INGRESO])</f>
        <v>46023</v>
      </c>
      <c r="T129" s="44">
        <f>_xlfn.XLOOKUP(TablaSTOCKINV[[#This Row],[SKU]],TablaENTRADA[SKU],TablaENTRADA[FECHA],,0,-1)</f>
        <v>46023</v>
      </c>
      <c r="U129" s="46" t="str">
        <f>IFERROR((_xlfn.XLOOKUP(TablaSTOCKINV[[#This Row],[SKU]],TablaSALIDA[SKU],TablaSALIDA[FECHA],,0,-1))," " )</f>
        <v xml:space="preserve"> </v>
      </c>
    </row>
    <row r="130" spans="1:21" x14ac:dyDescent="0.3">
      <c r="A130" s="27" t="s">
        <v>2049</v>
      </c>
      <c r="B130" s="32" t="str">
        <f>_xlfn.XLOOKUP(TablaSTOCKINV[[#This Row],[SKU]],TablaINVENTARIO[SKU],TablaINVENTARIO[DESCRIPCION])</f>
        <v xml:space="preserve">METAMIZOL ARISTO  575MG </v>
      </c>
      <c r="C130" s="32" t="str">
        <f>_xlfn.XLOOKUP(TablaSTOCKINV[[#This Row],[SKU]],TablaINVENTARIO[SKU],TablaINVENTARIO[MARCA])</f>
        <v>ARISTO PHARMA IBERIA</v>
      </c>
      <c r="D130" s="33" t="str">
        <f>_xlfn.XLOOKUP(TablaSTOCKINV[[#This Row],[SKU]],TablaINVENTARIO[SKU],TablaINVENTARIO[CATEGORIA])</f>
        <v xml:space="preserve">MEDICAMENTOS </v>
      </c>
      <c r="E130" s="33" t="str">
        <f>_xlfn.XLOOKUP(TablaSTOCKINV[[#This Row],[SKU]],TablaINVENTARIO[SKU],TablaINVENTARIO[SUBCATEGORIA])</f>
        <v>ANALGESICO</v>
      </c>
      <c r="F130" s="33" t="str">
        <f>_xlfn.XLOOKUP(TablaSTOCKINV[[#This Row],[SKU]],TablaINVENTARIO[SKU],TablaINVENTARIO[ESTADO])</f>
        <v xml:space="preserve">NUEVO </v>
      </c>
      <c r="G130" s="33" t="str">
        <f>_xlfn.XLOOKUP(TablaSTOCKINV[[#This Row],[SKU]],TablaINVENTARIO[SKU],TablaINVENTARIO[MEDIDA])</f>
        <v xml:space="preserve">UND </v>
      </c>
      <c r="H130" s="33" t="str">
        <f>_xlfn.XLOOKUP(TablaSTOCKINV[[#This Row],[SKU]],TablaINVENTARIO[SKU],TablaINVENTARIO[SERIAL])</f>
        <v>N/A</v>
      </c>
      <c r="I130" s="34" t="str">
        <f>_xlfn.XLOOKUP(TablaSTOCKINV[[#This Row],[SKU]],TablaINVENTARIO[SKU],TablaINVENTARIO[ALMACEN])</f>
        <v>ALMACEN PRINCIPAL</v>
      </c>
      <c r="J130" s="34" t="str">
        <f>_xlfn.XLOOKUP(TablaSTOCKINV[[#This Row],[SKU]],TablaINVENTARIO[SKU],TablaINVENTARIO[UBICACION])</f>
        <v>1A</v>
      </c>
      <c r="K130" s="34" t="str">
        <f>_xlfn.XLOOKUP(TablaSTOCKINV[[#This Row],[SKU]],TablaINVENTARIO[SKU],TablaINVENTARIO[DPTO RESPONSABLE])</f>
        <v xml:space="preserve">CONSUMO GENERAL </v>
      </c>
      <c r="L130" s="36">
        <f>_xlfn.XLOOKUP(TablaSTOCKINV[[#This Row],[SKU]],TablaINVENTARIO[SKU],TablaINVENTARIO[RANGO MIN])</f>
        <v>0</v>
      </c>
      <c r="M130" s="34" cm="1">
        <f t="array" ref="M130">_xlfn.IFS(TablaSTOCKINV[[#This Row],[CANT. TOTAL]]&lt;=0,1,TablaSTOCKINV[[#This Row],[CANT. TOTAL]]&lt;=TablaSTOCKINV[[#This Row],[MIN]],2,TablaSTOCKINV[[#This Row],[CANT. TOTAL]]&gt;TablaSTOCKINV[[#This Row],[MIN]],3)</f>
        <v>3</v>
      </c>
      <c r="N130" s="34">
        <f>TablaSTOCKINV[[#This Row],[ENTRADAS]]-TablaSTOCKINV[[#This Row],[SALIDAS]]</f>
        <v>6</v>
      </c>
      <c r="O130" s="35">
        <f>SUMIFS(TablaENTRADA[CANT],TablaENTRADA[SKU],TablaSTOCKINV[[#This Row],[SKU]])</f>
        <v>6</v>
      </c>
      <c r="P130" s="35">
        <f>SUMIFS(TablaSALIDA[CANT],TablaSALIDA[SKU],TablaSTOCKINV[[#This Row],[SKU]])</f>
        <v>0</v>
      </c>
      <c r="Q130" s="34">
        <f>_xlfn.XLOOKUP(TablaSTOCKINV[[#This Row],[SKU]],TablaINVENTARIO[SKU],TablaINVENTARIO[PRECIO])</f>
        <v>0</v>
      </c>
      <c r="R130" s="34">
        <f>TablaSTOCKINV[[#This Row],[P.UNITARIO]]*TablaSTOCKINV[[#This Row],[CANT. TOTAL]]</f>
        <v>0</v>
      </c>
      <c r="S130" s="44">
        <f>_xlfn.XLOOKUP(TablaSTOCKINV[[#This Row],[SKU]],TablaINVENTARIO[SKU],TablaINVENTARIO[FECHA INGRESO])</f>
        <v>46023</v>
      </c>
      <c r="T130" s="44">
        <f>_xlfn.XLOOKUP(TablaSTOCKINV[[#This Row],[SKU]],TablaENTRADA[SKU],TablaENTRADA[FECHA],,0,-1)</f>
        <v>46023</v>
      </c>
      <c r="U130" s="46" t="str">
        <f>IFERROR((_xlfn.XLOOKUP(TablaSTOCKINV[[#This Row],[SKU]],TablaSALIDA[SKU],TablaSALIDA[FECHA],,0,-1))," " )</f>
        <v xml:space="preserve"> </v>
      </c>
    </row>
    <row r="131" spans="1:21" x14ac:dyDescent="0.3">
      <c r="A131" s="27" t="s">
        <v>2052</v>
      </c>
      <c r="B131" s="32" t="str">
        <f>_xlfn.XLOOKUP(TablaSTOCKINV[[#This Row],[SKU]],TablaINVENTARIO[SKU],TablaINVENTARIO[DESCRIPCION])</f>
        <v xml:space="preserve">DOL GRIP </v>
      </c>
      <c r="C131" s="32" t="str">
        <f>_xlfn.XLOOKUP(TablaSTOCKINV[[#This Row],[SKU]],TablaINVENTARIO[SKU],TablaINVENTARIO[MARCA])</f>
        <v xml:space="preserve">CALOX </v>
      </c>
      <c r="D131" s="33" t="str">
        <f>_xlfn.XLOOKUP(TablaSTOCKINV[[#This Row],[SKU]],TablaINVENTARIO[SKU],TablaINVENTARIO[CATEGORIA])</f>
        <v xml:space="preserve">MEDICAMENTOS </v>
      </c>
      <c r="E131" s="33" t="str">
        <f>_xlfn.XLOOKUP(TablaSTOCKINV[[#This Row],[SKU]],TablaINVENTARIO[SKU],TablaINVENTARIO[SUBCATEGORIA])</f>
        <v>ANTIGRIPAL</v>
      </c>
      <c r="F131" s="33" t="str">
        <f>_xlfn.XLOOKUP(TablaSTOCKINV[[#This Row],[SKU]],TablaINVENTARIO[SKU],TablaINVENTARIO[ESTADO])</f>
        <v xml:space="preserve">NUEVO </v>
      </c>
      <c r="G131" s="33" t="str">
        <f>_xlfn.XLOOKUP(TablaSTOCKINV[[#This Row],[SKU]],TablaINVENTARIO[SKU],TablaINVENTARIO[MEDIDA])</f>
        <v xml:space="preserve">UND </v>
      </c>
      <c r="H131" s="33" t="str">
        <f>_xlfn.XLOOKUP(TablaSTOCKINV[[#This Row],[SKU]],TablaINVENTARIO[SKU],TablaINVENTARIO[SERIAL])</f>
        <v>N/A</v>
      </c>
      <c r="I131" s="34" t="str">
        <f>_xlfn.XLOOKUP(TablaSTOCKINV[[#This Row],[SKU]],TablaINVENTARIO[SKU],TablaINVENTARIO[ALMACEN])</f>
        <v>ALMACEN PRINCIPAL</v>
      </c>
      <c r="J131" s="34" t="str">
        <f>_xlfn.XLOOKUP(TablaSTOCKINV[[#This Row],[SKU]],TablaINVENTARIO[SKU],TablaINVENTARIO[UBICACION])</f>
        <v>1A</v>
      </c>
      <c r="K131" s="34" t="str">
        <f>_xlfn.XLOOKUP(TablaSTOCKINV[[#This Row],[SKU]],TablaINVENTARIO[SKU],TablaINVENTARIO[DPTO RESPONSABLE])</f>
        <v xml:space="preserve">CONSUMO GENERAL </v>
      </c>
      <c r="L131" s="36">
        <f>_xlfn.XLOOKUP(TablaSTOCKINV[[#This Row],[SKU]],TablaINVENTARIO[SKU],TablaINVENTARIO[RANGO MIN])</f>
        <v>0</v>
      </c>
      <c r="M131" s="34" cm="1">
        <f t="array" ref="M131">_xlfn.IFS(TablaSTOCKINV[[#This Row],[CANT. TOTAL]]&lt;=0,1,TablaSTOCKINV[[#This Row],[CANT. TOTAL]]&lt;=TablaSTOCKINV[[#This Row],[MIN]],2,TablaSTOCKINV[[#This Row],[CANT. TOTAL]]&gt;TablaSTOCKINV[[#This Row],[MIN]],3)</f>
        <v>3</v>
      </c>
      <c r="N131" s="34">
        <f>TablaSTOCKINV[[#This Row],[ENTRADAS]]-TablaSTOCKINV[[#This Row],[SALIDAS]]</f>
        <v>16</v>
      </c>
      <c r="O131" s="35">
        <f>SUMIFS(TablaENTRADA[CANT],TablaENTRADA[SKU],TablaSTOCKINV[[#This Row],[SKU]])</f>
        <v>16</v>
      </c>
      <c r="P131" s="35">
        <f>SUMIFS(TablaSALIDA[CANT],TablaSALIDA[SKU],TablaSTOCKINV[[#This Row],[SKU]])</f>
        <v>0</v>
      </c>
      <c r="Q131" s="34">
        <f>_xlfn.XLOOKUP(TablaSTOCKINV[[#This Row],[SKU]],TablaINVENTARIO[SKU],TablaINVENTARIO[PRECIO])</f>
        <v>0</v>
      </c>
      <c r="R131" s="34">
        <f>TablaSTOCKINV[[#This Row],[P.UNITARIO]]*TablaSTOCKINV[[#This Row],[CANT. TOTAL]]</f>
        <v>0</v>
      </c>
      <c r="S131" s="44">
        <f>_xlfn.XLOOKUP(TablaSTOCKINV[[#This Row],[SKU]],TablaINVENTARIO[SKU],TablaINVENTARIO[FECHA INGRESO])</f>
        <v>46023</v>
      </c>
      <c r="T131" s="44">
        <f>_xlfn.XLOOKUP(TablaSTOCKINV[[#This Row],[SKU]],TablaENTRADA[SKU],TablaENTRADA[FECHA],,0,-1)</f>
        <v>46023</v>
      </c>
      <c r="U131" s="46" t="str">
        <f>IFERROR((_xlfn.XLOOKUP(TablaSTOCKINV[[#This Row],[SKU]],TablaSALIDA[SKU],TablaSALIDA[FECHA],,0,-1))," " )</f>
        <v xml:space="preserve"> </v>
      </c>
    </row>
    <row r="132" spans="1:21" x14ac:dyDescent="0.3">
      <c r="A132" s="27" t="s">
        <v>2056</v>
      </c>
      <c r="B132" s="32" t="str">
        <f>_xlfn.XLOOKUP(TablaSTOCKINV[[#This Row],[SKU]],TablaINVENTARIO[SKU],TablaINVENTARIO[DESCRIPCION])</f>
        <v xml:space="preserve">LORATADINA 10MG </v>
      </c>
      <c r="C132" s="32" t="str">
        <f>_xlfn.XLOOKUP(TablaSTOCKINV[[#This Row],[SKU]],TablaINVENTARIO[SKU],TablaINVENTARIO[MARCA])</f>
        <v xml:space="preserve">LA SANTE </v>
      </c>
      <c r="D132" s="33" t="str">
        <f>_xlfn.XLOOKUP(TablaSTOCKINV[[#This Row],[SKU]],TablaINVENTARIO[SKU],TablaINVENTARIO[CATEGORIA])</f>
        <v xml:space="preserve">MEDICAMENTOS </v>
      </c>
      <c r="E132" s="33" t="str">
        <f>_xlfn.XLOOKUP(TablaSTOCKINV[[#This Row],[SKU]],TablaINVENTARIO[SKU],TablaINVENTARIO[SUBCATEGORIA])</f>
        <v>ANTIALERGICO</v>
      </c>
      <c r="F132" s="33" t="str">
        <f>_xlfn.XLOOKUP(TablaSTOCKINV[[#This Row],[SKU]],TablaINVENTARIO[SKU],TablaINVENTARIO[ESTADO])</f>
        <v xml:space="preserve">NUEVO </v>
      </c>
      <c r="G132" s="33" t="str">
        <f>_xlfn.XLOOKUP(TablaSTOCKINV[[#This Row],[SKU]],TablaINVENTARIO[SKU],TablaINVENTARIO[MEDIDA])</f>
        <v xml:space="preserve">UND </v>
      </c>
      <c r="H132" s="33" t="str">
        <f>_xlfn.XLOOKUP(TablaSTOCKINV[[#This Row],[SKU]],TablaINVENTARIO[SKU],TablaINVENTARIO[SERIAL])</f>
        <v>N/A</v>
      </c>
      <c r="I132" s="34" t="str">
        <f>_xlfn.XLOOKUP(TablaSTOCKINV[[#This Row],[SKU]],TablaINVENTARIO[SKU],TablaINVENTARIO[ALMACEN])</f>
        <v>ALMACEN PRINCIPAL</v>
      </c>
      <c r="J132" s="34" t="str">
        <f>_xlfn.XLOOKUP(TablaSTOCKINV[[#This Row],[SKU]],TablaINVENTARIO[SKU],TablaINVENTARIO[UBICACION])</f>
        <v>1A</v>
      </c>
      <c r="K132" s="34" t="str">
        <f>_xlfn.XLOOKUP(TablaSTOCKINV[[#This Row],[SKU]],TablaINVENTARIO[SKU],TablaINVENTARIO[DPTO RESPONSABLE])</f>
        <v xml:space="preserve">CONSUMO GENERAL </v>
      </c>
      <c r="L132" s="36">
        <f>_xlfn.XLOOKUP(TablaSTOCKINV[[#This Row],[SKU]],TablaINVENTARIO[SKU],TablaINVENTARIO[RANGO MIN])</f>
        <v>0</v>
      </c>
      <c r="M132" s="34" cm="1">
        <f t="array" ref="M132">_xlfn.IFS(TablaSTOCKINV[[#This Row],[CANT. TOTAL]]&lt;=0,1,TablaSTOCKINV[[#This Row],[CANT. TOTAL]]&lt;=TablaSTOCKINV[[#This Row],[MIN]],2,TablaSTOCKINV[[#This Row],[CANT. TOTAL]]&gt;TablaSTOCKINV[[#This Row],[MIN]],3)</f>
        <v>3</v>
      </c>
      <c r="N132" s="34">
        <f>TablaSTOCKINV[[#This Row],[ENTRADAS]]-TablaSTOCKINV[[#This Row],[SALIDAS]]</f>
        <v>35</v>
      </c>
      <c r="O132" s="35">
        <f>SUMIFS(TablaENTRADA[CANT],TablaENTRADA[SKU],TablaSTOCKINV[[#This Row],[SKU]])</f>
        <v>35</v>
      </c>
      <c r="P132" s="35">
        <f>SUMIFS(TablaSALIDA[CANT],TablaSALIDA[SKU],TablaSTOCKINV[[#This Row],[SKU]])</f>
        <v>0</v>
      </c>
      <c r="Q132" s="34">
        <f>_xlfn.XLOOKUP(TablaSTOCKINV[[#This Row],[SKU]],TablaINVENTARIO[SKU],TablaINVENTARIO[PRECIO])</f>
        <v>0</v>
      </c>
      <c r="R132" s="34">
        <f>TablaSTOCKINV[[#This Row],[P.UNITARIO]]*TablaSTOCKINV[[#This Row],[CANT. TOTAL]]</f>
        <v>0</v>
      </c>
      <c r="S132" s="44">
        <f>_xlfn.XLOOKUP(TablaSTOCKINV[[#This Row],[SKU]],TablaINVENTARIO[SKU],TablaINVENTARIO[FECHA INGRESO])</f>
        <v>46023</v>
      </c>
      <c r="T132" s="44">
        <f>_xlfn.XLOOKUP(TablaSTOCKINV[[#This Row],[SKU]],TablaENTRADA[SKU],TablaENTRADA[FECHA],,0,-1)</f>
        <v>46023</v>
      </c>
      <c r="U132" s="46" t="str">
        <f>IFERROR((_xlfn.XLOOKUP(TablaSTOCKINV[[#This Row],[SKU]],TablaSALIDA[SKU],TablaSALIDA[FECHA],,0,-1))," " )</f>
        <v xml:space="preserve"> </v>
      </c>
    </row>
    <row r="133" spans="1:21" x14ac:dyDescent="0.3">
      <c r="A133" s="27" t="s">
        <v>2060</v>
      </c>
      <c r="B133" s="32" t="str">
        <f>_xlfn.XLOOKUP(TablaSTOCKINV[[#This Row],[SKU]],TablaINVENTARIO[SKU],TablaINVENTARIO[DESCRIPCION])</f>
        <v xml:space="preserve">CETIRIZINA 10MG </v>
      </c>
      <c r="C133" s="32" t="str">
        <f>_xlfn.XLOOKUP(TablaSTOCKINV[[#This Row],[SKU]],TablaINVENTARIO[SKU],TablaINVENTARIO[MARCA])</f>
        <v xml:space="preserve">LA SANTE </v>
      </c>
      <c r="D133" s="33" t="str">
        <f>_xlfn.XLOOKUP(TablaSTOCKINV[[#This Row],[SKU]],TablaINVENTARIO[SKU],TablaINVENTARIO[CATEGORIA])</f>
        <v xml:space="preserve">MEDICAMENTOS </v>
      </c>
      <c r="E133" s="33" t="str">
        <f>_xlfn.XLOOKUP(TablaSTOCKINV[[#This Row],[SKU]],TablaINVENTARIO[SKU],TablaINVENTARIO[SUBCATEGORIA])</f>
        <v>ANTIALERGICO</v>
      </c>
      <c r="F133" s="33" t="str">
        <f>_xlfn.XLOOKUP(TablaSTOCKINV[[#This Row],[SKU]],TablaINVENTARIO[SKU],TablaINVENTARIO[ESTADO])</f>
        <v xml:space="preserve">NUEVO </v>
      </c>
      <c r="G133" s="33" t="str">
        <f>_xlfn.XLOOKUP(TablaSTOCKINV[[#This Row],[SKU]],TablaINVENTARIO[SKU],TablaINVENTARIO[MEDIDA])</f>
        <v xml:space="preserve">UND </v>
      </c>
      <c r="H133" s="33" t="str">
        <f>_xlfn.XLOOKUP(TablaSTOCKINV[[#This Row],[SKU]],TablaINVENTARIO[SKU],TablaINVENTARIO[SERIAL])</f>
        <v>N/A</v>
      </c>
      <c r="I133" s="34" t="str">
        <f>_xlfn.XLOOKUP(TablaSTOCKINV[[#This Row],[SKU]],TablaINVENTARIO[SKU],TablaINVENTARIO[ALMACEN])</f>
        <v>ALMACEN PRINCIPAL</v>
      </c>
      <c r="J133" s="34" t="str">
        <f>_xlfn.XLOOKUP(TablaSTOCKINV[[#This Row],[SKU]],TablaINVENTARIO[SKU],TablaINVENTARIO[UBICACION])</f>
        <v>1A</v>
      </c>
      <c r="K133" s="34" t="str">
        <f>_xlfn.XLOOKUP(TablaSTOCKINV[[#This Row],[SKU]],TablaINVENTARIO[SKU],TablaINVENTARIO[DPTO RESPONSABLE])</f>
        <v xml:space="preserve">CONSUMO GENERAL </v>
      </c>
      <c r="L133" s="36">
        <f>_xlfn.XLOOKUP(TablaSTOCKINV[[#This Row],[SKU]],TablaINVENTARIO[SKU],TablaINVENTARIO[RANGO MIN])</f>
        <v>0</v>
      </c>
      <c r="M133" s="34" cm="1">
        <f t="array" ref="M133">_xlfn.IFS(TablaSTOCKINV[[#This Row],[CANT. TOTAL]]&lt;=0,1,TablaSTOCKINV[[#This Row],[CANT. TOTAL]]&lt;=TablaSTOCKINV[[#This Row],[MIN]],2,TablaSTOCKINV[[#This Row],[CANT. TOTAL]]&gt;TablaSTOCKINV[[#This Row],[MIN]],3)</f>
        <v>3</v>
      </c>
      <c r="N133" s="34">
        <f>TablaSTOCKINV[[#This Row],[ENTRADAS]]-TablaSTOCKINV[[#This Row],[SALIDAS]]</f>
        <v>12</v>
      </c>
      <c r="O133" s="35">
        <f>SUMIFS(TablaENTRADA[CANT],TablaENTRADA[SKU],TablaSTOCKINV[[#This Row],[SKU]])</f>
        <v>12</v>
      </c>
      <c r="P133" s="35">
        <f>SUMIFS(TablaSALIDA[CANT],TablaSALIDA[SKU],TablaSTOCKINV[[#This Row],[SKU]])</f>
        <v>0</v>
      </c>
      <c r="Q133" s="34">
        <f>_xlfn.XLOOKUP(TablaSTOCKINV[[#This Row],[SKU]],TablaINVENTARIO[SKU],TablaINVENTARIO[PRECIO])</f>
        <v>0</v>
      </c>
      <c r="R133" s="34">
        <f>TablaSTOCKINV[[#This Row],[P.UNITARIO]]*TablaSTOCKINV[[#This Row],[CANT. TOTAL]]</f>
        <v>0</v>
      </c>
      <c r="S133" s="44">
        <f>_xlfn.XLOOKUP(TablaSTOCKINV[[#This Row],[SKU]],TablaINVENTARIO[SKU],TablaINVENTARIO[FECHA INGRESO])</f>
        <v>46023</v>
      </c>
      <c r="T133" s="44">
        <f>_xlfn.XLOOKUP(TablaSTOCKINV[[#This Row],[SKU]],TablaENTRADA[SKU],TablaENTRADA[FECHA],,0,-1)</f>
        <v>46023</v>
      </c>
      <c r="U133" s="46" t="str">
        <f>IFERROR((_xlfn.XLOOKUP(TablaSTOCKINV[[#This Row],[SKU]],TablaSALIDA[SKU],TablaSALIDA[FECHA],,0,-1))," " )</f>
        <v xml:space="preserve"> </v>
      </c>
    </row>
    <row r="134" spans="1:21" x14ac:dyDescent="0.3">
      <c r="A134" s="27" t="s">
        <v>2062</v>
      </c>
      <c r="B134" s="32" t="str">
        <f>_xlfn.XLOOKUP(TablaSTOCKINV[[#This Row],[SKU]],TablaINVENTARIO[SKU],TablaINVENTARIO[DESCRIPCION])</f>
        <v xml:space="preserve">IBUPROFENO 200 MG </v>
      </c>
      <c r="C134" s="32" t="str">
        <f>_xlfn.XLOOKUP(TablaSTOCKINV[[#This Row],[SKU]],TablaINVENTARIO[SKU],TablaINVENTARIO[MARCA])</f>
        <v xml:space="preserve">LA SANTE </v>
      </c>
      <c r="D134" s="33" t="str">
        <f>_xlfn.XLOOKUP(TablaSTOCKINV[[#This Row],[SKU]],TablaINVENTARIO[SKU],TablaINVENTARIO[CATEGORIA])</f>
        <v xml:space="preserve">MEDICAMENTOS </v>
      </c>
      <c r="E134" s="33" t="str">
        <f>_xlfn.XLOOKUP(TablaSTOCKINV[[#This Row],[SKU]],TablaINVENTARIO[SKU],TablaINVENTARIO[SUBCATEGORIA])</f>
        <v>ANALGESICO</v>
      </c>
      <c r="F134" s="33" t="str">
        <f>_xlfn.XLOOKUP(TablaSTOCKINV[[#This Row],[SKU]],TablaINVENTARIO[SKU],TablaINVENTARIO[ESTADO])</f>
        <v xml:space="preserve">NUEVO </v>
      </c>
      <c r="G134" s="33" t="str">
        <f>_xlfn.XLOOKUP(TablaSTOCKINV[[#This Row],[SKU]],TablaINVENTARIO[SKU],TablaINVENTARIO[MEDIDA])</f>
        <v xml:space="preserve">UND </v>
      </c>
      <c r="H134" s="33" t="str">
        <f>_xlfn.XLOOKUP(TablaSTOCKINV[[#This Row],[SKU]],TablaINVENTARIO[SKU],TablaINVENTARIO[SERIAL])</f>
        <v>N/A</v>
      </c>
      <c r="I134" s="34" t="str">
        <f>_xlfn.XLOOKUP(TablaSTOCKINV[[#This Row],[SKU]],TablaINVENTARIO[SKU],TablaINVENTARIO[ALMACEN])</f>
        <v>ALMACEN PRINCIPAL</v>
      </c>
      <c r="J134" s="34" t="str">
        <f>_xlfn.XLOOKUP(TablaSTOCKINV[[#This Row],[SKU]],TablaINVENTARIO[SKU],TablaINVENTARIO[UBICACION])</f>
        <v>1A</v>
      </c>
      <c r="K134" s="34" t="str">
        <f>_xlfn.XLOOKUP(TablaSTOCKINV[[#This Row],[SKU]],TablaINVENTARIO[SKU],TablaINVENTARIO[DPTO RESPONSABLE])</f>
        <v xml:space="preserve">CONSUMO GENERAL </v>
      </c>
      <c r="L134" s="36">
        <f>_xlfn.XLOOKUP(TablaSTOCKINV[[#This Row],[SKU]],TablaINVENTARIO[SKU],TablaINVENTARIO[RANGO MIN])</f>
        <v>0</v>
      </c>
      <c r="M134" s="34" cm="1">
        <f t="array" ref="M134">_xlfn.IFS(TablaSTOCKINV[[#This Row],[CANT. TOTAL]]&lt;=0,1,TablaSTOCKINV[[#This Row],[CANT. TOTAL]]&lt;=TablaSTOCKINV[[#This Row],[MIN]],2,TablaSTOCKINV[[#This Row],[CANT. TOTAL]]&gt;TablaSTOCKINV[[#This Row],[MIN]],3)</f>
        <v>3</v>
      </c>
      <c r="N134" s="34">
        <f>TablaSTOCKINV[[#This Row],[ENTRADAS]]-TablaSTOCKINV[[#This Row],[SALIDAS]]</f>
        <v>12</v>
      </c>
      <c r="O134" s="35">
        <f>SUMIFS(TablaENTRADA[CANT],TablaENTRADA[SKU],TablaSTOCKINV[[#This Row],[SKU]])</f>
        <v>12</v>
      </c>
      <c r="P134" s="35">
        <f>SUMIFS(TablaSALIDA[CANT],TablaSALIDA[SKU],TablaSTOCKINV[[#This Row],[SKU]])</f>
        <v>0</v>
      </c>
      <c r="Q134" s="34">
        <f>_xlfn.XLOOKUP(TablaSTOCKINV[[#This Row],[SKU]],TablaINVENTARIO[SKU],TablaINVENTARIO[PRECIO])</f>
        <v>0</v>
      </c>
      <c r="R134" s="34">
        <f>TablaSTOCKINV[[#This Row],[P.UNITARIO]]*TablaSTOCKINV[[#This Row],[CANT. TOTAL]]</f>
        <v>0</v>
      </c>
      <c r="S134" s="44">
        <f>_xlfn.XLOOKUP(TablaSTOCKINV[[#This Row],[SKU]],TablaINVENTARIO[SKU],TablaINVENTARIO[FECHA INGRESO])</f>
        <v>46023</v>
      </c>
      <c r="T134" s="44">
        <f>_xlfn.XLOOKUP(TablaSTOCKINV[[#This Row],[SKU]],TablaENTRADA[SKU],TablaENTRADA[FECHA],,0,-1)</f>
        <v>46023</v>
      </c>
      <c r="U134" s="46" t="str">
        <f>IFERROR((_xlfn.XLOOKUP(TablaSTOCKINV[[#This Row],[SKU]],TablaSALIDA[SKU],TablaSALIDA[FECHA],,0,-1))," " )</f>
        <v xml:space="preserve"> </v>
      </c>
    </row>
    <row r="135" spans="1:21" x14ac:dyDescent="0.3">
      <c r="A135" s="27" t="s">
        <v>2064</v>
      </c>
      <c r="B135" s="32" t="str">
        <f>_xlfn.XLOOKUP(TablaSTOCKINV[[#This Row],[SKU]],TablaINVENTARIO[SKU],TablaINVENTARIO[DESCRIPCION])</f>
        <v>TOBRASOL 5ML</v>
      </c>
      <c r="C135" s="32" t="str">
        <f>_xlfn.XLOOKUP(TablaSTOCKINV[[#This Row],[SKU]],TablaINVENTARIO[SKU],TablaINVENTARIO[MARCA])</f>
        <v>INNOVA</v>
      </c>
      <c r="D135" s="33" t="str">
        <f>_xlfn.XLOOKUP(TablaSTOCKINV[[#This Row],[SKU]],TablaINVENTARIO[SKU],TablaINVENTARIO[CATEGORIA])</f>
        <v xml:space="preserve">MEDICAMENTOS </v>
      </c>
      <c r="E135" s="33" t="str">
        <f>_xlfn.XLOOKUP(TablaSTOCKINV[[#This Row],[SKU]],TablaINVENTARIO[SKU],TablaINVENTARIO[SUBCATEGORIA])</f>
        <v xml:space="preserve">OFTÁLMICO </v>
      </c>
      <c r="F135" s="33" t="str">
        <f>_xlfn.XLOOKUP(TablaSTOCKINV[[#This Row],[SKU]],TablaINVENTARIO[SKU],TablaINVENTARIO[ESTADO])</f>
        <v xml:space="preserve">NUEVO </v>
      </c>
      <c r="G135" s="33" t="str">
        <f>_xlfn.XLOOKUP(TablaSTOCKINV[[#This Row],[SKU]],TablaINVENTARIO[SKU],TablaINVENTARIO[MEDIDA])</f>
        <v xml:space="preserve">UND </v>
      </c>
      <c r="H135" s="33" t="str">
        <f>_xlfn.XLOOKUP(TablaSTOCKINV[[#This Row],[SKU]],TablaINVENTARIO[SKU],TablaINVENTARIO[SERIAL])</f>
        <v>N/A</v>
      </c>
      <c r="I135" s="34" t="str">
        <f>_xlfn.XLOOKUP(TablaSTOCKINV[[#This Row],[SKU]],TablaINVENTARIO[SKU],TablaINVENTARIO[ALMACEN])</f>
        <v>ALMACEN PRINCIPAL</v>
      </c>
      <c r="J135" s="34" t="str">
        <f>_xlfn.XLOOKUP(TablaSTOCKINV[[#This Row],[SKU]],TablaINVENTARIO[SKU],TablaINVENTARIO[UBICACION])</f>
        <v>1A</v>
      </c>
      <c r="K135" s="34" t="str">
        <f>_xlfn.XLOOKUP(TablaSTOCKINV[[#This Row],[SKU]],TablaINVENTARIO[SKU],TablaINVENTARIO[DPTO RESPONSABLE])</f>
        <v xml:space="preserve">CONSUMO GENERAL </v>
      </c>
      <c r="L135" s="36">
        <f>_xlfn.XLOOKUP(TablaSTOCKINV[[#This Row],[SKU]],TablaINVENTARIO[SKU],TablaINVENTARIO[RANGO MIN])</f>
        <v>0</v>
      </c>
      <c r="M135" s="34" cm="1">
        <f t="array" ref="M135">_xlfn.IFS(TablaSTOCKINV[[#This Row],[CANT. TOTAL]]&lt;=0,1,TablaSTOCKINV[[#This Row],[CANT. TOTAL]]&lt;=TablaSTOCKINV[[#This Row],[MIN]],2,TablaSTOCKINV[[#This Row],[CANT. TOTAL]]&gt;TablaSTOCKINV[[#This Row],[MIN]],3)</f>
        <v>3</v>
      </c>
      <c r="N135" s="34">
        <f>TablaSTOCKINV[[#This Row],[ENTRADAS]]-TablaSTOCKINV[[#This Row],[SALIDAS]]</f>
        <v>1</v>
      </c>
      <c r="O135" s="35">
        <f>SUMIFS(TablaENTRADA[CANT],TablaENTRADA[SKU],TablaSTOCKINV[[#This Row],[SKU]])</f>
        <v>1</v>
      </c>
      <c r="P135" s="35">
        <f>SUMIFS(TablaSALIDA[CANT],TablaSALIDA[SKU],TablaSTOCKINV[[#This Row],[SKU]])</f>
        <v>0</v>
      </c>
      <c r="Q135" s="34">
        <f>_xlfn.XLOOKUP(TablaSTOCKINV[[#This Row],[SKU]],TablaINVENTARIO[SKU],TablaINVENTARIO[PRECIO])</f>
        <v>0</v>
      </c>
      <c r="R135" s="34">
        <f>TablaSTOCKINV[[#This Row],[P.UNITARIO]]*TablaSTOCKINV[[#This Row],[CANT. TOTAL]]</f>
        <v>0</v>
      </c>
      <c r="S135" s="44">
        <f>_xlfn.XLOOKUP(TablaSTOCKINV[[#This Row],[SKU]],TablaINVENTARIO[SKU],TablaINVENTARIO[FECHA INGRESO])</f>
        <v>46023</v>
      </c>
      <c r="T135" s="44">
        <f>_xlfn.XLOOKUP(TablaSTOCKINV[[#This Row],[SKU]],TablaENTRADA[SKU],TablaENTRADA[FECHA],,0,-1)</f>
        <v>46023</v>
      </c>
      <c r="U135" s="46" t="str">
        <f>IFERROR((_xlfn.XLOOKUP(TablaSTOCKINV[[#This Row],[SKU]],TablaSALIDA[SKU],TablaSALIDA[FECHA],,0,-1))," " )</f>
        <v xml:space="preserve"> </v>
      </c>
    </row>
    <row r="136" spans="1:21" x14ac:dyDescent="0.3">
      <c r="A136" s="27" t="s">
        <v>2068</v>
      </c>
      <c r="B136" s="32" t="str">
        <f>_xlfn.XLOOKUP(TablaSTOCKINV[[#This Row],[SKU]],TablaINVENTARIO[SKU],TablaINVENTARIO[DESCRIPCION])</f>
        <v xml:space="preserve">CEFTRIAXONA </v>
      </c>
      <c r="C136" s="32" t="str">
        <f>_xlfn.XLOOKUP(TablaSTOCKINV[[#This Row],[SKU]],TablaINVENTARIO[SKU],TablaINVENTARIO[MARCA])</f>
        <v xml:space="preserve">KMPLUS </v>
      </c>
      <c r="D136" s="33" t="str">
        <f>_xlfn.XLOOKUP(TablaSTOCKINV[[#This Row],[SKU]],TablaINVENTARIO[SKU],TablaINVENTARIO[CATEGORIA])</f>
        <v xml:space="preserve">MEDICAMENTOS </v>
      </c>
      <c r="E136" s="33" t="str">
        <f>_xlfn.XLOOKUP(TablaSTOCKINV[[#This Row],[SKU]],TablaINVENTARIO[SKU],TablaINVENTARIO[SUBCATEGORIA])</f>
        <v>ANTIBIOTICO</v>
      </c>
      <c r="F136" s="33" t="str">
        <f>_xlfn.XLOOKUP(TablaSTOCKINV[[#This Row],[SKU]],TablaINVENTARIO[SKU],TablaINVENTARIO[ESTADO])</f>
        <v xml:space="preserve">NUEVO </v>
      </c>
      <c r="G136" s="33" t="str">
        <f>_xlfn.XLOOKUP(TablaSTOCKINV[[#This Row],[SKU]],TablaINVENTARIO[SKU],TablaINVENTARIO[MEDIDA])</f>
        <v xml:space="preserve">UND </v>
      </c>
      <c r="H136" s="33" t="str">
        <f>_xlfn.XLOOKUP(TablaSTOCKINV[[#This Row],[SKU]],TablaINVENTARIO[SKU],TablaINVENTARIO[SERIAL])</f>
        <v>N/A</v>
      </c>
      <c r="I136" s="34" t="str">
        <f>_xlfn.XLOOKUP(TablaSTOCKINV[[#This Row],[SKU]],TablaINVENTARIO[SKU],TablaINVENTARIO[ALMACEN])</f>
        <v>ALMACEN PRINCIPAL</v>
      </c>
      <c r="J136" s="34" t="str">
        <f>_xlfn.XLOOKUP(TablaSTOCKINV[[#This Row],[SKU]],TablaINVENTARIO[SKU],TablaINVENTARIO[UBICACION])</f>
        <v>1A</v>
      </c>
      <c r="K136" s="34" t="str">
        <f>_xlfn.XLOOKUP(TablaSTOCKINV[[#This Row],[SKU]],TablaINVENTARIO[SKU],TablaINVENTARIO[DPTO RESPONSABLE])</f>
        <v xml:space="preserve">CONSUMO GENERAL </v>
      </c>
      <c r="L136" s="36">
        <f>_xlfn.XLOOKUP(TablaSTOCKINV[[#This Row],[SKU]],TablaINVENTARIO[SKU],TablaINVENTARIO[RANGO MIN])</f>
        <v>0</v>
      </c>
      <c r="M136" s="34" cm="1">
        <f t="array" ref="M136">_xlfn.IFS(TablaSTOCKINV[[#This Row],[CANT. TOTAL]]&lt;=0,1,TablaSTOCKINV[[#This Row],[CANT. TOTAL]]&lt;=TablaSTOCKINV[[#This Row],[MIN]],2,TablaSTOCKINV[[#This Row],[CANT. TOTAL]]&gt;TablaSTOCKINV[[#This Row],[MIN]],3)</f>
        <v>3</v>
      </c>
      <c r="N136" s="34">
        <f>TablaSTOCKINV[[#This Row],[ENTRADAS]]-TablaSTOCKINV[[#This Row],[SALIDAS]]</f>
        <v>1</v>
      </c>
      <c r="O136" s="35">
        <f>SUMIFS(TablaENTRADA[CANT],TablaENTRADA[SKU],TablaSTOCKINV[[#This Row],[SKU]])</f>
        <v>1</v>
      </c>
      <c r="P136" s="35">
        <f>SUMIFS(TablaSALIDA[CANT],TablaSALIDA[SKU],TablaSTOCKINV[[#This Row],[SKU]])</f>
        <v>0</v>
      </c>
      <c r="Q136" s="34">
        <f>_xlfn.XLOOKUP(TablaSTOCKINV[[#This Row],[SKU]],TablaINVENTARIO[SKU],TablaINVENTARIO[PRECIO])</f>
        <v>0</v>
      </c>
      <c r="R136" s="34">
        <f>TablaSTOCKINV[[#This Row],[P.UNITARIO]]*TablaSTOCKINV[[#This Row],[CANT. TOTAL]]</f>
        <v>0</v>
      </c>
      <c r="S136" s="44">
        <f>_xlfn.XLOOKUP(TablaSTOCKINV[[#This Row],[SKU]],TablaINVENTARIO[SKU],TablaINVENTARIO[FECHA INGRESO])</f>
        <v>46023</v>
      </c>
      <c r="T136" s="44">
        <f>_xlfn.XLOOKUP(TablaSTOCKINV[[#This Row],[SKU]],TablaENTRADA[SKU],TablaENTRADA[FECHA],,0,-1)</f>
        <v>46023</v>
      </c>
      <c r="U136" s="46" t="str">
        <f>IFERROR((_xlfn.XLOOKUP(TablaSTOCKINV[[#This Row],[SKU]],TablaSALIDA[SKU],TablaSALIDA[FECHA],,0,-1))," " )</f>
        <v xml:space="preserve"> </v>
      </c>
    </row>
    <row r="137" spans="1:21" x14ac:dyDescent="0.3">
      <c r="A137" s="27" t="s">
        <v>2072</v>
      </c>
      <c r="B137" s="32" t="str">
        <f>_xlfn.XLOOKUP(TablaSTOCKINV[[#This Row],[SKU]],TablaINVENTARIO[SKU],TablaINVENTARIO[DESCRIPCION])</f>
        <v xml:space="preserve">OMEPRAZOL </v>
      </c>
      <c r="C137" s="32" t="str">
        <f>_xlfn.XLOOKUP(TablaSTOCKINV[[#This Row],[SKU]],TablaINVENTARIO[SKU],TablaINVENTARIO[MARCA])</f>
        <v xml:space="preserve">GENVEN </v>
      </c>
      <c r="D137" s="33" t="str">
        <f>_xlfn.XLOOKUP(TablaSTOCKINV[[#This Row],[SKU]],TablaINVENTARIO[SKU],TablaINVENTARIO[CATEGORIA])</f>
        <v xml:space="preserve">MEDICAMENTOS </v>
      </c>
      <c r="E137" s="33" t="str">
        <f>_xlfn.XLOOKUP(TablaSTOCKINV[[#This Row],[SKU]],TablaINVENTARIO[SKU],TablaINVENTARIO[SUBCATEGORIA])</f>
        <v xml:space="preserve">PROTECTOR GASTRICO  </v>
      </c>
      <c r="F137" s="33" t="str">
        <f>_xlfn.XLOOKUP(TablaSTOCKINV[[#This Row],[SKU]],TablaINVENTARIO[SKU],TablaINVENTARIO[ESTADO])</f>
        <v xml:space="preserve">NUEVO </v>
      </c>
      <c r="G137" s="33" t="str">
        <f>_xlfn.XLOOKUP(TablaSTOCKINV[[#This Row],[SKU]],TablaINVENTARIO[SKU],TablaINVENTARIO[MEDIDA])</f>
        <v xml:space="preserve">UND </v>
      </c>
      <c r="H137" s="33" t="str">
        <f>_xlfn.XLOOKUP(TablaSTOCKINV[[#This Row],[SKU]],TablaINVENTARIO[SKU],TablaINVENTARIO[SERIAL])</f>
        <v>N/A</v>
      </c>
      <c r="I137" s="34" t="str">
        <f>_xlfn.XLOOKUP(TablaSTOCKINV[[#This Row],[SKU]],TablaINVENTARIO[SKU],TablaINVENTARIO[ALMACEN])</f>
        <v>ALMACEN PRINCIPAL</v>
      </c>
      <c r="J137" s="34" t="str">
        <f>_xlfn.XLOOKUP(TablaSTOCKINV[[#This Row],[SKU]],TablaINVENTARIO[SKU],TablaINVENTARIO[UBICACION])</f>
        <v>1A</v>
      </c>
      <c r="K137" s="34" t="str">
        <f>_xlfn.XLOOKUP(TablaSTOCKINV[[#This Row],[SKU]],TablaINVENTARIO[SKU],TablaINVENTARIO[DPTO RESPONSABLE])</f>
        <v xml:space="preserve">CONSUMO GENERAL </v>
      </c>
      <c r="L137" s="36">
        <f>_xlfn.XLOOKUP(TablaSTOCKINV[[#This Row],[SKU]],TablaINVENTARIO[SKU],TablaINVENTARIO[RANGO MIN])</f>
        <v>0</v>
      </c>
      <c r="M137" s="34" cm="1">
        <f t="array" ref="M137">_xlfn.IFS(TablaSTOCKINV[[#This Row],[CANT. TOTAL]]&lt;=0,1,TablaSTOCKINV[[#This Row],[CANT. TOTAL]]&lt;=TablaSTOCKINV[[#This Row],[MIN]],2,TablaSTOCKINV[[#This Row],[CANT. TOTAL]]&gt;TablaSTOCKINV[[#This Row],[MIN]],3)</f>
        <v>3</v>
      </c>
      <c r="N137" s="34">
        <f>TablaSTOCKINV[[#This Row],[ENTRADAS]]-TablaSTOCKINV[[#This Row],[SALIDAS]]</f>
        <v>3</v>
      </c>
      <c r="O137" s="35">
        <f>SUMIFS(TablaENTRADA[CANT],TablaENTRADA[SKU],TablaSTOCKINV[[#This Row],[SKU]])</f>
        <v>3</v>
      </c>
      <c r="P137" s="35">
        <f>SUMIFS(TablaSALIDA[CANT],TablaSALIDA[SKU],TablaSTOCKINV[[#This Row],[SKU]])</f>
        <v>0</v>
      </c>
      <c r="Q137" s="34">
        <f>_xlfn.XLOOKUP(TablaSTOCKINV[[#This Row],[SKU]],TablaINVENTARIO[SKU],TablaINVENTARIO[PRECIO])</f>
        <v>0</v>
      </c>
      <c r="R137" s="34">
        <f>TablaSTOCKINV[[#This Row],[P.UNITARIO]]*TablaSTOCKINV[[#This Row],[CANT. TOTAL]]</f>
        <v>0</v>
      </c>
      <c r="S137" s="44">
        <f>_xlfn.XLOOKUP(TablaSTOCKINV[[#This Row],[SKU]],TablaINVENTARIO[SKU],TablaINVENTARIO[FECHA INGRESO])</f>
        <v>46023</v>
      </c>
      <c r="T137" s="44">
        <f>_xlfn.XLOOKUP(TablaSTOCKINV[[#This Row],[SKU]],TablaENTRADA[SKU],TablaENTRADA[FECHA],,0,-1)</f>
        <v>46023</v>
      </c>
      <c r="U137" s="46" t="str">
        <f>IFERROR((_xlfn.XLOOKUP(TablaSTOCKINV[[#This Row],[SKU]],TablaSALIDA[SKU],TablaSALIDA[FECHA],,0,-1))," " )</f>
        <v xml:space="preserve"> </v>
      </c>
    </row>
    <row r="138" spans="1:21" x14ac:dyDescent="0.3">
      <c r="A138" s="27" t="s">
        <v>2076</v>
      </c>
      <c r="B138" s="32" t="str">
        <f>_xlfn.XLOOKUP(TablaSTOCKINV[[#This Row],[SKU]],TablaINVENTARIO[SKU],TablaINVENTARIO[DESCRIPCION])</f>
        <v xml:space="preserve">TOBRAMICINA </v>
      </c>
      <c r="C138" s="32" t="str">
        <f>_xlfn.XLOOKUP(TablaSTOCKINV[[#This Row],[SKU]],TablaINVENTARIO[SKU],TablaINVENTARIO[MARCA])</f>
        <v xml:space="preserve">JMW </v>
      </c>
      <c r="D138" s="33" t="str">
        <f>_xlfn.XLOOKUP(TablaSTOCKINV[[#This Row],[SKU]],TablaINVENTARIO[SKU],TablaINVENTARIO[CATEGORIA])</f>
        <v xml:space="preserve">MEDICAMENTOS </v>
      </c>
      <c r="E138" s="33" t="str">
        <f>_xlfn.XLOOKUP(TablaSTOCKINV[[#This Row],[SKU]],TablaINVENTARIO[SKU],TablaINVENTARIO[SUBCATEGORIA])</f>
        <v xml:space="preserve">OFTÁLMICO </v>
      </c>
      <c r="F138" s="33" t="str">
        <f>_xlfn.XLOOKUP(TablaSTOCKINV[[#This Row],[SKU]],TablaINVENTARIO[SKU],TablaINVENTARIO[ESTADO])</f>
        <v xml:space="preserve">NUEVO </v>
      </c>
      <c r="G138" s="33" t="str">
        <f>_xlfn.XLOOKUP(TablaSTOCKINV[[#This Row],[SKU]],TablaINVENTARIO[SKU],TablaINVENTARIO[MEDIDA])</f>
        <v xml:space="preserve">UND </v>
      </c>
      <c r="H138" s="33" t="str">
        <f>_xlfn.XLOOKUP(TablaSTOCKINV[[#This Row],[SKU]],TablaINVENTARIO[SKU],TablaINVENTARIO[SERIAL])</f>
        <v>N/A</v>
      </c>
      <c r="I138" s="34" t="str">
        <f>_xlfn.XLOOKUP(TablaSTOCKINV[[#This Row],[SKU]],TablaINVENTARIO[SKU],TablaINVENTARIO[ALMACEN])</f>
        <v>ALMACEN PRINCIPAL</v>
      </c>
      <c r="J138" s="34" t="str">
        <f>_xlfn.XLOOKUP(TablaSTOCKINV[[#This Row],[SKU]],TablaINVENTARIO[SKU],TablaINVENTARIO[UBICACION])</f>
        <v>1A</v>
      </c>
      <c r="K138" s="34" t="str">
        <f>_xlfn.XLOOKUP(TablaSTOCKINV[[#This Row],[SKU]],TablaINVENTARIO[SKU],TablaINVENTARIO[DPTO RESPONSABLE])</f>
        <v xml:space="preserve">CONSUMO GENERAL </v>
      </c>
      <c r="L138" s="36">
        <f>_xlfn.XLOOKUP(TablaSTOCKINV[[#This Row],[SKU]],TablaINVENTARIO[SKU],TablaINVENTARIO[RANGO MIN])</f>
        <v>0</v>
      </c>
      <c r="M138" s="34" cm="1">
        <f t="array" ref="M138">_xlfn.IFS(TablaSTOCKINV[[#This Row],[CANT. TOTAL]]&lt;=0,1,TablaSTOCKINV[[#This Row],[CANT. TOTAL]]&lt;=TablaSTOCKINV[[#This Row],[MIN]],2,TablaSTOCKINV[[#This Row],[CANT. TOTAL]]&gt;TablaSTOCKINV[[#This Row],[MIN]],3)</f>
        <v>3</v>
      </c>
      <c r="N138" s="34">
        <f>TablaSTOCKINV[[#This Row],[ENTRADAS]]-TablaSTOCKINV[[#This Row],[SALIDAS]]</f>
        <v>1</v>
      </c>
      <c r="O138" s="35">
        <f>SUMIFS(TablaENTRADA[CANT],TablaENTRADA[SKU],TablaSTOCKINV[[#This Row],[SKU]])</f>
        <v>1</v>
      </c>
      <c r="P138" s="35">
        <f>SUMIFS(TablaSALIDA[CANT],TablaSALIDA[SKU],TablaSTOCKINV[[#This Row],[SKU]])</f>
        <v>0</v>
      </c>
      <c r="Q138" s="34">
        <f>_xlfn.XLOOKUP(TablaSTOCKINV[[#This Row],[SKU]],TablaINVENTARIO[SKU],TablaINVENTARIO[PRECIO])</f>
        <v>0</v>
      </c>
      <c r="R138" s="34">
        <f>TablaSTOCKINV[[#This Row],[P.UNITARIO]]*TablaSTOCKINV[[#This Row],[CANT. TOTAL]]</f>
        <v>0</v>
      </c>
      <c r="S138" s="44">
        <f>_xlfn.XLOOKUP(TablaSTOCKINV[[#This Row],[SKU]],TablaINVENTARIO[SKU],TablaINVENTARIO[FECHA INGRESO])</f>
        <v>46023</v>
      </c>
      <c r="T138" s="44">
        <f>_xlfn.XLOOKUP(TablaSTOCKINV[[#This Row],[SKU]],TablaENTRADA[SKU],TablaENTRADA[FECHA],,0,-1)</f>
        <v>46023</v>
      </c>
      <c r="U138" s="46" t="str">
        <f>IFERROR((_xlfn.XLOOKUP(TablaSTOCKINV[[#This Row],[SKU]],TablaSALIDA[SKU],TablaSALIDA[FECHA],,0,-1))," " )</f>
        <v xml:space="preserve"> </v>
      </c>
    </row>
    <row r="139" spans="1:21" x14ac:dyDescent="0.3">
      <c r="A139" s="27" t="s">
        <v>2079</v>
      </c>
      <c r="B139" s="32" t="str">
        <f>_xlfn.XLOOKUP(TablaSTOCKINV[[#This Row],[SKU]],TablaINVENTARIO[SKU],TablaINVENTARIO[DESCRIPCION])</f>
        <v xml:space="preserve">ADANTOL </v>
      </c>
      <c r="C139" s="32" t="str">
        <f>_xlfn.XLOOKUP(TablaSTOCKINV[[#This Row],[SKU]],TablaINVENTARIO[SKU],TablaINVENTARIO[MARCA])</f>
        <v xml:space="preserve">VARGAS </v>
      </c>
      <c r="D139" s="33" t="str">
        <f>_xlfn.XLOOKUP(TablaSTOCKINV[[#This Row],[SKU]],TablaINVENTARIO[SKU],TablaINVENTARIO[CATEGORIA])</f>
        <v xml:space="preserve">MEDICAMENTOS </v>
      </c>
      <c r="E139" s="33" t="str">
        <f>_xlfn.XLOOKUP(TablaSTOCKINV[[#This Row],[SKU]],TablaINVENTARIO[SKU],TablaINVENTARIO[SUBCATEGORIA])</f>
        <v xml:space="preserve">ANTIHISTAMINICO </v>
      </c>
      <c r="F139" s="33" t="str">
        <f>_xlfn.XLOOKUP(TablaSTOCKINV[[#This Row],[SKU]],TablaINVENTARIO[SKU],TablaINVENTARIO[ESTADO])</f>
        <v xml:space="preserve">NUEVO </v>
      </c>
      <c r="G139" s="33" t="str">
        <f>_xlfn.XLOOKUP(TablaSTOCKINV[[#This Row],[SKU]],TablaINVENTARIO[SKU],TablaINVENTARIO[MEDIDA])</f>
        <v xml:space="preserve">UND </v>
      </c>
      <c r="H139" s="33" t="str">
        <f>_xlfn.XLOOKUP(TablaSTOCKINV[[#This Row],[SKU]],TablaINVENTARIO[SKU],TablaINVENTARIO[SERIAL])</f>
        <v>N/A</v>
      </c>
      <c r="I139" s="34" t="str">
        <f>_xlfn.XLOOKUP(TablaSTOCKINV[[#This Row],[SKU]],TablaINVENTARIO[SKU],TablaINVENTARIO[ALMACEN])</f>
        <v>ALMACEN PRINCIPAL</v>
      </c>
      <c r="J139" s="34" t="str">
        <f>_xlfn.XLOOKUP(TablaSTOCKINV[[#This Row],[SKU]],TablaINVENTARIO[SKU],TablaINVENTARIO[UBICACION])</f>
        <v>1A</v>
      </c>
      <c r="K139" s="34" t="str">
        <f>_xlfn.XLOOKUP(TablaSTOCKINV[[#This Row],[SKU]],TablaINVENTARIO[SKU],TablaINVENTARIO[DPTO RESPONSABLE])</f>
        <v xml:space="preserve">CONSUMO GENERAL </v>
      </c>
      <c r="L139" s="36">
        <f>_xlfn.XLOOKUP(TablaSTOCKINV[[#This Row],[SKU]],TablaINVENTARIO[SKU],TablaINVENTARIO[RANGO MIN])</f>
        <v>0</v>
      </c>
      <c r="M139" s="34" cm="1">
        <f t="array" ref="M139">_xlfn.IFS(TablaSTOCKINV[[#This Row],[CANT. TOTAL]]&lt;=0,1,TablaSTOCKINV[[#This Row],[CANT. TOTAL]]&lt;=TablaSTOCKINV[[#This Row],[MIN]],2,TablaSTOCKINV[[#This Row],[CANT. TOTAL]]&gt;TablaSTOCKINV[[#This Row],[MIN]],3)</f>
        <v>3</v>
      </c>
      <c r="N139" s="34">
        <f>TablaSTOCKINV[[#This Row],[ENTRADAS]]-TablaSTOCKINV[[#This Row],[SALIDAS]]</f>
        <v>3</v>
      </c>
      <c r="O139" s="35">
        <f>SUMIFS(TablaENTRADA[CANT],TablaENTRADA[SKU],TablaSTOCKINV[[#This Row],[SKU]])</f>
        <v>3</v>
      </c>
      <c r="P139" s="35">
        <f>SUMIFS(TablaSALIDA[CANT],TablaSALIDA[SKU],TablaSTOCKINV[[#This Row],[SKU]])</f>
        <v>0</v>
      </c>
      <c r="Q139" s="34">
        <f>_xlfn.XLOOKUP(TablaSTOCKINV[[#This Row],[SKU]],TablaINVENTARIO[SKU],TablaINVENTARIO[PRECIO])</f>
        <v>0</v>
      </c>
      <c r="R139" s="34">
        <f>TablaSTOCKINV[[#This Row],[P.UNITARIO]]*TablaSTOCKINV[[#This Row],[CANT. TOTAL]]</f>
        <v>0</v>
      </c>
      <c r="S139" s="44">
        <f>_xlfn.XLOOKUP(TablaSTOCKINV[[#This Row],[SKU]],TablaINVENTARIO[SKU],TablaINVENTARIO[FECHA INGRESO])</f>
        <v>46023</v>
      </c>
      <c r="T139" s="44">
        <f>_xlfn.XLOOKUP(TablaSTOCKINV[[#This Row],[SKU]],TablaENTRADA[SKU],TablaENTRADA[FECHA],,0,-1)</f>
        <v>46023</v>
      </c>
      <c r="U139" s="46" t="str">
        <f>IFERROR((_xlfn.XLOOKUP(TablaSTOCKINV[[#This Row],[SKU]],TablaSALIDA[SKU],TablaSALIDA[FECHA],,0,-1))," " )</f>
        <v xml:space="preserve"> </v>
      </c>
    </row>
    <row r="140" spans="1:21" x14ac:dyDescent="0.3">
      <c r="A140" s="27" t="s">
        <v>2083</v>
      </c>
      <c r="B140" s="32" t="str">
        <f>_xlfn.XLOOKUP(TablaSTOCKINV[[#This Row],[SKU]],TablaINVENTARIO[SKU],TablaINVENTARIO[DESCRIPCION])</f>
        <v xml:space="preserve">DENCORUB </v>
      </c>
      <c r="C140" s="32" t="str">
        <f>_xlfn.XLOOKUP(TablaSTOCKINV[[#This Row],[SKU]],TablaINVENTARIO[SKU],TablaINVENTARIO[MARCA])</f>
        <v>PONCE &amp; BENZO</v>
      </c>
      <c r="D140" s="33" t="str">
        <f>_xlfn.XLOOKUP(TablaSTOCKINV[[#This Row],[SKU]],TablaINVENTARIO[SKU],TablaINVENTARIO[CATEGORIA])</f>
        <v xml:space="preserve">MEDICAMENTOS </v>
      </c>
      <c r="E140" s="33" t="str">
        <f>_xlfn.XLOOKUP(TablaSTOCKINV[[#This Row],[SKU]],TablaINVENTARIO[SKU],TablaINVENTARIO[SUBCATEGORIA])</f>
        <v>ANALGESICO</v>
      </c>
      <c r="F140" s="33" t="str">
        <f>_xlfn.XLOOKUP(TablaSTOCKINV[[#This Row],[SKU]],TablaINVENTARIO[SKU],TablaINVENTARIO[ESTADO])</f>
        <v xml:space="preserve">NUEVO </v>
      </c>
      <c r="G140" s="33" t="str">
        <f>_xlfn.XLOOKUP(TablaSTOCKINV[[#This Row],[SKU]],TablaINVENTARIO[SKU],TablaINVENTARIO[MEDIDA])</f>
        <v xml:space="preserve">UND </v>
      </c>
      <c r="H140" s="33" t="str">
        <f>_xlfn.XLOOKUP(TablaSTOCKINV[[#This Row],[SKU]],TablaINVENTARIO[SKU],TablaINVENTARIO[SERIAL])</f>
        <v>N/A</v>
      </c>
      <c r="I140" s="34" t="str">
        <f>_xlfn.XLOOKUP(TablaSTOCKINV[[#This Row],[SKU]],TablaINVENTARIO[SKU],TablaINVENTARIO[ALMACEN])</f>
        <v>ALMACEN PRINCIPAL</v>
      </c>
      <c r="J140" s="34" t="str">
        <f>_xlfn.XLOOKUP(TablaSTOCKINV[[#This Row],[SKU]],TablaINVENTARIO[SKU],TablaINVENTARIO[UBICACION])</f>
        <v>1A</v>
      </c>
      <c r="K140" s="34" t="str">
        <f>_xlfn.XLOOKUP(TablaSTOCKINV[[#This Row],[SKU]],TablaINVENTARIO[SKU],TablaINVENTARIO[DPTO RESPONSABLE])</f>
        <v xml:space="preserve">CONSUMO GENERAL </v>
      </c>
      <c r="L140" s="36">
        <f>_xlfn.XLOOKUP(TablaSTOCKINV[[#This Row],[SKU]],TablaINVENTARIO[SKU],TablaINVENTARIO[RANGO MIN])</f>
        <v>0</v>
      </c>
      <c r="M140" s="34" cm="1">
        <f t="array" ref="M140">_xlfn.IFS(TablaSTOCKINV[[#This Row],[CANT. TOTAL]]&lt;=0,1,TablaSTOCKINV[[#This Row],[CANT. TOTAL]]&lt;=TablaSTOCKINV[[#This Row],[MIN]],2,TablaSTOCKINV[[#This Row],[CANT. TOTAL]]&gt;TablaSTOCKINV[[#This Row],[MIN]],3)</f>
        <v>3</v>
      </c>
      <c r="N140" s="34">
        <f>TablaSTOCKINV[[#This Row],[ENTRADAS]]-TablaSTOCKINV[[#This Row],[SALIDAS]]</f>
        <v>1</v>
      </c>
      <c r="O140" s="35">
        <f>SUMIFS(TablaENTRADA[CANT],TablaENTRADA[SKU],TablaSTOCKINV[[#This Row],[SKU]])</f>
        <v>1</v>
      </c>
      <c r="P140" s="35">
        <f>SUMIFS(TablaSALIDA[CANT],TablaSALIDA[SKU],TablaSTOCKINV[[#This Row],[SKU]])</f>
        <v>0</v>
      </c>
      <c r="Q140" s="34">
        <f>_xlfn.XLOOKUP(TablaSTOCKINV[[#This Row],[SKU]],TablaINVENTARIO[SKU],TablaINVENTARIO[PRECIO])</f>
        <v>0</v>
      </c>
      <c r="R140" s="34">
        <f>TablaSTOCKINV[[#This Row],[P.UNITARIO]]*TablaSTOCKINV[[#This Row],[CANT. TOTAL]]</f>
        <v>0</v>
      </c>
      <c r="S140" s="44">
        <f>_xlfn.XLOOKUP(TablaSTOCKINV[[#This Row],[SKU]],TablaINVENTARIO[SKU],TablaINVENTARIO[FECHA INGRESO])</f>
        <v>46023</v>
      </c>
      <c r="T140" s="44">
        <f>_xlfn.XLOOKUP(TablaSTOCKINV[[#This Row],[SKU]],TablaENTRADA[SKU],TablaENTRADA[FECHA],,0,-1)</f>
        <v>46023</v>
      </c>
      <c r="U140" s="46" t="str">
        <f>IFERROR((_xlfn.XLOOKUP(TablaSTOCKINV[[#This Row],[SKU]],TablaSALIDA[SKU],TablaSALIDA[FECHA],,0,-1))," " )</f>
        <v xml:space="preserve"> </v>
      </c>
    </row>
    <row r="141" spans="1:21" x14ac:dyDescent="0.3">
      <c r="A141" s="27" t="s">
        <v>2086</v>
      </c>
      <c r="B141" s="32" t="str">
        <f>_xlfn.XLOOKUP(TablaSTOCKINV[[#This Row],[SKU]],TablaINVENTARIO[SKU],TablaINVENTARIO[DESCRIPCION])</f>
        <v xml:space="preserve">PROTOSULFIL </v>
      </c>
      <c r="C141" s="32" t="str">
        <f>_xlfn.XLOOKUP(TablaSTOCKINV[[#This Row],[SKU]],TablaINVENTARIO[SKU],TablaINVENTARIO[MARCA])</f>
        <v xml:space="preserve">ROWE </v>
      </c>
      <c r="D141" s="33" t="str">
        <f>_xlfn.XLOOKUP(TablaSTOCKINV[[#This Row],[SKU]],TablaINVENTARIO[SKU],TablaINVENTARIO[CATEGORIA])</f>
        <v xml:space="preserve">MEDICAMENTOS </v>
      </c>
      <c r="E141" s="33" t="str">
        <f>_xlfn.XLOOKUP(TablaSTOCKINV[[#This Row],[SKU]],TablaINVENTARIO[SKU],TablaINVENTARIO[SUBCATEGORIA])</f>
        <v>ANTIBIOTICO</v>
      </c>
      <c r="F141" s="33" t="str">
        <f>_xlfn.XLOOKUP(TablaSTOCKINV[[#This Row],[SKU]],TablaINVENTARIO[SKU],TablaINVENTARIO[ESTADO])</f>
        <v xml:space="preserve">NUEVO </v>
      </c>
      <c r="G141" s="33" t="str">
        <f>_xlfn.XLOOKUP(TablaSTOCKINV[[#This Row],[SKU]],TablaINVENTARIO[SKU],TablaINVENTARIO[MEDIDA])</f>
        <v xml:space="preserve">UND </v>
      </c>
      <c r="H141" s="33" t="str">
        <f>_xlfn.XLOOKUP(TablaSTOCKINV[[#This Row],[SKU]],TablaINVENTARIO[SKU],TablaINVENTARIO[SERIAL])</f>
        <v>N/A</v>
      </c>
      <c r="I141" s="34" t="str">
        <f>_xlfn.XLOOKUP(TablaSTOCKINV[[#This Row],[SKU]],TablaINVENTARIO[SKU],TablaINVENTARIO[ALMACEN])</f>
        <v>ALMACEN PRINCIPAL</v>
      </c>
      <c r="J141" s="34" t="str">
        <f>_xlfn.XLOOKUP(TablaSTOCKINV[[#This Row],[SKU]],TablaINVENTARIO[SKU],TablaINVENTARIO[UBICACION])</f>
        <v>1A</v>
      </c>
      <c r="K141" s="34" t="str">
        <f>_xlfn.XLOOKUP(TablaSTOCKINV[[#This Row],[SKU]],TablaINVENTARIO[SKU],TablaINVENTARIO[DPTO RESPONSABLE])</f>
        <v xml:space="preserve">CONSUMO GENERAL </v>
      </c>
      <c r="L141" s="36">
        <f>_xlfn.XLOOKUP(TablaSTOCKINV[[#This Row],[SKU]],TablaINVENTARIO[SKU],TablaINVENTARIO[RANGO MIN])</f>
        <v>0</v>
      </c>
      <c r="M141" s="34" cm="1">
        <f t="array" ref="M141">_xlfn.IFS(TablaSTOCKINV[[#This Row],[CANT. TOTAL]]&lt;=0,1,TablaSTOCKINV[[#This Row],[CANT. TOTAL]]&lt;=TablaSTOCKINV[[#This Row],[MIN]],2,TablaSTOCKINV[[#This Row],[CANT. TOTAL]]&gt;TablaSTOCKINV[[#This Row],[MIN]],3)</f>
        <v>3</v>
      </c>
      <c r="N141" s="34">
        <f>TablaSTOCKINV[[#This Row],[ENTRADAS]]-TablaSTOCKINV[[#This Row],[SALIDAS]]</f>
        <v>1</v>
      </c>
      <c r="O141" s="35">
        <f>SUMIFS(TablaENTRADA[CANT],TablaENTRADA[SKU],TablaSTOCKINV[[#This Row],[SKU]])</f>
        <v>1</v>
      </c>
      <c r="P141" s="35">
        <f>SUMIFS(TablaSALIDA[CANT],TablaSALIDA[SKU],TablaSTOCKINV[[#This Row],[SKU]])</f>
        <v>0</v>
      </c>
      <c r="Q141" s="34">
        <f>_xlfn.XLOOKUP(TablaSTOCKINV[[#This Row],[SKU]],TablaINVENTARIO[SKU],TablaINVENTARIO[PRECIO])</f>
        <v>0</v>
      </c>
      <c r="R141" s="34">
        <f>TablaSTOCKINV[[#This Row],[P.UNITARIO]]*TablaSTOCKINV[[#This Row],[CANT. TOTAL]]</f>
        <v>0</v>
      </c>
      <c r="S141" s="44">
        <f>_xlfn.XLOOKUP(TablaSTOCKINV[[#This Row],[SKU]],TablaINVENTARIO[SKU],TablaINVENTARIO[FECHA INGRESO])</f>
        <v>46023</v>
      </c>
      <c r="T141" s="44">
        <f>_xlfn.XLOOKUP(TablaSTOCKINV[[#This Row],[SKU]],TablaENTRADA[SKU],TablaENTRADA[FECHA],,0,-1)</f>
        <v>46023</v>
      </c>
      <c r="U141" s="46" t="str">
        <f>IFERROR((_xlfn.XLOOKUP(TablaSTOCKINV[[#This Row],[SKU]],TablaSALIDA[SKU],TablaSALIDA[FECHA],,0,-1))," " )</f>
        <v xml:space="preserve"> </v>
      </c>
    </row>
    <row r="142" spans="1:21" x14ac:dyDescent="0.3">
      <c r="A142" s="27" t="s">
        <v>2089</v>
      </c>
      <c r="B142" s="32" t="str">
        <f>_xlfn.XLOOKUP(TablaSTOCKINV[[#This Row],[SKU]],TablaINVENTARIO[SKU],TablaINVENTARIO[DESCRIPCION])</f>
        <v xml:space="preserve">BACITRACINA </v>
      </c>
      <c r="C142" s="32" t="str">
        <f>_xlfn.XLOOKUP(TablaSTOCKINV[[#This Row],[SKU]],TablaINVENTARIO[SKU],TablaINVENTARIO[MARCA])</f>
        <v>KIMICEG</v>
      </c>
      <c r="D142" s="33" t="str">
        <f>_xlfn.XLOOKUP(TablaSTOCKINV[[#This Row],[SKU]],TablaINVENTARIO[SKU],TablaINVENTARIO[CATEGORIA])</f>
        <v xml:space="preserve">MEDICAMENTOS </v>
      </c>
      <c r="E142" s="33" t="str">
        <f>_xlfn.XLOOKUP(TablaSTOCKINV[[#This Row],[SKU]],TablaINVENTARIO[SKU],TablaINVENTARIO[SUBCATEGORIA])</f>
        <v>ANTIBIOTICO</v>
      </c>
      <c r="F142" s="33" t="str">
        <f>_xlfn.XLOOKUP(TablaSTOCKINV[[#This Row],[SKU]],TablaINVENTARIO[SKU],TablaINVENTARIO[ESTADO])</f>
        <v xml:space="preserve">NUEVO </v>
      </c>
      <c r="G142" s="33" t="str">
        <f>_xlfn.XLOOKUP(TablaSTOCKINV[[#This Row],[SKU]],TablaINVENTARIO[SKU],TablaINVENTARIO[MEDIDA])</f>
        <v xml:space="preserve">UND </v>
      </c>
      <c r="H142" s="33" t="str">
        <f>_xlfn.XLOOKUP(TablaSTOCKINV[[#This Row],[SKU]],TablaINVENTARIO[SKU],TablaINVENTARIO[SERIAL])</f>
        <v>N/A</v>
      </c>
      <c r="I142" s="34" t="str">
        <f>_xlfn.XLOOKUP(TablaSTOCKINV[[#This Row],[SKU]],TablaINVENTARIO[SKU],TablaINVENTARIO[ALMACEN])</f>
        <v>ALMACEN PRINCIPAL</v>
      </c>
      <c r="J142" s="34" t="str">
        <f>_xlfn.XLOOKUP(TablaSTOCKINV[[#This Row],[SKU]],TablaINVENTARIO[SKU],TablaINVENTARIO[UBICACION])</f>
        <v>1A</v>
      </c>
      <c r="K142" s="34" t="str">
        <f>_xlfn.XLOOKUP(TablaSTOCKINV[[#This Row],[SKU]],TablaINVENTARIO[SKU],TablaINVENTARIO[DPTO RESPONSABLE])</f>
        <v xml:space="preserve">CONSUMO GENERAL </v>
      </c>
      <c r="L142" s="36">
        <f>_xlfn.XLOOKUP(TablaSTOCKINV[[#This Row],[SKU]],TablaINVENTARIO[SKU],TablaINVENTARIO[RANGO MIN])</f>
        <v>0</v>
      </c>
      <c r="M142" s="34" cm="1">
        <f t="array" ref="M142">_xlfn.IFS(TablaSTOCKINV[[#This Row],[CANT. TOTAL]]&lt;=0,1,TablaSTOCKINV[[#This Row],[CANT. TOTAL]]&lt;=TablaSTOCKINV[[#This Row],[MIN]],2,TablaSTOCKINV[[#This Row],[CANT. TOTAL]]&gt;TablaSTOCKINV[[#This Row],[MIN]],3)</f>
        <v>3</v>
      </c>
      <c r="N142" s="34">
        <f>TablaSTOCKINV[[#This Row],[ENTRADAS]]-TablaSTOCKINV[[#This Row],[SALIDAS]]</f>
        <v>1</v>
      </c>
      <c r="O142" s="35">
        <f>SUMIFS(TablaENTRADA[CANT],TablaENTRADA[SKU],TablaSTOCKINV[[#This Row],[SKU]])</f>
        <v>1</v>
      </c>
      <c r="P142" s="35">
        <f>SUMIFS(TablaSALIDA[CANT],TablaSALIDA[SKU],TablaSTOCKINV[[#This Row],[SKU]])</f>
        <v>0</v>
      </c>
      <c r="Q142" s="34">
        <f>_xlfn.XLOOKUP(TablaSTOCKINV[[#This Row],[SKU]],TablaINVENTARIO[SKU],TablaINVENTARIO[PRECIO])</f>
        <v>0</v>
      </c>
      <c r="R142" s="34">
        <f>TablaSTOCKINV[[#This Row],[P.UNITARIO]]*TablaSTOCKINV[[#This Row],[CANT. TOTAL]]</f>
        <v>0</v>
      </c>
      <c r="S142" s="44">
        <f>_xlfn.XLOOKUP(TablaSTOCKINV[[#This Row],[SKU]],TablaINVENTARIO[SKU],TablaINVENTARIO[FECHA INGRESO])</f>
        <v>46023</v>
      </c>
      <c r="T142" s="44">
        <f>_xlfn.XLOOKUP(TablaSTOCKINV[[#This Row],[SKU]],TablaENTRADA[SKU],TablaENTRADA[FECHA],,0,-1)</f>
        <v>46023</v>
      </c>
      <c r="U142" s="46" t="str">
        <f>IFERROR((_xlfn.XLOOKUP(TablaSTOCKINV[[#This Row],[SKU]],TablaSALIDA[SKU],TablaSALIDA[FECHA],,0,-1))," " )</f>
        <v xml:space="preserve"> </v>
      </c>
    </row>
    <row r="143" spans="1:21" x14ac:dyDescent="0.3">
      <c r="A143" s="27" t="s">
        <v>2092</v>
      </c>
      <c r="B143" s="32" t="str">
        <f>_xlfn.XLOOKUP(TablaSTOCKINV[[#This Row],[SKU]],TablaINVENTARIO[SKU],TablaINVENTARIO[DESCRIPCION])</f>
        <v xml:space="preserve">BACITRACINA </v>
      </c>
      <c r="C143" s="32" t="str">
        <f>_xlfn.XLOOKUP(TablaSTOCKINV[[#This Row],[SKU]],TablaINVENTARIO[SKU],TablaINVENTARIO[MARCA])</f>
        <v xml:space="preserve">RONAVA </v>
      </c>
      <c r="D143" s="33" t="str">
        <f>_xlfn.XLOOKUP(TablaSTOCKINV[[#This Row],[SKU]],TablaINVENTARIO[SKU],TablaINVENTARIO[CATEGORIA])</f>
        <v xml:space="preserve">MEDICAMENTOS </v>
      </c>
      <c r="E143" s="33" t="str">
        <f>_xlfn.XLOOKUP(TablaSTOCKINV[[#This Row],[SKU]],TablaINVENTARIO[SKU],TablaINVENTARIO[SUBCATEGORIA])</f>
        <v>ANTIBIOTICO</v>
      </c>
      <c r="F143" s="33" t="str">
        <f>_xlfn.XLOOKUP(TablaSTOCKINV[[#This Row],[SKU]],TablaINVENTARIO[SKU],TablaINVENTARIO[ESTADO])</f>
        <v xml:space="preserve">NUEVO </v>
      </c>
      <c r="G143" s="33" t="str">
        <f>_xlfn.XLOOKUP(TablaSTOCKINV[[#This Row],[SKU]],TablaINVENTARIO[SKU],TablaINVENTARIO[MEDIDA])</f>
        <v xml:space="preserve">UND </v>
      </c>
      <c r="H143" s="33" t="str">
        <f>_xlfn.XLOOKUP(TablaSTOCKINV[[#This Row],[SKU]],TablaINVENTARIO[SKU],TablaINVENTARIO[SERIAL])</f>
        <v>N/A</v>
      </c>
      <c r="I143" s="34" t="str">
        <f>_xlfn.XLOOKUP(TablaSTOCKINV[[#This Row],[SKU]],TablaINVENTARIO[SKU],TablaINVENTARIO[ALMACEN])</f>
        <v>ALMACEN PRINCIPAL</v>
      </c>
      <c r="J143" s="34" t="str">
        <f>_xlfn.XLOOKUP(TablaSTOCKINV[[#This Row],[SKU]],TablaINVENTARIO[SKU],TablaINVENTARIO[UBICACION])</f>
        <v>1A</v>
      </c>
      <c r="K143" s="34" t="str">
        <f>_xlfn.XLOOKUP(TablaSTOCKINV[[#This Row],[SKU]],TablaINVENTARIO[SKU],TablaINVENTARIO[DPTO RESPONSABLE])</f>
        <v xml:space="preserve">CONSUMO GENERAL </v>
      </c>
      <c r="L143" s="36">
        <f>_xlfn.XLOOKUP(TablaSTOCKINV[[#This Row],[SKU]],TablaINVENTARIO[SKU],TablaINVENTARIO[RANGO MIN])</f>
        <v>0</v>
      </c>
      <c r="M143" s="34" cm="1">
        <f t="array" ref="M143">_xlfn.IFS(TablaSTOCKINV[[#This Row],[CANT. TOTAL]]&lt;=0,1,TablaSTOCKINV[[#This Row],[CANT. TOTAL]]&lt;=TablaSTOCKINV[[#This Row],[MIN]],2,TablaSTOCKINV[[#This Row],[CANT. TOTAL]]&gt;TablaSTOCKINV[[#This Row],[MIN]],3)</f>
        <v>3</v>
      </c>
      <c r="N143" s="34">
        <f>TablaSTOCKINV[[#This Row],[ENTRADAS]]-TablaSTOCKINV[[#This Row],[SALIDAS]]</f>
        <v>1</v>
      </c>
      <c r="O143" s="35">
        <f>SUMIFS(TablaENTRADA[CANT],TablaENTRADA[SKU],TablaSTOCKINV[[#This Row],[SKU]])</f>
        <v>1</v>
      </c>
      <c r="P143" s="35">
        <f>SUMIFS(TablaSALIDA[CANT],TablaSALIDA[SKU],TablaSTOCKINV[[#This Row],[SKU]])</f>
        <v>0</v>
      </c>
      <c r="Q143" s="34">
        <f>_xlfn.XLOOKUP(TablaSTOCKINV[[#This Row],[SKU]],TablaINVENTARIO[SKU],TablaINVENTARIO[PRECIO])</f>
        <v>0</v>
      </c>
      <c r="R143" s="34">
        <f>TablaSTOCKINV[[#This Row],[P.UNITARIO]]*TablaSTOCKINV[[#This Row],[CANT. TOTAL]]</f>
        <v>0</v>
      </c>
      <c r="S143" s="44">
        <f>_xlfn.XLOOKUP(TablaSTOCKINV[[#This Row],[SKU]],TablaINVENTARIO[SKU],TablaINVENTARIO[FECHA INGRESO])</f>
        <v>46023</v>
      </c>
      <c r="T143" s="44">
        <f>_xlfn.XLOOKUP(TablaSTOCKINV[[#This Row],[SKU]],TablaENTRADA[SKU],TablaENTRADA[FECHA],,0,-1)</f>
        <v>46023</v>
      </c>
      <c r="U143" s="46" t="str">
        <f>IFERROR((_xlfn.XLOOKUP(TablaSTOCKINV[[#This Row],[SKU]],TablaSALIDA[SKU],TablaSALIDA[FECHA],,0,-1))," " )</f>
        <v xml:space="preserve"> </v>
      </c>
    </row>
    <row r="144" spans="1:21" x14ac:dyDescent="0.3">
      <c r="A144" s="27" t="s">
        <v>2094</v>
      </c>
      <c r="B144" s="32" t="str">
        <f>_xlfn.XLOOKUP(TablaSTOCKINV[[#This Row],[SKU]],TablaINVENTARIO[SKU],TablaINVENTARIO[DESCRIPCION])</f>
        <v>VIOLETA DE GENCIANA</v>
      </c>
      <c r="C144" s="32" t="str">
        <f>_xlfn.XLOOKUP(TablaSTOCKINV[[#This Row],[SKU]],TablaINVENTARIO[SKU],TablaINVENTARIO[MARCA])</f>
        <v xml:space="preserve">FARMATODO </v>
      </c>
      <c r="D144" s="33" t="str">
        <f>_xlfn.XLOOKUP(TablaSTOCKINV[[#This Row],[SKU]],TablaINVENTARIO[SKU],TablaINVENTARIO[CATEGORIA])</f>
        <v xml:space="preserve">MEDICAMENTOS </v>
      </c>
      <c r="E144" s="33" t="str">
        <f>_xlfn.XLOOKUP(TablaSTOCKINV[[#This Row],[SKU]],TablaINVENTARIO[SKU],TablaINVENTARIO[SUBCATEGORIA])</f>
        <v>ANTISEPTICO</v>
      </c>
      <c r="F144" s="33" t="str">
        <f>_xlfn.XLOOKUP(TablaSTOCKINV[[#This Row],[SKU]],TablaINVENTARIO[SKU],TablaINVENTARIO[ESTADO])</f>
        <v xml:space="preserve">NUEVO </v>
      </c>
      <c r="G144" s="33" t="str">
        <f>_xlfn.XLOOKUP(TablaSTOCKINV[[#This Row],[SKU]],TablaINVENTARIO[SKU],TablaINVENTARIO[MEDIDA])</f>
        <v xml:space="preserve">UND </v>
      </c>
      <c r="H144" s="33" t="str">
        <f>_xlfn.XLOOKUP(TablaSTOCKINV[[#This Row],[SKU]],TablaINVENTARIO[SKU],TablaINVENTARIO[SERIAL])</f>
        <v>N/A</v>
      </c>
      <c r="I144" s="34" t="str">
        <f>_xlfn.XLOOKUP(TablaSTOCKINV[[#This Row],[SKU]],TablaINVENTARIO[SKU],TablaINVENTARIO[ALMACEN])</f>
        <v>ALMACEN PRINCIPAL</v>
      </c>
      <c r="J144" s="34" t="str">
        <f>_xlfn.XLOOKUP(TablaSTOCKINV[[#This Row],[SKU]],TablaINVENTARIO[SKU],TablaINVENTARIO[UBICACION])</f>
        <v>1A</v>
      </c>
      <c r="K144" s="34" t="str">
        <f>_xlfn.XLOOKUP(TablaSTOCKINV[[#This Row],[SKU]],TablaINVENTARIO[SKU],TablaINVENTARIO[DPTO RESPONSABLE])</f>
        <v xml:space="preserve">CONSUMO GENERAL </v>
      </c>
      <c r="L144" s="36">
        <f>_xlfn.XLOOKUP(TablaSTOCKINV[[#This Row],[SKU]],TablaINVENTARIO[SKU],TablaINVENTARIO[RANGO MIN])</f>
        <v>0</v>
      </c>
      <c r="M144" s="34" cm="1">
        <f t="array" ref="M144">_xlfn.IFS(TablaSTOCKINV[[#This Row],[CANT. TOTAL]]&lt;=0,1,TablaSTOCKINV[[#This Row],[CANT. TOTAL]]&lt;=TablaSTOCKINV[[#This Row],[MIN]],2,TablaSTOCKINV[[#This Row],[CANT. TOTAL]]&gt;TablaSTOCKINV[[#This Row],[MIN]],3)</f>
        <v>3</v>
      </c>
      <c r="N144" s="34">
        <f>TablaSTOCKINV[[#This Row],[ENTRADAS]]-TablaSTOCKINV[[#This Row],[SALIDAS]]</f>
        <v>1</v>
      </c>
      <c r="O144" s="35">
        <f>SUMIFS(TablaENTRADA[CANT],TablaENTRADA[SKU],TablaSTOCKINV[[#This Row],[SKU]])</f>
        <v>1</v>
      </c>
      <c r="P144" s="35">
        <f>SUMIFS(TablaSALIDA[CANT],TablaSALIDA[SKU],TablaSTOCKINV[[#This Row],[SKU]])</f>
        <v>0</v>
      </c>
      <c r="Q144" s="34">
        <f>_xlfn.XLOOKUP(TablaSTOCKINV[[#This Row],[SKU]],TablaINVENTARIO[SKU],TablaINVENTARIO[PRECIO])</f>
        <v>0</v>
      </c>
      <c r="R144" s="34">
        <f>TablaSTOCKINV[[#This Row],[P.UNITARIO]]*TablaSTOCKINV[[#This Row],[CANT. TOTAL]]</f>
        <v>0</v>
      </c>
      <c r="S144" s="44">
        <f>_xlfn.XLOOKUP(TablaSTOCKINV[[#This Row],[SKU]],TablaINVENTARIO[SKU],TablaINVENTARIO[FECHA INGRESO])</f>
        <v>46023</v>
      </c>
      <c r="T144" s="44">
        <f>_xlfn.XLOOKUP(TablaSTOCKINV[[#This Row],[SKU]],TablaENTRADA[SKU],TablaENTRADA[FECHA],,0,-1)</f>
        <v>46023</v>
      </c>
      <c r="U144" s="46" t="str">
        <f>IFERROR((_xlfn.XLOOKUP(TablaSTOCKINV[[#This Row],[SKU]],TablaSALIDA[SKU],TablaSALIDA[FECHA],,0,-1))," " )</f>
        <v xml:space="preserve"> </v>
      </c>
    </row>
    <row r="145" spans="1:21" x14ac:dyDescent="0.3">
      <c r="A145" s="27" t="s">
        <v>2097</v>
      </c>
      <c r="B145" s="32" t="str">
        <f>_xlfn.XLOOKUP(TablaSTOCKINV[[#This Row],[SKU]],TablaINVENTARIO[SKU],TablaINVENTARIO[DESCRIPCION])</f>
        <v xml:space="preserve">AZUL DE METILENO </v>
      </c>
      <c r="C145" s="32" t="str">
        <f>_xlfn.XLOOKUP(TablaSTOCKINV[[#This Row],[SKU]],TablaINVENTARIO[SKU],TablaINVENTARIO[MARCA])</f>
        <v>RECETTEMARK</v>
      </c>
      <c r="D145" s="33" t="str">
        <f>_xlfn.XLOOKUP(TablaSTOCKINV[[#This Row],[SKU]],TablaINVENTARIO[SKU],TablaINVENTARIO[CATEGORIA])</f>
        <v xml:space="preserve">MEDICAMENTOS </v>
      </c>
      <c r="E145" s="33" t="str">
        <f>_xlfn.XLOOKUP(TablaSTOCKINV[[#This Row],[SKU]],TablaINVENTARIO[SKU],TablaINVENTARIO[SUBCATEGORIA])</f>
        <v>ANTISEPTICO</v>
      </c>
      <c r="F145" s="33" t="str">
        <f>_xlfn.XLOOKUP(TablaSTOCKINV[[#This Row],[SKU]],TablaINVENTARIO[SKU],TablaINVENTARIO[ESTADO])</f>
        <v xml:space="preserve">NUEVO </v>
      </c>
      <c r="G145" s="33" t="str">
        <f>_xlfn.XLOOKUP(TablaSTOCKINV[[#This Row],[SKU]],TablaINVENTARIO[SKU],TablaINVENTARIO[MEDIDA])</f>
        <v xml:space="preserve">UND </v>
      </c>
      <c r="H145" s="33" t="str">
        <f>_xlfn.XLOOKUP(TablaSTOCKINV[[#This Row],[SKU]],TablaINVENTARIO[SKU],TablaINVENTARIO[SERIAL])</f>
        <v>N/A</v>
      </c>
      <c r="I145" s="34" t="str">
        <f>_xlfn.XLOOKUP(TablaSTOCKINV[[#This Row],[SKU]],TablaINVENTARIO[SKU],TablaINVENTARIO[ALMACEN])</f>
        <v>ALMACEN PRINCIPAL</v>
      </c>
      <c r="J145" s="34" t="str">
        <f>_xlfn.XLOOKUP(TablaSTOCKINV[[#This Row],[SKU]],TablaINVENTARIO[SKU],TablaINVENTARIO[UBICACION])</f>
        <v>1A</v>
      </c>
      <c r="K145" s="34" t="str">
        <f>_xlfn.XLOOKUP(TablaSTOCKINV[[#This Row],[SKU]],TablaINVENTARIO[SKU],TablaINVENTARIO[DPTO RESPONSABLE])</f>
        <v xml:space="preserve">CONSUMO GENERAL </v>
      </c>
      <c r="L145" s="36">
        <f>_xlfn.XLOOKUP(TablaSTOCKINV[[#This Row],[SKU]],TablaINVENTARIO[SKU],TablaINVENTARIO[RANGO MIN])</f>
        <v>0</v>
      </c>
      <c r="M145" s="34" cm="1">
        <f t="array" ref="M145">_xlfn.IFS(TablaSTOCKINV[[#This Row],[CANT. TOTAL]]&lt;=0,1,TablaSTOCKINV[[#This Row],[CANT. TOTAL]]&lt;=TablaSTOCKINV[[#This Row],[MIN]],2,TablaSTOCKINV[[#This Row],[CANT. TOTAL]]&gt;TablaSTOCKINV[[#This Row],[MIN]],3)</f>
        <v>3</v>
      </c>
      <c r="N145" s="34">
        <f>TablaSTOCKINV[[#This Row],[ENTRADAS]]-TablaSTOCKINV[[#This Row],[SALIDAS]]</f>
        <v>1</v>
      </c>
      <c r="O145" s="35">
        <f>SUMIFS(TablaENTRADA[CANT],TablaENTRADA[SKU],TablaSTOCKINV[[#This Row],[SKU]])</f>
        <v>1</v>
      </c>
      <c r="P145" s="35">
        <f>SUMIFS(TablaSALIDA[CANT],TablaSALIDA[SKU],TablaSTOCKINV[[#This Row],[SKU]])</f>
        <v>0</v>
      </c>
      <c r="Q145" s="34">
        <f>_xlfn.XLOOKUP(TablaSTOCKINV[[#This Row],[SKU]],TablaINVENTARIO[SKU],TablaINVENTARIO[PRECIO])</f>
        <v>0</v>
      </c>
      <c r="R145" s="34">
        <f>TablaSTOCKINV[[#This Row],[P.UNITARIO]]*TablaSTOCKINV[[#This Row],[CANT. TOTAL]]</f>
        <v>0</v>
      </c>
      <c r="S145" s="44">
        <f>_xlfn.XLOOKUP(TablaSTOCKINV[[#This Row],[SKU]],TablaINVENTARIO[SKU],TablaINVENTARIO[FECHA INGRESO])</f>
        <v>46023</v>
      </c>
      <c r="T145" s="44">
        <f>_xlfn.XLOOKUP(TablaSTOCKINV[[#This Row],[SKU]],TablaENTRADA[SKU],TablaENTRADA[FECHA],,0,-1)</f>
        <v>46023</v>
      </c>
      <c r="U145" s="46" t="str">
        <f>IFERROR((_xlfn.XLOOKUP(TablaSTOCKINV[[#This Row],[SKU]],TablaSALIDA[SKU],TablaSALIDA[FECHA],,0,-1))," " )</f>
        <v xml:space="preserve"> </v>
      </c>
    </row>
    <row r="146" spans="1:21" x14ac:dyDescent="0.3">
      <c r="A146" s="27" t="s">
        <v>2100</v>
      </c>
      <c r="B146" s="32" t="str">
        <f>_xlfn.XLOOKUP(TablaSTOCKINV[[#This Row],[SKU]],TablaINVENTARIO[SKU],TablaINVENTARIO[DESCRIPCION])</f>
        <v xml:space="preserve">VENDA ELASTICA 15CM </v>
      </c>
      <c r="C146" s="32" t="str">
        <f>_xlfn.XLOOKUP(TablaSTOCKINV[[#This Row],[SKU]],TablaINVENTARIO[SKU],TablaINVENTARIO[MARCA])</f>
        <v>N/A</v>
      </c>
      <c r="D146" s="33" t="str">
        <f>_xlfn.XLOOKUP(TablaSTOCKINV[[#This Row],[SKU]],TablaINVENTARIO[SKU],TablaINVENTARIO[CATEGORIA])</f>
        <v xml:space="preserve">MEDICAMENTOS </v>
      </c>
      <c r="E146" s="33" t="str">
        <f>_xlfn.XLOOKUP(TablaSTOCKINV[[#This Row],[SKU]],TablaINVENTARIO[SKU],TablaINVENTARIO[SUBCATEGORIA])</f>
        <v xml:space="preserve">PRIMEROS AUXILIOS </v>
      </c>
      <c r="F146" s="33" t="str">
        <f>_xlfn.XLOOKUP(TablaSTOCKINV[[#This Row],[SKU]],TablaINVENTARIO[SKU],TablaINVENTARIO[ESTADO])</f>
        <v xml:space="preserve">NUEVO </v>
      </c>
      <c r="G146" s="33" t="str">
        <f>_xlfn.XLOOKUP(TablaSTOCKINV[[#This Row],[SKU]],TablaINVENTARIO[SKU],TablaINVENTARIO[MEDIDA])</f>
        <v xml:space="preserve">UND </v>
      </c>
      <c r="H146" s="33" t="str">
        <f>_xlfn.XLOOKUP(TablaSTOCKINV[[#This Row],[SKU]],TablaINVENTARIO[SKU],TablaINVENTARIO[SERIAL])</f>
        <v>N/A</v>
      </c>
      <c r="I146" s="34" t="str">
        <f>_xlfn.XLOOKUP(TablaSTOCKINV[[#This Row],[SKU]],TablaINVENTARIO[SKU],TablaINVENTARIO[ALMACEN])</f>
        <v>ALMACEN PRINCIPAL</v>
      </c>
      <c r="J146" s="34" t="str">
        <f>_xlfn.XLOOKUP(TablaSTOCKINV[[#This Row],[SKU]],TablaINVENTARIO[SKU],TablaINVENTARIO[UBICACION])</f>
        <v>1A</v>
      </c>
      <c r="K146" s="34" t="str">
        <f>_xlfn.XLOOKUP(TablaSTOCKINV[[#This Row],[SKU]],TablaINVENTARIO[SKU],TablaINVENTARIO[DPTO RESPONSABLE])</f>
        <v xml:space="preserve">CONSUMO GENERAL </v>
      </c>
      <c r="L146" s="36">
        <f>_xlfn.XLOOKUP(TablaSTOCKINV[[#This Row],[SKU]],TablaINVENTARIO[SKU],TablaINVENTARIO[RANGO MIN])</f>
        <v>0</v>
      </c>
      <c r="M146" s="34" cm="1">
        <f t="array" ref="M146">_xlfn.IFS(TablaSTOCKINV[[#This Row],[CANT. TOTAL]]&lt;=0,1,TablaSTOCKINV[[#This Row],[CANT. TOTAL]]&lt;=TablaSTOCKINV[[#This Row],[MIN]],2,TablaSTOCKINV[[#This Row],[CANT. TOTAL]]&gt;TablaSTOCKINV[[#This Row],[MIN]],3)</f>
        <v>3</v>
      </c>
      <c r="N146" s="34">
        <f>TablaSTOCKINV[[#This Row],[ENTRADAS]]-TablaSTOCKINV[[#This Row],[SALIDAS]]</f>
        <v>2</v>
      </c>
      <c r="O146" s="35">
        <f>SUMIFS(TablaENTRADA[CANT],TablaENTRADA[SKU],TablaSTOCKINV[[#This Row],[SKU]])</f>
        <v>2</v>
      </c>
      <c r="P146" s="35">
        <f>SUMIFS(TablaSALIDA[CANT],TablaSALIDA[SKU],TablaSTOCKINV[[#This Row],[SKU]])</f>
        <v>0</v>
      </c>
      <c r="Q146" s="34">
        <f>_xlfn.XLOOKUP(TablaSTOCKINV[[#This Row],[SKU]],TablaINVENTARIO[SKU],TablaINVENTARIO[PRECIO])</f>
        <v>0</v>
      </c>
      <c r="R146" s="34">
        <f>TablaSTOCKINV[[#This Row],[P.UNITARIO]]*TablaSTOCKINV[[#This Row],[CANT. TOTAL]]</f>
        <v>0</v>
      </c>
      <c r="S146" s="44">
        <f>_xlfn.XLOOKUP(TablaSTOCKINV[[#This Row],[SKU]],TablaINVENTARIO[SKU],TablaINVENTARIO[FECHA INGRESO])</f>
        <v>46023</v>
      </c>
      <c r="T146" s="44">
        <f>_xlfn.XLOOKUP(TablaSTOCKINV[[#This Row],[SKU]],TablaENTRADA[SKU],TablaENTRADA[FECHA],,0,-1)</f>
        <v>46023</v>
      </c>
      <c r="U146" s="46" t="str">
        <f>IFERROR((_xlfn.XLOOKUP(TablaSTOCKINV[[#This Row],[SKU]],TablaSALIDA[SKU],TablaSALIDA[FECHA],,0,-1))," " )</f>
        <v xml:space="preserve"> </v>
      </c>
    </row>
    <row r="147" spans="1:21" x14ac:dyDescent="0.3">
      <c r="A147" s="27" t="s">
        <v>2103</v>
      </c>
      <c r="B147" s="32" t="str">
        <f>_xlfn.XLOOKUP(TablaSTOCKINV[[#This Row],[SKU]],TablaINVENTARIO[SKU],TablaINVENTARIO[DESCRIPCION])</f>
        <v xml:space="preserve">VENDA AUTOADHERENTE 15CM </v>
      </c>
      <c r="C147" s="32" t="str">
        <f>_xlfn.XLOOKUP(TablaSTOCKINV[[#This Row],[SKU]],TablaINVENTARIO[SKU],TablaINVENTARIO[MARCA])</f>
        <v>N/A</v>
      </c>
      <c r="D147" s="33" t="str">
        <f>_xlfn.XLOOKUP(TablaSTOCKINV[[#This Row],[SKU]],TablaINVENTARIO[SKU],TablaINVENTARIO[CATEGORIA])</f>
        <v xml:space="preserve">MEDICAMENTOS </v>
      </c>
      <c r="E147" s="33" t="str">
        <f>_xlfn.XLOOKUP(TablaSTOCKINV[[#This Row],[SKU]],TablaINVENTARIO[SKU],TablaINVENTARIO[SUBCATEGORIA])</f>
        <v xml:space="preserve">PRIMEROS AUXILIOS </v>
      </c>
      <c r="F147" s="33" t="str">
        <f>_xlfn.XLOOKUP(TablaSTOCKINV[[#This Row],[SKU]],TablaINVENTARIO[SKU],TablaINVENTARIO[ESTADO])</f>
        <v xml:space="preserve">NUEVO </v>
      </c>
      <c r="G147" s="33" t="str">
        <f>_xlfn.XLOOKUP(TablaSTOCKINV[[#This Row],[SKU]],TablaINVENTARIO[SKU],TablaINVENTARIO[MEDIDA])</f>
        <v xml:space="preserve">UND </v>
      </c>
      <c r="H147" s="33" t="str">
        <f>_xlfn.XLOOKUP(TablaSTOCKINV[[#This Row],[SKU]],TablaINVENTARIO[SKU],TablaINVENTARIO[SERIAL])</f>
        <v>N/A</v>
      </c>
      <c r="I147" s="34" t="str">
        <f>_xlfn.XLOOKUP(TablaSTOCKINV[[#This Row],[SKU]],TablaINVENTARIO[SKU],TablaINVENTARIO[ALMACEN])</f>
        <v>ALMACEN PRINCIPAL</v>
      </c>
      <c r="J147" s="34" t="str">
        <f>_xlfn.XLOOKUP(TablaSTOCKINV[[#This Row],[SKU]],TablaINVENTARIO[SKU],TablaINVENTARIO[UBICACION])</f>
        <v>1A</v>
      </c>
      <c r="K147" s="34" t="str">
        <f>_xlfn.XLOOKUP(TablaSTOCKINV[[#This Row],[SKU]],TablaINVENTARIO[SKU],TablaINVENTARIO[DPTO RESPONSABLE])</f>
        <v xml:space="preserve">CONSUMO GENERAL </v>
      </c>
      <c r="L147" s="36">
        <f>_xlfn.XLOOKUP(TablaSTOCKINV[[#This Row],[SKU]],TablaINVENTARIO[SKU],TablaINVENTARIO[RANGO MIN])</f>
        <v>0</v>
      </c>
      <c r="M147" s="34" cm="1">
        <f t="array" ref="M147">_xlfn.IFS(TablaSTOCKINV[[#This Row],[CANT. TOTAL]]&lt;=0,1,TablaSTOCKINV[[#This Row],[CANT. TOTAL]]&lt;=TablaSTOCKINV[[#This Row],[MIN]],2,TablaSTOCKINV[[#This Row],[CANT. TOTAL]]&gt;TablaSTOCKINV[[#This Row],[MIN]],3)</f>
        <v>3</v>
      </c>
      <c r="N147" s="34">
        <f>TablaSTOCKINV[[#This Row],[ENTRADAS]]-TablaSTOCKINV[[#This Row],[SALIDAS]]</f>
        <v>1</v>
      </c>
      <c r="O147" s="35">
        <f>SUMIFS(TablaENTRADA[CANT],TablaENTRADA[SKU],TablaSTOCKINV[[#This Row],[SKU]])</f>
        <v>1</v>
      </c>
      <c r="P147" s="35">
        <f>SUMIFS(TablaSALIDA[CANT],TablaSALIDA[SKU],TablaSTOCKINV[[#This Row],[SKU]])</f>
        <v>0</v>
      </c>
      <c r="Q147" s="34">
        <f>_xlfn.XLOOKUP(TablaSTOCKINV[[#This Row],[SKU]],TablaINVENTARIO[SKU],TablaINVENTARIO[PRECIO])</f>
        <v>0</v>
      </c>
      <c r="R147" s="34">
        <f>TablaSTOCKINV[[#This Row],[P.UNITARIO]]*TablaSTOCKINV[[#This Row],[CANT. TOTAL]]</f>
        <v>0</v>
      </c>
      <c r="S147" s="44">
        <f>_xlfn.XLOOKUP(TablaSTOCKINV[[#This Row],[SKU]],TablaINVENTARIO[SKU],TablaINVENTARIO[FECHA INGRESO])</f>
        <v>46023</v>
      </c>
      <c r="T147" s="44">
        <f>_xlfn.XLOOKUP(TablaSTOCKINV[[#This Row],[SKU]],TablaENTRADA[SKU],TablaENTRADA[FECHA],,0,-1)</f>
        <v>46023</v>
      </c>
      <c r="U147" s="46" t="str">
        <f>IFERROR((_xlfn.XLOOKUP(TablaSTOCKINV[[#This Row],[SKU]],TablaSALIDA[SKU],TablaSALIDA[FECHA],,0,-1))," " )</f>
        <v xml:space="preserve"> </v>
      </c>
    </row>
    <row r="148" spans="1:21" x14ac:dyDescent="0.3">
      <c r="A148" s="27" t="s">
        <v>2105</v>
      </c>
      <c r="B148" s="32" t="str">
        <f>_xlfn.XLOOKUP(TablaSTOCKINV[[#This Row],[SKU]],TablaINVENTARIO[SKU],TablaINVENTARIO[DESCRIPCION])</f>
        <v xml:space="preserve">PARACETAMOL CINFA EFERVESCENTE </v>
      </c>
      <c r="C148" s="32" t="str">
        <f>_xlfn.XLOOKUP(TablaSTOCKINV[[#This Row],[SKU]],TablaINVENTARIO[SKU],TablaINVENTARIO[MARCA])</f>
        <v>N/A</v>
      </c>
      <c r="D148" s="33" t="str">
        <f>_xlfn.XLOOKUP(TablaSTOCKINV[[#This Row],[SKU]],TablaINVENTARIO[SKU],TablaINVENTARIO[CATEGORIA])</f>
        <v xml:space="preserve">MEDICAMENTOS </v>
      </c>
      <c r="E148" s="33" t="str">
        <f>_xlfn.XLOOKUP(TablaSTOCKINV[[#This Row],[SKU]],TablaINVENTARIO[SKU],TablaINVENTARIO[SUBCATEGORIA])</f>
        <v>ANALGESICO</v>
      </c>
      <c r="F148" s="33" t="str">
        <f>_xlfn.XLOOKUP(TablaSTOCKINV[[#This Row],[SKU]],TablaINVENTARIO[SKU],TablaINVENTARIO[ESTADO])</f>
        <v xml:space="preserve">NUEVO </v>
      </c>
      <c r="G148" s="33" t="str">
        <f>_xlfn.XLOOKUP(TablaSTOCKINV[[#This Row],[SKU]],TablaINVENTARIO[SKU],TablaINVENTARIO[MEDIDA])</f>
        <v xml:space="preserve">UND </v>
      </c>
      <c r="H148" s="33" t="str">
        <f>_xlfn.XLOOKUP(TablaSTOCKINV[[#This Row],[SKU]],TablaINVENTARIO[SKU],TablaINVENTARIO[SERIAL])</f>
        <v>N/A</v>
      </c>
      <c r="I148" s="34" t="str">
        <f>_xlfn.XLOOKUP(TablaSTOCKINV[[#This Row],[SKU]],TablaINVENTARIO[SKU],TablaINVENTARIO[ALMACEN])</f>
        <v>ALMACEN PRINCIPAL</v>
      </c>
      <c r="J148" s="34" t="str">
        <f>_xlfn.XLOOKUP(TablaSTOCKINV[[#This Row],[SKU]],TablaINVENTARIO[SKU],TablaINVENTARIO[UBICACION])</f>
        <v>1A</v>
      </c>
      <c r="K148" s="34" t="str">
        <f>_xlfn.XLOOKUP(TablaSTOCKINV[[#This Row],[SKU]],TablaINVENTARIO[SKU],TablaINVENTARIO[DPTO RESPONSABLE])</f>
        <v xml:space="preserve">CONSUMO GENERAL </v>
      </c>
      <c r="L148" s="36">
        <f>_xlfn.XLOOKUP(TablaSTOCKINV[[#This Row],[SKU]],TablaINVENTARIO[SKU],TablaINVENTARIO[RANGO MIN])</f>
        <v>0</v>
      </c>
      <c r="M148" s="34" cm="1">
        <f t="array" ref="M148">_xlfn.IFS(TablaSTOCKINV[[#This Row],[CANT. TOTAL]]&lt;=0,1,TablaSTOCKINV[[#This Row],[CANT. TOTAL]]&lt;=TablaSTOCKINV[[#This Row],[MIN]],2,TablaSTOCKINV[[#This Row],[CANT. TOTAL]]&gt;TablaSTOCKINV[[#This Row],[MIN]],3)</f>
        <v>3</v>
      </c>
      <c r="N148" s="34">
        <f>TablaSTOCKINV[[#This Row],[ENTRADAS]]-TablaSTOCKINV[[#This Row],[SALIDAS]]</f>
        <v>1</v>
      </c>
      <c r="O148" s="35">
        <f>SUMIFS(TablaENTRADA[CANT],TablaENTRADA[SKU],TablaSTOCKINV[[#This Row],[SKU]])</f>
        <v>1</v>
      </c>
      <c r="P148" s="35">
        <f>SUMIFS(TablaSALIDA[CANT],TablaSALIDA[SKU],TablaSTOCKINV[[#This Row],[SKU]])</f>
        <v>0</v>
      </c>
      <c r="Q148" s="34">
        <f>_xlfn.XLOOKUP(TablaSTOCKINV[[#This Row],[SKU]],TablaINVENTARIO[SKU],TablaINVENTARIO[PRECIO])</f>
        <v>0</v>
      </c>
      <c r="R148" s="34">
        <f>TablaSTOCKINV[[#This Row],[P.UNITARIO]]*TablaSTOCKINV[[#This Row],[CANT. TOTAL]]</f>
        <v>0</v>
      </c>
      <c r="S148" s="44">
        <f>_xlfn.XLOOKUP(TablaSTOCKINV[[#This Row],[SKU]],TablaINVENTARIO[SKU],TablaINVENTARIO[FECHA INGRESO])</f>
        <v>46023</v>
      </c>
      <c r="T148" s="44">
        <f>_xlfn.XLOOKUP(TablaSTOCKINV[[#This Row],[SKU]],TablaENTRADA[SKU],TablaENTRADA[FECHA],,0,-1)</f>
        <v>46023</v>
      </c>
      <c r="U148" s="46" t="str">
        <f>IFERROR((_xlfn.XLOOKUP(TablaSTOCKINV[[#This Row],[SKU]],TablaSALIDA[SKU],TablaSALIDA[FECHA],,0,-1))," " )</f>
        <v xml:space="preserve"> </v>
      </c>
    </row>
    <row r="149" spans="1:21" x14ac:dyDescent="0.3">
      <c r="A149" s="27" t="s">
        <v>2107</v>
      </c>
      <c r="B149" s="32" t="str">
        <f>_xlfn.XLOOKUP(TablaSTOCKINV[[#This Row],[SKU]],TablaINVENTARIO[SKU],TablaINVENTARIO[DESCRIPCION])</f>
        <v xml:space="preserve">OXIMETRO </v>
      </c>
      <c r="C149" s="32" t="str">
        <f>_xlfn.XLOOKUP(TablaSTOCKINV[[#This Row],[SKU]],TablaINVENTARIO[SKU],TablaINVENTARIO[MARCA])</f>
        <v>N/A</v>
      </c>
      <c r="D149" s="33" t="str">
        <f>_xlfn.XLOOKUP(TablaSTOCKINV[[#This Row],[SKU]],TablaINVENTARIO[SKU],TablaINVENTARIO[CATEGORIA])</f>
        <v xml:space="preserve">MEDICAMENTOS </v>
      </c>
      <c r="E149" s="33" t="str">
        <f>_xlfn.XLOOKUP(TablaSTOCKINV[[#This Row],[SKU]],TablaINVENTARIO[SKU],TablaINVENTARIO[SUBCATEGORIA])</f>
        <v xml:space="preserve">PRIMEROS AUXILIOS </v>
      </c>
      <c r="F149" s="33" t="str">
        <f>_xlfn.XLOOKUP(TablaSTOCKINV[[#This Row],[SKU]],TablaINVENTARIO[SKU],TablaINVENTARIO[ESTADO])</f>
        <v xml:space="preserve">NUEVO </v>
      </c>
      <c r="G149" s="33" t="str">
        <f>_xlfn.XLOOKUP(TablaSTOCKINV[[#This Row],[SKU]],TablaINVENTARIO[SKU],TablaINVENTARIO[MEDIDA])</f>
        <v xml:space="preserve">UND </v>
      </c>
      <c r="H149" s="33" t="str">
        <f>_xlfn.XLOOKUP(TablaSTOCKINV[[#This Row],[SKU]],TablaINVENTARIO[SKU],TablaINVENTARIO[SERIAL])</f>
        <v>N/A</v>
      </c>
      <c r="I149" s="34" t="str">
        <f>_xlfn.XLOOKUP(TablaSTOCKINV[[#This Row],[SKU]],TablaINVENTARIO[SKU],TablaINVENTARIO[ALMACEN])</f>
        <v>ALMACEN PRINCIPAL</v>
      </c>
      <c r="J149" s="34" t="str">
        <f>_xlfn.XLOOKUP(TablaSTOCKINV[[#This Row],[SKU]],TablaINVENTARIO[SKU],TablaINVENTARIO[UBICACION])</f>
        <v>1A</v>
      </c>
      <c r="K149" s="34" t="str">
        <f>_xlfn.XLOOKUP(TablaSTOCKINV[[#This Row],[SKU]],TablaINVENTARIO[SKU],TablaINVENTARIO[DPTO RESPONSABLE])</f>
        <v xml:space="preserve">CONSUMO GENERAL </v>
      </c>
      <c r="L149" s="36">
        <f>_xlfn.XLOOKUP(TablaSTOCKINV[[#This Row],[SKU]],TablaINVENTARIO[SKU],TablaINVENTARIO[RANGO MIN])</f>
        <v>0</v>
      </c>
      <c r="M149" s="34" cm="1">
        <f t="array" ref="M149">_xlfn.IFS(TablaSTOCKINV[[#This Row],[CANT. TOTAL]]&lt;=0,1,TablaSTOCKINV[[#This Row],[CANT. TOTAL]]&lt;=TablaSTOCKINV[[#This Row],[MIN]],2,TablaSTOCKINV[[#This Row],[CANT. TOTAL]]&gt;TablaSTOCKINV[[#This Row],[MIN]],3)</f>
        <v>3</v>
      </c>
      <c r="N149" s="34">
        <f>TablaSTOCKINV[[#This Row],[ENTRADAS]]-TablaSTOCKINV[[#This Row],[SALIDAS]]</f>
        <v>1</v>
      </c>
      <c r="O149" s="35">
        <f>SUMIFS(TablaENTRADA[CANT],TablaENTRADA[SKU],TablaSTOCKINV[[#This Row],[SKU]])</f>
        <v>1</v>
      </c>
      <c r="P149" s="35">
        <f>SUMIFS(TablaSALIDA[CANT],TablaSALIDA[SKU],TablaSTOCKINV[[#This Row],[SKU]])</f>
        <v>0</v>
      </c>
      <c r="Q149" s="34">
        <f>_xlfn.XLOOKUP(TablaSTOCKINV[[#This Row],[SKU]],TablaINVENTARIO[SKU],TablaINVENTARIO[PRECIO])</f>
        <v>0</v>
      </c>
      <c r="R149" s="34">
        <f>TablaSTOCKINV[[#This Row],[P.UNITARIO]]*TablaSTOCKINV[[#This Row],[CANT. TOTAL]]</f>
        <v>0</v>
      </c>
      <c r="S149" s="44">
        <f>_xlfn.XLOOKUP(TablaSTOCKINV[[#This Row],[SKU]],TablaINVENTARIO[SKU],TablaINVENTARIO[FECHA INGRESO])</f>
        <v>46023</v>
      </c>
      <c r="T149" s="44">
        <f>_xlfn.XLOOKUP(TablaSTOCKINV[[#This Row],[SKU]],TablaENTRADA[SKU],TablaENTRADA[FECHA],,0,-1)</f>
        <v>46023</v>
      </c>
      <c r="U149" s="46" t="str">
        <f>IFERROR((_xlfn.XLOOKUP(TablaSTOCKINV[[#This Row],[SKU]],TablaSALIDA[SKU],TablaSALIDA[FECHA],,0,-1))," " )</f>
        <v xml:space="preserve"> </v>
      </c>
    </row>
    <row r="150" spans="1:21" x14ac:dyDescent="0.3">
      <c r="A150" s="27" t="s">
        <v>2109</v>
      </c>
      <c r="B150" s="32" t="str">
        <f>_xlfn.XLOOKUP(TablaSTOCKINV[[#This Row],[SKU]],TablaINVENTARIO[SKU],TablaINVENTARIO[DESCRIPCION])</f>
        <v xml:space="preserve">TERMOMETRO DIGITAL  </v>
      </c>
      <c r="C150" s="32" t="str">
        <f>_xlfn.XLOOKUP(TablaSTOCKINV[[#This Row],[SKU]],TablaINVENTARIO[SKU],TablaINVENTARIO[MARCA])</f>
        <v xml:space="preserve">GIDAGUS </v>
      </c>
      <c r="D150" s="33" t="str">
        <f>_xlfn.XLOOKUP(TablaSTOCKINV[[#This Row],[SKU]],TablaINVENTARIO[SKU],TablaINVENTARIO[CATEGORIA])</f>
        <v xml:space="preserve">MEDICAMENTOS </v>
      </c>
      <c r="E150" s="33" t="str">
        <f>_xlfn.XLOOKUP(TablaSTOCKINV[[#This Row],[SKU]],TablaINVENTARIO[SKU],TablaINVENTARIO[SUBCATEGORIA])</f>
        <v xml:space="preserve">PRIMEROS AUXILIOS </v>
      </c>
      <c r="F150" s="33" t="str">
        <f>_xlfn.XLOOKUP(TablaSTOCKINV[[#This Row],[SKU]],TablaINVENTARIO[SKU],TablaINVENTARIO[ESTADO])</f>
        <v xml:space="preserve">NUEVO </v>
      </c>
      <c r="G150" s="33" t="str">
        <f>_xlfn.XLOOKUP(TablaSTOCKINV[[#This Row],[SKU]],TablaINVENTARIO[SKU],TablaINVENTARIO[MEDIDA])</f>
        <v xml:space="preserve">UND </v>
      </c>
      <c r="H150" s="33" t="str">
        <f>_xlfn.XLOOKUP(TablaSTOCKINV[[#This Row],[SKU]],TablaINVENTARIO[SKU],TablaINVENTARIO[SERIAL])</f>
        <v>N/A</v>
      </c>
      <c r="I150" s="34" t="str">
        <f>_xlfn.XLOOKUP(TablaSTOCKINV[[#This Row],[SKU]],TablaINVENTARIO[SKU],TablaINVENTARIO[ALMACEN])</f>
        <v>ALMACEN PRINCIPAL</v>
      </c>
      <c r="J150" s="34" t="str">
        <f>_xlfn.XLOOKUP(TablaSTOCKINV[[#This Row],[SKU]],TablaINVENTARIO[SKU],TablaINVENTARIO[UBICACION])</f>
        <v>1A</v>
      </c>
      <c r="K150" s="34" t="str">
        <f>_xlfn.XLOOKUP(TablaSTOCKINV[[#This Row],[SKU]],TablaINVENTARIO[SKU],TablaINVENTARIO[DPTO RESPONSABLE])</f>
        <v xml:space="preserve">CONSUMO GENERAL </v>
      </c>
      <c r="L150" s="36">
        <f>_xlfn.XLOOKUP(TablaSTOCKINV[[#This Row],[SKU]],TablaINVENTARIO[SKU],TablaINVENTARIO[RANGO MIN])</f>
        <v>0</v>
      </c>
      <c r="M150" s="34" cm="1">
        <f t="array" ref="M150">_xlfn.IFS(TablaSTOCKINV[[#This Row],[CANT. TOTAL]]&lt;=0,1,TablaSTOCKINV[[#This Row],[CANT. TOTAL]]&lt;=TablaSTOCKINV[[#This Row],[MIN]],2,TablaSTOCKINV[[#This Row],[CANT. TOTAL]]&gt;TablaSTOCKINV[[#This Row],[MIN]],3)</f>
        <v>3</v>
      </c>
      <c r="N150" s="34">
        <f>TablaSTOCKINV[[#This Row],[ENTRADAS]]-TablaSTOCKINV[[#This Row],[SALIDAS]]</f>
        <v>1</v>
      </c>
      <c r="O150" s="35">
        <f>SUMIFS(TablaENTRADA[CANT],TablaENTRADA[SKU],TablaSTOCKINV[[#This Row],[SKU]])</f>
        <v>1</v>
      </c>
      <c r="P150" s="35">
        <f>SUMIFS(TablaSALIDA[CANT],TablaSALIDA[SKU],TablaSTOCKINV[[#This Row],[SKU]])</f>
        <v>0</v>
      </c>
      <c r="Q150" s="34">
        <f>_xlfn.XLOOKUP(TablaSTOCKINV[[#This Row],[SKU]],TablaINVENTARIO[SKU],TablaINVENTARIO[PRECIO])</f>
        <v>0</v>
      </c>
      <c r="R150" s="34">
        <f>TablaSTOCKINV[[#This Row],[P.UNITARIO]]*TablaSTOCKINV[[#This Row],[CANT. TOTAL]]</f>
        <v>0</v>
      </c>
      <c r="S150" s="44">
        <f>_xlfn.XLOOKUP(TablaSTOCKINV[[#This Row],[SKU]],TablaINVENTARIO[SKU],TablaINVENTARIO[FECHA INGRESO])</f>
        <v>46023</v>
      </c>
      <c r="T150" s="44">
        <f>_xlfn.XLOOKUP(TablaSTOCKINV[[#This Row],[SKU]],TablaENTRADA[SKU],TablaENTRADA[FECHA],,0,-1)</f>
        <v>46023</v>
      </c>
      <c r="U150" s="46" t="str">
        <f>IFERROR((_xlfn.XLOOKUP(TablaSTOCKINV[[#This Row],[SKU]],TablaSALIDA[SKU],TablaSALIDA[FECHA],,0,-1))," " )</f>
        <v xml:space="preserve"> </v>
      </c>
    </row>
    <row r="151" spans="1:21" x14ac:dyDescent="0.3">
      <c r="A151" s="27" t="s">
        <v>2112</v>
      </c>
      <c r="B151" s="32" t="str">
        <f>_xlfn.XLOOKUP(TablaSTOCKINV[[#This Row],[SKU]],TablaINVENTARIO[SKU],TablaINVENTARIO[DESCRIPCION])</f>
        <v xml:space="preserve">PINZA CON DIENTES DE RATON </v>
      </c>
      <c r="C151" s="32" t="str">
        <f>_xlfn.XLOOKUP(TablaSTOCKINV[[#This Row],[SKU]],TablaINVENTARIO[SKU],TablaINVENTARIO[MARCA])</f>
        <v>N/A</v>
      </c>
      <c r="D151" s="33" t="str">
        <f>_xlfn.XLOOKUP(TablaSTOCKINV[[#This Row],[SKU]],TablaINVENTARIO[SKU],TablaINVENTARIO[CATEGORIA])</f>
        <v xml:space="preserve">MEDICAMENTOS </v>
      </c>
      <c r="E151" s="33" t="str">
        <f>_xlfn.XLOOKUP(TablaSTOCKINV[[#This Row],[SKU]],TablaINVENTARIO[SKU],TablaINVENTARIO[SUBCATEGORIA])</f>
        <v>INSTRUMENTO QUIRURGICO</v>
      </c>
      <c r="F151" s="33" t="str">
        <f>_xlfn.XLOOKUP(TablaSTOCKINV[[#This Row],[SKU]],TablaINVENTARIO[SKU],TablaINVENTARIO[ESTADO])</f>
        <v xml:space="preserve">NUEVO </v>
      </c>
      <c r="G151" s="33" t="str">
        <f>_xlfn.XLOOKUP(TablaSTOCKINV[[#This Row],[SKU]],TablaINVENTARIO[SKU],TablaINVENTARIO[MEDIDA])</f>
        <v xml:space="preserve">UND </v>
      </c>
      <c r="H151" s="33" t="str">
        <f>_xlfn.XLOOKUP(TablaSTOCKINV[[#This Row],[SKU]],TablaINVENTARIO[SKU],TablaINVENTARIO[SERIAL])</f>
        <v>N/A</v>
      </c>
      <c r="I151" s="34" t="str">
        <f>_xlfn.XLOOKUP(TablaSTOCKINV[[#This Row],[SKU]],TablaINVENTARIO[SKU],TablaINVENTARIO[ALMACEN])</f>
        <v>ALMACEN PRINCIPAL</v>
      </c>
      <c r="J151" s="34" t="str">
        <f>_xlfn.XLOOKUP(TablaSTOCKINV[[#This Row],[SKU]],TablaINVENTARIO[SKU],TablaINVENTARIO[UBICACION])</f>
        <v>1A</v>
      </c>
      <c r="K151" s="34" t="str">
        <f>_xlfn.XLOOKUP(TablaSTOCKINV[[#This Row],[SKU]],TablaINVENTARIO[SKU],TablaINVENTARIO[DPTO RESPONSABLE])</f>
        <v xml:space="preserve">CONSUMO GENERAL </v>
      </c>
      <c r="L151" s="36">
        <f>_xlfn.XLOOKUP(TablaSTOCKINV[[#This Row],[SKU]],TablaINVENTARIO[SKU],TablaINVENTARIO[RANGO MIN])</f>
        <v>0</v>
      </c>
      <c r="M151" s="34" cm="1">
        <f t="array" ref="M151">_xlfn.IFS(TablaSTOCKINV[[#This Row],[CANT. TOTAL]]&lt;=0,1,TablaSTOCKINV[[#This Row],[CANT. TOTAL]]&lt;=TablaSTOCKINV[[#This Row],[MIN]],2,TablaSTOCKINV[[#This Row],[CANT. TOTAL]]&gt;TablaSTOCKINV[[#This Row],[MIN]],3)</f>
        <v>3</v>
      </c>
      <c r="N151" s="34">
        <f>TablaSTOCKINV[[#This Row],[ENTRADAS]]-TablaSTOCKINV[[#This Row],[SALIDAS]]</f>
        <v>1</v>
      </c>
      <c r="O151" s="35">
        <f>SUMIFS(TablaENTRADA[CANT],TablaENTRADA[SKU],TablaSTOCKINV[[#This Row],[SKU]])</f>
        <v>1</v>
      </c>
      <c r="P151" s="35">
        <f>SUMIFS(TablaSALIDA[CANT],TablaSALIDA[SKU],TablaSTOCKINV[[#This Row],[SKU]])</f>
        <v>0</v>
      </c>
      <c r="Q151" s="34">
        <f>_xlfn.XLOOKUP(TablaSTOCKINV[[#This Row],[SKU]],TablaINVENTARIO[SKU],TablaINVENTARIO[PRECIO])</f>
        <v>0</v>
      </c>
      <c r="R151" s="34">
        <f>TablaSTOCKINV[[#This Row],[P.UNITARIO]]*TablaSTOCKINV[[#This Row],[CANT. TOTAL]]</f>
        <v>0</v>
      </c>
      <c r="S151" s="44">
        <f>_xlfn.XLOOKUP(TablaSTOCKINV[[#This Row],[SKU]],TablaINVENTARIO[SKU],TablaINVENTARIO[FECHA INGRESO])</f>
        <v>46023</v>
      </c>
      <c r="T151" s="44">
        <f>_xlfn.XLOOKUP(TablaSTOCKINV[[#This Row],[SKU]],TablaENTRADA[SKU],TablaENTRADA[FECHA],,0,-1)</f>
        <v>46023</v>
      </c>
      <c r="U151" s="46" t="str">
        <f>IFERROR((_xlfn.XLOOKUP(TablaSTOCKINV[[#This Row],[SKU]],TablaSALIDA[SKU],TablaSALIDA[FECHA],,0,-1))," " )</f>
        <v xml:space="preserve"> </v>
      </c>
    </row>
    <row r="152" spans="1:21" x14ac:dyDescent="0.3">
      <c r="A152" s="27" t="s">
        <v>2114</v>
      </c>
      <c r="B152" s="32" t="str">
        <f>_xlfn.XLOOKUP(TablaSTOCKINV[[#This Row],[SKU]],TablaINVENTARIO[SKU],TablaINVENTARIO[DESCRIPCION])</f>
        <v>AGUA OXIGENADA 500CM3</v>
      </c>
      <c r="C152" s="32" t="str">
        <f>_xlfn.XLOOKUP(TablaSTOCKINV[[#This Row],[SKU]],TablaINVENTARIO[SKU],TablaINVENTARIO[MARCA])</f>
        <v xml:space="preserve">FARMATODO </v>
      </c>
      <c r="D152" s="33" t="str">
        <f>_xlfn.XLOOKUP(TablaSTOCKINV[[#This Row],[SKU]],TablaINVENTARIO[SKU],TablaINVENTARIO[CATEGORIA])</f>
        <v xml:space="preserve">MEDICAMENTOS </v>
      </c>
      <c r="E152" s="33" t="str">
        <f>_xlfn.XLOOKUP(TablaSTOCKINV[[#This Row],[SKU]],TablaINVENTARIO[SKU],TablaINVENTARIO[SUBCATEGORIA])</f>
        <v>ANTISEPTICO</v>
      </c>
      <c r="F152" s="33" t="str">
        <f>_xlfn.XLOOKUP(TablaSTOCKINV[[#This Row],[SKU]],TablaINVENTARIO[SKU],TablaINVENTARIO[ESTADO])</f>
        <v xml:space="preserve">NUEVO </v>
      </c>
      <c r="G152" s="33" t="str">
        <f>_xlfn.XLOOKUP(TablaSTOCKINV[[#This Row],[SKU]],TablaINVENTARIO[SKU],TablaINVENTARIO[MEDIDA])</f>
        <v xml:space="preserve">UND </v>
      </c>
      <c r="H152" s="33" t="str">
        <f>_xlfn.XLOOKUP(TablaSTOCKINV[[#This Row],[SKU]],TablaINVENTARIO[SKU],TablaINVENTARIO[SERIAL])</f>
        <v>N/A</v>
      </c>
      <c r="I152" s="34" t="str">
        <f>_xlfn.XLOOKUP(TablaSTOCKINV[[#This Row],[SKU]],TablaINVENTARIO[SKU],TablaINVENTARIO[ALMACEN])</f>
        <v>ALMACEN PRINCIPAL</v>
      </c>
      <c r="J152" s="34" t="str">
        <f>_xlfn.XLOOKUP(TablaSTOCKINV[[#This Row],[SKU]],TablaINVENTARIO[SKU],TablaINVENTARIO[UBICACION])</f>
        <v>1A</v>
      </c>
      <c r="K152" s="34" t="str">
        <f>_xlfn.XLOOKUP(TablaSTOCKINV[[#This Row],[SKU]],TablaINVENTARIO[SKU],TablaINVENTARIO[DPTO RESPONSABLE])</f>
        <v xml:space="preserve">CONSUMO GENERAL </v>
      </c>
      <c r="L152" s="36">
        <f>_xlfn.XLOOKUP(TablaSTOCKINV[[#This Row],[SKU]],TablaINVENTARIO[SKU],TablaINVENTARIO[RANGO MIN])</f>
        <v>0</v>
      </c>
      <c r="M152" s="34" cm="1">
        <f t="array" ref="M152">_xlfn.IFS(TablaSTOCKINV[[#This Row],[CANT. TOTAL]]&lt;=0,1,TablaSTOCKINV[[#This Row],[CANT. TOTAL]]&lt;=TablaSTOCKINV[[#This Row],[MIN]],2,TablaSTOCKINV[[#This Row],[CANT. TOTAL]]&gt;TablaSTOCKINV[[#This Row],[MIN]],3)</f>
        <v>3</v>
      </c>
      <c r="N152" s="34">
        <f>TablaSTOCKINV[[#This Row],[ENTRADAS]]-TablaSTOCKINV[[#This Row],[SALIDAS]]</f>
        <v>2</v>
      </c>
      <c r="O152" s="35">
        <f>SUMIFS(TablaENTRADA[CANT],TablaENTRADA[SKU],TablaSTOCKINV[[#This Row],[SKU]])</f>
        <v>2</v>
      </c>
      <c r="P152" s="35">
        <f>SUMIFS(TablaSALIDA[CANT],TablaSALIDA[SKU],TablaSTOCKINV[[#This Row],[SKU]])</f>
        <v>0</v>
      </c>
      <c r="Q152" s="34">
        <f>_xlfn.XLOOKUP(TablaSTOCKINV[[#This Row],[SKU]],TablaINVENTARIO[SKU],TablaINVENTARIO[PRECIO])</f>
        <v>0</v>
      </c>
      <c r="R152" s="34">
        <f>TablaSTOCKINV[[#This Row],[P.UNITARIO]]*TablaSTOCKINV[[#This Row],[CANT. TOTAL]]</f>
        <v>0</v>
      </c>
      <c r="S152" s="44">
        <f>_xlfn.XLOOKUP(TablaSTOCKINV[[#This Row],[SKU]],TablaINVENTARIO[SKU],TablaINVENTARIO[FECHA INGRESO])</f>
        <v>46023</v>
      </c>
      <c r="T152" s="44">
        <f>_xlfn.XLOOKUP(TablaSTOCKINV[[#This Row],[SKU]],TablaENTRADA[SKU],TablaENTRADA[FECHA],,0,-1)</f>
        <v>46023</v>
      </c>
      <c r="U152" s="46" t="str">
        <f>IFERROR((_xlfn.XLOOKUP(TablaSTOCKINV[[#This Row],[SKU]],TablaSALIDA[SKU],TablaSALIDA[FECHA],,0,-1))," " )</f>
        <v xml:space="preserve"> </v>
      </c>
    </row>
    <row r="153" spans="1:21" x14ac:dyDescent="0.3">
      <c r="A153" s="27" t="s">
        <v>2116</v>
      </c>
      <c r="B153" s="32" t="str">
        <f>_xlfn.XLOOKUP(TablaSTOCKINV[[#This Row],[SKU]],TablaINVENTARIO[SKU],TablaINVENTARIO[DESCRIPCION])</f>
        <v xml:space="preserve">ALCOHOL ANTISEPTICO 950 ML </v>
      </c>
      <c r="C153" s="32" t="str">
        <f>_xlfn.XLOOKUP(TablaSTOCKINV[[#This Row],[SKU]],TablaINVENTARIO[SKU],TablaINVENTARIO[MARCA])</f>
        <v xml:space="preserve">FARMATODO </v>
      </c>
      <c r="D153" s="33" t="str">
        <f>_xlfn.XLOOKUP(TablaSTOCKINV[[#This Row],[SKU]],TablaINVENTARIO[SKU],TablaINVENTARIO[CATEGORIA])</f>
        <v xml:space="preserve">MEDICAMENTOS </v>
      </c>
      <c r="E153" s="33" t="str">
        <f>_xlfn.XLOOKUP(TablaSTOCKINV[[#This Row],[SKU]],TablaINVENTARIO[SKU],TablaINVENTARIO[SUBCATEGORIA])</f>
        <v>ANTISEPTICO</v>
      </c>
      <c r="F153" s="33" t="str">
        <f>_xlfn.XLOOKUP(TablaSTOCKINV[[#This Row],[SKU]],TablaINVENTARIO[SKU],TablaINVENTARIO[ESTADO])</f>
        <v xml:space="preserve">NUEVO </v>
      </c>
      <c r="G153" s="33" t="str">
        <f>_xlfn.XLOOKUP(TablaSTOCKINV[[#This Row],[SKU]],TablaINVENTARIO[SKU],TablaINVENTARIO[MEDIDA])</f>
        <v xml:space="preserve">UND </v>
      </c>
      <c r="H153" s="33" t="str">
        <f>_xlfn.XLOOKUP(TablaSTOCKINV[[#This Row],[SKU]],TablaINVENTARIO[SKU],TablaINVENTARIO[SERIAL])</f>
        <v>N/A</v>
      </c>
      <c r="I153" s="34" t="str">
        <f>_xlfn.XLOOKUP(TablaSTOCKINV[[#This Row],[SKU]],TablaINVENTARIO[SKU],TablaINVENTARIO[ALMACEN])</f>
        <v>ALMACEN PRINCIPAL</v>
      </c>
      <c r="J153" s="34" t="str">
        <f>_xlfn.XLOOKUP(TablaSTOCKINV[[#This Row],[SKU]],TablaINVENTARIO[SKU],TablaINVENTARIO[UBICACION])</f>
        <v>1A</v>
      </c>
      <c r="K153" s="34" t="str">
        <f>_xlfn.XLOOKUP(TablaSTOCKINV[[#This Row],[SKU]],TablaINVENTARIO[SKU],TablaINVENTARIO[DPTO RESPONSABLE])</f>
        <v xml:space="preserve">CONSUMO GENERAL </v>
      </c>
      <c r="L153" s="36">
        <f>_xlfn.XLOOKUP(TablaSTOCKINV[[#This Row],[SKU]],TablaINVENTARIO[SKU],TablaINVENTARIO[RANGO MIN])</f>
        <v>0</v>
      </c>
      <c r="M153" s="34" cm="1">
        <f t="array" ref="M153">_xlfn.IFS(TablaSTOCKINV[[#This Row],[CANT. TOTAL]]&lt;=0,1,TablaSTOCKINV[[#This Row],[CANT. TOTAL]]&lt;=TablaSTOCKINV[[#This Row],[MIN]],2,TablaSTOCKINV[[#This Row],[CANT. TOTAL]]&gt;TablaSTOCKINV[[#This Row],[MIN]],3)</f>
        <v>3</v>
      </c>
      <c r="N153" s="34">
        <f>TablaSTOCKINV[[#This Row],[ENTRADAS]]-TablaSTOCKINV[[#This Row],[SALIDAS]]</f>
        <v>1</v>
      </c>
      <c r="O153" s="35">
        <f>SUMIFS(TablaENTRADA[CANT],TablaENTRADA[SKU],TablaSTOCKINV[[#This Row],[SKU]])</f>
        <v>1</v>
      </c>
      <c r="P153" s="35">
        <f>SUMIFS(TablaSALIDA[CANT],TablaSALIDA[SKU],TablaSTOCKINV[[#This Row],[SKU]])</f>
        <v>0</v>
      </c>
      <c r="Q153" s="34">
        <f>_xlfn.XLOOKUP(TablaSTOCKINV[[#This Row],[SKU]],TablaINVENTARIO[SKU],TablaINVENTARIO[PRECIO])</f>
        <v>0</v>
      </c>
      <c r="R153" s="34">
        <f>TablaSTOCKINV[[#This Row],[P.UNITARIO]]*TablaSTOCKINV[[#This Row],[CANT. TOTAL]]</f>
        <v>0</v>
      </c>
      <c r="S153" s="44">
        <f>_xlfn.XLOOKUP(TablaSTOCKINV[[#This Row],[SKU]],TablaINVENTARIO[SKU],TablaINVENTARIO[FECHA INGRESO])</f>
        <v>46023</v>
      </c>
      <c r="T153" s="44">
        <f>_xlfn.XLOOKUP(TablaSTOCKINV[[#This Row],[SKU]],TablaENTRADA[SKU],TablaENTRADA[FECHA],,0,-1)</f>
        <v>46023</v>
      </c>
      <c r="U153" s="46" t="str">
        <f>IFERROR((_xlfn.XLOOKUP(TablaSTOCKINV[[#This Row],[SKU]],TablaSALIDA[SKU],TablaSALIDA[FECHA],,0,-1))," " )</f>
        <v xml:space="preserve"> </v>
      </c>
    </row>
    <row r="154" spans="1:21" x14ac:dyDescent="0.3">
      <c r="A154" s="27" t="s">
        <v>2118</v>
      </c>
      <c r="B154" s="32" t="str">
        <f>_xlfn.XLOOKUP(TablaSTOCKINV[[#This Row],[SKU]],TablaINVENTARIO[SKU],TablaINVENTARIO[DESCRIPCION])</f>
        <v xml:space="preserve">ALGODÓN HIDROFILO </v>
      </c>
      <c r="C154" s="32" t="str">
        <f>_xlfn.XLOOKUP(TablaSTOCKINV[[#This Row],[SKU]],TablaINVENTARIO[SKU],TablaINVENTARIO[MARCA])</f>
        <v>ALGOBAP</v>
      </c>
      <c r="D154" s="33" t="str">
        <f>_xlfn.XLOOKUP(TablaSTOCKINV[[#This Row],[SKU]],TablaINVENTARIO[SKU],TablaINVENTARIO[CATEGORIA])</f>
        <v xml:space="preserve">MEDICAMENTOS </v>
      </c>
      <c r="E154" s="33" t="str">
        <f>_xlfn.XLOOKUP(TablaSTOCKINV[[#This Row],[SKU]],TablaINVENTARIO[SKU],TablaINVENTARIO[SUBCATEGORIA])</f>
        <v xml:space="preserve">PRIMEROS AUXILIOS </v>
      </c>
      <c r="F154" s="33" t="str">
        <f>_xlfn.XLOOKUP(TablaSTOCKINV[[#This Row],[SKU]],TablaINVENTARIO[SKU],TablaINVENTARIO[ESTADO])</f>
        <v xml:space="preserve">NUEVO </v>
      </c>
      <c r="G154" s="33" t="str">
        <f>_xlfn.XLOOKUP(TablaSTOCKINV[[#This Row],[SKU]],TablaINVENTARIO[SKU],TablaINVENTARIO[MEDIDA])</f>
        <v xml:space="preserve">UND </v>
      </c>
      <c r="H154" s="33" t="str">
        <f>_xlfn.XLOOKUP(TablaSTOCKINV[[#This Row],[SKU]],TablaINVENTARIO[SKU],TablaINVENTARIO[SERIAL])</f>
        <v>N/A</v>
      </c>
      <c r="I154" s="34" t="str">
        <f>_xlfn.XLOOKUP(TablaSTOCKINV[[#This Row],[SKU]],TablaINVENTARIO[SKU],TablaINVENTARIO[ALMACEN])</f>
        <v>ALMACEN PRINCIPAL</v>
      </c>
      <c r="J154" s="34" t="str">
        <f>_xlfn.XLOOKUP(TablaSTOCKINV[[#This Row],[SKU]],TablaINVENTARIO[SKU],TablaINVENTARIO[UBICACION])</f>
        <v>1A</v>
      </c>
      <c r="K154" s="34" t="str">
        <f>_xlfn.XLOOKUP(TablaSTOCKINV[[#This Row],[SKU]],TablaINVENTARIO[SKU],TablaINVENTARIO[DPTO RESPONSABLE])</f>
        <v xml:space="preserve">CONSUMO GENERAL </v>
      </c>
      <c r="L154" s="36">
        <f>_xlfn.XLOOKUP(TablaSTOCKINV[[#This Row],[SKU]],TablaINVENTARIO[SKU],TablaINVENTARIO[RANGO MIN])</f>
        <v>0</v>
      </c>
      <c r="M154" s="34" cm="1">
        <f t="array" ref="M154">_xlfn.IFS(TablaSTOCKINV[[#This Row],[CANT. TOTAL]]&lt;=0,1,TablaSTOCKINV[[#This Row],[CANT. TOTAL]]&lt;=TablaSTOCKINV[[#This Row],[MIN]],2,TablaSTOCKINV[[#This Row],[CANT. TOTAL]]&gt;TablaSTOCKINV[[#This Row],[MIN]],3)</f>
        <v>3</v>
      </c>
      <c r="N154" s="34">
        <f>TablaSTOCKINV[[#This Row],[ENTRADAS]]-TablaSTOCKINV[[#This Row],[SALIDAS]]</f>
        <v>2</v>
      </c>
      <c r="O154" s="35">
        <f>SUMIFS(TablaENTRADA[CANT],TablaENTRADA[SKU],TablaSTOCKINV[[#This Row],[SKU]])</f>
        <v>2</v>
      </c>
      <c r="P154" s="35">
        <f>SUMIFS(TablaSALIDA[CANT],TablaSALIDA[SKU],TablaSTOCKINV[[#This Row],[SKU]])</f>
        <v>0</v>
      </c>
      <c r="Q154" s="34">
        <f>_xlfn.XLOOKUP(TablaSTOCKINV[[#This Row],[SKU]],TablaINVENTARIO[SKU],TablaINVENTARIO[PRECIO])</f>
        <v>0</v>
      </c>
      <c r="R154" s="34">
        <f>TablaSTOCKINV[[#This Row],[P.UNITARIO]]*TablaSTOCKINV[[#This Row],[CANT. TOTAL]]</f>
        <v>0</v>
      </c>
      <c r="S154" s="44">
        <f>_xlfn.XLOOKUP(TablaSTOCKINV[[#This Row],[SKU]],TablaINVENTARIO[SKU],TablaINVENTARIO[FECHA INGRESO])</f>
        <v>46023</v>
      </c>
      <c r="T154" s="44">
        <f>_xlfn.XLOOKUP(TablaSTOCKINV[[#This Row],[SKU]],TablaENTRADA[SKU],TablaENTRADA[FECHA],,0,-1)</f>
        <v>46023</v>
      </c>
      <c r="U154" s="46" t="str">
        <f>IFERROR((_xlfn.XLOOKUP(TablaSTOCKINV[[#This Row],[SKU]],TablaSALIDA[SKU],TablaSALIDA[FECHA],,0,-1))," " )</f>
        <v xml:space="preserve"> </v>
      </c>
    </row>
    <row r="155" spans="1:21" x14ac:dyDescent="0.3">
      <c r="A155" s="27" t="s">
        <v>2121</v>
      </c>
      <c r="B155" s="32" t="str">
        <f>_xlfn.XLOOKUP(TablaSTOCKINV[[#This Row],[SKU]],TablaINVENTARIO[SKU],TablaINVENTARIO[DESCRIPCION])</f>
        <v>MERTHIOLATE 60ML</v>
      </c>
      <c r="C155" s="32" t="str">
        <f>_xlfn.XLOOKUP(TablaSTOCKINV[[#This Row],[SKU]],TablaINVENTARIO[SKU],TablaINVENTARIO[MARCA])</f>
        <v xml:space="preserve">VARGAS </v>
      </c>
      <c r="D155" s="33" t="str">
        <f>_xlfn.XLOOKUP(TablaSTOCKINV[[#This Row],[SKU]],TablaINVENTARIO[SKU],TablaINVENTARIO[CATEGORIA])</f>
        <v xml:space="preserve">MEDICAMENTOS </v>
      </c>
      <c r="E155" s="33" t="str">
        <f>_xlfn.XLOOKUP(TablaSTOCKINV[[#This Row],[SKU]],TablaINVENTARIO[SKU],TablaINVENTARIO[SUBCATEGORIA])</f>
        <v xml:space="preserve">PRIMEROS AUXILIOS </v>
      </c>
      <c r="F155" s="33" t="str">
        <f>_xlfn.XLOOKUP(TablaSTOCKINV[[#This Row],[SKU]],TablaINVENTARIO[SKU],TablaINVENTARIO[ESTADO])</f>
        <v xml:space="preserve">NUEVO </v>
      </c>
      <c r="G155" s="33" t="str">
        <f>_xlfn.XLOOKUP(TablaSTOCKINV[[#This Row],[SKU]],TablaINVENTARIO[SKU],TablaINVENTARIO[MEDIDA])</f>
        <v xml:space="preserve">UND </v>
      </c>
      <c r="H155" s="33" t="str">
        <f>_xlfn.XLOOKUP(TablaSTOCKINV[[#This Row],[SKU]],TablaINVENTARIO[SKU],TablaINVENTARIO[SERIAL])</f>
        <v>N/A</v>
      </c>
      <c r="I155" s="34" t="str">
        <f>_xlfn.XLOOKUP(TablaSTOCKINV[[#This Row],[SKU]],TablaINVENTARIO[SKU],TablaINVENTARIO[ALMACEN])</f>
        <v>ALMACEN PRINCIPAL</v>
      </c>
      <c r="J155" s="34" t="str">
        <f>_xlfn.XLOOKUP(TablaSTOCKINV[[#This Row],[SKU]],TablaINVENTARIO[SKU],TablaINVENTARIO[UBICACION])</f>
        <v>1A</v>
      </c>
      <c r="K155" s="34" t="str">
        <f>_xlfn.XLOOKUP(TablaSTOCKINV[[#This Row],[SKU]],TablaINVENTARIO[SKU],TablaINVENTARIO[DPTO RESPONSABLE])</f>
        <v xml:space="preserve">CONSUMO GENERAL </v>
      </c>
      <c r="L155" s="36">
        <f>_xlfn.XLOOKUP(TablaSTOCKINV[[#This Row],[SKU]],TablaINVENTARIO[SKU],TablaINVENTARIO[RANGO MIN])</f>
        <v>0</v>
      </c>
      <c r="M155" s="34" cm="1">
        <f t="array" ref="M155">_xlfn.IFS(TablaSTOCKINV[[#This Row],[CANT. TOTAL]]&lt;=0,1,TablaSTOCKINV[[#This Row],[CANT. TOTAL]]&lt;=TablaSTOCKINV[[#This Row],[MIN]],2,TablaSTOCKINV[[#This Row],[CANT. TOTAL]]&gt;TablaSTOCKINV[[#This Row],[MIN]],3)</f>
        <v>3</v>
      </c>
      <c r="N155" s="34">
        <f>TablaSTOCKINV[[#This Row],[ENTRADAS]]-TablaSTOCKINV[[#This Row],[SALIDAS]]</f>
        <v>2</v>
      </c>
      <c r="O155" s="35">
        <f>SUMIFS(TablaENTRADA[CANT],TablaENTRADA[SKU],TablaSTOCKINV[[#This Row],[SKU]])</f>
        <v>2</v>
      </c>
      <c r="P155" s="35">
        <f>SUMIFS(TablaSALIDA[CANT],TablaSALIDA[SKU],TablaSTOCKINV[[#This Row],[SKU]])</f>
        <v>0</v>
      </c>
      <c r="Q155" s="34">
        <f>_xlfn.XLOOKUP(TablaSTOCKINV[[#This Row],[SKU]],TablaINVENTARIO[SKU],TablaINVENTARIO[PRECIO])</f>
        <v>0</v>
      </c>
      <c r="R155" s="34">
        <f>TablaSTOCKINV[[#This Row],[P.UNITARIO]]*TablaSTOCKINV[[#This Row],[CANT. TOTAL]]</f>
        <v>0</v>
      </c>
      <c r="S155" s="44">
        <f>_xlfn.XLOOKUP(TablaSTOCKINV[[#This Row],[SKU]],TablaINVENTARIO[SKU],TablaINVENTARIO[FECHA INGRESO])</f>
        <v>46023</v>
      </c>
      <c r="T155" s="44">
        <f>_xlfn.XLOOKUP(TablaSTOCKINV[[#This Row],[SKU]],TablaENTRADA[SKU],TablaENTRADA[FECHA],,0,-1)</f>
        <v>46023</v>
      </c>
      <c r="U155" s="46" t="str">
        <f>IFERROR((_xlfn.XLOOKUP(TablaSTOCKINV[[#This Row],[SKU]],TablaSALIDA[SKU],TablaSALIDA[FECHA],,0,-1))," " )</f>
        <v xml:space="preserve"> </v>
      </c>
    </row>
    <row r="156" spans="1:21" x14ac:dyDescent="0.3">
      <c r="A156" s="27" t="s">
        <v>2123</v>
      </c>
      <c r="B156" s="32" t="str">
        <f>_xlfn.XLOOKUP(TablaSTOCKINV[[#This Row],[SKU]],TablaINVENTARIO[SKU],TablaINVENTARIO[DESCRIPCION])</f>
        <v>VENDA ELASTICA ORTOPEDICA 8CM</v>
      </c>
      <c r="C156" s="32" t="str">
        <f>_xlfn.XLOOKUP(TablaSTOCKINV[[#This Row],[SKU]],TablaINVENTARIO[SKU],TablaINVENTARIO[MARCA])</f>
        <v>SAITO</v>
      </c>
      <c r="D156" s="33" t="str">
        <f>_xlfn.XLOOKUP(TablaSTOCKINV[[#This Row],[SKU]],TablaINVENTARIO[SKU],TablaINVENTARIO[CATEGORIA])</f>
        <v xml:space="preserve">MEDICAMENTOS </v>
      </c>
      <c r="E156" s="33" t="str">
        <f>_xlfn.XLOOKUP(TablaSTOCKINV[[#This Row],[SKU]],TablaINVENTARIO[SKU],TablaINVENTARIO[SUBCATEGORIA])</f>
        <v xml:space="preserve">PRIMEROS AUXILIOS </v>
      </c>
      <c r="F156" s="33" t="str">
        <f>_xlfn.XLOOKUP(TablaSTOCKINV[[#This Row],[SKU]],TablaINVENTARIO[SKU],TablaINVENTARIO[ESTADO])</f>
        <v xml:space="preserve">NUEVO </v>
      </c>
      <c r="G156" s="33" t="str">
        <f>_xlfn.XLOOKUP(TablaSTOCKINV[[#This Row],[SKU]],TablaINVENTARIO[SKU],TablaINVENTARIO[MEDIDA])</f>
        <v xml:space="preserve">UND </v>
      </c>
      <c r="H156" s="33" t="str">
        <f>_xlfn.XLOOKUP(TablaSTOCKINV[[#This Row],[SKU]],TablaINVENTARIO[SKU],TablaINVENTARIO[SERIAL])</f>
        <v>N/A</v>
      </c>
      <c r="I156" s="34" t="str">
        <f>_xlfn.XLOOKUP(TablaSTOCKINV[[#This Row],[SKU]],TablaINVENTARIO[SKU],TablaINVENTARIO[ALMACEN])</f>
        <v>ALMACEN PRINCIPAL</v>
      </c>
      <c r="J156" s="34" t="str">
        <f>_xlfn.XLOOKUP(TablaSTOCKINV[[#This Row],[SKU]],TablaINVENTARIO[SKU],TablaINVENTARIO[UBICACION])</f>
        <v>1A</v>
      </c>
      <c r="K156" s="34" t="str">
        <f>_xlfn.XLOOKUP(TablaSTOCKINV[[#This Row],[SKU]],TablaINVENTARIO[SKU],TablaINVENTARIO[DPTO RESPONSABLE])</f>
        <v xml:space="preserve">CONSUMO GENERAL </v>
      </c>
      <c r="L156" s="36">
        <f>_xlfn.XLOOKUP(TablaSTOCKINV[[#This Row],[SKU]],TablaINVENTARIO[SKU],TablaINVENTARIO[RANGO MIN])</f>
        <v>0</v>
      </c>
      <c r="M156" s="34" cm="1">
        <f t="array" ref="M156">_xlfn.IFS(TablaSTOCKINV[[#This Row],[CANT. TOTAL]]&lt;=0,1,TablaSTOCKINV[[#This Row],[CANT. TOTAL]]&lt;=TablaSTOCKINV[[#This Row],[MIN]],2,TablaSTOCKINV[[#This Row],[CANT. TOTAL]]&gt;TablaSTOCKINV[[#This Row],[MIN]],3)</f>
        <v>3</v>
      </c>
      <c r="N156" s="34">
        <f>TablaSTOCKINV[[#This Row],[ENTRADAS]]-TablaSTOCKINV[[#This Row],[SALIDAS]]</f>
        <v>1</v>
      </c>
      <c r="O156" s="35">
        <f>SUMIFS(TablaENTRADA[CANT],TablaENTRADA[SKU],TablaSTOCKINV[[#This Row],[SKU]])</f>
        <v>1</v>
      </c>
      <c r="P156" s="35">
        <f>SUMIFS(TablaSALIDA[CANT],TablaSALIDA[SKU],TablaSTOCKINV[[#This Row],[SKU]])</f>
        <v>0</v>
      </c>
      <c r="Q156" s="34">
        <f>_xlfn.XLOOKUP(TablaSTOCKINV[[#This Row],[SKU]],TablaINVENTARIO[SKU],TablaINVENTARIO[PRECIO])</f>
        <v>0</v>
      </c>
      <c r="R156" s="34">
        <f>TablaSTOCKINV[[#This Row],[P.UNITARIO]]*TablaSTOCKINV[[#This Row],[CANT. TOTAL]]</f>
        <v>0</v>
      </c>
      <c r="S156" s="44">
        <f>_xlfn.XLOOKUP(TablaSTOCKINV[[#This Row],[SKU]],TablaINVENTARIO[SKU],TablaINVENTARIO[FECHA INGRESO])</f>
        <v>46023</v>
      </c>
      <c r="T156" s="44">
        <f>_xlfn.XLOOKUP(TablaSTOCKINV[[#This Row],[SKU]],TablaENTRADA[SKU],TablaENTRADA[FECHA],,0,-1)</f>
        <v>46023</v>
      </c>
      <c r="U156" s="46" t="str">
        <f>IFERROR((_xlfn.XLOOKUP(TablaSTOCKINV[[#This Row],[SKU]],TablaSALIDA[SKU],TablaSALIDA[FECHA],,0,-1))," " )</f>
        <v xml:space="preserve"> </v>
      </c>
    </row>
    <row r="157" spans="1:21" x14ac:dyDescent="0.3">
      <c r="A157" s="27" t="s">
        <v>2126</v>
      </c>
      <c r="B157" s="32" t="str">
        <f>_xlfn.XLOOKUP(TablaSTOCKINV[[#This Row],[SKU]],TablaINVENTARIO[SKU],TablaINVENTARIO[DESCRIPCION])</f>
        <v xml:space="preserve">YODO </v>
      </c>
      <c r="C157" s="32" t="str">
        <f>_xlfn.XLOOKUP(TablaSTOCKINV[[#This Row],[SKU]],TablaINVENTARIO[SKU],TablaINVENTARIO[MARCA])</f>
        <v>N/A</v>
      </c>
      <c r="D157" s="33" t="str">
        <f>_xlfn.XLOOKUP(TablaSTOCKINV[[#This Row],[SKU]],TablaINVENTARIO[SKU],TablaINVENTARIO[CATEGORIA])</f>
        <v xml:space="preserve">MEDICAMENTOS </v>
      </c>
      <c r="E157" s="33" t="str">
        <f>_xlfn.XLOOKUP(TablaSTOCKINV[[#This Row],[SKU]],TablaINVENTARIO[SKU],TablaINVENTARIO[SUBCATEGORIA])</f>
        <v>ANTISEPTICO</v>
      </c>
      <c r="F157" s="33" t="str">
        <f>_xlfn.XLOOKUP(TablaSTOCKINV[[#This Row],[SKU]],TablaINVENTARIO[SKU],TablaINVENTARIO[ESTADO])</f>
        <v xml:space="preserve">NUEVO </v>
      </c>
      <c r="G157" s="33" t="str">
        <f>_xlfn.XLOOKUP(TablaSTOCKINV[[#This Row],[SKU]],TablaINVENTARIO[SKU],TablaINVENTARIO[MEDIDA])</f>
        <v xml:space="preserve">UND </v>
      </c>
      <c r="H157" s="33" t="str">
        <f>_xlfn.XLOOKUP(TablaSTOCKINV[[#This Row],[SKU]],TablaINVENTARIO[SKU],TablaINVENTARIO[SERIAL])</f>
        <v>N/A</v>
      </c>
      <c r="I157" s="34" t="str">
        <f>_xlfn.XLOOKUP(TablaSTOCKINV[[#This Row],[SKU]],TablaINVENTARIO[SKU],TablaINVENTARIO[ALMACEN])</f>
        <v>ALMACEN PRINCIPAL</v>
      </c>
      <c r="J157" s="34" t="str">
        <f>_xlfn.XLOOKUP(TablaSTOCKINV[[#This Row],[SKU]],TablaINVENTARIO[SKU],TablaINVENTARIO[UBICACION])</f>
        <v>1A</v>
      </c>
      <c r="K157" s="34" t="str">
        <f>_xlfn.XLOOKUP(TablaSTOCKINV[[#This Row],[SKU]],TablaINVENTARIO[SKU],TablaINVENTARIO[DPTO RESPONSABLE])</f>
        <v xml:space="preserve">CONSUMO GENERAL </v>
      </c>
      <c r="L157" s="36">
        <f>_xlfn.XLOOKUP(TablaSTOCKINV[[#This Row],[SKU]],TablaINVENTARIO[SKU],TablaINVENTARIO[RANGO MIN])</f>
        <v>0</v>
      </c>
      <c r="M157" s="34" cm="1">
        <f t="array" ref="M157">_xlfn.IFS(TablaSTOCKINV[[#This Row],[CANT. TOTAL]]&lt;=0,1,TablaSTOCKINV[[#This Row],[CANT. TOTAL]]&lt;=TablaSTOCKINV[[#This Row],[MIN]],2,TablaSTOCKINV[[#This Row],[CANT. TOTAL]]&gt;TablaSTOCKINV[[#This Row],[MIN]],3)</f>
        <v>3</v>
      </c>
      <c r="N157" s="34">
        <f>TablaSTOCKINV[[#This Row],[ENTRADAS]]-TablaSTOCKINV[[#This Row],[SALIDAS]]</f>
        <v>1</v>
      </c>
      <c r="O157" s="35">
        <f>SUMIFS(TablaENTRADA[CANT],TablaENTRADA[SKU],TablaSTOCKINV[[#This Row],[SKU]])</f>
        <v>1</v>
      </c>
      <c r="P157" s="35">
        <f>SUMIFS(TablaSALIDA[CANT],TablaSALIDA[SKU],TablaSTOCKINV[[#This Row],[SKU]])</f>
        <v>0</v>
      </c>
      <c r="Q157" s="34">
        <f>_xlfn.XLOOKUP(TablaSTOCKINV[[#This Row],[SKU]],TablaINVENTARIO[SKU],TablaINVENTARIO[PRECIO])</f>
        <v>0</v>
      </c>
      <c r="R157" s="34">
        <f>TablaSTOCKINV[[#This Row],[P.UNITARIO]]*TablaSTOCKINV[[#This Row],[CANT. TOTAL]]</f>
        <v>0</v>
      </c>
      <c r="S157" s="44">
        <f>_xlfn.XLOOKUP(TablaSTOCKINV[[#This Row],[SKU]],TablaINVENTARIO[SKU],TablaINVENTARIO[FECHA INGRESO])</f>
        <v>46023</v>
      </c>
      <c r="T157" s="44">
        <f>_xlfn.XLOOKUP(TablaSTOCKINV[[#This Row],[SKU]],TablaENTRADA[SKU],TablaENTRADA[FECHA],,0,-1)</f>
        <v>46023</v>
      </c>
      <c r="U157" s="46" t="str">
        <f>IFERROR((_xlfn.XLOOKUP(TablaSTOCKINV[[#This Row],[SKU]],TablaSALIDA[SKU],TablaSALIDA[FECHA],,0,-1))," " )</f>
        <v xml:space="preserve"> </v>
      </c>
    </row>
    <row r="158" spans="1:21" x14ac:dyDescent="0.3">
      <c r="A158" s="27" t="s">
        <v>2128</v>
      </c>
      <c r="B158" s="32" t="str">
        <f>_xlfn.XLOOKUP(TablaSTOCKINV[[#This Row],[SKU]],TablaINVENTARIO[SKU],TablaINVENTARIO[DESCRIPCION])</f>
        <v>CURITAS MIXTAS</v>
      </c>
      <c r="C158" s="32" t="str">
        <f>_xlfn.XLOOKUP(TablaSTOCKINV[[#This Row],[SKU]],TablaINVENTARIO[SKU],TablaINVENTARIO[MARCA])</f>
        <v>BRIUTCARE</v>
      </c>
      <c r="D158" s="33" t="str">
        <f>_xlfn.XLOOKUP(TablaSTOCKINV[[#This Row],[SKU]],TablaINVENTARIO[SKU],TablaINVENTARIO[CATEGORIA])</f>
        <v xml:space="preserve">MEDICAMENTOS </v>
      </c>
      <c r="E158" s="33" t="str">
        <f>_xlfn.XLOOKUP(TablaSTOCKINV[[#This Row],[SKU]],TablaINVENTARIO[SKU],TablaINVENTARIO[SUBCATEGORIA])</f>
        <v xml:space="preserve">PRIMEROS AUXILIOS </v>
      </c>
      <c r="F158" s="33" t="str">
        <f>_xlfn.XLOOKUP(TablaSTOCKINV[[#This Row],[SKU]],TablaINVENTARIO[SKU],TablaINVENTARIO[ESTADO])</f>
        <v xml:space="preserve">NUEVO </v>
      </c>
      <c r="G158" s="33" t="str">
        <f>_xlfn.XLOOKUP(TablaSTOCKINV[[#This Row],[SKU]],TablaINVENTARIO[SKU],TablaINVENTARIO[MEDIDA])</f>
        <v xml:space="preserve">UND </v>
      </c>
      <c r="H158" s="33" t="str">
        <f>_xlfn.XLOOKUP(TablaSTOCKINV[[#This Row],[SKU]],TablaINVENTARIO[SKU],TablaINVENTARIO[SERIAL])</f>
        <v>N/A</v>
      </c>
      <c r="I158" s="34" t="str">
        <f>_xlfn.XLOOKUP(TablaSTOCKINV[[#This Row],[SKU]],TablaINVENTARIO[SKU],TablaINVENTARIO[ALMACEN])</f>
        <v>ALMACEN PRINCIPAL</v>
      </c>
      <c r="J158" s="34" t="str">
        <f>_xlfn.XLOOKUP(TablaSTOCKINV[[#This Row],[SKU]],TablaINVENTARIO[SKU],TablaINVENTARIO[UBICACION])</f>
        <v>1A</v>
      </c>
      <c r="K158" s="34" t="str">
        <f>_xlfn.XLOOKUP(TablaSTOCKINV[[#This Row],[SKU]],TablaINVENTARIO[SKU],TablaINVENTARIO[DPTO RESPONSABLE])</f>
        <v xml:space="preserve">CONSUMO GENERAL </v>
      </c>
      <c r="L158" s="36">
        <f>_xlfn.XLOOKUP(TablaSTOCKINV[[#This Row],[SKU]],TablaINVENTARIO[SKU],TablaINVENTARIO[RANGO MIN])</f>
        <v>0</v>
      </c>
      <c r="M158" s="34" cm="1">
        <f t="array" ref="M158">_xlfn.IFS(TablaSTOCKINV[[#This Row],[CANT. TOTAL]]&lt;=0,1,TablaSTOCKINV[[#This Row],[CANT. TOTAL]]&lt;=TablaSTOCKINV[[#This Row],[MIN]],2,TablaSTOCKINV[[#This Row],[CANT. TOTAL]]&gt;TablaSTOCKINV[[#This Row],[MIN]],3)</f>
        <v>3</v>
      </c>
      <c r="N158" s="34">
        <f>TablaSTOCKINV[[#This Row],[ENTRADAS]]-TablaSTOCKINV[[#This Row],[SALIDAS]]</f>
        <v>17</v>
      </c>
      <c r="O158" s="35">
        <f>SUMIFS(TablaENTRADA[CANT],TablaENTRADA[SKU],TablaSTOCKINV[[#This Row],[SKU]])</f>
        <v>17</v>
      </c>
      <c r="P158" s="35">
        <f>SUMIFS(TablaSALIDA[CANT],TablaSALIDA[SKU],TablaSTOCKINV[[#This Row],[SKU]])</f>
        <v>0</v>
      </c>
      <c r="Q158" s="34">
        <f>_xlfn.XLOOKUP(TablaSTOCKINV[[#This Row],[SKU]],TablaINVENTARIO[SKU],TablaINVENTARIO[PRECIO])</f>
        <v>0</v>
      </c>
      <c r="R158" s="34">
        <f>TablaSTOCKINV[[#This Row],[P.UNITARIO]]*TablaSTOCKINV[[#This Row],[CANT. TOTAL]]</f>
        <v>0</v>
      </c>
      <c r="S158" s="44">
        <f>_xlfn.XLOOKUP(TablaSTOCKINV[[#This Row],[SKU]],TablaINVENTARIO[SKU],TablaINVENTARIO[FECHA INGRESO])</f>
        <v>46023</v>
      </c>
      <c r="T158" s="44">
        <f>_xlfn.XLOOKUP(TablaSTOCKINV[[#This Row],[SKU]],TablaENTRADA[SKU],TablaENTRADA[FECHA],,0,-1)</f>
        <v>46023</v>
      </c>
      <c r="U158" s="46" t="str">
        <f>IFERROR((_xlfn.XLOOKUP(TablaSTOCKINV[[#This Row],[SKU]],TablaSALIDA[SKU],TablaSALIDA[FECHA],,0,-1))," " )</f>
        <v xml:space="preserve"> </v>
      </c>
    </row>
    <row r="159" spans="1:21" x14ac:dyDescent="0.3">
      <c r="A159" s="27" t="s">
        <v>2131</v>
      </c>
      <c r="B159" s="32" t="str">
        <f>_xlfn.XLOOKUP(TablaSTOCKINV[[#This Row],[SKU]],TablaINVENTARIO[SKU],TablaINVENTARIO[DESCRIPCION])</f>
        <v xml:space="preserve">CURITAS FLEX </v>
      </c>
      <c r="C159" s="32" t="str">
        <f>_xlfn.XLOOKUP(TablaSTOCKINV[[#This Row],[SKU]],TablaINVENTARIO[SKU],TablaINVENTARIO[MARCA])</f>
        <v>BRIUTCARE</v>
      </c>
      <c r="D159" s="33" t="str">
        <f>_xlfn.XLOOKUP(TablaSTOCKINV[[#This Row],[SKU]],TablaINVENTARIO[SKU],TablaINVENTARIO[CATEGORIA])</f>
        <v xml:space="preserve">MEDICAMENTOS </v>
      </c>
      <c r="E159" s="33" t="str">
        <f>_xlfn.XLOOKUP(TablaSTOCKINV[[#This Row],[SKU]],TablaINVENTARIO[SKU],TablaINVENTARIO[SUBCATEGORIA])</f>
        <v xml:space="preserve">PRIMEROS AUXILIOS </v>
      </c>
      <c r="F159" s="33" t="str">
        <f>_xlfn.XLOOKUP(TablaSTOCKINV[[#This Row],[SKU]],TablaINVENTARIO[SKU],TablaINVENTARIO[ESTADO])</f>
        <v xml:space="preserve">NUEVO </v>
      </c>
      <c r="G159" s="33" t="str">
        <f>_xlfn.XLOOKUP(TablaSTOCKINV[[#This Row],[SKU]],TablaINVENTARIO[SKU],TablaINVENTARIO[MEDIDA])</f>
        <v xml:space="preserve">UND </v>
      </c>
      <c r="H159" s="33" t="str">
        <f>_xlfn.XLOOKUP(TablaSTOCKINV[[#This Row],[SKU]],TablaINVENTARIO[SKU],TablaINVENTARIO[SERIAL])</f>
        <v>N/A</v>
      </c>
      <c r="I159" s="34" t="str">
        <f>_xlfn.XLOOKUP(TablaSTOCKINV[[#This Row],[SKU]],TablaINVENTARIO[SKU],TablaINVENTARIO[ALMACEN])</f>
        <v>ALMACEN PRINCIPAL</v>
      </c>
      <c r="J159" s="34" t="str">
        <f>_xlfn.XLOOKUP(TablaSTOCKINV[[#This Row],[SKU]],TablaINVENTARIO[SKU],TablaINVENTARIO[UBICACION])</f>
        <v>1A</v>
      </c>
      <c r="K159" s="34" t="str">
        <f>_xlfn.XLOOKUP(TablaSTOCKINV[[#This Row],[SKU]],TablaINVENTARIO[SKU],TablaINVENTARIO[DPTO RESPONSABLE])</f>
        <v xml:space="preserve">CONSUMO GENERAL </v>
      </c>
      <c r="L159" s="36">
        <f>_xlfn.XLOOKUP(TablaSTOCKINV[[#This Row],[SKU]],TablaINVENTARIO[SKU],TablaINVENTARIO[RANGO MIN])</f>
        <v>0</v>
      </c>
      <c r="M159" s="34" cm="1">
        <f t="array" ref="M159">_xlfn.IFS(TablaSTOCKINV[[#This Row],[CANT. TOTAL]]&lt;=0,1,TablaSTOCKINV[[#This Row],[CANT. TOTAL]]&lt;=TablaSTOCKINV[[#This Row],[MIN]],2,TablaSTOCKINV[[#This Row],[CANT. TOTAL]]&gt;TablaSTOCKINV[[#This Row],[MIN]],3)</f>
        <v>3</v>
      </c>
      <c r="N159" s="34">
        <f>TablaSTOCKINV[[#This Row],[ENTRADAS]]-TablaSTOCKINV[[#This Row],[SALIDAS]]</f>
        <v>18</v>
      </c>
      <c r="O159" s="35">
        <f>SUMIFS(TablaENTRADA[CANT],TablaENTRADA[SKU],TablaSTOCKINV[[#This Row],[SKU]])</f>
        <v>18</v>
      </c>
      <c r="P159" s="35">
        <f>SUMIFS(TablaSALIDA[CANT],TablaSALIDA[SKU],TablaSTOCKINV[[#This Row],[SKU]])</f>
        <v>0</v>
      </c>
      <c r="Q159" s="34">
        <f>_xlfn.XLOOKUP(TablaSTOCKINV[[#This Row],[SKU]],TablaINVENTARIO[SKU],TablaINVENTARIO[PRECIO])</f>
        <v>0</v>
      </c>
      <c r="R159" s="34">
        <f>TablaSTOCKINV[[#This Row],[P.UNITARIO]]*TablaSTOCKINV[[#This Row],[CANT. TOTAL]]</f>
        <v>0</v>
      </c>
      <c r="S159" s="44">
        <f>_xlfn.XLOOKUP(TablaSTOCKINV[[#This Row],[SKU]],TablaINVENTARIO[SKU],TablaINVENTARIO[FECHA INGRESO])</f>
        <v>46023</v>
      </c>
      <c r="T159" s="44">
        <f>_xlfn.XLOOKUP(TablaSTOCKINV[[#This Row],[SKU]],TablaENTRADA[SKU],TablaENTRADA[FECHA],,0,-1)</f>
        <v>46023</v>
      </c>
      <c r="U159" s="46" t="str">
        <f>IFERROR((_xlfn.XLOOKUP(TablaSTOCKINV[[#This Row],[SKU]],TablaSALIDA[SKU],TablaSALIDA[FECHA],,0,-1))," " )</f>
        <v xml:space="preserve"> </v>
      </c>
    </row>
    <row r="160" spans="1:21" x14ac:dyDescent="0.3">
      <c r="A160" s="27" t="s">
        <v>2133</v>
      </c>
      <c r="B160" s="32" t="str">
        <f>_xlfn.XLOOKUP(TablaSTOCKINV[[#This Row],[SKU]],TablaINVENTARIO[SKU],TablaINVENTARIO[DESCRIPCION])</f>
        <v>TENSIOMETRO DIGITAL</v>
      </c>
      <c r="C160" s="32" t="str">
        <f>_xlfn.XLOOKUP(TablaSTOCKINV[[#This Row],[SKU]],TablaINVENTARIO[SKU],TablaINVENTARIO[MARCA])</f>
        <v>N/A</v>
      </c>
      <c r="D160" s="33" t="str">
        <f>_xlfn.XLOOKUP(TablaSTOCKINV[[#This Row],[SKU]],TablaINVENTARIO[SKU],TablaINVENTARIO[CATEGORIA])</f>
        <v xml:space="preserve">MEDICAMENTOS </v>
      </c>
      <c r="E160" s="33" t="str">
        <f>_xlfn.XLOOKUP(TablaSTOCKINV[[#This Row],[SKU]],TablaINVENTARIO[SKU],TablaINVENTARIO[SUBCATEGORIA])</f>
        <v xml:space="preserve">PRIMEROS AUXILIOS </v>
      </c>
      <c r="F160" s="33" t="str">
        <f>_xlfn.XLOOKUP(TablaSTOCKINV[[#This Row],[SKU]],TablaINVENTARIO[SKU],TablaINVENTARIO[ESTADO])</f>
        <v xml:space="preserve">NUEVO </v>
      </c>
      <c r="G160" s="33" t="str">
        <f>_xlfn.XLOOKUP(TablaSTOCKINV[[#This Row],[SKU]],TablaINVENTARIO[SKU],TablaINVENTARIO[MEDIDA])</f>
        <v xml:space="preserve">UND </v>
      </c>
      <c r="H160" s="33" t="str">
        <f>_xlfn.XLOOKUP(TablaSTOCKINV[[#This Row],[SKU]],TablaINVENTARIO[SKU],TablaINVENTARIO[SERIAL])</f>
        <v>N/A</v>
      </c>
      <c r="I160" s="34" t="str">
        <f>_xlfn.XLOOKUP(TablaSTOCKINV[[#This Row],[SKU]],TablaINVENTARIO[SKU],TablaINVENTARIO[ALMACEN])</f>
        <v>ALMACEN PRINCIPAL</v>
      </c>
      <c r="J160" s="34" t="str">
        <f>_xlfn.XLOOKUP(TablaSTOCKINV[[#This Row],[SKU]],TablaINVENTARIO[SKU],TablaINVENTARIO[UBICACION])</f>
        <v>1A</v>
      </c>
      <c r="K160" s="34" t="str">
        <f>_xlfn.XLOOKUP(TablaSTOCKINV[[#This Row],[SKU]],TablaINVENTARIO[SKU],TablaINVENTARIO[DPTO RESPONSABLE])</f>
        <v xml:space="preserve">CONSUMO GENERAL </v>
      </c>
      <c r="L160" s="36">
        <f>_xlfn.XLOOKUP(TablaSTOCKINV[[#This Row],[SKU]],TablaINVENTARIO[SKU],TablaINVENTARIO[RANGO MIN])</f>
        <v>0</v>
      </c>
      <c r="M160" s="34" cm="1">
        <f t="array" ref="M160">_xlfn.IFS(TablaSTOCKINV[[#This Row],[CANT. TOTAL]]&lt;=0,1,TablaSTOCKINV[[#This Row],[CANT. TOTAL]]&lt;=TablaSTOCKINV[[#This Row],[MIN]],2,TablaSTOCKINV[[#This Row],[CANT. TOTAL]]&gt;TablaSTOCKINV[[#This Row],[MIN]],3)</f>
        <v>3</v>
      </c>
      <c r="N160" s="34">
        <f>TablaSTOCKINV[[#This Row],[ENTRADAS]]-TablaSTOCKINV[[#This Row],[SALIDAS]]</f>
        <v>18</v>
      </c>
      <c r="O160" s="35">
        <f>SUMIFS(TablaENTRADA[CANT],TablaENTRADA[SKU],TablaSTOCKINV[[#This Row],[SKU]])</f>
        <v>18</v>
      </c>
      <c r="P160" s="35">
        <f>SUMIFS(TablaSALIDA[CANT],TablaSALIDA[SKU],TablaSTOCKINV[[#This Row],[SKU]])</f>
        <v>0</v>
      </c>
      <c r="Q160" s="34">
        <f>_xlfn.XLOOKUP(TablaSTOCKINV[[#This Row],[SKU]],TablaINVENTARIO[SKU],TablaINVENTARIO[PRECIO])</f>
        <v>0</v>
      </c>
      <c r="R160" s="34">
        <f>TablaSTOCKINV[[#This Row],[P.UNITARIO]]*TablaSTOCKINV[[#This Row],[CANT. TOTAL]]</f>
        <v>0</v>
      </c>
      <c r="S160" s="44">
        <f>_xlfn.XLOOKUP(TablaSTOCKINV[[#This Row],[SKU]],TablaINVENTARIO[SKU],TablaINVENTARIO[FECHA INGRESO])</f>
        <v>46023</v>
      </c>
      <c r="T160" s="44">
        <f>_xlfn.XLOOKUP(TablaSTOCKINV[[#This Row],[SKU]],TablaENTRADA[SKU],TablaENTRADA[FECHA],,0,-1)</f>
        <v>46023</v>
      </c>
      <c r="U160" s="46" t="str">
        <f>IFERROR((_xlfn.XLOOKUP(TablaSTOCKINV[[#This Row],[SKU]],TablaSALIDA[SKU],TablaSALIDA[FECHA],,0,-1))," " )</f>
        <v xml:space="preserve"> </v>
      </c>
    </row>
    <row r="161" spans="1:21" x14ac:dyDescent="0.3">
      <c r="A161" s="27" t="s">
        <v>2135</v>
      </c>
      <c r="B161" s="32" t="str">
        <f>_xlfn.XLOOKUP(TablaSTOCKINV[[#This Row],[SKU]],TablaINVENTARIO[SKU],TablaINVENTARIO[DESCRIPCION])</f>
        <v>ESPONJA DE GASA 3" X 3"</v>
      </c>
      <c r="C161" s="32" t="str">
        <f>_xlfn.XLOOKUP(TablaSTOCKINV[[#This Row],[SKU]],TablaINVENTARIO[SKU],TablaINVENTARIO[MARCA])</f>
        <v xml:space="preserve">ALGOBAP </v>
      </c>
      <c r="D161" s="33" t="str">
        <f>_xlfn.XLOOKUP(TablaSTOCKINV[[#This Row],[SKU]],TablaINVENTARIO[SKU],TablaINVENTARIO[CATEGORIA])</f>
        <v xml:space="preserve">MEDICAMENTOS </v>
      </c>
      <c r="E161" s="33" t="str">
        <f>_xlfn.XLOOKUP(TablaSTOCKINV[[#This Row],[SKU]],TablaINVENTARIO[SKU],TablaINVENTARIO[SUBCATEGORIA])</f>
        <v xml:space="preserve">PRIMEROS AUXILIOS </v>
      </c>
      <c r="F161" s="33" t="str">
        <f>_xlfn.XLOOKUP(TablaSTOCKINV[[#This Row],[SKU]],TablaINVENTARIO[SKU],TablaINVENTARIO[ESTADO])</f>
        <v xml:space="preserve">NUEVO </v>
      </c>
      <c r="G161" s="33" t="str">
        <f>_xlfn.XLOOKUP(TablaSTOCKINV[[#This Row],[SKU]],TablaINVENTARIO[SKU],TablaINVENTARIO[MEDIDA])</f>
        <v xml:space="preserve">UND </v>
      </c>
      <c r="H161" s="33" t="str">
        <f>_xlfn.XLOOKUP(TablaSTOCKINV[[#This Row],[SKU]],TablaINVENTARIO[SKU],TablaINVENTARIO[SERIAL])</f>
        <v>N/A</v>
      </c>
      <c r="I161" s="34" t="str">
        <f>_xlfn.XLOOKUP(TablaSTOCKINV[[#This Row],[SKU]],TablaINVENTARIO[SKU],TablaINVENTARIO[ALMACEN])</f>
        <v>ALMACEN PRINCIPAL</v>
      </c>
      <c r="J161" s="34" t="str">
        <f>_xlfn.XLOOKUP(TablaSTOCKINV[[#This Row],[SKU]],TablaINVENTARIO[SKU],TablaINVENTARIO[UBICACION])</f>
        <v>1A</v>
      </c>
      <c r="K161" s="34" t="str">
        <f>_xlfn.XLOOKUP(TablaSTOCKINV[[#This Row],[SKU]],TablaINVENTARIO[SKU],TablaINVENTARIO[DPTO RESPONSABLE])</f>
        <v xml:space="preserve">CONSUMO GENERAL </v>
      </c>
      <c r="L161" s="36">
        <f>_xlfn.XLOOKUP(TablaSTOCKINV[[#This Row],[SKU]],TablaINVENTARIO[SKU],TablaINVENTARIO[RANGO MIN])</f>
        <v>0</v>
      </c>
      <c r="M161" s="34" cm="1">
        <f t="array" ref="M161">_xlfn.IFS(TablaSTOCKINV[[#This Row],[CANT. TOTAL]]&lt;=0,1,TablaSTOCKINV[[#This Row],[CANT. TOTAL]]&lt;=TablaSTOCKINV[[#This Row],[MIN]],2,TablaSTOCKINV[[#This Row],[CANT. TOTAL]]&gt;TablaSTOCKINV[[#This Row],[MIN]],3)</f>
        <v>3</v>
      </c>
      <c r="N161" s="34">
        <f>TablaSTOCKINV[[#This Row],[ENTRADAS]]-TablaSTOCKINV[[#This Row],[SALIDAS]]</f>
        <v>1</v>
      </c>
      <c r="O161" s="35">
        <f>SUMIFS(TablaENTRADA[CANT],TablaENTRADA[SKU],TablaSTOCKINV[[#This Row],[SKU]])</f>
        <v>1</v>
      </c>
      <c r="P161" s="35">
        <f>SUMIFS(TablaSALIDA[CANT],TablaSALIDA[SKU],TablaSTOCKINV[[#This Row],[SKU]])</f>
        <v>0</v>
      </c>
      <c r="Q161" s="34">
        <f>_xlfn.XLOOKUP(TablaSTOCKINV[[#This Row],[SKU]],TablaINVENTARIO[SKU],TablaINVENTARIO[PRECIO])</f>
        <v>0</v>
      </c>
      <c r="R161" s="34">
        <f>TablaSTOCKINV[[#This Row],[P.UNITARIO]]*TablaSTOCKINV[[#This Row],[CANT. TOTAL]]</f>
        <v>0</v>
      </c>
      <c r="S161" s="44">
        <f>_xlfn.XLOOKUP(TablaSTOCKINV[[#This Row],[SKU]],TablaINVENTARIO[SKU],TablaINVENTARIO[FECHA INGRESO])</f>
        <v>46023</v>
      </c>
      <c r="T161" s="44">
        <f>_xlfn.XLOOKUP(TablaSTOCKINV[[#This Row],[SKU]],TablaENTRADA[SKU],TablaENTRADA[FECHA],,0,-1)</f>
        <v>46023</v>
      </c>
      <c r="U161" s="46" t="str">
        <f>IFERROR((_xlfn.XLOOKUP(TablaSTOCKINV[[#This Row],[SKU]],TablaSALIDA[SKU],TablaSALIDA[FECHA],,0,-1))," " )</f>
        <v xml:space="preserve"> </v>
      </c>
    </row>
    <row r="162" spans="1:21" x14ac:dyDescent="0.3">
      <c r="A162" s="27" t="s">
        <v>2138</v>
      </c>
      <c r="B162" s="32" t="str">
        <f>_xlfn.XLOOKUP(TablaSTOCKINV[[#This Row],[SKU]],TablaINVENTARIO[SKU],TablaINVENTARIO[DESCRIPCION])</f>
        <v>ESPONJA DE GASA 4" X 4"</v>
      </c>
      <c r="C162" s="32" t="str">
        <f>_xlfn.XLOOKUP(TablaSTOCKINV[[#This Row],[SKU]],TablaINVENTARIO[SKU],TablaINVENTARIO[MARCA])</f>
        <v xml:space="preserve">ALGOBAP </v>
      </c>
      <c r="D162" s="33" t="str">
        <f>_xlfn.XLOOKUP(TablaSTOCKINV[[#This Row],[SKU]],TablaINVENTARIO[SKU],TablaINVENTARIO[CATEGORIA])</f>
        <v xml:space="preserve">MEDICAMENTOS </v>
      </c>
      <c r="E162" s="33" t="str">
        <f>_xlfn.XLOOKUP(TablaSTOCKINV[[#This Row],[SKU]],TablaINVENTARIO[SKU],TablaINVENTARIO[SUBCATEGORIA])</f>
        <v xml:space="preserve">PRIMEROS AUXILIOS </v>
      </c>
      <c r="F162" s="33" t="str">
        <f>_xlfn.XLOOKUP(TablaSTOCKINV[[#This Row],[SKU]],TablaINVENTARIO[SKU],TablaINVENTARIO[ESTADO])</f>
        <v xml:space="preserve">NUEVO </v>
      </c>
      <c r="G162" s="33" t="str">
        <f>_xlfn.XLOOKUP(TablaSTOCKINV[[#This Row],[SKU]],TablaINVENTARIO[SKU],TablaINVENTARIO[MEDIDA])</f>
        <v xml:space="preserve">UND </v>
      </c>
      <c r="H162" s="33" t="str">
        <f>_xlfn.XLOOKUP(TablaSTOCKINV[[#This Row],[SKU]],TablaINVENTARIO[SKU],TablaINVENTARIO[SERIAL])</f>
        <v>N/A</v>
      </c>
      <c r="I162" s="34" t="str">
        <f>_xlfn.XLOOKUP(TablaSTOCKINV[[#This Row],[SKU]],TablaINVENTARIO[SKU],TablaINVENTARIO[ALMACEN])</f>
        <v>ALMACEN PRINCIPAL</v>
      </c>
      <c r="J162" s="34" t="str">
        <f>_xlfn.XLOOKUP(TablaSTOCKINV[[#This Row],[SKU]],TablaINVENTARIO[SKU],TablaINVENTARIO[UBICACION])</f>
        <v>1A</v>
      </c>
      <c r="K162" s="34" t="str">
        <f>_xlfn.XLOOKUP(TablaSTOCKINV[[#This Row],[SKU]],TablaINVENTARIO[SKU],TablaINVENTARIO[DPTO RESPONSABLE])</f>
        <v xml:space="preserve">CONSUMO GENERAL </v>
      </c>
      <c r="L162" s="36">
        <f>_xlfn.XLOOKUP(TablaSTOCKINV[[#This Row],[SKU]],TablaINVENTARIO[SKU],TablaINVENTARIO[RANGO MIN])</f>
        <v>0</v>
      </c>
      <c r="M162" s="34" cm="1">
        <f t="array" ref="M162">_xlfn.IFS(TablaSTOCKINV[[#This Row],[CANT. TOTAL]]&lt;=0,1,TablaSTOCKINV[[#This Row],[CANT. TOTAL]]&lt;=TablaSTOCKINV[[#This Row],[MIN]],2,TablaSTOCKINV[[#This Row],[CANT. TOTAL]]&gt;TablaSTOCKINV[[#This Row],[MIN]],3)</f>
        <v>3</v>
      </c>
      <c r="N162" s="34">
        <f>TablaSTOCKINV[[#This Row],[ENTRADAS]]-TablaSTOCKINV[[#This Row],[SALIDAS]]</f>
        <v>2</v>
      </c>
      <c r="O162" s="35">
        <f>SUMIFS(TablaENTRADA[CANT],TablaENTRADA[SKU],TablaSTOCKINV[[#This Row],[SKU]])</f>
        <v>2</v>
      </c>
      <c r="P162" s="35">
        <f>SUMIFS(TablaSALIDA[CANT],TablaSALIDA[SKU],TablaSTOCKINV[[#This Row],[SKU]])</f>
        <v>0</v>
      </c>
      <c r="Q162" s="34">
        <f>_xlfn.XLOOKUP(TablaSTOCKINV[[#This Row],[SKU]],TablaINVENTARIO[SKU],TablaINVENTARIO[PRECIO])</f>
        <v>0</v>
      </c>
      <c r="R162" s="34">
        <f>TablaSTOCKINV[[#This Row],[P.UNITARIO]]*TablaSTOCKINV[[#This Row],[CANT. TOTAL]]</f>
        <v>0</v>
      </c>
      <c r="S162" s="44">
        <f>_xlfn.XLOOKUP(TablaSTOCKINV[[#This Row],[SKU]],TablaINVENTARIO[SKU],TablaINVENTARIO[FECHA INGRESO])</f>
        <v>46023</v>
      </c>
      <c r="T162" s="44">
        <f>_xlfn.XLOOKUP(TablaSTOCKINV[[#This Row],[SKU]],TablaENTRADA[SKU],TablaENTRADA[FECHA],,0,-1)</f>
        <v>46023</v>
      </c>
      <c r="U162" s="46" t="str">
        <f>IFERROR((_xlfn.XLOOKUP(TablaSTOCKINV[[#This Row],[SKU]],TablaSALIDA[SKU],TablaSALIDA[FECHA],,0,-1))," " )</f>
        <v xml:space="preserve"> </v>
      </c>
    </row>
    <row r="163" spans="1:21" x14ac:dyDescent="0.3">
      <c r="A163" s="27" t="s">
        <v>2466</v>
      </c>
      <c r="B163" s="32" t="str">
        <f>_xlfn.XLOOKUP(TablaSTOCKINV[[#This Row],[SKU]],TablaINVENTARIO[SKU],TablaINVENTARIO[DESCRIPCION])</f>
        <v xml:space="preserve">CORIOLIS </v>
      </c>
      <c r="C163" s="32" t="str">
        <f>_xlfn.XLOOKUP(TablaSTOCKINV[[#This Row],[SKU]],TablaINVENTARIO[SKU],TablaINVENTARIO[MARCA])</f>
        <v xml:space="preserve">ROSEMONT </v>
      </c>
      <c r="D163" s="33" t="str">
        <f>_xlfn.XLOOKUP(TablaSTOCKINV[[#This Row],[SKU]],TablaINVENTARIO[SKU],TablaINVENTARIO[CATEGORIA])</f>
        <v xml:space="preserve">MEDICAMENTOS </v>
      </c>
      <c r="E163" s="33" t="str">
        <f>_xlfn.XLOOKUP(TablaSTOCKINV[[#This Row],[SKU]],TablaINVENTARIO[SKU],TablaINVENTARIO[SUBCATEGORIA])</f>
        <v>INSTRUMENTO DE MEDICION ELECTRICA</v>
      </c>
      <c r="F163" s="33" t="str">
        <f>_xlfn.XLOOKUP(TablaSTOCKINV[[#This Row],[SKU]],TablaINVENTARIO[SKU],TablaINVENTARIO[ESTADO])</f>
        <v xml:space="preserve">NUEVO </v>
      </c>
      <c r="G163" s="33" t="str">
        <f>_xlfn.XLOOKUP(TablaSTOCKINV[[#This Row],[SKU]],TablaINVENTARIO[SKU],TablaINVENTARIO[MEDIDA])</f>
        <v>UND</v>
      </c>
      <c r="H163" s="33" t="str">
        <f>_xlfn.XLOOKUP(TablaSTOCKINV[[#This Row],[SKU]],TablaINVENTARIO[SKU],TablaINVENTARIO[SERIAL])</f>
        <v>N/A</v>
      </c>
      <c r="I163" s="34" t="str">
        <f>_xlfn.XLOOKUP(TablaSTOCKINV[[#This Row],[SKU]],TablaINVENTARIO[SKU],TablaINVENTARIO[ALMACEN])</f>
        <v>ALMACEN PRINCIPAL</v>
      </c>
      <c r="J163" s="34" t="str">
        <f>_xlfn.XLOOKUP(TablaSTOCKINV[[#This Row],[SKU]],TablaINVENTARIO[SKU],TablaINVENTARIO[UBICACION])</f>
        <v>F4-1</v>
      </c>
      <c r="K163" s="34" t="str">
        <f>_xlfn.XLOOKUP(TablaSTOCKINV[[#This Row],[SKU]],TablaINVENTARIO[SKU],TablaINVENTARIO[DPTO RESPONSABLE])</f>
        <v xml:space="preserve">OPERACIONES </v>
      </c>
      <c r="L163" s="36">
        <f>_xlfn.XLOOKUP(TablaSTOCKINV[[#This Row],[SKU]],TablaINVENTARIO[SKU],TablaINVENTARIO[RANGO MIN])</f>
        <v>0</v>
      </c>
      <c r="M163" s="34" cm="1">
        <f t="array" ref="M163">_xlfn.IFS(TablaSTOCKINV[[#This Row],[CANT. TOTAL]]&lt;=0,1,TablaSTOCKINV[[#This Row],[CANT. TOTAL]]&lt;=TablaSTOCKINV[[#This Row],[MIN]],2,TablaSTOCKINV[[#This Row],[CANT. TOTAL]]&gt;TablaSTOCKINV[[#This Row],[MIN]],3)</f>
        <v>3</v>
      </c>
      <c r="N163" s="34">
        <f>TablaSTOCKINV[[#This Row],[ENTRADAS]]-TablaSTOCKINV[[#This Row],[SALIDAS]]</f>
        <v>2</v>
      </c>
      <c r="O163" s="35">
        <f>SUMIFS(TablaENTRADA[CANT],TablaENTRADA[SKU],TablaSTOCKINV[[#This Row],[SKU]])</f>
        <v>2</v>
      </c>
      <c r="P163" s="35">
        <f>SUMIFS(TablaSALIDA[CANT],TablaSALIDA[SKU],TablaSTOCKINV[[#This Row],[SKU]])</f>
        <v>0</v>
      </c>
      <c r="Q163" s="34">
        <f>_xlfn.XLOOKUP(TablaSTOCKINV[[#This Row],[SKU]],TablaINVENTARIO[SKU],TablaINVENTARIO[PRECIO])</f>
        <v>0</v>
      </c>
      <c r="R163" s="34">
        <f>TablaSTOCKINV[[#This Row],[P.UNITARIO]]*TablaSTOCKINV[[#This Row],[CANT. TOTAL]]</f>
        <v>0</v>
      </c>
      <c r="S163" s="44">
        <f>_xlfn.XLOOKUP(TablaSTOCKINV[[#This Row],[SKU]],TablaINVENTARIO[SKU],TablaINVENTARIO[FECHA INGRESO])</f>
        <v>46023</v>
      </c>
      <c r="T163" s="44">
        <f>_xlfn.XLOOKUP(TablaSTOCKINV[[#This Row],[SKU]],TablaENTRADA[SKU],TablaENTRADA[FECHA],,0,-1)</f>
        <v>46023</v>
      </c>
      <c r="U163" s="46" t="str">
        <f>IFERROR((_xlfn.XLOOKUP(TablaSTOCKINV[[#This Row],[SKU]],TablaSALIDA[SKU],TablaSALIDA[FECHA],,0,-1))," " )</f>
        <v xml:space="preserve"> </v>
      </c>
    </row>
    <row r="164" spans="1:21" x14ac:dyDescent="0.3">
      <c r="A164" s="27" t="s">
        <v>1976</v>
      </c>
      <c r="B164" s="32" t="str">
        <f>_xlfn.XLOOKUP(TablaSTOCKINV[[#This Row],[SKU]],TablaINVENTARIO[SKU],TablaINVENTARIO[DESCRIPCION])</f>
        <v xml:space="preserve">ENVASE PARA TOMA DE MUESTRA </v>
      </c>
      <c r="C164" s="32" t="str">
        <f>_xlfn.XLOOKUP(TablaSTOCKINV[[#This Row],[SKU]],TablaINVENTARIO[SKU],TablaINVENTARIO[MARCA])</f>
        <v>N/A</v>
      </c>
      <c r="D164" s="33" t="str">
        <f>_xlfn.XLOOKUP(TablaSTOCKINV[[#This Row],[SKU]],TablaINVENTARIO[SKU],TablaINVENTARIO[CATEGORIA])</f>
        <v xml:space="preserve">LABORATORIO </v>
      </c>
      <c r="E164" s="33" t="str">
        <f>_xlfn.XLOOKUP(TablaSTOCKINV[[#This Row],[SKU]],TablaINVENTARIO[SKU],TablaINVENTARIO[SUBCATEGORIA])</f>
        <v xml:space="preserve">TOMA DE MUESTRA </v>
      </c>
      <c r="F164" s="33" t="str">
        <f>_xlfn.XLOOKUP(TablaSTOCKINV[[#This Row],[SKU]],TablaINVENTARIO[SKU],TablaINVENTARIO[ESTADO])</f>
        <v>USADO</v>
      </c>
      <c r="G164" s="33" t="str">
        <f>_xlfn.XLOOKUP(TablaSTOCKINV[[#This Row],[SKU]],TablaINVENTARIO[SKU],TablaINVENTARIO[MEDIDA])</f>
        <v xml:space="preserve">UND </v>
      </c>
      <c r="H164" s="33" t="str">
        <f>_xlfn.XLOOKUP(TablaSTOCKINV[[#This Row],[SKU]],TablaINVENTARIO[SKU],TablaINVENTARIO[SERIAL])</f>
        <v>N/A</v>
      </c>
      <c r="I164" s="34" t="str">
        <f>_xlfn.XLOOKUP(TablaSTOCKINV[[#This Row],[SKU]],TablaINVENTARIO[SKU],TablaINVENTARIO[ALMACEN])</f>
        <v>ALMACEN PRINCIPAL</v>
      </c>
      <c r="J164" s="34" t="str">
        <f>_xlfn.XLOOKUP(TablaSTOCKINV[[#This Row],[SKU]],TablaINVENTARIO[SKU],TablaINVENTARIO[UBICACION])</f>
        <v>G1</v>
      </c>
      <c r="K164" s="34" t="str">
        <f>_xlfn.XLOOKUP(TablaSTOCKINV[[#This Row],[SKU]],TablaINVENTARIO[SKU],TablaINVENTARIO[DPTO RESPONSABLE])</f>
        <v xml:space="preserve">OPERACIONES </v>
      </c>
      <c r="L164" s="36">
        <f>_xlfn.XLOOKUP(TablaSTOCKINV[[#This Row],[SKU]],TablaINVENTARIO[SKU],TablaINVENTARIO[RANGO MIN])</f>
        <v>0</v>
      </c>
      <c r="M164" s="34" cm="1">
        <f t="array" ref="M164">_xlfn.IFS(TablaSTOCKINV[[#This Row],[CANT. TOTAL]]&lt;=0,1,TablaSTOCKINV[[#This Row],[CANT. TOTAL]]&lt;=TablaSTOCKINV[[#This Row],[MIN]],2,TablaSTOCKINV[[#This Row],[CANT. TOTAL]]&gt;TablaSTOCKINV[[#This Row],[MIN]],3)</f>
        <v>3</v>
      </c>
      <c r="N164" s="34">
        <f>TablaSTOCKINV[[#This Row],[ENTRADAS]]-TablaSTOCKINV[[#This Row],[SALIDAS]]</f>
        <v>27</v>
      </c>
      <c r="O164" s="35">
        <f>SUMIFS(TablaENTRADA[CANT],TablaENTRADA[SKU],TablaSTOCKINV[[#This Row],[SKU]])</f>
        <v>27</v>
      </c>
      <c r="P164" s="35">
        <f>SUMIFS(TablaSALIDA[CANT],TablaSALIDA[SKU],TablaSTOCKINV[[#This Row],[SKU]])</f>
        <v>0</v>
      </c>
      <c r="Q164" s="34">
        <f>_xlfn.XLOOKUP(TablaSTOCKINV[[#This Row],[SKU]],TablaINVENTARIO[SKU],TablaINVENTARIO[PRECIO])</f>
        <v>0</v>
      </c>
      <c r="R164" s="34">
        <f>TablaSTOCKINV[[#This Row],[P.UNITARIO]]*TablaSTOCKINV[[#This Row],[CANT. TOTAL]]</f>
        <v>0</v>
      </c>
      <c r="S164" s="44">
        <f>_xlfn.XLOOKUP(TablaSTOCKINV[[#This Row],[SKU]],TablaINVENTARIO[SKU],TablaINVENTARIO[FECHA INGRESO])</f>
        <v>46023</v>
      </c>
      <c r="T164" s="44">
        <f>_xlfn.XLOOKUP(TablaSTOCKINV[[#This Row],[SKU]],TablaENTRADA[SKU],TablaENTRADA[FECHA],,0,-1)</f>
        <v>46023</v>
      </c>
      <c r="U164" s="46" t="str">
        <f>IFERROR((_xlfn.XLOOKUP(TablaSTOCKINV[[#This Row],[SKU]],TablaSALIDA[SKU],TablaSALIDA[FECHA],,0,-1))," " )</f>
        <v xml:space="preserve"> </v>
      </c>
    </row>
    <row r="165" spans="1:21" x14ac:dyDescent="0.3">
      <c r="A165" s="27" t="s">
        <v>1981</v>
      </c>
      <c r="B165" s="32" t="str">
        <f>_xlfn.XLOOKUP(TablaSTOCKINV[[#This Row],[SKU]],TablaINVENTARIO[SKU],TablaINVENTARIO[DESCRIPCION])</f>
        <v xml:space="preserve">ENVASE DE VIDRIO PEQUEÑO PARA MUESTRAS </v>
      </c>
      <c r="C165" s="32" t="str">
        <f>_xlfn.XLOOKUP(TablaSTOCKINV[[#This Row],[SKU]],TablaINVENTARIO[SKU],TablaINVENTARIO[MARCA])</f>
        <v>N/A</v>
      </c>
      <c r="D165" s="33" t="str">
        <f>_xlfn.XLOOKUP(TablaSTOCKINV[[#This Row],[SKU]],TablaINVENTARIO[SKU],TablaINVENTARIO[CATEGORIA])</f>
        <v xml:space="preserve">LABORATORIO </v>
      </c>
      <c r="E165" s="33" t="str">
        <f>_xlfn.XLOOKUP(TablaSTOCKINV[[#This Row],[SKU]],TablaINVENTARIO[SKU],TablaINVENTARIO[SUBCATEGORIA])</f>
        <v xml:space="preserve">TOMA DE MUESTRA </v>
      </c>
      <c r="F165" s="33" t="str">
        <f>_xlfn.XLOOKUP(TablaSTOCKINV[[#This Row],[SKU]],TablaINVENTARIO[SKU],TablaINVENTARIO[ESTADO])</f>
        <v>USADO</v>
      </c>
      <c r="G165" s="33" t="str">
        <f>_xlfn.XLOOKUP(TablaSTOCKINV[[#This Row],[SKU]],TablaINVENTARIO[SKU],TablaINVENTARIO[MEDIDA])</f>
        <v xml:space="preserve">UND </v>
      </c>
      <c r="H165" s="33" t="str">
        <f>_xlfn.XLOOKUP(TablaSTOCKINV[[#This Row],[SKU]],TablaINVENTARIO[SKU],TablaINVENTARIO[SERIAL])</f>
        <v>N/A</v>
      </c>
      <c r="I165" s="34" t="str">
        <f>_xlfn.XLOOKUP(TablaSTOCKINV[[#This Row],[SKU]],TablaINVENTARIO[SKU],TablaINVENTARIO[ALMACEN])</f>
        <v>ALMACEN PRINCIPAL</v>
      </c>
      <c r="J165" s="34" t="str">
        <f>_xlfn.XLOOKUP(TablaSTOCKINV[[#This Row],[SKU]],TablaINVENTARIO[SKU],TablaINVENTARIO[UBICACION])</f>
        <v>G1</v>
      </c>
      <c r="K165" s="34" t="str">
        <f>_xlfn.XLOOKUP(TablaSTOCKINV[[#This Row],[SKU]],TablaINVENTARIO[SKU],TablaINVENTARIO[DPTO RESPONSABLE])</f>
        <v xml:space="preserve">OPERACIONES </v>
      </c>
      <c r="L165" s="36">
        <f>_xlfn.XLOOKUP(TablaSTOCKINV[[#This Row],[SKU]],TablaINVENTARIO[SKU],TablaINVENTARIO[RANGO MIN])</f>
        <v>0</v>
      </c>
      <c r="M165" s="34" cm="1">
        <f t="array" ref="M165">_xlfn.IFS(TablaSTOCKINV[[#This Row],[CANT. TOTAL]]&lt;=0,1,TablaSTOCKINV[[#This Row],[CANT. TOTAL]]&lt;=TablaSTOCKINV[[#This Row],[MIN]],2,TablaSTOCKINV[[#This Row],[CANT. TOTAL]]&gt;TablaSTOCKINV[[#This Row],[MIN]],3)</f>
        <v>3</v>
      </c>
      <c r="N165" s="34">
        <f>TablaSTOCKINV[[#This Row],[ENTRADAS]]-TablaSTOCKINV[[#This Row],[SALIDAS]]</f>
        <v>7</v>
      </c>
      <c r="O165" s="35">
        <f>SUMIFS(TablaENTRADA[CANT],TablaENTRADA[SKU],TablaSTOCKINV[[#This Row],[SKU]])</f>
        <v>7</v>
      </c>
      <c r="P165" s="35">
        <f>SUMIFS(TablaSALIDA[CANT],TablaSALIDA[SKU],TablaSTOCKINV[[#This Row],[SKU]])</f>
        <v>0</v>
      </c>
      <c r="Q165" s="34">
        <f>_xlfn.XLOOKUP(TablaSTOCKINV[[#This Row],[SKU]],TablaINVENTARIO[SKU],TablaINVENTARIO[PRECIO])</f>
        <v>0</v>
      </c>
      <c r="R165" s="34">
        <f>TablaSTOCKINV[[#This Row],[P.UNITARIO]]*TablaSTOCKINV[[#This Row],[CANT. TOTAL]]</f>
        <v>0</v>
      </c>
      <c r="S165" s="44">
        <f>_xlfn.XLOOKUP(TablaSTOCKINV[[#This Row],[SKU]],TablaINVENTARIO[SKU],TablaINVENTARIO[FECHA INGRESO])</f>
        <v>46023</v>
      </c>
      <c r="T165" s="44">
        <f>_xlfn.XLOOKUP(TablaSTOCKINV[[#This Row],[SKU]],TablaENTRADA[SKU],TablaENTRADA[FECHA],,0,-1)</f>
        <v>46023</v>
      </c>
      <c r="U165" s="46" t="str">
        <f>IFERROR((_xlfn.XLOOKUP(TablaSTOCKINV[[#This Row],[SKU]],TablaSALIDA[SKU],TablaSALIDA[FECHA],,0,-1))," " )</f>
        <v xml:space="preserve"> </v>
      </c>
    </row>
    <row r="166" spans="1:21" x14ac:dyDescent="0.3">
      <c r="A166" s="27" t="s">
        <v>1983</v>
      </c>
      <c r="B166" s="32" t="str">
        <f>_xlfn.XLOOKUP(TablaSTOCKINV[[#This Row],[SKU]],TablaINVENTARIO[SKU],TablaINVENTARIO[DESCRIPCION])</f>
        <v>GUANTES VERDES DE NITRILO</v>
      </c>
      <c r="C166" s="32" t="str">
        <f>_xlfn.XLOOKUP(TablaSTOCKINV[[#This Row],[SKU]],TablaINVENTARIO[SKU],TablaINVENTARIO[MARCA])</f>
        <v>SAFE WORK</v>
      </c>
      <c r="D166" s="33" t="str">
        <f>_xlfn.XLOOKUP(TablaSTOCKINV[[#This Row],[SKU]],TablaINVENTARIO[SKU],TablaINVENTARIO[CATEGORIA])</f>
        <v xml:space="preserve">LABORATORIO </v>
      </c>
      <c r="E166" s="33" t="str">
        <f>_xlfn.XLOOKUP(TablaSTOCKINV[[#This Row],[SKU]],TablaINVENTARIO[SKU],TablaINVENTARIO[SUBCATEGORIA])</f>
        <v xml:space="preserve">TOMA DE MUESTRA </v>
      </c>
      <c r="F166" s="33" t="str">
        <f>_xlfn.XLOOKUP(TablaSTOCKINV[[#This Row],[SKU]],TablaINVENTARIO[SKU],TablaINVENTARIO[ESTADO])</f>
        <v>NUEVO</v>
      </c>
      <c r="G166" s="33" t="str">
        <f>_xlfn.XLOOKUP(TablaSTOCKINV[[#This Row],[SKU]],TablaINVENTARIO[SKU],TablaINVENTARIO[MEDIDA])</f>
        <v>PAR</v>
      </c>
      <c r="H166" s="33" t="str">
        <f>_xlfn.XLOOKUP(TablaSTOCKINV[[#This Row],[SKU]],TablaINVENTARIO[SKU],TablaINVENTARIO[SERIAL])</f>
        <v>N/A</v>
      </c>
      <c r="I166" s="34" t="str">
        <f>_xlfn.XLOOKUP(TablaSTOCKINV[[#This Row],[SKU]],TablaINVENTARIO[SKU],TablaINVENTARIO[ALMACEN])</f>
        <v>ALMACEN PRINCIPAL</v>
      </c>
      <c r="J166" s="34" t="str">
        <f>_xlfn.XLOOKUP(TablaSTOCKINV[[#This Row],[SKU]],TablaINVENTARIO[SKU],TablaINVENTARIO[UBICACION])</f>
        <v>G2</v>
      </c>
      <c r="K166" s="34" t="str">
        <f>_xlfn.XLOOKUP(TablaSTOCKINV[[#This Row],[SKU]],TablaINVENTARIO[SKU],TablaINVENTARIO[DPTO RESPONSABLE])</f>
        <v xml:space="preserve">OPERACIONES </v>
      </c>
      <c r="L166" s="36">
        <f>_xlfn.XLOOKUP(TablaSTOCKINV[[#This Row],[SKU]],TablaINVENTARIO[SKU],TablaINVENTARIO[RANGO MIN])</f>
        <v>0</v>
      </c>
      <c r="M166" s="34" cm="1">
        <f t="array" ref="M166">_xlfn.IFS(TablaSTOCKINV[[#This Row],[CANT. TOTAL]]&lt;=0,1,TablaSTOCKINV[[#This Row],[CANT. TOTAL]]&lt;=TablaSTOCKINV[[#This Row],[MIN]],2,TablaSTOCKINV[[#This Row],[CANT. TOTAL]]&gt;TablaSTOCKINV[[#This Row],[MIN]],3)</f>
        <v>3</v>
      </c>
      <c r="N166" s="34">
        <f>TablaSTOCKINV[[#This Row],[ENTRADAS]]-TablaSTOCKINV[[#This Row],[SALIDAS]]</f>
        <v>46</v>
      </c>
      <c r="O166" s="35">
        <f>SUMIFS(TablaENTRADA[CANT],TablaENTRADA[SKU],TablaSTOCKINV[[#This Row],[SKU]])</f>
        <v>46</v>
      </c>
      <c r="P166" s="35">
        <f>SUMIFS(TablaSALIDA[CANT],TablaSALIDA[SKU],TablaSTOCKINV[[#This Row],[SKU]])</f>
        <v>0</v>
      </c>
      <c r="Q166" s="34">
        <f>_xlfn.XLOOKUP(TablaSTOCKINV[[#This Row],[SKU]],TablaINVENTARIO[SKU],TablaINVENTARIO[PRECIO])</f>
        <v>0</v>
      </c>
      <c r="R166" s="34">
        <f>TablaSTOCKINV[[#This Row],[P.UNITARIO]]*TablaSTOCKINV[[#This Row],[CANT. TOTAL]]</f>
        <v>0</v>
      </c>
      <c r="S166" s="44">
        <f>_xlfn.XLOOKUP(TablaSTOCKINV[[#This Row],[SKU]],TablaINVENTARIO[SKU],TablaINVENTARIO[FECHA INGRESO])</f>
        <v>46023</v>
      </c>
      <c r="T166" s="44">
        <f>_xlfn.XLOOKUP(TablaSTOCKINV[[#This Row],[SKU]],TablaENTRADA[SKU],TablaENTRADA[FECHA],,0,-1)</f>
        <v>46023</v>
      </c>
      <c r="U166" s="46" t="str">
        <f>IFERROR((_xlfn.XLOOKUP(TablaSTOCKINV[[#This Row],[SKU]],TablaSALIDA[SKU],TablaSALIDA[FECHA],,0,-1))," " )</f>
        <v xml:space="preserve"> </v>
      </c>
    </row>
    <row r="167" spans="1:21" x14ac:dyDescent="0.3">
      <c r="A167" s="27" t="s">
        <v>1985</v>
      </c>
      <c r="B167" s="32" t="str">
        <f>_xlfn.XLOOKUP(TablaSTOCKINV[[#This Row],[SKU]],TablaINVENTARIO[SKU],TablaINVENTARIO[DESCRIPCION])</f>
        <v>GUANTES VERDES DE NITRILO</v>
      </c>
      <c r="C167" s="32" t="str">
        <f>_xlfn.XLOOKUP(TablaSTOCKINV[[#This Row],[SKU]],TablaINVENTARIO[SKU],TablaINVENTARIO[MARCA])</f>
        <v>FULL SAFETY</v>
      </c>
      <c r="D167" s="33" t="str">
        <f>_xlfn.XLOOKUP(TablaSTOCKINV[[#This Row],[SKU]],TablaINVENTARIO[SKU],TablaINVENTARIO[CATEGORIA])</f>
        <v xml:space="preserve">LABORATORIO </v>
      </c>
      <c r="E167" s="33" t="str">
        <f>_xlfn.XLOOKUP(TablaSTOCKINV[[#This Row],[SKU]],TablaINVENTARIO[SKU],TablaINVENTARIO[SUBCATEGORIA])</f>
        <v xml:space="preserve">TOMA DE MUESTRA </v>
      </c>
      <c r="F167" s="33" t="str">
        <f>_xlfn.XLOOKUP(TablaSTOCKINV[[#This Row],[SKU]],TablaINVENTARIO[SKU],TablaINVENTARIO[ESTADO])</f>
        <v>NUEVO</v>
      </c>
      <c r="G167" s="33" t="str">
        <f>_xlfn.XLOOKUP(TablaSTOCKINV[[#This Row],[SKU]],TablaINVENTARIO[SKU],TablaINVENTARIO[MEDIDA])</f>
        <v>PAR</v>
      </c>
      <c r="H167" s="33" t="str">
        <f>_xlfn.XLOOKUP(TablaSTOCKINV[[#This Row],[SKU]],TablaINVENTARIO[SKU],TablaINVENTARIO[SERIAL])</f>
        <v>N/A</v>
      </c>
      <c r="I167" s="34" t="str">
        <f>_xlfn.XLOOKUP(TablaSTOCKINV[[#This Row],[SKU]],TablaINVENTARIO[SKU],TablaINVENTARIO[ALMACEN])</f>
        <v>ALMACEN PRINCIPAL</v>
      </c>
      <c r="J167" s="34" t="str">
        <f>_xlfn.XLOOKUP(TablaSTOCKINV[[#This Row],[SKU]],TablaINVENTARIO[SKU],TablaINVENTARIO[UBICACION])</f>
        <v>G2</v>
      </c>
      <c r="K167" s="34" t="str">
        <f>_xlfn.XLOOKUP(TablaSTOCKINV[[#This Row],[SKU]],TablaINVENTARIO[SKU],TablaINVENTARIO[DPTO RESPONSABLE])</f>
        <v xml:space="preserve">OPERACIONES </v>
      </c>
      <c r="L167" s="36">
        <f>_xlfn.XLOOKUP(TablaSTOCKINV[[#This Row],[SKU]],TablaINVENTARIO[SKU],TablaINVENTARIO[RANGO MIN])</f>
        <v>0</v>
      </c>
      <c r="M167" s="34" cm="1">
        <f t="array" ref="M167">_xlfn.IFS(TablaSTOCKINV[[#This Row],[CANT. TOTAL]]&lt;=0,1,TablaSTOCKINV[[#This Row],[CANT. TOTAL]]&lt;=TablaSTOCKINV[[#This Row],[MIN]],2,TablaSTOCKINV[[#This Row],[CANT. TOTAL]]&gt;TablaSTOCKINV[[#This Row],[MIN]],3)</f>
        <v>3</v>
      </c>
      <c r="N167" s="34">
        <f>TablaSTOCKINV[[#This Row],[ENTRADAS]]-TablaSTOCKINV[[#This Row],[SALIDAS]]</f>
        <v>57</v>
      </c>
      <c r="O167" s="35">
        <f>SUMIFS(TablaENTRADA[CANT],TablaENTRADA[SKU],TablaSTOCKINV[[#This Row],[SKU]])</f>
        <v>57</v>
      </c>
      <c r="P167" s="35">
        <f>SUMIFS(TablaSALIDA[CANT],TablaSALIDA[SKU],TablaSTOCKINV[[#This Row],[SKU]])</f>
        <v>0</v>
      </c>
      <c r="Q167" s="34">
        <f>_xlfn.XLOOKUP(TablaSTOCKINV[[#This Row],[SKU]],TablaINVENTARIO[SKU],TablaINVENTARIO[PRECIO])</f>
        <v>0</v>
      </c>
      <c r="R167" s="34">
        <f>TablaSTOCKINV[[#This Row],[P.UNITARIO]]*TablaSTOCKINV[[#This Row],[CANT. TOTAL]]</f>
        <v>0</v>
      </c>
      <c r="S167" s="44">
        <f>_xlfn.XLOOKUP(TablaSTOCKINV[[#This Row],[SKU]],TablaINVENTARIO[SKU],TablaINVENTARIO[FECHA INGRESO])</f>
        <v>46023</v>
      </c>
      <c r="T167" s="44">
        <f>_xlfn.XLOOKUP(TablaSTOCKINV[[#This Row],[SKU]],TablaENTRADA[SKU],TablaENTRADA[FECHA],,0,-1)</f>
        <v>46023</v>
      </c>
      <c r="U167" s="46" t="str">
        <f>IFERROR((_xlfn.XLOOKUP(TablaSTOCKINV[[#This Row],[SKU]],TablaSALIDA[SKU],TablaSALIDA[FECHA],,0,-1))," " )</f>
        <v xml:space="preserve"> </v>
      </c>
    </row>
    <row r="168" spans="1:21" x14ac:dyDescent="0.3">
      <c r="A168" s="27" t="s">
        <v>1987</v>
      </c>
      <c r="B168" s="32" t="str">
        <f>_xlfn.XLOOKUP(TablaSTOCKINV[[#This Row],[SKU]],TablaINVENTARIO[SKU],TablaINVENTARIO[DESCRIPCION])</f>
        <v>GUANTES DE NITRILO 0598</v>
      </c>
      <c r="C168" s="32" t="str">
        <f>_xlfn.XLOOKUP(TablaSTOCKINV[[#This Row],[SKU]],TablaINVENTARIO[SKU],TablaINVENTARIO[MARCA])</f>
        <v xml:space="preserve">JUBA </v>
      </c>
      <c r="D168" s="33" t="str">
        <f>_xlfn.XLOOKUP(TablaSTOCKINV[[#This Row],[SKU]],TablaINVENTARIO[SKU],TablaINVENTARIO[CATEGORIA])</f>
        <v xml:space="preserve">LABORATORIO </v>
      </c>
      <c r="E168" s="33" t="str">
        <f>_xlfn.XLOOKUP(TablaSTOCKINV[[#This Row],[SKU]],TablaINVENTARIO[SKU],TablaINVENTARIO[SUBCATEGORIA])</f>
        <v xml:space="preserve">TOMA DE MUESTRA </v>
      </c>
      <c r="F168" s="33" t="str">
        <f>_xlfn.XLOOKUP(TablaSTOCKINV[[#This Row],[SKU]],TablaINVENTARIO[SKU],TablaINVENTARIO[ESTADO])</f>
        <v>NUEVO</v>
      </c>
      <c r="G168" s="33" t="str">
        <f>_xlfn.XLOOKUP(TablaSTOCKINV[[#This Row],[SKU]],TablaINVENTARIO[SKU],TablaINVENTARIO[MEDIDA])</f>
        <v>PAR</v>
      </c>
      <c r="H168" s="33" t="str">
        <f>_xlfn.XLOOKUP(TablaSTOCKINV[[#This Row],[SKU]],TablaINVENTARIO[SKU],TablaINVENTARIO[SERIAL])</f>
        <v>N/A</v>
      </c>
      <c r="I168" s="34" t="str">
        <f>_xlfn.XLOOKUP(TablaSTOCKINV[[#This Row],[SKU]],TablaINVENTARIO[SKU],TablaINVENTARIO[ALMACEN])</f>
        <v>ALMACEN PRINCIPAL</v>
      </c>
      <c r="J168" s="34" t="str">
        <f>_xlfn.XLOOKUP(TablaSTOCKINV[[#This Row],[SKU]],TablaINVENTARIO[SKU],TablaINVENTARIO[UBICACION])</f>
        <v>G3</v>
      </c>
      <c r="K168" s="34" t="str">
        <f>_xlfn.XLOOKUP(TablaSTOCKINV[[#This Row],[SKU]],TablaINVENTARIO[SKU],TablaINVENTARIO[DPTO RESPONSABLE])</f>
        <v xml:space="preserve">OPERACIONES </v>
      </c>
      <c r="L168" s="36">
        <f>_xlfn.XLOOKUP(TablaSTOCKINV[[#This Row],[SKU]],TablaINVENTARIO[SKU],TablaINVENTARIO[RANGO MIN])</f>
        <v>0</v>
      </c>
      <c r="M168" s="34" cm="1">
        <f t="array" ref="M168">_xlfn.IFS(TablaSTOCKINV[[#This Row],[CANT. TOTAL]]&lt;=0,1,TablaSTOCKINV[[#This Row],[CANT. TOTAL]]&lt;=TablaSTOCKINV[[#This Row],[MIN]],2,TablaSTOCKINV[[#This Row],[CANT. TOTAL]]&gt;TablaSTOCKINV[[#This Row],[MIN]],3)</f>
        <v>3</v>
      </c>
      <c r="N168" s="34">
        <f>TablaSTOCKINV[[#This Row],[ENTRADAS]]-TablaSTOCKINV[[#This Row],[SALIDAS]]</f>
        <v>1</v>
      </c>
      <c r="O168" s="35">
        <f>SUMIFS(TablaENTRADA[CANT],TablaENTRADA[SKU],TablaSTOCKINV[[#This Row],[SKU]])</f>
        <v>1</v>
      </c>
      <c r="P168" s="35">
        <f>SUMIFS(TablaSALIDA[CANT],TablaSALIDA[SKU],TablaSTOCKINV[[#This Row],[SKU]])</f>
        <v>0</v>
      </c>
      <c r="Q168" s="34">
        <f>_xlfn.XLOOKUP(TablaSTOCKINV[[#This Row],[SKU]],TablaINVENTARIO[SKU],TablaINVENTARIO[PRECIO])</f>
        <v>0</v>
      </c>
      <c r="R168" s="34">
        <f>TablaSTOCKINV[[#This Row],[P.UNITARIO]]*TablaSTOCKINV[[#This Row],[CANT. TOTAL]]</f>
        <v>0</v>
      </c>
      <c r="S168" s="44">
        <f>_xlfn.XLOOKUP(TablaSTOCKINV[[#This Row],[SKU]],TablaINVENTARIO[SKU],TablaINVENTARIO[FECHA INGRESO])</f>
        <v>46023</v>
      </c>
      <c r="T168" s="44">
        <f>_xlfn.XLOOKUP(TablaSTOCKINV[[#This Row],[SKU]],TablaENTRADA[SKU],TablaENTRADA[FECHA],,0,-1)</f>
        <v>46023</v>
      </c>
      <c r="U168" s="46" t="str">
        <f>IFERROR((_xlfn.XLOOKUP(TablaSTOCKINV[[#This Row],[SKU]],TablaSALIDA[SKU],TablaSALIDA[FECHA],,0,-1))," " )</f>
        <v xml:space="preserve"> </v>
      </c>
    </row>
    <row r="169" spans="1:21" x14ac:dyDescent="0.3">
      <c r="A169" s="27" t="s">
        <v>1990</v>
      </c>
      <c r="B169" s="32" t="str">
        <f>_xlfn.XLOOKUP(TablaSTOCKINV[[#This Row],[SKU]],TablaINVENTARIO[SKU],TablaINVENTARIO[DESCRIPCION])</f>
        <v>AMPOLLA HIDRANAL REACTIVA PARA KARL FISHER</v>
      </c>
      <c r="C169" s="32" t="str">
        <f>_xlfn.XLOOKUP(TablaSTOCKINV[[#This Row],[SKU]],TablaINVENTARIO[SKU],TablaINVENTARIO[MARCA])</f>
        <v>KAM</v>
      </c>
      <c r="D169" s="33" t="str">
        <f>_xlfn.XLOOKUP(TablaSTOCKINV[[#This Row],[SKU]],TablaINVENTARIO[SKU],TablaINVENTARIO[CATEGORIA])</f>
        <v xml:space="preserve">LABORATORIO </v>
      </c>
      <c r="E169" s="33" t="str">
        <f>_xlfn.XLOOKUP(TablaSTOCKINV[[#This Row],[SKU]],TablaINVENTARIO[SKU],TablaINVENTARIO[SUBCATEGORIA])</f>
        <v xml:space="preserve">REACTIVO QUÍMICO </v>
      </c>
      <c r="F169" s="33" t="str">
        <f>_xlfn.XLOOKUP(TablaSTOCKINV[[#This Row],[SKU]],TablaINVENTARIO[SKU],TablaINVENTARIO[ESTADO])</f>
        <v>NUEVO</v>
      </c>
      <c r="G169" s="33" t="str">
        <f>_xlfn.XLOOKUP(TablaSTOCKINV[[#This Row],[SKU]],TablaINVENTARIO[SKU],TablaINVENTARIO[MEDIDA])</f>
        <v xml:space="preserve">UND </v>
      </c>
      <c r="H169" s="33" t="str">
        <f>_xlfn.XLOOKUP(TablaSTOCKINV[[#This Row],[SKU]],TablaINVENTARIO[SKU],TablaINVENTARIO[SERIAL])</f>
        <v>N/A</v>
      </c>
      <c r="I169" s="34" t="str">
        <f>_xlfn.XLOOKUP(TablaSTOCKINV[[#This Row],[SKU]],TablaINVENTARIO[SKU],TablaINVENTARIO[ALMACEN])</f>
        <v>ALMACEN PRINCIPAL</v>
      </c>
      <c r="J169" s="34" t="str">
        <f>_xlfn.XLOOKUP(TablaSTOCKINV[[#This Row],[SKU]],TablaINVENTARIO[SKU],TablaINVENTARIO[UBICACION])</f>
        <v>2C</v>
      </c>
      <c r="K169" s="34" t="str">
        <f>_xlfn.XLOOKUP(TablaSTOCKINV[[#This Row],[SKU]],TablaINVENTARIO[SKU],TablaINVENTARIO[DPTO RESPONSABLE])</f>
        <v xml:space="preserve">OPERACIONES </v>
      </c>
      <c r="L169" s="36">
        <f>_xlfn.XLOOKUP(TablaSTOCKINV[[#This Row],[SKU]],TablaINVENTARIO[SKU],TablaINVENTARIO[RANGO MIN])</f>
        <v>0</v>
      </c>
      <c r="M169" s="34" cm="1">
        <f t="array" ref="M169">_xlfn.IFS(TablaSTOCKINV[[#This Row],[CANT. TOTAL]]&lt;=0,1,TablaSTOCKINV[[#This Row],[CANT. TOTAL]]&lt;=TablaSTOCKINV[[#This Row],[MIN]],2,TablaSTOCKINV[[#This Row],[CANT. TOTAL]]&gt;TablaSTOCKINV[[#This Row],[MIN]],3)</f>
        <v>3</v>
      </c>
      <c r="N169" s="34">
        <f>TablaSTOCKINV[[#This Row],[ENTRADAS]]-TablaSTOCKINV[[#This Row],[SALIDAS]]</f>
        <v>39</v>
      </c>
      <c r="O169" s="35">
        <f>SUMIFS(TablaENTRADA[CANT],TablaENTRADA[SKU],TablaSTOCKINV[[#This Row],[SKU]])</f>
        <v>39</v>
      </c>
      <c r="P169" s="35">
        <f>SUMIFS(TablaSALIDA[CANT],TablaSALIDA[SKU],TablaSTOCKINV[[#This Row],[SKU]])</f>
        <v>0</v>
      </c>
      <c r="Q169" s="34">
        <f>_xlfn.XLOOKUP(TablaSTOCKINV[[#This Row],[SKU]],TablaINVENTARIO[SKU],TablaINVENTARIO[PRECIO])</f>
        <v>0</v>
      </c>
      <c r="R169" s="34">
        <f>TablaSTOCKINV[[#This Row],[P.UNITARIO]]*TablaSTOCKINV[[#This Row],[CANT. TOTAL]]</f>
        <v>0</v>
      </c>
      <c r="S169" s="44">
        <f>_xlfn.XLOOKUP(TablaSTOCKINV[[#This Row],[SKU]],TablaINVENTARIO[SKU],TablaINVENTARIO[FECHA INGRESO])</f>
        <v>46023</v>
      </c>
      <c r="T169" s="44">
        <f>_xlfn.XLOOKUP(TablaSTOCKINV[[#This Row],[SKU]],TablaENTRADA[SKU],TablaENTRADA[FECHA],,0,-1)</f>
        <v>46023</v>
      </c>
      <c r="U169" s="46" t="str">
        <f>IFERROR((_xlfn.XLOOKUP(TablaSTOCKINV[[#This Row],[SKU]],TablaSALIDA[SKU],TablaSALIDA[FECHA],,0,-1))," " )</f>
        <v xml:space="preserve"> </v>
      </c>
    </row>
    <row r="170" spans="1:21" x14ac:dyDescent="0.3">
      <c r="A170" s="27" t="s">
        <v>1995</v>
      </c>
      <c r="B170" s="32" t="str">
        <f>_xlfn.XLOOKUP(TablaSTOCKINV[[#This Row],[SKU]],TablaINVENTARIO[SKU],TablaINVENTARIO[DESCRIPCION])</f>
        <v>JERINGA HERMETICA A GAS 250ML</v>
      </c>
      <c r="C170" s="32" t="str">
        <f>_xlfn.XLOOKUP(TablaSTOCKINV[[#This Row],[SKU]],TablaINVENTARIO[SKU],TablaINVENTARIO[MARCA])</f>
        <v>HALMILTON</v>
      </c>
      <c r="D170" s="33" t="str">
        <f>_xlfn.XLOOKUP(TablaSTOCKINV[[#This Row],[SKU]],TablaINVENTARIO[SKU],TablaINVENTARIO[CATEGORIA])</f>
        <v xml:space="preserve">LABORATORIO </v>
      </c>
      <c r="E170" s="33" t="str">
        <f>_xlfn.XLOOKUP(TablaSTOCKINV[[#This Row],[SKU]],TablaINVENTARIO[SKU],TablaINVENTARIO[SUBCATEGORIA])</f>
        <v xml:space="preserve">REACTIVO QUÍMICO </v>
      </c>
      <c r="F170" s="33" t="str">
        <f>_xlfn.XLOOKUP(TablaSTOCKINV[[#This Row],[SKU]],TablaINVENTARIO[SKU],TablaINVENTARIO[ESTADO])</f>
        <v>NUEVO</v>
      </c>
      <c r="G170" s="33" t="str">
        <f>_xlfn.XLOOKUP(TablaSTOCKINV[[#This Row],[SKU]],TablaINVENTARIO[SKU],TablaINVENTARIO[MEDIDA])</f>
        <v xml:space="preserve">UND </v>
      </c>
      <c r="H170" s="33" t="str">
        <f>_xlfn.XLOOKUP(TablaSTOCKINV[[#This Row],[SKU]],TablaINVENTARIO[SKU],TablaINVENTARIO[SERIAL])</f>
        <v>N/A</v>
      </c>
      <c r="I170" s="34" t="str">
        <f>_xlfn.XLOOKUP(TablaSTOCKINV[[#This Row],[SKU]],TablaINVENTARIO[SKU],TablaINVENTARIO[ALMACEN])</f>
        <v>ALMACEN PRINCIPAL</v>
      </c>
      <c r="J170" s="34" t="str">
        <f>_xlfn.XLOOKUP(TablaSTOCKINV[[#This Row],[SKU]],TablaINVENTARIO[SKU],TablaINVENTARIO[UBICACION])</f>
        <v>2C</v>
      </c>
      <c r="K170" s="34" t="str">
        <f>_xlfn.XLOOKUP(TablaSTOCKINV[[#This Row],[SKU]],TablaINVENTARIO[SKU],TablaINVENTARIO[DPTO RESPONSABLE])</f>
        <v>OPERACIONES</v>
      </c>
      <c r="L170" s="36">
        <f>_xlfn.XLOOKUP(TablaSTOCKINV[[#This Row],[SKU]],TablaINVENTARIO[SKU],TablaINVENTARIO[RANGO MIN])</f>
        <v>0</v>
      </c>
      <c r="M170" s="34" cm="1">
        <f t="array" ref="M170">_xlfn.IFS(TablaSTOCKINV[[#This Row],[CANT. TOTAL]]&lt;=0,1,TablaSTOCKINV[[#This Row],[CANT. TOTAL]]&lt;=TablaSTOCKINV[[#This Row],[MIN]],2,TablaSTOCKINV[[#This Row],[CANT. TOTAL]]&gt;TablaSTOCKINV[[#This Row],[MIN]],3)</f>
        <v>3</v>
      </c>
      <c r="N170" s="34">
        <f>TablaSTOCKINV[[#This Row],[ENTRADAS]]-TablaSTOCKINV[[#This Row],[SALIDAS]]</f>
        <v>3</v>
      </c>
      <c r="O170" s="35">
        <f>SUMIFS(TablaENTRADA[CANT],TablaENTRADA[SKU],TablaSTOCKINV[[#This Row],[SKU]])</f>
        <v>3</v>
      </c>
      <c r="P170" s="35">
        <f>SUMIFS(TablaSALIDA[CANT],TablaSALIDA[SKU],TablaSTOCKINV[[#This Row],[SKU]])</f>
        <v>0</v>
      </c>
      <c r="Q170" s="34">
        <f>_xlfn.XLOOKUP(TablaSTOCKINV[[#This Row],[SKU]],TablaINVENTARIO[SKU],TablaINVENTARIO[PRECIO])</f>
        <v>0</v>
      </c>
      <c r="R170" s="34">
        <f>TablaSTOCKINV[[#This Row],[P.UNITARIO]]*TablaSTOCKINV[[#This Row],[CANT. TOTAL]]</f>
        <v>0</v>
      </c>
      <c r="S170" s="44">
        <f>_xlfn.XLOOKUP(TablaSTOCKINV[[#This Row],[SKU]],TablaINVENTARIO[SKU],TablaINVENTARIO[FECHA INGRESO])</f>
        <v>46023</v>
      </c>
      <c r="T170" s="44">
        <f>_xlfn.XLOOKUP(TablaSTOCKINV[[#This Row],[SKU]],TablaENTRADA[SKU],TablaENTRADA[FECHA],,0,-1)</f>
        <v>46023</v>
      </c>
      <c r="U170" s="46" t="str">
        <f>IFERROR((_xlfn.XLOOKUP(TablaSTOCKINV[[#This Row],[SKU]],TablaSALIDA[SKU],TablaSALIDA[FECHA],,0,-1))," " )</f>
        <v xml:space="preserve"> </v>
      </c>
    </row>
    <row r="171" spans="1:21" x14ac:dyDescent="0.3">
      <c r="A171" s="27" t="s">
        <v>1998</v>
      </c>
      <c r="B171" s="32" t="str">
        <f>_xlfn.XLOOKUP(TablaSTOCKINV[[#This Row],[SKU]],TablaINVENTARIO[SKU],TablaINVENTARIO[DESCRIPCION])</f>
        <v>JERINGA HERMETICA A GAS 250ML</v>
      </c>
      <c r="C171" s="32" t="str">
        <f>_xlfn.XLOOKUP(TablaSTOCKINV[[#This Row],[SKU]],TablaINVENTARIO[SKU],TablaINVENTARIO[MARCA])</f>
        <v>HALMILTON</v>
      </c>
      <c r="D171" s="33" t="str">
        <f>_xlfn.XLOOKUP(TablaSTOCKINV[[#This Row],[SKU]],TablaINVENTARIO[SKU],TablaINVENTARIO[CATEGORIA])</f>
        <v xml:space="preserve">LABORATORIO </v>
      </c>
      <c r="E171" s="33" t="str">
        <f>_xlfn.XLOOKUP(TablaSTOCKINV[[#This Row],[SKU]],TablaINVENTARIO[SKU],TablaINVENTARIO[SUBCATEGORIA])</f>
        <v xml:space="preserve">REACTIVO QUÍMICO </v>
      </c>
      <c r="F171" s="33" t="str">
        <f>_xlfn.XLOOKUP(TablaSTOCKINV[[#This Row],[SKU]],TablaINVENTARIO[SKU],TablaINVENTARIO[ESTADO])</f>
        <v>USADO</v>
      </c>
      <c r="G171" s="33" t="str">
        <f>_xlfn.XLOOKUP(TablaSTOCKINV[[#This Row],[SKU]],TablaINVENTARIO[SKU],TablaINVENTARIO[MEDIDA])</f>
        <v xml:space="preserve">UND </v>
      </c>
      <c r="H171" s="33" t="str">
        <f>_xlfn.XLOOKUP(TablaSTOCKINV[[#This Row],[SKU]],TablaINVENTARIO[SKU],TablaINVENTARIO[SERIAL])</f>
        <v>N/A</v>
      </c>
      <c r="I171" s="34" t="str">
        <f>_xlfn.XLOOKUP(TablaSTOCKINV[[#This Row],[SKU]],TablaINVENTARIO[SKU],TablaINVENTARIO[ALMACEN])</f>
        <v>ALMACEN PRINCIPAL</v>
      </c>
      <c r="J171" s="34" t="str">
        <f>_xlfn.XLOOKUP(TablaSTOCKINV[[#This Row],[SKU]],TablaINVENTARIO[SKU],TablaINVENTARIO[UBICACION])</f>
        <v>2C</v>
      </c>
      <c r="K171" s="34" t="str">
        <f>_xlfn.XLOOKUP(TablaSTOCKINV[[#This Row],[SKU]],TablaINVENTARIO[SKU],TablaINVENTARIO[DPTO RESPONSABLE])</f>
        <v>OPERACIONES</v>
      </c>
      <c r="L171" s="36">
        <f>_xlfn.XLOOKUP(TablaSTOCKINV[[#This Row],[SKU]],TablaINVENTARIO[SKU],TablaINVENTARIO[RANGO MIN])</f>
        <v>0</v>
      </c>
      <c r="M171" s="34" cm="1">
        <f t="array" ref="M171">_xlfn.IFS(TablaSTOCKINV[[#This Row],[CANT. TOTAL]]&lt;=0,1,TablaSTOCKINV[[#This Row],[CANT. TOTAL]]&lt;=TablaSTOCKINV[[#This Row],[MIN]],2,TablaSTOCKINV[[#This Row],[CANT. TOTAL]]&gt;TablaSTOCKINV[[#This Row],[MIN]],3)</f>
        <v>3</v>
      </c>
      <c r="N171" s="34">
        <f>TablaSTOCKINV[[#This Row],[ENTRADAS]]-TablaSTOCKINV[[#This Row],[SALIDAS]]</f>
        <v>5</v>
      </c>
      <c r="O171" s="35">
        <f>SUMIFS(TablaENTRADA[CANT],TablaENTRADA[SKU],TablaSTOCKINV[[#This Row],[SKU]])</f>
        <v>5</v>
      </c>
      <c r="P171" s="35">
        <f>SUMIFS(TablaSALIDA[CANT],TablaSALIDA[SKU],TablaSTOCKINV[[#This Row],[SKU]])</f>
        <v>0</v>
      </c>
      <c r="Q171" s="34">
        <f>_xlfn.XLOOKUP(TablaSTOCKINV[[#This Row],[SKU]],TablaINVENTARIO[SKU],TablaINVENTARIO[PRECIO])</f>
        <v>0</v>
      </c>
      <c r="R171" s="34">
        <f>TablaSTOCKINV[[#This Row],[P.UNITARIO]]*TablaSTOCKINV[[#This Row],[CANT. TOTAL]]</f>
        <v>0</v>
      </c>
      <c r="S171" s="44">
        <f>_xlfn.XLOOKUP(TablaSTOCKINV[[#This Row],[SKU]],TablaINVENTARIO[SKU],TablaINVENTARIO[FECHA INGRESO])</f>
        <v>46023</v>
      </c>
      <c r="T171" s="44">
        <f>_xlfn.XLOOKUP(TablaSTOCKINV[[#This Row],[SKU]],TablaENTRADA[SKU],TablaENTRADA[FECHA],,0,-1)</f>
        <v>46023</v>
      </c>
      <c r="U171" s="46" t="str">
        <f>IFERROR((_xlfn.XLOOKUP(TablaSTOCKINV[[#This Row],[SKU]],TablaSALIDA[SKU],TablaSALIDA[FECHA],,0,-1))," " )</f>
        <v xml:space="preserve"> </v>
      </c>
    </row>
    <row r="172" spans="1:21" x14ac:dyDescent="0.3">
      <c r="A172" s="27" t="s">
        <v>1999</v>
      </c>
      <c r="B172" s="32" t="str">
        <f>_xlfn.XLOOKUP(TablaSTOCKINV[[#This Row],[SKU]],TablaINVENTARIO[SKU],TablaINVENTARIO[DESCRIPCION])</f>
        <v>AMPOLLA PARA ANALISIS VOLUMETRICO KARL FISHER COD: 09032</v>
      </c>
      <c r="C172" s="32" t="str">
        <f>_xlfn.XLOOKUP(TablaSTOCKINV[[#This Row],[SKU]],TablaINVENTARIO[SKU],TablaINVENTARIO[MARCA])</f>
        <v>KAM</v>
      </c>
      <c r="D172" s="33" t="str">
        <f>_xlfn.XLOOKUP(TablaSTOCKINV[[#This Row],[SKU]],TablaINVENTARIO[SKU],TablaINVENTARIO[CATEGORIA])</f>
        <v xml:space="preserve">LABORATORIO </v>
      </c>
      <c r="E172" s="33" t="str">
        <f>_xlfn.XLOOKUP(TablaSTOCKINV[[#This Row],[SKU]],TablaINVENTARIO[SKU],TablaINVENTARIO[SUBCATEGORIA])</f>
        <v xml:space="preserve">REACTIVO QUÍMICO </v>
      </c>
      <c r="F172" s="33" t="str">
        <f>_xlfn.XLOOKUP(TablaSTOCKINV[[#This Row],[SKU]],TablaINVENTARIO[SKU],TablaINVENTARIO[ESTADO])</f>
        <v>NUEVO</v>
      </c>
      <c r="G172" s="33" t="str">
        <f>_xlfn.XLOOKUP(TablaSTOCKINV[[#This Row],[SKU]],TablaINVENTARIO[SKU],TablaINVENTARIO[MEDIDA])</f>
        <v xml:space="preserve">UND </v>
      </c>
      <c r="H172" s="33" t="str">
        <f>_xlfn.XLOOKUP(TablaSTOCKINV[[#This Row],[SKU]],TablaINVENTARIO[SKU],TablaINVENTARIO[SERIAL])</f>
        <v>N/A</v>
      </c>
      <c r="I172" s="34" t="str">
        <f>_xlfn.XLOOKUP(TablaSTOCKINV[[#This Row],[SKU]],TablaINVENTARIO[SKU],TablaINVENTARIO[ALMACEN])</f>
        <v>ALMACEN PRINCIPAL</v>
      </c>
      <c r="J172" s="34" t="str">
        <f>_xlfn.XLOOKUP(TablaSTOCKINV[[#This Row],[SKU]],TablaINVENTARIO[SKU],TablaINVENTARIO[UBICACION])</f>
        <v>2C</v>
      </c>
      <c r="K172" s="34" t="str">
        <f>_xlfn.XLOOKUP(TablaSTOCKINV[[#This Row],[SKU]],TablaINVENTARIO[SKU],TablaINVENTARIO[DPTO RESPONSABLE])</f>
        <v>OPERACIONES</v>
      </c>
      <c r="L172" s="36">
        <f>_xlfn.XLOOKUP(TablaSTOCKINV[[#This Row],[SKU]],TablaINVENTARIO[SKU],TablaINVENTARIO[RANGO MIN])</f>
        <v>0</v>
      </c>
      <c r="M172" s="34" cm="1">
        <f t="array" ref="M172">_xlfn.IFS(TablaSTOCKINV[[#This Row],[CANT. TOTAL]]&lt;=0,1,TablaSTOCKINV[[#This Row],[CANT. TOTAL]]&lt;=TablaSTOCKINV[[#This Row],[MIN]],2,TablaSTOCKINV[[#This Row],[CANT. TOTAL]]&gt;TablaSTOCKINV[[#This Row],[MIN]],3)</f>
        <v>3</v>
      </c>
      <c r="N172" s="34">
        <f>TablaSTOCKINV[[#This Row],[ENTRADAS]]-TablaSTOCKINV[[#This Row],[SALIDAS]]</f>
        <v>37</v>
      </c>
      <c r="O172" s="35">
        <f>SUMIFS(TablaENTRADA[CANT],TablaENTRADA[SKU],TablaSTOCKINV[[#This Row],[SKU]])</f>
        <v>37</v>
      </c>
      <c r="P172" s="35">
        <f>SUMIFS(TablaSALIDA[CANT],TablaSALIDA[SKU],TablaSTOCKINV[[#This Row],[SKU]])</f>
        <v>0</v>
      </c>
      <c r="Q172" s="34">
        <f>_xlfn.XLOOKUP(TablaSTOCKINV[[#This Row],[SKU]],TablaINVENTARIO[SKU],TablaINVENTARIO[PRECIO])</f>
        <v>0</v>
      </c>
      <c r="R172" s="34">
        <f>TablaSTOCKINV[[#This Row],[P.UNITARIO]]*TablaSTOCKINV[[#This Row],[CANT. TOTAL]]</f>
        <v>0</v>
      </c>
      <c r="S172" s="44">
        <f>_xlfn.XLOOKUP(TablaSTOCKINV[[#This Row],[SKU]],TablaINVENTARIO[SKU],TablaINVENTARIO[FECHA INGRESO])</f>
        <v>46023</v>
      </c>
      <c r="T172" s="44">
        <f>_xlfn.XLOOKUP(TablaSTOCKINV[[#This Row],[SKU]],TablaENTRADA[SKU],TablaENTRADA[FECHA],,0,-1)</f>
        <v>46023</v>
      </c>
      <c r="U172" s="46" t="str">
        <f>IFERROR((_xlfn.XLOOKUP(TablaSTOCKINV[[#This Row],[SKU]],TablaSALIDA[SKU],TablaSALIDA[FECHA],,0,-1))," " )</f>
        <v xml:space="preserve"> </v>
      </c>
    </row>
    <row r="173" spans="1:21" x14ac:dyDescent="0.3">
      <c r="A173" s="27" t="s">
        <v>2001</v>
      </c>
      <c r="B173" s="32" t="str">
        <f>_xlfn.XLOOKUP(TablaSTOCKINV[[#This Row],[SKU]],TablaINVENTARIO[SKU],TablaINVENTARIO[DESCRIPCION])</f>
        <v xml:space="preserve">SOLUCION ANALIZADOR DE HUMEDAD PARA KARL FISHER </v>
      </c>
      <c r="C173" s="32" t="str">
        <f>_xlfn.XLOOKUP(TablaSTOCKINV[[#This Row],[SKU]],TablaINVENTARIO[SKU],TablaINVENTARIO[MARCA])</f>
        <v>KAM</v>
      </c>
      <c r="D173" s="33" t="str">
        <f>_xlfn.XLOOKUP(TablaSTOCKINV[[#This Row],[SKU]],TablaINVENTARIO[SKU],TablaINVENTARIO[CATEGORIA])</f>
        <v xml:space="preserve">LABORATORIO </v>
      </c>
      <c r="E173" s="33" t="str">
        <f>_xlfn.XLOOKUP(TablaSTOCKINV[[#This Row],[SKU]],TablaINVENTARIO[SKU],TablaINVENTARIO[SUBCATEGORIA])</f>
        <v xml:space="preserve">REACTIVO QUÍMICO </v>
      </c>
      <c r="F173" s="33" t="str">
        <f>_xlfn.XLOOKUP(TablaSTOCKINV[[#This Row],[SKU]],TablaINVENTARIO[SKU],TablaINVENTARIO[ESTADO])</f>
        <v>NUEVO</v>
      </c>
      <c r="G173" s="33" t="str">
        <f>_xlfn.XLOOKUP(TablaSTOCKINV[[#This Row],[SKU]],TablaINVENTARIO[SKU],TablaINVENTARIO[MEDIDA])</f>
        <v xml:space="preserve">UND </v>
      </c>
      <c r="H173" s="33" t="str">
        <f>_xlfn.XLOOKUP(TablaSTOCKINV[[#This Row],[SKU]],TablaINVENTARIO[SKU],TablaINVENTARIO[SERIAL])</f>
        <v>N/A</v>
      </c>
      <c r="I173" s="34" t="str">
        <f>_xlfn.XLOOKUP(TablaSTOCKINV[[#This Row],[SKU]],TablaINVENTARIO[SKU],TablaINVENTARIO[ALMACEN])</f>
        <v>ALMACEN PRINCIPAL</v>
      </c>
      <c r="J173" s="34" t="str">
        <f>_xlfn.XLOOKUP(TablaSTOCKINV[[#This Row],[SKU]],TablaINVENTARIO[SKU],TablaINVENTARIO[UBICACION])</f>
        <v>2C</v>
      </c>
      <c r="K173" s="34" t="str">
        <f>_xlfn.XLOOKUP(TablaSTOCKINV[[#This Row],[SKU]],TablaINVENTARIO[SKU],TablaINVENTARIO[DPTO RESPONSABLE])</f>
        <v>OPERACIONES</v>
      </c>
      <c r="L173" s="36">
        <f>_xlfn.XLOOKUP(TablaSTOCKINV[[#This Row],[SKU]],TablaINVENTARIO[SKU],TablaINVENTARIO[RANGO MIN])</f>
        <v>0</v>
      </c>
      <c r="M173" s="34" cm="1">
        <f t="array" ref="M173">_xlfn.IFS(TablaSTOCKINV[[#This Row],[CANT. TOTAL]]&lt;=0,1,TablaSTOCKINV[[#This Row],[CANT. TOTAL]]&lt;=TablaSTOCKINV[[#This Row],[MIN]],2,TablaSTOCKINV[[#This Row],[CANT. TOTAL]]&gt;TablaSTOCKINV[[#This Row],[MIN]],3)</f>
        <v>3</v>
      </c>
      <c r="N173" s="34">
        <f>TablaSTOCKINV[[#This Row],[ENTRADAS]]-TablaSTOCKINV[[#This Row],[SALIDAS]]</f>
        <v>8</v>
      </c>
      <c r="O173" s="35">
        <f>SUMIFS(TablaENTRADA[CANT],TablaENTRADA[SKU],TablaSTOCKINV[[#This Row],[SKU]])</f>
        <v>8</v>
      </c>
      <c r="P173" s="35">
        <f>SUMIFS(TablaSALIDA[CANT],TablaSALIDA[SKU],TablaSTOCKINV[[#This Row],[SKU]])</f>
        <v>0</v>
      </c>
      <c r="Q173" s="34">
        <f>_xlfn.XLOOKUP(TablaSTOCKINV[[#This Row],[SKU]],TablaINVENTARIO[SKU],TablaINVENTARIO[PRECIO])</f>
        <v>0</v>
      </c>
      <c r="R173" s="34">
        <f>TablaSTOCKINV[[#This Row],[P.UNITARIO]]*TablaSTOCKINV[[#This Row],[CANT. TOTAL]]</f>
        <v>0</v>
      </c>
      <c r="S173" s="44">
        <f>_xlfn.XLOOKUP(TablaSTOCKINV[[#This Row],[SKU]],TablaINVENTARIO[SKU],TablaINVENTARIO[FECHA INGRESO])</f>
        <v>46023</v>
      </c>
      <c r="T173" s="44">
        <f>_xlfn.XLOOKUP(TablaSTOCKINV[[#This Row],[SKU]],TablaENTRADA[SKU],TablaENTRADA[FECHA],,0,-1)</f>
        <v>46023</v>
      </c>
      <c r="U173" s="46" t="str">
        <f>IFERROR((_xlfn.XLOOKUP(TablaSTOCKINV[[#This Row],[SKU]],TablaSALIDA[SKU],TablaSALIDA[FECHA],,0,-1))," " )</f>
        <v xml:space="preserve"> </v>
      </c>
    </row>
    <row r="174" spans="1:21" x14ac:dyDescent="0.3">
      <c r="A174" s="27" t="s">
        <v>2003</v>
      </c>
      <c r="B174" s="32" t="str">
        <f>_xlfn.XLOOKUP(TablaSTOCKINV[[#This Row],[SKU]],TablaINVENTARIO[SKU],TablaINVENTARIO[DESCRIPCION])</f>
        <v xml:space="preserve">GOTERO PARA MUESTRA Y DESMULSIFICANTE </v>
      </c>
      <c r="C174" s="32" t="str">
        <f>_xlfn.XLOOKUP(TablaSTOCKINV[[#This Row],[SKU]],TablaINVENTARIO[SKU],TablaINVENTARIO[MARCA])</f>
        <v>N/A</v>
      </c>
      <c r="D174" s="33" t="str">
        <f>_xlfn.XLOOKUP(TablaSTOCKINV[[#This Row],[SKU]],TablaINVENTARIO[SKU],TablaINVENTARIO[CATEGORIA])</f>
        <v xml:space="preserve">LABORATORIO </v>
      </c>
      <c r="E174" s="33" t="str">
        <f>_xlfn.XLOOKUP(TablaSTOCKINV[[#This Row],[SKU]],TablaINVENTARIO[SKU],TablaINVENTARIO[SUBCATEGORIA])</f>
        <v xml:space="preserve">REACTIVO QUÍMICO </v>
      </c>
      <c r="F174" s="33" t="str">
        <f>_xlfn.XLOOKUP(TablaSTOCKINV[[#This Row],[SKU]],TablaINVENTARIO[SKU],TablaINVENTARIO[ESTADO])</f>
        <v>NUEVO</v>
      </c>
      <c r="G174" s="33" t="str">
        <f>_xlfn.XLOOKUP(TablaSTOCKINV[[#This Row],[SKU]],TablaINVENTARIO[SKU],TablaINVENTARIO[MEDIDA])</f>
        <v xml:space="preserve">UND </v>
      </c>
      <c r="H174" s="33" t="str">
        <f>_xlfn.XLOOKUP(TablaSTOCKINV[[#This Row],[SKU]],TablaINVENTARIO[SKU],TablaINVENTARIO[SERIAL])</f>
        <v>N/A</v>
      </c>
      <c r="I174" s="34" t="str">
        <f>_xlfn.XLOOKUP(TablaSTOCKINV[[#This Row],[SKU]],TablaINVENTARIO[SKU],TablaINVENTARIO[ALMACEN])</f>
        <v>ALMACEN PRINCIPAL</v>
      </c>
      <c r="J174" s="34" t="str">
        <f>_xlfn.XLOOKUP(TablaSTOCKINV[[#This Row],[SKU]],TablaINVENTARIO[SKU],TablaINVENTARIO[UBICACION])</f>
        <v>2C</v>
      </c>
      <c r="K174" s="34" t="str">
        <f>_xlfn.XLOOKUP(TablaSTOCKINV[[#This Row],[SKU]],TablaINVENTARIO[SKU],TablaINVENTARIO[DPTO RESPONSABLE])</f>
        <v>OPERACIONES</v>
      </c>
      <c r="L174" s="36">
        <f>_xlfn.XLOOKUP(TablaSTOCKINV[[#This Row],[SKU]],TablaINVENTARIO[SKU],TablaINVENTARIO[RANGO MIN])</f>
        <v>0</v>
      </c>
      <c r="M174" s="34" cm="1">
        <f t="array" ref="M174">_xlfn.IFS(TablaSTOCKINV[[#This Row],[CANT. TOTAL]]&lt;=0,1,TablaSTOCKINV[[#This Row],[CANT. TOTAL]]&lt;=TablaSTOCKINV[[#This Row],[MIN]],2,TablaSTOCKINV[[#This Row],[CANT. TOTAL]]&gt;TablaSTOCKINV[[#This Row],[MIN]],3)</f>
        <v>3</v>
      </c>
      <c r="N174" s="34">
        <f>TablaSTOCKINV[[#This Row],[ENTRADAS]]-TablaSTOCKINV[[#This Row],[SALIDAS]]</f>
        <v>24</v>
      </c>
      <c r="O174" s="35">
        <f>SUMIFS(TablaENTRADA[CANT],TablaENTRADA[SKU],TablaSTOCKINV[[#This Row],[SKU]])</f>
        <v>24</v>
      </c>
      <c r="P174" s="35">
        <f>SUMIFS(TablaSALIDA[CANT],TablaSALIDA[SKU],TablaSTOCKINV[[#This Row],[SKU]])</f>
        <v>0</v>
      </c>
      <c r="Q174" s="34">
        <f>_xlfn.XLOOKUP(TablaSTOCKINV[[#This Row],[SKU]],TablaINVENTARIO[SKU],TablaINVENTARIO[PRECIO])</f>
        <v>0</v>
      </c>
      <c r="R174" s="34">
        <f>TablaSTOCKINV[[#This Row],[P.UNITARIO]]*TablaSTOCKINV[[#This Row],[CANT. TOTAL]]</f>
        <v>0</v>
      </c>
      <c r="S174" s="44">
        <f>_xlfn.XLOOKUP(TablaSTOCKINV[[#This Row],[SKU]],TablaINVENTARIO[SKU],TablaINVENTARIO[FECHA INGRESO])</f>
        <v>46023</v>
      </c>
      <c r="T174" s="44">
        <f>_xlfn.XLOOKUP(TablaSTOCKINV[[#This Row],[SKU]],TablaENTRADA[SKU],TablaENTRADA[FECHA],,0,-1)</f>
        <v>46023</v>
      </c>
      <c r="U174" s="46" t="str">
        <f>IFERROR((_xlfn.XLOOKUP(TablaSTOCKINV[[#This Row],[SKU]],TablaSALIDA[SKU],TablaSALIDA[FECHA],,0,-1))," " )</f>
        <v xml:space="preserve"> </v>
      </c>
    </row>
    <row r="175" spans="1:21" x14ac:dyDescent="0.3">
      <c r="A175" s="27" t="s">
        <v>2005</v>
      </c>
      <c r="B175" s="32" t="str">
        <f>_xlfn.XLOOKUP(TablaSTOCKINV[[#This Row],[SKU]],TablaINVENTARIO[SKU],TablaINVENTARIO[DESCRIPCION])</f>
        <v xml:space="preserve">HIDROMETRO DE VIDRIO 9-21 COD: 31402 </v>
      </c>
      <c r="C175" s="32" t="str">
        <f>_xlfn.XLOOKUP(TablaSTOCKINV[[#This Row],[SKU]],TablaINVENTARIO[SKU],TablaINVENTARIO[MARCA])</f>
        <v>WALKER</v>
      </c>
      <c r="D175" s="33" t="str">
        <f>_xlfn.XLOOKUP(TablaSTOCKINV[[#This Row],[SKU]],TablaINVENTARIO[SKU],TablaINVENTARIO[CATEGORIA])</f>
        <v xml:space="preserve">LABORATORIO </v>
      </c>
      <c r="E175" s="33" t="str">
        <f>_xlfn.XLOOKUP(TablaSTOCKINV[[#This Row],[SKU]],TablaINVENTARIO[SKU],TablaINVENTARIO[SUBCATEGORIA])</f>
        <v xml:space="preserve">INSTRUMENTO DE MEDICIÓN </v>
      </c>
      <c r="F175" s="33" t="str">
        <f>_xlfn.XLOOKUP(TablaSTOCKINV[[#This Row],[SKU]],TablaINVENTARIO[SKU],TablaINVENTARIO[ESTADO])</f>
        <v>NUEVO</v>
      </c>
      <c r="G175" s="33" t="str">
        <f>_xlfn.XLOOKUP(TablaSTOCKINV[[#This Row],[SKU]],TablaINVENTARIO[SKU],TablaINVENTARIO[MEDIDA])</f>
        <v xml:space="preserve">UND </v>
      </c>
      <c r="H175" s="33" t="str">
        <f>_xlfn.XLOOKUP(TablaSTOCKINV[[#This Row],[SKU]],TablaINVENTARIO[SKU],TablaINVENTARIO[SERIAL])</f>
        <v>N/A</v>
      </c>
      <c r="I175" s="34" t="str">
        <f>_xlfn.XLOOKUP(TablaSTOCKINV[[#This Row],[SKU]],TablaINVENTARIO[SKU],TablaINVENTARIO[ALMACEN])</f>
        <v>ALMACEN PRINCIPAL</v>
      </c>
      <c r="J175" s="34" t="str">
        <f>_xlfn.XLOOKUP(TablaSTOCKINV[[#This Row],[SKU]],TablaINVENTARIO[SKU],TablaINVENTARIO[UBICACION])</f>
        <v>2C</v>
      </c>
      <c r="K175" s="34" t="str">
        <f>_xlfn.XLOOKUP(TablaSTOCKINV[[#This Row],[SKU]],TablaINVENTARIO[SKU],TablaINVENTARIO[DPTO RESPONSABLE])</f>
        <v>OPERACIONES</v>
      </c>
      <c r="L175" s="36">
        <f>_xlfn.XLOOKUP(TablaSTOCKINV[[#This Row],[SKU]],TablaINVENTARIO[SKU],TablaINVENTARIO[RANGO MIN])</f>
        <v>0</v>
      </c>
      <c r="M175" s="34" cm="1">
        <f t="array" ref="M175">_xlfn.IFS(TablaSTOCKINV[[#This Row],[CANT. TOTAL]]&lt;=0,1,TablaSTOCKINV[[#This Row],[CANT. TOTAL]]&lt;=TablaSTOCKINV[[#This Row],[MIN]],2,TablaSTOCKINV[[#This Row],[CANT. TOTAL]]&gt;TablaSTOCKINV[[#This Row],[MIN]],3)</f>
        <v>3</v>
      </c>
      <c r="N175" s="34">
        <f>TablaSTOCKINV[[#This Row],[ENTRADAS]]-TablaSTOCKINV[[#This Row],[SALIDAS]]</f>
        <v>11</v>
      </c>
      <c r="O175" s="35">
        <f>SUMIFS(TablaENTRADA[CANT],TablaENTRADA[SKU],TablaSTOCKINV[[#This Row],[SKU]])</f>
        <v>11</v>
      </c>
      <c r="P175" s="35">
        <f>SUMIFS(TablaSALIDA[CANT],TablaSALIDA[SKU],TablaSTOCKINV[[#This Row],[SKU]])</f>
        <v>0</v>
      </c>
      <c r="Q175" s="34">
        <f>_xlfn.XLOOKUP(TablaSTOCKINV[[#This Row],[SKU]],TablaINVENTARIO[SKU],TablaINVENTARIO[PRECIO])</f>
        <v>0</v>
      </c>
      <c r="R175" s="34">
        <f>TablaSTOCKINV[[#This Row],[P.UNITARIO]]*TablaSTOCKINV[[#This Row],[CANT. TOTAL]]</f>
        <v>0</v>
      </c>
      <c r="S175" s="44">
        <f>_xlfn.XLOOKUP(TablaSTOCKINV[[#This Row],[SKU]],TablaINVENTARIO[SKU],TablaINVENTARIO[FECHA INGRESO])</f>
        <v>46023</v>
      </c>
      <c r="T175" s="44">
        <f>_xlfn.XLOOKUP(TablaSTOCKINV[[#This Row],[SKU]],TablaENTRADA[SKU],TablaENTRADA[FECHA],,0,-1)</f>
        <v>46023</v>
      </c>
      <c r="U175" s="46" t="str">
        <f>IFERROR((_xlfn.XLOOKUP(TablaSTOCKINV[[#This Row],[SKU]],TablaSALIDA[SKU],TablaSALIDA[FECHA],,0,-1))," " )</f>
        <v xml:space="preserve"> </v>
      </c>
    </row>
    <row r="176" spans="1:21" x14ac:dyDescent="0.3">
      <c r="A176" s="27" t="s">
        <v>2009</v>
      </c>
      <c r="B176" s="32" t="str">
        <f>_xlfn.XLOOKUP(TablaSTOCKINV[[#This Row],[SKU]],TablaINVENTARIO[SKU],TablaINVENTARIO[DESCRIPCION])</f>
        <v>HIDROMETRO DE VIDRIO 19-31 COD: 31404</v>
      </c>
      <c r="C176" s="32" t="str">
        <f>_xlfn.XLOOKUP(TablaSTOCKINV[[#This Row],[SKU]],TablaINVENTARIO[SKU],TablaINVENTARIO[MARCA])</f>
        <v>WALKER</v>
      </c>
      <c r="D176" s="33" t="str">
        <f>_xlfn.XLOOKUP(TablaSTOCKINV[[#This Row],[SKU]],TablaINVENTARIO[SKU],TablaINVENTARIO[CATEGORIA])</f>
        <v xml:space="preserve">LABORATORIO </v>
      </c>
      <c r="E176" s="33" t="str">
        <f>_xlfn.XLOOKUP(TablaSTOCKINV[[#This Row],[SKU]],TablaINVENTARIO[SKU],TablaINVENTARIO[SUBCATEGORIA])</f>
        <v xml:space="preserve">INSTRUMENTO DE MEDICIÓN </v>
      </c>
      <c r="F176" s="33" t="str">
        <f>_xlfn.XLOOKUP(TablaSTOCKINV[[#This Row],[SKU]],TablaINVENTARIO[SKU],TablaINVENTARIO[ESTADO])</f>
        <v>NUEVO</v>
      </c>
      <c r="G176" s="33" t="str">
        <f>_xlfn.XLOOKUP(TablaSTOCKINV[[#This Row],[SKU]],TablaINVENTARIO[SKU],TablaINVENTARIO[MEDIDA])</f>
        <v xml:space="preserve">UND </v>
      </c>
      <c r="H176" s="33" t="str">
        <f>_xlfn.XLOOKUP(TablaSTOCKINV[[#This Row],[SKU]],TablaINVENTARIO[SKU],TablaINVENTARIO[SERIAL])</f>
        <v>N/A</v>
      </c>
      <c r="I176" s="34" t="str">
        <f>_xlfn.XLOOKUP(TablaSTOCKINV[[#This Row],[SKU]],TablaINVENTARIO[SKU],TablaINVENTARIO[ALMACEN])</f>
        <v>ALMACEN PRINCIPAL</v>
      </c>
      <c r="J176" s="34" t="str">
        <f>_xlfn.XLOOKUP(TablaSTOCKINV[[#This Row],[SKU]],TablaINVENTARIO[SKU],TablaINVENTARIO[UBICACION])</f>
        <v>2C</v>
      </c>
      <c r="K176" s="34" t="str">
        <f>_xlfn.XLOOKUP(TablaSTOCKINV[[#This Row],[SKU]],TablaINVENTARIO[SKU],TablaINVENTARIO[DPTO RESPONSABLE])</f>
        <v>OPERACIONES</v>
      </c>
      <c r="L176" s="36">
        <f>_xlfn.XLOOKUP(TablaSTOCKINV[[#This Row],[SKU]],TablaINVENTARIO[SKU],TablaINVENTARIO[RANGO MIN])</f>
        <v>0</v>
      </c>
      <c r="M176" s="34" cm="1">
        <f t="array" ref="M176">_xlfn.IFS(TablaSTOCKINV[[#This Row],[CANT. TOTAL]]&lt;=0,1,TablaSTOCKINV[[#This Row],[CANT. TOTAL]]&lt;=TablaSTOCKINV[[#This Row],[MIN]],2,TablaSTOCKINV[[#This Row],[CANT. TOTAL]]&gt;TablaSTOCKINV[[#This Row],[MIN]],3)</f>
        <v>3</v>
      </c>
      <c r="N176" s="34">
        <f>TablaSTOCKINV[[#This Row],[ENTRADAS]]-TablaSTOCKINV[[#This Row],[SALIDAS]]</f>
        <v>9</v>
      </c>
      <c r="O176" s="35">
        <f>SUMIFS(TablaENTRADA[CANT],TablaENTRADA[SKU],TablaSTOCKINV[[#This Row],[SKU]])</f>
        <v>9</v>
      </c>
      <c r="P176" s="35">
        <f>SUMIFS(TablaSALIDA[CANT],TablaSALIDA[SKU],TablaSTOCKINV[[#This Row],[SKU]])</f>
        <v>0</v>
      </c>
      <c r="Q176" s="34">
        <f>_xlfn.XLOOKUP(TablaSTOCKINV[[#This Row],[SKU]],TablaINVENTARIO[SKU],TablaINVENTARIO[PRECIO])</f>
        <v>0</v>
      </c>
      <c r="R176" s="34">
        <f>TablaSTOCKINV[[#This Row],[P.UNITARIO]]*TablaSTOCKINV[[#This Row],[CANT. TOTAL]]</f>
        <v>0</v>
      </c>
      <c r="S176" s="44">
        <f>_xlfn.XLOOKUP(TablaSTOCKINV[[#This Row],[SKU]],TablaINVENTARIO[SKU],TablaINVENTARIO[FECHA INGRESO])</f>
        <v>46023</v>
      </c>
      <c r="T176" s="44">
        <f>_xlfn.XLOOKUP(TablaSTOCKINV[[#This Row],[SKU]],TablaENTRADA[SKU],TablaENTRADA[FECHA],,0,-1)</f>
        <v>46023</v>
      </c>
      <c r="U176" s="46" t="str">
        <f>IFERROR((_xlfn.XLOOKUP(TablaSTOCKINV[[#This Row],[SKU]],TablaSALIDA[SKU],TablaSALIDA[FECHA],,0,-1))," " )</f>
        <v xml:space="preserve"> </v>
      </c>
    </row>
    <row r="177" spans="1:21" x14ac:dyDescent="0.3">
      <c r="A177" s="27" t="s">
        <v>2011</v>
      </c>
      <c r="B177" s="32" t="str">
        <f>_xlfn.XLOOKUP(TablaSTOCKINV[[#This Row],[SKU]],TablaINVENTARIO[SKU],TablaINVENTARIO[DESCRIPCION])</f>
        <v>HIDROMETRO DE VIDRIO 29-41 COD: 31406</v>
      </c>
      <c r="C177" s="32" t="str">
        <f>_xlfn.XLOOKUP(TablaSTOCKINV[[#This Row],[SKU]],TablaINVENTARIO[SKU],TablaINVENTARIO[MARCA])</f>
        <v>WALKER</v>
      </c>
      <c r="D177" s="33" t="str">
        <f>_xlfn.XLOOKUP(TablaSTOCKINV[[#This Row],[SKU]],TablaINVENTARIO[SKU],TablaINVENTARIO[CATEGORIA])</f>
        <v xml:space="preserve">LABORATORIO </v>
      </c>
      <c r="E177" s="33" t="str">
        <f>_xlfn.XLOOKUP(TablaSTOCKINV[[#This Row],[SKU]],TablaINVENTARIO[SKU],TablaINVENTARIO[SUBCATEGORIA])</f>
        <v xml:space="preserve">INSTRUMENTO DE MEDICIÓN </v>
      </c>
      <c r="F177" s="33" t="str">
        <f>_xlfn.XLOOKUP(TablaSTOCKINV[[#This Row],[SKU]],TablaINVENTARIO[SKU],TablaINVENTARIO[ESTADO])</f>
        <v>NUEVO</v>
      </c>
      <c r="G177" s="33" t="str">
        <f>_xlfn.XLOOKUP(TablaSTOCKINV[[#This Row],[SKU]],TablaINVENTARIO[SKU],TablaINVENTARIO[MEDIDA])</f>
        <v xml:space="preserve">UND </v>
      </c>
      <c r="H177" s="33" t="str">
        <f>_xlfn.XLOOKUP(TablaSTOCKINV[[#This Row],[SKU]],TablaINVENTARIO[SKU],TablaINVENTARIO[SERIAL])</f>
        <v>N/A</v>
      </c>
      <c r="I177" s="34" t="str">
        <f>_xlfn.XLOOKUP(TablaSTOCKINV[[#This Row],[SKU]],TablaINVENTARIO[SKU],TablaINVENTARIO[ALMACEN])</f>
        <v>ALMACEN PRINCIPAL</v>
      </c>
      <c r="J177" s="34" t="str">
        <f>_xlfn.XLOOKUP(TablaSTOCKINV[[#This Row],[SKU]],TablaINVENTARIO[SKU],TablaINVENTARIO[UBICACION])</f>
        <v>2C</v>
      </c>
      <c r="K177" s="34" t="str">
        <f>_xlfn.XLOOKUP(TablaSTOCKINV[[#This Row],[SKU]],TablaINVENTARIO[SKU],TablaINVENTARIO[DPTO RESPONSABLE])</f>
        <v>OPERACIONES</v>
      </c>
      <c r="L177" s="36">
        <f>_xlfn.XLOOKUP(TablaSTOCKINV[[#This Row],[SKU]],TablaINVENTARIO[SKU],TablaINVENTARIO[RANGO MIN])</f>
        <v>0</v>
      </c>
      <c r="M177" s="34" cm="1">
        <f t="array" ref="M177">_xlfn.IFS(TablaSTOCKINV[[#This Row],[CANT. TOTAL]]&lt;=0,1,TablaSTOCKINV[[#This Row],[CANT. TOTAL]]&lt;=TablaSTOCKINV[[#This Row],[MIN]],2,TablaSTOCKINV[[#This Row],[CANT. TOTAL]]&gt;TablaSTOCKINV[[#This Row],[MIN]],3)</f>
        <v>3</v>
      </c>
      <c r="N177" s="34">
        <f>TablaSTOCKINV[[#This Row],[ENTRADAS]]-TablaSTOCKINV[[#This Row],[SALIDAS]]</f>
        <v>11</v>
      </c>
      <c r="O177" s="35">
        <f>SUMIFS(TablaENTRADA[CANT],TablaENTRADA[SKU],TablaSTOCKINV[[#This Row],[SKU]])</f>
        <v>11</v>
      </c>
      <c r="P177" s="35">
        <f>SUMIFS(TablaSALIDA[CANT],TablaSALIDA[SKU],TablaSTOCKINV[[#This Row],[SKU]])</f>
        <v>0</v>
      </c>
      <c r="Q177" s="34">
        <f>_xlfn.XLOOKUP(TablaSTOCKINV[[#This Row],[SKU]],TablaINVENTARIO[SKU],TablaINVENTARIO[PRECIO])</f>
        <v>0</v>
      </c>
      <c r="R177" s="34">
        <f>TablaSTOCKINV[[#This Row],[P.UNITARIO]]*TablaSTOCKINV[[#This Row],[CANT. TOTAL]]</f>
        <v>0</v>
      </c>
      <c r="S177" s="44">
        <f>_xlfn.XLOOKUP(TablaSTOCKINV[[#This Row],[SKU]],TablaINVENTARIO[SKU],TablaINVENTARIO[FECHA INGRESO])</f>
        <v>46023</v>
      </c>
      <c r="T177" s="44">
        <f>_xlfn.XLOOKUP(TablaSTOCKINV[[#This Row],[SKU]],TablaENTRADA[SKU],TablaENTRADA[FECHA],,0,-1)</f>
        <v>46023</v>
      </c>
      <c r="U177" s="46" t="str">
        <f>IFERROR((_xlfn.XLOOKUP(TablaSTOCKINV[[#This Row],[SKU]],TablaSALIDA[SKU],TablaSALIDA[FECHA],,0,-1))," " )</f>
        <v xml:space="preserve"> </v>
      </c>
    </row>
    <row r="178" spans="1:21" x14ac:dyDescent="0.3">
      <c r="A178" s="27" t="s">
        <v>2013</v>
      </c>
      <c r="B178" s="32" t="str">
        <f>_xlfn.XLOOKUP(TablaSTOCKINV[[#This Row],[SKU]],TablaINVENTARIO[SKU],TablaINVENTARIO[DESCRIPCION])</f>
        <v>HIDROMETRO DE VIDRIO 1-11 COD: 31400</v>
      </c>
      <c r="C178" s="32" t="str">
        <f>_xlfn.XLOOKUP(TablaSTOCKINV[[#This Row],[SKU]],TablaINVENTARIO[SKU],TablaINVENTARIO[MARCA])</f>
        <v>WALKER</v>
      </c>
      <c r="D178" s="33" t="str">
        <f>_xlfn.XLOOKUP(TablaSTOCKINV[[#This Row],[SKU]],TablaINVENTARIO[SKU],TablaINVENTARIO[CATEGORIA])</f>
        <v xml:space="preserve">LABORATORIO </v>
      </c>
      <c r="E178" s="33" t="str">
        <f>_xlfn.XLOOKUP(TablaSTOCKINV[[#This Row],[SKU]],TablaINVENTARIO[SKU],TablaINVENTARIO[SUBCATEGORIA])</f>
        <v xml:space="preserve">INSTRUMENTO DE MEDICIÓN </v>
      </c>
      <c r="F178" s="33" t="str">
        <f>_xlfn.XLOOKUP(TablaSTOCKINV[[#This Row],[SKU]],TablaINVENTARIO[SKU],TablaINVENTARIO[ESTADO])</f>
        <v>NUEVO</v>
      </c>
      <c r="G178" s="33" t="str">
        <f>_xlfn.XLOOKUP(TablaSTOCKINV[[#This Row],[SKU]],TablaINVENTARIO[SKU],TablaINVENTARIO[MEDIDA])</f>
        <v xml:space="preserve">UND </v>
      </c>
      <c r="H178" s="33" t="str">
        <f>_xlfn.XLOOKUP(TablaSTOCKINV[[#This Row],[SKU]],TablaINVENTARIO[SKU],TablaINVENTARIO[SERIAL])</f>
        <v>N/A</v>
      </c>
      <c r="I178" s="34" t="str">
        <f>_xlfn.XLOOKUP(TablaSTOCKINV[[#This Row],[SKU]],TablaINVENTARIO[SKU],TablaINVENTARIO[ALMACEN])</f>
        <v>ALMACEN PRINCIPAL</v>
      </c>
      <c r="J178" s="34" t="str">
        <f>_xlfn.XLOOKUP(TablaSTOCKINV[[#This Row],[SKU]],TablaINVENTARIO[SKU],TablaINVENTARIO[UBICACION])</f>
        <v>2C</v>
      </c>
      <c r="K178" s="34" t="str">
        <f>_xlfn.XLOOKUP(TablaSTOCKINV[[#This Row],[SKU]],TablaINVENTARIO[SKU],TablaINVENTARIO[DPTO RESPONSABLE])</f>
        <v>OPERACIONES</v>
      </c>
      <c r="L178" s="36">
        <f>_xlfn.XLOOKUP(TablaSTOCKINV[[#This Row],[SKU]],TablaINVENTARIO[SKU],TablaINVENTARIO[RANGO MIN])</f>
        <v>0</v>
      </c>
      <c r="M178" s="34" cm="1">
        <f t="array" ref="M178">_xlfn.IFS(TablaSTOCKINV[[#This Row],[CANT. TOTAL]]&lt;=0,1,TablaSTOCKINV[[#This Row],[CANT. TOTAL]]&lt;=TablaSTOCKINV[[#This Row],[MIN]],2,TablaSTOCKINV[[#This Row],[CANT. TOTAL]]&gt;TablaSTOCKINV[[#This Row],[MIN]],3)</f>
        <v>3</v>
      </c>
      <c r="N178" s="34">
        <f>TablaSTOCKINV[[#This Row],[ENTRADAS]]-TablaSTOCKINV[[#This Row],[SALIDAS]]</f>
        <v>6</v>
      </c>
      <c r="O178" s="35">
        <f>SUMIFS(TablaENTRADA[CANT],TablaENTRADA[SKU],TablaSTOCKINV[[#This Row],[SKU]])</f>
        <v>6</v>
      </c>
      <c r="P178" s="35">
        <f>SUMIFS(TablaSALIDA[CANT],TablaSALIDA[SKU],TablaSTOCKINV[[#This Row],[SKU]])</f>
        <v>0</v>
      </c>
      <c r="Q178" s="34">
        <f>_xlfn.XLOOKUP(TablaSTOCKINV[[#This Row],[SKU]],TablaINVENTARIO[SKU],TablaINVENTARIO[PRECIO])</f>
        <v>0</v>
      </c>
      <c r="R178" s="34">
        <f>TablaSTOCKINV[[#This Row],[P.UNITARIO]]*TablaSTOCKINV[[#This Row],[CANT. TOTAL]]</f>
        <v>0</v>
      </c>
      <c r="S178" s="44">
        <f>_xlfn.XLOOKUP(TablaSTOCKINV[[#This Row],[SKU]],TablaINVENTARIO[SKU],TablaINVENTARIO[FECHA INGRESO])</f>
        <v>46023</v>
      </c>
      <c r="T178" s="44">
        <f>_xlfn.XLOOKUP(TablaSTOCKINV[[#This Row],[SKU]],TablaENTRADA[SKU],TablaENTRADA[FECHA],,0,-1)</f>
        <v>46023</v>
      </c>
      <c r="U178" s="46" t="str">
        <f>IFERROR((_xlfn.XLOOKUP(TablaSTOCKINV[[#This Row],[SKU]],TablaSALIDA[SKU],TablaSALIDA[FECHA],,0,-1))," " )</f>
        <v xml:space="preserve"> </v>
      </c>
    </row>
    <row r="179" spans="1:21" x14ac:dyDescent="0.3">
      <c r="A179" s="27" t="s">
        <v>2015</v>
      </c>
      <c r="B179" s="32" t="str">
        <f>_xlfn.XLOOKUP(TablaSTOCKINV[[#This Row],[SKU]],TablaINVENTARIO[SKU],TablaINVENTARIO[DESCRIPCION])</f>
        <v xml:space="preserve">PROBETA DE VIDRIO 100ML </v>
      </c>
      <c r="C179" s="32" t="str">
        <f>_xlfn.XLOOKUP(TablaSTOCKINV[[#This Row],[SKU]],TablaINVENTARIO[SKU],TablaINVENTARIO[MARCA])</f>
        <v>KIMAX</v>
      </c>
      <c r="D179" s="33" t="str">
        <f>_xlfn.XLOOKUP(TablaSTOCKINV[[#This Row],[SKU]],TablaINVENTARIO[SKU],TablaINVENTARIO[CATEGORIA])</f>
        <v xml:space="preserve">LABORATORIO </v>
      </c>
      <c r="E179" s="33" t="str">
        <f>_xlfn.XLOOKUP(TablaSTOCKINV[[#This Row],[SKU]],TablaINVENTARIO[SKU],TablaINVENTARIO[SUBCATEGORIA])</f>
        <v xml:space="preserve">INSTRUMENTO DE MEDICIÓN Y TRANSFERENCIA DE VOLUMEN </v>
      </c>
      <c r="F179" s="33" t="str">
        <f>_xlfn.XLOOKUP(TablaSTOCKINV[[#This Row],[SKU]],TablaINVENTARIO[SKU],TablaINVENTARIO[ESTADO])</f>
        <v>USADO</v>
      </c>
      <c r="G179" s="33" t="str">
        <f>_xlfn.XLOOKUP(TablaSTOCKINV[[#This Row],[SKU]],TablaINVENTARIO[SKU],TablaINVENTARIO[MEDIDA])</f>
        <v xml:space="preserve">UND </v>
      </c>
      <c r="H179" s="33" t="str">
        <f>_xlfn.XLOOKUP(TablaSTOCKINV[[#This Row],[SKU]],TablaINVENTARIO[SKU],TablaINVENTARIO[SERIAL])</f>
        <v>N/A</v>
      </c>
      <c r="I179" s="34" t="str">
        <f>_xlfn.XLOOKUP(TablaSTOCKINV[[#This Row],[SKU]],TablaINVENTARIO[SKU],TablaINVENTARIO[ALMACEN])</f>
        <v>ALMACEN PRINCIPAL</v>
      </c>
      <c r="J179" s="34" t="str">
        <f>_xlfn.XLOOKUP(TablaSTOCKINV[[#This Row],[SKU]],TablaINVENTARIO[SKU],TablaINVENTARIO[UBICACION])</f>
        <v>2C</v>
      </c>
      <c r="K179" s="34" t="str">
        <f>_xlfn.XLOOKUP(TablaSTOCKINV[[#This Row],[SKU]],TablaINVENTARIO[SKU],TablaINVENTARIO[DPTO RESPONSABLE])</f>
        <v>OPERACIONES</v>
      </c>
      <c r="L179" s="36">
        <f>_xlfn.XLOOKUP(TablaSTOCKINV[[#This Row],[SKU]],TablaINVENTARIO[SKU],TablaINVENTARIO[RANGO MIN])</f>
        <v>0</v>
      </c>
      <c r="M179" s="34" cm="1">
        <f t="array" ref="M179">_xlfn.IFS(TablaSTOCKINV[[#This Row],[CANT. TOTAL]]&lt;=0,1,TablaSTOCKINV[[#This Row],[CANT. TOTAL]]&lt;=TablaSTOCKINV[[#This Row],[MIN]],2,TablaSTOCKINV[[#This Row],[CANT. TOTAL]]&gt;TablaSTOCKINV[[#This Row],[MIN]],3)</f>
        <v>3</v>
      </c>
      <c r="N179" s="34">
        <f>TablaSTOCKINV[[#This Row],[ENTRADAS]]-TablaSTOCKINV[[#This Row],[SALIDAS]]</f>
        <v>5</v>
      </c>
      <c r="O179" s="35">
        <f>SUMIFS(TablaENTRADA[CANT],TablaENTRADA[SKU],TablaSTOCKINV[[#This Row],[SKU]])</f>
        <v>5</v>
      </c>
      <c r="P179" s="35">
        <f>SUMIFS(TablaSALIDA[CANT],TablaSALIDA[SKU],TablaSTOCKINV[[#This Row],[SKU]])</f>
        <v>0</v>
      </c>
      <c r="Q179" s="34">
        <f>_xlfn.XLOOKUP(TablaSTOCKINV[[#This Row],[SKU]],TablaINVENTARIO[SKU],TablaINVENTARIO[PRECIO])</f>
        <v>0</v>
      </c>
      <c r="R179" s="34">
        <f>TablaSTOCKINV[[#This Row],[P.UNITARIO]]*TablaSTOCKINV[[#This Row],[CANT. TOTAL]]</f>
        <v>0</v>
      </c>
      <c r="S179" s="44">
        <f>_xlfn.XLOOKUP(TablaSTOCKINV[[#This Row],[SKU]],TablaINVENTARIO[SKU],TablaINVENTARIO[FECHA INGRESO])</f>
        <v>46023</v>
      </c>
      <c r="T179" s="44">
        <f>_xlfn.XLOOKUP(TablaSTOCKINV[[#This Row],[SKU]],TablaENTRADA[SKU],TablaENTRADA[FECHA],,0,-1)</f>
        <v>46023</v>
      </c>
      <c r="U179" s="46" t="str">
        <f>IFERROR((_xlfn.XLOOKUP(TablaSTOCKINV[[#This Row],[SKU]],TablaSALIDA[SKU],TablaSALIDA[FECHA],,0,-1))," " )</f>
        <v xml:space="preserve"> </v>
      </c>
    </row>
    <row r="180" spans="1:21" x14ac:dyDescent="0.3">
      <c r="A180" s="27" t="s">
        <v>2019</v>
      </c>
      <c r="B180" s="32" t="str">
        <f>_xlfn.XLOOKUP(TablaSTOCKINV[[#This Row],[SKU]],TablaINVENTARIO[SKU],TablaINVENTARIO[DESCRIPCION])</f>
        <v xml:space="preserve">PROBETA DE VIDRIO 100ML </v>
      </c>
      <c r="C180" s="32" t="str">
        <f>_xlfn.XLOOKUP(TablaSTOCKINV[[#This Row],[SKU]],TablaINVENTARIO[SKU],TablaINVENTARIO[MARCA])</f>
        <v>PIREX</v>
      </c>
      <c r="D180" s="33" t="str">
        <f>_xlfn.XLOOKUP(TablaSTOCKINV[[#This Row],[SKU]],TablaINVENTARIO[SKU],TablaINVENTARIO[CATEGORIA])</f>
        <v xml:space="preserve">LABORATORIO </v>
      </c>
      <c r="E180" s="33" t="str">
        <f>_xlfn.XLOOKUP(TablaSTOCKINV[[#This Row],[SKU]],TablaINVENTARIO[SKU],TablaINVENTARIO[SUBCATEGORIA])</f>
        <v xml:space="preserve">INSTRUMENTO DE MEDICIÓN Y TRANSFERENCIA DE VOLUMEN </v>
      </c>
      <c r="F180" s="33" t="str">
        <f>_xlfn.XLOOKUP(TablaSTOCKINV[[#This Row],[SKU]],TablaINVENTARIO[SKU],TablaINVENTARIO[ESTADO])</f>
        <v>USADO</v>
      </c>
      <c r="G180" s="33" t="str">
        <f>_xlfn.XLOOKUP(TablaSTOCKINV[[#This Row],[SKU]],TablaINVENTARIO[SKU],TablaINVENTARIO[MEDIDA])</f>
        <v xml:space="preserve">UND </v>
      </c>
      <c r="H180" s="33" t="str">
        <f>_xlfn.XLOOKUP(TablaSTOCKINV[[#This Row],[SKU]],TablaINVENTARIO[SKU],TablaINVENTARIO[SERIAL])</f>
        <v>N/A</v>
      </c>
      <c r="I180" s="34" t="str">
        <f>_xlfn.XLOOKUP(TablaSTOCKINV[[#This Row],[SKU]],TablaINVENTARIO[SKU],TablaINVENTARIO[ALMACEN])</f>
        <v>ALMACEN PRINCIPAL</v>
      </c>
      <c r="J180" s="34" t="str">
        <f>_xlfn.XLOOKUP(TablaSTOCKINV[[#This Row],[SKU]],TablaINVENTARIO[SKU],TablaINVENTARIO[UBICACION])</f>
        <v>2C</v>
      </c>
      <c r="K180" s="34" t="str">
        <f>_xlfn.XLOOKUP(TablaSTOCKINV[[#This Row],[SKU]],TablaINVENTARIO[SKU],TablaINVENTARIO[DPTO RESPONSABLE])</f>
        <v>OPERACIONES</v>
      </c>
      <c r="L180" s="36">
        <f>_xlfn.XLOOKUP(TablaSTOCKINV[[#This Row],[SKU]],TablaINVENTARIO[SKU],TablaINVENTARIO[RANGO MIN])</f>
        <v>0</v>
      </c>
      <c r="M180" s="34" cm="1">
        <f t="array" ref="M180">_xlfn.IFS(TablaSTOCKINV[[#This Row],[CANT. TOTAL]]&lt;=0,1,TablaSTOCKINV[[#This Row],[CANT. TOTAL]]&lt;=TablaSTOCKINV[[#This Row],[MIN]],2,TablaSTOCKINV[[#This Row],[CANT. TOTAL]]&gt;TablaSTOCKINV[[#This Row],[MIN]],3)</f>
        <v>3</v>
      </c>
      <c r="N180" s="34">
        <f>TablaSTOCKINV[[#This Row],[ENTRADAS]]-TablaSTOCKINV[[#This Row],[SALIDAS]]</f>
        <v>4</v>
      </c>
      <c r="O180" s="35">
        <f>SUMIFS(TablaENTRADA[CANT],TablaENTRADA[SKU],TablaSTOCKINV[[#This Row],[SKU]])</f>
        <v>4</v>
      </c>
      <c r="P180" s="35">
        <f>SUMIFS(TablaSALIDA[CANT],TablaSALIDA[SKU],TablaSTOCKINV[[#This Row],[SKU]])</f>
        <v>0</v>
      </c>
      <c r="Q180" s="34">
        <f>_xlfn.XLOOKUP(TablaSTOCKINV[[#This Row],[SKU]],TablaINVENTARIO[SKU],TablaINVENTARIO[PRECIO])</f>
        <v>0</v>
      </c>
      <c r="R180" s="34">
        <f>TablaSTOCKINV[[#This Row],[P.UNITARIO]]*TablaSTOCKINV[[#This Row],[CANT. TOTAL]]</f>
        <v>0</v>
      </c>
      <c r="S180" s="44">
        <f>_xlfn.XLOOKUP(TablaSTOCKINV[[#This Row],[SKU]],TablaINVENTARIO[SKU],TablaINVENTARIO[FECHA INGRESO])</f>
        <v>46023</v>
      </c>
      <c r="T180" s="44">
        <f>_xlfn.XLOOKUP(TablaSTOCKINV[[#This Row],[SKU]],TablaENTRADA[SKU],TablaENTRADA[FECHA],,0,-1)</f>
        <v>46023</v>
      </c>
      <c r="U180" s="46" t="str">
        <f>IFERROR((_xlfn.XLOOKUP(TablaSTOCKINV[[#This Row],[SKU]],TablaSALIDA[SKU],TablaSALIDA[FECHA],,0,-1))," " )</f>
        <v xml:space="preserve"> </v>
      </c>
    </row>
    <row r="181" spans="1:21" x14ac:dyDescent="0.3">
      <c r="A181" s="27" t="s">
        <v>2021</v>
      </c>
      <c r="B181" s="32" t="str">
        <f>_xlfn.XLOOKUP(TablaSTOCKINV[[#This Row],[SKU]],TablaINVENTARIO[SKU],TablaINVENTARIO[DESCRIPCION])</f>
        <v xml:space="preserve">PROBETA DE VIDRIO 100ML </v>
      </c>
      <c r="C181" s="32" t="str">
        <f>_xlfn.XLOOKUP(TablaSTOCKINV[[#This Row],[SKU]],TablaINVENTARIO[SKU],TablaINVENTARIO[MARCA])</f>
        <v>ACTM</v>
      </c>
      <c r="D181" s="33" t="str">
        <f>_xlfn.XLOOKUP(TablaSTOCKINV[[#This Row],[SKU]],TablaINVENTARIO[SKU],TablaINVENTARIO[CATEGORIA])</f>
        <v xml:space="preserve">LABORATORIO </v>
      </c>
      <c r="E181" s="33" t="str">
        <f>_xlfn.XLOOKUP(TablaSTOCKINV[[#This Row],[SKU]],TablaINVENTARIO[SKU],TablaINVENTARIO[SUBCATEGORIA])</f>
        <v xml:space="preserve">INSTRUMENTO DE MEDICIÓN Y TRANSFERENCIA DE VOLUMEN </v>
      </c>
      <c r="F181" s="33" t="str">
        <f>_xlfn.XLOOKUP(TablaSTOCKINV[[#This Row],[SKU]],TablaINVENTARIO[SKU],TablaINVENTARIO[ESTADO])</f>
        <v>USADO</v>
      </c>
      <c r="G181" s="33" t="str">
        <f>_xlfn.XLOOKUP(TablaSTOCKINV[[#This Row],[SKU]],TablaINVENTARIO[SKU],TablaINVENTARIO[MEDIDA])</f>
        <v xml:space="preserve">UND </v>
      </c>
      <c r="H181" s="33" t="str">
        <f>_xlfn.XLOOKUP(TablaSTOCKINV[[#This Row],[SKU]],TablaINVENTARIO[SKU],TablaINVENTARIO[SERIAL])</f>
        <v>N/A</v>
      </c>
      <c r="I181" s="34" t="str">
        <f>_xlfn.XLOOKUP(TablaSTOCKINV[[#This Row],[SKU]],TablaINVENTARIO[SKU],TablaINVENTARIO[ALMACEN])</f>
        <v>ALMACEN PRINCIPAL</v>
      </c>
      <c r="J181" s="34" t="str">
        <f>_xlfn.XLOOKUP(TablaSTOCKINV[[#This Row],[SKU]],TablaINVENTARIO[SKU],TablaINVENTARIO[UBICACION])</f>
        <v>2C</v>
      </c>
      <c r="K181" s="34" t="str">
        <f>_xlfn.XLOOKUP(TablaSTOCKINV[[#This Row],[SKU]],TablaINVENTARIO[SKU],TablaINVENTARIO[DPTO RESPONSABLE])</f>
        <v>OPERACIONES</v>
      </c>
      <c r="L181" s="36">
        <f>_xlfn.XLOOKUP(TablaSTOCKINV[[#This Row],[SKU]],TablaINVENTARIO[SKU],TablaINVENTARIO[RANGO MIN])</f>
        <v>0</v>
      </c>
      <c r="M181" s="34" cm="1">
        <f t="array" ref="M181">_xlfn.IFS(TablaSTOCKINV[[#This Row],[CANT. TOTAL]]&lt;=0,1,TablaSTOCKINV[[#This Row],[CANT. TOTAL]]&lt;=TablaSTOCKINV[[#This Row],[MIN]],2,TablaSTOCKINV[[#This Row],[CANT. TOTAL]]&gt;TablaSTOCKINV[[#This Row],[MIN]],3)</f>
        <v>3</v>
      </c>
      <c r="N181" s="34">
        <f>TablaSTOCKINV[[#This Row],[ENTRADAS]]-TablaSTOCKINV[[#This Row],[SALIDAS]]</f>
        <v>2</v>
      </c>
      <c r="O181" s="35">
        <f>SUMIFS(TablaENTRADA[CANT],TablaENTRADA[SKU],TablaSTOCKINV[[#This Row],[SKU]])</f>
        <v>2</v>
      </c>
      <c r="P181" s="35">
        <f>SUMIFS(TablaSALIDA[CANT],TablaSALIDA[SKU],TablaSTOCKINV[[#This Row],[SKU]])</f>
        <v>0</v>
      </c>
      <c r="Q181" s="34">
        <f>_xlfn.XLOOKUP(TablaSTOCKINV[[#This Row],[SKU]],TablaINVENTARIO[SKU],TablaINVENTARIO[PRECIO])</f>
        <v>0</v>
      </c>
      <c r="R181" s="34">
        <f>TablaSTOCKINV[[#This Row],[P.UNITARIO]]*TablaSTOCKINV[[#This Row],[CANT. TOTAL]]</f>
        <v>0</v>
      </c>
      <c r="S181" s="44">
        <f>_xlfn.XLOOKUP(TablaSTOCKINV[[#This Row],[SKU]],TablaINVENTARIO[SKU],TablaINVENTARIO[FECHA INGRESO])</f>
        <v>46023</v>
      </c>
      <c r="T181" s="44">
        <f>_xlfn.XLOOKUP(TablaSTOCKINV[[#This Row],[SKU]],TablaENTRADA[SKU],TablaENTRADA[FECHA],,0,-1)</f>
        <v>46023</v>
      </c>
      <c r="U181" s="46" t="str">
        <f>IFERROR((_xlfn.XLOOKUP(TablaSTOCKINV[[#This Row],[SKU]],TablaSALIDA[SKU],TablaSALIDA[FECHA],,0,-1))," " )</f>
        <v xml:space="preserve"> </v>
      </c>
    </row>
    <row r="182" spans="1:21" x14ac:dyDescent="0.3">
      <c r="A182" s="27" t="s">
        <v>2023</v>
      </c>
      <c r="B182" s="32" t="str">
        <f>_xlfn.XLOOKUP(TablaSTOCKINV[[#This Row],[SKU]],TablaINVENTARIO[SKU],TablaINVENTARIO[DESCRIPCION])</f>
        <v xml:space="preserve">PROBETA DE VIDRIO 50ML </v>
      </c>
      <c r="C182" s="32" t="str">
        <f>_xlfn.XLOOKUP(TablaSTOCKINV[[#This Row],[SKU]],TablaINVENTARIO[SKU],TablaINVENTARIO[MARCA])</f>
        <v>KIMAX</v>
      </c>
      <c r="D182" s="33" t="str">
        <f>_xlfn.XLOOKUP(TablaSTOCKINV[[#This Row],[SKU]],TablaINVENTARIO[SKU],TablaINVENTARIO[CATEGORIA])</f>
        <v xml:space="preserve">LABORATORIO </v>
      </c>
      <c r="E182" s="33" t="str">
        <f>_xlfn.XLOOKUP(TablaSTOCKINV[[#This Row],[SKU]],TablaINVENTARIO[SKU],TablaINVENTARIO[SUBCATEGORIA])</f>
        <v xml:space="preserve">INSTRUMENTO DE MEDICIÓN Y TRANSFERENCIA DE VOLUMEN </v>
      </c>
      <c r="F182" s="33" t="str">
        <f>_xlfn.XLOOKUP(TablaSTOCKINV[[#This Row],[SKU]],TablaINVENTARIO[SKU],TablaINVENTARIO[ESTADO])</f>
        <v>USADO</v>
      </c>
      <c r="G182" s="33" t="str">
        <f>_xlfn.XLOOKUP(TablaSTOCKINV[[#This Row],[SKU]],TablaINVENTARIO[SKU],TablaINVENTARIO[MEDIDA])</f>
        <v xml:space="preserve">UND </v>
      </c>
      <c r="H182" s="33" t="str">
        <f>_xlfn.XLOOKUP(TablaSTOCKINV[[#This Row],[SKU]],TablaINVENTARIO[SKU],TablaINVENTARIO[SERIAL])</f>
        <v>N/A</v>
      </c>
      <c r="I182" s="34" t="str">
        <f>_xlfn.XLOOKUP(TablaSTOCKINV[[#This Row],[SKU]],TablaINVENTARIO[SKU],TablaINVENTARIO[ALMACEN])</f>
        <v>ALMACEN PRINCIPAL</v>
      </c>
      <c r="J182" s="34" t="str">
        <f>_xlfn.XLOOKUP(TablaSTOCKINV[[#This Row],[SKU]],TablaINVENTARIO[SKU],TablaINVENTARIO[UBICACION])</f>
        <v>2C</v>
      </c>
      <c r="K182" s="34" t="str">
        <f>_xlfn.XLOOKUP(TablaSTOCKINV[[#This Row],[SKU]],TablaINVENTARIO[SKU],TablaINVENTARIO[DPTO RESPONSABLE])</f>
        <v>OPERACIONES</v>
      </c>
      <c r="L182" s="36">
        <f>_xlfn.XLOOKUP(TablaSTOCKINV[[#This Row],[SKU]],TablaINVENTARIO[SKU],TablaINVENTARIO[RANGO MIN])</f>
        <v>0</v>
      </c>
      <c r="M182" s="34" cm="1">
        <f t="array" ref="M182">_xlfn.IFS(TablaSTOCKINV[[#This Row],[CANT. TOTAL]]&lt;=0,1,TablaSTOCKINV[[#This Row],[CANT. TOTAL]]&lt;=TablaSTOCKINV[[#This Row],[MIN]],2,TablaSTOCKINV[[#This Row],[CANT. TOTAL]]&gt;TablaSTOCKINV[[#This Row],[MIN]],3)</f>
        <v>3</v>
      </c>
      <c r="N182" s="34">
        <f>TablaSTOCKINV[[#This Row],[ENTRADAS]]-TablaSTOCKINV[[#This Row],[SALIDAS]]</f>
        <v>7</v>
      </c>
      <c r="O182" s="35">
        <f>SUMIFS(TablaENTRADA[CANT],TablaENTRADA[SKU],TablaSTOCKINV[[#This Row],[SKU]])</f>
        <v>7</v>
      </c>
      <c r="P182" s="35">
        <f>SUMIFS(TablaSALIDA[CANT],TablaSALIDA[SKU],TablaSTOCKINV[[#This Row],[SKU]])</f>
        <v>0</v>
      </c>
      <c r="Q182" s="34">
        <f>_xlfn.XLOOKUP(TablaSTOCKINV[[#This Row],[SKU]],TablaINVENTARIO[SKU],TablaINVENTARIO[PRECIO])</f>
        <v>0</v>
      </c>
      <c r="R182" s="34">
        <f>TablaSTOCKINV[[#This Row],[P.UNITARIO]]*TablaSTOCKINV[[#This Row],[CANT. TOTAL]]</f>
        <v>0</v>
      </c>
      <c r="S182" s="44">
        <f>_xlfn.XLOOKUP(TablaSTOCKINV[[#This Row],[SKU]],TablaINVENTARIO[SKU],TablaINVENTARIO[FECHA INGRESO])</f>
        <v>46023</v>
      </c>
      <c r="T182" s="44">
        <f>_xlfn.XLOOKUP(TablaSTOCKINV[[#This Row],[SKU]],TablaENTRADA[SKU],TablaENTRADA[FECHA],,0,-1)</f>
        <v>46023</v>
      </c>
      <c r="U182" s="46" t="str">
        <f>IFERROR((_xlfn.XLOOKUP(TablaSTOCKINV[[#This Row],[SKU]],TablaSALIDA[SKU],TablaSALIDA[FECHA],,0,-1))," " )</f>
        <v xml:space="preserve"> </v>
      </c>
    </row>
    <row r="183" spans="1:21" x14ac:dyDescent="0.3">
      <c r="A183" s="27" t="s">
        <v>2025</v>
      </c>
      <c r="B183" s="32" t="str">
        <f>_xlfn.XLOOKUP(TablaSTOCKINV[[#This Row],[SKU]],TablaINVENTARIO[SKU],TablaINVENTARIO[DESCRIPCION])</f>
        <v>PROBETA DE ALUMINIO 50 ML</v>
      </c>
      <c r="C183" s="32" t="str">
        <f>_xlfn.XLOOKUP(TablaSTOCKINV[[#This Row],[SKU]],TablaINVENTARIO[SKU],TablaINVENTARIO[MARCA])</f>
        <v>N/A</v>
      </c>
      <c r="D183" s="33" t="str">
        <f>_xlfn.XLOOKUP(TablaSTOCKINV[[#This Row],[SKU]],TablaINVENTARIO[SKU],TablaINVENTARIO[CATEGORIA])</f>
        <v xml:space="preserve">LABORATORIO </v>
      </c>
      <c r="E183" s="33" t="str">
        <f>_xlfn.XLOOKUP(TablaSTOCKINV[[#This Row],[SKU]],TablaINVENTARIO[SKU],TablaINVENTARIO[SUBCATEGORIA])</f>
        <v xml:space="preserve">INSTRUMENTO DE MEDICIÓN Y TRANSFERENCIA DE VOLUMEN </v>
      </c>
      <c r="F183" s="33" t="str">
        <f>_xlfn.XLOOKUP(TablaSTOCKINV[[#This Row],[SKU]],TablaINVENTARIO[SKU],TablaINVENTARIO[ESTADO])</f>
        <v>USADO</v>
      </c>
      <c r="G183" s="33" t="str">
        <f>_xlfn.XLOOKUP(TablaSTOCKINV[[#This Row],[SKU]],TablaINVENTARIO[SKU],TablaINVENTARIO[MEDIDA])</f>
        <v xml:space="preserve">UND </v>
      </c>
      <c r="H183" s="33" t="str">
        <f>_xlfn.XLOOKUP(TablaSTOCKINV[[#This Row],[SKU]],TablaINVENTARIO[SKU],TablaINVENTARIO[SERIAL])</f>
        <v>N/A</v>
      </c>
      <c r="I183" s="34" t="str">
        <f>_xlfn.XLOOKUP(TablaSTOCKINV[[#This Row],[SKU]],TablaINVENTARIO[SKU],TablaINVENTARIO[ALMACEN])</f>
        <v>ALMACEN PRINCIPAL</v>
      </c>
      <c r="J183" s="34" t="str">
        <f>_xlfn.XLOOKUP(TablaSTOCKINV[[#This Row],[SKU]],TablaINVENTARIO[SKU],TablaINVENTARIO[UBICACION])</f>
        <v>2C</v>
      </c>
      <c r="K183" s="34" t="str">
        <f>_xlfn.XLOOKUP(TablaSTOCKINV[[#This Row],[SKU]],TablaINVENTARIO[SKU],TablaINVENTARIO[DPTO RESPONSABLE])</f>
        <v>OPERACIONES</v>
      </c>
      <c r="L183" s="36">
        <f>_xlfn.XLOOKUP(TablaSTOCKINV[[#This Row],[SKU]],TablaINVENTARIO[SKU],TablaINVENTARIO[RANGO MIN])</f>
        <v>0</v>
      </c>
      <c r="M183" s="34" cm="1">
        <f t="array" ref="M183">_xlfn.IFS(TablaSTOCKINV[[#This Row],[CANT. TOTAL]]&lt;=0,1,TablaSTOCKINV[[#This Row],[CANT. TOTAL]]&lt;=TablaSTOCKINV[[#This Row],[MIN]],2,TablaSTOCKINV[[#This Row],[CANT. TOTAL]]&gt;TablaSTOCKINV[[#This Row],[MIN]],3)</f>
        <v>3</v>
      </c>
      <c r="N183" s="34">
        <f>TablaSTOCKINV[[#This Row],[ENTRADAS]]-TablaSTOCKINV[[#This Row],[SALIDAS]]</f>
        <v>6</v>
      </c>
      <c r="O183" s="35">
        <f>SUMIFS(TablaENTRADA[CANT],TablaENTRADA[SKU],TablaSTOCKINV[[#This Row],[SKU]])</f>
        <v>6</v>
      </c>
      <c r="P183" s="35">
        <f>SUMIFS(TablaSALIDA[CANT],TablaSALIDA[SKU],TablaSTOCKINV[[#This Row],[SKU]])</f>
        <v>0</v>
      </c>
      <c r="Q183" s="34">
        <f>_xlfn.XLOOKUP(TablaSTOCKINV[[#This Row],[SKU]],TablaINVENTARIO[SKU],TablaINVENTARIO[PRECIO])</f>
        <v>0</v>
      </c>
      <c r="R183" s="34">
        <f>TablaSTOCKINV[[#This Row],[P.UNITARIO]]*TablaSTOCKINV[[#This Row],[CANT. TOTAL]]</f>
        <v>0</v>
      </c>
      <c r="S183" s="44">
        <f>_xlfn.XLOOKUP(TablaSTOCKINV[[#This Row],[SKU]],TablaINVENTARIO[SKU],TablaINVENTARIO[FECHA INGRESO])</f>
        <v>46023</v>
      </c>
      <c r="T183" s="44">
        <f>_xlfn.XLOOKUP(TablaSTOCKINV[[#This Row],[SKU]],TablaENTRADA[SKU],TablaENTRADA[FECHA],,0,-1)</f>
        <v>46023</v>
      </c>
      <c r="U183" s="46" t="str">
        <f>IFERROR((_xlfn.XLOOKUP(TablaSTOCKINV[[#This Row],[SKU]],TablaSALIDA[SKU],TablaSALIDA[FECHA],,0,-1))," " )</f>
        <v xml:space="preserve"> </v>
      </c>
    </row>
    <row r="184" spans="1:21" x14ac:dyDescent="0.3">
      <c r="A184" s="27" t="s">
        <v>2027</v>
      </c>
      <c r="B184" s="32" t="str">
        <f>_xlfn.XLOOKUP(TablaSTOCKINV[[#This Row],[SKU]],TablaINVENTARIO[SKU],TablaINVENTARIO[DESCRIPCION])</f>
        <v xml:space="preserve">SOLUCION GENERADORA PARA KARL FISHER </v>
      </c>
      <c r="C184" s="32" t="str">
        <f>_xlfn.XLOOKUP(TablaSTOCKINV[[#This Row],[SKU]],TablaINVENTARIO[SKU],TablaINVENTARIO[MARCA])</f>
        <v>N/A</v>
      </c>
      <c r="D184" s="33" t="str">
        <f>_xlfn.XLOOKUP(TablaSTOCKINV[[#This Row],[SKU]],TablaINVENTARIO[SKU],TablaINVENTARIO[CATEGORIA])</f>
        <v xml:space="preserve">LABORATORIO </v>
      </c>
      <c r="E184" s="33" t="str">
        <f>_xlfn.XLOOKUP(TablaSTOCKINV[[#This Row],[SKU]],TablaINVENTARIO[SKU],TablaINVENTARIO[SUBCATEGORIA])</f>
        <v xml:space="preserve">REACTIVO QUÍMICO </v>
      </c>
      <c r="F184" s="33" t="str">
        <f>_xlfn.XLOOKUP(TablaSTOCKINV[[#This Row],[SKU]],TablaINVENTARIO[SKU],TablaINVENTARIO[ESTADO])</f>
        <v>NUEVO</v>
      </c>
      <c r="G184" s="33" t="str">
        <f>_xlfn.XLOOKUP(TablaSTOCKINV[[#This Row],[SKU]],TablaINVENTARIO[SKU],TablaINVENTARIO[MEDIDA])</f>
        <v xml:space="preserve">UND </v>
      </c>
      <c r="H184" s="33" t="str">
        <f>_xlfn.XLOOKUP(TablaSTOCKINV[[#This Row],[SKU]],TablaINVENTARIO[SKU],TablaINVENTARIO[SERIAL])</f>
        <v>N/A</v>
      </c>
      <c r="I184" s="34" t="str">
        <f>_xlfn.XLOOKUP(TablaSTOCKINV[[#This Row],[SKU]],TablaINVENTARIO[SKU],TablaINVENTARIO[ALMACEN])</f>
        <v>ALMACEN PRINCIPAL</v>
      </c>
      <c r="J184" s="34" t="str">
        <f>_xlfn.XLOOKUP(TablaSTOCKINV[[#This Row],[SKU]],TablaINVENTARIO[SKU],TablaINVENTARIO[UBICACION])</f>
        <v>2D</v>
      </c>
      <c r="K184" s="34" t="str">
        <f>_xlfn.XLOOKUP(TablaSTOCKINV[[#This Row],[SKU]],TablaINVENTARIO[SKU],TablaINVENTARIO[DPTO RESPONSABLE])</f>
        <v>OPERACIONES</v>
      </c>
      <c r="L184" s="36">
        <f>_xlfn.XLOOKUP(TablaSTOCKINV[[#This Row],[SKU]],TablaINVENTARIO[SKU],TablaINVENTARIO[RANGO MIN])</f>
        <v>0</v>
      </c>
      <c r="M184" s="34" cm="1">
        <f t="array" ref="M184">_xlfn.IFS(TablaSTOCKINV[[#This Row],[CANT. TOTAL]]&lt;=0,1,TablaSTOCKINV[[#This Row],[CANT. TOTAL]]&lt;=TablaSTOCKINV[[#This Row],[MIN]],2,TablaSTOCKINV[[#This Row],[CANT. TOTAL]]&gt;TablaSTOCKINV[[#This Row],[MIN]],3)</f>
        <v>3</v>
      </c>
      <c r="N184" s="34">
        <f>TablaSTOCKINV[[#This Row],[ENTRADAS]]-TablaSTOCKINV[[#This Row],[SALIDAS]]</f>
        <v>2</v>
      </c>
      <c r="O184" s="35">
        <f>SUMIFS(TablaENTRADA[CANT],TablaENTRADA[SKU],TablaSTOCKINV[[#This Row],[SKU]])</f>
        <v>2</v>
      </c>
      <c r="P184" s="35">
        <f>SUMIFS(TablaSALIDA[CANT],TablaSALIDA[SKU],TablaSTOCKINV[[#This Row],[SKU]])</f>
        <v>0</v>
      </c>
      <c r="Q184" s="34">
        <f>_xlfn.XLOOKUP(TablaSTOCKINV[[#This Row],[SKU]],TablaINVENTARIO[SKU],TablaINVENTARIO[PRECIO])</f>
        <v>0</v>
      </c>
      <c r="R184" s="34">
        <f>TablaSTOCKINV[[#This Row],[P.UNITARIO]]*TablaSTOCKINV[[#This Row],[CANT. TOTAL]]</f>
        <v>0</v>
      </c>
      <c r="S184" s="44">
        <f>_xlfn.XLOOKUP(TablaSTOCKINV[[#This Row],[SKU]],TablaINVENTARIO[SKU],TablaINVENTARIO[FECHA INGRESO])</f>
        <v>46023</v>
      </c>
      <c r="T184" s="44">
        <f>_xlfn.XLOOKUP(TablaSTOCKINV[[#This Row],[SKU]],TablaENTRADA[SKU],TablaENTRADA[FECHA],,0,-1)</f>
        <v>46023</v>
      </c>
      <c r="U184" s="46" t="str">
        <f>IFERROR((_xlfn.XLOOKUP(TablaSTOCKINV[[#This Row],[SKU]],TablaSALIDA[SKU],TablaSALIDA[FECHA],,0,-1))," " )</f>
        <v xml:space="preserve"> </v>
      </c>
    </row>
    <row r="185" spans="1:21" x14ac:dyDescent="0.3">
      <c r="A185" s="27" t="s">
        <v>2029</v>
      </c>
      <c r="B185" s="32" t="str">
        <f>_xlfn.XLOOKUP(TablaSTOCKINV[[#This Row],[SKU]],TablaINVENTARIO[SKU],TablaINVENTARIO[DESCRIPCION])</f>
        <v xml:space="preserve">VISOR DE LINEA </v>
      </c>
      <c r="C185" s="32" t="str">
        <f>_xlfn.XLOOKUP(TablaSTOCKINV[[#This Row],[SKU]],TablaINVENTARIO[SKU],TablaINVENTARIO[MARCA])</f>
        <v>N/A</v>
      </c>
      <c r="D185" s="33" t="str">
        <f>_xlfn.XLOOKUP(TablaSTOCKINV[[#This Row],[SKU]],TablaINVENTARIO[SKU],TablaINVENTARIO[CATEGORIA])</f>
        <v xml:space="preserve">LABORATORIO </v>
      </c>
      <c r="E185" s="33" t="str">
        <f>_xlfn.XLOOKUP(TablaSTOCKINV[[#This Row],[SKU]],TablaINVENTARIO[SKU],TablaINVENTARIO[SUBCATEGORIA])</f>
        <v xml:space="preserve">INSTRUMENTO DE MEDICIÓN </v>
      </c>
      <c r="F185" s="33" t="str">
        <f>_xlfn.XLOOKUP(TablaSTOCKINV[[#This Row],[SKU]],TablaINVENTARIO[SKU],TablaINVENTARIO[ESTADO])</f>
        <v>USADO</v>
      </c>
      <c r="G185" s="33" t="str">
        <f>_xlfn.XLOOKUP(TablaSTOCKINV[[#This Row],[SKU]],TablaINVENTARIO[SKU],TablaINVENTARIO[MEDIDA])</f>
        <v xml:space="preserve">UND </v>
      </c>
      <c r="H185" s="33" t="str">
        <f>_xlfn.XLOOKUP(TablaSTOCKINV[[#This Row],[SKU]],TablaINVENTARIO[SKU],TablaINVENTARIO[SERIAL])</f>
        <v>N/A</v>
      </c>
      <c r="I185" s="34" t="str">
        <f>_xlfn.XLOOKUP(TablaSTOCKINV[[#This Row],[SKU]],TablaINVENTARIO[SKU],TablaINVENTARIO[ALMACEN])</f>
        <v>ALMACEN PRINCIPAL</v>
      </c>
      <c r="J185" s="34" t="str">
        <f>_xlfn.XLOOKUP(TablaSTOCKINV[[#This Row],[SKU]],TablaINVENTARIO[SKU],TablaINVENTARIO[UBICACION])</f>
        <v>2D</v>
      </c>
      <c r="K185" s="34" t="str">
        <f>_xlfn.XLOOKUP(TablaSTOCKINV[[#This Row],[SKU]],TablaINVENTARIO[SKU],TablaINVENTARIO[DPTO RESPONSABLE])</f>
        <v>OPERACIONES</v>
      </c>
      <c r="L185" s="36">
        <f>_xlfn.XLOOKUP(TablaSTOCKINV[[#This Row],[SKU]],TablaINVENTARIO[SKU],TablaINVENTARIO[RANGO MIN])</f>
        <v>0</v>
      </c>
      <c r="M185" s="34" cm="1">
        <f t="array" ref="M185">_xlfn.IFS(TablaSTOCKINV[[#This Row],[CANT. TOTAL]]&lt;=0,1,TablaSTOCKINV[[#This Row],[CANT. TOTAL]]&lt;=TablaSTOCKINV[[#This Row],[MIN]],2,TablaSTOCKINV[[#This Row],[CANT. TOTAL]]&gt;TablaSTOCKINV[[#This Row],[MIN]],3)</f>
        <v>3</v>
      </c>
      <c r="N185" s="34">
        <f>TablaSTOCKINV[[#This Row],[ENTRADAS]]-TablaSTOCKINV[[#This Row],[SALIDAS]]</f>
        <v>1</v>
      </c>
      <c r="O185" s="35">
        <f>SUMIFS(TablaENTRADA[CANT],TablaENTRADA[SKU],TablaSTOCKINV[[#This Row],[SKU]])</f>
        <v>1</v>
      </c>
      <c r="P185" s="35">
        <f>SUMIFS(TablaSALIDA[CANT],TablaSALIDA[SKU],TablaSTOCKINV[[#This Row],[SKU]])</f>
        <v>0</v>
      </c>
      <c r="Q185" s="34">
        <f>_xlfn.XLOOKUP(TablaSTOCKINV[[#This Row],[SKU]],TablaINVENTARIO[SKU],TablaINVENTARIO[PRECIO])</f>
        <v>0</v>
      </c>
      <c r="R185" s="34">
        <f>TablaSTOCKINV[[#This Row],[P.UNITARIO]]*TablaSTOCKINV[[#This Row],[CANT. TOTAL]]</f>
        <v>0</v>
      </c>
      <c r="S185" s="44">
        <f>_xlfn.XLOOKUP(TablaSTOCKINV[[#This Row],[SKU]],TablaINVENTARIO[SKU],TablaINVENTARIO[FECHA INGRESO])</f>
        <v>46023</v>
      </c>
      <c r="T185" s="44">
        <f>_xlfn.XLOOKUP(TablaSTOCKINV[[#This Row],[SKU]],TablaENTRADA[SKU],TablaENTRADA[FECHA],,0,-1)</f>
        <v>46023</v>
      </c>
      <c r="U185" s="46" t="str">
        <f>IFERROR((_xlfn.XLOOKUP(TablaSTOCKINV[[#This Row],[SKU]],TablaSALIDA[SKU],TablaSALIDA[FECHA],,0,-1))," " )</f>
        <v xml:space="preserve"> </v>
      </c>
    </row>
    <row r="186" spans="1:21" x14ac:dyDescent="0.3">
      <c r="A186" s="27" t="s">
        <v>2470</v>
      </c>
      <c r="B186" s="32" t="str">
        <f>_xlfn.XLOOKUP(TablaSTOCKINV[[#This Row],[SKU]],TablaINVENTARIO[SKU],TablaINVENTARIO[DESCRIPCION])</f>
        <v xml:space="preserve">PROBETA PLASTICA 1000 ML </v>
      </c>
      <c r="C186" s="32" t="str">
        <f>_xlfn.XLOOKUP(TablaSTOCKINV[[#This Row],[SKU]],TablaINVENTARIO[SKU],TablaINVENTARIO[MARCA])</f>
        <v>N/A</v>
      </c>
      <c r="D186" s="33" t="str">
        <f>_xlfn.XLOOKUP(TablaSTOCKINV[[#This Row],[SKU]],TablaINVENTARIO[SKU],TablaINVENTARIO[CATEGORIA])</f>
        <v xml:space="preserve">LABORATORIO </v>
      </c>
      <c r="E186" s="33" t="str">
        <f>_xlfn.XLOOKUP(TablaSTOCKINV[[#This Row],[SKU]],TablaINVENTARIO[SKU],TablaINVENTARIO[SUBCATEGORIA])</f>
        <v xml:space="preserve">INSTRUMENTO DE MEDICION </v>
      </c>
      <c r="F186" s="33" t="str">
        <f>_xlfn.XLOOKUP(TablaSTOCKINV[[#This Row],[SKU]],TablaINVENTARIO[SKU],TablaINVENTARIO[ESTADO])</f>
        <v>USADO</v>
      </c>
      <c r="G186" s="33" t="str">
        <f>_xlfn.XLOOKUP(TablaSTOCKINV[[#This Row],[SKU]],TablaINVENTARIO[SKU],TablaINVENTARIO[MEDIDA])</f>
        <v>UND</v>
      </c>
      <c r="H186" s="33" t="str">
        <f>_xlfn.XLOOKUP(TablaSTOCKINV[[#This Row],[SKU]],TablaINVENTARIO[SKU],TablaINVENTARIO[SERIAL])</f>
        <v>N/A</v>
      </c>
      <c r="I186" s="34" t="str">
        <f>_xlfn.XLOOKUP(TablaSTOCKINV[[#This Row],[SKU]],TablaINVENTARIO[SKU],TablaINVENTARIO[ALMACEN])</f>
        <v>ALMACEN PRINCIPAL</v>
      </c>
      <c r="J186" s="34" t="str">
        <f>_xlfn.XLOOKUP(TablaSTOCKINV[[#This Row],[SKU]],TablaINVENTARIO[SKU],TablaINVENTARIO[UBICACION])</f>
        <v>B4</v>
      </c>
      <c r="K186" s="34" t="str">
        <f>_xlfn.XLOOKUP(TablaSTOCKINV[[#This Row],[SKU]],TablaINVENTARIO[SKU],TablaINVENTARIO[DPTO RESPONSABLE])</f>
        <v>OPERACIONES</v>
      </c>
      <c r="L186" s="36">
        <f>_xlfn.XLOOKUP(TablaSTOCKINV[[#This Row],[SKU]],TablaINVENTARIO[SKU],TablaINVENTARIO[RANGO MIN])</f>
        <v>0</v>
      </c>
      <c r="M186" s="34" cm="1">
        <f t="array" ref="M186">_xlfn.IFS(TablaSTOCKINV[[#This Row],[CANT. TOTAL]]&lt;=0,1,TablaSTOCKINV[[#This Row],[CANT. TOTAL]]&lt;=TablaSTOCKINV[[#This Row],[MIN]],2,TablaSTOCKINV[[#This Row],[CANT. TOTAL]]&gt;TablaSTOCKINV[[#This Row],[MIN]],3)</f>
        <v>3</v>
      </c>
      <c r="N186" s="34">
        <f>TablaSTOCKINV[[#This Row],[ENTRADAS]]-TablaSTOCKINV[[#This Row],[SALIDAS]]</f>
        <v>3</v>
      </c>
      <c r="O186" s="35">
        <f>SUMIFS(TablaENTRADA[CANT],TablaENTRADA[SKU],TablaSTOCKINV[[#This Row],[SKU]])</f>
        <v>3</v>
      </c>
      <c r="P186" s="35">
        <f>SUMIFS(TablaSALIDA[CANT],TablaSALIDA[SKU],TablaSTOCKINV[[#This Row],[SKU]])</f>
        <v>0</v>
      </c>
      <c r="Q186" s="34">
        <f>_xlfn.XLOOKUP(TablaSTOCKINV[[#This Row],[SKU]],TablaINVENTARIO[SKU],TablaINVENTARIO[PRECIO])</f>
        <v>0</v>
      </c>
      <c r="R186" s="34">
        <f>TablaSTOCKINV[[#This Row],[P.UNITARIO]]*TablaSTOCKINV[[#This Row],[CANT. TOTAL]]</f>
        <v>0</v>
      </c>
      <c r="S186" s="44">
        <f>_xlfn.XLOOKUP(TablaSTOCKINV[[#This Row],[SKU]],TablaINVENTARIO[SKU],TablaINVENTARIO[FECHA INGRESO])</f>
        <v>46023</v>
      </c>
      <c r="T186" s="44">
        <f>_xlfn.XLOOKUP(TablaSTOCKINV[[#This Row],[SKU]],TablaENTRADA[SKU],TablaENTRADA[FECHA],,0,-1)</f>
        <v>46023</v>
      </c>
      <c r="U186" s="46" t="str">
        <f>IFERROR((_xlfn.XLOOKUP(TablaSTOCKINV[[#This Row],[SKU]],TablaSALIDA[SKU],TablaSALIDA[FECHA],,0,-1))," " )</f>
        <v xml:space="preserve"> </v>
      </c>
    </row>
    <row r="187" spans="1:21" x14ac:dyDescent="0.3">
      <c r="A187" s="27" t="s">
        <v>2474</v>
      </c>
      <c r="B187" s="32" t="str">
        <f>_xlfn.XLOOKUP(TablaSTOCKINV[[#This Row],[SKU]],TablaINVENTARIO[SKU],TablaINVENTARIO[DESCRIPCION])</f>
        <v xml:space="preserve">PROBETA DE VIDRIO 1000 ML </v>
      </c>
      <c r="C187" s="32" t="str">
        <f>_xlfn.XLOOKUP(TablaSTOCKINV[[#This Row],[SKU]],TablaINVENTARIO[SKU],TablaINVENTARIO[MARCA])</f>
        <v>LAB GLASS</v>
      </c>
      <c r="D187" s="33" t="str">
        <f>_xlfn.XLOOKUP(TablaSTOCKINV[[#This Row],[SKU]],TablaINVENTARIO[SKU],TablaINVENTARIO[CATEGORIA])</f>
        <v xml:space="preserve">LABORATORIO </v>
      </c>
      <c r="E187" s="33" t="str">
        <f>_xlfn.XLOOKUP(TablaSTOCKINV[[#This Row],[SKU]],TablaINVENTARIO[SKU],TablaINVENTARIO[SUBCATEGORIA])</f>
        <v xml:space="preserve">INSTRUMENTO DE MEDICION </v>
      </c>
      <c r="F187" s="33" t="str">
        <f>_xlfn.XLOOKUP(TablaSTOCKINV[[#This Row],[SKU]],TablaINVENTARIO[SKU],TablaINVENTARIO[ESTADO])</f>
        <v>USADO</v>
      </c>
      <c r="G187" s="33" t="str">
        <f>_xlfn.XLOOKUP(TablaSTOCKINV[[#This Row],[SKU]],TablaINVENTARIO[SKU],TablaINVENTARIO[MEDIDA])</f>
        <v>UND</v>
      </c>
      <c r="H187" s="33" t="str">
        <f>_xlfn.XLOOKUP(TablaSTOCKINV[[#This Row],[SKU]],TablaINVENTARIO[SKU],TablaINVENTARIO[SERIAL])</f>
        <v>N/A</v>
      </c>
      <c r="I187" s="34" t="str">
        <f>_xlfn.XLOOKUP(TablaSTOCKINV[[#This Row],[SKU]],TablaINVENTARIO[SKU],TablaINVENTARIO[ALMACEN])</f>
        <v>ALMACEN PRINCIPAL</v>
      </c>
      <c r="J187" s="34" t="str">
        <f>_xlfn.XLOOKUP(TablaSTOCKINV[[#This Row],[SKU]],TablaINVENTARIO[SKU],TablaINVENTARIO[UBICACION])</f>
        <v>B4</v>
      </c>
      <c r="K187" s="34" t="str">
        <f>_xlfn.XLOOKUP(TablaSTOCKINV[[#This Row],[SKU]],TablaINVENTARIO[SKU],TablaINVENTARIO[DPTO RESPONSABLE])</f>
        <v>OPERACIONES</v>
      </c>
      <c r="L187" s="36">
        <f>_xlfn.XLOOKUP(TablaSTOCKINV[[#This Row],[SKU]],TablaINVENTARIO[SKU],TablaINVENTARIO[RANGO MIN])</f>
        <v>0</v>
      </c>
      <c r="M187" s="34" cm="1">
        <f t="array" ref="M187">_xlfn.IFS(TablaSTOCKINV[[#This Row],[CANT. TOTAL]]&lt;=0,1,TablaSTOCKINV[[#This Row],[CANT. TOTAL]]&lt;=TablaSTOCKINV[[#This Row],[MIN]],2,TablaSTOCKINV[[#This Row],[CANT. TOTAL]]&gt;TablaSTOCKINV[[#This Row],[MIN]],3)</f>
        <v>3</v>
      </c>
      <c r="N187" s="34">
        <f>TablaSTOCKINV[[#This Row],[ENTRADAS]]-TablaSTOCKINV[[#This Row],[SALIDAS]]</f>
        <v>2</v>
      </c>
      <c r="O187" s="35">
        <f>SUMIFS(TablaENTRADA[CANT],TablaENTRADA[SKU],TablaSTOCKINV[[#This Row],[SKU]])</f>
        <v>2</v>
      </c>
      <c r="P187" s="35">
        <f>SUMIFS(TablaSALIDA[CANT],TablaSALIDA[SKU],TablaSTOCKINV[[#This Row],[SKU]])</f>
        <v>0</v>
      </c>
      <c r="Q187" s="34">
        <f>_xlfn.XLOOKUP(TablaSTOCKINV[[#This Row],[SKU]],TablaINVENTARIO[SKU],TablaINVENTARIO[PRECIO])</f>
        <v>0</v>
      </c>
      <c r="R187" s="34">
        <f>TablaSTOCKINV[[#This Row],[P.UNITARIO]]*TablaSTOCKINV[[#This Row],[CANT. TOTAL]]</f>
        <v>0</v>
      </c>
      <c r="S187" s="44">
        <f>_xlfn.XLOOKUP(TablaSTOCKINV[[#This Row],[SKU]],TablaINVENTARIO[SKU],TablaINVENTARIO[FECHA INGRESO])</f>
        <v>46023</v>
      </c>
      <c r="T187" s="44">
        <f>_xlfn.XLOOKUP(TablaSTOCKINV[[#This Row],[SKU]],TablaENTRADA[SKU],TablaENTRADA[FECHA],,0,-1)</f>
        <v>46023</v>
      </c>
      <c r="U187" s="46" t="str">
        <f>IFERROR((_xlfn.XLOOKUP(TablaSTOCKINV[[#This Row],[SKU]],TablaSALIDA[SKU],TablaSALIDA[FECHA],,0,-1))," " )</f>
        <v xml:space="preserve"> </v>
      </c>
    </row>
    <row r="188" spans="1:21" x14ac:dyDescent="0.3">
      <c r="A188" s="27" t="s">
        <v>2477</v>
      </c>
      <c r="B188" s="32" t="str">
        <f>_xlfn.XLOOKUP(TablaSTOCKINV[[#This Row],[SKU]],TablaINVENTARIO[SKU],TablaINVENTARIO[DESCRIPCION])</f>
        <v xml:space="preserve">PROBETA DE VIDRIO 1000 ML </v>
      </c>
      <c r="C188" s="32" t="str">
        <f>_xlfn.XLOOKUP(TablaSTOCKINV[[#This Row],[SKU]],TablaINVENTARIO[SKU],TablaINVENTARIO[MARCA])</f>
        <v>CITOGLAS</v>
      </c>
      <c r="D188" s="33" t="str">
        <f>_xlfn.XLOOKUP(TablaSTOCKINV[[#This Row],[SKU]],TablaINVENTARIO[SKU],TablaINVENTARIO[CATEGORIA])</f>
        <v xml:space="preserve">LABORATORIO </v>
      </c>
      <c r="E188" s="33" t="str">
        <f>_xlfn.XLOOKUP(TablaSTOCKINV[[#This Row],[SKU]],TablaINVENTARIO[SKU],TablaINVENTARIO[SUBCATEGORIA])</f>
        <v xml:space="preserve">INSTRUMENTO DE MEDICION </v>
      </c>
      <c r="F188" s="33" t="str">
        <f>_xlfn.XLOOKUP(TablaSTOCKINV[[#This Row],[SKU]],TablaINVENTARIO[SKU],TablaINVENTARIO[ESTADO])</f>
        <v>USADO</v>
      </c>
      <c r="G188" s="33" t="str">
        <f>_xlfn.XLOOKUP(TablaSTOCKINV[[#This Row],[SKU]],TablaINVENTARIO[SKU],TablaINVENTARIO[MEDIDA])</f>
        <v>UND</v>
      </c>
      <c r="H188" s="33" t="str">
        <f>_xlfn.XLOOKUP(TablaSTOCKINV[[#This Row],[SKU]],TablaINVENTARIO[SKU],TablaINVENTARIO[SERIAL])</f>
        <v>N/A</v>
      </c>
      <c r="I188" s="34" t="str">
        <f>_xlfn.XLOOKUP(TablaSTOCKINV[[#This Row],[SKU]],TablaINVENTARIO[SKU],TablaINVENTARIO[ALMACEN])</f>
        <v>ALMACEN PRINCIPAL</v>
      </c>
      <c r="J188" s="34" t="str">
        <f>_xlfn.XLOOKUP(TablaSTOCKINV[[#This Row],[SKU]],TablaINVENTARIO[SKU],TablaINVENTARIO[UBICACION])</f>
        <v>B4</v>
      </c>
      <c r="K188" s="34" t="str">
        <f>_xlfn.XLOOKUP(TablaSTOCKINV[[#This Row],[SKU]],TablaINVENTARIO[SKU],TablaINVENTARIO[DPTO RESPONSABLE])</f>
        <v>OPERACIONES</v>
      </c>
      <c r="L188" s="36">
        <f>_xlfn.XLOOKUP(TablaSTOCKINV[[#This Row],[SKU]],TablaINVENTARIO[SKU],TablaINVENTARIO[RANGO MIN])</f>
        <v>0</v>
      </c>
      <c r="M188" s="34" cm="1">
        <f t="array" ref="M188">_xlfn.IFS(TablaSTOCKINV[[#This Row],[CANT. TOTAL]]&lt;=0,1,TablaSTOCKINV[[#This Row],[CANT. TOTAL]]&lt;=TablaSTOCKINV[[#This Row],[MIN]],2,TablaSTOCKINV[[#This Row],[CANT. TOTAL]]&gt;TablaSTOCKINV[[#This Row],[MIN]],3)</f>
        <v>3</v>
      </c>
      <c r="N188" s="34">
        <f>TablaSTOCKINV[[#This Row],[ENTRADAS]]-TablaSTOCKINV[[#This Row],[SALIDAS]]</f>
        <v>1</v>
      </c>
      <c r="O188" s="35">
        <f>SUMIFS(TablaENTRADA[CANT],TablaENTRADA[SKU],TablaSTOCKINV[[#This Row],[SKU]])</f>
        <v>1</v>
      </c>
      <c r="P188" s="35">
        <f>SUMIFS(TablaSALIDA[CANT],TablaSALIDA[SKU],TablaSTOCKINV[[#This Row],[SKU]])</f>
        <v>0</v>
      </c>
      <c r="Q188" s="34">
        <f>_xlfn.XLOOKUP(TablaSTOCKINV[[#This Row],[SKU]],TablaINVENTARIO[SKU],TablaINVENTARIO[PRECIO])</f>
        <v>0</v>
      </c>
      <c r="R188" s="34">
        <f>TablaSTOCKINV[[#This Row],[P.UNITARIO]]*TablaSTOCKINV[[#This Row],[CANT. TOTAL]]</f>
        <v>0</v>
      </c>
      <c r="S188" s="44">
        <f>_xlfn.XLOOKUP(TablaSTOCKINV[[#This Row],[SKU]],TablaINVENTARIO[SKU],TablaINVENTARIO[FECHA INGRESO])</f>
        <v>46023</v>
      </c>
      <c r="T188" s="44">
        <f>_xlfn.XLOOKUP(TablaSTOCKINV[[#This Row],[SKU]],TablaENTRADA[SKU],TablaENTRADA[FECHA],,0,-1)</f>
        <v>46023</v>
      </c>
      <c r="U188" s="46" t="str">
        <f>IFERROR((_xlfn.XLOOKUP(TablaSTOCKINV[[#This Row],[SKU]],TablaSALIDA[SKU],TablaSALIDA[FECHA],,0,-1))," " )</f>
        <v xml:space="preserve"> </v>
      </c>
    </row>
    <row r="189" spans="1:21" x14ac:dyDescent="0.3">
      <c r="A189" s="27" t="s">
        <v>1947</v>
      </c>
      <c r="B189" s="32" t="str">
        <f>_xlfn.XLOOKUP(TablaSTOCKINV[[#This Row],[SKU]],TablaINVENTARIO[SKU],TablaINVENTARIO[DESCRIPCION])</f>
        <v>IMPRESORA COLOR LASER JET MODELO: CP1215</v>
      </c>
      <c r="C189" s="32" t="str">
        <f>_xlfn.XLOOKUP(TablaSTOCKINV[[#This Row],[SKU]],TablaINVENTARIO[SKU],TablaINVENTARIO[MARCA])</f>
        <v>HP</v>
      </c>
      <c r="D189" s="33" t="str">
        <f>_xlfn.XLOOKUP(TablaSTOCKINV[[#This Row],[SKU]],TablaINVENTARIO[SKU],TablaINVENTARIO[CATEGORIA])</f>
        <v xml:space="preserve">INFORMATICA </v>
      </c>
      <c r="E189" s="33" t="str">
        <f>_xlfn.XLOOKUP(TablaSTOCKINV[[#This Row],[SKU]],TablaINVENTARIO[SKU],TablaINVENTARIO[SUBCATEGORIA])</f>
        <v xml:space="preserve">IMPRESORAS </v>
      </c>
      <c r="F189" s="33" t="str">
        <f>_xlfn.XLOOKUP(TablaSTOCKINV[[#This Row],[SKU]],TablaINVENTARIO[SKU],TablaINVENTARIO[ESTADO])</f>
        <v>USADO</v>
      </c>
      <c r="G189" s="33" t="str">
        <f>_xlfn.XLOOKUP(TablaSTOCKINV[[#This Row],[SKU]],TablaINVENTARIO[SKU],TablaINVENTARIO[MEDIDA])</f>
        <v xml:space="preserve">UND </v>
      </c>
      <c r="H189" s="33" t="str">
        <f>_xlfn.XLOOKUP(TablaSTOCKINV[[#This Row],[SKU]],TablaINVENTARIO[SKU],TablaINVENTARIO[SERIAL])</f>
        <v>CNB1319827</v>
      </c>
      <c r="I189" s="34" t="str">
        <f>_xlfn.XLOOKUP(TablaSTOCKINV[[#This Row],[SKU]],TablaINVENTARIO[SKU],TablaINVENTARIO[ALMACEN])</f>
        <v>ALMACEN PRINCIPAL</v>
      </c>
      <c r="J189" s="34" t="str">
        <f>_xlfn.XLOOKUP(TablaSTOCKINV[[#This Row],[SKU]],TablaINVENTARIO[SKU],TablaINVENTARIO[UBICACION])</f>
        <v xml:space="preserve">CUARTO DE ALMACENAMIENTO </v>
      </c>
      <c r="K189" s="34" t="str">
        <f>_xlfn.XLOOKUP(TablaSTOCKINV[[#This Row],[SKU]],TablaINVENTARIO[SKU],TablaINVENTARIO[DPTO RESPONSABLE])</f>
        <v>AIT</v>
      </c>
      <c r="L189" s="36">
        <f>_xlfn.XLOOKUP(TablaSTOCKINV[[#This Row],[SKU]],TablaINVENTARIO[SKU],TablaINVENTARIO[RANGO MIN])</f>
        <v>0</v>
      </c>
      <c r="M189" s="34" cm="1">
        <f t="array" ref="M189">_xlfn.IFS(TablaSTOCKINV[[#This Row],[CANT. TOTAL]]&lt;=0,1,TablaSTOCKINV[[#This Row],[CANT. TOTAL]]&lt;=TablaSTOCKINV[[#This Row],[MIN]],2,TablaSTOCKINV[[#This Row],[CANT. TOTAL]]&gt;TablaSTOCKINV[[#This Row],[MIN]],3)</f>
        <v>3</v>
      </c>
      <c r="N189" s="34">
        <f>TablaSTOCKINV[[#This Row],[ENTRADAS]]-TablaSTOCKINV[[#This Row],[SALIDAS]]</f>
        <v>1</v>
      </c>
      <c r="O189" s="35">
        <f>SUMIFS(TablaENTRADA[CANT],TablaENTRADA[SKU],TablaSTOCKINV[[#This Row],[SKU]])</f>
        <v>1</v>
      </c>
      <c r="P189" s="35">
        <f>SUMIFS(TablaSALIDA[CANT],TablaSALIDA[SKU],TablaSTOCKINV[[#This Row],[SKU]])</f>
        <v>0</v>
      </c>
      <c r="Q189" s="34">
        <f>_xlfn.XLOOKUP(TablaSTOCKINV[[#This Row],[SKU]],TablaINVENTARIO[SKU],TablaINVENTARIO[PRECIO])</f>
        <v>0</v>
      </c>
      <c r="R189" s="34">
        <f>TablaSTOCKINV[[#This Row],[P.UNITARIO]]*TablaSTOCKINV[[#This Row],[CANT. TOTAL]]</f>
        <v>0</v>
      </c>
      <c r="S189" s="44">
        <f>_xlfn.XLOOKUP(TablaSTOCKINV[[#This Row],[SKU]],TablaINVENTARIO[SKU],TablaINVENTARIO[FECHA INGRESO])</f>
        <v>46023</v>
      </c>
      <c r="T189" s="44">
        <f>_xlfn.XLOOKUP(TablaSTOCKINV[[#This Row],[SKU]],TablaENTRADA[SKU],TablaENTRADA[FECHA],,0,-1)</f>
        <v>46023</v>
      </c>
      <c r="U189" s="46" t="str">
        <f>IFERROR((_xlfn.XLOOKUP(TablaSTOCKINV[[#This Row],[SKU]],TablaSALIDA[SKU],TablaSALIDA[FECHA],,0,-1))," " )</f>
        <v xml:space="preserve"> </v>
      </c>
    </row>
    <row r="190" spans="1:21" x14ac:dyDescent="0.3">
      <c r="A190" s="27" t="s">
        <v>1954</v>
      </c>
      <c r="B190" s="32" t="str">
        <f>_xlfn.XLOOKUP(TablaSTOCKINV[[#This Row],[SKU]],TablaINVENTARIO[SKU],TablaINVENTARIO[DESCRIPCION])</f>
        <v>IMPRESORA OFFICE JET MODELO: 7500A</v>
      </c>
      <c r="C190" s="32" t="str">
        <f>_xlfn.XLOOKUP(TablaSTOCKINV[[#This Row],[SKU]],TablaINVENTARIO[SKU],TablaINVENTARIO[MARCA])</f>
        <v>HP</v>
      </c>
      <c r="D190" s="33" t="str">
        <f>_xlfn.XLOOKUP(TablaSTOCKINV[[#This Row],[SKU]],TablaINVENTARIO[SKU],TablaINVENTARIO[CATEGORIA])</f>
        <v xml:space="preserve">INFORMATICA </v>
      </c>
      <c r="E190" s="33" t="str">
        <f>_xlfn.XLOOKUP(TablaSTOCKINV[[#This Row],[SKU]],TablaINVENTARIO[SKU],TablaINVENTARIO[SUBCATEGORIA])</f>
        <v xml:space="preserve">IMPRESORAS </v>
      </c>
      <c r="F190" s="33" t="str">
        <f>_xlfn.XLOOKUP(TablaSTOCKINV[[#This Row],[SKU]],TablaINVENTARIO[SKU],TablaINVENTARIO[ESTADO])</f>
        <v>USADO</v>
      </c>
      <c r="G190" s="33" t="str">
        <f>_xlfn.XLOOKUP(TablaSTOCKINV[[#This Row],[SKU]],TablaINVENTARIO[SKU],TablaINVENTARIO[MEDIDA])</f>
        <v xml:space="preserve">UND </v>
      </c>
      <c r="H190" s="33" t="str">
        <f>_xlfn.XLOOKUP(TablaSTOCKINV[[#This Row],[SKU]],TablaINVENTARIO[SKU],TablaINVENTARIO[SERIAL])</f>
        <v>MY2A63105X</v>
      </c>
      <c r="I190" s="34" t="str">
        <f>_xlfn.XLOOKUP(TablaSTOCKINV[[#This Row],[SKU]],TablaINVENTARIO[SKU],TablaINVENTARIO[ALMACEN])</f>
        <v>ALMACEN PRINCIPAL</v>
      </c>
      <c r="J190" s="34" t="str">
        <f>_xlfn.XLOOKUP(TablaSTOCKINV[[#This Row],[SKU]],TablaINVENTARIO[SKU],TablaINVENTARIO[UBICACION])</f>
        <v xml:space="preserve">CUARTO DE ALMACENAMIENTO </v>
      </c>
      <c r="K190" s="34" t="str">
        <f>_xlfn.XLOOKUP(TablaSTOCKINV[[#This Row],[SKU]],TablaINVENTARIO[SKU],TablaINVENTARIO[DPTO RESPONSABLE])</f>
        <v>AIT</v>
      </c>
      <c r="L190" s="36">
        <f>_xlfn.XLOOKUP(TablaSTOCKINV[[#This Row],[SKU]],TablaINVENTARIO[SKU],TablaINVENTARIO[RANGO MIN])</f>
        <v>0</v>
      </c>
      <c r="M190" s="34" cm="1">
        <f t="array" ref="M190">_xlfn.IFS(TablaSTOCKINV[[#This Row],[CANT. TOTAL]]&lt;=0,1,TablaSTOCKINV[[#This Row],[CANT. TOTAL]]&lt;=TablaSTOCKINV[[#This Row],[MIN]],2,TablaSTOCKINV[[#This Row],[CANT. TOTAL]]&gt;TablaSTOCKINV[[#This Row],[MIN]],3)</f>
        <v>3</v>
      </c>
      <c r="N190" s="34">
        <f>TablaSTOCKINV[[#This Row],[ENTRADAS]]-TablaSTOCKINV[[#This Row],[SALIDAS]]</f>
        <v>1</v>
      </c>
      <c r="O190" s="35">
        <f>SUMIFS(TablaENTRADA[CANT],TablaENTRADA[SKU],TablaSTOCKINV[[#This Row],[SKU]])</f>
        <v>1</v>
      </c>
      <c r="P190" s="35">
        <f>SUMIFS(TablaSALIDA[CANT],TablaSALIDA[SKU],TablaSTOCKINV[[#This Row],[SKU]])</f>
        <v>0</v>
      </c>
      <c r="Q190" s="34">
        <f>_xlfn.XLOOKUP(TablaSTOCKINV[[#This Row],[SKU]],TablaINVENTARIO[SKU],TablaINVENTARIO[PRECIO])</f>
        <v>0</v>
      </c>
      <c r="R190" s="34">
        <f>TablaSTOCKINV[[#This Row],[P.UNITARIO]]*TablaSTOCKINV[[#This Row],[CANT. TOTAL]]</f>
        <v>0</v>
      </c>
      <c r="S190" s="44">
        <f>_xlfn.XLOOKUP(TablaSTOCKINV[[#This Row],[SKU]],TablaINVENTARIO[SKU],TablaINVENTARIO[FECHA INGRESO])</f>
        <v>46023</v>
      </c>
      <c r="T190" s="44">
        <f>_xlfn.XLOOKUP(TablaSTOCKINV[[#This Row],[SKU]],TablaENTRADA[SKU],TablaENTRADA[FECHA],,0,-1)</f>
        <v>46023</v>
      </c>
      <c r="U190" s="46" t="str">
        <f>IFERROR((_xlfn.XLOOKUP(TablaSTOCKINV[[#This Row],[SKU]],TablaSALIDA[SKU],TablaSALIDA[FECHA],,0,-1))," " )</f>
        <v xml:space="preserve"> </v>
      </c>
    </row>
    <row r="191" spans="1:21" x14ac:dyDescent="0.3">
      <c r="A191" s="27" t="s">
        <v>1957</v>
      </c>
      <c r="B191" s="32" t="str">
        <f>_xlfn.XLOOKUP(TablaSTOCKINV[[#This Row],[SKU]],TablaINVENTARIO[SKU],TablaINVENTARIO[DESCRIPCION])</f>
        <v>LAPTOP ELITEBOOK 840 G3 C/ CARGADOR</v>
      </c>
      <c r="C191" s="32" t="str">
        <f>_xlfn.XLOOKUP(TablaSTOCKINV[[#This Row],[SKU]],TablaINVENTARIO[SKU],TablaINVENTARIO[MARCA])</f>
        <v>HP</v>
      </c>
      <c r="D191" s="33" t="str">
        <f>_xlfn.XLOOKUP(TablaSTOCKINV[[#This Row],[SKU]],TablaINVENTARIO[SKU],TablaINVENTARIO[CATEGORIA])</f>
        <v xml:space="preserve">INFORMATICA </v>
      </c>
      <c r="E191" s="33" t="str">
        <f>_xlfn.XLOOKUP(TablaSTOCKINV[[#This Row],[SKU]],TablaINVENTARIO[SKU],TablaINVENTARIO[SUBCATEGORIA])</f>
        <v xml:space="preserve">COMPUTADORA </v>
      </c>
      <c r="F191" s="33" t="str">
        <f>_xlfn.XLOOKUP(TablaSTOCKINV[[#This Row],[SKU]],TablaINVENTARIO[SKU],TablaINVENTARIO[ESTADO])</f>
        <v>USADO</v>
      </c>
      <c r="G191" s="33" t="str">
        <f>_xlfn.XLOOKUP(TablaSTOCKINV[[#This Row],[SKU]],TablaINVENTARIO[SKU],TablaINVENTARIO[MEDIDA])</f>
        <v xml:space="preserve">UND </v>
      </c>
      <c r="H191" s="33" t="str">
        <f>_xlfn.XLOOKUP(TablaSTOCKINV[[#This Row],[SKU]],TablaINVENTARIO[SKU],TablaINVENTARIO[SERIAL])</f>
        <v>5CG9041QM7</v>
      </c>
      <c r="I191" s="34" t="str">
        <f>_xlfn.XLOOKUP(TablaSTOCKINV[[#This Row],[SKU]],TablaINVENTARIO[SKU],TablaINVENTARIO[ALMACEN])</f>
        <v>ALMACEN PRINCIPAL</v>
      </c>
      <c r="J191" s="34" t="str">
        <f>_xlfn.XLOOKUP(TablaSTOCKINV[[#This Row],[SKU]],TablaINVENTARIO[SKU],TablaINVENTARIO[UBICACION])</f>
        <v>2A</v>
      </c>
      <c r="K191" s="34" t="str">
        <f>_xlfn.XLOOKUP(TablaSTOCKINV[[#This Row],[SKU]],TablaINVENTARIO[SKU],TablaINVENTARIO[DPTO RESPONSABLE])</f>
        <v xml:space="preserve">OPERACIONES </v>
      </c>
      <c r="L191" s="36">
        <f>_xlfn.XLOOKUP(TablaSTOCKINV[[#This Row],[SKU]],TablaINVENTARIO[SKU],TablaINVENTARIO[RANGO MIN])</f>
        <v>0</v>
      </c>
      <c r="M191" s="34" cm="1">
        <f t="array" ref="M191">_xlfn.IFS(TablaSTOCKINV[[#This Row],[CANT. TOTAL]]&lt;=0,1,TablaSTOCKINV[[#This Row],[CANT. TOTAL]]&lt;=TablaSTOCKINV[[#This Row],[MIN]],2,TablaSTOCKINV[[#This Row],[CANT. TOTAL]]&gt;TablaSTOCKINV[[#This Row],[MIN]],3)</f>
        <v>3</v>
      </c>
      <c r="N191" s="34">
        <f>TablaSTOCKINV[[#This Row],[ENTRADAS]]-TablaSTOCKINV[[#This Row],[SALIDAS]]</f>
        <v>1</v>
      </c>
      <c r="O191" s="35">
        <f>SUMIFS(TablaENTRADA[CANT],TablaENTRADA[SKU],TablaSTOCKINV[[#This Row],[SKU]])</f>
        <v>1</v>
      </c>
      <c r="P191" s="35">
        <f>SUMIFS(TablaSALIDA[CANT],TablaSALIDA[SKU],TablaSTOCKINV[[#This Row],[SKU]])</f>
        <v>0</v>
      </c>
      <c r="Q191" s="34">
        <f>_xlfn.XLOOKUP(TablaSTOCKINV[[#This Row],[SKU]],TablaINVENTARIO[SKU],TablaINVENTARIO[PRECIO])</f>
        <v>0</v>
      </c>
      <c r="R191" s="34">
        <f>TablaSTOCKINV[[#This Row],[P.UNITARIO]]*TablaSTOCKINV[[#This Row],[CANT. TOTAL]]</f>
        <v>0</v>
      </c>
      <c r="S191" s="44">
        <f>_xlfn.XLOOKUP(TablaSTOCKINV[[#This Row],[SKU]],TablaINVENTARIO[SKU],TablaINVENTARIO[FECHA INGRESO])</f>
        <v>46023</v>
      </c>
      <c r="T191" s="44">
        <f>_xlfn.XLOOKUP(TablaSTOCKINV[[#This Row],[SKU]],TablaENTRADA[SKU],TablaENTRADA[FECHA],,0,-1)</f>
        <v>46023</v>
      </c>
      <c r="U191" s="46" t="str">
        <f>IFERROR((_xlfn.XLOOKUP(TablaSTOCKINV[[#This Row],[SKU]],TablaSALIDA[SKU],TablaSALIDA[FECHA],,0,-1))," " )</f>
        <v xml:space="preserve"> </v>
      </c>
    </row>
    <row r="192" spans="1:21" x14ac:dyDescent="0.3">
      <c r="A192" s="27" t="s">
        <v>1961</v>
      </c>
      <c r="B192" s="32" t="str">
        <f>_xlfn.XLOOKUP(TablaSTOCKINV[[#This Row],[SKU]],TablaINVENTARIO[SKU],TablaINVENTARIO[DESCRIPCION])</f>
        <v>LAPTOP ELITEBOOK 840 G3 C/ CARGADOR</v>
      </c>
      <c r="C192" s="32" t="str">
        <f>_xlfn.XLOOKUP(TablaSTOCKINV[[#This Row],[SKU]],TablaINVENTARIO[SKU],TablaINVENTARIO[MARCA])</f>
        <v>HP</v>
      </c>
      <c r="D192" s="33" t="str">
        <f>_xlfn.XLOOKUP(TablaSTOCKINV[[#This Row],[SKU]],TablaINVENTARIO[SKU],TablaINVENTARIO[CATEGORIA])</f>
        <v xml:space="preserve">INFORMATICA </v>
      </c>
      <c r="E192" s="33" t="str">
        <f>_xlfn.XLOOKUP(TablaSTOCKINV[[#This Row],[SKU]],TablaINVENTARIO[SKU],TablaINVENTARIO[SUBCATEGORIA])</f>
        <v xml:space="preserve">COMPUTADORA </v>
      </c>
      <c r="F192" s="33" t="str">
        <f>_xlfn.XLOOKUP(TablaSTOCKINV[[#This Row],[SKU]],TablaINVENTARIO[SKU],TablaINVENTARIO[ESTADO])</f>
        <v>USADO</v>
      </c>
      <c r="G192" s="33" t="str">
        <f>_xlfn.XLOOKUP(TablaSTOCKINV[[#This Row],[SKU]],TablaINVENTARIO[SKU],TablaINVENTARIO[MEDIDA])</f>
        <v xml:space="preserve">UND </v>
      </c>
      <c r="H192" s="33" t="str">
        <f>_xlfn.XLOOKUP(TablaSTOCKINV[[#This Row],[SKU]],TablaINVENTARIO[SKU],TablaINVENTARIO[SERIAL])</f>
        <v>5CG9026QRB</v>
      </c>
      <c r="I192" s="34" t="str">
        <f>_xlfn.XLOOKUP(TablaSTOCKINV[[#This Row],[SKU]],TablaINVENTARIO[SKU],TablaINVENTARIO[ALMACEN])</f>
        <v>ALMACEN PRINCIPAL</v>
      </c>
      <c r="J192" s="34" t="str">
        <f>_xlfn.XLOOKUP(TablaSTOCKINV[[#This Row],[SKU]],TablaINVENTARIO[SKU],TablaINVENTARIO[UBICACION])</f>
        <v>2A</v>
      </c>
      <c r="K192" s="34" t="str">
        <f>_xlfn.XLOOKUP(TablaSTOCKINV[[#This Row],[SKU]],TablaINVENTARIO[SKU],TablaINVENTARIO[DPTO RESPONSABLE])</f>
        <v xml:space="preserve">OPERACIONES </v>
      </c>
      <c r="L192" s="36">
        <f>_xlfn.XLOOKUP(TablaSTOCKINV[[#This Row],[SKU]],TablaINVENTARIO[SKU],TablaINVENTARIO[RANGO MIN])</f>
        <v>0</v>
      </c>
      <c r="M192" s="34" cm="1">
        <f t="array" ref="M192">_xlfn.IFS(TablaSTOCKINV[[#This Row],[CANT. TOTAL]]&lt;=0,1,TablaSTOCKINV[[#This Row],[CANT. TOTAL]]&lt;=TablaSTOCKINV[[#This Row],[MIN]],2,TablaSTOCKINV[[#This Row],[CANT. TOTAL]]&gt;TablaSTOCKINV[[#This Row],[MIN]],3)</f>
        <v>3</v>
      </c>
      <c r="N192" s="34">
        <f>TablaSTOCKINV[[#This Row],[ENTRADAS]]-TablaSTOCKINV[[#This Row],[SALIDAS]]</f>
        <v>1</v>
      </c>
      <c r="O192" s="35">
        <f>SUMIFS(TablaENTRADA[CANT],TablaENTRADA[SKU],TablaSTOCKINV[[#This Row],[SKU]])</f>
        <v>1</v>
      </c>
      <c r="P192" s="35">
        <f>SUMIFS(TablaSALIDA[CANT],TablaSALIDA[SKU],TablaSTOCKINV[[#This Row],[SKU]])</f>
        <v>0</v>
      </c>
      <c r="Q192" s="34">
        <f>_xlfn.XLOOKUP(TablaSTOCKINV[[#This Row],[SKU]],TablaINVENTARIO[SKU],TablaINVENTARIO[PRECIO])</f>
        <v>0</v>
      </c>
      <c r="R192" s="34">
        <f>TablaSTOCKINV[[#This Row],[P.UNITARIO]]*TablaSTOCKINV[[#This Row],[CANT. TOTAL]]</f>
        <v>0</v>
      </c>
      <c r="S192" s="44">
        <f>_xlfn.XLOOKUP(TablaSTOCKINV[[#This Row],[SKU]],TablaINVENTARIO[SKU],TablaINVENTARIO[FECHA INGRESO])</f>
        <v>46023</v>
      </c>
      <c r="T192" s="44">
        <f>_xlfn.XLOOKUP(TablaSTOCKINV[[#This Row],[SKU]],TablaENTRADA[SKU],TablaENTRADA[FECHA],,0,-1)</f>
        <v>46023</v>
      </c>
      <c r="U192" s="46" t="str">
        <f>IFERROR((_xlfn.XLOOKUP(TablaSTOCKINV[[#This Row],[SKU]],TablaSALIDA[SKU],TablaSALIDA[FECHA],,0,-1))," " )</f>
        <v xml:space="preserve"> </v>
      </c>
    </row>
    <row r="193" spans="1:21" x14ac:dyDescent="0.3">
      <c r="A193" s="27" t="s">
        <v>1963</v>
      </c>
      <c r="B193" s="32" t="str">
        <f>_xlfn.XLOOKUP(TablaSTOCKINV[[#This Row],[SKU]],TablaINVENTARIO[SKU],TablaINVENTARIO[DESCRIPCION])</f>
        <v>LAPTOP IDEAPAD 1 C/ CARGADOR</v>
      </c>
      <c r="C193" s="32" t="str">
        <f>_xlfn.XLOOKUP(TablaSTOCKINV[[#This Row],[SKU]],TablaINVENTARIO[SKU],TablaINVENTARIO[MARCA])</f>
        <v xml:space="preserve">LENOVO </v>
      </c>
      <c r="D193" s="33" t="str">
        <f>_xlfn.XLOOKUP(TablaSTOCKINV[[#This Row],[SKU]],TablaINVENTARIO[SKU],TablaINVENTARIO[CATEGORIA])</f>
        <v xml:space="preserve">INFORMATICA </v>
      </c>
      <c r="E193" s="33" t="str">
        <f>_xlfn.XLOOKUP(TablaSTOCKINV[[#This Row],[SKU]],TablaINVENTARIO[SKU],TablaINVENTARIO[SUBCATEGORIA])</f>
        <v xml:space="preserve">COMPUTADORA </v>
      </c>
      <c r="F193" s="33" t="str">
        <f>_xlfn.XLOOKUP(TablaSTOCKINV[[#This Row],[SKU]],TablaINVENTARIO[SKU],TablaINVENTARIO[ESTADO])</f>
        <v>USADO</v>
      </c>
      <c r="G193" s="33" t="str">
        <f>_xlfn.XLOOKUP(TablaSTOCKINV[[#This Row],[SKU]],TablaINVENTARIO[SKU],TablaINVENTARIO[MEDIDA])</f>
        <v xml:space="preserve">UND </v>
      </c>
      <c r="H193" s="33" t="str">
        <f>_xlfn.XLOOKUP(TablaSTOCKINV[[#This Row],[SKU]],TablaINVENTARIO[SKU],TablaINVENTARIO[SERIAL])</f>
        <v>PF4L54MQ</v>
      </c>
      <c r="I193" s="34" t="str">
        <f>_xlfn.XLOOKUP(TablaSTOCKINV[[#This Row],[SKU]],TablaINVENTARIO[SKU],TablaINVENTARIO[ALMACEN])</f>
        <v>ALMACEN PRINCIPAL</v>
      </c>
      <c r="J193" s="34" t="str">
        <f>_xlfn.XLOOKUP(TablaSTOCKINV[[#This Row],[SKU]],TablaINVENTARIO[SKU],TablaINVENTARIO[UBICACION])</f>
        <v>2A</v>
      </c>
      <c r="K193" s="34" t="str">
        <f>_xlfn.XLOOKUP(TablaSTOCKINV[[#This Row],[SKU]],TablaINVENTARIO[SKU],TablaINVENTARIO[DPTO RESPONSABLE])</f>
        <v xml:space="preserve">OPERACIONES </v>
      </c>
      <c r="L193" s="36">
        <f>_xlfn.XLOOKUP(TablaSTOCKINV[[#This Row],[SKU]],TablaINVENTARIO[SKU],TablaINVENTARIO[RANGO MIN])</f>
        <v>0</v>
      </c>
      <c r="M193" s="34" cm="1">
        <f t="array" ref="M193">_xlfn.IFS(TablaSTOCKINV[[#This Row],[CANT. TOTAL]]&lt;=0,1,TablaSTOCKINV[[#This Row],[CANT. TOTAL]]&lt;=TablaSTOCKINV[[#This Row],[MIN]],2,TablaSTOCKINV[[#This Row],[CANT. TOTAL]]&gt;TablaSTOCKINV[[#This Row],[MIN]],3)</f>
        <v>3</v>
      </c>
      <c r="N193" s="34">
        <f>TablaSTOCKINV[[#This Row],[ENTRADAS]]-TablaSTOCKINV[[#This Row],[SALIDAS]]</f>
        <v>1</v>
      </c>
      <c r="O193" s="35">
        <f>SUMIFS(TablaENTRADA[CANT],TablaENTRADA[SKU],TablaSTOCKINV[[#This Row],[SKU]])</f>
        <v>1</v>
      </c>
      <c r="P193" s="35">
        <f>SUMIFS(TablaSALIDA[CANT],TablaSALIDA[SKU],TablaSTOCKINV[[#This Row],[SKU]])</f>
        <v>0</v>
      </c>
      <c r="Q193" s="34">
        <f>_xlfn.XLOOKUP(TablaSTOCKINV[[#This Row],[SKU]],TablaINVENTARIO[SKU],TablaINVENTARIO[PRECIO])</f>
        <v>0</v>
      </c>
      <c r="R193" s="34">
        <f>TablaSTOCKINV[[#This Row],[P.UNITARIO]]*TablaSTOCKINV[[#This Row],[CANT. TOTAL]]</f>
        <v>0</v>
      </c>
      <c r="S193" s="44">
        <f>_xlfn.XLOOKUP(TablaSTOCKINV[[#This Row],[SKU]],TablaINVENTARIO[SKU],TablaINVENTARIO[FECHA INGRESO])</f>
        <v>46023</v>
      </c>
      <c r="T193" s="44">
        <f>_xlfn.XLOOKUP(TablaSTOCKINV[[#This Row],[SKU]],TablaENTRADA[SKU],TablaENTRADA[FECHA],,0,-1)</f>
        <v>46023</v>
      </c>
      <c r="U193" s="46" t="str">
        <f>IFERROR((_xlfn.XLOOKUP(TablaSTOCKINV[[#This Row],[SKU]],TablaSALIDA[SKU],TablaSALIDA[FECHA],,0,-1))," " )</f>
        <v xml:space="preserve"> </v>
      </c>
    </row>
    <row r="194" spans="1:21" x14ac:dyDescent="0.3">
      <c r="A194" s="27" t="s">
        <v>1967</v>
      </c>
      <c r="B194" s="32" t="str">
        <f>_xlfn.XLOOKUP(TablaSTOCKINV[[#This Row],[SKU]],TablaINVENTARIO[SKU],TablaINVENTARIO[DESCRIPCION])</f>
        <v>LAPTOP IDEAPAD 1 C/ CARGADOR</v>
      </c>
      <c r="C194" s="32" t="str">
        <f>_xlfn.XLOOKUP(TablaSTOCKINV[[#This Row],[SKU]],TablaINVENTARIO[SKU],TablaINVENTARIO[MARCA])</f>
        <v xml:space="preserve">LENOVO </v>
      </c>
      <c r="D194" s="33" t="str">
        <f>_xlfn.XLOOKUP(TablaSTOCKINV[[#This Row],[SKU]],TablaINVENTARIO[SKU],TablaINVENTARIO[CATEGORIA])</f>
        <v xml:space="preserve">INFORMATICA </v>
      </c>
      <c r="E194" s="33" t="str">
        <f>_xlfn.XLOOKUP(TablaSTOCKINV[[#This Row],[SKU]],TablaINVENTARIO[SKU],TablaINVENTARIO[SUBCATEGORIA])</f>
        <v xml:space="preserve">COMPUTADORA </v>
      </c>
      <c r="F194" s="33" t="str">
        <f>_xlfn.XLOOKUP(TablaSTOCKINV[[#This Row],[SKU]],TablaINVENTARIO[SKU],TablaINVENTARIO[ESTADO])</f>
        <v>USADO</v>
      </c>
      <c r="G194" s="33" t="str">
        <f>_xlfn.XLOOKUP(TablaSTOCKINV[[#This Row],[SKU]],TablaINVENTARIO[SKU],TablaINVENTARIO[MEDIDA])</f>
        <v xml:space="preserve">UND </v>
      </c>
      <c r="H194" s="33" t="str">
        <f>_xlfn.XLOOKUP(TablaSTOCKINV[[#This Row],[SKU]],TablaINVENTARIO[SKU],TablaINVENTARIO[SERIAL])</f>
        <v>PY0054PV</v>
      </c>
      <c r="I194" s="34" t="str">
        <f>_xlfn.XLOOKUP(TablaSTOCKINV[[#This Row],[SKU]],TablaINVENTARIO[SKU],TablaINVENTARIO[ALMACEN])</f>
        <v>ALMACEN PRINCIPAL</v>
      </c>
      <c r="J194" s="34" t="str">
        <f>_xlfn.XLOOKUP(TablaSTOCKINV[[#This Row],[SKU]],TablaINVENTARIO[SKU],TablaINVENTARIO[UBICACION])</f>
        <v>2A</v>
      </c>
      <c r="K194" s="34" t="str">
        <f>_xlfn.XLOOKUP(TablaSTOCKINV[[#This Row],[SKU]],TablaINVENTARIO[SKU],TablaINVENTARIO[DPTO RESPONSABLE])</f>
        <v xml:space="preserve">OPERACIONES </v>
      </c>
      <c r="L194" s="36">
        <f>_xlfn.XLOOKUP(TablaSTOCKINV[[#This Row],[SKU]],TablaINVENTARIO[SKU],TablaINVENTARIO[RANGO MIN])</f>
        <v>0</v>
      </c>
      <c r="M194" s="34" cm="1">
        <f t="array" ref="M194">_xlfn.IFS(TablaSTOCKINV[[#This Row],[CANT. TOTAL]]&lt;=0,1,TablaSTOCKINV[[#This Row],[CANT. TOTAL]]&lt;=TablaSTOCKINV[[#This Row],[MIN]],2,TablaSTOCKINV[[#This Row],[CANT. TOTAL]]&gt;TablaSTOCKINV[[#This Row],[MIN]],3)</f>
        <v>3</v>
      </c>
      <c r="N194" s="34">
        <f>TablaSTOCKINV[[#This Row],[ENTRADAS]]-TablaSTOCKINV[[#This Row],[SALIDAS]]</f>
        <v>1</v>
      </c>
      <c r="O194" s="35">
        <f>SUMIFS(TablaENTRADA[CANT],TablaENTRADA[SKU],TablaSTOCKINV[[#This Row],[SKU]])</f>
        <v>1</v>
      </c>
      <c r="P194" s="35">
        <f>SUMIFS(TablaSALIDA[CANT],TablaSALIDA[SKU],TablaSTOCKINV[[#This Row],[SKU]])</f>
        <v>0</v>
      </c>
      <c r="Q194" s="34">
        <f>_xlfn.XLOOKUP(TablaSTOCKINV[[#This Row],[SKU]],TablaINVENTARIO[SKU],TablaINVENTARIO[PRECIO])</f>
        <v>0</v>
      </c>
      <c r="R194" s="34">
        <f>TablaSTOCKINV[[#This Row],[P.UNITARIO]]*TablaSTOCKINV[[#This Row],[CANT. TOTAL]]</f>
        <v>0</v>
      </c>
      <c r="S194" s="44">
        <f>_xlfn.XLOOKUP(TablaSTOCKINV[[#This Row],[SKU]],TablaINVENTARIO[SKU],TablaINVENTARIO[FECHA INGRESO])</f>
        <v>46023</v>
      </c>
      <c r="T194" s="44">
        <f>_xlfn.XLOOKUP(TablaSTOCKINV[[#This Row],[SKU]],TablaENTRADA[SKU],TablaENTRADA[FECHA],,0,-1)</f>
        <v>46023</v>
      </c>
      <c r="U194" s="46" t="str">
        <f>IFERROR((_xlfn.XLOOKUP(TablaSTOCKINV[[#This Row],[SKU]],TablaSALIDA[SKU],TablaSALIDA[FECHA],,0,-1))," " )</f>
        <v xml:space="preserve"> </v>
      </c>
    </row>
    <row r="195" spans="1:21" x14ac:dyDescent="0.3">
      <c r="A195" s="27" t="s">
        <v>1969</v>
      </c>
      <c r="B195" s="32" t="str">
        <f>_xlfn.XLOOKUP(TablaSTOCKINV[[#This Row],[SKU]],TablaINVENTARIO[SKU],TablaINVENTARIO[DESCRIPCION])</f>
        <v>LAPTOP IDEAPAD 1 C/ CARGADOR</v>
      </c>
      <c r="C195" s="32" t="str">
        <f>_xlfn.XLOOKUP(TablaSTOCKINV[[#This Row],[SKU]],TablaINVENTARIO[SKU],TablaINVENTARIO[MARCA])</f>
        <v xml:space="preserve">LENOVO </v>
      </c>
      <c r="D195" s="33" t="str">
        <f>_xlfn.XLOOKUP(TablaSTOCKINV[[#This Row],[SKU]],TablaINVENTARIO[SKU],TablaINVENTARIO[CATEGORIA])</f>
        <v xml:space="preserve">INFORMATICA </v>
      </c>
      <c r="E195" s="33" t="str">
        <f>_xlfn.XLOOKUP(TablaSTOCKINV[[#This Row],[SKU]],TablaINVENTARIO[SKU],TablaINVENTARIO[SUBCATEGORIA])</f>
        <v xml:space="preserve">COMPUTADORA </v>
      </c>
      <c r="F195" s="33" t="str">
        <f>_xlfn.XLOOKUP(TablaSTOCKINV[[#This Row],[SKU]],TablaINVENTARIO[SKU],TablaINVENTARIO[ESTADO])</f>
        <v>USADO</v>
      </c>
      <c r="G195" s="33" t="str">
        <f>_xlfn.XLOOKUP(TablaSTOCKINV[[#This Row],[SKU]],TablaINVENTARIO[SKU],TablaINVENTARIO[MEDIDA])</f>
        <v xml:space="preserve">UND </v>
      </c>
      <c r="H195" s="33" t="str">
        <f>_xlfn.XLOOKUP(TablaSTOCKINV[[#This Row],[SKU]],TablaINVENTARIO[SKU],TablaINVENTARIO[SERIAL])</f>
        <v>PF4DSCQ6</v>
      </c>
      <c r="I195" s="34" t="str">
        <f>_xlfn.XLOOKUP(TablaSTOCKINV[[#This Row],[SKU]],TablaINVENTARIO[SKU],TablaINVENTARIO[ALMACEN])</f>
        <v>ALMACEN PRINCIPAL</v>
      </c>
      <c r="J195" s="34" t="str">
        <f>_xlfn.XLOOKUP(TablaSTOCKINV[[#This Row],[SKU]],TablaINVENTARIO[SKU],TablaINVENTARIO[UBICACION])</f>
        <v>2A</v>
      </c>
      <c r="K195" s="34" t="str">
        <f>_xlfn.XLOOKUP(TablaSTOCKINV[[#This Row],[SKU]],TablaINVENTARIO[SKU],TablaINVENTARIO[DPTO RESPONSABLE])</f>
        <v xml:space="preserve">OPERACIONES </v>
      </c>
      <c r="L195" s="36">
        <f>_xlfn.XLOOKUP(TablaSTOCKINV[[#This Row],[SKU]],TablaINVENTARIO[SKU],TablaINVENTARIO[RANGO MIN])</f>
        <v>0</v>
      </c>
      <c r="M195" s="34" cm="1">
        <f t="array" ref="M195">_xlfn.IFS(TablaSTOCKINV[[#This Row],[CANT. TOTAL]]&lt;=0,1,TablaSTOCKINV[[#This Row],[CANT. TOTAL]]&lt;=TablaSTOCKINV[[#This Row],[MIN]],2,TablaSTOCKINV[[#This Row],[CANT. TOTAL]]&gt;TablaSTOCKINV[[#This Row],[MIN]],3)</f>
        <v>3</v>
      </c>
      <c r="N195" s="34">
        <f>TablaSTOCKINV[[#This Row],[ENTRADAS]]-TablaSTOCKINV[[#This Row],[SALIDAS]]</f>
        <v>1</v>
      </c>
      <c r="O195" s="35">
        <f>SUMIFS(TablaENTRADA[CANT],TablaENTRADA[SKU],TablaSTOCKINV[[#This Row],[SKU]])</f>
        <v>1</v>
      </c>
      <c r="P195" s="35">
        <f>SUMIFS(TablaSALIDA[CANT],TablaSALIDA[SKU],TablaSTOCKINV[[#This Row],[SKU]])</f>
        <v>0</v>
      </c>
      <c r="Q195" s="34">
        <f>_xlfn.XLOOKUP(TablaSTOCKINV[[#This Row],[SKU]],TablaINVENTARIO[SKU],TablaINVENTARIO[PRECIO])</f>
        <v>0</v>
      </c>
      <c r="R195" s="34">
        <f>TablaSTOCKINV[[#This Row],[P.UNITARIO]]*TablaSTOCKINV[[#This Row],[CANT. TOTAL]]</f>
        <v>0</v>
      </c>
      <c r="S195" s="44">
        <f>_xlfn.XLOOKUP(TablaSTOCKINV[[#This Row],[SKU]],TablaINVENTARIO[SKU],TablaINVENTARIO[FECHA INGRESO])</f>
        <v>46023</v>
      </c>
      <c r="T195" s="44">
        <f>_xlfn.XLOOKUP(TablaSTOCKINV[[#This Row],[SKU]],TablaENTRADA[SKU],TablaENTRADA[FECHA],,0,-1)</f>
        <v>46023</v>
      </c>
      <c r="U195" s="46" t="str">
        <f>IFERROR((_xlfn.XLOOKUP(TablaSTOCKINV[[#This Row],[SKU]],TablaSALIDA[SKU],TablaSALIDA[FECHA],,0,-1))," " )</f>
        <v xml:space="preserve"> </v>
      </c>
    </row>
    <row r="196" spans="1:21" x14ac:dyDescent="0.3">
      <c r="A196" s="27" t="s">
        <v>1971</v>
      </c>
      <c r="B196" s="32" t="str">
        <f>_xlfn.XLOOKUP(TablaSTOCKINV[[#This Row],[SKU]],TablaINVENTARIO[SKU],TablaINVENTARIO[DESCRIPCION])</f>
        <v>LAPTOP IDEAPAD 1 C/ CARGADOR</v>
      </c>
      <c r="C196" s="32" t="str">
        <f>_xlfn.XLOOKUP(TablaSTOCKINV[[#This Row],[SKU]],TablaINVENTARIO[SKU],TablaINVENTARIO[MARCA])</f>
        <v xml:space="preserve">LENOVO </v>
      </c>
      <c r="D196" s="33" t="str">
        <f>_xlfn.XLOOKUP(TablaSTOCKINV[[#This Row],[SKU]],TablaINVENTARIO[SKU],TablaINVENTARIO[CATEGORIA])</f>
        <v xml:space="preserve">INFORMATICA </v>
      </c>
      <c r="E196" s="33" t="str">
        <f>_xlfn.XLOOKUP(TablaSTOCKINV[[#This Row],[SKU]],TablaINVENTARIO[SKU],TablaINVENTARIO[SUBCATEGORIA])</f>
        <v xml:space="preserve">COMPUTADORA </v>
      </c>
      <c r="F196" s="33" t="str">
        <f>_xlfn.XLOOKUP(TablaSTOCKINV[[#This Row],[SKU]],TablaINVENTARIO[SKU],TablaINVENTARIO[ESTADO])</f>
        <v>USADO</v>
      </c>
      <c r="G196" s="33" t="str">
        <f>_xlfn.XLOOKUP(TablaSTOCKINV[[#This Row],[SKU]],TablaINVENTARIO[SKU],TablaINVENTARIO[MEDIDA])</f>
        <v xml:space="preserve">UND </v>
      </c>
      <c r="H196" s="33" t="str">
        <f>_xlfn.XLOOKUP(TablaSTOCKINV[[#This Row],[SKU]],TablaINVENTARIO[SKU],TablaINVENTARIO[SERIAL])</f>
        <v>PF4L6K92</v>
      </c>
      <c r="I196" s="34" t="str">
        <f>_xlfn.XLOOKUP(TablaSTOCKINV[[#This Row],[SKU]],TablaINVENTARIO[SKU],TablaINVENTARIO[ALMACEN])</f>
        <v>ALMACEN PRINCIPAL</v>
      </c>
      <c r="J196" s="34" t="str">
        <f>_xlfn.XLOOKUP(TablaSTOCKINV[[#This Row],[SKU]],TablaINVENTARIO[SKU],TablaINVENTARIO[UBICACION])</f>
        <v>2A</v>
      </c>
      <c r="K196" s="34" t="str">
        <f>_xlfn.XLOOKUP(TablaSTOCKINV[[#This Row],[SKU]],TablaINVENTARIO[SKU],TablaINVENTARIO[DPTO RESPONSABLE])</f>
        <v xml:space="preserve">OPERACIONES </v>
      </c>
      <c r="L196" s="36">
        <f>_xlfn.XLOOKUP(TablaSTOCKINV[[#This Row],[SKU]],TablaINVENTARIO[SKU],TablaINVENTARIO[RANGO MIN])</f>
        <v>0</v>
      </c>
      <c r="M196" s="34" cm="1">
        <f t="array" ref="M196">_xlfn.IFS(TablaSTOCKINV[[#This Row],[CANT. TOTAL]]&lt;=0,1,TablaSTOCKINV[[#This Row],[CANT. TOTAL]]&lt;=TablaSTOCKINV[[#This Row],[MIN]],2,TablaSTOCKINV[[#This Row],[CANT. TOTAL]]&gt;TablaSTOCKINV[[#This Row],[MIN]],3)</f>
        <v>3</v>
      </c>
      <c r="N196" s="34">
        <f>TablaSTOCKINV[[#This Row],[ENTRADAS]]-TablaSTOCKINV[[#This Row],[SALIDAS]]</f>
        <v>1</v>
      </c>
      <c r="O196" s="35">
        <f>SUMIFS(TablaENTRADA[CANT],TablaENTRADA[SKU],TablaSTOCKINV[[#This Row],[SKU]])</f>
        <v>1</v>
      </c>
      <c r="P196" s="35">
        <f>SUMIFS(TablaSALIDA[CANT],TablaSALIDA[SKU],TablaSTOCKINV[[#This Row],[SKU]])</f>
        <v>0</v>
      </c>
      <c r="Q196" s="34">
        <f>_xlfn.XLOOKUP(TablaSTOCKINV[[#This Row],[SKU]],TablaINVENTARIO[SKU],TablaINVENTARIO[PRECIO])</f>
        <v>0</v>
      </c>
      <c r="R196" s="34">
        <f>TablaSTOCKINV[[#This Row],[P.UNITARIO]]*TablaSTOCKINV[[#This Row],[CANT. TOTAL]]</f>
        <v>0</v>
      </c>
      <c r="S196" s="44">
        <f>_xlfn.XLOOKUP(TablaSTOCKINV[[#This Row],[SKU]],TablaINVENTARIO[SKU],TablaINVENTARIO[FECHA INGRESO])</f>
        <v>46023</v>
      </c>
      <c r="T196" s="44">
        <f>_xlfn.XLOOKUP(TablaSTOCKINV[[#This Row],[SKU]],TablaENTRADA[SKU],TablaENTRADA[FECHA],,0,-1)</f>
        <v>46023</v>
      </c>
      <c r="U196" s="46" t="str">
        <f>IFERROR((_xlfn.XLOOKUP(TablaSTOCKINV[[#This Row],[SKU]],TablaSALIDA[SKU],TablaSALIDA[FECHA],,0,-1))," " )</f>
        <v xml:space="preserve"> </v>
      </c>
    </row>
    <row r="197" spans="1:21" x14ac:dyDescent="0.3">
      <c r="A197" s="27" t="s">
        <v>1973</v>
      </c>
      <c r="B197" s="32" t="str">
        <f>_xlfn.XLOOKUP(TablaSTOCKINV[[#This Row],[SKU]],TablaINVENTARIO[SKU],TablaINVENTARIO[DESCRIPCION])</f>
        <v>KIT DE COMUNICACIÓN PLC</v>
      </c>
      <c r="C197" s="32" t="str">
        <f>_xlfn.XLOOKUP(TablaSTOCKINV[[#This Row],[SKU]],TablaINVENTARIO[SKU],TablaINVENTARIO[MARCA])</f>
        <v>N/A</v>
      </c>
      <c r="D197" s="33" t="str">
        <f>_xlfn.XLOOKUP(TablaSTOCKINV[[#This Row],[SKU]],TablaINVENTARIO[SKU],TablaINVENTARIO[CATEGORIA])</f>
        <v xml:space="preserve">INFORMATICA </v>
      </c>
      <c r="E197" s="33" t="str">
        <f>_xlfn.XLOOKUP(TablaSTOCKINV[[#This Row],[SKU]],TablaINVENTARIO[SKU],TablaINVENTARIO[SUBCATEGORIA])</f>
        <v xml:space="preserve">PLACAS Y COMPONENTES </v>
      </c>
      <c r="F197" s="33" t="str">
        <f>_xlfn.XLOOKUP(TablaSTOCKINV[[#This Row],[SKU]],TablaINVENTARIO[SKU],TablaINVENTARIO[ESTADO])</f>
        <v>USADO</v>
      </c>
      <c r="G197" s="33" t="str">
        <f>_xlfn.XLOOKUP(TablaSTOCKINV[[#This Row],[SKU]],TablaINVENTARIO[SKU],TablaINVENTARIO[MEDIDA])</f>
        <v>KIT</v>
      </c>
      <c r="H197" s="33" t="str">
        <f>_xlfn.XLOOKUP(TablaSTOCKINV[[#This Row],[SKU]],TablaINVENTARIO[SKU],TablaINVENTARIO[SERIAL])</f>
        <v>N/A</v>
      </c>
      <c r="I197" s="34" t="str">
        <f>_xlfn.XLOOKUP(TablaSTOCKINV[[#This Row],[SKU]],TablaINVENTARIO[SKU],TablaINVENTARIO[ALMACEN])</f>
        <v>ALMACEN PRINCIPAL</v>
      </c>
      <c r="J197" s="34" t="str">
        <f>_xlfn.XLOOKUP(TablaSTOCKINV[[#This Row],[SKU]],TablaINVENTARIO[SKU],TablaINVENTARIO[UBICACION])</f>
        <v>2D</v>
      </c>
      <c r="K197" s="34" t="str">
        <f>_xlfn.XLOOKUP(TablaSTOCKINV[[#This Row],[SKU]],TablaINVENTARIO[SKU],TablaINVENTARIO[DPTO RESPONSABLE])</f>
        <v>OPERACIONES</v>
      </c>
      <c r="L197" s="36">
        <f>_xlfn.XLOOKUP(TablaSTOCKINV[[#This Row],[SKU]],TablaINVENTARIO[SKU],TablaINVENTARIO[RANGO MIN])</f>
        <v>0</v>
      </c>
      <c r="M197" s="34" cm="1">
        <f t="array" ref="M197">_xlfn.IFS(TablaSTOCKINV[[#This Row],[CANT. TOTAL]]&lt;=0,1,TablaSTOCKINV[[#This Row],[CANT. TOTAL]]&lt;=TablaSTOCKINV[[#This Row],[MIN]],2,TablaSTOCKINV[[#This Row],[CANT. TOTAL]]&gt;TablaSTOCKINV[[#This Row],[MIN]],3)</f>
        <v>3</v>
      </c>
      <c r="N197" s="34">
        <f>TablaSTOCKINV[[#This Row],[ENTRADAS]]-TablaSTOCKINV[[#This Row],[SALIDAS]]</f>
        <v>1</v>
      </c>
      <c r="O197" s="35">
        <f>SUMIFS(TablaENTRADA[CANT],TablaENTRADA[SKU],TablaSTOCKINV[[#This Row],[SKU]])</f>
        <v>1</v>
      </c>
      <c r="P197" s="35">
        <f>SUMIFS(TablaSALIDA[CANT],TablaSALIDA[SKU],TablaSTOCKINV[[#This Row],[SKU]])</f>
        <v>0</v>
      </c>
      <c r="Q197" s="34">
        <f>_xlfn.XLOOKUP(TablaSTOCKINV[[#This Row],[SKU]],TablaINVENTARIO[SKU],TablaINVENTARIO[PRECIO])</f>
        <v>0</v>
      </c>
      <c r="R197" s="34">
        <f>TablaSTOCKINV[[#This Row],[P.UNITARIO]]*TablaSTOCKINV[[#This Row],[CANT. TOTAL]]</f>
        <v>0</v>
      </c>
      <c r="S197" s="44">
        <f>_xlfn.XLOOKUP(TablaSTOCKINV[[#This Row],[SKU]],TablaINVENTARIO[SKU],TablaINVENTARIO[FECHA INGRESO])</f>
        <v>46023</v>
      </c>
      <c r="T197" s="44">
        <f>_xlfn.XLOOKUP(TablaSTOCKINV[[#This Row],[SKU]],TablaENTRADA[SKU],TablaENTRADA[FECHA],,0,-1)</f>
        <v>46023</v>
      </c>
      <c r="U197" s="46" t="str">
        <f>IFERROR((_xlfn.XLOOKUP(TablaSTOCKINV[[#This Row],[SKU]],TablaSALIDA[SKU],TablaSALIDA[FECHA],,0,-1))," " )</f>
        <v xml:space="preserve"> </v>
      </c>
    </row>
    <row r="198" spans="1:21" x14ac:dyDescent="0.3">
      <c r="A198" s="27" t="s">
        <v>2479</v>
      </c>
      <c r="B198" s="32" t="str">
        <f>_xlfn.XLOOKUP(TablaSTOCKINV[[#This Row],[SKU]],TablaINVENTARIO[SKU],TablaINVENTARIO[DESCRIPCION])</f>
        <v xml:space="preserve">JACK DC CÁMARA PIN CENTRAL </v>
      </c>
      <c r="C198" s="32" t="str">
        <f>_xlfn.XLOOKUP(TablaSTOCKINV[[#This Row],[SKU]],TablaINVENTARIO[SKU],TablaINVENTARIO[MARCA])</f>
        <v xml:space="preserve">NEXXT SOLUTIONS </v>
      </c>
      <c r="D198" s="33" t="str">
        <f>_xlfn.XLOOKUP(TablaSTOCKINV[[#This Row],[SKU]],TablaINVENTARIO[SKU],TablaINVENTARIO[CATEGORIA])</f>
        <v xml:space="preserve">INFORMATICA </v>
      </c>
      <c r="E198" s="33" t="str">
        <f>_xlfn.XLOOKUP(TablaSTOCKINV[[#This Row],[SKU]],TablaINVENTARIO[SKU],TablaINVENTARIO[SUBCATEGORIA])</f>
        <v xml:space="preserve">PLACAS Y COMPONENTES </v>
      </c>
      <c r="F198" s="33" t="str">
        <f>_xlfn.XLOOKUP(TablaSTOCKINV[[#This Row],[SKU]],TablaINVENTARIO[SKU],TablaINVENTARIO[ESTADO])</f>
        <v xml:space="preserve">NUEVO </v>
      </c>
      <c r="G198" s="33" t="str">
        <f>_xlfn.XLOOKUP(TablaSTOCKINV[[#This Row],[SKU]],TablaINVENTARIO[SKU],TablaINVENTARIO[MEDIDA])</f>
        <v>UND</v>
      </c>
      <c r="H198" s="33" t="str">
        <f>_xlfn.XLOOKUP(TablaSTOCKINV[[#This Row],[SKU]],TablaINVENTARIO[SKU],TablaINVENTARIO[SERIAL])</f>
        <v>N/A</v>
      </c>
      <c r="I198" s="34" t="str">
        <f>_xlfn.XLOOKUP(TablaSTOCKINV[[#This Row],[SKU]],TablaINVENTARIO[SKU],TablaINVENTARIO[ALMACEN])</f>
        <v>ALMACEN PRINCIPAL</v>
      </c>
      <c r="J198" s="34" t="str">
        <f>_xlfn.XLOOKUP(TablaSTOCKINV[[#This Row],[SKU]],TablaINVENTARIO[SKU],TablaINVENTARIO[UBICACION])</f>
        <v>C4</v>
      </c>
      <c r="K198" s="34" t="str">
        <f>_xlfn.XLOOKUP(TablaSTOCKINV[[#This Row],[SKU]],TablaINVENTARIO[SKU],TablaINVENTARIO[DPTO RESPONSABLE])</f>
        <v>AIT</v>
      </c>
      <c r="L198" s="36">
        <f>_xlfn.XLOOKUP(TablaSTOCKINV[[#This Row],[SKU]],TablaINVENTARIO[SKU],TablaINVENTARIO[RANGO MIN])</f>
        <v>0</v>
      </c>
      <c r="M198" s="34" cm="1">
        <f t="array" ref="M198">_xlfn.IFS(TablaSTOCKINV[[#This Row],[CANT. TOTAL]]&lt;=0,1,TablaSTOCKINV[[#This Row],[CANT. TOTAL]]&lt;=TablaSTOCKINV[[#This Row],[MIN]],2,TablaSTOCKINV[[#This Row],[CANT. TOTAL]]&gt;TablaSTOCKINV[[#This Row],[MIN]],3)</f>
        <v>3</v>
      </c>
      <c r="N198" s="34">
        <f>TablaSTOCKINV[[#This Row],[ENTRADAS]]-TablaSTOCKINV[[#This Row],[SALIDAS]]</f>
        <v>5</v>
      </c>
      <c r="O198" s="35">
        <f>SUMIFS(TablaENTRADA[CANT],TablaENTRADA[SKU],TablaSTOCKINV[[#This Row],[SKU]])</f>
        <v>5</v>
      </c>
      <c r="P198" s="35">
        <f>SUMIFS(TablaSALIDA[CANT],TablaSALIDA[SKU],TablaSTOCKINV[[#This Row],[SKU]])</f>
        <v>0</v>
      </c>
      <c r="Q198" s="34">
        <f>_xlfn.XLOOKUP(TablaSTOCKINV[[#This Row],[SKU]],TablaINVENTARIO[SKU],TablaINVENTARIO[PRECIO])</f>
        <v>0</v>
      </c>
      <c r="R198" s="34">
        <f>TablaSTOCKINV[[#This Row],[P.UNITARIO]]*TablaSTOCKINV[[#This Row],[CANT. TOTAL]]</f>
        <v>0</v>
      </c>
      <c r="S198" s="44">
        <f>_xlfn.XLOOKUP(TablaSTOCKINV[[#This Row],[SKU]],TablaINVENTARIO[SKU],TablaINVENTARIO[FECHA INGRESO])</f>
        <v>46023</v>
      </c>
      <c r="T198" s="44">
        <f>_xlfn.XLOOKUP(TablaSTOCKINV[[#This Row],[SKU]],TablaENTRADA[SKU],TablaENTRADA[FECHA],,0,-1)</f>
        <v>46023</v>
      </c>
      <c r="U198" s="46" t="str">
        <f>IFERROR((_xlfn.XLOOKUP(TablaSTOCKINV[[#This Row],[SKU]],TablaSALIDA[SKU],TablaSALIDA[FECHA],,0,-1))," " )</f>
        <v xml:space="preserve"> </v>
      </c>
    </row>
    <row r="199" spans="1:21" x14ac:dyDescent="0.3">
      <c r="A199" s="27" t="s">
        <v>2481</v>
      </c>
      <c r="B199" s="32" t="str">
        <f>_xlfn.XLOOKUP(TablaSTOCKINV[[#This Row],[SKU]],TablaINVENTARIO[SKU],TablaINVENTARIO[DESCRIPCION])</f>
        <v xml:space="preserve">PLUS DC CÁMARA TORNILLO </v>
      </c>
      <c r="C199" s="32" t="str">
        <f>_xlfn.XLOOKUP(TablaSTOCKINV[[#This Row],[SKU]],TablaINVENTARIO[SKU],TablaINVENTARIO[MARCA])</f>
        <v xml:space="preserve">NEXXT SOLUTIONS </v>
      </c>
      <c r="D199" s="33" t="str">
        <f>_xlfn.XLOOKUP(TablaSTOCKINV[[#This Row],[SKU]],TablaINVENTARIO[SKU],TablaINVENTARIO[CATEGORIA])</f>
        <v xml:space="preserve">INFORMATICA </v>
      </c>
      <c r="E199" s="33" t="str">
        <f>_xlfn.XLOOKUP(TablaSTOCKINV[[#This Row],[SKU]],TablaINVENTARIO[SKU],TablaINVENTARIO[SUBCATEGORIA])</f>
        <v xml:space="preserve">PLACAS Y COMPONENTES </v>
      </c>
      <c r="F199" s="33" t="str">
        <f>_xlfn.XLOOKUP(TablaSTOCKINV[[#This Row],[SKU]],TablaINVENTARIO[SKU],TablaINVENTARIO[ESTADO])</f>
        <v xml:space="preserve">NUEVO </v>
      </c>
      <c r="G199" s="33" t="str">
        <f>_xlfn.XLOOKUP(TablaSTOCKINV[[#This Row],[SKU]],TablaINVENTARIO[SKU],TablaINVENTARIO[MEDIDA])</f>
        <v>UND</v>
      </c>
      <c r="H199" s="33" t="str">
        <f>_xlfn.XLOOKUP(TablaSTOCKINV[[#This Row],[SKU]],TablaINVENTARIO[SKU],TablaINVENTARIO[SERIAL])</f>
        <v>N/A</v>
      </c>
      <c r="I199" s="34" t="str">
        <f>_xlfn.XLOOKUP(TablaSTOCKINV[[#This Row],[SKU]],TablaINVENTARIO[SKU],TablaINVENTARIO[ALMACEN])</f>
        <v>ALMACEN PRINCIPAL</v>
      </c>
      <c r="J199" s="34" t="str">
        <f>_xlfn.XLOOKUP(TablaSTOCKINV[[#This Row],[SKU]],TablaINVENTARIO[SKU],TablaINVENTARIO[UBICACION])</f>
        <v>C4</v>
      </c>
      <c r="K199" s="34" t="str">
        <f>_xlfn.XLOOKUP(TablaSTOCKINV[[#This Row],[SKU]],TablaINVENTARIO[SKU],TablaINVENTARIO[DPTO RESPONSABLE])</f>
        <v>AIT</v>
      </c>
      <c r="L199" s="36">
        <f>_xlfn.XLOOKUP(TablaSTOCKINV[[#This Row],[SKU]],TablaINVENTARIO[SKU],TablaINVENTARIO[RANGO MIN])</f>
        <v>0</v>
      </c>
      <c r="M199" s="34" cm="1">
        <f t="array" ref="M199">_xlfn.IFS(TablaSTOCKINV[[#This Row],[CANT. TOTAL]]&lt;=0,1,TablaSTOCKINV[[#This Row],[CANT. TOTAL]]&lt;=TablaSTOCKINV[[#This Row],[MIN]],2,TablaSTOCKINV[[#This Row],[CANT. TOTAL]]&gt;TablaSTOCKINV[[#This Row],[MIN]],3)</f>
        <v>3</v>
      </c>
      <c r="N199" s="34">
        <f>TablaSTOCKINV[[#This Row],[ENTRADAS]]-TablaSTOCKINV[[#This Row],[SALIDAS]]</f>
        <v>1</v>
      </c>
      <c r="O199" s="35">
        <f>SUMIFS(TablaENTRADA[CANT],TablaENTRADA[SKU],TablaSTOCKINV[[#This Row],[SKU]])</f>
        <v>1</v>
      </c>
      <c r="P199" s="35">
        <f>SUMIFS(TablaSALIDA[CANT],TablaSALIDA[SKU],TablaSTOCKINV[[#This Row],[SKU]])</f>
        <v>0</v>
      </c>
      <c r="Q199" s="34">
        <f>_xlfn.XLOOKUP(TablaSTOCKINV[[#This Row],[SKU]],TablaINVENTARIO[SKU],TablaINVENTARIO[PRECIO])</f>
        <v>0</v>
      </c>
      <c r="R199" s="34">
        <f>TablaSTOCKINV[[#This Row],[P.UNITARIO]]*TablaSTOCKINV[[#This Row],[CANT. TOTAL]]</f>
        <v>0</v>
      </c>
      <c r="S199" s="44">
        <f>_xlfn.XLOOKUP(TablaSTOCKINV[[#This Row],[SKU]],TablaINVENTARIO[SKU],TablaINVENTARIO[FECHA INGRESO])</f>
        <v>46023</v>
      </c>
      <c r="T199" s="44">
        <f>_xlfn.XLOOKUP(TablaSTOCKINV[[#This Row],[SKU]],TablaENTRADA[SKU],TablaENTRADA[FECHA],,0,-1)</f>
        <v>46023</v>
      </c>
      <c r="U199" s="46" t="str">
        <f>IFERROR((_xlfn.XLOOKUP(TablaSTOCKINV[[#This Row],[SKU]],TablaSALIDA[SKU],TablaSALIDA[FECHA],,0,-1))," " )</f>
        <v xml:space="preserve"> </v>
      </c>
    </row>
    <row r="200" spans="1:21" x14ac:dyDescent="0.3">
      <c r="A200" s="27" t="s">
        <v>2483</v>
      </c>
      <c r="B200" s="32" t="str">
        <f>_xlfn.XLOOKUP(TablaSTOCKINV[[#This Row],[SKU]],TablaINVENTARIO[SKU],TablaINVENTARIO[DESCRIPCION])</f>
        <v>PLACA BASE 4 PUERTOS USB 2.0</v>
      </c>
      <c r="C200" s="32" t="str">
        <f>_xlfn.XLOOKUP(TablaSTOCKINV[[#This Row],[SKU]],TablaINVENTARIO[SKU],TablaINVENTARIO[MARCA])</f>
        <v>N/A</v>
      </c>
      <c r="D200" s="33" t="str">
        <f>_xlfn.XLOOKUP(TablaSTOCKINV[[#This Row],[SKU]],TablaINVENTARIO[SKU],TablaINVENTARIO[CATEGORIA])</f>
        <v xml:space="preserve">INFORMATICA </v>
      </c>
      <c r="E200" s="33" t="str">
        <f>_xlfn.XLOOKUP(TablaSTOCKINV[[#This Row],[SKU]],TablaINVENTARIO[SKU],TablaINVENTARIO[SUBCATEGORIA])</f>
        <v xml:space="preserve">PLACAS Y COMPONENTES </v>
      </c>
      <c r="F200" s="33" t="str">
        <f>_xlfn.XLOOKUP(TablaSTOCKINV[[#This Row],[SKU]],TablaINVENTARIO[SKU],TablaINVENTARIO[ESTADO])</f>
        <v xml:space="preserve">NUEVO </v>
      </c>
      <c r="G200" s="33" t="str">
        <f>_xlfn.XLOOKUP(TablaSTOCKINV[[#This Row],[SKU]],TablaINVENTARIO[SKU],TablaINVENTARIO[MEDIDA])</f>
        <v>UND</v>
      </c>
      <c r="H200" s="33" t="str">
        <f>_xlfn.XLOOKUP(TablaSTOCKINV[[#This Row],[SKU]],TablaINVENTARIO[SKU],TablaINVENTARIO[SERIAL])</f>
        <v>N/A</v>
      </c>
      <c r="I200" s="34" t="str">
        <f>_xlfn.XLOOKUP(TablaSTOCKINV[[#This Row],[SKU]],TablaINVENTARIO[SKU],TablaINVENTARIO[ALMACEN])</f>
        <v>ALMACEN PRINCIPAL</v>
      </c>
      <c r="J200" s="34" t="str">
        <f>_xlfn.XLOOKUP(TablaSTOCKINV[[#This Row],[SKU]],TablaINVENTARIO[SKU],TablaINVENTARIO[UBICACION])</f>
        <v>C4</v>
      </c>
      <c r="K200" s="34" t="str">
        <f>_xlfn.XLOOKUP(TablaSTOCKINV[[#This Row],[SKU]],TablaINVENTARIO[SKU],TablaINVENTARIO[DPTO RESPONSABLE])</f>
        <v>AIT</v>
      </c>
      <c r="L200" s="36">
        <f>_xlfn.XLOOKUP(TablaSTOCKINV[[#This Row],[SKU]],TablaINVENTARIO[SKU],TablaINVENTARIO[RANGO MIN])</f>
        <v>0</v>
      </c>
      <c r="M200" s="34" cm="1">
        <f t="array" ref="M200">_xlfn.IFS(TablaSTOCKINV[[#This Row],[CANT. TOTAL]]&lt;=0,1,TablaSTOCKINV[[#This Row],[CANT. TOTAL]]&lt;=TablaSTOCKINV[[#This Row],[MIN]],2,TablaSTOCKINV[[#This Row],[CANT. TOTAL]]&gt;TablaSTOCKINV[[#This Row],[MIN]],3)</f>
        <v>3</v>
      </c>
      <c r="N200" s="34">
        <f>TablaSTOCKINV[[#This Row],[ENTRADAS]]-TablaSTOCKINV[[#This Row],[SALIDAS]]</f>
        <v>4</v>
      </c>
      <c r="O200" s="35">
        <f>SUMIFS(TablaENTRADA[CANT],TablaENTRADA[SKU],TablaSTOCKINV[[#This Row],[SKU]])</f>
        <v>4</v>
      </c>
      <c r="P200" s="35">
        <f>SUMIFS(TablaSALIDA[CANT],TablaSALIDA[SKU],TablaSTOCKINV[[#This Row],[SKU]])</f>
        <v>0</v>
      </c>
      <c r="Q200" s="34">
        <f>_xlfn.XLOOKUP(TablaSTOCKINV[[#This Row],[SKU]],TablaINVENTARIO[SKU],TablaINVENTARIO[PRECIO])</f>
        <v>0</v>
      </c>
      <c r="R200" s="34">
        <f>TablaSTOCKINV[[#This Row],[P.UNITARIO]]*TablaSTOCKINV[[#This Row],[CANT. TOTAL]]</f>
        <v>0</v>
      </c>
      <c r="S200" s="44">
        <f>_xlfn.XLOOKUP(TablaSTOCKINV[[#This Row],[SKU]],TablaINVENTARIO[SKU],TablaINVENTARIO[FECHA INGRESO])</f>
        <v>46023</v>
      </c>
      <c r="T200" s="44">
        <f>_xlfn.XLOOKUP(TablaSTOCKINV[[#This Row],[SKU]],TablaENTRADA[SKU],TablaENTRADA[FECHA],,0,-1)</f>
        <v>46023</v>
      </c>
      <c r="U200" s="46" t="str">
        <f>IFERROR((_xlfn.XLOOKUP(TablaSTOCKINV[[#This Row],[SKU]],TablaSALIDA[SKU],TablaSALIDA[FECHA],,0,-1))," " )</f>
        <v xml:space="preserve"> </v>
      </c>
    </row>
    <row r="201" spans="1:21" x14ac:dyDescent="0.3">
      <c r="A201" s="27" t="s">
        <v>2485</v>
      </c>
      <c r="B201" s="32" t="str">
        <f>_xlfn.XLOOKUP(TablaSTOCKINV[[#This Row],[SKU]],TablaINVENTARIO[SKU],TablaINVENTARIO[DESCRIPCION])</f>
        <v xml:space="preserve">CABLE CONVERTIDOR DE USB A RS485 </v>
      </c>
      <c r="C201" s="32" t="str">
        <f>_xlfn.XLOOKUP(TablaSTOCKINV[[#This Row],[SKU]],TablaINVENTARIO[SKU],TablaINVENTARIO[MARCA])</f>
        <v>N/A</v>
      </c>
      <c r="D201" s="33" t="str">
        <f>_xlfn.XLOOKUP(TablaSTOCKINV[[#This Row],[SKU]],TablaINVENTARIO[SKU],TablaINVENTARIO[CATEGORIA])</f>
        <v xml:space="preserve">INFORMATICA </v>
      </c>
      <c r="E201" s="33" t="str">
        <f>_xlfn.XLOOKUP(TablaSTOCKINV[[#This Row],[SKU]],TablaINVENTARIO[SKU],TablaINVENTARIO[SUBCATEGORIA])</f>
        <v>PERIFERICOS</v>
      </c>
      <c r="F201" s="33" t="str">
        <f>_xlfn.XLOOKUP(TablaSTOCKINV[[#This Row],[SKU]],TablaINVENTARIO[SKU],TablaINVENTARIO[ESTADO])</f>
        <v>USADO</v>
      </c>
      <c r="G201" s="33" t="str">
        <f>_xlfn.XLOOKUP(TablaSTOCKINV[[#This Row],[SKU]],TablaINVENTARIO[SKU],TablaINVENTARIO[MEDIDA])</f>
        <v>UND</v>
      </c>
      <c r="H201" s="33" t="str">
        <f>_xlfn.XLOOKUP(TablaSTOCKINV[[#This Row],[SKU]],TablaINVENTARIO[SKU],TablaINVENTARIO[SERIAL])</f>
        <v>N/A</v>
      </c>
      <c r="I201" s="34" t="str">
        <f>_xlfn.XLOOKUP(TablaSTOCKINV[[#This Row],[SKU]],TablaINVENTARIO[SKU],TablaINVENTARIO[ALMACEN])</f>
        <v>ALMACEN PRINCIPAL</v>
      </c>
      <c r="J201" s="34" t="str">
        <f>_xlfn.XLOOKUP(TablaSTOCKINV[[#This Row],[SKU]],TablaINVENTARIO[SKU],TablaINVENTARIO[UBICACION])</f>
        <v>C4</v>
      </c>
      <c r="K201" s="34" t="str">
        <f>_xlfn.XLOOKUP(TablaSTOCKINV[[#This Row],[SKU]],TablaINVENTARIO[SKU],TablaINVENTARIO[DPTO RESPONSABLE])</f>
        <v>AIT</v>
      </c>
      <c r="L201" s="36">
        <f>_xlfn.XLOOKUP(TablaSTOCKINV[[#This Row],[SKU]],TablaINVENTARIO[SKU],TablaINVENTARIO[RANGO MIN])</f>
        <v>0</v>
      </c>
      <c r="M201" s="34" cm="1">
        <f t="array" ref="M201">_xlfn.IFS(TablaSTOCKINV[[#This Row],[CANT. TOTAL]]&lt;=0,1,TablaSTOCKINV[[#This Row],[CANT. TOTAL]]&lt;=TablaSTOCKINV[[#This Row],[MIN]],2,TablaSTOCKINV[[#This Row],[CANT. TOTAL]]&gt;TablaSTOCKINV[[#This Row],[MIN]],3)</f>
        <v>3</v>
      </c>
      <c r="N201" s="34">
        <f>TablaSTOCKINV[[#This Row],[ENTRADAS]]-TablaSTOCKINV[[#This Row],[SALIDAS]]</f>
        <v>1</v>
      </c>
      <c r="O201" s="35">
        <f>SUMIFS(TablaENTRADA[CANT],TablaENTRADA[SKU],TablaSTOCKINV[[#This Row],[SKU]])</f>
        <v>1</v>
      </c>
      <c r="P201" s="35">
        <f>SUMIFS(TablaSALIDA[CANT],TablaSALIDA[SKU],TablaSTOCKINV[[#This Row],[SKU]])</f>
        <v>0</v>
      </c>
      <c r="Q201" s="34">
        <f>_xlfn.XLOOKUP(TablaSTOCKINV[[#This Row],[SKU]],TablaINVENTARIO[SKU],TablaINVENTARIO[PRECIO])</f>
        <v>0</v>
      </c>
      <c r="R201" s="34">
        <f>TablaSTOCKINV[[#This Row],[P.UNITARIO]]*TablaSTOCKINV[[#This Row],[CANT. TOTAL]]</f>
        <v>0</v>
      </c>
      <c r="S201" s="44">
        <f>_xlfn.XLOOKUP(TablaSTOCKINV[[#This Row],[SKU]],TablaINVENTARIO[SKU],TablaINVENTARIO[FECHA INGRESO])</f>
        <v>46023</v>
      </c>
      <c r="T201" s="44">
        <f>_xlfn.XLOOKUP(TablaSTOCKINV[[#This Row],[SKU]],TablaENTRADA[SKU],TablaENTRADA[FECHA],,0,-1)</f>
        <v>46023</v>
      </c>
      <c r="U201" s="46" t="str">
        <f>IFERROR((_xlfn.XLOOKUP(TablaSTOCKINV[[#This Row],[SKU]],TablaSALIDA[SKU],TablaSALIDA[FECHA],,0,-1))," " )</f>
        <v xml:space="preserve"> </v>
      </c>
    </row>
    <row r="202" spans="1:21" x14ac:dyDescent="0.3">
      <c r="A202" s="27" t="s">
        <v>2488</v>
      </c>
      <c r="B202" s="32" t="str">
        <f>_xlfn.XLOOKUP(TablaSTOCKINV[[#This Row],[SKU]],TablaINVENTARIO[SKU],TablaINVENTARIO[DESCRIPCION])</f>
        <v xml:space="preserve">CABLE RCA CON CONECTOR S-VIDEO </v>
      </c>
      <c r="C202" s="32" t="str">
        <f>_xlfn.XLOOKUP(TablaSTOCKINV[[#This Row],[SKU]],TablaINVENTARIO[SKU],TablaINVENTARIO[MARCA])</f>
        <v>N/A</v>
      </c>
      <c r="D202" s="33" t="str">
        <f>_xlfn.XLOOKUP(TablaSTOCKINV[[#This Row],[SKU]],TablaINVENTARIO[SKU],TablaINVENTARIO[CATEGORIA])</f>
        <v xml:space="preserve">INFORMATICA </v>
      </c>
      <c r="E202" s="33" t="str">
        <f>_xlfn.XLOOKUP(TablaSTOCKINV[[#This Row],[SKU]],TablaINVENTARIO[SKU],TablaINVENTARIO[SUBCATEGORIA])</f>
        <v>PERIFERICOS</v>
      </c>
      <c r="F202" s="33" t="str">
        <f>_xlfn.XLOOKUP(TablaSTOCKINV[[#This Row],[SKU]],TablaINVENTARIO[SKU],TablaINVENTARIO[ESTADO])</f>
        <v>USADO</v>
      </c>
      <c r="G202" s="33" t="str">
        <f>_xlfn.XLOOKUP(TablaSTOCKINV[[#This Row],[SKU]],TablaINVENTARIO[SKU],TablaINVENTARIO[MEDIDA])</f>
        <v>UND</v>
      </c>
      <c r="H202" s="33" t="str">
        <f>_xlfn.XLOOKUP(TablaSTOCKINV[[#This Row],[SKU]],TablaINVENTARIO[SKU],TablaINVENTARIO[SERIAL])</f>
        <v>N/A</v>
      </c>
      <c r="I202" s="34" t="str">
        <f>_xlfn.XLOOKUP(TablaSTOCKINV[[#This Row],[SKU]],TablaINVENTARIO[SKU],TablaINVENTARIO[ALMACEN])</f>
        <v>ALMACEN PRINCIPAL</v>
      </c>
      <c r="J202" s="34" t="str">
        <f>_xlfn.XLOOKUP(TablaSTOCKINV[[#This Row],[SKU]],TablaINVENTARIO[SKU],TablaINVENTARIO[UBICACION])</f>
        <v>C4</v>
      </c>
      <c r="K202" s="34" t="str">
        <f>_xlfn.XLOOKUP(TablaSTOCKINV[[#This Row],[SKU]],TablaINVENTARIO[SKU],TablaINVENTARIO[DPTO RESPONSABLE])</f>
        <v>AIT</v>
      </c>
      <c r="L202" s="36">
        <f>_xlfn.XLOOKUP(TablaSTOCKINV[[#This Row],[SKU]],TablaINVENTARIO[SKU],TablaINVENTARIO[RANGO MIN])</f>
        <v>0</v>
      </c>
      <c r="M202" s="34" cm="1">
        <f t="array" ref="M202">_xlfn.IFS(TablaSTOCKINV[[#This Row],[CANT. TOTAL]]&lt;=0,1,TablaSTOCKINV[[#This Row],[CANT. TOTAL]]&lt;=TablaSTOCKINV[[#This Row],[MIN]],2,TablaSTOCKINV[[#This Row],[CANT. TOTAL]]&gt;TablaSTOCKINV[[#This Row],[MIN]],3)</f>
        <v>3</v>
      </c>
      <c r="N202" s="34">
        <f>TablaSTOCKINV[[#This Row],[ENTRADAS]]-TablaSTOCKINV[[#This Row],[SALIDAS]]</f>
        <v>1</v>
      </c>
      <c r="O202" s="35">
        <f>SUMIFS(TablaENTRADA[CANT],TablaENTRADA[SKU],TablaSTOCKINV[[#This Row],[SKU]])</f>
        <v>1</v>
      </c>
      <c r="P202" s="35">
        <f>SUMIFS(TablaSALIDA[CANT],TablaSALIDA[SKU],TablaSTOCKINV[[#This Row],[SKU]])</f>
        <v>0</v>
      </c>
      <c r="Q202" s="34">
        <f>_xlfn.XLOOKUP(TablaSTOCKINV[[#This Row],[SKU]],TablaINVENTARIO[SKU],TablaINVENTARIO[PRECIO])</f>
        <v>0</v>
      </c>
      <c r="R202" s="34">
        <f>TablaSTOCKINV[[#This Row],[P.UNITARIO]]*TablaSTOCKINV[[#This Row],[CANT. TOTAL]]</f>
        <v>0</v>
      </c>
      <c r="S202" s="44">
        <f>_xlfn.XLOOKUP(TablaSTOCKINV[[#This Row],[SKU]],TablaINVENTARIO[SKU],TablaINVENTARIO[FECHA INGRESO])</f>
        <v>46023</v>
      </c>
      <c r="T202" s="44">
        <f>_xlfn.XLOOKUP(TablaSTOCKINV[[#This Row],[SKU]],TablaENTRADA[SKU],TablaENTRADA[FECHA],,0,-1)</f>
        <v>46023</v>
      </c>
      <c r="U202" s="46" t="str">
        <f>IFERROR((_xlfn.XLOOKUP(TablaSTOCKINV[[#This Row],[SKU]],TablaSALIDA[SKU],TablaSALIDA[FECHA],,0,-1))," " )</f>
        <v xml:space="preserve"> </v>
      </c>
    </row>
    <row r="203" spans="1:21" x14ac:dyDescent="0.3">
      <c r="A203" s="27" t="s">
        <v>2490</v>
      </c>
      <c r="B203" s="32" t="str">
        <f>_xlfn.XLOOKUP(TablaSTOCKINV[[#This Row],[SKU]],TablaINVENTARIO[SKU],TablaINVENTARIO[DESCRIPCION])</f>
        <v xml:space="preserve">CABLE DISPLAY DE DAS </v>
      </c>
      <c r="C203" s="32" t="str">
        <f>_xlfn.XLOOKUP(TablaSTOCKINV[[#This Row],[SKU]],TablaINVENTARIO[SKU],TablaINVENTARIO[MARCA])</f>
        <v>N/A</v>
      </c>
      <c r="D203" s="33" t="str">
        <f>_xlfn.XLOOKUP(TablaSTOCKINV[[#This Row],[SKU]],TablaINVENTARIO[SKU],TablaINVENTARIO[CATEGORIA])</f>
        <v xml:space="preserve">INFORMATICA </v>
      </c>
      <c r="E203" s="33" t="str">
        <f>_xlfn.XLOOKUP(TablaSTOCKINV[[#This Row],[SKU]],TablaINVENTARIO[SKU],TablaINVENTARIO[SUBCATEGORIA])</f>
        <v xml:space="preserve">PLACAS Y COMPONENTES </v>
      </c>
      <c r="F203" s="33" t="str">
        <f>_xlfn.XLOOKUP(TablaSTOCKINV[[#This Row],[SKU]],TablaINVENTARIO[SKU],TablaINVENTARIO[ESTADO])</f>
        <v>USADO</v>
      </c>
      <c r="G203" s="33" t="str">
        <f>_xlfn.XLOOKUP(TablaSTOCKINV[[#This Row],[SKU]],TablaINVENTARIO[SKU],TablaINVENTARIO[MEDIDA])</f>
        <v>UND</v>
      </c>
      <c r="H203" s="33" t="str">
        <f>_xlfn.XLOOKUP(TablaSTOCKINV[[#This Row],[SKU]],TablaINVENTARIO[SKU],TablaINVENTARIO[SERIAL])</f>
        <v>N/A</v>
      </c>
      <c r="I203" s="34" t="str">
        <f>_xlfn.XLOOKUP(TablaSTOCKINV[[#This Row],[SKU]],TablaINVENTARIO[SKU],TablaINVENTARIO[ALMACEN])</f>
        <v>ALMACEN PRINCIPAL</v>
      </c>
      <c r="J203" s="34" t="str">
        <f>_xlfn.XLOOKUP(TablaSTOCKINV[[#This Row],[SKU]],TablaINVENTARIO[SKU],TablaINVENTARIO[UBICACION])</f>
        <v>C4</v>
      </c>
      <c r="K203" s="34" t="str">
        <f>_xlfn.XLOOKUP(TablaSTOCKINV[[#This Row],[SKU]],TablaINVENTARIO[SKU],TablaINVENTARIO[DPTO RESPONSABLE])</f>
        <v>AIT</v>
      </c>
      <c r="L203" s="36">
        <f>_xlfn.XLOOKUP(TablaSTOCKINV[[#This Row],[SKU]],TablaINVENTARIO[SKU],TablaINVENTARIO[RANGO MIN])</f>
        <v>0</v>
      </c>
      <c r="M203" s="34" cm="1">
        <f t="array" ref="M203">_xlfn.IFS(TablaSTOCKINV[[#This Row],[CANT. TOTAL]]&lt;=0,1,TablaSTOCKINV[[#This Row],[CANT. TOTAL]]&lt;=TablaSTOCKINV[[#This Row],[MIN]],2,TablaSTOCKINV[[#This Row],[CANT. TOTAL]]&gt;TablaSTOCKINV[[#This Row],[MIN]],3)</f>
        <v>3</v>
      </c>
      <c r="N203" s="34">
        <f>TablaSTOCKINV[[#This Row],[ENTRADAS]]-TablaSTOCKINV[[#This Row],[SALIDAS]]</f>
        <v>1</v>
      </c>
      <c r="O203" s="35">
        <f>SUMIFS(TablaENTRADA[CANT],TablaENTRADA[SKU],TablaSTOCKINV[[#This Row],[SKU]])</f>
        <v>1</v>
      </c>
      <c r="P203" s="35">
        <f>SUMIFS(TablaSALIDA[CANT],TablaSALIDA[SKU],TablaSTOCKINV[[#This Row],[SKU]])</f>
        <v>0</v>
      </c>
      <c r="Q203" s="34">
        <f>_xlfn.XLOOKUP(TablaSTOCKINV[[#This Row],[SKU]],TablaINVENTARIO[SKU],TablaINVENTARIO[PRECIO])</f>
        <v>0</v>
      </c>
      <c r="R203" s="34">
        <f>TablaSTOCKINV[[#This Row],[P.UNITARIO]]*TablaSTOCKINV[[#This Row],[CANT. TOTAL]]</f>
        <v>0</v>
      </c>
      <c r="S203" s="44">
        <f>_xlfn.XLOOKUP(TablaSTOCKINV[[#This Row],[SKU]],TablaINVENTARIO[SKU],TablaINVENTARIO[FECHA INGRESO])</f>
        <v>46023</v>
      </c>
      <c r="T203" s="44">
        <f>_xlfn.XLOOKUP(TablaSTOCKINV[[#This Row],[SKU]],TablaENTRADA[SKU],TablaENTRADA[FECHA],,0,-1)</f>
        <v>46023</v>
      </c>
      <c r="U203" s="46" t="str">
        <f>IFERROR((_xlfn.XLOOKUP(TablaSTOCKINV[[#This Row],[SKU]],TablaSALIDA[SKU],TablaSALIDA[FECHA],,0,-1))," " )</f>
        <v xml:space="preserve"> </v>
      </c>
    </row>
    <row r="204" spans="1:21" x14ac:dyDescent="0.3">
      <c r="A204" s="27" t="s">
        <v>2492</v>
      </c>
      <c r="B204" s="32" t="str">
        <f>_xlfn.XLOOKUP(TablaSTOCKINV[[#This Row],[SKU]],TablaINVENTARIO[SKU],TablaINVENTARIO[DESCRIPCION])</f>
        <v xml:space="preserve">CABLE SATA CON CLIP METALICO </v>
      </c>
      <c r="C204" s="32" t="str">
        <f>_xlfn.XLOOKUP(TablaSTOCKINV[[#This Row],[SKU]],TablaINVENTARIO[SKU],TablaINVENTARIO[MARCA])</f>
        <v>N/A</v>
      </c>
      <c r="D204" s="33" t="str">
        <f>_xlfn.XLOOKUP(TablaSTOCKINV[[#This Row],[SKU]],TablaINVENTARIO[SKU],TablaINVENTARIO[CATEGORIA])</f>
        <v xml:space="preserve">INFORMATICA </v>
      </c>
      <c r="E204" s="33" t="str">
        <f>_xlfn.XLOOKUP(TablaSTOCKINV[[#This Row],[SKU]],TablaINVENTARIO[SKU],TablaINVENTARIO[SUBCATEGORIA])</f>
        <v xml:space="preserve">PLACAS Y COMPONENTES </v>
      </c>
      <c r="F204" s="33" t="str">
        <f>_xlfn.XLOOKUP(TablaSTOCKINV[[#This Row],[SKU]],TablaINVENTARIO[SKU],TablaINVENTARIO[ESTADO])</f>
        <v>USADO</v>
      </c>
      <c r="G204" s="33" t="str">
        <f>_xlfn.XLOOKUP(TablaSTOCKINV[[#This Row],[SKU]],TablaINVENTARIO[SKU],TablaINVENTARIO[MEDIDA])</f>
        <v>UND</v>
      </c>
      <c r="H204" s="33" t="str">
        <f>_xlfn.XLOOKUP(TablaSTOCKINV[[#This Row],[SKU]],TablaINVENTARIO[SKU],TablaINVENTARIO[SERIAL])</f>
        <v>N/A</v>
      </c>
      <c r="I204" s="34" t="str">
        <f>_xlfn.XLOOKUP(TablaSTOCKINV[[#This Row],[SKU]],TablaINVENTARIO[SKU],TablaINVENTARIO[ALMACEN])</f>
        <v>ALMACEN PRINCIPAL</v>
      </c>
      <c r="J204" s="34" t="str">
        <f>_xlfn.XLOOKUP(TablaSTOCKINV[[#This Row],[SKU]],TablaINVENTARIO[SKU],TablaINVENTARIO[UBICACION])</f>
        <v>C4</v>
      </c>
      <c r="K204" s="34" t="str">
        <f>_xlfn.XLOOKUP(TablaSTOCKINV[[#This Row],[SKU]],TablaINVENTARIO[SKU],TablaINVENTARIO[DPTO RESPONSABLE])</f>
        <v>AIT</v>
      </c>
      <c r="L204" s="36">
        <f>_xlfn.XLOOKUP(TablaSTOCKINV[[#This Row],[SKU]],TablaINVENTARIO[SKU],TablaINVENTARIO[RANGO MIN])</f>
        <v>0</v>
      </c>
      <c r="M204" s="34" cm="1">
        <f t="array" ref="M204">_xlfn.IFS(TablaSTOCKINV[[#This Row],[CANT. TOTAL]]&lt;=0,1,TablaSTOCKINV[[#This Row],[CANT. TOTAL]]&lt;=TablaSTOCKINV[[#This Row],[MIN]],2,TablaSTOCKINV[[#This Row],[CANT. TOTAL]]&gt;TablaSTOCKINV[[#This Row],[MIN]],3)</f>
        <v>3</v>
      </c>
      <c r="N204" s="34">
        <f>TablaSTOCKINV[[#This Row],[ENTRADAS]]-TablaSTOCKINV[[#This Row],[SALIDAS]]</f>
        <v>5</v>
      </c>
      <c r="O204" s="35">
        <f>SUMIFS(TablaENTRADA[CANT],TablaENTRADA[SKU],TablaSTOCKINV[[#This Row],[SKU]])</f>
        <v>5</v>
      </c>
      <c r="P204" s="35">
        <f>SUMIFS(TablaSALIDA[CANT],TablaSALIDA[SKU],TablaSTOCKINV[[#This Row],[SKU]])</f>
        <v>0</v>
      </c>
      <c r="Q204" s="34">
        <f>_xlfn.XLOOKUP(TablaSTOCKINV[[#This Row],[SKU]],TablaINVENTARIO[SKU],TablaINVENTARIO[PRECIO])</f>
        <v>0</v>
      </c>
      <c r="R204" s="34">
        <f>TablaSTOCKINV[[#This Row],[P.UNITARIO]]*TablaSTOCKINV[[#This Row],[CANT. TOTAL]]</f>
        <v>0</v>
      </c>
      <c r="S204" s="44">
        <f>_xlfn.XLOOKUP(TablaSTOCKINV[[#This Row],[SKU]],TablaINVENTARIO[SKU],TablaINVENTARIO[FECHA INGRESO])</f>
        <v>46023</v>
      </c>
      <c r="T204" s="44">
        <f>_xlfn.XLOOKUP(TablaSTOCKINV[[#This Row],[SKU]],TablaENTRADA[SKU],TablaENTRADA[FECHA],,0,-1)</f>
        <v>46023</v>
      </c>
      <c r="U204" s="46" t="str">
        <f>IFERROR((_xlfn.XLOOKUP(TablaSTOCKINV[[#This Row],[SKU]],TablaSALIDA[SKU],TablaSALIDA[FECHA],,0,-1))," " )</f>
        <v xml:space="preserve"> </v>
      </c>
    </row>
    <row r="205" spans="1:21" x14ac:dyDescent="0.3">
      <c r="A205" s="27" t="s">
        <v>2494</v>
      </c>
      <c r="B205" s="32" t="str">
        <f>_xlfn.XLOOKUP(TablaSTOCKINV[[#This Row],[SKU]],TablaINVENTARIO[SKU],TablaINVENTARIO[DESCRIPCION])</f>
        <v xml:space="preserve">CABLE ADAPTADOR PARA VENTILADOR DE ORDENADOR </v>
      </c>
      <c r="C205" s="32" t="str">
        <f>_xlfn.XLOOKUP(TablaSTOCKINV[[#This Row],[SKU]],TablaINVENTARIO[SKU],TablaINVENTARIO[MARCA])</f>
        <v>N/A</v>
      </c>
      <c r="D205" s="33" t="str">
        <f>_xlfn.XLOOKUP(TablaSTOCKINV[[#This Row],[SKU]],TablaINVENTARIO[SKU],TablaINVENTARIO[CATEGORIA])</f>
        <v xml:space="preserve">INFORMATICA </v>
      </c>
      <c r="E205" s="33" t="str">
        <f>_xlfn.XLOOKUP(TablaSTOCKINV[[#This Row],[SKU]],TablaINVENTARIO[SKU],TablaINVENTARIO[SUBCATEGORIA])</f>
        <v xml:space="preserve">COMPUTADORA </v>
      </c>
      <c r="F205" s="33" t="str">
        <f>_xlfn.XLOOKUP(TablaSTOCKINV[[#This Row],[SKU]],TablaINVENTARIO[SKU],TablaINVENTARIO[ESTADO])</f>
        <v xml:space="preserve">NUEVO </v>
      </c>
      <c r="G205" s="33" t="str">
        <f>_xlfn.XLOOKUP(TablaSTOCKINV[[#This Row],[SKU]],TablaINVENTARIO[SKU],TablaINVENTARIO[MEDIDA])</f>
        <v>UND</v>
      </c>
      <c r="H205" s="33" t="str">
        <f>_xlfn.XLOOKUP(TablaSTOCKINV[[#This Row],[SKU]],TablaINVENTARIO[SKU],TablaINVENTARIO[SERIAL])</f>
        <v>N/A</v>
      </c>
      <c r="I205" s="34" t="str">
        <f>_xlfn.XLOOKUP(TablaSTOCKINV[[#This Row],[SKU]],TablaINVENTARIO[SKU],TablaINVENTARIO[ALMACEN])</f>
        <v>ALMACEN PRINCIPAL</v>
      </c>
      <c r="J205" s="34" t="str">
        <f>_xlfn.XLOOKUP(TablaSTOCKINV[[#This Row],[SKU]],TablaINVENTARIO[SKU],TablaINVENTARIO[UBICACION])</f>
        <v>C4</v>
      </c>
      <c r="K205" s="34" t="str">
        <f>_xlfn.XLOOKUP(TablaSTOCKINV[[#This Row],[SKU]],TablaINVENTARIO[SKU],TablaINVENTARIO[DPTO RESPONSABLE])</f>
        <v>AIT</v>
      </c>
      <c r="L205" s="36">
        <f>_xlfn.XLOOKUP(TablaSTOCKINV[[#This Row],[SKU]],TablaINVENTARIO[SKU],TablaINVENTARIO[RANGO MIN])</f>
        <v>0</v>
      </c>
      <c r="M205" s="34" cm="1">
        <f t="array" ref="M205">_xlfn.IFS(TablaSTOCKINV[[#This Row],[CANT. TOTAL]]&lt;=0,1,TablaSTOCKINV[[#This Row],[CANT. TOTAL]]&lt;=TablaSTOCKINV[[#This Row],[MIN]],2,TablaSTOCKINV[[#This Row],[CANT. TOTAL]]&gt;TablaSTOCKINV[[#This Row],[MIN]],3)</f>
        <v>3</v>
      </c>
      <c r="N205" s="34">
        <f>TablaSTOCKINV[[#This Row],[ENTRADAS]]-TablaSTOCKINV[[#This Row],[SALIDAS]]</f>
        <v>1</v>
      </c>
      <c r="O205" s="35">
        <f>SUMIFS(TablaENTRADA[CANT],TablaENTRADA[SKU],TablaSTOCKINV[[#This Row],[SKU]])</f>
        <v>1</v>
      </c>
      <c r="P205" s="35">
        <f>SUMIFS(TablaSALIDA[CANT],TablaSALIDA[SKU],TablaSTOCKINV[[#This Row],[SKU]])</f>
        <v>0</v>
      </c>
      <c r="Q205" s="34">
        <f>_xlfn.XLOOKUP(TablaSTOCKINV[[#This Row],[SKU]],TablaINVENTARIO[SKU],TablaINVENTARIO[PRECIO])</f>
        <v>0</v>
      </c>
      <c r="R205" s="34">
        <f>TablaSTOCKINV[[#This Row],[P.UNITARIO]]*TablaSTOCKINV[[#This Row],[CANT. TOTAL]]</f>
        <v>0</v>
      </c>
      <c r="S205" s="44">
        <f>_xlfn.XLOOKUP(TablaSTOCKINV[[#This Row],[SKU]],TablaINVENTARIO[SKU],TablaINVENTARIO[FECHA INGRESO])</f>
        <v>46023</v>
      </c>
      <c r="T205" s="44">
        <f>_xlfn.XLOOKUP(TablaSTOCKINV[[#This Row],[SKU]],TablaENTRADA[SKU],TablaENTRADA[FECHA],,0,-1)</f>
        <v>46023</v>
      </c>
      <c r="U205" s="46" t="str">
        <f>IFERROR((_xlfn.XLOOKUP(TablaSTOCKINV[[#This Row],[SKU]],TablaSALIDA[SKU],TablaSALIDA[FECHA],,0,-1))," " )</f>
        <v xml:space="preserve"> </v>
      </c>
    </row>
    <row r="206" spans="1:21" x14ac:dyDescent="0.3">
      <c r="A206" s="27" t="s">
        <v>2496</v>
      </c>
      <c r="B206" s="32" t="str">
        <f>_xlfn.XLOOKUP(TablaSTOCKINV[[#This Row],[SKU]],TablaINVENTARIO[SKU],TablaINVENTARIO[DESCRIPCION])</f>
        <v xml:space="preserve">CONECTOR JST PH DE 4 PINES CON CABLES </v>
      </c>
      <c r="C206" s="32" t="str">
        <f>_xlfn.XLOOKUP(TablaSTOCKINV[[#This Row],[SKU]],TablaINVENTARIO[SKU],TablaINVENTARIO[MARCA])</f>
        <v>N/A</v>
      </c>
      <c r="D206" s="33" t="str">
        <f>_xlfn.XLOOKUP(TablaSTOCKINV[[#This Row],[SKU]],TablaINVENTARIO[SKU],TablaINVENTARIO[CATEGORIA])</f>
        <v xml:space="preserve">INFORMATICA </v>
      </c>
      <c r="E206" s="33" t="str">
        <f>_xlfn.XLOOKUP(TablaSTOCKINV[[#This Row],[SKU]],TablaINVENTARIO[SKU],TablaINVENTARIO[SUBCATEGORIA])</f>
        <v xml:space="preserve">COMPUTADORA </v>
      </c>
      <c r="F206" s="33" t="str">
        <f>_xlfn.XLOOKUP(TablaSTOCKINV[[#This Row],[SKU]],TablaINVENTARIO[SKU],TablaINVENTARIO[ESTADO])</f>
        <v xml:space="preserve">NUEVO </v>
      </c>
      <c r="G206" s="33" t="str">
        <f>_xlfn.XLOOKUP(TablaSTOCKINV[[#This Row],[SKU]],TablaINVENTARIO[SKU],TablaINVENTARIO[MEDIDA])</f>
        <v>UND</v>
      </c>
      <c r="H206" s="33" t="str">
        <f>_xlfn.XLOOKUP(TablaSTOCKINV[[#This Row],[SKU]],TablaINVENTARIO[SKU],TablaINVENTARIO[SERIAL])</f>
        <v>N/A</v>
      </c>
      <c r="I206" s="34" t="str">
        <f>_xlfn.XLOOKUP(TablaSTOCKINV[[#This Row],[SKU]],TablaINVENTARIO[SKU],TablaINVENTARIO[ALMACEN])</f>
        <v>ALMACEN PRINCIPAL</v>
      </c>
      <c r="J206" s="34" t="str">
        <f>_xlfn.XLOOKUP(TablaSTOCKINV[[#This Row],[SKU]],TablaINVENTARIO[SKU],TablaINVENTARIO[UBICACION])</f>
        <v>C4</v>
      </c>
      <c r="K206" s="34" t="str">
        <f>_xlfn.XLOOKUP(TablaSTOCKINV[[#This Row],[SKU]],TablaINVENTARIO[SKU],TablaINVENTARIO[DPTO RESPONSABLE])</f>
        <v>AIT</v>
      </c>
      <c r="L206" s="36">
        <f>_xlfn.XLOOKUP(TablaSTOCKINV[[#This Row],[SKU]],TablaINVENTARIO[SKU],TablaINVENTARIO[RANGO MIN])</f>
        <v>0</v>
      </c>
      <c r="M206" s="34" cm="1">
        <f t="array" ref="M206">_xlfn.IFS(TablaSTOCKINV[[#This Row],[CANT. TOTAL]]&lt;=0,1,TablaSTOCKINV[[#This Row],[CANT. TOTAL]]&lt;=TablaSTOCKINV[[#This Row],[MIN]],2,TablaSTOCKINV[[#This Row],[CANT. TOTAL]]&gt;TablaSTOCKINV[[#This Row],[MIN]],3)</f>
        <v>3</v>
      </c>
      <c r="N206" s="34">
        <f>TablaSTOCKINV[[#This Row],[ENTRADAS]]-TablaSTOCKINV[[#This Row],[SALIDAS]]</f>
        <v>2</v>
      </c>
      <c r="O206" s="35">
        <f>SUMIFS(TablaENTRADA[CANT],TablaENTRADA[SKU],TablaSTOCKINV[[#This Row],[SKU]])</f>
        <v>2</v>
      </c>
      <c r="P206" s="35">
        <f>SUMIFS(TablaSALIDA[CANT],TablaSALIDA[SKU],TablaSTOCKINV[[#This Row],[SKU]])</f>
        <v>0</v>
      </c>
      <c r="Q206" s="34">
        <f>_xlfn.XLOOKUP(TablaSTOCKINV[[#This Row],[SKU]],TablaINVENTARIO[SKU],TablaINVENTARIO[PRECIO])</f>
        <v>0</v>
      </c>
      <c r="R206" s="34">
        <f>TablaSTOCKINV[[#This Row],[P.UNITARIO]]*TablaSTOCKINV[[#This Row],[CANT. TOTAL]]</f>
        <v>0</v>
      </c>
      <c r="S206" s="44">
        <f>_xlfn.XLOOKUP(TablaSTOCKINV[[#This Row],[SKU]],TablaINVENTARIO[SKU],TablaINVENTARIO[FECHA INGRESO])</f>
        <v>46023</v>
      </c>
      <c r="T206" s="44">
        <f>_xlfn.XLOOKUP(TablaSTOCKINV[[#This Row],[SKU]],TablaENTRADA[SKU],TablaENTRADA[FECHA],,0,-1)</f>
        <v>46023</v>
      </c>
      <c r="U206" s="46" t="str">
        <f>IFERROR((_xlfn.XLOOKUP(TablaSTOCKINV[[#This Row],[SKU]],TablaSALIDA[SKU],TablaSALIDA[FECHA],,0,-1))," " )</f>
        <v xml:space="preserve"> </v>
      </c>
    </row>
    <row r="207" spans="1:21" x14ac:dyDescent="0.3">
      <c r="A207" s="27" t="s">
        <v>2498</v>
      </c>
      <c r="B207" s="32" t="str">
        <f>_xlfn.XLOOKUP(TablaSTOCKINV[[#This Row],[SKU]],TablaINVENTARIO[SKU],TablaINVENTARIO[DESCRIPCION])</f>
        <v xml:space="preserve">CABLE ADAPTADOR DE ALIMENTACION PCI EXPRESS DE 6 PINES A DOBLE MOLEX </v>
      </c>
      <c r="C207" s="32" t="str">
        <f>_xlfn.XLOOKUP(TablaSTOCKINV[[#This Row],[SKU]],TablaINVENTARIO[SKU],TablaINVENTARIO[MARCA])</f>
        <v>N/A</v>
      </c>
      <c r="D207" s="33" t="str">
        <f>_xlfn.XLOOKUP(TablaSTOCKINV[[#This Row],[SKU]],TablaINVENTARIO[SKU],TablaINVENTARIO[CATEGORIA])</f>
        <v xml:space="preserve">INFORMATICA </v>
      </c>
      <c r="E207" s="33" t="str">
        <f>_xlfn.XLOOKUP(TablaSTOCKINV[[#This Row],[SKU]],TablaINVENTARIO[SKU],TablaINVENTARIO[SUBCATEGORIA])</f>
        <v xml:space="preserve">COMPUTADORA </v>
      </c>
      <c r="F207" s="33" t="str">
        <f>_xlfn.XLOOKUP(TablaSTOCKINV[[#This Row],[SKU]],TablaINVENTARIO[SKU],TablaINVENTARIO[ESTADO])</f>
        <v xml:space="preserve">NUEVO </v>
      </c>
      <c r="G207" s="33" t="str">
        <f>_xlfn.XLOOKUP(TablaSTOCKINV[[#This Row],[SKU]],TablaINVENTARIO[SKU],TablaINVENTARIO[MEDIDA])</f>
        <v>UND</v>
      </c>
      <c r="H207" s="33" t="str">
        <f>_xlfn.XLOOKUP(TablaSTOCKINV[[#This Row],[SKU]],TablaINVENTARIO[SKU],TablaINVENTARIO[SERIAL])</f>
        <v>N/A</v>
      </c>
      <c r="I207" s="34" t="str">
        <f>_xlfn.XLOOKUP(TablaSTOCKINV[[#This Row],[SKU]],TablaINVENTARIO[SKU],TablaINVENTARIO[ALMACEN])</f>
        <v>ALMACEN PRINCIPAL</v>
      </c>
      <c r="J207" s="34" t="str">
        <f>_xlfn.XLOOKUP(TablaSTOCKINV[[#This Row],[SKU]],TablaINVENTARIO[SKU],TablaINVENTARIO[UBICACION])</f>
        <v>C4</v>
      </c>
      <c r="K207" s="34" t="str">
        <f>_xlfn.XLOOKUP(TablaSTOCKINV[[#This Row],[SKU]],TablaINVENTARIO[SKU],TablaINVENTARIO[DPTO RESPONSABLE])</f>
        <v>AIT</v>
      </c>
      <c r="L207" s="36">
        <f>_xlfn.XLOOKUP(TablaSTOCKINV[[#This Row],[SKU]],TablaINVENTARIO[SKU],TablaINVENTARIO[RANGO MIN])</f>
        <v>0</v>
      </c>
      <c r="M207" s="34" cm="1">
        <f t="array" ref="M207">_xlfn.IFS(TablaSTOCKINV[[#This Row],[CANT. TOTAL]]&lt;=0,1,TablaSTOCKINV[[#This Row],[CANT. TOTAL]]&lt;=TablaSTOCKINV[[#This Row],[MIN]],2,TablaSTOCKINV[[#This Row],[CANT. TOTAL]]&gt;TablaSTOCKINV[[#This Row],[MIN]],3)</f>
        <v>3</v>
      </c>
      <c r="N207" s="34">
        <f>TablaSTOCKINV[[#This Row],[ENTRADAS]]-TablaSTOCKINV[[#This Row],[SALIDAS]]</f>
        <v>3</v>
      </c>
      <c r="O207" s="35">
        <f>SUMIFS(TablaENTRADA[CANT],TablaENTRADA[SKU],TablaSTOCKINV[[#This Row],[SKU]])</f>
        <v>3</v>
      </c>
      <c r="P207" s="35">
        <f>SUMIFS(TablaSALIDA[CANT],TablaSALIDA[SKU],TablaSTOCKINV[[#This Row],[SKU]])</f>
        <v>0</v>
      </c>
      <c r="Q207" s="34">
        <f>_xlfn.XLOOKUP(TablaSTOCKINV[[#This Row],[SKU]],TablaINVENTARIO[SKU],TablaINVENTARIO[PRECIO])</f>
        <v>0</v>
      </c>
      <c r="R207" s="34">
        <f>TablaSTOCKINV[[#This Row],[P.UNITARIO]]*TablaSTOCKINV[[#This Row],[CANT. TOTAL]]</f>
        <v>0</v>
      </c>
      <c r="S207" s="44">
        <f>_xlfn.XLOOKUP(TablaSTOCKINV[[#This Row],[SKU]],TablaINVENTARIO[SKU],TablaINVENTARIO[FECHA INGRESO])</f>
        <v>46023</v>
      </c>
      <c r="T207" s="44">
        <f>_xlfn.XLOOKUP(TablaSTOCKINV[[#This Row],[SKU]],TablaENTRADA[SKU],TablaENTRADA[FECHA],,0,-1)</f>
        <v>46023</v>
      </c>
      <c r="U207" s="46" t="str">
        <f>IFERROR((_xlfn.XLOOKUP(TablaSTOCKINV[[#This Row],[SKU]],TablaSALIDA[SKU],TablaSALIDA[FECHA],,0,-1))," " )</f>
        <v xml:space="preserve"> </v>
      </c>
    </row>
    <row r="208" spans="1:21" x14ac:dyDescent="0.3">
      <c r="A208" s="27" t="s">
        <v>2500</v>
      </c>
      <c r="B208" s="32" t="str">
        <f>_xlfn.XLOOKUP(TablaSTOCKINV[[#This Row],[SKU]],TablaINVENTARIO[SKU],TablaINVENTARIO[DESCRIPCION])</f>
        <v xml:space="preserve">CABLE ALTAVOZ DE DOS CONDUCTORES </v>
      </c>
      <c r="C208" s="32" t="str">
        <f>_xlfn.XLOOKUP(TablaSTOCKINV[[#This Row],[SKU]],TablaINVENTARIO[SKU],TablaINVENTARIO[MARCA])</f>
        <v>N/A</v>
      </c>
      <c r="D208" s="33" t="str">
        <f>_xlfn.XLOOKUP(TablaSTOCKINV[[#This Row],[SKU]],TablaINVENTARIO[SKU],TablaINVENTARIO[CATEGORIA])</f>
        <v xml:space="preserve">INFORMATICA </v>
      </c>
      <c r="E208" s="33" t="str">
        <f>_xlfn.XLOOKUP(TablaSTOCKINV[[#This Row],[SKU]],TablaINVENTARIO[SKU],TablaINVENTARIO[SUBCATEGORIA])</f>
        <v xml:space="preserve">COMPUTADORA </v>
      </c>
      <c r="F208" s="33" t="str">
        <f>_xlfn.XLOOKUP(TablaSTOCKINV[[#This Row],[SKU]],TablaINVENTARIO[SKU],TablaINVENTARIO[ESTADO])</f>
        <v xml:space="preserve">NUEVO </v>
      </c>
      <c r="G208" s="33" t="str">
        <f>_xlfn.XLOOKUP(TablaSTOCKINV[[#This Row],[SKU]],TablaINVENTARIO[SKU],TablaINVENTARIO[MEDIDA])</f>
        <v>UND</v>
      </c>
      <c r="H208" s="33" t="str">
        <f>_xlfn.XLOOKUP(TablaSTOCKINV[[#This Row],[SKU]],TablaINVENTARIO[SKU],TablaINVENTARIO[SERIAL])</f>
        <v>N/A</v>
      </c>
      <c r="I208" s="34" t="str">
        <f>_xlfn.XLOOKUP(TablaSTOCKINV[[#This Row],[SKU]],TablaINVENTARIO[SKU],TablaINVENTARIO[ALMACEN])</f>
        <v>ALMACEN PRINCIPAL</v>
      </c>
      <c r="J208" s="34" t="str">
        <f>_xlfn.XLOOKUP(TablaSTOCKINV[[#This Row],[SKU]],TablaINVENTARIO[SKU],TablaINVENTARIO[UBICACION])</f>
        <v>C4</v>
      </c>
      <c r="K208" s="34" t="str">
        <f>_xlfn.XLOOKUP(TablaSTOCKINV[[#This Row],[SKU]],TablaINVENTARIO[SKU],TablaINVENTARIO[DPTO RESPONSABLE])</f>
        <v>AIT</v>
      </c>
      <c r="L208" s="36">
        <f>_xlfn.XLOOKUP(TablaSTOCKINV[[#This Row],[SKU]],TablaINVENTARIO[SKU],TablaINVENTARIO[RANGO MIN])</f>
        <v>0</v>
      </c>
      <c r="M208" s="34" cm="1">
        <f t="array" ref="M208">_xlfn.IFS(TablaSTOCKINV[[#This Row],[CANT. TOTAL]]&lt;=0,1,TablaSTOCKINV[[#This Row],[CANT. TOTAL]]&lt;=TablaSTOCKINV[[#This Row],[MIN]],2,TablaSTOCKINV[[#This Row],[CANT. TOTAL]]&gt;TablaSTOCKINV[[#This Row],[MIN]],3)</f>
        <v>3</v>
      </c>
      <c r="N208" s="34">
        <f>TablaSTOCKINV[[#This Row],[ENTRADAS]]-TablaSTOCKINV[[#This Row],[SALIDAS]]</f>
        <v>2</v>
      </c>
      <c r="O208" s="35">
        <f>SUMIFS(TablaENTRADA[CANT],TablaENTRADA[SKU],TablaSTOCKINV[[#This Row],[SKU]])</f>
        <v>2</v>
      </c>
      <c r="P208" s="35">
        <f>SUMIFS(TablaSALIDA[CANT],TablaSALIDA[SKU],TablaSTOCKINV[[#This Row],[SKU]])</f>
        <v>0</v>
      </c>
      <c r="Q208" s="34">
        <f>_xlfn.XLOOKUP(TablaSTOCKINV[[#This Row],[SKU]],TablaINVENTARIO[SKU],TablaINVENTARIO[PRECIO])</f>
        <v>0</v>
      </c>
      <c r="R208" s="34">
        <f>TablaSTOCKINV[[#This Row],[P.UNITARIO]]*TablaSTOCKINV[[#This Row],[CANT. TOTAL]]</f>
        <v>0</v>
      </c>
      <c r="S208" s="44">
        <f>_xlfn.XLOOKUP(TablaSTOCKINV[[#This Row],[SKU]],TablaINVENTARIO[SKU],TablaINVENTARIO[FECHA INGRESO])</f>
        <v>46023</v>
      </c>
      <c r="T208" s="44">
        <f>_xlfn.XLOOKUP(TablaSTOCKINV[[#This Row],[SKU]],TablaENTRADA[SKU],TablaENTRADA[FECHA],,0,-1)</f>
        <v>46023</v>
      </c>
      <c r="U208" s="46" t="str">
        <f>IFERROR((_xlfn.XLOOKUP(TablaSTOCKINV[[#This Row],[SKU]],TablaSALIDA[SKU],TablaSALIDA[FECHA],,0,-1))," " )</f>
        <v xml:space="preserve"> </v>
      </c>
    </row>
    <row r="209" spans="1:21" x14ac:dyDescent="0.3">
      <c r="A209" s="27" t="s">
        <v>2502</v>
      </c>
      <c r="B209" s="32" t="str">
        <f>_xlfn.XLOOKUP(TablaSTOCKINV[[#This Row],[SKU]],TablaINVENTARIO[SKU],TablaINVENTARIO[DESCRIPCION])</f>
        <v xml:space="preserve">ARNES DE CABLES </v>
      </c>
      <c r="C209" s="32" t="str">
        <f>_xlfn.XLOOKUP(TablaSTOCKINV[[#This Row],[SKU]],TablaINVENTARIO[SKU],TablaINVENTARIO[MARCA])</f>
        <v>N/A</v>
      </c>
      <c r="D209" s="33" t="str">
        <f>_xlfn.XLOOKUP(TablaSTOCKINV[[#This Row],[SKU]],TablaINVENTARIO[SKU],TablaINVENTARIO[CATEGORIA])</f>
        <v xml:space="preserve">INFORMATICA </v>
      </c>
      <c r="E209" s="33" t="str">
        <f>_xlfn.XLOOKUP(TablaSTOCKINV[[#This Row],[SKU]],TablaINVENTARIO[SKU],TablaINVENTARIO[SUBCATEGORIA])</f>
        <v xml:space="preserve">COMPUTADORA </v>
      </c>
      <c r="F209" s="33" t="str">
        <f>_xlfn.XLOOKUP(TablaSTOCKINV[[#This Row],[SKU]],TablaINVENTARIO[SKU],TablaINVENTARIO[ESTADO])</f>
        <v xml:space="preserve">NUEVO </v>
      </c>
      <c r="G209" s="33" t="str">
        <f>_xlfn.XLOOKUP(TablaSTOCKINV[[#This Row],[SKU]],TablaINVENTARIO[SKU],TablaINVENTARIO[MEDIDA])</f>
        <v>UND</v>
      </c>
      <c r="H209" s="33" t="str">
        <f>_xlfn.XLOOKUP(TablaSTOCKINV[[#This Row],[SKU]],TablaINVENTARIO[SKU],TablaINVENTARIO[SERIAL])</f>
        <v>N/A</v>
      </c>
      <c r="I209" s="34" t="str">
        <f>_xlfn.XLOOKUP(TablaSTOCKINV[[#This Row],[SKU]],TablaINVENTARIO[SKU],TablaINVENTARIO[ALMACEN])</f>
        <v>ALMACEN PRINCIPAL</v>
      </c>
      <c r="J209" s="34" t="str">
        <f>_xlfn.XLOOKUP(TablaSTOCKINV[[#This Row],[SKU]],TablaINVENTARIO[SKU],TablaINVENTARIO[UBICACION])</f>
        <v>C4</v>
      </c>
      <c r="K209" s="34" t="str">
        <f>_xlfn.XLOOKUP(TablaSTOCKINV[[#This Row],[SKU]],TablaINVENTARIO[SKU],TablaINVENTARIO[DPTO RESPONSABLE])</f>
        <v>AIT</v>
      </c>
      <c r="L209" s="36">
        <f>_xlfn.XLOOKUP(TablaSTOCKINV[[#This Row],[SKU]],TablaINVENTARIO[SKU],TablaINVENTARIO[RANGO MIN])</f>
        <v>0</v>
      </c>
      <c r="M209" s="34" cm="1">
        <f t="array" ref="M209">_xlfn.IFS(TablaSTOCKINV[[#This Row],[CANT. TOTAL]]&lt;=0,1,TablaSTOCKINV[[#This Row],[CANT. TOTAL]]&lt;=TablaSTOCKINV[[#This Row],[MIN]],2,TablaSTOCKINV[[#This Row],[CANT. TOTAL]]&gt;TablaSTOCKINV[[#This Row],[MIN]],3)</f>
        <v>3</v>
      </c>
      <c r="N209" s="34">
        <f>TablaSTOCKINV[[#This Row],[ENTRADAS]]-TablaSTOCKINV[[#This Row],[SALIDAS]]</f>
        <v>1</v>
      </c>
      <c r="O209" s="35">
        <f>SUMIFS(TablaENTRADA[CANT],TablaENTRADA[SKU],TablaSTOCKINV[[#This Row],[SKU]])</f>
        <v>1</v>
      </c>
      <c r="P209" s="35">
        <f>SUMIFS(TablaSALIDA[CANT],TablaSALIDA[SKU],TablaSTOCKINV[[#This Row],[SKU]])</f>
        <v>0</v>
      </c>
      <c r="Q209" s="34">
        <f>_xlfn.XLOOKUP(TablaSTOCKINV[[#This Row],[SKU]],TablaINVENTARIO[SKU],TablaINVENTARIO[PRECIO])</f>
        <v>0</v>
      </c>
      <c r="R209" s="34">
        <f>TablaSTOCKINV[[#This Row],[P.UNITARIO]]*TablaSTOCKINV[[#This Row],[CANT. TOTAL]]</f>
        <v>0</v>
      </c>
      <c r="S209" s="44">
        <f>_xlfn.XLOOKUP(TablaSTOCKINV[[#This Row],[SKU]],TablaINVENTARIO[SKU],TablaINVENTARIO[FECHA INGRESO])</f>
        <v>46023</v>
      </c>
      <c r="T209" s="44">
        <f>_xlfn.XLOOKUP(TablaSTOCKINV[[#This Row],[SKU]],TablaENTRADA[SKU],TablaENTRADA[FECHA],,0,-1)</f>
        <v>46023</v>
      </c>
      <c r="U209" s="46" t="str">
        <f>IFERROR((_xlfn.XLOOKUP(TablaSTOCKINV[[#This Row],[SKU]],TablaSALIDA[SKU],TablaSALIDA[FECHA],,0,-1))," " )</f>
        <v xml:space="preserve"> </v>
      </c>
    </row>
    <row r="210" spans="1:21" x14ac:dyDescent="0.3">
      <c r="A210" s="27" t="s">
        <v>2504</v>
      </c>
      <c r="B210" s="32" t="str">
        <f>_xlfn.XLOOKUP(TablaSTOCKINV[[#This Row],[SKU]],TablaINVENTARIO[SKU],TablaINVENTARIO[DESCRIPCION])</f>
        <v xml:space="preserve">CABLE SATA </v>
      </c>
      <c r="C210" s="32" t="str">
        <f>_xlfn.XLOOKUP(TablaSTOCKINV[[#This Row],[SKU]],TablaINVENTARIO[SKU],TablaINVENTARIO[MARCA])</f>
        <v>N/A</v>
      </c>
      <c r="D210" s="33" t="str">
        <f>_xlfn.XLOOKUP(TablaSTOCKINV[[#This Row],[SKU]],TablaINVENTARIO[SKU],TablaINVENTARIO[CATEGORIA])</f>
        <v xml:space="preserve">INFORMATICA </v>
      </c>
      <c r="E210" s="33" t="str">
        <f>_xlfn.XLOOKUP(TablaSTOCKINV[[#This Row],[SKU]],TablaINVENTARIO[SKU],TablaINVENTARIO[SUBCATEGORIA])</f>
        <v xml:space="preserve">COMPUTADORA </v>
      </c>
      <c r="F210" s="33" t="str">
        <f>_xlfn.XLOOKUP(TablaSTOCKINV[[#This Row],[SKU]],TablaINVENTARIO[SKU],TablaINVENTARIO[ESTADO])</f>
        <v xml:space="preserve">NUEVO </v>
      </c>
      <c r="G210" s="33" t="str">
        <f>_xlfn.XLOOKUP(TablaSTOCKINV[[#This Row],[SKU]],TablaINVENTARIO[SKU],TablaINVENTARIO[MEDIDA])</f>
        <v>UND</v>
      </c>
      <c r="H210" s="33" t="str">
        <f>_xlfn.XLOOKUP(TablaSTOCKINV[[#This Row],[SKU]],TablaINVENTARIO[SKU],TablaINVENTARIO[SERIAL])</f>
        <v>N/A</v>
      </c>
      <c r="I210" s="34" t="str">
        <f>_xlfn.XLOOKUP(TablaSTOCKINV[[#This Row],[SKU]],TablaINVENTARIO[SKU],TablaINVENTARIO[ALMACEN])</f>
        <v>ALMACEN PRINCIPAL</v>
      </c>
      <c r="J210" s="34" t="str">
        <f>_xlfn.XLOOKUP(TablaSTOCKINV[[#This Row],[SKU]],TablaINVENTARIO[SKU],TablaINVENTARIO[UBICACION])</f>
        <v>C4</v>
      </c>
      <c r="K210" s="34" t="str">
        <f>_xlfn.XLOOKUP(TablaSTOCKINV[[#This Row],[SKU]],TablaINVENTARIO[SKU],TablaINVENTARIO[DPTO RESPONSABLE])</f>
        <v>AIT</v>
      </c>
      <c r="L210" s="36">
        <f>_xlfn.XLOOKUP(TablaSTOCKINV[[#This Row],[SKU]],TablaINVENTARIO[SKU],TablaINVENTARIO[RANGO MIN])</f>
        <v>0</v>
      </c>
      <c r="M210" s="34" cm="1">
        <f t="array" ref="M210">_xlfn.IFS(TablaSTOCKINV[[#This Row],[CANT. TOTAL]]&lt;=0,1,TablaSTOCKINV[[#This Row],[CANT. TOTAL]]&lt;=TablaSTOCKINV[[#This Row],[MIN]],2,TablaSTOCKINV[[#This Row],[CANT. TOTAL]]&gt;TablaSTOCKINV[[#This Row],[MIN]],3)</f>
        <v>3</v>
      </c>
      <c r="N210" s="34">
        <f>TablaSTOCKINV[[#This Row],[ENTRADAS]]-TablaSTOCKINV[[#This Row],[SALIDAS]]</f>
        <v>4</v>
      </c>
      <c r="O210" s="35">
        <f>SUMIFS(TablaENTRADA[CANT],TablaENTRADA[SKU],TablaSTOCKINV[[#This Row],[SKU]])</f>
        <v>4</v>
      </c>
      <c r="P210" s="35">
        <f>SUMIFS(TablaSALIDA[CANT],TablaSALIDA[SKU],TablaSTOCKINV[[#This Row],[SKU]])</f>
        <v>0</v>
      </c>
      <c r="Q210" s="34">
        <f>_xlfn.XLOOKUP(TablaSTOCKINV[[#This Row],[SKU]],TablaINVENTARIO[SKU],TablaINVENTARIO[PRECIO])</f>
        <v>0</v>
      </c>
      <c r="R210" s="34">
        <f>TablaSTOCKINV[[#This Row],[P.UNITARIO]]*TablaSTOCKINV[[#This Row],[CANT. TOTAL]]</f>
        <v>0</v>
      </c>
      <c r="S210" s="44">
        <f>_xlfn.XLOOKUP(TablaSTOCKINV[[#This Row],[SKU]],TablaINVENTARIO[SKU],TablaINVENTARIO[FECHA INGRESO])</f>
        <v>46023</v>
      </c>
      <c r="T210" s="44">
        <f>_xlfn.XLOOKUP(TablaSTOCKINV[[#This Row],[SKU]],TablaENTRADA[SKU],TablaENTRADA[FECHA],,0,-1)</f>
        <v>46023</v>
      </c>
      <c r="U210" s="46" t="str">
        <f>IFERROR((_xlfn.XLOOKUP(TablaSTOCKINV[[#This Row],[SKU]],TablaSALIDA[SKU],TablaSALIDA[FECHA],,0,-1))," " )</f>
        <v xml:space="preserve"> </v>
      </c>
    </row>
    <row r="211" spans="1:21" x14ac:dyDescent="0.3">
      <c r="A211" s="27" t="s">
        <v>2506</v>
      </c>
      <c r="B211" s="32" t="str">
        <f>_xlfn.XLOOKUP(TablaSTOCKINV[[#This Row],[SKU]],TablaINVENTARIO[SKU],TablaINVENTARIO[DESCRIPCION])</f>
        <v xml:space="preserve">TERMISOR </v>
      </c>
      <c r="C211" s="32" t="str">
        <f>_xlfn.XLOOKUP(TablaSTOCKINV[[#This Row],[SKU]],TablaINVENTARIO[SKU],TablaINVENTARIO[MARCA])</f>
        <v>N/A</v>
      </c>
      <c r="D211" s="33" t="str">
        <f>_xlfn.XLOOKUP(TablaSTOCKINV[[#This Row],[SKU]],TablaINVENTARIO[SKU],TablaINVENTARIO[CATEGORIA])</f>
        <v xml:space="preserve">INFORMATICA </v>
      </c>
      <c r="E211" s="33" t="str">
        <f>_xlfn.XLOOKUP(TablaSTOCKINV[[#This Row],[SKU]],TablaINVENTARIO[SKU],TablaINVENTARIO[SUBCATEGORIA])</f>
        <v xml:space="preserve">COMPUTADORA </v>
      </c>
      <c r="F211" s="33" t="str">
        <f>_xlfn.XLOOKUP(TablaSTOCKINV[[#This Row],[SKU]],TablaINVENTARIO[SKU],TablaINVENTARIO[ESTADO])</f>
        <v xml:space="preserve">NUEVO </v>
      </c>
      <c r="G211" s="33" t="str">
        <f>_xlfn.XLOOKUP(TablaSTOCKINV[[#This Row],[SKU]],TablaINVENTARIO[SKU],TablaINVENTARIO[MEDIDA])</f>
        <v>UND</v>
      </c>
      <c r="H211" s="33" t="str">
        <f>_xlfn.XLOOKUP(TablaSTOCKINV[[#This Row],[SKU]],TablaINVENTARIO[SKU],TablaINVENTARIO[SERIAL])</f>
        <v>N/A</v>
      </c>
      <c r="I211" s="34" t="str">
        <f>_xlfn.XLOOKUP(TablaSTOCKINV[[#This Row],[SKU]],TablaINVENTARIO[SKU],TablaINVENTARIO[ALMACEN])</f>
        <v>ALMACEN PRINCIPAL</v>
      </c>
      <c r="J211" s="34" t="str">
        <f>_xlfn.XLOOKUP(TablaSTOCKINV[[#This Row],[SKU]],TablaINVENTARIO[SKU],TablaINVENTARIO[UBICACION])</f>
        <v>C4</v>
      </c>
      <c r="K211" s="34" t="str">
        <f>_xlfn.XLOOKUP(TablaSTOCKINV[[#This Row],[SKU]],TablaINVENTARIO[SKU],TablaINVENTARIO[DPTO RESPONSABLE])</f>
        <v>AIT</v>
      </c>
      <c r="L211" s="36">
        <f>_xlfn.XLOOKUP(TablaSTOCKINV[[#This Row],[SKU]],TablaINVENTARIO[SKU],TablaINVENTARIO[RANGO MIN])</f>
        <v>0</v>
      </c>
      <c r="M211" s="34" cm="1">
        <f t="array" ref="M211">_xlfn.IFS(TablaSTOCKINV[[#This Row],[CANT. TOTAL]]&lt;=0,1,TablaSTOCKINV[[#This Row],[CANT. TOTAL]]&lt;=TablaSTOCKINV[[#This Row],[MIN]],2,TablaSTOCKINV[[#This Row],[CANT. TOTAL]]&gt;TablaSTOCKINV[[#This Row],[MIN]],3)</f>
        <v>3</v>
      </c>
      <c r="N211" s="34">
        <f>TablaSTOCKINV[[#This Row],[ENTRADAS]]-TablaSTOCKINV[[#This Row],[SALIDAS]]</f>
        <v>1</v>
      </c>
      <c r="O211" s="35">
        <f>SUMIFS(TablaENTRADA[CANT],TablaENTRADA[SKU],TablaSTOCKINV[[#This Row],[SKU]])</f>
        <v>1</v>
      </c>
      <c r="P211" s="35">
        <f>SUMIFS(TablaSALIDA[CANT],TablaSALIDA[SKU],TablaSTOCKINV[[#This Row],[SKU]])</f>
        <v>0</v>
      </c>
      <c r="Q211" s="34">
        <f>_xlfn.XLOOKUP(TablaSTOCKINV[[#This Row],[SKU]],TablaINVENTARIO[SKU],TablaINVENTARIO[PRECIO])</f>
        <v>0</v>
      </c>
      <c r="R211" s="34">
        <f>TablaSTOCKINV[[#This Row],[P.UNITARIO]]*TablaSTOCKINV[[#This Row],[CANT. TOTAL]]</f>
        <v>0</v>
      </c>
      <c r="S211" s="44">
        <f>_xlfn.XLOOKUP(TablaSTOCKINV[[#This Row],[SKU]],TablaINVENTARIO[SKU],TablaINVENTARIO[FECHA INGRESO])</f>
        <v>46023</v>
      </c>
      <c r="T211" s="44">
        <f>_xlfn.XLOOKUP(TablaSTOCKINV[[#This Row],[SKU]],TablaENTRADA[SKU],TablaENTRADA[FECHA],,0,-1)</f>
        <v>46023</v>
      </c>
      <c r="U211" s="46" t="str">
        <f>IFERROR((_xlfn.XLOOKUP(TablaSTOCKINV[[#This Row],[SKU]],TablaSALIDA[SKU],TablaSALIDA[FECHA],,0,-1))," " )</f>
        <v xml:space="preserve"> </v>
      </c>
    </row>
    <row r="212" spans="1:21" x14ac:dyDescent="0.3">
      <c r="A212" s="27" t="s">
        <v>2508</v>
      </c>
      <c r="B212" s="32" t="str">
        <f>_xlfn.XLOOKUP(TablaSTOCKINV[[#This Row],[SKU]],TablaINVENTARIO[SKU],TablaINVENTARIO[DESCRIPCION])</f>
        <v>CABLE ADAPTADOR Y (PS/2)</v>
      </c>
      <c r="C212" s="32" t="str">
        <f>_xlfn.XLOOKUP(TablaSTOCKINV[[#This Row],[SKU]],TablaINVENTARIO[SKU],TablaINVENTARIO[MARCA])</f>
        <v>N/A</v>
      </c>
      <c r="D212" s="33" t="str">
        <f>_xlfn.XLOOKUP(TablaSTOCKINV[[#This Row],[SKU]],TablaINVENTARIO[SKU],TablaINVENTARIO[CATEGORIA])</f>
        <v xml:space="preserve">INFORMATICA </v>
      </c>
      <c r="E212" s="33" t="str">
        <f>_xlfn.XLOOKUP(TablaSTOCKINV[[#This Row],[SKU]],TablaINVENTARIO[SKU],TablaINVENTARIO[SUBCATEGORIA])</f>
        <v xml:space="preserve">PLACAS Y COMPONENTES </v>
      </c>
      <c r="F212" s="33" t="str">
        <f>_xlfn.XLOOKUP(TablaSTOCKINV[[#This Row],[SKU]],TablaINVENTARIO[SKU],TablaINVENTARIO[ESTADO])</f>
        <v xml:space="preserve">NUEVO </v>
      </c>
      <c r="G212" s="33" t="str">
        <f>_xlfn.XLOOKUP(TablaSTOCKINV[[#This Row],[SKU]],TablaINVENTARIO[SKU],TablaINVENTARIO[MEDIDA])</f>
        <v>UND</v>
      </c>
      <c r="H212" s="33" t="str">
        <f>_xlfn.XLOOKUP(TablaSTOCKINV[[#This Row],[SKU]],TablaINVENTARIO[SKU],TablaINVENTARIO[SERIAL])</f>
        <v>N/A</v>
      </c>
      <c r="I212" s="34" t="str">
        <f>_xlfn.XLOOKUP(TablaSTOCKINV[[#This Row],[SKU]],TablaINVENTARIO[SKU],TablaINVENTARIO[ALMACEN])</f>
        <v>ALMACEN PRINCIPAL</v>
      </c>
      <c r="J212" s="34" t="str">
        <f>_xlfn.XLOOKUP(TablaSTOCKINV[[#This Row],[SKU]],TablaINVENTARIO[SKU],TablaINVENTARIO[UBICACION])</f>
        <v>C4</v>
      </c>
      <c r="K212" s="34" t="str">
        <f>_xlfn.XLOOKUP(TablaSTOCKINV[[#This Row],[SKU]],TablaINVENTARIO[SKU],TablaINVENTARIO[DPTO RESPONSABLE])</f>
        <v>AIT</v>
      </c>
      <c r="L212" s="36">
        <f>_xlfn.XLOOKUP(TablaSTOCKINV[[#This Row],[SKU]],TablaINVENTARIO[SKU],TablaINVENTARIO[RANGO MIN])</f>
        <v>0</v>
      </c>
      <c r="M212" s="34" cm="1">
        <f t="array" ref="M212">_xlfn.IFS(TablaSTOCKINV[[#This Row],[CANT. TOTAL]]&lt;=0,1,TablaSTOCKINV[[#This Row],[CANT. TOTAL]]&lt;=TablaSTOCKINV[[#This Row],[MIN]],2,TablaSTOCKINV[[#This Row],[CANT. TOTAL]]&gt;TablaSTOCKINV[[#This Row],[MIN]],3)</f>
        <v>3</v>
      </c>
      <c r="N212" s="34">
        <f>TablaSTOCKINV[[#This Row],[ENTRADAS]]-TablaSTOCKINV[[#This Row],[SALIDAS]]</f>
        <v>5</v>
      </c>
      <c r="O212" s="35">
        <f>SUMIFS(TablaENTRADA[CANT],TablaENTRADA[SKU],TablaSTOCKINV[[#This Row],[SKU]])</f>
        <v>5</v>
      </c>
      <c r="P212" s="35">
        <f>SUMIFS(TablaSALIDA[CANT],TablaSALIDA[SKU],TablaSTOCKINV[[#This Row],[SKU]])</f>
        <v>0</v>
      </c>
      <c r="Q212" s="34">
        <f>_xlfn.XLOOKUP(TablaSTOCKINV[[#This Row],[SKU]],TablaINVENTARIO[SKU],TablaINVENTARIO[PRECIO])</f>
        <v>0</v>
      </c>
      <c r="R212" s="34">
        <f>TablaSTOCKINV[[#This Row],[P.UNITARIO]]*TablaSTOCKINV[[#This Row],[CANT. TOTAL]]</f>
        <v>0</v>
      </c>
      <c r="S212" s="44">
        <f>_xlfn.XLOOKUP(TablaSTOCKINV[[#This Row],[SKU]],TablaINVENTARIO[SKU],TablaINVENTARIO[FECHA INGRESO])</f>
        <v>46023</v>
      </c>
      <c r="T212" s="44">
        <f>_xlfn.XLOOKUP(TablaSTOCKINV[[#This Row],[SKU]],TablaENTRADA[SKU],TablaENTRADA[FECHA],,0,-1)</f>
        <v>46023</v>
      </c>
      <c r="U212" s="46" t="str">
        <f>IFERROR((_xlfn.XLOOKUP(TablaSTOCKINV[[#This Row],[SKU]],TablaSALIDA[SKU],TablaSALIDA[FECHA],,0,-1))," " )</f>
        <v xml:space="preserve"> </v>
      </c>
    </row>
    <row r="213" spans="1:21" x14ac:dyDescent="0.3">
      <c r="A213" s="27" t="s">
        <v>2510</v>
      </c>
      <c r="B213" s="32" t="str">
        <f>_xlfn.XLOOKUP(TablaSTOCKINV[[#This Row],[SKU]],TablaINVENTARIO[SKU],TablaINVENTARIO[DESCRIPCION])</f>
        <v xml:space="preserve">CABLE ADAPTADOR Y (PS/2) PARA TECLADO </v>
      </c>
      <c r="C213" s="32" t="str">
        <f>_xlfn.XLOOKUP(TablaSTOCKINV[[#This Row],[SKU]],TablaINVENTARIO[SKU],TablaINVENTARIO[MARCA])</f>
        <v>N/A</v>
      </c>
      <c r="D213" s="33" t="str">
        <f>_xlfn.XLOOKUP(TablaSTOCKINV[[#This Row],[SKU]],TablaINVENTARIO[SKU],TablaINVENTARIO[CATEGORIA])</f>
        <v xml:space="preserve">INFORMATICA </v>
      </c>
      <c r="E213" s="33" t="str">
        <f>_xlfn.XLOOKUP(TablaSTOCKINV[[#This Row],[SKU]],TablaINVENTARIO[SKU],TablaINVENTARIO[SUBCATEGORIA])</f>
        <v xml:space="preserve">PLACAS Y COMPONENTES </v>
      </c>
      <c r="F213" s="33" t="str">
        <f>_xlfn.XLOOKUP(TablaSTOCKINV[[#This Row],[SKU]],TablaINVENTARIO[SKU],TablaINVENTARIO[ESTADO])</f>
        <v xml:space="preserve">NUEVO </v>
      </c>
      <c r="G213" s="33" t="str">
        <f>_xlfn.XLOOKUP(TablaSTOCKINV[[#This Row],[SKU]],TablaINVENTARIO[SKU],TablaINVENTARIO[MEDIDA])</f>
        <v>UND</v>
      </c>
      <c r="H213" s="33" t="str">
        <f>_xlfn.XLOOKUP(TablaSTOCKINV[[#This Row],[SKU]],TablaINVENTARIO[SKU],TablaINVENTARIO[SERIAL])</f>
        <v>N/A</v>
      </c>
      <c r="I213" s="34" t="str">
        <f>_xlfn.XLOOKUP(TablaSTOCKINV[[#This Row],[SKU]],TablaINVENTARIO[SKU],TablaINVENTARIO[ALMACEN])</f>
        <v>ALMACEN PRINCIPAL</v>
      </c>
      <c r="J213" s="34" t="str">
        <f>_xlfn.XLOOKUP(TablaSTOCKINV[[#This Row],[SKU]],TablaINVENTARIO[SKU],TablaINVENTARIO[UBICACION])</f>
        <v>C4</v>
      </c>
      <c r="K213" s="34" t="str">
        <f>_xlfn.XLOOKUP(TablaSTOCKINV[[#This Row],[SKU]],TablaINVENTARIO[SKU],TablaINVENTARIO[DPTO RESPONSABLE])</f>
        <v>AIT</v>
      </c>
      <c r="L213" s="36">
        <f>_xlfn.XLOOKUP(TablaSTOCKINV[[#This Row],[SKU]],TablaINVENTARIO[SKU],TablaINVENTARIO[RANGO MIN])</f>
        <v>0</v>
      </c>
      <c r="M213" s="34" cm="1">
        <f t="array" ref="M213">_xlfn.IFS(TablaSTOCKINV[[#This Row],[CANT. TOTAL]]&lt;=0,1,TablaSTOCKINV[[#This Row],[CANT. TOTAL]]&lt;=TablaSTOCKINV[[#This Row],[MIN]],2,TablaSTOCKINV[[#This Row],[CANT. TOTAL]]&gt;TablaSTOCKINV[[#This Row],[MIN]],3)</f>
        <v>3</v>
      </c>
      <c r="N213" s="34">
        <f>TablaSTOCKINV[[#This Row],[ENTRADAS]]-TablaSTOCKINV[[#This Row],[SALIDAS]]</f>
        <v>5</v>
      </c>
      <c r="O213" s="35">
        <f>SUMIFS(TablaENTRADA[CANT],TablaENTRADA[SKU],TablaSTOCKINV[[#This Row],[SKU]])</f>
        <v>5</v>
      </c>
      <c r="P213" s="35">
        <f>SUMIFS(TablaSALIDA[CANT],TablaSALIDA[SKU],TablaSTOCKINV[[#This Row],[SKU]])</f>
        <v>0</v>
      </c>
      <c r="Q213" s="34">
        <f>_xlfn.XLOOKUP(TablaSTOCKINV[[#This Row],[SKU]],TablaINVENTARIO[SKU],TablaINVENTARIO[PRECIO])</f>
        <v>0</v>
      </c>
      <c r="R213" s="34">
        <f>TablaSTOCKINV[[#This Row],[P.UNITARIO]]*TablaSTOCKINV[[#This Row],[CANT. TOTAL]]</f>
        <v>0</v>
      </c>
      <c r="S213" s="44">
        <f>_xlfn.XLOOKUP(TablaSTOCKINV[[#This Row],[SKU]],TablaINVENTARIO[SKU],TablaINVENTARIO[FECHA INGRESO])</f>
        <v>46023</v>
      </c>
      <c r="T213" s="44">
        <f>_xlfn.XLOOKUP(TablaSTOCKINV[[#This Row],[SKU]],TablaENTRADA[SKU],TablaENTRADA[FECHA],,0,-1)</f>
        <v>46023</v>
      </c>
      <c r="U213" s="46" t="str">
        <f>IFERROR((_xlfn.XLOOKUP(TablaSTOCKINV[[#This Row],[SKU]],TablaSALIDA[SKU],TablaSALIDA[FECHA],,0,-1))," " )</f>
        <v xml:space="preserve"> </v>
      </c>
    </row>
    <row r="214" spans="1:21" x14ac:dyDescent="0.3">
      <c r="A214" s="27" t="s">
        <v>2512</v>
      </c>
      <c r="B214" s="32" t="str">
        <f>_xlfn.XLOOKUP(TablaSTOCKINV[[#This Row],[SKU]],TablaINVENTARIO[SKU],TablaINVENTARIO[DESCRIPCION])</f>
        <v>CABLE ADAPTADOR DIVISOR PS/2</v>
      </c>
      <c r="C214" s="32" t="str">
        <f>_xlfn.XLOOKUP(TablaSTOCKINV[[#This Row],[SKU]],TablaINVENTARIO[SKU],TablaINVENTARIO[MARCA])</f>
        <v>N/A</v>
      </c>
      <c r="D214" s="33" t="str">
        <f>_xlfn.XLOOKUP(TablaSTOCKINV[[#This Row],[SKU]],TablaINVENTARIO[SKU],TablaINVENTARIO[CATEGORIA])</f>
        <v xml:space="preserve">INFORMATICA </v>
      </c>
      <c r="E214" s="33" t="str">
        <f>_xlfn.XLOOKUP(TablaSTOCKINV[[#This Row],[SKU]],TablaINVENTARIO[SKU],TablaINVENTARIO[SUBCATEGORIA])</f>
        <v xml:space="preserve">PLACAS Y COMPONENTES </v>
      </c>
      <c r="F214" s="33" t="str">
        <f>_xlfn.XLOOKUP(TablaSTOCKINV[[#This Row],[SKU]],TablaINVENTARIO[SKU],TablaINVENTARIO[ESTADO])</f>
        <v xml:space="preserve">NUEVO </v>
      </c>
      <c r="G214" s="33" t="str">
        <f>_xlfn.XLOOKUP(TablaSTOCKINV[[#This Row],[SKU]],TablaINVENTARIO[SKU],TablaINVENTARIO[MEDIDA])</f>
        <v>UND</v>
      </c>
      <c r="H214" s="33" t="str">
        <f>_xlfn.XLOOKUP(TablaSTOCKINV[[#This Row],[SKU]],TablaINVENTARIO[SKU],TablaINVENTARIO[SERIAL])</f>
        <v>N/A</v>
      </c>
      <c r="I214" s="34" t="str">
        <f>_xlfn.XLOOKUP(TablaSTOCKINV[[#This Row],[SKU]],TablaINVENTARIO[SKU],TablaINVENTARIO[ALMACEN])</f>
        <v>ALMACEN PRINCIPAL</v>
      </c>
      <c r="J214" s="34" t="str">
        <f>_xlfn.XLOOKUP(TablaSTOCKINV[[#This Row],[SKU]],TablaINVENTARIO[SKU],TablaINVENTARIO[UBICACION])</f>
        <v>C4</v>
      </c>
      <c r="K214" s="34" t="str">
        <f>_xlfn.XLOOKUP(TablaSTOCKINV[[#This Row],[SKU]],TablaINVENTARIO[SKU],TablaINVENTARIO[DPTO RESPONSABLE])</f>
        <v>AIT</v>
      </c>
      <c r="L214" s="36">
        <f>_xlfn.XLOOKUP(TablaSTOCKINV[[#This Row],[SKU]],TablaINVENTARIO[SKU],TablaINVENTARIO[RANGO MIN])</f>
        <v>0</v>
      </c>
      <c r="M214" s="34" cm="1">
        <f t="array" ref="M214">_xlfn.IFS(TablaSTOCKINV[[#This Row],[CANT. TOTAL]]&lt;=0,1,TablaSTOCKINV[[#This Row],[CANT. TOTAL]]&lt;=TablaSTOCKINV[[#This Row],[MIN]],2,TablaSTOCKINV[[#This Row],[CANT. TOTAL]]&gt;TablaSTOCKINV[[#This Row],[MIN]],3)</f>
        <v>3</v>
      </c>
      <c r="N214" s="34">
        <f>TablaSTOCKINV[[#This Row],[ENTRADAS]]-TablaSTOCKINV[[#This Row],[SALIDAS]]</f>
        <v>2</v>
      </c>
      <c r="O214" s="35">
        <f>SUMIFS(TablaENTRADA[CANT],TablaENTRADA[SKU],TablaSTOCKINV[[#This Row],[SKU]])</f>
        <v>2</v>
      </c>
      <c r="P214" s="35">
        <f>SUMIFS(TablaSALIDA[CANT],TablaSALIDA[SKU],TablaSTOCKINV[[#This Row],[SKU]])</f>
        <v>0</v>
      </c>
      <c r="Q214" s="34">
        <f>_xlfn.XLOOKUP(TablaSTOCKINV[[#This Row],[SKU]],TablaINVENTARIO[SKU],TablaINVENTARIO[PRECIO])</f>
        <v>0</v>
      </c>
      <c r="R214" s="34">
        <f>TablaSTOCKINV[[#This Row],[P.UNITARIO]]*TablaSTOCKINV[[#This Row],[CANT. TOTAL]]</f>
        <v>0</v>
      </c>
      <c r="S214" s="44">
        <f>_xlfn.XLOOKUP(TablaSTOCKINV[[#This Row],[SKU]],TablaINVENTARIO[SKU],TablaINVENTARIO[FECHA INGRESO])</f>
        <v>46023</v>
      </c>
      <c r="T214" s="44">
        <f>_xlfn.XLOOKUP(TablaSTOCKINV[[#This Row],[SKU]],TablaENTRADA[SKU],TablaENTRADA[FECHA],,0,-1)</f>
        <v>46023</v>
      </c>
      <c r="U214" s="46" t="str">
        <f>IFERROR((_xlfn.XLOOKUP(TablaSTOCKINV[[#This Row],[SKU]],TablaSALIDA[SKU],TablaSALIDA[FECHA],,0,-1))," " )</f>
        <v xml:space="preserve"> </v>
      </c>
    </row>
    <row r="215" spans="1:21" x14ac:dyDescent="0.3">
      <c r="A215" s="27" t="s">
        <v>2514</v>
      </c>
      <c r="B215" s="32" t="str">
        <f>_xlfn.XLOOKUP(TablaSTOCKINV[[#This Row],[SKU]],TablaINVENTARIO[SKU],TablaINVENTARIO[DESCRIPCION])</f>
        <v>MONITOR  MODELO: ET-0025-B</v>
      </c>
      <c r="C215" s="32" t="str">
        <f>_xlfn.XLOOKUP(TablaSTOCKINV[[#This Row],[SKU]],TablaINVENTARIO[SKU],TablaINVENTARIO[MARCA])</f>
        <v>BENQ</v>
      </c>
      <c r="D215" s="33" t="str">
        <f>_xlfn.XLOOKUP(TablaSTOCKINV[[#This Row],[SKU]],TablaINVENTARIO[SKU],TablaINVENTARIO[CATEGORIA])</f>
        <v xml:space="preserve">INFORMATICA </v>
      </c>
      <c r="E215" s="33" t="str">
        <f>_xlfn.XLOOKUP(TablaSTOCKINV[[#This Row],[SKU]],TablaINVENTARIO[SKU],TablaINVENTARIO[SUBCATEGORIA])</f>
        <v xml:space="preserve">COMPUTADORA </v>
      </c>
      <c r="F215" s="33" t="str">
        <f>_xlfn.XLOOKUP(TablaSTOCKINV[[#This Row],[SKU]],TablaINVENTARIO[SKU],TablaINVENTARIO[ESTADO])</f>
        <v xml:space="preserve">NUEVO </v>
      </c>
      <c r="G215" s="33" t="str">
        <f>_xlfn.XLOOKUP(TablaSTOCKINV[[#This Row],[SKU]],TablaINVENTARIO[SKU],TablaINVENTARIO[MEDIDA])</f>
        <v>UND</v>
      </c>
      <c r="H215" s="33" t="str">
        <f>_xlfn.XLOOKUP(TablaSTOCKINV[[#This Row],[SKU]],TablaINVENTARIO[SKU],TablaINVENTARIO[SERIAL])</f>
        <v>ETEIBOOI63SL0</v>
      </c>
      <c r="I215" s="34" t="str">
        <f>_xlfn.XLOOKUP(TablaSTOCKINV[[#This Row],[SKU]],TablaINVENTARIO[SKU],TablaINVENTARIO[ALMACEN])</f>
        <v>ALMACEN PRINCIPAL</v>
      </c>
      <c r="J215" s="34" t="str">
        <f>_xlfn.XLOOKUP(TablaSTOCKINV[[#This Row],[SKU]],TablaINVENTARIO[SKU],TablaINVENTARIO[UBICACION])</f>
        <v>C5</v>
      </c>
      <c r="K215" s="34" t="str">
        <f>_xlfn.XLOOKUP(TablaSTOCKINV[[#This Row],[SKU]],TablaINVENTARIO[SKU],TablaINVENTARIO[DPTO RESPONSABLE])</f>
        <v>AIT</v>
      </c>
      <c r="L215" s="36">
        <f>_xlfn.XLOOKUP(TablaSTOCKINV[[#This Row],[SKU]],TablaINVENTARIO[SKU],TablaINVENTARIO[RANGO MIN])</f>
        <v>0</v>
      </c>
      <c r="M215" s="34" cm="1">
        <f t="array" ref="M215">_xlfn.IFS(TablaSTOCKINV[[#This Row],[CANT. TOTAL]]&lt;=0,1,TablaSTOCKINV[[#This Row],[CANT. TOTAL]]&lt;=TablaSTOCKINV[[#This Row],[MIN]],2,TablaSTOCKINV[[#This Row],[CANT. TOTAL]]&gt;TablaSTOCKINV[[#This Row],[MIN]],3)</f>
        <v>3</v>
      </c>
      <c r="N215" s="34">
        <f>TablaSTOCKINV[[#This Row],[ENTRADAS]]-TablaSTOCKINV[[#This Row],[SALIDAS]]</f>
        <v>1</v>
      </c>
      <c r="O215" s="35">
        <f>SUMIFS(TablaENTRADA[CANT],TablaENTRADA[SKU],TablaSTOCKINV[[#This Row],[SKU]])</f>
        <v>1</v>
      </c>
      <c r="P215" s="35">
        <f>SUMIFS(TablaSALIDA[CANT],TablaSALIDA[SKU],TablaSTOCKINV[[#This Row],[SKU]])</f>
        <v>0</v>
      </c>
      <c r="Q215" s="34">
        <f>_xlfn.XLOOKUP(TablaSTOCKINV[[#This Row],[SKU]],TablaINVENTARIO[SKU],TablaINVENTARIO[PRECIO])</f>
        <v>0</v>
      </c>
      <c r="R215" s="34">
        <f>TablaSTOCKINV[[#This Row],[P.UNITARIO]]*TablaSTOCKINV[[#This Row],[CANT. TOTAL]]</f>
        <v>0</v>
      </c>
      <c r="S215" s="44">
        <f>_xlfn.XLOOKUP(TablaSTOCKINV[[#This Row],[SKU]],TablaINVENTARIO[SKU],TablaINVENTARIO[FECHA INGRESO])</f>
        <v>46023</v>
      </c>
      <c r="T215" s="44">
        <f>_xlfn.XLOOKUP(TablaSTOCKINV[[#This Row],[SKU]],TablaENTRADA[SKU],TablaENTRADA[FECHA],,0,-1)</f>
        <v>46023</v>
      </c>
      <c r="U215" s="46" t="str">
        <f>IFERROR((_xlfn.XLOOKUP(TablaSTOCKINV[[#This Row],[SKU]],TablaSALIDA[SKU],TablaSALIDA[FECHA],,0,-1))," " )</f>
        <v xml:space="preserve"> </v>
      </c>
    </row>
    <row r="216" spans="1:21" x14ac:dyDescent="0.3">
      <c r="A216" s="27" t="s">
        <v>2519</v>
      </c>
      <c r="B216" s="32" t="str">
        <f>_xlfn.XLOOKUP(TablaSTOCKINV[[#This Row],[SKU]],TablaINVENTARIO[SKU],TablaINVENTARIO[DESCRIPCION])</f>
        <v>IMPRESORA MODELO: B412C</v>
      </c>
      <c r="C216" s="32" t="str">
        <f>_xlfn.XLOOKUP(TablaSTOCKINV[[#This Row],[SKU]],TablaINVENTARIO[SKU],TablaINVENTARIO[MARCA])</f>
        <v>EPSON</v>
      </c>
      <c r="D216" s="33" t="str">
        <f>_xlfn.XLOOKUP(TablaSTOCKINV[[#This Row],[SKU]],TablaINVENTARIO[SKU],TablaINVENTARIO[CATEGORIA])</f>
        <v xml:space="preserve">INFORMATICA </v>
      </c>
      <c r="E216" s="33" t="str">
        <f>_xlfn.XLOOKUP(TablaSTOCKINV[[#This Row],[SKU]],TablaINVENTARIO[SKU],TablaINVENTARIO[SUBCATEGORIA])</f>
        <v>IMPRESORA</v>
      </c>
      <c r="F216" s="33" t="str">
        <f>_xlfn.XLOOKUP(TablaSTOCKINV[[#This Row],[SKU]],TablaINVENTARIO[SKU],TablaINVENTARIO[ESTADO])</f>
        <v>USADO</v>
      </c>
      <c r="G216" s="33" t="str">
        <f>_xlfn.XLOOKUP(TablaSTOCKINV[[#This Row],[SKU]],TablaINVENTARIO[SKU],TablaINVENTARIO[MEDIDA])</f>
        <v>UND</v>
      </c>
      <c r="H216" s="33" t="str">
        <f>_xlfn.XLOOKUP(TablaSTOCKINV[[#This Row],[SKU]],TablaINVENTARIO[SKU],TablaINVENTARIO[SERIAL])</f>
        <v>Q7ZK010260</v>
      </c>
      <c r="I216" s="34" t="str">
        <f>_xlfn.XLOOKUP(TablaSTOCKINV[[#This Row],[SKU]],TablaINVENTARIO[SKU],TablaINVENTARIO[ALMACEN])</f>
        <v>ALMACEN PRINCIPAL</v>
      </c>
      <c r="J216" s="34" t="str">
        <f>_xlfn.XLOOKUP(TablaSTOCKINV[[#This Row],[SKU]],TablaINVENTARIO[SKU],TablaINVENTARIO[UBICACION])</f>
        <v>C5</v>
      </c>
      <c r="K216" s="34" t="str">
        <f>_xlfn.XLOOKUP(TablaSTOCKINV[[#This Row],[SKU]],TablaINVENTARIO[SKU],TablaINVENTARIO[DPTO RESPONSABLE])</f>
        <v>AIT</v>
      </c>
      <c r="L216" s="36">
        <f>_xlfn.XLOOKUP(TablaSTOCKINV[[#This Row],[SKU]],TablaINVENTARIO[SKU],TablaINVENTARIO[RANGO MIN])</f>
        <v>0</v>
      </c>
      <c r="M216" s="34" cm="1">
        <f t="array" ref="M216">_xlfn.IFS(TablaSTOCKINV[[#This Row],[CANT. TOTAL]]&lt;=0,1,TablaSTOCKINV[[#This Row],[CANT. TOTAL]]&lt;=TablaSTOCKINV[[#This Row],[MIN]],2,TablaSTOCKINV[[#This Row],[CANT. TOTAL]]&gt;TablaSTOCKINV[[#This Row],[MIN]],3)</f>
        <v>3</v>
      </c>
      <c r="N216" s="34">
        <f>TablaSTOCKINV[[#This Row],[ENTRADAS]]-TablaSTOCKINV[[#This Row],[SALIDAS]]</f>
        <v>1</v>
      </c>
      <c r="O216" s="35">
        <f>SUMIFS(TablaENTRADA[CANT],TablaENTRADA[SKU],TablaSTOCKINV[[#This Row],[SKU]])</f>
        <v>1</v>
      </c>
      <c r="P216" s="35">
        <f>SUMIFS(TablaSALIDA[CANT],TablaSALIDA[SKU],TablaSTOCKINV[[#This Row],[SKU]])</f>
        <v>0</v>
      </c>
      <c r="Q216" s="34">
        <f>_xlfn.XLOOKUP(TablaSTOCKINV[[#This Row],[SKU]],TablaINVENTARIO[SKU],TablaINVENTARIO[PRECIO])</f>
        <v>0</v>
      </c>
      <c r="R216" s="34">
        <f>TablaSTOCKINV[[#This Row],[P.UNITARIO]]*TablaSTOCKINV[[#This Row],[CANT. TOTAL]]</f>
        <v>0</v>
      </c>
      <c r="S216" s="44">
        <f>_xlfn.XLOOKUP(TablaSTOCKINV[[#This Row],[SKU]],TablaINVENTARIO[SKU],TablaINVENTARIO[FECHA INGRESO])</f>
        <v>46023</v>
      </c>
      <c r="T216" s="44">
        <f>_xlfn.XLOOKUP(TablaSTOCKINV[[#This Row],[SKU]],TablaENTRADA[SKU],TablaENTRADA[FECHA],,0,-1)</f>
        <v>46023</v>
      </c>
      <c r="U216" s="46" t="str">
        <f>IFERROR((_xlfn.XLOOKUP(TablaSTOCKINV[[#This Row],[SKU]],TablaSALIDA[SKU],TablaSALIDA[FECHA],,0,-1))," " )</f>
        <v xml:space="preserve"> </v>
      </c>
    </row>
    <row r="217" spans="1:21" x14ac:dyDescent="0.3">
      <c r="A217" s="27" t="s">
        <v>2524</v>
      </c>
      <c r="B217" s="32" t="str">
        <f>_xlfn.XLOOKUP(TablaSTOCKINV[[#This Row],[SKU]],TablaINVENTARIO[SKU],TablaINVENTARIO[DESCRIPCION])</f>
        <v>CPU</v>
      </c>
      <c r="C217" s="32" t="str">
        <f>_xlfn.XLOOKUP(TablaSTOCKINV[[#This Row],[SKU]],TablaINVENTARIO[SKU],TablaINVENTARIO[MARCA])</f>
        <v>N/A</v>
      </c>
      <c r="D217" s="33" t="str">
        <f>_xlfn.XLOOKUP(TablaSTOCKINV[[#This Row],[SKU]],TablaINVENTARIO[SKU],TablaINVENTARIO[CATEGORIA])</f>
        <v xml:space="preserve">INFORMATICA </v>
      </c>
      <c r="E217" s="33" t="str">
        <f>_xlfn.XLOOKUP(TablaSTOCKINV[[#This Row],[SKU]],TablaINVENTARIO[SKU],TablaINVENTARIO[SUBCATEGORIA])</f>
        <v xml:space="preserve">COMPUTADORA </v>
      </c>
      <c r="F217" s="33" t="str">
        <f>_xlfn.XLOOKUP(TablaSTOCKINV[[#This Row],[SKU]],TablaINVENTARIO[SKU],TablaINVENTARIO[ESTADO])</f>
        <v>DAÑADO</v>
      </c>
      <c r="G217" s="33" t="str">
        <f>_xlfn.XLOOKUP(TablaSTOCKINV[[#This Row],[SKU]],TablaINVENTARIO[SKU],TablaINVENTARIO[MEDIDA])</f>
        <v>UND</v>
      </c>
      <c r="H217" s="33" t="str">
        <f>_xlfn.XLOOKUP(TablaSTOCKINV[[#This Row],[SKU]],TablaINVENTARIO[SKU],TablaINVENTARIO[SERIAL])</f>
        <v>N/A</v>
      </c>
      <c r="I217" s="34" t="str">
        <f>_xlfn.XLOOKUP(TablaSTOCKINV[[#This Row],[SKU]],TablaINVENTARIO[SKU],TablaINVENTARIO[ALMACEN])</f>
        <v>ALMACEN PRINCIPAL</v>
      </c>
      <c r="J217" s="34" t="str">
        <f>_xlfn.XLOOKUP(TablaSTOCKINV[[#This Row],[SKU]],TablaINVENTARIO[SKU],TablaINVENTARIO[UBICACION])</f>
        <v>D4-3</v>
      </c>
      <c r="K217" s="34" t="str">
        <f>_xlfn.XLOOKUP(TablaSTOCKINV[[#This Row],[SKU]],TablaINVENTARIO[SKU],TablaINVENTARIO[DPTO RESPONSABLE])</f>
        <v>AIT</v>
      </c>
      <c r="L217" s="36">
        <f>_xlfn.XLOOKUP(TablaSTOCKINV[[#This Row],[SKU]],TablaINVENTARIO[SKU],TablaINVENTARIO[RANGO MIN])</f>
        <v>0</v>
      </c>
      <c r="M217" s="34" cm="1">
        <f t="array" ref="M217">_xlfn.IFS(TablaSTOCKINV[[#This Row],[CANT. TOTAL]]&lt;=0,1,TablaSTOCKINV[[#This Row],[CANT. TOTAL]]&lt;=TablaSTOCKINV[[#This Row],[MIN]],2,TablaSTOCKINV[[#This Row],[CANT. TOTAL]]&gt;TablaSTOCKINV[[#This Row],[MIN]],3)</f>
        <v>3</v>
      </c>
      <c r="N217" s="34">
        <f>TablaSTOCKINV[[#This Row],[ENTRADAS]]-TablaSTOCKINV[[#This Row],[SALIDAS]]</f>
        <v>4</v>
      </c>
      <c r="O217" s="35">
        <f>SUMIFS(TablaENTRADA[CANT],TablaENTRADA[SKU],TablaSTOCKINV[[#This Row],[SKU]])</f>
        <v>4</v>
      </c>
      <c r="P217" s="35">
        <f>SUMIFS(TablaSALIDA[CANT],TablaSALIDA[SKU],TablaSTOCKINV[[#This Row],[SKU]])</f>
        <v>0</v>
      </c>
      <c r="Q217" s="34">
        <f>_xlfn.XLOOKUP(TablaSTOCKINV[[#This Row],[SKU]],TablaINVENTARIO[SKU],TablaINVENTARIO[PRECIO])</f>
        <v>0</v>
      </c>
      <c r="R217" s="34">
        <f>TablaSTOCKINV[[#This Row],[P.UNITARIO]]*TablaSTOCKINV[[#This Row],[CANT. TOTAL]]</f>
        <v>0</v>
      </c>
      <c r="S217" s="44">
        <f>_xlfn.XLOOKUP(TablaSTOCKINV[[#This Row],[SKU]],TablaINVENTARIO[SKU],TablaINVENTARIO[FECHA INGRESO])</f>
        <v>46023</v>
      </c>
      <c r="T217" s="44">
        <f>_xlfn.XLOOKUP(TablaSTOCKINV[[#This Row],[SKU]],TablaENTRADA[SKU],TablaENTRADA[FECHA],,0,-1)</f>
        <v>46023</v>
      </c>
      <c r="U217" s="46" t="str">
        <f>IFERROR((_xlfn.XLOOKUP(TablaSTOCKINV[[#This Row],[SKU]],TablaSALIDA[SKU],TablaSALIDA[FECHA],,0,-1))," " )</f>
        <v xml:space="preserve"> </v>
      </c>
    </row>
    <row r="218" spans="1:21" x14ac:dyDescent="0.3">
      <c r="A218" s="27" t="s">
        <v>2527</v>
      </c>
      <c r="B218" s="32" t="str">
        <f>_xlfn.XLOOKUP(TablaSTOCKINV[[#This Row],[SKU]],TablaINVENTARIO[SKU],TablaINVENTARIO[DESCRIPCION])</f>
        <v>CPU</v>
      </c>
      <c r="C218" s="32" t="str">
        <f>_xlfn.XLOOKUP(TablaSTOCKINV[[#This Row],[SKU]],TablaINVENTARIO[SKU],TablaINVENTARIO[MARCA])</f>
        <v>ECOTREND</v>
      </c>
      <c r="D218" s="33" t="str">
        <f>_xlfn.XLOOKUP(TablaSTOCKINV[[#This Row],[SKU]],TablaINVENTARIO[SKU],TablaINVENTARIO[CATEGORIA])</f>
        <v xml:space="preserve">INFORMATICA </v>
      </c>
      <c r="E218" s="33" t="str">
        <f>_xlfn.XLOOKUP(TablaSTOCKINV[[#This Row],[SKU]],TablaINVENTARIO[SKU],TablaINVENTARIO[SUBCATEGORIA])</f>
        <v xml:space="preserve">COMPUTADORA </v>
      </c>
      <c r="F218" s="33" t="str">
        <f>_xlfn.XLOOKUP(TablaSTOCKINV[[#This Row],[SKU]],TablaINVENTARIO[SKU],TablaINVENTARIO[ESTADO])</f>
        <v>USADO</v>
      </c>
      <c r="G218" s="33" t="str">
        <f>_xlfn.XLOOKUP(TablaSTOCKINV[[#This Row],[SKU]],TablaINVENTARIO[SKU],TablaINVENTARIO[MEDIDA])</f>
        <v>UND</v>
      </c>
      <c r="H218" s="33">
        <f>_xlfn.XLOOKUP(TablaSTOCKINV[[#This Row],[SKU]],TablaINVENTARIO[SKU],TablaINVENTARIO[SERIAL])</f>
        <v>34696</v>
      </c>
      <c r="I218" s="34" t="str">
        <f>_xlfn.XLOOKUP(TablaSTOCKINV[[#This Row],[SKU]],TablaINVENTARIO[SKU],TablaINVENTARIO[ALMACEN])</f>
        <v>ALMACEN PRINCIPAL</v>
      </c>
      <c r="J218" s="34" t="str">
        <f>_xlfn.XLOOKUP(TablaSTOCKINV[[#This Row],[SKU]],TablaINVENTARIO[SKU],TablaINVENTARIO[UBICACION])</f>
        <v>D4-3</v>
      </c>
      <c r="K218" s="34" t="str">
        <f>_xlfn.XLOOKUP(TablaSTOCKINV[[#This Row],[SKU]],TablaINVENTARIO[SKU],TablaINVENTARIO[DPTO RESPONSABLE])</f>
        <v>AIT</v>
      </c>
      <c r="L218" s="36">
        <f>_xlfn.XLOOKUP(TablaSTOCKINV[[#This Row],[SKU]],TablaINVENTARIO[SKU],TablaINVENTARIO[RANGO MIN])</f>
        <v>0</v>
      </c>
      <c r="M218" s="34" cm="1">
        <f t="array" ref="M218">_xlfn.IFS(TablaSTOCKINV[[#This Row],[CANT. TOTAL]]&lt;=0,1,TablaSTOCKINV[[#This Row],[CANT. TOTAL]]&lt;=TablaSTOCKINV[[#This Row],[MIN]],2,TablaSTOCKINV[[#This Row],[CANT. TOTAL]]&gt;TablaSTOCKINV[[#This Row],[MIN]],3)</f>
        <v>3</v>
      </c>
      <c r="N218" s="34">
        <f>TablaSTOCKINV[[#This Row],[ENTRADAS]]-TablaSTOCKINV[[#This Row],[SALIDAS]]</f>
        <v>1</v>
      </c>
      <c r="O218" s="35">
        <f>SUMIFS(TablaENTRADA[CANT],TablaENTRADA[SKU],TablaSTOCKINV[[#This Row],[SKU]])</f>
        <v>1</v>
      </c>
      <c r="P218" s="35">
        <f>SUMIFS(TablaSALIDA[CANT],TablaSALIDA[SKU],TablaSTOCKINV[[#This Row],[SKU]])</f>
        <v>0</v>
      </c>
      <c r="Q218" s="34">
        <f>_xlfn.XLOOKUP(TablaSTOCKINV[[#This Row],[SKU]],TablaINVENTARIO[SKU],TablaINVENTARIO[PRECIO])</f>
        <v>0</v>
      </c>
      <c r="R218" s="34">
        <f>TablaSTOCKINV[[#This Row],[P.UNITARIO]]*TablaSTOCKINV[[#This Row],[CANT. TOTAL]]</f>
        <v>0</v>
      </c>
      <c r="S218" s="44">
        <f>_xlfn.XLOOKUP(TablaSTOCKINV[[#This Row],[SKU]],TablaINVENTARIO[SKU],TablaINVENTARIO[FECHA INGRESO])</f>
        <v>46023</v>
      </c>
      <c r="T218" s="44">
        <f>_xlfn.XLOOKUP(TablaSTOCKINV[[#This Row],[SKU]],TablaENTRADA[SKU],TablaENTRADA[FECHA],,0,-1)</f>
        <v>46023</v>
      </c>
      <c r="U218" s="46" t="str">
        <f>IFERROR((_xlfn.XLOOKUP(TablaSTOCKINV[[#This Row],[SKU]],TablaSALIDA[SKU],TablaSALIDA[FECHA],,0,-1))," " )</f>
        <v xml:space="preserve"> </v>
      </c>
    </row>
    <row r="219" spans="1:21" x14ac:dyDescent="0.3">
      <c r="A219" s="27" t="s">
        <v>2529</v>
      </c>
      <c r="B219" s="32" t="str">
        <f>_xlfn.XLOOKUP(TablaSTOCKINV[[#This Row],[SKU]],TablaINVENTARIO[SKU],TablaINVENTARIO[DESCRIPCION])</f>
        <v>CPU</v>
      </c>
      <c r="C219" s="32" t="str">
        <f>_xlfn.XLOOKUP(TablaSTOCKINV[[#This Row],[SKU]],TablaINVENTARIO[SKU],TablaINVENTARIO[MARCA])</f>
        <v>HP</v>
      </c>
      <c r="D219" s="33" t="str">
        <f>_xlfn.XLOOKUP(TablaSTOCKINV[[#This Row],[SKU]],TablaINVENTARIO[SKU],TablaINVENTARIO[CATEGORIA])</f>
        <v xml:space="preserve">INFORMATICA </v>
      </c>
      <c r="E219" s="33" t="str">
        <f>_xlfn.XLOOKUP(TablaSTOCKINV[[#This Row],[SKU]],TablaINVENTARIO[SKU],TablaINVENTARIO[SUBCATEGORIA])</f>
        <v xml:space="preserve">COMPUTADORA </v>
      </c>
      <c r="F219" s="33" t="str">
        <f>_xlfn.XLOOKUP(TablaSTOCKINV[[#This Row],[SKU]],TablaINVENTARIO[SKU],TablaINVENTARIO[ESTADO])</f>
        <v>USADO</v>
      </c>
      <c r="G219" s="33" t="str">
        <f>_xlfn.XLOOKUP(TablaSTOCKINV[[#This Row],[SKU]],TablaINVENTARIO[SKU],TablaINVENTARIO[MEDIDA])</f>
        <v>UND</v>
      </c>
      <c r="H219" s="33" t="str">
        <f>_xlfn.XLOOKUP(TablaSTOCKINV[[#This Row],[SKU]],TablaINVENTARIO[SKU],TablaINVENTARIO[SERIAL])</f>
        <v>MX23410007E</v>
      </c>
      <c r="I219" s="34" t="str">
        <f>_xlfn.XLOOKUP(TablaSTOCKINV[[#This Row],[SKU]],TablaINVENTARIO[SKU],TablaINVENTARIO[ALMACEN])</f>
        <v>ALMACEN PRINCIPAL</v>
      </c>
      <c r="J219" s="34" t="str">
        <f>_xlfn.XLOOKUP(TablaSTOCKINV[[#This Row],[SKU]],TablaINVENTARIO[SKU],TablaINVENTARIO[UBICACION])</f>
        <v>D4-3</v>
      </c>
      <c r="K219" s="34" t="str">
        <f>_xlfn.XLOOKUP(TablaSTOCKINV[[#This Row],[SKU]],TablaINVENTARIO[SKU],TablaINVENTARIO[DPTO RESPONSABLE])</f>
        <v>AIT</v>
      </c>
      <c r="L219" s="36">
        <f>_xlfn.XLOOKUP(TablaSTOCKINV[[#This Row],[SKU]],TablaINVENTARIO[SKU],TablaINVENTARIO[RANGO MIN])</f>
        <v>0</v>
      </c>
      <c r="M219" s="34" cm="1">
        <f t="array" ref="M219">_xlfn.IFS(TablaSTOCKINV[[#This Row],[CANT. TOTAL]]&lt;=0,1,TablaSTOCKINV[[#This Row],[CANT. TOTAL]]&lt;=TablaSTOCKINV[[#This Row],[MIN]],2,TablaSTOCKINV[[#This Row],[CANT. TOTAL]]&gt;TablaSTOCKINV[[#This Row],[MIN]],3)</f>
        <v>3</v>
      </c>
      <c r="N219" s="34">
        <f>TablaSTOCKINV[[#This Row],[ENTRADAS]]-TablaSTOCKINV[[#This Row],[SALIDAS]]</f>
        <v>1</v>
      </c>
      <c r="O219" s="35">
        <f>SUMIFS(TablaENTRADA[CANT],TablaENTRADA[SKU],TablaSTOCKINV[[#This Row],[SKU]])</f>
        <v>1</v>
      </c>
      <c r="P219" s="35">
        <f>SUMIFS(TablaSALIDA[CANT],TablaSALIDA[SKU],TablaSTOCKINV[[#This Row],[SKU]])</f>
        <v>0</v>
      </c>
      <c r="Q219" s="34">
        <f>_xlfn.XLOOKUP(TablaSTOCKINV[[#This Row],[SKU]],TablaINVENTARIO[SKU],TablaINVENTARIO[PRECIO])</f>
        <v>0</v>
      </c>
      <c r="R219" s="34">
        <f>TablaSTOCKINV[[#This Row],[P.UNITARIO]]*TablaSTOCKINV[[#This Row],[CANT. TOTAL]]</f>
        <v>0</v>
      </c>
      <c r="S219" s="44">
        <f>_xlfn.XLOOKUP(TablaSTOCKINV[[#This Row],[SKU]],TablaINVENTARIO[SKU],TablaINVENTARIO[FECHA INGRESO])</f>
        <v>46023</v>
      </c>
      <c r="T219" s="44">
        <f>_xlfn.XLOOKUP(TablaSTOCKINV[[#This Row],[SKU]],TablaENTRADA[SKU],TablaENTRADA[FECHA],,0,-1)</f>
        <v>46023</v>
      </c>
      <c r="U219" s="46" t="str">
        <f>IFERROR((_xlfn.XLOOKUP(TablaSTOCKINV[[#This Row],[SKU]],TablaSALIDA[SKU],TablaSALIDA[FECHA],,0,-1))," " )</f>
        <v xml:space="preserve"> </v>
      </c>
    </row>
    <row r="220" spans="1:21" x14ac:dyDescent="0.3">
      <c r="A220" s="27" t="s">
        <v>2531</v>
      </c>
      <c r="B220" s="32" t="str">
        <f>_xlfn.XLOOKUP(TablaSTOCKINV[[#This Row],[SKU]],TablaINVENTARIO[SKU],TablaINVENTARIO[DESCRIPCION])</f>
        <v>MONITOR MODELO: TFT185W80PS</v>
      </c>
      <c r="C220" s="32" t="str">
        <f>_xlfn.XLOOKUP(TablaSTOCKINV[[#This Row],[SKU]],TablaINVENTARIO[SKU],TablaINVENTARIO[MARCA])</f>
        <v>AOC</v>
      </c>
      <c r="D220" s="33" t="str">
        <f>_xlfn.XLOOKUP(TablaSTOCKINV[[#This Row],[SKU]],TablaINVENTARIO[SKU],TablaINVENTARIO[CATEGORIA])</f>
        <v xml:space="preserve">INFORMATICA </v>
      </c>
      <c r="E220" s="33" t="str">
        <f>_xlfn.XLOOKUP(TablaSTOCKINV[[#This Row],[SKU]],TablaINVENTARIO[SKU],TablaINVENTARIO[SUBCATEGORIA])</f>
        <v xml:space="preserve">COMPUTADORA </v>
      </c>
      <c r="F220" s="33" t="str">
        <f>_xlfn.XLOOKUP(TablaSTOCKINV[[#This Row],[SKU]],TablaINVENTARIO[SKU],TablaINVENTARIO[ESTADO])</f>
        <v>USADO</v>
      </c>
      <c r="G220" s="33" t="str">
        <f>_xlfn.XLOOKUP(TablaSTOCKINV[[#This Row],[SKU]],TablaINVENTARIO[SKU],TablaINVENTARIO[MEDIDA])</f>
        <v>UND</v>
      </c>
      <c r="H220" s="33" t="str">
        <f>_xlfn.XLOOKUP(TablaSTOCKINV[[#This Row],[SKU]],TablaINVENTARIO[SKU],TablaINVENTARIO[SERIAL])</f>
        <v>AGXA9HA087059</v>
      </c>
      <c r="I220" s="34" t="str">
        <f>_xlfn.XLOOKUP(TablaSTOCKINV[[#This Row],[SKU]],TablaINVENTARIO[SKU],TablaINVENTARIO[ALMACEN])</f>
        <v>ALMACEN PRINCIPAL</v>
      </c>
      <c r="J220" s="34" t="str">
        <f>_xlfn.XLOOKUP(TablaSTOCKINV[[#This Row],[SKU]],TablaINVENTARIO[SKU],TablaINVENTARIO[UBICACION])</f>
        <v>D4-2</v>
      </c>
      <c r="K220" s="34" t="str">
        <f>_xlfn.XLOOKUP(TablaSTOCKINV[[#This Row],[SKU]],TablaINVENTARIO[SKU],TablaINVENTARIO[DPTO RESPONSABLE])</f>
        <v>AIT</v>
      </c>
      <c r="L220" s="36">
        <f>_xlfn.XLOOKUP(TablaSTOCKINV[[#This Row],[SKU]],TablaINVENTARIO[SKU],TablaINVENTARIO[RANGO MIN])</f>
        <v>0</v>
      </c>
      <c r="M220" s="34" cm="1">
        <f t="array" ref="M220">_xlfn.IFS(TablaSTOCKINV[[#This Row],[CANT. TOTAL]]&lt;=0,1,TablaSTOCKINV[[#This Row],[CANT. TOTAL]]&lt;=TablaSTOCKINV[[#This Row],[MIN]],2,TablaSTOCKINV[[#This Row],[CANT. TOTAL]]&gt;TablaSTOCKINV[[#This Row],[MIN]],3)</f>
        <v>3</v>
      </c>
      <c r="N220" s="34">
        <f>TablaSTOCKINV[[#This Row],[ENTRADAS]]-TablaSTOCKINV[[#This Row],[SALIDAS]]</f>
        <v>1</v>
      </c>
      <c r="O220" s="35">
        <f>SUMIFS(TablaENTRADA[CANT],TablaENTRADA[SKU],TablaSTOCKINV[[#This Row],[SKU]])</f>
        <v>1</v>
      </c>
      <c r="P220" s="35">
        <f>SUMIFS(TablaSALIDA[CANT],TablaSALIDA[SKU],TablaSTOCKINV[[#This Row],[SKU]])</f>
        <v>0</v>
      </c>
      <c r="Q220" s="34">
        <f>_xlfn.XLOOKUP(TablaSTOCKINV[[#This Row],[SKU]],TablaINVENTARIO[SKU],TablaINVENTARIO[PRECIO])</f>
        <v>0</v>
      </c>
      <c r="R220" s="34">
        <f>TablaSTOCKINV[[#This Row],[P.UNITARIO]]*TablaSTOCKINV[[#This Row],[CANT. TOTAL]]</f>
        <v>0</v>
      </c>
      <c r="S220" s="44">
        <f>_xlfn.XLOOKUP(TablaSTOCKINV[[#This Row],[SKU]],TablaINVENTARIO[SKU],TablaINVENTARIO[FECHA INGRESO])</f>
        <v>46023</v>
      </c>
      <c r="T220" s="44">
        <f>_xlfn.XLOOKUP(TablaSTOCKINV[[#This Row],[SKU]],TablaENTRADA[SKU],TablaENTRADA[FECHA],,0,-1)</f>
        <v>46023</v>
      </c>
      <c r="U220" s="46" t="str">
        <f>IFERROR((_xlfn.XLOOKUP(TablaSTOCKINV[[#This Row],[SKU]],TablaSALIDA[SKU],TablaSALIDA[FECHA],,0,-1))," " )</f>
        <v xml:space="preserve"> </v>
      </c>
    </row>
    <row r="221" spans="1:21" x14ac:dyDescent="0.3">
      <c r="A221" s="27" t="s">
        <v>2536</v>
      </c>
      <c r="B221" s="32" t="str">
        <f>_xlfn.XLOOKUP(TablaSTOCKINV[[#This Row],[SKU]],TablaINVENTARIO[SKU],TablaINVENTARIO[DESCRIPCION])</f>
        <v>MONITOR MODELO: 185LM00013</v>
      </c>
      <c r="C221" s="32" t="str">
        <f>_xlfn.XLOOKUP(TablaSTOCKINV[[#This Row],[SKU]],TablaINVENTARIO[SKU],TablaINVENTARIO[MARCA])</f>
        <v>AOC</v>
      </c>
      <c r="D221" s="33" t="str">
        <f>_xlfn.XLOOKUP(TablaSTOCKINV[[#This Row],[SKU]],TablaINVENTARIO[SKU],TablaINVENTARIO[CATEGORIA])</f>
        <v xml:space="preserve">INFORMATICA </v>
      </c>
      <c r="E221" s="33" t="str">
        <f>_xlfn.XLOOKUP(TablaSTOCKINV[[#This Row],[SKU]],TablaINVENTARIO[SKU],TablaINVENTARIO[SUBCATEGORIA])</f>
        <v xml:space="preserve">COMPUTADORA </v>
      </c>
      <c r="F221" s="33" t="str">
        <f>_xlfn.XLOOKUP(TablaSTOCKINV[[#This Row],[SKU]],TablaINVENTARIO[SKU],TablaINVENTARIO[ESTADO])</f>
        <v>USADO</v>
      </c>
      <c r="G221" s="33" t="str">
        <f>_xlfn.XLOOKUP(TablaSTOCKINV[[#This Row],[SKU]],TablaINVENTARIO[SKU],TablaINVENTARIO[MEDIDA])</f>
        <v>UND</v>
      </c>
      <c r="H221" s="33" t="str">
        <f>_xlfn.XLOOKUP(TablaSTOCKINV[[#This Row],[SKU]],TablaINVENTARIO[SKU],TablaINVENTARIO[SERIAL])</f>
        <v xml:space="preserve">DYOC9JA001772 </v>
      </c>
      <c r="I221" s="34" t="str">
        <f>_xlfn.XLOOKUP(TablaSTOCKINV[[#This Row],[SKU]],TablaINVENTARIO[SKU],TablaINVENTARIO[ALMACEN])</f>
        <v>ALMACEN PRINCIPAL</v>
      </c>
      <c r="J221" s="34" t="str">
        <f>_xlfn.XLOOKUP(TablaSTOCKINV[[#This Row],[SKU]],TablaINVENTARIO[SKU],TablaINVENTARIO[UBICACION])</f>
        <v>D4-2</v>
      </c>
      <c r="K221" s="34" t="str">
        <f>_xlfn.XLOOKUP(TablaSTOCKINV[[#This Row],[SKU]],TablaINVENTARIO[SKU],TablaINVENTARIO[DPTO RESPONSABLE])</f>
        <v>AIT</v>
      </c>
      <c r="L221" s="36">
        <f>_xlfn.XLOOKUP(TablaSTOCKINV[[#This Row],[SKU]],TablaINVENTARIO[SKU],TablaINVENTARIO[RANGO MIN])</f>
        <v>0</v>
      </c>
      <c r="M221" s="34" cm="1">
        <f t="array" ref="M221">_xlfn.IFS(TablaSTOCKINV[[#This Row],[CANT. TOTAL]]&lt;=0,1,TablaSTOCKINV[[#This Row],[CANT. TOTAL]]&lt;=TablaSTOCKINV[[#This Row],[MIN]],2,TablaSTOCKINV[[#This Row],[CANT. TOTAL]]&gt;TablaSTOCKINV[[#This Row],[MIN]],3)</f>
        <v>3</v>
      </c>
      <c r="N221" s="34">
        <f>TablaSTOCKINV[[#This Row],[ENTRADAS]]-TablaSTOCKINV[[#This Row],[SALIDAS]]</f>
        <v>1</v>
      </c>
      <c r="O221" s="35">
        <f>SUMIFS(TablaENTRADA[CANT],TablaENTRADA[SKU],TablaSTOCKINV[[#This Row],[SKU]])</f>
        <v>1</v>
      </c>
      <c r="P221" s="35">
        <f>SUMIFS(TablaSALIDA[CANT],TablaSALIDA[SKU],TablaSTOCKINV[[#This Row],[SKU]])</f>
        <v>0</v>
      </c>
      <c r="Q221" s="34">
        <f>_xlfn.XLOOKUP(TablaSTOCKINV[[#This Row],[SKU]],TablaINVENTARIO[SKU],TablaINVENTARIO[PRECIO])</f>
        <v>0</v>
      </c>
      <c r="R221" s="34">
        <f>TablaSTOCKINV[[#This Row],[P.UNITARIO]]*TablaSTOCKINV[[#This Row],[CANT. TOTAL]]</f>
        <v>0</v>
      </c>
      <c r="S221" s="44">
        <f>_xlfn.XLOOKUP(TablaSTOCKINV[[#This Row],[SKU]],TablaINVENTARIO[SKU],TablaINVENTARIO[FECHA INGRESO])</f>
        <v>46023</v>
      </c>
      <c r="T221" s="44">
        <f>_xlfn.XLOOKUP(TablaSTOCKINV[[#This Row],[SKU]],TablaENTRADA[SKU],TablaENTRADA[FECHA],,0,-1)</f>
        <v>46023</v>
      </c>
      <c r="U221" s="46" t="str">
        <f>IFERROR((_xlfn.XLOOKUP(TablaSTOCKINV[[#This Row],[SKU]],TablaSALIDA[SKU],TablaSALIDA[FECHA],,0,-1))," " )</f>
        <v xml:space="preserve"> </v>
      </c>
    </row>
    <row r="222" spans="1:21" x14ac:dyDescent="0.3">
      <c r="A222" s="27" t="s">
        <v>2539</v>
      </c>
      <c r="B222" s="32" t="str">
        <f>_xlfn.XLOOKUP(TablaSTOCKINV[[#This Row],[SKU]],TablaINVENTARIO[SKU],TablaINVENTARIO[DESCRIPCION])</f>
        <v>MONITOR MODELO: 185LM00013</v>
      </c>
      <c r="C222" s="32" t="str">
        <f>_xlfn.XLOOKUP(TablaSTOCKINV[[#This Row],[SKU]],TablaINVENTARIO[SKU],TablaINVENTARIO[MARCA])</f>
        <v>AOC</v>
      </c>
      <c r="D222" s="33" t="str">
        <f>_xlfn.XLOOKUP(TablaSTOCKINV[[#This Row],[SKU]],TablaINVENTARIO[SKU],TablaINVENTARIO[CATEGORIA])</f>
        <v xml:space="preserve">INFORMATICA </v>
      </c>
      <c r="E222" s="33" t="str">
        <f>_xlfn.XLOOKUP(TablaSTOCKINV[[#This Row],[SKU]],TablaINVENTARIO[SKU],TablaINVENTARIO[SUBCATEGORIA])</f>
        <v xml:space="preserve">COMPUTADORA </v>
      </c>
      <c r="F222" s="33" t="str">
        <f>_xlfn.XLOOKUP(TablaSTOCKINV[[#This Row],[SKU]],TablaINVENTARIO[SKU],TablaINVENTARIO[ESTADO])</f>
        <v>USADO</v>
      </c>
      <c r="G222" s="33" t="str">
        <f>_xlfn.XLOOKUP(TablaSTOCKINV[[#This Row],[SKU]],TablaINVENTARIO[SKU],TablaINVENTARIO[MEDIDA])</f>
        <v>UND</v>
      </c>
      <c r="H222" s="33" t="str">
        <f>_xlfn.XLOOKUP(TablaSTOCKINV[[#This Row],[SKU]],TablaINVENTARIO[SKU],TablaINVENTARIO[SERIAL])</f>
        <v>978B4BA004246</v>
      </c>
      <c r="I222" s="34" t="str">
        <f>_xlfn.XLOOKUP(TablaSTOCKINV[[#This Row],[SKU]],TablaINVENTARIO[SKU],TablaINVENTARIO[ALMACEN])</f>
        <v>ALMACEN PRINCIPAL</v>
      </c>
      <c r="J222" s="34" t="str">
        <f>_xlfn.XLOOKUP(TablaSTOCKINV[[#This Row],[SKU]],TablaINVENTARIO[SKU],TablaINVENTARIO[UBICACION])</f>
        <v>D4-2</v>
      </c>
      <c r="K222" s="34" t="str">
        <f>_xlfn.XLOOKUP(TablaSTOCKINV[[#This Row],[SKU]],TablaINVENTARIO[SKU],TablaINVENTARIO[DPTO RESPONSABLE])</f>
        <v>AIT</v>
      </c>
      <c r="L222" s="36">
        <f>_xlfn.XLOOKUP(TablaSTOCKINV[[#This Row],[SKU]],TablaINVENTARIO[SKU],TablaINVENTARIO[RANGO MIN])</f>
        <v>0</v>
      </c>
      <c r="M222" s="34" cm="1">
        <f t="array" ref="M222">_xlfn.IFS(TablaSTOCKINV[[#This Row],[CANT. TOTAL]]&lt;=0,1,TablaSTOCKINV[[#This Row],[CANT. TOTAL]]&lt;=TablaSTOCKINV[[#This Row],[MIN]],2,TablaSTOCKINV[[#This Row],[CANT. TOTAL]]&gt;TablaSTOCKINV[[#This Row],[MIN]],3)</f>
        <v>3</v>
      </c>
      <c r="N222" s="34">
        <f>TablaSTOCKINV[[#This Row],[ENTRADAS]]-TablaSTOCKINV[[#This Row],[SALIDAS]]</f>
        <v>1</v>
      </c>
      <c r="O222" s="35">
        <f>SUMIFS(TablaENTRADA[CANT],TablaENTRADA[SKU],TablaSTOCKINV[[#This Row],[SKU]])</f>
        <v>1</v>
      </c>
      <c r="P222" s="35">
        <f>SUMIFS(TablaSALIDA[CANT],TablaSALIDA[SKU],TablaSTOCKINV[[#This Row],[SKU]])</f>
        <v>0</v>
      </c>
      <c r="Q222" s="34">
        <f>_xlfn.XLOOKUP(TablaSTOCKINV[[#This Row],[SKU]],TablaINVENTARIO[SKU],TablaINVENTARIO[PRECIO])</f>
        <v>0</v>
      </c>
      <c r="R222" s="34">
        <f>TablaSTOCKINV[[#This Row],[P.UNITARIO]]*TablaSTOCKINV[[#This Row],[CANT. TOTAL]]</f>
        <v>0</v>
      </c>
      <c r="S222" s="44">
        <f>_xlfn.XLOOKUP(TablaSTOCKINV[[#This Row],[SKU]],TablaINVENTARIO[SKU],TablaINVENTARIO[FECHA INGRESO])</f>
        <v>46023</v>
      </c>
      <c r="T222" s="44">
        <f>_xlfn.XLOOKUP(TablaSTOCKINV[[#This Row],[SKU]],TablaENTRADA[SKU],TablaENTRADA[FECHA],,0,-1)</f>
        <v>46023</v>
      </c>
      <c r="U222" s="46" t="str">
        <f>IFERROR((_xlfn.XLOOKUP(TablaSTOCKINV[[#This Row],[SKU]],TablaSALIDA[SKU],TablaSALIDA[FECHA],,0,-1))," " )</f>
        <v xml:space="preserve"> </v>
      </c>
    </row>
    <row r="223" spans="1:21" x14ac:dyDescent="0.3">
      <c r="A223" s="27" t="s">
        <v>2541</v>
      </c>
      <c r="B223" s="32" t="str">
        <f>_xlfn.XLOOKUP(TablaSTOCKINV[[#This Row],[SKU]],TablaINVENTARIO[SKU],TablaINVENTARIO[DESCRIPCION])</f>
        <v>LAPTOP MODELO: CQ45-800LA</v>
      </c>
      <c r="C223" s="32" t="str">
        <f>_xlfn.XLOOKUP(TablaSTOCKINV[[#This Row],[SKU]],TablaINVENTARIO[SKU],TablaINVENTARIO[MARCA])</f>
        <v xml:space="preserve">COMPAQ </v>
      </c>
      <c r="D223" s="33" t="str">
        <f>_xlfn.XLOOKUP(TablaSTOCKINV[[#This Row],[SKU]],TablaINVENTARIO[SKU],TablaINVENTARIO[CATEGORIA])</f>
        <v xml:space="preserve">INFORMATICA </v>
      </c>
      <c r="E223" s="33" t="str">
        <f>_xlfn.XLOOKUP(TablaSTOCKINV[[#This Row],[SKU]],TablaINVENTARIO[SKU],TablaINVENTARIO[SUBCATEGORIA])</f>
        <v xml:space="preserve">COMPUTADORA </v>
      </c>
      <c r="F223" s="33" t="str">
        <f>_xlfn.XLOOKUP(TablaSTOCKINV[[#This Row],[SKU]],TablaINVENTARIO[SKU],TablaINVENTARIO[ESTADO])</f>
        <v>DAÑADO</v>
      </c>
      <c r="G223" s="33" t="str">
        <f>_xlfn.XLOOKUP(TablaSTOCKINV[[#This Row],[SKU]],TablaINVENTARIO[SKU],TablaINVENTARIO[MEDIDA])</f>
        <v>UND</v>
      </c>
      <c r="H223" s="33" t="str">
        <f>_xlfn.XLOOKUP(TablaSTOCKINV[[#This Row],[SKU]],TablaINVENTARIO[SKU],TablaINVENTARIO[SERIAL])</f>
        <v>5CG3131MDM</v>
      </c>
      <c r="I223" s="34" t="str">
        <f>_xlfn.XLOOKUP(TablaSTOCKINV[[#This Row],[SKU]],TablaINVENTARIO[SKU],TablaINVENTARIO[ALMACEN])</f>
        <v>ALMACEN PRINCIPAL</v>
      </c>
      <c r="J223" s="34" t="str">
        <f>_xlfn.XLOOKUP(TablaSTOCKINV[[#This Row],[SKU]],TablaINVENTARIO[SKU],TablaINVENTARIO[UBICACION])</f>
        <v>D4-2</v>
      </c>
      <c r="K223" s="34" t="str">
        <f>_xlfn.XLOOKUP(TablaSTOCKINV[[#This Row],[SKU]],TablaINVENTARIO[SKU],TablaINVENTARIO[DPTO RESPONSABLE])</f>
        <v>AIT</v>
      </c>
      <c r="L223" s="36">
        <f>_xlfn.XLOOKUP(TablaSTOCKINV[[#This Row],[SKU]],TablaINVENTARIO[SKU],TablaINVENTARIO[RANGO MIN])</f>
        <v>0</v>
      </c>
      <c r="M223" s="34" cm="1">
        <f t="array" ref="M223">_xlfn.IFS(TablaSTOCKINV[[#This Row],[CANT. TOTAL]]&lt;=0,1,TablaSTOCKINV[[#This Row],[CANT. TOTAL]]&lt;=TablaSTOCKINV[[#This Row],[MIN]],2,TablaSTOCKINV[[#This Row],[CANT. TOTAL]]&gt;TablaSTOCKINV[[#This Row],[MIN]],3)</f>
        <v>3</v>
      </c>
      <c r="N223" s="34">
        <f>TablaSTOCKINV[[#This Row],[ENTRADAS]]-TablaSTOCKINV[[#This Row],[SALIDAS]]</f>
        <v>1</v>
      </c>
      <c r="O223" s="35">
        <f>SUMIFS(TablaENTRADA[CANT],TablaENTRADA[SKU],TablaSTOCKINV[[#This Row],[SKU]])</f>
        <v>1</v>
      </c>
      <c r="P223" s="35">
        <f>SUMIFS(TablaSALIDA[CANT],TablaSALIDA[SKU],TablaSTOCKINV[[#This Row],[SKU]])</f>
        <v>0</v>
      </c>
      <c r="Q223" s="34">
        <f>_xlfn.XLOOKUP(TablaSTOCKINV[[#This Row],[SKU]],TablaINVENTARIO[SKU],TablaINVENTARIO[PRECIO])</f>
        <v>0</v>
      </c>
      <c r="R223" s="34">
        <f>TablaSTOCKINV[[#This Row],[P.UNITARIO]]*TablaSTOCKINV[[#This Row],[CANT. TOTAL]]</f>
        <v>0</v>
      </c>
      <c r="S223" s="44">
        <f>_xlfn.XLOOKUP(TablaSTOCKINV[[#This Row],[SKU]],TablaINVENTARIO[SKU],TablaINVENTARIO[FECHA INGRESO])</f>
        <v>46023</v>
      </c>
      <c r="T223" s="44">
        <f>_xlfn.XLOOKUP(TablaSTOCKINV[[#This Row],[SKU]],TablaENTRADA[SKU],TablaENTRADA[FECHA],,0,-1)</f>
        <v>46023</v>
      </c>
      <c r="U223" s="46" t="str">
        <f>IFERROR((_xlfn.XLOOKUP(TablaSTOCKINV[[#This Row],[SKU]],TablaSALIDA[SKU],TablaSALIDA[FECHA],,0,-1))," " )</f>
        <v xml:space="preserve"> </v>
      </c>
    </row>
    <row r="224" spans="1:21" x14ac:dyDescent="0.3">
      <c r="A224" s="27" t="s">
        <v>2545</v>
      </c>
      <c r="B224" s="32" t="str">
        <f>_xlfn.XLOOKUP(TablaSTOCKINV[[#This Row],[SKU]],TablaINVENTARIO[SKU],TablaINVENTARIO[DESCRIPCION])</f>
        <v>TECLADO MODELO: 1366</v>
      </c>
      <c r="C224" s="32" t="str">
        <f>_xlfn.XLOOKUP(TablaSTOCKINV[[#This Row],[SKU]],TablaINVENTARIO[SKU],TablaINVENTARIO[MARCA])</f>
        <v>MICROSOFT</v>
      </c>
      <c r="D224" s="33" t="str">
        <f>_xlfn.XLOOKUP(TablaSTOCKINV[[#This Row],[SKU]],TablaINVENTARIO[SKU],TablaINVENTARIO[CATEGORIA])</f>
        <v xml:space="preserve">INFORMATICA </v>
      </c>
      <c r="E224" s="33" t="str">
        <f>_xlfn.XLOOKUP(TablaSTOCKINV[[#This Row],[SKU]],TablaINVENTARIO[SKU],TablaINVENTARIO[SUBCATEGORIA])</f>
        <v>PERIFERICOS</v>
      </c>
      <c r="F224" s="33" t="str">
        <f>_xlfn.XLOOKUP(TablaSTOCKINV[[#This Row],[SKU]],TablaINVENTARIO[SKU],TablaINVENTARIO[ESTADO])</f>
        <v>USADO</v>
      </c>
      <c r="G224" s="33" t="str">
        <f>_xlfn.XLOOKUP(TablaSTOCKINV[[#This Row],[SKU]],TablaINVENTARIO[SKU],TablaINVENTARIO[MEDIDA])</f>
        <v>UND</v>
      </c>
      <c r="H224" s="33">
        <f>_xlfn.XLOOKUP(TablaSTOCKINV[[#This Row],[SKU]],TablaINVENTARIO[SKU],TablaINVENTARIO[SERIAL])</f>
        <v>65806352201</v>
      </c>
      <c r="I224" s="34" t="str">
        <f>_xlfn.XLOOKUP(TablaSTOCKINV[[#This Row],[SKU]],TablaINVENTARIO[SKU],TablaINVENTARIO[ALMACEN])</f>
        <v>ALMACEN PRINCIPAL</v>
      </c>
      <c r="J224" s="34" t="str">
        <f>_xlfn.XLOOKUP(TablaSTOCKINV[[#This Row],[SKU]],TablaINVENTARIO[SKU],TablaINVENTARIO[UBICACION])</f>
        <v>D4-1</v>
      </c>
      <c r="K224" s="34" t="str">
        <f>_xlfn.XLOOKUP(TablaSTOCKINV[[#This Row],[SKU]],TablaINVENTARIO[SKU],TablaINVENTARIO[DPTO RESPONSABLE])</f>
        <v>AIT</v>
      </c>
      <c r="L224" s="36">
        <f>_xlfn.XLOOKUP(TablaSTOCKINV[[#This Row],[SKU]],TablaINVENTARIO[SKU],TablaINVENTARIO[RANGO MIN])</f>
        <v>0</v>
      </c>
      <c r="M224" s="34" cm="1">
        <f t="array" ref="M224">_xlfn.IFS(TablaSTOCKINV[[#This Row],[CANT. TOTAL]]&lt;=0,1,TablaSTOCKINV[[#This Row],[CANT. TOTAL]]&lt;=TablaSTOCKINV[[#This Row],[MIN]],2,TablaSTOCKINV[[#This Row],[CANT. TOTAL]]&gt;TablaSTOCKINV[[#This Row],[MIN]],3)</f>
        <v>3</v>
      </c>
      <c r="N224" s="34">
        <f>TablaSTOCKINV[[#This Row],[ENTRADAS]]-TablaSTOCKINV[[#This Row],[SALIDAS]]</f>
        <v>1</v>
      </c>
      <c r="O224" s="35">
        <f>SUMIFS(TablaENTRADA[CANT],TablaENTRADA[SKU],TablaSTOCKINV[[#This Row],[SKU]])</f>
        <v>1</v>
      </c>
      <c r="P224" s="35">
        <f>SUMIFS(TablaSALIDA[CANT],TablaSALIDA[SKU],TablaSTOCKINV[[#This Row],[SKU]])</f>
        <v>0</v>
      </c>
      <c r="Q224" s="34">
        <f>_xlfn.XLOOKUP(TablaSTOCKINV[[#This Row],[SKU]],TablaINVENTARIO[SKU],TablaINVENTARIO[PRECIO])</f>
        <v>0</v>
      </c>
      <c r="R224" s="34">
        <f>TablaSTOCKINV[[#This Row],[P.UNITARIO]]*TablaSTOCKINV[[#This Row],[CANT. TOTAL]]</f>
        <v>0</v>
      </c>
      <c r="S224" s="44">
        <f>_xlfn.XLOOKUP(TablaSTOCKINV[[#This Row],[SKU]],TablaINVENTARIO[SKU],TablaINVENTARIO[FECHA INGRESO])</f>
        <v>46023</v>
      </c>
      <c r="T224" s="44">
        <f>_xlfn.XLOOKUP(TablaSTOCKINV[[#This Row],[SKU]],TablaENTRADA[SKU],TablaENTRADA[FECHA],,0,-1)</f>
        <v>46023</v>
      </c>
      <c r="U224" s="46" t="str">
        <f>IFERROR((_xlfn.XLOOKUP(TablaSTOCKINV[[#This Row],[SKU]],TablaSALIDA[SKU],TablaSALIDA[FECHA],,0,-1))," " )</f>
        <v xml:space="preserve"> </v>
      </c>
    </row>
    <row r="225" spans="1:21" x14ac:dyDescent="0.3">
      <c r="A225" s="27" t="s">
        <v>2549</v>
      </c>
      <c r="B225" s="32" t="str">
        <f>_xlfn.XLOOKUP(TablaSTOCKINV[[#This Row],[SKU]],TablaINVENTARIO[SKU],TablaINVENTARIO[DESCRIPCION])</f>
        <v>TECLADO</v>
      </c>
      <c r="C225" s="32" t="str">
        <f>_xlfn.XLOOKUP(TablaSTOCKINV[[#This Row],[SKU]],TablaINVENTARIO[SKU],TablaINVENTARIO[MARCA])</f>
        <v>OMEGA</v>
      </c>
      <c r="D225" s="33" t="str">
        <f>_xlfn.XLOOKUP(TablaSTOCKINV[[#This Row],[SKU]],TablaINVENTARIO[SKU],TablaINVENTARIO[CATEGORIA])</f>
        <v xml:space="preserve">INFORMATICA </v>
      </c>
      <c r="E225" s="33" t="str">
        <f>_xlfn.XLOOKUP(TablaSTOCKINV[[#This Row],[SKU]],TablaINVENTARIO[SKU],TablaINVENTARIO[SUBCATEGORIA])</f>
        <v>PERIFERICOS</v>
      </c>
      <c r="F225" s="33" t="str">
        <f>_xlfn.XLOOKUP(TablaSTOCKINV[[#This Row],[SKU]],TablaINVENTARIO[SKU],TablaINVENTARIO[ESTADO])</f>
        <v>USADO</v>
      </c>
      <c r="G225" s="33" t="str">
        <f>_xlfn.XLOOKUP(TablaSTOCKINV[[#This Row],[SKU]],TablaINVENTARIO[SKU],TablaINVENTARIO[MEDIDA])</f>
        <v>UND</v>
      </c>
      <c r="H225" s="33">
        <f>_xlfn.XLOOKUP(TablaSTOCKINV[[#This Row],[SKU]],TablaINVENTARIO[SKU],TablaINVENTARIO[SERIAL])</f>
        <v>20104400747</v>
      </c>
      <c r="I225" s="34" t="str">
        <f>_xlfn.XLOOKUP(TablaSTOCKINV[[#This Row],[SKU]],TablaINVENTARIO[SKU],TablaINVENTARIO[ALMACEN])</f>
        <v>ALMACEN PRINCIPAL</v>
      </c>
      <c r="J225" s="34" t="str">
        <f>_xlfn.XLOOKUP(TablaSTOCKINV[[#This Row],[SKU]],TablaINVENTARIO[SKU],TablaINVENTARIO[UBICACION])</f>
        <v>D4-1</v>
      </c>
      <c r="K225" s="34" t="str">
        <f>_xlfn.XLOOKUP(TablaSTOCKINV[[#This Row],[SKU]],TablaINVENTARIO[SKU],TablaINVENTARIO[DPTO RESPONSABLE])</f>
        <v>AIT</v>
      </c>
      <c r="L225" s="36">
        <f>_xlfn.XLOOKUP(TablaSTOCKINV[[#This Row],[SKU]],TablaINVENTARIO[SKU],TablaINVENTARIO[RANGO MIN])</f>
        <v>0</v>
      </c>
      <c r="M225" s="34" cm="1">
        <f t="array" ref="M225">_xlfn.IFS(TablaSTOCKINV[[#This Row],[CANT. TOTAL]]&lt;=0,1,TablaSTOCKINV[[#This Row],[CANT. TOTAL]]&lt;=TablaSTOCKINV[[#This Row],[MIN]],2,TablaSTOCKINV[[#This Row],[CANT. TOTAL]]&gt;TablaSTOCKINV[[#This Row],[MIN]],3)</f>
        <v>3</v>
      </c>
      <c r="N225" s="34">
        <f>TablaSTOCKINV[[#This Row],[ENTRADAS]]-TablaSTOCKINV[[#This Row],[SALIDAS]]</f>
        <v>1</v>
      </c>
      <c r="O225" s="35">
        <f>SUMIFS(TablaENTRADA[CANT],TablaENTRADA[SKU],TablaSTOCKINV[[#This Row],[SKU]])</f>
        <v>1</v>
      </c>
      <c r="P225" s="35">
        <f>SUMIFS(TablaSALIDA[CANT],TablaSALIDA[SKU],TablaSTOCKINV[[#This Row],[SKU]])</f>
        <v>0</v>
      </c>
      <c r="Q225" s="34">
        <f>_xlfn.XLOOKUP(TablaSTOCKINV[[#This Row],[SKU]],TablaINVENTARIO[SKU],TablaINVENTARIO[PRECIO])</f>
        <v>0</v>
      </c>
      <c r="R225" s="34">
        <f>TablaSTOCKINV[[#This Row],[P.UNITARIO]]*TablaSTOCKINV[[#This Row],[CANT. TOTAL]]</f>
        <v>0</v>
      </c>
      <c r="S225" s="44">
        <f>_xlfn.XLOOKUP(TablaSTOCKINV[[#This Row],[SKU]],TablaINVENTARIO[SKU],TablaINVENTARIO[FECHA INGRESO])</f>
        <v>46023</v>
      </c>
      <c r="T225" s="44">
        <f>_xlfn.XLOOKUP(TablaSTOCKINV[[#This Row],[SKU]],TablaENTRADA[SKU],TablaENTRADA[FECHA],,0,-1)</f>
        <v>46023</v>
      </c>
      <c r="U225" s="46" t="str">
        <f>IFERROR((_xlfn.XLOOKUP(TablaSTOCKINV[[#This Row],[SKU]],TablaSALIDA[SKU],TablaSALIDA[FECHA],,0,-1))," " )</f>
        <v xml:space="preserve"> </v>
      </c>
    </row>
    <row r="226" spans="1:21" x14ac:dyDescent="0.3">
      <c r="A226" s="27" t="s">
        <v>2552</v>
      </c>
      <c r="B226" s="32" t="str">
        <f>_xlfn.XLOOKUP(TablaSTOCKINV[[#This Row],[SKU]],TablaINVENTARIO[SKU],TablaINVENTARIO[DESCRIPCION])</f>
        <v>TECLADO MODELO: KB-0138</v>
      </c>
      <c r="C226" s="32" t="str">
        <f>_xlfn.XLOOKUP(TablaSTOCKINV[[#This Row],[SKU]],TablaINVENTARIO[SKU],TablaINVENTARIO[MARCA])</f>
        <v>GENIUS</v>
      </c>
      <c r="D226" s="33" t="str">
        <f>_xlfn.XLOOKUP(TablaSTOCKINV[[#This Row],[SKU]],TablaINVENTARIO[SKU],TablaINVENTARIO[CATEGORIA])</f>
        <v xml:space="preserve">INFORMATICA </v>
      </c>
      <c r="E226" s="33" t="str">
        <f>_xlfn.XLOOKUP(TablaSTOCKINV[[#This Row],[SKU]],TablaINVENTARIO[SKU],TablaINVENTARIO[SUBCATEGORIA])</f>
        <v>PERIFERICOS</v>
      </c>
      <c r="F226" s="33" t="str">
        <f>_xlfn.XLOOKUP(TablaSTOCKINV[[#This Row],[SKU]],TablaINVENTARIO[SKU],TablaINVENTARIO[ESTADO])</f>
        <v>USADO</v>
      </c>
      <c r="G226" s="33" t="str">
        <f>_xlfn.XLOOKUP(TablaSTOCKINV[[#This Row],[SKU]],TablaINVENTARIO[SKU],TablaINVENTARIO[MEDIDA])</f>
        <v>UND</v>
      </c>
      <c r="H226" s="33" t="str">
        <f>_xlfn.XLOOKUP(TablaSTOCKINV[[#This Row],[SKU]],TablaINVENTARIO[SKU],TablaINVENTARIO[SERIAL])</f>
        <v>ZCE1A3201882</v>
      </c>
      <c r="I226" s="34" t="str">
        <f>_xlfn.XLOOKUP(TablaSTOCKINV[[#This Row],[SKU]],TablaINVENTARIO[SKU],TablaINVENTARIO[ALMACEN])</f>
        <v>ALMACEN PRINCIPAL</v>
      </c>
      <c r="J226" s="34" t="str">
        <f>_xlfn.XLOOKUP(TablaSTOCKINV[[#This Row],[SKU]],TablaINVENTARIO[SKU],TablaINVENTARIO[UBICACION])</f>
        <v>D4-1</v>
      </c>
      <c r="K226" s="34" t="str">
        <f>_xlfn.XLOOKUP(TablaSTOCKINV[[#This Row],[SKU]],TablaINVENTARIO[SKU],TablaINVENTARIO[DPTO RESPONSABLE])</f>
        <v>AIT</v>
      </c>
      <c r="L226" s="36">
        <f>_xlfn.XLOOKUP(TablaSTOCKINV[[#This Row],[SKU]],TablaINVENTARIO[SKU],TablaINVENTARIO[RANGO MIN])</f>
        <v>0</v>
      </c>
      <c r="M226" s="34" cm="1">
        <f t="array" ref="M226">_xlfn.IFS(TablaSTOCKINV[[#This Row],[CANT. TOTAL]]&lt;=0,1,TablaSTOCKINV[[#This Row],[CANT. TOTAL]]&lt;=TablaSTOCKINV[[#This Row],[MIN]],2,TablaSTOCKINV[[#This Row],[CANT. TOTAL]]&gt;TablaSTOCKINV[[#This Row],[MIN]],3)</f>
        <v>3</v>
      </c>
      <c r="N226" s="34">
        <f>TablaSTOCKINV[[#This Row],[ENTRADAS]]-TablaSTOCKINV[[#This Row],[SALIDAS]]</f>
        <v>1</v>
      </c>
      <c r="O226" s="35">
        <f>SUMIFS(TablaENTRADA[CANT],TablaENTRADA[SKU],TablaSTOCKINV[[#This Row],[SKU]])</f>
        <v>1</v>
      </c>
      <c r="P226" s="35">
        <f>SUMIFS(TablaSALIDA[CANT],TablaSALIDA[SKU],TablaSTOCKINV[[#This Row],[SKU]])</f>
        <v>0</v>
      </c>
      <c r="Q226" s="34">
        <f>_xlfn.XLOOKUP(TablaSTOCKINV[[#This Row],[SKU]],TablaINVENTARIO[SKU],TablaINVENTARIO[PRECIO])</f>
        <v>0</v>
      </c>
      <c r="R226" s="34">
        <f>TablaSTOCKINV[[#This Row],[P.UNITARIO]]*TablaSTOCKINV[[#This Row],[CANT. TOTAL]]</f>
        <v>0</v>
      </c>
      <c r="S226" s="44">
        <f>_xlfn.XLOOKUP(TablaSTOCKINV[[#This Row],[SKU]],TablaINVENTARIO[SKU],TablaINVENTARIO[FECHA INGRESO])</f>
        <v>46023</v>
      </c>
      <c r="T226" s="44">
        <f>_xlfn.XLOOKUP(TablaSTOCKINV[[#This Row],[SKU]],TablaENTRADA[SKU],TablaENTRADA[FECHA],,0,-1)</f>
        <v>46023</v>
      </c>
      <c r="U226" s="46" t="str">
        <f>IFERROR((_xlfn.XLOOKUP(TablaSTOCKINV[[#This Row],[SKU]],TablaSALIDA[SKU],TablaSALIDA[FECHA],,0,-1))," " )</f>
        <v xml:space="preserve"> </v>
      </c>
    </row>
    <row r="227" spans="1:21" x14ac:dyDescent="0.3">
      <c r="A227" s="27" t="s">
        <v>2556</v>
      </c>
      <c r="B227" s="32" t="str">
        <f>_xlfn.XLOOKUP(TablaSTOCKINV[[#This Row],[SKU]],TablaINVENTARIO[SKU],TablaINVENTARIO[DESCRIPCION])</f>
        <v>TECLADO MODELO: 1366</v>
      </c>
      <c r="C227" s="32" t="str">
        <f>_xlfn.XLOOKUP(TablaSTOCKINV[[#This Row],[SKU]],TablaINVENTARIO[SKU],TablaINVENTARIO[MARCA])</f>
        <v>MICROSOFT</v>
      </c>
      <c r="D227" s="33" t="str">
        <f>_xlfn.XLOOKUP(TablaSTOCKINV[[#This Row],[SKU]],TablaINVENTARIO[SKU],TablaINVENTARIO[CATEGORIA])</f>
        <v xml:space="preserve">INFORMATICA </v>
      </c>
      <c r="E227" s="33" t="str">
        <f>_xlfn.XLOOKUP(TablaSTOCKINV[[#This Row],[SKU]],TablaINVENTARIO[SKU],TablaINVENTARIO[SUBCATEGORIA])</f>
        <v>PERIFERICOS</v>
      </c>
      <c r="F227" s="33" t="str">
        <f>_xlfn.XLOOKUP(TablaSTOCKINV[[#This Row],[SKU]],TablaINVENTARIO[SKU],TablaINVENTARIO[ESTADO])</f>
        <v>USADO</v>
      </c>
      <c r="G227" s="33" t="str">
        <f>_xlfn.XLOOKUP(TablaSTOCKINV[[#This Row],[SKU]],TablaINVENTARIO[SKU],TablaINVENTARIO[MEDIDA])</f>
        <v>UND</v>
      </c>
      <c r="H227" s="33">
        <f>_xlfn.XLOOKUP(TablaSTOCKINV[[#This Row],[SKU]],TablaINVENTARIO[SKU],TablaINVENTARIO[SERIAL])</f>
        <v>65805921445</v>
      </c>
      <c r="I227" s="34" t="str">
        <f>_xlfn.XLOOKUP(TablaSTOCKINV[[#This Row],[SKU]],TablaINVENTARIO[SKU],TablaINVENTARIO[ALMACEN])</f>
        <v>ALMACEN PRINCIPAL</v>
      </c>
      <c r="J227" s="34" t="str">
        <f>_xlfn.XLOOKUP(TablaSTOCKINV[[#This Row],[SKU]],TablaINVENTARIO[SKU],TablaINVENTARIO[UBICACION])</f>
        <v>D4-1</v>
      </c>
      <c r="K227" s="34" t="str">
        <f>_xlfn.XLOOKUP(TablaSTOCKINV[[#This Row],[SKU]],TablaINVENTARIO[SKU],TablaINVENTARIO[DPTO RESPONSABLE])</f>
        <v>AIT</v>
      </c>
      <c r="L227" s="36">
        <f>_xlfn.XLOOKUP(TablaSTOCKINV[[#This Row],[SKU]],TablaINVENTARIO[SKU],TablaINVENTARIO[RANGO MIN])</f>
        <v>0</v>
      </c>
      <c r="M227" s="34" cm="1">
        <f t="array" ref="M227">_xlfn.IFS(TablaSTOCKINV[[#This Row],[CANT. TOTAL]]&lt;=0,1,TablaSTOCKINV[[#This Row],[CANT. TOTAL]]&lt;=TablaSTOCKINV[[#This Row],[MIN]],2,TablaSTOCKINV[[#This Row],[CANT. TOTAL]]&gt;TablaSTOCKINV[[#This Row],[MIN]],3)</f>
        <v>3</v>
      </c>
      <c r="N227" s="34">
        <f>TablaSTOCKINV[[#This Row],[ENTRADAS]]-TablaSTOCKINV[[#This Row],[SALIDAS]]</f>
        <v>1</v>
      </c>
      <c r="O227" s="35">
        <f>SUMIFS(TablaENTRADA[CANT],TablaENTRADA[SKU],TablaSTOCKINV[[#This Row],[SKU]])</f>
        <v>1</v>
      </c>
      <c r="P227" s="35">
        <f>SUMIFS(TablaSALIDA[CANT],TablaSALIDA[SKU],TablaSTOCKINV[[#This Row],[SKU]])</f>
        <v>0</v>
      </c>
      <c r="Q227" s="34">
        <f>_xlfn.XLOOKUP(TablaSTOCKINV[[#This Row],[SKU]],TablaINVENTARIO[SKU],TablaINVENTARIO[PRECIO])</f>
        <v>0</v>
      </c>
      <c r="R227" s="34">
        <f>TablaSTOCKINV[[#This Row],[P.UNITARIO]]*TablaSTOCKINV[[#This Row],[CANT. TOTAL]]</f>
        <v>0</v>
      </c>
      <c r="S227" s="44">
        <f>_xlfn.XLOOKUP(TablaSTOCKINV[[#This Row],[SKU]],TablaINVENTARIO[SKU],TablaINVENTARIO[FECHA INGRESO])</f>
        <v>46023</v>
      </c>
      <c r="T227" s="44">
        <f>_xlfn.XLOOKUP(TablaSTOCKINV[[#This Row],[SKU]],TablaENTRADA[SKU],TablaENTRADA[FECHA],,0,-1)</f>
        <v>46023</v>
      </c>
      <c r="U227" s="46" t="str">
        <f>IFERROR((_xlfn.XLOOKUP(TablaSTOCKINV[[#This Row],[SKU]],TablaSALIDA[SKU],TablaSALIDA[FECHA],,0,-1))," " )</f>
        <v xml:space="preserve"> </v>
      </c>
    </row>
    <row r="228" spans="1:21" x14ac:dyDescent="0.3">
      <c r="A228" s="27" t="s">
        <v>2557</v>
      </c>
      <c r="B228" s="32" t="str">
        <f>_xlfn.XLOOKUP(TablaSTOCKINV[[#This Row],[SKU]],TablaINVENTARIO[SKU],TablaINVENTARIO[DESCRIPCION])</f>
        <v>TECLADO MODELO: 1366</v>
      </c>
      <c r="C228" s="32" t="str">
        <f>_xlfn.XLOOKUP(TablaSTOCKINV[[#This Row],[SKU]],TablaINVENTARIO[SKU],TablaINVENTARIO[MARCA])</f>
        <v>MICROSOFT</v>
      </c>
      <c r="D228" s="33" t="str">
        <f>_xlfn.XLOOKUP(TablaSTOCKINV[[#This Row],[SKU]],TablaINVENTARIO[SKU],TablaINVENTARIO[CATEGORIA])</f>
        <v xml:space="preserve">INFORMATICA </v>
      </c>
      <c r="E228" s="33" t="str">
        <f>_xlfn.XLOOKUP(TablaSTOCKINV[[#This Row],[SKU]],TablaINVENTARIO[SKU],TablaINVENTARIO[SUBCATEGORIA])</f>
        <v>PERIFERICOS</v>
      </c>
      <c r="F228" s="33" t="str">
        <f>_xlfn.XLOOKUP(TablaSTOCKINV[[#This Row],[SKU]],TablaINVENTARIO[SKU],TablaINVENTARIO[ESTADO])</f>
        <v>USADO</v>
      </c>
      <c r="G228" s="33" t="str">
        <f>_xlfn.XLOOKUP(TablaSTOCKINV[[#This Row],[SKU]],TablaINVENTARIO[SKU],TablaINVENTARIO[MEDIDA])</f>
        <v>UND</v>
      </c>
      <c r="H228" s="33">
        <f>_xlfn.XLOOKUP(TablaSTOCKINV[[#This Row],[SKU]],TablaINVENTARIO[SKU],TablaINVENTARIO[SERIAL])</f>
        <v>65806352429</v>
      </c>
      <c r="I228" s="34" t="str">
        <f>_xlfn.XLOOKUP(TablaSTOCKINV[[#This Row],[SKU]],TablaINVENTARIO[SKU],TablaINVENTARIO[ALMACEN])</f>
        <v>ALMACEN PRINCIPAL</v>
      </c>
      <c r="J228" s="34" t="str">
        <f>_xlfn.XLOOKUP(TablaSTOCKINV[[#This Row],[SKU]],TablaINVENTARIO[SKU],TablaINVENTARIO[UBICACION])</f>
        <v>D4-1</v>
      </c>
      <c r="K228" s="34" t="str">
        <f>_xlfn.XLOOKUP(TablaSTOCKINV[[#This Row],[SKU]],TablaINVENTARIO[SKU],TablaINVENTARIO[DPTO RESPONSABLE])</f>
        <v>AIT</v>
      </c>
      <c r="L228" s="36">
        <f>_xlfn.XLOOKUP(TablaSTOCKINV[[#This Row],[SKU]],TablaINVENTARIO[SKU],TablaINVENTARIO[RANGO MIN])</f>
        <v>0</v>
      </c>
      <c r="M228" s="34" cm="1">
        <f t="array" ref="M228">_xlfn.IFS(TablaSTOCKINV[[#This Row],[CANT. TOTAL]]&lt;=0,1,TablaSTOCKINV[[#This Row],[CANT. TOTAL]]&lt;=TablaSTOCKINV[[#This Row],[MIN]],2,TablaSTOCKINV[[#This Row],[CANT. TOTAL]]&gt;TablaSTOCKINV[[#This Row],[MIN]],3)</f>
        <v>3</v>
      </c>
      <c r="N228" s="34">
        <f>TablaSTOCKINV[[#This Row],[ENTRADAS]]-TablaSTOCKINV[[#This Row],[SALIDAS]]</f>
        <v>1</v>
      </c>
      <c r="O228" s="35">
        <f>SUMIFS(TablaENTRADA[CANT],TablaENTRADA[SKU],TablaSTOCKINV[[#This Row],[SKU]])</f>
        <v>1</v>
      </c>
      <c r="P228" s="35">
        <f>SUMIFS(TablaSALIDA[CANT],TablaSALIDA[SKU],TablaSTOCKINV[[#This Row],[SKU]])</f>
        <v>0</v>
      </c>
      <c r="Q228" s="34">
        <f>_xlfn.XLOOKUP(TablaSTOCKINV[[#This Row],[SKU]],TablaINVENTARIO[SKU],TablaINVENTARIO[PRECIO])</f>
        <v>0</v>
      </c>
      <c r="R228" s="34">
        <f>TablaSTOCKINV[[#This Row],[P.UNITARIO]]*TablaSTOCKINV[[#This Row],[CANT. TOTAL]]</f>
        <v>0</v>
      </c>
      <c r="S228" s="44">
        <f>_xlfn.XLOOKUP(TablaSTOCKINV[[#This Row],[SKU]],TablaINVENTARIO[SKU],TablaINVENTARIO[FECHA INGRESO])</f>
        <v>46023</v>
      </c>
      <c r="T228" s="44">
        <f>_xlfn.XLOOKUP(TablaSTOCKINV[[#This Row],[SKU]],TablaENTRADA[SKU],TablaENTRADA[FECHA],,0,-1)</f>
        <v>46023</v>
      </c>
      <c r="U228" s="46" t="str">
        <f>IFERROR((_xlfn.XLOOKUP(TablaSTOCKINV[[#This Row],[SKU]],TablaSALIDA[SKU],TablaSALIDA[FECHA],,0,-1))," " )</f>
        <v xml:space="preserve"> </v>
      </c>
    </row>
    <row r="229" spans="1:21" x14ac:dyDescent="0.3">
      <c r="A229" s="27" t="s">
        <v>2558</v>
      </c>
      <c r="B229" s="32" t="str">
        <f>_xlfn.XLOOKUP(TablaSTOCKINV[[#This Row],[SKU]],TablaINVENTARIO[SKU],TablaINVENTARIO[DESCRIPCION])</f>
        <v>TECLADO MODELO: SCV PC-1005</v>
      </c>
      <c r="C229" s="32" t="str">
        <f>_xlfn.XLOOKUP(TablaSTOCKINV[[#This Row],[SKU]],TablaINVENTARIO[SKU],TablaINVENTARIO[MARCA])</f>
        <v>SONEVIEW</v>
      </c>
      <c r="D229" s="33" t="str">
        <f>_xlfn.XLOOKUP(TablaSTOCKINV[[#This Row],[SKU]],TablaINVENTARIO[SKU],TablaINVENTARIO[CATEGORIA])</f>
        <v xml:space="preserve">INFORMATICA </v>
      </c>
      <c r="E229" s="33" t="str">
        <f>_xlfn.XLOOKUP(TablaSTOCKINV[[#This Row],[SKU]],TablaINVENTARIO[SKU],TablaINVENTARIO[SUBCATEGORIA])</f>
        <v>PERIFERICOS</v>
      </c>
      <c r="F229" s="33" t="str">
        <f>_xlfn.XLOOKUP(TablaSTOCKINV[[#This Row],[SKU]],TablaINVENTARIO[SKU],TablaINVENTARIO[ESTADO])</f>
        <v>USADO</v>
      </c>
      <c r="G229" s="33" t="str">
        <f>_xlfn.XLOOKUP(TablaSTOCKINV[[#This Row],[SKU]],TablaINVENTARIO[SKU],TablaINVENTARIO[MEDIDA])</f>
        <v>UND</v>
      </c>
      <c r="H229" s="33" t="str">
        <f>_xlfn.XLOOKUP(TablaSTOCKINV[[#This Row],[SKU]],TablaINVENTARIO[SKU],TablaINVENTARIO[SERIAL])</f>
        <v>K31001205000494</v>
      </c>
      <c r="I229" s="34" t="str">
        <f>_xlfn.XLOOKUP(TablaSTOCKINV[[#This Row],[SKU]],TablaINVENTARIO[SKU],TablaINVENTARIO[ALMACEN])</f>
        <v>ALMACEN PRINCIPAL</v>
      </c>
      <c r="J229" s="34" t="str">
        <f>_xlfn.XLOOKUP(TablaSTOCKINV[[#This Row],[SKU]],TablaINVENTARIO[SKU],TablaINVENTARIO[UBICACION])</f>
        <v>D4-1</v>
      </c>
      <c r="K229" s="34" t="str">
        <f>_xlfn.XLOOKUP(TablaSTOCKINV[[#This Row],[SKU]],TablaINVENTARIO[SKU],TablaINVENTARIO[DPTO RESPONSABLE])</f>
        <v>AIT</v>
      </c>
      <c r="L229" s="36">
        <f>_xlfn.XLOOKUP(TablaSTOCKINV[[#This Row],[SKU]],TablaINVENTARIO[SKU],TablaINVENTARIO[RANGO MIN])</f>
        <v>0</v>
      </c>
      <c r="M229" s="34" cm="1">
        <f t="array" ref="M229">_xlfn.IFS(TablaSTOCKINV[[#This Row],[CANT. TOTAL]]&lt;=0,1,TablaSTOCKINV[[#This Row],[CANT. TOTAL]]&lt;=TablaSTOCKINV[[#This Row],[MIN]],2,TablaSTOCKINV[[#This Row],[CANT. TOTAL]]&gt;TablaSTOCKINV[[#This Row],[MIN]],3)</f>
        <v>3</v>
      </c>
      <c r="N229" s="34">
        <f>TablaSTOCKINV[[#This Row],[ENTRADAS]]-TablaSTOCKINV[[#This Row],[SALIDAS]]</f>
        <v>1</v>
      </c>
      <c r="O229" s="35">
        <f>SUMIFS(TablaENTRADA[CANT],TablaENTRADA[SKU],TablaSTOCKINV[[#This Row],[SKU]])</f>
        <v>1</v>
      </c>
      <c r="P229" s="35">
        <f>SUMIFS(TablaSALIDA[CANT],TablaSALIDA[SKU],TablaSTOCKINV[[#This Row],[SKU]])</f>
        <v>0</v>
      </c>
      <c r="Q229" s="34">
        <f>_xlfn.XLOOKUP(TablaSTOCKINV[[#This Row],[SKU]],TablaINVENTARIO[SKU],TablaINVENTARIO[PRECIO])</f>
        <v>0</v>
      </c>
      <c r="R229" s="34">
        <f>TablaSTOCKINV[[#This Row],[P.UNITARIO]]*TablaSTOCKINV[[#This Row],[CANT. TOTAL]]</f>
        <v>0</v>
      </c>
      <c r="S229" s="44">
        <f>_xlfn.XLOOKUP(TablaSTOCKINV[[#This Row],[SKU]],TablaINVENTARIO[SKU],TablaINVENTARIO[FECHA INGRESO])</f>
        <v>46023</v>
      </c>
      <c r="T229" s="44">
        <f>_xlfn.XLOOKUP(TablaSTOCKINV[[#This Row],[SKU]],TablaENTRADA[SKU],TablaENTRADA[FECHA],,0,-1)</f>
        <v>46023</v>
      </c>
      <c r="U229" s="46" t="str">
        <f>IFERROR((_xlfn.XLOOKUP(TablaSTOCKINV[[#This Row],[SKU]],TablaSALIDA[SKU],TablaSALIDA[FECHA],,0,-1))," " )</f>
        <v xml:space="preserve"> </v>
      </c>
    </row>
    <row r="230" spans="1:21" x14ac:dyDescent="0.3">
      <c r="A230" s="27" t="s">
        <v>2562</v>
      </c>
      <c r="B230" s="32" t="str">
        <f>_xlfn.XLOOKUP(TablaSTOCKINV[[#This Row],[SKU]],TablaINVENTARIO[SKU],TablaINVENTARIO[DESCRIPCION])</f>
        <v>MODULO DE ENTRADA ANALOGICA CONTROLLOGIX 8 PUNTOS 1756-1F8 (SERIE A)</v>
      </c>
      <c r="C230" s="32" t="str">
        <f>_xlfn.XLOOKUP(TablaSTOCKINV[[#This Row],[SKU]],TablaINVENTARIO[SKU],TablaINVENTARIO[MARCA])</f>
        <v>ALLEN-BRADLEY</v>
      </c>
      <c r="D230" s="33" t="str">
        <f>_xlfn.XLOOKUP(TablaSTOCKINV[[#This Row],[SKU]],TablaINVENTARIO[SKU],TablaINVENTARIO[CATEGORIA])</f>
        <v xml:space="preserve">INFORMATICA </v>
      </c>
      <c r="E230" s="33" t="str">
        <f>_xlfn.XLOOKUP(TablaSTOCKINV[[#This Row],[SKU]],TablaINVENTARIO[SKU],TablaINVENTARIO[SUBCATEGORIA])</f>
        <v xml:space="preserve">PLACAS Y COMPONENTES </v>
      </c>
      <c r="F230" s="33" t="str">
        <f>_xlfn.XLOOKUP(TablaSTOCKINV[[#This Row],[SKU]],TablaINVENTARIO[SKU],TablaINVENTARIO[ESTADO])</f>
        <v xml:space="preserve">NUEVO </v>
      </c>
      <c r="G230" s="33" t="str">
        <f>_xlfn.XLOOKUP(TablaSTOCKINV[[#This Row],[SKU]],TablaINVENTARIO[SKU],TablaINVENTARIO[MEDIDA])</f>
        <v>UND</v>
      </c>
      <c r="H230" s="33" t="str">
        <f>_xlfn.XLOOKUP(TablaSTOCKINV[[#This Row],[SKU]],TablaINVENTARIO[SKU],TablaINVENTARIO[SERIAL])</f>
        <v>N/A</v>
      </c>
      <c r="I230" s="34" t="str">
        <f>_xlfn.XLOOKUP(TablaSTOCKINV[[#This Row],[SKU]],TablaINVENTARIO[SKU],TablaINVENTARIO[ALMACEN])</f>
        <v>ALMACEN PRINCIPAL</v>
      </c>
      <c r="J230" s="34" t="str">
        <f>_xlfn.XLOOKUP(TablaSTOCKINV[[#This Row],[SKU]],TablaINVENTARIO[SKU],TablaINVENTARIO[UBICACION])</f>
        <v>D3-1</v>
      </c>
      <c r="K230" s="34" t="str">
        <f>_xlfn.XLOOKUP(TablaSTOCKINV[[#This Row],[SKU]],TablaINVENTARIO[SKU],TablaINVENTARIO[DPTO RESPONSABLE])</f>
        <v>AIT</v>
      </c>
      <c r="L230" s="36">
        <f>_xlfn.XLOOKUP(TablaSTOCKINV[[#This Row],[SKU]],TablaINVENTARIO[SKU],TablaINVENTARIO[RANGO MIN])</f>
        <v>0</v>
      </c>
      <c r="M230" s="34" cm="1">
        <f t="array" ref="M230">_xlfn.IFS(TablaSTOCKINV[[#This Row],[CANT. TOTAL]]&lt;=0,1,TablaSTOCKINV[[#This Row],[CANT. TOTAL]]&lt;=TablaSTOCKINV[[#This Row],[MIN]],2,TablaSTOCKINV[[#This Row],[CANT. TOTAL]]&gt;TablaSTOCKINV[[#This Row],[MIN]],3)</f>
        <v>3</v>
      </c>
      <c r="N230" s="34">
        <f>TablaSTOCKINV[[#This Row],[ENTRADAS]]-TablaSTOCKINV[[#This Row],[SALIDAS]]</f>
        <v>24</v>
      </c>
      <c r="O230" s="35">
        <f>SUMIFS(TablaENTRADA[CANT],TablaENTRADA[SKU],TablaSTOCKINV[[#This Row],[SKU]])</f>
        <v>24</v>
      </c>
      <c r="P230" s="35">
        <f>SUMIFS(TablaSALIDA[CANT],TablaSALIDA[SKU],TablaSTOCKINV[[#This Row],[SKU]])</f>
        <v>0</v>
      </c>
      <c r="Q230" s="34">
        <f>_xlfn.XLOOKUP(TablaSTOCKINV[[#This Row],[SKU]],TablaINVENTARIO[SKU],TablaINVENTARIO[PRECIO])</f>
        <v>0</v>
      </c>
      <c r="R230" s="34">
        <f>TablaSTOCKINV[[#This Row],[P.UNITARIO]]*TablaSTOCKINV[[#This Row],[CANT. TOTAL]]</f>
        <v>0</v>
      </c>
      <c r="S230" s="44">
        <f>_xlfn.XLOOKUP(TablaSTOCKINV[[#This Row],[SKU]],TablaINVENTARIO[SKU],TablaINVENTARIO[FECHA INGRESO])</f>
        <v>46023</v>
      </c>
      <c r="T230" s="44">
        <f>_xlfn.XLOOKUP(TablaSTOCKINV[[#This Row],[SKU]],TablaENTRADA[SKU],TablaENTRADA[FECHA],,0,-1)</f>
        <v>46023</v>
      </c>
      <c r="U230" s="46" t="str">
        <f>IFERROR((_xlfn.XLOOKUP(TablaSTOCKINV[[#This Row],[SKU]],TablaSALIDA[SKU],TablaSALIDA[FECHA],,0,-1))," " )</f>
        <v xml:space="preserve"> </v>
      </c>
    </row>
    <row r="231" spans="1:21" x14ac:dyDescent="0.3">
      <c r="A231" s="27" t="s">
        <v>2565</v>
      </c>
      <c r="B231" s="32" t="str">
        <f>_xlfn.XLOOKUP(TablaSTOCKINV[[#This Row],[SKU]],TablaINVENTARIO[SKU],TablaINVENTARIO[DESCRIPCION])</f>
        <v>MODULO DE SALIDA ANALOGICA CONTROLLOGIX 8 PUNTOS 1756-OF8 (SERIE A)</v>
      </c>
      <c r="C231" s="32" t="str">
        <f>_xlfn.XLOOKUP(TablaSTOCKINV[[#This Row],[SKU]],TablaINVENTARIO[SKU],TablaINVENTARIO[MARCA])</f>
        <v>ALLEN-BRADLEY</v>
      </c>
      <c r="D231" s="33" t="str">
        <f>_xlfn.XLOOKUP(TablaSTOCKINV[[#This Row],[SKU]],TablaINVENTARIO[SKU],TablaINVENTARIO[CATEGORIA])</f>
        <v xml:space="preserve">INFORMATICA </v>
      </c>
      <c r="E231" s="33" t="str">
        <f>_xlfn.XLOOKUP(TablaSTOCKINV[[#This Row],[SKU]],TablaINVENTARIO[SKU],TablaINVENTARIO[SUBCATEGORIA])</f>
        <v xml:space="preserve">PLACAS Y COMPONENTES </v>
      </c>
      <c r="F231" s="33" t="str">
        <f>_xlfn.XLOOKUP(TablaSTOCKINV[[#This Row],[SKU]],TablaINVENTARIO[SKU],TablaINVENTARIO[ESTADO])</f>
        <v xml:space="preserve">NUEVO </v>
      </c>
      <c r="G231" s="33" t="str">
        <f>_xlfn.XLOOKUP(TablaSTOCKINV[[#This Row],[SKU]],TablaINVENTARIO[SKU],TablaINVENTARIO[MEDIDA])</f>
        <v>UND</v>
      </c>
      <c r="H231" s="33" t="str">
        <f>_xlfn.XLOOKUP(TablaSTOCKINV[[#This Row],[SKU]],TablaINVENTARIO[SKU],TablaINVENTARIO[SERIAL])</f>
        <v>N/A</v>
      </c>
      <c r="I231" s="34" t="str">
        <f>_xlfn.XLOOKUP(TablaSTOCKINV[[#This Row],[SKU]],TablaINVENTARIO[SKU],TablaINVENTARIO[ALMACEN])</f>
        <v>ALMACEN PRINCIPAL</v>
      </c>
      <c r="J231" s="34" t="str">
        <f>_xlfn.XLOOKUP(TablaSTOCKINV[[#This Row],[SKU]],TablaINVENTARIO[SKU],TablaINVENTARIO[UBICACION])</f>
        <v>D3-1</v>
      </c>
      <c r="K231" s="34" t="str">
        <f>_xlfn.XLOOKUP(TablaSTOCKINV[[#This Row],[SKU]],TablaINVENTARIO[SKU],TablaINVENTARIO[DPTO RESPONSABLE])</f>
        <v>AIT</v>
      </c>
      <c r="L231" s="36">
        <f>_xlfn.XLOOKUP(TablaSTOCKINV[[#This Row],[SKU]],TablaINVENTARIO[SKU],TablaINVENTARIO[RANGO MIN])</f>
        <v>0</v>
      </c>
      <c r="M231" s="34" cm="1">
        <f t="array" ref="M231">_xlfn.IFS(TablaSTOCKINV[[#This Row],[CANT. TOTAL]]&lt;=0,1,TablaSTOCKINV[[#This Row],[CANT. TOTAL]]&lt;=TablaSTOCKINV[[#This Row],[MIN]],2,TablaSTOCKINV[[#This Row],[CANT. TOTAL]]&gt;TablaSTOCKINV[[#This Row],[MIN]],3)</f>
        <v>3</v>
      </c>
      <c r="N231" s="34">
        <f>TablaSTOCKINV[[#This Row],[ENTRADAS]]-TablaSTOCKINV[[#This Row],[SALIDAS]]</f>
        <v>7</v>
      </c>
      <c r="O231" s="35">
        <f>SUMIFS(TablaENTRADA[CANT],TablaENTRADA[SKU],TablaSTOCKINV[[#This Row],[SKU]])</f>
        <v>7</v>
      </c>
      <c r="P231" s="35">
        <f>SUMIFS(TablaSALIDA[CANT],TablaSALIDA[SKU],TablaSTOCKINV[[#This Row],[SKU]])</f>
        <v>0</v>
      </c>
      <c r="Q231" s="34">
        <f>_xlfn.XLOOKUP(TablaSTOCKINV[[#This Row],[SKU]],TablaINVENTARIO[SKU],TablaINVENTARIO[PRECIO])</f>
        <v>0</v>
      </c>
      <c r="R231" s="34">
        <f>TablaSTOCKINV[[#This Row],[P.UNITARIO]]*TablaSTOCKINV[[#This Row],[CANT. TOTAL]]</f>
        <v>0</v>
      </c>
      <c r="S231" s="44">
        <f>_xlfn.XLOOKUP(TablaSTOCKINV[[#This Row],[SKU]],TablaINVENTARIO[SKU],TablaINVENTARIO[FECHA INGRESO])</f>
        <v>46023</v>
      </c>
      <c r="T231" s="44">
        <f>_xlfn.XLOOKUP(TablaSTOCKINV[[#This Row],[SKU]],TablaENTRADA[SKU],TablaENTRADA[FECHA],,0,-1)</f>
        <v>46023</v>
      </c>
      <c r="U231" s="46" t="str">
        <f>IFERROR((_xlfn.XLOOKUP(TablaSTOCKINV[[#This Row],[SKU]],TablaSALIDA[SKU],TablaSALIDA[FECHA],,0,-1))," " )</f>
        <v xml:space="preserve"> </v>
      </c>
    </row>
    <row r="232" spans="1:21" x14ac:dyDescent="0.3">
      <c r="A232" s="27" t="s">
        <v>2567</v>
      </c>
      <c r="B232" s="32" t="str">
        <f>_xlfn.XLOOKUP(TablaSTOCKINV[[#This Row],[SKU]],TablaINVENTARIO[SKU],TablaINVENTARIO[DESCRIPCION])</f>
        <v>MODULO DE COMUNICACIONES ETHERNET/IP CONTROLLOGIX 1756-ENBT (SERIE A)</v>
      </c>
      <c r="C232" s="32" t="str">
        <f>_xlfn.XLOOKUP(TablaSTOCKINV[[#This Row],[SKU]],TablaINVENTARIO[SKU],TablaINVENTARIO[MARCA])</f>
        <v>ALLEN-BRADLEY</v>
      </c>
      <c r="D232" s="33" t="str">
        <f>_xlfn.XLOOKUP(TablaSTOCKINV[[#This Row],[SKU]],TablaINVENTARIO[SKU],TablaINVENTARIO[CATEGORIA])</f>
        <v xml:space="preserve">INFORMATICA </v>
      </c>
      <c r="E232" s="33" t="str">
        <f>_xlfn.XLOOKUP(TablaSTOCKINV[[#This Row],[SKU]],TablaINVENTARIO[SKU],TablaINVENTARIO[SUBCATEGORIA])</f>
        <v xml:space="preserve">PLACAS Y COMPONENTES </v>
      </c>
      <c r="F232" s="33" t="str">
        <f>_xlfn.XLOOKUP(TablaSTOCKINV[[#This Row],[SKU]],TablaINVENTARIO[SKU],TablaINVENTARIO[ESTADO])</f>
        <v xml:space="preserve">NUEVO </v>
      </c>
      <c r="G232" s="33" t="str">
        <f>_xlfn.XLOOKUP(TablaSTOCKINV[[#This Row],[SKU]],TablaINVENTARIO[SKU],TablaINVENTARIO[MEDIDA])</f>
        <v>UND</v>
      </c>
      <c r="H232" s="33" t="str">
        <f>_xlfn.XLOOKUP(TablaSTOCKINV[[#This Row],[SKU]],TablaINVENTARIO[SKU],TablaINVENTARIO[SERIAL])</f>
        <v>N/A</v>
      </c>
      <c r="I232" s="34" t="str">
        <f>_xlfn.XLOOKUP(TablaSTOCKINV[[#This Row],[SKU]],TablaINVENTARIO[SKU],TablaINVENTARIO[ALMACEN])</f>
        <v>ALMACEN PRINCIPAL</v>
      </c>
      <c r="J232" s="34" t="str">
        <f>_xlfn.XLOOKUP(TablaSTOCKINV[[#This Row],[SKU]],TablaINVENTARIO[SKU],TablaINVENTARIO[UBICACION])</f>
        <v>D3-1</v>
      </c>
      <c r="K232" s="34" t="str">
        <f>_xlfn.XLOOKUP(TablaSTOCKINV[[#This Row],[SKU]],TablaINVENTARIO[SKU],TablaINVENTARIO[DPTO RESPONSABLE])</f>
        <v>AIT</v>
      </c>
      <c r="L232" s="36">
        <f>_xlfn.XLOOKUP(TablaSTOCKINV[[#This Row],[SKU]],TablaINVENTARIO[SKU],TablaINVENTARIO[RANGO MIN])</f>
        <v>0</v>
      </c>
      <c r="M232" s="34" cm="1">
        <f t="array" ref="M232">_xlfn.IFS(TablaSTOCKINV[[#This Row],[CANT. TOTAL]]&lt;=0,1,TablaSTOCKINV[[#This Row],[CANT. TOTAL]]&lt;=TablaSTOCKINV[[#This Row],[MIN]],2,TablaSTOCKINV[[#This Row],[CANT. TOTAL]]&gt;TablaSTOCKINV[[#This Row],[MIN]],3)</f>
        <v>3</v>
      </c>
      <c r="N232" s="34">
        <f>TablaSTOCKINV[[#This Row],[ENTRADAS]]-TablaSTOCKINV[[#This Row],[SALIDAS]]</f>
        <v>6</v>
      </c>
      <c r="O232" s="35">
        <f>SUMIFS(TablaENTRADA[CANT],TablaENTRADA[SKU],TablaSTOCKINV[[#This Row],[SKU]])</f>
        <v>6</v>
      </c>
      <c r="P232" s="35">
        <f>SUMIFS(TablaSALIDA[CANT],TablaSALIDA[SKU],TablaSTOCKINV[[#This Row],[SKU]])</f>
        <v>0</v>
      </c>
      <c r="Q232" s="34">
        <f>_xlfn.XLOOKUP(TablaSTOCKINV[[#This Row],[SKU]],TablaINVENTARIO[SKU],TablaINVENTARIO[PRECIO])</f>
        <v>0</v>
      </c>
      <c r="R232" s="34">
        <f>TablaSTOCKINV[[#This Row],[P.UNITARIO]]*TablaSTOCKINV[[#This Row],[CANT. TOTAL]]</f>
        <v>0</v>
      </c>
      <c r="S232" s="44">
        <f>_xlfn.XLOOKUP(TablaSTOCKINV[[#This Row],[SKU]],TablaINVENTARIO[SKU],TablaINVENTARIO[FECHA INGRESO])</f>
        <v>46023</v>
      </c>
      <c r="T232" s="44">
        <f>_xlfn.XLOOKUP(TablaSTOCKINV[[#This Row],[SKU]],TablaENTRADA[SKU],TablaENTRADA[FECHA],,0,-1)</f>
        <v>46023</v>
      </c>
      <c r="U232" s="46" t="str">
        <f>IFERROR((_xlfn.XLOOKUP(TablaSTOCKINV[[#This Row],[SKU]],TablaSALIDA[SKU],TablaSALIDA[FECHA],,0,-1))," " )</f>
        <v xml:space="preserve"> </v>
      </c>
    </row>
    <row r="233" spans="1:21" x14ac:dyDescent="0.3">
      <c r="A233" s="27" t="s">
        <v>2569</v>
      </c>
      <c r="B233" s="32" t="str">
        <f>_xlfn.XLOOKUP(TablaSTOCKINV[[#This Row],[SKU]],TablaINVENTARIO[SKU],TablaINVENTARIO[DESCRIPCION])</f>
        <v>MODULO DE PROCESADOR CONTROLLOGIX 5561 1756-L61</v>
      </c>
      <c r="C233" s="32" t="str">
        <f>_xlfn.XLOOKUP(TablaSTOCKINV[[#This Row],[SKU]],TablaINVENTARIO[SKU],TablaINVENTARIO[MARCA])</f>
        <v>ALLEN-BRADLEY</v>
      </c>
      <c r="D233" s="33" t="str">
        <f>_xlfn.XLOOKUP(TablaSTOCKINV[[#This Row],[SKU]],TablaINVENTARIO[SKU],TablaINVENTARIO[CATEGORIA])</f>
        <v xml:space="preserve">INFORMATICA </v>
      </c>
      <c r="E233" s="33" t="str">
        <f>_xlfn.XLOOKUP(TablaSTOCKINV[[#This Row],[SKU]],TablaINVENTARIO[SKU],TablaINVENTARIO[SUBCATEGORIA])</f>
        <v xml:space="preserve">PLACAS Y COMPONENTES </v>
      </c>
      <c r="F233" s="33" t="str">
        <f>_xlfn.XLOOKUP(TablaSTOCKINV[[#This Row],[SKU]],TablaINVENTARIO[SKU],TablaINVENTARIO[ESTADO])</f>
        <v xml:space="preserve">NUEVO </v>
      </c>
      <c r="G233" s="33" t="str">
        <f>_xlfn.XLOOKUP(TablaSTOCKINV[[#This Row],[SKU]],TablaINVENTARIO[SKU],TablaINVENTARIO[MEDIDA])</f>
        <v>UND</v>
      </c>
      <c r="H233" s="33" t="str">
        <f>_xlfn.XLOOKUP(TablaSTOCKINV[[#This Row],[SKU]],TablaINVENTARIO[SKU],TablaINVENTARIO[SERIAL])</f>
        <v>N/A</v>
      </c>
      <c r="I233" s="34" t="str">
        <f>_xlfn.XLOOKUP(TablaSTOCKINV[[#This Row],[SKU]],TablaINVENTARIO[SKU],TablaINVENTARIO[ALMACEN])</f>
        <v>ALMACEN PRINCIPAL</v>
      </c>
      <c r="J233" s="34" t="str">
        <f>_xlfn.XLOOKUP(TablaSTOCKINV[[#This Row],[SKU]],TablaINVENTARIO[SKU],TablaINVENTARIO[UBICACION])</f>
        <v>D3-2</v>
      </c>
      <c r="K233" s="34" t="str">
        <f>_xlfn.XLOOKUP(TablaSTOCKINV[[#This Row],[SKU]],TablaINVENTARIO[SKU],TablaINVENTARIO[DPTO RESPONSABLE])</f>
        <v>AIT</v>
      </c>
      <c r="L233" s="36">
        <f>_xlfn.XLOOKUP(TablaSTOCKINV[[#This Row],[SKU]],TablaINVENTARIO[SKU],TablaINVENTARIO[RANGO MIN])</f>
        <v>0</v>
      </c>
      <c r="M233" s="34" cm="1">
        <f t="array" ref="M233">_xlfn.IFS(TablaSTOCKINV[[#This Row],[CANT. TOTAL]]&lt;=0,1,TablaSTOCKINV[[#This Row],[CANT. TOTAL]]&lt;=TablaSTOCKINV[[#This Row],[MIN]],2,TablaSTOCKINV[[#This Row],[CANT. TOTAL]]&gt;TablaSTOCKINV[[#This Row],[MIN]],3)</f>
        <v>3</v>
      </c>
      <c r="N233" s="34">
        <f>TablaSTOCKINV[[#This Row],[ENTRADAS]]-TablaSTOCKINV[[#This Row],[SALIDAS]]</f>
        <v>5</v>
      </c>
      <c r="O233" s="35">
        <f>SUMIFS(TablaENTRADA[CANT],TablaENTRADA[SKU],TablaSTOCKINV[[#This Row],[SKU]])</f>
        <v>5</v>
      </c>
      <c r="P233" s="35">
        <f>SUMIFS(TablaSALIDA[CANT],TablaSALIDA[SKU],TablaSTOCKINV[[#This Row],[SKU]])</f>
        <v>0</v>
      </c>
      <c r="Q233" s="34">
        <f>_xlfn.XLOOKUP(TablaSTOCKINV[[#This Row],[SKU]],TablaINVENTARIO[SKU],TablaINVENTARIO[PRECIO])</f>
        <v>0</v>
      </c>
      <c r="R233" s="34">
        <f>TablaSTOCKINV[[#This Row],[P.UNITARIO]]*TablaSTOCKINV[[#This Row],[CANT. TOTAL]]</f>
        <v>0</v>
      </c>
      <c r="S233" s="44">
        <f>_xlfn.XLOOKUP(TablaSTOCKINV[[#This Row],[SKU]],TablaINVENTARIO[SKU],TablaINVENTARIO[FECHA INGRESO])</f>
        <v>46023</v>
      </c>
      <c r="T233" s="44">
        <f>_xlfn.XLOOKUP(TablaSTOCKINV[[#This Row],[SKU]],TablaENTRADA[SKU],TablaENTRADA[FECHA],,0,-1)</f>
        <v>46023</v>
      </c>
      <c r="U233" s="46" t="str">
        <f>IFERROR((_xlfn.XLOOKUP(TablaSTOCKINV[[#This Row],[SKU]],TablaSALIDA[SKU],TablaSALIDA[FECHA],,0,-1))," " )</f>
        <v xml:space="preserve"> </v>
      </c>
    </row>
    <row r="234" spans="1:21" x14ac:dyDescent="0.3">
      <c r="A234" s="27" t="s">
        <v>2572</v>
      </c>
      <c r="B234" s="32" t="str">
        <f>_xlfn.XLOOKUP(TablaSTOCKINV[[#This Row],[SKU]],TablaINVENTARIO[SKU],TablaINVENTARIO[DESCRIPCION])</f>
        <v>FUENTE DE ALIMENTACION 24VCC CONTROLLOGIX 1756-PB72 (SERIE C)</v>
      </c>
      <c r="C234" s="32" t="str">
        <f>_xlfn.XLOOKUP(TablaSTOCKINV[[#This Row],[SKU]],TablaINVENTARIO[SKU],TablaINVENTARIO[MARCA])</f>
        <v>ALLEN-BRADLEY</v>
      </c>
      <c r="D234" s="33" t="str">
        <f>_xlfn.XLOOKUP(TablaSTOCKINV[[#This Row],[SKU]],TablaINVENTARIO[SKU],TablaINVENTARIO[CATEGORIA])</f>
        <v xml:space="preserve">INFORMATICA </v>
      </c>
      <c r="E234" s="33" t="str">
        <f>_xlfn.XLOOKUP(TablaSTOCKINV[[#This Row],[SKU]],TablaINVENTARIO[SKU],TablaINVENTARIO[SUBCATEGORIA])</f>
        <v xml:space="preserve">PLACAS Y COMPONENTES </v>
      </c>
      <c r="F234" s="33" t="str">
        <f>_xlfn.XLOOKUP(TablaSTOCKINV[[#This Row],[SKU]],TablaINVENTARIO[SKU],TablaINVENTARIO[ESTADO])</f>
        <v xml:space="preserve">NUEVO </v>
      </c>
      <c r="G234" s="33" t="str">
        <f>_xlfn.XLOOKUP(TablaSTOCKINV[[#This Row],[SKU]],TablaINVENTARIO[SKU],TablaINVENTARIO[MEDIDA])</f>
        <v>UND</v>
      </c>
      <c r="H234" s="33" t="str">
        <f>_xlfn.XLOOKUP(TablaSTOCKINV[[#This Row],[SKU]],TablaINVENTARIO[SKU],TablaINVENTARIO[SERIAL])</f>
        <v>N/A</v>
      </c>
      <c r="I234" s="34" t="str">
        <f>_xlfn.XLOOKUP(TablaSTOCKINV[[#This Row],[SKU]],TablaINVENTARIO[SKU],TablaINVENTARIO[ALMACEN])</f>
        <v>ALMACEN PRINCIPAL</v>
      </c>
      <c r="J234" s="34" t="str">
        <f>_xlfn.XLOOKUP(TablaSTOCKINV[[#This Row],[SKU]],TablaINVENTARIO[SKU],TablaINVENTARIO[UBICACION])</f>
        <v>D3-2</v>
      </c>
      <c r="K234" s="34" t="str">
        <f>_xlfn.XLOOKUP(TablaSTOCKINV[[#This Row],[SKU]],TablaINVENTARIO[SKU],TablaINVENTARIO[DPTO RESPONSABLE])</f>
        <v>AIT</v>
      </c>
      <c r="L234" s="36">
        <f>_xlfn.XLOOKUP(TablaSTOCKINV[[#This Row],[SKU]],TablaINVENTARIO[SKU],TablaINVENTARIO[RANGO MIN])</f>
        <v>0</v>
      </c>
      <c r="M234" s="34" cm="1">
        <f t="array" ref="M234">_xlfn.IFS(TablaSTOCKINV[[#This Row],[CANT. TOTAL]]&lt;=0,1,TablaSTOCKINV[[#This Row],[CANT. TOTAL]]&lt;=TablaSTOCKINV[[#This Row],[MIN]],2,TablaSTOCKINV[[#This Row],[CANT. TOTAL]]&gt;TablaSTOCKINV[[#This Row],[MIN]],3)</f>
        <v>3</v>
      </c>
      <c r="N234" s="34">
        <f>TablaSTOCKINV[[#This Row],[ENTRADAS]]-TablaSTOCKINV[[#This Row],[SALIDAS]]</f>
        <v>6</v>
      </c>
      <c r="O234" s="35">
        <f>SUMIFS(TablaENTRADA[CANT],TablaENTRADA[SKU],TablaSTOCKINV[[#This Row],[SKU]])</f>
        <v>6</v>
      </c>
      <c r="P234" s="35">
        <f>SUMIFS(TablaSALIDA[CANT],TablaSALIDA[SKU],TablaSTOCKINV[[#This Row],[SKU]])</f>
        <v>0</v>
      </c>
      <c r="Q234" s="34">
        <f>_xlfn.XLOOKUP(TablaSTOCKINV[[#This Row],[SKU]],TablaINVENTARIO[SKU],TablaINVENTARIO[PRECIO])</f>
        <v>0</v>
      </c>
      <c r="R234" s="34">
        <f>TablaSTOCKINV[[#This Row],[P.UNITARIO]]*TablaSTOCKINV[[#This Row],[CANT. TOTAL]]</f>
        <v>0</v>
      </c>
      <c r="S234" s="44">
        <f>_xlfn.XLOOKUP(TablaSTOCKINV[[#This Row],[SKU]],TablaINVENTARIO[SKU],TablaINVENTARIO[FECHA INGRESO])</f>
        <v>46023</v>
      </c>
      <c r="T234" s="44">
        <f>_xlfn.XLOOKUP(TablaSTOCKINV[[#This Row],[SKU]],TablaENTRADA[SKU],TablaENTRADA[FECHA],,0,-1)</f>
        <v>46023</v>
      </c>
      <c r="U234" s="46" t="str">
        <f>IFERROR((_xlfn.XLOOKUP(TablaSTOCKINV[[#This Row],[SKU]],TablaSALIDA[SKU],TablaSALIDA[FECHA],,0,-1))," " )</f>
        <v xml:space="preserve"> </v>
      </c>
    </row>
    <row r="235" spans="1:21" x14ac:dyDescent="0.3">
      <c r="A235" s="27" t="s">
        <v>2574</v>
      </c>
      <c r="B235" s="32" t="str">
        <f>_xlfn.XLOOKUP(TablaSTOCKINV[[#This Row],[SKU]],TablaINVENTARIO[SKU],TablaINVENTARIO[DESCRIPCION])</f>
        <v>CHASIS CONTROLLOGIX 10 RANURAS 1756-A10 (SERIE C)</v>
      </c>
      <c r="C235" s="32" t="str">
        <f>_xlfn.XLOOKUP(TablaSTOCKINV[[#This Row],[SKU]],TablaINVENTARIO[SKU],TablaINVENTARIO[MARCA])</f>
        <v>ALLEN-BRADLEY</v>
      </c>
      <c r="D235" s="33" t="str">
        <f>_xlfn.XLOOKUP(TablaSTOCKINV[[#This Row],[SKU]],TablaINVENTARIO[SKU],TablaINVENTARIO[CATEGORIA])</f>
        <v xml:space="preserve">INFORMATICA </v>
      </c>
      <c r="E235" s="33" t="str">
        <f>_xlfn.XLOOKUP(TablaSTOCKINV[[#This Row],[SKU]],TablaINVENTARIO[SKU],TablaINVENTARIO[SUBCATEGORIA])</f>
        <v xml:space="preserve">PLACAS Y COMPONENTES </v>
      </c>
      <c r="F235" s="33" t="str">
        <f>_xlfn.XLOOKUP(TablaSTOCKINV[[#This Row],[SKU]],TablaINVENTARIO[SKU],TablaINVENTARIO[ESTADO])</f>
        <v xml:space="preserve">NUEVO </v>
      </c>
      <c r="G235" s="33" t="str">
        <f>_xlfn.XLOOKUP(TablaSTOCKINV[[#This Row],[SKU]],TablaINVENTARIO[SKU],TablaINVENTARIO[MEDIDA])</f>
        <v>UND</v>
      </c>
      <c r="H235" s="33" t="str">
        <f>_xlfn.XLOOKUP(TablaSTOCKINV[[#This Row],[SKU]],TablaINVENTARIO[SKU],TablaINVENTARIO[SERIAL])</f>
        <v>N/A</v>
      </c>
      <c r="I235" s="34" t="str">
        <f>_xlfn.XLOOKUP(TablaSTOCKINV[[#This Row],[SKU]],TablaINVENTARIO[SKU],TablaINVENTARIO[ALMACEN])</f>
        <v>ALMACEN PRINCIPAL</v>
      </c>
      <c r="J235" s="34" t="str">
        <f>_xlfn.XLOOKUP(TablaSTOCKINV[[#This Row],[SKU]],TablaINVENTARIO[SKU],TablaINVENTARIO[UBICACION])</f>
        <v>D3-2</v>
      </c>
      <c r="K235" s="34" t="str">
        <f>_xlfn.XLOOKUP(TablaSTOCKINV[[#This Row],[SKU]],TablaINVENTARIO[SKU],TablaINVENTARIO[DPTO RESPONSABLE])</f>
        <v>AIT</v>
      </c>
      <c r="L235" s="36">
        <f>_xlfn.XLOOKUP(TablaSTOCKINV[[#This Row],[SKU]],TablaINVENTARIO[SKU],TablaINVENTARIO[RANGO MIN])</f>
        <v>0</v>
      </c>
      <c r="M235" s="34" cm="1">
        <f t="array" ref="M235">_xlfn.IFS(TablaSTOCKINV[[#This Row],[CANT. TOTAL]]&lt;=0,1,TablaSTOCKINV[[#This Row],[CANT. TOTAL]]&lt;=TablaSTOCKINV[[#This Row],[MIN]],2,TablaSTOCKINV[[#This Row],[CANT. TOTAL]]&gt;TablaSTOCKINV[[#This Row],[MIN]],3)</f>
        <v>3</v>
      </c>
      <c r="N235" s="34">
        <f>TablaSTOCKINV[[#This Row],[ENTRADAS]]-TablaSTOCKINV[[#This Row],[SALIDAS]]</f>
        <v>6</v>
      </c>
      <c r="O235" s="35">
        <f>SUMIFS(TablaENTRADA[CANT],TablaENTRADA[SKU],TablaSTOCKINV[[#This Row],[SKU]])</f>
        <v>6</v>
      </c>
      <c r="P235" s="35">
        <f>SUMIFS(TablaSALIDA[CANT],TablaSALIDA[SKU],TablaSTOCKINV[[#This Row],[SKU]])</f>
        <v>0</v>
      </c>
      <c r="Q235" s="34">
        <f>_xlfn.XLOOKUP(TablaSTOCKINV[[#This Row],[SKU]],TablaINVENTARIO[SKU],TablaINVENTARIO[PRECIO])</f>
        <v>0</v>
      </c>
      <c r="R235" s="34">
        <f>TablaSTOCKINV[[#This Row],[P.UNITARIO]]*TablaSTOCKINV[[#This Row],[CANT. TOTAL]]</f>
        <v>0</v>
      </c>
      <c r="S235" s="44">
        <f>_xlfn.XLOOKUP(TablaSTOCKINV[[#This Row],[SKU]],TablaINVENTARIO[SKU],TablaINVENTARIO[FECHA INGRESO])</f>
        <v>46023</v>
      </c>
      <c r="T235" s="44">
        <f>_xlfn.XLOOKUP(TablaSTOCKINV[[#This Row],[SKU]],TablaENTRADA[SKU],TablaENTRADA[FECHA],,0,-1)</f>
        <v>46023</v>
      </c>
      <c r="U235" s="46" t="str">
        <f>IFERROR((_xlfn.XLOOKUP(TablaSTOCKINV[[#This Row],[SKU]],TablaSALIDA[SKU],TablaSALIDA[FECHA],,0,-1))," " )</f>
        <v xml:space="preserve"> </v>
      </c>
    </row>
    <row r="236" spans="1:21" x14ac:dyDescent="0.3">
      <c r="A236" s="27" t="s">
        <v>2576</v>
      </c>
      <c r="B236" s="32" t="str">
        <f>_xlfn.XLOOKUP(TablaSTOCKINV[[#This Row],[SKU]],TablaINVENTARIO[SKU],TablaINVENTARIO[DESCRIPCION])</f>
        <v>TERMINAL DE OPERADOR PANELVIEW PLUS 6 700 2711P-T7C4D8 (SERIE A)</v>
      </c>
      <c r="C236" s="32" t="str">
        <f>_xlfn.XLOOKUP(TablaSTOCKINV[[#This Row],[SKU]],TablaINVENTARIO[SKU],TablaINVENTARIO[MARCA])</f>
        <v>ALLEN-BRADLEY</v>
      </c>
      <c r="D236" s="33" t="str">
        <f>_xlfn.XLOOKUP(TablaSTOCKINV[[#This Row],[SKU]],TablaINVENTARIO[SKU],TablaINVENTARIO[CATEGORIA])</f>
        <v xml:space="preserve">INFORMATICA </v>
      </c>
      <c r="E236" s="33" t="str">
        <f>_xlfn.XLOOKUP(TablaSTOCKINV[[#This Row],[SKU]],TablaINVENTARIO[SKU],TablaINVENTARIO[SUBCATEGORIA])</f>
        <v xml:space="preserve">PLACAS Y COMPONENTES </v>
      </c>
      <c r="F236" s="33" t="str">
        <f>_xlfn.XLOOKUP(TablaSTOCKINV[[#This Row],[SKU]],TablaINVENTARIO[SKU],TablaINVENTARIO[ESTADO])</f>
        <v xml:space="preserve">NUEVO </v>
      </c>
      <c r="G236" s="33" t="str">
        <f>_xlfn.XLOOKUP(TablaSTOCKINV[[#This Row],[SKU]],TablaINVENTARIO[SKU],TablaINVENTARIO[MEDIDA])</f>
        <v>UND</v>
      </c>
      <c r="H236" s="33" t="str">
        <f>_xlfn.XLOOKUP(TablaSTOCKINV[[#This Row],[SKU]],TablaINVENTARIO[SKU],TablaINVENTARIO[SERIAL])</f>
        <v>N/A</v>
      </c>
      <c r="I236" s="34" t="str">
        <f>_xlfn.XLOOKUP(TablaSTOCKINV[[#This Row],[SKU]],TablaINVENTARIO[SKU],TablaINVENTARIO[ALMACEN])</f>
        <v>ALMACEN PRINCIPAL</v>
      </c>
      <c r="J236" s="34" t="str">
        <f>_xlfn.XLOOKUP(TablaSTOCKINV[[#This Row],[SKU]],TablaINVENTARIO[SKU],TablaINVENTARIO[UBICACION])</f>
        <v>D3-3</v>
      </c>
      <c r="K236" s="34" t="str">
        <f>_xlfn.XLOOKUP(TablaSTOCKINV[[#This Row],[SKU]],TablaINVENTARIO[SKU],TablaINVENTARIO[DPTO RESPONSABLE])</f>
        <v>AIT</v>
      </c>
      <c r="L236" s="36">
        <f>_xlfn.XLOOKUP(TablaSTOCKINV[[#This Row],[SKU]],TablaINVENTARIO[SKU],TablaINVENTARIO[RANGO MIN])</f>
        <v>0</v>
      </c>
      <c r="M236" s="34" cm="1">
        <f t="array" ref="M236">_xlfn.IFS(TablaSTOCKINV[[#This Row],[CANT. TOTAL]]&lt;=0,1,TablaSTOCKINV[[#This Row],[CANT. TOTAL]]&lt;=TablaSTOCKINV[[#This Row],[MIN]],2,TablaSTOCKINV[[#This Row],[CANT. TOTAL]]&gt;TablaSTOCKINV[[#This Row],[MIN]],3)</f>
        <v>3</v>
      </c>
      <c r="N236" s="34">
        <f>TablaSTOCKINV[[#This Row],[ENTRADAS]]-TablaSTOCKINV[[#This Row],[SALIDAS]]</f>
        <v>6</v>
      </c>
      <c r="O236" s="35">
        <f>SUMIFS(TablaENTRADA[CANT],TablaENTRADA[SKU],TablaSTOCKINV[[#This Row],[SKU]])</f>
        <v>6</v>
      </c>
      <c r="P236" s="35">
        <f>SUMIFS(TablaSALIDA[CANT],TablaSALIDA[SKU],TablaSTOCKINV[[#This Row],[SKU]])</f>
        <v>0</v>
      </c>
      <c r="Q236" s="34">
        <f>_xlfn.XLOOKUP(TablaSTOCKINV[[#This Row],[SKU]],TablaINVENTARIO[SKU],TablaINVENTARIO[PRECIO])</f>
        <v>0</v>
      </c>
      <c r="R236" s="34">
        <f>TablaSTOCKINV[[#This Row],[P.UNITARIO]]*TablaSTOCKINV[[#This Row],[CANT. TOTAL]]</f>
        <v>0</v>
      </c>
      <c r="S236" s="44">
        <f>_xlfn.XLOOKUP(TablaSTOCKINV[[#This Row],[SKU]],TablaINVENTARIO[SKU],TablaINVENTARIO[FECHA INGRESO])</f>
        <v>46023</v>
      </c>
      <c r="T236" s="44">
        <f>_xlfn.XLOOKUP(TablaSTOCKINV[[#This Row],[SKU]],TablaENTRADA[SKU],TablaENTRADA[FECHA],,0,-1)</f>
        <v>46023</v>
      </c>
      <c r="U236" s="46" t="str">
        <f>IFERROR((_xlfn.XLOOKUP(TablaSTOCKINV[[#This Row],[SKU]],TablaSALIDA[SKU],TablaSALIDA[FECHA],,0,-1))," " )</f>
        <v xml:space="preserve"> </v>
      </c>
    </row>
    <row r="237" spans="1:21" x14ac:dyDescent="0.3">
      <c r="A237" s="27" t="s">
        <v>2579</v>
      </c>
      <c r="B237" s="32" t="str">
        <f>_xlfn.XLOOKUP(TablaSTOCKINV[[#This Row],[SKU]],TablaINVENTARIO[SKU],TablaINVENTARIO[DESCRIPCION])</f>
        <v>MOUSE MODELO: M136</v>
      </c>
      <c r="C237" s="32" t="str">
        <f>_xlfn.XLOOKUP(TablaSTOCKINV[[#This Row],[SKU]],TablaINVENTARIO[SKU],TablaINVENTARIO[MARCA])</f>
        <v>DELUX</v>
      </c>
      <c r="D237" s="33" t="str">
        <f>_xlfn.XLOOKUP(TablaSTOCKINV[[#This Row],[SKU]],TablaINVENTARIO[SKU],TablaINVENTARIO[CATEGORIA])</f>
        <v xml:space="preserve">INFORMATICA </v>
      </c>
      <c r="E237" s="33" t="str">
        <f>_xlfn.XLOOKUP(TablaSTOCKINV[[#This Row],[SKU]],TablaINVENTARIO[SKU],TablaINVENTARIO[SUBCATEGORIA])</f>
        <v>PERIFERICOS</v>
      </c>
      <c r="F237" s="33" t="str">
        <f>_xlfn.XLOOKUP(TablaSTOCKINV[[#This Row],[SKU]],TablaINVENTARIO[SKU],TablaINVENTARIO[ESTADO])</f>
        <v>USADO</v>
      </c>
      <c r="G237" s="33" t="str">
        <f>_xlfn.XLOOKUP(TablaSTOCKINV[[#This Row],[SKU]],TablaINVENTARIO[SKU],TablaINVENTARIO[MEDIDA])</f>
        <v>UND</v>
      </c>
      <c r="H237" s="33" t="str">
        <f>_xlfn.XLOOKUP(TablaSTOCKINV[[#This Row],[SKU]],TablaINVENTARIO[SKU],TablaINVENTARIO[SERIAL])</f>
        <v>N/A</v>
      </c>
      <c r="I237" s="34" t="str">
        <f>_xlfn.XLOOKUP(TablaSTOCKINV[[#This Row],[SKU]],TablaINVENTARIO[SKU],TablaINVENTARIO[ALMACEN])</f>
        <v>ALMACEN PRINCIPAL</v>
      </c>
      <c r="J237" s="34" t="str">
        <f>_xlfn.XLOOKUP(TablaSTOCKINV[[#This Row],[SKU]],TablaINVENTARIO[SKU],TablaINVENTARIO[UBICACION])</f>
        <v>D2-2</v>
      </c>
      <c r="K237" s="34" t="str">
        <f>_xlfn.XLOOKUP(TablaSTOCKINV[[#This Row],[SKU]],TablaINVENTARIO[SKU],TablaINVENTARIO[DPTO RESPONSABLE])</f>
        <v>AIT</v>
      </c>
      <c r="L237" s="36">
        <f>_xlfn.XLOOKUP(TablaSTOCKINV[[#This Row],[SKU]],TablaINVENTARIO[SKU],TablaINVENTARIO[RANGO MIN])</f>
        <v>0</v>
      </c>
      <c r="M237" s="34" cm="1">
        <f t="array" ref="M237">_xlfn.IFS(TablaSTOCKINV[[#This Row],[CANT. TOTAL]]&lt;=0,1,TablaSTOCKINV[[#This Row],[CANT. TOTAL]]&lt;=TablaSTOCKINV[[#This Row],[MIN]],2,TablaSTOCKINV[[#This Row],[CANT. TOTAL]]&gt;TablaSTOCKINV[[#This Row],[MIN]],3)</f>
        <v>3</v>
      </c>
      <c r="N237" s="34">
        <f>TablaSTOCKINV[[#This Row],[ENTRADAS]]-TablaSTOCKINV[[#This Row],[SALIDAS]]</f>
        <v>1</v>
      </c>
      <c r="O237" s="35">
        <f>SUMIFS(TablaENTRADA[CANT],TablaENTRADA[SKU],TablaSTOCKINV[[#This Row],[SKU]])</f>
        <v>1</v>
      </c>
      <c r="P237" s="35">
        <f>SUMIFS(TablaSALIDA[CANT],TablaSALIDA[SKU],TablaSTOCKINV[[#This Row],[SKU]])</f>
        <v>0</v>
      </c>
      <c r="Q237" s="34">
        <f>_xlfn.XLOOKUP(TablaSTOCKINV[[#This Row],[SKU]],TablaINVENTARIO[SKU],TablaINVENTARIO[PRECIO])</f>
        <v>0</v>
      </c>
      <c r="R237" s="34">
        <f>TablaSTOCKINV[[#This Row],[P.UNITARIO]]*TablaSTOCKINV[[#This Row],[CANT. TOTAL]]</f>
        <v>0</v>
      </c>
      <c r="S237" s="44">
        <f>_xlfn.XLOOKUP(TablaSTOCKINV[[#This Row],[SKU]],TablaINVENTARIO[SKU],TablaINVENTARIO[FECHA INGRESO])</f>
        <v>46023</v>
      </c>
      <c r="T237" s="44">
        <f>_xlfn.XLOOKUP(TablaSTOCKINV[[#This Row],[SKU]],TablaENTRADA[SKU],TablaENTRADA[FECHA],,0,-1)</f>
        <v>46023</v>
      </c>
      <c r="U237" s="46" t="str">
        <f>IFERROR((_xlfn.XLOOKUP(TablaSTOCKINV[[#This Row],[SKU]],TablaSALIDA[SKU],TablaSALIDA[FECHA],,0,-1))," " )</f>
        <v xml:space="preserve"> </v>
      </c>
    </row>
    <row r="238" spans="1:21" x14ac:dyDescent="0.3">
      <c r="A238" s="27" t="s">
        <v>2582</v>
      </c>
      <c r="B238" s="32" t="str">
        <f>_xlfn.XLOOKUP(TablaSTOCKINV[[#This Row],[SKU]],TablaINVENTARIO[SKU],TablaINVENTARIO[DESCRIPCION])</f>
        <v xml:space="preserve">CLABLE USB A MICRO B RETRACTIBLE </v>
      </c>
      <c r="C238" s="32" t="str">
        <f>_xlfn.XLOOKUP(TablaSTOCKINV[[#This Row],[SKU]],TablaINVENTARIO[SKU],TablaINVENTARIO[MARCA])</f>
        <v xml:space="preserve">PICKENS </v>
      </c>
      <c r="D238" s="33" t="str">
        <f>_xlfn.XLOOKUP(TablaSTOCKINV[[#This Row],[SKU]],TablaINVENTARIO[SKU],TablaINVENTARIO[CATEGORIA])</f>
        <v xml:space="preserve">INFORMATICA </v>
      </c>
      <c r="E238" s="33" t="str">
        <f>_xlfn.XLOOKUP(TablaSTOCKINV[[#This Row],[SKU]],TablaINVENTARIO[SKU],TablaINVENTARIO[SUBCATEGORIA])</f>
        <v>PERIFERICOS</v>
      </c>
      <c r="F238" s="33" t="str">
        <f>_xlfn.XLOOKUP(TablaSTOCKINV[[#This Row],[SKU]],TablaINVENTARIO[SKU],TablaINVENTARIO[ESTADO])</f>
        <v>USADO</v>
      </c>
      <c r="G238" s="33" t="str">
        <f>_xlfn.XLOOKUP(TablaSTOCKINV[[#This Row],[SKU]],TablaINVENTARIO[SKU],TablaINVENTARIO[MEDIDA])</f>
        <v>UND</v>
      </c>
      <c r="H238" s="33" t="str">
        <f>_xlfn.XLOOKUP(TablaSTOCKINV[[#This Row],[SKU]],TablaINVENTARIO[SKU],TablaINVENTARIO[SERIAL])</f>
        <v>N/A</v>
      </c>
      <c r="I238" s="34" t="str">
        <f>_xlfn.XLOOKUP(TablaSTOCKINV[[#This Row],[SKU]],TablaINVENTARIO[SKU],TablaINVENTARIO[ALMACEN])</f>
        <v>ALMACEN PRINCIPAL</v>
      </c>
      <c r="J238" s="34" t="str">
        <f>_xlfn.XLOOKUP(TablaSTOCKINV[[#This Row],[SKU]],TablaINVENTARIO[SKU],TablaINVENTARIO[UBICACION])</f>
        <v>D2-2</v>
      </c>
      <c r="K238" s="34" t="str">
        <f>_xlfn.XLOOKUP(TablaSTOCKINV[[#This Row],[SKU]],TablaINVENTARIO[SKU],TablaINVENTARIO[DPTO RESPONSABLE])</f>
        <v>AIT</v>
      </c>
      <c r="L238" s="36">
        <f>_xlfn.XLOOKUP(TablaSTOCKINV[[#This Row],[SKU]],TablaINVENTARIO[SKU],TablaINVENTARIO[RANGO MIN])</f>
        <v>0</v>
      </c>
      <c r="M238" s="34" cm="1">
        <f t="array" ref="M238">_xlfn.IFS(TablaSTOCKINV[[#This Row],[CANT. TOTAL]]&lt;=0,1,TablaSTOCKINV[[#This Row],[CANT. TOTAL]]&lt;=TablaSTOCKINV[[#This Row],[MIN]],2,TablaSTOCKINV[[#This Row],[CANT. TOTAL]]&gt;TablaSTOCKINV[[#This Row],[MIN]],3)</f>
        <v>3</v>
      </c>
      <c r="N238" s="34">
        <f>TablaSTOCKINV[[#This Row],[ENTRADAS]]-TablaSTOCKINV[[#This Row],[SALIDAS]]</f>
        <v>1</v>
      </c>
      <c r="O238" s="35">
        <f>SUMIFS(TablaENTRADA[CANT],TablaENTRADA[SKU],TablaSTOCKINV[[#This Row],[SKU]])</f>
        <v>1</v>
      </c>
      <c r="P238" s="35">
        <f>SUMIFS(TablaSALIDA[CANT],TablaSALIDA[SKU],TablaSTOCKINV[[#This Row],[SKU]])</f>
        <v>0</v>
      </c>
      <c r="Q238" s="34">
        <f>_xlfn.XLOOKUP(TablaSTOCKINV[[#This Row],[SKU]],TablaINVENTARIO[SKU],TablaINVENTARIO[PRECIO])</f>
        <v>0</v>
      </c>
      <c r="R238" s="34">
        <f>TablaSTOCKINV[[#This Row],[P.UNITARIO]]*TablaSTOCKINV[[#This Row],[CANT. TOTAL]]</f>
        <v>0</v>
      </c>
      <c r="S238" s="44">
        <f>_xlfn.XLOOKUP(TablaSTOCKINV[[#This Row],[SKU]],TablaINVENTARIO[SKU],TablaINVENTARIO[FECHA INGRESO])</f>
        <v>46023</v>
      </c>
      <c r="T238" s="44">
        <f>_xlfn.XLOOKUP(TablaSTOCKINV[[#This Row],[SKU]],TablaENTRADA[SKU],TablaENTRADA[FECHA],,0,-1)</f>
        <v>46023</v>
      </c>
      <c r="U238" s="46" t="str">
        <f>IFERROR((_xlfn.XLOOKUP(TablaSTOCKINV[[#This Row],[SKU]],TablaSALIDA[SKU],TablaSALIDA[FECHA],,0,-1))," " )</f>
        <v xml:space="preserve"> </v>
      </c>
    </row>
    <row r="239" spans="1:21" x14ac:dyDescent="0.3">
      <c r="A239" s="27" t="s">
        <v>2585</v>
      </c>
      <c r="B239" s="32" t="str">
        <f>_xlfn.XLOOKUP(TablaSTOCKINV[[#This Row],[SKU]],TablaINVENTARIO[SKU],TablaINVENTARIO[DESCRIPCION])</f>
        <v>ETIQUETADORA MODELO: KL-60</v>
      </c>
      <c r="C239" s="32" t="str">
        <f>_xlfn.XLOOKUP(TablaSTOCKINV[[#This Row],[SKU]],TablaINVENTARIO[SKU],TablaINVENTARIO[MARCA])</f>
        <v>CASIO</v>
      </c>
      <c r="D239" s="33" t="str">
        <f>_xlfn.XLOOKUP(TablaSTOCKINV[[#This Row],[SKU]],TablaINVENTARIO[SKU],TablaINVENTARIO[CATEGORIA])</f>
        <v xml:space="preserve">INFORMATICA </v>
      </c>
      <c r="E239" s="33" t="str">
        <f>_xlfn.XLOOKUP(TablaSTOCKINV[[#This Row],[SKU]],TablaINVENTARIO[SKU],TablaINVENTARIO[SUBCATEGORIA])</f>
        <v>PERIFERICOS</v>
      </c>
      <c r="F239" s="33" t="str">
        <f>_xlfn.XLOOKUP(TablaSTOCKINV[[#This Row],[SKU]],TablaINVENTARIO[SKU],TablaINVENTARIO[ESTADO])</f>
        <v>USADO</v>
      </c>
      <c r="G239" s="33" t="str">
        <f>_xlfn.XLOOKUP(TablaSTOCKINV[[#This Row],[SKU]],TablaINVENTARIO[SKU],TablaINVENTARIO[MEDIDA])</f>
        <v>UND</v>
      </c>
      <c r="H239" s="33" t="str">
        <f>_xlfn.XLOOKUP(TablaSTOCKINV[[#This Row],[SKU]],TablaINVENTARIO[SKU],TablaINVENTARIO[SERIAL])</f>
        <v>N/A</v>
      </c>
      <c r="I239" s="34" t="str">
        <f>_xlfn.XLOOKUP(TablaSTOCKINV[[#This Row],[SKU]],TablaINVENTARIO[SKU],TablaINVENTARIO[ALMACEN])</f>
        <v>ALMACEN PRINCIPAL</v>
      </c>
      <c r="J239" s="34" t="str">
        <f>_xlfn.XLOOKUP(TablaSTOCKINV[[#This Row],[SKU]],TablaINVENTARIO[SKU],TablaINVENTARIO[UBICACION])</f>
        <v>D2-2</v>
      </c>
      <c r="K239" s="34" t="str">
        <f>_xlfn.XLOOKUP(TablaSTOCKINV[[#This Row],[SKU]],TablaINVENTARIO[SKU],TablaINVENTARIO[DPTO RESPONSABLE])</f>
        <v>AIT</v>
      </c>
      <c r="L239" s="36">
        <f>_xlfn.XLOOKUP(TablaSTOCKINV[[#This Row],[SKU]],TablaINVENTARIO[SKU],TablaINVENTARIO[RANGO MIN])</f>
        <v>0</v>
      </c>
      <c r="M239" s="34" cm="1">
        <f t="array" ref="M239">_xlfn.IFS(TablaSTOCKINV[[#This Row],[CANT. TOTAL]]&lt;=0,1,TablaSTOCKINV[[#This Row],[CANT. TOTAL]]&lt;=TablaSTOCKINV[[#This Row],[MIN]],2,TablaSTOCKINV[[#This Row],[CANT. TOTAL]]&gt;TablaSTOCKINV[[#This Row],[MIN]],3)</f>
        <v>3</v>
      </c>
      <c r="N239" s="34">
        <f>TablaSTOCKINV[[#This Row],[ENTRADAS]]-TablaSTOCKINV[[#This Row],[SALIDAS]]</f>
        <v>1</v>
      </c>
      <c r="O239" s="35">
        <f>SUMIFS(TablaENTRADA[CANT],TablaENTRADA[SKU],TablaSTOCKINV[[#This Row],[SKU]])</f>
        <v>1</v>
      </c>
      <c r="P239" s="35">
        <f>SUMIFS(TablaSALIDA[CANT],TablaSALIDA[SKU],TablaSTOCKINV[[#This Row],[SKU]])</f>
        <v>0</v>
      </c>
      <c r="Q239" s="34">
        <f>_xlfn.XLOOKUP(TablaSTOCKINV[[#This Row],[SKU]],TablaINVENTARIO[SKU],TablaINVENTARIO[PRECIO])</f>
        <v>0</v>
      </c>
      <c r="R239" s="34">
        <f>TablaSTOCKINV[[#This Row],[P.UNITARIO]]*TablaSTOCKINV[[#This Row],[CANT. TOTAL]]</f>
        <v>0</v>
      </c>
      <c r="S239" s="44">
        <f>_xlfn.XLOOKUP(TablaSTOCKINV[[#This Row],[SKU]],TablaINVENTARIO[SKU],TablaINVENTARIO[FECHA INGRESO])</f>
        <v>46023</v>
      </c>
      <c r="T239" s="44">
        <f>_xlfn.XLOOKUP(TablaSTOCKINV[[#This Row],[SKU]],TablaENTRADA[SKU],TablaENTRADA[FECHA],,0,-1)</f>
        <v>46023</v>
      </c>
      <c r="U239" s="46" t="str">
        <f>IFERROR((_xlfn.XLOOKUP(TablaSTOCKINV[[#This Row],[SKU]],TablaSALIDA[SKU],TablaSALIDA[FECHA],,0,-1))," " )</f>
        <v xml:space="preserve"> </v>
      </c>
    </row>
    <row r="240" spans="1:21" x14ac:dyDescent="0.3">
      <c r="A240" s="27" t="s">
        <v>2588</v>
      </c>
      <c r="B240" s="32" t="str">
        <f>_xlfn.XLOOKUP(TablaSTOCKINV[[#This Row],[SKU]],TablaINVENTARIO[SKU],TablaINVENTARIO[DESCRIPCION])</f>
        <v>CABLE EMISOR DE INFRAROJOS (IR BLASTER) MODELO: HP PART 5188-6293</v>
      </c>
      <c r="C240" s="32" t="str">
        <f>_xlfn.XLOOKUP(TablaSTOCKINV[[#This Row],[SKU]],TablaINVENTARIO[SKU],TablaINVENTARIO[MARCA])</f>
        <v>N/A</v>
      </c>
      <c r="D240" s="33" t="str">
        <f>_xlfn.XLOOKUP(TablaSTOCKINV[[#This Row],[SKU]],TablaINVENTARIO[SKU],TablaINVENTARIO[CATEGORIA])</f>
        <v xml:space="preserve">INFORMATICA </v>
      </c>
      <c r="E240" s="33" t="str">
        <f>_xlfn.XLOOKUP(TablaSTOCKINV[[#This Row],[SKU]],TablaINVENTARIO[SKU],TablaINVENTARIO[SUBCATEGORIA])</f>
        <v>PERIFERICOS</v>
      </c>
      <c r="F240" s="33" t="str">
        <f>_xlfn.XLOOKUP(TablaSTOCKINV[[#This Row],[SKU]],TablaINVENTARIO[SKU],TablaINVENTARIO[ESTADO])</f>
        <v xml:space="preserve">NUEVO </v>
      </c>
      <c r="G240" s="33" t="str">
        <f>_xlfn.XLOOKUP(TablaSTOCKINV[[#This Row],[SKU]],TablaINVENTARIO[SKU],TablaINVENTARIO[MEDIDA])</f>
        <v>UND</v>
      </c>
      <c r="H240" s="33" t="str">
        <f>_xlfn.XLOOKUP(TablaSTOCKINV[[#This Row],[SKU]],TablaINVENTARIO[SKU],TablaINVENTARIO[SERIAL])</f>
        <v>N/A</v>
      </c>
      <c r="I240" s="34" t="str">
        <f>_xlfn.XLOOKUP(TablaSTOCKINV[[#This Row],[SKU]],TablaINVENTARIO[SKU],TablaINVENTARIO[ALMACEN])</f>
        <v>ALMACEN PRINCIPAL</v>
      </c>
      <c r="J240" s="34" t="str">
        <f>_xlfn.XLOOKUP(TablaSTOCKINV[[#This Row],[SKU]],TablaINVENTARIO[SKU],TablaINVENTARIO[UBICACION])</f>
        <v>D2-2</v>
      </c>
      <c r="K240" s="34" t="str">
        <f>_xlfn.XLOOKUP(TablaSTOCKINV[[#This Row],[SKU]],TablaINVENTARIO[SKU],TablaINVENTARIO[DPTO RESPONSABLE])</f>
        <v>AIT</v>
      </c>
      <c r="L240" s="36">
        <f>_xlfn.XLOOKUP(TablaSTOCKINV[[#This Row],[SKU]],TablaINVENTARIO[SKU],TablaINVENTARIO[RANGO MIN])</f>
        <v>0</v>
      </c>
      <c r="M240" s="34" cm="1">
        <f t="array" ref="M240">_xlfn.IFS(TablaSTOCKINV[[#This Row],[CANT. TOTAL]]&lt;=0,1,TablaSTOCKINV[[#This Row],[CANT. TOTAL]]&lt;=TablaSTOCKINV[[#This Row],[MIN]],2,TablaSTOCKINV[[#This Row],[CANT. TOTAL]]&gt;TablaSTOCKINV[[#This Row],[MIN]],3)</f>
        <v>3</v>
      </c>
      <c r="N240" s="34">
        <f>TablaSTOCKINV[[#This Row],[ENTRADAS]]-TablaSTOCKINV[[#This Row],[SALIDAS]]</f>
        <v>1</v>
      </c>
      <c r="O240" s="35">
        <f>SUMIFS(TablaENTRADA[CANT],TablaENTRADA[SKU],TablaSTOCKINV[[#This Row],[SKU]])</f>
        <v>1</v>
      </c>
      <c r="P240" s="35">
        <f>SUMIFS(TablaSALIDA[CANT],TablaSALIDA[SKU],TablaSTOCKINV[[#This Row],[SKU]])</f>
        <v>0</v>
      </c>
      <c r="Q240" s="34">
        <f>_xlfn.XLOOKUP(TablaSTOCKINV[[#This Row],[SKU]],TablaINVENTARIO[SKU],TablaINVENTARIO[PRECIO])</f>
        <v>0</v>
      </c>
      <c r="R240" s="34">
        <f>TablaSTOCKINV[[#This Row],[P.UNITARIO]]*TablaSTOCKINV[[#This Row],[CANT. TOTAL]]</f>
        <v>0</v>
      </c>
      <c r="S240" s="44">
        <f>_xlfn.XLOOKUP(TablaSTOCKINV[[#This Row],[SKU]],TablaINVENTARIO[SKU],TablaINVENTARIO[FECHA INGRESO])</f>
        <v>46023</v>
      </c>
      <c r="T240" s="44">
        <f>_xlfn.XLOOKUP(TablaSTOCKINV[[#This Row],[SKU]],TablaENTRADA[SKU],TablaENTRADA[FECHA],,0,-1)</f>
        <v>46023</v>
      </c>
      <c r="U240" s="46" t="str">
        <f>IFERROR((_xlfn.XLOOKUP(TablaSTOCKINV[[#This Row],[SKU]],TablaSALIDA[SKU],TablaSALIDA[FECHA],,0,-1))," " )</f>
        <v xml:space="preserve"> </v>
      </c>
    </row>
    <row r="241" spans="1:21" x14ac:dyDescent="0.3">
      <c r="A241" s="27" t="s">
        <v>2590</v>
      </c>
      <c r="B241" s="32" t="str">
        <f>_xlfn.XLOOKUP(TablaSTOCKINV[[#This Row],[SKU]],TablaINVENTARIO[SKU],TablaINVENTARIO[DESCRIPCION])</f>
        <v>DISCO DURO DIAMOND MAX PLUS 9 MODELO; 6Y080M0STD</v>
      </c>
      <c r="C241" s="32" t="str">
        <f>_xlfn.XLOOKUP(TablaSTOCKINV[[#This Row],[SKU]],TablaINVENTARIO[SKU],TablaINVENTARIO[MARCA])</f>
        <v xml:space="preserve">MAXTOR </v>
      </c>
      <c r="D241" s="33" t="str">
        <f>_xlfn.XLOOKUP(TablaSTOCKINV[[#This Row],[SKU]],TablaINVENTARIO[SKU],TablaINVENTARIO[CATEGORIA])</f>
        <v xml:space="preserve">INFORMATICA </v>
      </c>
      <c r="E241" s="33" t="str">
        <f>_xlfn.XLOOKUP(TablaSTOCKINV[[#This Row],[SKU]],TablaINVENTARIO[SKU],TablaINVENTARIO[SUBCATEGORIA])</f>
        <v xml:space="preserve">PLACAS Y COMPONENTES </v>
      </c>
      <c r="F241" s="33" t="str">
        <f>_xlfn.XLOOKUP(TablaSTOCKINV[[#This Row],[SKU]],TablaINVENTARIO[SKU],TablaINVENTARIO[ESTADO])</f>
        <v>USADO</v>
      </c>
      <c r="G241" s="33" t="str">
        <f>_xlfn.XLOOKUP(TablaSTOCKINV[[#This Row],[SKU]],TablaINVENTARIO[SKU],TablaINVENTARIO[MEDIDA])</f>
        <v>UND</v>
      </c>
      <c r="H241" s="33" t="str">
        <f>_xlfn.XLOOKUP(TablaSTOCKINV[[#This Row],[SKU]],TablaINVENTARIO[SKU],TablaINVENTARIO[SERIAL])</f>
        <v>Y2L771EE</v>
      </c>
      <c r="I241" s="34" t="str">
        <f>_xlfn.XLOOKUP(TablaSTOCKINV[[#This Row],[SKU]],TablaINVENTARIO[SKU],TablaINVENTARIO[ALMACEN])</f>
        <v>ALMACEN PRINCIPAL</v>
      </c>
      <c r="J241" s="34" t="str">
        <f>_xlfn.XLOOKUP(TablaSTOCKINV[[#This Row],[SKU]],TablaINVENTARIO[SKU],TablaINVENTARIO[UBICACION])</f>
        <v>D2-3</v>
      </c>
      <c r="K241" s="34" t="str">
        <f>_xlfn.XLOOKUP(TablaSTOCKINV[[#This Row],[SKU]],TablaINVENTARIO[SKU],TablaINVENTARIO[DPTO RESPONSABLE])</f>
        <v>AIT</v>
      </c>
      <c r="L241" s="36">
        <f>_xlfn.XLOOKUP(TablaSTOCKINV[[#This Row],[SKU]],TablaINVENTARIO[SKU],TablaINVENTARIO[RANGO MIN])</f>
        <v>0</v>
      </c>
      <c r="M241" s="34" cm="1">
        <f t="array" ref="M241">_xlfn.IFS(TablaSTOCKINV[[#This Row],[CANT. TOTAL]]&lt;=0,1,TablaSTOCKINV[[#This Row],[CANT. TOTAL]]&lt;=TablaSTOCKINV[[#This Row],[MIN]],2,TablaSTOCKINV[[#This Row],[CANT. TOTAL]]&gt;TablaSTOCKINV[[#This Row],[MIN]],3)</f>
        <v>3</v>
      </c>
      <c r="N241" s="34">
        <f>TablaSTOCKINV[[#This Row],[ENTRADAS]]-TablaSTOCKINV[[#This Row],[SALIDAS]]</f>
        <v>1</v>
      </c>
      <c r="O241" s="35">
        <f>SUMIFS(TablaENTRADA[CANT],TablaENTRADA[SKU],TablaSTOCKINV[[#This Row],[SKU]])</f>
        <v>1</v>
      </c>
      <c r="P241" s="35">
        <f>SUMIFS(TablaSALIDA[CANT],TablaSALIDA[SKU],TablaSTOCKINV[[#This Row],[SKU]])</f>
        <v>0</v>
      </c>
      <c r="Q241" s="34">
        <f>_xlfn.XLOOKUP(TablaSTOCKINV[[#This Row],[SKU]],TablaINVENTARIO[SKU],TablaINVENTARIO[PRECIO])</f>
        <v>0</v>
      </c>
      <c r="R241" s="34">
        <f>TablaSTOCKINV[[#This Row],[P.UNITARIO]]*TablaSTOCKINV[[#This Row],[CANT. TOTAL]]</f>
        <v>0</v>
      </c>
      <c r="S241" s="44">
        <f>_xlfn.XLOOKUP(TablaSTOCKINV[[#This Row],[SKU]],TablaINVENTARIO[SKU],TablaINVENTARIO[FECHA INGRESO])</f>
        <v>46023</v>
      </c>
      <c r="T241" s="44">
        <f>_xlfn.XLOOKUP(TablaSTOCKINV[[#This Row],[SKU]],TablaENTRADA[SKU],TablaENTRADA[FECHA],,0,-1)</f>
        <v>46023</v>
      </c>
      <c r="U241" s="46" t="str">
        <f>IFERROR((_xlfn.XLOOKUP(TablaSTOCKINV[[#This Row],[SKU]],TablaSALIDA[SKU],TablaSALIDA[FECHA],,0,-1))," " )</f>
        <v xml:space="preserve"> </v>
      </c>
    </row>
    <row r="242" spans="1:21" x14ac:dyDescent="0.3">
      <c r="A242" s="27" t="s">
        <v>2594</v>
      </c>
      <c r="B242" s="32" t="str">
        <f>_xlfn.XLOOKUP(TablaSTOCKINV[[#This Row],[SKU]],TablaINVENTARIO[SKU],TablaINVENTARIO[DESCRIPCION])</f>
        <v>PLACA DE PRUEBAS MODELO: EIC-106</v>
      </c>
      <c r="C242" s="32" t="str">
        <f>_xlfn.XLOOKUP(TablaSTOCKINV[[#This Row],[SKU]],TablaINVENTARIO[SKU],TablaINVENTARIO[MARCA])</f>
        <v>MIYAKO</v>
      </c>
      <c r="D242" s="33" t="str">
        <f>_xlfn.XLOOKUP(TablaSTOCKINV[[#This Row],[SKU]],TablaINVENTARIO[SKU],TablaINVENTARIO[CATEGORIA])</f>
        <v xml:space="preserve">INFORMATICA </v>
      </c>
      <c r="E242" s="33" t="str">
        <f>_xlfn.XLOOKUP(TablaSTOCKINV[[#This Row],[SKU]],TablaINVENTARIO[SKU],TablaINVENTARIO[SUBCATEGORIA])</f>
        <v xml:space="preserve">PLACAS Y COMPONENTES </v>
      </c>
      <c r="F242" s="33" t="str">
        <f>_xlfn.XLOOKUP(TablaSTOCKINV[[#This Row],[SKU]],TablaINVENTARIO[SKU],TablaINVENTARIO[ESTADO])</f>
        <v>USADO</v>
      </c>
      <c r="G242" s="33" t="str">
        <f>_xlfn.XLOOKUP(TablaSTOCKINV[[#This Row],[SKU]],TablaINVENTARIO[SKU],TablaINVENTARIO[MEDIDA])</f>
        <v>UND</v>
      </c>
      <c r="H242" s="33" t="str">
        <f>_xlfn.XLOOKUP(TablaSTOCKINV[[#This Row],[SKU]],TablaINVENTARIO[SKU],TablaINVENTARIO[SERIAL])</f>
        <v>N/A</v>
      </c>
      <c r="I242" s="34" t="str">
        <f>_xlfn.XLOOKUP(TablaSTOCKINV[[#This Row],[SKU]],TablaINVENTARIO[SKU],TablaINVENTARIO[ALMACEN])</f>
        <v>ALMACEN PRINCIPAL</v>
      </c>
      <c r="J242" s="34" t="str">
        <f>_xlfn.XLOOKUP(TablaSTOCKINV[[#This Row],[SKU]],TablaINVENTARIO[SKU],TablaINVENTARIO[UBICACION])</f>
        <v>D2-3</v>
      </c>
      <c r="K242" s="34" t="str">
        <f>_xlfn.XLOOKUP(TablaSTOCKINV[[#This Row],[SKU]],TablaINVENTARIO[SKU],TablaINVENTARIO[DPTO RESPONSABLE])</f>
        <v>AIT</v>
      </c>
      <c r="L242" s="36">
        <f>_xlfn.XLOOKUP(TablaSTOCKINV[[#This Row],[SKU]],TablaINVENTARIO[SKU],TablaINVENTARIO[RANGO MIN])</f>
        <v>0</v>
      </c>
      <c r="M242" s="34" cm="1">
        <f t="array" ref="M242">_xlfn.IFS(TablaSTOCKINV[[#This Row],[CANT. TOTAL]]&lt;=0,1,TablaSTOCKINV[[#This Row],[CANT. TOTAL]]&lt;=TablaSTOCKINV[[#This Row],[MIN]],2,TablaSTOCKINV[[#This Row],[CANT. TOTAL]]&gt;TablaSTOCKINV[[#This Row],[MIN]],3)</f>
        <v>3</v>
      </c>
      <c r="N242" s="34">
        <f>TablaSTOCKINV[[#This Row],[ENTRADAS]]-TablaSTOCKINV[[#This Row],[SALIDAS]]</f>
        <v>1</v>
      </c>
      <c r="O242" s="35">
        <f>SUMIFS(TablaENTRADA[CANT],TablaENTRADA[SKU],TablaSTOCKINV[[#This Row],[SKU]])</f>
        <v>1</v>
      </c>
      <c r="P242" s="35">
        <f>SUMIFS(TablaSALIDA[CANT],TablaSALIDA[SKU],TablaSTOCKINV[[#This Row],[SKU]])</f>
        <v>0</v>
      </c>
      <c r="Q242" s="34">
        <f>_xlfn.XLOOKUP(TablaSTOCKINV[[#This Row],[SKU]],TablaINVENTARIO[SKU],TablaINVENTARIO[PRECIO])</f>
        <v>0</v>
      </c>
      <c r="R242" s="34">
        <f>TablaSTOCKINV[[#This Row],[P.UNITARIO]]*TablaSTOCKINV[[#This Row],[CANT. TOTAL]]</f>
        <v>0</v>
      </c>
      <c r="S242" s="44">
        <f>_xlfn.XLOOKUP(TablaSTOCKINV[[#This Row],[SKU]],TablaINVENTARIO[SKU],TablaINVENTARIO[FECHA INGRESO])</f>
        <v>46023</v>
      </c>
      <c r="T242" s="44">
        <f>_xlfn.XLOOKUP(TablaSTOCKINV[[#This Row],[SKU]],TablaENTRADA[SKU],TablaENTRADA[FECHA],,0,-1)</f>
        <v>46023</v>
      </c>
      <c r="U242" s="46" t="str">
        <f>IFERROR((_xlfn.XLOOKUP(TablaSTOCKINV[[#This Row],[SKU]],TablaSALIDA[SKU],TablaSALIDA[FECHA],,0,-1))," " )</f>
        <v xml:space="preserve"> </v>
      </c>
    </row>
    <row r="243" spans="1:21" x14ac:dyDescent="0.3">
      <c r="A243" s="27" t="s">
        <v>2597</v>
      </c>
      <c r="B243" s="32" t="str">
        <f>_xlfn.XLOOKUP(TablaSTOCKINV[[#This Row],[SKU]],TablaINVENTARIO[SKU],TablaINVENTARIO[DESCRIPCION])</f>
        <v>SERIAL I/O CARD</v>
      </c>
      <c r="C243" s="32" t="str">
        <f>_xlfn.XLOOKUP(TablaSTOCKINV[[#This Row],[SKU]],TablaINVENTARIO[SKU],TablaINVENTARIO[MARCA])</f>
        <v>N/A</v>
      </c>
      <c r="D243" s="33" t="str">
        <f>_xlfn.XLOOKUP(TablaSTOCKINV[[#This Row],[SKU]],TablaINVENTARIO[SKU],TablaINVENTARIO[CATEGORIA])</f>
        <v xml:space="preserve">INFORMATICA </v>
      </c>
      <c r="E243" s="33" t="str">
        <f>_xlfn.XLOOKUP(TablaSTOCKINV[[#This Row],[SKU]],TablaINVENTARIO[SKU],TablaINVENTARIO[SUBCATEGORIA])</f>
        <v>PERIFERICOS</v>
      </c>
      <c r="F243" s="33" t="str">
        <f>_xlfn.XLOOKUP(TablaSTOCKINV[[#This Row],[SKU]],TablaINVENTARIO[SKU],TablaINVENTARIO[ESTADO])</f>
        <v>USADO</v>
      </c>
      <c r="G243" s="33" t="str">
        <f>_xlfn.XLOOKUP(TablaSTOCKINV[[#This Row],[SKU]],TablaINVENTARIO[SKU],TablaINVENTARIO[MEDIDA])</f>
        <v>UND</v>
      </c>
      <c r="H243" s="33" t="str">
        <f>_xlfn.XLOOKUP(TablaSTOCKINV[[#This Row],[SKU]],TablaINVENTARIO[SKU],TablaINVENTARIO[SERIAL])</f>
        <v>N/A</v>
      </c>
      <c r="I243" s="34" t="str">
        <f>_xlfn.XLOOKUP(TablaSTOCKINV[[#This Row],[SKU]],TablaINVENTARIO[SKU],TablaINVENTARIO[ALMACEN])</f>
        <v>ALMACEN PRINCIPAL</v>
      </c>
      <c r="J243" s="34" t="str">
        <f>_xlfn.XLOOKUP(TablaSTOCKINV[[#This Row],[SKU]],TablaINVENTARIO[SKU],TablaINVENTARIO[UBICACION])</f>
        <v>D2-3</v>
      </c>
      <c r="K243" s="34" t="str">
        <f>_xlfn.XLOOKUP(TablaSTOCKINV[[#This Row],[SKU]],TablaINVENTARIO[SKU],TablaINVENTARIO[DPTO RESPONSABLE])</f>
        <v>AIT</v>
      </c>
      <c r="L243" s="36">
        <f>_xlfn.XLOOKUP(TablaSTOCKINV[[#This Row],[SKU]],TablaINVENTARIO[SKU],TablaINVENTARIO[RANGO MIN])</f>
        <v>0</v>
      </c>
      <c r="M243" s="34" cm="1">
        <f t="array" ref="M243">_xlfn.IFS(TablaSTOCKINV[[#This Row],[CANT. TOTAL]]&lt;=0,1,TablaSTOCKINV[[#This Row],[CANT. TOTAL]]&lt;=TablaSTOCKINV[[#This Row],[MIN]],2,TablaSTOCKINV[[#This Row],[CANT. TOTAL]]&gt;TablaSTOCKINV[[#This Row],[MIN]],3)</f>
        <v>3</v>
      </c>
      <c r="N243" s="34">
        <f>TablaSTOCKINV[[#This Row],[ENTRADAS]]-TablaSTOCKINV[[#This Row],[SALIDAS]]</f>
        <v>1</v>
      </c>
      <c r="O243" s="35">
        <f>SUMIFS(TablaENTRADA[CANT],TablaENTRADA[SKU],TablaSTOCKINV[[#This Row],[SKU]])</f>
        <v>1</v>
      </c>
      <c r="P243" s="35">
        <f>SUMIFS(TablaSALIDA[CANT],TablaSALIDA[SKU],TablaSTOCKINV[[#This Row],[SKU]])</f>
        <v>0</v>
      </c>
      <c r="Q243" s="34">
        <f>_xlfn.XLOOKUP(TablaSTOCKINV[[#This Row],[SKU]],TablaINVENTARIO[SKU],TablaINVENTARIO[PRECIO])</f>
        <v>0</v>
      </c>
      <c r="R243" s="34">
        <f>TablaSTOCKINV[[#This Row],[P.UNITARIO]]*TablaSTOCKINV[[#This Row],[CANT. TOTAL]]</f>
        <v>0</v>
      </c>
      <c r="S243" s="44">
        <f>_xlfn.XLOOKUP(TablaSTOCKINV[[#This Row],[SKU]],TablaINVENTARIO[SKU],TablaINVENTARIO[FECHA INGRESO])</f>
        <v>46023</v>
      </c>
      <c r="T243" s="44">
        <f>_xlfn.XLOOKUP(TablaSTOCKINV[[#This Row],[SKU]],TablaENTRADA[SKU],TablaENTRADA[FECHA],,0,-1)</f>
        <v>46023</v>
      </c>
      <c r="U243" s="46" t="str">
        <f>IFERROR((_xlfn.XLOOKUP(TablaSTOCKINV[[#This Row],[SKU]],TablaSALIDA[SKU],TablaSALIDA[FECHA],,0,-1))," " )</f>
        <v xml:space="preserve"> </v>
      </c>
    </row>
    <row r="244" spans="1:21" x14ac:dyDescent="0.3">
      <c r="A244" s="27" t="s">
        <v>2599</v>
      </c>
      <c r="B244" s="32" t="str">
        <f>_xlfn.XLOOKUP(TablaSTOCKINV[[#This Row],[SKU]],TablaINVENTARIO[SKU],TablaINVENTARIO[DESCRIPCION])</f>
        <v xml:space="preserve">CARCASA EXTERNA PARA DISCO DURO </v>
      </c>
      <c r="C244" s="32" t="str">
        <f>_xlfn.XLOOKUP(TablaSTOCKINV[[#This Row],[SKU]],TablaINVENTARIO[SKU],TablaINVENTARIO[MARCA])</f>
        <v>IBM</v>
      </c>
      <c r="D244" s="33" t="str">
        <f>_xlfn.XLOOKUP(TablaSTOCKINV[[#This Row],[SKU]],TablaINVENTARIO[SKU],TablaINVENTARIO[CATEGORIA])</f>
        <v xml:space="preserve">INFORMATICA </v>
      </c>
      <c r="E244" s="33" t="str">
        <f>_xlfn.XLOOKUP(TablaSTOCKINV[[#This Row],[SKU]],TablaINVENTARIO[SKU],TablaINVENTARIO[SUBCATEGORIA])</f>
        <v>PERIFERICOS</v>
      </c>
      <c r="F244" s="33" t="str">
        <f>_xlfn.XLOOKUP(TablaSTOCKINV[[#This Row],[SKU]],TablaINVENTARIO[SKU],TablaINVENTARIO[ESTADO])</f>
        <v>USADO</v>
      </c>
      <c r="G244" s="33" t="str">
        <f>_xlfn.XLOOKUP(TablaSTOCKINV[[#This Row],[SKU]],TablaINVENTARIO[SKU],TablaINVENTARIO[MEDIDA])</f>
        <v>UND</v>
      </c>
      <c r="H244" s="33" t="str">
        <f>_xlfn.XLOOKUP(TablaSTOCKINV[[#This Row],[SKU]],TablaINVENTARIO[SKU],TablaINVENTARIO[SERIAL])</f>
        <v>P017392</v>
      </c>
      <c r="I244" s="34" t="str">
        <f>_xlfn.XLOOKUP(TablaSTOCKINV[[#This Row],[SKU]],TablaINVENTARIO[SKU],TablaINVENTARIO[ALMACEN])</f>
        <v>ALMACEN PRINCIPAL</v>
      </c>
      <c r="J244" s="34" t="str">
        <f>_xlfn.XLOOKUP(TablaSTOCKINV[[#This Row],[SKU]],TablaINVENTARIO[SKU],TablaINVENTARIO[UBICACION])</f>
        <v>D2-3</v>
      </c>
      <c r="K244" s="34" t="str">
        <f>_xlfn.XLOOKUP(TablaSTOCKINV[[#This Row],[SKU]],TablaINVENTARIO[SKU],TablaINVENTARIO[DPTO RESPONSABLE])</f>
        <v>AIT</v>
      </c>
      <c r="L244" s="36">
        <f>_xlfn.XLOOKUP(TablaSTOCKINV[[#This Row],[SKU]],TablaINVENTARIO[SKU],TablaINVENTARIO[RANGO MIN])</f>
        <v>0</v>
      </c>
      <c r="M244" s="34" cm="1">
        <f t="array" ref="M244">_xlfn.IFS(TablaSTOCKINV[[#This Row],[CANT. TOTAL]]&lt;=0,1,TablaSTOCKINV[[#This Row],[CANT. TOTAL]]&lt;=TablaSTOCKINV[[#This Row],[MIN]],2,TablaSTOCKINV[[#This Row],[CANT. TOTAL]]&gt;TablaSTOCKINV[[#This Row],[MIN]],3)</f>
        <v>3</v>
      </c>
      <c r="N244" s="34">
        <f>TablaSTOCKINV[[#This Row],[ENTRADAS]]-TablaSTOCKINV[[#This Row],[SALIDAS]]</f>
        <v>1</v>
      </c>
      <c r="O244" s="35">
        <f>SUMIFS(TablaENTRADA[CANT],TablaENTRADA[SKU],TablaSTOCKINV[[#This Row],[SKU]])</f>
        <v>1</v>
      </c>
      <c r="P244" s="35">
        <f>SUMIFS(TablaSALIDA[CANT],TablaSALIDA[SKU],TablaSTOCKINV[[#This Row],[SKU]])</f>
        <v>0</v>
      </c>
      <c r="Q244" s="34">
        <f>_xlfn.XLOOKUP(TablaSTOCKINV[[#This Row],[SKU]],TablaINVENTARIO[SKU],TablaINVENTARIO[PRECIO])</f>
        <v>0</v>
      </c>
      <c r="R244" s="34">
        <f>TablaSTOCKINV[[#This Row],[P.UNITARIO]]*TablaSTOCKINV[[#This Row],[CANT. TOTAL]]</f>
        <v>0</v>
      </c>
      <c r="S244" s="44">
        <f>_xlfn.XLOOKUP(TablaSTOCKINV[[#This Row],[SKU]],TablaINVENTARIO[SKU],TablaINVENTARIO[FECHA INGRESO])</f>
        <v>46023</v>
      </c>
      <c r="T244" s="44">
        <f>_xlfn.XLOOKUP(TablaSTOCKINV[[#This Row],[SKU]],TablaENTRADA[SKU],TablaENTRADA[FECHA],,0,-1)</f>
        <v>46023</v>
      </c>
      <c r="U244" s="46" t="str">
        <f>IFERROR((_xlfn.XLOOKUP(TablaSTOCKINV[[#This Row],[SKU]],TablaSALIDA[SKU],TablaSALIDA[FECHA],,0,-1))," " )</f>
        <v xml:space="preserve"> </v>
      </c>
    </row>
    <row r="245" spans="1:21" x14ac:dyDescent="0.3">
      <c r="A245" s="27" t="s">
        <v>2603</v>
      </c>
      <c r="B245" s="32" t="str">
        <f>_xlfn.XLOOKUP(TablaSTOCKINV[[#This Row],[SKU]],TablaINVENTARIO[SKU],TablaINVENTARIO[DESCRIPCION])</f>
        <v xml:space="preserve">MIICRO CD </v>
      </c>
      <c r="C245" s="32" t="str">
        <f>_xlfn.XLOOKUP(TablaSTOCKINV[[#This Row],[SKU]],TablaINVENTARIO[SKU],TablaINVENTARIO[MARCA])</f>
        <v xml:space="preserve">KEY MEDIA </v>
      </c>
      <c r="D245" s="33" t="str">
        <f>_xlfn.XLOOKUP(TablaSTOCKINV[[#This Row],[SKU]],TablaINVENTARIO[SKU],TablaINVENTARIO[CATEGORIA])</f>
        <v xml:space="preserve">INFORMATICA </v>
      </c>
      <c r="E245" s="33" t="str">
        <f>_xlfn.XLOOKUP(TablaSTOCKINV[[#This Row],[SKU]],TablaINVENTARIO[SKU],TablaINVENTARIO[SUBCATEGORIA])</f>
        <v xml:space="preserve">DISPOSITIVO DE ALMACENAMIENO </v>
      </c>
      <c r="F245" s="33" t="str">
        <f>_xlfn.XLOOKUP(TablaSTOCKINV[[#This Row],[SKU]],TablaINVENTARIO[SKU],TablaINVENTARIO[ESTADO])</f>
        <v xml:space="preserve">NUEVO </v>
      </c>
      <c r="G245" s="33" t="str">
        <f>_xlfn.XLOOKUP(TablaSTOCKINV[[#This Row],[SKU]],TablaINVENTARIO[SKU],TablaINVENTARIO[MEDIDA])</f>
        <v>UND</v>
      </c>
      <c r="H245" s="33" t="str">
        <f>_xlfn.XLOOKUP(TablaSTOCKINV[[#This Row],[SKU]],TablaINVENTARIO[SKU],TablaINVENTARIO[SERIAL])</f>
        <v>N/A</v>
      </c>
      <c r="I245" s="34" t="str">
        <f>_xlfn.XLOOKUP(TablaSTOCKINV[[#This Row],[SKU]],TablaINVENTARIO[SKU],TablaINVENTARIO[ALMACEN])</f>
        <v>ALMACEN PRINCIPAL</v>
      </c>
      <c r="J245" s="34" t="str">
        <f>_xlfn.XLOOKUP(TablaSTOCKINV[[#This Row],[SKU]],TablaINVENTARIO[SKU],TablaINVENTARIO[UBICACION])</f>
        <v>D2-3</v>
      </c>
      <c r="K245" s="34" t="str">
        <f>_xlfn.XLOOKUP(TablaSTOCKINV[[#This Row],[SKU]],TablaINVENTARIO[SKU],TablaINVENTARIO[DPTO RESPONSABLE])</f>
        <v>AIT</v>
      </c>
      <c r="L245" s="36">
        <f>_xlfn.XLOOKUP(TablaSTOCKINV[[#This Row],[SKU]],TablaINVENTARIO[SKU],TablaINVENTARIO[RANGO MIN])</f>
        <v>0</v>
      </c>
      <c r="M245" s="34" cm="1">
        <f t="array" ref="M245">_xlfn.IFS(TablaSTOCKINV[[#This Row],[CANT. TOTAL]]&lt;=0,1,TablaSTOCKINV[[#This Row],[CANT. TOTAL]]&lt;=TablaSTOCKINV[[#This Row],[MIN]],2,TablaSTOCKINV[[#This Row],[CANT. TOTAL]]&gt;TablaSTOCKINV[[#This Row],[MIN]],3)</f>
        <v>3</v>
      </c>
      <c r="N245" s="34">
        <f>TablaSTOCKINV[[#This Row],[ENTRADAS]]-TablaSTOCKINV[[#This Row],[SALIDAS]]</f>
        <v>8</v>
      </c>
      <c r="O245" s="35">
        <f>SUMIFS(TablaENTRADA[CANT],TablaENTRADA[SKU],TablaSTOCKINV[[#This Row],[SKU]])</f>
        <v>8</v>
      </c>
      <c r="P245" s="35">
        <f>SUMIFS(TablaSALIDA[CANT],TablaSALIDA[SKU],TablaSTOCKINV[[#This Row],[SKU]])</f>
        <v>0</v>
      </c>
      <c r="Q245" s="34">
        <f>_xlfn.XLOOKUP(TablaSTOCKINV[[#This Row],[SKU]],TablaINVENTARIO[SKU],TablaINVENTARIO[PRECIO])</f>
        <v>0</v>
      </c>
      <c r="R245" s="34">
        <f>TablaSTOCKINV[[#This Row],[P.UNITARIO]]*TablaSTOCKINV[[#This Row],[CANT. TOTAL]]</f>
        <v>0</v>
      </c>
      <c r="S245" s="44">
        <f>_xlfn.XLOOKUP(TablaSTOCKINV[[#This Row],[SKU]],TablaINVENTARIO[SKU],TablaINVENTARIO[FECHA INGRESO])</f>
        <v>46023</v>
      </c>
      <c r="T245" s="44">
        <f>_xlfn.XLOOKUP(TablaSTOCKINV[[#This Row],[SKU]],TablaENTRADA[SKU],TablaENTRADA[FECHA],,0,-1)</f>
        <v>46023</v>
      </c>
      <c r="U245" s="46" t="str">
        <f>IFERROR((_xlfn.XLOOKUP(TablaSTOCKINV[[#This Row],[SKU]],TablaSALIDA[SKU],TablaSALIDA[FECHA],,0,-1))," " )</f>
        <v xml:space="preserve"> </v>
      </c>
    </row>
    <row r="246" spans="1:21" x14ac:dyDescent="0.3">
      <c r="A246" s="27" t="s">
        <v>2607</v>
      </c>
      <c r="B246" s="32" t="str">
        <f>_xlfn.XLOOKUP(TablaSTOCKINV[[#This Row],[SKU]],TablaINVENTARIO[SKU],TablaINVENTARIO[DESCRIPCION])</f>
        <v xml:space="preserve">BATERIA DE LAPTOP MODELO: PI06 </v>
      </c>
      <c r="C246" s="32" t="str">
        <f>_xlfn.XLOOKUP(TablaSTOCKINV[[#This Row],[SKU]],TablaINVENTARIO[SKU],TablaINVENTARIO[MARCA])</f>
        <v>HP</v>
      </c>
      <c r="D246" s="33" t="str">
        <f>_xlfn.XLOOKUP(TablaSTOCKINV[[#This Row],[SKU]],TablaINVENTARIO[SKU],TablaINVENTARIO[CATEGORIA])</f>
        <v xml:space="preserve">INFORMATICA </v>
      </c>
      <c r="E246" s="33" t="str">
        <f>_xlfn.XLOOKUP(TablaSTOCKINV[[#This Row],[SKU]],TablaINVENTARIO[SKU],TablaINVENTARIO[SUBCATEGORIA])</f>
        <v xml:space="preserve">COMPUTADORA </v>
      </c>
      <c r="F246" s="33" t="str">
        <f>_xlfn.XLOOKUP(TablaSTOCKINV[[#This Row],[SKU]],TablaINVENTARIO[SKU],TablaINVENTARIO[ESTADO])</f>
        <v>USADA</v>
      </c>
      <c r="G246" s="33" t="str">
        <f>_xlfn.XLOOKUP(TablaSTOCKINV[[#This Row],[SKU]],TablaINVENTARIO[SKU],TablaINVENTARIO[MEDIDA])</f>
        <v>UND</v>
      </c>
      <c r="H246" s="33" t="str">
        <f>_xlfn.XLOOKUP(TablaSTOCKINV[[#This Row],[SKU]],TablaINVENTARIO[SKU],TablaINVENTARIO[SERIAL])</f>
        <v>6DGAK13CFNKIQ</v>
      </c>
      <c r="I246" s="34" t="str">
        <f>_xlfn.XLOOKUP(TablaSTOCKINV[[#This Row],[SKU]],TablaINVENTARIO[SKU],TablaINVENTARIO[ALMACEN])</f>
        <v>ALMACEN PRINCIPAL</v>
      </c>
      <c r="J246" s="34" t="str">
        <f>_xlfn.XLOOKUP(TablaSTOCKINV[[#This Row],[SKU]],TablaINVENTARIO[SKU],TablaINVENTARIO[UBICACION])</f>
        <v>D2-3</v>
      </c>
      <c r="K246" s="34" t="str">
        <f>_xlfn.XLOOKUP(TablaSTOCKINV[[#This Row],[SKU]],TablaINVENTARIO[SKU],TablaINVENTARIO[DPTO RESPONSABLE])</f>
        <v>AIT</v>
      </c>
      <c r="L246" s="36">
        <f>_xlfn.XLOOKUP(TablaSTOCKINV[[#This Row],[SKU]],TablaINVENTARIO[SKU],TablaINVENTARIO[RANGO MIN])</f>
        <v>0</v>
      </c>
      <c r="M246" s="34" cm="1">
        <f t="array" ref="M246">_xlfn.IFS(TablaSTOCKINV[[#This Row],[CANT. TOTAL]]&lt;=0,1,TablaSTOCKINV[[#This Row],[CANT. TOTAL]]&lt;=TablaSTOCKINV[[#This Row],[MIN]],2,TablaSTOCKINV[[#This Row],[CANT. TOTAL]]&gt;TablaSTOCKINV[[#This Row],[MIN]],3)</f>
        <v>3</v>
      </c>
      <c r="N246" s="34">
        <f>TablaSTOCKINV[[#This Row],[ENTRADAS]]-TablaSTOCKINV[[#This Row],[SALIDAS]]</f>
        <v>1</v>
      </c>
      <c r="O246" s="35">
        <f>SUMIFS(TablaENTRADA[CANT],TablaENTRADA[SKU],TablaSTOCKINV[[#This Row],[SKU]])</f>
        <v>1</v>
      </c>
      <c r="P246" s="35">
        <f>SUMIFS(TablaSALIDA[CANT],TablaSALIDA[SKU],TablaSTOCKINV[[#This Row],[SKU]])</f>
        <v>0</v>
      </c>
      <c r="Q246" s="34">
        <f>_xlfn.XLOOKUP(TablaSTOCKINV[[#This Row],[SKU]],TablaINVENTARIO[SKU],TablaINVENTARIO[PRECIO])</f>
        <v>0</v>
      </c>
      <c r="R246" s="34">
        <f>TablaSTOCKINV[[#This Row],[P.UNITARIO]]*TablaSTOCKINV[[#This Row],[CANT. TOTAL]]</f>
        <v>0</v>
      </c>
      <c r="S246" s="44">
        <f>_xlfn.XLOOKUP(TablaSTOCKINV[[#This Row],[SKU]],TablaINVENTARIO[SKU],TablaINVENTARIO[FECHA INGRESO])</f>
        <v>46023</v>
      </c>
      <c r="T246" s="44">
        <f>_xlfn.XLOOKUP(TablaSTOCKINV[[#This Row],[SKU]],TablaENTRADA[SKU],TablaENTRADA[FECHA],,0,-1)</f>
        <v>46023</v>
      </c>
      <c r="U246" s="46" t="str">
        <f>IFERROR((_xlfn.XLOOKUP(TablaSTOCKINV[[#This Row],[SKU]],TablaSALIDA[SKU],TablaSALIDA[FECHA],,0,-1))," " )</f>
        <v xml:space="preserve"> </v>
      </c>
    </row>
    <row r="247" spans="1:21" x14ac:dyDescent="0.3">
      <c r="A247" s="27" t="s">
        <v>2611</v>
      </c>
      <c r="B247" s="32" t="str">
        <f>_xlfn.XLOOKUP(TablaSTOCKINV[[#This Row],[SKU]],TablaINVENTARIO[SKU],TablaINVENTARIO[DESCRIPCION])</f>
        <v>BATERIA DE LAPTOP MODELO: MU06</v>
      </c>
      <c r="C247" s="32" t="str">
        <f>_xlfn.XLOOKUP(TablaSTOCKINV[[#This Row],[SKU]],TablaINVENTARIO[SKU],TablaINVENTARIO[MARCA])</f>
        <v>HP</v>
      </c>
      <c r="D247" s="33" t="str">
        <f>_xlfn.XLOOKUP(TablaSTOCKINV[[#This Row],[SKU]],TablaINVENTARIO[SKU],TablaINVENTARIO[CATEGORIA])</f>
        <v xml:space="preserve">INFORMATICA </v>
      </c>
      <c r="E247" s="33" t="str">
        <f>_xlfn.XLOOKUP(TablaSTOCKINV[[#This Row],[SKU]],TablaINVENTARIO[SKU],TablaINVENTARIO[SUBCATEGORIA])</f>
        <v xml:space="preserve">COMPUTADORA </v>
      </c>
      <c r="F247" s="33" t="str">
        <f>_xlfn.XLOOKUP(TablaSTOCKINV[[#This Row],[SKU]],TablaINVENTARIO[SKU],TablaINVENTARIO[ESTADO])</f>
        <v>USADA</v>
      </c>
      <c r="G247" s="33" t="str">
        <f>_xlfn.XLOOKUP(TablaSTOCKINV[[#This Row],[SKU]],TablaINVENTARIO[SKU],TablaINVENTARIO[MEDIDA])</f>
        <v>UND</v>
      </c>
      <c r="H247" s="33" t="str">
        <f>_xlfn.XLOOKUP(TablaSTOCKINV[[#This Row],[SKU]],TablaINVENTARIO[SKU],TablaINVENTARIO[SERIAL])</f>
        <v>6CGFL11BB3KPNP</v>
      </c>
      <c r="I247" s="34" t="str">
        <f>_xlfn.XLOOKUP(TablaSTOCKINV[[#This Row],[SKU]],TablaINVENTARIO[SKU],TablaINVENTARIO[ALMACEN])</f>
        <v>ALMACEN PRINCIPAL</v>
      </c>
      <c r="J247" s="34" t="str">
        <f>_xlfn.XLOOKUP(TablaSTOCKINV[[#This Row],[SKU]],TablaINVENTARIO[SKU],TablaINVENTARIO[UBICACION])</f>
        <v>D2-3</v>
      </c>
      <c r="K247" s="34" t="str">
        <f>_xlfn.XLOOKUP(TablaSTOCKINV[[#This Row],[SKU]],TablaINVENTARIO[SKU],TablaINVENTARIO[DPTO RESPONSABLE])</f>
        <v>AIT</v>
      </c>
      <c r="L247" s="36">
        <f>_xlfn.XLOOKUP(TablaSTOCKINV[[#This Row],[SKU]],TablaINVENTARIO[SKU],TablaINVENTARIO[RANGO MIN])</f>
        <v>0</v>
      </c>
      <c r="M247" s="34" cm="1">
        <f t="array" ref="M247">_xlfn.IFS(TablaSTOCKINV[[#This Row],[CANT. TOTAL]]&lt;=0,1,TablaSTOCKINV[[#This Row],[CANT. TOTAL]]&lt;=TablaSTOCKINV[[#This Row],[MIN]],2,TablaSTOCKINV[[#This Row],[CANT. TOTAL]]&gt;TablaSTOCKINV[[#This Row],[MIN]],3)</f>
        <v>3</v>
      </c>
      <c r="N247" s="34">
        <f>TablaSTOCKINV[[#This Row],[ENTRADAS]]-TablaSTOCKINV[[#This Row],[SALIDAS]]</f>
        <v>1</v>
      </c>
      <c r="O247" s="35">
        <f>SUMIFS(TablaENTRADA[CANT],TablaENTRADA[SKU],TablaSTOCKINV[[#This Row],[SKU]])</f>
        <v>1</v>
      </c>
      <c r="P247" s="35">
        <f>SUMIFS(TablaSALIDA[CANT],TablaSALIDA[SKU],TablaSTOCKINV[[#This Row],[SKU]])</f>
        <v>0</v>
      </c>
      <c r="Q247" s="34">
        <f>_xlfn.XLOOKUP(TablaSTOCKINV[[#This Row],[SKU]],TablaINVENTARIO[SKU],TablaINVENTARIO[PRECIO])</f>
        <v>0</v>
      </c>
      <c r="R247" s="34">
        <f>TablaSTOCKINV[[#This Row],[P.UNITARIO]]*TablaSTOCKINV[[#This Row],[CANT. TOTAL]]</f>
        <v>0</v>
      </c>
      <c r="S247" s="44">
        <f>_xlfn.XLOOKUP(TablaSTOCKINV[[#This Row],[SKU]],TablaINVENTARIO[SKU],TablaINVENTARIO[FECHA INGRESO])</f>
        <v>46023</v>
      </c>
      <c r="T247" s="44">
        <f>_xlfn.XLOOKUP(TablaSTOCKINV[[#This Row],[SKU]],TablaENTRADA[SKU],TablaENTRADA[FECHA],,0,-1)</f>
        <v>46023</v>
      </c>
      <c r="U247" s="46" t="str">
        <f>IFERROR((_xlfn.XLOOKUP(TablaSTOCKINV[[#This Row],[SKU]],TablaSALIDA[SKU],TablaSALIDA[FECHA],,0,-1))," " )</f>
        <v xml:space="preserve"> </v>
      </c>
    </row>
    <row r="248" spans="1:21" x14ac:dyDescent="0.3">
      <c r="A248" s="27" t="s">
        <v>2614</v>
      </c>
      <c r="B248" s="32" t="str">
        <f>_xlfn.XLOOKUP(TablaSTOCKINV[[#This Row],[SKU]],TablaINVENTARIO[SKU],TablaINVENTARIO[DESCRIPCION])</f>
        <v>DISCO DUROMODELO: ST31081A</v>
      </c>
      <c r="C248" s="32" t="str">
        <f>_xlfn.XLOOKUP(TablaSTOCKINV[[#This Row],[SKU]],TablaINVENTARIO[SKU],TablaINVENTARIO[MARCA])</f>
        <v xml:space="preserve">SEAGATE </v>
      </c>
      <c r="D248" s="33" t="str">
        <f>_xlfn.XLOOKUP(TablaSTOCKINV[[#This Row],[SKU]],TablaINVENTARIO[SKU],TablaINVENTARIO[CATEGORIA])</f>
        <v xml:space="preserve">INFORMATICA </v>
      </c>
      <c r="E248" s="33" t="str">
        <f>_xlfn.XLOOKUP(TablaSTOCKINV[[#This Row],[SKU]],TablaINVENTARIO[SKU],TablaINVENTARIO[SUBCATEGORIA])</f>
        <v xml:space="preserve">PLACAS Y COMPONENTES </v>
      </c>
      <c r="F248" s="33" t="str">
        <f>_xlfn.XLOOKUP(TablaSTOCKINV[[#This Row],[SKU]],TablaINVENTARIO[SKU],TablaINVENTARIO[ESTADO])</f>
        <v>USADO</v>
      </c>
      <c r="G248" s="33" t="str">
        <f>_xlfn.XLOOKUP(TablaSTOCKINV[[#This Row],[SKU]],TablaINVENTARIO[SKU],TablaINVENTARIO[MEDIDA])</f>
        <v>UND</v>
      </c>
      <c r="H248" s="33" t="str">
        <f>_xlfn.XLOOKUP(TablaSTOCKINV[[#This Row],[SKU]],TablaINVENTARIO[SKU],TablaINVENTARIO[SERIAL])</f>
        <v>000175P0170028</v>
      </c>
      <c r="I248" s="34" t="str">
        <f>_xlfn.XLOOKUP(TablaSTOCKINV[[#This Row],[SKU]],TablaINVENTARIO[SKU],TablaINVENTARIO[ALMACEN])</f>
        <v>ALMACEN PRINCIPAL</v>
      </c>
      <c r="J248" s="34" t="str">
        <f>_xlfn.XLOOKUP(TablaSTOCKINV[[#This Row],[SKU]],TablaINVENTARIO[SKU],TablaINVENTARIO[UBICACION])</f>
        <v>D2-3</v>
      </c>
      <c r="K248" s="34" t="str">
        <f>_xlfn.XLOOKUP(TablaSTOCKINV[[#This Row],[SKU]],TablaINVENTARIO[SKU],TablaINVENTARIO[DPTO RESPONSABLE])</f>
        <v>AIT</v>
      </c>
      <c r="L248" s="36">
        <f>_xlfn.XLOOKUP(TablaSTOCKINV[[#This Row],[SKU]],TablaINVENTARIO[SKU],TablaINVENTARIO[RANGO MIN])</f>
        <v>0</v>
      </c>
      <c r="M248" s="34" cm="1">
        <f t="array" ref="M248">_xlfn.IFS(TablaSTOCKINV[[#This Row],[CANT. TOTAL]]&lt;=0,1,TablaSTOCKINV[[#This Row],[CANT. TOTAL]]&lt;=TablaSTOCKINV[[#This Row],[MIN]],2,TablaSTOCKINV[[#This Row],[CANT. TOTAL]]&gt;TablaSTOCKINV[[#This Row],[MIN]],3)</f>
        <v>3</v>
      </c>
      <c r="N248" s="34">
        <f>TablaSTOCKINV[[#This Row],[ENTRADAS]]-TablaSTOCKINV[[#This Row],[SALIDAS]]</f>
        <v>1</v>
      </c>
      <c r="O248" s="35">
        <f>SUMIFS(TablaENTRADA[CANT],TablaENTRADA[SKU],TablaSTOCKINV[[#This Row],[SKU]])</f>
        <v>1</v>
      </c>
      <c r="P248" s="35">
        <f>SUMIFS(TablaSALIDA[CANT],TablaSALIDA[SKU],TablaSTOCKINV[[#This Row],[SKU]])</f>
        <v>0</v>
      </c>
      <c r="Q248" s="34">
        <f>_xlfn.XLOOKUP(TablaSTOCKINV[[#This Row],[SKU]],TablaINVENTARIO[SKU],TablaINVENTARIO[PRECIO])</f>
        <v>0</v>
      </c>
      <c r="R248" s="34">
        <f>TablaSTOCKINV[[#This Row],[P.UNITARIO]]*TablaSTOCKINV[[#This Row],[CANT. TOTAL]]</f>
        <v>0</v>
      </c>
      <c r="S248" s="44">
        <f>_xlfn.XLOOKUP(TablaSTOCKINV[[#This Row],[SKU]],TablaINVENTARIO[SKU],TablaINVENTARIO[FECHA INGRESO])</f>
        <v>46023</v>
      </c>
      <c r="T248" s="44">
        <f>_xlfn.XLOOKUP(TablaSTOCKINV[[#This Row],[SKU]],TablaENTRADA[SKU],TablaENTRADA[FECHA],,0,-1)</f>
        <v>46023</v>
      </c>
      <c r="U248" s="46" t="str">
        <f>IFERROR((_xlfn.XLOOKUP(TablaSTOCKINV[[#This Row],[SKU]],TablaSALIDA[SKU],TablaSALIDA[FECHA],,0,-1))," " )</f>
        <v xml:space="preserve"> </v>
      </c>
    </row>
    <row r="249" spans="1:21" x14ac:dyDescent="0.3">
      <c r="A249" s="27" t="s">
        <v>2618</v>
      </c>
      <c r="B249" s="32" t="str">
        <f>_xlfn.XLOOKUP(TablaSTOCKINV[[#This Row],[SKU]],TablaINVENTARIO[SKU],TablaINVENTARIO[DESCRIPCION])</f>
        <v xml:space="preserve">MODULO DE LLENADO DE RANURA PARATARJETA 1756-N2 SERIE B </v>
      </c>
      <c r="C249" s="32" t="str">
        <f>_xlfn.XLOOKUP(TablaSTOCKINV[[#This Row],[SKU]],TablaINVENTARIO[SKU],TablaINVENTARIO[MARCA])</f>
        <v>ALLEN-BRADLEY</v>
      </c>
      <c r="D249" s="33" t="str">
        <f>_xlfn.XLOOKUP(TablaSTOCKINV[[#This Row],[SKU]],TablaINVENTARIO[SKU],TablaINVENTARIO[CATEGORIA])</f>
        <v xml:space="preserve">INFORMATICA </v>
      </c>
      <c r="E249" s="33" t="str">
        <f>_xlfn.XLOOKUP(TablaSTOCKINV[[#This Row],[SKU]],TablaINVENTARIO[SKU],TablaINVENTARIO[SUBCATEGORIA])</f>
        <v xml:space="preserve">PLACAS Y COMPONENTES </v>
      </c>
      <c r="F249" s="33" t="str">
        <f>_xlfn.XLOOKUP(TablaSTOCKINV[[#This Row],[SKU]],TablaINVENTARIO[SKU],TablaINVENTARIO[ESTADO])</f>
        <v xml:space="preserve">NUEVO </v>
      </c>
      <c r="G249" s="33" t="str">
        <f>_xlfn.XLOOKUP(TablaSTOCKINV[[#This Row],[SKU]],TablaINVENTARIO[SKU],TablaINVENTARIO[MEDIDA])</f>
        <v>UND</v>
      </c>
      <c r="H249" s="33" t="str">
        <f>_xlfn.XLOOKUP(TablaSTOCKINV[[#This Row],[SKU]],TablaINVENTARIO[SKU],TablaINVENTARIO[SERIAL])</f>
        <v>N/A</v>
      </c>
      <c r="I249" s="34" t="str">
        <f>_xlfn.XLOOKUP(TablaSTOCKINV[[#This Row],[SKU]],TablaINVENTARIO[SKU],TablaINVENTARIO[ALMACEN])</f>
        <v>ALMACEN PRINCIPAL</v>
      </c>
      <c r="J249" s="34" t="str">
        <f>_xlfn.XLOOKUP(TablaSTOCKINV[[#This Row],[SKU]],TablaINVENTARIO[SKU],TablaINVENTARIO[UBICACION])</f>
        <v>D2-3</v>
      </c>
      <c r="K249" s="34" t="str">
        <f>_xlfn.XLOOKUP(TablaSTOCKINV[[#This Row],[SKU]],TablaINVENTARIO[SKU],TablaINVENTARIO[DPTO RESPONSABLE])</f>
        <v>AIT</v>
      </c>
      <c r="L249" s="36">
        <f>_xlfn.XLOOKUP(TablaSTOCKINV[[#This Row],[SKU]],TablaINVENTARIO[SKU],TablaINVENTARIO[RANGO MIN])</f>
        <v>0</v>
      </c>
      <c r="M249" s="34" cm="1">
        <f t="array" ref="M249">_xlfn.IFS(TablaSTOCKINV[[#This Row],[CANT. TOTAL]]&lt;=0,1,TablaSTOCKINV[[#This Row],[CANT. TOTAL]]&lt;=TablaSTOCKINV[[#This Row],[MIN]],2,TablaSTOCKINV[[#This Row],[CANT. TOTAL]]&gt;TablaSTOCKINV[[#This Row],[MIN]],3)</f>
        <v>3</v>
      </c>
      <c r="N249" s="34">
        <f>TablaSTOCKINV[[#This Row],[ENTRADAS]]-TablaSTOCKINV[[#This Row],[SALIDAS]]</f>
        <v>29</v>
      </c>
      <c r="O249" s="35">
        <f>SUMIFS(TablaENTRADA[CANT],TablaENTRADA[SKU],TablaSTOCKINV[[#This Row],[SKU]])</f>
        <v>29</v>
      </c>
      <c r="P249" s="35">
        <f>SUMIFS(TablaSALIDA[CANT],TablaSALIDA[SKU],TablaSTOCKINV[[#This Row],[SKU]])</f>
        <v>0</v>
      </c>
      <c r="Q249" s="34">
        <f>_xlfn.XLOOKUP(TablaSTOCKINV[[#This Row],[SKU]],TablaINVENTARIO[SKU],TablaINVENTARIO[PRECIO])</f>
        <v>0</v>
      </c>
      <c r="R249" s="34">
        <f>TablaSTOCKINV[[#This Row],[P.UNITARIO]]*TablaSTOCKINV[[#This Row],[CANT. TOTAL]]</f>
        <v>0</v>
      </c>
      <c r="S249" s="44">
        <f>_xlfn.XLOOKUP(TablaSTOCKINV[[#This Row],[SKU]],TablaINVENTARIO[SKU],TablaINVENTARIO[FECHA INGRESO])</f>
        <v>46023</v>
      </c>
      <c r="T249" s="44">
        <f>_xlfn.XLOOKUP(TablaSTOCKINV[[#This Row],[SKU]],TablaENTRADA[SKU],TablaENTRADA[FECHA],,0,-1)</f>
        <v>46023</v>
      </c>
      <c r="U249" s="46" t="str">
        <f>IFERROR((_xlfn.XLOOKUP(TablaSTOCKINV[[#This Row],[SKU]],TablaSALIDA[SKU],TablaSALIDA[FECHA],,0,-1))," " )</f>
        <v xml:space="preserve"> </v>
      </c>
    </row>
    <row r="250" spans="1:21" x14ac:dyDescent="0.3">
      <c r="A250" s="27" t="s">
        <v>2620</v>
      </c>
      <c r="B250" s="32" t="str">
        <f>_xlfn.XLOOKUP(TablaSTOCKINV[[#This Row],[SKU]],TablaINVENTARIO[SKU],TablaINVENTARIO[DESCRIPCION])</f>
        <v xml:space="preserve">MODULO DE LLENADO DE RANURA PARATARJETA 1756-TBCH SERIE A </v>
      </c>
      <c r="C250" s="32" t="str">
        <f>_xlfn.XLOOKUP(TablaSTOCKINV[[#This Row],[SKU]],TablaINVENTARIO[SKU],TablaINVENTARIO[MARCA])</f>
        <v>ALLEN-BRADLEY</v>
      </c>
      <c r="D250" s="33" t="str">
        <f>_xlfn.XLOOKUP(TablaSTOCKINV[[#This Row],[SKU]],TablaINVENTARIO[SKU],TablaINVENTARIO[CATEGORIA])</f>
        <v xml:space="preserve">INFORMATICA </v>
      </c>
      <c r="E250" s="33" t="str">
        <f>_xlfn.XLOOKUP(TablaSTOCKINV[[#This Row],[SKU]],TablaINVENTARIO[SKU],TablaINVENTARIO[SUBCATEGORIA])</f>
        <v xml:space="preserve">PLACAS Y COMPONENTES </v>
      </c>
      <c r="F250" s="33" t="str">
        <f>_xlfn.XLOOKUP(TablaSTOCKINV[[#This Row],[SKU]],TablaINVENTARIO[SKU],TablaINVENTARIO[ESTADO])</f>
        <v xml:space="preserve">NUEVO </v>
      </c>
      <c r="G250" s="33" t="str">
        <f>_xlfn.XLOOKUP(TablaSTOCKINV[[#This Row],[SKU]],TablaINVENTARIO[SKU],TablaINVENTARIO[MEDIDA])</f>
        <v>UND</v>
      </c>
      <c r="H250" s="33" t="str">
        <f>_xlfn.XLOOKUP(TablaSTOCKINV[[#This Row],[SKU]],TablaINVENTARIO[SKU],TablaINVENTARIO[SERIAL])</f>
        <v>N/A</v>
      </c>
      <c r="I250" s="34" t="str">
        <f>_xlfn.XLOOKUP(TablaSTOCKINV[[#This Row],[SKU]],TablaINVENTARIO[SKU],TablaINVENTARIO[ALMACEN])</f>
        <v>ALMACEN PRINCIPAL</v>
      </c>
      <c r="J250" s="34" t="str">
        <f>_xlfn.XLOOKUP(TablaSTOCKINV[[#This Row],[SKU]],TablaINVENTARIO[SKU],TablaINVENTARIO[UBICACION])</f>
        <v>D2-3</v>
      </c>
      <c r="K250" s="34" t="str">
        <f>_xlfn.XLOOKUP(TablaSTOCKINV[[#This Row],[SKU]],TablaINVENTARIO[SKU],TablaINVENTARIO[DPTO RESPONSABLE])</f>
        <v>AIT</v>
      </c>
      <c r="L250" s="36">
        <f>_xlfn.XLOOKUP(TablaSTOCKINV[[#This Row],[SKU]],TablaINVENTARIO[SKU],TablaINVENTARIO[RANGO MIN])</f>
        <v>0</v>
      </c>
      <c r="M250" s="34" cm="1">
        <f t="array" ref="M250">_xlfn.IFS(TablaSTOCKINV[[#This Row],[CANT. TOTAL]]&lt;=0,1,TablaSTOCKINV[[#This Row],[CANT. TOTAL]]&lt;=TablaSTOCKINV[[#This Row],[MIN]],2,TablaSTOCKINV[[#This Row],[CANT. TOTAL]]&gt;TablaSTOCKINV[[#This Row],[MIN]],3)</f>
        <v>3</v>
      </c>
      <c r="N250" s="34">
        <f>TablaSTOCKINV[[#This Row],[ENTRADAS]]-TablaSTOCKINV[[#This Row],[SALIDAS]]</f>
        <v>33</v>
      </c>
      <c r="O250" s="35">
        <f>SUMIFS(TablaENTRADA[CANT],TablaENTRADA[SKU],TablaSTOCKINV[[#This Row],[SKU]])</f>
        <v>33</v>
      </c>
      <c r="P250" s="35">
        <f>SUMIFS(TablaSALIDA[CANT],TablaSALIDA[SKU],TablaSTOCKINV[[#This Row],[SKU]])</f>
        <v>0</v>
      </c>
      <c r="Q250" s="34">
        <f>_xlfn.XLOOKUP(TablaSTOCKINV[[#This Row],[SKU]],TablaINVENTARIO[SKU],TablaINVENTARIO[PRECIO])</f>
        <v>0</v>
      </c>
      <c r="R250" s="34">
        <f>TablaSTOCKINV[[#This Row],[P.UNITARIO]]*TablaSTOCKINV[[#This Row],[CANT. TOTAL]]</f>
        <v>0</v>
      </c>
      <c r="S250" s="44">
        <f>_xlfn.XLOOKUP(TablaSTOCKINV[[#This Row],[SKU]],TablaINVENTARIO[SKU],TablaINVENTARIO[FECHA INGRESO])</f>
        <v>46023</v>
      </c>
      <c r="T250" s="44">
        <f>_xlfn.XLOOKUP(TablaSTOCKINV[[#This Row],[SKU]],TablaENTRADA[SKU],TablaENTRADA[FECHA],,0,-1)</f>
        <v>46023</v>
      </c>
      <c r="U250" s="46" t="str">
        <f>IFERROR((_xlfn.XLOOKUP(TablaSTOCKINV[[#This Row],[SKU]],TablaSALIDA[SKU],TablaSALIDA[FECHA],,0,-1))," " )</f>
        <v xml:space="preserve"> </v>
      </c>
    </row>
    <row r="251" spans="1:21" x14ac:dyDescent="0.3">
      <c r="A251" s="27" t="s">
        <v>2622</v>
      </c>
      <c r="B251" s="32" t="str">
        <f>_xlfn.XLOOKUP(TablaSTOCKINV[[#This Row],[SKU]],TablaINVENTARIO[SKU],TablaINVENTARIO[DESCRIPCION])</f>
        <v xml:space="preserve">CABLE VGA MACHO A MACHO </v>
      </c>
      <c r="C251" s="32" t="str">
        <f>_xlfn.XLOOKUP(TablaSTOCKINV[[#This Row],[SKU]],TablaINVENTARIO[SKU],TablaINVENTARIO[MARCA])</f>
        <v>N/A</v>
      </c>
      <c r="D251" s="33" t="str">
        <f>_xlfn.XLOOKUP(TablaSTOCKINV[[#This Row],[SKU]],TablaINVENTARIO[SKU],TablaINVENTARIO[CATEGORIA])</f>
        <v xml:space="preserve">INFORMATICA </v>
      </c>
      <c r="E251" s="33" t="str">
        <f>_xlfn.XLOOKUP(TablaSTOCKINV[[#This Row],[SKU]],TablaINVENTARIO[SKU],TablaINVENTARIO[SUBCATEGORIA])</f>
        <v>PERIFERICOS</v>
      </c>
      <c r="F251" s="33" t="str">
        <f>_xlfn.XLOOKUP(TablaSTOCKINV[[#This Row],[SKU]],TablaINVENTARIO[SKU],TablaINVENTARIO[ESTADO])</f>
        <v xml:space="preserve">NUEVO </v>
      </c>
      <c r="G251" s="33" t="str">
        <f>_xlfn.XLOOKUP(TablaSTOCKINV[[#This Row],[SKU]],TablaINVENTARIO[SKU],TablaINVENTARIO[MEDIDA])</f>
        <v>UND</v>
      </c>
      <c r="H251" s="33" t="str">
        <f>_xlfn.XLOOKUP(TablaSTOCKINV[[#This Row],[SKU]],TablaINVENTARIO[SKU],TablaINVENTARIO[SERIAL])</f>
        <v>N/A</v>
      </c>
      <c r="I251" s="34" t="str">
        <f>_xlfn.XLOOKUP(TablaSTOCKINV[[#This Row],[SKU]],TablaINVENTARIO[SKU],TablaINVENTARIO[ALMACEN])</f>
        <v>ALMACEN PRINCIPAL</v>
      </c>
      <c r="J251" s="34" t="str">
        <f>_xlfn.XLOOKUP(TablaSTOCKINV[[#This Row],[SKU]],TablaINVENTARIO[SKU],TablaINVENTARIO[UBICACION])</f>
        <v>D1-2</v>
      </c>
      <c r="K251" s="34" t="str">
        <f>_xlfn.XLOOKUP(TablaSTOCKINV[[#This Row],[SKU]],TablaINVENTARIO[SKU],TablaINVENTARIO[DPTO RESPONSABLE])</f>
        <v>AIT</v>
      </c>
      <c r="L251" s="36">
        <f>_xlfn.XLOOKUP(TablaSTOCKINV[[#This Row],[SKU]],TablaINVENTARIO[SKU],TablaINVENTARIO[RANGO MIN])</f>
        <v>0</v>
      </c>
      <c r="M251" s="34" cm="1">
        <f t="array" ref="M251">_xlfn.IFS(TablaSTOCKINV[[#This Row],[CANT. TOTAL]]&lt;=0,1,TablaSTOCKINV[[#This Row],[CANT. TOTAL]]&lt;=TablaSTOCKINV[[#This Row],[MIN]],2,TablaSTOCKINV[[#This Row],[CANT. TOTAL]]&gt;TablaSTOCKINV[[#This Row],[MIN]],3)</f>
        <v>3</v>
      </c>
      <c r="N251" s="34">
        <f>TablaSTOCKINV[[#This Row],[ENTRADAS]]-TablaSTOCKINV[[#This Row],[SALIDAS]]</f>
        <v>9</v>
      </c>
      <c r="O251" s="35">
        <f>SUMIFS(TablaENTRADA[CANT],TablaENTRADA[SKU],TablaSTOCKINV[[#This Row],[SKU]])</f>
        <v>9</v>
      </c>
      <c r="P251" s="35">
        <f>SUMIFS(TablaSALIDA[CANT],TablaSALIDA[SKU],TablaSTOCKINV[[#This Row],[SKU]])</f>
        <v>0</v>
      </c>
      <c r="Q251" s="34">
        <f>_xlfn.XLOOKUP(TablaSTOCKINV[[#This Row],[SKU]],TablaINVENTARIO[SKU],TablaINVENTARIO[PRECIO])</f>
        <v>0</v>
      </c>
      <c r="R251" s="34">
        <f>TablaSTOCKINV[[#This Row],[P.UNITARIO]]*TablaSTOCKINV[[#This Row],[CANT. TOTAL]]</f>
        <v>0</v>
      </c>
      <c r="S251" s="44">
        <f>_xlfn.XLOOKUP(TablaSTOCKINV[[#This Row],[SKU]],TablaINVENTARIO[SKU],TablaINVENTARIO[FECHA INGRESO])</f>
        <v>46023</v>
      </c>
      <c r="T251" s="44">
        <f>_xlfn.XLOOKUP(TablaSTOCKINV[[#This Row],[SKU]],TablaENTRADA[SKU],TablaENTRADA[FECHA],,0,-1)</f>
        <v>46023</v>
      </c>
      <c r="U251" s="46" t="str">
        <f>IFERROR((_xlfn.XLOOKUP(TablaSTOCKINV[[#This Row],[SKU]],TablaSALIDA[SKU],TablaSALIDA[FECHA],,0,-1))," " )</f>
        <v xml:space="preserve"> </v>
      </c>
    </row>
    <row r="252" spans="1:21" x14ac:dyDescent="0.3">
      <c r="A252" s="27" t="s">
        <v>2624</v>
      </c>
      <c r="B252" s="32" t="str">
        <f>_xlfn.XLOOKUP(TablaSTOCKINV[[#This Row],[SKU]],TablaINVENTARIO[SKU],TablaINVENTARIO[DESCRIPCION])</f>
        <v xml:space="preserve">CABLE VGA CON CONECTOR DE RED </v>
      </c>
      <c r="C252" s="32" t="str">
        <f>_xlfn.XLOOKUP(TablaSTOCKINV[[#This Row],[SKU]],TablaINVENTARIO[SKU],TablaINVENTARIO[MARCA])</f>
        <v>N/A</v>
      </c>
      <c r="D252" s="33" t="str">
        <f>_xlfn.XLOOKUP(TablaSTOCKINV[[#This Row],[SKU]],TablaINVENTARIO[SKU],TablaINVENTARIO[CATEGORIA])</f>
        <v xml:space="preserve">INFORMATICA </v>
      </c>
      <c r="E252" s="33" t="str">
        <f>_xlfn.XLOOKUP(TablaSTOCKINV[[#This Row],[SKU]],TablaINVENTARIO[SKU],TablaINVENTARIO[SUBCATEGORIA])</f>
        <v>PERIFERICOS</v>
      </c>
      <c r="F252" s="33" t="str">
        <f>_xlfn.XLOOKUP(TablaSTOCKINV[[#This Row],[SKU]],TablaINVENTARIO[SKU],TablaINVENTARIO[ESTADO])</f>
        <v xml:space="preserve">NUEVO </v>
      </c>
      <c r="G252" s="33" t="str">
        <f>_xlfn.XLOOKUP(TablaSTOCKINV[[#This Row],[SKU]],TablaINVENTARIO[SKU],TablaINVENTARIO[MEDIDA])</f>
        <v>UND</v>
      </c>
      <c r="H252" s="33" t="str">
        <f>_xlfn.XLOOKUP(TablaSTOCKINV[[#This Row],[SKU]],TablaINVENTARIO[SKU],TablaINVENTARIO[SERIAL])</f>
        <v>N/A</v>
      </c>
      <c r="I252" s="34" t="str">
        <f>_xlfn.XLOOKUP(TablaSTOCKINV[[#This Row],[SKU]],TablaINVENTARIO[SKU],TablaINVENTARIO[ALMACEN])</f>
        <v>ALMACEN PRINCIPAL</v>
      </c>
      <c r="J252" s="34" t="str">
        <f>_xlfn.XLOOKUP(TablaSTOCKINV[[#This Row],[SKU]],TablaINVENTARIO[SKU],TablaINVENTARIO[UBICACION])</f>
        <v>D1-2</v>
      </c>
      <c r="K252" s="34" t="str">
        <f>_xlfn.XLOOKUP(TablaSTOCKINV[[#This Row],[SKU]],TablaINVENTARIO[SKU],TablaINVENTARIO[DPTO RESPONSABLE])</f>
        <v>AIT</v>
      </c>
      <c r="L252" s="36">
        <f>_xlfn.XLOOKUP(TablaSTOCKINV[[#This Row],[SKU]],TablaINVENTARIO[SKU],TablaINVENTARIO[RANGO MIN])</f>
        <v>0</v>
      </c>
      <c r="M252" s="34" cm="1">
        <f t="array" ref="M252">_xlfn.IFS(TablaSTOCKINV[[#This Row],[CANT. TOTAL]]&lt;=0,1,TablaSTOCKINV[[#This Row],[CANT. TOTAL]]&lt;=TablaSTOCKINV[[#This Row],[MIN]],2,TablaSTOCKINV[[#This Row],[CANT. TOTAL]]&gt;TablaSTOCKINV[[#This Row],[MIN]],3)</f>
        <v>3</v>
      </c>
      <c r="N252" s="34">
        <f>TablaSTOCKINV[[#This Row],[ENTRADAS]]-TablaSTOCKINV[[#This Row],[SALIDAS]]</f>
        <v>4</v>
      </c>
      <c r="O252" s="35">
        <f>SUMIFS(TablaENTRADA[CANT],TablaENTRADA[SKU],TablaSTOCKINV[[#This Row],[SKU]])</f>
        <v>4</v>
      </c>
      <c r="P252" s="35">
        <f>SUMIFS(TablaSALIDA[CANT],TablaSALIDA[SKU],TablaSTOCKINV[[#This Row],[SKU]])</f>
        <v>0</v>
      </c>
      <c r="Q252" s="34">
        <f>_xlfn.XLOOKUP(TablaSTOCKINV[[#This Row],[SKU]],TablaINVENTARIO[SKU],TablaINVENTARIO[PRECIO])</f>
        <v>0</v>
      </c>
      <c r="R252" s="34">
        <f>TablaSTOCKINV[[#This Row],[P.UNITARIO]]*TablaSTOCKINV[[#This Row],[CANT. TOTAL]]</f>
        <v>0</v>
      </c>
      <c r="S252" s="44">
        <f>_xlfn.XLOOKUP(TablaSTOCKINV[[#This Row],[SKU]],TablaINVENTARIO[SKU],TablaINVENTARIO[FECHA INGRESO])</f>
        <v>46023</v>
      </c>
      <c r="T252" s="44">
        <f>_xlfn.XLOOKUP(TablaSTOCKINV[[#This Row],[SKU]],TablaENTRADA[SKU],TablaENTRADA[FECHA],,0,-1)</f>
        <v>46023</v>
      </c>
      <c r="U252" s="46" t="str">
        <f>IFERROR((_xlfn.XLOOKUP(TablaSTOCKINV[[#This Row],[SKU]],TablaSALIDA[SKU],TablaSALIDA[FECHA],,0,-1))," " )</f>
        <v xml:space="preserve"> </v>
      </c>
    </row>
    <row r="253" spans="1:21" x14ac:dyDescent="0.3">
      <c r="A253" s="27" t="s">
        <v>2626</v>
      </c>
      <c r="B253" s="32" t="str">
        <f>_xlfn.XLOOKUP(TablaSTOCKINV[[#This Row],[SKU]],TablaINVENTARIO[SKU],TablaINVENTARIO[DESCRIPCION])</f>
        <v>CABLE CONVERTIDOR DE USB A RR-232</v>
      </c>
      <c r="C253" s="32" t="str">
        <f>_xlfn.XLOOKUP(TablaSTOCKINV[[#This Row],[SKU]],TablaINVENTARIO[SKU],TablaINVENTARIO[MARCA])</f>
        <v>N/A</v>
      </c>
      <c r="D253" s="33" t="str">
        <f>_xlfn.XLOOKUP(TablaSTOCKINV[[#This Row],[SKU]],TablaINVENTARIO[SKU],TablaINVENTARIO[CATEGORIA])</f>
        <v xml:space="preserve">INFORMATICA </v>
      </c>
      <c r="E253" s="33" t="str">
        <f>_xlfn.XLOOKUP(TablaSTOCKINV[[#This Row],[SKU]],TablaINVENTARIO[SKU],TablaINVENTARIO[SUBCATEGORIA])</f>
        <v>PERIFERICOS</v>
      </c>
      <c r="F253" s="33" t="str">
        <f>_xlfn.XLOOKUP(TablaSTOCKINV[[#This Row],[SKU]],TablaINVENTARIO[SKU],TablaINVENTARIO[ESTADO])</f>
        <v xml:space="preserve">NUEVO </v>
      </c>
      <c r="G253" s="33" t="str">
        <f>_xlfn.XLOOKUP(TablaSTOCKINV[[#This Row],[SKU]],TablaINVENTARIO[SKU],TablaINVENTARIO[MEDIDA])</f>
        <v>UND</v>
      </c>
      <c r="H253" s="33" t="str">
        <f>_xlfn.XLOOKUP(TablaSTOCKINV[[#This Row],[SKU]],TablaINVENTARIO[SKU],TablaINVENTARIO[SERIAL])</f>
        <v>N/A</v>
      </c>
      <c r="I253" s="34" t="str">
        <f>_xlfn.XLOOKUP(TablaSTOCKINV[[#This Row],[SKU]],TablaINVENTARIO[SKU],TablaINVENTARIO[ALMACEN])</f>
        <v>ALMACEN PRINCIPAL</v>
      </c>
      <c r="J253" s="34" t="str">
        <f>_xlfn.XLOOKUP(TablaSTOCKINV[[#This Row],[SKU]],TablaINVENTARIO[SKU],TablaINVENTARIO[UBICACION])</f>
        <v>D1-2</v>
      </c>
      <c r="K253" s="34" t="str">
        <f>_xlfn.XLOOKUP(TablaSTOCKINV[[#This Row],[SKU]],TablaINVENTARIO[SKU],TablaINVENTARIO[DPTO RESPONSABLE])</f>
        <v>AIT</v>
      </c>
      <c r="L253" s="36">
        <f>_xlfn.XLOOKUP(TablaSTOCKINV[[#This Row],[SKU]],TablaINVENTARIO[SKU],TablaINVENTARIO[RANGO MIN])</f>
        <v>0</v>
      </c>
      <c r="M253" s="34" cm="1">
        <f t="array" ref="M253">_xlfn.IFS(TablaSTOCKINV[[#This Row],[CANT. TOTAL]]&lt;=0,1,TablaSTOCKINV[[#This Row],[CANT. TOTAL]]&lt;=TablaSTOCKINV[[#This Row],[MIN]],2,TablaSTOCKINV[[#This Row],[CANT. TOTAL]]&gt;TablaSTOCKINV[[#This Row],[MIN]],3)</f>
        <v>3</v>
      </c>
      <c r="N253" s="34">
        <f>TablaSTOCKINV[[#This Row],[ENTRADAS]]-TablaSTOCKINV[[#This Row],[SALIDAS]]</f>
        <v>5</v>
      </c>
      <c r="O253" s="35">
        <f>SUMIFS(TablaENTRADA[CANT],TablaENTRADA[SKU],TablaSTOCKINV[[#This Row],[SKU]])</f>
        <v>5</v>
      </c>
      <c r="P253" s="35">
        <f>SUMIFS(TablaSALIDA[CANT],TablaSALIDA[SKU],TablaSTOCKINV[[#This Row],[SKU]])</f>
        <v>0</v>
      </c>
      <c r="Q253" s="34">
        <f>_xlfn.XLOOKUP(TablaSTOCKINV[[#This Row],[SKU]],TablaINVENTARIO[SKU],TablaINVENTARIO[PRECIO])</f>
        <v>0</v>
      </c>
      <c r="R253" s="34">
        <f>TablaSTOCKINV[[#This Row],[P.UNITARIO]]*TablaSTOCKINV[[#This Row],[CANT. TOTAL]]</f>
        <v>0</v>
      </c>
      <c r="S253" s="44">
        <f>_xlfn.XLOOKUP(TablaSTOCKINV[[#This Row],[SKU]],TablaINVENTARIO[SKU],TablaINVENTARIO[FECHA INGRESO])</f>
        <v>46023</v>
      </c>
      <c r="T253" s="44">
        <f>_xlfn.XLOOKUP(TablaSTOCKINV[[#This Row],[SKU]],TablaENTRADA[SKU],TablaENTRADA[FECHA],,0,-1)</f>
        <v>46023</v>
      </c>
      <c r="U253" s="46" t="str">
        <f>IFERROR((_xlfn.XLOOKUP(TablaSTOCKINV[[#This Row],[SKU]],TablaSALIDA[SKU],TablaSALIDA[FECHA],,0,-1))," " )</f>
        <v xml:space="preserve"> </v>
      </c>
    </row>
    <row r="254" spans="1:21" x14ac:dyDescent="0.3">
      <c r="A254" s="27" t="s">
        <v>2628</v>
      </c>
      <c r="B254" s="32" t="str">
        <f>_xlfn.XLOOKUP(TablaSTOCKINV[[#This Row],[SKU]],TablaINVENTARIO[SKU],TablaINVENTARIO[DESCRIPCION])</f>
        <v xml:space="preserve">CABLE DE ALIMENTACION C2G </v>
      </c>
      <c r="C254" s="32" t="str">
        <f>_xlfn.XLOOKUP(TablaSTOCKINV[[#This Row],[SKU]],TablaINVENTARIO[SKU],TablaINVENTARIO[MARCA])</f>
        <v>N/A</v>
      </c>
      <c r="D254" s="33" t="str">
        <f>_xlfn.XLOOKUP(TablaSTOCKINV[[#This Row],[SKU]],TablaINVENTARIO[SKU],TablaINVENTARIO[CATEGORIA])</f>
        <v xml:space="preserve">INFORMATICA </v>
      </c>
      <c r="E254" s="33" t="str">
        <f>_xlfn.XLOOKUP(TablaSTOCKINV[[#This Row],[SKU]],TablaINVENTARIO[SKU],TablaINVENTARIO[SUBCATEGORIA])</f>
        <v>PERIFERICOS</v>
      </c>
      <c r="F254" s="33" t="str">
        <f>_xlfn.XLOOKUP(TablaSTOCKINV[[#This Row],[SKU]],TablaINVENTARIO[SKU],TablaINVENTARIO[ESTADO])</f>
        <v xml:space="preserve">NUEVO </v>
      </c>
      <c r="G254" s="33" t="str">
        <f>_xlfn.XLOOKUP(TablaSTOCKINV[[#This Row],[SKU]],TablaINVENTARIO[SKU],TablaINVENTARIO[MEDIDA])</f>
        <v>UND</v>
      </c>
      <c r="H254" s="33" t="str">
        <f>_xlfn.XLOOKUP(TablaSTOCKINV[[#This Row],[SKU]],TablaINVENTARIO[SKU],TablaINVENTARIO[SERIAL])</f>
        <v>N/A</v>
      </c>
      <c r="I254" s="34" t="str">
        <f>_xlfn.XLOOKUP(TablaSTOCKINV[[#This Row],[SKU]],TablaINVENTARIO[SKU],TablaINVENTARIO[ALMACEN])</f>
        <v>ALMACEN PRINCIPAL</v>
      </c>
      <c r="J254" s="34" t="str">
        <f>_xlfn.XLOOKUP(TablaSTOCKINV[[#This Row],[SKU]],TablaINVENTARIO[SKU],TablaINVENTARIO[UBICACION])</f>
        <v>D1-2</v>
      </c>
      <c r="K254" s="34" t="str">
        <f>_xlfn.XLOOKUP(TablaSTOCKINV[[#This Row],[SKU]],TablaINVENTARIO[SKU],TablaINVENTARIO[DPTO RESPONSABLE])</f>
        <v>AIT</v>
      </c>
      <c r="L254" s="36">
        <f>_xlfn.XLOOKUP(TablaSTOCKINV[[#This Row],[SKU]],TablaINVENTARIO[SKU],TablaINVENTARIO[RANGO MIN])</f>
        <v>0</v>
      </c>
      <c r="M254" s="34" cm="1">
        <f t="array" ref="M254">_xlfn.IFS(TablaSTOCKINV[[#This Row],[CANT. TOTAL]]&lt;=0,1,TablaSTOCKINV[[#This Row],[CANT. TOTAL]]&lt;=TablaSTOCKINV[[#This Row],[MIN]],2,TablaSTOCKINV[[#This Row],[CANT. TOTAL]]&gt;TablaSTOCKINV[[#This Row],[MIN]],3)</f>
        <v>3</v>
      </c>
      <c r="N254" s="34">
        <f>TablaSTOCKINV[[#This Row],[ENTRADAS]]-TablaSTOCKINV[[#This Row],[SALIDAS]]</f>
        <v>2</v>
      </c>
      <c r="O254" s="35">
        <f>SUMIFS(TablaENTRADA[CANT],TablaENTRADA[SKU],TablaSTOCKINV[[#This Row],[SKU]])</f>
        <v>2</v>
      </c>
      <c r="P254" s="35">
        <f>SUMIFS(TablaSALIDA[CANT],TablaSALIDA[SKU],TablaSTOCKINV[[#This Row],[SKU]])</f>
        <v>0</v>
      </c>
      <c r="Q254" s="34">
        <f>_xlfn.XLOOKUP(TablaSTOCKINV[[#This Row],[SKU]],TablaINVENTARIO[SKU],TablaINVENTARIO[PRECIO])</f>
        <v>0</v>
      </c>
      <c r="R254" s="34">
        <f>TablaSTOCKINV[[#This Row],[P.UNITARIO]]*TablaSTOCKINV[[#This Row],[CANT. TOTAL]]</f>
        <v>0</v>
      </c>
      <c r="S254" s="44">
        <f>_xlfn.XLOOKUP(TablaSTOCKINV[[#This Row],[SKU]],TablaINVENTARIO[SKU],TablaINVENTARIO[FECHA INGRESO])</f>
        <v>46023</v>
      </c>
      <c r="T254" s="44">
        <f>_xlfn.XLOOKUP(TablaSTOCKINV[[#This Row],[SKU]],TablaENTRADA[SKU],TablaENTRADA[FECHA],,0,-1)</f>
        <v>46023</v>
      </c>
      <c r="U254" s="46" t="str">
        <f>IFERROR((_xlfn.XLOOKUP(TablaSTOCKINV[[#This Row],[SKU]],TablaSALIDA[SKU],TablaSALIDA[FECHA],,0,-1))," " )</f>
        <v xml:space="preserve"> </v>
      </c>
    </row>
    <row r="255" spans="1:21" x14ac:dyDescent="0.3">
      <c r="A255" s="27" t="s">
        <v>2630</v>
      </c>
      <c r="B255" s="32" t="str">
        <f>_xlfn.XLOOKUP(TablaSTOCKINV[[#This Row],[SKU]],TablaINVENTARIO[SKU],TablaINVENTARIO[DESCRIPCION])</f>
        <v xml:space="preserve">CABLE RS-232 HEMBRA A RJ45 MACHO </v>
      </c>
      <c r="C255" s="32" t="str">
        <f>_xlfn.XLOOKUP(TablaSTOCKINV[[#This Row],[SKU]],TablaINVENTARIO[SKU],TablaINVENTARIO[MARCA])</f>
        <v>N/A</v>
      </c>
      <c r="D255" s="33" t="str">
        <f>_xlfn.XLOOKUP(TablaSTOCKINV[[#This Row],[SKU]],TablaINVENTARIO[SKU],TablaINVENTARIO[CATEGORIA])</f>
        <v xml:space="preserve">INFORMATICA </v>
      </c>
      <c r="E255" s="33" t="str">
        <f>_xlfn.XLOOKUP(TablaSTOCKINV[[#This Row],[SKU]],TablaINVENTARIO[SKU],TablaINVENTARIO[SUBCATEGORIA])</f>
        <v>PERIFERICOS</v>
      </c>
      <c r="F255" s="33" t="str">
        <f>_xlfn.XLOOKUP(TablaSTOCKINV[[#This Row],[SKU]],TablaINVENTARIO[SKU],TablaINVENTARIO[ESTADO])</f>
        <v xml:space="preserve">NUEVO </v>
      </c>
      <c r="G255" s="33" t="str">
        <f>_xlfn.XLOOKUP(TablaSTOCKINV[[#This Row],[SKU]],TablaINVENTARIO[SKU],TablaINVENTARIO[MEDIDA])</f>
        <v>UND</v>
      </c>
      <c r="H255" s="33" t="str">
        <f>_xlfn.XLOOKUP(TablaSTOCKINV[[#This Row],[SKU]],TablaINVENTARIO[SKU],TablaINVENTARIO[SERIAL])</f>
        <v>N/A</v>
      </c>
      <c r="I255" s="34" t="str">
        <f>_xlfn.XLOOKUP(TablaSTOCKINV[[#This Row],[SKU]],TablaINVENTARIO[SKU],TablaINVENTARIO[ALMACEN])</f>
        <v>ALMACEN PRINCIPAL</v>
      </c>
      <c r="J255" s="34" t="str">
        <f>_xlfn.XLOOKUP(TablaSTOCKINV[[#This Row],[SKU]],TablaINVENTARIO[SKU],TablaINVENTARIO[UBICACION])</f>
        <v>D1-2</v>
      </c>
      <c r="K255" s="34" t="str">
        <f>_xlfn.XLOOKUP(TablaSTOCKINV[[#This Row],[SKU]],TablaINVENTARIO[SKU],TablaINVENTARIO[DPTO RESPONSABLE])</f>
        <v>AIT</v>
      </c>
      <c r="L255" s="36">
        <f>_xlfn.XLOOKUP(TablaSTOCKINV[[#This Row],[SKU]],TablaINVENTARIO[SKU],TablaINVENTARIO[RANGO MIN])</f>
        <v>0</v>
      </c>
      <c r="M255" s="34" cm="1">
        <f t="array" ref="M255">_xlfn.IFS(TablaSTOCKINV[[#This Row],[CANT. TOTAL]]&lt;=0,1,TablaSTOCKINV[[#This Row],[CANT. TOTAL]]&lt;=TablaSTOCKINV[[#This Row],[MIN]],2,TablaSTOCKINV[[#This Row],[CANT. TOTAL]]&gt;TablaSTOCKINV[[#This Row],[MIN]],3)</f>
        <v>3</v>
      </c>
      <c r="N255" s="34">
        <f>TablaSTOCKINV[[#This Row],[ENTRADAS]]-TablaSTOCKINV[[#This Row],[SALIDAS]]</f>
        <v>2</v>
      </c>
      <c r="O255" s="35">
        <f>SUMIFS(TablaENTRADA[CANT],TablaENTRADA[SKU],TablaSTOCKINV[[#This Row],[SKU]])</f>
        <v>2</v>
      </c>
      <c r="P255" s="35">
        <f>SUMIFS(TablaSALIDA[CANT],TablaSALIDA[SKU],TablaSTOCKINV[[#This Row],[SKU]])</f>
        <v>0</v>
      </c>
      <c r="Q255" s="34">
        <f>_xlfn.XLOOKUP(TablaSTOCKINV[[#This Row],[SKU]],TablaINVENTARIO[SKU],TablaINVENTARIO[PRECIO])</f>
        <v>0</v>
      </c>
      <c r="R255" s="34">
        <f>TablaSTOCKINV[[#This Row],[P.UNITARIO]]*TablaSTOCKINV[[#This Row],[CANT. TOTAL]]</f>
        <v>0</v>
      </c>
      <c r="S255" s="44">
        <f>_xlfn.XLOOKUP(TablaSTOCKINV[[#This Row],[SKU]],TablaINVENTARIO[SKU],TablaINVENTARIO[FECHA INGRESO])</f>
        <v>46023</v>
      </c>
      <c r="T255" s="44">
        <f>_xlfn.XLOOKUP(TablaSTOCKINV[[#This Row],[SKU]],TablaENTRADA[SKU],TablaENTRADA[FECHA],,0,-1)</f>
        <v>46023</v>
      </c>
      <c r="U255" s="46" t="str">
        <f>IFERROR((_xlfn.XLOOKUP(TablaSTOCKINV[[#This Row],[SKU]],TablaSALIDA[SKU],TablaSALIDA[FECHA],,0,-1))," " )</f>
        <v xml:space="preserve"> </v>
      </c>
    </row>
    <row r="256" spans="1:21" x14ac:dyDescent="0.3">
      <c r="A256" s="27" t="s">
        <v>2632</v>
      </c>
      <c r="B256" s="32" t="str">
        <f>_xlfn.XLOOKUP(TablaSTOCKINV[[#This Row],[SKU]],TablaINVENTARIO[SKU],TablaINVENTARIO[DESCRIPCION])</f>
        <v xml:space="preserve">CABLE VGA PARA MONITOR </v>
      </c>
      <c r="C256" s="32" t="str">
        <f>_xlfn.XLOOKUP(TablaSTOCKINV[[#This Row],[SKU]],TablaINVENTARIO[SKU],TablaINVENTARIO[MARCA])</f>
        <v>N/A</v>
      </c>
      <c r="D256" s="33" t="str">
        <f>_xlfn.XLOOKUP(TablaSTOCKINV[[#This Row],[SKU]],TablaINVENTARIO[SKU],TablaINVENTARIO[CATEGORIA])</f>
        <v xml:space="preserve">INFORMATICA </v>
      </c>
      <c r="E256" s="33" t="str">
        <f>_xlfn.XLOOKUP(TablaSTOCKINV[[#This Row],[SKU]],TablaINVENTARIO[SKU],TablaINVENTARIO[SUBCATEGORIA])</f>
        <v>PERIFERICOS</v>
      </c>
      <c r="F256" s="33" t="str">
        <f>_xlfn.XLOOKUP(TablaSTOCKINV[[#This Row],[SKU]],TablaINVENTARIO[SKU],TablaINVENTARIO[ESTADO])</f>
        <v>USADO</v>
      </c>
      <c r="G256" s="33" t="str">
        <f>_xlfn.XLOOKUP(TablaSTOCKINV[[#This Row],[SKU]],TablaINVENTARIO[SKU],TablaINVENTARIO[MEDIDA])</f>
        <v>UND</v>
      </c>
      <c r="H256" s="33" t="str">
        <f>_xlfn.XLOOKUP(TablaSTOCKINV[[#This Row],[SKU]],TablaINVENTARIO[SKU],TablaINVENTARIO[SERIAL])</f>
        <v>N/A</v>
      </c>
      <c r="I256" s="34" t="str">
        <f>_xlfn.XLOOKUP(TablaSTOCKINV[[#This Row],[SKU]],TablaINVENTARIO[SKU],TablaINVENTARIO[ALMACEN])</f>
        <v>ALMACEN PRINCIPAL</v>
      </c>
      <c r="J256" s="34" t="str">
        <f>_xlfn.XLOOKUP(TablaSTOCKINV[[#This Row],[SKU]],TablaINVENTARIO[SKU],TablaINVENTARIO[UBICACION])</f>
        <v>D1-2</v>
      </c>
      <c r="K256" s="34" t="str">
        <f>_xlfn.XLOOKUP(TablaSTOCKINV[[#This Row],[SKU]],TablaINVENTARIO[SKU],TablaINVENTARIO[DPTO RESPONSABLE])</f>
        <v>AIT</v>
      </c>
      <c r="L256" s="36">
        <f>_xlfn.XLOOKUP(TablaSTOCKINV[[#This Row],[SKU]],TablaINVENTARIO[SKU],TablaINVENTARIO[RANGO MIN])</f>
        <v>0</v>
      </c>
      <c r="M256" s="34" cm="1">
        <f t="array" ref="M256">_xlfn.IFS(TablaSTOCKINV[[#This Row],[CANT. TOTAL]]&lt;=0,1,TablaSTOCKINV[[#This Row],[CANT. TOTAL]]&lt;=TablaSTOCKINV[[#This Row],[MIN]],2,TablaSTOCKINV[[#This Row],[CANT. TOTAL]]&gt;TablaSTOCKINV[[#This Row],[MIN]],3)</f>
        <v>3</v>
      </c>
      <c r="N256" s="34">
        <f>TablaSTOCKINV[[#This Row],[ENTRADAS]]-TablaSTOCKINV[[#This Row],[SALIDAS]]</f>
        <v>1</v>
      </c>
      <c r="O256" s="35">
        <f>SUMIFS(TablaENTRADA[CANT],TablaENTRADA[SKU],TablaSTOCKINV[[#This Row],[SKU]])</f>
        <v>1</v>
      </c>
      <c r="P256" s="35">
        <f>SUMIFS(TablaSALIDA[CANT],TablaSALIDA[SKU],TablaSTOCKINV[[#This Row],[SKU]])</f>
        <v>0</v>
      </c>
      <c r="Q256" s="34">
        <f>_xlfn.XLOOKUP(TablaSTOCKINV[[#This Row],[SKU]],TablaINVENTARIO[SKU],TablaINVENTARIO[PRECIO])</f>
        <v>0</v>
      </c>
      <c r="R256" s="34">
        <f>TablaSTOCKINV[[#This Row],[P.UNITARIO]]*TablaSTOCKINV[[#This Row],[CANT. TOTAL]]</f>
        <v>0</v>
      </c>
      <c r="S256" s="44">
        <f>_xlfn.XLOOKUP(TablaSTOCKINV[[#This Row],[SKU]],TablaINVENTARIO[SKU],TablaINVENTARIO[FECHA INGRESO])</f>
        <v>46023</v>
      </c>
      <c r="T256" s="44">
        <f>_xlfn.XLOOKUP(TablaSTOCKINV[[#This Row],[SKU]],TablaENTRADA[SKU],TablaENTRADA[FECHA],,0,-1)</f>
        <v>46023</v>
      </c>
      <c r="U256" s="46" t="str">
        <f>IFERROR((_xlfn.XLOOKUP(TablaSTOCKINV[[#This Row],[SKU]],TablaSALIDA[SKU],TablaSALIDA[FECHA],,0,-1))," " )</f>
        <v xml:space="preserve"> </v>
      </c>
    </row>
    <row r="257" spans="1:21" x14ac:dyDescent="0.3">
      <c r="A257" s="27" t="s">
        <v>2634</v>
      </c>
      <c r="B257" s="32" t="str">
        <f>_xlfn.XLOOKUP(TablaSTOCKINV[[#This Row],[SKU]],TablaINVENTARIO[SKU],TablaINVENTARIO[DESCRIPCION])</f>
        <v xml:space="preserve">CABLE VGA HEMBRA A HEMBRA </v>
      </c>
      <c r="C257" s="32" t="str">
        <f>_xlfn.XLOOKUP(TablaSTOCKINV[[#This Row],[SKU]],TablaINVENTARIO[SKU],TablaINVENTARIO[MARCA])</f>
        <v>N/A</v>
      </c>
      <c r="D257" s="33" t="str">
        <f>_xlfn.XLOOKUP(TablaSTOCKINV[[#This Row],[SKU]],TablaINVENTARIO[SKU],TablaINVENTARIO[CATEGORIA])</f>
        <v xml:space="preserve">INFORMATICA </v>
      </c>
      <c r="E257" s="33" t="str">
        <f>_xlfn.XLOOKUP(TablaSTOCKINV[[#This Row],[SKU]],TablaINVENTARIO[SKU],TablaINVENTARIO[SUBCATEGORIA])</f>
        <v>PERIFERICOS</v>
      </c>
      <c r="F257" s="33" t="str">
        <f>_xlfn.XLOOKUP(TablaSTOCKINV[[#This Row],[SKU]],TablaINVENTARIO[SKU],TablaINVENTARIO[ESTADO])</f>
        <v>USADO</v>
      </c>
      <c r="G257" s="33" t="str">
        <f>_xlfn.XLOOKUP(TablaSTOCKINV[[#This Row],[SKU]],TablaINVENTARIO[SKU],TablaINVENTARIO[MEDIDA])</f>
        <v>UND</v>
      </c>
      <c r="H257" s="33" t="str">
        <f>_xlfn.XLOOKUP(TablaSTOCKINV[[#This Row],[SKU]],TablaINVENTARIO[SKU],TablaINVENTARIO[SERIAL])</f>
        <v>N/A</v>
      </c>
      <c r="I257" s="34" t="str">
        <f>_xlfn.XLOOKUP(TablaSTOCKINV[[#This Row],[SKU]],TablaINVENTARIO[SKU],TablaINVENTARIO[ALMACEN])</f>
        <v>ALMACEN PRINCIPAL</v>
      </c>
      <c r="J257" s="34" t="str">
        <f>_xlfn.XLOOKUP(TablaSTOCKINV[[#This Row],[SKU]],TablaINVENTARIO[SKU],TablaINVENTARIO[UBICACION])</f>
        <v>D1-2</v>
      </c>
      <c r="K257" s="34" t="str">
        <f>_xlfn.XLOOKUP(TablaSTOCKINV[[#This Row],[SKU]],TablaINVENTARIO[SKU],TablaINVENTARIO[DPTO RESPONSABLE])</f>
        <v>AIT</v>
      </c>
      <c r="L257" s="36">
        <f>_xlfn.XLOOKUP(TablaSTOCKINV[[#This Row],[SKU]],TablaINVENTARIO[SKU],TablaINVENTARIO[RANGO MIN])</f>
        <v>0</v>
      </c>
      <c r="M257" s="34" cm="1">
        <f t="array" ref="M257">_xlfn.IFS(TablaSTOCKINV[[#This Row],[CANT. TOTAL]]&lt;=0,1,TablaSTOCKINV[[#This Row],[CANT. TOTAL]]&lt;=TablaSTOCKINV[[#This Row],[MIN]],2,TablaSTOCKINV[[#This Row],[CANT. TOTAL]]&gt;TablaSTOCKINV[[#This Row],[MIN]],3)</f>
        <v>3</v>
      </c>
      <c r="N257" s="34">
        <f>TablaSTOCKINV[[#This Row],[ENTRADAS]]-TablaSTOCKINV[[#This Row],[SALIDAS]]</f>
        <v>1</v>
      </c>
      <c r="O257" s="35">
        <f>SUMIFS(TablaENTRADA[CANT],TablaENTRADA[SKU],TablaSTOCKINV[[#This Row],[SKU]])</f>
        <v>1</v>
      </c>
      <c r="P257" s="35">
        <f>SUMIFS(TablaSALIDA[CANT],TablaSALIDA[SKU],TablaSTOCKINV[[#This Row],[SKU]])</f>
        <v>0</v>
      </c>
      <c r="Q257" s="34">
        <f>_xlfn.XLOOKUP(TablaSTOCKINV[[#This Row],[SKU]],TablaINVENTARIO[SKU],TablaINVENTARIO[PRECIO])</f>
        <v>0</v>
      </c>
      <c r="R257" s="34">
        <f>TablaSTOCKINV[[#This Row],[P.UNITARIO]]*TablaSTOCKINV[[#This Row],[CANT. TOTAL]]</f>
        <v>0</v>
      </c>
      <c r="S257" s="44">
        <f>_xlfn.XLOOKUP(TablaSTOCKINV[[#This Row],[SKU]],TablaINVENTARIO[SKU],TablaINVENTARIO[FECHA INGRESO])</f>
        <v>46023</v>
      </c>
      <c r="T257" s="44">
        <f>_xlfn.XLOOKUP(TablaSTOCKINV[[#This Row],[SKU]],TablaENTRADA[SKU],TablaENTRADA[FECHA],,0,-1)</f>
        <v>46023</v>
      </c>
      <c r="U257" s="46" t="str">
        <f>IFERROR((_xlfn.XLOOKUP(TablaSTOCKINV[[#This Row],[SKU]],TablaSALIDA[SKU],TablaSALIDA[FECHA],,0,-1))," " )</f>
        <v xml:space="preserve"> </v>
      </c>
    </row>
    <row r="258" spans="1:21" x14ac:dyDescent="0.3">
      <c r="A258" s="27" t="s">
        <v>2636</v>
      </c>
      <c r="B258" s="32" t="str">
        <f>_xlfn.XLOOKUP(TablaSTOCKINV[[#This Row],[SKU]],TablaINVENTARIO[SKU],TablaINVENTARIO[DESCRIPCION])</f>
        <v xml:space="preserve">CABLE PARA IMPRESORA </v>
      </c>
      <c r="C258" s="32" t="str">
        <f>_xlfn.XLOOKUP(TablaSTOCKINV[[#This Row],[SKU]],TablaINVENTARIO[SKU],TablaINVENTARIO[MARCA])</f>
        <v>N/A</v>
      </c>
      <c r="D258" s="33" t="str">
        <f>_xlfn.XLOOKUP(TablaSTOCKINV[[#This Row],[SKU]],TablaINVENTARIO[SKU],TablaINVENTARIO[CATEGORIA])</f>
        <v xml:space="preserve">INFORMATICA </v>
      </c>
      <c r="E258" s="33" t="str">
        <f>_xlfn.XLOOKUP(TablaSTOCKINV[[#This Row],[SKU]],TablaINVENTARIO[SKU],TablaINVENTARIO[SUBCATEGORIA])</f>
        <v>PERIFERICOS</v>
      </c>
      <c r="F258" s="33" t="str">
        <f>_xlfn.XLOOKUP(TablaSTOCKINV[[#This Row],[SKU]],TablaINVENTARIO[SKU],TablaINVENTARIO[ESTADO])</f>
        <v>USADO</v>
      </c>
      <c r="G258" s="33" t="str">
        <f>_xlfn.XLOOKUP(TablaSTOCKINV[[#This Row],[SKU]],TablaINVENTARIO[SKU],TablaINVENTARIO[MEDIDA])</f>
        <v>UND</v>
      </c>
      <c r="H258" s="33" t="str">
        <f>_xlfn.XLOOKUP(TablaSTOCKINV[[#This Row],[SKU]],TablaINVENTARIO[SKU],TablaINVENTARIO[SERIAL])</f>
        <v>N/A</v>
      </c>
      <c r="I258" s="34" t="str">
        <f>_xlfn.XLOOKUP(TablaSTOCKINV[[#This Row],[SKU]],TablaINVENTARIO[SKU],TablaINVENTARIO[ALMACEN])</f>
        <v>ALMACEN PRINCIPAL</v>
      </c>
      <c r="J258" s="34" t="str">
        <f>_xlfn.XLOOKUP(TablaSTOCKINV[[#This Row],[SKU]],TablaINVENTARIO[SKU],TablaINVENTARIO[UBICACION])</f>
        <v>D1-2</v>
      </c>
      <c r="K258" s="34" t="str">
        <f>_xlfn.XLOOKUP(TablaSTOCKINV[[#This Row],[SKU]],TablaINVENTARIO[SKU],TablaINVENTARIO[DPTO RESPONSABLE])</f>
        <v>AIT</v>
      </c>
      <c r="L258" s="36">
        <f>_xlfn.XLOOKUP(TablaSTOCKINV[[#This Row],[SKU]],TablaINVENTARIO[SKU],TablaINVENTARIO[RANGO MIN])</f>
        <v>0</v>
      </c>
      <c r="M258" s="34" cm="1">
        <f t="array" ref="M258">_xlfn.IFS(TablaSTOCKINV[[#This Row],[CANT. TOTAL]]&lt;=0,1,TablaSTOCKINV[[#This Row],[CANT. TOTAL]]&lt;=TablaSTOCKINV[[#This Row],[MIN]],2,TablaSTOCKINV[[#This Row],[CANT. TOTAL]]&gt;TablaSTOCKINV[[#This Row],[MIN]],3)</f>
        <v>3</v>
      </c>
      <c r="N258" s="34">
        <f>TablaSTOCKINV[[#This Row],[ENTRADAS]]-TablaSTOCKINV[[#This Row],[SALIDAS]]</f>
        <v>8</v>
      </c>
      <c r="O258" s="35">
        <f>SUMIFS(TablaENTRADA[CANT],TablaENTRADA[SKU],TablaSTOCKINV[[#This Row],[SKU]])</f>
        <v>8</v>
      </c>
      <c r="P258" s="35">
        <f>SUMIFS(TablaSALIDA[CANT],TablaSALIDA[SKU],TablaSTOCKINV[[#This Row],[SKU]])</f>
        <v>0</v>
      </c>
      <c r="Q258" s="34">
        <f>_xlfn.XLOOKUP(TablaSTOCKINV[[#This Row],[SKU]],TablaINVENTARIO[SKU],TablaINVENTARIO[PRECIO])</f>
        <v>0</v>
      </c>
      <c r="R258" s="34">
        <f>TablaSTOCKINV[[#This Row],[P.UNITARIO]]*TablaSTOCKINV[[#This Row],[CANT. TOTAL]]</f>
        <v>0</v>
      </c>
      <c r="S258" s="44">
        <f>_xlfn.XLOOKUP(TablaSTOCKINV[[#This Row],[SKU]],TablaINVENTARIO[SKU],TablaINVENTARIO[FECHA INGRESO])</f>
        <v>46023</v>
      </c>
      <c r="T258" s="44">
        <f>_xlfn.XLOOKUP(TablaSTOCKINV[[#This Row],[SKU]],TablaENTRADA[SKU],TablaENTRADA[FECHA],,0,-1)</f>
        <v>46023</v>
      </c>
      <c r="U258" s="46" t="str">
        <f>IFERROR((_xlfn.XLOOKUP(TablaSTOCKINV[[#This Row],[SKU]],TablaSALIDA[SKU],TablaSALIDA[FECHA],,0,-1))," " )</f>
        <v xml:space="preserve"> </v>
      </c>
    </row>
    <row r="259" spans="1:21" x14ac:dyDescent="0.3">
      <c r="A259" s="27" t="s">
        <v>2638</v>
      </c>
      <c r="B259" s="32" t="str">
        <f>_xlfn.XLOOKUP(TablaSTOCKINV[[#This Row],[SKU]],TablaINVENTARIO[SKU],TablaINVENTARIO[DESCRIPCION])</f>
        <v>CABLE DE ALIMENTACION</v>
      </c>
      <c r="C259" s="32" t="str">
        <f>_xlfn.XLOOKUP(TablaSTOCKINV[[#This Row],[SKU]],TablaINVENTARIO[SKU],TablaINVENTARIO[MARCA])</f>
        <v>N/A</v>
      </c>
      <c r="D259" s="33" t="str">
        <f>_xlfn.XLOOKUP(TablaSTOCKINV[[#This Row],[SKU]],TablaINVENTARIO[SKU],TablaINVENTARIO[CATEGORIA])</f>
        <v xml:space="preserve">INFORMATICA </v>
      </c>
      <c r="E259" s="33" t="str">
        <f>_xlfn.XLOOKUP(TablaSTOCKINV[[#This Row],[SKU]],TablaINVENTARIO[SKU],TablaINVENTARIO[SUBCATEGORIA])</f>
        <v>PERIFERICOS</v>
      </c>
      <c r="F259" s="33" t="str">
        <f>_xlfn.XLOOKUP(TablaSTOCKINV[[#This Row],[SKU]],TablaINVENTARIO[SKU],TablaINVENTARIO[ESTADO])</f>
        <v>USADO</v>
      </c>
      <c r="G259" s="33" t="str">
        <f>_xlfn.XLOOKUP(TablaSTOCKINV[[#This Row],[SKU]],TablaINVENTARIO[SKU],TablaINVENTARIO[MEDIDA])</f>
        <v>UND</v>
      </c>
      <c r="H259" s="33" t="str">
        <f>_xlfn.XLOOKUP(TablaSTOCKINV[[#This Row],[SKU]],TablaINVENTARIO[SKU],TablaINVENTARIO[SERIAL])</f>
        <v>N/A</v>
      </c>
      <c r="I259" s="34" t="str">
        <f>_xlfn.XLOOKUP(TablaSTOCKINV[[#This Row],[SKU]],TablaINVENTARIO[SKU],TablaINVENTARIO[ALMACEN])</f>
        <v>ALMACEN PRINCIPAL</v>
      </c>
      <c r="J259" s="34" t="str">
        <f>_xlfn.XLOOKUP(TablaSTOCKINV[[#This Row],[SKU]],TablaINVENTARIO[SKU],TablaINVENTARIO[UBICACION])</f>
        <v>D1-2</v>
      </c>
      <c r="K259" s="34" t="str">
        <f>_xlfn.XLOOKUP(TablaSTOCKINV[[#This Row],[SKU]],TablaINVENTARIO[SKU],TablaINVENTARIO[DPTO RESPONSABLE])</f>
        <v>AIT</v>
      </c>
      <c r="L259" s="36">
        <f>_xlfn.XLOOKUP(TablaSTOCKINV[[#This Row],[SKU]],TablaINVENTARIO[SKU],TablaINVENTARIO[RANGO MIN])</f>
        <v>0</v>
      </c>
      <c r="M259" s="34" cm="1">
        <f t="array" ref="M259">_xlfn.IFS(TablaSTOCKINV[[#This Row],[CANT. TOTAL]]&lt;=0,1,TablaSTOCKINV[[#This Row],[CANT. TOTAL]]&lt;=TablaSTOCKINV[[#This Row],[MIN]],2,TablaSTOCKINV[[#This Row],[CANT. TOTAL]]&gt;TablaSTOCKINV[[#This Row],[MIN]],3)</f>
        <v>3</v>
      </c>
      <c r="N259" s="34">
        <f>TablaSTOCKINV[[#This Row],[ENTRADAS]]-TablaSTOCKINV[[#This Row],[SALIDAS]]</f>
        <v>20</v>
      </c>
      <c r="O259" s="35">
        <f>SUMIFS(TablaENTRADA[CANT],TablaENTRADA[SKU],TablaSTOCKINV[[#This Row],[SKU]])</f>
        <v>20</v>
      </c>
      <c r="P259" s="35">
        <f>SUMIFS(TablaSALIDA[CANT],TablaSALIDA[SKU],TablaSTOCKINV[[#This Row],[SKU]])</f>
        <v>0</v>
      </c>
      <c r="Q259" s="34">
        <f>_xlfn.XLOOKUP(TablaSTOCKINV[[#This Row],[SKU]],TablaINVENTARIO[SKU],TablaINVENTARIO[PRECIO])</f>
        <v>0</v>
      </c>
      <c r="R259" s="34">
        <f>TablaSTOCKINV[[#This Row],[P.UNITARIO]]*TablaSTOCKINV[[#This Row],[CANT. TOTAL]]</f>
        <v>0</v>
      </c>
      <c r="S259" s="44">
        <f>_xlfn.XLOOKUP(TablaSTOCKINV[[#This Row],[SKU]],TablaINVENTARIO[SKU],TablaINVENTARIO[FECHA INGRESO])</f>
        <v>46023</v>
      </c>
      <c r="T259" s="44">
        <f>_xlfn.XLOOKUP(TablaSTOCKINV[[#This Row],[SKU]],TablaENTRADA[SKU],TablaENTRADA[FECHA],,0,-1)</f>
        <v>46023</v>
      </c>
      <c r="U259" s="46" t="str">
        <f>IFERROR((_xlfn.XLOOKUP(TablaSTOCKINV[[#This Row],[SKU]],TablaSALIDA[SKU],TablaSALIDA[FECHA],,0,-1))," " )</f>
        <v xml:space="preserve"> </v>
      </c>
    </row>
    <row r="260" spans="1:21" x14ac:dyDescent="0.3">
      <c r="A260" s="27" t="s">
        <v>2640</v>
      </c>
      <c r="B260" s="32" t="str">
        <f>_xlfn.XLOOKUP(TablaSTOCKINV[[#This Row],[SKU]],TablaINVENTARIO[SKU],TablaINVENTARIO[DESCRIPCION])</f>
        <v xml:space="preserve">CABLE RS-232 HEMBRA A MACHO </v>
      </c>
      <c r="C260" s="32" t="str">
        <f>_xlfn.XLOOKUP(TablaSTOCKINV[[#This Row],[SKU]],TablaINVENTARIO[SKU],TablaINVENTARIO[MARCA])</f>
        <v>N/A</v>
      </c>
      <c r="D260" s="33" t="str">
        <f>_xlfn.XLOOKUP(TablaSTOCKINV[[#This Row],[SKU]],TablaINVENTARIO[SKU],TablaINVENTARIO[CATEGORIA])</f>
        <v xml:space="preserve">INFORMATICA </v>
      </c>
      <c r="E260" s="33" t="str">
        <f>_xlfn.XLOOKUP(TablaSTOCKINV[[#This Row],[SKU]],TablaINVENTARIO[SKU],TablaINVENTARIO[SUBCATEGORIA])</f>
        <v>PERIFERICOS</v>
      </c>
      <c r="F260" s="33" t="str">
        <f>_xlfn.XLOOKUP(TablaSTOCKINV[[#This Row],[SKU]],TablaINVENTARIO[SKU],TablaINVENTARIO[ESTADO])</f>
        <v xml:space="preserve">NUEVO </v>
      </c>
      <c r="G260" s="33" t="str">
        <f>_xlfn.XLOOKUP(TablaSTOCKINV[[#This Row],[SKU]],TablaINVENTARIO[SKU],TablaINVENTARIO[MEDIDA])</f>
        <v>UND</v>
      </c>
      <c r="H260" s="33" t="str">
        <f>_xlfn.XLOOKUP(TablaSTOCKINV[[#This Row],[SKU]],TablaINVENTARIO[SKU],TablaINVENTARIO[SERIAL])</f>
        <v>N/A</v>
      </c>
      <c r="I260" s="34" t="str">
        <f>_xlfn.XLOOKUP(TablaSTOCKINV[[#This Row],[SKU]],TablaINVENTARIO[SKU],TablaINVENTARIO[ALMACEN])</f>
        <v>ALMACEN PRINCIPAL</v>
      </c>
      <c r="J260" s="34" t="str">
        <f>_xlfn.XLOOKUP(TablaSTOCKINV[[#This Row],[SKU]],TablaINVENTARIO[SKU],TablaINVENTARIO[UBICACION])</f>
        <v>D1-2</v>
      </c>
      <c r="K260" s="34" t="str">
        <f>_xlfn.XLOOKUP(TablaSTOCKINV[[#This Row],[SKU]],TablaINVENTARIO[SKU],TablaINVENTARIO[DPTO RESPONSABLE])</f>
        <v>AIT</v>
      </c>
      <c r="L260" s="36">
        <f>_xlfn.XLOOKUP(TablaSTOCKINV[[#This Row],[SKU]],TablaINVENTARIO[SKU],TablaINVENTARIO[RANGO MIN])</f>
        <v>0</v>
      </c>
      <c r="M260" s="34" cm="1">
        <f t="array" ref="M260">_xlfn.IFS(TablaSTOCKINV[[#This Row],[CANT. TOTAL]]&lt;=0,1,TablaSTOCKINV[[#This Row],[CANT. TOTAL]]&lt;=TablaSTOCKINV[[#This Row],[MIN]],2,TablaSTOCKINV[[#This Row],[CANT. TOTAL]]&gt;TablaSTOCKINV[[#This Row],[MIN]],3)</f>
        <v>3</v>
      </c>
      <c r="N260" s="34">
        <f>TablaSTOCKINV[[#This Row],[ENTRADAS]]-TablaSTOCKINV[[#This Row],[SALIDAS]]</f>
        <v>1</v>
      </c>
      <c r="O260" s="35">
        <f>SUMIFS(TablaENTRADA[CANT],TablaENTRADA[SKU],TablaSTOCKINV[[#This Row],[SKU]])</f>
        <v>1</v>
      </c>
      <c r="P260" s="35">
        <f>SUMIFS(TablaSALIDA[CANT],TablaSALIDA[SKU],TablaSTOCKINV[[#This Row],[SKU]])</f>
        <v>0</v>
      </c>
      <c r="Q260" s="34">
        <f>_xlfn.XLOOKUP(TablaSTOCKINV[[#This Row],[SKU]],TablaINVENTARIO[SKU],TablaINVENTARIO[PRECIO])</f>
        <v>0</v>
      </c>
      <c r="R260" s="34">
        <f>TablaSTOCKINV[[#This Row],[P.UNITARIO]]*TablaSTOCKINV[[#This Row],[CANT. TOTAL]]</f>
        <v>0</v>
      </c>
      <c r="S260" s="44">
        <f>_xlfn.XLOOKUP(TablaSTOCKINV[[#This Row],[SKU]],TablaINVENTARIO[SKU],TablaINVENTARIO[FECHA INGRESO])</f>
        <v>46023</v>
      </c>
      <c r="T260" s="44">
        <f>_xlfn.XLOOKUP(TablaSTOCKINV[[#This Row],[SKU]],TablaENTRADA[SKU],TablaENTRADA[FECHA],,0,-1)</f>
        <v>46023</v>
      </c>
      <c r="U260" s="46" t="str">
        <f>IFERROR((_xlfn.XLOOKUP(TablaSTOCKINV[[#This Row],[SKU]],TablaSALIDA[SKU],TablaSALIDA[FECHA],,0,-1))," " )</f>
        <v xml:space="preserve"> </v>
      </c>
    </row>
    <row r="261" spans="1:21" x14ac:dyDescent="0.3">
      <c r="A261" s="27" t="s">
        <v>2642</v>
      </c>
      <c r="B261" s="32" t="str">
        <f>_xlfn.XLOOKUP(TablaSTOCKINV[[#This Row],[SKU]],TablaINVENTARIO[SKU],TablaINVENTARIO[DESCRIPCION])</f>
        <v xml:space="preserve">CABLE MULTIPLE VGA/IMPRESORA </v>
      </c>
      <c r="C261" s="32" t="str">
        <f>_xlfn.XLOOKUP(TablaSTOCKINV[[#This Row],[SKU]],TablaINVENTARIO[SKU],TablaINVENTARIO[MARCA])</f>
        <v>N/A</v>
      </c>
      <c r="D261" s="33" t="str">
        <f>_xlfn.XLOOKUP(TablaSTOCKINV[[#This Row],[SKU]],TablaINVENTARIO[SKU],TablaINVENTARIO[CATEGORIA])</f>
        <v xml:space="preserve">INFORMATICA </v>
      </c>
      <c r="E261" s="33" t="str">
        <f>_xlfn.XLOOKUP(TablaSTOCKINV[[#This Row],[SKU]],TablaINVENTARIO[SKU],TablaINVENTARIO[SUBCATEGORIA])</f>
        <v>PERIFERICOS</v>
      </c>
      <c r="F261" s="33" t="str">
        <f>_xlfn.XLOOKUP(TablaSTOCKINV[[#This Row],[SKU]],TablaINVENTARIO[SKU],TablaINVENTARIO[ESTADO])</f>
        <v>USADO</v>
      </c>
      <c r="G261" s="33" t="str">
        <f>_xlfn.XLOOKUP(TablaSTOCKINV[[#This Row],[SKU]],TablaINVENTARIO[SKU],TablaINVENTARIO[MEDIDA])</f>
        <v>UND</v>
      </c>
      <c r="H261" s="33" t="str">
        <f>_xlfn.XLOOKUP(TablaSTOCKINV[[#This Row],[SKU]],TablaINVENTARIO[SKU],TablaINVENTARIO[SERIAL])</f>
        <v>N/A</v>
      </c>
      <c r="I261" s="34" t="str">
        <f>_xlfn.XLOOKUP(TablaSTOCKINV[[#This Row],[SKU]],TablaINVENTARIO[SKU],TablaINVENTARIO[ALMACEN])</f>
        <v>ALMACEN PRINCIPAL</v>
      </c>
      <c r="J261" s="34" t="str">
        <f>_xlfn.XLOOKUP(TablaSTOCKINV[[#This Row],[SKU]],TablaINVENTARIO[SKU],TablaINVENTARIO[UBICACION])</f>
        <v>D1-2</v>
      </c>
      <c r="K261" s="34" t="str">
        <f>_xlfn.XLOOKUP(TablaSTOCKINV[[#This Row],[SKU]],TablaINVENTARIO[SKU],TablaINVENTARIO[DPTO RESPONSABLE])</f>
        <v>AIT</v>
      </c>
      <c r="L261" s="36">
        <f>_xlfn.XLOOKUP(TablaSTOCKINV[[#This Row],[SKU]],TablaINVENTARIO[SKU],TablaINVENTARIO[RANGO MIN])</f>
        <v>0</v>
      </c>
      <c r="M261" s="34" cm="1">
        <f t="array" ref="M261">_xlfn.IFS(TablaSTOCKINV[[#This Row],[CANT. TOTAL]]&lt;=0,1,TablaSTOCKINV[[#This Row],[CANT. TOTAL]]&lt;=TablaSTOCKINV[[#This Row],[MIN]],2,TablaSTOCKINV[[#This Row],[CANT. TOTAL]]&gt;TablaSTOCKINV[[#This Row],[MIN]],3)</f>
        <v>3</v>
      </c>
      <c r="N261" s="34">
        <f>TablaSTOCKINV[[#This Row],[ENTRADAS]]-TablaSTOCKINV[[#This Row],[SALIDAS]]</f>
        <v>1</v>
      </c>
      <c r="O261" s="35">
        <f>SUMIFS(TablaENTRADA[CANT],TablaENTRADA[SKU],TablaSTOCKINV[[#This Row],[SKU]])</f>
        <v>1</v>
      </c>
      <c r="P261" s="35">
        <f>SUMIFS(TablaSALIDA[CANT],TablaSALIDA[SKU],TablaSTOCKINV[[#This Row],[SKU]])</f>
        <v>0</v>
      </c>
      <c r="Q261" s="34">
        <f>_xlfn.XLOOKUP(TablaSTOCKINV[[#This Row],[SKU]],TablaINVENTARIO[SKU],TablaINVENTARIO[PRECIO])</f>
        <v>0</v>
      </c>
      <c r="R261" s="34">
        <f>TablaSTOCKINV[[#This Row],[P.UNITARIO]]*TablaSTOCKINV[[#This Row],[CANT. TOTAL]]</f>
        <v>0</v>
      </c>
      <c r="S261" s="44">
        <f>_xlfn.XLOOKUP(TablaSTOCKINV[[#This Row],[SKU]],TablaINVENTARIO[SKU],TablaINVENTARIO[FECHA INGRESO])</f>
        <v>46023</v>
      </c>
      <c r="T261" s="44">
        <f>_xlfn.XLOOKUP(TablaSTOCKINV[[#This Row],[SKU]],TablaENTRADA[SKU],TablaENTRADA[FECHA],,0,-1)</f>
        <v>46023</v>
      </c>
      <c r="U261" s="46" t="str">
        <f>IFERROR((_xlfn.XLOOKUP(TablaSTOCKINV[[#This Row],[SKU]],TablaSALIDA[SKU],TablaSALIDA[FECHA],,0,-1))," " )</f>
        <v xml:space="preserve"> </v>
      </c>
    </row>
    <row r="262" spans="1:21" x14ac:dyDescent="0.3">
      <c r="A262" s="27" t="s">
        <v>2644</v>
      </c>
      <c r="B262" s="32" t="str">
        <f>_xlfn.XLOOKUP(TablaSTOCKINV[[#This Row],[SKU]],TablaINVENTARIO[SKU],TablaINVENTARIO[DESCRIPCION])</f>
        <v xml:space="preserve">FUENTE DE PODER DE CPU </v>
      </c>
      <c r="C262" s="32" t="str">
        <f>_xlfn.XLOOKUP(TablaSTOCKINV[[#This Row],[SKU]],TablaINVENTARIO[SKU],TablaINVENTARIO[MARCA])</f>
        <v>N/A</v>
      </c>
      <c r="D262" s="33" t="str">
        <f>_xlfn.XLOOKUP(TablaSTOCKINV[[#This Row],[SKU]],TablaINVENTARIO[SKU],TablaINVENTARIO[CATEGORIA])</f>
        <v xml:space="preserve">INFORMATICA </v>
      </c>
      <c r="E262" s="33" t="str">
        <f>_xlfn.XLOOKUP(TablaSTOCKINV[[#This Row],[SKU]],TablaINVENTARIO[SKU],TablaINVENTARIO[SUBCATEGORIA])</f>
        <v xml:space="preserve">COMPUTADORA </v>
      </c>
      <c r="F262" s="33" t="str">
        <f>_xlfn.XLOOKUP(TablaSTOCKINV[[#This Row],[SKU]],TablaINVENTARIO[SKU],TablaINVENTARIO[ESTADO])</f>
        <v>USADO</v>
      </c>
      <c r="G262" s="33" t="str">
        <f>_xlfn.XLOOKUP(TablaSTOCKINV[[#This Row],[SKU]],TablaINVENTARIO[SKU],TablaINVENTARIO[MEDIDA])</f>
        <v>UND</v>
      </c>
      <c r="H262" s="33" t="str">
        <f>_xlfn.XLOOKUP(TablaSTOCKINV[[#This Row],[SKU]],TablaINVENTARIO[SKU],TablaINVENTARIO[SERIAL])</f>
        <v>N/A</v>
      </c>
      <c r="I262" s="34" t="str">
        <f>_xlfn.XLOOKUP(TablaSTOCKINV[[#This Row],[SKU]],TablaINVENTARIO[SKU],TablaINVENTARIO[ALMACEN])</f>
        <v>ALMACEN PRINCIPAL</v>
      </c>
      <c r="J262" s="34" t="str">
        <f>_xlfn.XLOOKUP(TablaSTOCKINV[[#This Row],[SKU]],TablaINVENTARIO[SKU],TablaINVENTARIO[UBICACION])</f>
        <v>D1-3</v>
      </c>
      <c r="K262" s="34" t="str">
        <f>_xlfn.XLOOKUP(TablaSTOCKINV[[#This Row],[SKU]],TablaINVENTARIO[SKU],TablaINVENTARIO[DPTO RESPONSABLE])</f>
        <v>AIT</v>
      </c>
      <c r="L262" s="36">
        <f>_xlfn.XLOOKUP(TablaSTOCKINV[[#This Row],[SKU]],TablaINVENTARIO[SKU],TablaINVENTARIO[RANGO MIN])</f>
        <v>0</v>
      </c>
      <c r="M262" s="34" cm="1">
        <f t="array" ref="M262">_xlfn.IFS(TablaSTOCKINV[[#This Row],[CANT. TOTAL]]&lt;=0,1,TablaSTOCKINV[[#This Row],[CANT. TOTAL]]&lt;=TablaSTOCKINV[[#This Row],[MIN]],2,TablaSTOCKINV[[#This Row],[CANT. TOTAL]]&gt;TablaSTOCKINV[[#This Row],[MIN]],3)</f>
        <v>3</v>
      </c>
      <c r="N262" s="34">
        <f>TablaSTOCKINV[[#This Row],[ENTRADAS]]-TablaSTOCKINV[[#This Row],[SALIDAS]]</f>
        <v>2</v>
      </c>
      <c r="O262" s="35">
        <f>SUMIFS(TablaENTRADA[CANT],TablaENTRADA[SKU],TablaSTOCKINV[[#This Row],[SKU]])</f>
        <v>2</v>
      </c>
      <c r="P262" s="35">
        <f>SUMIFS(TablaSALIDA[CANT],TablaSALIDA[SKU],TablaSTOCKINV[[#This Row],[SKU]])</f>
        <v>0</v>
      </c>
      <c r="Q262" s="34">
        <f>_xlfn.XLOOKUP(TablaSTOCKINV[[#This Row],[SKU]],TablaINVENTARIO[SKU],TablaINVENTARIO[PRECIO])</f>
        <v>0</v>
      </c>
      <c r="R262" s="34">
        <f>TablaSTOCKINV[[#This Row],[P.UNITARIO]]*TablaSTOCKINV[[#This Row],[CANT. TOTAL]]</f>
        <v>0</v>
      </c>
      <c r="S262" s="44">
        <f>_xlfn.XLOOKUP(TablaSTOCKINV[[#This Row],[SKU]],TablaINVENTARIO[SKU],TablaINVENTARIO[FECHA INGRESO])</f>
        <v>46023</v>
      </c>
      <c r="T262" s="44">
        <f>_xlfn.XLOOKUP(TablaSTOCKINV[[#This Row],[SKU]],TablaENTRADA[SKU],TablaENTRADA[FECHA],,0,-1)</f>
        <v>46023</v>
      </c>
      <c r="U262" s="46" t="str">
        <f>IFERROR((_xlfn.XLOOKUP(TablaSTOCKINV[[#This Row],[SKU]],TablaSALIDA[SKU],TablaSALIDA[FECHA],,0,-1))," " )</f>
        <v xml:space="preserve"> </v>
      </c>
    </row>
    <row r="263" spans="1:21" x14ac:dyDescent="0.3">
      <c r="A263" s="27" t="s">
        <v>1930</v>
      </c>
      <c r="B263" s="32" t="str">
        <f>_xlfn.XLOOKUP(TablaSTOCKINV[[#This Row],[SKU]],TablaINVENTARIO[SKU],TablaINVENTARIO[DESCRIPCION])</f>
        <v>LINTERNA DE SEGURIDAD MULTIFUNCIONAL</v>
      </c>
      <c r="C263" s="32" t="str">
        <f>_xlfn.XLOOKUP(TablaSTOCKINV[[#This Row],[SKU]],TablaINVENTARIO[SKU],TablaINVENTARIO[MARCA])</f>
        <v>EDM</v>
      </c>
      <c r="D263" s="33" t="str">
        <f>_xlfn.XLOOKUP(TablaSTOCKINV[[#This Row],[SKU]],TablaINVENTARIO[SKU],TablaINVENTARIO[CATEGORIA])</f>
        <v xml:space="preserve">ILUMINACION </v>
      </c>
      <c r="E263" s="33" t="str">
        <f>_xlfn.XLOOKUP(TablaSTOCKINV[[#This Row],[SKU]],TablaINVENTARIO[SKU],TablaINVENTARIO[SUBCATEGORIA])</f>
        <v>ILUMINACION PORTATIL</v>
      </c>
      <c r="F263" s="33" t="str">
        <f>_xlfn.XLOOKUP(TablaSTOCKINV[[#This Row],[SKU]],TablaINVENTARIO[SKU],TablaINVENTARIO[ESTADO])</f>
        <v>NUEVO</v>
      </c>
      <c r="G263" s="33" t="str">
        <f>_xlfn.XLOOKUP(TablaSTOCKINV[[#This Row],[SKU]],TablaINVENTARIO[SKU],TablaINVENTARIO[MEDIDA])</f>
        <v>UND</v>
      </c>
      <c r="H263" s="33" t="str">
        <f>_xlfn.XLOOKUP(TablaSTOCKINV[[#This Row],[SKU]],TablaINVENTARIO[SKU],TablaINVENTARIO[SERIAL])</f>
        <v>N/A</v>
      </c>
      <c r="I263" s="34" t="str">
        <f>_xlfn.XLOOKUP(TablaSTOCKINV[[#This Row],[SKU]],TablaINVENTARIO[SKU],TablaINVENTARIO[ALMACEN])</f>
        <v>ALMACEN PRINCIPAL</v>
      </c>
      <c r="J263" s="34" t="str">
        <f>_xlfn.XLOOKUP(TablaSTOCKINV[[#This Row],[SKU]],TablaINVENTARIO[SKU],TablaINVENTARIO[UBICACION])</f>
        <v>L3</v>
      </c>
      <c r="K263" s="34" t="str">
        <f>_xlfn.XLOOKUP(TablaSTOCKINV[[#This Row],[SKU]],TablaINVENTARIO[SKU],TablaINVENTARIO[DPTO RESPONSABLE])</f>
        <v>SIHO</v>
      </c>
      <c r="L263" s="36">
        <f>_xlfn.XLOOKUP(TablaSTOCKINV[[#This Row],[SKU]],TablaINVENTARIO[SKU],TablaINVENTARIO[RANGO MIN])</f>
        <v>0</v>
      </c>
      <c r="M263" s="34" cm="1">
        <f t="array" ref="M263">_xlfn.IFS(TablaSTOCKINV[[#This Row],[CANT. TOTAL]]&lt;=0,1,TablaSTOCKINV[[#This Row],[CANT. TOTAL]]&lt;=TablaSTOCKINV[[#This Row],[MIN]],2,TablaSTOCKINV[[#This Row],[CANT. TOTAL]]&gt;TablaSTOCKINV[[#This Row],[MIN]],3)</f>
        <v>3</v>
      </c>
      <c r="N263" s="34">
        <f>TablaSTOCKINV[[#This Row],[ENTRADAS]]-TablaSTOCKINV[[#This Row],[SALIDAS]]</f>
        <v>7</v>
      </c>
      <c r="O263" s="35">
        <f>SUMIFS(TablaENTRADA[CANT],TablaENTRADA[SKU],TablaSTOCKINV[[#This Row],[SKU]])</f>
        <v>7</v>
      </c>
      <c r="P263" s="35">
        <f>SUMIFS(TablaSALIDA[CANT],TablaSALIDA[SKU],TablaSTOCKINV[[#This Row],[SKU]])</f>
        <v>0</v>
      </c>
      <c r="Q263" s="34">
        <f>_xlfn.XLOOKUP(TablaSTOCKINV[[#This Row],[SKU]],TablaINVENTARIO[SKU],TablaINVENTARIO[PRECIO])</f>
        <v>0</v>
      </c>
      <c r="R263" s="34">
        <f>TablaSTOCKINV[[#This Row],[P.UNITARIO]]*TablaSTOCKINV[[#This Row],[CANT. TOTAL]]</f>
        <v>0</v>
      </c>
      <c r="S263" s="44">
        <f>_xlfn.XLOOKUP(TablaSTOCKINV[[#This Row],[SKU]],TablaINVENTARIO[SKU],TablaINVENTARIO[FECHA INGRESO])</f>
        <v>46023</v>
      </c>
      <c r="T263" s="44">
        <f>_xlfn.XLOOKUP(TablaSTOCKINV[[#This Row],[SKU]],TablaENTRADA[SKU],TablaENTRADA[FECHA],,0,-1)</f>
        <v>46023</v>
      </c>
      <c r="U263" s="46" t="str">
        <f>IFERROR((_xlfn.XLOOKUP(TablaSTOCKINV[[#This Row],[SKU]],TablaSALIDA[SKU],TablaSALIDA[FECHA],,0,-1))," " )</f>
        <v xml:space="preserve"> </v>
      </c>
    </row>
    <row r="264" spans="1:21" x14ac:dyDescent="0.3">
      <c r="A264" s="27" t="s">
        <v>1935</v>
      </c>
      <c r="B264" s="32" t="str">
        <f>_xlfn.XLOOKUP(TablaSTOCKINV[[#This Row],[SKU]],TablaINVENTARIO[SKU],TablaINVENTARIO[DESCRIPCION])</f>
        <v xml:space="preserve">LINTERNA INDUSTRIAL </v>
      </c>
      <c r="C264" s="32" t="str">
        <f>_xlfn.XLOOKUP(TablaSTOCKINV[[#This Row],[SKU]],TablaINVENTARIO[SKU],TablaINVENTARIO[MARCA])</f>
        <v>ENERGIZER</v>
      </c>
      <c r="D264" s="33" t="str">
        <f>_xlfn.XLOOKUP(TablaSTOCKINV[[#This Row],[SKU]],TablaINVENTARIO[SKU],TablaINVENTARIO[CATEGORIA])</f>
        <v xml:space="preserve">ILUMINACION </v>
      </c>
      <c r="E264" s="33" t="str">
        <f>_xlfn.XLOOKUP(TablaSTOCKINV[[#This Row],[SKU]],TablaINVENTARIO[SKU],TablaINVENTARIO[SUBCATEGORIA])</f>
        <v>ILUMINACION PORTATIL</v>
      </c>
      <c r="F264" s="33" t="str">
        <f>_xlfn.XLOOKUP(TablaSTOCKINV[[#This Row],[SKU]],TablaINVENTARIO[SKU],TablaINVENTARIO[ESTADO])</f>
        <v xml:space="preserve">NUEVO </v>
      </c>
      <c r="G264" s="33" t="str">
        <f>_xlfn.XLOOKUP(TablaSTOCKINV[[#This Row],[SKU]],TablaINVENTARIO[SKU],TablaINVENTARIO[MEDIDA])</f>
        <v>UND</v>
      </c>
      <c r="H264" s="33" t="str">
        <f>_xlfn.XLOOKUP(TablaSTOCKINV[[#This Row],[SKU]],TablaINVENTARIO[SKU],TablaINVENTARIO[SERIAL])</f>
        <v>N/A</v>
      </c>
      <c r="I264" s="34" t="str">
        <f>_xlfn.XLOOKUP(TablaSTOCKINV[[#This Row],[SKU]],TablaINVENTARIO[SKU],TablaINVENTARIO[ALMACEN])</f>
        <v>ALMACEN PRINCIPAL</v>
      </c>
      <c r="J264" s="34" t="str">
        <f>_xlfn.XLOOKUP(TablaSTOCKINV[[#This Row],[SKU]],TablaINVENTARIO[SKU],TablaINVENTARIO[UBICACION])</f>
        <v>3H</v>
      </c>
      <c r="K264" s="34" t="str">
        <f>_xlfn.XLOOKUP(TablaSTOCKINV[[#This Row],[SKU]],TablaINVENTARIO[SKU],TablaINVENTARIO[DPTO RESPONSABLE])</f>
        <v>OPERACIONES</v>
      </c>
      <c r="L264" s="36">
        <f>_xlfn.XLOOKUP(TablaSTOCKINV[[#This Row],[SKU]],TablaINVENTARIO[SKU],TablaINVENTARIO[RANGO MIN])</f>
        <v>0</v>
      </c>
      <c r="M264" s="34" cm="1">
        <f t="array" ref="M264">_xlfn.IFS(TablaSTOCKINV[[#This Row],[CANT. TOTAL]]&lt;=0,1,TablaSTOCKINV[[#This Row],[CANT. TOTAL]]&lt;=TablaSTOCKINV[[#This Row],[MIN]],2,TablaSTOCKINV[[#This Row],[CANT. TOTAL]]&gt;TablaSTOCKINV[[#This Row],[MIN]],3)</f>
        <v>3</v>
      </c>
      <c r="N264" s="34">
        <f>TablaSTOCKINV[[#This Row],[ENTRADAS]]-TablaSTOCKINV[[#This Row],[SALIDAS]]</f>
        <v>2</v>
      </c>
      <c r="O264" s="35">
        <f>SUMIFS(TablaENTRADA[CANT],TablaENTRADA[SKU],TablaSTOCKINV[[#This Row],[SKU]])</f>
        <v>2</v>
      </c>
      <c r="P264" s="35">
        <f>SUMIFS(TablaSALIDA[CANT],TablaSALIDA[SKU],TablaSTOCKINV[[#This Row],[SKU]])</f>
        <v>0</v>
      </c>
      <c r="Q264" s="34">
        <f>_xlfn.XLOOKUP(TablaSTOCKINV[[#This Row],[SKU]],TablaINVENTARIO[SKU],TablaINVENTARIO[PRECIO])</f>
        <v>0</v>
      </c>
      <c r="R264" s="34">
        <f>TablaSTOCKINV[[#This Row],[P.UNITARIO]]*TablaSTOCKINV[[#This Row],[CANT. TOTAL]]</f>
        <v>0</v>
      </c>
      <c r="S264" s="44">
        <f>_xlfn.XLOOKUP(TablaSTOCKINV[[#This Row],[SKU]],TablaINVENTARIO[SKU],TablaINVENTARIO[FECHA INGRESO])</f>
        <v>46023</v>
      </c>
      <c r="T264" s="44">
        <f>_xlfn.XLOOKUP(TablaSTOCKINV[[#This Row],[SKU]],TablaENTRADA[SKU],TablaENTRADA[FECHA],,0,-1)</f>
        <v>46023</v>
      </c>
      <c r="U264" s="46" t="str">
        <f>IFERROR((_xlfn.XLOOKUP(TablaSTOCKINV[[#This Row],[SKU]],TablaSALIDA[SKU],TablaSALIDA[FECHA],,0,-1))," " )</f>
        <v xml:space="preserve"> </v>
      </c>
    </row>
    <row r="265" spans="1:21" x14ac:dyDescent="0.3">
      <c r="A265" s="27" t="s">
        <v>1938</v>
      </c>
      <c r="B265" s="32" t="str">
        <f>_xlfn.XLOOKUP(TablaSTOCKINV[[#This Row],[SKU]],TablaINVENTARIO[SKU],TablaINVENTARIO[DESCRIPCION])</f>
        <v xml:space="preserve">LINTERNA LED PLASTICA </v>
      </c>
      <c r="C265" s="32" t="str">
        <f>_xlfn.XLOOKUP(TablaSTOCKINV[[#This Row],[SKU]],TablaINVENTARIO[SKU],TablaINVENTARIO[MARCA])</f>
        <v xml:space="preserve">PRETUL </v>
      </c>
      <c r="D265" s="33" t="str">
        <f>_xlfn.XLOOKUP(TablaSTOCKINV[[#This Row],[SKU]],TablaINVENTARIO[SKU],TablaINVENTARIO[CATEGORIA])</f>
        <v xml:space="preserve">ILUMINACION </v>
      </c>
      <c r="E265" s="33" t="str">
        <f>_xlfn.XLOOKUP(TablaSTOCKINV[[#This Row],[SKU]],TablaINVENTARIO[SKU],TablaINVENTARIO[SUBCATEGORIA])</f>
        <v>ILUMINACION PORTATIL</v>
      </c>
      <c r="F265" s="33" t="str">
        <f>_xlfn.XLOOKUP(TablaSTOCKINV[[#This Row],[SKU]],TablaINVENTARIO[SKU],TablaINVENTARIO[ESTADO])</f>
        <v>USADO</v>
      </c>
      <c r="G265" s="33" t="str">
        <f>_xlfn.XLOOKUP(TablaSTOCKINV[[#This Row],[SKU]],TablaINVENTARIO[SKU],TablaINVENTARIO[MEDIDA])</f>
        <v xml:space="preserve">UND </v>
      </c>
      <c r="H265" s="33" t="str">
        <f>_xlfn.XLOOKUP(TablaSTOCKINV[[#This Row],[SKU]],TablaINVENTARIO[SKU],TablaINVENTARIO[SERIAL])</f>
        <v>N/A</v>
      </c>
      <c r="I265" s="34" t="str">
        <f>_xlfn.XLOOKUP(TablaSTOCKINV[[#This Row],[SKU]],TablaINVENTARIO[SKU],TablaINVENTARIO[ALMACEN])</f>
        <v>ALMACEN PRINCIPAL</v>
      </c>
      <c r="J265" s="34" t="str">
        <f>_xlfn.XLOOKUP(TablaSTOCKINV[[#This Row],[SKU]],TablaINVENTARIO[SKU],TablaINVENTARIO[UBICACION])</f>
        <v>3H</v>
      </c>
      <c r="K265" s="34" t="str">
        <f>_xlfn.XLOOKUP(TablaSTOCKINV[[#This Row],[SKU]],TablaINVENTARIO[SKU],TablaINVENTARIO[DPTO RESPONSABLE])</f>
        <v>MANTENIMIENTO</v>
      </c>
      <c r="L265" s="36">
        <f>_xlfn.XLOOKUP(TablaSTOCKINV[[#This Row],[SKU]],TablaINVENTARIO[SKU],TablaINVENTARIO[RANGO MIN])</f>
        <v>0</v>
      </c>
      <c r="M265" s="34" cm="1">
        <f t="array" ref="M265">_xlfn.IFS(TablaSTOCKINV[[#This Row],[CANT. TOTAL]]&lt;=0,1,TablaSTOCKINV[[#This Row],[CANT. TOTAL]]&lt;=TablaSTOCKINV[[#This Row],[MIN]],2,TablaSTOCKINV[[#This Row],[CANT. TOTAL]]&gt;TablaSTOCKINV[[#This Row],[MIN]],3)</f>
        <v>3</v>
      </c>
      <c r="N265" s="34">
        <f>TablaSTOCKINV[[#This Row],[ENTRADAS]]-TablaSTOCKINV[[#This Row],[SALIDAS]]</f>
        <v>1</v>
      </c>
      <c r="O265" s="35">
        <f>SUMIFS(TablaENTRADA[CANT],TablaENTRADA[SKU],TablaSTOCKINV[[#This Row],[SKU]])</f>
        <v>1</v>
      </c>
      <c r="P265" s="35">
        <f>SUMIFS(TablaSALIDA[CANT],TablaSALIDA[SKU],TablaSTOCKINV[[#This Row],[SKU]])</f>
        <v>0</v>
      </c>
      <c r="Q265" s="34">
        <f>_xlfn.XLOOKUP(TablaSTOCKINV[[#This Row],[SKU]],TablaINVENTARIO[SKU],TablaINVENTARIO[PRECIO])</f>
        <v>0</v>
      </c>
      <c r="R265" s="34">
        <f>TablaSTOCKINV[[#This Row],[P.UNITARIO]]*TablaSTOCKINV[[#This Row],[CANT. TOTAL]]</f>
        <v>0</v>
      </c>
      <c r="S265" s="44">
        <f>_xlfn.XLOOKUP(TablaSTOCKINV[[#This Row],[SKU]],TablaINVENTARIO[SKU],TablaINVENTARIO[FECHA INGRESO])</f>
        <v>46023</v>
      </c>
      <c r="T265" s="44">
        <f>_xlfn.XLOOKUP(TablaSTOCKINV[[#This Row],[SKU]],TablaENTRADA[SKU],TablaENTRADA[FECHA],,0,-1)</f>
        <v>46023</v>
      </c>
      <c r="U265" s="46" t="str">
        <f>IFERROR((_xlfn.XLOOKUP(TablaSTOCKINV[[#This Row],[SKU]],TablaSALIDA[SKU],TablaSALIDA[FECHA],,0,-1))," " )</f>
        <v xml:space="preserve"> </v>
      </c>
    </row>
    <row r="266" spans="1:21" x14ac:dyDescent="0.3">
      <c r="A266" s="27" t="s">
        <v>1941</v>
      </c>
      <c r="B266" s="32" t="str">
        <f>_xlfn.XLOOKUP(TablaSTOCKINV[[#This Row],[SKU]],TablaINVENTARIO[SKU],TablaINVENTARIO[DESCRIPCION])</f>
        <v>REFLECTOR DE HALOGENO 150W</v>
      </c>
      <c r="C266" s="32" t="str">
        <f>_xlfn.XLOOKUP(TablaSTOCKINV[[#This Row],[SKU]],TablaINVENTARIO[SKU],TablaINVENTARIO[MARCA])</f>
        <v>FERMETAL</v>
      </c>
      <c r="D266" s="33" t="str">
        <f>_xlfn.XLOOKUP(TablaSTOCKINV[[#This Row],[SKU]],TablaINVENTARIO[SKU],TablaINVENTARIO[CATEGORIA])</f>
        <v xml:space="preserve">ILUMINACION </v>
      </c>
      <c r="E266" s="33" t="str">
        <f>_xlfn.XLOOKUP(TablaSTOCKINV[[#This Row],[SKU]],TablaINVENTARIO[SKU],TablaINVENTARIO[SUBCATEGORIA])</f>
        <v xml:space="preserve">ILUMINACION FIJA </v>
      </c>
      <c r="F266" s="33" t="str">
        <f>_xlfn.XLOOKUP(TablaSTOCKINV[[#This Row],[SKU]],TablaINVENTARIO[SKU],TablaINVENTARIO[ESTADO])</f>
        <v xml:space="preserve">NUEVO </v>
      </c>
      <c r="G266" s="33" t="str">
        <f>_xlfn.XLOOKUP(TablaSTOCKINV[[#This Row],[SKU]],TablaINVENTARIO[SKU],TablaINVENTARIO[MEDIDA])</f>
        <v xml:space="preserve">UND </v>
      </c>
      <c r="H266" s="33" t="str">
        <f>_xlfn.XLOOKUP(TablaSTOCKINV[[#This Row],[SKU]],TablaINVENTARIO[SKU],TablaINVENTARIO[SERIAL])</f>
        <v>N/A</v>
      </c>
      <c r="I266" s="34" t="str">
        <f>_xlfn.XLOOKUP(TablaSTOCKINV[[#This Row],[SKU]],TablaINVENTARIO[SKU],TablaINVENTARIO[ALMACEN])</f>
        <v>ALMACEN PRINCIPAL</v>
      </c>
      <c r="J266" s="34" t="str">
        <f>_xlfn.XLOOKUP(TablaSTOCKINV[[#This Row],[SKU]],TablaINVENTARIO[SKU],TablaINVENTARIO[UBICACION])</f>
        <v>3H</v>
      </c>
      <c r="K266" s="34" t="str">
        <f>_xlfn.XLOOKUP(TablaSTOCKINV[[#This Row],[SKU]],TablaINVENTARIO[SKU],TablaINVENTARIO[DPTO RESPONSABLE])</f>
        <v>MANTENIMIENTO</v>
      </c>
      <c r="L266" s="36">
        <f>_xlfn.XLOOKUP(TablaSTOCKINV[[#This Row],[SKU]],TablaINVENTARIO[SKU],TablaINVENTARIO[RANGO MIN])</f>
        <v>0</v>
      </c>
      <c r="M266" s="34" cm="1">
        <f t="array" ref="M266">_xlfn.IFS(TablaSTOCKINV[[#This Row],[CANT. TOTAL]]&lt;=0,1,TablaSTOCKINV[[#This Row],[CANT. TOTAL]]&lt;=TablaSTOCKINV[[#This Row],[MIN]],2,TablaSTOCKINV[[#This Row],[CANT. TOTAL]]&gt;TablaSTOCKINV[[#This Row],[MIN]],3)</f>
        <v>3</v>
      </c>
      <c r="N266" s="34">
        <f>TablaSTOCKINV[[#This Row],[ENTRADAS]]-TablaSTOCKINV[[#This Row],[SALIDAS]]</f>
        <v>1</v>
      </c>
      <c r="O266" s="35">
        <f>SUMIFS(TablaENTRADA[CANT],TablaENTRADA[SKU],TablaSTOCKINV[[#This Row],[SKU]])</f>
        <v>1</v>
      </c>
      <c r="P266" s="35">
        <f>SUMIFS(TablaSALIDA[CANT],TablaSALIDA[SKU],TablaSTOCKINV[[#This Row],[SKU]])</f>
        <v>0</v>
      </c>
      <c r="Q266" s="34">
        <f>_xlfn.XLOOKUP(TablaSTOCKINV[[#This Row],[SKU]],TablaINVENTARIO[SKU],TablaINVENTARIO[PRECIO])</f>
        <v>0</v>
      </c>
      <c r="R266" s="34">
        <f>TablaSTOCKINV[[#This Row],[P.UNITARIO]]*TablaSTOCKINV[[#This Row],[CANT. TOTAL]]</f>
        <v>0</v>
      </c>
      <c r="S266" s="44">
        <f>_xlfn.XLOOKUP(TablaSTOCKINV[[#This Row],[SKU]],TablaINVENTARIO[SKU],TablaINVENTARIO[FECHA INGRESO])</f>
        <v>46023</v>
      </c>
      <c r="T266" s="44">
        <f>_xlfn.XLOOKUP(TablaSTOCKINV[[#This Row],[SKU]],TablaENTRADA[SKU],TablaENTRADA[FECHA],,0,-1)</f>
        <v>46023</v>
      </c>
      <c r="U266" s="46" t="str">
        <f>IFERROR((_xlfn.XLOOKUP(TablaSTOCKINV[[#This Row],[SKU]],TablaSALIDA[SKU],TablaSALIDA[FECHA],,0,-1))," " )</f>
        <v xml:space="preserve"> </v>
      </c>
    </row>
    <row r="267" spans="1:21" x14ac:dyDescent="0.3">
      <c r="A267" s="27" t="s">
        <v>1945</v>
      </c>
      <c r="B267" s="32" t="str">
        <f>_xlfn.XLOOKUP(TablaSTOCKINV[[#This Row],[SKU]],TablaINVENTARIO[SKU],TablaINVENTARIO[DESCRIPCION])</f>
        <v>LAMPARA RECARGABLE CON CARGADOR</v>
      </c>
      <c r="C267" s="32" t="str">
        <f>_xlfn.XLOOKUP(TablaSTOCKINV[[#This Row],[SKU]],TablaINVENTARIO[SKU],TablaINVENTARIO[MARCA])</f>
        <v xml:space="preserve">PARKSIDE </v>
      </c>
      <c r="D267" s="33" t="str">
        <f>_xlfn.XLOOKUP(TablaSTOCKINV[[#This Row],[SKU]],TablaINVENTARIO[SKU],TablaINVENTARIO[CATEGORIA])</f>
        <v xml:space="preserve">ILUMINACION </v>
      </c>
      <c r="E267" s="33" t="str">
        <f>_xlfn.XLOOKUP(TablaSTOCKINV[[#This Row],[SKU]],TablaINVENTARIO[SKU],TablaINVENTARIO[SUBCATEGORIA])</f>
        <v>ILUMINACION PORTATIL</v>
      </c>
      <c r="F267" s="33" t="str">
        <f>_xlfn.XLOOKUP(TablaSTOCKINV[[#This Row],[SKU]],TablaINVENTARIO[SKU],TablaINVENTARIO[ESTADO])</f>
        <v>NUEVO</v>
      </c>
      <c r="G267" s="33" t="str">
        <f>_xlfn.XLOOKUP(TablaSTOCKINV[[#This Row],[SKU]],TablaINVENTARIO[SKU],TablaINVENTARIO[MEDIDA])</f>
        <v xml:space="preserve">UND </v>
      </c>
      <c r="H267" s="33" t="str">
        <f>_xlfn.XLOOKUP(TablaSTOCKINV[[#This Row],[SKU]],TablaINVENTARIO[SKU],TablaINVENTARIO[SERIAL])</f>
        <v>N/A</v>
      </c>
      <c r="I267" s="34" t="str">
        <f>_xlfn.XLOOKUP(TablaSTOCKINV[[#This Row],[SKU]],TablaINVENTARIO[SKU],TablaINVENTARIO[ALMACEN])</f>
        <v>ALMACEN PRINCIPAL</v>
      </c>
      <c r="J267" s="34" t="str">
        <f>_xlfn.XLOOKUP(TablaSTOCKINV[[#This Row],[SKU]],TablaINVENTARIO[SKU],TablaINVENTARIO[UBICACION])</f>
        <v>2D</v>
      </c>
      <c r="K267" s="34" t="str">
        <f>_xlfn.XLOOKUP(TablaSTOCKINV[[#This Row],[SKU]],TablaINVENTARIO[SKU],TablaINVENTARIO[DPTO RESPONSABLE])</f>
        <v>OPERACIONES</v>
      </c>
      <c r="L267" s="36">
        <f>_xlfn.XLOOKUP(TablaSTOCKINV[[#This Row],[SKU]],TablaINVENTARIO[SKU],TablaINVENTARIO[RANGO MIN])</f>
        <v>0</v>
      </c>
      <c r="M267" s="34" cm="1">
        <f t="array" ref="M267">_xlfn.IFS(TablaSTOCKINV[[#This Row],[CANT. TOTAL]]&lt;=0,1,TablaSTOCKINV[[#This Row],[CANT. TOTAL]]&lt;=TablaSTOCKINV[[#This Row],[MIN]],2,TablaSTOCKINV[[#This Row],[CANT. TOTAL]]&gt;TablaSTOCKINV[[#This Row],[MIN]],3)</f>
        <v>3</v>
      </c>
      <c r="N267" s="34">
        <f>TablaSTOCKINV[[#This Row],[ENTRADAS]]-TablaSTOCKINV[[#This Row],[SALIDAS]]</f>
        <v>1</v>
      </c>
      <c r="O267" s="35">
        <f>SUMIFS(TablaENTRADA[CANT],TablaENTRADA[SKU],TablaSTOCKINV[[#This Row],[SKU]])</f>
        <v>1</v>
      </c>
      <c r="P267" s="35">
        <f>SUMIFS(TablaSALIDA[CANT],TablaSALIDA[SKU],TablaSTOCKINV[[#This Row],[SKU]])</f>
        <v>0</v>
      </c>
      <c r="Q267" s="34">
        <f>_xlfn.XLOOKUP(TablaSTOCKINV[[#This Row],[SKU]],TablaINVENTARIO[SKU],TablaINVENTARIO[PRECIO])</f>
        <v>0</v>
      </c>
      <c r="R267" s="34">
        <f>TablaSTOCKINV[[#This Row],[P.UNITARIO]]*TablaSTOCKINV[[#This Row],[CANT. TOTAL]]</f>
        <v>0</v>
      </c>
      <c r="S267" s="44">
        <f>_xlfn.XLOOKUP(TablaSTOCKINV[[#This Row],[SKU]],TablaINVENTARIO[SKU],TablaINVENTARIO[FECHA INGRESO])</f>
        <v>46023</v>
      </c>
      <c r="T267" s="44">
        <f>_xlfn.XLOOKUP(TablaSTOCKINV[[#This Row],[SKU]],TablaENTRADA[SKU],TablaENTRADA[FECHA],,0,-1)</f>
        <v>46023</v>
      </c>
      <c r="U267" s="46" t="str">
        <f>IFERROR((_xlfn.XLOOKUP(TablaSTOCKINV[[#This Row],[SKU]],TablaSALIDA[SKU],TablaSALIDA[FECHA],,0,-1))," " )</f>
        <v xml:space="preserve"> </v>
      </c>
    </row>
    <row r="268" spans="1:21" x14ac:dyDescent="0.3">
      <c r="A268" s="27" t="s">
        <v>2647</v>
      </c>
      <c r="B268" s="32" t="str">
        <f>_xlfn.XLOOKUP(TablaSTOCKINV[[#This Row],[SKU]],TablaINVENTARIO[SKU],TablaINVENTARIO[DESCRIPCION])</f>
        <v>BOMBILLOS RECARGABLES 60 W</v>
      </c>
      <c r="C268" s="32" t="str">
        <f>_xlfn.XLOOKUP(TablaSTOCKINV[[#This Row],[SKU]],TablaINVENTARIO[SKU],TablaINVENTARIO[MARCA])</f>
        <v>NALY</v>
      </c>
      <c r="D268" s="33" t="str">
        <f>_xlfn.XLOOKUP(TablaSTOCKINV[[#This Row],[SKU]],TablaINVENTARIO[SKU],TablaINVENTARIO[CATEGORIA])</f>
        <v xml:space="preserve">ILUMINACION </v>
      </c>
      <c r="E268" s="33" t="str">
        <f>_xlfn.XLOOKUP(TablaSTOCKINV[[#This Row],[SKU]],TablaINVENTARIO[SKU],TablaINVENTARIO[SUBCATEGORIA])</f>
        <v>ILUMINACION PORTATIL</v>
      </c>
      <c r="F268" s="33" t="str">
        <f>_xlfn.XLOOKUP(TablaSTOCKINV[[#This Row],[SKU]],TablaINVENTARIO[SKU],TablaINVENTARIO[ESTADO])</f>
        <v xml:space="preserve">NUEVO </v>
      </c>
      <c r="G268" s="33" t="str">
        <f>_xlfn.XLOOKUP(TablaSTOCKINV[[#This Row],[SKU]],TablaINVENTARIO[SKU],TablaINVENTARIO[MEDIDA])</f>
        <v>UND</v>
      </c>
      <c r="H268" s="33" t="str">
        <f>_xlfn.XLOOKUP(TablaSTOCKINV[[#This Row],[SKU]],TablaINVENTARIO[SKU],TablaINVENTARIO[SERIAL])</f>
        <v>N/A</v>
      </c>
      <c r="I268" s="34" t="str">
        <f>_xlfn.XLOOKUP(TablaSTOCKINV[[#This Row],[SKU]],TablaINVENTARIO[SKU],TablaINVENTARIO[ALMACEN])</f>
        <v>ALMACEN PRINCIPAL</v>
      </c>
      <c r="J268" s="34" t="str">
        <f>_xlfn.XLOOKUP(TablaSTOCKINV[[#This Row],[SKU]],TablaINVENTARIO[SKU],TablaINVENTARIO[UBICACION])</f>
        <v>E1-1</v>
      </c>
      <c r="K268" s="34" t="str">
        <f>_xlfn.XLOOKUP(TablaSTOCKINV[[#This Row],[SKU]],TablaINVENTARIO[SKU],TablaINVENTARIO[DPTO RESPONSABLE])</f>
        <v xml:space="preserve">MANTENIMIENTO </v>
      </c>
      <c r="L268" s="36">
        <f>_xlfn.XLOOKUP(TablaSTOCKINV[[#This Row],[SKU]],TablaINVENTARIO[SKU],TablaINVENTARIO[RANGO MIN])</f>
        <v>0</v>
      </c>
      <c r="M268" s="34" cm="1">
        <f t="array" ref="M268">_xlfn.IFS(TablaSTOCKINV[[#This Row],[CANT. TOTAL]]&lt;=0,1,TablaSTOCKINV[[#This Row],[CANT. TOTAL]]&lt;=TablaSTOCKINV[[#This Row],[MIN]],2,TablaSTOCKINV[[#This Row],[CANT. TOTAL]]&gt;TablaSTOCKINV[[#This Row],[MIN]],3)</f>
        <v>3</v>
      </c>
      <c r="N268" s="34">
        <f>TablaSTOCKINV[[#This Row],[ENTRADAS]]-TablaSTOCKINV[[#This Row],[SALIDAS]]</f>
        <v>6</v>
      </c>
      <c r="O268" s="35">
        <f>SUMIFS(TablaENTRADA[CANT],TablaENTRADA[SKU],TablaSTOCKINV[[#This Row],[SKU]])</f>
        <v>6</v>
      </c>
      <c r="P268" s="35">
        <f>SUMIFS(TablaSALIDA[CANT],TablaSALIDA[SKU],TablaSTOCKINV[[#This Row],[SKU]])</f>
        <v>0</v>
      </c>
      <c r="Q268" s="34">
        <f>_xlfn.XLOOKUP(TablaSTOCKINV[[#This Row],[SKU]],TablaINVENTARIO[SKU],TablaINVENTARIO[PRECIO])</f>
        <v>0</v>
      </c>
      <c r="R268" s="34">
        <f>TablaSTOCKINV[[#This Row],[P.UNITARIO]]*TablaSTOCKINV[[#This Row],[CANT. TOTAL]]</f>
        <v>0</v>
      </c>
      <c r="S268" s="44">
        <f>_xlfn.XLOOKUP(TablaSTOCKINV[[#This Row],[SKU]],TablaINVENTARIO[SKU],TablaINVENTARIO[FECHA INGRESO])</f>
        <v>46023</v>
      </c>
      <c r="T268" s="44">
        <f>_xlfn.XLOOKUP(TablaSTOCKINV[[#This Row],[SKU]],TablaENTRADA[SKU],TablaENTRADA[FECHA],,0,-1)</f>
        <v>46023</v>
      </c>
      <c r="U268" s="46" t="str">
        <f>IFERROR((_xlfn.XLOOKUP(TablaSTOCKINV[[#This Row],[SKU]],TablaSALIDA[SKU],TablaSALIDA[FECHA],,0,-1))," " )</f>
        <v xml:space="preserve"> </v>
      </c>
    </row>
    <row r="269" spans="1:21" x14ac:dyDescent="0.3">
      <c r="A269" s="27" t="s">
        <v>2651</v>
      </c>
      <c r="B269" s="32" t="str">
        <f>_xlfn.XLOOKUP(TablaSTOCKINV[[#This Row],[SKU]],TablaINVENTARIO[SKU],TablaINVENTARIO[DESCRIPCION])</f>
        <v>FUENTE DE ALIMENTACION DE CARRIL MAGNETICO PARA ILUMINACION MODELO: PJ-48100N-L</v>
      </c>
      <c r="C269" s="32" t="str">
        <f>_xlfn.XLOOKUP(TablaSTOCKINV[[#This Row],[SKU]],TablaINVENTARIO[SKU],TablaINVENTARIO[MARCA])</f>
        <v>BJ LIGHT</v>
      </c>
      <c r="D269" s="33" t="str">
        <f>_xlfn.XLOOKUP(TablaSTOCKINV[[#This Row],[SKU]],TablaINVENTARIO[SKU],TablaINVENTARIO[CATEGORIA])</f>
        <v xml:space="preserve">ILUMINACION </v>
      </c>
      <c r="E269" s="33" t="str">
        <f>_xlfn.XLOOKUP(TablaSTOCKINV[[#This Row],[SKU]],TablaINVENTARIO[SKU],TablaINVENTARIO[SUBCATEGORIA])</f>
        <v xml:space="preserve">ILUMINACION FIJA </v>
      </c>
      <c r="F269" s="33" t="str">
        <f>_xlfn.XLOOKUP(TablaSTOCKINV[[#This Row],[SKU]],TablaINVENTARIO[SKU],TablaINVENTARIO[ESTADO])</f>
        <v xml:space="preserve">NUEVO </v>
      </c>
      <c r="G269" s="33" t="str">
        <f>_xlfn.XLOOKUP(TablaSTOCKINV[[#This Row],[SKU]],TablaINVENTARIO[SKU],TablaINVENTARIO[MEDIDA])</f>
        <v>UND</v>
      </c>
      <c r="H269" s="33" t="str">
        <f>_xlfn.XLOOKUP(TablaSTOCKINV[[#This Row],[SKU]],TablaINVENTARIO[SKU],TablaINVENTARIO[SERIAL])</f>
        <v>N/A</v>
      </c>
      <c r="I269" s="34" t="str">
        <f>_xlfn.XLOOKUP(TablaSTOCKINV[[#This Row],[SKU]],TablaINVENTARIO[SKU],TablaINVENTARIO[ALMACEN])</f>
        <v>ALMACEN PRINCIPAL</v>
      </c>
      <c r="J269" s="34" t="str">
        <f>_xlfn.XLOOKUP(TablaSTOCKINV[[#This Row],[SKU]],TablaINVENTARIO[SKU],TablaINVENTARIO[UBICACION])</f>
        <v>E1-1</v>
      </c>
      <c r="K269" s="34" t="str">
        <f>_xlfn.XLOOKUP(TablaSTOCKINV[[#This Row],[SKU]],TablaINVENTARIO[SKU],TablaINVENTARIO[DPTO RESPONSABLE])</f>
        <v xml:space="preserve">MANTENIMIENTO </v>
      </c>
      <c r="L269" s="36">
        <f>_xlfn.XLOOKUP(TablaSTOCKINV[[#This Row],[SKU]],TablaINVENTARIO[SKU],TablaINVENTARIO[RANGO MIN])</f>
        <v>0</v>
      </c>
      <c r="M269" s="34" cm="1">
        <f t="array" ref="M269">_xlfn.IFS(TablaSTOCKINV[[#This Row],[CANT. TOTAL]]&lt;=0,1,TablaSTOCKINV[[#This Row],[CANT. TOTAL]]&lt;=TablaSTOCKINV[[#This Row],[MIN]],2,TablaSTOCKINV[[#This Row],[CANT. TOTAL]]&gt;TablaSTOCKINV[[#This Row],[MIN]],3)</f>
        <v>3</v>
      </c>
      <c r="N269" s="34">
        <f>TablaSTOCKINV[[#This Row],[ENTRADAS]]-TablaSTOCKINV[[#This Row],[SALIDAS]]</f>
        <v>2</v>
      </c>
      <c r="O269" s="35">
        <f>SUMIFS(TablaENTRADA[CANT],TablaENTRADA[SKU],TablaSTOCKINV[[#This Row],[SKU]])</f>
        <v>2</v>
      </c>
      <c r="P269" s="35">
        <f>SUMIFS(TablaSALIDA[CANT],TablaSALIDA[SKU],TablaSTOCKINV[[#This Row],[SKU]])</f>
        <v>0</v>
      </c>
      <c r="Q269" s="34">
        <f>_xlfn.XLOOKUP(TablaSTOCKINV[[#This Row],[SKU]],TablaINVENTARIO[SKU],TablaINVENTARIO[PRECIO])</f>
        <v>0</v>
      </c>
      <c r="R269" s="34">
        <f>TablaSTOCKINV[[#This Row],[P.UNITARIO]]*TablaSTOCKINV[[#This Row],[CANT. TOTAL]]</f>
        <v>0</v>
      </c>
      <c r="S269" s="44">
        <f>_xlfn.XLOOKUP(TablaSTOCKINV[[#This Row],[SKU]],TablaINVENTARIO[SKU],TablaINVENTARIO[FECHA INGRESO])</f>
        <v>46023</v>
      </c>
      <c r="T269" s="44">
        <f>_xlfn.XLOOKUP(TablaSTOCKINV[[#This Row],[SKU]],TablaENTRADA[SKU],TablaENTRADA[FECHA],,0,-1)</f>
        <v>46023</v>
      </c>
      <c r="U269" s="46" t="str">
        <f>IFERROR((_xlfn.XLOOKUP(TablaSTOCKINV[[#This Row],[SKU]],TablaSALIDA[SKU],TablaSALIDA[FECHA],,0,-1))," " )</f>
        <v xml:space="preserve"> </v>
      </c>
    </row>
    <row r="270" spans="1:21" x14ac:dyDescent="0.3">
      <c r="A270" s="27" t="s">
        <v>2654</v>
      </c>
      <c r="B270" s="32" t="str">
        <f>_xlfn.XLOOKUP(TablaSTOCKINV[[#This Row],[SKU]],TablaINVENTARIO[SKU],TablaINVENTARIO[DESCRIPCION])</f>
        <v>LUMINARIA DE CARRIL MAGNETICO 18 W MODELO: CX20-G533</v>
      </c>
      <c r="C270" s="32" t="str">
        <f>_xlfn.XLOOKUP(TablaSTOCKINV[[#This Row],[SKU]],TablaINVENTARIO[SKU],TablaINVENTARIO[MARCA])</f>
        <v>BJ LIGHT</v>
      </c>
      <c r="D270" s="33" t="str">
        <f>_xlfn.XLOOKUP(TablaSTOCKINV[[#This Row],[SKU]],TablaINVENTARIO[SKU],TablaINVENTARIO[CATEGORIA])</f>
        <v xml:space="preserve">ILUMINACION </v>
      </c>
      <c r="E270" s="33" t="str">
        <f>_xlfn.XLOOKUP(TablaSTOCKINV[[#This Row],[SKU]],TablaINVENTARIO[SKU],TablaINVENTARIO[SUBCATEGORIA])</f>
        <v xml:space="preserve">ILUMINACION FIJA </v>
      </c>
      <c r="F270" s="33" t="str">
        <f>_xlfn.XLOOKUP(TablaSTOCKINV[[#This Row],[SKU]],TablaINVENTARIO[SKU],TablaINVENTARIO[ESTADO])</f>
        <v xml:space="preserve">NUEVO </v>
      </c>
      <c r="G270" s="33" t="str">
        <f>_xlfn.XLOOKUP(TablaSTOCKINV[[#This Row],[SKU]],TablaINVENTARIO[SKU],TablaINVENTARIO[MEDIDA])</f>
        <v>UND</v>
      </c>
      <c r="H270" s="33" t="str">
        <f>_xlfn.XLOOKUP(TablaSTOCKINV[[#This Row],[SKU]],TablaINVENTARIO[SKU],TablaINVENTARIO[SERIAL])</f>
        <v>N/A</v>
      </c>
      <c r="I270" s="34" t="str">
        <f>_xlfn.XLOOKUP(TablaSTOCKINV[[#This Row],[SKU]],TablaINVENTARIO[SKU],TablaINVENTARIO[ALMACEN])</f>
        <v>ALMACEN PRINCIPAL</v>
      </c>
      <c r="J270" s="34" t="str">
        <f>_xlfn.XLOOKUP(TablaSTOCKINV[[#This Row],[SKU]],TablaINVENTARIO[SKU],TablaINVENTARIO[UBICACION])</f>
        <v>E1-1</v>
      </c>
      <c r="K270" s="34" t="str">
        <f>_xlfn.XLOOKUP(TablaSTOCKINV[[#This Row],[SKU]],TablaINVENTARIO[SKU],TablaINVENTARIO[DPTO RESPONSABLE])</f>
        <v xml:space="preserve">MANTENIMIENTO </v>
      </c>
      <c r="L270" s="36">
        <f>_xlfn.XLOOKUP(TablaSTOCKINV[[#This Row],[SKU]],TablaINVENTARIO[SKU],TablaINVENTARIO[RANGO MIN])</f>
        <v>0</v>
      </c>
      <c r="M270" s="34" cm="1">
        <f t="array" ref="M270">_xlfn.IFS(TablaSTOCKINV[[#This Row],[CANT. TOTAL]]&lt;=0,1,TablaSTOCKINV[[#This Row],[CANT. TOTAL]]&lt;=TablaSTOCKINV[[#This Row],[MIN]],2,TablaSTOCKINV[[#This Row],[CANT. TOTAL]]&gt;TablaSTOCKINV[[#This Row],[MIN]],3)</f>
        <v>3</v>
      </c>
      <c r="N270" s="34">
        <f>TablaSTOCKINV[[#This Row],[ENTRADAS]]-TablaSTOCKINV[[#This Row],[SALIDAS]]</f>
        <v>3</v>
      </c>
      <c r="O270" s="35">
        <f>SUMIFS(TablaENTRADA[CANT],TablaENTRADA[SKU],TablaSTOCKINV[[#This Row],[SKU]])</f>
        <v>3</v>
      </c>
      <c r="P270" s="35">
        <f>SUMIFS(TablaSALIDA[CANT],TablaSALIDA[SKU],TablaSTOCKINV[[#This Row],[SKU]])</f>
        <v>0</v>
      </c>
      <c r="Q270" s="34">
        <f>_xlfn.XLOOKUP(TablaSTOCKINV[[#This Row],[SKU]],TablaINVENTARIO[SKU],TablaINVENTARIO[PRECIO])</f>
        <v>0</v>
      </c>
      <c r="R270" s="34">
        <f>TablaSTOCKINV[[#This Row],[P.UNITARIO]]*TablaSTOCKINV[[#This Row],[CANT. TOTAL]]</f>
        <v>0</v>
      </c>
      <c r="S270" s="44">
        <f>_xlfn.XLOOKUP(TablaSTOCKINV[[#This Row],[SKU]],TablaINVENTARIO[SKU],TablaINVENTARIO[FECHA INGRESO])</f>
        <v>46023</v>
      </c>
      <c r="T270" s="44">
        <f>_xlfn.XLOOKUP(TablaSTOCKINV[[#This Row],[SKU]],TablaENTRADA[SKU],TablaENTRADA[FECHA],,0,-1)</f>
        <v>46023</v>
      </c>
      <c r="U270" s="46" t="str">
        <f>IFERROR((_xlfn.XLOOKUP(TablaSTOCKINV[[#This Row],[SKU]],TablaSALIDA[SKU],TablaSALIDA[FECHA],,0,-1))," " )</f>
        <v xml:space="preserve"> </v>
      </c>
    </row>
    <row r="271" spans="1:21" x14ac:dyDescent="0.3">
      <c r="A271" s="27" t="s">
        <v>2656</v>
      </c>
      <c r="B271" s="32" t="str">
        <f>_xlfn.XLOOKUP(TablaSTOCKINV[[#This Row],[SKU]],TablaINVENTARIO[SKU],TablaINVENTARIO[DESCRIPCION])</f>
        <v>LUMINARIA DE CARRIL MAGNETICO 30 W MODELO: CX20-FG600L</v>
      </c>
      <c r="C271" s="32" t="str">
        <f>_xlfn.XLOOKUP(TablaSTOCKINV[[#This Row],[SKU]],TablaINVENTARIO[SKU],TablaINVENTARIO[MARCA])</f>
        <v>BJ LIGHT</v>
      </c>
      <c r="D271" s="33" t="str">
        <f>_xlfn.XLOOKUP(TablaSTOCKINV[[#This Row],[SKU]],TablaINVENTARIO[SKU],TablaINVENTARIO[CATEGORIA])</f>
        <v xml:space="preserve">ILUMINACION </v>
      </c>
      <c r="E271" s="33" t="str">
        <f>_xlfn.XLOOKUP(TablaSTOCKINV[[#This Row],[SKU]],TablaINVENTARIO[SKU],TablaINVENTARIO[SUBCATEGORIA])</f>
        <v xml:space="preserve">ILUMINACION FIJA </v>
      </c>
      <c r="F271" s="33" t="str">
        <f>_xlfn.XLOOKUP(TablaSTOCKINV[[#This Row],[SKU]],TablaINVENTARIO[SKU],TablaINVENTARIO[ESTADO])</f>
        <v xml:space="preserve">NUEVO </v>
      </c>
      <c r="G271" s="33" t="str">
        <f>_xlfn.XLOOKUP(TablaSTOCKINV[[#This Row],[SKU]],TablaINVENTARIO[SKU],TablaINVENTARIO[MEDIDA])</f>
        <v>UND</v>
      </c>
      <c r="H271" s="33" t="str">
        <f>_xlfn.XLOOKUP(TablaSTOCKINV[[#This Row],[SKU]],TablaINVENTARIO[SKU],TablaINVENTARIO[SERIAL])</f>
        <v>N/A</v>
      </c>
      <c r="I271" s="34" t="str">
        <f>_xlfn.XLOOKUP(TablaSTOCKINV[[#This Row],[SKU]],TablaINVENTARIO[SKU],TablaINVENTARIO[ALMACEN])</f>
        <v>ALMACEN PRINCIPAL</v>
      </c>
      <c r="J271" s="34" t="str">
        <f>_xlfn.XLOOKUP(TablaSTOCKINV[[#This Row],[SKU]],TablaINVENTARIO[SKU],TablaINVENTARIO[UBICACION])</f>
        <v>E1-1</v>
      </c>
      <c r="K271" s="34" t="str">
        <f>_xlfn.XLOOKUP(TablaSTOCKINV[[#This Row],[SKU]],TablaINVENTARIO[SKU],TablaINVENTARIO[DPTO RESPONSABLE])</f>
        <v xml:space="preserve">MANTENIMIENTO </v>
      </c>
      <c r="L271" s="36">
        <f>_xlfn.XLOOKUP(TablaSTOCKINV[[#This Row],[SKU]],TablaINVENTARIO[SKU],TablaINVENTARIO[RANGO MIN])</f>
        <v>0</v>
      </c>
      <c r="M271" s="34" cm="1">
        <f t="array" ref="M271">_xlfn.IFS(TablaSTOCKINV[[#This Row],[CANT. TOTAL]]&lt;=0,1,TablaSTOCKINV[[#This Row],[CANT. TOTAL]]&lt;=TablaSTOCKINV[[#This Row],[MIN]],2,TablaSTOCKINV[[#This Row],[CANT. TOTAL]]&gt;TablaSTOCKINV[[#This Row],[MIN]],3)</f>
        <v>3</v>
      </c>
      <c r="N271" s="34">
        <f>TablaSTOCKINV[[#This Row],[ENTRADAS]]-TablaSTOCKINV[[#This Row],[SALIDAS]]</f>
        <v>3</v>
      </c>
      <c r="O271" s="35">
        <f>SUMIFS(TablaENTRADA[CANT],TablaENTRADA[SKU],TablaSTOCKINV[[#This Row],[SKU]])</f>
        <v>3</v>
      </c>
      <c r="P271" s="35">
        <f>SUMIFS(TablaSALIDA[CANT],TablaSALIDA[SKU],TablaSTOCKINV[[#This Row],[SKU]])</f>
        <v>0</v>
      </c>
      <c r="Q271" s="34">
        <f>_xlfn.XLOOKUP(TablaSTOCKINV[[#This Row],[SKU]],TablaINVENTARIO[SKU],TablaINVENTARIO[PRECIO])</f>
        <v>0</v>
      </c>
      <c r="R271" s="34">
        <f>TablaSTOCKINV[[#This Row],[P.UNITARIO]]*TablaSTOCKINV[[#This Row],[CANT. TOTAL]]</f>
        <v>0</v>
      </c>
      <c r="S271" s="44">
        <f>_xlfn.XLOOKUP(TablaSTOCKINV[[#This Row],[SKU]],TablaINVENTARIO[SKU],TablaINVENTARIO[FECHA INGRESO])</f>
        <v>46023</v>
      </c>
      <c r="T271" s="44">
        <f>_xlfn.XLOOKUP(TablaSTOCKINV[[#This Row],[SKU]],TablaENTRADA[SKU],TablaENTRADA[FECHA],,0,-1)</f>
        <v>46023</v>
      </c>
      <c r="U271" s="46" t="str">
        <f>IFERROR((_xlfn.XLOOKUP(TablaSTOCKINV[[#This Row],[SKU]],TablaSALIDA[SKU],TablaSALIDA[FECHA],,0,-1))," " )</f>
        <v xml:space="preserve"> </v>
      </c>
    </row>
    <row r="272" spans="1:21" x14ac:dyDescent="0.3">
      <c r="A272" s="27" t="s">
        <v>2658</v>
      </c>
      <c r="B272" s="32" t="str">
        <f>_xlfn.XLOOKUP(TablaSTOCKINV[[#This Row],[SKU]],TablaINVENTARIO[SKU],TablaINVENTARIO[DESCRIPCION])</f>
        <v xml:space="preserve">LAMPARA TIPO REFLECTOR PARA EXTERIORES 100W </v>
      </c>
      <c r="C272" s="32" t="str">
        <f>_xlfn.XLOOKUP(TablaSTOCKINV[[#This Row],[SKU]],TablaINVENTARIO[SKU],TablaINVENTARIO[MARCA])</f>
        <v>BJ LIGHT</v>
      </c>
      <c r="D272" s="33" t="str">
        <f>_xlfn.XLOOKUP(TablaSTOCKINV[[#This Row],[SKU]],TablaINVENTARIO[SKU],TablaINVENTARIO[CATEGORIA])</f>
        <v xml:space="preserve">ILUMINACION </v>
      </c>
      <c r="E272" s="33" t="str">
        <f>_xlfn.XLOOKUP(TablaSTOCKINV[[#This Row],[SKU]],TablaINVENTARIO[SKU],TablaINVENTARIO[SUBCATEGORIA])</f>
        <v xml:space="preserve">ILUMINACION FIJA </v>
      </c>
      <c r="F272" s="33" t="str">
        <f>_xlfn.XLOOKUP(TablaSTOCKINV[[#This Row],[SKU]],TablaINVENTARIO[SKU],TablaINVENTARIO[ESTADO])</f>
        <v xml:space="preserve">NUEVO </v>
      </c>
      <c r="G272" s="33" t="str">
        <f>_xlfn.XLOOKUP(TablaSTOCKINV[[#This Row],[SKU]],TablaINVENTARIO[SKU],TablaINVENTARIO[MEDIDA])</f>
        <v>UND</v>
      </c>
      <c r="H272" s="33" t="str">
        <f>_xlfn.XLOOKUP(TablaSTOCKINV[[#This Row],[SKU]],TablaINVENTARIO[SKU],TablaINVENTARIO[SERIAL])</f>
        <v>N/A</v>
      </c>
      <c r="I272" s="34" t="str">
        <f>_xlfn.XLOOKUP(TablaSTOCKINV[[#This Row],[SKU]],TablaINVENTARIO[SKU],TablaINVENTARIO[ALMACEN])</f>
        <v>ALMACEN PRINCIPAL</v>
      </c>
      <c r="J272" s="34" t="str">
        <f>_xlfn.XLOOKUP(TablaSTOCKINV[[#This Row],[SKU]],TablaINVENTARIO[SKU],TablaINVENTARIO[UBICACION])</f>
        <v>E1-2</v>
      </c>
      <c r="K272" s="34" t="str">
        <f>_xlfn.XLOOKUP(TablaSTOCKINV[[#This Row],[SKU]],TablaINVENTARIO[SKU],TablaINVENTARIO[DPTO RESPONSABLE])</f>
        <v xml:space="preserve">MANTENIMIENTO </v>
      </c>
      <c r="L272" s="36">
        <f>_xlfn.XLOOKUP(TablaSTOCKINV[[#This Row],[SKU]],TablaINVENTARIO[SKU],TablaINVENTARIO[RANGO MIN])</f>
        <v>0</v>
      </c>
      <c r="M272" s="34" cm="1">
        <f t="array" ref="M272">_xlfn.IFS(TablaSTOCKINV[[#This Row],[CANT. TOTAL]]&lt;=0,1,TablaSTOCKINV[[#This Row],[CANT. TOTAL]]&lt;=TablaSTOCKINV[[#This Row],[MIN]],2,TablaSTOCKINV[[#This Row],[CANT. TOTAL]]&gt;TablaSTOCKINV[[#This Row],[MIN]],3)</f>
        <v>3</v>
      </c>
      <c r="N272" s="34">
        <f>TablaSTOCKINV[[#This Row],[ENTRADAS]]-TablaSTOCKINV[[#This Row],[SALIDAS]]</f>
        <v>3</v>
      </c>
      <c r="O272" s="35">
        <f>SUMIFS(TablaENTRADA[CANT],TablaENTRADA[SKU],TablaSTOCKINV[[#This Row],[SKU]])</f>
        <v>3</v>
      </c>
      <c r="P272" s="35">
        <f>SUMIFS(TablaSALIDA[CANT],TablaSALIDA[SKU],TablaSTOCKINV[[#This Row],[SKU]])</f>
        <v>0</v>
      </c>
      <c r="Q272" s="34">
        <f>_xlfn.XLOOKUP(TablaSTOCKINV[[#This Row],[SKU]],TablaINVENTARIO[SKU],TablaINVENTARIO[PRECIO])</f>
        <v>0</v>
      </c>
      <c r="R272" s="34">
        <f>TablaSTOCKINV[[#This Row],[P.UNITARIO]]*TablaSTOCKINV[[#This Row],[CANT. TOTAL]]</f>
        <v>0</v>
      </c>
      <c r="S272" s="44">
        <f>_xlfn.XLOOKUP(TablaSTOCKINV[[#This Row],[SKU]],TablaINVENTARIO[SKU],TablaINVENTARIO[FECHA INGRESO])</f>
        <v>46023</v>
      </c>
      <c r="T272" s="44">
        <f>_xlfn.XLOOKUP(TablaSTOCKINV[[#This Row],[SKU]],TablaENTRADA[SKU],TablaENTRADA[FECHA],,0,-1)</f>
        <v>46023</v>
      </c>
      <c r="U272" s="46" t="str">
        <f>IFERROR((_xlfn.XLOOKUP(TablaSTOCKINV[[#This Row],[SKU]],TablaSALIDA[SKU],TablaSALIDA[FECHA],,0,-1))," " )</f>
        <v xml:space="preserve"> </v>
      </c>
    </row>
    <row r="273" spans="1:21" x14ac:dyDescent="0.3">
      <c r="A273" s="27" t="s">
        <v>2660</v>
      </c>
      <c r="B273" s="32" t="str">
        <f>_xlfn.XLOOKUP(TablaSTOCKINV[[#This Row],[SKU]],TablaINVENTARIO[SKU],TablaINVENTARIO[DESCRIPCION])</f>
        <v>LAMPARA RECARGABLE CON PANEL SOLAR MODELO: T8300</v>
      </c>
      <c r="C273" s="32" t="str">
        <f>_xlfn.XLOOKUP(TablaSTOCKINV[[#This Row],[SKU]],TablaINVENTARIO[SKU],TablaINVENTARIO[MARCA])</f>
        <v>F&amp;M</v>
      </c>
      <c r="D273" s="33" t="str">
        <f>_xlfn.XLOOKUP(TablaSTOCKINV[[#This Row],[SKU]],TablaINVENTARIO[SKU],TablaINVENTARIO[CATEGORIA])</f>
        <v xml:space="preserve">ILUMINACION </v>
      </c>
      <c r="E273" s="33" t="str">
        <f>_xlfn.XLOOKUP(TablaSTOCKINV[[#This Row],[SKU]],TablaINVENTARIO[SKU],TablaINVENTARIO[SUBCATEGORIA])</f>
        <v>ILUMINACION PORTATIL</v>
      </c>
      <c r="F273" s="33" t="str">
        <f>_xlfn.XLOOKUP(TablaSTOCKINV[[#This Row],[SKU]],TablaINVENTARIO[SKU],TablaINVENTARIO[ESTADO])</f>
        <v xml:space="preserve">NUEVO </v>
      </c>
      <c r="G273" s="33" t="str">
        <f>_xlfn.XLOOKUP(TablaSTOCKINV[[#This Row],[SKU]],TablaINVENTARIO[SKU],TablaINVENTARIO[MEDIDA])</f>
        <v>UND</v>
      </c>
      <c r="H273" s="33" t="str">
        <f>_xlfn.XLOOKUP(TablaSTOCKINV[[#This Row],[SKU]],TablaINVENTARIO[SKU],TablaINVENTARIO[SERIAL])</f>
        <v>N/A</v>
      </c>
      <c r="I273" s="34" t="str">
        <f>_xlfn.XLOOKUP(TablaSTOCKINV[[#This Row],[SKU]],TablaINVENTARIO[SKU],TablaINVENTARIO[ALMACEN])</f>
        <v>ALMACEN PRINCIPAL</v>
      </c>
      <c r="J273" s="34" t="str">
        <f>_xlfn.XLOOKUP(TablaSTOCKINV[[#This Row],[SKU]],TablaINVENTARIO[SKU],TablaINVENTARIO[UBICACION])</f>
        <v>E1-2</v>
      </c>
      <c r="K273" s="34" t="str">
        <f>_xlfn.XLOOKUP(TablaSTOCKINV[[#This Row],[SKU]],TablaINVENTARIO[SKU],TablaINVENTARIO[DPTO RESPONSABLE])</f>
        <v xml:space="preserve">CONSUMO GENERAL </v>
      </c>
      <c r="L273" s="36">
        <f>_xlfn.XLOOKUP(TablaSTOCKINV[[#This Row],[SKU]],TablaINVENTARIO[SKU],TablaINVENTARIO[RANGO MIN])</f>
        <v>0</v>
      </c>
      <c r="M273" s="34" cm="1">
        <f t="array" ref="M273">_xlfn.IFS(TablaSTOCKINV[[#This Row],[CANT. TOTAL]]&lt;=0,1,TablaSTOCKINV[[#This Row],[CANT. TOTAL]]&lt;=TablaSTOCKINV[[#This Row],[MIN]],2,TablaSTOCKINV[[#This Row],[CANT. TOTAL]]&gt;TablaSTOCKINV[[#This Row],[MIN]],3)</f>
        <v>3</v>
      </c>
      <c r="N273" s="34">
        <f>TablaSTOCKINV[[#This Row],[ENTRADAS]]-TablaSTOCKINV[[#This Row],[SALIDAS]]</f>
        <v>1</v>
      </c>
      <c r="O273" s="35">
        <f>SUMIFS(TablaENTRADA[CANT],TablaENTRADA[SKU],TablaSTOCKINV[[#This Row],[SKU]])</f>
        <v>1</v>
      </c>
      <c r="P273" s="35">
        <f>SUMIFS(TablaSALIDA[CANT],TablaSALIDA[SKU],TablaSTOCKINV[[#This Row],[SKU]])</f>
        <v>0</v>
      </c>
      <c r="Q273" s="34">
        <f>_xlfn.XLOOKUP(TablaSTOCKINV[[#This Row],[SKU]],TablaINVENTARIO[SKU],TablaINVENTARIO[PRECIO])</f>
        <v>0</v>
      </c>
      <c r="R273" s="34">
        <f>TablaSTOCKINV[[#This Row],[P.UNITARIO]]*TablaSTOCKINV[[#This Row],[CANT. TOTAL]]</f>
        <v>0</v>
      </c>
      <c r="S273" s="44">
        <f>_xlfn.XLOOKUP(TablaSTOCKINV[[#This Row],[SKU]],TablaINVENTARIO[SKU],TablaINVENTARIO[FECHA INGRESO])</f>
        <v>46023</v>
      </c>
      <c r="T273" s="44">
        <f>_xlfn.XLOOKUP(TablaSTOCKINV[[#This Row],[SKU]],TablaENTRADA[SKU],TablaENTRADA[FECHA],,0,-1)</f>
        <v>46023</v>
      </c>
      <c r="U273" s="46" t="str">
        <f>IFERROR((_xlfn.XLOOKUP(TablaSTOCKINV[[#This Row],[SKU]],TablaSALIDA[SKU],TablaSALIDA[FECHA],,0,-1))," " )</f>
        <v xml:space="preserve"> </v>
      </c>
    </row>
    <row r="274" spans="1:21" x14ac:dyDescent="0.3">
      <c r="A274" s="27" t="s">
        <v>2663</v>
      </c>
      <c r="B274" s="32" t="str">
        <f>_xlfn.XLOOKUP(TablaSTOCKINV[[#This Row],[SKU]],TablaINVENTARIO[SKU],TablaINVENTARIO[DESCRIPCION])</f>
        <v>APLIQUE DE TECHO PARA 2 TOMAS DE LUZ</v>
      </c>
      <c r="C274" s="32" t="str">
        <f>_xlfn.XLOOKUP(TablaSTOCKINV[[#This Row],[SKU]],TablaINVENTARIO[SKU],TablaINVENTARIO[MARCA])</f>
        <v>N/A</v>
      </c>
      <c r="D274" s="33" t="str">
        <f>_xlfn.XLOOKUP(TablaSTOCKINV[[#This Row],[SKU]],TablaINVENTARIO[SKU],TablaINVENTARIO[CATEGORIA])</f>
        <v xml:space="preserve">ILUMINACION </v>
      </c>
      <c r="E274" s="33" t="str">
        <f>_xlfn.XLOOKUP(TablaSTOCKINV[[#This Row],[SKU]],TablaINVENTARIO[SKU],TablaINVENTARIO[SUBCATEGORIA])</f>
        <v xml:space="preserve">ILUMINACION FIJA </v>
      </c>
      <c r="F274" s="33" t="str">
        <f>_xlfn.XLOOKUP(TablaSTOCKINV[[#This Row],[SKU]],TablaINVENTARIO[SKU],TablaINVENTARIO[ESTADO])</f>
        <v xml:space="preserve">NUEVO </v>
      </c>
      <c r="G274" s="33" t="str">
        <f>_xlfn.XLOOKUP(TablaSTOCKINV[[#This Row],[SKU]],TablaINVENTARIO[SKU],TablaINVENTARIO[MEDIDA])</f>
        <v>UND</v>
      </c>
      <c r="H274" s="33" t="str">
        <f>_xlfn.XLOOKUP(TablaSTOCKINV[[#This Row],[SKU]],TablaINVENTARIO[SKU],TablaINVENTARIO[SERIAL])</f>
        <v>N/A</v>
      </c>
      <c r="I274" s="34" t="str">
        <f>_xlfn.XLOOKUP(TablaSTOCKINV[[#This Row],[SKU]],TablaINVENTARIO[SKU],TablaINVENTARIO[ALMACEN])</f>
        <v>ALMACEN PRINCIPAL</v>
      </c>
      <c r="J274" s="34" t="str">
        <f>_xlfn.XLOOKUP(TablaSTOCKINV[[#This Row],[SKU]],TablaINVENTARIO[SKU],TablaINVENTARIO[UBICACION])</f>
        <v>E1-2</v>
      </c>
      <c r="K274" s="34" t="str">
        <f>_xlfn.XLOOKUP(TablaSTOCKINV[[#This Row],[SKU]],TablaINVENTARIO[SKU],TablaINVENTARIO[DPTO RESPONSABLE])</f>
        <v xml:space="preserve">CONSUMO GENERAL </v>
      </c>
      <c r="L274" s="36">
        <f>_xlfn.XLOOKUP(TablaSTOCKINV[[#This Row],[SKU]],TablaINVENTARIO[SKU],TablaINVENTARIO[RANGO MIN])</f>
        <v>0</v>
      </c>
      <c r="M274" s="34" cm="1">
        <f t="array" ref="M274">_xlfn.IFS(TablaSTOCKINV[[#This Row],[CANT. TOTAL]]&lt;=0,1,TablaSTOCKINV[[#This Row],[CANT. TOTAL]]&lt;=TablaSTOCKINV[[#This Row],[MIN]],2,TablaSTOCKINV[[#This Row],[CANT. TOTAL]]&gt;TablaSTOCKINV[[#This Row],[MIN]],3)</f>
        <v>3</v>
      </c>
      <c r="N274" s="34">
        <f>TablaSTOCKINV[[#This Row],[ENTRADAS]]-TablaSTOCKINV[[#This Row],[SALIDAS]]</f>
        <v>1</v>
      </c>
      <c r="O274" s="35">
        <f>SUMIFS(TablaENTRADA[CANT],TablaENTRADA[SKU],TablaSTOCKINV[[#This Row],[SKU]])</f>
        <v>1</v>
      </c>
      <c r="P274" s="35">
        <f>SUMIFS(TablaSALIDA[CANT],TablaSALIDA[SKU],TablaSTOCKINV[[#This Row],[SKU]])</f>
        <v>0</v>
      </c>
      <c r="Q274" s="34">
        <f>_xlfn.XLOOKUP(TablaSTOCKINV[[#This Row],[SKU]],TablaINVENTARIO[SKU],TablaINVENTARIO[PRECIO])</f>
        <v>0</v>
      </c>
      <c r="R274" s="34">
        <f>TablaSTOCKINV[[#This Row],[P.UNITARIO]]*TablaSTOCKINV[[#This Row],[CANT. TOTAL]]</f>
        <v>0</v>
      </c>
      <c r="S274" s="44">
        <f>_xlfn.XLOOKUP(TablaSTOCKINV[[#This Row],[SKU]],TablaINVENTARIO[SKU],TablaINVENTARIO[FECHA INGRESO])</f>
        <v>46023</v>
      </c>
      <c r="T274" s="44">
        <f>_xlfn.XLOOKUP(TablaSTOCKINV[[#This Row],[SKU]],TablaENTRADA[SKU],TablaENTRADA[FECHA],,0,-1)</f>
        <v>46023</v>
      </c>
      <c r="U274" s="46" t="str">
        <f>IFERROR((_xlfn.XLOOKUP(TablaSTOCKINV[[#This Row],[SKU]],TablaSALIDA[SKU],TablaSALIDA[FECHA],,0,-1))," " )</f>
        <v xml:space="preserve"> </v>
      </c>
    </row>
    <row r="275" spans="1:21" x14ac:dyDescent="0.3">
      <c r="A275" s="27" t="s">
        <v>2665</v>
      </c>
      <c r="B275" s="32" t="str">
        <f>_xlfn.XLOOKUP(TablaSTOCKINV[[#This Row],[SKU]],TablaINVENTARIO[SKU],TablaINVENTARIO[DESCRIPCION])</f>
        <v>TUBO CIRCULAR FLOURESENTE F32X32W</v>
      </c>
      <c r="C275" s="32" t="str">
        <f>_xlfn.XLOOKUP(TablaSTOCKINV[[#This Row],[SKU]],TablaINVENTARIO[SKU],TablaINVENTARIO[MARCA])</f>
        <v>LS ELECTRONICA</v>
      </c>
      <c r="D275" s="33" t="str">
        <f>_xlfn.XLOOKUP(TablaSTOCKINV[[#This Row],[SKU]],TablaINVENTARIO[SKU],TablaINVENTARIO[CATEGORIA])</f>
        <v xml:space="preserve">ILUMINACION </v>
      </c>
      <c r="E275" s="33" t="str">
        <f>_xlfn.XLOOKUP(TablaSTOCKINV[[#This Row],[SKU]],TablaINVENTARIO[SKU],TablaINVENTARIO[SUBCATEGORIA])</f>
        <v xml:space="preserve">ILUMINACION FIJA </v>
      </c>
      <c r="F275" s="33" t="str">
        <f>_xlfn.XLOOKUP(TablaSTOCKINV[[#This Row],[SKU]],TablaINVENTARIO[SKU],TablaINVENTARIO[ESTADO])</f>
        <v xml:space="preserve">NUEVO </v>
      </c>
      <c r="G275" s="33" t="str">
        <f>_xlfn.XLOOKUP(TablaSTOCKINV[[#This Row],[SKU]],TablaINVENTARIO[SKU],TablaINVENTARIO[MEDIDA])</f>
        <v>UND</v>
      </c>
      <c r="H275" s="33" t="str">
        <f>_xlfn.XLOOKUP(TablaSTOCKINV[[#This Row],[SKU]],TablaINVENTARIO[SKU],TablaINVENTARIO[SERIAL])</f>
        <v>N/A</v>
      </c>
      <c r="I275" s="34" t="str">
        <f>_xlfn.XLOOKUP(TablaSTOCKINV[[#This Row],[SKU]],TablaINVENTARIO[SKU],TablaINVENTARIO[ALMACEN])</f>
        <v>ALMACEN PRINCIPAL</v>
      </c>
      <c r="J275" s="34" t="str">
        <f>_xlfn.XLOOKUP(TablaSTOCKINV[[#This Row],[SKU]],TablaINVENTARIO[SKU],TablaINVENTARIO[UBICACION])</f>
        <v>E1-2</v>
      </c>
      <c r="K275" s="34" t="str">
        <f>_xlfn.XLOOKUP(TablaSTOCKINV[[#This Row],[SKU]],TablaINVENTARIO[SKU],TablaINVENTARIO[DPTO RESPONSABLE])</f>
        <v xml:space="preserve">CONSUMO GENERAL </v>
      </c>
      <c r="L275" s="36">
        <f>_xlfn.XLOOKUP(TablaSTOCKINV[[#This Row],[SKU]],TablaINVENTARIO[SKU],TablaINVENTARIO[RANGO MIN])</f>
        <v>0</v>
      </c>
      <c r="M275" s="34" cm="1">
        <f t="array" ref="M275">_xlfn.IFS(TablaSTOCKINV[[#This Row],[CANT. TOTAL]]&lt;=0,1,TablaSTOCKINV[[#This Row],[CANT. TOTAL]]&lt;=TablaSTOCKINV[[#This Row],[MIN]],2,TablaSTOCKINV[[#This Row],[CANT. TOTAL]]&gt;TablaSTOCKINV[[#This Row],[MIN]],3)</f>
        <v>3</v>
      </c>
      <c r="N275" s="34">
        <f>TablaSTOCKINV[[#This Row],[ENTRADAS]]-TablaSTOCKINV[[#This Row],[SALIDAS]]</f>
        <v>1</v>
      </c>
      <c r="O275" s="35">
        <f>SUMIFS(TablaENTRADA[CANT],TablaENTRADA[SKU],TablaSTOCKINV[[#This Row],[SKU]])</f>
        <v>1</v>
      </c>
      <c r="P275" s="35">
        <f>SUMIFS(TablaSALIDA[CANT],TablaSALIDA[SKU],TablaSTOCKINV[[#This Row],[SKU]])</f>
        <v>0</v>
      </c>
      <c r="Q275" s="34">
        <f>_xlfn.XLOOKUP(TablaSTOCKINV[[#This Row],[SKU]],TablaINVENTARIO[SKU],TablaINVENTARIO[PRECIO])</f>
        <v>0</v>
      </c>
      <c r="R275" s="34">
        <f>TablaSTOCKINV[[#This Row],[P.UNITARIO]]*TablaSTOCKINV[[#This Row],[CANT. TOTAL]]</f>
        <v>0</v>
      </c>
      <c r="S275" s="44">
        <f>_xlfn.XLOOKUP(TablaSTOCKINV[[#This Row],[SKU]],TablaINVENTARIO[SKU],TablaINVENTARIO[FECHA INGRESO])</f>
        <v>46023</v>
      </c>
      <c r="T275" s="44">
        <f>_xlfn.XLOOKUP(TablaSTOCKINV[[#This Row],[SKU]],TablaENTRADA[SKU],TablaENTRADA[FECHA],,0,-1)</f>
        <v>46023</v>
      </c>
      <c r="U275" s="46" t="str">
        <f>IFERROR((_xlfn.XLOOKUP(TablaSTOCKINV[[#This Row],[SKU]],TablaSALIDA[SKU],TablaSALIDA[FECHA],,0,-1))," " )</f>
        <v xml:space="preserve"> </v>
      </c>
    </row>
    <row r="276" spans="1:21" x14ac:dyDescent="0.3">
      <c r="A276" s="27" t="s">
        <v>2668</v>
      </c>
      <c r="B276" s="32" t="str">
        <f>_xlfn.XLOOKUP(TablaSTOCKINV[[#This Row],[SKU]],TablaINVENTARIO[SKU],TablaINVENTARIO[DESCRIPCION])</f>
        <v xml:space="preserve">LAMPARA CIRCULAR ELECTRONICA </v>
      </c>
      <c r="C276" s="32" t="str">
        <f>_xlfn.XLOOKUP(TablaSTOCKINV[[#This Row],[SKU]],TablaINVENTARIO[SKU],TablaINVENTARIO[MARCA])</f>
        <v>FERMETAL</v>
      </c>
      <c r="D276" s="33" t="str">
        <f>_xlfn.XLOOKUP(TablaSTOCKINV[[#This Row],[SKU]],TablaINVENTARIO[SKU],TablaINVENTARIO[CATEGORIA])</f>
        <v xml:space="preserve">ILUMINACION </v>
      </c>
      <c r="E276" s="33" t="str">
        <f>_xlfn.XLOOKUP(TablaSTOCKINV[[#This Row],[SKU]],TablaINVENTARIO[SKU],TablaINVENTARIO[SUBCATEGORIA])</f>
        <v xml:space="preserve">ILUMINACION FIJA </v>
      </c>
      <c r="F276" s="33" t="str">
        <f>_xlfn.XLOOKUP(TablaSTOCKINV[[#This Row],[SKU]],TablaINVENTARIO[SKU],TablaINVENTARIO[ESTADO])</f>
        <v xml:space="preserve">NUEVO </v>
      </c>
      <c r="G276" s="33" t="str">
        <f>_xlfn.XLOOKUP(TablaSTOCKINV[[#This Row],[SKU]],TablaINVENTARIO[SKU],TablaINVENTARIO[MEDIDA])</f>
        <v>UND</v>
      </c>
      <c r="H276" s="33" t="str">
        <f>_xlfn.XLOOKUP(TablaSTOCKINV[[#This Row],[SKU]],TablaINVENTARIO[SKU],TablaINVENTARIO[SERIAL])</f>
        <v>N/A</v>
      </c>
      <c r="I276" s="34" t="str">
        <f>_xlfn.XLOOKUP(TablaSTOCKINV[[#This Row],[SKU]],TablaINVENTARIO[SKU],TablaINVENTARIO[ALMACEN])</f>
        <v>ALMACEN PRINCIPAL</v>
      </c>
      <c r="J276" s="34" t="str">
        <f>_xlfn.XLOOKUP(TablaSTOCKINV[[#This Row],[SKU]],TablaINVENTARIO[SKU],TablaINVENTARIO[UBICACION])</f>
        <v>E1-2</v>
      </c>
      <c r="K276" s="34" t="str">
        <f>_xlfn.XLOOKUP(TablaSTOCKINV[[#This Row],[SKU]],TablaINVENTARIO[SKU],TablaINVENTARIO[DPTO RESPONSABLE])</f>
        <v xml:space="preserve">CONSUMO GENERAL </v>
      </c>
      <c r="L276" s="36">
        <f>_xlfn.XLOOKUP(TablaSTOCKINV[[#This Row],[SKU]],TablaINVENTARIO[SKU],TablaINVENTARIO[RANGO MIN])</f>
        <v>0</v>
      </c>
      <c r="M276" s="34" cm="1">
        <f t="array" ref="M276">_xlfn.IFS(TablaSTOCKINV[[#This Row],[CANT. TOTAL]]&lt;=0,1,TablaSTOCKINV[[#This Row],[CANT. TOTAL]]&lt;=TablaSTOCKINV[[#This Row],[MIN]],2,TablaSTOCKINV[[#This Row],[CANT. TOTAL]]&gt;TablaSTOCKINV[[#This Row],[MIN]],3)</f>
        <v>3</v>
      </c>
      <c r="N276" s="34">
        <f>TablaSTOCKINV[[#This Row],[ENTRADAS]]-TablaSTOCKINV[[#This Row],[SALIDAS]]</f>
        <v>2</v>
      </c>
      <c r="O276" s="35">
        <f>SUMIFS(TablaENTRADA[CANT],TablaENTRADA[SKU],TablaSTOCKINV[[#This Row],[SKU]])</f>
        <v>2</v>
      </c>
      <c r="P276" s="35">
        <f>SUMIFS(TablaSALIDA[CANT],TablaSALIDA[SKU],TablaSTOCKINV[[#This Row],[SKU]])</f>
        <v>0</v>
      </c>
      <c r="Q276" s="34">
        <f>_xlfn.XLOOKUP(TablaSTOCKINV[[#This Row],[SKU]],TablaINVENTARIO[SKU],TablaINVENTARIO[PRECIO])</f>
        <v>0</v>
      </c>
      <c r="R276" s="34">
        <f>TablaSTOCKINV[[#This Row],[P.UNITARIO]]*TablaSTOCKINV[[#This Row],[CANT. TOTAL]]</f>
        <v>0</v>
      </c>
      <c r="S276" s="44">
        <f>_xlfn.XLOOKUP(TablaSTOCKINV[[#This Row],[SKU]],TablaINVENTARIO[SKU],TablaINVENTARIO[FECHA INGRESO])</f>
        <v>46023</v>
      </c>
      <c r="T276" s="44">
        <f>_xlfn.XLOOKUP(TablaSTOCKINV[[#This Row],[SKU]],TablaENTRADA[SKU],TablaENTRADA[FECHA],,0,-1)</f>
        <v>46023</v>
      </c>
      <c r="U276" s="46" t="str">
        <f>IFERROR((_xlfn.XLOOKUP(TablaSTOCKINV[[#This Row],[SKU]],TablaSALIDA[SKU],TablaSALIDA[FECHA],,0,-1))," " )</f>
        <v xml:space="preserve"> </v>
      </c>
    </row>
    <row r="277" spans="1:21" x14ac:dyDescent="0.3">
      <c r="A277" s="27" t="s">
        <v>2670</v>
      </c>
      <c r="B277" s="32" t="str">
        <f>_xlfn.XLOOKUP(TablaSTOCKINV[[#This Row],[SKU]],TablaINVENTARIO[SKU],TablaINVENTARIO[DESCRIPCION])</f>
        <v>APLIQUE DE TECHO PARA LAMPARA CIRCULAR</v>
      </c>
      <c r="C277" s="32" t="str">
        <f>_xlfn.XLOOKUP(TablaSTOCKINV[[#This Row],[SKU]],TablaINVENTARIO[SKU],TablaINVENTARIO[MARCA])</f>
        <v>N/A</v>
      </c>
      <c r="D277" s="33" t="str">
        <f>_xlfn.XLOOKUP(TablaSTOCKINV[[#This Row],[SKU]],TablaINVENTARIO[SKU],TablaINVENTARIO[CATEGORIA])</f>
        <v xml:space="preserve">ILUMINACION </v>
      </c>
      <c r="E277" s="33" t="str">
        <f>_xlfn.XLOOKUP(TablaSTOCKINV[[#This Row],[SKU]],TablaINVENTARIO[SKU],TablaINVENTARIO[SUBCATEGORIA])</f>
        <v xml:space="preserve">ILUMINACION FIJA </v>
      </c>
      <c r="F277" s="33" t="str">
        <f>_xlfn.XLOOKUP(TablaSTOCKINV[[#This Row],[SKU]],TablaINVENTARIO[SKU],TablaINVENTARIO[ESTADO])</f>
        <v>DAÑADO</v>
      </c>
      <c r="G277" s="33" t="str">
        <f>_xlfn.XLOOKUP(TablaSTOCKINV[[#This Row],[SKU]],TablaINVENTARIO[SKU],TablaINVENTARIO[MEDIDA])</f>
        <v>UND</v>
      </c>
      <c r="H277" s="33" t="str">
        <f>_xlfn.XLOOKUP(TablaSTOCKINV[[#This Row],[SKU]],TablaINVENTARIO[SKU],TablaINVENTARIO[SERIAL])</f>
        <v>N/A</v>
      </c>
      <c r="I277" s="34" t="str">
        <f>_xlfn.XLOOKUP(TablaSTOCKINV[[#This Row],[SKU]],TablaINVENTARIO[SKU],TablaINVENTARIO[ALMACEN])</f>
        <v>ALMACEN PRINCIPAL</v>
      </c>
      <c r="J277" s="34" t="str">
        <f>_xlfn.XLOOKUP(TablaSTOCKINV[[#This Row],[SKU]],TablaINVENTARIO[SKU],TablaINVENTARIO[UBICACION])</f>
        <v>E1-2</v>
      </c>
      <c r="K277" s="34" t="str">
        <f>_xlfn.XLOOKUP(TablaSTOCKINV[[#This Row],[SKU]],TablaINVENTARIO[SKU],TablaINVENTARIO[DPTO RESPONSABLE])</f>
        <v xml:space="preserve">CONSUMO GENERAL </v>
      </c>
      <c r="L277" s="36">
        <f>_xlfn.XLOOKUP(TablaSTOCKINV[[#This Row],[SKU]],TablaINVENTARIO[SKU],TablaINVENTARIO[RANGO MIN])</f>
        <v>0</v>
      </c>
      <c r="M277" s="34" cm="1">
        <f t="array" ref="M277">_xlfn.IFS(TablaSTOCKINV[[#This Row],[CANT. TOTAL]]&lt;=0,1,TablaSTOCKINV[[#This Row],[CANT. TOTAL]]&lt;=TablaSTOCKINV[[#This Row],[MIN]],2,TablaSTOCKINV[[#This Row],[CANT. TOTAL]]&gt;TablaSTOCKINV[[#This Row],[MIN]],3)</f>
        <v>3</v>
      </c>
      <c r="N277" s="34">
        <f>TablaSTOCKINV[[#This Row],[ENTRADAS]]-TablaSTOCKINV[[#This Row],[SALIDAS]]</f>
        <v>1</v>
      </c>
      <c r="O277" s="35">
        <f>SUMIFS(TablaENTRADA[CANT],TablaENTRADA[SKU],TablaSTOCKINV[[#This Row],[SKU]])</f>
        <v>1</v>
      </c>
      <c r="P277" s="35">
        <f>SUMIFS(TablaSALIDA[CANT],TablaSALIDA[SKU],TablaSTOCKINV[[#This Row],[SKU]])</f>
        <v>0</v>
      </c>
      <c r="Q277" s="34">
        <f>_xlfn.XLOOKUP(TablaSTOCKINV[[#This Row],[SKU]],TablaINVENTARIO[SKU],TablaINVENTARIO[PRECIO])</f>
        <v>0</v>
      </c>
      <c r="R277" s="34">
        <f>TablaSTOCKINV[[#This Row],[P.UNITARIO]]*TablaSTOCKINV[[#This Row],[CANT. TOTAL]]</f>
        <v>0</v>
      </c>
      <c r="S277" s="44">
        <f>_xlfn.XLOOKUP(TablaSTOCKINV[[#This Row],[SKU]],TablaINVENTARIO[SKU],TablaINVENTARIO[FECHA INGRESO])</f>
        <v>46023</v>
      </c>
      <c r="T277" s="44">
        <f>_xlfn.XLOOKUP(TablaSTOCKINV[[#This Row],[SKU]],TablaENTRADA[SKU],TablaENTRADA[FECHA],,0,-1)</f>
        <v>46023</v>
      </c>
      <c r="U277" s="46" t="str">
        <f>IFERROR((_xlfn.XLOOKUP(TablaSTOCKINV[[#This Row],[SKU]],TablaSALIDA[SKU],TablaSALIDA[FECHA],,0,-1))," " )</f>
        <v xml:space="preserve"> </v>
      </c>
    </row>
    <row r="278" spans="1:21" x14ac:dyDescent="0.3">
      <c r="A278" s="27" t="s">
        <v>2672</v>
      </c>
      <c r="B278" s="32" t="str">
        <f>_xlfn.XLOOKUP(TablaSTOCKINV[[#This Row],[SKU]],TablaINVENTARIO[SKU],TablaINVENTARIO[DESCRIPCION])</f>
        <v>BOMBILLO AHORRADOR DE ENERGIA CLASE A 85W</v>
      </c>
      <c r="C278" s="32" t="str">
        <f>_xlfn.XLOOKUP(TablaSTOCKINV[[#This Row],[SKU]],TablaINVENTARIO[SKU],TablaINVENTARIO[MARCA])</f>
        <v>MA ELECTRIC</v>
      </c>
      <c r="D278" s="33" t="str">
        <f>_xlfn.XLOOKUP(TablaSTOCKINV[[#This Row],[SKU]],TablaINVENTARIO[SKU],TablaINVENTARIO[CATEGORIA])</f>
        <v>ILUMINACIÓN</v>
      </c>
      <c r="E278" s="33" t="str">
        <f>_xlfn.XLOOKUP(TablaSTOCKINV[[#This Row],[SKU]],TablaINVENTARIO[SKU],TablaINVENTARIO[SUBCATEGORIA])</f>
        <v xml:space="preserve">ILUMINACION FIJA </v>
      </c>
      <c r="F278" s="33" t="str">
        <f>_xlfn.XLOOKUP(TablaSTOCKINV[[#This Row],[SKU]],TablaINVENTARIO[SKU],TablaINVENTARIO[ESTADO])</f>
        <v>USADO</v>
      </c>
      <c r="G278" s="33" t="str">
        <f>_xlfn.XLOOKUP(TablaSTOCKINV[[#This Row],[SKU]],TablaINVENTARIO[SKU],TablaINVENTARIO[MEDIDA])</f>
        <v>UND</v>
      </c>
      <c r="H278" s="33" t="str">
        <f>_xlfn.XLOOKUP(TablaSTOCKINV[[#This Row],[SKU]],TablaINVENTARIO[SKU],TablaINVENTARIO[SERIAL])</f>
        <v>N/A</v>
      </c>
      <c r="I278" s="34" t="str">
        <f>_xlfn.XLOOKUP(TablaSTOCKINV[[#This Row],[SKU]],TablaINVENTARIO[SKU],TablaINVENTARIO[ALMACEN])</f>
        <v>ALMACEN PRINCIPAL</v>
      </c>
      <c r="J278" s="34" t="str">
        <f>_xlfn.XLOOKUP(TablaSTOCKINV[[#This Row],[SKU]],TablaINVENTARIO[SKU],TablaINVENTARIO[UBICACION])</f>
        <v>B3</v>
      </c>
      <c r="K278" s="34" t="str">
        <f>_xlfn.XLOOKUP(TablaSTOCKINV[[#This Row],[SKU]],TablaINVENTARIO[SKU],TablaINVENTARIO[DPTO RESPONSABLE])</f>
        <v xml:space="preserve">CONSUMO GENERAL </v>
      </c>
      <c r="L278" s="36">
        <f>_xlfn.XLOOKUP(TablaSTOCKINV[[#This Row],[SKU]],TablaINVENTARIO[SKU],TablaINVENTARIO[RANGO MIN])</f>
        <v>0</v>
      </c>
      <c r="M278" s="34" cm="1">
        <f t="array" ref="M278">_xlfn.IFS(TablaSTOCKINV[[#This Row],[CANT. TOTAL]]&lt;=0,1,TablaSTOCKINV[[#This Row],[CANT. TOTAL]]&lt;=TablaSTOCKINV[[#This Row],[MIN]],2,TablaSTOCKINV[[#This Row],[CANT. TOTAL]]&gt;TablaSTOCKINV[[#This Row],[MIN]],3)</f>
        <v>3</v>
      </c>
      <c r="N278" s="34">
        <f>TablaSTOCKINV[[#This Row],[ENTRADAS]]-TablaSTOCKINV[[#This Row],[SALIDAS]]</f>
        <v>5</v>
      </c>
      <c r="O278" s="35">
        <f>SUMIFS(TablaENTRADA[CANT],TablaENTRADA[SKU],TablaSTOCKINV[[#This Row],[SKU]])</f>
        <v>5</v>
      </c>
      <c r="P278" s="35">
        <f>SUMIFS(TablaSALIDA[CANT],TablaSALIDA[SKU],TablaSTOCKINV[[#This Row],[SKU]])</f>
        <v>0</v>
      </c>
      <c r="Q278" s="34">
        <f>_xlfn.XLOOKUP(TablaSTOCKINV[[#This Row],[SKU]],TablaINVENTARIO[SKU],TablaINVENTARIO[PRECIO])</f>
        <v>0</v>
      </c>
      <c r="R278" s="34">
        <f>TablaSTOCKINV[[#This Row],[P.UNITARIO]]*TablaSTOCKINV[[#This Row],[CANT. TOTAL]]</f>
        <v>0</v>
      </c>
      <c r="S278" s="44">
        <f>_xlfn.XLOOKUP(TablaSTOCKINV[[#This Row],[SKU]],TablaINVENTARIO[SKU],TablaINVENTARIO[FECHA INGRESO])</f>
        <v>46023</v>
      </c>
      <c r="T278" s="44">
        <f>_xlfn.XLOOKUP(TablaSTOCKINV[[#This Row],[SKU]],TablaENTRADA[SKU],TablaENTRADA[FECHA],,0,-1)</f>
        <v>46023</v>
      </c>
      <c r="U278" s="46" t="str">
        <f>IFERROR((_xlfn.XLOOKUP(TablaSTOCKINV[[#This Row],[SKU]],TablaSALIDA[SKU],TablaSALIDA[FECHA],,0,-1))," " )</f>
        <v xml:space="preserve"> </v>
      </c>
    </row>
    <row r="279" spans="1:21" x14ac:dyDescent="0.3">
      <c r="A279" s="27" t="s">
        <v>1371</v>
      </c>
      <c r="B279" s="32" t="str">
        <f>_xlfn.XLOOKUP(TablaSTOCKINV[[#This Row],[SKU]],TablaINVENTARIO[SKU],TablaINVENTARIO[DESCRIPCION])</f>
        <v>GANCHO MULTIFUERZA 230 KG</v>
      </c>
      <c r="C279" s="32" t="str">
        <f>_xlfn.XLOOKUP(TablaSTOCKINV[[#This Row],[SKU]],TablaINVENTARIO[SKU],TablaINVENTARIO[MARCA])</f>
        <v>N/A</v>
      </c>
      <c r="D279" s="33" t="str">
        <f>_xlfn.XLOOKUP(TablaSTOCKINV[[#This Row],[SKU]],TablaINVENTARIO[SKU],TablaINVENTARIO[CATEGORIA])</f>
        <v>HERRAMIENTAS_</v>
      </c>
      <c r="E279" s="33" t="str">
        <f>_xlfn.XLOOKUP(TablaSTOCKINV[[#This Row],[SKU]],TablaINVENTARIO[SKU],TablaINVENTARIO[SUBCATEGORIA])</f>
        <v xml:space="preserve">MATERIAL DE CONSTRUCCIÓN </v>
      </c>
      <c r="F279" s="33" t="str">
        <f>_xlfn.XLOOKUP(TablaSTOCKINV[[#This Row],[SKU]],TablaINVENTARIO[SKU],TablaINVENTARIO[ESTADO])</f>
        <v>NUEVO</v>
      </c>
      <c r="G279" s="33" t="str">
        <f>_xlfn.XLOOKUP(TablaSTOCKINV[[#This Row],[SKU]],TablaINVENTARIO[SKU],TablaINVENTARIO[MEDIDA])</f>
        <v>UND</v>
      </c>
      <c r="H279" s="33" t="str">
        <f>_xlfn.XLOOKUP(TablaSTOCKINV[[#This Row],[SKU]],TablaINVENTARIO[SKU],TablaINVENTARIO[SERIAL])</f>
        <v>N/A</v>
      </c>
      <c r="I279" s="34" t="str">
        <f>_xlfn.XLOOKUP(TablaSTOCKINV[[#This Row],[SKU]],TablaINVENTARIO[SKU],TablaINVENTARIO[ALMACEN])</f>
        <v>ALMACEN PRINCIPAL</v>
      </c>
      <c r="J279" s="34" t="str">
        <f>_xlfn.XLOOKUP(TablaSTOCKINV[[#This Row],[SKU]],TablaINVENTARIO[SKU],TablaINVENTARIO[UBICACION])</f>
        <v>L3</v>
      </c>
      <c r="K279" s="34" t="str">
        <f>_xlfn.XLOOKUP(TablaSTOCKINV[[#This Row],[SKU]],TablaINVENTARIO[SKU],TablaINVENTARIO[DPTO RESPONSABLE])</f>
        <v>OPERACIONES</v>
      </c>
      <c r="L279" s="36">
        <f>_xlfn.XLOOKUP(TablaSTOCKINV[[#This Row],[SKU]],TablaINVENTARIO[SKU],TablaINVENTARIO[RANGO MIN])</f>
        <v>0</v>
      </c>
      <c r="M279" s="34" cm="1">
        <f t="array" ref="M279">_xlfn.IFS(TablaSTOCKINV[[#This Row],[CANT. TOTAL]]&lt;=0,1,TablaSTOCKINV[[#This Row],[CANT. TOTAL]]&lt;=TablaSTOCKINV[[#This Row],[MIN]],2,TablaSTOCKINV[[#This Row],[CANT. TOTAL]]&gt;TablaSTOCKINV[[#This Row],[MIN]],3)</f>
        <v>3</v>
      </c>
      <c r="N279" s="34">
        <f>TablaSTOCKINV[[#This Row],[ENTRADAS]]-TablaSTOCKINV[[#This Row],[SALIDAS]]</f>
        <v>4</v>
      </c>
      <c r="O279" s="35">
        <f>SUMIFS(TablaENTRADA[CANT],TablaENTRADA[SKU],TablaSTOCKINV[[#This Row],[SKU]])</f>
        <v>4</v>
      </c>
      <c r="P279" s="35">
        <f>SUMIFS(TablaSALIDA[CANT],TablaSALIDA[SKU],TablaSTOCKINV[[#This Row],[SKU]])</f>
        <v>0</v>
      </c>
      <c r="Q279" s="34">
        <f>_xlfn.XLOOKUP(TablaSTOCKINV[[#This Row],[SKU]],TablaINVENTARIO[SKU],TablaINVENTARIO[PRECIO])</f>
        <v>0</v>
      </c>
      <c r="R279" s="34">
        <f>TablaSTOCKINV[[#This Row],[P.UNITARIO]]*TablaSTOCKINV[[#This Row],[CANT. TOTAL]]</f>
        <v>0</v>
      </c>
      <c r="S279" s="44">
        <f>_xlfn.XLOOKUP(TablaSTOCKINV[[#This Row],[SKU]],TablaINVENTARIO[SKU],TablaINVENTARIO[FECHA INGRESO])</f>
        <v>46023</v>
      </c>
      <c r="T279" s="44">
        <f>_xlfn.XLOOKUP(TablaSTOCKINV[[#This Row],[SKU]],TablaENTRADA[SKU],TablaENTRADA[FECHA],,0,-1)</f>
        <v>46023</v>
      </c>
      <c r="U279" s="46" t="str">
        <f>IFERROR((_xlfn.XLOOKUP(TablaSTOCKINV[[#This Row],[SKU]],TablaSALIDA[SKU],TablaSALIDA[FECHA],,0,-1))," " )</f>
        <v xml:space="preserve"> </v>
      </c>
    </row>
    <row r="280" spans="1:21" x14ac:dyDescent="0.3">
      <c r="A280" s="27" t="s">
        <v>1375</v>
      </c>
      <c r="B280" s="32" t="str">
        <f>_xlfn.XLOOKUP(TablaSTOCKINV[[#This Row],[SKU]],TablaINVENTARIO[SKU],TablaINVENTARIO[DESCRIPCION])</f>
        <v>GANCHO MULTIFUERZA 350 KG</v>
      </c>
      <c r="C280" s="32" t="str">
        <f>_xlfn.XLOOKUP(TablaSTOCKINV[[#This Row],[SKU]],TablaINVENTARIO[SKU],TablaINVENTARIO[MARCA])</f>
        <v>N/A</v>
      </c>
      <c r="D280" s="33" t="str">
        <f>_xlfn.XLOOKUP(TablaSTOCKINV[[#This Row],[SKU]],TablaINVENTARIO[SKU],TablaINVENTARIO[CATEGORIA])</f>
        <v>HERRAMIENTAS_</v>
      </c>
      <c r="E280" s="33" t="str">
        <f>_xlfn.XLOOKUP(TablaSTOCKINV[[#This Row],[SKU]],TablaINVENTARIO[SKU],TablaINVENTARIO[SUBCATEGORIA])</f>
        <v xml:space="preserve">MATERIAL DE CONSTRUCCIÓN </v>
      </c>
      <c r="F280" s="33" t="str">
        <f>_xlfn.XLOOKUP(TablaSTOCKINV[[#This Row],[SKU]],TablaINVENTARIO[SKU],TablaINVENTARIO[ESTADO])</f>
        <v>NUEVO</v>
      </c>
      <c r="G280" s="33" t="str">
        <f>_xlfn.XLOOKUP(TablaSTOCKINV[[#This Row],[SKU]],TablaINVENTARIO[SKU],TablaINVENTARIO[MEDIDA])</f>
        <v>UND</v>
      </c>
      <c r="H280" s="33" t="str">
        <f>_xlfn.XLOOKUP(TablaSTOCKINV[[#This Row],[SKU]],TablaINVENTARIO[SKU],TablaINVENTARIO[SERIAL])</f>
        <v>N/A</v>
      </c>
      <c r="I280" s="34" t="str">
        <f>_xlfn.XLOOKUP(TablaSTOCKINV[[#This Row],[SKU]],TablaINVENTARIO[SKU],TablaINVENTARIO[ALMACEN])</f>
        <v>ALMACEN PRINCIPAL</v>
      </c>
      <c r="J280" s="34" t="str">
        <f>_xlfn.XLOOKUP(TablaSTOCKINV[[#This Row],[SKU]],TablaINVENTARIO[SKU],TablaINVENTARIO[UBICACION])</f>
        <v>L3</v>
      </c>
      <c r="K280" s="34" t="str">
        <f>_xlfn.XLOOKUP(TablaSTOCKINV[[#This Row],[SKU]],TablaINVENTARIO[SKU],TablaINVENTARIO[DPTO RESPONSABLE])</f>
        <v>OPERACIONES</v>
      </c>
      <c r="L280" s="36">
        <f>_xlfn.XLOOKUP(TablaSTOCKINV[[#This Row],[SKU]],TablaINVENTARIO[SKU],TablaINVENTARIO[RANGO MIN])</f>
        <v>0</v>
      </c>
      <c r="M280" s="34" cm="1">
        <f t="array" ref="M280">_xlfn.IFS(TablaSTOCKINV[[#This Row],[CANT. TOTAL]]&lt;=0,1,TablaSTOCKINV[[#This Row],[CANT. TOTAL]]&lt;=TablaSTOCKINV[[#This Row],[MIN]],2,TablaSTOCKINV[[#This Row],[CANT. TOTAL]]&gt;TablaSTOCKINV[[#This Row],[MIN]],3)</f>
        <v>3</v>
      </c>
      <c r="N280" s="34">
        <f>TablaSTOCKINV[[#This Row],[ENTRADAS]]-TablaSTOCKINV[[#This Row],[SALIDAS]]</f>
        <v>3</v>
      </c>
      <c r="O280" s="35">
        <f>SUMIFS(TablaENTRADA[CANT],TablaENTRADA[SKU],TablaSTOCKINV[[#This Row],[SKU]])</f>
        <v>3</v>
      </c>
      <c r="P280" s="35">
        <f>SUMIFS(TablaSALIDA[CANT],TablaSALIDA[SKU],TablaSTOCKINV[[#This Row],[SKU]])</f>
        <v>0</v>
      </c>
      <c r="Q280" s="34">
        <f>_xlfn.XLOOKUP(TablaSTOCKINV[[#This Row],[SKU]],TablaINVENTARIO[SKU],TablaINVENTARIO[PRECIO])</f>
        <v>0</v>
      </c>
      <c r="R280" s="34">
        <f>TablaSTOCKINV[[#This Row],[P.UNITARIO]]*TablaSTOCKINV[[#This Row],[CANT. TOTAL]]</f>
        <v>0</v>
      </c>
      <c r="S280" s="44">
        <f>_xlfn.XLOOKUP(TablaSTOCKINV[[#This Row],[SKU]],TablaINVENTARIO[SKU],TablaINVENTARIO[FECHA INGRESO])</f>
        <v>46023</v>
      </c>
      <c r="T280" s="44">
        <f>_xlfn.XLOOKUP(TablaSTOCKINV[[#This Row],[SKU]],TablaENTRADA[SKU],TablaENTRADA[FECHA],,0,-1)</f>
        <v>46023</v>
      </c>
      <c r="U280" s="46" t="str">
        <f>IFERROR((_xlfn.XLOOKUP(TablaSTOCKINV[[#This Row],[SKU]],TablaSALIDA[SKU],TablaSALIDA[FECHA],,0,-1))," " )</f>
        <v xml:space="preserve"> </v>
      </c>
    </row>
    <row r="281" spans="1:21" x14ac:dyDescent="0.3">
      <c r="A281" s="27" t="s">
        <v>1377</v>
      </c>
      <c r="B281" s="32" t="str">
        <f>_xlfn.XLOOKUP(TablaSTOCKINV[[#This Row],[SKU]],TablaINVENTARIO[SKU],TablaINVENTARIO[DESCRIPCION])</f>
        <v>CUERDA ELASTICA CON GANCHO 45CM</v>
      </c>
      <c r="C281" s="32" t="str">
        <f>_xlfn.XLOOKUP(TablaSTOCKINV[[#This Row],[SKU]],TablaINVENTARIO[SKU],TablaINVENTARIO[MARCA])</f>
        <v>N/A</v>
      </c>
      <c r="D281" s="33" t="str">
        <f>_xlfn.XLOOKUP(TablaSTOCKINV[[#This Row],[SKU]],TablaINVENTARIO[SKU],TablaINVENTARIO[CATEGORIA])</f>
        <v>HERRAMIENTAS_</v>
      </c>
      <c r="E281" s="33" t="str">
        <f>_xlfn.XLOOKUP(TablaSTOCKINV[[#This Row],[SKU]],TablaINVENTARIO[SKU],TablaINVENTARIO[SUBCATEGORIA])</f>
        <v xml:space="preserve">MATERIAL DE CONSTRUCCIÓN </v>
      </c>
      <c r="F281" s="33" t="str">
        <f>_xlfn.XLOOKUP(TablaSTOCKINV[[#This Row],[SKU]],TablaINVENTARIO[SKU],TablaINVENTARIO[ESTADO])</f>
        <v>NUEVO</v>
      </c>
      <c r="G281" s="33" t="str">
        <f>_xlfn.XLOOKUP(TablaSTOCKINV[[#This Row],[SKU]],TablaINVENTARIO[SKU],TablaINVENTARIO[MEDIDA])</f>
        <v>UND</v>
      </c>
      <c r="H281" s="33" t="str">
        <f>_xlfn.XLOOKUP(TablaSTOCKINV[[#This Row],[SKU]],TablaINVENTARIO[SKU],TablaINVENTARIO[SERIAL])</f>
        <v>N/A</v>
      </c>
      <c r="I281" s="34" t="str">
        <f>_xlfn.XLOOKUP(TablaSTOCKINV[[#This Row],[SKU]],TablaINVENTARIO[SKU],TablaINVENTARIO[ALMACEN])</f>
        <v>ALMACEN PRINCIPAL</v>
      </c>
      <c r="J281" s="34" t="str">
        <f>_xlfn.XLOOKUP(TablaSTOCKINV[[#This Row],[SKU]],TablaINVENTARIO[SKU],TablaINVENTARIO[UBICACION])</f>
        <v>L3</v>
      </c>
      <c r="K281" s="34" t="str">
        <f>_xlfn.XLOOKUP(TablaSTOCKINV[[#This Row],[SKU]],TablaINVENTARIO[SKU],TablaINVENTARIO[DPTO RESPONSABLE])</f>
        <v>OPERACIONES</v>
      </c>
      <c r="L281" s="36">
        <f>_xlfn.XLOOKUP(TablaSTOCKINV[[#This Row],[SKU]],TablaINVENTARIO[SKU],TablaINVENTARIO[RANGO MIN])</f>
        <v>0</v>
      </c>
      <c r="M281" s="34" cm="1">
        <f t="array" ref="M281">_xlfn.IFS(TablaSTOCKINV[[#This Row],[CANT. TOTAL]]&lt;=0,1,TablaSTOCKINV[[#This Row],[CANT. TOTAL]]&lt;=TablaSTOCKINV[[#This Row],[MIN]],2,TablaSTOCKINV[[#This Row],[CANT. TOTAL]]&gt;TablaSTOCKINV[[#This Row],[MIN]],3)</f>
        <v>3</v>
      </c>
      <c r="N281" s="34">
        <f>TablaSTOCKINV[[#This Row],[ENTRADAS]]-TablaSTOCKINV[[#This Row],[SALIDAS]]</f>
        <v>4</v>
      </c>
      <c r="O281" s="35">
        <f>SUMIFS(TablaENTRADA[CANT],TablaENTRADA[SKU],TablaSTOCKINV[[#This Row],[SKU]])</f>
        <v>4</v>
      </c>
      <c r="P281" s="35">
        <f>SUMIFS(TablaSALIDA[CANT],TablaSALIDA[SKU],TablaSTOCKINV[[#This Row],[SKU]])</f>
        <v>0</v>
      </c>
      <c r="Q281" s="34">
        <f>_xlfn.XLOOKUP(TablaSTOCKINV[[#This Row],[SKU]],TablaINVENTARIO[SKU],TablaINVENTARIO[PRECIO])</f>
        <v>0</v>
      </c>
      <c r="R281" s="34">
        <f>TablaSTOCKINV[[#This Row],[P.UNITARIO]]*TablaSTOCKINV[[#This Row],[CANT. TOTAL]]</f>
        <v>0</v>
      </c>
      <c r="S281" s="44">
        <f>_xlfn.XLOOKUP(TablaSTOCKINV[[#This Row],[SKU]],TablaINVENTARIO[SKU],TablaINVENTARIO[FECHA INGRESO])</f>
        <v>46023</v>
      </c>
      <c r="T281" s="44">
        <f>_xlfn.XLOOKUP(TablaSTOCKINV[[#This Row],[SKU]],TablaENTRADA[SKU],TablaENTRADA[FECHA],,0,-1)</f>
        <v>46023</v>
      </c>
      <c r="U281" s="46" t="str">
        <f>IFERROR((_xlfn.XLOOKUP(TablaSTOCKINV[[#This Row],[SKU]],TablaSALIDA[SKU],TablaSALIDA[FECHA],,0,-1))," " )</f>
        <v xml:space="preserve"> </v>
      </c>
    </row>
    <row r="282" spans="1:21" x14ac:dyDescent="0.3">
      <c r="A282" s="27" t="s">
        <v>1379</v>
      </c>
      <c r="B282" s="32" t="str">
        <f>_xlfn.XLOOKUP(TablaSTOCKINV[[#This Row],[SKU]],TablaINVENTARIO[SKU],TablaINVENTARIO[DESCRIPCION])</f>
        <v>CUERDA ELASTICA CON GANCHO 65CM</v>
      </c>
      <c r="C282" s="32" t="str">
        <f>_xlfn.XLOOKUP(TablaSTOCKINV[[#This Row],[SKU]],TablaINVENTARIO[SKU],TablaINVENTARIO[MARCA])</f>
        <v>N/A</v>
      </c>
      <c r="D282" s="33" t="str">
        <f>_xlfn.XLOOKUP(TablaSTOCKINV[[#This Row],[SKU]],TablaINVENTARIO[SKU],TablaINVENTARIO[CATEGORIA])</f>
        <v>HERRAMIENTAS_</v>
      </c>
      <c r="E282" s="33" t="str">
        <f>_xlfn.XLOOKUP(TablaSTOCKINV[[#This Row],[SKU]],TablaINVENTARIO[SKU],TablaINVENTARIO[SUBCATEGORIA])</f>
        <v xml:space="preserve">MATERIAL DE CONSTRUCCIÓN </v>
      </c>
      <c r="F282" s="33" t="str">
        <f>_xlfn.XLOOKUP(TablaSTOCKINV[[#This Row],[SKU]],TablaINVENTARIO[SKU],TablaINVENTARIO[ESTADO])</f>
        <v>NUEVO</v>
      </c>
      <c r="G282" s="33" t="str">
        <f>_xlfn.XLOOKUP(TablaSTOCKINV[[#This Row],[SKU]],TablaINVENTARIO[SKU],TablaINVENTARIO[MEDIDA])</f>
        <v>UND</v>
      </c>
      <c r="H282" s="33" t="str">
        <f>_xlfn.XLOOKUP(TablaSTOCKINV[[#This Row],[SKU]],TablaINVENTARIO[SKU],TablaINVENTARIO[SERIAL])</f>
        <v>N/A</v>
      </c>
      <c r="I282" s="34" t="str">
        <f>_xlfn.XLOOKUP(TablaSTOCKINV[[#This Row],[SKU]],TablaINVENTARIO[SKU],TablaINVENTARIO[ALMACEN])</f>
        <v>ALMACEN PRINCIPAL</v>
      </c>
      <c r="J282" s="34" t="str">
        <f>_xlfn.XLOOKUP(TablaSTOCKINV[[#This Row],[SKU]],TablaINVENTARIO[SKU],TablaINVENTARIO[UBICACION])</f>
        <v>L3</v>
      </c>
      <c r="K282" s="34" t="str">
        <f>_xlfn.XLOOKUP(TablaSTOCKINV[[#This Row],[SKU]],TablaINVENTARIO[SKU],TablaINVENTARIO[DPTO RESPONSABLE])</f>
        <v>OPERACIONES</v>
      </c>
      <c r="L282" s="36">
        <f>_xlfn.XLOOKUP(TablaSTOCKINV[[#This Row],[SKU]],TablaINVENTARIO[SKU],TablaINVENTARIO[RANGO MIN])</f>
        <v>0</v>
      </c>
      <c r="M282" s="34" cm="1">
        <f t="array" ref="M282">_xlfn.IFS(TablaSTOCKINV[[#This Row],[CANT. TOTAL]]&lt;=0,1,TablaSTOCKINV[[#This Row],[CANT. TOTAL]]&lt;=TablaSTOCKINV[[#This Row],[MIN]],2,TablaSTOCKINV[[#This Row],[CANT. TOTAL]]&gt;TablaSTOCKINV[[#This Row],[MIN]],3)</f>
        <v>3</v>
      </c>
      <c r="N282" s="34">
        <f>TablaSTOCKINV[[#This Row],[ENTRADAS]]-TablaSTOCKINV[[#This Row],[SALIDAS]]</f>
        <v>4</v>
      </c>
      <c r="O282" s="35">
        <f>SUMIFS(TablaENTRADA[CANT],TablaENTRADA[SKU],TablaSTOCKINV[[#This Row],[SKU]])</f>
        <v>4</v>
      </c>
      <c r="P282" s="35">
        <f>SUMIFS(TablaSALIDA[CANT],TablaSALIDA[SKU],TablaSTOCKINV[[#This Row],[SKU]])</f>
        <v>0</v>
      </c>
      <c r="Q282" s="34">
        <f>_xlfn.XLOOKUP(TablaSTOCKINV[[#This Row],[SKU]],TablaINVENTARIO[SKU],TablaINVENTARIO[PRECIO])</f>
        <v>0</v>
      </c>
      <c r="R282" s="34">
        <f>TablaSTOCKINV[[#This Row],[P.UNITARIO]]*TablaSTOCKINV[[#This Row],[CANT. TOTAL]]</f>
        <v>0</v>
      </c>
      <c r="S282" s="44">
        <f>_xlfn.XLOOKUP(TablaSTOCKINV[[#This Row],[SKU]],TablaINVENTARIO[SKU],TablaINVENTARIO[FECHA INGRESO])</f>
        <v>46023</v>
      </c>
      <c r="T282" s="44">
        <f>_xlfn.XLOOKUP(TablaSTOCKINV[[#This Row],[SKU]],TablaENTRADA[SKU],TablaENTRADA[FECHA],,0,-1)</f>
        <v>46023</v>
      </c>
      <c r="U282" s="46" t="str">
        <f>IFERROR((_xlfn.XLOOKUP(TablaSTOCKINV[[#This Row],[SKU]],TablaSALIDA[SKU],TablaSALIDA[FECHA],,0,-1))," " )</f>
        <v xml:space="preserve"> </v>
      </c>
    </row>
    <row r="283" spans="1:21" x14ac:dyDescent="0.3">
      <c r="A283" s="27" t="s">
        <v>1381</v>
      </c>
      <c r="B283" s="32" t="str">
        <f>_xlfn.XLOOKUP(TablaSTOCKINV[[#This Row],[SKU]],TablaINVENTARIO[SKU],TablaINVENTARIO[DESCRIPCION])</f>
        <v xml:space="preserve">SOPLADORA DE AIRE </v>
      </c>
      <c r="C283" s="32" t="str">
        <f>_xlfn.XLOOKUP(TablaSTOCKINV[[#This Row],[SKU]],TablaINVENTARIO[SKU],TablaINVENTARIO[MARCA])</f>
        <v>DOMOSA</v>
      </c>
      <c r="D283" s="33" t="str">
        <f>_xlfn.XLOOKUP(TablaSTOCKINV[[#This Row],[SKU]],TablaINVENTARIO[SKU],TablaINVENTARIO[CATEGORIA])</f>
        <v>HERRAMIENTAS_</v>
      </c>
      <c r="E283" s="33" t="str">
        <f>_xlfn.XLOOKUP(TablaSTOCKINV[[#This Row],[SKU]],TablaINVENTARIO[SKU],TablaINVENTARIO[SUBCATEGORIA])</f>
        <v xml:space="preserve">HERRAMIENTA ELÉCTRICA </v>
      </c>
      <c r="F283" s="33" t="str">
        <f>_xlfn.XLOOKUP(TablaSTOCKINV[[#This Row],[SKU]],TablaINVENTARIO[SKU],TablaINVENTARIO[ESTADO])</f>
        <v>USADO</v>
      </c>
      <c r="G283" s="33" t="str">
        <f>_xlfn.XLOOKUP(TablaSTOCKINV[[#This Row],[SKU]],TablaINVENTARIO[SKU],TablaINVENTARIO[MEDIDA])</f>
        <v xml:space="preserve">UND </v>
      </c>
      <c r="H283" s="33">
        <f>_xlfn.XLOOKUP(TablaSTOCKINV[[#This Row],[SKU]],TablaINVENTARIO[SKU],TablaINVENTARIO[SERIAL])</f>
        <v>26024120022</v>
      </c>
      <c r="I283" s="34" t="str">
        <f>_xlfn.XLOOKUP(TablaSTOCKINV[[#This Row],[SKU]],TablaINVENTARIO[SKU],TablaINVENTARIO[ALMACEN])</f>
        <v>ALMACEN PRINCIPAL</v>
      </c>
      <c r="J283" s="34" t="str">
        <f>_xlfn.XLOOKUP(TablaSTOCKINV[[#This Row],[SKU]],TablaINVENTARIO[SKU],TablaINVENTARIO[UBICACION])</f>
        <v xml:space="preserve">CUARTO DE ALMACENAMIENTO </v>
      </c>
      <c r="K283" s="34" t="str">
        <f>_xlfn.XLOOKUP(TablaSTOCKINV[[#This Row],[SKU]],TablaINVENTARIO[SKU],TablaINVENTARIO[DPTO RESPONSABLE])</f>
        <v xml:space="preserve">CONSUMO GENERAL </v>
      </c>
      <c r="L283" s="36">
        <f>_xlfn.XLOOKUP(TablaSTOCKINV[[#This Row],[SKU]],TablaINVENTARIO[SKU],TablaINVENTARIO[RANGO MIN])</f>
        <v>0</v>
      </c>
      <c r="M283" s="34" cm="1">
        <f t="array" ref="M283">_xlfn.IFS(TablaSTOCKINV[[#This Row],[CANT. TOTAL]]&lt;=0,1,TablaSTOCKINV[[#This Row],[CANT. TOTAL]]&lt;=TablaSTOCKINV[[#This Row],[MIN]],2,TablaSTOCKINV[[#This Row],[CANT. TOTAL]]&gt;TablaSTOCKINV[[#This Row],[MIN]],3)</f>
        <v>3</v>
      </c>
      <c r="N283" s="34">
        <f>TablaSTOCKINV[[#This Row],[ENTRADAS]]-TablaSTOCKINV[[#This Row],[SALIDAS]]</f>
        <v>1</v>
      </c>
      <c r="O283" s="35">
        <f>SUMIFS(TablaENTRADA[CANT],TablaENTRADA[SKU],TablaSTOCKINV[[#This Row],[SKU]])</f>
        <v>1</v>
      </c>
      <c r="P283" s="35">
        <f>SUMIFS(TablaSALIDA[CANT],TablaSALIDA[SKU],TablaSTOCKINV[[#This Row],[SKU]])</f>
        <v>0</v>
      </c>
      <c r="Q283" s="34">
        <f>_xlfn.XLOOKUP(TablaSTOCKINV[[#This Row],[SKU]],TablaINVENTARIO[SKU],TablaINVENTARIO[PRECIO])</f>
        <v>0</v>
      </c>
      <c r="R283" s="34">
        <f>TablaSTOCKINV[[#This Row],[P.UNITARIO]]*TablaSTOCKINV[[#This Row],[CANT. TOTAL]]</f>
        <v>0</v>
      </c>
      <c r="S283" s="44">
        <f>_xlfn.XLOOKUP(TablaSTOCKINV[[#This Row],[SKU]],TablaINVENTARIO[SKU],TablaINVENTARIO[FECHA INGRESO])</f>
        <v>46023</v>
      </c>
      <c r="T283" s="44">
        <f>_xlfn.XLOOKUP(TablaSTOCKINV[[#This Row],[SKU]],TablaENTRADA[SKU],TablaENTRADA[FECHA],,0,-1)</f>
        <v>46023</v>
      </c>
      <c r="U283" s="46" t="str">
        <f>IFERROR((_xlfn.XLOOKUP(TablaSTOCKINV[[#This Row],[SKU]],TablaSALIDA[SKU],TablaSALIDA[FECHA],,0,-1))," " )</f>
        <v xml:space="preserve"> </v>
      </c>
    </row>
    <row r="284" spans="1:21" x14ac:dyDescent="0.3">
      <c r="A284" s="27" t="s">
        <v>1385</v>
      </c>
      <c r="B284" s="32" t="str">
        <f>_xlfn.XLOOKUP(TablaSTOCKINV[[#This Row],[SKU]],TablaINVENTARIO[SKU],TablaINVENTARIO[DESCRIPCION])</f>
        <v xml:space="preserve">INODORO </v>
      </c>
      <c r="C284" s="32" t="str">
        <f>_xlfn.XLOOKUP(TablaSTOCKINV[[#This Row],[SKU]],TablaINVENTARIO[SKU],TablaINVENTARIO[MARCA])</f>
        <v xml:space="preserve">VENCERAMICA </v>
      </c>
      <c r="D284" s="33" t="str">
        <f>_xlfn.XLOOKUP(TablaSTOCKINV[[#This Row],[SKU]],TablaINVENTARIO[SKU],TablaINVENTARIO[CATEGORIA])</f>
        <v>HERRAMIENTAS_</v>
      </c>
      <c r="E284" s="33" t="str">
        <f>_xlfn.XLOOKUP(TablaSTOCKINV[[#This Row],[SKU]],TablaINVENTARIO[SKU],TablaINVENTARIO[SUBCATEGORIA])</f>
        <v xml:space="preserve">MATERIAL DE CONSTRUCCIÓN </v>
      </c>
      <c r="F284" s="33" t="str">
        <f>_xlfn.XLOOKUP(TablaSTOCKINV[[#This Row],[SKU]],TablaINVENTARIO[SKU],TablaINVENTARIO[ESTADO])</f>
        <v>USADO</v>
      </c>
      <c r="G284" s="33" t="str">
        <f>_xlfn.XLOOKUP(TablaSTOCKINV[[#This Row],[SKU]],TablaINVENTARIO[SKU],TablaINVENTARIO[MEDIDA])</f>
        <v xml:space="preserve">UND </v>
      </c>
      <c r="H284" s="33" t="str">
        <f>_xlfn.XLOOKUP(TablaSTOCKINV[[#This Row],[SKU]],TablaINVENTARIO[SKU],TablaINVENTARIO[SERIAL])</f>
        <v>N/A</v>
      </c>
      <c r="I284" s="34" t="str">
        <f>_xlfn.XLOOKUP(TablaSTOCKINV[[#This Row],[SKU]],TablaINVENTARIO[SKU],TablaINVENTARIO[ALMACEN])</f>
        <v>ALMACEN PRINCIPAL</v>
      </c>
      <c r="J284" s="34" t="str">
        <f>_xlfn.XLOOKUP(TablaSTOCKINV[[#This Row],[SKU]],TablaINVENTARIO[SKU],TablaINVENTARIO[UBICACION])</f>
        <v xml:space="preserve">CUARTO DE ALMACENAMIENTO </v>
      </c>
      <c r="K284" s="34" t="str">
        <f>_xlfn.XLOOKUP(TablaSTOCKINV[[#This Row],[SKU]],TablaINVENTARIO[SKU],TablaINVENTARIO[DPTO RESPONSABLE])</f>
        <v xml:space="preserve">CONSUMO GENERAL </v>
      </c>
      <c r="L284" s="36">
        <f>_xlfn.XLOOKUP(TablaSTOCKINV[[#This Row],[SKU]],TablaINVENTARIO[SKU],TablaINVENTARIO[RANGO MIN])</f>
        <v>0</v>
      </c>
      <c r="M284" s="34" cm="1">
        <f t="array" ref="M284">_xlfn.IFS(TablaSTOCKINV[[#This Row],[CANT. TOTAL]]&lt;=0,1,TablaSTOCKINV[[#This Row],[CANT. TOTAL]]&lt;=TablaSTOCKINV[[#This Row],[MIN]],2,TablaSTOCKINV[[#This Row],[CANT. TOTAL]]&gt;TablaSTOCKINV[[#This Row],[MIN]],3)</f>
        <v>3</v>
      </c>
      <c r="N284" s="34">
        <f>TablaSTOCKINV[[#This Row],[ENTRADAS]]-TablaSTOCKINV[[#This Row],[SALIDAS]]</f>
        <v>1</v>
      </c>
      <c r="O284" s="35">
        <f>SUMIFS(TablaENTRADA[CANT],TablaENTRADA[SKU],TablaSTOCKINV[[#This Row],[SKU]])</f>
        <v>1</v>
      </c>
      <c r="P284" s="35">
        <f>SUMIFS(TablaSALIDA[CANT],TablaSALIDA[SKU],TablaSTOCKINV[[#This Row],[SKU]])</f>
        <v>0</v>
      </c>
      <c r="Q284" s="34">
        <f>_xlfn.XLOOKUP(TablaSTOCKINV[[#This Row],[SKU]],TablaINVENTARIO[SKU],TablaINVENTARIO[PRECIO])</f>
        <v>0</v>
      </c>
      <c r="R284" s="34">
        <f>TablaSTOCKINV[[#This Row],[P.UNITARIO]]*TablaSTOCKINV[[#This Row],[CANT. TOTAL]]</f>
        <v>0</v>
      </c>
      <c r="S284" s="44">
        <f>_xlfn.XLOOKUP(TablaSTOCKINV[[#This Row],[SKU]],TablaINVENTARIO[SKU],TablaINVENTARIO[FECHA INGRESO])</f>
        <v>46023</v>
      </c>
      <c r="T284" s="44">
        <f>_xlfn.XLOOKUP(TablaSTOCKINV[[#This Row],[SKU]],TablaENTRADA[SKU],TablaENTRADA[FECHA],,0,-1)</f>
        <v>46023</v>
      </c>
      <c r="U284" s="46" t="str">
        <f>IFERROR((_xlfn.XLOOKUP(TablaSTOCKINV[[#This Row],[SKU]],TablaSALIDA[SKU],TablaSALIDA[FECHA],,0,-1))," " )</f>
        <v xml:space="preserve"> </v>
      </c>
    </row>
    <row r="285" spans="1:21" x14ac:dyDescent="0.3">
      <c r="A285" s="27" t="s">
        <v>1388</v>
      </c>
      <c r="B285" s="32" t="str">
        <f>_xlfn.XLOOKUP(TablaSTOCKINV[[#This Row],[SKU]],TablaINVENTARIO[SKU],TablaINVENTARIO[DESCRIPCION])</f>
        <v>LAVAMANOS CON PEDESTAL</v>
      </c>
      <c r="C285" s="32" t="str">
        <f>_xlfn.XLOOKUP(TablaSTOCKINV[[#This Row],[SKU]],TablaINVENTARIO[SKU],TablaINVENTARIO[MARCA])</f>
        <v xml:space="preserve">VENCERAMICA </v>
      </c>
      <c r="D285" s="33" t="str">
        <f>_xlfn.XLOOKUP(TablaSTOCKINV[[#This Row],[SKU]],TablaINVENTARIO[SKU],TablaINVENTARIO[CATEGORIA])</f>
        <v>HERRAMIENTAS_</v>
      </c>
      <c r="E285" s="33" t="str">
        <f>_xlfn.XLOOKUP(TablaSTOCKINV[[#This Row],[SKU]],TablaINVENTARIO[SKU],TablaINVENTARIO[SUBCATEGORIA])</f>
        <v xml:space="preserve">MATERIAL DE CONSTRUCCIÓN </v>
      </c>
      <c r="F285" s="33" t="str">
        <f>_xlfn.XLOOKUP(TablaSTOCKINV[[#This Row],[SKU]],TablaINVENTARIO[SKU],TablaINVENTARIO[ESTADO])</f>
        <v>USADO</v>
      </c>
      <c r="G285" s="33" t="str">
        <f>_xlfn.XLOOKUP(TablaSTOCKINV[[#This Row],[SKU]],TablaINVENTARIO[SKU],TablaINVENTARIO[MEDIDA])</f>
        <v xml:space="preserve">UND </v>
      </c>
      <c r="H285" s="33" t="str">
        <f>_xlfn.XLOOKUP(TablaSTOCKINV[[#This Row],[SKU]],TablaINVENTARIO[SKU],TablaINVENTARIO[SERIAL])</f>
        <v>N/A</v>
      </c>
      <c r="I285" s="34" t="str">
        <f>_xlfn.XLOOKUP(TablaSTOCKINV[[#This Row],[SKU]],TablaINVENTARIO[SKU],TablaINVENTARIO[ALMACEN])</f>
        <v>ALMACEN PRINCIPAL</v>
      </c>
      <c r="J285" s="34" t="str">
        <f>_xlfn.XLOOKUP(TablaSTOCKINV[[#This Row],[SKU]],TablaINVENTARIO[SKU],TablaINVENTARIO[UBICACION])</f>
        <v xml:space="preserve">CUARTO DE ALMACENAMIENTO </v>
      </c>
      <c r="K285" s="34" t="str">
        <f>_xlfn.XLOOKUP(TablaSTOCKINV[[#This Row],[SKU]],TablaINVENTARIO[SKU],TablaINVENTARIO[DPTO RESPONSABLE])</f>
        <v xml:space="preserve">CONSUMO GENERAL </v>
      </c>
      <c r="L285" s="36">
        <f>_xlfn.XLOOKUP(TablaSTOCKINV[[#This Row],[SKU]],TablaINVENTARIO[SKU],TablaINVENTARIO[RANGO MIN])</f>
        <v>0</v>
      </c>
      <c r="M285" s="34" cm="1">
        <f t="array" ref="M285">_xlfn.IFS(TablaSTOCKINV[[#This Row],[CANT. TOTAL]]&lt;=0,1,TablaSTOCKINV[[#This Row],[CANT. TOTAL]]&lt;=TablaSTOCKINV[[#This Row],[MIN]],2,TablaSTOCKINV[[#This Row],[CANT. TOTAL]]&gt;TablaSTOCKINV[[#This Row],[MIN]],3)</f>
        <v>3</v>
      </c>
      <c r="N285" s="34">
        <f>TablaSTOCKINV[[#This Row],[ENTRADAS]]-TablaSTOCKINV[[#This Row],[SALIDAS]]</f>
        <v>1</v>
      </c>
      <c r="O285" s="35">
        <f>SUMIFS(TablaENTRADA[CANT],TablaENTRADA[SKU],TablaSTOCKINV[[#This Row],[SKU]])</f>
        <v>1</v>
      </c>
      <c r="P285" s="35">
        <f>SUMIFS(TablaSALIDA[CANT],TablaSALIDA[SKU],TablaSTOCKINV[[#This Row],[SKU]])</f>
        <v>0</v>
      </c>
      <c r="Q285" s="34">
        <f>_xlfn.XLOOKUP(TablaSTOCKINV[[#This Row],[SKU]],TablaINVENTARIO[SKU],TablaINVENTARIO[PRECIO])</f>
        <v>0</v>
      </c>
      <c r="R285" s="34">
        <f>TablaSTOCKINV[[#This Row],[P.UNITARIO]]*TablaSTOCKINV[[#This Row],[CANT. TOTAL]]</f>
        <v>0</v>
      </c>
      <c r="S285" s="44">
        <f>_xlfn.XLOOKUP(TablaSTOCKINV[[#This Row],[SKU]],TablaINVENTARIO[SKU],TablaINVENTARIO[FECHA INGRESO])</f>
        <v>46023</v>
      </c>
      <c r="T285" s="44">
        <f>_xlfn.XLOOKUP(TablaSTOCKINV[[#This Row],[SKU]],TablaENTRADA[SKU],TablaENTRADA[FECHA],,0,-1)</f>
        <v>46023</v>
      </c>
      <c r="U285" s="46" t="str">
        <f>IFERROR((_xlfn.XLOOKUP(TablaSTOCKINV[[#This Row],[SKU]],TablaSALIDA[SKU],TablaSALIDA[FECHA],,0,-1))," " )</f>
        <v xml:space="preserve"> </v>
      </c>
    </row>
    <row r="286" spans="1:21" x14ac:dyDescent="0.3">
      <c r="A286" s="27" t="s">
        <v>1390</v>
      </c>
      <c r="B286" s="32" t="str">
        <f>_xlfn.XLOOKUP(TablaSTOCKINV[[#This Row],[SKU]],TablaINVENTARIO[SKU],TablaINVENTARIO[DESCRIPCION])</f>
        <v xml:space="preserve">ESPEJO PARA BAÑO </v>
      </c>
      <c r="C286" s="32" t="str">
        <f>_xlfn.XLOOKUP(TablaSTOCKINV[[#This Row],[SKU]],TablaINVENTARIO[SKU],TablaINVENTARIO[MARCA])</f>
        <v xml:space="preserve">AQUA </v>
      </c>
      <c r="D286" s="33" t="str">
        <f>_xlfn.XLOOKUP(TablaSTOCKINV[[#This Row],[SKU]],TablaINVENTARIO[SKU],TablaINVENTARIO[CATEGORIA])</f>
        <v>HERRAMIENTAS_</v>
      </c>
      <c r="E286" s="33" t="str">
        <f>_xlfn.XLOOKUP(TablaSTOCKINV[[#This Row],[SKU]],TablaINVENTARIO[SKU],TablaINVENTARIO[SUBCATEGORIA])</f>
        <v xml:space="preserve">MATERIAL DE CONSTRUCCIÓN </v>
      </c>
      <c r="F286" s="33" t="str">
        <f>_xlfn.XLOOKUP(TablaSTOCKINV[[#This Row],[SKU]],TablaINVENTARIO[SKU],TablaINVENTARIO[ESTADO])</f>
        <v>NUEVO</v>
      </c>
      <c r="G286" s="33" t="str">
        <f>_xlfn.XLOOKUP(TablaSTOCKINV[[#This Row],[SKU]],TablaINVENTARIO[SKU],TablaINVENTARIO[MEDIDA])</f>
        <v xml:space="preserve">UND </v>
      </c>
      <c r="H286" s="33" t="str">
        <f>_xlfn.XLOOKUP(TablaSTOCKINV[[#This Row],[SKU]],TablaINVENTARIO[SKU],TablaINVENTARIO[SERIAL])</f>
        <v>N/A</v>
      </c>
      <c r="I286" s="34" t="str">
        <f>_xlfn.XLOOKUP(TablaSTOCKINV[[#This Row],[SKU]],TablaINVENTARIO[SKU],TablaINVENTARIO[ALMACEN])</f>
        <v>ALMACEN PRINCIPAL</v>
      </c>
      <c r="J286" s="34" t="str">
        <f>_xlfn.XLOOKUP(TablaSTOCKINV[[#This Row],[SKU]],TablaINVENTARIO[SKU],TablaINVENTARIO[UBICACION])</f>
        <v xml:space="preserve">CUARTO DE ALMACENAMIENTO </v>
      </c>
      <c r="K286" s="34" t="str">
        <f>_xlfn.XLOOKUP(TablaSTOCKINV[[#This Row],[SKU]],TablaINVENTARIO[SKU],TablaINVENTARIO[DPTO RESPONSABLE])</f>
        <v xml:space="preserve">CONSUMO GENERAL </v>
      </c>
      <c r="L286" s="36">
        <f>_xlfn.XLOOKUP(TablaSTOCKINV[[#This Row],[SKU]],TablaINVENTARIO[SKU],TablaINVENTARIO[RANGO MIN])</f>
        <v>0</v>
      </c>
      <c r="M286" s="34" cm="1">
        <f t="array" ref="M286">_xlfn.IFS(TablaSTOCKINV[[#This Row],[CANT. TOTAL]]&lt;=0,1,TablaSTOCKINV[[#This Row],[CANT. TOTAL]]&lt;=TablaSTOCKINV[[#This Row],[MIN]],2,TablaSTOCKINV[[#This Row],[CANT. TOTAL]]&gt;TablaSTOCKINV[[#This Row],[MIN]],3)</f>
        <v>3</v>
      </c>
      <c r="N286" s="34">
        <f>TablaSTOCKINV[[#This Row],[ENTRADAS]]-TablaSTOCKINV[[#This Row],[SALIDAS]]</f>
        <v>1</v>
      </c>
      <c r="O286" s="35">
        <f>SUMIFS(TablaENTRADA[CANT],TablaENTRADA[SKU],TablaSTOCKINV[[#This Row],[SKU]])</f>
        <v>1</v>
      </c>
      <c r="P286" s="35">
        <f>SUMIFS(TablaSALIDA[CANT],TablaSALIDA[SKU],TablaSTOCKINV[[#This Row],[SKU]])</f>
        <v>0</v>
      </c>
      <c r="Q286" s="34">
        <f>_xlfn.XLOOKUP(TablaSTOCKINV[[#This Row],[SKU]],TablaINVENTARIO[SKU],TablaINVENTARIO[PRECIO])</f>
        <v>0</v>
      </c>
      <c r="R286" s="34">
        <f>TablaSTOCKINV[[#This Row],[P.UNITARIO]]*TablaSTOCKINV[[#This Row],[CANT. TOTAL]]</f>
        <v>0</v>
      </c>
      <c r="S286" s="44">
        <f>_xlfn.XLOOKUP(TablaSTOCKINV[[#This Row],[SKU]],TablaINVENTARIO[SKU],TablaINVENTARIO[FECHA INGRESO])</f>
        <v>46023</v>
      </c>
      <c r="T286" s="44">
        <f>_xlfn.XLOOKUP(TablaSTOCKINV[[#This Row],[SKU]],TablaENTRADA[SKU],TablaENTRADA[FECHA],,0,-1)</f>
        <v>46023</v>
      </c>
      <c r="U286" s="46" t="str">
        <f>IFERROR((_xlfn.XLOOKUP(TablaSTOCKINV[[#This Row],[SKU]],TablaSALIDA[SKU],TablaSALIDA[FECHA],,0,-1))," " )</f>
        <v xml:space="preserve"> </v>
      </c>
    </row>
    <row r="287" spans="1:21" x14ac:dyDescent="0.3">
      <c r="A287" s="27" t="s">
        <v>1393</v>
      </c>
      <c r="B287" s="32" t="str">
        <f>_xlfn.XLOOKUP(TablaSTOCKINV[[#This Row],[SKU]],TablaINVENTARIO[SKU],TablaINVENTARIO[DESCRIPCION])</f>
        <v xml:space="preserve">HIDROJET </v>
      </c>
      <c r="C287" s="32" t="str">
        <f>_xlfn.XLOOKUP(TablaSTOCKINV[[#This Row],[SKU]],TablaINVENTARIO[SKU],TablaINVENTARIO[MARCA])</f>
        <v>DAEWO</v>
      </c>
      <c r="D287" s="33" t="str">
        <f>_xlfn.XLOOKUP(TablaSTOCKINV[[#This Row],[SKU]],TablaINVENTARIO[SKU],TablaINVENTARIO[CATEGORIA])</f>
        <v>HERRAMIENTAS_</v>
      </c>
      <c r="E287" s="33" t="str">
        <f>_xlfn.XLOOKUP(TablaSTOCKINV[[#This Row],[SKU]],TablaINVENTARIO[SKU],TablaINVENTARIO[SUBCATEGORIA])</f>
        <v xml:space="preserve">HERRAMIENTA DE MANO </v>
      </c>
      <c r="F287" s="33" t="str">
        <f>_xlfn.XLOOKUP(TablaSTOCKINV[[#This Row],[SKU]],TablaINVENTARIO[SKU],TablaINVENTARIO[ESTADO])</f>
        <v>USADO</v>
      </c>
      <c r="G287" s="33" t="str">
        <f>_xlfn.XLOOKUP(TablaSTOCKINV[[#This Row],[SKU]],TablaINVENTARIO[SKU],TablaINVENTARIO[MEDIDA])</f>
        <v xml:space="preserve">UND </v>
      </c>
      <c r="H287" s="33" t="str">
        <f>_xlfn.XLOOKUP(TablaSTOCKINV[[#This Row],[SKU]],TablaINVENTARIO[SKU],TablaINVENTARIO[SERIAL])</f>
        <v>N/A</v>
      </c>
      <c r="I287" s="34" t="str">
        <f>_xlfn.XLOOKUP(TablaSTOCKINV[[#This Row],[SKU]],TablaINVENTARIO[SKU],TablaINVENTARIO[ALMACEN])</f>
        <v>ALMACEN PRINCIPAL</v>
      </c>
      <c r="J287" s="34" t="str">
        <f>_xlfn.XLOOKUP(TablaSTOCKINV[[#This Row],[SKU]],TablaINVENTARIO[SKU],TablaINVENTARIO[UBICACION])</f>
        <v xml:space="preserve">CUARTO DE ALMACENAMIENTO </v>
      </c>
      <c r="K287" s="34" t="str">
        <f>_xlfn.XLOOKUP(TablaSTOCKINV[[#This Row],[SKU]],TablaINVENTARIO[SKU],TablaINVENTARIO[DPTO RESPONSABLE])</f>
        <v xml:space="preserve">OPERACIONES / MANTENIMIENTO </v>
      </c>
      <c r="L287" s="36">
        <f>_xlfn.XLOOKUP(TablaSTOCKINV[[#This Row],[SKU]],TablaINVENTARIO[SKU],TablaINVENTARIO[RANGO MIN])</f>
        <v>0</v>
      </c>
      <c r="M287" s="34" cm="1">
        <f t="array" ref="M287">_xlfn.IFS(TablaSTOCKINV[[#This Row],[CANT. TOTAL]]&lt;=0,1,TablaSTOCKINV[[#This Row],[CANT. TOTAL]]&lt;=TablaSTOCKINV[[#This Row],[MIN]],2,TablaSTOCKINV[[#This Row],[CANT. TOTAL]]&gt;TablaSTOCKINV[[#This Row],[MIN]],3)</f>
        <v>3</v>
      </c>
      <c r="N287" s="34">
        <f>TablaSTOCKINV[[#This Row],[ENTRADAS]]-TablaSTOCKINV[[#This Row],[SALIDAS]]</f>
        <v>1</v>
      </c>
      <c r="O287" s="35">
        <f>SUMIFS(TablaENTRADA[CANT],TablaENTRADA[SKU],TablaSTOCKINV[[#This Row],[SKU]])</f>
        <v>1</v>
      </c>
      <c r="P287" s="35">
        <f>SUMIFS(TablaSALIDA[CANT],TablaSALIDA[SKU],TablaSTOCKINV[[#This Row],[SKU]])</f>
        <v>0</v>
      </c>
      <c r="Q287" s="34">
        <f>_xlfn.XLOOKUP(TablaSTOCKINV[[#This Row],[SKU]],TablaINVENTARIO[SKU],TablaINVENTARIO[PRECIO])</f>
        <v>0</v>
      </c>
      <c r="R287" s="34">
        <f>TablaSTOCKINV[[#This Row],[P.UNITARIO]]*TablaSTOCKINV[[#This Row],[CANT. TOTAL]]</f>
        <v>0</v>
      </c>
      <c r="S287" s="44">
        <f>_xlfn.XLOOKUP(TablaSTOCKINV[[#This Row],[SKU]],TablaINVENTARIO[SKU],TablaINVENTARIO[FECHA INGRESO])</f>
        <v>46023</v>
      </c>
      <c r="T287" s="44">
        <f>_xlfn.XLOOKUP(TablaSTOCKINV[[#This Row],[SKU]],TablaENTRADA[SKU],TablaENTRADA[FECHA],,0,-1)</f>
        <v>46023</v>
      </c>
      <c r="U287" s="46" t="str">
        <f>IFERROR((_xlfn.XLOOKUP(TablaSTOCKINV[[#This Row],[SKU]],TablaSALIDA[SKU],TablaSALIDA[FECHA],,0,-1))," " )</f>
        <v xml:space="preserve"> </v>
      </c>
    </row>
    <row r="288" spans="1:21" x14ac:dyDescent="0.3">
      <c r="A288" s="27" t="s">
        <v>1397</v>
      </c>
      <c r="B288" s="32" t="str">
        <f>_xlfn.XLOOKUP(TablaSTOCKINV[[#This Row],[SKU]],TablaINVENTARIO[SKU],TablaINVENTARIO[DESCRIPCION])</f>
        <v xml:space="preserve">EXTRACTOR DE AIRE </v>
      </c>
      <c r="C288" s="32" t="str">
        <f>_xlfn.XLOOKUP(TablaSTOCKINV[[#This Row],[SKU]],TablaINVENTARIO[SKU],TablaINVENTARIO[MARCA])</f>
        <v>TAURUS</v>
      </c>
      <c r="D288" s="33" t="str">
        <f>_xlfn.XLOOKUP(TablaSTOCKINV[[#This Row],[SKU]],TablaINVENTARIO[SKU],TablaINVENTARIO[CATEGORIA])</f>
        <v>HERRAMIENTAS_</v>
      </c>
      <c r="E288" s="33" t="str">
        <f>_xlfn.XLOOKUP(TablaSTOCKINV[[#This Row],[SKU]],TablaINVENTARIO[SKU],TablaINVENTARIO[SUBCATEGORIA])</f>
        <v xml:space="preserve">HERRAMIENTA ELÉCTRICA </v>
      </c>
      <c r="F288" s="33" t="str">
        <f>_xlfn.XLOOKUP(TablaSTOCKINV[[#This Row],[SKU]],TablaINVENTARIO[SKU],TablaINVENTARIO[ESTADO])</f>
        <v>USADO</v>
      </c>
      <c r="G288" s="33" t="str">
        <f>_xlfn.XLOOKUP(TablaSTOCKINV[[#This Row],[SKU]],TablaINVENTARIO[SKU],TablaINVENTARIO[MEDIDA])</f>
        <v xml:space="preserve">UND </v>
      </c>
      <c r="H288" s="33" t="str">
        <f>_xlfn.XLOOKUP(TablaSTOCKINV[[#This Row],[SKU]],TablaINVENTARIO[SKU],TablaINVENTARIO[SERIAL])</f>
        <v>N/A</v>
      </c>
      <c r="I288" s="34" t="str">
        <f>_xlfn.XLOOKUP(TablaSTOCKINV[[#This Row],[SKU]],TablaINVENTARIO[SKU],TablaINVENTARIO[ALMACEN])</f>
        <v>ALMACEN PRINCIPAL</v>
      </c>
      <c r="J288" s="34" t="str">
        <f>_xlfn.XLOOKUP(TablaSTOCKINV[[#This Row],[SKU]],TablaINVENTARIO[SKU],TablaINVENTARIO[UBICACION])</f>
        <v xml:space="preserve">CUARTO DE ALMACENAMIENTO </v>
      </c>
      <c r="K288" s="34" t="str">
        <f>_xlfn.XLOOKUP(TablaSTOCKINV[[#This Row],[SKU]],TablaINVENTARIO[SKU],TablaINVENTARIO[DPTO RESPONSABLE])</f>
        <v xml:space="preserve">CONSUMO GENERAL </v>
      </c>
      <c r="L288" s="36">
        <f>_xlfn.XLOOKUP(TablaSTOCKINV[[#This Row],[SKU]],TablaINVENTARIO[SKU],TablaINVENTARIO[RANGO MIN])</f>
        <v>0</v>
      </c>
      <c r="M288" s="34" cm="1">
        <f t="array" ref="M288">_xlfn.IFS(TablaSTOCKINV[[#This Row],[CANT. TOTAL]]&lt;=0,1,TablaSTOCKINV[[#This Row],[CANT. TOTAL]]&lt;=TablaSTOCKINV[[#This Row],[MIN]],2,TablaSTOCKINV[[#This Row],[CANT. TOTAL]]&gt;TablaSTOCKINV[[#This Row],[MIN]],3)</f>
        <v>3</v>
      </c>
      <c r="N288" s="34">
        <f>TablaSTOCKINV[[#This Row],[ENTRADAS]]-TablaSTOCKINV[[#This Row],[SALIDAS]]</f>
        <v>1</v>
      </c>
      <c r="O288" s="35">
        <f>SUMIFS(TablaENTRADA[CANT],TablaENTRADA[SKU],TablaSTOCKINV[[#This Row],[SKU]])</f>
        <v>1</v>
      </c>
      <c r="P288" s="35">
        <f>SUMIFS(TablaSALIDA[CANT],TablaSALIDA[SKU],TablaSTOCKINV[[#This Row],[SKU]])</f>
        <v>0</v>
      </c>
      <c r="Q288" s="34">
        <f>_xlfn.XLOOKUP(TablaSTOCKINV[[#This Row],[SKU]],TablaINVENTARIO[SKU],TablaINVENTARIO[PRECIO])</f>
        <v>0</v>
      </c>
      <c r="R288" s="34">
        <f>TablaSTOCKINV[[#This Row],[P.UNITARIO]]*TablaSTOCKINV[[#This Row],[CANT. TOTAL]]</f>
        <v>0</v>
      </c>
      <c r="S288" s="44">
        <f>_xlfn.XLOOKUP(TablaSTOCKINV[[#This Row],[SKU]],TablaINVENTARIO[SKU],TablaINVENTARIO[FECHA INGRESO])</f>
        <v>46023</v>
      </c>
      <c r="T288" s="44">
        <f>_xlfn.XLOOKUP(TablaSTOCKINV[[#This Row],[SKU]],TablaENTRADA[SKU],TablaENTRADA[FECHA],,0,-1)</f>
        <v>46023</v>
      </c>
      <c r="U288" s="46" t="str">
        <f>IFERROR((_xlfn.XLOOKUP(TablaSTOCKINV[[#This Row],[SKU]],TablaSALIDA[SKU],TablaSALIDA[FECHA],,0,-1))," " )</f>
        <v xml:space="preserve"> </v>
      </c>
    </row>
    <row r="289" spans="1:21" x14ac:dyDescent="0.3">
      <c r="A289" s="27" t="s">
        <v>1400</v>
      </c>
      <c r="B289" s="32" t="str">
        <f>_xlfn.XLOOKUP(TablaSTOCKINV[[#This Row],[SKU]],TablaINVENTARIO[SKU],TablaINVENTARIO[DESCRIPCION])</f>
        <v xml:space="preserve">BOLSO PARA ECHOMETER </v>
      </c>
      <c r="C289" s="32" t="str">
        <f>_xlfn.XLOOKUP(TablaSTOCKINV[[#This Row],[SKU]],TablaINVENTARIO[SKU],TablaINVENTARIO[MARCA])</f>
        <v>BAUER</v>
      </c>
      <c r="D289" s="33" t="str">
        <f>_xlfn.XLOOKUP(TablaSTOCKINV[[#This Row],[SKU]],TablaINVENTARIO[SKU],TablaINVENTARIO[CATEGORIA])</f>
        <v>HERRAMIENTAS_</v>
      </c>
      <c r="E289" s="33" t="str">
        <f>_xlfn.XLOOKUP(TablaSTOCKINV[[#This Row],[SKU]],TablaINVENTARIO[SKU],TablaINVENTARIO[SUBCATEGORIA])</f>
        <v xml:space="preserve">ALMACENAMIENTO </v>
      </c>
      <c r="F289" s="33" t="str">
        <f>_xlfn.XLOOKUP(TablaSTOCKINV[[#This Row],[SKU]],TablaINVENTARIO[SKU],TablaINVENTARIO[ESTADO])</f>
        <v>NUEVO</v>
      </c>
      <c r="G289" s="33" t="str">
        <f>_xlfn.XLOOKUP(TablaSTOCKINV[[#This Row],[SKU]],TablaINVENTARIO[SKU],TablaINVENTARIO[MEDIDA])</f>
        <v xml:space="preserve">UND </v>
      </c>
      <c r="H289" s="33" t="str">
        <f>_xlfn.XLOOKUP(TablaSTOCKINV[[#This Row],[SKU]],TablaINVENTARIO[SKU],TablaINVENTARIO[SERIAL])</f>
        <v>N/A</v>
      </c>
      <c r="I289" s="34" t="str">
        <f>_xlfn.XLOOKUP(TablaSTOCKINV[[#This Row],[SKU]],TablaINVENTARIO[SKU],TablaINVENTARIO[ALMACEN])</f>
        <v>ALMACEN PRINCIPAL</v>
      </c>
      <c r="J289" s="34" t="str">
        <f>_xlfn.XLOOKUP(TablaSTOCKINV[[#This Row],[SKU]],TablaINVENTARIO[SKU],TablaINVENTARIO[UBICACION])</f>
        <v xml:space="preserve">CUARTO DE ALMACENAMIENTO </v>
      </c>
      <c r="K289" s="34" t="str">
        <f>_xlfn.XLOOKUP(TablaSTOCKINV[[#This Row],[SKU]],TablaINVENTARIO[SKU],TablaINVENTARIO[DPTO RESPONSABLE])</f>
        <v>OPERACIONES</v>
      </c>
      <c r="L289" s="36">
        <f>_xlfn.XLOOKUP(TablaSTOCKINV[[#This Row],[SKU]],TablaINVENTARIO[SKU],TablaINVENTARIO[RANGO MIN])</f>
        <v>0</v>
      </c>
      <c r="M289" s="34" cm="1">
        <f t="array" ref="M289">_xlfn.IFS(TablaSTOCKINV[[#This Row],[CANT. TOTAL]]&lt;=0,1,TablaSTOCKINV[[#This Row],[CANT. TOTAL]]&lt;=TablaSTOCKINV[[#This Row],[MIN]],2,TablaSTOCKINV[[#This Row],[CANT. TOTAL]]&gt;TablaSTOCKINV[[#This Row],[MIN]],3)</f>
        <v>3</v>
      </c>
      <c r="N289" s="34">
        <f>TablaSTOCKINV[[#This Row],[ENTRADAS]]-TablaSTOCKINV[[#This Row],[SALIDAS]]</f>
        <v>2</v>
      </c>
      <c r="O289" s="35">
        <f>SUMIFS(TablaENTRADA[CANT],TablaENTRADA[SKU],TablaSTOCKINV[[#This Row],[SKU]])</f>
        <v>2</v>
      </c>
      <c r="P289" s="35">
        <f>SUMIFS(TablaSALIDA[CANT],TablaSALIDA[SKU],TablaSTOCKINV[[#This Row],[SKU]])</f>
        <v>0</v>
      </c>
      <c r="Q289" s="34">
        <f>_xlfn.XLOOKUP(TablaSTOCKINV[[#This Row],[SKU]],TablaINVENTARIO[SKU],TablaINVENTARIO[PRECIO])</f>
        <v>0</v>
      </c>
      <c r="R289" s="34">
        <f>TablaSTOCKINV[[#This Row],[P.UNITARIO]]*TablaSTOCKINV[[#This Row],[CANT. TOTAL]]</f>
        <v>0</v>
      </c>
      <c r="S289" s="44">
        <f>_xlfn.XLOOKUP(TablaSTOCKINV[[#This Row],[SKU]],TablaINVENTARIO[SKU],TablaINVENTARIO[FECHA INGRESO])</f>
        <v>46023</v>
      </c>
      <c r="T289" s="44">
        <f>_xlfn.XLOOKUP(TablaSTOCKINV[[#This Row],[SKU]],TablaENTRADA[SKU],TablaENTRADA[FECHA],,0,-1)</f>
        <v>46023</v>
      </c>
      <c r="U289" s="46" t="str">
        <f>IFERROR((_xlfn.XLOOKUP(TablaSTOCKINV[[#This Row],[SKU]],TablaSALIDA[SKU],TablaSALIDA[FECHA],,0,-1))," " )</f>
        <v xml:space="preserve"> </v>
      </c>
    </row>
    <row r="290" spans="1:21" x14ac:dyDescent="0.3">
      <c r="A290" s="27" t="s">
        <v>1404</v>
      </c>
      <c r="B290" s="32" t="str">
        <f>_xlfn.XLOOKUP(TablaSTOCKINV[[#This Row],[SKU]],TablaINVENTARIO[SKU],TablaINVENTARIO[DESCRIPCION])</f>
        <v xml:space="preserve">PERSIANA </v>
      </c>
      <c r="C290" s="32" t="str">
        <f>_xlfn.XLOOKUP(TablaSTOCKINV[[#This Row],[SKU]],TablaINVENTARIO[SKU],TablaINVENTARIO[MARCA])</f>
        <v>N/A</v>
      </c>
      <c r="D290" s="33" t="str">
        <f>_xlfn.XLOOKUP(TablaSTOCKINV[[#This Row],[SKU]],TablaINVENTARIO[SKU],TablaINVENTARIO[CATEGORIA])</f>
        <v>HERRAMIENTAS_</v>
      </c>
      <c r="E290" s="33" t="str">
        <f>_xlfn.XLOOKUP(TablaSTOCKINV[[#This Row],[SKU]],TablaINVENTARIO[SKU],TablaINVENTARIO[SUBCATEGORIA])</f>
        <v xml:space="preserve">MATERIAL DE CONSTRUCCIÓN </v>
      </c>
      <c r="F290" s="33" t="str">
        <f>_xlfn.XLOOKUP(TablaSTOCKINV[[#This Row],[SKU]],TablaINVENTARIO[SKU],TablaINVENTARIO[ESTADO])</f>
        <v>NUEVO</v>
      </c>
      <c r="G290" s="33" t="str">
        <f>_xlfn.XLOOKUP(TablaSTOCKINV[[#This Row],[SKU]],TablaINVENTARIO[SKU],TablaINVENTARIO[MEDIDA])</f>
        <v xml:space="preserve">UND </v>
      </c>
      <c r="H290" s="33" t="str">
        <f>_xlfn.XLOOKUP(TablaSTOCKINV[[#This Row],[SKU]],TablaINVENTARIO[SKU],TablaINVENTARIO[SERIAL])</f>
        <v>N/A</v>
      </c>
      <c r="I290" s="34" t="str">
        <f>_xlfn.XLOOKUP(TablaSTOCKINV[[#This Row],[SKU]],TablaINVENTARIO[SKU],TablaINVENTARIO[ALMACEN])</f>
        <v>ALMACEN PRINCIPAL</v>
      </c>
      <c r="J290" s="34" t="str">
        <f>_xlfn.XLOOKUP(TablaSTOCKINV[[#This Row],[SKU]],TablaINVENTARIO[SKU],TablaINVENTARIO[UBICACION])</f>
        <v xml:space="preserve">CUARTO DE ALMACENAMIENTO </v>
      </c>
      <c r="K290" s="34" t="str">
        <f>_xlfn.XLOOKUP(TablaSTOCKINV[[#This Row],[SKU]],TablaINVENTARIO[SKU],TablaINVENTARIO[DPTO RESPONSABLE])</f>
        <v xml:space="preserve">CONSUMO GENERAL </v>
      </c>
      <c r="L290" s="36">
        <f>_xlfn.XLOOKUP(TablaSTOCKINV[[#This Row],[SKU]],TablaINVENTARIO[SKU],TablaINVENTARIO[RANGO MIN])</f>
        <v>0</v>
      </c>
      <c r="M290" s="34" cm="1">
        <f t="array" ref="M290">_xlfn.IFS(TablaSTOCKINV[[#This Row],[CANT. TOTAL]]&lt;=0,1,TablaSTOCKINV[[#This Row],[CANT. TOTAL]]&lt;=TablaSTOCKINV[[#This Row],[MIN]],2,TablaSTOCKINV[[#This Row],[CANT. TOTAL]]&gt;TablaSTOCKINV[[#This Row],[MIN]],3)</f>
        <v>3</v>
      </c>
      <c r="N290" s="34">
        <f>TablaSTOCKINV[[#This Row],[ENTRADAS]]-TablaSTOCKINV[[#This Row],[SALIDAS]]</f>
        <v>1</v>
      </c>
      <c r="O290" s="35">
        <f>SUMIFS(TablaENTRADA[CANT],TablaENTRADA[SKU],TablaSTOCKINV[[#This Row],[SKU]])</f>
        <v>1</v>
      </c>
      <c r="P290" s="35">
        <f>SUMIFS(TablaSALIDA[CANT],TablaSALIDA[SKU],TablaSTOCKINV[[#This Row],[SKU]])</f>
        <v>0</v>
      </c>
      <c r="Q290" s="34">
        <f>_xlfn.XLOOKUP(TablaSTOCKINV[[#This Row],[SKU]],TablaINVENTARIO[SKU],TablaINVENTARIO[PRECIO])</f>
        <v>0</v>
      </c>
      <c r="R290" s="34">
        <f>TablaSTOCKINV[[#This Row],[P.UNITARIO]]*TablaSTOCKINV[[#This Row],[CANT. TOTAL]]</f>
        <v>0</v>
      </c>
      <c r="S290" s="44">
        <f>_xlfn.XLOOKUP(TablaSTOCKINV[[#This Row],[SKU]],TablaINVENTARIO[SKU],TablaINVENTARIO[FECHA INGRESO])</f>
        <v>46023</v>
      </c>
      <c r="T290" s="44">
        <f>_xlfn.XLOOKUP(TablaSTOCKINV[[#This Row],[SKU]],TablaENTRADA[SKU],TablaENTRADA[FECHA],,0,-1)</f>
        <v>46023</v>
      </c>
      <c r="U290" s="46" t="str">
        <f>IFERROR((_xlfn.XLOOKUP(TablaSTOCKINV[[#This Row],[SKU]],TablaSALIDA[SKU],TablaSALIDA[FECHA],,0,-1))," " )</f>
        <v xml:space="preserve"> </v>
      </c>
    </row>
    <row r="291" spans="1:21" x14ac:dyDescent="0.3">
      <c r="A291" s="27" t="s">
        <v>1406</v>
      </c>
      <c r="B291" s="32" t="str">
        <f>_xlfn.XLOOKUP(TablaSTOCKINV[[#This Row],[SKU]],TablaINVENTARIO[SKU],TablaINVENTARIO[DESCRIPCION])</f>
        <v xml:space="preserve">MALETA RIGIDA GRIS - GRANDE </v>
      </c>
      <c r="C291" s="32" t="str">
        <f>_xlfn.XLOOKUP(TablaSTOCKINV[[#This Row],[SKU]],TablaINVENTARIO[SKU],TablaINVENTARIO[MARCA])</f>
        <v>N/A</v>
      </c>
      <c r="D291" s="33" t="str">
        <f>_xlfn.XLOOKUP(TablaSTOCKINV[[#This Row],[SKU]],TablaINVENTARIO[SKU],TablaINVENTARIO[CATEGORIA])</f>
        <v>HERRAMIENTAS_</v>
      </c>
      <c r="E291" s="33" t="str">
        <f>_xlfn.XLOOKUP(TablaSTOCKINV[[#This Row],[SKU]],TablaINVENTARIO[SKU],TablaINVENTARIO[SUBCATEGORIA])</f>
        <v xml:space="preserve">ALMACENAMIENTO </v>
      </c>
      <c r="F291" s="33" t="str">
        <f>_xlfn.XLOOKUP(TablaSTOCKINV[[#This Row],[SKU]],TablaINVENTARIO[SKU],TablaINVENTARIO[ESTADO])</f>
        <v>USADO</v>
      </c>
      <c r="G291" s="33" t="str">
        <f>_xlfn.XLOOKUP(TablaSTOCKINV[[#This Row],[SKU]],TablaINVENTARIO[SKU],TablaINVENTARIO[MEDIDA])</f>
        <v xml:space="preserve">UND </v>
      </c>
      <c r="H291" s="33" t="str">
        <f>_xlfn.XLOOKUP(TablaSTOCKINV[[#This Row],[SKU]],TablaINVENTARIO[SKU],TablaINVENTARIO[SERIAL])</f>
        <v>N/A</v>
      </c>
      <c r="I291" s="34" t="str">
        <f>_xlfn.XLOOKUP(TablaSTOCKINV[[#This Row],[SKU]],TablaINVENTARIO[SKU],TablaINVENTARIO[ALMACEN])</f>
        <v>ALMACEN PRINCIPAL</v>
      </c>
      <c r="J291" s="34" t="str">
        <f>_xlfn.XLOOKUP(TablaSTOCKINV[[#This Row],[SKU]],TablaINVENTARIO[SKU],TablaINVENTARIO[UBICACION])</f>
        <v xml:space="preserve">CUARTO DE ALMACENAMIENTO </v>
      </c>
      <c r="K291" s="34" t="str">
        <f>_xlfn.XLOOKUP(TablaSTOCKINV[[#This Row],[SKU]],TablaINVENTARIO[SKU],TablaINVENTARIO[DPTO RESPONSABLE])</f>
        <v>OPERACIONES</v>
      </c>
      <c r="L291" s="36">
        <f>_xlfn.XLOOKUP(TablaSTOCKINV[[#This Row],[SKU]],TablaINVENTARIO[SKU],TablaINVENTARIO[RANGO MIN])</f>
        <v>0</v>
      </c>
      <c r="M291" s="34" cm="1">
        <f t="array" ref="M291">_xlfn.IFS(TablaSTOCKINV[[#This Row],[CANT. TOTAL]]&lt;=0,1,TablaSTOCKINV[[#This Row],[CANT. TOTAL]]&lt;=TablaSTOCKINV[[#This Row],[MIN]],2,TablaSTOCKINV[[#This Row],[CANT. TOTAL]]&gt;TablaSTOCKINV[[#This Row],[MIN]],3)</f>
        <v>3</v>
      </c>
      <c r="N291" s="34">
        <f>TablaSTOCKINV[[#This Row],[ENTRADAS]]-TablaSTOCKINV[[#This Row],[SALIDAS]]</f>
        <v>1</v>
      </c>
      <c r="O291" s="35">
        <f>SUMIFS(TablaENTRADA[CANT],TablaENTRADA[SKU],TablaSTOCKINV[[#This Row],[SKU]])</f>
        <v>1</v>
      </c>
      <c r="P291" s="35">
        <f>SUMIFS(TablaSALIDA[CANT],TablaSALIDA[SKU],TablaSTOCKINV[[#This Row],[SKU]])</f>
        <v>0</v>
      </c>
      <c r="Q291" s="34">
        <f>_xlfn.XLOOKUP(TablaSTOCKINV[[#This Row],[SKU]],TablaINVENTARIO[SKU],TablaINVENTARIO[PRECIO])</f>
        <v>0</v>
      </c>
      <c r="R291" s="34">
        <f>TablaSTOCKINV[[#This Row],[P.UNITARIO]]*TablaSTOCKINV[[#This Row],[CANT. TOTAL]]</f>
        <v>0</v>
      </c>
      <c r="S291" s="44">
        <f>_xlfn.XLOOKUP(TablaSTOCKINV[[#This Row],[SKU]],TablaINVENTARIO[SKU],TablaINVENTARIO[FECHA INGRESO])</f>
        <v>46023</v>
      </c>
      <c r="T291" s="44">
        <f>_xlfn.XLOOKUP(TablaSTOCKINV[[#This Row],[SKU]],TablaENTRADA[SKU],TablaENTRADA[FECHA],,0,-1)</f>
        <v>46023</v>
      </c>
      <c r="U291" s="46" t="str">
        <f>IFERROR((_xlfn.XLOOKUP(TablaSTOCKINV[[#This Row],[SKU]],TablaSALIDA[SKU],TablaSALIDA[FECHA],,0,-1))," " )</f>
        <v xml:space="preserve"> </v>
      </c>
    </row>
    <row r="292" spans="1:21" x14ac:dyDescent="0.3">
      <c r="A292" s="27" t="s">
        <v>1408</v>
      </c>
      <c r="B292" s="32" t="str">
        <f>_xlfn.XLOOKUP(TablaSTOCKINV[[#This Row],[SKU]],TablaINVENTARIO[SKU],TablaINVENTARIO[DESCRIPCION])</f>
        <v xml:space="preserve">MALETA BEIGE GRANDE </v>
      </c>
      <c r="C292" s="32" t="str">
        <f>_xlfn.XLOOKUP(TablaSTOCKINV[[#This Row],[SKU]],TablaINVENTARIO[SKU],TablaINVENTARIO[MARCA])</f>
        <v>N/A</v>
      </c>
      <c r="D292" s="33" t="str">
        <f>_xlfn.XLOOKUP(TablaSTOCKINV[[#This Row],[SKU]],TablaINVENTARIO[SKU],TablaINVENTARIO[CATEGORIA])</f>
        <v>HERRAMIENTAS_</v>
      </c>
      <c r="E292" s="33" t="str">
        <f>_xlfn.XLOOKUP(TablaSTOCKINV[[#This Row],[SKU]],TablaINVENTARIO[SKU],TablaINVENTARIO[SUBCATEGORIA])</f>
        <v xml:space="preserve">ALMACENAMIENTO </v>
      </c>
      <c r="F292" s="33" t="str">
        <f>_xlfn.XLOOKUP(TablaSTOCKINV[[#This Row],[SKU]],TablaINVENTARIO[SKU],TablaINVENTARIO[ESTADO])</f>
        <v>DAÑADO</v>
      </c>
      <c r="G292" s="33" t="str">
        <f>_xlfn.XLOOKUP(TablaSTOCKINV[[#This Row],[SKU]],TablaINVENTARIO[SKU],TablaINVENTARIO[MEDIDA])</f>
        <v xml:space="preserve">UND </v>
      </c>
      <c r="H292" s="33" t="str">
        <f>_xlfn.XLOOKUP(TablaSTOCKINV[[#This Row],[SKU]],TablaINVENTARIO[SKU],TablaINVENTARIO[SERIAL])</f>
        <v>N/A</v>
      </c>
      <c r="I292" s="34" t="str">
        <f>_xlfn.XLOOKUP(TablaSTOCKINV[[#This Row],[SKU]],TablaINVENTARIO[SKU],TablaINVENTARIO[ALMACEN])</f>
        <v>ALMACEN PRINCIPAL</v>
      </c>
      <c r="J292" s="34" t="str">
        <f>_xlfn.XLOOKUP(TablaSTOCKINV[[#This Row],[SKU]],TablaINVENTARIO[SKU],TablaINVENTARIO[UBICACION])</f>
        <v xml:space="preserve">CUARTO DE ALMACENAMIENTO </v>
      </c>
      <c r="K292" s="34" t="str">
        <f>_xlfn.XLOOKUP(TablaSTOCKINV[[#This Row],[SKU]],TablaINVENTARIO[SKU],TablaINVENTARIO[DPTO RESPONSABLE])</f>
        <v>OPERACIONES</v>
      </c>
      <c r="L292" s="36">
        <f>_xlfn.XLOOKUP(TablaSTOCKINV[[#This Row],[SKU]],TablaINVENTARIO[SKU],TablaINVENTARIO[RANGO MIN])</f>
        <v>0</v>
      </c>
      <c r="M292" s="34" cm="1">
        <f t="array" ref="M292">_xlfn.IFS(TablaSTOCKINV[[#This Row],[CANT. TOTAL]]&lt;=0,1,TablaSTOCKINV[[#This Row],[CANT. TOTAL]]&lt;=TablaSTOCKINV[[#This Row],[MIN]],2,TablaSTOCKINV[[#This Row],[CANT. TOTAL]]&gt;TablaSTOCKINV[[#This Row],[MIN]],3)</f>
        <v>3</v>
      </c>
      <c r="N292" s="34">
        <f>TablaSTOCKINV[[#This Row],[ENTRADAS]]-TablaSTOCKINV[[#This Row],[SALIDAS]]</f>
        <v>1</v>
      </c>
      <c r="O292" s="35">
        <f>SUMIFS(TablaENTRADA[CANT],TablaENTRADA[SKU],TablaSTOCKINV[[#This Row],[SKU]])</f>
        <v>1</v>
      </c>
      <c r="P292" s="35">
        <f>SUMIFS(TablaSALIDA[CANT],TablaSALIDA[SKU],TablaSTOCKINV[[#This Row],[SKU]])</f>
        <v>0</v>
      </c>
      <c r="Q292" s="34">
        <f>_xlfn.XLOOKUP(TablaSTOCKINV[[#This Row],[SKU]],TablaINVENTARIO[SKU],TablaINVENTARIO[PRECIO])</f>
        <v>0</v>
      </c>
      <c r="R292" s="34">
        <f>TablaSTOCKINV[[#This Row],[P.UNITARIO]]*TablaSTOCKINV[[#This Row],[CANT. TOTAL]]</f>
        <v>0</v>
      </c>
      <c r="S292" s="44">
        <f>_xlfn.XLOOKUP(TablaSTOCKINV[[#This Row],[SKU]],TablaINVENTARIO[SKU],TablaINVENTARIO[FECHA INGRESO])</f>
        <v>46023</v>
      </c>
      <c r="T292" s="44">
        <f>_xlfn.XLOOKUP(TablaSTOCKINV[[#This Row],[SKU]],TablaENTRADA[SKU],TablaENTRADA[FECHA],,0,-1)</f>
        <v>46023</v>
      </c>
      <c r="U292" s="46" t="str">
        <f>IFERROR((_xlfn.XLOOKUP(TablaSTOCKINV[[#This Row],[SKU]],TablaSALIDA[SKU],TablaSALIDA[FECHA],,0,-1))," " )</f>
        <v xml:space="preserve"> </v>
      </c>
    </row>
    <row r="293" spans="1:21" x14ac:dyDescent="0.3">
      <c r="A293" s="27" t="s">
        <v>1410</v>
      </c>
      <c r="B293" s="32" t="str">
        <f>_xlfn.XLOOKUP(TablaSTOCKINV[[#This Row],[SKU]],TablaINVENTARIO[SKU],TablaINVENTARIO[DESCRIPCION])</f>
        <v xml:space="preserve">MALETA RIGIDA NEGRA - GRANDE </v>
      </c>
      <c r="C293" s="32" t="str">
        <f>_xlfn.XLOOKUP(TablaSTOCKINV[[#This Row],[SKU]],TablaINVENTARIO[SKU],TablaINVENTARIO[MARCA])</f>
        <v>N/A</v>
      </c>
      <c r="D293" s="33" t="str">
        <f>_xlfn.XLOOKUP(TablaSTOCKINV[[#This Row],[SKU]],TablaINVENTARIO[SKU],TablaINVENTARIO[CATEGORIA])</f>
        <v>HERRAMIENTAS_</v>
      </c>
      <c r="E293" s="33" t="str">
        <f>_xlfn.XLOOKUP(TablaSTOCKINV[[#This Row],[SKU]],TablaINVENTARIO[SKU],TablaINVENTARIO[SUBCATEGORIA])</f>
        <v xml:space="preserve">ALMACENAMIENTO </v>
      </c>
      <c r="F293" s="33" t="str">
        <f>_xlfn.XLOOKUP(TablaSTOCKINV[[#This Row],[SKU]],TablaINVENTARIO[SKU],TablaINVENTARIO[ESTADO])</f>
        <v>USADO</v>
      </c>
      <c r="G293" s="33" t="str">
        <f>_xlfn.XLOOKUP(TablaSTOCKINV[[#This Row],[SKU]],TablaINVENTARIO[SKU],TablaINVENTARIO[MEDIDA])</f>
        <v xml:space="preserve">UND </v>
      </c>
      <c r="H293" s="33" t="str">
        <f>_xlfn.XLOOKUP(TablaSTOCKINV[[#This Row],[SKU]],TablaINVENTARIO[SKU],TablaINVENTARIO[SERIAL])</f>
        <v>N/A</v>
      </c>
      <c r="I293" s="34" t="str">
        <f>_xlfn.XLOOKUP(TablaSTOCKINV[[#This Row],[SKU]],TablaINVENTARIO[SKU],TablaINVENTARIO[ALMACEN])</f>
        <v>ALMACEN PRINCIPAL</v>
      </c>
      <c r="J293" s="34" t="str">
        <f>_xlfn.XLOOKUP(TablaSTOCKINV[[#This Row],[SKU]],TablaINVENTARIO[SKU],TablaINVENTARIO[UBICACION])</f>
        <v xml:space="preserve">CUARTO DE ALMACENAMIENTO </v>
      </c>
      <c r="K293" s="34" t="str">
        <f>_xlfn.XLOOKUP(TablaSTOCKINV[[#This Row],[SKU]],TablaINVENTARIO[SKU],TablaINVENTARIO[DPTO RESPONSABLE])</f>
        <v>OPERACIONES</v>
      </c>
      <c r="L293" s="36">
        <f>_xlfn.XLOOKUP(TablaSTOCKINV[[#This Row],[SKU]],TablaINVENTARIO[SKU],TablaINVENTARIO[RANGO MIN])</f>
        <v>0</v>
      </c>
      <c r="M293" s="34" cm="1">
        <f t="array" ref="M293">_xlfn.IFS(TablaSTOCKINV[[#This Row],[CANT. TOTAL]]&lt;=0,1,TablaSTOCKINV[[#This Row],[CANT. TOTAL]]&lt;=TablaSTOCKINV[[#This Row],[MIN]],2,TablaSTOCKINV[[#This Row],[CANT. TOTAL]]&gt;TablaSTOCKINV[[#This Row],[MIN]],3)</f>
        <v>3</v>
      </c>
      <c r="N293" s="34">
        <f>TablaSTOCKINV[[#This Row],[ENTRADAS]]-TablaSTOCKINV[[#This Row],[SALIDAS]]</f>
        <v>1</v>
      </c>
      <c r="O293" s="35">
        <f>SUMIFS(TablaENTRADA[CANT],TablaENTRADA[SKU],TablaSTOCKINV[[#This Row],[SKU]])</f>
        <v>1</v>
      </c>
      <c r="P293" s="35">
        <f>SUMIFS(TablaSALIDA[CANT],TablaSALIDA[SKU],TablaSTOCKINV[[#This Row],[SKU]])</f>
        <v>0</v>
      </c>
      <c r="Q293" s="34">
        <f>_xlfn.XLOOKUP(TablaSTOCKINV[[#This Row],[SKU]],TablaINVENTARIO[SKU],TablaINVENTARIO[PRECIO])</f>
        <v>0</v>
      </c>
      <c r="R293" s="34">
        <f>TablaSTOCKINV[[#This Row],[P.UNITARIO]]*TablaSTOCKINV[[#This Row],[CANT. TOTAL]]</f>
        <v>0</v>
      </c>
      <c r="S293" s="44">
        <f>_xlfn.XLOOKUP(TablaSTOCKINV[[#This Row],[SKU]],TablaINVENTARIO[SKU],TablaINVENTARIO[FECHA INGRESO])</f>
        <v>46023</v>
      </c>
      <c r="T293" s="44">
        <f>_xlfn.XLOOKUP(TablaSTOCKINV[[#This Row],[SKU]],TablaENTRADA[SKU],TablaENTRADA[FECHA],,0,-1)</f>
        <v>46023</v>
      </c>
      <c r="U293" s="46" t="str">
        <f>IFERROR((_xlfn.XLOOKUP(TablaSTOCKINV[[#This Row],[SKU]],TablaSALIDA[SKU],TablaSALIDA[FECHA],,0,-1))," " )</f>
        <v xml:space="preserve"> </v>
      </c>
    </row>
    <row r="294" spans="1:21" x14ac:dyDescent="0.3">
      <c r="A294" s="27" t="s">
        <v>1412</v>
      </c>
      <c r="B294" s="32" t="str">
        <f>_xlfn.XLOOKUP(TablaSTOCKINV[[#This Row],[SKU]],TablaINVENTARIO[SKU],TablaINVENTARIO[DESCRIPCION])</f>
        <v>MALETA RIGIDA NEGRA - PEQUEÑA</v>
      </c>
      <c r="C294" s="32" t="str">
        <f>_xlfn.XLOOKUP(TablaSTOCKINV[[#This Row],[SKU]],TablaINVENTARIO[SKU],TablaINVENTARIO[MARCA])</f>
        <v>N/A</v>
      </c>
      <c r="D294" s="33" t="str">
        <f>_xlfn.XLOOKUP(TablaSTOCKINV[[#This Row],[SKU]],TablaINVENTARIO[SKU],TablaINVENTARIO[CATEGORIA])</f>
        <v>HERRAMIENTAS_</v>
      </c>
      <c r="E294" s="33" t="str">
        <f>_xlfn.XLOOKUP(TablaSTOCKINV[[#This Row],[SKU]],TablaINVENTARIO[SKU],TablaINVENTARIO[SUBCATEGORIA])</f>
        <v xml:space="preserve">ALMACENAMIENTO </v>
      </c>
      <c r="F294" s="33" t="str">
        <f>_xlfn.XLOOKUP(TablaSTOCKINV[[#This Row],[SKU]],TablaINVENTARIO[SKU],TablaINVENTARIO[ESTADO])</f>
        <v>USADO</v>
      </c>
      <c r="G294" s="33" t="str">
        <f>_xlfn.XLOOKUP(TablaSTOCKINV[[#This Row],[SKU]],TablaINVENTARIO[SKU],TablaINVENTARIO[MEDIDA])</f>
        <v xml:space="preserve">UND </v>
      </c>
      <c r="H294" s="33" t="str">
        <f>_xlfn.XLOOKUP(TablaSTOCKINV[[#This Row],[SKU]],TablaINVENTARIO[SKU],TablaINVENTARIO[SERIAL])</f>
        <v>N/A</v>
      </c>
      <c r="I294" s="34" t="str">
        <f>_xlfn.XLOOKUP(TablaSTOCKINV[[#This Row],[SKU]],TablaINVENTARIO[SKU],TablaINVENTARIO[ALMACEN])</f>
        <v>ALMACEN PRINCIPAL</v>
      </c>
      <c r="J294" s="34" t="str">
        <f>_xlfn.XLOOKUP(TablaSTOCKINV[[#This Row],[SKU]],TablaINVENTARIO[SKU],TablaINVENTARIO[UBICACION])</f>
        <v xml:space="preserve">CUARTO DE ALMACENAMIENTO </v>
      </c>
      <c r="K294" s="34" t="str">
        <f>_xlfn.XLOOKUP(TablaSTOCKINV[[#This Row],[SKU]],TablaINVENTARIO[SKU],TablaINVENTARIO[DPTO RESPONSABLE])</f>
        <v>OPERACIONES</v>
      </c>
      <c r="L294" s="36">
        <f>_xlfn.XLOOKUP(TablaSTOCKINV[[#This Row],[SKU]],TablaINVENTARIO[SKU],TablaINVENTARIO[RANGO MIN])</f>
        <v>0</v>
      </c>
      <c r="M294" s="34" cm="1">
        <f t="array" ref="M294">_xlfn.IFS(TablaSTOCKINV[[#This Row],[CANT. TOTAL]]&lt;=0,1,TablaSTOCKINV[[#This Row],[CANT. TOTAL]]&lt;=TablaSTOCKINV[[#This Row],[MIN]],2,TablaSTOCKINV[[#This Row],[CANT. TOTAL]]&gt;TablaSTOCKINV[[#This Row],[MIN]],3)</f>
        <v>3</v>
      </c>
      <c r="N294" s="34">
        <f>TablaSTOCKINV[[#This Row],[ENTRADAS]]-TablaSTOCKINV[[#This Row],[SALIDAS]]</f>
        <v>1</v>
      </c>
      <c r="O294" s="35">
        <f>SUMIFS(TablaENTRADA[CANT],TablaENTRADA[SKU],TablaSTOCKINV[[#This Row],[SKU]])</f>
        <v>1</v>
      </c>
      <c r="P294" s="35">
        <f>SUMIFS(TablaSALIDA[CANT],TablaSALIDA[SKU],TablaSTOCKINV[[#This Row],[SKU]])</f>
        <v>0</v>
      </c>
      <c r="Q294" s="34">
        <f>_xlfn.XLOOKUP(TablaSTOCKINV[[#This Row],[SKU]],TablaINVENTARIO[SKU],TablaINVENTARIO[PRECIO])</f>
        <v>0</v>
      </c>
      <c r="R294" s="34">
        <f>TablaSTOCKINV[[#This Row],[P.UNITARIO]]*TablaSTOCKINV[[#This Row],[CANT. TOTAL]]</f>
        <v>0</v>
      </c>
      <c r="S294" s="44">
        <f>_xlfn.XLOOKUP(TablaSTOCKINV[[#This Row],[SKU]],TablaINVENTARIO[SKU],TablaINVENTARIO[FECHA INGRESO])</f>
        <v>46023</v>
      </c>
      <c r="T294" s="44">
        <f>_xlfn.XLOOKUP(TablaSTOCKINV[[#This Row],[SKU]],TablaENTRADA[SKU],TablaENTRADA[FECHA],,0,-1)</f>
        <v>46023</v>
      </c>
      <c r="U294" s="46" t="str">
        <f>IFERROR((_xlfn.XLOOKUP(TablaSTOCKINV[[#This Row],[SKU]],TablaSALIDA[SKU],TablaSALIDA[FECHA],,0,-1))," " )</f>
        <v xml:space="preserve"> </v>
      </c>
    </row>
    <row r="295" spans="1:21" x14ac:dyDescent="0.3">
      <c r="A295" s="27" t="s">
        <v>1414</v>
      </c>
      <c r="B295" s="32" t="str">
        <f>_xlfn.XLOOKUP(TablaSTOCKINV[[#This Row],[SKU]],TablaINVENTARIO[SKU],TablaINVENTARIO[DESCRIPCION])</f>
        <v xml:space="preserve">MALETA PLASTICA DE HERRAMIENTAS </v>
      </c>
      <c r="C295" s="32" t="str">
        <f>_xlfn.XLOOKUP(TablaSTOCKINV[[#This Row],[SKU]],TablaINVENTARIO[SKU],TablaINVENTARIO[MARCA])</f>
        <v xml:space="preserve">STANLEY </v>
      </c>
      <c r="D295" s="33" t="str">
        <f>_xlfn.XLOOKUP(TablaSTOCKINV[[#This Row],[SKU]],TablaINVENTARIO[SKU],TablaINVENTARIO[CATEGORIA])</f>
        <v>HERRAMIENTAS_</v>
      </c>
      <c r="E295" s="33" t="str">
        <f>_xlfn.XLOOKUP(TablaSTOCKINV[[#This Row],[SKU]],TablaINVENTARIO[SKU],TablaINVENTARIO[SUBCATEGORIA])</f>
        <v xml:space="preserve">ALMACENAMIENTO </v>
      </c>
      <c r="F295" s="33" t="str">
        <f>_xlfn.XLOOKUP(TablaSTOCKINV[[#This Row],[SKU]],TablaINVENTARIO[SKU],TablaINVENTARIO[ESTADO])</f>
        <v>NUEVO</v>
      </c>
      <c r="G295" s="33" t="str">
        <f>_xlfn.XLOOKUP(TablaSTOCKINV[[#This Row],[SKU]],TablaINVENTARIO[SKU],TablaINVENTARIO[MEDIDA])</f>
        <v xml:space="preserve">UND </v>
      </c>
      <c r="H295" s="33" t="str">
        <f>_xlfn.XLOOKUP(TablaSTOCKINV[[#This Row],[SKU]],TablaINVENTARIO[SKU],TablaINVENTARIO[SERIAL])</f>
        <v>N/A</v>
      </c>
      <c r="I295" s="34" t="str">
        <f>_xlfn.XLOOKUP(TablaSTOCKINV[[#This Row],[SKU]],TablaINVENTARIO[SKU],TablaINVENTARIO[ALMACEN])</f>
        <v>ALMACEN PRINCIPAL</v>
      </c>
      <c r="J295" s="34" t="str">
        <f>_xlfn.XLOOKUP(TablaSTOCKINV[[#This Row],[SKU]],TablaINVENTARIO[SKU],TablaINVENTARIO[UBICACION])</f>
        <v xml:space="preserve">CUARTO DE ALMACENAMIENTO </v>
      </c>
      <c r="K295" s="34" t="str">
        <f>_xlfn.XLOOKUP(TablaSTOCKINV[[#This Row],[SKU]],TablaINVENTARIO[SKU],TablaINVENTARIO[DPTO RESPONSABLE])</f>
        <v>OPERACIONES</v>
      </c>
      <c r="L295" s="36">
        <f>_xlfn.XLOOKUP(TablaSTOCKINV[[#This Row],[SKU]],TablaINVENTARIO[SKU],TablaINVENTARIO[RANGO MIN])</f>
        <v>0</v>
      </c>
      <c r="M295" s="34" cm="1">
        <f t="array" ref="M295">_xlfn.IFS(TablaSTOCKINV[[#This Row],[CANT. TOTAL]]&lt;=0,1,TablaSTOCKINV[[#This Row],[CANT. TOTAL]]&lt;=TablaSTOCKINV[[#This Row],[MIN]],2,TablaSTOCKINV[[#This Row],[CANT. TOTAL]]&gt;TablaSTOCKINV[[#This Row],[MIN]],3)</f>
        <v>3</v>
      </c>
      <c r="N295" s="34">
        <f>TablaSTOCKINV[[#This Row],[ENTRADAS]]-TablaSTOCKINV[[#This Row],[SALIDAS]]</f>
        <v>1</v>
      </c>
      <c r="O295" s="35">
        <f>SUMIFS(TablaENTRADA[CANT],TablaENTRADA[SKU],TablaSTOCKINV[[#This Row],[SKU]])</f>
        <v>1</v>
      </c>
      <c r="P295" s="35">
        <f>SUMIFS(TablaSALIDA[CANT],TablaSALIDA[SKU],TablaSTOCKINV[[#This Row],[SKU]])</f>
        <v>0</v>
      </c>
      <c r="Q295" s="34">
        <f>_xlfn.XLOOKUP(TablaSTOCKINV[[#This Row],[SKU]],TablaINVENTARIO[SKU],TablaINVENTARIO[PRECIO])</f>
        <v>0</v>
      </c>
      <c r="R295" s="34">
        <f>TablaSTOCKINV[[#This Row],[P.UNITARIO]]*TablaSTOCKINV[[#This Row],[CANT. TOTAL]]</f>
        <v>0</v>
      </c>
      <c r="S295" s="44">
        <f>_xlfn.XLOOKUP(TablaSTOCKINV[[#This Row],[SKU]],TablaINVENTARIO[SKU],TablaINVENTARIO[FECHA INGRESO])</f>
        <v>46023</v>
      </c>
      <c r="T295" s="44">
        <f>_xlfn.XLOOKUP(TablaSTOCKINV[[#This Row],[SKU]],TablaENTRADA[SKU],TablaENTRADA[FECHA],,0,-1)</f>
        <v>46023</v>
      </c>
      <c r="U295" s="46" t="str">
        <f>IFERROR((_xlfn.XLOOKUP(TablaSTOCKINV[[#This Row],[SKU]],TablaSALIDA[SKU],TablaSALIDA[FECHA],,0,-1))," " )</f>
        <v xml:space="preserve"> </v>
      </c>
    </row>
    <row r="296" spans="1:21" x14ac:dyDescent="0.3">
      <c r="A296" s="27" t="s">
        <v>1417</v>
      </c>
      <c r="B296" s="32" t="str">
        <f>_xlfn.XLOOKUP(TablaSTOCKINV[[#This Row],[SKU]],TablaINVENTARIO[SKU],TablaINVENTARIO[DESCRIPCION])</f>
        <v>DESTORNILLADOR DE PALA 1,2 X 6,5 X 150 D-68167</v>
      </c>
      <c r="C296" s="32" t="str">
        <f>_xlfn.XLOOKUP(TablaSTOCKINV[[#This Row],[SKU]],TablaINVENTARIO[SKU],TablaINVENTARIO[MARCA])</f>
        <v>WISENT</v>
      </c>
      <c r="D296" s="33" t="str">
        <f>_xlfn.XLOOKUP(TablaSTOCKINV[[#This Row],[SKU]],TablaINVENTARIO[SKU],TablaINVENTARIO[CATEGORIA])</f>
        <v>HERRAMIENTAS_</v>
      </c>
      <c r="E296" s="33" t="str">
        <f>_xlfn.XLOOKUP(TablaSTOCKINV[[#This Row],[SKU]],TablaINVENTARIO[SKU],TablaINVENTARIO[SUBCATEGORIA])</f>
        <v xml:space="preserve">HERRAMIENTA DE MANO </v>
      </c>
      <c r="F296" s="33" t="str">
        <f>_xlfn.XLOOKUP(TablaSTOCKINV[[#This Row],[SKU]],TablaINVENTARIO[SKU],TablaINVENTARIO[ESTADO])</f>
        <v>NUEVO</v>
      </c>
      <c r="G296" s="33" t="str">
        <f>_xlfn.XLOOKUP(TablaSTOCKINV[[#This Row],[SKU]],TablaINVENTARIO[SKU],TablaINVENTARIO[MEDIDA])</f>
        <v xml:space="preserve">UND </v>
      </c>
      <c r="H296" s="33" t="str">
        <f>_xlfn.XLOOKUP(TablaSTOCKINV[[#This Row],[SKU]],TablaINVENTARIO[SKU],TablaINVENTARIO[SERIAL])</f>
        <v>N/A</v>
      </c>
      <c r="I296" s="34" t="str">
        <f>_xlfn.XLOOKUP(TablaSTOCKINV[[#This Row],[SKU]],TablaINVENTARIO[SKU],TablaINVENTARIO[ALMACEN])</f>
        <v>ALMACEN PRINCIPAL</v>
      </c>
      <c r="J296" s="34" t="str">
        <f>_xlfn.XLOOKUP(TablaSTOCKINV[[#This Row],[SKU]],TablaINVENTARIO[SKU],TablaINVENTARIO[UBICACION])</f>
        <v xml:space="preserve">CUARTO DE ALMACENAMIENTO </v>
      </c>
      <c r="K296" s="34" t="str">
        <f>_xlfn.XLOOKUP(TablaSTOCKINV[[#This Row],[SKU]],TablaINVENTARIO[SKU],TablaINVENTARIO[DPTO RESPONSABLE])</f>
        <v>OPERACIONES</v>
      </c>
      <c r="L296" s="36">
        <f>_xlfn.XLOOKUP(TablaSTOCKINV[[#This Row],[SKU]],TablaINVENTARIO[SKU],TablaINVENTARIO[RANGO MIN])</f>
        <v>0</v>
      </c>
      <c r="M296" s="34" cm="1">
        <f t="array" ref="M296">_xlfn.IFS(TablaSTOCKINV[[#This Row],[CANT. TOTAL]]&lt;=0,1,TablaSTOCKINV[[#This Row],[CANT. TOTAL]]&lt;=TablaSTOCKINV[[#This Row],[MIN]],2,TablaSTOCKINV[[#This Row],[CANT. TOTAL]]&gt;TablaSTOCKINV[[#This Row],[MIN]],3)</f>
        <v>3</v>
      </c>
      <c r="N296" s="34">
        <f>TablaSTOCKINV[[#This Row],[ENTRADAS]]-TablaSTOCKINV[[#This Row],[SALIDAS]]</f>
        <v>1</v>
      </c>
      <c r="O296" s="35">
        <f>SUMIFS(TablaENTRADA[CANT],TablaENTRADA[SKU],TablaSTOCKINV[[#This Row],[SKU]])</f>
        <v>1</v>
      </c>
      <c r="P296" s="35">
        <f>SUMIFS(TablaSALIDA[CANT],TablaSALIDA[SKU],TablaSTOCKINV[[#This Row],[SKU]])</f>
        <v>0</v>
      </c>
      <c r="Q296" s="34">
        <f>_xlfn.XLOOKUP(TablaSTOCKINV[[#This Row],[SKU]],TablaINVENTARIO[SKU],TablaINVENTARIO[PRECIO])</f>
        <v>0</v>
      </c>
      <c r="R296" s="34">
        <f>TablaSTOCKINV[[#This Row],[P.UNITARIO]]*TablaSTOCKINV[[#This Row],[CANT. TOTAL]]</f>
        <v>0</v>
      </c>
      <c r="S296" s="44">
        <f>_xlfn.XLOOKUP(TablaSTOCKINV[[#This Row],[SKU]],TablaINVENTARIO[SKU],TablaINVENTARIO[FECHA INGRESO])</f>
        <v>46023</v>
      </c>
      <c r="T296" s="44">
        <f>_xlfn.XLOOKUP(TablaSTOCKINV[[#This Row],[SKU]],TablaENTRADA[SKU],TablaENTRADA[FECHA],,0,-1)</f>
        <v>46023</v>
      </c>
      <c r="U296" s="46" t="str">
        <f>IFERROR((_xlfn.XLOOKUP(TablaSTOCKINV[[#This Row],[SKU]],TablaSALIDA[SKU],TablaSALIDA[FECHA],,0,-1))," " )</f>
        <v xml:space="preserve"> </v>
      </c>
    </row>
    <row r="297" spans="1:21" x14ac:dyDescent="0.3">
      <c r="A297" s="27" t="s">
        <v>1420</v>
      </c>
      <c r="B297" s="32" t="str">
        <f>_xlfn.XLOOKUP(TablaSTOCKINV[[#This Row],[SKU]],TablaINVENTARIO[SKU],TablaINVENTARIO[DESCRIPCION])</f>
        <v>DESTORNILLADOR DE PALA 1,0 X 5,5 X 125 D-68167</v>
      </c>
      <c r="C297" s="32" t="str">
        <f>_xlfn.XLOOKUP(TablaSTOCKINV[[#This Row],[SKU]],TablaINVENTARIO[SKU],TablaINVENTARIO[MARCA])</f>
        <v>WISENT</v>
      </c>
      <c r="D297" s="33" t="str">
        <f>_xlfn.XLOOKUP(TablaSTOCKINV[[#This Row],[SKU]],TablaINVENTARIO[SKU],TablaINVENTARIO[CATEGORIA])</f>
        <v>HERRAMIENTAS_</v>
      </c>
      <c r="E297" s="33" t="str">
        <f>_xlfn.XLOOKUP(TablaSTOCKINV[[#This Row],[SKU]],TablaINVENTARIO[SKU],TablaINVENTARIO[SUBCATEGORIA])</f>
        <v xml:space="preserve">HERRAMIENTA DE MANO </v>
      </c>
      <c r="F297" s="33" t="str">
        <f>_xlfn.XLOOKUP(TablaSTOCKINV[[#This Row],[SKU]],TablaINVENTARIO[SKU],TablaINVENTARIO[ESTADO])</f>
        <v>NUEVO</v>
      </c>
      <c r="G297" s="33" t="str">
        <f>_xlfn.XLOOKUP(TablaSTOCKINV[[#This Row],[SKU]],TablaINVENTARIO[SKU],TablaINVENTARIO[MEDIDA])</f>
        <v xml:space="preserve">UND </v>
      </c>
      <c r="H297" s="33" t="str">
        <f>_xlfn.XLOOKUP(TablaSTOCKINV[[#This Row],[SKU]],TablaINVENTARIO[SKU],TablaINVENTARIO[SERIAL])</f>
        <v>N/A</v>
      </c>
      <c r="I297" s="34" t="str">
        <f>_xlfn.XLOOKUP(TablaSTOCKINV[[#This Row],[SKU]],TablaINVENTARIO[SKU],TablaINVENTARIO[ALMACEN])</f>
        <v>ALMACEN PRINCIPAL</v>
      </c>
      <c r="J297" s="34" t="str">
        <f>_xlfn.XLOOKUP(TablaSTOCKINV[[#This Row],[SKU]],TablaINVENTARIO[SKU],TablaINVENTARIO[UBICACION])</f>
        <v xml:space="preserve">CUARTO DE ALMACENAMIENTO </v>
      </c>
      <c r="K297" s="34" t="str">
        <f>_xlfn.XLOOKUP(TablaSTOCKINV[[#This Row],[SKU]],TablaINVENTARIO[SKU],TablaINVENTARIO[DPTO RESPONSABLE])</f>
        <v>OPERACIONES</v>
      </c>
      <c r="L297" s="36">
        <f>_xlfn.XLOOKUP(TablaSTOCKINV[[#This Row],[SKU]],TablaINVENTARIO[SKU],TablaINVENTARIO[RANGO MIN])</f>
        <v>0</v>
      </c>
      <c r="M297" s="34" cm="1">
        <f t="array" ref="M297">_xlfn.IFS(TablaSTOCKINV[[#This Row],[CANT. TOTAL]]&lt;=0,1,TablaSTOCKINV[[#This Row],[CANT. TOTAL]]&lt;=TablaSTOCKINV[[#This Row],[MIN]],2,TablaSTOCKINV[[#This Row],[CANT. TOTAL]]&gt;TablaSTOCKINV[[#This Row],[MIN]],3)</f>
        <v>3</v>
      </c>
      <c r="N297" s="34">
        <f>TablaSTOCKINV[[#This Row],[ENTRADAS]]-TablaSTOCKINV[[#This Row],[SALIDAS]]</f>
        <v>1</v>
      </c>
      <c r="O297" s="35">
        <f>SUMIFS(TablaENTRADA[CANT],TablaENTRADA[SKU],TablaSTOCKINV[[#This Row],[SKU]])</f>
        <v>1</v>
      </c>
      <c r="P297" s="35">
        <f>SUMIFS(TablaSALIDA[CANT],TablaSALIDA[SKU],TablaSTOCKINV[[#This Row],[SKU]])</f>
        <v>0</v>
      </c>
      <c r="Q297" s="34">
        <f>_xlfn.XLOOKUP(TablaSTOCKINV[[#This Row],[SKU]],TablaINVENTARIO[SKU],TablaINVENTARIO[PRECIO])</f>
        <v>0</v>
      </c>
      <c r="R297" s="34">
        <f>TablaSTOCKINV[[#This Row],[P.UNITARIO]]*TablaSTOCKINV[[#This Row],[CANT. TOTAL]]</f>
        <v>0</v>
      </c>
      <c r="S297" s="44">
        <f>_xlfn.XLOOKUP(TablaSTOCKINV[[#This Row],[SKU]],TablaINVENTARIO[SKU],TablaINVENTARIO[FECHA INGRESO])</f>
        <v>46023</v>
      </c>
      <c r="T297" s="44">
        <f>_xlfn.XLOOKUP(TablaSTOCKINV[[#This Row],[SKU]],TablaENTRADA[SKU],TablaENTRADA[FECHA],,0,-1)</f>
        <v>46023</v>
      </c>
      <c r="U297" s="46" t="str">
        <f>IFERROR((_xlfn.XLOOKUP(TablaSTOCKINV[[#This Row],[SKU]],TablaSALIDA[SKU],TablaSALIDA[FECHA],,0,-1))," " )</f>
        <v xml:space="preserve"> </v>
      </c>
    </row>
    <row r="298" spans="1:21" x14ac:dyDescent="0.3">
      <c r="A298" s="27" t="s">
        <v>1422</v>
      </c>
      <c r="B298" s="32" t="str">
        <f>_xlfn.XLOOKUP(TablaSTOCKINV[[#This Row],[SKU]],TablaINVENTARIO[SKU],TablaINVENTARIO[DESCRIPCION])</f>
        <v>DESTORNILLADOR DE PALA 0,8 X 4,0 X 100 D-68167</v>
      </c>
      <c r="C298" s="32" t="str">
        <f>_xlfn.XLOOKUP(TablaSTOCKINV[[#This Row],[SKU]],TablaINVENTARIO[SKU],TablaINVENTARIO[MARCA])</f>
        <v>WISENT</v>
      </c>
      <c r="D298" s="33" t="str">
        <f>_xlfn.XLOOKUP(TablaSTOCKINV[[#This Row],[SKU]],TablaINVENTARIO[SKU],TablaINVENTARIO[CATEGORIA])</f>
        <v>HERRAMIENTAS_</v>
      </c>
      <c r="E298" s="33" t="str">
        <f>_xlfn.XLOOKUP(TablaSTOCKINV[[#This Row],[SKU]],TablaINVENTARIO[SKU],TablaINVENTARIO[SUBCATEGORIA])</f>
        <v xml:space="preserve">HERRAMIENTA DE MANO </v>
      </c>
      <c r="F298" s="33" t="str">
        <f>_xlfn.XLOOKUP(TablaSTOCKINV[[#This Row],[SKU]],TablaINVENTARIO[SKU],TablaINVENTARIO[ESTADO])</f>
        <v>NUEVO</v>
      </c>
      <c r="G298" s="33" t="str">
        <f>_xlfn.XLOOKUP(TablaSTOCKINV[[#This Row],[SKU]],TablaINVENTARIO[SKU],TablaINVENTARIO[MEDIDA])</f>
        <v xml:space="preserve">UND </v>
      </c>
      <c r="H298" s="33" t="str">
        <f>_xlfn.XLOOKUP(TablaSTOCKINV[[#This Row],[SKU]],TablaINVENTARIO[SKU],TablaINVENTARIO[SERIAL])</f>
        <v>N/A</v>
      </c>
      <c r="I298" s="34" t="str">
        <f>_xlfn.XLOOKUP(TablaSTOCKINV[[#This Row],[SKU]],TablaINVENTARIO[SKU],TablaINVENTARIO[ALMACEN])</f>
        <v>ALMACEN PRINCIPAL</v>
      </c>
      <c r="J298" s="34" t="str">
        <f>_xlfn.XLOOKUP(TablaSTOCKINV[[#This Row],[SKU]],TablaINVENTARIO[SKU],TablaINVENTARIO[UBICACION])</f>
        <v xml:space="preserve">CUARTO DE ALMACENAMIENTO </v>
      </c>
      <c r="K298" s="34" t="str">
        <f>_xlfn.XLOOKUP(TablaSTOCKINV[[#This Row],[SKU]],TablaINVENTARIO[SKU],TablaINVENTARIO[DPTO RESPONSABLE])</f>
        <v>OPERACIONES</v>
      </c>
      <c r="L298" s="36">
        <f>_xlfn.XLOOKUP(TablaSTOCKINV[[#This Row],[SKU]],TablaINVENTARIO[SKU],TablaINVENTARIO[RANGO MIN])</f>
        <v>0</v>
      </c>
      <c r="M298" s="34" cm="1">
        <f t="array" ref="M298">_xlfn.IFS(TablaSTOCKINV[[#This Row],[CANT. TOTAL]]&lt;=0,1,TablaSTOCKINV[[#This Row],[CANT. TOTAL]]&lt;=TablaSTOCKINV[[#This Row],[MIN]],2,TablaSTOCKINV[[#This Row],[CANT. TOTAL]]&gt;TablaSTOCKINV[[#This Row],[MIN]],3)</f>
        <v>3</v>
      </c>
      <c r="N298" s="34">
        <f>TablaSTOCKINV[[#This Row],[ENTRADAS]]-TablaSTOCKINV[[#This Row],[SALIDAS]]</f>
        <v>1</v>
      </c>
      <c r="O298" s="35">
        <f>SUMIFS(TablaENTRADA[CANT],TablaENTRADA[SKU],TablaSTOCKINV[[#This Row],[SKU]])</f>
        <v>1</v>
      </c>
      <c r="P298" s="35">
        <f>SUMIFS(TablaSALIDA[CANT],TablaSALIDA[SKU],TablaSTOCKINV[[#This Row],[SKU]])</f>
        <v>0</v>
      </c>
      <c r="Q298" s="34">
        <f>_xlfn.XLOOKUP(TablaSTOCKINV[[#This Row],[SKU]],TablaINVENTARIO[SKU],TablaINVENTARIO[PRECIO])</f>
        <v>0</v>
      </c>
      <c r="R298" s="34">
        <f>TablaSTOCKINV[[#This Row],[P.UNITARIO]]*TablaSTOCKINV[[#This Row],[CANT. TOTAL]]</f>
        <v>0</v>
      </c>
      <c r="S298" s="44">
        <f>_xlfn.XLOOKUP(TablaSTOCKINV[[#This Row],[SKU]],TablaINVENTARIO[SKU],TablaINVENTARIO[FECHA INGRESO])</f>
        <v>46023</v>
      </c>
      <c r="T298" s="44">
        <f>_xlfn.XLOOKUP(TablaSTOCKINV[[#This Row],[SKU]],TablaENTRADA[SKU],TablaENTRADA[FECHA],,0,-1)</f>
        <v>46023</v>
      </c>
      <c r="U298" s="46" t="str">
        <f>IFERROR((_xlfn.XLOOKUP(TablaSTOCKINV[[#This Row],[SKU]],TablaSALIDA[SKU],TablaSALIDA[FECHA],,0,-1))," " )</f>
        <v xml:space="preserve"> </v>
      </c>
    </row>
    <row r="299" spans="1:21" x14ac:dyDescent="0.3">
      <c r="A299" s="27" t="s">
        <v>1424</v>
      </c>
      <c r="B299" s="32" t="str">
        <f>_xlfn.XLOOKUP(TablaSTOCKINV[[#This Row],[SKU]],TablaINVENTARIO[SKU],TablaINVENTARIO[DESCRIPCION])</f>
        <v>DESTORNILLADOR DE PALA 0,4 X 2,5 X 75 D-68167</v>
      </c>
      <c r="C299" s="32" t="str">
        <f>_xlfn.XLOOKUP(TablaSTOCKINV[[#This Row],[SKU]],TablaINVENTARIO[SKU],TablaINVENTARIO[MARCA])</f>
        <v>WISENT</v>
      </c>
      <c r="D299" s="33" t="str">
        <f>_xlfn.XLOOKUP(TablaSTOCKINV[[#This Row],[SKU]],TablaINVENTARIO[SKU],TablaINVENTARIO[CATEGORIA])</f>
        <v>HERRAMIENTAS_</v>
      </c>
      <c r="E299" s="33" t="str">
        <f>_xlfn.XLOOKUP(TablaSTOCKINV[[#This Row],[SKU]],TablaINVENTARIO[SKU],TablaINVENTARIO[SUBCATEGORIA])</f>
        <v xml:space="preserve">HERRAMIENTA DE MANO </v>
      </c>
      <c r="F299" s="33" t="str">
        <f>_xlfn.XLOOKUP(TablaSTOCKINV[[#This Row],[SKU]],TablaINVENTARIO[SKU],TablaINVENTARIO[ESTADO])</f>
        <v>NUEVO</v>
      </c>
      <c r="G299" s="33" t="str">
        <f>_xlfn.XLOOKUP(TablaSTOCKINV[[#This Row],[SKU]],TablaINVENTARIO[SKU],TablaINVENTARIO[MEDIDA])</f>
        <v xml:space="preserve">UND </v>
      </c>
      <c r="H299" s="33" t="str">
        <f>_xlfn.XLOOKUP(TablaSTOCKINV[[#This Row],[SKU]],TablaINVENTARIO[SKU],TablaINVENTARIO[SERIAL])</f>
        <v>N/A</v>
      </c>
      <c r="I299" s="34" t="str">
        <f>_xlfn.XLOOKUP(TablaSTOCKINV[[#This Row],[SKU]],TablaINVENTARIO[SKU],TablaINVENTARIO[ALMACEN])</f>
        <v>ALMACEN PRINCIPAL</v>
      </c>
      <c r="J299" s="34" t="str">
        <f>_xlfn.XLOOKUP(TablaSTOCKINV[[#This Row],[SKU]],TablaINVENTARIO[SKU],TablaINVENTARIO[UBICACION])</f>
        <v xml:space="preserve">CUARTO DE ALMACENAMIENTO </v>
      </c>
      <c r="K299" s="34" t="str">
        <f>_xlfn.XLOOKUP(TablaSTOCKINV[[#This Row],[SKU]],TablaINVENTARIO[SKU],TablaINVENTARIO[DPTO RESPONSABLE])</f>
        <v>OPERACIONES</v>
      </c>
      <c r="L299" s="36">
        <f>_xlfn.XLOOKUP(TablaSTOCKINV[[#This Row],[SKU]],TablaINVENTARIO[SKU],TablaINVENTARIO[RANGO MIN])</f>
        <v>0</v>
      </c>
      <c r="M299" s="34" cm="1">
        <f t="array" ref="M299">_xlfn.IFS(TablaSTOCKINV[[#This Row],[CANT. TOTAL]]&lt;=0,1,TablaSTOCKINV[[#This Row],[CANT. TOTAL]]&lt;=TablaSTOCKINV[[#This Row],[MIN]],2,TablaSTOCKINV[[#This Row],[CANT. TOTAL]]&gt;TablaSTOCKINV[[#This Row],[MIN]],3)</f>
        <v>3</v>
      </c>
      <c r="N299" s="34">
        <f>TablaSTOCKINV[[#This Row],[ENTRADAS]]-TablaSTOCKINV[[#This Row],[SALIDAS]]</f>
        <v>1</v>
      </c>
      <c r="O299" s="35">
        <f>SUMIFS(TablaENTRADA[CANT],TablaENTRADA[SKU],TablaSTOCKINV[[#This Row],[SKU]])</f>
        <v>1</v>
      </c>
      <c r="P299" s="35">
        <f>SUMIFS(TablaSALIDA[CANT],TablaSALIDA[SKU],TablaSTOCKINV[[#This Row],[SKU]])</f>
        <v>0</v>
      </c>
      <c r="Q299" s="34">
        <f>_xlfn.XLOOKUP(TablaSTOCKINV[[#This Row],[SKU]],TablaINVENTARIO[SKU],TablaINVENTARIO[PRECIO])</f>
        <v>0</v>
      </c>
      <c r="R299" s="34">
        <f>TablaSTOCKINV[[#This Row],[P.UNITARIO]]*TablaSTOCKINV[[#This Row],[CANT. TOTAL]]</f>
        <v>0</v>
      </c>
      <c r="S299" s="44">
        <f>_xlfn.XLOOKUP(TablaSTOCKINV[[#This Row],[SKU]],TablaINVENTARIO[SKU],TablaINVENTARIO[FECHA INGRESO])</f>
        <v>46023</v>
      </c>
      <c r="T299" s="44">
        <f>_xlfn.XLOOKUP(TablaSTOCKINV[[#This Row],[SKU]],TablaENTRADA[SKU],TablaENTRADA[FECHA],,0,-1)</f>
        <v>46023</v>
      </c>
      <c r="U299" s="46" t="str">
        <f>IFERROR((_xlfn.XLOOKUP(TablaSTOCKINV[[#This Row],[SKU]],TablaSALIDA[SKU],TablaSALIDA[FECHA],,0,-1))," " )</f>
        <v xml:space="preserve"> </v>
      </c>
    </row>
    <row r="300" spans="1:21" x14ac:dyDescent="0.3">
      <c r="A300" s="27" t="s">
        <v>1426</v>
      </c>
      <c r="B300" s="32" t="str">
        <f>_xlfn.XLOOKUP(TablaSTOCKINV[[#This Row],[SKU]],TablaINVENTARIO[SKU],TablaINVENTARIO[DESCRIPCION])</f>
        <v>DESTORNILLADOR DE ESTRIAS PH1 X 80 D-68167</v>
      </c>
      <c r="C300" s="32" t="str">
        <f>_xlfn.XLOOKUP(TablaSTOCKINV[[#This Row],[SKU]],TablaINVENTARIO[SKU],TablaINVENTARIO[MARCA])</f>
        <v>WISENT</v>
      </c>
      <c r="D300" s="33" t="str">
        <f>_xlfn.XLOOKUP(TablaSTOCKINV[[#This Row],[SKU]],TablaINVENTARIO[SKU],TablaINVENTARIO[CATEGORIA])</f>
        <v>HERRAMIENTAS_</v>
      </c>
      <c r="E300" s="33" t="str">
        <f>_xlfn.XLOOKUP(TablaSTOCKINV[[#This Row],[SKU]],TablaINVENTARIO[SKU],TablaINVENTARIO[SUBCATEGORIA])</f>
        <v xml:space="preserve">HERRAMIENTA DE MANO </v>
      </c>
      <c r="F300" s="33" t="str">
        <f>_xlfn.XLOOKUP(TablaSTOCKINV[[#This Row],[SKU]],TablaINVENTARIO[SKU],TablaINVENTARIO[ESTADO])</f>
        <v>NUEVO</v>
      </c>
      <c r="G300" s="33" t="str">
        <f>_xlfn.XLOOKUP(TablaSTOCKINV[[#This Row],[SKU]],TablaINVENTARIO[SKU],TablaINVENTARIO[MEDIDA])</f>
        <v xml:space="preserve">UND </v>
      </c>
      <c r="H300" s="33" t="str">
        <f>_xlfn.XLOOKUP(TablaSTOCKINV[[#This Row],[SKU]],TablaINVENTARIO[SKU],TablaINVENTARIO[SERIAL])</f>
        <v>N/A</v>
      </c>
      <c r="I300" s="34" t="str">
        <f>_xlfn.XLOOKUP(TablaSTOCKINV[[#This Row],[SKU]],TablaINVENTARIO[SKU],TablaINVENTARIO[ALMACEN])</f>
        <v>ALMACEN PRINCIPAL</v>
      </c>
      <c r="J300" s="34" t="str">
        <f>_xlfn.XLOOKUP(TablaSTOCKINV[[#This Row],[SKU]],TablaINVENTARIO[SKU],TablaINVENTARIO[UBICACION])</f>
        <v xml:space="preserve">CUARTO DE ALMACENAMIENTO </v>
      </c>
      <c r="K300" s="34" t="str">
        <f>_xlfn.XLOOKUP(TablaSTOCKINV[[#This Row],[SKU]],TablaINVENTARIO[SKU],TablaINVENTARIO[DPTO RESPONSABLE])</f>
        <v>OPERACIONES</v>
      </c>
      <c r="L300" s="36">
        <f>_xlfn.XLOOKUP(TablaSTOCKINV[[#This Row],[SKU]],TablaINVENTARIO[SKU],TablaINVENTARIO[RANGO MIN])</f>
        <v>0</v>
      </c>
      <c r="M300" s="34" cm="1">
        <f t="array" ref="M300">_xlfn.IFS(TablaSTOCKINV[[#This Row],[CANT. TOTAL]]&lt;=0,1,TablaSTOCKINV[[#This Row],[CANT. TOTAL]]&lt;=TablaSTOCKINV[[#This Row],[MIN]],2,TablaSTOCKINV[[#This Row],[CANT. TOTAL]]&gt;TablaSTOCKINV[[#This Row],[MIN]],3)</f>
        <v>3</v>
      </c>
      <c r="N300" s="34">
        <f>TablaSTOCKINV[[#This Row],[ENTRADAS]]-TablaSTOCKINV[[#This Row],[SALIDAS]]</f>
        <v>1</v>
      </c>
      <c r="O300" s="35">
        <f>SUMIFS(TablaENTRADA[CANT],TablaENTRADA[SKU],TablaSTOCKINV[[#This Row],[SKU]])</f>
        <v>1</v>
      </c>
      <c r="P300" s="35">
        <f>SUMIFS(TablaSALIDA[CANT],TablaSALIDA[SKU],TablaSTOCKINV[[#This Row],[SKU]])</f>
        <v>0</v>
      </c>
      <c r="Q300" s="34">
        <f>_xlfn.XLOOKUP(TablaSTOCKINV[[#This Row],[SKU]],TablaINVENTARIO[SKU],TablaINVENTARIO[PRECIO])</f>
        <v>0</v>
      </c>
      <c r="R300" s="34">
        <f>TablaSTOCKINV[[#This Row],[P.UNITARIO]]*TablaSTOCKINV[[#This Row],[CANT. TOTAL]]</f>
        <v>0</v>
      </c>
      <c r="S300" s="44">
        <f>_xlfn.XLOOKUP(TablaSTOCKINV[[#This Row],[SKU]],TablaINVENTARIO[SKU],TablaINVENTARIO[FECHA INGRESO])</f>
        <v>46023</v>
      </c>
      <c r="T300" s="44">
        <f>_xlfn.XLOOKUP(TablaSTOCKINV[[#This Row],[SKU]],TablaENTRADA[SKU],TablaENTRADA[FECHA],,0,-1)</f>
        <v>46023</v>
      </c>
      <c r="U300" s="46" t="str">
        <f>IFERROR((_xlfn.XLOOKUP(TablaSTOCKINV[[#This Row],[SKU]],TablaSALIDA[SKU],TablaSALIDA[FECHA],,0,-1))," " )</f>
        <v xml:space="preserve"> </v>
      </c>
    </row>
    <row r="301" spans="1:21" x14ac:dyDescent="0.3">
      <c r="A301" s="27" t="s">
        <v>1428</v>
      </c>
      <c r="B301" s="32" t="str">
        <f>_xlfn.XLOOKUP(TablaSTOCKINV[[#This Row],[SKU]],TablaINVENTARIO[SKU],TablaINVENTARIO[DESCRIPCION])</f>
        <v>DESTORNILLADOR DE ESTRIAS PH2 X 100 D-68167</v>
      </c>
      <c r="C301" s="32" t="str">
        <f>_xlfn.XLOOKUP(TablaSTOCKINV[[#This Row],[SKU]],TablaINVENTARIO[SKU],TablaINVENTARIO[MARCA])</f>
        <v>WISENT</v>
      </c>
      <c r="D301" s="33" t="str">
        <f>_xlfn.XLOOKUP(TablaSTOCKINV[[#This Row],[SKU]],TablaINVENTARIO[SKU],TablaINVENTARIO[CATEGORIA])</f>
        <v>HERRAMIENTAS_</v>
      </c>
      <c r="E301" s="33" t="str">
        <f>_xlfn.XLOOKUP(TablaSTOCKINV[[#This Row],[SKU]],TablaINVENTARIO[SKU],TablaINVENTARIO[SUBCATEGORIA])</f>
        <v xml:space="preserve">HERRAMIENTA DE MANO </v>
      </c>
      <c r="F301" s="33" t="str">
        <f>_xlfn.XLOOKUP(TablaSTOCKINV[[#This Row],[SKU]],TablaINVENTARIO[SKU],TablaINVENTARIO[ESTADO])</f>
        <v>NUEVO</v>
      </c>
      <c r="G301" s="33" t="str">
        <f>_xlfn.XLOOKUP(TablaSTOCKINV[[#This Row],[SKU]],TablaINVENTARIO[SKU],TablaINVENTARIO[MEDIDA])</f>
        <v xml:space="preserve">UND </v>
      </c>
      <c r="H301" s="33" t="str">
        <f>_xlfn.XLOOKUP(TablaSTOCKINV[[#This Row],[SKU]],TablaINVENTARIO[SKU],TablaINVENTARIO[SERIAL])</f>
        <v>N/A</v>
      </c>
      <c r="I301" s="34" t="str">
        <f>_xlfn.XLOOKUP(TablaSTOCKINV[[#This Row],[SKU]],TablaINVENTARIO[SKU],TablaINVENTARIO[ALMACEN])</f>
        <v>ALMACEN PRINCIPAL</v>
      </c>
      <c r="J301" s="34" t="str">
        <f>_xlfn.XLOOKUP(TablaSTOCKINV[[#This Row],[SKU]],TablaINVENTARIO[SKU],TablaINVENTARIO[UBICACION])</f>
        <v xml:space="preserve">CUARTO DE ALMACENAMIENTO </v>
      </c>
      <c r="K301" s="34" t="str">
        <f>_xlfn.XLOOKUP(TablaSTOCKINV[[#This Row],[SKU]],TablaINVENTARIO[SKU],TablaINVENTARIO[DPTO RESPONSABLE])</f>
        <v>OPERACIONES</v>
      </c>
      <c r="L301" s="36">
        <f>_xlfn.XLOOKUP(TablaSTOCKINV[[#This Row],[SKU]],TablaINVENTARIO[SKU],TablaINVENTARIO[RANGO MIN])</f>
        <v>0</v>
      </c>
      <c r="M301" s="34" cm="1">
        <f t="array" ref="M301">_xlfn.IFS(TablaSTOCKINV[[#This Row],[CANT. TOTAL]]&lt;=0,1,TablaSTOCKINV[[#This Row],[CANT. TOTAL]]&lt;=TablaSTOCKINV[[#This Row],[MIN]],2,TablaSTOCKINV[[#This Row],[CANT. TOTAL]]&gt;TablaSTOCKINV[[#This Row],[MIN]],3)</f>
        <v>3</v>
      </c>
      <c r="N301" s="34">
        <f>TablaSTOCKINV[[#This Row],[ENTRADAS]]-TablaSTOCKINV[[#This Row],[SALIDAS]]</f>
        <v>1</v>
      </c>
      <c r="O301" s="35">
        <f>SUMIFS(TablaENTRADA[CANT],TablaENTRADA[SKU],TablaSTOCKINV[[#This Row],[SKU]])</f>
        <v>1</v>
      </c>
      <c r="P301" s="35">
        <f>SUMIFS(TablaSALIDA[CANT],TablaSALIDA[SKU],TablaSTOCKINV[[#This Row],[SKU]])</f>
        <v>0</v>
      </c>
      <c r="Q301" s="34">
        <f>_xlfn.XLOOKUP(TablaSTOCKINV[[#This Row],[SKU]],TablaINVENTARIO[SKU],TablaINVENTARIO[PRECIO])</f>
        <v>0</v>
      </c>
      <c r="R301" s="34">
        <f>TablaSTOCKINV[[#This Row],[P.UNITARIO]]*TablaSTOCKINV[[#This Row],[CANT. TOTAL]]</f>
        <v>0</v>
      </c>
      <c r="S301" s="44">
        <f>_xlfn.XLOOKUP(TablaSTOCKINV[[#This Row],[SKU]],TablaINVENTARIO[SKU],TablaINVENTARIO[FECHA INGRESO])</f>
        <v>46023</v>
      </c>
      <c r="T301" s="44">
        <f>_xlfn.XLOOKUP(TablaSTOCKINV[[#This Row],[SKU]],TablaENTRADA[SKU],TablaENTRADA[FECHA],,0,-1)</f>
        <v>46023</v>
      </c>
      <c r="U301" s="46" t="str">
        <f>IFERROR((_xlfn.XLOOKUP(TablaSTOCKINV[[#This Row],[SKU]],TablaSALIDA[SKU],TablaSALIDA[FECHA],,0,-1))," " )</f>
        <v xml:space="preserve"> </v>
      </c>
    </row>
    <row r="302" spans="1:21" x14ac:dyDescent="0.3">
      <c r="A302" s="27" t="s">
        <v>1430</v>
      </c>
      <c r="B302" s="32" t="str">
        <f>_xlfn.XLOOKUP(TablaSTOCKINV[[#This Row],[SKU]],TablaINVENTARIO[SKU],TablaINVENTARIO[DESCRIPCION])</f>
        <v xml:space="preserve">PROBADOR DE ELECTRICIDAD 220-250 </v>
      </c>
      <c r="C302" s="32" t="str">
        <f>_xlfn.XLOOKUP(TablaSTOCKINV[[#This Row],[SKU]],TablaINVENTARIO[SKU],TablaINVENTARIO[MARCA])</f>
        <v>KRAFTGRIP</v>
      </c>
      <c r="D302" s="33" t="str">
        <f>_xlfn.XLOOKUP(TablaSTOCKINV[[#This Row],[SKU]],TablaINVENTARIO[SKU],TablaINVENTARIO[CATEGORIA])</f>
        <v>HERRAMIENTAS_</v>
      </c>
      <c r="E302" s="33" t="str">
        <f>_xlfn.XLOOKUP(TablaSTOCKINV[[#This Row],[SKU]],TablaINVENTARIO[SKU],TablaINVENTARIO[SUBCATEGORIA])</f>
        <v xml:space="preserve">HERRAMIENTA DE MANO </v>
      </c>
      <c r="F302" s="33" t="str">
        <f>_xlfn.XLOOKUP(TablaSTOCKINV[[#This Row],[SKU]],TablaINVENTARIO[SKU],TablaINVENTARIO[ESTADO])</f>
        <v>NUEVO</v>
      </c>
      <c r="G302" s="33" t="str">
        <f>_xlfn.XLOOKUP(TablaSTOCKINV[[#This Row],[SKU]],TablaINVENTARIO[SKU],TablaINVENTARIO[MEDIDA])</f>
        <v xml:space="preserve">UND </v>
      </c>
      <c r="H302" s="33" t="str">
        <f>_xlfn.XLOOKUP(TablaSTOCKINV[[#This Row],[SKU]],TablaINVENTARIO[SKU],TablaINVENTARIO[SERIAL])</f>
        <v>N/A</v>
      </c>
      <c r="I302" s="34" t="str">
        <f>_xlfn.XLOOKUP(TablaSTOCKINV[[#This Row],[SKU]],TablaINVENTARIO[SKU],TablaINVENTARIO[ALMACEN])</f>
        <v>ALMACEN PRINCIPAL</v>
      </c>
      <c r="J302" s="34" t="str">
        <f>_xlfn.XLOOKUP(TablaSTOCKINV[[#This Row],[SKU]],TablaINVENTARIO[SKU],TablaINVENTARIO[UBICACION])</f>
        <v xml:space="preserve">CUARTO DE ALMACENAMIENTO </v>
      </c>
      <c r="K302" s="34" t="str">
        <f>_xlfn.XLOOKUP(TablaSTOCKINV[[#This Row],[SKU]],TablaINVENTARIO[SKU],TablaINVENTARIO[DPTO RESPONSABLE])</f>
        <v>OPERACIONES</v>
      </c>
      <c r="L302" s="36">
        <f>_xlfn.XLOOKUP(TablaSTOCKINV[[#This Row],[SKU]],TablaINVENTARIO[SKU],TablaINVENTARIO[RANGO MIN])</f>
        <v>0</v>
      </c>
      <c r="M302" s="34" cm="1">
        <f t="array" ref="M302">_xlfn.IFS(TablaSTOCKINV[[#This Row],[CANT. TOTAL]]&lt;=0,1,TablaSTOCKINV[[#This Row],[CANT. TOTAL]]&lt;=TablaSTOCKINV[[#This Row],[MIN]],2,TablaSTOCKINV[[#This Row],[CANT. TOTAL]]&gt;TablaSTOCKINV[[#This Row],[MIN]],3)</f>
        <v>3</v>
      </c>
      <c r="N302" s="34">
        <f>TablaSTOCKINV[[#This Row],[ENTRADAS]]-TablaSTOCKINV[[#This Row],[SALIDAS]]</f>
        <v>1</v>
      </c>
      <c r="O302" s="35">
        <f>SUMIFS(TablaENTRADA[CANT],TablaENTRADA[SKU],TablaSTOCKINV[[#This Row],[SKU]])</f>
        <v>1</v>
      </c>
      <c r="P302" s="35">
        <f>SUMIFS(TablaSALIDA[CANT],TablaSALIDA[SKU],TablaSTOCKINV[[#This Row],[SKU]])</f>
        <v>0</v>
      </c>
      <c r="Q302" s="34">
        <f>_xlfn.XLOOKUP(TablaSTOCKINV[[#This Row],[SKU]],TablaINVENTARIO[SKU],TablaINVENTARIO[PRECIO])</f>
        <v>0</v>
      </c>
      <c r="R302" s="34">
        <f>TablaSTOCKINV[[#This Row],[P.UNITARIO]]*TablaSTOCKINV[[#This Row],[CANT. TOTAL]]</f>
        <v>0</v>
      </c>
      <c r="S302" s="44">
        <f>_xlfn.XLOOKUP(TablaSTOCKINV[[#This Row],[SKU]],TablaINVENTARIO[SKU],TablaINVENTARIO[FECHA INGRESO])</f>
        <v>46023</v>
      </c>
      <c r="T302" s="44">
        <f>_xlfn.XLOOKUP(TablaSTOCKINV[[#This Row],[SKU]],TablaENTRADA[SKU],TablaENTRADA[FECHA],,0,-1)</f>
        <v>46023</v>
      </c>
      <c r="U302" s="46" t="str">
        <f>IFERROR((_xlfn.XLOOKUP(TablaSTOCKINV[[#This Row],[SKU]],TablaSALIDA[SKU],TablaSALIDA[FECHA],,0,-1))," " )</f>
        <v xml:space="preserve"> </v>
      </c>
    </row>
    <row r="303" spans="1:21" x14ac:dyDescent="0.3">
      <c r="A303" s="27" t="s">
        <v>1433</v>
      </c>
      <c r="B303" s="32" t="str">
        <f>_xlfn.XLOOKUP(TablaSTOCKINV[[#This Row],[SKU]],TablaINVENTARIO[SKU],TablaINVENTARIO[DESCRIPCION])</f>
        <v>PERSIANA MANIFLEX PVC 1" 120CM X 150CM</v>
      </c>
      <c r="C303" s="32" t="str">
        <f>_xlfn.XLOOKUP(TablaSTOCKINV[[#This Row],[SKU]],TablaINVENTARIO[SKU],TablaINVENTARIO[MARCA])</f>
        <v>ELEGANCE</v>
      </c>
      <c r="D303" s="33" t="str">
        <f>_xlfn.XLOOKUP(TablaSTOCKINV[[#This Row],[SKU]],TablaINVENTARIO[SKU],TablaINVENTARIO[CATEGORIA])</f>
        <v>HERRAMIENTAS_</v>
      </c>
      <c r="E303" s="33" t="str">
        <f>_xlfn.XLOOKUP(TablaSTOCKINV[[#This Row],[SKU]],TablaINVENTARIO[SKU],TablaINVENTARIO[SUBCATEGORIA])</f>
        <v xml:space="preserve">MATERIAL PVC </v>
      </c>
      <c r="F303" s="33" t="str">
        <f>_xlfn.XLOOKUP(TablaSTOCKINV[[#This Row],[SKU]],TablaINVENTARIO[SKU],TablaINVENTARIO[ESTADO])</f>
        <v>NUEVO</v>
      </c>
      <c r="G303" s="33" t="str">
        <f>_xlfn.XLOOKUP(TablaSTOCKINV[[#This Row],[SKU]],TablaINVENTARIO[SKU],TablaINVENTARIO[MEDIDA])</f>
        <v xml:space="preserve">UND </v>
      </c>
      <c r="H303" s="33" t="str">
        <f>_xlfn.XLOOKUP(TablaSTOCKINV[[#This Row],[SKU]],TablaINVENTARIO[SKU],TablaINVENTARIO[SERIAL])</f>
        <v>N/A</v>
      </c>
      <c r="I303" s="34" t="str">
        <f>_xlfn.XLOOKUP(TablaSTOCKINV[[#This Row],[SKU]],TablaINVENTARIO[SKU],TablaINVENTARIO[ALMACEN])</f>
        <v>ALMACEN PRINCIPAL</v>
      </c>
      <c r="J303" s="34" t="str">
        <f>_xlfn.XLOOKUP(TablaSTOCKINV[[#This Row],[SKU]],TablaINVENTARIO[SKU],TablaINVENTARIO[UBICACION])</f>
        <v xml:space="preserve">CUARTO DE ALMACENAMIENTO </v>
      </c>
      <c r="K303" s="34" t="str">
        <f>_xlfn.XLOOKUP(TablaSTOCKINV[[#This Row],[SKU]],TablaINVENTARIO[SKU],TablaINVENTARIO[DPTO RESPONSABLE])</f>
        <v xml:space="preserve">CONSUMO GENERAL </v>
      </c>
      <c r="L303" s="36">
        <f>_xlfn.XLOOKUP(TablaSTOCKINV[[#This Row],[SKU]],TablaINVENTARIO[SKU],TablaINVENTARIO[RANGO MIN])</f>
        <v>0</v>
      </c>
      <c r="M303" s="34" cm="1">
        <f t="array" ref="M303">_xlfn.IFS(TablaSTOCKINV[[#This Row],[CANT. TOTAL]]&lt;=0,1,TablaSTOCKINV[[#This Row],[CANT. TOTAL]]&lt;=TablaSTOCKINV[[#This Row],[MIN]],2,TablaSTOCKINV[[#This Row],[CANT. TOTAL]]&gt;TablaSTOCKINV[[#This Row],[MIN]],3)</f>
        <v>3</v>
      </c>
      <c r="N303" s="34">
        <f>TablaSTOCKINV[[#This Row],[ENTRADAS]]-TablaSTOCKINV[[#This Row],[SALIDAS]]</f>
        <v>2</v>
      </c>
      <c r="O303" s="35">
        <f>SUMIFS(TablaENTRADA[CANT],TablaENTRADA[SKU],TablaSTOCKINV[[#This Row],[SKU]])</f>
        <v>2</v>
      </c>
      <c r="P303" s="35">
        <f>SUMIFS(TablaSALIDA[CANT],TablaSALIDA[SKU],TablaSTOCKINV[[#This Row],[SKU]])</f>
        <v>0</v>
      </c>
      <c r="Q303" s="34">
        <f>_xlfn.XLOOKUP(TablaSTOCKINV[[#This Row],[SKU]],TablaINVENTARIO[SKU],TablaINVENTARIO[PRECIO])</f>
        <v>0</v>
      </c>
      <c r="R303" s="34">
        <f>TablaSTOCKINV[[#This Row],[P.UNITARIO]]*TablaSTOCKINV[[#This Row],[CANT. TOTAL]]</f>
        <v>0</v>
      </c>
      <c r="S303" s="44">
        <f>_xlfn.XLOOKUP(TablaSTOCKINV[[#This Row],[SKU]],TablaINVENTARIO[SKU],TablaINVENTARIO[FECHA INGRESO])</f>
        <v>46023</v>
      </c>
      <c r="T303" s="44">
        <f>_xlfn.XLOOKUP(TablaSTOCKINV[[#This Row],[SKU]],TablaENTRADA[SKU],TablaENTRADA[FECHA],,0,-1)</f>
        <v>46023</v>
      </c>
      <c r="U303" s="46" t="str">
        <f>IFERROR((_xlfn.XLOOKUP(TablaSTOCKINV[[#This Row],[SKU]],TablaSALIDA[SKU],TablaSALIDA[FECHA],,0,-1))," " )</f>
        <v xml:space="preserve"> </v>
      </c>
    </row>
    <row r="304" spans="1:21" x14ac:dyDescent="0.3">
      <c r="A304" s="27" t="s">
        <v>1437</v>
      </c>
      <c r="B304" s="32" t="str">
        <f>_xlfn.XLOOKUP(TablaSTOCKINV[[#This Row],[SKU]],TablaINVENTARIO[SKU],TablaINVENTARIO[DESCRIPCION])</f>
        <v xml:space="preserve">RETEN DE RODILLO </v>
      </c>
      <c r="C304" s="32" t="str">
        <f>_xlfn.XLOOKUP(TablaSTOCKINV[[#This Row],[SKU]],TablaINVENTARIO[SKU],TablaINVENTARIO[MARCA])</f>
        <v>N/A</v>
      </c>
      <c r="D304" s="33" t="str">
        <f>_xlfn.XLOOKUP(TablaSTOCKINV[[#This Row],[SKU]],TablaINVENTARIO[SKU],TablaINVENTARIO[CATEGORIA])</f>
        <v>HERRAMIENTAS_</v>
      </c>
      <c r="E304" s="33" t="str">
        <f>_xlfn.XLOOKUP(TablaSTOCKINV[[#This Row],[SKU]],TablaINVENTARIO[SKU],TablaINVENTARIO[SUBCATEGORIA])</f>
        <v xml:space="preserve">MATERIAL DE CONSTRUCCIÓN </v>
      </c>
      <c r="F304" s="33" t="str">
        <f>_xlfn.XLOOKUP(TablaSTOCKINV[[#This Row],[SKU]],TablaINVENTARIO[SKU],TablaINVENTARIO[ESTADO])</f>
        <v xml:space="preserve">NUEVO </v>
      </c>
      <c r="G304" s="33" t="str">
        <f>_xlfn.XLOOKUP(TablaSTOCKINV[[#This Row],[SKU]],TablaINVENTARIO[SKU],TablaINVENTARIO[MEDIDA])</f>
        <v>UND</v>
      </c>
      <c r="H304" s="33" t="str">
        <f>_xlfn.XLOOKUP(TablaSTOCKINV[[#This Row],[SKU]],TablaINVENTARIO[SKU],TablaINVENTARIO[SERIAL])</f>
        <v>N/A</v>
      </c>
      <c r="I304" s="34" t="str">
        <f>_xlfn.XLOOKUP(TablaSTOCKINV[[#This Row],[SKU]],TablaINVENTARIO[SKU],TablaINVENTARIO[ALMACEN])</f>
        <v>ALMACEN PRINCIPAL</v>
      </c>
      <c r="J304" s="34" t="str">
        <f>_xlfn.XLOOKUP(TablaSTOCKINV[[#This Row],[SKU]],TablaINVENTARIO[SKU],TablaINVENTARIO[UBICACION])</f>
        <v>J3-1</v>
      </c>
      <c r="K304" s="34" t="str">
        <f>_xlfn.XLOOKUP(TablaSTOCKINV[[#This Row],[SKU]],TablaINVENTARIO[SKU],TablaINVENTARIO[DPTO RESPONSABLE])</f>
        <v>OPERACIONES / MANTENIMIENTO</v>
      </c>
      <c r="L304" s="36">
        <f>_xlfn.XLOOKUP(TablaSTOCKINV[[#This Row],[SKU]],TablaINVENTARIO[SKU],TablaINVENTARIO[RANGO MIN])</f>
        <v>0</v>
      </c>
      <c r="M304" s="34" cm="1">
        <f t="array" ref="M304">_xlfn.IFS(TablaSTOCKINV[[#This Row],[CANT. TOTAL]]&lt;=0,1,TablaSTOCKINV[[#This Row],[CANT. TOTAL]]&lt;=TablaSTOCKINV[[#This Row],[MIN]],2,TablaSTOCKINV[[#This Row],[CANT. TOTAL]]&gt;TablaSTOCKINV[[#This Row],[MIN]],3)</f>
        <v>3</v>
      </c>
      <c r="N304" s="34">
        <f>TablaSTOCKINV[[#This Row],[ENTRADAS]]-TablaSTOCKINV[[#This Row],[SALIDAS]]</f>
        <v>8</v>
      </c>
      <c r="O304" s="35">
        <f>SUMIFS(TablaENTRADA[CANT],TablaENTRADA[SKU],TablaSTOCKINV[[#This Row],[SKU]])</f>
        <v>8</v>
      </c>
      <c r="P304" s="35">
        <f>SUMIFS(TablaSALIDA[CANT],TablaSALIDA[SKU],TablaSTOCKINV[[#This Row],[SKU]])</f>
        <v>0</v>
      </c>
      <c r="Q304" s="34">
        <f>_xlfn.XLOOKUP(TablaSTOCKINV[[#This Row],[SKU]],TablaINVENTARIO[SKU],TablaINVENTARIO[PRECIO])</f>
        <v>0</v>
      </c>
      <c r="R304" s="34">
        <f>TablaSTOCKINV[[#This Row],[P.UNITARIO]]*TablaSTOCKINV[[#This Row],[CANT. TOTAL]]</f>
        <v>0</v>
      </c>
      <c r="S304" s="44">
        <f>_xlfn.XLOOKUP(TablaSTOCKINV[[#This Row],[SKU]],TablaINVENTARIO[SKU],TablaINVENTARIO[FECHA INGRESO])</f>
        <v>46023</v>
      </c>
      <c r="T304" s="44">
        <f>_xlfn.XLOOKUP(TablaSTOCKINV[[#This Row],[SKU]],TablaENTRADA[SKU],TablaENTRADA[FECHA],,0,-1)</f>
        <v>46023</v>
      </c>
      <c r="U304" s="46" t="str">
        <f>IFERROR((_xlfn.XLOOKUP(TablaSTOCKINV[[#This Row],[SKU]],TablaSALIDA[SKU],TablaSALIDA[FECHA],,0,-1))," " )</f>
        <v xml:space="preserve"> </v>
      </c>
    </row>
    <row r="305" spans="1:21" x14ac:dyDescent="0.3">
      <c r="A305" s="27" t="s">
        <v>1439</v>
      </c>
      <c r="B305" s="32" t="str">
        <f>_xlfn.XLOOKUP(TablaSTOCKINV[[#This Row],[SKU]],TablaINVENTARIO[SKU],TablaINVENTARIO[DESCRIPCION])</f>
        <v xml:space="preserve">SEPARADOR PARA VIDRIO DE ACERO INOXIDABLE </v>
      </c>
      <c r="C305" s="32" t="str">
        <f>_xlfn.XLOOKUP(TablaSTOCKINV[[#This Row],[SKU]],TablaINVENTARIO[SKU],TablaINVENTARIO[MARCA])</f>
        <v>N/A</v>
      </c>
      <c r="D305" s="33" t="str">
        <f>_xlfn.XLOOKUP(TablaSTOCKINV[[#This Row],[SKU]],TablaINVENTARIO[SKU],TablaINVENTARIO[CATEGORIA])</f>
        <v>HERRAMIENTAS_</v>
      </c>
      <c r="E305" s="33" t="str">
        <f>_xlfn.XLOOKUP(TablaSTOCKINV[[#This Row],[SKU]],TablaINVENTARIO[SKU],TablaINVENTARIO[SUBCATEGORIA])</f>
        <v xml:space="preserve">MATERIAL DE CONSTRUCCIÓN </v>
      </c>
      <c r="F305" s="33" t="str">
        <f>_xlfn.XLOOKUP(TablaSTOCKINV[[#This Row],[SKU]],TablaINVENTARIO[SKU],TablaINVENTARIO[ESTADO])</f>
        <v xml:space="preserve">NUEVO </v>
      </c>
      <c r="G305" s="33" t="str">
        <f>_xlfn.XLOOKUP(TablaSTOCKINV[[#This Row],[SKU]],TablaINVENTARIO[SKU],TablaINVENTARIO[MEDIDA])</f>
        <v>UND</v>
      </c>
      <c r="H305" s="33" t="str">
        <f>_xlfn.XLOOKUP(TablaSTOCKINV[[#This Row],[SKU]],TablaINVENTARIO[SKU],TablaINVENTARIO[SERIAL])</f>
        <v>N/A</v>
      </c>
      <c r="I305" s="34" t="str">
        <f>_xlfn.XLOOKUP(TablaSTOCKINV[[#This Row],[SKU]],TablaINVENTARIO[SKU],TablaINVENTARIO[ALMACEN])</f>
        <v>ALMACEN PRINCIPAL</v>
      </c>
      <c r="J305" s="34" t="str">
        <f>_xlfn.XLOOKUP(TablaSTOCKINV[[#This Row],[SKU]],TablaINVENTARIO[SKU],TablaINVENTARIO[UBICACION])</f>
        <v>J3-1</v>
      </c>
      <c r="K305" s="34" t="str">
        <f>_xlfn.XLOOKUP(TablaSTOCKINV[[#This Row],[SKU]],TablaINVENTARIO[SKU],TablaINVENTARIO[DPTO RESPONSABLE])</f>
        <v>OPERACIONES / MANTENIMIENTO</v>
      </c>
      <c r="L305" s="36">
        <f>_xlfn.XLOOKUP(TablaSTOCKINV[[#This Row],[SKU]],TablaINVENTARIO[SKU],TablaINVENTARIO[RANGO MIN])</f>
        <v>0</v>
      </c>
      <c r="M305" s="34" cm="1">
        <f t="array" ref="M305">_xlfn.IFS(TablaSTOCKINV[[#This Row],[CANT. TOTAL]]&lt;=0,1,TablaSTOCKINV[[#This Row],[CANT. TOTAL]]&lt;=TablaSTOCKINV[[#This Row],[MIN]],2,TablaSTOCKINV[[#This Row],[CANT. TOTAL]]&gt;TablaSTOCKINV[[#This Row],[MIN]],3)</f>
        <v>3</v>
      </c>
      <c r="N305" s="34">
        <f>TablaSTOCKINV[[#This Row],[ENTRADAS]]-TablaSTOCKINV[[#This Row],[SALIDAS]]</f>
        <v>15</v>
      </c>
      <c r="O305" s="35">
        <f>SUMIFS(TablaENTRADA[CANT],TablaENTRADA[SKU],TablaSTOCKINV[[#This Row],[SKU]])</f>
        <v>15</v>
      </c>
      <c r="P305" s="35">
        <f>SUMIFS(TablaSALIDA[CANT],TablaSALIDA[SKU],TablaSTOCKINV[[#This Row],[SKU]])</f>
        <v>0</v>
      </c>
      <c r="Q305" s="34">
        <f>_xlfn.XLOOKUP(TablaSTOCKINV[[#This Row],[SKU]],TablaINVENTARIO[SKU],TablaINVENTARIO[PRECIO])</f>
        <v>0</v>
      </c>
      <c r="R305" s="34">
        <f>TablaSTOCKINV[[#This Row],[P.UNITARIO]]*TablaSTOCKINV[[#This Row],[CANT. TOTAL]]</f>
        <v>0</v>
      </c>
      <c r="S305" s="44">
        <f>_xlfn.XLOOKUP(TablaSTOCKINV[[#This Row],[SKU]],TablaINVENTARIO[SKU],TablaINVENTARIO[FECHA INGRESO])</f>
        <v>46023</v>
      </c>
      <c r="T305" s="44">
        <f>_xlfn.XLOOKUP(TablaSTOCKINV[[#This Row],[SKU]],TablaENTRADA[SKU],TablaENTRADA[FECHA],,0,-1)</f>
        <v>46023</v>
      </c>
      <c r="U305" s="46" t="str">
        <f>IFERROR((_xlfn.XLOOKUP(TablaSTOCKINV[[#This Row],[SKU]],TablaSALIDA[SKU],TablaSALIDA[FECHA],,0,-1))," " )</f>
        <v xml:space="preserve"> </v>
      </c>
    </row>
    <row r="306" spans="1:21" x14ac:dyDescent="0.3">
      <c r="A306" s="27" t="s">
        <v>1441</v>
      </c>
      <c r="B306" s="32" t="str">
        <f>_xlfn.XLOOKUP(TablaSTOCKINV[[#This Row],[SKU]],TablaINVENTARIO[SKU],TablaINVENTARIO[DESCRIPCION])</f>
        <v>TAPON DE ELECTRICIDAD MACHO PLG 1 1/2"</v>
      </c>
      <c r="C306" s="32" t="str">
        <f>_xlfn.XLOOKUP(TablaSTOCKINV[[#This Row],[SKU]],TablaINVENTARIO[SKU],TablaINVENTARIO[MARCA])</f>
        <v>N/A</v>
      </c>
      <c r="D306" s="33" t="str">
        <f>_xlfn.XLOOKUP(TablaSTOCKINV[[#This Row],[SKU]],TablaINVENTARIO[SKU],TablaINVENTARIO[CATEGORIA])</f>
        <v>HERRAMIENTAS_</v>
      </c>
      <c r="E306" s="33" t="str">
        <f>_xlfn.XLOOKUP(TablaSTOCKINV[[#This Row],[SKU]],TablaINVENTARIO[SKU],TablaINVENTARIO[SUBCATEGORIA])</f>
        <v>MATERIAL ELECTRICO</v>
      </c>
      <c r="F306" s="33" t="str">
        <f>_xlfn.XLOOKUP(TablaSTOCKINV[[#This Row],[SKU]],TablaINVENTARIO[SKU],TablaINVENTARIO[ESTADO])</f>
        <v>USADO</v>
      </c>
      <c r="G306" s="33" t="str">
        <f>_xlfn.XLOOKUP(TablaSTOCKINV[[#This Row],[SKU]],TablaINVENTARIO[SKU],TablaINVENTARIO[MEDIDA])</f>
        <v>UND</v>
      </c>
      <c r="H306" s="33" t="str">
        <f>_xlfn.XLOOKUP(TablaSTOCKINV[[#This Row],[SKU]],TablaINVENTARIO[SKU],TablaINVENTARIO[SERIAL])</f>
        <v>N/A</v>
      </c>
      <c r="I306" s="34" t="str">
        <f>_xlfn.XLOOKUP(TablaSTOCKINV[[#This Row],[SKU]],TablaINVENTARIO[SKU],TablaINVENTARIO[ALMACEN])</f>
        <v>ALMACEN PRINCIPAL</v>
      </c>
      <c r="J306" s="34" t="str">
        <f>_xlfn.XLOOKUP(TablaSTOCKINV[[#This Row],[SKU]],TablaINVENTARIO[SKU],TablaINVENTARIO[UBICACION])</f>
        <v>J3-1</v>
      </c>
      <c r="K306" s="34" t="str">
        <f>_xlfn.XLOOKUP(TablaSTOCKINV[[#This Row],[SKU]],TablaINVENTARIO[SKU],TablaINVENTARIO[DPTO RESPONSABLE])</f>
        <v xml:space="preserve">OPERACIONES </v>
      </c>
      <c r="L306" s="36">
        <f>_xlfn.XLOOKUP(TablaSTOCKINV[[#This Row],[SKU]],TablaINVENTARIO[SKU],TablaINVENTARIO[RANGO MIN])</f>
        <v>0</v>
      </c>
      <c r="M306" s="34" cm="1">
        <f t="array" ref="M306">_xlfn.IFS(TablaSTOCKINV[[#This Row],[CANT. TOTAL]]&lt;=0,1,TablaSTOCKINV[[#This Row],[CANT. TOTAL]]&lt;=TablaSTOCKINV[[#This Row],[MIN]],2,TablaSTOCKINV[[#This Row],[CANT. TOTAL]]&gt;TablaSTOCKINV[[#This Row],[MIN]],3)</f>
        <v>3</v>
      </c>
      <c r="N306" s="34">
        <f>TablaSTOCKINV[[#This Row],[ENTRADAS]]-TablaSTOCKINV[[#This Row],[SALIDAS]]</f>
        <v>91</v>
      </c>
      <c r="O306" s="35">
        <f>SUMIFS(TablaENTRADA[CANT],TablaENTRADA[SKU],TablaSTOCKINV[[#This Row],[SKU]])</f>
        <v>91</v>
      </c>
      <c r="P306" s="35">
        <f>SUMIFS(TablaSALIDA[CANT],TablaSALIDA[SKU],TablaSTOCKINV[[#This Row],[SKU]])</f>
        <v>0</v>
      </c>
      <c r="Q306" s="34">
        <f>_xlfn.XLOOKUP(TablaSTOCKINV[[#This Row],[SKU]],TablaINVENTARIO[SKU],TablaINVENTARIO[PRECIO])</f>
        <v>0</v>
      </c>
      <c r="R306" s="34">
        <f>TablaSTOCKINV[[#This Row],[P.UNITARIO]]*TablaSTOCKINV[[#This Row],[CANT. TOTAL]]</f>
        <v>0</v>
      </c>
      <c r="S306" s="44">
        <f>_xlfn.XLOOKUP(TablaSTOCKINV[[#This Row],[SKU]],TablaINVENTARIO[SKU],TablaINVENTARIO[FECHA INGRESO])</f>
        <v>46023</v>
      </c>
      <c r="T306" s="44">
        <f>_xlfn.XLOOKUP(TablaSTOCKINV[[#This Row],[SKU]],TablaENTRADA[SKU],TablaENTRADA[FECHA],,0,-1)</f>
        <v>46023</v>
      </c>
      <c r="U306" s="46" t="str">
        <f>IFERROR((_xlfn.XLOOKUP(TablaSTOCKINV[[#This Row],[SKU]],TablaSALIDA[SKU],TablaSALIDA[FECHA],,0,-1))," " )</f>
        <v xml:space="preserve"> </v>
      </c>
    </row>
    <row r="307" spans="1:21" x14ac:dyDescent="0.3">
      <c r="A307" s="27" t="s">
        <v>1443</v>
      </c>
      <c r="B307" s="32" t="str">
        <f>_xlfn.XLOOKUP(TablaSTOCKINV[[#This Row],[SKU]],TablaINVENTARIO[SKU],TablaINVENTARIO[DESCRIPCION])</f>
        <v>TAPON DE ELECTRICIDAD MACHO PLG 1"</v>
      </c>
      <c r="C307" s="32" t="str">
        <f>_xlfn.XLOOKUP(TablaSTOCKINV[[#This Row],[SKU]],TablaINVENTARIO[SKU],TablaINVENTARIO[MARCA])</f>
        <v>N/A</v>
      </c>
      <c r="D307" s="33" t="str">
        <f>_xlfn.XLOOKUP(TablaSTOCKINV[[#This Row],[SKU]],TablaINVENTARIO[SKU],TablaINVENTARIO[CATEGORIA])</f>
        <v>HERRAMIENTAS_</v>
      </c>
      <c r="E307" s="33" t="str">
        <f>_xlfn.XLOOKUP(TablaSTOCKINV[[#This Row],[SKU]],TablaINVENTARIO[SKU],TablaINVENTARIO[SUBCATEGORIA])</f>
        <v>MATERIAL ELECTRICO</v>
      </c>
      <c r="F307" s="33" t="str">
        <f>_xlfn.XLOOKUP(TablaSTOCKINV[[#This Row],[SKU]],TablaINVENTARIO[SKU],TablaINVENTARIO[ESTADO])</f>
        <v>USADO</v>
      </c>
      <c r="G307" s="33" t="str">
        <f>_xlfn.XLOOKUP(TablaSTOCKINV[[#This Row],[SKU]],TablaINVENTARIO[SKU],TablaINVENTARIO[MEDIDA])</f>
        <v>UND</v>
      </c>
      <c r="H307" s="33" t="str">
        <f>_xlfn.XLOOKUP(TablaSTOCKINV[[#This Row],[SKU]],TablaINVENTARIO[SKU],TablaINVENTARIO[SERIAL])</f>
        <v>N/A</v>
      </c>
      <c r="I307" s="34" t="str">
        <f>_xlfn.XLOOKUP(TablaSTOCKINV[[#This Row],[SKU]],TablaINVENTARIO[SKU],TablaINVENTARIO[ALMACEN])</f>
        <v>ALMACEN PRINCIPAL</v>
      </c>
      <c r="J307" s="34" t="str">
        <f>_xlfn.XLOOKUP(TablaSTOCKINV[[#This Row],[SKU]],TablaINVENTARIO[SKU],TablaINVENTARIO[UBICACION])</f>
        <v>J3-1</v>
      </c>
      <c r="K307" s="34" t="str">
        <f>_xlfn.XLOOKUP(TablaSTOCKINV[[#This Row],[SKU]],TablaINVENTARIO[SKU],TablaINVENTARIO[DPTO RESPONSABLE])</f>
        <v xml:space="preserve">OPERACIONES </v>
      </c>
      <c r="L307" s="36">
        <f>_xlfn.XLOOKUP(TablaSTOCKINV[[#This Row],[SKU]],TablaINVENTARIO[SKU],TablaINVENTARIO[RANGO MIN])</f>
        <v>0</v>
      </c>
      <c r="M307" s="34" cm="1">
        <f t="array" ref="M307">_xlfn.IFS(TablaSTOCKINV[[#This Row],[CANT. TOTAL]]&lt;=0,1,TablaSTOCKINV[[#This Row],[CANT. TOTAL]]&lt;=TablaSTOCKINV[[#This Row],[MIN]],2,TablaSTOCKINV[[#This Row],[CANT. TOTAL]]&gt;TablaSTOCKINV[[#This Row],[MIN]],3)</f>
        <v>3</v>
      </c>
      <c r="N307" s="34">
        <f>TablaSTOCKINV[[#This Row],[ENTRADAS]]-TablaSTOCKINV[[#This Row],[SALIDAS]]</f>
        <v>1</v>
      </c>
      <c r="O307" s="35">
        <f>SUMIFS(TablaENTRADA[CANT],TablaENTRADA[SKU],TablaSTOCKINV[[#This Row],[SKU]])</f>
        <v>1</v>
      </c>
      <c r="P307" s="35">
        <f>SUMIFS(TablaSALIDA[CANT],TablaSALIDA[SKU],TablaSTOCKINV[[#This Row],[SKU]])</f>
        <v>0</v>
      </c>
      <c r="Q307" s="34">
        <f>_xlfn.XLOOKUP(TablaSTOCKINV[[#This Row],[SKU]],TablaINVENTARIO[SKU],TablaINVENTARIO[PRECIO])</f>
        <v>0</v>
      </c>
      <c r="R307" s="34">
        <f>TablaSTOCKINV[[#This Row],[P.UNITARIO]]*TablaSTOCKINV[[#This Row],[CANT. TOTAL]]</f>
        <v>0</v>
      </c>
      <c r="S307" s="44">
        <f>_xlfn.XLOOKUP(TablaSTOCKINV[[#This Row],[SKU]],TablaINVENTARIO[SKU],TablaINVENTARIO[FECHA INGRESO])</f>
        <v>46023</v>
      </c>
      <c r="T307" s="44">
        <f>_xlfn.XLOOKUP(TablaSTOCKINV[[#This Row],[SKU]],TablaENTRADA[SKU],TablaENTRADA[FECHA],,0,-1)</f>
        <v>46023</v>
      </c>
      <c r="U307" s="46" t="str">
        <f>IFERROR((_xlfn.XLOOKUP(TablaSTOCKINV[[#This Row],[SKU]],TablaSALIDA[SKU],TablaSALIDA[FECHA],,0,-1))," " )</f>
        <v xml:space="preserve"> </v>
      </c>
    </row>
    <row r="308" spans="1:21" x14ac:dyDescent="0.3">
      <c r="A308" s="27" t="s">
        <v>1445</v>
      </c>
      <c r="B308" s="32" t="str">
        <f>_xlfn.XLOOKUP(TablaSTOCKINV[[#This Row],[SKU]],TablaINVENTARIO[SKU],TablaINVENTARIO[DESCRIPCION])</f>
        <v xml:space="preserve">ANILLO DE SELLADO </v>
      </c>
      <c r="C308" s="32" t="str">
        <f>_xlfn.XLOOKUP(TablaSTOCKINV[[#This Row],[SKU]],TablaINVENTARIO[SKU],TablaINVENTARIO[MARCA])</f>
        <v>N/A</v>
      </c>
      <c r="D308" s="33" t="str">
        <f>_xlfn.XLOOKUP(TablaSTOCKINV[[#This Row],[SKU]],TablaINVENTARIO[SKU],TablaINVENTARIO[CATEGORIA])</f>
        <v>HERRAMIENTAS_</v>
      </c>
      <c r="E308" s="33" t="str">
        <f>_xlfn.XLOOKUP(TablaSTOCKINV[[#This Row],[SKU]],TablaINVENTARIO[SKU],TablaINVENTARIO[SUBCATEGORIA])</f>
        <v xml:space="preserve">MATERIAL DE CONSTRUCCIÓN </v>
      </c>
      <c r="F308" s="33" t="str">
        <f>_xlfn.XLOOKUP(TablaSTOCKINV[[#This Row],[SKU]],TablaINVENTARIO[SKU],TablaINVENTARIO[ESTADO])</f>
        <v xml:space="preserve">NUEVO </v>
      </c>
      <c r="G308" s="33" t="str">
        <f>_xlfn.XLOOKUP(TablaSTOCKINV[[#This Row],[SKU]],TablaINVENTARIO[SKU],TablaINVENTARIO[MEDIDA])</f>
        <v>UND</v>
      </c>
      <c r="H308" s="33" t="str">
        <f>_xlfn.XLOOKUP(TablaSTOCKINV[[#This Row],[SKU]],TablaINVENTARIO[SKU],TablaINVENTARIO[SERIAL])</f>
        <v>N/A</v>
      </c>
      <c r="I308" s="34" t="str">
        <f>_xlfn.XLOOKUP(TablaSTOCKINV[[#This Row],[SKU]],TablaINVENTARIO[SKU],TablaINVENTARIO[ALMACEN])</f>
        <v>ALMACEN PRINCIPAL</v>
      </c>
      <c r="J308" s="34" t="str">
        <f>_xlfn.XLOOKUP(TablaSTOCKINV[[#This Row],[SKU]],TablaINVENTARIO[SKU],TablaINVENTARIO[UBICACION])</f>
        <v>J3-2</v>
      </c>
      <c r="K308" s="34" t="str">
        <f>_xlfn.XLOOKUP(TablaSTOCKINV[[#This Row],[SKU]],TablaINVENTARIO[SKU],TablaINVENTARIO[DPTO RESPONSABLE])</f>
        <v>OPERACIONES</v>
      </c>
      <c r="L308" s="36">
        <f>_xlfn.XLOOKUP(TablaSTOCKINV[[#This Row],[SKU]],TablaINVENTARIO[SKU],TablaINVENTARIO[RANGO MIN])</f>
        <v>0</v>
      </c>
      <c r="M308" s="34" cm="1">
        <f t="array" ref="M308">_xlfn.IFS(TablaSTOCKINV[[#This Row],[CANT. TOTAL]]&lt;=0,1,TablaSTOCKINV[[#This Row],[CANT. TOTAL]]&lt;=TablaSTOCKINV[[#This Row],[MIN]],2,TablaSTOCKINV[[#This Row],[CANT. TOTAL]]&gt;TablaSTOCKINV[[#This Row],[MIN]],3)</f>
        <v>3</v>
      </c>
      <c r="N308" s="34">
        <f>TablaSTOCKINV[[#This Row],[ENTRADAS]]-TablaSTOCKINV[[#This Row],[SALIDAS]]</f>
        <v>1439</v>
      </c>
      <c r="O308" s="35">
        <f>SUMIFS(TablaENTRADA[CANT],TablaENTRADA[SKU],TablaSTOCKINV[[#This Row],[SKU]])</f>
        <v>1439</v>
      </c>
      <c r="P308" s="35">
        <f>SUMIFS(TablaSALIDA[CANT],TablaSALIDA[SKU],TablaSTOCKINV[[#This Row],[SKU]])</f>
        <v>0</v>
      </c>
      <c r="Q308" s="34">
        <f>_xlfn.XLOOKUP(TablaSTOCKINV[[#This Row],[SKU]],TablaINVENTARIO[SKU],TablaINVENTARIO[PRECIO])</f>
        <v>0</v>
      </c>
      <c r="R308" s="34">
        <f>TablaSTOCKINV[[#This Row],[P.UNITARIO]]*TablaSTOCKINV[[#This Row],[CANT. TOTAL]]</f>
        <v>0</v>
      </c>
      <c r="S308" s="44">
        <f>_xlfn.XLOOKUP(TablaSTOCKINV[[#This Row],[SKU]],TablaINVENTARIO[SKU],TablaINVENTARIO[FECHA INGRESO])</f>
        <v>46023</v>
      </c>
      <c r="T308" s="44">
        <f>_xlfn.XLOOKUP(TablaSTOCKINV[[#This Row],[SKU]],TablaENTRADA[SKU],TablaENTRADA[FECHA],,0,-1)</f>
        <v>46023</v>
      </c>
      <c r="U308" s="46" t="str">
        <f>IFERROR((_xlfn.XLOOKUP(TablaSTOCKINV[[#This Row],[SKU]],TablaSALIDA[SKU],TablaSALIDA[FECHA],,0,-1))," " )</f>
        <v xml:space="preserve"> </v>
      </c>
    </row>
    <row r="309" spans="1:21" x14ac:dyDescent="0.3">
      <c r="A309" s="27" t="s">
        <v>1447</v>
      </c>
      <c r="B309" s="32" t="str">
        <f>_xlfn.XLOOKUP(TablaSTOCKINV[[#This Row],[SKU]],TablaINVENTARIO[SKU],TablaINVENTARIO[DESCRIPCION])</f>
        <v xml:space="preserve">BISAGRAS BIDIMENCIONALES </v>
      </c>
      <c r="C309" s="32" t="str">
        <f>_xlfn.XLOOKUP(TablaSTOCKINV[[#This Row],[SKU]],TablaINVENTARIO[SKU],TablaINVENTARIO[MARCA])</f>
        <v>N/A</v>
      </c>
      <c r="D309" s="33" t="str">
        <f>_xlfn.XLOOKUP(TablaSTOCKINV[[#This Row],[SKU]],TablaINVENTARIO[SKU],TablaINVENTARIO[CATEGORIA])</f>
        <v>HERRAMIENTAS_</v>
      </c>
      <c r="E309" s="33" t="str">
        <f>_xlfn.XLOOKUP(TablaSTOCKINV[[#This Row],[SKU]],TablaINVENTARIO[SKU],TablaINVENTARIO[SUBCATEGORIA])</f>
        <v xml:space="preserve">MATERIAL DE CONSTRUCCIÓN </v>
      </c>
      <c r="F309" s="33" t="str">
        <f>_xlfn.XLOOKUP(TablaSTOCKINV[[#This Row],[SKU]],TablaINVENTARIO[SKU],TablaINVENTARIO[ESTADO])</f>
        <v xml:space="preserve">NUEVO </v>
      </c>
      <c r="G309" s="33" t="str">
        <f>_xlfn.XLOOKUP(TablaSTOCKINV[[#This Row],[SKU]],TablaINVENTARIO[SKU],TablaINVENTARIO[MEDIDA])</f>
        <v>SET</v>
      </c>
      <c r="H309" s="33" t="str">
        <f>_xlfn.XLOOKUP(TablaSTOCKINV[[#This Row],[SKU]],TablaINVENTARIO[SKU],TablaINVENTARIO[SERIAL])</f>
        <v>N/A</v>
      </c>
      <c r="I309" s="34" t="str">
        <f>_xlfn.XLOOKUP(TablaSTOCKINV[[#This Row],[SKU]],TablaINVENTARIO[SKU],TablaINVENTARIO[ALMACEN])</f>
        <v>ALMACEN PRINCIPAL</v>
      </c>
      <c r="J309" s="34" t="str">
        <f>_xlfn.XLOOKUP(TablaSTOCKINV[[#This Row],[SKU]],TablaINVENTARIO[SKU],TablaINVENTARIO[UBICACION])</f>
        <v>J3-2</v>
      </c>
      <c r="K309" s="34" t="str">
        <f>_xlfn.XLOOKUP(TablaSTOCKINV[[#This Row],[SKU]],TablaINVENTARIO[SKU],TablaINVENTARIO[DPTO RESPONSABLE])</f>
        <v>OPERACIONES</v>
      </c>
      <c r="L309" s="36">
        <f>_xlfn.XLOOKUP(TablaSTOCKINV[[#This Row],[SKU]],TablaINVENTARIO[SKU],TablaINVENTARIO[RANGO MIN])</f>
        <v>0</v>
      </c>
      <c r="M309" s="34" cm="1">
        <f t="array" ref="M309">_xlfn.IFS(TablaSTOCKINV[[#This Row],[CANT. TOTAL]]&lt;=0,1,TablaSTOCKINV[[#This Row],[CANT. TOTAL]]&lt;=TablaSTOCKINV[[#This Row],[MIN]],2,TablaSTOCKINV[[#This Row],[CANT. TOTAL]]&gt;TablaSTOCKINV[[#This Row],[MIN]],3)</f>
        <v>3</v>
      </c>
      <c r="N309" s="34">
        <f>TablaSTOCKINV[[#This Row],[ENTRADAS]]-TablaSTOCKINV[[#This Row],[SALIDAS]]</f>
        <v>12</v>
      </c>
      <c r="O309" s="35">
        <f>SUMIFS(TablaENTRADA[CANT],TablaENTRADA[SKU],TablaSTOCKINV[[#This Row],[SKU]])</f>
        <v>12</v>
      </c>
      <c r="P309" s="35">
        <f>SUMIFS(TablaSALIDA[CANT],TablaSALIDA[SKU],TablaSTOCKINV[[#This Row],[SKU]])</f>
        <v>0</v>
      </c>
      <c r="Q309" s="34">
        <f>_xlfn.XLOOKUP(TablaSTOCKINV[[#This Row],[SKU]],TablaINVENTARIO[SKU],TablaINVENTARIO[PRECIO])</f>
        <v>0</v>
      </c>
      <c r="R309" s="34">
        <f>TablaSTOCKINV[[#This Row],[P.UNITARIO]]*TablaSTOCKINV[[#This Row],[CANT. TOTAL]]</f>
        <v>0</v>
      </c>
      <c r="S309" s="44">
        <f>_xlfn.XLOOKUP(TablaSTOCKINV[[#This Row],[SKU]],TablaINVENTARIO[SKU],TablaINVENTARIO[FECHA INGRESO])</f>
        <v>46023</v>
      </c>
      <c r="T309" s="44">
        <f>_xlfn.XLOOKUP(TablaSTOCKINV[[#This Row],[SKU]],TablaENTRADA[SKU],TablaENTRADA[FECHA],,0,-1)</f>
        <v>46023</v>
      </c>
      <c r="U309" s="46" t="str">
        <f>IFERROR((_xlfn.XLOOKUP(TablaSTOCKINV[[#This Row],[SKU]],TablaSALIDA[SKU],TablaSALIDA[FECHA],,0,-1))," " )</f>
        <v xml:space="preserve"> </v>
      </c>
    </row>
    <row r="310" spans="1:21" x14ac:dyDescent="0.3">
      <c r="A310" s="27" t="s">
        <v>1449</v>
      </c>
      <c r="B310" s="32" t="str">
        <f>_xlfn.XLOOKUP(TablaSTOCKINV[[#This Row],[SKU]],TablaINVENTARIO[SKU],TablaINVENTARIO[DESCRIPCION])</f>
        <v xml:space="preserve">MANGO DE VALVULA </v>
      </c>
      <c r="C310" s="32" t="str">
        <f>_xlfn.XLOOKUP(TablaSTOCKINV[[#This Row],[SKU]],TablaINVENTARIO[SKU],TablaINVENTARIO[MARCA])</f>
        <v>N/A</v>
      </c>
      <c r="D310" s="33" t="str">
        <f>_xlfn.XLOOKUP(TablaSTOCKINV[[#This Row],[SKU]],TablaINVENTARIO[SKU],TablaINVENTARIO[CATEGORIA])</f>
        <v>HERRAMIENTAS_</v>
      </c>
      <c r="E310" s="33" t="str">
        <f>_xlfn.XLOOKUP(TablaSTOCKINV[[#This Row],[SKU]],TablaINVENTARIO[SKU],TablaINVENTARIO[SUBCATEGORIA])</f>
        <v xml:space="preserve">HERRAMIENTA DE MANO </v>
      </c>
      <c r="F310" s="33" t="str">
        <f>_xlfn.XLOOKUP(TablaSTOCKINV[[#This Row],[SKU]],TablaINVENTARIO[SKU],TablaINVENTARIO[ESTADO])</f>
        <v>USADO</v>
      </c>
      <c r="G310" s="33" t="str">
        <f>_xlfn.XLOOKUP(TablaSTOCKINV[[#This Row],[SKU]],TablaINVENTARIO[SKU],TablaINVENTARIO[MEDIDA])</f>
        <v>UND</v>
      </c>
      <c r="H310" s="33" t="str">
        <f>_xlfn.XLOOKUP(TablaSTOCKINV[[#This Row],[SKU]],TablaINVENTARIO[SKU],TablaINVENTARIO[SERIAL])</f>
        <v>N/A</v>
      </c>
      <c r="I310" s="34" t="str">
        <f>_xlfn.XLOOKUP(TablaSTOCKINV[[#This Row],[SKU]],TablaINVENTARIO[SKU],TablaINVENTARIO[ALMACEN])</f>
        <v>ALMACEN PRINCIPAL</v>
      </c>
      <c r="J310" s="34" t="str">
        <f>_xlfn.XLOOKUP(TablaSTOCKINV[[#This Row],[SKU]],TablaINVENTARIO[SKU],TablaINVENTARIO[UBICACION])</f>
        <v>J3-2</v>
      </c>
      <c r="K310" s="34" t="str">
        <f>_xlfn.XLOOKUP(TablaSTOCKINV[[#This Row],[SKU]],TablaINVENTARIO[SKU],TablaINVENTARIO[DPTO RESPONSABLE])</f>
        <v xml:space="preserve">OPERACIONES </v>
      </c>
      <c r="L310" s="36">
        <f>_xlfn.XLOOKUP(TablaSTOCKINV[[#This Row],[SKU]],TablaINVENTARIO[SKU],TablaINVENTARIO[RANGO MIN])</f>
        <v>0</v>
      </c>
      <c r="M310" s="34" cm="1">
        <f t="array" ref="M310">_xlfn.IFS(TablaSTOCKINV[[#This Row],[CANT. TOTAL]]&lt;=0,1,TablaSTOCKINV[[#This Row],[CANT. TOTAL]]&lt;=TablaSTOCKINV[[#This Row],[MIN]],2,TablaSTOCKINV[[#This Row],[CANT. TOTAL]]&gt;TablaSTOCKINV[[#This Row],[MIN]],3)</f>
        <v>3</v>
      </c>
      <c r="N310" s="34">
        <f>TablaSTOCKINV[[#This Row],[ENTRADAS]]-TablaSTOCKINV[[#This Row],[SALIDAS]]</f>
        <v>7</v>
      </c>
      <c r="O310" s="35">
        <f>SUMIFS(TablaENTRADA[CANT],TablaENTRADA[SKU],TablaSTOCKINV[[#This Row],[SKU]])</f>
        <v>7</v>
      </c>
      <c r="P310" s="35">
        <f>SUMIFS(TablaSALIDA[CANT],TablaSALIDA[SKU],TablaSTOCKINV[[#This Row],[SKU]])</f>
        <v>0</v>
      </c>
      <c r="Q310" s="34">
        <f>_xlfn.XLOOKUP(TablaSTOCKINV[[#This Row],[SKU]],TablaINVENTARIO[SKU],TablaINVENTARIO[PRECIO])</f>
        <v>0</v>
      </c>
      <c r="R310" s="34">
        <f>TablaSTOCKINV[[#This Row],[P.UNITARIO]]*TablaSTOCKINV[[#This Row],[CANT. TOTAL]]</f>
        <v>0</v>
      </c>
      <c r="S310" s="44">
        <f>_xlfn.XLOOKUP(TablaSTOCKINV[[#This Row],[SKU]],TablaINVENTARIO[SKU],TablaINVENTARIO[FECHA INGRESO])</f>
        <v>46023</v>
      </c>
      <c r="T310" s="44">
        <f>_xlfn.XLOOKUP(TablaSTOCKINV[[#This Row],[SKU]],TablaENTRADA[SKU],TablaENTRADA[FECHA],,0,-1)</f>
        <v>46023</v>
      </c>
      <c r="U310" s="46" t="str">
        <f>IFERROR((_xlfn.XLOOKUP(TablaSTOCKINV[[#This Row],[SKU]],TablaSALIDA[SKU],TablaSALIDA[FECHA],,0,-1))," " )</f>
        <v xml:space="preserve"> </v>
      </c>
    </row>
    <row r="311" spans="1:21" x14ac:dyDescent="0.3">
      <c r="A311" s="27" t="s">
        <v>1451</v>
      </c>
      <c r="B311" s="32" t="str">
        <f>_xlfn.XLOOKUP(TablaSTOCKINV[[#This Row],[SKU]],TablaINVENTARIO[SKU],TablaINVENTARIO[DESCRIPCION])</f>
        <v>VALVULA DE BOLA 2"</v>
      </c>
      <c r="C311" s="32" t="str">
        <f>_xlfn.XLOOKUP(TablaSTOCKINV[[#This Row],[SKU]],TablaINVENTARIO[SKU],TablaINVENTARIO[MARCA])</f>
        <v xml:space="preserve">METALES ALIADOS </v>
      </c>
      <c r="D311" s="33" t="str">
        <f>_xlfn.XLOOKUP(TablaSTOCKINV[[#This Row],[SKU]],TablaINVENTARIO[SKU],TablaINVENTARIO[CATEGORIA])</f>
        <v>HERRAMIENTAS_</v>
      </c>
      <c r="E311" s="33" t="str">
        <f>_xlfn.XLOOKUP(TablaSTOCKINV[[#This Row],[SKU]],TablaINVENTARIO[SKU],TablaINVENTARIO[SUBCATEGORIA])</f>
        <v xml:space="preserve">HERRAMIENTA DE MANO </v>
      </c>
      <c r="F311" s="33" t="str">
        <f>_xlfn.XLOOKUP(TablaSTOCKINV[[#This Row],[SKU]],TablaINVENTARIO[SKU],TablaINVENTARIO[ESTADO])</f>
        <v xml:space="preserve">NUEVO </v>
      </c>
      <c r="G311" s="33" t="str">
        <f>_xlfn.XLOOKUP(TablaSTOCKINV[[#This Row],[SKU]],TablaINVENTARIO[SKU],TablaINVENTARIO[MEDIDA])</f>
        <v>UND</v>
      </c>
      <c r="H311" s="33" t="str">
        <f>_xlfn.XLOOKUP(TablaSTOCKINV[[#This Row],[SKU]],TablaINVENTARIO[SKU],TablaINVENTARIO[SERIAL])</f>
        <v>N/A</v>
      </c>
      <c r="I311" s="34" t="str">
        <f>_xlfn.XLOOKUP(TablaSTOCKINV[[#This Row],[SKU]],TablaINVENTARIO[SKU],TablaINVENTARIO[ALMACEN])</f>
        <v>ALMACEN PRINCIPAL</v>
      </c>
      <c r="J311" s="34" t="str">
        <f>_xlfn.XLOOKUP(TablaSTOCKINV[[#This Row],[SKU]],TablaINVENTARIO[SKU],TablaINVENTARIO[UBICACION])</f>
        <v>J2-2</v>
      </c>
      <c r="K311" s="34" t="str">
        <f>_xlfn.XLOOKUP(TablaSTOCKINV[[#This Row],[SKU]],TablaINVENTARIO[SKU],TablaINVENTARIO[DPTO RESPONSABLE])</f>
        <v xml:space="preserve">OPERACIONES </v>
      </c>
      <c r="L311" s="36">
        <f>_xlfn.XLOOKUP(TablaSTOCKINV[[#This Row],[SKU]],TablaINVENTARIO[SKU],TablaINVENTARIO[RANGO MIN])</f>
        <v>0</v>
      </c>
      <c r="M311" s="34" cm="1">
        <f t="array" ref="M311">_xlfn.IFS(TablaSTOCKINV[[#This Row],[CANT. TOTAL]]&lt;=0,1,TablaSTOCKINV[[#This Row],[CANT. TOTAL]]&lt;=TablaSTOCKINV[[#This Row],[MIN]],2,TablaSTOCKINV[[#This Row],[CANT. TOTAL]]&gt;TablaSTOCKINV[[#This Row],[MIN]],3)</f>
        <v>3</v>
      </c>
      <c r="N311" s="34">
        <f>TablaSTOCKINV[[#This Row],[ENTRADAS]]-TablaSTOCKINV[[#This Row],[SALIDAS]]</f>
        <v>1</v>
      </c>
      <c r="O311" s="35">
        <f>SUMIFS(TablaENTRADA[CANT],TablaENTRADA[SKU],TablaSTOCKINV[[#This Row],[SKU]])</f>
        <v>1</v>
      </c>
      <c r="P311" s="35">
        <f>SUMIFS(TablaSALIDA[CANT],TablaSALIDA[SKU],TablaSTOCKINV[[#This Row],[SKU]])</f>
        <v>0</v>
      </c>
      <c r="Q311" s="34">
        <f>_xlfn.XLOOKUP(TablaSTOCKINV[[#This Row],[SKU]],TablaINVENTARIO[SKU],TablaINVENTARIO[PRECIO])</f>
        <v>0</v>
      </c>
      <c r="R311" s="34">
        <f>TablaSTOCKINV[[#This Row],[P.UNITARIO]]*TablaSTOCKINV[[#This Row],[CANT. TOTAL]]</f>
        <v>0</v>
      </c>
      <c r="S311" s="44">
        <f>_xlfn.XLOOKUP(TablaSTOCKINV[[#This Row],[SKU]],TablaINVENTARIO[SKU],TablaINVENTARIO[FECHA INGRESO])</f>
        <v>46023</v>
      </c>
      <c r="T311" s="44">
        <f>_xlfn.XLOOKUP(TablaSTOCKINV[[#This Row],[SKU]],TablaENTRADA[SKU],TablaENTRADA[FECHA],,0,-1)</f>
        <v>46023</v>
      </c>
      <c r="U311" s="46" t="str">
        <f>IFERROR((_xlfn.XLOOKUP(TablaSTOCKINV[[#This Row],[SKU]],TablaSALIDA[SKU],TablaSALIDA[FECHA],,0,-1))," " )</f>
        <v xml:space="preserve"> </v>
      </c>
    </row>
    <row r="312" spans="1:21" x14ac:dyDescent="0.3">
      <c r="A312" s="27" t="s">
        <v>1454</v>
      </c>
      <c r="B312" s="32" t="str">
        <f>_xlfn.XLOOKUP(TablaSTOCKINV[[#This Row],[SKU]],TablaINVENTARIO[SKU],TablaINVENTARIO[DESCRIPCION])</f>
        <v>VALVULA DE BOLA 1"</v>
      </c>
      <c r="C312" s="32" t="str">
        <f>_xlfn.XLOOKUP(TablaSTOCKINV[[#This Row],[SKU]],TablaINVENTARIO[SKU],TablaINVENTARIO[MARCA])</f>
        <v>CF</v>
      </c>
      <c r="D312" s="33" t="str">
        <f>_xlfn.XLOOKUP(TablaSTOCKINV[[#This Row],[SKU]],TablaINVENTARIO[SKU],TablaINVENTARIO[CATEGORIA])</f>
        <v>HERRAMIENTAS_</v>
      </c>
      <c r="E312" s="33" t="str">
        <f>_xlfn.XLOOKUP(TablaSTOCKINV[[#This Row],[SKU]],TablaINVENTARIO[SKU],TablaINVENTARIO[SUBCATEGORIA])</f>
        <v xml:space="preserve">HERRAMIENTA DE MANO </v>
      </c>
      <c r="F312" s="33" t="str">
        <f>_xlfn.XLOOKUP(TablaSTOCKINV[[#This Row],[SKU]],TablaINVENTARIO[SKU],TablaINVENTARIO[ESTADO])</f>
        <v xml:space="preserve">NUEVO </v>
      </c>
      <c r="G312" s="33" t="str">
        <f>_xlfn.XLOOKUP(TablaSTOCKINV[[#This Row],[SKU]],TablaINVENTARIO[SKU],TablaINVENTARIO[MEDIDA])</f>
        <v>UND</v>
      </c>
      <c r="H312" s="33" t="str">
        <f>_xlfn.XLOOKUP(TablaSTOCKINV[[#This Row],[SKU]],TablaINVENTARIO[SKU],TablaINVENTARIO[SERIAL])</f>
        <v>N/A</v>
      </c>
      <c r="I312" s="34" t="str">
        <f>_xlfn.XLOOKUP(TablaSTOCKINV[[#This Row],[SKU]],TablaINVENTARIO[SKU],TablaINVENTARIO[ALMACEN])</f>
        <v>ALMACEN PRINCIPAL</v>
      </c>
      <c r="J312" s="34" t="str">
        <f>_xlfn.XLOOKUP(TablaSTOCKINV[[#This Row],[SKU]],TablaINVENTARIO[SKU],TablaINVENTARIO[UBICACION])</f>
        <v>J2-2</v>
      </c>
      <c r="K312" s="34" t="str">
        <f>_xlfn.XLOOKUP(TablaSTOCKINV[[#This Row],[SKU]],TablaINVENTARIO[SKU],TablaINVENTARIO[DPTO RESPONSABLE])</f>
        <v xml:space="preserve">OPERACIONES </v>
      </c>
      <c r="L312" s="36">
        <f>_xlfn.XLOOKUP(TablaSTOCKINV[[#This Row],[SKU]],TablaINVENTARIO[SKU],TablaINVENTARIO[RANGO MIN])</f>
        <v>0</v>
      </c>
      <c r="M312" s="34" cm="1">
        <f t="array" ref="M312">_xlfn.IFS(TablaSTOCKINV[[#This Row],[CANT. TOTAL]]&lt;=0,1,TablaSTOCKINV[[#This Row],[CANT. TOTAL]]&lt;=TablaSTOCKINV[[#This Row],[MIN]],2,TablaSTOCKINV[[#This Row],[CANT. TOTAL]]&gt;TablaSTOCKINV[[#This Row],[MIN]],3)</f>
        <v>3</v>
      </c>
      <c r="N312" s="34">
        <f>TablaSTOCKINV[[#This Row],[ENTRADAS]]-TablaSTOCKINV[[#This Row],[SALIDAS]]</f>
        <v>7</v>
      </c>
      <c r="O312" s="35">
        <f>SUMIFS(TablaENTRADA[CANT],TablaENTRADA[SKU],TablaSTOCKINV[[#This Row],[SKU]])</f>
        <v>7</v>
      </c>
      <c r="P312" s="35">
        <f>SUMIFS(TablaSALIDA[CANT],TablaSALIDA[SKU],TablaSTOCKINV[[#This Row],[SKU]])</f>
        <v>0</v>
      </c>
      <c r="Q312" s="34">
        <f>_xlfn.XLOOKUP(TablaSTOCKINV[[#This Row],[SKU]],TablaINVENTARIO[SKU],TablaINVENTARIO[PRECIO])</f>
        <v>0</v>
      </c>
      <c r="R312" s="34">
        <f>TablaSTOCKINV[[#This Row],[P.UNITARIO]]*TablaSTOCKINV[[#This Row],[CANT. TOTAL]]</f>
        <v>0</v>
      </c>
      <c r="S312" s="44">
        <f>_xlfn.XLOOKUP(TablaSTOCKINV[[#This Row],[SKU]],TablaINVENTARIO[SKU],TablaINVENTARIO[FECHA INGRESO])</f>
        <v>46023</v>
      </c>
      <c r="T312" s="44">
        <f>_xlfn.XLOOKUP(TablaSTOCKINV[[#This Row],[SKU]],TablaENTRADA[SKU],TablaENTRADA[FECHA],,0,-1)</f>
        <v>46023</v>
      </c>
      <c r="U312" s="46" t="str">
        <f>IFERROR((_xlfn.XLOOKUP(TablaSTOCKINV[[#This Row],[SKU]],TablaSALIDA[SKU],TablaSALIDA[FECHA],,0,-1))," " )</f>
        <v xml:space="preserve"> </v>
      </c>
    </row>
    <row r="313" spans="1:21" x14ac:dyDescent="0.3">
      <c r="A313" s="27" t="s">
        <v>1457</v>
      </c>
      <c r="B313" s="32" t="str">
        <f>_xlfn.XLOOKUP(TablaSTOCKINV[[#This Row],[SKU]],TablaINVENTARIO[SKU],TablaINVENTARIO[DESCRIPCION])</f>
        <v>VALVULA DE BOLA 1/2"</v>
      </c>
      <c r="C313" s="32" t="str">
        <f>_xlfn.XLOOKUP(TablaSTOCKINV[[#This Row],[SKU]],TablaINVENTARIO[SKU],TablaINVENTARIO[MARCA])</f>
        <v>FP</v>
      </c>
      <c r="D313" s="33" t="str">
        <f>_xlfn.XLOOKUP(TablaSTOCKINV[[#This Row],[SKU]],TablaINVENTARIO[SKU],TablaINVENTARIO[CATEGORIA])</f>
        <v>HERRAMIENTAS_</v>
      </c>
      <c r="E313" s="33" t="str">
        <f>_xlfn.XLOOKUP(TablaSTOCKINV[[#This Row],[SKU]],TablaINVENTARIO[SKU],TablaINVENTARIO[SUBCATEGORIA])</f>
        <v xml:space="preserve">HERRAMIENTA DE MANO </v>
      </c>
      <c r="F313" s="33" t="str">
        <f>_xlfn.XLOOKUP(TablaSTOCKINV[[#This Row],[SKU]],TablaINVENTARIO[SKU],TablaINVENTARIO[ESTADO])</f>
        <v>USADO</v>
      </c>
      <c r="G313" s="33" t="str">
        <f>_xlfn.XLOOKUP(TablaSTOCKINV[[#This Row],[SKU]],TablaINVENTARIO[SKU],TablaINVENTARIO[MEDIDA])</f>
        <v>UND</v>
      </c>
      <c r="H313" s="33" t="str">
        <f>_xlfn.XLOOKUP(TablaSTOCKINV[[#This Row],[SKU]],TablaINVENTARIO[SKU],TablaINVENTARIO[SERIAL])</f>
        <v>N/A</v>
      </c>
      <c r="I313" s="34" t="str">
        <f>_xlfn.XLOOKUP(TablaSTOCKINV[[#This Row],[SKU]],TablaINVENTARIO[SKU],TablaINVENTARIO[ALMACEN])</f>
        <v>ALMACEN PRINCIPAL</v>
      </c>
      <c r="J313" s="34" t="str">
        <f>_xlfn.XLOOKUP(TablaSTOCKINV[[#This Row],[SKU]],TablaINVENTARIO[SKU],TablaINVENTARIO[UBICACION])</f>
        <v>J2-2</v>
      </c>
      <c r="K313" s="34" t="str">
        <f>_xlfn.XLOOKUP(TablaSTOCKINV[[#This Row],[SKU]],TablaINVENTARIO[SKU],TablaINVENTARIO[DPTO RESPONSABLE])</f>
        <v xml:space="preserve">OPERACIONES </v>
      </c>
      <c r="L313" s="36">
        <f>_xlfn.XLOOKUP(TablaSTOCKINV[[#This Row],[SKU]],TablaINVENTARIO[SKU],TablaINVENTARIO[RANGO MIN])</f>
        <v>0</v>
      </c>
      <c r="M313" s="34" cm="1">
        <f t="array" ref="M313">_xlfn.IFS(TablaSTOCKINV[[#This Row],[CANT. TOTAL]]&lt;=0,1,TablaSTOCKINV[[#This Row],[CANT. TOTAL]]&lt;=TablaSTOCKINV[[#This Row],[MIN]],2,TablaSTOCKINV[[#This Row],[CANT. TOTAL]]&gt;TablaSTOCKINV[[#This Row],[MIN]],3)</f>
        <v>3</v>
      </c>
      <c r="N313" s="34">
        <f>TablaSTOCKINV[[#This Row],[ENTRADAS]]-TablaSTOCKINV[[#This Row],[SALIDAS]]</f>
        <v>3</v>
      </c>
      <c r="O313" s="35">
        <f>SUMIFS(TablaENTRADA[CANT],TablaENTRADA[SKU],TablaSTOCKINV[[#This Row],[SKU]])</f>
        <v>3</v>
      </c>
      <c r="P313" s="35">
        <f>SUMIFS(TablaSALIDA[CANT],TablaSALIDA[SKU],TablaSTOCKINV[[#This Row],[SKU]])</f>
        <v>0</v>
      </c>
      <c r="Q313" s="34">
        <f>_xlfn.XLOOKUP(TablaSTOCKINV[[#This Row],[SKU]],TablaINVENTARIO[SKU],TablaINVENTARIO[PRECIO])</f>
        <v>0</v>
      </c>
      <c r="R313" s="34">
        <f>TablaSTOCKINV[[#This Row],[P.UNITARIO]]*TablaSTOCKINV[[#This Row],[CANT. TOTAL]]</f>
        <v>0</v>
      </c>
      <c r="S313" s="44">
        <f>_xlfn.XLOOKUP(TablaSTOCKINV[[#This Row],[SKU]],TablaINVENTARIO[SKU],TablaINVENTARIO[FECHA INGRESO])</f>
        <v>46023</v>
      </c>
      <c r="T313" s="44">
        <f>_xlfn.XLOOKUP(TablaSTOCKINV[[#This Row],[SKU]],TablaENTRADA[SKU],TablaENTRADA[FECHA],,0,-1)</f>
        <v>46023</v>
      </c>
      <c r="U313" s="46" t="str">
        <f>IFERROR((_xlfn.XLOOKUP(TablaSTOCKINV[[#This Row],[SKU]],TablaSALIDA[SKU],TablaSALIDA[FECHA],,0,-1))," " )</f>
        <v xml:space="preserve"> </v>
      </c>
    </row>
    <row r="314" spans="1:21" x14ac:dyDescent="0.3">
      <c r="A314" s="27" t="s">
        <v>1460</v>
      </c>
      <c r="B314" s="32" t="str">
        <f>_xlfn.XLOOKUP(TablaSTOCKINV[[#This Row],[SKU]],TablaINVENTARIO[SKU],TablaINVENTARIO[DESCRIPCION])</f>
        <v>VALVULA DE BOLA 3/4"</v>
      </c>
      <c r="C314" s="32" t="str">
        <f>_xlfn.XLOOKUP(TablaSTOCKINV[[#This Row],[SKU]],TablaINVENTARIO[SKU],TablaINVENTARIO[MARCA])</f>
        <v>FP</v>
      </c>
      <c r="D314" s="33" t="str">
        <f>_xlfn.XLOOKUP(TablaSTOCKINV[[#This Row],[SKU]],TablaINVENTARIO[SKU],TablaINVENTARIO[CATEGORIA])</f>
        <v>HERRAMIENTAS_</v>
      </c>
      <c r="E314" s="33" t="str">
        <f>_xlfn.XLOOKUP(TablaSTOCKINV[[#This Row],[SKU]],TablaINVENTARIO[SKU],TablaINVENTARIO[SUBCATEGORIA])</f>
        <v xml:space="preserve">HERRAMIENTA DE MANO </v>
      </c>
      <c r="F314" s="33" t="str">
        <f>_xlfn.XLOOKUP(TablaSTOCKINV[[#This Row],[SKU]],TablaINVENTARIO[SKU],TablaINVENTARIO[ESTADO])</f>
        <v>USADO</v>
      </c>
      <c r="G314" s="33" t="str">
        <f>_xlfn.XLOOKUP(TablaSTOCKINV[[#This Row],[SKU]],TablaINVENTARIO[SKU],TablaINVENTARIO[MEDIDA])</f>
        <v>UND</v>
      </c>
      <c r="H314" s="33" t="str">
        <f>_xlfn.XLOOKUP(TablaSTOCKINV[[#This Row],[SKU]],TablaINVENTARIO[SKU],TablaINVENTARIO[SERIAL])</f>
        <v>N/A</v>
      </c>
      <c r="I314" s="34" t="str">
        <f>_xlfn.XLOOKUP(TablaSTOCKINV[[#This Row],[SKU]],TablaINVENTARIO[SKU],TablaINVENTARIO[ALMACEN])</f>
        <v>ALMACEN PRINCIPAL</v>
      </c>
      <c r="J314" s="34" t="str">
        <f>_xlfn.XLOOKUP(TablaSTOCKINV[[#This Row],[SKU]],TablaINVENTARIO[SKU],TablaINVENTARIO[UBICACION])</f>
        <v>J2-2</v>
      </c>
      <c r="K314" s="34" t="str">
        <f>_xlfn.XLOOKUP(TablaSTOCKINV[[#This Row],[SKU]],TablaINVENTARIO[SKU],TablaINVENTARIO[DPTO RESPONSABLE])</f>
        <v xml:space="preserve">OPERACIONES </v>
      </c>
      <c r="L314" s="36">
        <f>_xlfn.XLOOKUP(TablaSTOCKINV[[#This Row],[SKU]],TablaINVENTARIO[SKU],TablaINVENTARIO[RANGO MIN])</f>
        <v>0</v>
      </c>
      <c r="M314" s="34" cm="1">
        <f t="array" ref="M314">_xlfn.IFS(TablaSTOCKINV[[#This Row],[CANT. TOTAL]]&lt;=0,1,TablaSTOCKINV[[#This Row],[CANT. TOTAL]]&lt;=TablaSTOCKINV[[#This Row],[MIN]],2,TablaSTOCKINV[[#This Row],[CANT. TOTAL]]&gt;TablaSTOCKINV[[#This Row],[MIN]],3)</f>
        <v>3</v>
      </c>
      <c r="N314" s="34">
        <f>TablaSTOCKINV[[#This Row],[ENTRADAS]]-TablaSTOCKINV[[#This Row],[SALIDAS]]</f>
        <v>1</v>
      </c>
      <c r="O314" s="35">
        <f>SUMIFS(TablaENTRADA[CANT],TablaENTRADA[SKU],TablaSTOCKINV[[#This Row],[SKU]])</f>
        <v>1</v>
      </c>
      <c r="P314" s="35">
        <f>SUMIFS(TablaSALIDA[CANT],TablaSALIDA[SKU],TablaSTOCKINV[[#This Row],[SKU]])</f>
        <v>0</v>
      </c>
      <c r="Q314" s="34">
        <f>_xlfn.XLOOKUP(TablaSTOCKINV[[#This Row],[SKU]],TablaINVENTARIO[SKU],TablaINVENTARIO[PRECIO])</f>
        <v>0</v>
      </c>
      <c r="R314" s="34">
        <f>TablaSTOCKINV[[#This Row],[P.UNITARIO]]*TablaSTOCKINV[[#This Row],[CANT. TOTAL]]</f>
        <v>0</v>
      </c>
      <c r="S314" s="44">
        <f>_xlfn.XLOOKUP(TablaSTOCKINV[[#This Row],[SKU]],TablaINVENTARIO[SKU],TablaINVENTARIO[FECHA INGRESO])</f>
        <v>46023</v>
      </c>
      <c r="T314" s="44">
        <f>_xlfn.XLOOKUP(TablaSTOCKINV[[#This Row],[SKU]],TablaENTRADA[SKU],TablaENTRADA[FECHA],,0,-1)</f>
        <v>46023</v>
      </c>
      <c r="U314" s="46" t="str">
        <f>IFERROR((_xlfn.XLOOKUP(TablaSTOCKINV[[#This Row],[SKU]],TablaSALIDA[SKU],TablaSALIDA[FECHA],,0,-1))," " )</f>
        <v xml:space="preserve"> </v>
      </c>
    </row>
    <row r="315" spans="1:21" x14ac:dyDescent="0.3">
      <c r="A315" s="27" t="s">
        <v>1462</v>
      </c>
      <c r="B315" s="32" t="str">
        <f>_xlfn.XLOOKUP(TablaSTOCKINV[[#This Row],[SKU]],TablaINVENTARIO[SKU],TablaINVENTARIO[DESCRIPCION])</f>
        <v>UNION CONDUIT UNIVERSAL 1-1/2" X 2-1/2"</v>
      </c>
      <c r="C315" s="32" t="str">
        <f>_xlfn.XLOOKUP(TablaSTOCKINV[[#This Row],[SKU]],TablaINVENTARIO[SKU],TablaINVENTARIO[MARCA])</f>
        <v>N/A</v>
      </c>
      <c r="D315" s="33" t="str">
        <f>_xlfn.XLOOKUP(TablaSTOCKINV[[#This Row],[SKU]],TablaINVENTARIO[SKU],TablaINVENTARIO[CATEGORIA])</f>
        <v>HERRAMIENTAS_</v>
      </c>
      <c r="E315" s="33" t="str">
        <f>_xlfn.XLOOKUP(TablaSTOCKINV[[#This Row],[SKU]],TablaINVENTARIO[SKU],TablaINVENTARIO[SUBCATEGORIA])</f>
        <v>MATERIAL ELECTRICO</v>
      </c>
      <c r="F315" s="33" t="str">
        <f>_xlfn.XLOOKUP(TablaSTOCKINV[[#This Row],[SKU]],TablaINVENTARIO[SKU],TablaINVENTARIO[ESTADO])</f>
        <v xml:space="preserve">NUEVO </v>
      </c>
      <c r="G315" s="33" t="str">
        <f>_xlfn.XLOOKUP(TablaSTOCKINV[[#This Row],[SKU]],TablaINVENTARIO[SKU],TablaINVENTARIO[MEDIDA])</f>
        <v xml:space="preserve">UND </v>
      </c>
      <c r="H315" s="33" t="str">
        <f>_xlfn.XLOOKUP(TablaSTOCKINV[[#This Row],[SKU]],TablaINVENTARIO[SKU],TablaINVENTARIO[SERIAL])</f>
        <v>N/A</v>
      </c>
      <c r="I315" s="34" t="str">
        <f>_xlfn.XLOOKUP(TablaSTOCKINV[[#This Row],[SKU]],TablaINVENTARIO[SKU],TablaINVENTARIO[ALMACEN])</f>
        <v>ALMACEN PRINCIPAL</v>
      </c>
      <c r="J315" s="34" t="str">
        <f>_xlfn.XLOOKUP(TablaSTOCKINV[[#This Row],[SKU]],TablaINVENTARIO[SKU],TablaINVENTARIO[UBICACION])</f>
        <v>J2-2</v>
      </c>
      <c r="K315" s="34" t="str">
        <f>_xlfn.XLOOKUP(TablaSTOCKINV[[#This Row],[SKU]],TablaINVENTARIO[SKU],TablaINVENTARIO[DPTO RESPONSABLE])</f>
        <v xml:space="preserve">OPERACIONES </v>
      </c>
      <c r="L315" s="36">
        <f>_xlfn.XLOOKUP(TablaSTOCKINV[[#This Row],[SKU]],TablaINVENTARIO[SKU],TablaINVENTARIO[RANGO MIN])</f>
        <v>0</v>
      </c>
      <c r="M315" s="34" cm="1">
        <f t="array" ref="M315">_xlfn.IFS(TablaSTOCKINV[[#This Row],[CANT. TOTAL]]&lt;=0,1,TablaSTOCKINV[[#This Row],[CANT. TOTAL]]&lt;=TablaSTOCKINV[[#This Row],[MIN]],2,TablaSTOCKINV[[#This Row],[CANT. TOTAL]]&gt;TablaSTOCKINV[[#This Row],[MIN]],3)</f>
        <v>3</v>
      </c>
      <c r="N315" s="34">
        <f>TablaSTOCKINV[[#This Row],[ENTRADAS]]-TablaSTOCKINV[[#This Row],[SALIDAS]]</f>
        <v>16</v>
      </c>
      <c r="O315" s="35">
        <f>SUMIFS(TablaENTRADA[CANT],TablaENTRADA[SKU],TablaSTOCKINV[[#This Row],[SKU]])</f>
        <v>16</v>
      </c>
      <c r="P315" s="35">
        <f>SUMIFS(TablaSALIDA[CANT],TablaSALIDA[SKU],TablaSTOCKINV[[#This Row],[SKU]])</f>
        <v>0</v>
      </c>
      <c r="Q315" s="34">
        <f>_xlfn.XLOOKUP(TablaSTOCKINV[[#This Row],[SKU]],TablaINVENTARIO[SKU],TablaINVENTARIO[PRECIO])</f>
        <v>0</v>
      </c>
      <c r="R315" s="34">
        <f>TablaSTOCKINV[[#This Row],[P.UNITARIO]]*TablaSTOCKINV[[#This Row],[CANT. TOTAL]]</f>
        <v>0</v>
      </c>
      <c r="S315" s="44">
        <f>_xlfn.XLOOKUP(TablaSTOCKINV[[#This Row],[SKU]],TablaINVENTARIO[SKU],TablaINVENTARIO[FECHA INGRESO])</f>
        <v>46023</v>
      </c>
      <c r="T315" s="44">
        <f>_xlfn.XLOOKUP(TablaSTOCKINV[[#This Row],[SKU]],TablaENTRADA[SKU],TablaENTRADA[FECHA],,0,-1)</f>
        <v>46023</v>
      </c>
      <c r="U315" s="46" t="str">
        <f>IFERROR((_xlfn.XLOOKUP(TablaSTOCKINV[[#This Row],[SKU]],TablaSALIDA[SKU],TablaSALIDA[FECHA],,0,-1))," " )</f>
        <v xml:space="preserve"> </v>
      </c>
    </row>
    <row r="316" spans="1:21" x14ac:dyDescent="0.3">
      <c r="A316" s="27" t="s">
        <v>1464</v>
      </c>
      <c r="B316" s="32" t="str">
        <f>_xlfn.XLOOKUP(TablaSTOCKINV[[#This Row],[SKU]],TablaINVENTARIO[SKU],TablaINVENTARIO[DESCRIPCION])</f>
        <v>UNION CONDUIT UNIVERSAL 1-1/2" X 2-1/2" C/ NIPLE ROSCADO 1-1/2"</v>
      </c>
      <c r="C316" s="32" t="str">
        <f>_xlfn.XLOOKUP(TablaSTOCKINV[[#This Row],[SKU]],TablaINVENTARIO[SKU],TablaINVENTARIO[MARCA])</f>
        <v>N/A</v>
      </c>
      <c r="D316" s="33" t="str">
        <f>_xlfn.XLOOKUP(TablaSTOCKINV[[#This Row],[SKU]],TablaINVENTARIO[SKU],TablaINVENTARIO[CATEGORIA])</f>
        <v>HERRAMIENTAS_</v>
      </c>
      <c r="E316" s="33" t="str">
        <f>_xlfn.XLOOKUP(TablaSTOCKINV[[#This Row],[SKU]],TablaINVENTARIO[SKU],TablaINVENTARIO[SUBCATEGORIA])</f>
        <v>MATERIAL ELECTRICO</v>
      </c>
      <c r="F316" s="33" t="str">
        <f>_xlfn.XLOOKUP(TablaSTOCKINV[[#This Row],[SKU]],TablaINVENTARIO[SKU],TablaINVENTARIO[ESTADO])</f>
        <v xml:space="preserve">NUEVO </v>
      </c>
      <c r="G316" s="33" t="str">
        <f>_xlfn.XLOOKUP(TablaSTOCKINV[[#This Row],[SKU]],TablaINVENTARIO[SKU],TablaINVENTARIO[MEDIDA])</f>
        <v xml:space="preserve">UND </v>
      </c>
      <c r="H316" s="33" t="str">
        <f>_xlfn.XLOOKUP(TablaSTOCKINV[[#This Row],[SKU]],TablaINVENTARIO[SKU],TablaINVENTARIO[SERIAL])</f>
        <v>N/A</v>
      </c>
      <c r="I316" s="34" t="str">
        <f>_xlfn.XLOOKUP(TablaSTOCKINV[[#This Row],[SKU]],TablaINVENTARIO[SKU],TablaINVENTARIO[ALMACEN])</f>
        <v>ALMACEN PRINCIPAL</v>
      </c>
      <c r="J316" s="34" t="str">
        <f>_xlfn.XLOOKUP(TablaSTOCKINV[[#This Row],[SKU]],TablaINVENTARIO[SKU],TablaINVENTARIO[UBICACION])</f>
        <v>J2-2</v>
      </c>
      <c r="K316" s="34" t="str">
        <f>_xlfn.XLOOKUP(TablaSTOCKINV[[#This Row],[SKU]],TablaINVENTARIO[SKU],TablaINVENTARIO[DPTO RESPONSABLE])</f>
        <v xml:space="preserve">OPERACIONES </v>
      </c>
      <c r="L316" s="36">
        <f>_xlfn.XLOOKUP(TablaSTOCKINV[[#This Row],[SKU]],TablaINVENTARIO[SKU],TablaINVENTARIO[RANGO MIN])</f>
        <v>0</v>
      </c>
      <c r="M316" s="34" cm="1">
        <f t="array" ref="M316">_xlfn.IFS(TablaSTOCKINV[[#This Row],[CANT. TOTAL]]&lt;=0,1,TablaSTOCKINV[[#This Row],[CANT. TOTAL]]&lt;=TablaSTOCKINV[[#This Row],[MIN]],2,TablaSTOCKINV[[#This Row],[CANT. TOTAL]]&gt;TablaSTOCKINV[[#This Row],[MIN]],3)</f>
        <v>3</v>
      </c>
      <c r="N316" s="34">
        <f>TablaSTOCKINV[[#This Row],[ENTRADAS]]-TablaSTOCKINV[[#This Row],[SALIDAS]]</f>
        <v>14</v>
      </c>
      <c r="O316" s="35">
        <f>SUMIFS(TablaENTRADA[CANT],TablaENTRADA[SKU],TablaSTOCKINV[[#This Row],[SKU]])</f>
        <v>14</v>
      </c>
      <c r="P316" s="35">
        <f>SUMIFS(TablaSALIDA[CANT],TablaSALIDA[SKU],TablaSTOCKINV[[#This Row],[SKU]])</f>
        <v>0</v>
      </c>
      <c r="Q316" s="34">
        <f>_xlfn.XLOOKUP(TablaSTOCKINV[[#This Row],[SKU]],TablaINVENTARIO[SKU],TablaINVENTARIO[PRECIO])</f>
        <v>0</v>
      </c>
      <c r="R316" s="34">
        <f>TablaSTOCKINV[[#This Row],[P.UNITARIO]]*TablaSTOCKINV[[#This Row],[CANT. TOTAL]]</f>
        <v>0</v>
      </c>
      <c r="S316" s="44">
        <f>_xlfn.XLOOKUP(TablaSTOCKINV[[#This Row],[SKU]],TablaINVENTARIO[SKU],TablaINVENTARIO[FECHA INGRESO])</f>
        <v>46023</v>
      </c>
      <c r="T316" s="44">
        <f>_xlfn.XLOOKUP(TablaSTOCKINV[[#This Row],[SKU]],TablaENTRADA[SKU],TablaENTRADA[FECHA],,0,-1)</f>
        <v>46023</v>
      </c>
      <c r="U316" s="46" t="str">
        <f>IFERROR((_xlfn.XLOOKUP(TablaSTOCKINV[[#This Row],[SKU]],TablaSALIDA[SKU],TablaSALIDA[FECHA],,0,-1))," " )</f>
        <v xml:space="preserve"> </v>
      </c>
    </row>
    <row r="317" spans="1:21" x14ac:dyDescent="0.3">
      <c r="A317" s="27" t="s">
        <v>1466</v>
      </c>
      <c r="B317" s="32" t="str">
        <f>_xlfn.XLOOKUP(TablaSTOCKINV[[#This Row],[SKU]],TablaINVENTARIO[SKU],TablaINVENTARIO[DESCRIPCION])</f>
        <v>UNION CONDUIT UNIVERSAL 1" X 1"</v>
      </c>
      <c r="C317" s="32" t="str">
        <f>_xlfn.XLOOKUP(TablaSTOCKINV[[#This Row],[SKU]],TablaINVENTARIO[SKU],TablaINVENTARIO[MARCA])</f>
        <v>N/A</v>
      </c>
      <c r="D317" s="33" t="str">
        <f>_xlfn.XLOOKUP(TablaSTOCKINV[[#This Row],[SKU]],TablaINVENTARIO[SKU],TablaINVENTARIO[CATEGORIA])</f>
        <v>HERRAMIENTAS_</v>
      </c>
      <c r="E317" s="33" t="str">
        <f>_xlfn.XLOOKUP(TablaSTOCKINV[[#This Row],[SKU]],TablaINVENTARIO[SKU],TablaINVENTARIO[SUBCATEGORIA])</f>
        <v>MATERIAL ELECTRICO</v>
      </c>
      <c r="F317" s="33" t="str">
        <f>_xlfn.XLOOKUP(TablaSTOCKINV[[#This Row],[SKU]],TablaINVENTARIO[SKU],TablaINVENTARIO[ESTADO])</f>
        <v xml:space="preserve">NUEVO </v>
      </c>
      <c r="G317" s="33" t="str">
        <f>_xlfn.XLOOKUP(TablaSTOCKINV[[#This Row],[SKU]],TablaINVENTARIO[SKU],TablaINVENTARIO[MEDIDA])</f>
        <v xml:space="preserve">UND </v>
      </c>
      <c r="H317" s="33" t="str">
        <f>_xlfn.XLOOKUP(TablaSTOCKINV[[#This Row],[SKU]],TablaINVENTARIO[SKU],TablaINVENTARIO[SERIAL])</f>
        <v>N/A</v>
      </c>
      <c r="I317" s="34" t="str">
        <f>_xlfn.XLOOKUP(TablaSTOCKINV[[#This Row],[SKU]],TablaINVENTARIO[SKU],TablaINVENTARIO[ALMACEN])</f>
        <v>ALMACEN PRINCIPAL</v>
      </c>
      <c r="J317" s="34" t="str">
        <f>_xlfn.XLOOKUP(TablaSTOCKINV[[#This Row],[SKU]],TablaINVENTARIO[SKU],TablaINVENTARIO[UBICACION])</f>
        <v>J2-2</v>
      </c>
      <c r="K317" s="34" t="str">
        <f>_xlfn.XLOOKUP(TablaSTOCKINV[[#This Row],[SKU]],TablaINVENTARIO[SKU],TablaINVENTARIO[DPTO RESPONSABLE])</f>
        <v xml:space="preserve">OPERACIONES </v>
      </c>
      <c r="L317" s="36">
        <f>_xlfn.XLOOKUP(TablaSTOCKINV[[#This Row],[SKU]],TablaINVENTARIO[SKU],TablaINVENTARIO[RANGO MIN])</f>
        <v>0</v>
      </c>
      <c r="M317" s="34" cm="1">
        <f t="array" ref="M317">_xlfn.IFS(TablaSTOCKINV[[#This Row],[CANT. TOTAL]]&lt;=0,1,TablaSTOCKINV[[#This Row],[CANT. TOTAL]]&lt;=TablaSTOCKINV[[#This Row],[MIN]],2,TablaSTOCKINV[[#This Row],[CANT. TOTAL]]&gt;TablaSTOCKINV[[#This Row],[MIN]],3)</f>
        <v>3</v>
      </c>
      <c r="N317" s="34">
        <f>TablaSTOCKINV[[#This Row],[ENTRADAS]]-TablaSTOCKINV[[#This Row],[SALIDAS]]</f>
        <v>1</v>
      </c>
      <c r="O317" s="35">
        <f>SUMIFS(TablaENTRADA[CANT],TablaENTRADA[SKU],TablaSTOCKINV[[#This Row],[SKU]])</f>
        <v>1</v>
      </c>
      <c r="P317" s="35">
        <f>SUMIFS(TablaSALIDA[CANT],TablaSALIDA[SKU],TablaSTOCKINV[[#This Row],[SKU]])</f>
        <v>0</v>
      </c>
      <c r="Q317" s="34">
        <f>_xlfn.XLOOKUP(TablaSTOCKINV[[#This Row],[SKU]],TablaINVENTARIO[SKU],TablaINVENTARIO[PRECIO])</f>
        <v>0</v>
      </c>
      <c r="R317" s="34">
        <f>TablaSTOCKINV[[#This Row],[P.UNITARIO]]*TablaSTOCKINV[[#This Row],[CANT. TOTAL]]</f>
        <v>0</v>
      </c>
      <c r="S317" s="44">
        <f>_xlfn.XLOOKUP(TablaSTOCKINV[[#This Row],[SKU]],TablaINVENTARIO[SKU],TablaINVENTARIO[FECHA INGRESO])</f>
        <v>46023</v>
      </c>
      <c r="T317" s="44">
        <f>_xlfn.XLOOKUP(TablaSTOCKINV[[#This Row],[SKU]],TablaENTRADA[SKU],TablaENTRADA[FECHA],,0,-1)</f>
        <v>46023</v>
      </c>
      <c r="U317" s="46" t="str">
        <f>IFERROR((_xlfn.XLOOKUP(TablaSTOCKINV[[#This Row],[SKU]],TablaSALIDA[SKU],TablaSALIDA[FECHA],,0,-1))," " )</f>
        <v xml:space="preserve"> </v>
      </c>
    </row>
    <row r="318" spans="1:21" x14ac:dyDescent="0.3">
      <c r="A318" s="27" t="s">
        <v>1468</v>
      </c>
      <c r="B318" s="32" t="str">
        <f>_xlfn.XLOOKUP(TablaSTOCKINV[[#This Row],[SKU]],TablaINVENTARIO[SKU],TablaINVENTARIO[DESCRIPCION])</f>
        <v xml:space="preserve">REDUCTOR 2" X 1" </v>
      </c>
      <c r="C318" s="32" t="str">
        <f>_xlfn.XLOOKUP(TablaSTOCKINV[[#This Row],[SKU]],TablaINVENTARIO[SKU],TablaINVENTARIO[MARCA])</f>
        <v>N/A</v>
      </c>
      <c r="D318" s="33" t="str">
        <f>_xlfn.XLOOKUP(TablaSTOCKINV[[#This Row],[SKU]],TablaINVENTARIO[SKU],TablaINVENTARIO[CATEGORIA])</f>
        <v>HERRAMIENTAS_</v>
      </c>
      <c r="E318" s="33" t="str">
        <f>_xlfn.XLOOKUP(TablaSTOCKINV[[#This Row],[SKU]],TablaINVENTARIO[SKU],TablaINVENTARIO[SUBCATEGORIA])</f>
        <v>MATERIAL ELECTRICO</v>
      </c>
      <c r="F318" s="33" t="str">
        <f>_xlfn.XLOOKUP(TablaSTOCKINV[[#This Row],[SKU]],TablaINVENTARIO[SKU],TablaINVENTARIO[ESTADO])</f>
        <v xml:space="preserve">NUEVO </v>
      </c>
      <c r="G318" s="33" t="str">
        <f>_xlfn.XLOOKUP(TablaSTOCKINV[[#This Row],[SKU]],TablaINVENTARIO[SKU],TablaINVENTARIO[MEDIDA])</f>
        <v xml:space="preserve">UND </v>
      </c>
      <c r="H318" s="33" t="str">
        <f>_xlfn.XLOOKUP(TablaSTOCKINV[[#This Row],[SKU]],TablaINVENTARIO[SKU],TablaINVENTARIO[SERIAL])</f>
        <v>N/A</v>
      </c>
      <c r="I318" s="34" t="str">
        <f>_xlfn.XLOOKUP(TablaSTOCKINV[[#This Row],[SKU]],TablaINVENTARIO[SKU],TablaINVENTARIO[ALMACEN])</f>
        <v>ALMACEN PRINCIPAL</v>
      </c>
      <c r="J318" s="34" t="str">
        <f>_xlfn.XLOOKUP(TablaSTOCKINV[[#This Row],[SKU]],TablaINVENTARIO[SKU],TablaINVENTARIO[UBICACION])</f>
        <v>J2-2</v>
      </c>
      <c r="K318" s="34" t="str">
        <f>_xlfn.XLOOKUP(TablaSTOCKINV[[#This Row],[SKU]],TablaINVENTARIO[SKU],TablaINVENTARIO[DPTO RESPONSABLE])</f>
        <v xml:space="preserve">OPERACIONES </v>
      </c>
      <c r="L318" s="36">
        <f>_xlfn.XLOOKUP(TablaSTOCKINV[[#This Row],[SKU]],TablaINVENTARIO[SKU],TablaINVENTARIO[RANGO MIN])</f>
        <v>0</v>
      </c>
      <c r="M318" s="34" cm="1">
        <f t="array" ref="M318">_xlfn.IFS(TablaSTOCKINV[[#This Row],[CANT. TOTAL]]&lt;=0,1,TablaSTOCKINV[[#This Row],[CANT. TOTAL]]&lt;=TablaSTOCKINV[[#This Row],[MIN]],2,TablaSTOCKINV[[#This Row],[CANT. TOTAL]]&gt;TablaSTOCKINV[[#This Row],[MIN]],3)</f>
        <v>3</v>
      </c>
      <c r="N318" s="34">
        <f>TablaSTOCKINV[[#This Row],[ENTRADAS]]-TablaSTOCKINV[[#This Row],[SALIDAS]]</f>
        <v>1</v>
      </c>
      <c r="O318" s="35">
        <f>SUMIFS(TablaENTRADA[CANT],TablaENTRADA[SKU],TablaSTOCKINV[[#This Row],[SKU]])</f>
        <v>1</v>
      </c>
      <c r="P318" s="35">
        <f>SUMIFS(TablaSALIDA[CANT],TablaSALIDA[SKU],TablaSTOCKINV[[#This Row],[SKU]])</f>
        <v>0</v>
      </c>
      <c r="Q318" s="34">
        <f>_xlfn.XLOOKUP(TablaSTOCKINV[[#This Row],[SKU]],TablaINVENTARIO[SKU],TablaINVENTARIO[PRECIO])</f>
        <v>0</v>
      </c>
      <c r="R318" s="34">
        <f>TablaSTOCKINV[[#This Row],[P.UNITARIO]]*TablaSTOCKINV[[#This Row],[CANT. TOTAL]]</f>
        <v>0</v>
      </c>
      <c r="S318" s="44">
        <f>_xlfn.XLOOKUP(TablaSTOCKINV[[#This Row],[SKU]],TablaINVENTARIO[SKU],TablaINVENTARIO[FECHA INGRESO])</f>
        <v>46023</v>
      </c>
      <c r="T318" s="44">
        <f>_xlfn.XLOOKUP(TablaSTOCKINV[[#This Row],[SKU]],TablaENTRADA[SKU],TablaENTRADA[FECHA],,0,-1)</f>
        <v>46023</v>
      </c>
      <c r="U318" s="46" t="str">
        <f>IFERROR((_xlfn.XLOOKUP(TablaSTOCKINV[[#This Row],[SKU]],TablaSALIDA[SKU],TablaSALIDA[FECHA],,0,-1))," " )</f>
        <v xml:space="preserve"> </v>
      </c>
    </row>
    <row r="319" spans="1:21" x14ac:dyDescent="0.3">
      <c r="A319" s="27" t="s">
        <v>1470</v>
      </c>
      <c r="B319" s="32" t="str">
        <f>_xlfn.XLOOKUP(TablaSTOCKINV[[#This Row],[SKU]],TablaINVENTARIO[SKU],TablaINVENTARIO[DESCRIPCION])</f>
        <v>CONECTOR DE COMPRESION DE ACERO 2" X 2"</v>
      </c>
      <c r="C319" s="32" t="str">
        <f>_xlfn.XLOOKUP(TablaSTOCKINV[[#This Row],[SKU]],TablaINVENTARIO[SKU],TablaINVENTARIO[MARCA])</f>
        <v>N/A</v>
      </c>
      <c r="D319" s="33" t="str">
        <f>_xlfn.XLOOKUP(TablaSTOCKINV[[#This Row],[SKU]],TablaINVENTARIO[SKU],TablaINVENTARIO[CATEGORIA])</f>
        <v>HERRAMIENTAS_</v>
      </c>
      <c r="E319" s="33" t="str">
        <f>_xlfn.XLOOKUP(TablaSTOCKINV[[#This Row],[SKU]],TablaINVENTARIO[SKU],TablaINVENTARIO[SUBCATEGORIA])</f>
        <v>MATERIAL ELECTRICO</v>
      </c>
      <c r="F319" s="33" t="str">
        <f>_xlfn.XLOOKUP(TablaSTOCKINV[[#This Row],[SKU]],TablaINVENTARIO[SKU],TablaINVENTARIO[ESTADO])</f>
        <v xml:space="preserve">NUEVO </v>
      </c>
      <c r="G319" s="33" t="str">
        <f>_xlfn.XLOOKUP(TablaSTOCKINV[[#This Row],[SKU]],TablaINVENTARIO[SKU],TablaINVENTARIO[MEDIDA])</f>
        <v xml:space="preserve">UND </v>
      </c>
      <c r="H319" s="33" t="str">
        <f>_xlfn.XLOOKUP(TablaSTOCKINV[[#This Row],[SKU]],TablaINVENTARIO[SKU],TablaINVENTARIO[SERIAL])</f>
        <v>N/A</v>
      </c>
      <c r="I319" s="34" t="str">
        <f>_xlfn.XLOOKUP(TablaSTOCKINV[[#This Row],[SKU]],TablaINVENTARIO[SKU],TablaINVENTARIO[ALMACEN])</f>
        <v>ALMACEN PRINCIPAL</v>
      </c>
      <c r="J319" s="34" t="str">
        <f>_xlfn.XLOOKUP(TablaSTOCKINV[[#This Row],[SKU]],TablaINVENTARIO[SKU],TablaINVENTARIO[UBICACION])</f>
        <v>J2-2</v>
      </c>
      <c r="K319" s="34" t="str">
        <f>_xlfn.XLOOKUP(TablaSTOCKINV[[#This Row],[SKU]],TablaINVENTARIO[SKU],TablaINVENTARIO[DPTO RESPONSABLE])</f>
        <v xml:space="preserve">OPERACIONES </v>
      </c>
      <c r="L319" s="36">
        <f>_xlfn.XLOOKUP(TablaSTOCKINV[[#This Row],[SKU]],TablaINVENTARIO[SKU],TablaINVENTARIO[RANGO MIN])</f>
        <v>0</v>
      </c>
      <c r="M319" s="34" cm="1">
        <f t="array" ref="M319">_xlfn.IFS(TablaSTOCKINV[[#This Row],[CANT. TOTAL]]&lt;=0,1,TablaSTOCKINV[[#This Row],[CANT. TOTAL]]&lt;=TablaSTOCKINV[[#This Row],[MIN]],2,TablaSTOCKINV[[#This Row],[CANT. TOTAL]]&gt;TablaSTOCKINV[[#This Row],[MIN]],3)</f>
        <v>3</v>
      </c>
      <c r="N319" s="34">
        <f>TablaSTOCKINV[[#This Row],[ENTRADAS]]-TablaSTOCKINV[[#This Row],[SALIDAS]]</f>
        <v>1</v>
      </c>
      <c r="O319" s="35">
        <f>SUMIFS(TablaENTRADA[CANT],TablaENTRADA[SKU],TablaSTOCKINV[[#This Row],[SKU]])</f>
        <v>1</v>
      </c>
      <c r="P319" s="35">
        <f>SUMIFS(TablaSALIDA[CANT],TablaSALIDA[SKU],TablaSTOCKINV[[#This Row],[SKU]])</f>
        <v>0</v>
      </c>
      <c r="Q319" s="34">
        <f>_xlfn.XLOOKUP(TablaSTOCKINV[[#This Row],[SKU]],TablaINVENTARIO[SKU],TablaINVENTARIO[PRECIO])</f>
        <v>0</v>
      </c>
      <c r="R319" s="34">
        <f>TablaSTOCKINV[[#This Row],[P.UNITARIO]]*TablaSTOCKINV[[#This Row],[CANT. TOTAL]]</f>
        <v>0</v>
      </c>
      <c r="S319" s="44">
        <f>_xlfn.XLOOKUP(TablaSTOCKINV[[#This Row],[SKU]],TablaINVENTARIO[SKU],TablaINVENTARIO[FECHA INGRESO])</f>
        <v>46023</v>
      </c>
      <c r="T319" s="44">
        <f>_xlfn.XLOOKUP(TablaSTOCKINV[[#This Row],[SKU]],TablaENTRADA[SKU],TablaENTRADA[FECHA],,0,-1)</f>
        <v>46023</v>
      </c>
      <c r="U319" s="46" t="str">
        <f>IFERROR((_xlfn.XLOOKUP(TablaSTOCKINV[[#This Row],[SKU]],TablaSALIDA[SKU],TablaSALIDA[FECHA],,0,-1))," " )</f>
        <v xml:space="preserve"> </v>
      </c>
    </row>
    <row r="320" spans="1:21" x14ac:dyDescent="0.3">
      <c r="A320" s="27" t="s">
        <v>1472</v>
      </c>
      <c r="B320" s="32" t="str">
        <f>_xlfn.XLOOKUP(TablaSTOCKINV[[#This Row],[SKU]],TablaINVENTARIO[SKU],TablaINVENTARIO[DESCRIPCION])</f>
        <v>SELLO CORTA FUEGO 1/2"</v>
      </c>
      <c r="C320" s="32" t="str">
        <f>_xlfn.XLOOKUP(TablaSTOCKINV[[#This Row],[SKU]],TablaINVENTARIO[SKU],TablaINVENTARIO[MARCA])</f>
        <v>N/A</v>
      </c>
      <c r="D320" s="33" t="str">
        <f>_xlfn.XLOOKUP(TablaSTOCKINV[[#This Row],[SKU]],TablaINVENTARIO[SKU],TablaINVENTARIO[CATEGORIA])</f>
        <v>HERRAMIENTAS_</v>
      </c>
      <c r="E320" s="33" t="str">
        <f>_xlfn.XLOOKUP(TablaSTOCKINV[[#This Row],[SKU]],TablaINVENTARIO[SKU],TablaINVENTARIO[SUBCATEGORIA])</f>
        <v>MATERIAL ELECTRICO</v>
      </c>
      <c r="F320" s="33" t="str">
        <f>_xlfn.XLOOKUP(TablaSTOCKINV[[#This Row],[SKU]],TablaINVENTARIO[SKU],TablaINVENTARIO[ESTADO])</f>
        <v xml:space="preserve">NUEVO </v>
      </c>
      <c r="G320" s="33" t="str">
        <f>_xlfn.XLOOKUP(TablaSTOCKINV[[#This Row],[SKU]],TablaINVENTARIO[SKU],TablaINVENTARIO[MEDIDA])</f>
        <v xml:space="preserve">UND </v>
      </c>
      <c r="H320" s="33" t="str">
        <f>_xlfn.XLOOKUP(TablaSTOCKINV[[#This Row],[SKU]],TablaINVENTARIO[SKU],TablaINVENTARIO[SERIAL])</f>
        <v>N/A</v>
      </c>
      <c r="I320" s="34" t="str">
        <f>_xlfn.XLOOKUP(TablaSTOCKINV[[#This Row],[SKU]],TablaINVENTARIO[SKU],TablaINVENTARIO[ALMACEN])</f>
        <v>ALMACEN PRINCIPAL</v>
      </c>
      <c r="J320" s="34" t="str">
        <f>_xlfn.XLOOKUP(TablaSTOCKINV[[#This Row],[SKU]],TablaINVENTARIO[SKU],TablaINVENTARIO[UBICACION])</f>
        <v>J2-1</v>
      </c>
      <c r="K320" s="34" t="str">
        <f>_xlfn.XLOOKUP(TablaSTOCKINV[[#This Row],[SKU]],TablaINVENTARIO[SKU],TablaINVENTARIO[DPTO RESPONSABLE])</f>
        <v xml:space="preserve">OPERACIONES </v>
      </c>
      <c r="L320" s="36">
        <f>_xlfn.XLOOKUP(TablaSTOCKINV[[#This Row],[SKU]],TablaINVENTARIO[SKU],TablaINVENTARIO[RANGO MIN])</f>
        <v>0</v>
      </c>
      <c r="M320" s="34" cm="1">
        <f t="array" ref="M320">_xlfn.IFS(TablaSTOCKINV[[#This Row],[CANT. TOTAL]]&lt;=0,1,TablaSTOCKINV[[#This Row],[CANT. TOTAL]]&lt;=TablaSTOCKINV[[#This Row],[MIN]],2,TablaSTOCKINV[[#This Row],[CANT. TOTAL]]&gt;TablaSTOCKINV[[#This Row],[MIN]],3)</f>
        <v>3</v>
      </c>
      <c r="N320" s="34">
        <f>TablaSTOCKINV[[#This Row],[ENTRADAS]]-TablaSTOCKINV[[#This Row],[SALIDAS]]</f>
        <v>37</v>
      </c>
      <c r="O320" s="35">
        <f>SUMIFS(TablaENTRADA[CANT],TablaENTRADA[SKU],TablaSTOCKINV[[#This Row],[SKU]])</f>
        <v>37</v>
      </c>
      <c r="P320" s="35">
        <f>SUMIFS(TablaSALIDA[CANT],TablaSALIDA[SKU],TablaSTOCKINV[[#This Row],[SKU]])</f>
        <v>0</v>
      </c>
      <c r="Q320" s="34">
        <f>_xlfn.XLOOKUP(TablaSTOCKINV[[#This Row],[SKU]],TablaINVENTARIO[SKU],TablaINVENTARIO[PRECIO])</f>
        <v>0</v>
      </c>
      <c r="R320" s="34">
        <f>TablaSTOCKINV[[#This Row],[P.UNITARIO]]*TablaSTOCKINV[[#This Row],[CANT. TOTAL]]</f>
        <v>0</v>
      </c>
      <c r="S320" s="44">
        <f>_xlfn.XLOOKUP(TablaSTOCKINV[[#This Row],[SKU]],TablaINVENTARIO[SKU],TablaINVENTARIO[FECHA INGRESO])</f>
        <v>46023</v>
      </c>
      <c r="T320" s="44">
        <f>_xlfn.XLOOKUP(TablaSTOCKINV[[#This Row],[SKU]],TablaENTRADA[SKU],TablaENTRADA[FECHA],,0,-1)</f>
        <v>46023</v>
      </c>
      <c r="U320" s="46" t="str">
        <f>IFERROR((_xlfn.XLOOKUP(TablaSTOCKINV[[#This Row],[SKU]],TablaSALIDA[SKU],TablaSALIDA[FECHA],,0,-1))," " )</f>
        <v xml:space="preserve"> </v>
      </c>
    </row>
    <row r="321" spans="1:21" x14ac:dyDescent="0.3">
      <c r="A321" s="27" t="s">
        <v>1474</v>
      </c>
      <c r="B321" s="32" t="str">
        <f>_xlfn.XLOOKUP(TablaSTOCKINV[[#This Row],[SKU]],TablaINVENTARIO[SKU],TablaINVENTARIO[DESCRIPCION])</f>
        <v>SELLO CORTA FUEGO 1"</v>
      </c>
      <c r="C321" s="32" t="str">
        <f>_xlfn.XLOOKUP(TablaSTOCKINV[[#This Row],[SKU]],TablaINVENTARIO[SKU],TablaINVENTARIO[MARCA])</f>
        <v>N/A</v>
      </c>
      <c r="D321" s="33" t="str">
        <f>_xlfn.XLOOKUP(TablaSTOCKINV[[#This Row],[SKU]],TablaINVENTARIO[SKU],TablaINVENTARIO[CATEGORIA])</f>
        <v>HERRAMIENTAS_</v>
      </c>
      <c r="E321" s="33" t="str">
        <f>_xlfn.XLOOKUP(TablaSTOCKINV[[#This Row],[SKU]],TablaINVENTARIO[SKU],TablaINVENTARIO[SUBCATEGORIA])</f>
        <v>MATERIAL ELECTRICO</v>
      </c>
      <c r="F321" s="33" t="str">
        <f>_xlfn.XLOOKUP(TablaSTOCKINV[[#This Row],[SKU]],TablaINVENTARIO[SKU],TablaINVENTARIO[ESTADO])</f>
        <v xml:space="preserve">NUEVO </v>
      </c>
      <c r="G321" s="33" t="str">
        <f>_xlfn.XLOOKUP(TablaSTOCKINV[[#This Row],[SKU]],TablaINVENTARIO[SKU],TablaINVENTARIO[MEDIDA])</f>
        <v xml:space="preserve">UND </v>
      </c>
      <c r="H321" s="33" t="str">
        <f>_xlfn.XLOOKUP(TablaSTOCKINV[[#This Row],[SKU]],TablaINVENTARIO[SKU],TablaINVENTARIO[SERIAL])</f>
        <v>N/A</v>
      </c>
      <c r="I321" s="34" t="str">
        <f>_xlfn.XLOOKUP(TablaSTOCKINV[[#This Row],[SKU]],TablaINVENTARIO[SKU],TablaINVENTARIO[ALMACEN])</f>
        <v>ALMACEN PRINCIPAL</v>
      </c>
      <c r="J321" s="34" t="str">
        <f>_xlfn.XLOOKUP(TablaSTOCKINV[[#This Row],[SKU]],TablaINVENTARIO[SKU],TablaINVENTARIO[UBICACION])</f>
        <v>J2-1</v>
      </c>
      <c r="K321" s="34" t="str">
        <f>_xlfn.XLOOKUP(TablaSTOCKINV[[#This Row],[SKU]],TablaINVENTARIO[SKU],TablaINVENTARIO[DPTO RESPONSABLE])</f>
        <v xml:space="preserve">OPERACIONES </v>
      </c>
      <c r="L321" s="36">
        <f>_xlfn.XLOOKUP(TablaSTOCKINV[[#This Row],[SKU]],TablaINVENTARIO[SKU],TablaINVENTARIO[RANGO MIN])</f>
        <v>0</v>
      </c>
      <c r="M321" s="34" cm="1">
        <f t="array" ref="M321">_xlfn.IFS(TablaSTOCKINV[[#This Row],[CANT. TOTAL]]&lt;=0,1,TablaSTOCKINV[[#This Row],[CANT. TOTAL]]&lt;=TablaSTOCKINV[[#This Row],[MIN]],2,TablaSTOCKINV[[#This Row],[CANT. TOTAL]]&gt;TablaSTOCKINV[[#This Row],[MIN]],3)</f>
        <v>3</v>
      </c>
      <c r="N321" s="34">
        <f>TablaSTOCKINV[[#This Row],[ENTRADAS]]-TablaSTOCKINV[[#This Row],[SALIDAS]]</f>
        <v>18</v>
      </c>
      <c r="O321" s="35">
        <f>SUMIFS(TablaENTRADA[CANT],TablaENTRADA[SKU],TablaSTOCKINV[[#This Row],[SKU]])</f>
        <v>18</v>
      </c>
      <c r="P321" s="35">
        <f>SUMIFS(TablaSALIDA[CANT],TablaSALIDA[SKU],TablaSTOCKINV[[#This Row],[SKU]])</f>
        <v>0</v>
      </c>
      <c r="Q321" s="34">
        <f>_xlfn.XLOOKUP(TablaSTOCKINV[[#This Row],[SKU]],TablaINVENTARIO[SKU],TablaINVENTARIO[PRECIO])</f>
        <v>0</v>
      </c>
      <c r="R321" s="34">
        <f>TablaSTOCKINV[[#This Row],[P.UNITARIO]]*TablaSTOCKINV[[#This Row],[CANT. TOTAL]]</f>
        <v>0</v>
      </c>
      <c r="S321" s="44">
        <f>_xlfn.XLOOKUP(TablaSTOCKINV[[#This Row],[SKU]],TablaINVENTARIO[SKU],TablaINVENTARIO[FECHA INGRESO])</f>
        <v>46023</v>
      </c>
      <c r="T321" s="44">
        <f>_xlfn.XLOOKUP(TablaSTOCKINV[[#This Row],[SKU]],TablaENTRADA[SKU],TablaENTRADA[FECHA],,0,-1)</f>
        <v>46023</v>
      </c>
      <c r="U321" s="46" t="str">
        <f>IFERROR((_xlfn.XLOOKUP(TablaSTOCKINV[[#This Row],[SKU]],TablaSALIDA[SKU],TablaSALIDA[FECHA],,0,-1))," " )</f>
        <v xml:space="preserve"> </v>
      </c>
    </row>
    <row r="322" spans="1:21" x14ac:dyDescent="0.3">
      <c r="A322" s="27" t="s">
        <v>1476</v>
      </c>
      <c r="B322" s="32" t="str">
        <f>_xlfn.XLOOKUP(TablaSTOCKINV[[#This Row],[SKU]],TablaINVENTARIO[SKU],TablaINVENTARIO[DESCRIPCION])</f>
        <v>MOTOR PARA NEVERA 115-127V</v>
      </c>
      <c r="C322" s="32" t="str">
        <f>_xlfn.XLOOKUP(TablaSTOCKINV[[#This Row],[SKU]],TablaINVENTARIO[SKU],TablaINVENTARIO[MARCA])</f>
        <v>EMBRACO</v>
      </c>
      <c r="D322" s="33" t="str">
        <f>_xlfn.XLOOKUP(TablaSTOCKINV[[#This Row],[SKU]],TablaINVENTARIO[SKU],TablaINVENTARIO[CATEGORIA])</f>
        <v>HERRAMIENTAS_</v>
      </c>
      <c r="E322" s="33" t="str">
        <f>_xlfn.XLOOKUP(TablaSTOCKINV[[#This Row],[SKU]],TablaINVENTARIO[SKU],TablaINVENTARIO[SUBCATEGORIA])</f>
        <v>MATERIAL ELECTRICO</v>
      </c>
      <c r="F322" s="33" t="str">
        <f>_xlfn.XLOOKUP(TablaSTOCKINV[[#This Row],[SKU]],TablaINVENTARIO[SKU],TablaINVENTARIO[ESTADO])</f>
        <v xml:space="preserve">NUEVO </v>
      </c>
      <c r="G322" s="33" t="str">
        <f>_xlfn.XLOOKUP(TablaSTOCKINV[[#This Row],[SKU]],TablaINVENTARIO[SKU],TablaINVENTARIO[MEDIDA])</f>
        <v>UND</v>
      </c>
      <c r="H322" s="33" t="str">
        <f>_xlfn.XLOOKUP(TablaSTOCKINV[[#This Row],[SKU]],TablaINVENTARIO[SKU],TablaINVENTARIO[SERIAL])</f>
        <v>N/A</v>
      </c>
      <c r="I322" s="34" t="str">
        <f>_xlfn.XLOOKUP(TablaSTOCKINV[[#This Row],[SKU]],TablaINVENTARIO[SKU],TablaINVENTARIO[ALMACEN])</f>
        <v>ALMACEN PRINCIPAL</v>
      </c>
      <c r="J322" s="34" t="str">
        <f>_xlfn.XLOOKUP(TablaSTOCKINV[[#This Row],[SKU]],TablaINVENTARIO[SKU],TablaINVENTARIO[UBICACION])</f>
        <v>J1-1</v>
      </c>
      <c r="K322" s="34" t="str">
        <f>_xlfn.XLOOKUP(TablaSTOCKINV[[#This Row],[SKU]],TablaINVENTARIO[SKU],TablaINVENTARIO[DPTO RESPONSABLE])</f>
        <v xml:space="preserve">OPERACIONES </v>
      </c>
      <c r="L322" s="36">
        <f>_xlfn.XLOOKUP(TablaSTOCKINV[[#This Row],[SKU]],TablaINVENTARIO[SKU],TablaINVENTARIO[RANGO MIN])</f>
        <v>0</v>
      </c>
      <c r="M322" s="34" cm="1">
        <f t="array" ref="M322">_xlfn.IFS(TablaSTOCKINV[[#This Row],[CANT. TOTAL]]&lt;=0,1,TablaSTOCKINV[[#This Row],[CANT. TOTAL]]&lt;=TablaSTOCKINV[[#This Row],[MIN]],2,TablaSTOCKINV[[#This Row],[CANT. TOTAL]]&gt;TablaSTOCKINV[[#This Row],[MIN]],3)</f>
        <v>3</v>
      </c>
      <c r="N322" s="34">
        <f>TablaSTOCKINV[[#This Row],[ENTRADAS]]-TablaSTOCKINV[[#This Row],[SALIDAS]]</f>
        <v>1</v>
      </c>
      <c r="O322" s="35">
        <f>SUMIFS(TablaENTRADA[CANT],TablaENTRADA[SKU],TablaSTOCKINV[[#This Row],[SKU]])</f>
        <v>1</v>
      </c>
      <c r="P322" s="35">
        <f>SUMIFS(TablaSALIDA[CANT],TablaSALIDA[SKU],TablaSTOCKINV[[#This Row],[SKU]])</f>
        <v>0</v>
      </c>
      <c r="Q322" s="34">
        <f>_xlfn.XLOOKUP(TablaSTOCKINV[[#This Row],[SKU]],TablaINVENTARIO[SKU],TablaINVENTARIO[PRECIO])</f>
        <v>0</v>
      </c>
      <c r="R322" s="34">
        <f>TablaSTOCKINV[[#This Row],[P.UNITARIO]]*TablaSTOCKINV[[#This Row],[CANT. TOTAL]]</f>
        <v>0</v>
      </c>
      <c r="S322" s="44">
        <f>_xlfn.XLOOKUP(TablaSTOCKINV[[#This Row],[SKU]],TablaINVENTARIO[SKU],TablaINVENTARIO[FECHA INGRESO])</f>
        <v>46023</v>
      </c>
      <c r="T322" s="44">
        <f>_xlfn.XLOOKUP(TablaSTOCKINV[[#This Row],[SKU]],TablaENTRADA[SKU],TablaENTRADA[FECHA],,0,-1)</f>
        <v>46023</v>
      </c>
      <c r="U322" s="46" t="str">
        <f>IFERROR((_xlfn.XLOOKUP(TablaSTOCKINV[[#This Row],[SKU]],TablaSALIDA[SKU],TablaSALIDA[FECHA],,0,-1))," " )</f>
        <v xml:space="preserve"> </v>
      </c>
    </row>
    <row r="323" spans="1:21" x14ac:dyDescent="0.3">
      <c r="A323" s="27" t="s">
        <v>1480</v>
      </c>
      <c r="B323" s="32" t="str">
        <f>_xlfn.XLOOKUP(TablaSTOCKINV[[#This Row],[SKU]],TablaINVENTARIO[SKU],TablaINVENTARIO[DESCRIPCION])</f>
        <v xml:space="preserve">LLAVE 3" PARA HAMMER </v>
      </c>
      <c r="C323" s="32" t="str">
        <f>_xlfn.XLOOKUP(TablaSTOCKINV[[#This Row],[SKU]],TablaINVENTARIO[SKU],TablaINVENTARIO[MARCA])</f>
        <v>N/A</v>
      </c>
      <c r="D323" s="33" t="str">
        <f>_xlfn.XLOOKUP(TablaSTOCKINV[[#This Row],[SKU]],TablaINVENTARIO[SKU],TablaINVENTARIO[CATEGORIA])</f>
        <v>HERRAMIENTAS_</v>
      </c>
      <c r="E323" s="33" t="str">
        <f>_xlfn.XLOOKUP(TablaSTOCKINV[[#This Row],[SKU]],TablaINVENTARIO[SKU],TablaINVENTARIO[SUBCATEGORIA])</f>
        <v xml:space="preserve">HERRAMIENTA DE MANO </v>
      </c>
      <c r="F323" s="33" t="str">
        <f>_xlfn.XLOOKUP(TablaSTOCKINV[[#This Row],[SKU]],TablaINVENTARIO[SKU],TablaINVENTARIO[ESTADO])</f>
        <v>USADO</v>
      </c>
      <c r="G323" s="33" t="str">
        <f>_xlfn.XLOOKUP(TablaSTOCKINV[[#This Row],[SKU]],TablaINVENTARIO[SKU],TablaINVENTARIO[MEDIDA])</f>
        <v>UND</v>
      </c>
      <c r="H323" s="33" t="str">
        <f>_xlfn.XLOOKUP(TablaSTOCKINV[[#This Row],[SKU]],TablaINVENTARIO[SKU],TablaINVENTARIO[SERIAL])</f>
        <v>N/A</v>
      </c>
      <c r="I323" s="34" t="str">
        <f>_xlfn.XLOOKUP(TablaSTOCKINV[[#This Row],[SKU]],TablaINVENTARIO[SKU],TablaINVENTARIO[ALMACEN])</f>
        <v>ALMACEN PRINCIPAL</v>
      </c>
      <c r="J323" s="34" t="str">
        <f>_xlfn.XLOOKUP(TablaSTOCKINV[[#This Row],[SKU]],TablaINVENTARIO[SKU],TablaINVENTARIO[UBICACION])</f>
        <v>J2-1</v>
      </c>
      <c r="K323" s="34" t="str">
        <f>_xlfn.XLOOKUP(TablaSTOCKINV[[#This Row],[SKU]],TablaINVENTARIO[SKU],TablaINVENTARIO[DPTO RESPONSABLE])</f>
        <v xml:space="preserve">OPERACIONES </v>
      </c>
      <c r="L323" s="36">
        <f>_xlfn.XLOOKUP(TablaSTOCKINV[[#This Row],[SKU]],TablaINVENTARIO[SKU],TablaINVENTARIO[RANGO MIN])</f>
        <v>0</v>
      </c>
      <c r="M323" s="34" cm="1">
        <f t="array" ref="M323">_xlfn.IFS(TablaSTOCKINV[[#This Row],[CANT. TOTAL]]&lt;=0,1,TablaSTOCKINV[[#This Row],[CANT. TOTAL]]&lt;=TablaSTOCKINV[[#This Row],[MIN]],2,TablaSTOCKINV[[#This Row],[CANT. TOTAL]]&gt;TablaSTOCKINV[[#This Row],[MIN]],3)</f>
        <v>3</v>
      </c>
      <c r="N323" s="34">
        <f>TablaSTOCKINV[[#This Row],[ENTRADAS]]-TablaSTOCKINV[[#This Row],[SALIDAS]]</f>
        <v>1</v>
      </c>
      <c r="O323" s="35">
        <f>SUMIFS(TablaENTRADA[CANT],TablaENTRADA[SKU],TablaSTOCKINV[[#This Row],[SKU]])</f>
        <v>1</v>
      </c>
      <c r="P323" s="35">
        <f>SUMIFS(TablaSALIDA[CANT],TablaSALIDA[SKU],TablaSTOCKINV[[#This Row],[SKU]])</f>
        <v>0</v>
      </c>
      <c r="Q323" s="34">
        <f>_xlfn.XLOOKUP(TablaSTOCKINV[[#This Row],[SKU]],TablaINVENTARIO[SKU],TablaINVENTARIO[PRECIO])</f>
        <v>0</v>
      </c>
      <c r="R323" s="34">
        <f>TablaSTOCKINV[[#This Row],[P.UNITARIO]]*TablaSTOCKINV[[#This Row],[CANT. TOTAL]]</f>
        <v>0</v>
      </c>
      <c r="S323" s="44">
        <f>_xlfn.XLOOKUP(TablaSTOCKINV[[#This Row],[SKU]],TablaINVENTARIO[SKU],TablaINVENTARIO[FECHA INGRESO])</f>
        <v>46023</v>
      </c>
      <c r="T323" s="44">
        <f>_xlfn.XLOOKUP(TablaSTOCKINV[[#This Row],[SKU]],TablaENTRADA[SKU],TablaENTRADA[FECHA],,0,-1)</f>
        <v>46023</v>
      </c>
      <c r="U323" s="46" t="str">
        <f>IFERROR((_xlfn.XLOOKUP(TablaSTOCKINV[[#This Row],[SKU]],TablaSALIDA[SKU],TablaSALIDA[FECHA],,0,-1))," " )</f>
        <v xml:space="preserve"> </v>
      </c>
    </row>
    <row r="324" spans="1:21" x14ac:dyDescent="0.3">
      <c r="A324" s="27" t="s">
        <v>1482</v>
      </c>
      <c r="B324" s="32" t="str">
        <f>_xlfn.XLOOKUP(TablaSTOCKINV[[#This Row],[SKU]],TablaINVENTARIO[SKU],TablaINVENTARIO[DESCRIPCION])</f>
        <v xml:space="preserve">PINTURA BLANCA PLASTICA PROFESIONAL </v>
      </c>
      <c r="C324" s="32" t="str">
        <f>_xlfn.XLOOKUP(TablaSTOCKINV[[#This Row],[SKU]],TablaINVENTARIO[SKU],TablaINVENTARIO[MARCA])</f>
        <v>SOLINTEX</v>
      </c>
      <c r="D324" s="33" t="str">
        <f>_xlfn.XLOOKUP(TablaSTOCKINV[[#This Row],[SKU]],TablaINVENTARIO[SKU],TablaINVENTARIO[CATEGORIA])</f>
        <v>HERRAMIENTAS_</v>
      </c>
      <c r="E324" s="33" t="str">
        <f>_xlfn.XLOOKUP(TablaSTOCKINV[[#This Row],[SKU]],TablaINVENTARIO[SKU],TablaINVENTARIO[SUBCATEGORIA])</f>
        <v>PINTURA</v>
      </c>
      <c r="F324" s="33" t="str">
        <f>_xlfn.XLOOKUP(TablaSTOCKINV[[#This Row],[SKU]],TablaINVENTARIO[SKU],TablaINVENTARIO[ESTADO])</f>
        <v xml:space="preserve">NUEVO </v>
      </c>
      <c r="G324" s="33" t="str">
        <f>_xlfn.XLOOKUP(TablaSTOCKINV[[#This Row],[SKU]],TablaINVENTARIO[SKU],TablaINVENTARIO[MEDIDA])</f>
        <v>CUÑETE</v>
      </c>
      <c r="H324" s="33" t="str">
        <f>_xlfn.XLOOKUP(TablaSTOCKINV[[#This Row],[SKU]],TablaINVENTARIO[SKU],TablaINVENTARIO[SERIAL])</f>
        <v>N/A</v>
      </c>
      <c r="I324" s="34" t="str">
        <f>_xlfn.XLOOKUP(TablaSTOCKINV[[#This Row],[SKU]],TablaINVENTARIO[SKU],TablaINVENTARIO[ALMACEN])</f>
        <v>ALMACEN PRINCIPAL</v>
      </c>
      <c r="J324" s="34" t="str">
        <f>_xlfn.XLOOKUP(TablaSTOCKINV[[#This Row],[SKU]],TablaINVENTARIO[SKU],TablaINVENTARIO[UBICACION])</f>
        <v>I4-1</v>
      </c>
      <c r="K324" s="34" t="str">
        <f>_xlfn.XLOOKUP(TablaSTOCKINV[[#This Row],[SKU]],TablaINVENTARIO[SKU],TablaINVENTARIO[DPTO RESPONSABLE])</f>
        <v xml:space="preserve">MANTENIMIENTO </v>
      </c>
      <c r="L324" s="36">
        <f>_xlfn.XLOOKUP(TablaSTOCKINV[[#This Row],[SKU]],TablaINVENTARIO[SKU],TablaINVENTARIO[RANGO MIN])</f>
        <v>0</v>
      </c>
      <c r="M324" s="34" cm="1">
        <f t="array" ref="M324">_xlfn.IFS(TablaSTOCKINV[[#This Row],[CANT. TOTAL]]&lt;=0,1,TablaSTOCKINV[[#This Row],[CANT. TOTAL]]&lt;=TablaSTOCKINV[[#This Row],[MIN]],2,TablaSTOCKINV[[#This Row],[CANT. TOTAL]]&gt;TablaSTOCKINV[[#This Row],[MIN]],3)</f>
        <v>3</v>
      </c>
      <c r="N324" s="34">
        <f>TablaSTOCKINV[[#This Row],[ENTRADAS]]-TablaSTOCKINV[[#This Row],[SALIDAS]]</f>
        <v>1</v>
      </c>
      <c r="O324" s="35">
        <f>SUMIFS(TablaENTRADA[CANT],TablaENTRADA[SKU],TablaSTOCKINV[[#This Row],[SKU]])</f>
        <v>1</v>
      </c>
      <c r="P324" s="35">
        <f>SUMIFS(TablaSALIDA[CANT],TablaSALIDA[SKU],TablaSTOCKINV[[#This Row],[SKU]])</f>
        <v>0</v>
      </c>
      <c r="Q324" s="34">
        <f>_xlfn.XLOOKUP(TablaSTOCKINV[[#This Row],[SKU]],TablaINVENTARIO[SKU],TablaINVENTARIO[PRECIO])</f>
        <v>0</v>
      </c>
      <c r="R324" s="34">
        <f>TablaSTOCKINV[[#This Row],[P.UNITARIO]]*TablaSTOCKINV[[#This Row],[CANT. TOTAL]]</f>
        <v>0</v>
      </c>
      <c r="S324" s="44">
        <f>_xlfn.XLOOKUP(TablaSTOCKINV[[#This Row],[SKU]],TablaINVENTARIO[SKU],TablaINVENTARIO[FECHA INGRESO])</f>
        <v>46023</v>
      </c>
      <c r="T324" s="44">
        <f>_xlfn.XLOOKUP(TablaSTOCKINV[[#This Row],[SKU]],TablaENTRADA[SKU],TablaENTRADA[FECHA],,0,-1)</f>
        <v>46023</v>
      </c>
      <c r="U324" s="46" t="str">
        <f>IFERROR((_xlfn.XLOOKUP(TablaSTOCKINV[[#This Row],[SKU]],TablaSALIDA[SKU],TablaSALIDA[FECHA],,0,-1))," " )</f>
        <v xml:space="preserve"> </v>
      </c>
    </row>
    <row r="325" spans="1:21" x14ac:dyDescent="0.3">
      <c r="A325" s="27" t="s">
        <v>1488</v>
      </c>
      <c r="B325" s="32" t="str">
        <f>_xlfn.XLOOKUP(TablaSTOCKINV[[#This Row],[SKU]],TablaINVENTARIO[SKU],TablaINVENTARIO[DESCRIPCION])</f>
        <v xml:space="preserve">THINNER CRILICO </v>
      </c>
      <c r="C325" s="32" t="str">
        <f>_xlfn.XLOOKUP(TablaSTOCKINV[[#This Row],[SKU]],TablaINVENTARIO[SKU],TablaINVENTARIO[MARCA])</f>
        <v xml:space="preserve">PEGA SOLD </v>
      </c>
      <c r="D325" s="33" t="str">
        <f>_xlfn.XLOOKUP(TablaSTOCKINV[[#This Row],[SKU]],TablaINVENTARIO[SKU],TablaINVENTARIO[CATEGORIA])</f>
        <v>HERRAMIENTAS_</v>
      </c>
      <c r="E325" s="33" t="str">
        <f>_xlfn.XLOOKUP(TablaSTOCKINV[[#This Row],[SKU]],TablaINVENTARIO[SKU],TablaINVENTARIO[SUBCATEGORIA])</f>
        <v xml:space="preserve">MATERIAL DE CONSTRUCCIÓN </v>
      </c>
      <c r="F325" s="33" t="str">
        <f>_xlfn.XLOOKUP(TablaSTOCKINV[[#This Row],[SKU]],TablaINVENTARIO[SKU],TablaINVENTARIO[ESTADO])</f>
        <v xml:space="preserve">NUEVO </v>
      </c>
      <c r="G325" s="33" t="str">
        <f>_xlfn.XLOOKUP(TablaSTOCKINV[[#This Row],[SKU]],TablaINVENTARIO[SKU],TablaINVENTARIO[MEDIDA])</f>
        <v xml:space="preserve">GALON </v>
      </c>
      <c r="H325" s="33" t="str">
        <f>_xlfn.XLOOKUP(TablaSTOCKINV[[#This Row],[SKU]],TablaINVENTARIO[SKU],TablaINVENTARIO[SERIAL])</f>
        <v>N/A</v>
      </c>
      <c r="I325" s="34" t="str">
        <f>_xlfn.XLOOKUP(TablaSTOCKINV[[#This Row],[SKU]],TablaINVENTARIO[SKU],TablaINVENTARIO[ALMACEN])</f>
        <v>ALMACEN PRINCIPAL</v>
      </c>
      <c r="J325" s="34" t="str">
        <f>_xlfn.XLOOKUP(TablaSTOCKINV[[#This Row],[SKU]],TablaINVENTARIO[SKU],TablaINVENTARIO[UBICACION])</f>
        <v>I4-1</v>
      </c>
      <c r="K325" s="34" t="str">
        <f>_xlfn.XLOOKUP(TablaSTOCKINV[[#This Row],[SKU]],TablaINVENTARIO[SKU],TablaINVENTARIO[DPTO RESPONSABLE])</f>
        <v xml:space="preserve">OPERACIONES / MANTENIMIENTO </v>
      </c>
      <c r="L325" s="36">
        <f>_xlfn.XLOOKUP(TablaSTOCKINV[[#This Row],[SKU]],TablaINVENTARIO[SKU],TablaINVENTARIO[RANGO MIN])</f>
        <v>0</v>
      </c>
      <c r="M325" s="34" cm="1">
        <f t="array" ref="M325">_xlfn.IFS(TablaSTOCKINV[[#This Row],[CANT. TOTAL]]&lt;=0,1,TablaSTOCKINV[[#This Row],[CANT. TOTAL]]&lt;=TablaSTOCKINV[[#This Row],[MIN]],2,TablaSTOCKINV[[#This Row],[CANT. TOTAL]]&gt;TablaSTOCKINV[[#This Row],[MIN]],3)</f>
        <v>3</v>
      </c>
      <c r="N325" s="34">
        <f>TablaSTOCKINV[[#This Row],[ENTRADAS]]-TablaSTOCKINV[[#This Row],[SALIDAS]]</f>
        <v>2</v>
      </c>
      <c r="O325" s="35">
        <f>SUMIFS(TablaENTRADA[CANT],TablaENTRADA[SKU],TablaSTOCKINV[[#This Row],[SKU]])</f>
        <v>2</v>
      </c>
      <c r="P325" s="35">
        <f>SUMIFS(TablaSALIDA[CANT],TablaSALIDA[SKU],TablaSTOCKINV[[#This Row],[SKU]])</f>
        <v>0</v>
      </c>
      <c r="Q325" s="34">
        <f>_xlfn.XLOOKUP(TablaSTOCKINV[[#This Row],[SKU]],TablaINVENTARIO[SKU],TablaINVENTARIO[PRECIO])</f>
        <v>0</v>
      </c>
      <c r="R325" s="34">
        <f>TablaSTOCKINV[[#This Row],[P.UNITARIO]]*TablaSTOCKINV[[#This Row],[CANT. TOTAL]]</f>
        <v>0</v>
      </c>
      <c r="S325" s="44">
        <f>_xlfn.XLOOKUP(TablaSTOCKINV[[#This Row],[SKU]],TablaINVENTARIO[SKU],TablaINVENTARIO[FECHA INGRESO])</f>
        <v>46023</v>
      </c>
      <c r="T325" s="44">
        <f>_xlfn.XLOOKUP(TablaSTOCKINV[[#This Row],[SKU]],TablaENTRADA[SKU],TablaENTRADA[FECHA],,0,-1)</f>
        <v>46023</v>
      </c>
      <c r="U325" s="46" t="str">
        <f>IFERROR((_xlfn.XLOOKUP(TablaSTOCKINV[[#This Row],[SKU]],TablaSALIDA[SKU],TablaSALIDA[FECHA],,0,-1))," " )</f>
        <v xml:space="preserve"> </v>
      </c>
    </row>
    <row r="326" spans="1:21" x14ac:dyDescent="0.3">
      <c r="A326" s="27" t="s">
        <v>1492</v>
      </c>
      <c r="B326" s="32" t="str">
        <f>_xlfn.XLOOKUP(TablaSTOCKINV[[#This Row],[SKU]],TablaINVENTARIO[SKU],TablaINVENTARIO[DESCRIPCION])</f>
        <v xml:space="preserve">PINTURA EPOXICA POLIURETANO PREPARADA SUNFIRE AZUL AGAR </v>
      </c>
      <c r="C326" s="32" t="str">
        <f>_xlfn.XLOOKUP(TablaSTOCKINV[[#This Row],[SKU]],TablaINVENTARIO[SKU],TablaINVENTARIO[MARCA])</f>
        <v>N/A</v>
      </c>
      <c r="D326" s="33" t="str">
        <f>_xlfn.XLOOKUP(TablaSTOCKINV[[#This Row],[SKU]],TablaINVENTARIO[SKU],TablaINVENTARIO[CATEGORIA])</f>
        <v>HERRAMIENTAS_</v>
      </c>
      <c r="E326" s="33" t="str">
        <f>_xlfn.XLOOKUP(TablaSTOCKINV[[#This Row],[SKU]],TablaINVENTARIO[SKU],TablaINVENTARIO[SUBCATEGORIA])</f>
        <v>PINTURA</v>
      </c>
      <c r="F326" s="33" t="str">
        <f>_xlfn.XLOOKUP(TablaSTOCKINV[[#This Row],[SKU]],TablaINVENTARIO[SKU],TablaINVENTARIO[ESTADO])</f>
        <v xml:space="preserve">NUEVO </v>
      </c>
      <c r="G326" s="33" t="str">
        <f>_xlfn.XLOOKUP(TablaSTOCKINV[[#This Row],[SKU]],TablaINVENTARIO[SKU],TablaINVENTARIO[MEDIDA])</f>
        <v xml:space="preserve">GALON </v>
      </c>
      <c r="H326" s="33" t="str">
        <f>_xlfn.XLOOKUP(TablaSTOCKINV[[#This Row],[SKU]],TablaINVENTARIO[SKU],TablaINVENTARIO[SERIAL])</f>
        <v>N/A</v>
      </c>
      <c r="I326" s="34" t="str">
        <f>_xlfn.XLOOKUP(TablaSTOCKINV[[#This Row],[SKU]],TablaINVENTARIO[SKU],TablaINVENTARIO[ALMACEN])</f>
        <v>ALMACEN PRINCIPAL</v>
      </c>
      <c r="J326" s="34" t="str">
        <f>_xlfn.XLOOKUP(TablaSTOCKINV[[#This Row],[SKU]],TablaINVENTARIO[SKU],TablaINVENTARIO[UBICACION])</f>
        <v>I3-1</v>
      </c>
      <c r="K326" s="34" t="str">
        <f>_xlfn.XLOOKUP(TablaSTOCKINV[[#This Row],[SKU]],TablaINVENTARIO[SKU],TablaINVENTARIO[DPTO RESPONSABLE])</f>
        <v>OPERACIONES</v>
      </c>
      <c r="L326" s="36">
        <f>_xlfn.XLOOKUP(TablaSTOCKINV[[#This Row],[SKU]],TablaINVENTARIO[SKU],TablaINVENTARIO[RANGO MIN])</f>
        <v>0</v>
      </c>
      <c r="M326" s="34" cm="1">
        <f t="array" ref="M326">_xlfn.IFS(TablaSTOCKINV[[#This Row],[CANT. TOTAL]]&lt;=0,1,TablaSTOCKINV[[#This Row],[CANT. TOTAL]]&lt;=TablaSTOCKINV[[#This Row],[MIN]],2,TablaSTOCKINV[[#This Row],[CANT. TOTAL]]&gt;TablaSTOCKINV[[#This Row],[MIN]],3)</f>
        <v>3</v>
      </c>
      <c r="N326" s="34">
        <f>TablaSTOCKINV[[#This Row],[ENTRADAS]]-TablaSTOCKINV[[#This Row],[SALIDAS]]</f>
        <v>7</v>
      </c>
      <c r="O326" s="35">
        <f>SUMIFS(TablaENTRADA[CANT],TablaENTRADA[SKU],TablaSTOCKINV[[#This Row],[SKU]])</f>
        <v>7</v>
      </c>
      <c r="P326" s="35">
        <f>SUMIFS(TablaSALIDA[CANT],TablaSALIDA[SKU],TablaSTOCKINV[[#This Row],[SKU]])</f>
        <v>0</v>
      </c>
      <c r="Q326" s="34">
        <f>_xlfn.XLOOKUP(TablaSTOCKINV[[#This Row],[SKU]],TablaINVENTARIO[SKU],TablaINVENTARIO[PRECIO])</f>
        <v>0</v>
      </c>
      <c r="R326" s="34">
        <f>TablaSTOCKINV[[#This Row],[P.UNITARIO]]*TablaSTOCKINV[[#This Row],[CANT. TOTAL]]</f>
        <v>0</v>
      </c>
      <c r="S326" s="44">
        <f>_xlfn.XLOOKUP(TablaSTOCKINV[[#This Row],[SKU]],TablaINVENTARIO[SKU],TablaINVENTARIO[FECHA INGRESO])</f>
        <v>46023</v>
      </c>
      <c r="T326" s="44">
        <f>_xlfn.XLOOKUP(TablaSTOCKINV[[#This Row],[SKU]],TablaENTRADA[SKU],TablaENTRADA[FECHA],,0,-1)</f>
        <v>46023</v>
      </c>
      <c r="U326" s="46" t="str">
        <f>IFERROR((_xlfn.XLOOKUP(TablaSTOCKINV[[#This Row],[SKU]],TablaSALIDA[SKU],TablaSALIDA[FECHA],,0,-1))," " )</f>
        <v xml:space="preserve"> </v>
      </c>
    </row>
    <row r="327" spans="1:21" x14ac:dyDescent="0.3">
      <c r="A327" s="27" t="s">
        <v>1494</v>
      </c>
      <c r="B327" s="32" t="str">
        <f>_xlfn.XLOOKUP(TablaSTOCKINV[[#This Row],[SKU]],TablaINVENTARIO[SKU],TablaINVENTARIO[DESCRIPCION])</f>
        <v>ENDURECEDOR PARA PINTURA EPOXICA (1/4 GL)</v>
      </c>
      <c r="C327" s="32" t="str">
        <f>_xlfn.XLOOKUP(TablaSTOCKINV[[#This Row],[SKU]],TablaINVENTARIO[SKU],TablaINVENTARIO[MARCA])</f>
        <v>N/A</v>
      </c>
      <c r="D327" s="33" t="str">
        <f>_xlfn.XLOOKUP(TablaSTOCKINV[[#This Row],[SKU]],TablaINVENTARIO[SKU],TablaINVENTARIO[CATEGORIA])</f>
        <v>HERRAMIENTAS_</v>
      </c>
      <c r="E327" s="33" t="str">
        <f>_xlfn.XLOOKUP(TablaSTOCKINV[[#This Row],[SKU]],TablaINVENTARIO[SKU],TablaINVENTARIO[SUBCATEGORIA])</f>
        <v>PINTURA</v>
      </c>
      <c r="F327" s="33" t="str">
        <f>_xlfn.XLOOKUP(TablaSTOCKINV[[#This Row],[SKU]],TablaINVENTARIO[SKU],TablaINVENTARIO[ESTADO])</f>
        <v xml:space="preserve">NUEVO </v>
      </c>
      <c r="G327" s="33" t="str">
        <f>_xlfn.XLOOKUP(TablaSTOCKINV[[#This Row],[SKU]],TablaINVENTARIO[SKU],TablaINVENTARIO[MEDIDA])</f>
        <v>UND</v>
      </c>
      <c r="H327" s="33" t="str">
        <f>_xlfn.XLOOKUP(TablaSTOCKINV[[#This Row],[SKU]],TablaINVENTARIO[SKU],TablaINVENTARIO[SERIAL])</f>
        <v>N/A</v>
      </c>
      <c r="I327" s="34" t="str">
        <f>_xlfn.XLOOKUP(TablaSTOCKINV[[#This Row],[SKU]],TablaINVENTARIO[SKU],TablaINVENTARIO[ALMACEN])</f>
        <v>ALMACEN PRINCIPAL</v>
      </c>
      <c r="J327" s="34" t="str">
        <f>_xlfn.XLOOKUP(TablaSTOCKINV[[#This Row],[SKU]],TablaINVENTARIO[SKU],TablaINVENTARIO[UBICACION])</f>
        <v>I3-1</v>
      </c>
      <c r="K327" s="34" t="str">
        <f>_xlfn.XLOOKUP(TablaSTOCKINV[[#This Row],[SKU]],TablaINVENTARIO[SKU],TablaINVENTARIO[DPTO RESPONSABLE])</f>
        <v>OPERACIONES</v>
      </c>
      <c r="L327" s="36">
        <f>_xlfn.XLOOKUP(TablaSTOCKINV[[#This Row],[SKU]],TablaINVENTARIO[SKU],TablaINVENTARIO[RANGO MIN])</f>
        <v>0</v>
      </c>
      <c r="M327" s="34" cm="1">
        <f t="array" ref="M327">_xlfn.IFS(TablaSTOCKINV[[#This Row],[CANT. TOTAL]]&lt;=0,1,TablaSTOCKINV[[#This Row],[CANT. TOTAL]]&lt;=TablaSTOCKINV[[#This Row],[MIN]],2,TablaSTOCKINV[[#This Row],[CANT. TOTAL]]&gt;TablaSTOCKINV[[#This Row],[MIN]],3)</f>
        <v>3</v>
      </c>
      <c r="N327" s="34">
        <f>TablaSTOCKINV[[#This Row],[ENTRADAS]]-TablaSTOCKINV[[#This Row],[SALIDAS]]</f>
        <v>5</v>
      </c>
      <c r="O327" s="35">
        <f>SUMIFS(TablaENTRADA[CANT],TablaENTRADA[SKU],TablaSTOCKINV[[#This Row],[SKU]])</f>
        <v>5</v>
      </c>
      <c r="P327" s="35">
        <f>SUMIFS(TablaSALIDA[CANT],TablaSALIDA[SKU],TablaSTOCKINV[[#This Row],[SKU]])</f>
        <v>0</v>
      </c>
      <c r="Q327" s="34">
        <f>_xlfn.XLOOKUP(TablaSTOCKINV[[#This Row],[SKU]],TablaINVENTARIO[SKU],TablaINVENTARIO[PRECIO])</f>
        <v>0</v>
      </c>
      <c r="R327" s="34">
        <f>TablaSTOCKINV[[#This Row],[P.UNITARIO]]*TablaSTOCKINV[[#This Row],[CANT. TOTAL]]</f>
        <v>0</v>
      </c>
      <c r="S327" s="44">
        <f>_xlfn.XLOOKUP(TablaSTOCKINV[[#This Row],[SKU]],TablaINVENTARIO[SKU],TablaINVENTARIO[FECHA INGRESO])</f>
        <v>46023</v>
      </c>
      <c r="T327" s="44">
        <f>_xlfn.XLOOKUP(TablaSTOCKINV[[#This Row],[SKU]],TablaENTRADA[SKU],TablaENTRADA[FECHA],,0,-1)</f>
        <v>46023</v>
      </c>
      <c r="U327" s="46" t="str">
        <f>IFERROR((_xlfn.XLOOKUP(TablaSTOCKINV[[#This Row],[SKU]],TablaSALIDA[SKU],TablaSALIDA[FECHA],,0,-1))," " )</f>
        <v xml:space="preserve"> </v>
      </c>
    </row>
    <row r="328" spans="1:21" x14ac:dyDescent="0.3">
      <c r="A328" s="27" t="s">
        <v>1496</v>
      </c>
      <c r="B328" s="32" t="str">
        <f>_xlfn.XLOOKUP(TablaSTOCKINV[[#This Row],[SKU]],TablaINVENTARIO[SKU],TablaINVENTARIO[DESCRIPCION])</f>
        <v xml:space="preserve">FONDO EPOXICO GRIS </v>
      </c>
      <c r="C328" s="32" t="str">
        <f>_xlfn.XLOOKUP(TablaSTOCKINV[[#This Row],[SKU]],TablaINVENTARIO[SKU],TablaINVENTARIO[MARCA])</f>
        <v xml:space="preserve">PINTURA INTERNACIONAL </v>
      </c>
      <c r="D328" s="33" t="str">
        <f>_xlfn.XLOOKUP(TablaSTOCKINV[[#This Row],[SKU]],TablaINVENTARIO[SKU],TablaINVENTARIO[CATEGORIA])</f>
        <v>HERRAMIENTAS_</v>
      </c>
      <c r="E328" s="33" t="str">
        <f>_xlfn.XLOOKUP(TablaSTOCKINV[[#This Row],[SKU]],TablaINVENTARIO[SKU],TablaINVENTARIO[SUBCATEGORIA])</f>
        <v>PINTURA</v>
      </c>
      <c r="F328" s="33" t="str">
        <f>_xlfn.XLOOKUP(TablaSTOCKINV[[#This Row],[SKU]],TablaINVENTARIO[SKU],TablaINVENTARIO[ESTADO])</f>
        <v xml:space="preserve">NUEVO </v>
      </c>
      <c r="G328" s="33" t="str">
        <f>_xlfn.XLOOKUP(TablaSTOCKINV[[#This Row],[SKU]],TablaINVENTARIO[SKU],TablaINVENTARIO[MEDIDA])</f>
        <v xml:space="preserve">GALON </v>
      </c>
      <c r="H328" s="33" t="str">
        <f>_xlfn.XLOOKUP(TablaSTOCKINV[[#This Row],[SKU]],TablaINVENTARIO[SKU],TablaINVENTARIO[SERIAL])</f>
        <v>N/A</v>
      </c>
      <c r="I328" s="34" t="str">
        <f>_xlfn.XLOOKUP(TablaSTOCKINV[[#This Row],[SKU]],TablaINVENTARIO[SKU],TablaINVENTARIO[ALMACEN])</f>
        <v>ALMACEN PRINCIPAL</v>
      </c>
      <c r="J328" s="34" t="str">
        <f>_xlfn.XLOOKUP(TablaSTOCKINV[[#This Row],[SKU]],TablaINVENTARIO[SKU],TablaINVENTARIO[UBICACION])</f>
        <v>I3-1</v>
      </c>
      <c r="K328" s="34" t="str">
        <f>_xlfn.XLOOKUP(TablaSTOCKINV[[#This Row],[SKU]],TablaINVENTARIO[SKU],TablaINVENTARIO[DPTO RESPONSABLE])</f>
        <v>OPERACIONES</v>
      </c>
      <c r="L328" s="36">
        <f>_xlfn.XLOOKUP(TablaSTOCKINV[[#This Row],[SKU]],TablaINVENTARIO[SKU],TablaINVENTARIO[RANGO MIN])</f>
        <v>0</v>
      </c>
      <c r="M328" s="34" cm="1">
        <f t="array" ref="M328">_xlfn.IFS(TablaSTOCKINV[[#This Row],[CANT. TOTAL]]&lt;=0,1,TablaSTOCKINV[[#This Row],[CANT. TOTAL]]&lt;=TablaSTOCKINV[[#This Row],[MIN]],2,TablaSTOCKINV[[#This Row],[CANT. TOTAL]]&gt;TablaSTOCKINV[[#This Row],[MIN]],3)</f>
        <v>3</v>
      </c>
      <c r="N328" s="34">
        <f>TablaSTOCKINV[[#This Row],[ENTRADAS]]-TablaSTOCKINV[[#This Row],[SALIDAS]]</f>
        <v>1</v>
      </c>
      <c r="O328" s="35">
        <f>SUMIFS(TablaENTRADA[CANT],TablaENTRADA[SKU],TablaSTOCKINV[[#This Row],[SKU]])</f>
        <v>1</v>
      </c>
      <c r="P328" s="35">
        <f>SUMIFS(TablaSALIDA[CANT],TablaSALIDA[SKU],TablaSTOCKINV[[#This Row],[SKU]])</f>
        <v>0</v>
      </c>
      <c r="Q328" s="34">
        <f>_xlfn.XLOOKUP(TablaSTOCKINV[[#This Row],[SKU]],TablaINVENTARIO[SKU],TablaINVENTARIO[PRECIO])</f>
        <v>0</v>
      </c>
      <c r="R328" s="34">
        <f>TablaSTOCKINV[[#This Row],[P.UNITARIO]]*TablaSTOCKINV[[#This Row],[CANT. TOTAL]]</f>
        <v>0</v>
      </c>
      <c r="S328" s="44">
        <f>_xlfn.XLOOKUP(TablaSTOCKINV[[#This Row],[SKU]],TablaINVENTARIO[SKU],TablaINVENTARIO[FECHA INGRESO])</f>
        <v>46023</v>
      </c>
      <c r="T328" s="44">
        <f>_xlfn.XLOOKUP(TablaSTOCKINV[[#This Row],[SKU]],TablaENTRADA[SKU],TablaENTRADA[FECHA],,0,-1)</f>
        <v>46023</v>
      </c>
      <c r="U328" s="46" t="str">
        <f>IFERROR((_xlfn.XLOOKUP(TablaSTOCKINV[[#This Row],[SKU]],TablaSALIDA[SKU],TablaSALIDA[FECHA],,0,-1))," " )</f>
        <v xml:space="preserve"> </v>
      </c>
    </row>
    <row r="329" spans="1:21" x14ac:dyDescent="0.3">
      <c r="A329" s="27" t="s">
        <v>1499</v>
      </c>
      <c r="B329" s="32" t="str">
        <f>_xlfn.XLOOKUP(TablaSTOCKINV[[#This Row],[SKU]],TablaINVENTARIO[SKU],TablaINVENTARIO[DESCRIPCION])</f>
        <v xml:space="preserve">FONDO EPOXICO ROJO </v>
      </c>
      <c r="C329" s="32" t="str">
        <f>_xlfn.XLOOKUP(TablaSTOCKINV[[#This Row],[SKU]],TablaINVENTARIO[SKU],TablaINVENTARIO[MARCA])</f>
        <v xml:space="preserve">PINTURA INTERNACIONAL </v>
      </c>
      <c r="D329" s="33" t="str">
        <f>_xlfn.XLOOKUP(TablaSTOCKINV[[#This Row],[SKU]],TablaINVENTARIO[SKU],TablaINVENTARIO[CATEGORIA])</f>
        <v>HERRAMIENTAS_</v>
      </c>
      <c r="E329" s="33" t="str">
        <f>_xlfn.XLOOKUP(TablaSTOCKINV[[#This Row],[SKU]],TablaINVENTARIO[SKU],TablaINVENTARIO[SUBCATEGORIA])</f>
        <v>PINTURA</v>
      </c>
      <c r="F329" s="33" t="str">
        <f>_xlfn.XLOOKUP(TablaSTOCKINV[[#This Row],[SKU]],TablaINVENTARIO[SKU],TablaINVENTARIO[ESTADO])</f>
        <v xml:space="preserve">NUEVO </v>
      </c>
      <c r="G329" s="33" t="str">
        <f>_xlfn.XLOOKUP(TablaSTOCKINV[[#This Row],[SKU]],TablaINVENTARIO[SKU],TablaINVENTARIO[MEDIDA])</f>
        <v xml:space="preserve">GALON </v>
      </c>
      <c r="H329" s="33" t="str">
        <f>_xlfn.XLOOKUP(TablaSTOCKINV[[#This Row],[SKU]],TablaINVENTARIO[SKU],TablaINVENTARIO[SERIAL])</f>
        <v>N/A</v>
      </c>
      <c r="I329" s="34" t="str">
        <f>_xlfn.XLOOKUP(TablaSTOCKINV[[#This Row],[SKU]],TablaINVENTARIO[SKU],TablaINVENTARIO[ALMACEN])</f>
        <v>ALMACEN PRINCIPAL</v>
      </c>
      <c r="J329" s="34" t="str">
        <f>_xlfn.XLOOKUP(TablaSTOCKINV[[#This Row],[SKU]],TablaINVENTARIO[SKU],TablaINVENTARIO[UBICACION])</f>
        <v>I3-1</v>
      </c>
      <c r="K329" s="34" t="str">
        <f>_xlfn.XLOOKUP(TablaSTOCKINV[[#This Row],[SKU]],TablaINVENTARIO[SKU],TablaINVENTARIO[DPTO RESPONSABLE])</f>
        <v>OPERACIONES</v>
      </c>
      <c r="L329" s="36">
        <f>_xlfn.XLOOKUP(TablaSTOCKINV[[#This Row],[SKU]],TablaINVENTARIO[SKU],TablaINVENTARIO[RANGO MIN])</f>
        <v>0</v>
      </c>
      <c r="M329" s="34" cm="1">
        <f t="array" ref="M329">_xlfn.IFS(TablaSTOCKINV[[#This Row],[CANT. TOTAL]]&lt;=0,1,TablaSTOCKINV[[#This Row],[CANT. TOTAL]]&lt;=TablaSTOCKINV[[#This Row],[MIN]],2,TablaSTOCKINV[[#This Row],[CANT. TOTAL]]&gt;TablaSTOCKINV[[#This Row],[MIN]],3)</f>
        <v>3</v>
      </c>
      <c r="N329" s="34">
        <f>TablaSTOCKINV[[#This Row],[ENTRADAS]]-TablaSTOCKINV[[#This Row],[SALIDAS]]</f>
        <v>3</v>
      </c>
      <c r="O329" s="35">
        <f>SUMIFS(TablaENTRADA[CANT],TablaENTRADA[SKU],TablaSTOCKINV[[#This Row],[SKU]])</f>
        <v>3</v>
      </c>
      <c r="P329" s="35">
        <f>SUMIFS(TablaSALIDA[CANT],TablaSALIDA[SKU],TablaSTOCKINV[[#This Row],[SKU]])</f>
        <v>0</v>
      </c>
      <c r="Q329" s="34">
        <f>_xlfn.XLOOKUP(TablaSTOCKINV[[#This Row],[SKU]],TablaINVENTARIO[SKU],TablaINVENTARIO[PRECIO])</f>
        <v>0</v>
      </c>
      <c r="R329" s="34">
        <f>TablaSTOCKINV[[#This Row],[P.UNITARIO]]*TablaSTOCKINV[[#This Row],[CANT. TOTAL]]</f>
        <v>0</v>
      </c>
      <c r="S329" s="44">
        <f>_xlfn.XLOOKUP(TablaSTOCKINV[[#This Row],[SKU]],TablaINVENTARIO[SKU],TablaINVENTARIO[FECHA INGRESO])</f>
        <v>46023</v>
      </c>
      <c r="T329" s="44">
        <f>_xlfn.XLOOKUP(TablaSTOCKINV[[#This Row],[SKU]],TablaENTRADA[SKU],TablaENTRADA[FECHA],,0,-1)</f>
        <v>46023</v>
      </c>
      <c r="U329" s="46" t="str">
        <f>IFERROR((_xlfn.XLOOKUP(TablaSTOCKINV[[#This Row],[SKU]],TablaSALIDA[SKU],TablaSALIDA[FECHA],,0,-1))," " )</f>
        <v xml:space="preserve"> </v>
      </c>
    </row>
    <row r="330" spans="1:21" x14ac:dyDescent="0.3">
      <c r="A330" s="27" t="s">
        <v>1501</v>
      </c>
      <c r="B330" s="32" t="str">
        <f>_xlfn.XLOOKUP(TablaSTOCKINV[[#This Row],[SKU]],TablaINVENTARIO[SKU],TablaINVENTARIO[DESCRIPCION])</f>
        <v xml:space="preserve">ENDURECEDOR PARA FONDO EPOXICO </v>
      </c>
      <c r="C330" s="32" t="str">
        <f>_xlfn.XLOOKUP(TablaSTOCKINV[[#This Row],[SKU]],TablaINVENTARIO[SKU],TablaINVENTARIO[MARCA])</f>
        <v xml:space="preserve">PINTURA INTERNACIONAL </v>
      </c>
      <c r="D330" s="33" t="str">
        <f>_xlfn.XLOOKUP(TablaSTOCKINV[[#This Row],[SKU]],TablaINVENTARIO[SKU],TablaINVENTARIO[CATEGORIA])</f>
        <v>HERRAMIENTAS_</v>
      </c>
      <c r="E330" s="33" t="str">
        <f>_xlfn.XLOOKUP(TablaSTOCKINV[[#This Row],[SKU]],TablaINVENTARIO[SKU],TablaINVENTARIO[SUBCATEGORIA])</f>
        <v>PINTURA</v>
      </c>
      <c r="F330" s="33" t="str">
        <f>_xlfn.XLOOKUP(TablaSTOCKINV[[#This Row],[SKU]],TablaINVENTARIO[SKU],TablaINVENTARIO[ESTADO])</f>
        <v xml:space="preserve">NUEVO </v>
      </c>
      <c r="G330" s="33" t="str">
        <f>_xlfn.XLOOKUP(TablaSTOCKINV[[#This Row],[SKU]],TablaINVENTARIO[SKU],TablaINVENTARIO[MEDIDA])</f>
        <v xml:space="preserve">GALON </v>
      </c>
      <c r="H330" s="33" t="str">
        <f>_xlfn.XLOOKUP(TablaSTOCKINV[[#This Row],[SKU]],TablaINVENTARIO[SKU],TablaINVENTARIO[SERIAL])</f>
        <v>N/A</v>
      </c>
      <c r="I330" s="34" t="str">
        <f>_xlfn.XLOOKUP(TablaSTOCKINV[[#This Row],[SKU]],TablaINVENTARIO[SKU],TablaINVENTARIO[ALMACEN])</f>
        <v>ALMACEN PRINCIPAL</v>
      </c>
      <c r="J330" s="34" t="str">
        <f>_xlfn.XLOOKUP(TablaSTOCKINV[[#This Row],[SKU]],TablaINVENTARIO[SKU],TablaINVENTARIO[UBICACION])</f>
        <v>I3-1</v>
      </c>
      <c r="K330" s="34" t="str">
        <f>_xlfn.XLOOKUP(TablaSTOCKINV[[#This Row],[SKU]],TablaINVENTARIO[SKU],TablaINVENTARIO[DPTO RESPONSABLE])</f>
        <v>OPERACIONES</v>
      </c>
      <c r="L330" s="36">
        <f>_xlfn.XLOOKUP(TablaSTOCKINV[[#This Row],[SKU]],TablaINVENTARIO[SKU],TablaINVENTARIO[RANGO MIN])</f>
        <v>0</v>
      </c>
      <c r="M330" s="34" cm="1">
        <f t="array" ref="M330">_xlfn.IFS(TablaSTOCKINV[[#This Row],[CANT. TOTAL]]&lt;=0,1,TablaSTOCKINV[[#This Row],[CANT. TOTAL]]&lt;=TablaSTOCKINV[[#This Row],[MIN]],2,TablaSTOCKINV[[#This Row],[CANT. TOTAL]]&gt;TablaSTOCKINV[[#This Row],[MIN]],3)</f>
        <v>3</v>
      </c>
      <c r="N330" s="34">
        <f>TablaSTOCKINV[[#This Row],[ENTRADAS]]-TablaSTOCKINV[[#This Row],[SALIDAS]]</f>
        <v>4</v>
      </c>
      <c r="O330" s="35">
        <f>SUMIFS(TablaENTRADA[CANT],TablaENTRADA[SKU],TablaSTOCKINV[[#This Row],[SKU]])</f>
        <v>4</v>
      </c>
      <c r="P330" s="35">
        <f>SUMIFS(TablaSALIDA[CANT],TablaSALIDA[SKU],TablaSTOCKINV[[#This Row],[SKU]])</f>
        <v>0</v>
      </c>
      <c r="Q330" s="34">
        <f>_xlfn.XLOOKUP(TablaSTOCKINV[[#This Row],[SKU]],TablaINVENTARIO[SKU],TablaINVENTARIO[PRECIO])</f>
        <v>0</v>
      </c>
      <c r="R330" s="34">
        <f>TablaSTOCKINV[[#This Row],[P.UNITARIO]]*TablaSTOCKINV[[#This Row],[CANT. TOTAL]]</f>
        <v>0</v>
      </c>
      <c r="S330" s="44">
        <f>_xlfn.XLOOKUP(TablaSTOCKINV[[#This Row],[SKU]],TablaINVENTARIO[SKU],TablaINVENTARIO[FECHA INGRESO])</f>
        <v>46023</v>
      </c>
      <c r="T330" s="44">
        <f>_xlfn.XLOOKUP(TablaSTOCKINV[[#This Row],[SKU]],TablaENTRADA[SKU],TablaENTRADA[FECHA],,0,-1)</f>
        <v>46023</v>
      </c>
      <c r="U330" s="46" t="str">
        <f>IFERROR((_xlfn.XLOOKUP(TablaSTOCKINV[[#This Row],[SKU]],TablaSALIDA[SKU],TablaSALIDA[FECHA],,0,-1))," " )</f>
        <v xml:space="preserve"> </v>
      </c>
    </row>
    <row r="331" spans="1:21" x14ac:dyDescent="0.3">
      <c r="A331" s="27" t="s">
        <v>1503</v>
      </c>
      <c r="B331" s="32" t="str">
        <f>_xlfn.XLOOKUP(TablaSTOCKINV[[#This Row],[SKU]],TablaINVENTARIO[SKU],TablaINVENTARIO[DESCRIPCION])</f>
        <v xml:space="preserve">PINTURA OLEO BRILLANTE AZUL ALTLANTICO </v>
      </c>
      <c r="C331" s="32" t="str">
        <f>_xlfn.XLOOKUP(TablaSTOCKINV[[#This Row],[SKU]],TablaINVENTARIO[SKU],TablaINVENTARIO[MARCA])</f>
        <v>SOLINTEX</v>
      </c>
      <c r="D331" s="33" t="str">
        <f>_xlfn.XLOOKUP(TablaSTOCKINV[[#This Row],[SKU]],TablaINVENTARIO[SKU],TablaINVENTARIO[CATEGORIA])</f>
        <v>HERRAMIENTAS_</v>
      </c>
      <c r="E331" s="33" t="str">
        <f>_xlfn.XLOOKUP(TablaSTOCKINV[[#This Row],[SKU]],TablaINVENTARIO[SKU],TablaINVENTARIO[SUBCATEGORIA])</f>
        <v>PINTURA</v>
      </c>
      <c r="F331" s="33" t="str">
        <f>_xlfn.XLOOKUP(TablaSTOCKINV[[#This Row],[SKU]],TablaINVENTARIO[SKU],TablaINVENTARIO[ESTADO])</f>
        <v xml:space="preserve">NUEVO </v>
      </c>
      <c r="G331" s="33" t="str">
        <f>_xlfn.XLOOKUP(TablaSTOCKINV[[#This Row],[SKU]],TablaINVENTARIO[SKU],TablaINVENTARIO[MEDIDA])</f>
        <v xml:space="preserve">GALON </v>
      </c>
      <c r="H331" s="33" t="str">
        <f>_xlfn.XLOOKUP(TablaSTOCKINV[[#This Row],[SKU]],TablaINVENTARIO[SKU],TablaINVENTARIO[SERIAL])</f>
        <v>N/A</v>
      </c>
      <c r="I331" s="34" t="str">
        <f>_xlfn.XLOOKUP(TablaSTOCKINV[[#This Row],[SKU]],TablaINVENTARIO[SKU],TablaINVENTARIO[ALMACEN])</f>
        <v>ALMACEN PRINCIPAL</v>
      </c>
      <c r="J331" s="34" t="str">
        <f>_xlfn.XLOOKUP(TablaSTOCKINV[[#This Row],[SKU]],TablaINVENTARIO[SKU],TablaINVENTARIO[UBICACION])</f>
        <v>I3-1</v>
      </c>
      <c r="K331" s="34" t="str">
        <f>_xlfn.XLOOKUP(TablaSTOCKINV[[#This Row],[SKU]],TablaINVENTARIO[SKU],TablaINVENTARIO[DPTO RESPONSABLE])</f>
        <v>OPERACIONES</v>
      </c>
      <c r="L331" s="36">
        <f>_xlfn.XLOOKUP(TablaSTOCKINV[[#This Row],[SKU]],TablaINVENTARIO[SKU],TablaINVENTARIO[RANGO MIN])</f>
        <v>0</v>
      </c>
      <c r="M331" s="34" cm="1">
        <f t="array" ref="M331">_xlfn.IFS(TablaSTOCKINV[[#This Row],[CANT. TOTAL]]&lt;=0,1,TablaSTOCKINV[[#This Row],[CANT. TOTAL]]&lt;=TablaSTOCKINV[[#This Row],[MIN]],2,TablaSTOCKINV[[#This Row],[CANT. TOTAL]]&gt;TablaSTOCKINV[[#This Row],[MIN]],3)</f>
        <v>3</v>
      </c>
      <c r="N331" s="34">
        <f>TablaSTOCKINV[[#This Row],[ENTRADAS]]-TablaSTOCKINV[[#This Row],[SALIDAS]]</f>
        <v>1</v>
      </c>
      <c r="O331" s="35">
        <f>SUMIFS(TablaENTRADA[CANT],TablaENTRADA[SKU],TablaSTOCKINV[[#This Row],[SKU]])</f>
        <v>1</v>
      </c>
      <c r="P331" s="35">
        <f>SUMIFS(TablaSALIDA[CANT],TablaSALIDA[SKU],TablaSTOCKINV[[#This Row],[SKU]])</f>
        <v>0</v>
      </c>
      <c r="Q331" s="34">
        <f>_xlfn.XLOOKUP(TablaSTOCKINV[[#This Row],[SKU]],TablaINVENTARIO[SKU],TablaINVENTARIO[PRECIO])</f>
        <v>0</v>
      </c>
      <c r="R331" s="34">
        <f>TablaSTOCKINV[[#This Row],[P.UNITARIO]]*TablaSTOCKINV[[#This Row],[CANT. TOTAL]]</f>
        <v>0</v>
      </c>
      <c r="S331" s="44">
        <f>_xlfn.XLOOKUP(TablaSTOCKINV[[#This Row],[SKU]],TablaINVENTARIO[SKU],TablaINVENTARIO[FECHA INGRESO])</f>
        <v>46023</v>
      </c>
      <c r="T331" s="44">
        <f>_xlfn.XLOOKUP(TablaSTOCKINV[[#This Row],[SKU]],TablaENTRADA[SKU],TablaENTRADA[FECHA],,0,-1)</f>
        <v>46023</v>
      </c>
      <c r="U331" s="46" t="str">
        <f>IFERROR((_xlfn.XLOOKUP(TablaSTOCKINV[[#This Row],[SKU]],TablaSALIDA[SKU],TablaSALIDA[FECHA],,0,-1))," " )</f>
        <v xml:space="preserve"> </v>
      </c>
    </row>
    <row r="332" spans="1:21" x14ac:dyDescent="0.3">
      <c r="A332" s="27" t="s">
        <v>1505</v>
      </c>
      <c r="B332" s="32" t="str">
        <f>_xlfn.XLOOKUP(TablaSTOCKINV[[#This Row],[SKU]],TablaINVENTARIO[SKU],TablaINVENTARIO[DESCRIPCION])</f>
        <v xml:space="preserve">PINTURA OLEO BRILLANTE BLANCO </v>
      </c>
      <c r="C332" s="32" t="str">
        <f>_xlfn.XLOOKUP(TablaSTOCKINV[[#This Row],[SKU]],TablaINVENTARIO[SKU],TablaINVENTARIO[MARCA])</f>
        <v>SOLINTEX</v>
      </c>
      <c r="D332" s="33" t="str">
        <f>_xlfn.XLOOKUP(TablaSTOCKINV[[#This Row],[SKU]],TablaINVENTARIO[SKU],TablaINVENTARIO[CATEGORIA])</f>
        <v>HERRAMIENTAS_</v>
      </c>
      <c r="E332" s="33" t="str">
        <f>_xlfn.XLOOKUP(TablaSTOCKINV[[#This Row],[SKU]],TablaINVENTARIO[SKU],TablaINVENTARIO[SUBCATEGORIA])</f>
        <v>PINTURA</v>
      </c>
      <c r="F332" s="33" t="str">
        <f>_xlfn.XLOOKUP(TablaSTOCKINV[[#This Row],[SKU]],TablaINVENTARIO[SKU],TablaINVENTARIO[ESTADO])</f>
        <v xml:space="preserve">NUEVO </v>
      </c>
      <c r="G332" s="33" t="str">
        <f>_xlfn.XLOOKUP(TablaSTOCKINV[[#This Row],[SKU]],TablaINVENTARIO[SKU],TablaINVENTARIO[MEDIDA])</f>
        <v xml:space="preserve">GALON </v>
      </c>
      <c r="H332" s="33" t="str">
        <f>_xlfn.XLOOKUP(TablaSTOCKINV[[#This Row],[SKU]],TablaINVENTARIO[SKU],TablaINVENTARIO[SERIAL])</f>
        <v>N/A</v>
      </c>
      <c r="I332" s="34" t="str">
        <f>_xlfn.XLOOKUP(TablaSTOCKINV[[#This Row],[SKU]],TablaINVENTARIO[SKU],TablaINVENTARIO[ALMACEN])</f>
        <v>ALMACEN PRINCIPAL</v>
      </c>
      <c r="J332" s="34" t="str">
        <f>_xlfn.XLOOKUP(TablaSTOCKINV[[#This Row],[SKU]],TablaINVENTARIO[SKU],TablaINVENTARIO[UBICACION])</f>
        <v>I3-1</v>
      </c>
      <c r="K332" s="34" t="str">
        <f>_xlfn.XLOOKUP(TablaSTOCKINV[[#This Row],[SKU]],TablaINVENTARIO[SKU],TablaINVENTARIO[DPTO RESPONSABLE])</f>
        <v>OPERACIONES</v>
      </c>
      <c r="L332" s="36">
        <f>_xlfn.XLOOKUP(TablaSTOCKINV[[#This Row],[SKU]],TablaINVENTARIO[SKU],TablaINVENTARIO[RANGO MIN])</f>
        <v>0</v>
      </c>
      <c r="M332" s="34" cm="1">
        <f t="array" ref="M332">_xlfn.IFS(TablaSTOCKINV[[#This Row],[CANT. TOTAL]]&lt;=0,1,TablaSTOCKINV[[#This Row],[CANT. TOTAL]]&lt;=TablaSTOCKINV[[#This Row],[MIN]],2,TablaSTOCKINV[[#This Row],[CANT. TOTAL]]&gt;TablaSTOCKINV[[#This Row],[MIN]],3)</f>
        <v>3</v>
      </c>
      <c r="N332" s="34">
        <f>TablaSTOCKINV[[#This Row],[ENTRADAS]]-TablaSTOCKINV[[#This Row],[SALIDAS]]</f>
        <v>4</v>
      </c>
      <c r="O332" s="35">
        <f>SUMIFS(TablaENTRADA[CANT],TablaENTRADA[SKU],TablaSTOCKINV[[#This Row],[SKU]])</f>
        <v>4</v>
      </c>
      <c r="P332" s="35">
        <f>SUMIFS(TablaSALIDA[CANT],TablaSALIDA[SKU],TablaSTOCKINV[[#This Row],[SKU]])</f>
        <v>0</v>
      </c>
      <c r="Q332" s="34">
        <f>_xlfn.XLOOKUP(TablaSTOCKINV[[#This Row],[SKU]],TablaINVENTARIO[SKU],TablaINVENTARIO[PRECIO])</f>
        <v>0</v>
      </c>
      <c r="R332" s="34">
        <f>TablaSTOCKINV[[#This Row],[P.UNITARIO]]*TablaSTOCKINV[[#This Row],[CANT. TOTAL]]</f>
        <v>0</v>
      </c>
      <c r="S332" s="44">
        <f>_xlfn.XLOOKUP(TablaSTOCKINV[[#This Row],[SKU]],TablaINVENTARIO[SKU],TablaINVENTARIO[FECHA INGRESO])</f>
        <v>46023</v>
      </c>
      <c r="T332" s="44">
        <f>_xlfn.XLOOKUP(TablaSTOCKINV[[#This Row],[SKU]],TablaENTRADA[SKU],TablaENTRADA[FECHA],,0,-1)</f>
        <v>46023</v>
      </c>
      <c r="U332" s="46" t="str">
        <f>IFERROR((_xlfn.XLOOKUP(TablaSTOCKINV[[#This Row],[SKU]],TablaSALIDA[SKU],TablaSALIDA[FECHA],,0,-1))," " )</f>
        <v xml:space="preserve"> </v>
      </c>
    </row>
    <row r="333" spans="1:21" x14ac:dyDescent="0.3">
      <c r="A333" s="27" t="s">
        <v>1507</v>
      </c>
      <c r="B333" s="32" t="str">
        <f>_xlfn.XLOOKUP(TablaSTOCKINV[[#This Row],[SKU]],TablaINVENTARIO[SKU],TablaINVENTARIO[DESCRIPCION])</f>
        <v>PINTURA OLEO BRILLANTE GRIS (1/4 GL)</v>
      </c>
      <c r="C333" s="32" t="str">
        <f>_xlfn.XLOOKUP(TablaSTOCKINV[[#This Row],[SKU]],TablaINVENTARIO[SKU],TablaINVENTARIO[MARCA])</f>
        <v>SOLINTEX</v>
      </c>
      <c r="D333" s="33" t="str">
        <f>_xlfn.XLOOKUP(TablaSTOCKINV[[#This Row],[SKU]],TablaINVENTARIO[SKU],TablaINVENTARIO[CATEGORIA])</f>
        <v>HERRAMIENTAS_</v>
      </c>
      <c r="E333" s="33" t="str">
        <f>_xlfn.XLOOKUP(TablaSTOCKINV[[#This Row],[SKU]],TablaINVENTARIO[SKU],TablaINVENTARIO[SUBCATEGORIA])</f>
        <v>PINTURA</v>
      </c>
      <c r="F333" s="33" t="str">
        <f>_xlfn.XLOOKUP(TablaSTOCKINV[[#This Row],[SKU]],TablaINVENTARIO[SKU],TablaINVENTARIO[ESTADO])</f>
        <v xml:space="preserve">NUEVO </v>
      </c>
      <c r="G333" s="33" t="str">
        <f>_xlfn.XLOOKUP(TablaSTOCKINV[[#This Row],[SKU]],TablaINVENTARIO[SKU],TablaINVENTARIO[MEDIDA])</f>
        <v>UND</v>
      </c>
      <c r="H333" s="33" t="str">
        <f>_xlfn.XLOOKUP(TablaSTOCKINV[[#This Row],[SKU]],TablaINVENTARIO[SKU],TablaINVENTARIO[SERIAL])</f>
        <v>N/A</v>
      </c>
      <c r="I333" s="34" t="str">
        <f>_xlfn.XLOOKUP(TablaSTOCKINV[[#This Row],[SKU]],TablaINVENTARIO[SKU],TablaINVENTARIO[ALMACEN])</f>
        <v>ALMACEN PRINCIPAL</v>
      </c>
      <c r="J333" s="34" t="str">
        <f>_xlfn.XLOOKUP(TablaSTOCKINV[[#This Row],[SKU]],TablaINVENTARIO[SKU],TablaINVENTARIO[UBICACION])</f>
        <v>I3-1</v>
      </c>
      <c r="K333" s="34" t="str">
        <f>_xlfn.XLOOKUP(TablaSTOCKINV[[#This Row],[SKU]],TablaINVENTARIO[SKU],TablaINVENTARIO[DPTO RESPONSABLE])</f>
        <v>OPERACIONES</v>
      </c>
      <c r="L333" s="36">
        <f>_xlfn.XLOOKUP(TablaSTOCKINV[[#This Row],[SKU]],TablaINVENTARIO[SKU],TablaINVENTARIO[RANGO MIN])</f>
        <v>0</v>
      </c>
      <c r="M333" s="34" cm="1">
        <f t="array" ref="M333">_xlfn.IFS(TablaSTOCKINV[[#This Row],[CANT. TOTAL]]&lt;=0,1,TablaSTOCKINV[[#This Row],[CANT. TOTAL]]&lt;=TablaSTOCKINV[[#This Row],[MIN]],2,TablaSTOCKINV[[#This Row],[CANT. TOTAL]]&gt;TablaSTOCKINV[[#This Row],[MIN]],3)</f>
        <v>3</v>
      </c>
      <c r="N333" s="34">
        <f>TablaSTOCKINV[[#This Row],[ENTRADAS]]-TablaSTOCKINV[[#This Row],[SALIDAS]]</f>
        <v>1</v>
      </c>
      <c r="O333" s="35">
        <f>SUMIFS(TablaENTRADA[CANT],TablaENTRADA[SKU],TablaSTOCKINV[[#This Row],[SKU]])</f>
        <v>1</v>
      </c>
      <c r="P333" s="35">
        <f>SUMIFS(TablaSALIDA[CANT],TablaSALIDA[SKU],TablaSTOCKINV[[#This Row],[SKU]])</f>
        <v>0</v>
      </c>
      <c r="Q333" s="34">
        <f>_xlfn.XLOOKUP(TablaSTOCKINV[[#This Row],[SKU]],TablaINVENTARIO[SKU],TablaINVENTARIO[PRECIO])</f>
        <v>0</v>
      </c>
      <c r="R333" s="34">
        <f>TablaSTOCKINV[[#This Row],[P.UNITARIO]]*TablaSTOCKINV[[#This Row],[CANT. TOTAL]]</f>
        <v>0</v>
      </c>
      <c r="S333" s="44">
        <f>_xlfn.XLOOKUP(TablaSTOCKINV[[#This Row],[SKU]],TablaINVENTARIO[SKU],TablaINVENTARIO[FECHA INGRESO])</f>
        <v>46023</v>
      </c>
      <c r="T333" s="44">
        <f>_xlfn.XLOOKUP(TablaSTOCKINV[[#This Row],[SKU]],TablaENTRADA[SKU],TablaENTRADA[FECHA],,0,-1)</f>
        <v>46023</v>
      </c>
      <c r="U333" s="46" t="str">
        <f>IFERROR((_xlfn.XLOOKUP(TablaSTOCKINV[[#This Row],[SKU]],TablaSALIDA[SKU],TablaSALIDA[FECHA],,0,-1))," " )</f>
        <v xml:space="preserve"> </v>
      </c>
    </row>
    <row r="334" spans="1:21" x14ac:dyDescent="0.3">
      <c r="A334" s="27" t="s">
        <v>1509</v>
      </c>
      <c r="B334" s="32" t="str">
        <f>_xlfn.XLOOKUP(TablaSTOCKINV[[#This Row],[SKU]],TablaINVENTARIO[SKU],TablaINVENTARIO[DESCRIPCION])</f>
        <v>GRAPA FLEER</v>
      </c>
      <c r="C334" s="32" t="str">
        <f>_xlfn.XLOOKUP(TablaSTOCKINV[[#This Row],[SKU]],TablaINVENTARIO[SKU],TablaINVENTARIO[MARCA])</f>
        <v>N/A</v>
      </c>
      <c r="D334" s="33" t="str">
        <f>_xlfn.XLOOKUP(TablaSTOCKINV[[#This Row],[SKU]],TablaINVENTARIO[SKU],TablaINVENTARIO[CATEGORIA])</f>
        <v>HERRAMIENTAS_</v>
      </c>
      <c r="E334" s="33" t="str">
        <f>_xlfn.XLOOKUP(TablaSTOCKINV[[#This Row],[SKU]],TablaINVENTARIO[SKU],TablaINVENTARIO[SUBCATEGORIA])</f>
        <v xml:space="preserve">MATERIAL DE CONSTRUCCIÓN </v>
      </c>
      <c r="F334" s="33" t="str">
        <f>_xlfn.XLOOKUP(TablaSTOCKINV[[#This Row],[SKU]],TablaINVENTARIO[SKU],TablaINVENTARIO[ESTADO])</f>
        <v xml:space="preserve">NUEVO </v>
      </c>
      <c r="G334" s="33" t="str">
        <f>_xlfn.XLOOKUP(TablaSTOCKINV[[#This Row],[SKU]],TablaINVENTARIO[SKU],TablaINVENTARIO[MEDIDA])</f>
        <v>UND</v>
      </c>
      <c r="H334" s="33" t="str">
        <f>_xlfn.XLOOKUP(TablaSTOCKINV[[#This Row],[SKU]],TablaINVENTARIO[SKU],TablaINVENTARIO[SERIAL])</f>
        <v>N/A</v>
      </c>
      <c r="I334" s="34" t="str">
        <f>_xlfn.XLOOKUP(TablaSTOCKINV[[#This Row],[SKU]],TablaINVENTARIO[SKU],TablaINVENTARIO[ALMACEN])</f>
        <v>ALMACEN PRINCIPAL</v>
      </c>
      <c r="J334" s="34" t="str">
        <f>_xlfn.XLOOKUP(TablaSTOCKINV[[#This Row],[SKU]],TablaINVENTARIO[SKU],TablaINVENTARIO[UBICACION])</f>
        <v>I3-1</v>
      </c>
      <c r="K334" s="34" t="str">
        <f>_xlfn.XLOOKUP(TablaSTOCKINV[[#This Row],[SKU]],TablaINVENTARIO[SKU],TablaINVENTARIO[DPTO RESPONSABLE])</f>
        <v>OPERACIONES</v>
      </c>
      <c r="L334" s="36">
        <f>_xlfn.XLOOKUP(TablaSTOCKINV[[#This Row],[SKU]],TablaINVENTARIO[SKU],TablaINVENTARIO[RANGO MIN])</f>
        <v>0</v>
      </c>
      <c r="M334" s="34" cm="1">
        <f t="array" ref="M334">_xlfn.IFS(TablaSTOCKINV[[#This Row],[CANT. TOTAL]]&lt;=0,1,TablaSTOCKINV[[#This Row],[CANT. TOTAL]]&lt;=TablaSTOCKINV[[#This Row],[MIN]],2,TablaSTOCKINV[[#This Row],[CANT. TOTAL]]&gt;TablaSTOCKINV[[#This Row],[MIN]],3)</f>
        <v>3</v>
      </c>
      <c r="N334" s="34">
        <f>TablaSTOCKINV[[#This Row],[ENTRADAS]]-TablaSTOCKINV[[#This Row],[SALIDAS]]</f>
        <v>139</v>
      </c>
      <c r="O334" s="35">
        <f>SUMIFS(TablaENTRADA[CANT],TablaENTRADA[SKU],TablaSTOCKINV[[#This Row],[SKU]])</f>
        <v>139</v>
      </c>
      <c r="P334" s="35">
        <f>SUMIFS(TablaSALIDA[CANT],TablaSALIDA[SKU],TablaSTOCKINV[[#This Row],[SKU]])</f>
        <v>0</v>
      </c>
      <c r="Q334" s="34">
        <f>_xlfn.XLOOKUP(TablaSTOCKINV[[#This Row],[SKU]],TablaINVENTARIO[SKU],TablaINVENTARIO[PRECIO])</f>
        <v>0</v>
      </c>
      <c r="R334" s="34">
        <f>TablaSTOCKINV[[#This Row],[P.UNITARIO]]*TablaSTOCKINV[[#This Row],[CANT. TOTAL]]</f>
        <v>0</v>
      </c>
      <c r="S334" s="44">
        <f>_xlfn.XLOOKUP(TablaSTOCKINV[[#This Row],[SKU]],TablaINVENTARIO[SKU],TablaINVENTARIO[FECHA INGRESO])</f>
        <v>46023</v>
      </c>
      <c r="T334" s="44">
        <f>_xlfn.XLOOKUP(TablaSTOCKINV[[#This Row],[SKU]],TablaENTRADA[SKU],TablaENTRADA[FECHA],,0,-1)</f>
        <v>46023</v>
      </c>
      <c r="U334" s="46" t="str">
        <f>IFERROR((_xlfn.XLOOKUP(TablaSTOCKINV[[#This Row],[SKU]],TablaSALIDA[SKU],TablaSALIDA[FECHA],,0,-1))," " )</f>
        <v xml:space="preserve"> </v>
      </c>
    </row>
    <row r="335" spans="1:21" x14ac:dyDescent="0.3">
      <c r="A335" s="27" t="s">
        <v>1511</v>
      </c>
      <c r="B335" s="32" t="str">
        <f>_xlfn.XLOOKUP(TablaSTOCKINV[[#This Row],[SKU]],TablaINVENTARIO[SKU],TablaINVENTARIO[DESCRIPCION])</f>
        <v xml:space="preserve">CINTA METRICA CON PUNTA DE PLOMO </v>
      </c>
      <c r="C335" s="32" t="str">
        <f>_xlfn.XLOOKUP(TablaSTOCKINV[[#This Row],[SKU]],TablaINVENTARIO[SKU],TablaINVENTARIO[MARCA])</f>
        <v>N/A</v>
      </c>
      <c r="D335" s="33" t="str">
        <f>_xlfn.XLOOKUP(TablaSTOCKINV[[#This Row],[SKU]],TablaINVENTARIO[SKU],TablaINVENTARIO[CATEGORIA])</f>
        <v>HERRAMIENTAS_</v>
      </c>
      <c r="E335" s="33" t="str">
        <f>_xlfn.XLOOKUP(TablaSTOCKINV[[#This Row],[SKU]],TablaINVENTARIO[SKU],TablaINVENTARIO[SUBCATEGORIA])</f>
        <v>INSTRUMENTO DE MEDICIÓN</v>
      </c>
      <c r="F335" s="33" t="str">
        <f>_xlfn.XLOOKUP(TablaSTOCKINV[[#This Row],[SKU]],TablaINVENTARIO[SKU],TablaINVENTARIO[ESTADO])</f>
        <v>USADO</v>
      </c>
      <c r="G335" s="33" t="str">
        <f>_xlfn.XLOOKUP(TablaSTOCKINV[[#This Row],[SKU]],TablaINVENTARIO[SKU],TablaINVENTARIO[MEDIDA])</f>
        <v>UND</v>
      </c>
      <c r="H335" s="33" t="str">
        <f>_xlfn.XLOOKUP(TablaSTOCKINV[[#This Row],[SKU]],TablaINVENTARIO[SKU],TablaINVENTARIO[SERIAL])</f>
        <v>N/A</v>
      </c>
      <c r="I335" s="34" t="str">
        <f>_xlfn.XLOOKUP(TablaSTOCKINV[[#This Row],[SKU]],TablaINVENTARIO[SKU],TablaINVENTARIO[ALMACEN])</f>
        <v>ALMACEN PRINCIPAL</v>
      </c>
      <c r="J335" s="34" t="str">
        <f>_xlfn.XLOOKUP(TablaSTOCKINV[[#This Row],[SKU]],TablaINVENTARIO[SKU],TablaINVENTARIO[UBICACION])</f>
        <v>I3-2</v>
      </c>
      <c r="K335" s="34" t="str">
        <f>_xlfn.XLOOKUP(TablaSTOCKINV[[#This Row],[SKU]],TablaINVENTARIO[SKU],TablaINVENTARIO[DPTO RESPONSABLE])</f>
        <v>OPERACIONES</v>
      </c>
      <c r="L335" s="36">
        <f>_xlfn.XLOOKUP(TablaSTOCKINV[[#This Row],[SKU]],TablaINVENTARIO[SKU],TablaINVENTARIO[RANGO MIN])</f>
        <v>0</v>
      </c>
      <c r="M335" s="34" cm="1">
        <f t="array" ref="M335">_xlfn.IFS(TablaSTOCKINV[[#This Row],[CANT. TOTAL]]&lt;=0,1,TablaSTOCKINV[[#This Row],[CANT. TOTAL]]&lt;=TablaSTOCKINV[[#This Row],[MIN]],2,TablaSTOCKINV[[#This Row],[CANT. TOTAL]]&gt;TablaSTOCKINV[[#This Row],[MIN]],3)</f>
        <v>3</v>
      </c>
      <c r="N335" s="34">
        <f>TablaSTOCKINV[[#This Row],[ENTRADAS]]-TablaSTOCKINV[[#This Row],[SALIDAS]]</f>
        <v>3</v>
      </c>
      <c r="O335" s="35">
        <f>SUMIFS(TablaENTRADA[CANT],TablaENTRADA[SKU],TablaSTOCKINV[[#This Row],[SKU]])</f>
        <v>3</v>
      </c>
      <c r="P335" s="35">
        <f>SUMIFS(TablaSALIDA[CANT],TablaSALIDA[SKU],TablaSTOCKINV[[#This Row],[SKU]])</f>
        <v>0</v>
      </c>
      <c r="Q335" s="34">
        <f>_xlfn.XLOOKUP(TablaSTOCKINV[[#This Row],[SKU]],TablaINVENTARIO[SKU],TablaINVENTARIO[PRECIO])</f>
        <v>0</v>
      </c>
      <c r="R335" s="34">
        <f>TablaSTOCKINV[[#This Row],[P.UNITARIO]]*TablaSTOCKINV[[#This Row],[CANT. TOTAL]]</f>
        <v>0</v>
      </c>
      <c r="S335" s="44">
        <f>_xlfn.XLOOKUP(TablaSTOCKINV[[#This Row],[SKU]],TablaINVENTARIO[SKU],TablaINVENTARIO[FECHA INGRESO])</f>
        <v>46023</v>
      </c>
      <c r="T335" s="44">
        <f>_xlfn.XLOOKUP(TablaSTOCKINV[[#This Row],[SKU]],TablaENTRADA[SKU],TablaENTRADA[FECHA],,0,-1)</f>
        <v>46023</v>
      </c>
      <c r="U335" s="46" t="str">
        <f>IFERROR((_xlfn.XLOOKUP(TablaSTOCKINV[[#This Row],[SKU]],TablaSALIDA[SKU],TablaSALIDA[FECHA],,0,-1))," " )</f>
        <v xml:space="preserve"> </v>
      </c>
    </row>
    <row r="336" spans="1:21" x14ac:dyDescent="0.3">
      <c r="A336" s="27" t="s">
        <v>1514</v>
      </c>
      <c r="B336" s="32" t="str">
        <f>_xlfn.XLOOKUP(TablaSTOCKINV[[#This Row],[SKU]],TablaINVENTARIO[SKU],TablaINVENTARIO[DESCRIPCION])</f>
        <v>CINTA METRICA TAPOGRAFO</v>
      </c>
      <c r="C336" s="32" t="str">
        <f>_xlfn.XLOOKUP(TablaSTOCKINV[[#This Row],[SKU]],TablaINVENTARIO[SKU],TablaINVENTARIO[MARCA])</f>
        <v xml:space="preserve">COBRA </v>
      </c>
      <c r="D336" s="33" t="str">
        <f>_xlfn.XLOOKUP(TablaSTOCKINV[[#This Row],[SKU]],TablaINVENTARIO[SKU],TablaINVENTARIO[CATEGORIA])</f>
        <v>HERRAMIENTAS_</v>
      </c>
      <c r="E336" s="33" t="str">
        <f>_xlfn.XLOOKUP(TablaSTOCKINV[[#This Row],[SKU]],TablaINVENTARIO[SKU],TablaINVENTARIO[SUBCATEGORIA])</f>
        <v>INSTRUMENTO DE MEDICIÓN</v>
      </c>
      <c r="F336" s="33" t="str">
        <f>_xlfn.XLOOKUP(TablaSTOCKINV[[#This Row],[SKU]],TablaINVENTARIO[SKU],TablaINVENTARIO[ESTADO])</f>
        <v>USADO</v>
      </c>
      <c r="G336" s="33" t="str">
        <f>_xlfn.XLOOKUP(TablaSTOCKINV[[#This Row],[SKU]],TablaINVENTARIO[SKU],TablaINVENTARIO[MEDIDA])</f>
        <v>UND</v>
      </c>
      <c r="H336" s="33" t="str">
        <f>_xlfn.XLOOKUP(TablaSTOCKINV[[#This Row],[SKU]],TablaINVENTARIO[SKU],TablaINVENTARIO[SERIAL])</f>
        <v>N/A</v>
      </c>
      <c r="I336" s="34" t="str">
        <f>_xlfn.XLOOKUP(TablaSTOCKINV[[#This Row],[SKU]],TablaINVENTARIO[SKU],TablaINVENTARIO[ALMACEN])</f>
        <v>ALMACEN PRINCIPAL</v>
      </c>
      <c r="J336" s="34" t="str">
        <f>_xlfn.XLOOKUP(TablaSTOCKINV[[#This Row],[SKU]],TablaINVENTARIO[SKU],TablaINVENTARIO[UBICACION])</f>
        <v>I3-2</v>
      </c>
      <c r="K336" s="34" t="str">
        <f>_xlfn.XLOOKUP(TablaSTOCKINV[[#This Row],[SKU]],TablaINVENTARIO[SKU],TablaINVENTARIO[DPTO RESPONSABLE])</f>
        <v>OPERACIONES</v>
      </c>
      <c r="L336" s="36">
        <f>_xlfn.XLOOKUP(TablaSTOCKINV[[#This Row],[SKU]],TablaINVENTARIO[SKU],TablaINVENTARIO[RANGO MIN])</f>
        <v>0</v>
      </c>
      <c r="M336" s="34" cm="1">
        <f t="array" ref="M336">_xlfn.IFS(TablaSTOCKINV[[#This Row],[CANT. TOTAL]]&lt;=0,1,TablaSTOCKINV[[#This Row],[CANT. TOTAL]]&lt;=TablaSTOCKINV[[#This Row],[MIN]],2,TablaSTOCKINV[[#This Row],[CANT. TOTAL]]&gt;TablaSTOCKINV[[#This Row],[MIN]],3)</f>
        <v>3</v>
      </c>
      <c r="N336" s="34">
        <f>TablaSTOCKINV[[#This Row],[ENTRADAS]]-TablaSTOCKINV[[#This Row],[SALIDAS]]</f>
        <v>1</v>
      </c>
      <c r="O336" s="35">
        <f>SUMIFS(TablaENTRADA[CANT],TablaENTRADA[SKU],TablaSTOCKINV[[#This Row],[SKU]])</f>
        <v>1</v>
      </c>
      <c r="P336" s="35">
        <f>SUMIFS(TablaSALIDA[CANT],TablaSALIDA[SKU],TablaSTOCKINV[[#This Row],[SKU]])</f>
        <v>0</v>
      </c>
      <c r="Q336" s="34">
        <f>_xlfn.XLOOKUP(TablaSTOCKINV[[#This Row],[SKU]],TablaINVENTARIO[SKU],TablaINVENTARIO[PRECIO])</f>
        <v>0</v>
      </c>
      <c r="R336" s="34">
        <f>TablaSTOCKINV[[#This Row],[P.UNITARIO]]*TablaSTOCKINV[[#This Row],[CANT. TOTAL]]</f>
        <v>0</v>
      </c>
      <c r="S336" s="44">
        <f>_xlfn.XLOOKUP(TablaSTOCKINV[[#This Row],[SKU]],TablaINVENTARIO[SKU],TablaINVENTARIO[FECHA INGRESO])</f>
        <v>46023</v>
      </c>
      <c r="T336" s="44">
        <f>_xlfn.XLOOKUP(TablaSTOCKINV[[#This Row],[SKU]],TablaENTRADA[SKU],TablaENTRADA[FECHA],,0,-1)</f>
        <v>46023</v>
      </c>
      <c r="U336" s="46" t="str">
        <f>IFERROR((_xlfn.XLOOKUP(TablaSTOCKINV[[#This Row],[SKU]],TablaSALIDA[SKU],TablaSALIDA[FECHA],,0,-1))," " )</f>
        <v xml:space="preserve"> </v>
      </c>
    </row>
    <row r="337" spans="1:21" x14ac:dyDescent="0.3">
      <c r="A337" s="27" t="s">
        <v>1517</v>
      </c>
      <c r="B337" s="32" t="str">
        <f>_xlfn.XLOOKUP(TablaSTOCKINV[[#This Row],[SKU]],TablaINVENTARIO[SKU],TablaINVENTARIO[DESCRIPCION])</f>
        <v xml:space="preserve">MARCO PARA RODILLO 9" </v>
      </c>
      <c r="C337" s="32" t="str">
        <f>_xlfn.XLOOKUP(TablaSTOCKINV[[#This Row],[SKU]],TablaINVENTARIO[SKU],TablaINVENTARIO[MARCA])</f>
        <v>N/A</v>
      </c>
      <c r="D337" s="33" t="str">
        <f>_xlfn.XLOOKUP(TablaSTOCKINV[[#This Row],[SKU]],TablaINVENTARIO[SKU],TablaINVENTARIO[CATEGORIA])</f>
        <v>HERRAMIENTAS_</v>
      </c>
      <c r="E337" s="33" t="str">
        <f>_xlfn.XLOOKUP(TablaSTOCKINV[[#This Row],[SKU]],TablaINVENTARIO[SKU],TablaINVENTARIO[SUBCATEGORIA])</f>
        <v xml:space="preserve">ACCESORIO PARA PINTURA </v>
      </c>
      <c r="F337" s="33" t="str">
        <f>_xlfn.XLOOKUP(TablaSTOCKINV[[#This Row],[SKU]],TablaINVENTARIO[SKU],TablaINVENTARIO[ESTADO])</f>
        <v xml:space="preserve">NUEVO </v>
      </c>
      <c r="G337" s="33" t="str">
        <f>_xlfn.XLOOKUP(TablaSTOCKINV[[#This Row],[SKU]],TablaINVENTARIO[SKU],TablaINVENTARIO[MEDIDA])</f>
        <v>UND</v>
      </c>
      <c r="H337" s="33" t="str">
        <f>_xlfn.XLOOKUP(TablaSTOCKINV[[#This Row],[SKU]],TablaINVENTARIO[SKU],TablaINVENTARIO[SERIAL])</f>
        <v>N/A</v>
      </c>
      <c r="I337" s="34" t="str">
        <f>_xlfn.XLOOKUP(TablaSTOCKINV[[#This Row],[SKU]],TablaINVENTARIO[SKU],TablaINVENTARIO[ALMACEN])</f>
        <v>ALMACEN PRINCIPAL</v>
      </c>
      <c r="J337" s="34" t="str">
        <f>_xlfn.XLOOKUP(TablaSTOCKINV[[#This Row],[SKU]],TablaINVENTARIO[SKU],TablaINVENTARIO[UBICACION])</f>
        <v>I3-2</v>
      </c>
      <c r="K337" s="34" t="str">
        <f>_xlfn.XLOOKUP(TablaSTOCKINV[[#This Row],[SKU]],TablaINVENTARIO[SKU],TablaINVENTARIO[DPTO RESPONSABLE])</f>
        <v xml:space="preserve">OPERACIONES / MANTENIMIENTO </v>
      </c>
      <c r="L337" s="36">
        <f>_xlfn.XLOOKUP(TablaSTOCKINV[[#This Row],[SKU]],TablaINVENTARIO[SKU],TablaINVENTARIO[RANGO MIN])</f>
        <v>0</v>
      </c>
      <c r="M337" s="34" cm="1">
        <f t="array" ref="M337">_xlfn.IFS(TablaSTOCKINV[[#This Row],[CANT. TOTAL]]&lt;=0,1,TablaSTOCKINV[[#This Row],[CANT. TOTAL]]&lt;=TablaSTOCKINV[[#This Row],[MIN]],2,TablaSTOCKINV[[#This Row],[CANT. TOTAL]]&gt;TablaSTOCKINV[[#This Row],[MIN]],3)</f>
        <v>3</v>
      </c>
      <c r="N337" s="34">
        <f>TablaSTOCKINV[[#This Row],[ENTRADAS]]-TablaSTOCKINV[[#This Row],[SALIDAS]]</f>
        <v>2</v>
      </c>
      <c r="O337" s="35">
        <f>SUMIFS(TablaENTRADA[CANT],TablaENTRADA[SKU],TablaSTOCKINV[[#This Row],[SKU]])</f>
        <v>2</v>
      </c>
      <c r="P337" s="35">
        <f>SUMIFS(TablaSALIDA[CANT],TablaSALIDA[SKU],TablaSTOCKINV[[#This Row],[SKU]])</f>
        <v>0</v>
      </c>
      <c r="Q337" s="34">
        <f>_xlfn.XLOOKUP(TablaSTOCKINV[[#This Row],[SKU]],TablaINVENTARIO[SKU],TablaINVENTARIO[PRECIO])</f>
        <v>0</v>
      </c>
      <c r="R337" s="34">
        <f>TablaSTOCKINV[[#This Row],[P.UNITARIO]]*TablaSTOCKINV[[#This Row],[CANT. TOTAL]]</f>
        <v>0</v>
      </c>
      <c r="S337" s="44">
        <f>_xlfn.XLOOKUP(TablaSTOCKINV[[#This Row],[SKU]],TablaINVENTARIO[SKU],TablaINVENTARIO[FECHA INGRESO])</f>
        <v>46023</v>
      </c>
      <c r="T337" s="44">
        <f>_xlfn.XLOOKUP(TablaSTOCKINV[[#This Row],[SKU]],TablaENTRADA[SKU],TablaENTRADA[FECHA],,0,-1)</f>
        <v>46023</v>
      </c>
      <c r="U337" s="46" t="str">
        <f>IFERROR((_xlfn.XLOOKUP(TablaSTOCKINV[[#This Row],[SKU]],TablaSALIDA[SKU],TablaSALIDA[FECHA],,0,-1))," " )</f>
        <v xml:space="preserve"> </v>
      </c>
    </row>
    <row r="338" spans="1:21" x14ac:dyDescent="0.3">
      <c r="A338" s="27" t="s">
        <v>1520</v>
      </c>
      <c r="B338" s="32" t="str">
        <f>_xlfn.XLOOKUP(TablaSTOCKINV[[#This Row],[SKU]],TablaINVENTARIO[SKU],TablaINVENTARIO[DESCRIPCION])</f>
        <v xml:space="preserve">FUNDA DE RODILLO 9" </v>
      </c>
      <c r="C338" s="32" t="str">
        <f>_xlfn.XLOOKUP(TablaSTOCKINV[[#This Row],[SKU]],TablaINVENTARIO[SKU],TablaINVENTARIO[MARCA])</f>
        <v>N/A</v>
      </c>
      <c r="D338" s="33" t="str">
        <f>_xlfn.XLOOKUP(TablaSTOCKINV[[#This Row],[SKU]],TablaINVENTARIO[SKU],TablaINVENTARIO[CATEGORIA])</f>
        <v>HERRAMIENTAS_</v>
      </c>
      <c r="E338" s="33" t="str">
        <f>_xlfn.XLOOKUP(TablaSTOCKINV[[#This Row],[SKU]],TablaINVENTARIO[SKU],TablaINVENTARIO[SUBCATEGORIA])</f>
        <v xml:space="preserve">ACCESORIO PARA PINTURA </v>
      </c>
      <c r="F338" s="33" t="str">
        <f>_xlfn.XLOOKUP(TablaSTOCKINV[[#This Row],[SKU]],TablaINVENTARIO[SKU],TablaINVENTARIO[ESTADO])</f>
        <v xml:space="preserve">NUEVO </v>
      </c>
      <c r="G338" s="33" t="str">
        <f>_xlfn.XLOOKUP(TablaSTOCKINV[[#This Row],[SKU]],TablaINVENTARIO[SKU],TablaINVENTARIO[MEDIDA])</f>
        <v>UND</v>
      </c>
      <c r="H338" s="33" t="str">
        <f>_xlfn.XLOOKUP(TablaSTOCKINV[[#This Row],[SKU]],TablaINVENTARIO[SKU],TablaINVENTARIO[SERIAL])</f>
        <v>N/A</v>
      </c>
      <c r="I338" s="34" t="str">
        <f>_xlfn.XLOOKUP(TablaSTOCKINV[[#This Row],[SKU]],TablaINVENTARIO[SKU],TablaINVENTARIO[ALMACEN])</f>
        <v>ALMACEN PRINCIPAL</v>
      </c>
      <c r="J338" s="34" t="str">
        <f>_xlfn.XLOOKUP(TablaSTOCKINV[[#This Row],[SKU]],TablaINVENTARIO[SKU],TablaINVENTARIO[UBICACION])</f>
        <v>I3-2</v>
      </c>
      <c r="K338" s="34" t="str">
        <f>_xlfn.XLOOKUP(TablaSTOCKINV[[#This Row],[SKU]],TablaINVENTARIO[SKU],TablaINVENTARIO[DPTO RESPONSABLE])</f>
        <v xml:space="preserve">OPERACIONES / MANTENIMIENTO </v>
      </c>
      <c r="L338" s="36">
        <f>_xlfn.XLOOKUP(TablaSTOCKINV[[#This Row],[SKU]],TablaINVENTARIO[SKU],TablaINVENTARIO[RANGO MIN])</f>
        <v>0</v>
      </c>
      <c r="M338" s="34" cm="1">
        <f t="array" ref="M338">_xlfn.IFS(TablaSTOCKINV[[#This Row],[CANT. TOTAL]]&lt;=0,1,TablaSTOCKINV[[#This Row],[CANT. TOTAL]]&lt;=TablaSTOCKINV[[#This Row],[MIN]],2,TablaSTOCKINV[[#This Row],[CANT. TOTAL]]&gt;TablaSTOCKINV[[#This Row],[MIN]],3)</f>
        <v>3</v>
      </c>
      <c r="N338" s="34">
        <f>TablaSTOCKINV[[#This Row],[ENTRADAS]]-TablaSTOCKINV[[#This Row],[SALIDAS]]</f>
        <v>1</v>
      </c>
      <c r="O338" s="35">
        <f>SUMIFS(TablaENTRADA[CANT],TablaENTRADA[SKU],TablaSTOCKINV[[#This Row],[SKU]])</f>
        <v>1</v>
      </c>
      <c r="P338" s="35">
        <f>SUMIFS(TablaSALIDA[CANT],TablaSALIDA[SKU],TablaSTOCKINV[[#This Row],[SKU]])</f>
        <v>0</v>
      </c>
      <c r="Q338" s="34">
        <f>_xlfn.XLOOKUP(TablaSTOCKINV[[#This Row],[SKU]],TablaINVENTARIO[SKU],TablaINVENTARIO[PRECIO])</f>
        <v>0</v>
      </c>
      <c r="R338" s="34">
        <f>TablaSTOCKINV[[#This Row],[P.UNITARIO]]*TablaSTOCKINV[[#This Row],[CANT. TOTAL]]</f>
        <v>0</v>
      </c>
      <c r="S338" s="44">
        <f>_xlfn.XLOOKUP(TablaSTOCKINV[[#This Row],[SKU]],TablaINVENTARIO[SKU],TablaINVENTARIO[FECHA INGRESO])</f>
        <v>46023</v>
      </c>
      <c r="T338" s="44">
        <f>_xlfn.XLOOKUP(TablaSTOCKINV[[#This Row],[SKU]],TablaENTRADA[SKU],TablaENTRADA[FECHA],,0,-1)</f>
        <v>46023</v>
      </c>
      <c r="U338" s="46" t="str">
        <f>IFERROR((_xlfn.XLOOKUP(TablaSTOCKINV[[#This Row],[SKU]],TablaSALIDA[SKU],TablaSALIDA[FECHA],,0,-1))," " )</f>
        <v xml:space="preserve"> </v>
      </c>
    </row>
    <row r="339" spans="1:21" x14ac:dyDescent="0.3">
      <c r="A339" s="27" t="s">
        <v>1522</v>
      </c>
      <c r="B339" s="32" t="str">
        <f>_xlfn.XLOOKUP(TablaSTOCKINV[[#This Row],[SKU]],TablaINVENTARIO[SKU],TablaINVENTARIO[DESCRIPCION])</f>
        <v xml:space="preserve">FUNDA DE RODILLO 3" </v>
      </c>
      <c r="C339" s="32" t="str">
        <f>_xlfn.XLOOKUP(TablaSTOCKINV[[#This Row],[SKU]],TablaINVENTARIO[SKU],TablaINVENTARIO[MARCA])</f>
        <v>N/A</v>
      </c>
      <c r="D339" s="33" t="str">
        <f>_xlfn.XLOOKUP(TablaSTOCKINV[[#This Row],[SKU]],TablaINVENTARIO[SKU],TablaINVENTARIO[CATEGORIA])</f>
        <v>HERRAMIENTAS_</v>
      </c>
      <c r="E339" s="33" t="str">
        <f>_xlfn.XLOOKUP(TablaSTOCKINV[[#This Row],[SKU]],TablaINVENTARIO[SKU],TablaINVENTARIO[SUBCATEGORIA])</f>
        <v xml:space="preserve">ACCESORIO PARA PINTURA </v>
      </c>
      <c r="F339" s="33" t="str">
        <f>_xlfn.XLOOKUP(TablaSTOCKINV[[#This Row],[SKU]],TablaINVENTARIO[SKU],TablaINVENTARIO[ESTADO])</f>
        <v xml:space="preserve">NUEVO </v>
      </c>
      <c r="G339" s="33" t="str">
        <f>_xlfn.XLOOKUP(TablaSTOCKINV[[#This Row],[SKU]],TablaINVENTARIO[SKU],TablaINVENTARIO[MEDIDA])</f>
        <v>UND</v>
      </c>
      <c r="H339" s="33" t="str">
        <f>_xlfn.XLOOKUP(TablaSTOCKINV[[#This Row],[SKU]],TablaINVENTARIO[SKU],TablaINVENTARIO[SERIAL])</f>
        <v>N/A</v>
      </c>
      <c r="I339" s="34" t="str">
        <f>_xlfn.XLOOKUP(TablaSTOCKINV[[#This Row],[SKU]],TablaINVENTARIO[SKU],TablaINVENTARIO[ALMACEN])</f>
        <v>ALMACEN PRINCIPAL</v>
      </c>
      <c r="J339" s="34" t="str">
        <f>_xlfn.XLOOKUP(TablaSTOCKINV[[#This Row],[SKU]],TablaINVENTARIO[SKU],TablaINVENTARIO[UBICACION])</f>
        <v>I3-2</v>
      </c>
      <c r="K339" s="34" t="str">
        <f>_xlfn.XLOOKUP(TablaSTOCKINV[[#This Row],[SKU]],TablaINVENTARIO[SKU],TablaINVENTARIO[DPTO RESPONSABLE])</f>
        <v xml:space="preserve">OPERACIONES / MANTENIMIENTO </v>
      </c>
      <c r="L339" s="36">
        <f>_xlfn.XLOOKUP(TablaSTOCKINV[[#This Row],[SKU]],TablaINVENTARIO[SKU],TablaINVENTARIO[RANGO MIN])</f>
        <v>0</v>
      </c>
      <c r="M339" s="34" cm="1">
        <f t="array" ref="M339">_xlfn.IFS(TablaSTOCKINV[[#This Row],[CANT. TOTAL]]&lt;=0,1,TablaSTOCKINV[[#This Row],[CANT. TOTAL]]&lt;=TablaSTOCKINV[[#This Row],[MIN]],2,TablaSTOCKINV[[#This Row],[CANT. TOTAL]]&gt;TablaSTOCKINV[[#This Row],[MIN]],3)</f>
        <v>3</v>
      </c>
      <c r="N339" s="34">
        <f>TablaSTOCKINV[[#This Row],[ENTRADAS]]-TablaSTOCKINV[[#This Row],[SALIDAS]]</f>
        <v>4</v>
      </c>
      <c r="O339" s="35">
        <f>SUMIFS(TablaENTRADA[CANT],TablaENTRADA[SKU],TablaSTOCKINV[[#This Row],[SKU]])</f>
        <v>4</v>
      </c>
      <c r="P339" s="35">
        <f>SUMIFS(TablaSALIDA[CANT],TablaSALIDA[SKU],TablaSTOCKINV[[#This Row],[SKU]])</f>
        <v>0</v>
      </c>
      <c r="Q339" s="34">
        <f>_xlfn.XLOOKUP(TablaSTOCKINV[[#This Row],[SKU]],TablaINVENTARIO[SKU],TablaINVENTARIO[PRECIO])</f>
        <v>0</v>
      </c>
      <c r="R339" s="34">
        <f>TablaSTOCKINV[[#This Row],[P.UNITARIO]]*TablaSTOCKINV[[#This Row],[CANT. TOTAL]]</f>
        <v>0</v>
      </c>
      <c r="S339" s="44">
        <f>_xlfn.XLOOKUP(TablaSTOCKINV[[#This Row],[SKU]],TablaINVENTARIO[SKU],TablaINVENTARIO[FECHA INGRESO])</f>
        <v>46023</v>
      </c>
      <c r="T339" s="44">
        <f>_xlfn.XLOOKUP(TablaSTOCKINV[[#This Row],[SKU]],TablaENTRADA[SKU],TablaENTRADA[FECHA],,0,-1)</f>
        <v>46023</v>
      </c>
      <c r="U339" s="46" t="str">
        <f>IFERROR((_xlfn.XLOOKUP(TablaSTOCKINV[[#This Row],[SKU]],TablaSALIDA[SKU],TablaSALIDA[FECHA],,0,-1))," " )</f>
        <v xml:space="preserve"> </v>
      </c>
    </row>
    <row r="340" spans="1:21" x14ac:dyDescent="0.3">
      <c r="A340" s="27" t="s">
        <v>1524</v>
      </c>
      <c r="B340" s="32" t="str">
        <f>_xlfn.XLOOKUP(TablaSTOCKINV[[#This Row],[SKU]],TablaINVENTARIO[SKU],TablaINVENTARIO[DESCRIPCION])</f>
        <v xml:space="preserve">BANDEJA PARA PINTURA </v>
      </c>
      <c r="C340" s="32" t="str">
        <f>_xlfn.XLOOKUP(TablaSTOCKINV[[#This Row],[SKU]],TablaINVENTARIO[SKU],TablaINVENTARIO[MARCA])</f>
        <v>N/A</v>
      </c>
      <c r="D340" s="33" t="str">
        <f>_xlfn.XLOOKUP(TablaSTOCKINV[[#This Row],[SKU]],TablaINVENTARIO[SKU],TablaINVENTARIO[CATEGORIA])</f>
        <v>HERRAMIENTAS_</v>
      </c>
      <c r="E340" s="33" t="str">
        <f>_xlfn.XLOOKUP(TablaSTOCKINV[[#This Row],[SKU]],TablaINVENTARIO[SKU],TablaINVENTARIO[SUBCATEGORIA])</f>
        <v xml:space="preserve">ACCESORIO PARA PINTURA </v>
      </c>
      <c r="F340" s="33" t="str">
        <f>_xlfn.XLOOKUP(TablaSTOCKINV[[#This Row],[SKU]],TablaINVENTARIO[SKU],TablaINVENTARIO[ESTADO])</f>
        <v xml:space="preserve">NUEVO </v>
      </c>
      <c r="G340" s="33" t="str">
        <f>_xlfn.XLOOKUP(TablaSTOCKINV[[#This Row],[SKU]],TablaINVENTARIO[SKU],TablaINVENTARIO[MEDIDA])</f>
        <v>UND</v>
      </c>
      <c r="H340" s="33" t="str">
        <f>_xlfn.XLOOKUP(TablaSTOCKINV[[#This Row],[SKU]],TablaINVENTARIO[SKU],TablaINVENTARIO[SERIAL])</f>
        <v>N/A</v>
      </c>
      <c r="I340" s="34" t="str">
        <f>_xlfn.XLOOKUP(TablaSTOCKINV[[#This Row],[SKU]],TablaINVENTARIO[SKU],TablaINVENTARIO[ALMACEN])</f>
        <v>ALMACEN PRINCIPAL</v>
      </c>
      <c r="J340" s="34" t="str">
        <f>_xlfn.XLOOKUP(TablaSTOCKINV[[#This Row],[SKU]],TablaINVENTARIO[SKU],TablaINVENTARIO[UBICACION])</f>
        <v>I3-2</v>
      </c>
      <c r="K340" s="34" t="str">
        <f>_xlfn.XLOOKUP(TablaSTOCKINV[[#This Row],[SKU]],TablaINVENTARIO[SKU],TablaINVENTARIO[DPTO RESPONSABLE])</f>
        <v xml:space="preserve">OPERACIONES / MANTENIMIENTO </v>
      </c>
      <c r="L340" s="36">
        <f>_xlfn.XLOOKUP(TablaSTOCKINV[[#This Row],[SKU]],TablaINVENTARIO[SKU],TablaINVENTARIO[RANGO MIN])</f>
        <v>0</v>
      </c>
      <c r="M340" s="34" cm="1">
        <f t="array" ref="M340">_xlfn.IFS(TablaSTOCKINV[[#This Row],[CANT. TOTAL]]&lt;=0,1,TablaSTOCKINV[[#This Row],[CANT. TOTAL]]&lt;=TablaSTOCKINV[[#This Row],[MIN]],2,TablaSTOCKINV[[#This Row],[CANT. TOTAL]]&gt;TablaSTOCKINV[[#This Row],[MIN]],3)</f>
        <v>3</v>
      </c>
      <c r="N340" s="34">
        <f>TablaSTOCKINV[[#This Row],[ENTRADAS]]-TablaSTOCKINV[[#This Row],[SALIDAS]]</f>
        <v>1</v>
      </c>
      <c r="O340" s="35">
        <f>SUMIFS(TablaENTRADA[CANT],TablaENTRADA[SKU],TablaSTOCKINV[[#This Row],[SKU]])</f>
        <v>1</v>
      </c>
      <c r="P340" s="35">
        <f>SUMIFS(TablaSALIDA[CANT],TablaSALIDA[SKU],TablaSTOCKINV[[#This Row],[SKU]])</f>
        <v>0</v>
      </c>
      <c r="Q340" s="34">
        <f>_xlfn.XLOOKUP(TablaSTOCKINV[[#This Row],[SKU]],TablaINVENTARIO[SKU],TablaINVENTARIO[PRECIO])</f>
        <v>0</v>
      </c>
      <c r="R340" s="34">
        <f>TablaSTOCKINV[[#This Row],[P.UNITARIO]]*TablaSTOCKINV[[#This Row],[CANT. TOTAL]]</f>
        <v>0</v>
      </c>
      <c r="S340" s="44">
        <f>_xlfn.XLOOKUP(TablaSTOCKINV[[#This Row],[SKU]],TablaINVENTARIO[SKU],TablaINVENTARIO[FECHA INGRESO])</f>
        <v>46023</v>
      </c>
      <c r="T340" s="44">
        <f>_xlfn.XLOOKUP(TablaSTOCKINV[[#This Row],[SKU]],TablaENTRADA[SKU],TablaENTRADA[FECHA],,0,-1)</f>
        <v>46023</v>
      </c>
      <c r="U340" s="46" t="str">
        <f>IFERROR((_xlfn.XLOOKUP(TablaSTOCKINV[[#This Row],[SKU]],TablaSALIDA[SKU],TablaSALIDA[FECHA],,0,-1))," " )</f>
        <v xml:space="preserve"> </v>
      </c>
    </row>
    <row r="341" spans="1:21" x14ac:dyDescent="0.3">
      <c r="A341" s="27" t="s">
        <v>1526</v>
      </c>
      <c r="B341" s="32" t="str">
        <f>_xlfn.XLOOKUP(TablaSTOCKINV[[#This Row],[SKU]],TablaINVENTARIO[SKU],TablaINVENTARIO[DESCRIPCION])</f>
        <v xml:space="preserve">FLEJE DE SEGURIDAD DE ACERO </v>
      </c>
      <c r="C341" s="32" t="str">
        <f>_xlfn.XLOOKUP(TablaSTOCKINV[[#This Row],[SKU]],TablaINVENTARIO[SKU],TablaINVENTARIO[MARCA])</f>
        <v>N/A</v>
      </c>
      <c r="D341" s="33" t="str">
        <f>_xlfn.XLOOKUP(TablaSTOCKINV[[#This Row],[SKU]],TablaINVENTARIO[SKU],TablaINVENTARIO[CATEGORIA])</f>
        <v>HERRAMIENTAS_</v>
      </c>
      <c r="E341" s="33" t="str">
        <f>_xlfn.XLOOKUP(TablaSTOCKINV[[#This Row],[SKU]],TablaINVENTARIO[SKU],TablaINVENTARIO[SUBCATEGORIA])</f>
        <v xml:space="preserve">MATERIAL DE CONSTRUCCIÓN </v>
      </c>
      <c r="F341" s="33" t="str">
        <f>_xlfn.XLOOKUP(TablaSTOCKINV[[#This Row],[SKU]],TablaINVENTARIO[SKU],TablaINVENTARIO[ESTADO])</f>
        <v xml:space="preserve">NUEVO </v>
      </c>
      <c r="G341" s="33" t="str">
        <f>_xlfn.XLOOKUP(TablaSTOCKINV[[#This Row],[SKU]],TablaINVENTARIO[SKU],TablaINVENTARIO[MEDIDA])</f>
        <v xml:space="preserve">ROLLO </v>
      </c>
      <c r="H341" s="33" t="str">
        <f>_xlfn.XLOOKUP(TablaSTOCKINV[[#This Row],[SKU]],TablaINVENTARIO[SKU],TablaINVENTARIO[SERIAL])</f>
        <v>N/A</v>
      </c>
      <c r="I341" s="34" t="str">
        <f>_xlfn.XLOOKUP(TablaSTOCKINV[[#This Row],[SKU]],TablaINVENTARIO[SKU],TablaINVENTARIO[ALMACEN])</f>
        <v>ALMACEN PRINCIPAL</v>
      </c>
      <c r="J341" s="34" t="str">
        <f>_xlfn.XLOOKUP(TablaSTOCKINV[[#This Row],[SKU]],TablaINVENTARIO[SKU],TablaINVENTARIO[UBICACION])</f>
        <v>I3-2</v>
      </c>
      <c r="K341" s="34" t="str">
        <f>_xlfn.XLOOKUP(TablaSTOCKINV[[#This Row],[SKU]],TablaINVENTARIO[SKU],TablaINVENTARIO[DPTO RESPONSABLE])</f>
        <v>OPERACIONES</v>
      </c>
      <c r="L341" s="36">
        <f>_xlfn.XLOOKUP(TablaSTOCKINV[[#This Row],[SKU]],TablaINVENTARIO[SKU],TablaINVENTARIO[RANGO MIN])</f>
        <v>0</v>
      </c>
      <c r="M341" s="34" cm="1">
        <f t="array" ref="M341">_xlfn.IFS(TablaSTOCKINV[[#This Row],[CANT. TOTAL]]&lt;=0,1,TablaSTOCKINV[[#This Row],[CANT. TOTAL]]&lt;=TablaSTOCKINV[[#This Row],[MIN]],2,TablaSTOCKINV[[#This Row],[CANT. TOTAL]]&gt;TablaSTOCKINV[[#This Row],[MIN]],3)</f>
        <v>3</v>
      </c>
      <c r="N341" s="34">
        <f>TablaSTOCKINV[[#This Row],[ENTRADAS]]-TablaSTOCKINV[[#This Row],[SALIDAS]]</f>
        <v>7</v>
      </c>
      <c r="O341" s="35">
        <f>SUMIFS(TablaENTRADA[CANT],TablaENTRADA[SKU],TablaSTOCKINV[[#This Row],[SKU]])</f>
        <v>7</v>
      </c>
      <c r="P341" s="35">
        <f>SUMIFS(TablaSALIDA[CANT],TablaSALIDA[SKU],TablaSTOCKINV[[#This Row],[SKU]])</f>
        <v>0</v>
      </c>
      <c r="Q341" s="34">
        <f>_xlfn.XLOOKUP(TablaSTOCKINV[[#This Row],[SKU]],TablaINVENTARIO[SKU],TablaINVENTARIO[PRECIO])</f>
        <v>0</v>
      </c>
      <c r="R341" s="34">
        <f>TablaSTOCKINV[[#This Row],[P.UNITARIO]]*TablaSTOCKINV[[#This Row],[CANT. TOTAL]]</f>
        <v>0</v>
      </c>
      <c r="S341" s="44">
        <f>_xlfn.XLOOKUP(TablaSTOCKINV[[#This Row],[SKU]],TablaINVENTARIO[SKU],TablaINVENTARIO[FECHA INGRESO])</f>
        <v>46023</v>
      </c>
      <c r="T341" s="44">
        <f>_xlfn.XLOOKUP(TablaSTOCKINV[[#This Row],[SKU]],TablaENTRADA[SKU],TablaENTRADA[FECHA],,0,-1)</f>
        <v>46023</v>
      </c>
      <c r="U341" s="46" t="str">
        <f>IFERROR((_xlfn.XLOOKUP(TablaSTOCKINV[[#This Row],[SKU]],TablaSALIDA[SKU],TablaSALIDA[FECHA],,0,-1))," " )</f>
        <v xml:space="preserve"> </v>
      </c>
    </row>
    <row r="342" spans="1:21" x14ac:dyDescent="0.3">
      <c r="A342" s="27" t="s">
        <v>1528</v>
      </c>
      <c r="B342" s="32" t="str">
        <f>_xlfn.XLOOKUP(TablaSTOCKINV[[#This Row],[SKU]],TablaINVENTARIO[SKU],TablaINVENTARIO[DESCRIPCION])</f>
        <v xml:space="preserve">CINTA PASACABLES </v>
      </c>
      <c r="C342" s="32" t="str">
        <f>_xlfn.XLOOKUP(TablaSTOCKINV[[#This Row],[SKU]],TablaINVENTARIO[SKU],TablaINVENTARIO[MARCA])</f>
        <v>N/A</v>
      </c>
      <c r="D342" s="33" t="str">
        <f>_xlfn.XLOOKUP(TablaSTOCKINV[[#This Row],[SKU]],TablaINVENTARIO[SKU],TablaINVENTARIO[CATEGORIA])</f>
        <v>HERRAMIENTAS_</v>
      </c>
      <c r="E342" s="33" t="str">
        <f>_xlfn.XLOOKUP(TablaSTOCKINV[[#This Row],[SKU]],TablaINVENTARIO[SKU],TablaINVENTARIO[SUBCATEGORIA])</f>
        <v xml:space="preserve">HERRAMIENTA DE MANO </v>
      </c>
      <c r="F342" s="33" t="str">
        <f>_xlfn.XLOOKUP(TablaSTOCKINV[[#This Row],[SKU]],TablaINVENTARIO[SKU],TablaINVENTARIO[ESTADO])</f>
        <v>USADO</v>
      </c>
      <c r="G342" s="33" t="str">
        <f>_xlfn.XLOOKUP(TablaSTOCKINV[[#This Row],[SKU]],TablaINVENTARIO[SKU],TablaINVENTARIO[MEDIDA])</f>
        <v xml:space="preserve">UND </v>
      </c>
      <c r="H342" s="33" t="str">
        <f>_xlfn.XLOOKUP(TablaSTOCKINV[[#This Row],[SKU]],TablaINVENTARIO[SKU],TablaINVENTARIO[SERIAL])</f>
        <v>N/A</v>
      </c>
      <c r="I342" s="34" t="str">
        <f>_xlfn.XLOOKUP(TablaSTOCKINV[[#This Row],[SKU]],TablaINVENTARIO[SKU],TablaINVENTARIO[ALMACEN])</f>
        <v>ALMACEN PRINCIPAL</v>
      </c>
      <c r="J342" s="34" t="str">
        <f>_xlfn.XLOOKUP(TablaSTOCKINV[[#This Row],[SKU]],TablaINVENTARIO[SKU],TablaINVENTARIO[UBICACION])</f>
        <v>I3-2</v>
      </c>
      <c r="K342" s="34" t="str">
        <f>_xlfn.XLOOKUP(TablaSTOCKINV[[#This Row],[SKU]],TablaINVENTARIO[SKU],TablaINVENTARIO[DPTO RESPONSABLE])</f>
        <v>OPERACIONES</v>
      </c>
      <c r="L342" s="36">
        <f>_xlfn.XLOOKUP(TablaSTOCKINV[[#This Row],[SKU]],TablaINVENTARIO[SKU],TablaINVENTARIO[RANGO MIN])</f>
        <v>0</v>
      </c>
      <c r="M342" s="34" cm="1">
        <f t="array" ref="M342">_xlfn.IFS(TablaSTOCKINV[[#This Row],[CANT. TOTAL]]&lt;=0,1,TablaSTOCKINV[[#This Row],[CANT. TOTAL]]&lt;=TablaSTOCKINV[[#This Row],[MIN]],2,TablaSTOCKINV[[#This Row],[CANT. TOTAL]]&gt;TablaSTOCKINV[[#This Row],[MIN]],3)</f>
        <v>3</v>
      </c>
      <c r="N342" s="34">
        <f>TablaSTOCKINV[[#This Row],[ENTRADAS]]-TablaSTOCKINV[[#This Row],[SALIDAS]]</f>
        <v>1</v>
      </c>
      <c r="O342" s="35">
        <f>SUMIFS(TablaENTRADA[CANT],TablaENTRADA[SKU],TablaSTOCKINV[[#This Row],[SKU]])</f>
        <v>1</v>
      </c>
      <c r="P342" s="35">
        <f>SUMIFS(TablaSALIDA[CANT],TablaSALIDA[SKU],TablaSTOCKINV[[#This Row],[SKU]])</f>
        <v>0</v>
      </c>
      <c r="Q342" s="34">
        <f>_xlfn.XLOOKUP(TablaSTOCKINV[[#This Row],[SKU]],TablaINVENTARIO[SKU],TablaINVENTARIO[PRECIO])</f>
        <v>0</v>
      </c>
      <c r="R342" s="34">
        <f>TablaSTOCKINV[[#This Row],[P.UNITARIO]]*TablaSTOCKINV[[#This Row],[CANT. TOTAL]]</f>
        <v>0</v>
      </c>
      <c r="S342" s="44">
        <f>_xlfn.XLOOKUP(TablaSTOCKINV[[#This Row],[SKU]],TablaINVENTARIO[SKU],TablaINVENTARIO[FECHA INGRESO])</f>
        <v>46023</v>
      </c>
      <c r="T342" s="44">
        <f>_xlfn.XLOOKUP(TablaSTOCKINV[[#This Row],[SKU]],TablaENTRADA[SKU],TablaENTRADA[FECHA],,0,-1)</f>
        <v>46023</v>
      </c>
      <c r="U342" s="46" t="str">
        <f>IFERROR((_xlfn.XLOOKUP(TablaSTOCKINV[[#This Row],[SKU]],TablaSALIDA[SKU],TablaSALIDA[FECHA],,0,-1))," " )</f>
        <v xml:space="preserve"> </v>
      </c>
    </row>
    <row r="343" spans="1:21" x14ac:dyDescent="0.3">
      <c r="A343" s="27" t="s">
        <v>1530</v>
      </c>
      <c r="B343" s="32" t="str">
        <f>_xlfn.XLOOKUP(TablaSTOCKINV[[#This Row],[SKU]],TablaINVENTARIO[SKU],TablaINVENTARIO[DESCRIPCION])</f>
        <v>BOMBA NEUMATICA</v>
      </c>
      <c r="C343" s="32" t="str">
        <f>_xlfn.XLOOKUP(TablaSTOCKINV[[#This Row],[SKU]],TablaINVENTARIO[SKU],TablaINVENTARIO[MARCA])</f>
        <v>N/A</v>
      </c>
      <c r="D343" s="33" t="str">
        <f>_xlfn.XLOOKUP(TablaSTOCKINV[[#This Row],[SKU]],TablaINVENTARIO[SKU],TablaINVENTARIO[CATEGORIA])</f>
        <v>HERRAMIENTAS_</v>
      </c>
      <c r="E343" s="33" t="str">
        <f>_xlfn.XLOOKUP(TablaSTOCKINV[[#This Row],[SKU]],TablaINVENTARIO[SKU],TablaINVENTARIO[SUBCATEGORIA])</f>
        <v>MATERIAL ELECTRICO</v>
      </c>
      <c r="F343" s="33" t="str">
        <f>_xlfn.XLOOKUP(TablaSTOCKINV[[#This Row],[SKU]],TablaINVENTARIO[SKU],TablaINVENTARIO[ESTADO])</f>
        <v>USADO</v>
      </c>
      <c r="G343" s="33" t="str">
        <f>_xlfn.XLOOKUP(TablaSTOCKINV[[#This Row],[SKU]],TablaINVENTARIO[SKU],TablaINVENTARIO[MEDIDA])</f>
        <v>UND</v>
      </c>
      <c r="H343" s="33">
        <f>_xlfn.XLOOKUP(TablaSTOCKINV[[#This Row],[SKU]],TablaINVENTARIO[SKU],TablaINVENTARIO[SERIAL])</f>
        <v>269</v>
      </c>
      <c r="I343" s="34" t="str">
        <f>_xlfn.XLOOKUP(TablaSTOCKINV[[#This Row],[SKU]],TablaINVENTARIO[SKU],TablaINVENTARIO[ALMACEN])</f>
        <v>ALMACEN PRINCIPAL</v>
      </c>
      <c r="J343" s="34" t="str">
        <f>_xlfn.XLOOKUP(TablaSTOCKINV[[#This Row],[SKU]],TablaINVENTARIO[SKU],TablaINVENTARIO[UBICACION])</f>
        <v>I1-1</v>
      </c>
      <c r="K343" s="34" t="str">
        <f>_xlfn.XLOOKUP(TablaSTOCKINV[[#This Row],[SKU]],TablaINVENTARIO[SKU],TablaINVENTARIO[DPTO RESPONSABLE])</f>
        <v>OPERACIONES</v>
      </c>
      <c r="L343" s="36">
        <f>_xlfn.XLOOKUP(TablaSTOCKINV[[#This Row],[SKU]],TablaINVENTARIO[SKU],TablaINVENTARIO[RANGO MIN])</f>
        <v>0</v>
      </c>
      <c r="M343" s="34" cm="1">
        <f t="array" ref="M343">_xlfn.IFS(TablaSTOCKINV[[#This Row],[CANT. TOTAL]]&lt;=0,1,TablaSTOCKINV[[#This Row],[CANT. TOTAL]]&lt;=TablaSTOCKINV[[#This Row],[MIN]],2,TablaSTOCKINV[[#This Row],[CANT. TOTAL]]&gt;TablaSTOCKINV[[#This Row],[MIN]],3)</f>
        <v>3</v>
      </c>
      <c r="N343" s="34">
        <f>TablaSTOCKINV[[#This Row],[ENTRADAS]]-TablaSTOCKINV[[#This Row],[SALIDAS]]</f>
        <v>1</v>
      </c>
      <c r="O343" s="35">
        <f>SUMIFS(TablaENTRADA[CANT],TablaENTRADA[SKU],TablaSTOCKINV[[#This Row],[SKU]])</f>
        <v>1</v>
      </c>
      <c r="P343" s="35">
        <f>SUMIFS(TablaSALIDA[CANT],TablaSALIDA[SKU],TablaSTOCKINV[[#This Row],[SKU]])</f>
        <v>0</v>
      </c>
      <c r="Q343" s="34">
        <f>_xlfn.XLOOKUP(TablaSTOCKINV[[#This Row],[SKU]],TablaINVENTARIO[SKU],TablaINVENTARIO[PRECIO])</f>
        <v>0</v>
      </c>
      <c r="R343" s="34">
        <f>TablaSTOCKINV[[#This Row],[P.UNITARIO]]*TablaSTOCKINV[[#This Row],[CANT. TOTAL]]</f>
        <v>0</v>
      </c>
      <c r="S343" s="44">
        <f>_xlfn.XLOOKUP(TablaSTOCKINV[[#This Row],[SKU]],TablaINVENTARIO[SKU],TablaINVENTARIO[FECHA INGRESO])</f>
        <v>46023</v>
      </c>
      <c r="T343" s="44">
        <f>_xlfn.XLOOKUP(TablaSTOCKINV[[#This Row],[SKU]],TablaENTRADA[SKU],TablaENTRADA[FECHA],,0,-1)</f>
        <v>46023</v>
      </c>
      <c r="U343" s="46" t="str">
        <f>IFERROR((_xlfn.XLOOKUP(TablaSTOCKINV[[#This Row],[SKU]],TablaSALIDA[SKU],TablaSALIDA[FECHA],,0,-1))," " )</f>
        <v xml:space="preserve"> </v>
      </c>
    </row>
    <row r="344" spans="1:21" x14ac:dyDescent="0.3">
      <c r="A344" s="27" t="s">
        <v>1532</v>
      </c>
      <c r="B344" s="32" t="str">
        <f>_xlfn.XLOOKUP(TablaSTOCKINV[[#This Row],[SKU]],TablaINVENTARIO[SKU],TablaINVENTARIO[DESCRIPCION])</f>
        <v xml:space="preserve">CAJA DE SALIDA </v>
      </c>
      <c r="C344" s="32" t="str">
        <f>_xlfn.XLOOKUP(TablaSTOCKINV[[#This Row],[SKU]],TablaINVENTARIO[SKU],TablaINVENTARIO[MARCA])</f>
        <v>KILLARK</v>
      </c>
      <c r="D344" s="33" t="str">
        <f>_xlfn.XLOOKUP(TablaSTOCKINV[[#This Row],[SKU]],TablaINVENTARIO[SKU],TablaINVENTARIO[CATEGORIA])</f>
        <v>HERRAMIENTAS_</v>
      </c>
      <c r="E344" s="33" t="str">
        <f>_xlfn.XLOOKUP(TablaSTOCKINV[[#This Row],[SKU]],TablaINVENTARIO[SKU],TablaINVENTARIO[SUBCATEGORIA])</f>
        <v>MATERIAL ELECTRICO</v>
      </c>
      <c r="F344" s="33" t="str">
        <f>_xlfn.XLOOKUP(TablaSTOCKINV[[#This Row],[SKU]],TablaINVENTARIO[SKU],TablaINVENTARIO[ESTADO])</f>
        <v>USADO</v>
      </c>
      <c r="G344" s="33" t="str">
        <f>_xlfn.XLOOKUP(TablaSTOCKINV[[#This Row],[SKU]],TablaINVENTARIO[SKU],TablaINVENTARIO[MEDIDA])</f>
        <v>UND</v>
      </c>
      <c r="H344" s="33" t="str">
        <f>_xlfn.XLOOKUP(TablaSTOCKINV[[#This Row],[SKU]],TablaINVENTARIO[SKU],TablaINVENTARIO[SERIAL])</f>
        <v>N/A</v>
      </c>
      <c r="I344" s="34" t="str">
        <f>_xlfn.XLOOKUP(TablaSTOCKINV[[#This Row],[SKU]],TablaINVENTARIO[SKU],TablaINVENTARIO[ALMACEN])</f>
        <v>ALMACEN PRINCIPAL</v>
      </c>
      <c r="J344" s="34" t="str">
        <f>_xlfn.XLOOKUP(TablaSTOCKINV[[#This Row],[SKU]],TablaINVENTARIO[SKU],TablaINVENTARIO[UBICACION])</f>
        <v>I1-1</v>
      </c>
      <c r="K344" s="34" t="str">
        <f>_xlfn.XLOOKUP(TablaSTOCKINV[[#This Row],[SKU]],TablaINVENTARIO[SKU],TablaINVENTARIO[DPTO RESPONSABLE])</f>
        <v>OPERACIONES</v>
      </c>
      <c r="L344" s="36">
        <f>_xlfn.XLOOKUP(TablaSTOCKINV[[#This Row],[SKU]],TablaINVENTARIO[SKU],TablaINVENTARIO[RANGO MIN])</f>
        <v>0</v>
      </c>
      <c r="M344" s="34" cm="1">
        <f t="array" ref="M344">_xlfn.IFS(TablaSTOCKINV[[#This Row],[CANT. TOTAL]]&lt;=0,1,TablaSTOCKINV[[#This Row],[CANT. TOTAL]]&lt;=TablaSTOCKINV[[#This Row],[MIN]],2,TablaSTOCKINV[[#This Row],[CANT. TOTAL]]&gt;TablaSTOCKINV[[#This Row],[MIN]],3)</f>
        <v>3</v>
      </c>
      <c r="N344" s="34">
        <f>TablaSTOCKINV[[#This Row],[ENTRADAS]]-TablaSTOCKINV[[#This Row],[SALIDAS]]</f>
        <v>3</v>
      </c>
      <c r="O344" s="35">
        <f>SUMIFS(TablaENTRADA[CANT],TablaENTRADA[SKU],TablaSTOCKINV[[#This Row],[SKU]])</f>
        <v>3</v>
      </c>
      <c r="P344" s="35">
        <f>SUMIFS(TablaSALIDA[CANT],TablaSALIDA[SKU],TablaSTOCKINV[[#This Row],[SKU]])</f>
        <v>0</v>
      </c>
      <c r="Q344" s="34">
        <f>_xlfn.XLOOKUP(TablaSTOCKINV[[#This Row],[SKU]],TablaINVENTARIO[SKU],TablaINVENTARIO[PRECIO])</f>
        <v>0</v>
      </c>
      <c r="R344" s="34">
        <f>TablaSTOCKINV[[#This Row],[P.UNITARIO]]*TablaSTOCKINV[[#This Row],[CANT. TOTAL]]</f>
        <v>0</v>
      </c>
      <c r="S344" s="44">
        <f>_xlfn.XLOOKUP(TablaSTOCKINV[[#This Row],[SKU]],TablaINVENTARIO[SKU],TablaINVENTARIO[FECHA INGRESO])</f>
        <v>46023</v>
      </c>
      <c r="T344" s="44">
        <f>_xlfn.XLOOKUP(TablaSTOCKINV[[#This Row],[SKU]],TablaENTRADA[SKU],TablaENTRADA[FECHA],,0,-1)</f>
        <v>46023</v>
      </c>
      <c r="U344" s="46" t="str">
        <f>IFERROR((_xlfn.XLOOKUP(TablaSTOCKINV[[#This Row],[SKU]],TablaSALIDA[SKU],TablaSALIDA[FECHA],,0,-1))," " )</f>
        <v xml:space="preserve"> </v>
      </c>
    </row>
    <row r="345" spans="1:21" x14ac:dyDescent="0.3">
      <c r="A345" s="27" t="s">
        <v>1535</v>
      </c>
      <c r="B345" s="32" t="str">
        <f>_xlfn.XLOOKUP(TablaSTOCKINV[[#This Row],[SKU]],TablaINVENTARIO[SKU],TablaINVENTARIO[DESCRIPCION])</f>
        <v xml:space="preserve">BREAKER TRIFASICO 60AMP </v>
      </c>
      <c r="C345" s="32" t="str">
        <f>_xlfn.XLOOKUP(TablaSTOCKINV[[#This Row],[SKU]],TablaINVENTARIO[SKU],TablaINVENTARIO[MARCA])</f>
        <v>N/A</v>
      </c>
      <c r="D345" s="33" t="str">
        <f>_xlfn.XLOOKUP(TablaSTOCKINV[[#This Row],[SKU]],TablaINVENTARIO[SKU],TablaINVENTARIO[CATEGORIA])</f>
        <v>HERRAMIENTAS_</v>
      </c>
      <c r="E345" s="33" t="str">
        <f>_xlfn.XLOOKUP(TablaSTOCKINV[[#This Row],[SKU]],TablaINVENTARIO[SKU],TablaINVENTARIO[SUBCATEGORIA])</f>
        <v>MATERIAL ELECTRICO</v>
      </c>
      <c r="F345" s="33" t="str">
        <f>_xlfn.XLOOKUP(TablaSTOCKINV[[#This Row],[SKU]],TablaINVENTARIO[SKU],TablaINVENTARIO[ESTADO])</f>
        <v xml:space="preserve">NUEVO </v>
      </c>
      <c r="G345" s="33" t="str">
        <f>_xlfn.XLOOKUP(TablaSTOCKINV[[#This Row],[SKU]],TablaINVENTARIO[SKU],TablaINVENTARIO[MEDIDA])</f>
        <v>UND</v>
      </c>
      <c r="H345" s="33" t="str">
        <f>_xlfn.XLOOKUP(TablaSTOCKINV[[#This Row],[SKU]],TablaINVENTARIO[SKU],TablaINVENTARIO[SERIAL])</f>
        <v>N/A</v>
      </c>
      <c r="I345" s="34" t="str">
        <f>_xlfn.XLOOKUP(TablaSTOCKINV[[#This Row],[SKU]],TablaINVENTARIO[SKU],TablaINVENTARIO[ALMACEN])</f>
        <v>ALMACEN PRINCIPAL</v>
      </c>
      <c r="J345" s="34" t="str">
        <f>_xlfn.XLOOKUP(TablaSTOCKINV[[#This Row],[SKU]],TablaINVENTARIO[SKU],TablaINVENTARIO[UBICACION])</f>
        <v>I1-2</v>
      </c>
      <c r="K345" s="34" t="str">
        <f>_xlfn.XLOOKUP(TablaSTOCKINV[[#This Row],[SKU]],TablaINVENTARIO[SKU],TablaINVENTARIO[DPTO RESPONSABLE])</f>
        <v>OPERACIONES</v>
      </c>
      <c r="L345" s="36">
        <f>_xlfn.XLOOKUP(TablaSTOCKINV[[#This Row],[SKU]],TablaINVENTARIO[SKU],TablaINVENTARIO[RANGO MIN])</f>
        <v>0</v>
      </c>
      <c r="M345" s="34" cm="1">
        <f t="array" ref="M345">_xlfn.IFS(TablaSTOCKINV[[#This Row],[CANT. TOTAL]]&lt;=0,1,TablaSTOCKINV[[#This Row],[CANT. TOTAL]]&lt;=TablaSTOCKINV[[#This Row],[MIN]],2,TablaSTOCKINV[[#This Row],[CANT. TOTAL]]&gt;TablaSTOCKINV[[#This Row],[MIN]],3)</f>
        <v>3</v>
      </c>
      <c r="N345" s="34">
        <f>TablaSTOCKINV[[#This Row],[ENTRADAS]]-TablaSTOCKINV[[#This Row],[SALIDAS]]</f>
        <v>2</v>
      </c>
      <c r="O345" s="35">
        <f>SUMIFS(TablaENTRADA[CANT],TablaENTRADA[SKU],TablaSTOCKINV[[#This Row],[SKU]])</f>
        <v>2</v>
      </c>
      <c r="P345" s="35">
        <f>SUMIFS(TablaSALIDA[CANT],TablaSALIDA[SKU],TablaSTOCKINV[[#This Row],[SKU]])</f>
        <v>0</v>
      </c>
      <c r="Q345" s="34">
        <f>_xlfn.XLOOKUP(TablaSTOCKINV[[#This Row],[SKU]],TablaINVENTARIO[SKU],TablaINVENTARIO[PRECIO])</f>
        <v>0</v>
      </c>
      <c r="R345" s="34">
        <f>TablaSTOCKINV[[#This Row],[P.UNITARIO]]*TablaSTOCKINV[[#This Row],[CANT. TOTAL]]</f>
        <v>0</v>
      </c>
      <c r="S345" s="44">
        <f>_xlfn.XLOOKUP(TablaSTOCKINV[[#This Row],[SKU]],TablaINVENTARIO[SKU],TablaINVENTARIO[FECHA INGRESO])</f>
        <v>46023</v>
      </c>
      <c r="T345" s="44">
        <f>_xlfn.XLOOKUP(TablaSTOCKINV[[#This Row],[SKU]],TablaENTRADA[SKU],TablaENTRADA[FECHA],,0,-1)</f>
        <v>46023</v>
      </c>
      <c r="U345" s="46" t="str">
        <f>IFERROR((_xlfn.XLOOKUP(TablaSTOCKINV[[#This Row],[SKU]],TablaSALIDA[SKU],TablaSALIDA[FECHA],,0,-1))," " )</f>
        <v xml:space="preserve"> </v>
      </c>
    </row>
    <row r="346" spans="1:21" x14ac:dyDescent="0.3">
      <c r="A346" s="27" t="s">
        <v>1537</v>
      </c>
      <c r="B346" s="32" t="str">
        <f>_xlfn.XLOOKUP(TablaSTOCKINV[[#This Row],[SKU]],TablaINVENTARIO[SKU],TablaINVENTARIO[DESCRIPCION])</f>
        <v xml:space="preserve">CAJA DE SALIDA CONDUIT </v>
      </c>
      <c r="C346" s="32" t="str">
        <f>_xlfn.XLOOKUP(TablaSTOCKINV[[#This Row],[SKU]],TablaINVENTARIO[SKU],TablaINVENTARIO[MARCA])</f>
        <v>N/A</v>
      </c>
      <c r="D346" s="33" t="str">
        <f>_xlfn.XLOOKUP(TablaSTOCKINV[[#This Row],[SKU]],TablaINVENTARIO[SKU],TablaINVENTARIO[CATEGORIA])</f>
        <v>HERRAMIENTAS_</v>
      </c>
      <c r="E346" s="33" t="str">
        <f>_xlfn.XLOOKUP(TablaSTOCKINV[[#This Row],[SKU]],TablaINVENTARIO[SKU],TablaINVENTARIO[SUBCATEGORIA])</f>
        <v>MATERIAL ELECTRICO</v>
      </c>
      <c r="F346" s="33" t="str">
        <f>_xlfn.XLOOKUP(TablaSTOCKINV[[#This Row],[SKU]],TablaINVENTARIO[SKU],TablaINVENTARIO[ESTADO])</f>
        <v xml:space="preserve">NUEVO </v>
      </c>
      <c r="G346" s="33" t="str">
        <f>_xlfn.XLOOKUP(TablaSTOCKINV[[#This Row],[SKU]],TablaINVENTARIO[SKU],TablaINVENTARIO[MEDIDA])</f>
        <v>UND</v>
      </c>
      <c r="H346" s="33" t="str">
        <f>_xlfn.XLOOKUP(TablaSTOCKINV[[#This Row],[SKU]],TablaINVENTARIO[SKU],TablaINVENTARIO[SERIAL])</f>
        <v>N/A</v>
      </c>
      <c r="I346" s="34" t="str">
        <f>_xlfn.XLOOKUP(TablaSTOCKINV[[#This Row],[SKU]],TablaINVENTARIO[SKU],TablaINVENTARIO[ALMACEN])</f>
        <v>ALMACEN PRINCIPAL</v>
      </c>
      <c r="J346" s="34" t="str">
        <f>_xlfn.XLOOKUP(TablaSTOCKINV[[#This Row],[SKU]],TablaINVENTARIO[SKU],TablaINVENTARIO[UBICACION])</f>
        <v>I1-2</v>
      </c>
      <c r="K346" s="34" t="str">
        <f>_xlfn.XLOOKUP(TablaSTOCKINV[[#This Row],[SKU]],TablaINVENTARIO[SKU],TablaINVENTARIO[DPTO RESPONSABLE])</f>
        <v>OPERACIONES</v>
      </c>
      <c r="L346" s="36">
        <f>_xlfn.XLOOKUP(TablaSTOCKINV[[#This Row],[SKU]],TablaINVENTARIO[SKU],TablaINVENTARIO[RANGO MIN])</f>
        <v>0</v>
      </c>
      <c r="M346" s="34" cm="1">
        <f t="array" ref="M346">_xlfn.IFS(TablaSTOCKINV[[#This Row],[CANT. TOTAL]]&lt;=0,1,TablaSTOCKINV[[#This Row],[CANT. TOTAL]]&lt;=TablaSTOCKINV[[#This Row],[MIN]],2,TablaSTOCKINV[[#This Row],[CANT. TOTAL]]&gt;TablaSTOCKINV[[#This Row],[MIN]],3)</f>
        <v>3</v>
      </c>
      <c r="N346" s="34">
        <f>TablaSTOCKINV[[#This Row],[ENTRADAS]]-TablaSTOCKINV[[#This Row],[SALIDAS]]</f>
        <v>14</v>
      </c>
      <c r="O346" s="35">
        <f>SUMIFS(TablaENTRADA[CANT],TablaENTRADA[SKU],TablaSTOCKINV[[#This Row],[SKU]])</f>
        <v>14</v>
      </c>
      <c r="P346" s="35">
        <f>SUMIFS(TablaSALIDA[CANT],TablaSALIDA[SKU],TablaSTOCKINV[[#This Row],[SKU]])</f>
        <v>0</v>
      </c>
      <c r="Q346" s="34">
        <f>_xlfn.XLOOKUP(TablaSTOCKINV[[#This Row],[SKU]],TablaINVENTARIO[SKU],TablaINVENTARIO[PRECIO])</f>
        <v>0</v>
      </c>
      <c r="R346" s="34">
        <f>TablaSTOCKINV[[#This Row],[P.UNITARIO]]*TablaSTOCKINV[[#This Row],[CANT. TOTAL]]</f>
        <v>0</v>
      </c>
      <c r="S346" s="44">
        <f>_xlfn.XLOOKUP(TablaSTOCKINV[[#This Row],[SKU]],TablaINVENTARIO[SKU],TablaINVENTARIO[FECHA INGRESO])</f>
        <v>46023</v>
      </c>
      <c r="T346" s="44">
        <f>_xlfn.XLOOKUP(TablaSTOCKINV[[#This Row],[SKU]],TablaENTRADA[SKU],TablaENTRADA[FECHA],,0,-1)</f>
        <v>46023</v>
      </c>
      <c r="U346" s="46" t="str">
        <f>IFERROR((_xlfn.XLOOKUP(TablaSTOCKINV[[#This Row],[SKU]],TablaSALIDA[SKU],TablaSALIDA[FECHA],,0,-1))," " )</f>
        <v xml:space="preserve"> </v>
      </c>
    </row>
    <row r="347" spans="1:21" x14ac:dyDescent="0.3">
      <c r="A347" s="27" t="s">
        <v>1539</v>
      </c>
      <c r="B347" s="32" t="str">
        <f>_xlfn.XLOOKUP(TablaSTOCKINV[[#This Row],[SKU]],TablaINVENTARIO[SKU],TablaINVENTARIO[DESCRIPCION])</f>
        <v>ABRAZADERA DE DERIVACION 1-1/2"</v>
      </c>
      <c r="C347" s="32" t="str">
        <f>_xlfn.XLOOKUP(TablaSTOCKINV[[#This Row],[SKU]],TablaINVENTARIO[SKU],TablaINVENTARIO[MARCA])</f>
        <v>N/A</v>
      </c>
      <c r="D347" s="33" t="str">
        <f>_xlfn.XLOOKUP(TablaSTOCKINV[[#This Row],[SKU]],TablaINVENTARIO[SKU],TablaINVENTARIO[CATEGORIA])</f>
        <v>HERRAMIENTAS_</v>
      </c>
      <c r="E347" s="33" t="str">
        <f>_xlfn.XLOOKUP(TablaSTOCKINV[[#This Row],[SKU]],TablaINVENTARIO[SKU],TablaINVENTARIO[SUBCATEGORIA])</f>
        <v xml:space="preserve">MATERIAL PVC </v>
      </c>
      <c r="F347" s="33" t="str">
        <f>_xlfn.XLOOKUP(TablaSTOCKINV[[#This Row],[SKU]],TablaINVENTARIO[SKU],TablaINVENTARIO[ESTADO])</f>
        <v>USADO</v>
      </c>
      <c r="G347" s="33" t="str">
        <f>_xlfn.XLOOKUP(TablaSTOCKINV[[#This Row],[SKU]],TablaINVENTARIO[SKU],TablaINVENTARIO[MEDIDA])</f>
        <v>UND</v>
      </c>
      <c r="H347" s="33" t="str">
        <f>_xlfn.XLOOKUP(TablaSTOCKINV[[#This Row],[SKU]],TablaINVENTARIO[SKU],TablaINVENTARIO[SERIAL])</f>
        <v>N/A</v>
      </c>
      <c r="I347" s="34" t="str">
        <f>_xlfn.XLOOKUP(TablaSTOCKINV[[#This Row],[SKU]],TablaINVENTARIO[SKU],TablaINVENTARIO[ALMACEN])</f>
        <v>ALMACEN PRINCIPAL</v>
      </c>
      <c r="J347" s="34" t="str">
        <f>_xlfn.XLOOKUP(TablaSTOCKINV[[#This Row],[SKU]],TablaINVENTARIO[SKU],TablaINVENTARIO[UBICACION])</f>
        <v>I1-1</v>
      </c>
      <c r="K347" s="34" t="str">
        <f>_xlfn.XLOOKUP(TablaSTOCKINV[[#This Row],[SKU]],TablaINVENTARIO[SKU],TablaINVENTARIO[DPTO RESPONSABLE])</f>
        <v>OPERACIONES</v>
      </c>
      <c r="L347" s="36">
        <f>_xlfn.XLOOKUP(TablaSTOCKINV[[#This Row],[SKU]],TablaINVENTARIO[SKU],TablaINVENTARIO[RANGO MIN])</f>
        <v>0</v>
      </c>
      <c r="M347" s="34" cm="1">
        <f t="array" ref="M347">_xlfn.IFS(TablaSTOCKINV[[#This Row],[CANT. TOTAL]]&lt;=0,1,TablaSTOCKINV[[#This Row],[CANT. TOTAL]]&lt;=TablaSTOCKINV[[#This Row],[MIN]],2,TablaSTOCKINV[[#This Row],[CANT. TOTAL]]&gt;TablaSTOCKINV[[#This Row],[MIN]],3)</f>
        <v>3</v>
      </c>
      <c r="N347" s="34">
        <f>TablaSTOCKINV[[#This Row],[ENTRADAS]]-TablaSTOCKINV[[#This Row],[SALIDAS]]</f>
        <v>1</v>
      </c>
      <c r="O347" s="35">
        <f>SUMIFS(TablaENTRADA[CANT],TablaENTRADA[SKU],TablaSTOCKINV[[#This Row],[SKU]])</f>
        <v>1</v>
      </c>
      <c r="P347" s="35">
        <f>SUMIFS(TablaSALIDA[CANT],TablaSALIDA[SKU],TablaSTOCKINV[[#This Row],[SKU]])</f>
        <v>0</v>
      </c>
      <c r="Q347" s="34">
        <f>_xlfn.XLOOKUP(TablaSTOCKINV[[#This Row],[SKU]],TablaINVENTARIO[SKU],TablaINVENTARIO[PRECIO])</f>
        <v>0</v>
      </c>
      <c r="R347" s="34">
        <f>TablaSTOCKINV[[#This Row],[P.UNITARIO]]*TablaSTOCKINV[[#This Row],[CANT. TOTAL]]</f>
        <v>0</v>
      </c>
      <c r="S347" s="44">
        <f>_xlfn.XLOOKUP(TablaSTOCKINV[[#This Row],[SKU]],TablaINVENTARIO[SKU],TablaINVENTARIO[FECHA INGRESO])</f>
        <v>46023</v>
      </c>
      <c r="T347" s="44">
        <f>_xlfn.XLOOKUP(TablaSTOCKINV[[#This Row],[SKU]],TablaENTRADA[SKU],TablaENTRADA[FECHA],,0,-1)</f>
        <v>46023</v>
      </c>
      <c r="U347" s="46" t="str">
        <f>IFERROR((_xlfn.XLOOKUP(TablaSTOCKINV[[#This Row],[SKU]],TablaSALIDA[SKU],TablaSALIDA[FECHA],,0,-1))," " )</f>
        <v xml:space="preserve"> </v>
      </c>
    </row>
    <row r="348" spans="1:21" x14ac:dyDescent="0.3">
      <c r="A348" s="27" t="s">
        <v>1541</v>
      </c>
      <c r="B348" s="32" t="str">
        <f>_xlfn.XLOOKUP(TablaSTOCKINV[[#This Row],[SKU]],TablaINVENTARIO[SKU],TablaINVENTARIO[DESCRIPCION])</f>
        <v xml:space="preserve">PRESOSTATO </v>
      </c>
      <c r="C348" s="32" t="str">
        <f>_xlfn.XLOOKUP(TablaSTOCKINV[[#This Row],[SKU]],TablaINVENTARIO[SKU],TablaINVENTARIO[MARCA])</f>
        <v>N/A</v>
      </c>
      <c r="D348" s="33" t="str">
        <f>_xlfn.XLOOKUP(TablaSTOCKINV[[#This Row],[SKU]],TablaINVENTARIO[SKU],TablaINVENTARIO[CATEGORIA])</f>
        <v>HERRAMIENTAS_</v>
      </c>
      <c r="E348" s="33" t="str">
        <f>_xlfn.XLOOKUP(TablaSTOCKINV[[#This Row],[SKU]],TablaINVENTARIO[SKU],TablaINVENTARIO[SUBCATEGORIA])</f>
        <v>MATERIAL ELECTRICO</v>
      </c>
      <c r="F348" s="33" t="str">
        <f>_xlfn.XLOOKUP(TablaSTOCKINV[[#This Row],[SKU]],TablaINVENTARIO[SKU],TablaINVENTARIO[ESTADO])</f>
        <v>NUEVO</v>
      </c>
      <c r="G348" s="33" t="str">
        <f>_xlfn.XLOOKUP(TablaSTOCKINV[[#This Row],[SKU]],TablaINVENTARIO[SKU],TablaINVENTARIO[MEDIDA])</f>
        <v xml:space="preserve">UND </v>
      </c>
      <c r="H348" s="33" t="str">
        <f>_xlfn.XLOOKUP(TablaSTOCKINV[[#This Row],[SKU]],TablaINVENTARIO[SKU],TablaINVENTARIO[SERIAL])</f>
        <v>N/A</v>
      </c>
      <c r="I348" s="34" t="str">
        <f>_xlfn.XLOOKUP(TablaSTOCKINV[[#This Row],[SKU]],TablaINVENTARIO[SKU],TablaINVENTARIO[ALMACEN])</f>
        <v>ALMACEN PRINCIPAL</v>
      </c>
      <c r="J348" s="34" t="str">
        <f>_xlfn.XLOOKUP(TablaSTOCKINV[[#This Row],[SKU]],TablaINVENTARIO[SKU],TablaINVENTARIO[UBICACION])</f>
        <v>H2-1</v>
      </c>
      <c r="K348" s="34" t="str">
        <f>_xlfn.XLOOKUP(TablaSTOCKINV[[#This Row],[SKU]],TablaINVENTARIO[SKU],TablaINVENTARIO[DPTO RESPONSABLE])</f>
        <v>OPERACIONES</v>
      </c>
      <c r="L348" s="36">
        <f>_xlfn.XLOOKUP(TablaSTOCKINV[[#This Row],[SKU]],TablaINVENTARIO[SKU],TablaINVENTARIO[RANGO MIN])</f>
        <v>0</v>
      </c>
      <c r="M348" s="34" cm="1">
        <f t="array" ref="M348">_xlfn.IFS(TablaSTOCKINV[[#This Row],[CANT. TOTAL]]&lt;=0,1,TablaSTOCKINV[[#This Row],[CANT. TOTAL]]&lt;=TablaSTOCKINV[[#This Row],[MIN]],2,TablaSTOCKINV[[#This Row],[CANT. TOTAL]]&gt;TablaSTOCKINV[[#This Row],[MIN]],3)</f>
        <v>3</v>
      </c>
      <c r="N348" s="34">
        <f>TablaSTOCKINV[[#This Row],[ENTRADAS]]-TablaSTOCKINV[[#This Row],[SALIDAS]]</f>
        <v>1</v>
      </c>
      <c r="O348" s="35">
        <f>SUMIFS(TablaENTRADA[CANT],TablaENTRADA[SKU],TablaSTOCKINV[[#This Row],[SKU]])</f>
        <v>1</v>
      </c>
      <c r="P348" s="35">
        <f>SUMIFS(TablaSALIDA[CANT],TablaSALIDA[SKU],TablaSTOCKINV[[#This Row],[SKU]])</f>
        <v>0</v>
      </c>
      <c r="Q348" s="34">
        <f>_xlfn.XLOOKUP(TablaSTOCKINV[[#This Row],[SKU]],TablaINVENTARIO[SKU],TablaINVENTARIO[PRECIO])</f>
        <v>0</v>
      </c>
      <c r="R348" s="34">
        <f>TablaSTOCKINV[[#This Row],[P.UNITARIO]]*TablaSTOCKINV[[#This Row],[CANT. TOTAL]]</f>
        <v>0</v>
      </c>
      <c r="S348" s="44">
        <f>_xlfn.XLOOKUP(TablaSTOCKINV[[#This Row],[SKU]],TablaINVENTARIO[SKU],TablaINVENTARIO[FECHA INGRESO])</f>
        <v>46023</v>
      </c>
      <c r="T348" s="44">
        <f>_xlfn.XLOOKUP(TablaSTOCKINV[[#This Row],[SKU]],TablaENTRADA[SKU],TablaENTRADA[FECHA],,0,-1)</f>
        <v>46023</v>
      </c>
      <c r="U348" s="46" t="str">
        <f>IFERROR((_xlfn.XLOOKUP(TablaSTOCKINV[[#This Row],[SKU]],TablaSALIDA[SKU],TablaSALIDA[FECHA],,0,-1))," " )</f>
        <v xml:space="preserve"> </v>
      </c>
    </row>
    <row r="349" spans="1:21" x14ac:dyDescent="0.3">
      <c r="A349" s="27" t="s">
        <v>1543</v>
      </c>
      <c r="B349" s="32" t="str">
        <f>_xlfn.XLOOKUP(TablaSTOCKINV[[#This Row],[SKU]],TablaINVENTARIO[SKU],TablaINVENTARIO[DESCRIPCION])</f>
        <v>CEPILLO DE ALAMBRE</v>
      </c>
      <c r="C349" s="32" t="str">
        <f>_xlfn.XLOOKUP(TablaSTOCKINV[[#This Row],[SKU]],TablaINVENTARIO[SKU],TablaINVENTARIO[MARCA])</f>
        <v>N/A</v>
      </c>
      <c r="D349" s="33" t="str">
        <f>_xlfn.XLOOKUP(TablaSTOCKINV[[#This Row],[SKU]],TablaINVENTARIO[SKU],TablaINVENTARIO[CATEGORIA])</f>
        <v>HERRAMIENTAS_</v>
      </c>
      <c r="E349" s="33" t="str">
        <f>_xlfn.XLOOKUP(TablaSTOCKINV[[#This Row],[SKU]],TablaINVENTARIO[SKU],TablaINVENTARIO[SUBCATEGORIA])</f>
        <v xml:space="preserve">HERRAMIENTA DE MANO </v>
      </c>
      <c r="F349" s="33" t="str">
        <f>_xlfn.XLOOKUP(TablaSTOCKINV[[#This Row],[SKU]],TablaINVENTARIO[SKU],TablaINVENTARIO[ESTADO])</f>
        <v xml:space="preserve">NUEVO </v>
      </c>
      <c r="G349" s="33" t="str">
        <f>_xlfn.XLOOKUP(TablaSTOCKINV[[#This Row],[SKU]],TablaINVENTARIO[SKU],TablaINVENTARIO[MEDIDA])</f>
        <v>UND</v>
      </c>
      <c r="H349" s="33" t="str">
        <f>_xlfn.XLOOKUP(TablaSTOCKINV[[#This Row],[SKU]],TablaINVENTARIO[SKU],TablaINVENTARIO[SERIAL])</f>
        <v>N/A</v>
      </c>
      <c r="I349" s="34" t="str">
        <f>_xlfn.XLOOKUP(TablaSTOCKINV[[#This Row],[SKU]],TablaINVENTARIO[SKU],TablaINVENTARIO[ALMACEN])</f>
        <v>ALMACEN PRINCIPAL</v>
      </c>
      <c r="J349" s="34" t="str">
        <f>_xlfn.XLOOKUP(TablaSTOCKINV[[#This Row],[SKU]],TablaINVENTARIO[SKU],TablaINVENTARIO[UBICACION])</f>
        <v>3I</v>
      </c>
      <c r="K349" s="34" t="str">
        <f>_xlfn.XLOOKUP(TablaSTOCKINV[[#This Row],[SKU]],TablaINVENTARIO[SKU],TablaINVENTARIO[DPTO RESPONSABLE])</f>
        <v>OPERACIONES / MANTENIMIENTO</v>
      </c>
      <c r="L349" s="36">
        <f>_xlfn.XLOOKUP(TablaSTOCKINV[[#This Row],[SKU]],TablaINVENTARIO[SKU],TablaINVENTARIO[RANGO MIN])</f>
        <v>0</v>
      </c>
      <c r="M349" s="34" cm="1">
        <f t="array" ref="M349">_xlfn.IFS(TablaSTOCKINV[[#This Row],[CANT. TOTAL]]&lt;=0,1,TablaSTOCKINV[[#This Row],[CANT. TOTAL]]&lt;=TablaSTOCKINV[[#This Row],[MIN]],2,TablaSTOCKINV[[#This Row],[CANT. TOTAL]]&gt;TablaSTOCKINV[[#This Row],[MIN]],3)</f>
        <v>3</v>
      </c>
      <c r="N349" s="34">
        <f>TablaSTOCKINV[[#This Row],[ENTRADAS]]-TablaSTOCKINV[[#This Row],[SALIDAS]]</f>
        <v>2</v>
      </c>
      <c r="O349" s="35">
        <f>SUMIFS(TablaENTRADA[CANT],TablaENTRADA[SKU],TablaSTOCKINV[[#This Row],[SKU]])</f>
        <v>2</v>
      </c>
      <c r="P349" s="35">
        <f>SUMIFS(TablaSALIDA[CANT],TablaSALIDA[SKU],TablaSTOCKINV[[#This Row],[SKU]])</f>
        <v>0</v>
      </c>
      <c r="Q349" s="34">
        <f>_xlfn.XLOOKUP(TablaSTOCKINV[[#This Row],[SKU]],TablaINVENTARIO[SKU],TablaINVENTARIO[PRECIO])</f>
        <v>0</v>
      </c>
      <c r="R349" s="34">
        <f>TablaSTOCKINV[[#This Row],[P.UNITARIO]]*TablaSTOCKINV[[#This Row],[CANT. TOTAL]]</f>
        <v>0</v>
      </c>
      <c r="S349" s="44">
        <f>_xlfn.XLOOKUP(TablaSTOCKINV[[#This Row],[SKU]],TablaINVENTARIO[SKU],TablaINVENTARIO[FECHA INGRESO])</f>
        <v>46023</v>
      </c>
      <c r="T349" s="44">
        <f>_xlfn.XLOOKUP(TablaSTOCKINV[[#This Row],[SKU]],TablaENTRADA[SKU],TablaENTRADA[FECHA],,0,-1)</f>
        <v>46023</v>
      </c>
      <c r="U349" s="46" t="str">
        <f>IFERROR((_xlfn.XLOOKUP(TablaSTOCKINV[[#This Row],[SKU]],TablaSALIDA[SKU],TablaSALIDA[FECHA],,0,-1))," " )</f>
        <v xml:space="preserve"> </v>
      </c>
    </row>
    <row r="350" spans="1:21" x14ac:dyDescent="0.3">
      <c r="A350" s="27" t="s">
        <v>1545</v>
      </c>
      <c r="B350" s="32" t="str">
        <f>_xlfn.XLOOKUP(TablaSTOCKINV[[#This Row],[SKU]],TablaINVENTARIO[SKU],TablaINVENTARIO[DESCRIPCION])</f>
        <v>CEPILLO DE ALAMBRE</v>
      </c>
      <c r="C350" s="32" t="str">
        <f>_xlfn.XLOOKUP(TablaSTOCKINV[[#This Row],[SKU]],TablaINVENTARIO[SKU],TablaINVENTARIO[MARCA])</f>
        <v>N/A</v>
      </c>
      <c r="D350" s="33" t="str">
        <f>_xlfn.XLOOKUP(TablaSTOCKINV[[#This Row],[SKU]],TablaINVENTARIO[SKU],TablaINVENTARIO[CATEGORIA])</f>
        <v>HERRAMIENTAS_</v>
      </c>
      <c r="E350" s="33" t="str">
        <f>_xlfn.XLOOKUP(TablaSTOCKINV[[#This Row],[SKU]],TablaINVENTARIO[SKU],TablaINVENTARIO[SUBCATEGORIA])</f>
        <v xml:space="preserve">HERRAMIENTA DE MANO </v>
      </c>
      <c r="F350" s="33" t="str">
        <f>_xlfn.XLOOKUP(TablaSTOCKINV[[#This Row],[SKU]],TablaINVENTARIO[SKU],TablaINVENTARIO[ESTADO])</f>
        <v>USADO</v>
      </c>
      <c r="G350" s="33" t="str">
        <f>_xlfn.XLOOKUP(TablaSTOCKINV[[#This Row],[SKU]],TablaINVENTARIO[SKU],TablaINVENTARIO[MEDIDA])</f>
        <v>UND</v>
      </c>
      <c r="H350" s="33" t="str">
        <f>_xlfn.XLOOKUP(TablaSTOCKINV[[#This Row],[SKU]],TablaINVENTARIO[SKU],TablaINVENTARIO[SERIAL])</f>
        <v>N/A</v>
      </c>
      <c r="I350" s="34" t="str">
        <f>_xlfn.XLOOKUP(TablaSTOCKINV[[#This Row],[SKU]],TablaINVENTARIO[SKU],TablaINVENTARIO[ALMACEN])</f>
        <v>ALMACEN PRINCIPAL</v>
      </c>
      <c r="J350" s="34" t="str">
        <f>_xlfn.XLOOKUP(TablaSTOCKINV[[#This Row],[SKU]],TablaINVENTARIO[SKU],TablaINVENTARIO[UBICACION])</f>
        <v>3I</v>
      </c>
      <c r="K350" s="34" t="str">
        <f>_xlfn.XLOOKUP(TablaSTOCKINV[[#This Row],[SKU]],TablaINVENTARIO[SKU],TablaINVENTARIO[DPTO RESPONSABLE])</f>
        <v>OPERACIONES / MANTENIMIENTO</v>
      </c>
      <c r="L350" s="36">
        <f>_xlfn.XLOOKUP(TablaSTOCKINV[[#This Row],[SKU]],TablaINVENTARIO[SKU],TablaINVENTARIO[RANGO MIN])</f>
        <v>0</v>
      </c>
      <c r="M350" s="34" cm="1">
        <f t="array" ref="M350">_xlfn.IFS(TablaSTOCKINV[[#This Row],[CANT. TOTAL]]&lt;=0,1,TablaSTOCKINV[[#This Row],[CANT. TOTAL]]&lt;=TablaSTOCKINV[[#This Row],[MIN]],2,TablaSTOCKINV[[#This Row],[CANT. TOTAL]]&gt;TablaSTOCKINV[[#This Row],[MIN]],3)</f>
        <v>3</v>
      </c>
      <c r="N350" s="34">
        <f>TablaSTOCKINV[[#This Row],[ENTRADAS]]-TablaSTOCKINV[[#This Row],[SALIDAS]]</f>
        <v>1</v>
      </c>
      <c r="O350" s="35">
        <f>SUMIFS(TablaENTRADA[CANT],TablaENTRADA[SKU],TablaSTOCKINV[[#This Row],[SKU]])</f>
        <v>1</v>
      </c>
      <c r="P350" s="35">
        <f>SUMIFS(TablaSALIDA[CANT],TablaSALIDA[SKU],TablaSTOCKINV[[#This Row],[SKU]])</f>
        <v>0</v>
      </c>
      <c r="Q350" s="34">
        <f>_xlfn.XLOOKUP(TablaSTOCKINV[[#This Row],[SKU]],TablaINVENTARIO[SKU],TablaINVENTARIO[PRECIO])</f>
        <v>0</v>
      </c>
      <c r="R350" s="34">
        <f>TablaSTOCKINV[[#This Row],[P.UNITARIO]]*TablaSTOCKINV[[#This Row],[CANT. TOTAL]]</f>
        <v>0</v>
      </c>
      <c r="S350" s="44">
        <f>_xlfn.XLOOKUP(TablaSTOCKINV[[#This Row],[SKU]],TablaINVENTARIO[SKU],TablaINVENTARIO[FECHA INGRESO])</f>
        <v>46023</v>
      </c>
      <c r="T350" s="44">
        <f>_xlfn.XLOOKUP(TablaSTOCKINV[[#This Row],[SKU]],TablaENTRADA[SKU],TablaENTRADA[FECHA],,0,-1)</f>
        <v>46023</v>
      </c>
      <c r="U350" s="46" t="str">
        <f>IFERROR((_xlfn.XLOOKUP(TablaSTOCKINV[[#This Row],[SKU]],TablaSALIDA[SKU],TablaSALIDA[FECHA],,0,-1))," " )</f>
        <v xml:space="preserve"> </v>
      </c>
    </row>
    <row r="351" spans="1:21" x14ac:dyDescent="0.3">
      <c r="A351" s="27" t="s">
        <v>1546</v>
      </c>
      <c r="B351" s="32" t="str">
        <f>_xlfn.XLOOKUP(TablaSTOCKINV[[#This Row],[SKU]],TablaINVENTARIO[SKU],TablaINVENTARIO[DESCRIPCION])</f>
        <v xml:space="preserve">DISCO DE CORTE EXTRAFINO 7" </v>
      </c>
      <c r="C351" s="32" t="str">
        <f>_xlfn.XLOOKUP(TablaSTOCKINV[[#This Row],[SKU]],TablaINVENTARIO[SKU],TablaINVENTARIO[MARCA])</f>
        <v>FORTEK</v>
      </c>
      <c r="D351" s="33" t="str">
        <f>_xlfn.XLOOKUP(TablaSTOCKINV[[#This Row],[SKU]],TablaINVENTARIO[SKU],TablaINVENTARIO[CATEGORIA])</f>
        <v>HERRAMIENTAS_</v>
      </c>
      <c r="E351" s="33" t="str">
        <f>_xlfn.XLOOKUP(TablaSTOCKINV[[#This Row],[SKU]],TablaINVENTARIO[SKU],TablaINVENTARIO[SUBCATEGORIA])</f>
        <v xml:space="preserve">HERRAMIENTA DE ABRASIÓN </v>
      </c>
      <c r="F351" s="33" t="str">
        <f>_xlfn.XLOOKUP(TablaSTOCKINV[[#This Row],[SKU]],TablaINVENTARIO[SKU],TablaINVENTARIO[ESTADO])</f>
        <v xml:space="preserve">NUEVO </v>
      </c>
      <c r="G351" s="33" t="str">
        <f>_xlfn.XLOOKUP(TablaSTOCKINV[[#This Row],[SKU]],TablaINVENTARIO[SKU],TablaINVENTARIO[MEDIDA])</f>
        <v>UND</v>
      </c>
      <c r="H351" s="33" t="str">
        <f>_xlfn.XLOOKUP(TablaSTOCKINV[[#This Row],[SKU]],TablaINVENTARIO[SKU],TablaINVENTARIO[SERIAL])</f>
        <v>N/A</v>
      </c>
      <c r="I351" s="34" t="str">
        <f>_xlfn.XLOOKUP(TablaSTOCKINV[[#This Row],[SKU]],TablaINVENTARIO[SKU],TablaINVENTARIO[ALMACEN])</f>
        <v>ALMACEN PRINCIPAL</v>
      </c>
      <c r="J351" s="34" t="str">
        <f>_xlfn.XLOOKUP(TablaSTOCKINV[[#This Row],[SKU]],TablaINVENTARIO[SKU],TablaINVENTARIO[UBICACION])</f>
        <v>3I</v>
      </c>
      <c r="K351" s="34" t="str">
        <f>_xlfn.XLOOKUP(TablaSTOCKINV[[#This Row],[SKU]],TablaINVENTARIO[SKU],TablaINVENTARIO[DPTO RESPONSABLE])</f>
        <v>OPERACIONES / MANTENIMIENTO</v>
      </c>
      <c r="L351" s="36">
        <f>_xlfn.XLOOKUP(TablaSTOCKINV[[#This Row],[SKU]],TablaINVENTARIO[SKU],TablaINVENTARIO[RANGO MIN])</f>
        <v>0</v>
      </c>
      <c r="M351" s="34" cm="1">
        <f t="array" ref="M351">_xlfn.IFS(TablaSTOCKINV[[#This Row],[CANT. TOTAL]]&lt;=0,1,TablaSTOCKINV[[#This Row],[CANT. TOTAL]]&lt;=TablaSTOCKINV[[#This Row],[MIN]],2,TablaSTOCKINV[[#This Row],[CANT. TOTAL]]&gt;TablaSTOCKINV[[#This Row],[MIN]],3)</f>
        <v>3</v>
      </c>
      <c r="N351" s="34">
        <f>TablaSTOCKINV[[#This Row],[ENTRADAS]]-TablaSTOCKINV[[#This Row],[SALIDAS]]</f>
        <v>4</v>
      </c>
      <c r="O351" s="35">
        <f>SUMIFS(TablaENTRADA[CANT],TablaENTRADA[SKU],TablaSTOCKINV[[#This Row],[SKU]])</f>
        <v>4</v>
      </c>
      <c r="P351" s="35">
        <f>SUMIFS(TablaSALIDA[CANT],TablaSALIDA[SKU],TablaSTOCKINV[[#This Row],[SKU]])</f>
        <v>0</v>
      </c>
      <c r="Q351" s="34">
        <f>_xlfn.XLOOKUP(TablaSTOCKINV[[#This Row],[SKU]],TablaINVENTARIO[SKU],TablaINVENTARIO[PRECIO])</f>
        <v>0</v>
      </c>
      <c r="R351" s="34">
        <f>TablaSTOCKINV[[#This Row],[P.UNITARIO]]*TablaSTOCKINV[[#This Row],[CANT. TOTAL]]</f>
        <v>0</v>
      </c>
      <c r="S351" s="44">
        <f>_xlfn.XLOOKUP(TablaSTOCKINV[[#This Row],[SKU]],TablaINVENTARIO[SKU],TablaINVENTARIO[FECHA INGRESO])</f>
        <v>46023</v>
      </c>
      <c r="T351" s="44">
        <f>_xlfn.XLOOKUP(TablaSTOCKINV[[#This Row],[SKU]],TablaENTRADA[SKU],TablaENTRADA[FECHA],,0,-1)</f>
        <v>46023</v>
      </c>
      <c r="U351" s="46" t="str">
        <f>IFERROR((_xlfn.XLOOKUP(TablaSTOCKINV[[#This Row],[SKU]],TablaSALIDA[SKU],TablaSALIDA[FECHA],,0,-1))," " )</f>
        <v xml:space="preserve"> </v>
      </c>
    </row>
    <row r="352" spans="1:21" x14ac:dyDescent="0.3">
      <c r="A352" s="27" t="s">
        <v>1550</v>
      </c>
      <c r="B352" s="32" t="str">
        <f>_xlfn.XLOOKUP(TablaSTOCKINV[[#This Row],[SKU]],TablaINVENTARIO[SKU],TablaINVENTARIO[DESCRIPCION])</f>
        <v xml:space="preserve">DISCO DE CORTE EXTRAFINO 7" </v>
      </c>
      <c r="C352" s="32" t="str">
        <f>_xlfn.XLOOKUP(TablaSTOCKINV[[#This Row],[SKU]],TablaINVENTARIO[SKU],TablaINVENTARIO[MARCA])</f>
        <v>DEWALT</v>
      </c>
      <c r="D352" s="33" t="str">
        <f>_xlfn.XLOOKUP(TablaSTOCKINV[[#This Row],[SKU]],TablaINVENTARIO[SKU],TablaINVENTARIO[CATEGORIA])</f>
        <v>HERRAMIENTAS_</v>
      </c>
      <c r="E352" s="33" t="str">
        <f>_xlfn.XLOOKUP(TablaSTOCKINV[[#This Row],[SKU]],TablaINVENTARIO[SKU],TablaINVENTARIO[SUBCATEGORIA])</f>
        <v xml:space="preserve">HERRAMIENTA DE ABRASIÓN </v>
      </c>
      <c r="F352" s="33" t="str">
        <f>_xlfn.XLOOKUP(TablaSTOCKINV[[#This Row],[SKU]],TablaINVENTARIO[SKU],TablaINVENTARIO[ESTADO])</f>
        <v xml:space="preserve">NUEVO </v>
      </c>
      <c r="G352" s="33" t="str">
        <f>_xlfn.XLOOKUP(TablaSTOCKINV[[#This Row],[SKU]],TablaINVENTARIO[SKU],TablaINVENTARIO[MEDIDA])</f>
        <v>UND</v>
      </c>
      <c r="H352" s="33" t="str">
        <f>_xlfn.XLOOKUP(TablaSTOCKINV[[#This Row],[SKU]],TablaINVENTARIO[SKU],TablaINVENTARIO[SERIAL])</f>
        <v>N/A</v>
      </c>
      <c r="I352" s="34" t="str">
        <f>_xlfn.XLOOKUP(TablaSTOCKINV[[#This Row],[SKU]],TablaINVENTARIO[SKU],TablaINVENTARIO[ALMACEN])</f>
        <v>ALMACEN PRINCIPAL</v>
      </c>
      <c r="J352" s="34" t="str">
        <f>_xlfn.XLOOKUP(TablaSTOCKINV[[#This Row],[SKU]],TablaINVENTARIO[SKU],TablaINVENTARIO[UBICACION])</f>
        <v>3I</v>
      </c>
      <c r="K352" s="34" t="str">
        <f>_xlfn.XLOOKUP(TablaSTOCKINV[[#This Row],[SKU]],TablaINVENTARIO[SKU],TablaINVENTARIO[DPTO RESPONSABLE])</f>
        <v>OPERACIONES / MANTENIMIENTO</v>
      </c>
      <c r="L352" s="36">
        <f>_xlfn.XLOOKUP(TablaSTOCKINV[[#This Row],[SKU]],TablaINVENTARIO[SKU],TablaINVENTARIO[RANGO MIN])</f>
        <v>0</v>
      </c>
      <c r="M352" s="34" cm="1">
        <f t="array" ref="M352">_xlfn.IFS(TablaSTOCKINV[[#This Row],[CANT. TOTAL]]&lt;=0,1,TablaSTOCKINV[[#This Row],[CANT. TOTAL]]&lt;=TablaSTOCKINV[[#This Row],[MIN]],2,TablaSTOCKINV[[#This Row],[CANT. TOTAL]]&gt;TablaSTOCKINV[[#This Row],[MIN]],3)</f>
        <v>3</v>
      </c>
      <c r="N352" s="34">
        <f>TablaSTOCKINV[[#This Row],[ENTRADAS]]-TablaSTOCKINV[[#This Row],[SALIDAS]]</f>
        <v>10</v>
      </c>
      <c r="O352" s="35">
        <f>SUMIFS(TablaENTRADA[CANT],TablaENTRADA[SKU],TablaSTOCKINV[[#This Row],[SKU]])</f>
        <v>10</v>
      </c>
      <c r="P352" s="35">
        <f>SUMIFS(TablaSALIDA[CANT],TablaSALIDA[SKU],TablaSTOCKINV[[#This Row],[SKU]])</f>
        <v>0</v>
      </c>
      <c r="Q352" s="34">
        <f>_xlfn.XLOOKUP(TablaSTOCKINV[[#This Row],[SKU]],TablaINVENTARIO[SKU],TablaINVENTARIO[PRECIO])</f>
        <v>0</v>
      </c>
      <c r="R352" s="34">
        <f>TablaSTOCKINV[[#This Row],[P.UNITARIO]]*TablaSTOCKINV[[#This Row],[CANT. TOTAL]]</f>
        <v>0</v>
      </c>
      <c r="S352" s="44">
        <f>_xlfn.XLOOKUP(TablaSTOCKINV[[#This Row],[SKU]],TablaINVENTARIO[SKU],TablaINVENTARIO[FECHA INGRESO])</f>
        <v>46023</v>
      </c>
      <c r="T352" s="44">
        <f>_xlfn.XLOOKUP(TablaSTOCKINV[[#This Row],[SKU]],TablaENTRADA[SKU],TablaENTRADA[FECHA],,0,-1)</f>
        <v>46023</v>
      </c>
      <c r="U352" s="46" t="str">
        <f>IFERROR((_xlfn.XLOOKUP(TablaSTOCKINV[[#This Row],[SKU]],TablaSALIDA[SKU],TablaSALIDA[FECHA],,0,-1))," " )</f>
        <v xml:space="preserve"> </v>
      </c>
    </row>
    <row r="353" spans="1:21" x14ac:dyDescent="0.3">
      <c r="A353" s="27" t="s">
        <v>1552</v>
      </c>
      <c r="B353" s="32" t="str">
        <f>_xlfn.XLOOKUP(TablaSTOCKINV[[#This Row],[SKU]],TablaINVENTARIO[SKU],TablaINVENTARIO[DESCRIPCION])</f>
        <v>DISCO DE CORTE 7" X 1/8"</v>
      </c>
      <c r="C353" s="32" t="str">
        <f>_xlfn.XLOOKUP(TablaSTOCKINV[[#This Row],[SKU]],TablaINVENTARIO[SKU],TablaINVENTARIO[MARCA])</f>
        <v>DEWALT</v>
      </c>
      <c r="D353" s="33" t="str">
        <f>_xlfn.XLOOKUP(TablaSTOCKINV[[#This Row],[SKU]],TablaINVENTARIO[SKU],TablaINVENTARIO[CATEGORIA])</f>
        <v>HERRAMIENTAS_</v>
      </c>
      <c r="E353" s="33" t="str">
        <f>_xlfn.XLOOKUP(TablaSTOCKINV[[#This Row],[SKU]],TablaINVENTARIO[SKU],TablaINVENTARIO[SUBCATEGORIA])</f>
        <v xml:space="preserve">HERRAMIENTA DE ABRASIÓN </v>
      </c>
      <c r="F353" s="33" t="str">
        <f>_xlfn.XLOOKUP(TablaSTOCKINV[[#This Row],[SKU]],TablaINVENTARIO[SKU],TablaINVENTARIO[ESTADO])</f>
        <v xml:space="preserve">NUEVO </v>
      </c>
      <c r="G353" s="33" t="str">
        <f>_xlfn.XLOOKUP(TablaSTOCKINV[[#This Row],[SKU]],TablaINVENTARIO[SKU],TablaINVENTARIO[MEDIDA])</f>
        <v>UND</v>
      </c>
      <c r="H353" s="33" t="str">
        <f>_xlfn.XLOOKUP(TablaSTOCKINV[[#This Row],[SKU]],TablaINVENTARIO[SKU],TablaINVENTARIO[SERIAL])</f>
        <v>N/A</v>
      </c>
      <c r="I353" s="34" t="str">
        <f>_xlfn.XLOOKUP(TablaSTOCKINV[[#This Row],[SKU]],TablaINVENTARIO[SKU],TablaINVENTARIO[ALMACEN])</f>
        <v>ALMACEN PRINCIPAL</v>
      </c>
      <c r="J353" s="34" t="str">
        <f>_xlfn.XLOOKUP(TablaSTOCKINV[[#This Row],[SKU]],TablaINVENTARIO[SKU],TablaINVENTARIO[UBICACION])</f>
        <v>3I</v>
      </c>
      <c r="K353" s="34" t="str">
        <f>_xlfn.XLOOKUP(TablaSTOCKINV[[#This Row],[SKU]],TablaINVENTARIO[SKU],TablaINVENTARIO[DPTO RESPONSABLE])</f>
        <v>OPERACIONES / MANTENIMIENTO</v>
      </c>
      <c r="L353" s="36">
        <f>_xlfn.XLOOKUP(TablaSTOCKINV[[#This Row],[SKU]],TablaINVENTARIO[SKU],TablaINVENTARIO[RANGO MIN])</f>
        <v>0</v>
      </c>
      <c r="M353" s="34" cm="1">
        <f t="array" ref="M353">_xlfn.IFS(TablaSTOCKINV[[#This Row],[CANT. TOTAL]]&lt;=0,1,TablaSTOCKINV[[#This Row],[CANT. TOTAL]]&lt;=TablaSTOCKINV[[#This Row],[MIN]],2,TablaSTOCKINV[[#This Row],[CANT. TOTAL]]&gt;TablaSTOCKINV[[#This Row],[MIN]],3)</f>
        <v>3</v>
      </c>
      <c r="N353" s="34">
        <f>TablaSTOCKINV[[#This Row],[ENTRADAS]]-TablaSTOCKINV[[#This Row],[SALIDAS]]</f>
        <v>14</v>
      </c>
      <c r="O353" s="35">
        <f>SUMIFS(TablaENTRADA[CANT],TablaENTRADA[SKU],TablaSTOCKINV[[#This Row],[SKU]])</f>
        <v>14</v>
      </c>
      <c r="P353" s="35">
        <f>SUMIFS(TablaSALIDA[CANT],TablaSALIDA[SKU],TablaSTOCKINV[[#This Row],[SKU]])</f>
        <v>0</v>
      </c>
      <c r="Q353" s="34">
        <f>_xlfn.XLOOKUP(TablaSTOCKINV[[#This Row],[SKU]],TablaINVENTARIO[SKU],TablaINVENTARIO[PRECIO])</f>
        <v>0</v>
      </c>
      <c r="R353" s="34">
        <f>TablaSTOCKINV[[#This Row],[P.UNITARIO]]*TablaSTOCKINV[[#This Row],[CANT. TOTAL]]</f>
        <v>0</v>
      </c>
      <c r="S353" s="44">
        <f>_xlfn.XLOOKUP(TablaSTOCKINV[[#This Row],[SKU]],TablaINVENTARIO[SKU],TablaINVENTARIO[FECHA INGRESO])</f>
        <v>46023</v>
      </c>
      <c r="T353" s="44">
        <f>_xlfn.XLOOKUP(TablaSTOCKINV[[#This Row],[SKU]],TablaENTRADA[SKU],TablaENTRADA[FECHA],,0,-1)</f>
        <v>46023</v>
      </c>
      <c r="U353" s="46" t="str">
        <f>IFERROR((_xlfn.XLOOKUP(TablaSTOCKINV[[#This Row],[SKU]],TablaSALIDA[SKU],TablaSALIDA[FECHA],,0,-1))," " )</f>
        <v xml:space="preserve"> </v>
      </c>
    </row>
    <row r="354" spans="1:21" x14ac:dyDescent="0.3">
      <c r="A354" s="27" t="s">
        <v>1554</v>
      </c>
      <c r="B354" s="32" t="str">
        <f>_xlfn.XLOOKUP(TablaSTOCKINV[[#This Row],[SKU]],TablaINVENTARIO[SKU],TablaINVENTARIO[DESCRIPCION])</f>
        <v xml:space="preserve">DISCO DE DESBASTE 7" </v>
      </c>
      <c r="C354" s="32" t="str">
        <f>_xlfn.XLOOKUP(TablaSTOCKINV[[#This Row],[SKU]],TablaINVENTARIO[SKU],TablaINVENTARIO[MARCA])</f>
        <v>DEWALT</v>
      </c>
      <c r="D354" s="33" t="str">
        <f>_xlfn.XLOOKUP(TablaSTOCKINV[[#This Row],[SKU]],TablaINVENTARIO[SKU],TablaINVENTARIO[CATEGORIA])</f>
        <v>HERRAMIENTAS_</v>
      </c>
      <c r="E354" s="33" t="str">
        <f>_xlfn.XLOOKUP(TablaSTOCKINV[[#This Row],[SKU]],TablaINVENTARIO[SKU],TablaINVENTARIO[SUBCATEGORIA])</f>
        <v xml:space="preserve">HERRAMIENTA DE ABRASIÓN </v>
      </c>
      <c r="F354" s="33" t="str">
        <f>_xlfn.XLOOKUP(TablaSTOCKINV[[#This Row],[SKU]],TablaINVENTARIO[SKU],TablaINVENTARIO[ESTADO])</f>
        <v xml:space="preserve">NUEVO </v>
      </c>
      <c r="G354" s="33" t="str">
        <f>_xlfn.XLOOKUP(TablaSTOCKINV[[#This Row],[SKU]],TablaINVENTARIO[SKU],TablaINVENTARIO[MEDIDA])</f>
        <v>UND</v>
      </c>
      <c r="H354" s="33" t="str">
        <f>_xlfn.XLOOKUP(TablaSTOCKINV[[#This Row],[SKU]],TablaINVENTARIO[SKU],TablaINVENTARIO[SERIAL])</f>
        <v>N/A</v>
      </c>
      <c r="I354" s="34" t="str">
        <f>_xlfn.XLOOKUP(TablaSTOCKINV[[#This Row],[SKU]],TablaINVENTARIO[SKU],TablaINVENTARIO[ALMACEN])</f>
        <v>ALMACEN PRINCIPAL</v>
      </c>
      <c r="J354" s="34" t="str">
        <f>_xlfn.XLOOKUP(TablaSTOCKINV[[#This Row],[SKU]],TablaINVENTARIO[SKU],TablaINVENTARIO[UBICACION])</f>
        <v>3I</v>
      </c>
      <c r="K354" s="34" t="str">
        <f>_xlfn.XLOOKUP(TablaSTOCKINV[[#This Row],[SKU]],TablaINVENTARIO[SKU],TablaINVENTARIO[DPTO RESPONSABLE])</f>
        <v>OPERACIONES / MANTENIMIENTO</v>
      </c>
      <c r="L354" s="36">
        <f>_xlfn.XLOOKUP(TablaSTOCKINV[[#This Row],[SKU]],TablaINVENTARIO[SKU],TablaINVENTARIO[RANGO MIN])</f>
        <v>0</v>
      </c>
      <c r="M354" s="34" cm="1">
        <f t="array" ref="M354">_xlfn.IFS(TablaSTOCKINV[[#This Row],[CANT. TOTAL]]&lt;=0,1,TablaSTOCKINV[[#This Row],[CANT. TOTAL]]&lt;=TablaSTOCKINV[[#This Row],[MIN]],2,TablaSTOCKINV[[#This Row],[CANT. TOTAL]]&gt;TablaSTOCKINV[[#This Row],[MIN]],3)</f>
        <v>3</v>
      </c>
      <c r="N354" s="34">
        <f>TablaSTOCKINV[[#This Row],[ENTRADAS]]-TablaSTOCKINV[[#This Row],[SALIDAS]]</f>
        <v>12</v>
      </c>
      <c r="O354" s="35">
        <f>SUMIFS(TablaENTRADA[CANT],TablaENTRADA[SKU],TablaSTOCKINV[[#This Row],[SKU]])</f>
        <v>12</v>
      </c>
      <c r="P354" s="35">
        <f>SUMIFS(TablaSALIDA[CANT],TablaSALIDA[SKU],TablaSTOCKINV[[#This Row],[SKU]])</f>
        <v>0</v>
      </c>
      <c r="Q354" s="34">
        <f>_xlfn.XLOOKUP(TablaSTOCKINV[[#This Row],[SKU]],TablaINVENTARIO[SKU],TablaINVENTARIO[PRECIO])</f>
        <v>0</v>
      </c>
      <c r="R354" s="34">
        <f>TablaSTOCKINV[[#This Row],[P.UNITARIO]]*TablaSTOCKINV[[#This Row],[CANT. TOTAL]]</f>
        <v>0</v>
      </c>
      <c r="S354" s="44">
        <f>_xlfn.XLOOKUP(TablaSTOCKINV[[#This Row],[SKU]],TablaINVENTARIO[SKU],TablaINVENTARIO[FECHA INGRESO])</f>
        <v>46023</v>
      </c>
      <c r="T354" s="44">
        <f>_xlfn.XLOOKUP(TablaSTOCKINV[[#This Row],[SKU]],TablaENTRADA[SKU],TablaENTRADA[FECHA],,0,-1)</f>
        <v>46023</v>
      </c>
      <c r="U354" s="46" t="str">
        <f>IFERROR((_xlfn.XLOOKUP(TablaSTOCKINV[[#This Row],[SKU]],TablaSALIDA[SKU],TablaSALIDA[FECHA],,0,-1))," " )</f>
        <v xml:space="preserve"> </v>
      </c>
    </row>
    <row r="355" spans="1:21" x14ac:dyDescent="0.3">
      <c r="A355" s="27" t="s">
        <v>1556</v>
      </c>
      <c r="B355" s="32" t="str">
        <f>_xlfn.XLOOKUP(TablaSTOCKINV[[#This Row],[SKU]],TablaINVENTARIO[SKU],TablaINVENTARIO[DESCRIPCION])</f>
        <v>DISCO DE DESBASTE 4-1/2"</v>
      </c>
      <c r="C355" s="32" t="str">
        <f>_xlfn.XLOOKUP(TablaSTOCKINV[[#This Row],[SKU]],TablaINVENTARIO[SKU],TablaINVENTARIO[MARCA])</f>
        <v>DEWALT</v>
      </c>
      <c r="D355" s="33" t="str">
        <f>_xlfn.XLOOKUP(TablaSTOCKINV[[#This Row],[SKU]],TablaINVENTARIO[SKU],TablaINVENTARIO[CATEGORIA])</f>
        <v>HERRAMIENTAS_</v>
      </c>
      <c r="E355" s="33" t="str">
        <f>_xlfn.XLOOKUP(TablaSTOCKINV[[#This Row],[SKU]],TablaINVENTARIO[SKU],TablaINVENTARIO[SUBCATEGORIA])</f>
        <v xml:space="preserve">HERRAMIENTA DE ABRASIÓN </v>
      </c>
      <c r="F355" s="33" t="str">
        <f>_xlfn.XLOOKUP(TablaSTOCKINV[[#This Row],[SKU]],TablaINVENTARIO[SKU],TablaINVENTARIO[ESTADO])</f>
        <v xml:space="preserve">NUEVO </v>
      </c>
      <c r="G355" s="33" t="str">
        <f>_xlfn.XLOOKUP(TablaSTOCKINV[[#This Row],[SKU]],TablaINVENTARIO[SKU],TablaINVENTARIO[MEDIDA])</f>
        <v>UND</v>
      </c>
      <c r="H355" s="33" t="str">
        <f>_xlfn.XLOOKUP(TablaSTOCKINV[[#This Row],[SKU]],TablaINVENTARIO[SKU],TablaINVENTARIO[SERIAL])</f>
        <v>N/A</v>
      </c>
      <c r="I355" s="34" t="str">
        <f>_xlfn.XLOOKUP(TablaSTOCKINV[[#This Row],[SKU]],TablaINVENTARIO[SKU],TablaINVENTARIO[ALMACEN])</f>
        <v>ALMACEN PRINCIPAL</v>
      </c>
      <c r="J355" s="34" t="str">
        <f>_xlfn.XLOOKUP(TablaSTOCKINV[[#This Row],[SKU]],TablaINVENTARIO[SKU],TablaINVENTARIO[UBICACION])</f>
        <v>3I</v>
      </c>
      <c r="K355" s="34" t="str">
        <f>_xlfn.XLOOKUP(TablaSTOCKINV[[#This Row],[SKU]],TablaINVENTARIO[SKU],TablaINVENTARIO[DPTO RESPONSABLE])</f>
        <v>OPERACIONES / MANTENIMIENTO</v>
      </c>
      <c r="L355" s="36">
        <f>_xlfn.XLOOKUP(TablaSTOCKINV[[#This Row],[SKU]],TablaINVENTARIO[SKU],TablaINVENTARIO[RANGO MIN])</f>
        <v>0</v>
      </c>
      <c r="M355" s="34" cm="1">
        <f t="array" ref="M355">_xlfn.IFS(TablaSTOCKINV[[#This Row],[CANT. TOTAL]]&lt;=0,1,TablaSTOCKINV[[#This Row],[CANT. TOTAL]]&lt;=TablaSTOCKINV[[#This Row],[MIN]],2,TablaSTOCKINV[[#This Row],[CANT. TOTAL]]&gt;TablaSTOCKINV[[#This Row],[MIN]],3)</f>
        <v>3</v>
      </c>
      <c r="N355" s="34">
        <f>TablaSTOCKINV[[#This Row],[ENTRADAS]]-TablaSTOCKINV[[#This Row],[SALIDAS]]</f>
        <v>8</v>
      </c>
      <c r="O355" s="35">
        <f>SUMIFS(TablaENTRADA[CANT],TablaENTRADA[SKU],TablaSTOCKINV[[#This Row],[SKU]])</f>
        <v>8</v>
      </c>
      <c r="P355" s="35">
        <f>SUMIFS(TablaSALIDA[CANT],TablaSALIDA[SKU],TablaSTOCKINV[[#This Row],[SKU]])</f>
        <v>0</v>
      </c>
      <c r="Q355" s="34">
        <f>_xlfn.XLOOKUP(TablaSTOCKINV[[#This Row],[SKU]],TablaINVENTARIO[SKU],TablaINVENTARIO[PRECIO])</f>
        <v>0</v>
      </c>
      <c r="R355" s="34">
        <f>TablaSTOCKINV[[#This Row],[P.UNITARIO]]*TablaSTOCKINV[[#This Row],[CANT. TOTAL]]</f>
        <v>0</v>
      </c>
      <c r="S355" s="44">
        <f>_xlfn.XLOOKUP(TablaSTOCKINV[[#This Row],[SKU]],TablaINVENTARIO[SKU],TablaINVENTARIO[FECHA INGRESO])</f>
        <v>46023</v>
      </c>
      <c r="T355" s="44">
        <f>_xlfn.XLOOKUP(TablaSTOCKINV[[#This Row],[SKU]],TablaENTRADA[SKU],TablaENTRADA[FECHA],,0,-1)</f>
        <v>46023</v>
      </c>
      <c r="U355" s="46" t="str">
        <f>IFERROR((_xlfn.XLOOKUP(TablaSTOCKINV[[#This Row],[SKU]],TablaSALIDA[SKU],TablaSALIDA[FECHA],,0,-1))," " )</f>
        <v xml:space="preserve"> </v>
      </c>
    </row>
    <row r="356" spans="1:21" x14ac:dyDescent="0.3">
      <c r="A356" s="27" t="s">
        <v>1558</v>
      </c>
      <c r="B356" s="32" t="str">
        <f>_xlfn.XLOOKUP(TablaSTOCKINV[[#This Row],[SKU]],TablaINVENTARIO[SKU],TablaINVENTARIO[DESCRIPCION])</f>
        <v>DISCO DE CORTE EXTRAFINO 4-1/2"</v>
      </c>
      <c r="C356" s="32" t="str">
        <f>_xlfn.XLOOKUP(TablaSTOCKINV[[#This Row],[SKU]],TablaINVENTARIO[SKU],TablaINVENTARIO[MARCA])</f>
        <v>DEWALT</v>
      </c>
      <c r="D356" s="33" t="str">
        <f>_xlfn.XLOOKUP(TablaSTOCKINV[[#This Row],[SKU]],TablaINVENTARIO[SKU],TablaINVENTARIO[CATEGORIA])</f>
        <v>HERRAMIENTAS_</v>
      </c>
      <c r="E356" s="33" t="str">
        <f>_xlfn.XLOOKUP(TablaSTOCKINV[[#This Row],[SKU]],TablaINVENTARIO[SKU],TablaINVENTARIO[SUBCATEGORIA])</f>
        <v xml:space="preserve">HERRAMIENTA DE ABRASIÓN </v>
      </c>
      <c r="F356" s="33" t="str">
        <f>_xlfn.XLOOKUP(TablaSTOCKINV[[#This Row],[SKU]],TablaINVENTARIO[SKU],TablaINVENTARIO[ESTADO])</f>
        <v xml:space="preserve">NUEVO </v>
      </c>
      <c r="G356" s="33" t="str">
        <f>_xlfn.XLOOKUP(TablaSTOCKINV[[#This Row],[SKU]],TablaINVENTARIO[SKU],TablaINVENTARIO[MEDIDA])</f>
        <v>UND</v>
      </c>
      <c r="H356" s="33" t="str">
        <f>_xlfn.XLOOKUP(TablaSTOCKINV[[#This Row],[SKU]],TablaINVENTARIO[SKU],TablaINVENTARIO[SERIAL])</f>
        <v>N/A</v>
      </c>
      <c r="I356" s="34" t="str">
        <f>_xlfn.XLOOKUP(TablaSTOCKINV[[#This Row],[SKU]],TablaINVENTARIO[SKU],TablaINVENTARIO[ALMACEN])</f>
        <v>ALMACEN PRINCIPAL</v>
      </c>
      <c r="J356" s="34" t="str">
        <f>_xlfn.XLOOKUP(TablaSTOCKINV[[#This Row],[SKU]],TablaINVENTARIO[SKU],TablaINVENTARIO[UBICACION])</f>
        <v>3I</v>
      </c>
      <c r="K356" s="34" t="str">
        <f>_xlfn.XLOOKUP(TablaSTOCKINV[[#This Row],[SKU]],TablaINVENTARIO[SKU],TablaINVENTARIO[DPTO RESPONSABLE])</f>
        <v>OPERACIONES / MANTENIMIENTO</v>
      </c>
      <c r="L356" s="36">
        <f>_xlfn.XLOOKUP(TablaSTOCKINV[[#This Row],[SKU]],TablaINVENTARIO[SKU],TablaINVENTARIO[RANGO MIN])</f>
        <v>0</v>
      </c>
      <c r="M356" s="34" cm="1">
        <f t="array" ref="M356">_xlfn.IFS(TablaSTOCKINV[[#This Row],[CANT. TOTAL]]&lt;=0,1,TablaSTOCKINV[[#This Row],[CANT. TOTAL]]&lt;=TablaSTOCKINV[[#This Row],[MIN]],2,TablaSTOCKINV[[#This Row],[CANT. TOTAL]]&gt;TablaSTOCKINV[[#This Row],[MIN]],3)</f>
        <v>3</v>
      </c>
      <c r="N356" s="34">
        <f>TablaSTOCKINV[[#This Row],[ENTRADAS]]-TablaSTOCKINV[[#This Row],[SALIDAS]]</f>
        <v>4</v>
      </c>
      <c r="O356" s="35">
        <f>SUMIFS(TablaENTRADA[CANT],TablaENTRADA[SKU],TablaSTOCKINV[[#This Row],[SKU]])</f>
        <v>4</v>
      </c>
      <c r="P356" s="35">
        <f>SUMIFS(TablaSALIDA[CANT],TablaSALIDA[SKU],TablaSTOCKINV[[#This Row],[SKU]])</f>
        <v>0</v>
      </c>
      <c r="Q356" s="34">
        <f>_xlfn.XLOOKUP(TablaSTOCKINV[[#This Row],[SKU]],TablaINVENTARIO[SKU],TablaINVENTARIO[PRECIO])</f>
        <v>0</v>
      </c>
      <c r="R356" s="34">
        <f>TablaSTOCKINV[[#This Row],[P.UNITARIO]]*TablaSTOCKINV[[#This Row],[CANT. TOTAL]]</f>
        <v>0</v>
      </c>
      <c r="S356" s="44">
        <f>_xlfn.XLOOKUP(TablaSTOCKINV[[#This Row],[SKU]],TablaINVENTARIO[SKU],TablaINVENTARIO[FECHA INGRESO])</f>
        <v>46023</v>
      </c>
      <c r="T356" s="44">
        <f>_xlfn.XLOOKUP(TablaSTOCKINV[[#This Row],[SKU]],TablaENTRADA[SKU],TablaENTRADA[FECHA],,0,-1)</f>
        <v>46023</v>
      </c>
      <c r="U356" s="46" t="str">
        <f>IFERROR((_xlfn.XLOOKUP(TablaSTOCKINV[[#This Row],[SKU]],TablaSALIDA[SKU],TablaSALIDA[FECHA],,0,-1))," " )</f>
        <v xml:space="preserve"> </v>
      </c>
    </row>
    <row r="357" spans="1:21" x14ac:dyDescent="0.3">
      <c r="A357" s="27" t="s">
        <v>1560</v>
      </c>
      <c r="B357" s="32" t="str">
        <f>_xlfn.XLOOKUP(TablaSTOCKINV[[#This Row],[SKU]],TablaINVENTARIO[SKU],TablaINVENTARIO[DESCRIPCION])</f>
        <v>DISCO DE LIJA GRANO 80 4-1/2"</v>
      </c>
      <c r="C357" s="32" t="str">
        <f>_xlfn.XLOOKUP(TablaSTOCKINV[[#This Row],[SKU]],TablaINVENTARIO[SKU],TablaINVENTARIO[MARCA])</f>
        <v>STRUGGER</v>
      </c>
      <c r="D357" s="33" t="str">
        <f>_xlfn.XLOOKUP(TablaSTOCKINV[[#This Row],[SKU]],TablaINVENTARIO[SKU],TablaINVENTARIO[CATEGORIA])</f>
        <v>HERRAMIENTAS_</v>
      </c>
      <c r="E357" s="33" t="str">
        <f>_xlfn.XLOOKUP(TablaSTOCKINV[[#This Row],[SKU]],TablaINVENTARIO[SKU],TablaINVENTARIO[SUBCATEGORIA])</f>
        <v xml:space="preserve">MATERIAL DE CONSTRUCCIÓN </v>
      </c>
      <c r="F357" s="33" t="str">
        <f>_xlfn.XLOOKUP(TablaSTOCKINV[[#This Row],[SKU]],TablaINVENTARIO[SKU],TablaINVENTARIO[ESTADO])</f>
        <v xml:space="preserve">NUEVO </v>
      </c>
      <c r="G357" s="33" t="str">
        <f>_xlfn.XLOOKUP(TablaSTOCKINV[[#This Row],[SKU]],TablaINVENTARIO[SKU],TablaINVENTARIO[MEDIDA])</f>
        <v>UND</v>
      </c>
      <c r="H357" s="33" t="str">
        <f>_xlfn.XLOOKUP(TablaSTOCKINV[[#This Row],[SKU]],TablaINVENTARIO[SKU],TablaINVENTARIO[SERIAL])</f>
        <v>N/A</v>
      </c>
      <c r="I357" s="34" t="str">
        <f>_xlfn.XLOOKUP(TablaSTOCKINV[[#This Row],[SKU]],TablaINVENTARIO[SKU],TablaINVENTARIO[ALMACEN])</f>
        <v>ALMACEN PRINCIPAL</v>
      </c>
      <c r="J357" s="34" t="str">
        <f>_xlfn.XLOOKUP(TablaSTOCKINV[[#This Row],[SKU]],TablaINVENTARIO[SKU],TablaINVENTARIO[UBICACION])</f>
        <v>3I</v>
      </c>
      <c r="K357" s="34" t="str">
        <f>_xlfn.XLOOKUP(TablaSTOCKINV[[#This Row],[SKU]],TablaINVENTARIO[SKU],TablaINVENTARIO[DPTO RESPONSABLE])</f>
        <v>OPERACIONES / MANTENIMIENTO</v>
      </c>
      <c r="L357" s="36">
        <f>_xlfn.XLOOKUP(TablaSTOCKINV[[#This Row],[SKU]],TablaINVENTARIO[SKU],TablaINVENTARIO[RANGO MIN])</f>
        <v>0</v>
      </c>
      <c r="M357" s="34" cm="1">
        <f t="array" ref="M357">_xlfn.IFS(TablaSTOCKINV[[#This Row],[CANT. TOTAL]]&lt;=0,1,TablaSTOCKINV[[#This Row],[CANT. TOTAL]]&lt;=TablaSTOCKINV[[#This Row],[MIN]],2,TablaSTOCKINV[[#This Row],[CANT. TOTAL]]&gt;TablaSTOCKINV[[#This Row],[MIN]],3)</f>
        <v>3</v>
      </c>
      <c r="N357" s="34">
        <f>TablaSTOCKINV[[#This Row],[ENTRADAS]]-TablaSTOCKINV[[#This Row],[SALIDAS]]</f>
        <v>6</v>
      </c>
      <c r="O357" s="35">
        <f>SUMIFS(TablaENTRADA[CANT],TablaENTRADA[SKU],TablaSTOCKINV[[#This Row],[SKU]])</f>
        <v>6</v>
      </c>
      <c r="P357" s="35">
        <f>SUMIFS(TablaSALIDA[CANT],TablaSALIDA[SKU],TablaSTOCKINV[[#This Row],[SKU]])</f>
        <v>0</v>
      </c>
      <c r="Q357" s="34">
        <f>_xlfn.XLOOKUP(TablaSTOCKINV[[#This Row],[SKU]],TablaINVENTARIO[SKU],TablaINVENTARIO[PRECIO])</f>
        <v>0</v>
      </c>
      <c r="R357" s="34">
        <f>TablaSTOCKINV[[#This Row],[P.UNITARIO]]*TablaSTOCKINV[[#This Row],[CANT. TOTAL]]</f>
        <v>0</v>
      </c>
      <c r="S357" s="44">
        <f>_xlfn.XLOOKUP(TablaSTOCKINV[[#This Row],[SKU]],TablaINVENTARIO[SKU],TablaINVENTARIO[FECHA INGRESO])</f>
        <v>46023</v>
      </c>
      <c r="T357" s="44">
        <f>_xlfn.XLOOKUP(TablaSTOCKINV[[#This Row],[SKU]],TablaENTRADA[SKU],TablaENTRADA[FECHA],,0,-1)</f>
        <v>46023</v>
      </c>
      <c r="U357" s="46" t="str">
        <f>IFERROR((_xlfn.XLOOKUP(TablaSTOCKINV[[#This Row],[SKU]],TablaSALIDA[SKU],TablaSALIDA[FECHA],,0,-1))," " )</f>
        <v xml:space="preserve"> </v>
      </c>
    </row>
    <row r="358" spans="1:21" x14ac:dyDescent="0.3">
      <c r="A358" s="27" t="s">
        <v>1563</v>
      </c>
      <c r="B358" s="32" t="str">
        <f>_xlfn.XLOOKUP(TablaSTOCKINV[[#This Row],[SKU]],TablaINVENTARIO[SKU],TablaINVENTARIO[DESCRIPCION])</f>
        <v>DISCO DIAMANTADO PARA CONCRETO 4-1/2"</v>
      </c>
      <c r="C358" s="32" t="str">
        <f>_xlfn.XLOOKUP(TablaSTOCKINV[[#This Row],[SKU]],TablaINVENTARIO[SKU],TablaINVENTARIO[MARCA])</f>
        <v>COVO</v>
      </c>
      <c r="D358" s="33" t="str">
        <f>_xlfn.XLOOKUP(TablaSTOCKINV[[#This Row],[SKU]],TablaINVENTARIO[SKU],TablaINVENTARIO[CATEGORIA])</f>
        <v>HERRAMIENTAS_</v>
      </c>
      <c r="E358" s="33" t="str">
        <f>_xlfn.XLOOKUP(TablaSTOCKINV[[#This Row],[SKU]],TablaINVENTARIO[SKU],TablaINVENTARIO[SUBCATEGORIA])</f>
        <v xml:space="preserve">MATERIAL DE CONSTRUCCIÓN </v>
      </c>
      <c r="F358" s="33" t="str">
        <f>_xlfn.XLOOKUP(TablaSTOCKINV[[#This Row],[SKU]],TablaINVENTARIO[SKU],TablaINVENTARIO[ESTADO])</f>
        <v xml:space="preserve">NUEVO </v>
      </c>
      <c r="G358" s="33" t="str">
        <f>_xlfn.XLOOKUP(TablaSTOCKINV[[#This Row],[SKU]],TablaINVENTARIO[SKU],TablaINVENTARIO[MEDIDA])</f>
        <v>UND</v>
      </c>
      <c r="H358" s="33" t="str">
        <f>_xlfn.XLOOKUP(TablaSTOCKINV[[#This Row],[SKU]],TablaINVENTARIO[SKU],TablaINVENTARIO[SERIAL])</f>
        <v>N/A</v>
      </c>
      <c r="I358" s="34" t="str">
        <f>_xlfn.XLOOKUP(TablaSTOCKINV[[#This Row],[SKU]],TablaINVENTARIO[SKU],TablaINVENTARIO[ALMACEN])</f>
        <v>ALMACEN PRINCIPAL</v>
      </c>
      <c r="J358" s="34" t="str">
        <f>_xlfn.XLOOKUP(TablaSTOCKINV[[#This Row],[SKU]],TablaINVENTARIO[SKU],TablaINVENTARIO[UBICACION])</f>
        <v>3I</v>
      </c>
      <c r="K358" s="34" t="str">
        <f>_xlfn.XLOOKUP(TablaSTOCKINV[[#This Row],[SKU]],TablaINVENTARIO[SKU],TablaINVENTARIO[DPTO RESPONSABLE])</f>
        <v>OPERACIONES / MANTENIMIENTO</v>
      </c>
      <c r="L358" s="36">
        <f>_xlfn.XLOOKUP(TablaSTOCKINV[[#This Row],[SKU]],TablaINVENTARIO[SKU],TablaINVENTARIO[RANGO MIN])</f>
        <v>0</v>
      </c>
      <c r="M358" s="34" cm="1">
        <f t="array" ref="M358">_xlfn.IFS(TablaSTOCKINV[[#This Row],[CANT. TOTAL]]&lt;=0,1,TablaSTOCKINV[[#This Row],[CANT. TOTAL]]&lt;=TablaSTOCKINV[[#This Row],[MIN]],2,TablaSTOCKINV[[#This Row],[CANT. TOTAL]]&gt;TablaSTOCKINV[[#This Row],[MIN]],3)</f>
        <v>3</v>
      </c>
      <c r="N358" s="34">
        <f>TablaSTOCKINV[[#This Row],[ENTRADAS]]-TablaSTOCKINV[[#This Row],[SALIDAS]]</f>
        <v>1</v>
      </c>
      <c r="O358" s="35">
        <f>SUMIFS(TablaENTRADA[CANT],TablaENTRADA[SKU],TablaSTOCKINV[[#This Row],[SKU]])</f>
        <v>1</v>
      </c>
      <c r="P358" s="35">
        <f>SUMIFS(TablaSALIDA[CANT],TablaSALIDA[SKU],TablaSTOCKINV[[#This Row],[SKU]])</f>
        <v>0</v>
      </c>
      <c r="Q358" s="34">
        <f>_xlfn.XLOOKUP(TablaSTOCKINV[[#This Row],[SKU]],TablaINVENTARIO[SKU],TablaINVENTARIO[PRECIO])</f>
        <v>0</v>
      </c>
      <c r="R358" s="34">
        <f>TablaSTOCKINV[[#This Row],[P.UNITARIO]]*TablaSTOCKINV[[#This Row],[CANT. TOTAL]]</f>
        <v>0</v>
      </c>
      <c r="S358" s="44">
        <f>_xlfn.XLOOKUP(TablaSTOCKINV[[#This Row],[SKU]],TablaINVENTARIO[SKU],TablaINVENTARIO[FECHA INGRESO])</f>
        <v>46023</v>
      </c>
      <c r="T358" s="44">
        <f>_xlfn.XLOOKUP(TablaSTOCKINV[[#This Row],[SKU]],TablaENTRADA[SKU],TablaENTRADA[FECHA],,0,-1)</f>
        <v>46023</v>
      </c>
      <c r="U358" s="46" t="str">
        <f>IFERROR((_xlfn.XLOOKUP(TablaSTOCKINV[[#This Row],[SKU]],TablaSALIDA[SKU],TablaSALIDA[FECHA],,0,-1))," " )</f>
        <v xml:space="preserve"> </v>
      </c>
    </row>
    <row r="359" spans="1:21" x14ac:dyDescent="0.3">
      <c r="A359" s="27" t="s">
        <v>1566</v>
      </c>
      <c r="B359" s="32" t="str">
        <f>_xlfn.XLOOKUP(TablaSTOCKINV[[#This Row],[SKU]],TablaINVENTARIO[SKU],TablaINVENTARIO[DESCRIPCION])</f>
        <v>DISCO DIAMANTADO PARA CONCRETO 4-1/2"</v>
      </c>
      <c r="C359" s="32" t="str">
        <f>_xlfn.XLOOKUP(TablaSTOCKINV[[#This Row],[SKU]],TablaINVENTARIO[SKU],TablaINVENTARIO[MARCA])</f>
        <v>CLASSIC</v>
      </c>
      <c r="D359" s="33" t="str">
        <f>_xlfn.XLOOKUP(TablaSTOCKINV[[#This Row],[SKU]],TablaINVENTARIO[SKU],TablaINVENTARIO[CATEGORIA])</f>
        <v>HERRAMIENTAS_</v>
      </c>
      <c r="E359" s="33" t="str">
        <f>_xlfn.XLOOKUP(TablaSTOCKINV[[#This Row],[SKU]],TablaINVENTARIO[SKU],TablaINVENTARIO[SUBCATEGORIA])</f>
        <v xml:space="preserve">MATERIAL DE CONSTRUCCIÓN </v>
      </c>
      <c r="F359" s="33" t="str">
        <f>_xlfn.XLOOKUP(TablaSTOCKINV[[#This Row],[SKU]],TablaINVENTARIO[SKU],TablaINVENTARIO[ESTADO])</f>
        <v xml:space="preserve">NUEVO </v>
      </c>
      <c r="G359" s="33" t="str">
        <f>_xlfn.XLOOKUP(TablaSTOCKINV[[#This Row],[SKU]],TablaINVENTARIO[SKU],TablaINVENTARIO[MEDIDA])</f>
        <v>UND</v>
      </c>
      <c r="H359" s="33" t="str">
        <f>_xlfn.XLOOKUP(TablaSTOCKINV[[#This Row],[SKU]],TablaINVENTARIO[SKU],TablaINVENTARIO[SERIAL])</f>
        <v>N/A</v>
      </c>
      <c r="I359" s="34" t="str">
        <f>_xlfn.XLOOKUP(TablaSTOCKINV[[#This Row],[SKU]],TablaINVENTARIO[SKU],TablaINVENTARIO[ALMACEN])</f>
        <v>ALMACEN PRINCIPAL</v>
      </c>
      <c r="J359" s="34" t="str">
        <f>_xlfn.XLOOKUP(TablaSTOCKINV[[#This Row],[SKU]],TablaINVENTARIO[SKU],TablaINVENTARIO[UBICACION])</f>
        <v>3I</v>
      </c>
      <c r="K359" s="34" t="str">
        <f>_xlfn.XLOOKUP(TablaSTOCKINV[[#This Row],[SKU]],TablaINVENTARIO[SKU],TablaINVENTARIO[DPTO RESPONSABLE])</f>
        <v>OPERACIONES / MANTENIMIENTO</v>
      </c>
      <c r="L359" s="36">
        <f>_xlfn.XLOOKUP(TablaSTOCKINV[[#This Row],[SKU]],TablaINVENTARIO[SKU],TablaINVENTARIO[RANGO MIN])</f>
        <v>0</v>
      </c>
      <c r="M359" s="34" cm="1">
        <f t="array" ref="M359">_xlfn.IFS(TablaSTOCKINV[[#This Row],[CANT. TOTAL]]&lt;=0,1,TablaSTOCKINV[[#This Row],[CANT. TOTAL]]&lt;=TablaSTOCKINV[[#This Row],[MIN]],2,TablaSTOCKINV[[#This Row],[CANT. TOTAL]]&gt;TablaSTOCKINV[[#This Row],[MIN]],3)</f>
        <v>3</v>
      </c>
      <c r="N359" s="34">
        <f>TablaSTOCKINV[[#This Row],[ENTRADAS]]-TablaSTOCKINV[[#This Row],[SALIDAS]]</f>
        <v>6</v>
      </c>
      <c r="O359" s="35">
        <f>SUMIFS(TablaENTRADA[CANT],TablaENTRADA[SKU],TablaSTOCKINV[[#This Row],[SKU]])</f>
        <v>6</v>
      </c>
      <c r="P359" s="35">
        <f>SUMIFS(TablaSALIDA[CANT],TablaSALIDA[SKU],TablaSTOCKINV[[#This Row],[SKU]])</f>
        <v>0</v>
      </c>
      <c r="Q359" s="34">
        <f>_xlfn.XLOOKUP(TablaSTOCKINV[[#This Row],[SKU]],TablaINVENTARIO[SKU],TablaINVENTARIO[PRECIO])</f>
        <v>0</v>
      </c>
      <c r="R359" s="34">
        <f>TablaSTOCKINV[[#This Row],[P.UNITARIO]]*TablaSTOCKINV[[#This Row],[CANT. TOTAL]]</f>
        <v>0</v>
      </c>
      <c r="S359" s="44">
        <f>_xlfn.XLOOKUP(TablaSTOCKINV[[#This Row],[SKU]],TablaINVENTARIO[SKU],TablaINVENTARIO[FECHA INGRESO])</f>
        <v>46023</v>
      </c>
      <c r="T359" s="44">
        <f>_xlfn.XLOOKUP(TablaSTOCKINV[[#This Row],[SKU]],TablaENTRADA[SKU],TablaENTRADA[FECHA],,0,-1)</f>
        <v>46023</v>
      </c>
      <c r="U359" s="46" t="str">
        <f>IFERROR((_xlfn.XLOOKUP(TablaSTOCKINV[[#This Row],[SKU]],TablaSALIDA[SKU],TablaSALIDA[FECHA],,0,-1))," " )</f>
        <v xml:space="preserve"> </v>
      </c>
    </row>
    <row r="360" spans="1:21" x14ac:dyDescent="0.3">
      <c r="A360" s="27" t="s">
        <v>1568</v>
      </c>
      <c r="B360" s="32" t="str">
        <f>_xlfn.XLOOKUP(TablaSTOCKINV[[#This Row],[SKU]],TablaINVENTARIO[SKU],TablaINVENTARIO[DESCRIPCION])</f>
        <v>DISCO DIAMANTADO PARA CONCRETO 7"</v>
      </c>
      <c r="C360" s="32" t="str">
        <f>_xlfn.XLOOKUP(TablaSTOCKINV[[#This Row],[SKU]],TablaINVENTARIO[SKU],TablaINVENTARIO[MARCA])</f>
        <v>NORTON</v>
      </c>
      <c r="D360" s="33" t="str">
        <f>_xlfn.XLOOKUP(TablaSTOCKINV[[#This Row],[SKU]],TablaINVENTARIO[SKU],TablaINVENTARIO[CATEGORIA])</f>
        <v>HERRAMIENTAS_</v>
      </c>
      <c r="E360" s="33" t="str">
        <f>_xlfn.XLOOKUP(TablaSTOCKINV[[#This Row],[SKU]],TablaINVENTARIO[SKU],TablaINVENTARIO[SUBCATEGORIA])</f>
        <v xml:space="preserve">MATERIAL DE CONSTRUCCIÓN </v>
      </c>
      <c r="F360" s="33" t="str">
        <f>_xlfn.XLOOKUP(TablaSTOCKINV[[#This Row],[SKU]],TablaINVENTARIO[SKU],TablaINVENTARIO[ESTADO])</f>
        <v xml:space="preserve">NUEVO </v>
      </c>
      <c r="G360" s="33" t="str">
        <f>_xlfn.XLOOKUP(TablaSTOCKINV[[#This Row],[SKU]],TablaINVENTARIO[SKU],TablaINVENTARIO[MEDIDA])</f>
        <v>UND</v>
      </c>
      <c r="H360" s="33" t="str">
        <f>_xlfn.XLOOKUP(TablaSTOCKINV[[#This Row],[SKU]],TablaINVENTARIO[SKU],TablaINVENTARIO[SERIAL])</f>
        <v>N/A</v>
      </c>
      <c r="I360" s="34" t="str">
        <f>_xlfn.XLOOKUP(TablaSTOCKINV[[#This Row],[SKU]],TablaINVENTARIO[SKU],TablaINVENTARIO[ALMACEN])</f>
        <v>ALMACEN PRINCIPAL</v>
      </c>
      <c r="J360" s="34" t="str">
        <f>_xlfn.XLOOKUP(TablaSTOCKINV[[#This Row],[SKU]],TablaINVENTARIO[SKU],TablaINVENTARIO[UBICACION])</f>
        <v>3I</v>
      </c>
      <c r="K360" s="34" t="str">
        <f>_xlfn.XLOOKUP(TablaSTOCKINV[[#This Row],[SKU]],TablaINVENTARIO[SKU],TablaINVENTARIO[DPTO RESPONSABLE])</f>
        <v>OPERACIONES / MANTENIMIENTO</v>
      </c>
      <c r="L360" s="36">
        <f>_xlfn.XLOOKUP(TablaSTOCKINV[[#This Row],[SKU]],TablaINVENTARIO[SKU],TablaINVENTARIO[RANGO MIN])</f>
        <v>0</v>
      </c>
      <c r="M360" s="34" cm="1">
        <f t="array" ref="M360">_xlfn.IFS(TablaSTOCKINV[[#This Row],[CANT. TOTAL]]&lt;=0,1,TablaSTOCKINV[[#This Row],[CANT. TOTAL]]&lt;=TablaSTOCKINV[[#This Row],[MIN]],2,TablaSTOCKINV[[#This Row],[CANT. TOTAL]]&gt;TablaSTOCKINV[[#This Row],[MIN]],3)</f>
        <v>3</v>
      </c>
      <c r="N360" s="34">
        <f>TablaSTOCKINV[[#This Row],[ENTRADAS]]-TablaSTOCKINV[[#This Row],[SALIDAS]]</f>
        <v>7</v>
      </c>
      <c r="O360" s="35">
        <f>SUMIFS(TablaENTRADA[CANT],TablaENTRADA[SKU],TablaSTOCKINV[[#This Row],[SKU]])</f>
        <v>7</v>
      </c>
      <c r="P360" s="35">
        <f>SUMIFS(TablaSALIDA[CANT],TablaSALIDA[SKU],TablaSTOCKINV[[#This Row],[SKU]])</f>
        <v>0</v>
      </c>
      <c r="Q360" s="34">
        <f>_xlfn.XLOOKUP(TablaSTOCKINV[[#This Row],[SKU]],TablaINVENTARIO[SKU],TablaINVENTARIO[PRECIO])</f>
        <v>0</v>
      </c>
      <c r="R360" s="34">
        <f>TablaSTOCKINV[[#This Row],[P.UNITARIO]]*TablaSTOCKINV[[#This Row],[CANT. TOTAL]]</f>
        <v>0</v>
      </c>
      <c r="S360" s="44">
        <f>_xlfn.XLOOKUP(TablaSTOCKINV[[#This Row],[SKU]],TablaINVENTARIO[SKU],TablaINVENTARIO[FECHA INGRESO])</f>
        <v>46023</v>
      </c>
      <c r="T360" s="44">
        <f>_xlfn.XLOOKUP(TablaSTOCKINV[[#This Row],[SKU]],TablaENTRADA[SKU],TablaENTRADA[FECHA],,0,-1)</f>
        <v>46023</v>
      </c>
      <c r="U360" s="46" t="str">
        <f>IFERROR((_xlfn.XLOOKUP(TablaSTOCKINV[[#This Row],[SKU]],TablaSALIDA[SKU],TablaSALIDA[FECHA],,0,-1))," " )</f>
        <v xml:space="preserve"> </v>
      </c>
    </row>
    <row r="361" spans="1:21" x14ac:dyDescent="0.3">
      <c r="A361" s="27" t="s">
        <v>1571</v>
      </c>
      <c r="B361" s="32" t="str">
        <f>_xlfn.XLOOKUP(TablaSTOCKINV[[#This Row],[SKU]],TablaINVENTARIO[SKU],TablaINVENTARIO[DESCRIPCION])</f>
        <v>TIEWRAP NEGRO 10"</v>
      </c>
      <c r="C361" s="32" t="str">
        <f>_xlfn.XLOOKUP(TablaSTOCKINV[[#This Row],[SKU]],TablaINVENTARIO[SKU],TablaINVENTARIO[MARCA])</f>
        <v>N/A</v>
      </c>
      <c r="D361" s="33" t="str">
        <f>_xlfn.XLOOKUP(TablaSTOCKINV[[#This Row],[SKU]],TablaINVENTARIO[SKU],TablaINVENTARIO[CATEGORIA])</f>
        <v>HERRAMIENTAS_</v>
      </c>
      <c r="E361" s="33" t="str">
        <f>_xlfn.XLOOKUP(TablaSTOCKINV[[#This Row],[SKU]],TablaINVENTARIO[SKU],TablaINVENTARIO[SUBCATEGORIA])</f>
        <v xml:space="preserve">MATERIAL DE CONSTRUCCIÓN </v>
      </c>
      <c r="F361" s="33" t="str">
        <f>_xlfn.XLOOKUP(TablaSTOCKINV[[#This Row],[SKU]],TablaINVENTARIO[SKU],TablaINVENTARIO[ESTADO])</f>
        <v xml:space="preserve">NUEVO </v>
      </c>
      <c r="G361" s="33" t="str">
        <f>_xlfn.XLOOKUP(TablaSTOCKINV[[#This Row],[SKU]],TablaINVENTARIO[SKU],TablaINVENTARIO[MEDIDA])</f>
        <v>UND</v>
      </c>
      <c r="H361" s="33" t="str">
        <f>_xlfn.XLOOKUP(TablaSTOCKINV[[#This Row],[SKU]],TablaINVENTARIO[SKU],TablaINVENTARIO[SERIAL])</f>
        <v>N/A</v>
      </c>
      <c r="I361" s="34" t="str">
        <f>_xlfn.XLOOKUP(TablaSTOCKINV[[#This Row],[SKU]],TablaINVENTARIO[SKU],TablaINVENTARIO[ALMACEN])</f>
        <v>ALMACEN PRINCIPAL</v>
      </c>
      <c r="J361" s="34" t="str">
        <f>_xlfn.XLOOKUP(TablaSTOCKINV[[#This Row],[SKU]],TablaINVENTARIO[SKU],TablaINVENTARIO[UBICACION])</f>
        <v>3I</v>
      </c>
      <c r="K361" s="34" t="str">
        <f>_xlfn.XLOOKUP(TablaSTOCKINV[[#This Row],[SKU]],TablaINVENTARIO[SKU],TablaINVENTARIO[DPTO RESPONSABLE])</f>
        <v>OPERACIONES / MANTENIMIENTO</v>
      </c>
      <c r="L361" s="36">
        <f>_xlfn.XLOOKUP(TablaSTOCKINV[[#This Row],[SKU]],TablaINVENTARIO[SKU],TablaINVENTARIO[RANGO MIN])</f>
        <v>0</v>
      </c>
      <c r="M361" s="34" cm="1">
        <f t="array" ref="M361">_xlfn.IFS(TablaSTOCKINV[[#This Row],[CANT. TOTAL]]&lt;=0,1,TablaSTOCKINV[[#This Row],[CANT. TOTAL]]&lt;=TablaSTOCKINV[[#This Row],[MIN]],2,TablaSTOCKINV[[#This Row],[CANT. TOTAL]]&gt;TablaSTOCKINV[[#This Row],[MIN]],3)</f>
        <v>3</v>
      </c>
      <c r="N361" s="34">
        <f>TablaSTOCKINV[[#This Row],[ENTRADAS]]-TablaSTOCKINV[[#This Row],[SALIDAS]]</f>
        <v>8</v>
      </c>
      <c r="O361" s="35">
        <f>SUMIFS(TablaENTRADA[CANT],TablaENTRADA[SKU],TablaSTOCKINV[[#This Row],[SKU]])</f>
        <v>8</v>
      </c>
      <c r="P361" s="35">
        <f>SUMIFS(TablaSALIDA[CANT],TablaSALIDA[SKU],TablaSTOCKINV[[#This Row],[SKU]])</f>
        <v>0</v>
      </c>
      <c r="Q361" s="34">
        <f>_xlfn.XLOOKUP(TablaSTOCKINV[[#This Row],[SKU]],TablaINVENTARIO[SKU],TablaINVENTARIO[PRECIO])</f>
        <v>0</v>
      </c>
      <c r="R361" s="34">
        <f>TablaSTOCKINV[[#This Row],[P.UNITARIO]]*TablaSTOCKINV[[#This Row],[CANT. TOTAL]]</f>
        <v>0</v>
      </c>
      <c r="S361" s="44">
        <f>_xlfn.XLOOKUP(TablaSTOCKINV[[#This Row],[SKU]],TablaINVENTARIO[SKU],TablaINVENTARIO[FECHA INGRESO])</f>
        <v>46023</v>
      </c>
      <c r="T361" s="44">
        <f>_xlfn.XLOOKUP(TablaSTOCKINV[[#This Row],[SKU]],TablaENTRADA[SKU],TablaENTRADA[FECHA],,0,-1)</f>
        <v>46023</v>
      </c>
      <c r="U361" s="46" t="str">
        <f>IFERROR((_xlfn.XLOOKUP(TablaSTOCKINV[[#This Row],[SKU]],TablaSALIDA[SKU],TablaSALIDA[FECHA],,0,-1))," " )</f>
        <v xml:space="preserve"> </v>
      </c>
    </row>
    <row r="362" spans="1:21" x14ac:dyDescent="0.3">
      <c r="A362" s="27" t="s">
        <v>1573</v>
      </c>
      <c r="B362" s="32" t="str">
        <f>_xlfn.XLOOKUP(TablaSTOCKINV[[#This Row],[SKU]],TablaINVENTARIO[SKU],TablaINVENTARIO[DESCRIPCION])</f>
        <v>TIEWRAP NEGRO 16"</v>
      </c>
      <c r="C362" s="32" t="str">
        <f>_xlfn.XLOOKUP(TablaSTOCKINV[[#This Row],[SKU]],TablaINVENTARIO[SKU],TablaINVENTARIO[MARCA])</f>
        <v>N/A</v>
      </c>
      <c r="D362" s="33" t="str">
        <f>_xlfn.XLOOKUP(TablaSTOCKINV[[#This Row],[SKU]],TablaINVENTARIO[SKU],TablaINVENTARIO[CATEGORIA])</f>
        <v>HERRAMIENTAS_</v>
      </c>
      <c r="E362" s="33" t="str">
        <f>_xlfn.XLOOKUP(TablaSTOCKINV[[#This Row],[SKU]],TablaINVENTARIO[SKU],TablaINVENTARIO[SUBCATEGORIA])</f>
        <v xml:space="preserve">MATERIAL DE CONSTRUCCIÓN </v>
      </c>
      <c r="F362" s="33" t="str">
        <f>_xlfn.XLOOKUP(TablaSTOCKINV[[#This Row],[SKU]],TablaINVENTARIO[SKU],TablaINVENTARIO[ESTADO])</f>
        <v xml:space="preserve">NUEVO </v>
      </c>
      <c r="G362" s="33" t="str">
        <f>_xlfn.XLOOKUP(TablaSTOCKINV[[#This Row],[SKU]],TablaINVENTARIO[SKU],TablaINVENTARIO[MEDIDA])</f>
        <v>UND</v>
      </c>
      <c r="H362" s="33" t="str">
        <f>_xlfn.XLOOKUP(TablaSTOCKINV[[#This Row],[SKU]],TablaINVENTARIO[SKU],TablaINVENTARIO[SERIAL])</f>
        <v>N/A</v>
      </c>
      <c r="I362" s="34" t="str">
        <f>_xlfn.XLOOKUP(TablaSTOCKINV[[#This Row],[SKU]],TablaINVENTARIO[SKU],TablaINVENTARIO[ALMACEN])</f>
        <v>ALMACEN PRINCIPAL</v>
      </c>
      <c r="J362" s="34" t="str">
        <f>_xlfn.XLOOKUP(TablaSTOCKINV[[#This Row],[SKU]],TablaINVENTARIO[SKU],TablaINVENTARIO[UBICACION])</f>
        <v>3I</v>
      </c>
      <c r="K362" s="34" t="str">
        <f>_xlfn.XLOOKUP(TablaSTOCKINV[[#This Row],[SKU]],TablaINVENTARIO[SKU],TablaINVENTARIO[DPTO RESPONSABLE])</f>
        <v>OPERACIONES / MANTENIMIENTO</v>
      </c>
      <c r="L362" s="36">
        <f>_xlfn.XLOOKUP(TablaSTOCKINV[[#This Row],[SKU]],TablaINVENTARIO[SKU],TablaINVENTARIO[RANGO MIN])</f>
        <v>0</v>
      </c>
      <c r="M362" s="34" cm="1">
        <f t="array" ref="M362">_xlfn.IFS(TablaSTOCKINV[[#This Row],[CANT. TOTAL]]&lt;=0,1,TablaSTOCKINV[[#This Row],[CANT. TOTAL]]&lt;=TablaSTOCKINV[[#This Row],[MIN]],2,TablaSTOCKINV[[#This Row],[CANT. TOTAL]]&gt;TablaSTOCKINV[[#This Row],[MIN]],3)</f>
        <v>3</v>
      </c>
      <c r="N362" s="34">
        <f>TablaSTOCKINV[[#This Row],[ENTRADAS]]-TablaSTOCKINV[[#This Row],[SALIDAS]]</f>
        <v>15</v>
      </c>
      <c r="O362" s="35">
        <f>SUMIFS(TablaENTRADA[CANT],TablaENTRADA[SKU],TablaSTOCKINV[[#This Row],[SKU]])</f>
        <v>15</v>
      </c>
      <c r="P362" s="35">
        <f>SUMIFS(TablaSALIDA[CANT],TablaSALIDA[SKU],TablaSTOCKINV[[#This Row],[SKU]])</f>
        <v>0</v>
      </c>
      <c r="Q362" s="34">
        <f>_xlfn.XLOOKUP(TablaSTOCKINV[[#This Row],[SKU]],TablaINVENTARIO[SKU],TablaINVENTARIO[PRECIO])</f>
        <v>0</v>
      </c>
      <c r="R362" s="34">
        <f>TablaSTOCKINV[[#This Row],[P.UNITARIO]]*TablaSTOCKINV[[#This Row],[CANT. TOTAL]]</f>
        <v>0</v>
      </c>
      <c r="S362" s="44">
        <f>_xlfn.XLOOKUP(TablaSTOCKINV[[#This Row],[SKU]],TablaINVENTARIO[SKU],TablaINVENTARIO[FECHA INGRESO])</f>
        <v>46023</v>
      </c>
      <c r="T362" s="44">
        <f>_xlfn.XLOOKUP(TablaSTOCKINV[[#This Row],[SKU]],TablaENTRADA[SKU],TablaENTRADA[FECHA],,0,-1)</f>
        <v>46023</v>
      </c>
      <c r="U362" s="46" t="str">
        <f>IFERROR((_xlfn.XLOOKUP(TablaSTOCKINV[[#This Row],[SKU]],TablaSALIDA[SKU],TablaSALIDA[FECHA],,0,-1))," " )</f>
        <v xml:space="preserve"> </v>
      </c>
    </row>
    <row r="363" spans="1:21" x14ac:dyDescent="0.3">
      <c r="A363" s="27" t="s">
        <v>1575</v>
      </c>
      <c r="B363" s="32" t="str">
        <f>_xlfn.XLOOKUP(TablaSTOCKINV[[#This Row],[SKU]],TablaINVENTARIO[SKU],TablaINVENTARIO[DESCRIPCION])</f>
        <v>TIEWRAP NEGRO 4"</v>
      </c>
      <c r="C363" s="32" t="str">
        <f>_xlfn.XLOOKUP(TablaSTOCKINV[[#This Row],[SKU]],TablaINVENTARIO[SKU],TablaINVENTARIO[MARCA])</f>
        <v>N/A</v>
      </c>
      <c r="D363" s="33" t="str">
        <f>_xlfn.XLOOKUP(TablaSTOCKINV[[#This Row],[SKU]],TablaINVENTARIO[SKU],TablaINVENTARIO[CATEGORIA])</f>
        <v>HERRAMIENTAS_</v>
      </c>
      <c r="E363" s="33" t="str">
        <f>_xlfn.XLOOKUP(TablaSTOCKINV[[#This Row],[SKU]],TablaINVENTARIO[SKU],TablaINVENTARIO[SUBCATEGORIA])</f>
        <v xml:space="preserve">MATERIAL DE CONSTRUCCIÓN </v>
      </c>
      <c r="F363" s="33" t="str">
        <f>_xlfn.XLOOKUP(TablaSTOCKINV[[#This Row],[SKU]],TablaINVENTARIO[SKU],TablaINVENTARIO[ESTADO])</f>
        <v xml:space="preserve">NUEVO </v>
      </c>
      <c r="G363" s="33" t="str">
        <f>_xlfn.XLOOKUP(TablaSTOCKINV[[#This Row],[SKU]],TablaINVENTARIO[SKU],TablaINVENTARIO[MEDIDA])</f>
        <v>UND</v>
      </c>
      <c r="H363" s="33" t="str">
        <f>_xlfn.XLOOKUP(TablaSTOCKINV[[#This Row],[SKU]],TablaINVENTARIO[SKU],TablaINVENTARIO[SERIAL])</f>
        <v>N/A</v>
      </c>
      <c r="I363" s="34" t="str">
        <f>_xlfn.XLOOKUP(TablaSTOCKINV[[#This Row],[SKU]],TablaINVENTARIO[SKU],TablaINVENTARIO[ALMACEN])</f>
        <v>ALMACEN PRINCIPAL</v>
      </c>
      <c r="J363" s="34" t="str">
        <f>_xlfn.XLOOKUP(TablaSTOCKINV[[#This Row],[SKU]],TablaINVENTARIO[SKU],TablaINVENTARIO[UBICACION])</f>
        <v>3I</v>
      </c>
      <c r="K363" s="34" t="str">
        <f>_xlfn.XLOOKUP(TablaSTOCKINV[[#This Row],[SKU]],TablaINVENTARIO[SKU],TablaINVENTARIO[DPTO RESPONSABLE])</f>
        <v>OPERACIONES / MANTENIMIENTO</v>
      </c>
      <c r="L363" s="36">
        <f>_xlfn.XLOOKUP(TablaSTOCKINV[[#This Row],[SKU]],TablaINVENTARIO[SKU],TablaINVENTARIO[RANGO MIN])</f>
        <v>0</v>
      </c>
      <c r="M363" s="34" cm="1">
        <f t="array" ref="M363">_xlfn.IFS(TablaSTOCKINV[[#This Row],[CANT. TOTAL]]&lt;=0,1,TablaSTOCKINV[[#This Row],[CANT. TOTAL]]&lt;=TablaSTOCKINV[[#This Row],[MIN]],2,TablaSTOCKINV[[#This Row],[CANT. TOTAL]]&gt;TablaSTOCKINV[[#This Row],[MIN]],3)</f>
        <v>3</v>
      </c>
      <c r="N363" s="34">
        <f>TablaSTOCKINV[[#This Row],[ENTRADAS]]-TablaSTOCKINV[[#This Row],[SALIDAS]]</f>
        <v>321</v>
      </c>
      <c r="O363" s="35">
        <f>SUMIFS(TablaENTRADA[CANT],TablaENTRADA[SKU],TablaSTOCKINV[[#This Row],[SKU]])</f>
        <v>321</v>
      </c>
      <c r="P363" s="35">
        <f>SUMIFS(TablaSALIDA[CANT],TablaSALIDA[SKU],TablaSTOCKINV[[#This Row],[SKU]])</f>
        <v>0</v>
      </c>
      <c r="Q363" s="34">
        <f>_xlfn.XLOOKUP(TablaSTOCKINV[[#This Row],[SKU]],TablaINVENTARIO[SKU],TablaINVENTARIO[PRECIO])</f>
        <v>0</v>
      </c>
      <c r="R363" s="34">
        <f>TablaSTOCKINV[[#This Row],[P.UNITARIO]]*TablaSTOCKINV[[#This Row],[CANT. TOTAL]]</f>
        <v>0</v>
      </c>
      <c r="S363" s="44">
        <f>_xlfn.XLOOKUP(TablaSTOCKINV[[#This Row],[SKU]],TablaINVENTARIO[SKU],TablaINVENTARIO[FECHA INGRESO])</f>
        <v>46023</v>
      </c>
      <c r="T363" s="44">
        <f>_xlfn.XLOOKUP(TablaSTOCKINV[[#This Row],[SKU]],TablaENTRADA[SKU],TablaENTRADA[FECHA],,0,-1)</f>
        <v>46023</v>
      </c>
      <c r="U363" s="46" t="str">
        <f>IFERROR((_xlfn.XLOOKUP(TablaSTOCKINV[[#This Row],[SKU]],TablaSALIDA[SKU],TablaSALIDA[FECHA],,0,-1))," " )</f>
        <v xml:space="preserve"> </v>
      </c>
    </row>
    <row r="364" spans="1:21" x14ac:dyDescent="0.3">
      <c r="A364" s="27" t="s">
        <v>1577</v>
      </c>
      <c r="B364" s="32" t="str">
        <f>_xlfn.XLOOKUP(TablaSTOCKINV[[#This Row],[SKU]],TablaINVENTARIO[SKU],TablaINVENTARIO[DESCRIPCION])</f>
        <v xml:space="preserve">RESISTENCIA ELECTRICA </v>
      </c>
      <c r="C364" s="32" t="str">
        <f>_xlfn.XLOOKUP(TablaSTOCKINV[[#This Row],[SKU]],TablaINVENTARIO[SKU],TablaINVENTARIO[MARCA])</f>
        <v>N/A</v>
      </c>
      <c r="D364" s="33" t="str">
        <f>_xlfn.XLOOKUP(TablaSTOCKINV[[#This Row],[SKU]],TablaINVENTARIO[SKU],TablaINVENTARIO[CATEGORIA])</f>
        <v>HERRAMIENTAS_</v>
      </c>
      <c r="E364" s="33" t="str">
        <f>_xlfn.XLOOKUP(TablaSTOCKINV[[#This Row],[SKU]],TablaINVENTARIO[SKU],TablaINVENTARIO[SUBCATEGORIA])</f>
        <v>MATERIAL ELECTRICO</v>
      </c>
      <c r="F364" s="33" t="str">
        <f>_xlfn.XLOOKUP(TablaSTOCKINV[[#This Row],[SKU]],TablaINVENTARIO[SKU],TablaINVENTARIO[ESTADO])</f>
        <v xml:space="preserve">NUEVO </v>
      </c>
      <c r="G364" s="33" t="str">
        <f>_xlfn.XLOOKUP(TablaSTOCKINV[[#This Row],[SKU]],TablaINVENTARIO[SKU],TablaINVENTARIO[MEDIDA])</f>
        <v>UND</v>
      </c>
      <c r="H364" s="33" t="str">
        <f>_xlfn.XLOOKUP(TablaSTOCKINV[[#This Row],[SKU]],TablaINVENTARIO[SKU],TablaINVENTARIO[SERIAL])</f>
        <v>N/A</v>
      </c>
      <c r="I364" s="34" t="str">
        <f>_xlfn.XLOOKUP(TablaSTOCKINV[[#This Row],[SKU]],TablaINVENTARIO[SKU],TablaINVENTARIO[ALMACEN])</f>
        <v>ALMACEN PRINCIPAL</v>
      </c>
      <c r="J364" s="34" t="str">
        <f>_xlfn.XLOOKUP(TablaSTOCKINV[[#This Row],[SKU]],TablaINVENTARIO[SKU],TablaINVENTARIO[UBICACION])</f>
        <v>3I</v>
      </c>
      <c r="K364" s="34" t="str">
        <f>_xlfn.XLOOKUP(TablaSTOCKINV[[#This Row],[SKU]],TablaINVENTARIO[SKU],TablaINVENTARIO[DPTO RESPONSABLE])</f>
        <v>OPERACIONES / MANTENIMIENTO</v>
      </c>
      <c r="L364" s="36">
        <f>_xlfn.XLOOKUP(TablaSTOCKINV[[#This Row],[SKU]],TablaINVENTARIO[SKU],TablaINVENTARIO[RANGO MIN])</f>
        <v>0</v>
      </c>
      <c r="M364" s="34" cm="1">
        <f t="array" ref="M364">_xlfn.IFS(TablaSTOCKINV[[#This Row],[CANT. TOTAL]]&lt;=0,1,TablaSTOCKINV[[#This Row],[CANT. TOTAL]]&lt;=TablaSTOCKINV[[#This Row],[MIN]],2,TablaSTOCKINV[[#This Row],[CANT. TOTAL]]&gt;TablaSTOCKINV[[#This Row],[MIN]],3)</f>
        <v>3</v>
      </c>
      <c r="N364" s="34">
        <f>TablaSTOCKINV[[#This Row],[ENTRADAS]]-TablaSTOCKINV[[#This Row],[SALIDAS]]</f>
        <v>1</v>
      </c>
      <c r="O364" s="35">
        <f>SUMIFS(TablaENTRADA[CANT],TablaENTRADA[SKU],TablaSTOCKINV[[#This Row],[SKU]])</f>
        <v>1</v>
      </c>
      <c r="P364" s="35">
        <f>SUMIFS(TablaSALIDA[CANT],TablaSALIDA[SKU],TablaSTOCKINV[[#This Row],[SKU]])</f>
        <v>0</v>
      </c>
      <c r="Q364" s="34">
        <f>_xlfn.XLOOKUP(TablaSTOCKINV[[#This Row],[SKU]],TablaINVENTARIO[SKU],TablaINVENTARIO[PRECIO])</f>
        <v>0</v>
      </c>
      <c r="R364" s="34">
        <f>TablaSTOCKINV[[#This Row],[P.UNITARIO]]*TablaSTOCKINV[[#This Row],[CANT. TOTAL]]</f>
        <v>0</v>
      </c>
      <c r="S364" s="44">
        <f>_xlfn.XLOOKUP(TablaSTOCKINV[[#This Row],[SKU]],TablaINVENTARIO[SKU],TablaINVENTARIO[FECHA INGRESO])</f>
        <v>46023</v>
      </c>
      <c r="T364" s="44">
        <f>_xlfn.XLOOKUP(TablaSTOCKINV[[#This Row],[SKU]],TablaENTRADA[SKU],TablaENTRADA[FECHA],,0,-1)</f>
        <v>46023</v>
      </c>
      <c r="U364" s="46" t="str">
        <f>IFERROR((_xlfn.XLOOKUP(TablaSTOCKINV[[#This Row],[SKU]],TablaSALIDA[SKU],TablaSALIDA[FECHA],,0,-1))," " )</f>
        <v xml:space="preserve"> </v>
      </c>
    </row>
    <row r="365" spans="1:21" x14ac:dyDescent="0.3">
      <c r="A365" s="27" t="s">
        <v>1579</v>
      </c>
      <c r="B365" s="32" t="str">
        <f>_xlfn.XLOOKUP(TablaSTOCKINV[[#This Row],[SKU]],TablaINVENTARIO[SKU],TablaINVENTARIO[DESCRIPCION])</f>
        <v xml:space="preserve">ESPONJA MAGICA </v>
      </c>
      <c r="C365" s="32" t="str">
        <f>_xlfn.XLOOKUP(TablaSTOCKINV[[#This Row],[SKU]],TablaINVENTARIO[SKU],TablaINVENTARIO[MARCA])</f>
        <v>BOSQUE VERDE</v>
      </c>
      <c r="D365" s="33" t="str">
        <f>_xlfn.XLOOKUP(TablaSTOCKINV[[#This Row],[SKU]],TablaINVENTARIO[SKU],TablaINVENTARIO[CATEGORIA])</f>
        <v>HERRAMIENTAS_</v>
      </c>
      <c r="E365" s="33" t="str">
        <f>_xlfn.XLOOKUP(TablaSTOCKINV[[#This Row],[SKU]],TablaINVENTARIO[SKU],TablaINVENTARIO[SUBCATEGORIA])</f>
        <v xml:space="preserve">MATERIAL DE CONSTRUCCIÓN </v>
      </c>
      <c r="F365" s="33" t="str">
        <f>_xlfn.XLOOKUP(TablaSTOCKINV[[#This Row],[SKU]],TablaINVENTARIO[SKU],TablaINVENTARIO[ESTADO])</f>
        <v xml:space="preserve">NUEVO </v>
      </c>
      <c r="G365" s="33" t="str">
        <f>_xlfn.XLOOKUP(TablaSTOCKINV[[#This Row],[SKU]],TablaINVENTARIO[SKU],TablaINVENTARIO[MEDIDA])</f>
        <v>UND</v>
      </c>
      <c r="H365" s="33" t="str">
        <f>_xlfn.XLOOKUP(TablaSTOCKINV[[#This Row],[SKU]],TablaINVENTARIO[SKU],TablaINVENTARIO[SERIAL])</f>
        <v>N/A</v>
      </c>
      <c r="I365" s="34" t="str">
        <f>_xlfn.XLOOKUP(TablaSTOCKINV[[#This Row],[SKU]],TablaINVENTARIO[SKU],TablaINVENTARIO[ALMACEN])</f>
        <v>ALMACEN PRINCIPAL</v>
      </c>
      <c r="J365" s="34" t="str">
        <f>_xlfn.XLOOKUP(TablaSTOCKINV[[#This Row],[SKU]],TablaINVENTARIO[SKU],TablaINVENTARIO[UBICACION])</f>
        <v>3I</v>
      </c>
      <c r="K365" s="34" t="str">
        <f>_xlfn.XLOOKUP(TablaSTOCKINV[[#This Row],[SKU]],TablaINVENTARIO[SKU],TablaINVENTARIO[DPTO RESPONSABLE])</f>
        <v>OPERACIONES / MANTENIMIENTO</v>
      </c>
      <c r="L365" s="36">
        <f>_xlfn.XLOOKUP(TablaSTOCKINV[[#This Row],[SKU]],TablaINVENTARIO[SKU],TablaINVENTARIO[RANGO MIN])</f>
        <v>0</v>
      </c>
      <c r="M365" s="34" cm="1">
        <f t="array" ref="M365">_xlfn.IFS(TablaSTOCKINV[[#This Row],[CANT. TOTAL]]&lt;=0,1,TablaSTOCKINV[[#This Row],[CANT. TOTAL]]&lt;=TablaSTOCKINV[[#This Row],[MIN]],2,TablaSTOCKINV[[#This Row],[CANT. TOTAL]]&gt;TablaSTOCKINV[[#This Row],[MIN]],3)</f>
        <v>3</v>
      </c>
      <c r="N365" s="34">
        <f>TablaSTOCKINV[[#This Row],[ENTRADAS]]-TablaSTOCKINV[[#This Row],[SALIDAS]]</f>
        <v>3</v>
      </c>
      <c r="O365" s="35">
        <f>SUMIFS(TablaENTRADA[CANT],TablaENTRADA[SKU],TablaSTOCKINV[[#This Row],[SKU]])</f>
        <v>3</v>
      </c>
      <c r="P365" s="35">
        <f>SUMIFS(TablaSALIDA[CANT],TablaSALIDA[SKU],TablaSTOCKINV[[#This Row],[SKU]])</f>
        <v>0</v>
      </c>
      <c r="Q365" s="34">
        <f>_xlfn.XLOOKUP(TablaSTOCKINV[[#This Row],[SKU]],TablaINVENTARIO[SKU],TablaINVENTARIO[PRECIO])</f>
        <v>0</v>
      </c>
      <c r="R365" s="34">
        <f>TablaSTOCKINV[[#This Row],[P.UNITARIO]]*TablaSTOCKINV[[#This Row],[CANT. TOTAL]]</f>
        <v>0</v>
      </c>
      <c r="S365" s="44">
        <f>_xlfn.XLOOKUP(TablaSTOCKINV[[#This Row],[SKU]],TablaINVENTARIO[SKU],TablaINVENTARIO[FECHA INGRESO])</f>
        <v>46023</v>
      </c>
      <c r="T365" s="44">
        <f>_xlfn.XLOOKUP(TablaSTOCKINV[[#This Row],[SKU]],TablaENTRADA[SKU],TablaENTRADA[FECHA],,0,-1)</f>
        <v>46023</v>
      </c>
      <c r="U365" s="46" t="str">
        <f>IFERROR((_xlfn.XLOOKUP(TablaSTOCKINV[[#This Row],[SKU]],TablaSALIDA[SKU],TablaSALIDA[FECHA],,0,-1))," " )</f>
        <v xml:space="preserve"> </v>
      </c>
    </row>
    <row r="366" spans="1:21" x14ac:dyDescent="0.3">
      <c r="A366" s="27" t="s">
        <v>1582</v>
      </c>
      <c r="B366" s="32" t="str">
        <f>_xlfn.XLOOKUP(TablaSTOCKINV[[#This Row],[SKU]],TablaINVENTARIO[SKU],TablaINVENTARIO[DESCRIPCION])</f>
        <v xml:space="preserve">ESPONJA ABRASIVA GRANO FINO </v>
      </c>
      <c r="C366" s="32" t="str">
        <f>_xlfn.XLOOKUP(TablaSTOCKINV[[#This Row],[SKU]],TablaINVENTARIO[SKU],TablaINVENTARIO[MARCA])</f>
        <v>BOSQUE VERDE</v>
      </c>
      <c r="D366" s="33" t="str">
        <f>_xlfn.XLOOKUP(TablaSTOCKINV[[#This Row],[SKU]],TablaINVENTARIO[SKU],TablaINVENTARIO[CATEGORIA])</f>
        <v>HERRAMIENTAS_</v>
      </c>
      <c r="E366" s="33" t="str">
        <f>_xlfn.XLOOKUP(TablaSTOCKINV[[#This Row],[SKU]],TablaINVENTARIO[SKU],TablaINVENTARIO[SUBCATEGORIA])</f>
        <v xml:space="preserve">MATERIAL DE CONSTRUCCIÓN </v>
      </c>
      <c r="F366" s="33" t="str">
        <f>_xlfn.XLOOKUP(TablaSTOCKINV[[#This Row],[SKU]],TablaINVENTARIO[SKU],TablaINVENTARIO[ESTADO])</f>
        <v xml:space="preserve">NUEVO </v>
      </c>
      <c r="G366" s="33" t="str">
        <f>_xlfn.XLOOKUP(TablaSTOCKINV[[#This Row],[SKU]],TablaINVENTARIO[SKU],TablaINVENTARIO[MEDIDA])</f>
        <v>UND</v>
      </c>
      <c r="H366" s="33" t="str">
        <f>_xlfn.XLOOKUP(TablaSTOCKINV[[#This Row],[SKU]],TablaINVENTARIO[SKU],TablaINVENTARIO[SERIAL])</f>
        <v>N/A</v>
      </c>
      <c r="I366" s="34" t="str">
        <f>_xlfn.XLOOKUP(TablaSTOCKINV[[#This Row],[SKU]],TablaINVENTARIO[SKU],TablaINVENTARIO[ALMACEN])</f>
        <v>ALMACEN PRINCIPAL</v>
      </c>
      <c r="J366" s="34" t="str">
        <f>_xlfn.XLOOKUP(TablaSTOCKINV[[#This Row],[SKU]],TablaINVENTARIO[SKU],TablaINVENTARIO[UBICACION])</f>
        <v>3I</v>
      </c>
      <c r="K366" s="34" t="str">
        <f>_xlfn.XLOOKUP(TablaSTOCKINV[[#This Row],[SKU]],TablaINVENTARIO[SKU],TablaINVENTARIO[DPTO RESPONSABLE])</f>
        <v>OPERACIONES / MANTENIMIENTO</v>
      </c>
      <c r="L366" s="36">
        <f>_xlfn.XLOOKUP(TablaSTOCKINV[[#This Row],[SKU]],TablaINVENTARIO[SKU],TablaINVENTARIO[RANGO MIN])</f>
        <v>0</v>
      </c>
      <c r="M366" s="34" cm="1">
        <f t="array" ref="M366">_xlfn.IFS(TablaSTOCKINV[[#This Row],[CANT. TOTAL]]&lt;=0,1,TablaSTOCKINV[[#This Row],[CANT. TOTAL]]&lt;=TablaSTOCKINV[[#This Row],[MIN]],2,TablaSTOCKINV[[#This Row],[CANT. TOTAL]]&gt;TablaSTOCKINV[[#This Row],[MIN]],3)</f>
        <v>3</v>
      </c>
      <c r="N366" s="34">
        <f>TablaSTOCKINV[[#This Row],[ENTRADAS]]-TablaSTOCKINV[[#This Row],[SALIDAS]]</f>
        <v>4</v>
      </c>
      <c r="O366" s="35">
        <f>SUMIFS(TablaENTRADA[CANT],TablaENTRADA[SKU],TablaSTOCKINV[[#This Row],[SKU]])</f>
        <v>4</v>
      </c>
      <c r="P366" s="35">
        <f>SUMIFS(TablaSALIDA[CANT],TablaSALIDA[SKU],TablaSTOCKINV[[#This Row],[SKU]])</f>
        <v>0</v>
      </c>
      <c r="Q366" s="34">
        <f>_xlfn.XLOOKUP(TablaSTOCKINV[[#This Row],[SKU]],TablaINVENTARIO[SKU],TablaINVENTARIO[PRECIO])</f>
        <v>0</v>
      </c>
      <c r="R366" s="34">
        <f>TablaSTOCKINV[[#This Row],[P.UNITARIO]]*TablaSTOCKINV[[#This Row],[CANT. TOTAL]]</f>
        <v>0</v>
      </c>
      <c r="S366" s="44">
        <f>_xlfn.XLOOKUP(TablaSTOCKINV[[#This Row],[SKU]],TablaINVENTARIO[SKU],TablaINVENTARIO[FECHA INGRESO])</f>
        <v>46023</v>
      </c>
      <c r="T366" s="44">
        <f>_xlfn.XLOOKUP(TablaSTOCKINV[[#This Row],[SKU]],TablaENTRADA[SKU],TablaENTRADA[FECHA],,0,-1)</f>
        <v>46023</v>
      </c>
      <c r="U366" s="46" t="str">
        <f>IFERROR((_xlfn.XLOOKUP(TablaSTOCKINV[[#This Row],[SKU]],TablaSALIDA[SKU],TablaSALIDA[FECHA],,0,-1))," " )</f>
        <v xml:space="preserve"> </v>
      </c>
    </row>
    <row r="367" spans="1:21" x14ac:dyDescent="0.3">
      <c r="A367" s="27" t="s">
        <v>1584</v>
      </c>
      <c r="B367" s="32" t="str">
        <f>_xlfn.XLOOKUP(TablaSTOCKINV[[#This Row],[SKU]],TablaINVENTARIO[SKU],TablaINVENTARIO[DESCRIPCION])</f>
        <v>LIJA 150</v>
      </c>
      <c r="C367" s="32" t="str">
        <f>_xlfn.XLOOKUP(TablaSTOCKINV[[#This Row],[SKU]],TablaINVENTARIO[SKU],TablaINVENTARIO[MARCA])</f>
        <v>N/A</v>
      </c>
      <c r="D367" s="33" t="str">
        <f>_xlfn.XLOOKUP(TablaSTOCKINV[[#This Row],[SKU]],TablaINVENTARIO[SKU],TablaINVENTARIO[CATEGORIA])</f>
        <v>HERRAMIENTAS_</v>
      </c>
      <c r="E367" s="33" t="str">
        <f>_xlfn.XLOOKUP(TablaSTOCKINV[[#This Row],[SKU]],TablaINVENTARIO[SKU],TablaINVENTARIO[SUBCATEGORIA])</f>
        <v xml:space="preserve">MATERIAL DE CONSTRUCCIÓN </v>
      </c>
      <c r="F367" s="33" t="str">
        <f>_xlfn.XLOOKUP(TablaSTOCKINV[[#This Row],[SKU]],TablaINVENTARIO[SKU],TablaINVENTARIO[ESTADO])</f>
        <v xml:space="preserve">NUEVO </v>
      </c>
      <c r="G367" s="33" t="str">
        <f>_xlfn.XLOOKUP(TablaSTOCKINV[[#This Row],[SKU]],TablaINVENTARIO[SKU],TablaINVENTARIO[MEDIDA])</f>
        <v>UND</v>
      </c>
      <c r="H367" s="33" t="str">
        <f>_xlfn.XLOOKUP(TablaSTOCKINV[[#This Row],[SKU]],TablaINVENTARIO[SKU],TablaINVENTARIO[SERIAL])</f>
        <v>N/A</v>
      </c>
      <c r="I367" s="34" t="str">
        <f>_xlfn.XLOOKUP(TablaSTOCKINV[[#This Row],[SKU]],TablaINVENTARIO[SKU],TablaINVENTARIO[ALMACEN])</f>
        <v>ALMACEN PRINCIPAL</v>
      </c>
      <c r="J367" s="34" t="str">
        <f>_xlfn.XLOOKUP(TablaSTOCKINV[[#This Row],[SKU]],TablaINVENTARIO[SKU],TablaINVENTARIO[UBICACION])</f>
        <v>3G</v>
      </c>
      <c r="K367" s="34" t="str">
        <f>_xlfn.XLOOKUP(TablaSTOCKINV[[#This Row],[SKU]],TablaINVENTARIO[SKU],TablaINVENTARIO[DPTO RESPONSABLE])</f>
        <v>OPERACIONES / MANTENIMIENTO</v>
      </c>
      <c r="L367" s="36">
        <f>_xlfn.XLOOKUP(TablaSTOCKINV[[#This Row],[SKU]],TablaINVENTARIO[SKU],TablaINVENTARIO[RANGO MIN])</f>
        <v>0</v>
      </c>
      <c r="M367" s="34" cm="1">
        <f t="array" ref="M367">_xlfn.IFS(TablaSTOCKINV[[#This Row],[CANT. TOTAL]]&lt;=0,1,TablaSTOCKINV[[#This Row],[CANT. TOTAL]]&lt;=TablaSTOCKINV[[#This Row],[MIN]],2,TablaSTOCKINV[[#This Row],[CANT. TOTAL]]&gt;TablaSTOCKINV[[#This Row],[MIN]],3)</f>
        <v>3</v>
      </c>
      <c r="N367" s="34">
        <f>TablaSTOCKINV[[#This Row],[ENTRADAS]]-TablaSTOCKINV[[#This Row],[SALIDAS]]</f>
        <v>67</v>
      </c>
      <c r="O367" s="35">
        <f>SUMIFS(TablaENTRADA[CANT],TablaENTRADA[SKU],TablaSTOCKINV[[#This Row],[SKU]])</f>
        <v>67</v>
      </c>
      <c r="P367" s="35">
        <f>SUMIFS(TablaSALIDA[CANT],TablaSALIDA[SKU],TablaSTOCKINV[[#This Row],[SKU]])</f>
        <v>0</v>
      </c>
      <c r="Q367" s="34">
        <f>_xlfn.XLOOKUP(TablaSTOCKINV[[#This Row],[SKU]],TablaINVENTARIO[SKU],TablaINVENTARIO[PRECIO])</f>
        <v>0</v>
      </c>
      <c r="R367" s="34">
        <f>TablaSTOCKINV[[#This Row],[P.UNITARIO]]*TablaSTOCKINV[[#This Row],[CANT. TOTAL]]</f>
        <v>0</v>
      </c>
      <c r="S367" s="44">
        <f>_xlfn.XLOOKUP(TablaSTOCKINV[[#This Row],[SKU]],TablaINVENTARIO[SKU],TablaINVENTARIO[FECHA INGRESO])</f>
        <v>46023</v>
      </c>
      <c r="T367" s="44">
        <f>_xlfn.XLOOKUP(TablaSTOCKINV[[#This Row],[SKU]],TablaENTRADA[SKU],TablaENTRADA[FECHA],,0,-1)</f>
        <v>46023</v>
      </c>
      <c r="U367" s="46" t="str">
        <f>IFERROR((_xlfn.XLOOKUP(TablaSTOCKINV[[#This Row],[SKU]],TablaSALIDA[SKU],TablaSALIDA[FECHA],,0,-1))," " )</f>
        <v xml:space="preserve"> </v>
      </c>
    </row>
    <row r="368" spans="1:21" x14ac:dyDescent="0.3">
      <c r="A368" s="27" t="s">
        <v>1587</v>
      </c>
      <c r="B368" s="32" t="str">
        <f>_xlfn.XLOOKUP(TablaSTOCKINV[[#This Row],[SKU]],TablaINVENTARIO[SKU],TablaINVENTARIO[DESCRIPCION])</f>
        <v>LIJA 1200</v>
      </c>
      <c r="C368" s="32" t="str">
        <f>_xlfn.XLOOKUP(TablaSTOCKINV[[#This Row],[SKU]],TablaINVENTARIO[SKU],TablaINVENTARIO[MARCA])</f>
        <v>N/A</v>
      </c>
      <c r="D368" s="33" t="str">
        <f>_xlfn.XLOOKUP(TablaSTOCKINV[[#This Row],[SKU]],TablaINVENTARIO[SKU],TablaINVENTARIO[CATEGORIA])</f>
        <v>HERRAMIENTAS_</v>
      </c>
      <c r="E368" s="33" t="str">
        <f>_xlfn.XLOOKUP(TablaSTOCKINV[[#This Row],[SKU]],TablaINVENTARIO[SKU],TablaINVENTARIO[SUBCATEGORIA])</f>
        <v xml:space="preserve">MATERIAL DE CONSTRUCCIÓN </v>
      </c>
      <c r="F368" s="33" t="str">
        <f>_xlfn.XLOOKUP(TablaSTOCKINV[[#This Row],[SKU]],TablaINVENTARIO[SKU],TablaINVENTARIO[ESTADO])</f>
        <v xml:space="preserve">NUEVO </v>
      </c>
      <c r="G368" s="33" t="str">
        <f>_xlfn.XLOOKUP(TablaSTOCKINV[[#This Row],[SKU]],TablaINVENTARIO[SKU],TablaINVENTARIO[MEDIDA])</f>
        <v>UND</v>
      </c>
      <c r="H368" s="33" t="str">
        <f>_xlfn.XLOOKUP(TablaSTOCKINV[[#This Row],[SKU]],TablaINVENTARIO[SKU],TablaINVENTARIO[SERIAL])</f>
        <v>N/A</v>
      </c>
      <c r="I368" s="34" t="str">
        <f>_xlfn.XLOOKUP(TablaSTOCKINV[[#This Row],[SKU]],TablaINVENTARIO[SKU],TablaINVENTARIO[ALMACEN])</f>
        <v>ALMACEN PRINCIPAL</v>
      </c>
      <c r="J368" s="34" t="str">
        <f>_xlfn.XLOOKUP(TablaSTOCKINV[[#This Row],[SKU]],TablaINVENTARIO[SKU],TablaINVENTARIO[UBICACION])</f>
        <v>3G</v>
      </c>
      <c r="K368" s="34" t="str">
        <f>_xlfn.XLOOKUP(TablaSTOCKINV[[#This Row],[SKU]],TablaINVENTARIO[SKU],TablaINVENTARIO[DPTO RESPONSABLE])</f>
        <v>OPERACIONES / MANTENIMIENTO</v>
      </c>
      <c r="L368" s="36">
        <f>_xlfn.XLOOKUP(TablaSTOCKINV[[#This Row],[SKU]],TablaINVENTARIO[SKU],TablaINVENTARIO[RANGO MIN])</f>
        <v>0</v>
      </c>
      <c r="M368" s="34" cm="1">
        <f t="array" ref="M368">_xlfn.IFS(TablaSTOCKINV[[#This Row],[CANT. TOTAL]]&lt;=0,1,TablaSTOCKINV[[#This Row],[CANT. TOTAL]]&lt;=TablaSTOCKINV[[#This Row],[MIN]],2,TablaSTOCKINV[[#This Row],[CANT. TOTAL]]&gt;TablaSTOCKINV[[#This Row],[MIN]],3)</f>
        <v>3</v>
      </c>
      <c r="N368" s="34">
        <f>TablaSTOCKINV[[#This Row],[ENTRADAS]]-TablaSTOCKINV[[#This Row],[SALIDAS]]</f>
        <v>97</v>
      </c>
      <c r="O368" s="35">
        <f>SUMIFS(TablaENTRADA[CANT],TablaENTRADA[SKU],TablaSTOCKINV[[#This Row],[SKU]])</f>
        <v>97</v>
      </c>
      <c r="P368" s="35">
        <f>SUMIFS(TablaSALIDA[CANT],TablaSALIDA[SKU],TablaSTOCKINV[[#This Row],[SKU]])</f>
        <v>0</v>
      </c>
      <c r="Q368" s="34">
        <f>_xlfn.XLOOKUP(TablaSTOCKINV[[#This Row],[SKU]],TablaINVENTARIO[SKU],TablaINVENTARIO[PRECIO])</f>
        <v>0</v>
      </c>
      <c r="R368" s="34">
        <f>TablaSTOCKINV[[#This Row],[P.UNITARIO]]*TablaSTOCKINV[[#This Row],[CANT. TOTAL]]</f>
        <v>0</v>
      </c>
      <c r="S368" s="44">
        <f>_xlfn.XLOOKUP(TablaSTOCKINV[[#This Row],[SKU]],TablaINVENTARIO[SKU],TablaINVENTARIO[FECHA INGRESO])</f>
        <v>46023</v>
      </c>
      <c r="T368" s="44">
        <f>_xlfn.XLOOKUP(TablaSTOCKINV[[#This Row],[SKU]],TablaENTRADA[SKU],TablaENTRADA[FECHA],,0,-1)</f>
        <v>46023</v>
      </c>
      <c r="U368" s="46" t="str">
        <f>IFERROR((_xlfn.XLOOKUP(TablaSTOCKINV[[#This Row],[SKU]],TablaSALIDA[SKU],TablaSALIDA[FECHA],,0,-1))," " )</f>
        <v xml:space="preserve"> </v>
      </c>
    </row>
    <row r="369" spans="1:21" x14ac:dyDescent="0.3">
      <c r="A369" s="27" t="s">
        <v>1589</v>
      </c>
      <c r="B369" s="32" t="str">
        <f>_xlfn.XLOOKUP(TablaSTOCKINV[[#This Row],[SKU]],TablaINVENTARIO[SKU],TablaINVENTARIO[DESCRIPCION])</f>
        <v>LIJA 120</v>
      </c>
      <c r="C369" s="32" t="str">
        <f>_xlfn.XLOOKUP(TablaSTOCKINV[[#This Row],[SKU]],TablaINVENTARIO[SKU],TablaINVENTARIO[MARCA])</f>
        <v>N/A</v>
      </c>
      <c r="D369" s="33" t="str">
        <f>_xlfn.XLOOKUP(TablaSTOCKINV[[#This Row],[SKU]],TablaINVENTARIO[SKU],TablaINVENTARIO[CATEGORIA])</f>
        <v>HERRAMIENTAS_</v>
      </c>
      <c r="E369" s="33" t="str">
        <f>_xlfn.XLOOKUP(TablaSTOCKINV[[#This Row],[SKU]],TablaINVENTARIO[SKU],TablaINVENTARIO[SUBCATEGORIA])</f>
        <v xml:space="preserve">MATERIAL DE CONSTRUCCIÓN </v>
      </c>
      <c r="F369" s="33" t="str">
        <f>_xlfn.XLOOKUP(TablaSTOCKINV[[#This Row],[SKU]],TablaINVENTARIO[SKU],TablaINVENTARIO[ESTADO])</f>
        <v xml:space="preserve">NUEVO </v>
      </c>
      <c r="G369" s="33" t="str">
        <f>_xlfn.XLOOKUP(TablaSTOCKINV[[#This Row],[SKU]],TablaINVENTARIO[SKU],TablaINVENTARIO[MEDIDA])</f>
        <v>UND</v>
      </c>
      <c r="H369" s="33" t="str">
        <f>_xlfn.XLOOKUP(TablaSTOCKINV[[#This Row],[SKU]],TablaINVENTARIO[SKU],TablaINVENTARIO[SERIAL])</f>
        <v>N/A</v>
      </c>
      <c r="I369" s="34" t="str">
        <f>_xlfn.XLOOKUP(TablaSTOCKINV[[#This Row],[SKU]],TablaINVENTARIO[SKU],TablaINVENTARIO[ALMACEN])</f>
        <v>ALMACEN PRINCIPAL</v>
      </c>
      <c r="J369" s="34" t="str">
        <f>_xlfn.XLOOKUP(TablaSTOCKINV[[#This Row],[SKU]],TablaINVENTARIO[SKU],TablaINVENTARIO[UBICACION])</f>
        <v>3G</v>
      </c>
      <c r="K369" s="34" t="str">
        <f>_xlfn.XLOOKUP(TablaSTOCKINV[[#This Row],[SKU]],TablaINVENTARIO[SKU],TablaINVENTARIO[DPTO RESPONSABLE])</f>
        <v>OPERACIONES / MANTENIMIENTO</v>
      </c>
      <c r="L369" s="36">
        <f>_xlfn.XLOOKUP(TablaSTOCKINV[[#This Row],[SKU]],TablaINVENTARIO[SKU],TablaINVENTARIO[RANGO MIN])</f>
        <v>0</v>
      </c>
      <c r="M369" s="34" cm="1">
        <f t="array" ref="M369">_xlfn.IFS(TablaSTOCKINV[[#This Row],[CANT. TOTAL]]&lt;=0,1,TablaSTOCKINV[[#This Row],[CANT. TOTAL]]&lt;=TablaSTOCKINV[[#This Row],[MIN]],2,TablaSTOCKINV[[#This Row],[CANT. TOTAL]]&gt;TablaSTOCKINV[[#This Row],[MIN]],3)</f>
        <v>3</v>
      </c>
      <c r="N369" s="34">
        <f>TablaSTOCKINV[[#This Row],[ENTRADAS]]-TablaSTOCKINV[[#This Row],[SALIDAS]]</f>
        <v>73</v>
      </c>
      <c r="O369" s="35">
        <f>SUMIFS(TablaENTRADA[CANT],TablaENTRADA[SKU],TablaSTOCKINV[[#This Row],[SKU]])</f>
        <v>73</v>
      </c>
      <c r="P369" s="35">
        <f>SUMIFS(TablaSALIDA[CANT],TablaSALIDA[SKU],TablaSTOCKINV[[#This Row],[SKU]])</f>
        <v>0</v>
      </c>
      <c r="Q369" s="34">
        <f>_xlfn.XLOOKUP(TablaSTOCKINV[[#This Row],[SKU]],TablaINVENTARIO[SKU],TablaINVENTARIO[PRECIO])</f>
        <v>0</v>
      </c>
      <c r="R369" s="34">
        <f>TablaSTOCKINV[[#This Row],[P.UNITARIO]]*TablaSTOCKINV[[#This Row],[CANT. TOTAL]]</f>
        <v>0</v>
      </c>
      <c r="S369" s="44">
        <f>_xlfn.XLOOKUP(TablaSTOCKINV[[#This Row],[SKU]],TablaINVENTARIO[SKU],TablaINVENTARIO[FECHA INGRESO])</f>
        <v>46023</v>
      </c>
      <c r="T369" s="44">
        <f>_xlfn.XLOOKUP(TablaSTOCKINV[[#This Row],[SKU]],TablaENTRADA[SKU],TablaENTRADA[FECHA],,0,-1)</f>
        <v>46023</v>
      </c>
      <c r="U369" s="46" t="str">
        <f>IFERROR((_xlfn.XLOOKUP(TablaSTOCKINV[[#This Row],[SKU]],TablaSALIDA[SKU],TablaSALIDA[FECHA],,0,-1))," " )</f>
        <v xml:space="preserve"> </v>
      </c>
    </row>
    <row r="370" spans="1:21" x14ac:dyDescent="0.3">
      <c r="A370" s="27" t="s">
        <v>1591</v>
      </c>
      <c r="B370" s="32" t="str">
        <f>_xlfn.XLOOKUP(TablaSTOCKINV[[#This Row],[SKU]],TablaINVENTARIO[SKU],TablaINVENTARIO[DESCRIPCION])</f>
        <v>LIJA 100</v>
      </c>
      <c r="C370" s="32" t="str">
        <f>_xlfn.XLOOKUP(TablaSTOCKINV[[#This Row],[SKU]],TablaINVENTARIO[SKU],TablaINVENTARIO[MARCA])</f>
        <v>N/A</v>
      </c>
      <c r="D370" s="33" t="str">
        <f>_xlfn.XLOOKUP(TablaSTOCKINV[[#This Row],[SKU]],TablaINVENTARIO[SKU],TablaINVENTARIO[CATEGORIA])</f>
        <v>HERRAMIENTAS_</v>
      </c>
      <c r="E370" s="33" t="str">
        <f>_xlfn.XLOOKUP(TablaSTOCKINV[[#This Row],[SKU]],TablaINVENTARIO[SKU],TablaINVENTARIO[SUBCATEGORIA])</f>
        <v xml:space="preserve">MATERIAL DE CONSTRUCCIÓN </v>
      </c>
      <c r="F370" s="33" t="str">
        <f>_xlfn.XLOOKUP(TablaSTOCKINV[[#This Row],[SKU]],TablaINVENTARIO[SKU],TablaINVENTARIO[ESTADO])</f>
        <v xml:space="preserve">NUEVO </v>
      </c>
      <c r="G370" s="33" t="str">
        <f>_xlfn.XLOOKUP(TablaSTOCKINV[[#This Row],[SKU]],TablaINVENTARIO[SKU],TablaINVENTARIO[MEDIDA])</f>
        <v>UND</v>
      </c>
      <c r="H370" s="33" t="str">
        <f>_xlfn.XLOOKUP(TablaSTOCKINV[[#This Row],[SKU]],TablaINVENTARIO[SKU],TablaINVENTARIO[SERIAL])</f>
        <v>N/A</v>
      </c>
      <c r="I370" s="34" t="str">
        <f>_xlfn.XLOOKUP(TablaSTOCKINV[[#This Row],[SKU]],TablaINVENTARIO[SKU],TablaINVENTARIO[ALMACEN])</f>
        <v>ALMACEN PRINCIPAL</v>
      </c>
      <c r="J370" s="34" t="str">
        <f>_xlfn.XLOOKUP(TablaSTOCKINV[[#This Row],[SKU]],TablaINVENTARIO[SKU],TablaINVENTARIO[UBICACION])</f>
        <v>3G</v>
      </c>
      <c r="K370" s="34" t="str">
        <f>_xlfn.XLOOKUP(TablaSTOCKINV[[#This Row],[SKU]],TablaINVENTARIO[SKU],TablaINVENTARIO[DPTO RESPONSABLE])</f>
        <v>OPERACIONES / MANTENIMIENTO</v>
      </c>
      <c r="L370" s="36">
        <f>_xlfn.XLOOKUP(TablaSTOCKINV[[#This Row],[SKU]],TablaINVENTARIO[SKU],TablaINVENTARIO[RANGO MIN])</f>
        <v>0</v>
      </c>
      <c r="M370" s="34" cm="1">
        <f t="array" ref="M370">_xlfn.IFS(TablaSTOCKINV[[#This Row],[CANT. TOTAL]]&lt;=0,1,TablaSTOCKINV[[#This Row],[CANT. TOTAL]]&lt;=TablaSTOCKINV[[#This Row],[MIN]],2,TablaSTOCKINV[[#This Row],[CANT. TOTAL]]&gt;TablaSTOCKINV[[#This Row],[MIN]],3)</f>
        <v>3</v>
      </c>
      <c r="N370" s="34">
        <f>TablaSTOCKINV[[#This Row],[ENTRADAS]]-TablaSTOCKINV[[#This Row],[SALIDAS]]</f>
        <v>165</v>
      </c>
      <c r="O370" s="35">
        <f>SUMIFS(TablaENTRADA[CANT],TablaENTRADA[SKU],TablaSTOCKINV[[#This Row],[SKU]])</f>
        <v>165</v>
      </c>
      <c r="P370" s="35">
        <f>SUMIFS(TablaSALIDA[CANT],TablaSALIDA[SKU],TablaSTOCKINV[[#This Row],[SKU]])</f>
        <v>0</v>
      </c>
      <c r="Q370" s="34">
        <f>_xlfn.XLOOKUP(TablaSTOCKINV[[#This Row],[SKU]],TablaINVENTARIO[SKU],TablaINVENTARIO[PRECIO])</f>
        <v>0</v>
      </c>
      <c r="R370" s="34">
        <f>TablaSTOCKINV[[#This Row],[P.UNITARIO]]*TablaSTOCKINV[[#This Row],[CANT. TOTAL]]</f>
        <v>0</v>
      </c>
      <c r="S370" s="44">
        <f>_xlfn.XLOOKUP(TablaSTOCKINV[[#This Row],[SKU]],TablaINVENTARIO[SKU],TablaINVENTARIO[FECHA INGRESO])</f>
        <v>46023</v>
      </c>
      <c r="T370" s="44">
        <f>_xlfn.XLOOKUP(TablaSTOCKINV[[#This Row],[SKU]],TablaENTRADA[SKU],TablaENTRADA[FECHA],,0,-1)</f>
        <v>46023</v>
      </c>
      <c r="U370" s="46" t="str">
        <f>IFERROR((_xlfn.XLOOKUP(TablaSTOCKINV[[#This Row],[SKU]],TablaSALIDA[SKU],TablaSALIDA[FECHA],,0,-1))," " )</f>
        <v xml:space="preserve"> </v>
      </c>
    </row>
    <row r="371" spans="1:21" x14ac:dyDescent="0.3">
      <c r="A371" s="27" t="s">
        <v>1593</v>
      </c>
      <c r="B371" s="32" t="str">
        <f>_xlfn.XLOOKUP(TablaSTOCKINV[[#This Row],[SKU]],TablaINVENTARIO[SKU],TablaINVENTARIO[DESCRIPCION])</f>
        <v>PEGATAMKE</v>
      </c>
      <c r="C371" s="32" t="str">
        <f>_xlfn.XLOOKUP(TablaSTOCKINV[[#This Row],[SKU]],TablaINVENTARIO[SKU],TablaINVENTARIO[MARCA])</f>
        <v>PFT</v>
      </c>
      <c r="D371" s="33" t="str">
        <f>_xlfn.XLOOKUP(TablaSTOCKINV[[#This Row],[SKU]],TablaINVENTARIO[SKU],TablaINVENTARIO[CATEGORIA])</f>
        <v>HERRAMIENTAS_</v>
      </c>
      <c r="E371" s="33" t="str">
        <f>_xlfn.XLOOKUP(TablaSTOCKINV[[#This Row],[SKU]],TablaINVENTARIO[SKU],TablaINVENTARIO[SUBCATEGORIA])</f>
        <v xml:space="preserve">MATERIAL DE CONSTRUCCIÓN </v>
      </c>
      <c r="F371" s="33" t="str">
        <f>_xlfn.XLOOKUP(TablaSTOCKINV[[#This Row],[SKU]],TablaINVENTARIO[SKU],TablaINVENTARIO[ESTADO])</f>
        <v xml:space="preserve">NUEVO </v>
      </c>
      <c r="G371" s="33" t="str">
        <f>_xlfn.XLOOKUP(TablaSTOCKINV[[#This Row],[SKU]],TablaINVENTARIO[SKU],TablaINVENTARIO[MEDIDA])</f>
        <v>UND</v>
      </c>
      <c r="H371" s="33" t="str">
        <f>_xlfn.XLOOKUP(TablaSTOCKINV[[#This Row],[SKU]],TablaINVENTARIO[SKU],TablaINVENTARIO[SERIAL])</f>
        <v>N/A</v>
      </c>
      <c r="I371" s="34" t="str">
        <f>_xlfn.XLOOKUP(TablaSTOCKINV[[#This Row],[SKU]],TablaINVENTARIO[SKU],TablaINVENTARIO[ALMACEN])</f>
        <v>ALMACEN PRINCIPAL</v>
      </c>
      <c r="J371" s="34" t="str">
        <f>_xlfn.XLOOKUP(TablaSTOCKINV[[#This Row],[SKU]],TablaINVENTARIO[SKU],TablaINVENTARIO[UBICACION])</f>
        <v>3G</v>
      </c>
      <c r="K371" s="34" t="str">
        <f>_xlfn.XLOOKUP(TablaSTOCKINV[[#This Row],[SKU]],TablaINVENTARIO[SKU],TablaINVENTARIO[DPTO RESPONSABLE])</f>
        <v>OPERACIONES / MANTENIMIENTO</v>
      </c>
      <c r="L371" s="36">
        <f>_xlfn.XLOOKUP(TablaSTOCKINV[[#This Row],[SKU]],TablaINVENTARIO[SKU],TablaINVENTARIO[RANGO MIN])</f>
        <v>0</v>
      </c>
      <c r="M371" s="34" cm="1">
        <f t="array" ref="M371">_xlfn.IFS(TablaSTOCKINV[[#This Row],[CANT. TOTAL]]&lt;=0,1,TablaSTOCKINV[[#This Row],[CANT. TOTAL]]&lt;=TablaSTOCKINV[[#This Row],[MIN]],2,TablaSTOCKINV[[#This Row],[CANT. TOTAL]]&gt;TablaSTOCKINV[[#This Row],[MIN]],3)</f>
        <v>3</v>
      </c>
      <c r="N371" s="34">
        <f>TablaSTOCKINV[[#This Row],[ENTRADAS]]-TablaSTOCKINV[[#This Row],[SALIDAS]]</f>
        <v>9</v>
      </c>
      <c r="O371" s="35">
        <f>SUMIFS(TablaENTRADA[CANT],TablaENTRADA[SKU],TablaSTOCKINV[[#This Row],[SKU]])</f>
        <v>9</v>
      </c>
      <c r="P371" s="35">
        <f>SUMIFS(TablaSALIDA[CANT],TablaSALIDA[SKU],TablaSTOCKINV[[#This Row],[SKU]])</f>
        <v>0</v>
      </c>
      <c r="Q371" s="34">
        <f>_xlfn.XLOOKUP(TablaSTOCKINV[[#This Row],[SKU]],TablaINVENTARIO[SKU],TablaINVENTARIO[PRECIO])</f>
        <v>0</v>
      </c>
      <c r="R371" s="34">
        <f>TablaSTOCKINV[[#This Row],[P.UNITARIO]]*TablaSTOCKINV[[#This Row],[CANT. TOTAL]]</f>
        <v>0</v>
      </c>
      <c r="S371" s="44">
        <f>_xlfn.XLOOKUP(TablaSTOCKINV[[#This Row],[SKU]],TablaINVENTARIO[SKU],TablaINVENTARIO[FECHA INGRESO])</f>
        <v>46023</v>
      </c>
      <c r="T371" s="44">
        <f>_xlfn.XLOOKUP(TablaSTOCKINV[[#This Row],[SKU]],TablaENTRADA[SKU],TablaENTRADA[FECHA],,0,-1)</f>
        <v>46023</v>
      </c>
      <c r="U371" s="46" t="str">
        <f>IFERROR((_xlfn.XLOOKUP(TablaSTOCKINV[[#This Row],[SKU]],TablaSALIDA[SKU],TablaSALIDA[FECHA],,0,-1))," " )</f>
        <v xml:space="preserve"> </v>
      </c>
    </row>
    <row r="372" spans="1:21" x14ac:dyDescent="0.3">
      <c r="A372" s="27" t="s">
        <v>1596</v>
      </c>
      <c r="B372" s="32" t="str">
        <f>_xlfn.XLOOKUP(TablaSTOCKINV[[#This Row],[SKU]],TablaINVENTARIO[SKU],TablaINVENTARIO[DESCRIPCION])</f>
        <v>PEGATAMKE TRANSPARENTE</v>
      </c>
      <c r="C372" s="32" t="str">
        <f>_xlfn.XLOOKUP(TablaSTOCKINV[[#This Row],[SKU]],TablaINVENTARIO[SKU],TablaINVENTARIO[MARCA])</f>
        <v>PFT</v>
      </c>
      <c r="D372" s="33" t="str">
        <f>_xlfn.XLOOKUP(TablaSTOCKINV[[#This Row],[SKU]],TablaINVENTARIO[SKU],TablaINVENTARIO[CATEGORIA])</f>
        <v>HERRAMIENTAS_</v>
      </c>
      <c r="E372" s="33" t="str">
        <f>_xlfn.XLOOKUP(TablaSTOCKINV[[#This Row],[SKU]],TablaINVENTARIO[SKU],TablaINVENTARIO[SUBCATEGORIA])</f>
        <v xml:space="preserve">MATERIAL DE CONSTRUCCIÓN </v>
      </c>
      <c r="F372" s="33" t="str">
        <f>_xlfn.XLOOKUP(TablaSTOCKINV[[#This Row],[SKU]],TablaINVENTARIO[SKU],TablaINVENTARIO[ESTADO])</f>
        <v xml:space="preserve">NUEVO </v>
      </c>
      <c r="G372" s="33" t="str">
        <f>_xlfn.XLOOKUP(TablaSTOCKINV[[#This Row],[SKU]],TablaINVENTARIO[SKU],TablaINVENTARIO[MEDIDA])</f>
        <v>UND</v>
      </c>
      <c r="H372" s="33" t="str">
        <f>_xlfn.XLOOKUP(TablaSTOCKINV[[#This Row],[SKU]],TablaINVENTARIO[SKU],TablaINVENTARIO[SERIAL])</f>
        <v>N/A</v>
      </c>
      <c r="I372" s="34" t="str">
        <f>_xlfn.XLOOKUP(TablaSTOCKINV[[#This Row],[SKU]],TablaINVENTARIO[SKU],TablaINVENTARIO[ALMACEN])</f>
        <v>ALMACEN PRINCIPAL</v>
      </c>
      <c r="J372" s="34" t="str">
        <f>_xlfn.XLOOKUP(TablaSTOCKINV[[#This Row],[SKU]],TablaINVENTARIO[SKU],TablaINVENTARIO[UBICACION])</f>
        <v>3G</v>
      </c>
      <c r="K372" s="34" t="str">
        <f>_xlfn.XLOOKUP(TablaSTOCKINV[[#This Row],[SKU]],TablaINVENTARIO[SKU],TablaINVENTARIO[DPTO RESPONSABLE])</f>
        <v>OPERACIONES / MANTENIMIENTO</v>
      </c>
      <c r="L372" s="36">
        <f>_xlfn.XLOOKUP(TablaSTOCKINV[[#This Row],[SKU]],TablaINVENTARIO[SKU],TablaINVENTARIO[RANGO MIN])</f>
        <v>0</v>
      </c>
      <c r="M372" s="34" cm="1">
        <f t="array" ref="M372">_xlfn.IFS(TablaSTOCKINV[[#This Row],[CANT. TOTAL]]&lt;=0,1,TablaSTOCKINV[[#This Row],[CANT. TOTAL]]&lt;=TablaSTOCKINV[[#This Row],[MIN]],2,TablaSTOCKINV[[#This Row],[CANT. TOTAL]]&gt;TablaSTOCKINV[[#This Row],[MIN]],3)</f>
        <v>3</v>
      </c>
      <c r="N372" s="34">
        <f>TablaSTOCKINV[[#This Row],[ENTRADAS]]-TablaSTOCKINV[[#This Row],[SALIDAS]]</f>
        <v>3</v>
      </c>
      <c r="O372" s="35">
        <f>SUMIFS(TablaENTRADA[CANT],TablaENTRADA[SKU],TablaSTOCKINV[[#This Row],[SKU]])</f>
        <v>3</v>
      </c>
      <c r="P372" s="35">
        <f>SUMIFS(TablaSALIDA[CANT],TablaSALIDA[SKU],TablaSTOCKINV[[#This Row],[SKU]])</f>
        <v>0</v>
      </c>
      <c r="Q372" s="34">
        <f>_xlfn.XLOOKUP(TablaSTOCKINV[[#This Row],[SKU]],TablaINVENTARIO[SKU],TablaINVENTARIO[PRECIO])</f>
        <v>0</v>
      </c>
      <c r="R372" s="34">
        <f>TablaSTOCKINV[[#This Row],[P.UNITARIO]]*TablaSTOCKINV[[#This Row],[CANT. TOTAL]]</f>
        <v>0</v>
      </c>
      <c r="S372" s="44">
        <f>_xlfn.XLOOKUP(TablaSTOCKINV[[#This Row],[SKU]],TablaINVENTARIO[SKU],TablaINVENTARIO[FECHA INGRESO])</f>
        <v>46023</v>
      </c>
      <c r="T372" s="44">
        <f>_xlfn.XLOOKUP(TablaSTOCKINV[[#This Row],[SKU]],TablaENTRADA[SKU],TablaENTRADA[FECHA],,0,-1)</f>
        <v>46023</v>
      </c>
      <c r="U372" s="46" t="str">
        <f>IFERROR((_xlfn.XLOOKUP(TablaSTOCKINV[[#This Row],[SKU]],TablaSALIDA[SKU],TablaSALIDA[FECHA],,0,-1))," " )</f>
        <v xml:space="preserve"> </v>
      </c>
    </row>
    <row r="373" spans="1:21" x14ac:dyDescent="0.3">
      <c r="A373" s="27" t="s">
        <v>1598</v>
      </c>
      <c r="B373" s="32" t="str">
        <f>_xlfn.XLOOKUP(TablaSTOCKINV[[#This Row],[SKU]],TablaINVENTARIO[SKU],TablaINVENTARIO[DESCRIPCION])</f>
        <v>EXACTO HOJILLA DE CORTE</v>
      </c>
      <c r="C373" s="32" t="str">
        <f>_xlfn.XLOOKUP(TablaSTOCKINV[[#This Row],[SKU]],TablaINVENTARIO[SKU],TablaINVENTARIO[MARCA])</f>
        <v>N/A</v>
      </c>
      <c r="D373" s="33" t="str">
        <f>_xlfn.XLOOKUP(TablaSTOCKINV[[#This Row],[SKU]],TablaINVENTARIO[SKU],TablaINVENTARIO[CATEGORIA])</f>
        <v>HERRAMIENTAS_</v>
      </c>
      <c r="E373" s="33" t="str">
        <f>_xlfn.XLOOKUP(TablaSTOCKINV[[#This Row],[SKU]],TablaINVENTARIO[SKU],TablaINVENTARIO[SUBCATEGORIA])</f>
        <v xml:space="preserve">HERRAMIENTA DE CORTE </v>
      </c>
      <c r="F373" s="33" t="str">
        <f>_xlfn.XLOOKUP(TablaSTOCKINV[[#This Row],[SKU]],TablaINVENTARIO[SKU],TablaINVENTARIO[ESTADO])</f>
        <v>USADO</v>
      </c>
      <c r="G373" s="33" t="str">
        <f>_xlfn.XLOOKUP(TablaSTOCKINV[[#This Row],[SKU]],TablaINVENTARIO[SKU],TablaINVENTARIO[MEDIDA])</f>
        <v>UND</v>
      </c>
      <c r="H373" s="33" t="str">
        <f>_xlfn.XLOOKUP(TablaSTOCKINV[[#This Row],[SKU]],TablaINVENTARIO[SKU],TablaINVENTARIO[SERIAL])</f>
        <v>N/A</v>
      </c>
      <c r="I373" s="34" t="str">
        <f>_xlfn.XLOOKUP(TablaSTOCKINV[[#This Row],[SKU]],TablaINVENTARIO[SKU],TablaINVENTARIO[ALMACEN])</f>
        <v>ALMACEN PRINCIPAL</v>
      </c>
      <c r="J373" s="34" t="str">
        <f>_xlfn.XLOOKUP(TablaSTOCKINV[[#This Row],[SKU]],TablaINVENTARIO[SKU],TablaINVENTARIO[UBICACION])</f>
        <v>3E</v>
      </c>
      <c r="K373" s="34" t="str">
        <f>_xlfn.XLOOKUP(TablaSTOCKINV[[#This Row],[SKU]],TablaINVENTARIO[SKU],TablaINVENTARIO[DPTO RESPONSABLE])</f>
        <v>OPERACIONES / MANTENIMIENTO</v>
      </c>
      <c r="L373" s="36">
        <f>_xlfn.XLOOKUP(TablaSTOCKINV[[#This Row],[SKU]],TablaINVENTARIO[SKU],TablaINVENTARIO[RANGO MIN])</f>
        <v>0</v>
      </c>
      <c r="M373" s="34" cm="1">
        <f t="array" ref="M373">_xlfn.IFS(TablaSTOCKINV[[#This Row],[CANT. TOTAL]]&lt;=0,1,TablaSTOCKINV[[#This Row],[CANT. TOTAL]]&lt;=TablaSTOCKINV[[#This Row],[MIN]],2,TablaSTOCKINV[[#This Row],[CANT. TOTAL]]&gt;TablaSTOCKINV[[#This Row],[MIN]],3)</f>
        <v>3</v>
      </c>
      <c r="N373" s="34">
        <f>TablaSTOCKINV[[#This Row],[ENTRADAS]]-TablaSTOCKINV[[#This Row],[SALIDAS]]</f>
        <v>7</v>
      </c>
      <c r="O373" s="35">
        <f>SUMIFS(TablaENTRADA[CANT],TablaENTRADA[SKU],TablaSTOCKINV[[#This Row],[SKU]])</f>
        <v>7</v>
      </c>
      <c r="P373" s="35">
        <f>SUMIFS(TablaSALIDA[CANT],TablaSALIDA[SKU],TablaSTOCKINV[[#This Row],[SKU]])</f>
        <v>0</v>
      </c>
      <c r="Q373" s="34">
        <f>_xlfn.XLOOKUP(TablaSTOCKINV[[#This Row],[SKU]],TablaINVENTARIO[SKU],TablaINVENTARIO[PRECIO])</f>
        <v>0</v>
      </c>
      <c r="R373" s="34">
        <f>TablaSTOCKINV[[#This Row],[P.UNITARIO]]*TablaSTOCKINV[[#This Row],[CANT. TOTAL]]</f>
        <v>0</v>
      </c>
      <c r="S373" s="44">
        <f>_xlfn.XLOOKUP(TablaSTOCKINV[[#This Row],[SKU]],TablaINVENTARIO[SKU],TablaINVENTARIO[FECHA INGRESO])</f>
        <v>46023</v>
      </c>
      <c r="T373" s="44">
        <f>_xlfn.XLOOKUP(TablaSTOCKINV[[#This Row],[SKU]],TablaENTRADA[SKU],TablaENTRADA[FECHA],,0,-1)</f>
        <v>46023</v>
      </c>
      <c r="U373" s="46" t="str">
        <f>IFERROR((_xlfn.XLOOKUP(TablaSTOCKINV[[#This Row],[SKU]],TablaSALIDA[SKU],TablaSALIDA[FECHA],,0,-1))," " )</f>
        <v xml:space="preserve"> </v>
      </c>
    </row>
    <row r="374" spans="1:21" x14ac:dyDescent="0.3">
      <c r="A374" s="27" t="s">
        <v>1602</v>
      </c>
      <c r="B374" s="32" t="str">
        <f>_xlfn.XLOOKUP(TablaSTOCKINV[[#This Row],[SKU]],TablaINVENTARIO[SKU],TablaINVENTARIO[DESCRIPCION])</f>
        <v>LLAVES TORX</v>
      </c>
      <c r="C374" s="32" t="str">
        <f>_xlfn.XLOOKUP(TablaSTOCKINV[[#This Row],[SKU]],TablaINVENTARIO[SKU],TablaINVENTARIO[MARCA])</f>
        <v>TOTAL</v>
      </c>
      <c r="D374" s="33" t="str">
        <f>_xlfn.XLOOKUP(TablaSTOCKINV[[#This Row],[SKU]],TablaINVENTARIO[SKU],TablaINVENTARIO[CATEGORIA])</f>
        <v>HERRAMIENTAS_</v>
      </c>
      <c r="E374" s="33" t="str">
        <f>_xlfn.XLOOKUP(TablaSTOCKINV[[#This Row],[SKU]],TablaINVENTARIO[SKU],TablaINVENTARIO[SUBCATEGORIA])</f>
        <v xml:space="preserve">HERRAMIENTA DE MANO </v>
      </c>
      <c r="F374" s="33" t="str">
        <f>_xlfn.XLOOKUP(TablaSTOCKINV[[#This Row],[SKU]],TablaINVENTARIO[SKU],TablaINVENTARIO[ESTADO])</f>
        <v>USADO</v>
      </c>
      <c r="G374" s="33" t="str">
        <f>_xlfn.XLOOKUP(TablaSTOCKINV[[#This Row],[SKU]],TablaINVENTARIO[SKU],TablaINVENTARIO[MEDIDA])</f>
        <v>JUEGO</v>
      </c>
      <c r="H374" s="33" t="str">
        <f>_xlfn.XLOOKUP(TablaSTOCKINV[[#This Row],[SKU]],TablaINVENTARIO[SKU],TablaINVENTARIO[SERIAL])</f>
        <v>N/A</v>
      </c>
      <c r="I374" s="34" t="str">
        <f>_xlfn.XLOOKUP(TablaSTOCKINV[[#This Row],[SKU]],TablaINVENTARIO[SKU],TablaINVENTARIO[ALMACEN])</f>
        <v>ALMACEN PRINCIPAL</v>
      </c>
      <c r="J374" s="34" t="str">
        <f>_xlfn.XLOOKUP(TablaSTOCKINV[[#This Row],[SKU]],TablaINVENTARIO[SKU],TablaINVENTARIO[UBICACION])</f>
        <v>3E</v>
      </c>
      <c r="K374" s="34" t="str">
        <f>_xlfn.XLOOKUP(TablaSTOCKINV[[#This Row],[SKU]],TablaINVENTARIO[SKU],TablaINVENTARIO[DPTO RESPONSABLE])</f>
        <v>OPERACIONES / MANTENIMIENTO</v>
      </c>
      <c r="L374" s="36">
        <f>_xlfn.XLOOKUP(TablaSTOCKINV[[#This Row],[SKU]],TablaINVENTARIO[SKU],TablaINVENTARIO[RANGO MIN])</f>
        <v>0</v>
      </c>
      <c r="M374" s="34" cm="1">
        <f t="array" ref="M374">_xlfn.IFS(TablaSTOCKINV[[#This Row],[CANT. TOTAL]]&lt;=0,1,TablaSTOCKINV[[#This Row],[CANT. TOTAL]]&lt;=TablaSTOCKINV[[#This Row],[MIN]],2,TablaSTOCKINV[[#This Row],[CANT. TOTAL]]&gt;TablaSTOCKINV[[#This Row],[MIN]],3)</f>
        <v>3</v>
      </c>
      <c r="N374" s="34">
        <f>TablaSTOCKINV[[#This Row],[ENTRADAS]]-TablaSTOCKINV[[#This Row],[SALIDAS]]</f>
        <v>1</v>
      </c>
      <c r="O374" s="35">
        <f>SUMIFS(TablaENTRADA[CANT],TablaENTRADA[SKU],TablaSTOCKINV[[#This Row],[SKU]])</f>
        <v>1</v>
      </c>
      <c r="P374" s="35">
        <f>SUMIFS(TablaSALIDA[CANT],TablaSALIDA[SKU],TablaSTOCKINV[[#This Row],[SKU]])</f>
        <v>0</v>
      </c>
      <c r="Q374" s="34">
        <f>_xlfn.XLOOKUP(TablaSTOCKINV[[#This Row],[SKU]],TablaINVENTARIO[SKU],TablaINVENTARIO[PRECIO])</f>
        <v>0</v>
      </c>
      <c r="R374" s="34">
        <f>TablaSTOCKINV[[#This Row],[P.UNITARIO]]*TablaSTOCKINV[[#This Row],[CANT. TOTAL]]</f>
        <v>0</v>
      </c>
      <c r="S374" s="44">
        <f>_xlfn.XLOOKUP(TablaSTOCKINV[[#This Row],[SKU]],TablaINVENTARIO[SKU],TablaINVENTARIO[FECHA INGRESO])</f>
        <v>46023</v>
      </c>
      <c r="T374" s="44">
        <f>_xlfn.XLOOKUP(TablaSTOCKINV[[#This Row],[SKU]],TablaENTRADA[SKU],TablaENTRADA[FECHA],,0,-1)</f>
        <v>46023</v>
      </c>
      <c r="U374" s="46" t="str">
        <f>IFERROR((_xlfn.XLOOKUP(TablaSTOCKINV[[#This Row],[SKU]],TablaSALIDA[SKU],TablaSALIDA[FECHA],,0,-1))," " )</f>
        <v xml:space="preserve"> </v>
      </c>
    </row>
    <row r="375" spans="1:21" x14ac:dyDescent="0.3">
      <c r="A375" s="27" t="s">
        <v>1605</v>
      </c>
      <c r="B375" s="32" t="str">
        <f>_xlfn.XLOOKUP(TablaSTOCKINV[[#This Row],[SKU]],TablaINVENTARIO[SKU],TablaINVENTARIO[DESCRIPCION])</f>
        <v>PINZA</v>
      </c>
      <c r="C375" s="32" t="str">
        <f>_xlfn.XLOOKUP(TablaSTOCKINV[[#This Row],[SKU]],TablaINVENTARIO[SKU],TablaINVENTARIO[MARCA])</f>
        <v>COBRA</v>
      </c>
      <c r="D375" s="33" t="str">
        <f>_xlfn.XLOOKUP(TablaSTOCKINV[[#This Row],[SKU]],TablaINVENTARIO[SKU],TablaINVENTARIO[CATEGORIA])</f>
        <v>HERRAMIENTAS_</v>
      </c>
      <c r="E375" s="33" t="str">
        <f>_xlfn.XLOOKUP(TablaSTOCKINV[[#This Row],[SKU]],TablaINVENTARIO[SKU],TablaINVENTARIO[SUBCATEGORIA])</f>
        <v xml:space="preserve">HERRAMIENTA DE MANO </v>
      </c>
      <c r="F375" s="33" t="str">
        <f>_xlfn.XLOOKUP(TablaSTOCKINV[[#This Row],[SKU]],TablaINVENTARIO[SKU],TablaINVENTARIO[ESTADO])</f>
        <v>USADO</v>
      </c>
      <c r="G375" s="33" t="str">
        <f>_xlfn.XLOOKUP(TablaSTOCKINV[[#This Row],[SKU]],TablaINVENTARIO[SKU],TablaINVENTARIO[MEDIDA])</f>
        <v>UND</v>
      </c>
      <c r="H375" s="33" t="str">
        <f>_xlfn.XLOOKUP(TablaSTOCKINV[[#This Row],[SKU]],TablaINVENTARIO[SKU],TablaINVENTARIO[SERIAL])</f>
        <v>N/A</v>
      </c>
      <c r="I375" s="34" t="str">
        <f>_xlfn.XLOOKUP(TablaSTOCKINV[[#This Row],[SKU]],TablaINVENTARIO[SKU],TablaINVENTARIO[ALMACEN])</f>
        <v>ALMACEN PRINCIPAL</v>
      </c>
      <c r="J375" s="34" t="str">
        <f>_xlfn.XLOOKUP(TablaSTOCKINV[[#This Row],[SKU]],TablaINVENTARIO[SKU],TablaINVENTARIO[UBICACION])</f>
        <v>3E</v>
      </c>
      <c r="K375" s="34" t="str">
        <f>_xlfn.XLOOKUP(TablaSTOCKINV[[#This Row],[SKU]],TablaINVENTARIO[SKU],TablaINVENTARIO[DPTO RESPONSABLE])</f>
        <v>OPERACIONES / MANTENIMIENTO</v>
      </c>
      <c r="L375" s="36">
        <f>_xlfn.XLOOKUP(TablaSTOCKINV[[#This Row],[SKU]],TablaINVENTARIO[SKU],TablaINVENTARIO[RANGO MIN])</f>
        <v>0</v>
      </c>
      <c r="M375" s="34" cm="1">
        <f t="array" ref="M375">_xlfn.IFS(TablaSTOCKINV[[#This Row],[CANT. TOTAL]]&lt;=0,1,TablaSTOCKINV[[#This Row],[CANT. TOTAL]]&lt;=TablaSTOCKINV[[#This Row],[MIN]],2,TablaSTOCKINV[[#This Row],[CANT. TOTAL]]&gt;TablaSTOCKINV[[#This Row],[MIN]],3)</f>
        <v>3</v>
      </c>
      <c r="N375" s="34">
        <f>TablaSTOCKINV[[#This Row],[ENTRADAS]]-TablaSTOCKINV[[#This Row],[SALIDAS]]</f>
        <v>1</v>
      </c>
      <c r="O375" s="35">
        <f>SUMIFS(TablaENTRADA[CANT],TablaENTRADA[SKU],TablaSTOCKINV[[#This Row],[SKU]])</f>
        <v>1</v>
      </c>
      <c r="P375" s="35">
        <f>SUMIFS(TablaSALIDA[CANT],TablaSALIDA[SKU],TablaSTOCKINV[[#This Row],[SKU]])</f>
        <v>0</v>
      </c>
      <c r="Q375" s="34">
        <f>_xlfn.XLOOKUP(TablaSTOCKINV[[#This Row],[SKU]],TablaINVENTARIO[SKU],TablaINVENTARIO[PRECIO])</f>
        <v>0</v>
      </c>
      <c r="R375" s="34">
        <f>TablaSTOCKINV[[#This Row],[P.UNITARIO]]*TablaSTOCKINV[[#This Row],[CANT. TOTAL]]</f>
        <v>0</v>
      </c>
      <c r="S375" s="44">
        <f>_xlfn.XLOOKUP(TablaSTOCKINV[[#This Row],[SKU]],TablaINVENTARIO[SKU],TablaINVENTARIO[FECHA INGRESO])</f>
        <v>46023</v>
      </c>
      <c r="T375" s="44">
        <f>_xlfn.XLOOKUP(TablaSTOCKINV[[#This Row],[SKU]],TablaENTRADA[SKU],TablaENTRADA[FECHA],,0,-1)</f>
        <v>46023</v>
      </c>
      <c r="U375" s="46" t="str">
        <f>IFERROR((_xlfn.XLOOKUP(TablaSTOCKINV[[#This Row],[SKU]],TablaSALIDA[SKU],TablaSALIDA[FECHA],,0,-1))," " )</f>
        <v xml:space="preserve"> </v>
      </c>
    </row>
    <row r="376" spans="1:21" x14ac:dyDescent="0.3">
      <c r="A376" s="27" t="s">
        <v>1608</v>
      </c>
      <c r="B376" s="32" t="str">
        <f>_xlfn.XLOOKUP(TablaSTOCKINV[[#This Row],[SKU]],TablaINVENTARIO[SKU],TablaINVENTARIO[DESCRIPCION])</f>
        <v xml:space="preserve">LLAVE ALLEN VARIADA </v>
      </c>
      <c r="C376" s="32" t="str">
        <f>_xlfn.XLOOKUP(TablaSTOCKINV[[#This Row],[SKU]],TablaINVENTARIO[SKU],TablaINVENTARIO[MARCA])</f>
        <v>N/A</v>
      </c>
      <c r="D376" s="33" t="str">
        <f>_xlfn.XLOOKUP(TablaSTOCKINV[[#This Row],[SKU]],TablaINVENTARIO[SKU],TablaINVENTARIO[CATEGORIA])</f>
        <v>HERRAMIENTAS_</v>
      </c>
      <c r="E376" s="33" t="str">
        <f>_xlfn.XLOOKUP(TablaSTOCKINV[[#This Row],[SKU]],TablaINVENTARIO[SKU],TablaINVENTARIO[SUBCATEGORIA])</f>
        <v xml:space="preserve">HERRAMIENTA DE MANO </v>
      </c>
      <c r="F376" s="33" t="str">
        <f>_xlfn.XLOOKUP(TablaSTOCKINV[[#This Row],[SKU]],TablaINVENTARIO[SKU],TablaINVENTARIO[ESTADO])</f>
        <v>USADO</v>
      </c>
      <c r="G376" s="33" t="str">
        <f>_xlfn.XLOOKUP(TablaSTOCKINV[[#This Row],[SKU]],TablaINVENTARIO[SKU],TablaINVENTARIO[MEDIDA])</f>
        <v>UND</v>
      </c>
      <c r="H376" s="33" t="str">
        <f>_xlfn.XLOOKUP(TablaSTOCKINV[[#This Row],[SKU]],TablaINVENTARIO[SKU],TablaINVENTARIO[SERIAL])</f>
        <v>N/A</v>
      </c>
      <c r="I376" s="34" t="str">
        <f>_xlfn.XLOOKUP(TablaSTOCKINV[[#This Row],[SKU]],TablaINVENTARIO[SKU],TablaINVENTARIO[ALMACEN])</f>
        <v>ALMACEN PRINCIPAL</v>
      </c>
      <c r="J376" s="34" t="str">
        <f>_xlfn.XLOOKUP(TablaSTOCKINV[[#This Row],[SKU]],TablaINVENTARIO[SKU],TablaINVENTARIO[UBICACION])</f>
        <v>3E</v>
      </c>
      <c r="K376" s="34" t="str">
        <f>_xlfn.XLOOKUP(TablaSTOCKINV[[#This Row],[SKU]],TablaINVENTARIO[SKU],TablaINVENTARIO[DPTO RESPONSABLE])</f>
        <v>OPERACIONES / MANTENIMIENTO</v>
      </c>
      <c r="L376" s="36">
        <f>_xlfn.XLOOKUP(TablaSTOCKINV[[#This Row],[SKU]],TablaINVENTARIO[SKU],TablaINVENTARIO[RANGO MIN])</f>
        <v>0</v>
      </c>
      <c r="M376" s="34" cm="1">
        <f t="array" ref="M376">_xlfn.IFS(TablaSTOCKINV[[#This Row],[CANT. TOTAL]]&lt;=0,1,TablaSTOCKINV[[#This Row],[CANT. TOTAL]]&lt;=TablaSTOCKINV[[#This Row],[MIN]],2,TablaSTOCKINV[[#This Row],[CANT. TOTAL]]&gt;TablaSTOCKINV[[#This Row],[MIN]],3)</f>
        <v>3</v>
      </c>
      <c r="N376" s="34">
        <f>TablaSTOCKINV[[#This Row],[ENTRADAS]]-TablaSTOCKINV[[#This Row],[SALIDAS]]</f>
        <v>40</v>
      </c>
      <c r="O376" s="35">
        <f>SUMIFS(TablaENTRADA[CANT],TablaENTRADA[SKU],TablaSTOCKINV[[#This Row],[SKU]])</f>
        <v>40</v>
      </c>
      <c r="P376" s="35">
        <f>SUMIFS(TablaSALIDA[CANT],TablaSALIDA[SKU],TablaSTOCKINV[[#This Row],[SKU]])</f>
        <v>0</v>
      </c>
      <c r="Q376" s="34">
        <f>_xlfn.XLOOKUP(TablaSTOCKINV[[#This Row],[SKU]],TablaINVENTARIO[SKU],TablaINVENTARIO[PRECIO])</f>
        <v>0</v>
      </c>
      <c r="R376" s="34">
        <f>TablaSTOCKINV[[#This Row],[P.UNITARIO]]*TablaSTOCKINV[[#This Row],[CANT. TOTAL]]</f>
        <v>0</v>
      </c>
      <c r="S376" s="44">
        <f>_xlfn.XLOOKUP(TablaSTOCKINV[[#This Row],[SKU]],TablaINVENTARIO[SKU],TablaINVENTARIO[FECHA INGRESO])</f>
        <v>46023</v>
      </c>
      <c r="T376" s="44">
        <f>_xlfn.XLOOKUP(TablaSTOCKINV[[#This Row],[SKU]],TablaENTRADA[SKU],TablaENTRADA[FECHA],,0,-1)</f>
        <v>46023</v>
      </c>
      <c r="U376" s="46" t="str">
        <f>IFERROR((_xlfn.XLOOKUP(TablaSTOCKINV[[#This Row],[SKU]],TablaSALIDA[SKU],TablaSALIDA[FECHA],,0,-1))," " )</f>
        <v xml:space="preserve"> </v>
      </c>
    </row>
    <row r="377" spans="1:21" x14ac:dyDescent="0.3">
      <c r="A377" s="27" t="s">
        <v>1610</v>
      </c>
      <c r="B377" s="32" t="str">
        <f>_xlfn.XLOOKUP(TablaSTOCKINV[[#This Row],[SKU]],TablaINVENTARIO[SKU],TablaINVENTARIO[DESCRIPCION])</f>
        <v>TROQUEL MANUAL</v>
      </c>
      <c r="C377" s="32" t="str">
        <f>_xlfn.XLOOKUP(TablaSTOCKINV[[#This Row],[SKU]],TablaINVENTARIO[SKU],TablaINVENTARIO[MARCA])</f>
        <v>N/A</v>
      </c>
      <c r="D377" s="33" t="str">
        <f>_xlfn.XLOOKUP(TablaSTOCKINV[[#This Row],[SKU]],TablaINVENTARIO[SKU],TablaINVENTARIO[CATEGORIA])</f>
        <v>HERRAMIENTAS_</v>
      </c>
      <c r="E377" s="33" t="str">
        <f>_xlfn.XLOOKUP(TablaSTOCKINV[[#This Row],[SKU]],TablaINVENTARIO[SKU],TablaINVENTARIO[SUBCATEGORIA])</f>
        <v xml:space="preserve">HERRAMIENTA DE MANO </v>
      </c>
      <c r="F377" s="33" t="str">
        <f>_xlfn.XLOOKUP(TablaSTOCKINV[[#This Row],[SKU]],TablaINVENTARIO[SKU],TablaINVENTARIO[ESTADO])</f>
        <v>USADO</v>
      </c>
      <c r="G377" s="33" t="str">
        <f>_xlfn.XLOOKUP(TablaSTOCKINV[[#This Row],[SKU]],TablaINVENTARIO[SKU],TablaINVENTARIO[MEDIDA])</f>
        <v>JUEGO</v>
      </c>
      <c r="H377" s="33" t="str">
        <f>_xlfn.XLOOKUP(TablaSTOCKINV[[#This Row],[SKU]],TablaINVENTARIO[SKU],TablaINVENTARIO[SERIAL])</f>
        <v>N/A</v>
      </c>
      <c r="I377" s="34" t="str">
        <f>_xlfn.XLOOKUP(TablaSTOCKINV[[#This Row],[SKU]],TablaINVENTARIO[SKU],TablaINVENTARIO[ALMACEN])</f>
        <v>ALMACEN PRINCIPAL</v>
      </c>
      <c r="J377" s="34" t="str">
        <f>_xlfn.XLOOKUP(TablaSTOCKINV[[#This Row],[SKU]],TablaINVENTARIO[SKU],TablaINVENTARIO[UBICACION])</f>
        <v>3E</v>
      </c>
      <c r="K377" s="34" t="str">
        <f>_xlfn.XLOOKUP(TablaSTOCKINV[[#This Row],[SKU]],TablaINVENTARIO[SKU],TablaINVENTARIO[DPTO RESPONSABLE])</f>
        <v>OPERACIONES / MANTENIMIENTO</v>
      </c>
      <c r="L377" s="36">
        <f>_xlfn.XLOOKUP(TablaSTOCKINV[[#This Row],[SKU]],TablaINVENTARIO[SKU],TablaINVENTARIO[RANGO MIN])</f>
        <v>0</v>
      </c>
      <c r="M377" s="34" cm="1">
        <f t="array" ref="M377">_xlfn.IFS(TablaSTOCKINV[[#This Row],[CANT. TOTAL]]&lt;=0,1,TablaSTOCKINV[[#This Row],[CANT. TOTAL]]&lt;=TablaSTOCKINV[[#This Row],[MIN]],2,TablaSTOCKINV[[#This Row],[CANT. TOTAL]]&gt;TablaSTOCKINV[[#This Row],[MIN]],3)</f>
        <v>3</v>
      </c>
      <c r="N377" s="34">
        <f>TablaSTOCKINV[[#This Row],[ENTRADAS]]-TablaSTOCKINV[[#This Row],[SALIDAS]]</f>
        <v>3</v>
      </c>
      <c r="O377" s="35">
        <f>SUMIFS(TablaENTRADA[CANT],TablaENTRADA[SKU],TablaSTOCKINV[[#This Row],[SKU]])</f>
        <v>3</v>
      </c>
      <c r="P377" s="35">
        <f>SUMIFS(TablaSALIDA[CANT],TablaSALIDA[SKU],TablaSTOCKINV[[#This Row],[SKU]])</f>
        <v>0</v>
      </c>
      <c r="Q377" s="34">
        <f>_xlfn.XLOOKUP(TablaSTOCKINV[[#This Row],[SKU]],TablaINVENTARIO[SKU],TablaINVENTARIO[PRECIO])</f>
        <v>0</v>
      </c>
      <c r="R377" s="34">
        <f>TablaSTOCKINV[[#This Row],[P.UNITARIO]]*TablaSTOCKINV[[#This Row],[CANT. TOTAL]]</f>
        <v>0</v>
      </c>
      <c r="S377" s="44">
        <f>_xlfn.XLOOKUP(TablaSTOCKINV[[#This Row],[SKU]],TablaINVENTARIO[SKU],TablaINVENTARIO[FECHA INGRESO])</f>
        <v>46023</v>
      </c>
      <c r="T377" s="44">
        <f>_xlfn.XLOOKUP(TablaSTOCKINV[[#This Row],[SKU]],TablaENTRADA[SKU],TablaENTRADA[FECHA],,0,-1)</f>
        <v>46023</v>
      </c>
      <c r="U377" s="46" t="str">
        <f>IFERROR((_xlfn.XLOOKUP(TablaSTOCKINV[[#This Row],[SKU]],TablaSALIDA[SKU],TablaSALIDA[FECHA],,0,-1))," " )</f>
        <v xml:space="preserve"> </v>
      </c>
    </row>
    <row r="378" spans="1:21" x14ac:dyDescent="0.3">
      <c r="A378" s="27" t="s">
        <v>1612</v>
      </c>
      <c r="B378" s="32" t="str">
        <f>_xlfn.XLOOKUP(TablaSTOCKINV[[#This Row],[SKU]],TablaINVENTARIO[SKU],TablaINVENTARIO[DESCRIPCION])</f>
        <v xml:space="preserve">PELA CABLES </v>
      </c>
      <c r="C378" s="32" t="str">
        <f>_xlfn.XLOOKUP(TablaSTOCKINV[[#This Row],[SKU]],TablaINVENTARIO[SKU],TablaINVENTARIO[MARCA])</f>
        <v>N/A</v>
      </c>
      <c r="D378" s="33" t="str">
        <f>_xlfn.XLOOKUP(TablaSTOCKINV[[#This Row],[SKU]],TablaINVENTARIO[SKU],TablaINVENTARIO[CATEGORIA])</f>
        <v>HERRAMIENTAS_</v>
      </c>
      <c r="E378" s="33" t="str">
        <f>_xlfn.XLOOKUP(TablaSTOCKINV[[#This Row],[SKU]],TablaINVENTARIO[SKU],TablaINVENTARIO[SUBCATEGORIA])</f>
        <v xml:space="preserve">HERRAMIENTA DE MANO </v>
      </c>
      <c r="F378" s="33" t="str">
        <f>_xlfn.XLOOKUP(TablaSTOCKINV[[#This Row],[SKU]],TablaINVENTARIO[SKU],TablaINVENTARIO[ESTADO])</f>
        <v>USADO</v>
      </c>
      <c r="G378" s="33" t="str">
        <f>_xlfn.XLOOKUP(TablaSTOCKINV[[#This Row],[SKU]],TablaINVENTARIO[SKU],TablaINVENTARIO[MEDIDA])</f>
        <v>UND</v>
      </c>
      <c r="H378" s="33" t="str">
        <f>_xlfn.XLOOKUP(TablaSTOCKINV[[#This Row],[SKU]],TablaINVENTARIO[SKU],TablaINVENTARIO[SERIAL])</f>
        <v>N/A</v>
      </c>
      <c r="I378" s="34" t="str">
        <f>_xlfn.XLOOKUP(TablaSTOCKINV[[#This Row],[SKU]],TablaINVENTARIO[SKU],TablaINVENTARIO[ALMACEN])</f>
        <v>ALMACEN PRINCIPAL</v>
      </c>
      <c r="J378" s="34" t="str">
        <f>_xlfn.XLOOKUP(TablaSTOCKINV[[#This Row],[SKU]],TablaINVENTARIO[SKU],TablaINVENTARIO[UBICACION])</f>
        <v>3E</v>
      </c>
      <c r="K378" s="34" t="str">
        <f>_xlfn.XLOOKUP(TablaSTOCKINV[[#This Row],[SKU]],TablaINVENTARIO[SKU],TablaINVENTARIO[DPTO RESPONSABLE])</f>
        <v>OPERACIONES / MANTENIMIENTO</v>
      </c>
      <c r="L378" s="36">
        <f>_xlfn.XLOOKUP(TablaSTOCKINV[[#This Row],[SKU]],TablaINVENTARIO[SKU],TablaINVENTARIO[RANGO MIN])</f>
        <v>0</v>
      </c>
      <c r="M378" s="34" cm="1">
        <f t="array" ref="M378">_xlfn.IFS(TablaSTOCKINV[[#This Row],[CANT. TOTAL]]&lt;=0,1,TablaSTOCKINV[[#This Row],[CANT. TOTAL]]&lt;=TablaSTOCKINV[[#This Row],[MIN]],2,TablaSTOCKINV[[#This Row],[CANT. TOTAL]]&gt;TablaSTOCKINV[[#This Row],[MIN]],3)</f>
        <v>3</v>
      </c>
      <c r="N378" s="34">
        <f>TablaSTOCKINV[[#This Row],[ENTRADAS]]-TablaSTOCKINV[[#This Row],[SALIDAS]]</f>
        <v>2</v>
      </c>
      <c r="O378" s="35">
        <f>SUMIFS(TablaENTRADA[CANT],TablaENTRADA[SKU],TablaSTOCKINV[[#This Row],[SKU]])</f>
        <v>2</v>
      </c>
      <c r="P378" s="35">
        <f>SUMIFS(TablaSALIDA[CANT],TablaSALIDA[SKU],TablaSTOCKINV[[#This Row],[SKU]])</f>
        <v>0</v>
      </c>
      <c r="Q378" s="34">
        <f>_xlfn.XLOOKUP(TablaSTOCKINV[[#This Row],[SKU]],TablaINVENTARIO[SKU],TablaINVENTARIO[PRECIO])</f>
        <v>0</v>
      </c>
      <c r="R378" s="34">
        <f>TablaSTOCKINV[[#This Row],[P.UNITARIO]]*TablaSTOCKINV[[#This Row],[CANT. TOTAL]]</f>
        <v>0</v>
      </c>
      <c r="S378" s="44">
        <f>_xlfn.XLOOKUP(TablaSTOCKINV[[#This Row],[SKU]],TablaINVENTARIO[SKU],TablaINVENTARIO[FECHA INGRESO])</f>
        <v>46023</v>
      </c>
      <c r="T378" s="44">
        <f>_xlfn.XLOOKUP(TablaSTOCKINV[[#This Row],[SKU]],TablaENTRADA[SKU],TablaENTRADA[FECHA],,0,-1)</f>
        <v>46023</v>
      </c>
      <c r="U378" s="46" t="str">
        <f>IFERROR((_xlfn.XLOOKUP(TablaSTOCKINV[[#This Row],[SKU]],TablaSALIDA[SKU],TablaSALIDA[FECHA],,0,-1))," " )</f>
        <v xml:space="preserve"> </v>
      </c>
    </row>
    <row r="379" spans="1:21" x14ac:dyDescent="0.3">
      <c r="A379" s="27" t="s">
        <v>1614</v>
      </c>
      <c r="B379" s="32" t="str">
        <f>_xlfn.XLOOKUP(TablaSTOCKINV[[#This Row],[SKU]],TablaINVENTARIO[SKU],TablaINVENTARIO[DESCRIPCION])</f>
        <v xml:space="preserve">CRIMPADORA PRENSA TERMINALES </v>
      </c>
      <c r="C379" s="32" t="str">
        <f>_xlfn.XLOOKUP(TablaSTOCKINV[[#This Row],[SKU]],TablaINVENTARIO[SKU],TablaINVENTARIO[MARCA])</f>
        <v>N/A</v>
      </c>
      <c r="D379" s="33" t="str">
        <f>_xlfn.XLOOKUP(TablaSTOCKINV[[#This Row],[SKU]],TablaINVENTARIO[SKU],TablaINVENTARIO[CATEGORIA])</f>
        <v>HERRAMIENTAS_</v>
      </c>
      <c r="E379" s="33" t="str">
        <f>_xlfn.XLOOKUP(TablaSTOCKINV[[#This Row],[SKU]],TablaINVENTARIO[SKU],TablaINVENTARIO[SUBCATEGORIA])</f>
        <v xml:space="preserve">HERRAMIENTA DE MANO </v>
      </c>
      <c r="F379" s="33" t="str">
        <f>_xlfn.XLOOKUP(TablaSTOCKINV[[#This Row],[SKU]],TablaINVENTARIO[SKU],TablaINVENTARIO[ESTADO])</f>
        <v>USADO</v>
      </c>
      <c r="G379" s="33" t="str">
        <f>_xlfn.XLOOKUP(TablaSTOCKINV[[#This Row],[SKU]],TablaINVENTARIO[SKU],TablaINVENTARIO[MEDIDA])</f>
        <v>UND</v>
      </c>
      <c r="H379" s="33" t="str">
        <f>_xlfn.XLOOKUP(TablaSTOCKINV[[#This Row],[SKU]],TablaINVENTARIO[SKU],TablaINVENTARIO[SERIAL])</f>
        <v>N/A</v>
      </c>
      <c r="I379" s="34" t="str">
        <f>_xlfn.XLOOKUP(TablaSTOCKINV[[#This Row],[SKU]],TablaINVENTARIO[SKU],TablaINVENTARIO[ALMACEN])</f>
        <v>ALMACEN PRINCIPAL</v>
      </c>
      <c r="J379" s="34" t="str">
        <f>_xlfn.XLOOKUP(TablaSTOCKINV[[#This Row],[SKU]],TablaINVENTARIO[SKU],TablaINVENTARIO[UBICACION])</f>
        <v>3E</v>
      </c>
      <c r="K379" s="34" t="str">
        <f>_xlfn.XLOOKUP(TablaSTOCKINV[[#This Row],[SKU]],TablaINVENTARIO[SKU],TablaINVENTARIO[DPTO RESPONSABLE])</f>
        <v>OPERACIONES / MANTENIMIENTO</v>
      </c>
      <c r="L379" s="36">
        <f>_xlfn.XLOOKUP(TablaSTOCKINV[[#This Row],[SKU]],TablaINVENTARIO[SKU],TablaINVENTARIO[RANGO MIN])</f>
        <v>0</v>
      </c>
      <c r="M379" s="34" cm="1">
        <f t="array" ref="M379">_xlfn.IFS(TablaSTOCKINV[[#This Row],[CANT. TOTAL]]&lt;=0,1,TablaSTOCKINV[[#This Row],[CANT. TOTAL]]&lt;=TablaSTOCKINV[[#This Row],[MIN]],2,TablaSTOCKINV[[#This Row],[CANT. TOTAL]]&gt;TablaSTOCKINV[[#This Row],[MIN]],3)</f>
        <v>3</v>
      </c>
      <c r="N379" s="34">
        <f>TablaSTOCKINV[[#This Row],[ENTRADAS]]-TablaSTOCKINV[[#This Row],[SALIDAS]]</f>
        <v>1</v>
      </c>
      <c r="O379" s="35">
        <f>SUMIFS(TablaENTRADA[CANT],TablaENTRADA[SKU],TablaSTOCKINV[[#This Row],[SKU]])</f>
        <v>1</v>
      </c>
      <c r="P379" s="35">
        <f>SUMIFS(TablaSALIDA[CANT],TablaSALIDA[SKU],TablaSTOCKINV[[#This Row],[SKU]])</f>
        <v>0</v>
      </c>
      <c r="Q379" s="34">
        <f>_xlfn.XLOOKUP(TablaSTOCKINV[[#This Row],[SKU]],TablaINVENTARIO[SKU],TablaINVENTARIO[PRECIO])</f>
        <v>0</v>
      </c>
      <c r="R379" s="34">
        <f>TablaSTOCKINV[[#This Row],[P.UNITARIO]]*TablaSTOCKINV[[#This Row],[CANT. TOTAL]]</f>
        <v>0</v>
      </c>
      <c r="S379" s="44">
        <f>_xlfn.XLOOKUP(TablaSTOCKINV[[#This Row],[SKU]],TablaINVENTARIO[SKU],TablaINVENTARIO[FECHA INGRESO])</f>
        <v>46023</v>
      </c>
      <c r="T379" s="44">
        <f>_xlfn.XLOOKUP(TablaSTOCKINV[[#This Row],[SKU]],TablaENTRADA[SKU],TablaENTRADA[FECHA],,0,-1)</f>
        <v>46023</v>
      </c>
      <c r="U379" s="46" t="str">
        <f>IFERROR((_xlfn.XLOOKUP(TablaSTOCKINV[[#This Row],[SKU]],TablaSALIDA[SKU],TablaSALIDA[FECHA],,0,-1))," " )</f>
        <v xml:space="preserve"> </v>
      </c>
    </row>
    <row r="380" spans="1:21" x14ac:dyDescent="0.3">
      <c r="A380" s="27" t="s">
        <v>1616</v>
      </c>
      <c r="B380" s="32" t="str">
        <f>_xlfn.XLOOKUP(TablaSTOCKINV[[#This Row],[SKU]],TablaINVENTARIO[SKU],TablaINVENTARIO[DESCRIPCION])</f>
        <v xml:space="preserve">LIJA PARA CERAMICA </v>
      </c>
      <c r="C380" s="32" t="str">
        <f>_xlfn.XLOOKUP(TablaSTOCKINV[[#This Row],[SKU]],TablaINVENTARIO[SKU],TablaINVENTARIO[MARCA])</f>
        <v>DEXTER</v>
      </c>
      <c r="D380" s="33" t="str">
        <f>_xlfn.XLOOKUP(TablaSTOCKINV[[#This Row],[SKU]],TablaINVENTARIO[SKU],TablaINVENTARIO[CATEGORIA])</f>
        <v>HERRAMIENTAS_</v>
      </c>
      <c r="E380" s="33" t="str">
        <f>_xlfn.XLOOKUP(TablaSTOCKINV[[#This Row],[SKU]],TablaINVENTARIO[SKU],TablaINVENTARIO[SUBCATEGORIA])</f>
        <v xml:space="preserve">HERRAMIENTA DE MANO </v>
      </c>
      <c r="F380" s="33" t="str">
        <f>_xlfn.XLOOKUP(TablaSTOCKINV[[#This Row],[SKU]],TablaINVENTARIO[SKU],TablaINVENTARIO[ESTADO])</f>
        <v xml:space="preserve">NUEVO </v>
      </c>
      <c r="G380" s="33" t="str">
        <f>_xlfn.XLOOKUP(TablaSTOCKINV[[#This Row],[SKU]],TablaINVENTARIO[SKU],TablaINVENTARIO[MEDIDA])</f>
        <v>UND</v>
      </c>
      <c r="H380" s="33" t="str">
        <f>_xlfn.XLOOKUP(TablaSTOCKINV[[#This Row],[SKU]],TablaINVENTARIO[SKU],TablaINVENTARIO[SERIAL])</f>
        <v>N/A</v>
      </c>
      <c r="I380" s="34" t="str">
        <f>_xlfn.XLOOKUP(TablaSTOCKINV[[#This Row],[SKU]],TablaINVENTARIO[SKU],TablaINVENTARIO[ALMACEN])</f>
        <v>ALMACEN PRINCIPAL</v>
      </c>
      <c r="J380" s="34" t="str">
        <f>_xlfn.XLOOKUP(TablaSTOCKINV[[#This Row],[SKU]],TablaINVENTARIO[SKU],TablaINVENTARIO[UBICACION])</f>
        <v>3E</v>
      </c>
      <c r="K380" s="34" t="str">
        <f>_xlfn.XLOOKUP(TablaSTOCKINV[[#This Row],[SKU]],TablaINVENTARIO[SKU],TablaINVENTARIO[DPTO RESPONSABLE])</f>
        <v>OPERACIONES / MANTENIMIENTO</v>
      </c>
      <c r="L380" s="36">
        <f>_xlfn.XLOOKUP(TablaSTOCKINV[[#This Row],[SKU]],TablaINVENTARIO[SKU],TablaINVENTARIO[RANGO MIN])</f>
        <v>0</v>
      </c>
      <c r="M380" s="34" cm="1">
        <f t="array" ref="M380">_xlfn.IFS(TablaSTOCKINV[[#This Row],[CANT. TOTAL]]&lt;=0,1,TablaSTOCKINV[[#This Row],[CANT. TOTAL]]&lt;=TablaSTOCKINV[[#This Row],[MIN]],2,TablaSTOCKINV[[#This Row],[CANT. TOTAL]]&gt;TablaSTOCKINV[[#This Row],[MIN]],3)</f>
        <v>3</v>
      </c>
      <c r="N380" s="34">
        <f>TablaSTOCKINV[[#This Row],[ENTRADAS]]-TablaSTOCKINV[[#This Row],[SALIDAS]]</f>
        <v>1</v>
      </c>
      <c r="O380" s="35">
        <f>SUMIFS(TablaENTRADA[CANT],TablaENTRADA[SKU],TablaSTOCKINV[[#This Row],[SKU]])</f>
        <v>1</v>
      </c>
      <c r="P380" s="35">
        <f>SUMIFS(TablaSALIDA[CANT],TablaSALIDA[SKU],TablaSTOCKINV[[#This Row],[SKU]])</f>
        <v>0</v>
      </c>
      <c r="Q380" s="34">
        <f>_xlfn.XLOOKUP(TablaSTOCKINV[[#This Row],[SKU]],TablaINVENTARIO[SKU],TablaINVENTARIO[PRECIO])</f>
        <v>0</v>
      </c>
      <c r="R380" s="34">
        <f>TablaSTOCKINV[[#This Row],[P.UNITARIO]]*TablaSTOCKINV[[#This Row],[CANT. TOTAL]]</f>
        <v>0</v>
      </c>
      <c r="S380" s="44">
        <f>_xlfn.XLOOKUP(TablaSTOCKINV[[#This Row],[SKU]],TablaINVENTARIO[SKU],TablaINVENTARIO[FECHA INGRESO])</f>
        <v>46023</v>
      </c>
      <c r="T380" s="44">
        <f>_xlfn.XLOOKUP(TablaSTOCKINV[[#This Row],[SKU]],TablaENTRADA[SKU],TablaENTRADA[FECHA],,0,-1)</f>
        <v>46023</v>
      </c>
      <c r="U380" s="46" t="str">
        <f>IFERROR((_xlfn.XLOOKUP(TablaSTOCKINV[[#This Row],[SKU]],TablaSALIDA[SKU],TablaSALIDA[FECHA],,0,-1))," " )</f>
        <v xml:space="preserve"> </v>
      </c>
    </row>
    <row r="381" spans="1:21" x14ac:dyDescent="0.3">
      <c r="A381" s="27" t="s">
        <v>1619</v>
      </c>
      <c r="B381" s="32" t="str">
        <f>_xlfn.XLOOKUP(TablaSTOCKINV[[#This Row],[SKU]],TablaINVENTARIO[SKU],TablaINVENTARIO[DESCRIPCION])</f>
        <v>CORTA TUBING</v>
      </c>
      <c r="C381" s="32" t="str">
        <f>_xlfn.XLOOKUP(TablaSTOCKINV[[#This Row],[SKU]],TablaINVENTARIO[SKU],TablaINVENTARIO[MARCA])</f>
        <v xml:space="preserve">STANLEY </v>
      </c>
      <c r="D381" s="33" t="str">
        <f>_xlfn.XLOOKUP(TablaSTOCKINV[[#This Row],[SKU]],TablaINVENTARIO[SKU],TablaINVENTARIO[CATEGORIA])</f>
        <v>HERRAMIENTAS_</v>
      </c>
      <c r="E381" s="33" t="str">
        <f>_xlfn.XLOOKUP(TablaSTOCKINV[[#This Row],[SKU]],TablaINVENTARIO[SKU],TablaINVENTARIO[SUBCATEGORIA])</f>
        <v xml:space="preserve">HERRAMIENTA DE MANO </v>
      </c>
      <c r="F381" s="33" t="str">
        <f>_xlfn.XLOOKUP(TablaSTOCKINV[[#This Row],[SKU]],TablaINVENTARIO[SKU],TablaINVENTARIO[ESTADO])</f>
        <v>USADO</v>
      </c>
      <c r="G381" s="33" t="str">
        <f>_xlfn.XLOOKUP(TablaSTOCKINV[[#This Row],[SKU]],TablaINVENTARIO[SKU],TablaINVENTARIO[MEDIDA])</f>
        <v>UND</v>
      </c>
      <c r="H381" s="33" t="str">
        <f>_xlfn.XLOOKUP(TablaSTOCKINV[[#This Row],[SKU]],TablaINVENTARIO[SKU],TablaINVENTARIO[SERIAL])</f>
        <v>N/A</v>
      </c>
      <c r="I381" s="34" t="str">
        <f>_xlfn.XLOOKUP(TablaSTOCKINV[[#This Row],[SKU]],TablaINVENTARIO[SKU],TablaINVENTARIO[ALMACEN])</f>
        <v>ALMACEN PRINCIPAL</v>
      </c>
      <c r="J381" s="34" t="str">
        <f>_xlfn.XLOOKUP(TablaSTOCKINV[[#This Row],[SKU]],TablaINVENTARIO[SKU],TablaINVENTARIO[UBICACION])</f>
        <v>3E</v>
      </c>
      <c r="K381" s="34" t="str">
        <f>_xlfn.XLOOKUP(TablaSTOCKINV[[#This Row],[SKU]],TablaINVENTARIO[SKU],TablaINVENTARIO[DPTO RESPONSABLE])</f>
        <v>OPERACIONES / MANTENIMIENTO</v>
      </c>
      <c r="L381" s="36">
        <f>_xlfn.XLOOKUP(TablaSTOCKINV[[#This Row],[SKU]],TablaINVENTARIO[SKU],TablaINVENTARIO[RANGO MIN])</f>
        <v>0</v>
      </c>
      <c r="M381" s="34" cm="1">
        <f t="array" ref="M381">_xlfn.IFS(TablaSTOCKINV[[#This Row],[CANT. TOTAL]]&lt;=0,1,TablaSTOCKINV[[#This Row],[CANT. TOTAL]]&lt;=TablaSTOCKINV[[#This Row],[MIN]],2,TablaSTOCKINV[[#This Row],[CANT. TOTAL]]&gt;TablaSTOCKINV[[#This Row],[MIN]],3)</f>
        <v>3</v>
      </c>
      <c r="N381" s="34">
        <f>TablaSTOCKINV[[#This Row],[ENTRADAS]]-TablaSTOCKINV[[#This Row],[SALIDAS]]</f>
        <v>1</v>
      </c>
      <c r="O381" s="35">
        <f>SUMIFS(TablaENTRADA[CANT],TablaENTRADA[SKU],TablaSTOCKINV[[#This Row],[SKU]])</f>
        <v>1</v>
      </c>
      <c r="P381" s="35">
        <f>SUMIFS(TablaSALIDA[CANT],TablaSALIDA[SKU],TablaSTOCKINV[[#This Row],[SKU]])</f>
        <v>0</v>
      </c>
      <c r="Q381" s="34">
        <f>_xlfn.XLOOKUP(TablaSTOCKINV[[#This Row],[SKU]],TablaINVENTARIO[SKU],TablaINVENTARIO[PRECIO])</f>
        <v>0</v>
      </c>
      <c r="R381" s="34">
        <f>TablaSTOCKINV[[#This Row],[P.UNITARIO]]*TablaSTOCKINV[[#This Row],[CANT. TOTAL]]</f>
        <v>0</v>
      </c>
      <c r="S381" s="44">
        <f>_xlfn.XLOOKUP(TablaSTOCKINV[[#This Row],[SKU]],TablaINVENTARIO[SKU],TablaINVENTARIO[FECHA INGRESO])</f>
        <v>46023</v>
      </c>
      <c r="T381" s="44">
        <f>_xlfn.XLOOKUP(TablaSTOCKINV[[#This Row],[SKU]],TablaENTRADA[SKU],TablaENTRADA[FECHA],,0,-1)</f>
        <v>46023</v>
      </c>
      <c r="U381" s="46" t="str">
        <f>IFERROR((_xlfn.XLOOKUP(TablaSTOCKINV[[#This Row],[SKU]],TablaSALIDA[SKU],TablaSALIDA[FECHA],,0,-1))," " )</f>
        <v xml:space="preserve"> </v>
      </c>
    </row>
    <row r="382" spans="1:21" x14ac:dyDescent="0.3">
      <c r="A382" s="27" t="s">
        <v>1621</v>
      </c>
      <c r="B382" s="32" t="str">
        <f>_xlfn.XLOOKUP(TablaSTOCKINV[[#This Row],[SKU]],TablaINVENTARIO[SKU],TablaINVENTARIO[DESCRIPCION])</f>
        <v xml:space="preserve">BREAKER MONOFASICO  1 X 40 120/240V </v>
      </c>
      <c r="C382" s="32" t="str">
        <f>_xlfn.XLOOKUP(TablaSTOCKINV[[#This Row],[SKU]],TablaINVENTARIO[SKU],TablaINVENTARIO[MARCA])</f>
        <v>BTICINO</v>
      </c>
      <c r="D382" s="33" t="str">
        <f>_xlfn.XLOOKUP(TablaSTOCKINV[[#This Row],[SKU]],TablaINVENTARIO[SKU],TablaINVENTARIO[CATEGORIA])</f>
        <v>HERRAMIENTAS_</v>
      </c>
      <c r="E382" s="33" t="str">
        <f>_xlfn.XLOOKUP(TablaSTOCKINV[[#This Row],[SKU]],TablaINVENTARIO[SKU],TablaINVENTARIO[SUBCATEGORIA])</f>
        <v>MATERIAL ELECTRICO</v>
      </c>
      <c r="F382" s="33" t="str">
        <f>_xlfn.XLOOKUP(TablaSTOCKINV[[#This Row],[SKU]],TablaINVENTARIO[SKU],TablaINVENTARIO[ESTADO])</f>
        <v>USADO</v>
      </c>
      <c r="G382" s="33" t="str">
        <f>_xlfn.XLOOKUP(TablaSTOCKINV[[#This Row],[SKU]],TablaINVENTARIO[SKU],TablaINVENTARIO[MEDIDA])</f>
        <v>UND</v>
      </c>
      <c r="H382" s="33" t="str">
        <f>_xlfn.XLOOKUP(TablaSTOCKINV[[#This Row],[SKU]],TablaINVENTARIO[SKU],TablaINVENTARIO[SERIAL])</f>
        <v>N/A</v>
      </c>
      <c r="I382" s="34" t="str">
        <f>_xlfn.XLOOKUP(TablaSTOCKINV[[#This Row],[SKU]],TablaINVENTARIO[SKU],TablaINVENTARIO[ALMACEN])</f>
        <v>ALMACEN PRINCIPAL</v>
      </c>
      <c r="J382" s="34" t="str">
        <f>_xlfn.XLOOKUP(TablaSTOCKINV[[#This Row],[SKU]],TablaINVENTARIO[SKU],TablaINVENTARIO[UBICACION])</f>
        <v>3D</v>
      </c>
      <c r="K382" s="34" t="str">
        <f>_xlfn.XLOOKUP(TablaSTOCKINV[[#This Row],[SKU]],TablaINVENTARIO[SKU],TablaINVENTARIO[DPTO RESPONSABLE])</f>
        <v>OPERACIONES / MANTENIMIENTO</v>
      </c>
      <c r="L382" s="36">
        <f>_xlfn.XLOOKUP(TablaSTOCKINV[[#This Row],[SKU]],TablaINVENTARIO[SKU],TablaINVENTARIO[RANGO MIN])</f>
        <v>0</v>
      </c>
      <c r="M382" s="34" cm="1">
        <f t="array" ref="M382">_xlfn.IFS(TablaSTOCKINV[[#This Row],[CANT. TOTAL]]&lt;=0,1,TablaSTOCKINV[[#This Row],[CANT. TOTAL]]&lt;=TablaSTOCKINV[[#This Row],[MIN]],2,TablaSTOCKINV[[#This Row],[CANT. TOTAL]]&gt;TablaSTOCKINV[[#This Row],[MIN]],3)</f>
        <v>3</v>
      </c>
      <c r="N382" s="34">
        <f>TablaSTOCKINV[[#This Row],[ENTRADAS]]-TablaSTOCKINV[[#This Row],[SALIDAS]]</f>
        <v>1</v>
      </c>
      <c r="O382" s="35">
        <f>SUMIFS(TablaENTRADA[CANT],TablaENTRADA[SKU],TablaSTOCKINV[[#This Row],[SKU]])</f>
        <v>1</v>
      </c>
      <c r="P382" s="35">
        <f>SUMIFS(TablaSALIDA[CANT],TablaSALIDA[SKU],TablaSTOCKINV[[#This Row],[SKU]])</f>
        <v>0</v>
      </c>
      <c r="Q382" s="34">
        <f>_xlfn.XLOOKUP(TablaSTOCKINV[[#This Row],[SKU]],TablaINVENTARIO[SKU],TablaINVENTARIO[PRECIO])</f>
        <v>0</v>
      </c>
      <c r="R382" s="34">
        <f>TablaSTOCKINV[[#This Row],[P.UNITARIO]]*TablaSTOCKINV[[#This Row],[CANT. TOTAL]]</f>
        <v>0</v>
      </c>
      <c r="S382" s="44">
        <f>_xlfn.XLOOKUP(TablaSTOCKINV[[#This Row],[SKU]],TablaINVENTARIO[SKU],TablaINVENTARIO[FECHA INGRESO])</f>
        <v>46023</v>
      </c>
      <c r="T382" s="44">
        <f>_xlfn.XLOOKUP(TablaSTOCKINV[[#This Row],[SKU]],TablaENTRADA[SKU],TablaENTRADA[FECHA],,0,-1)</f>
        <v>46023</v>
      </c>
      <c r="U382" s="46" t="str">
        <f>IFERROR((_xlfn.XLOOKUP(TablaSTOCKINV[[#This Row],[SKU]],TablaSALIDA[SKU],TablaSALIDA[FECHA],,0,-1))," " )</f>
        <v xml:space="preserve"> </v>
      </c>
    </row>
    <row r="383" spans="1:21" x14ac:dyDescent="0.3">
      <c r="A383" s="27" t="s">
        <v>1624</v>
      </c>
      <c r="B383" s="32" t="str">
        <f>_xlfn.XLOOKUP(TablaSTOCKINV[[#This Row],[SKU]],TablaINVENTARIO[SKU],TablaINVENTARIO[DESCRIPCION])</f>
        <v xml:space="preserve">ESPACIADOR REDONDO DE METAL </v>
      </c>
      <c r="C383" s="32" t="str">
        <f>_xlfn.XLOOKUP(TablaSTOCKINV[[#This Row],[SKU]],TablaINVENTARIO[SKU],TablaINVENTARIO[MARCA])</f>
        <v>N/A</v>
      </c>
      <c r="D383" s="33" t="str">
        <f>_xlfn.XLOOKUP(TablaSTOCKINV[[#This Row],[SKU]],TablaINVENTARIO[SKU],TablaINVENTARIO[CATEGORIA])</f>
        <v>HERRAMIENTAS_</v>
      </c>
      <c r="E383" s="33" t="str">
        <f>_xlfn.XLOOKUP(TablaSTOCKINV[[#This Row],[SKU]],TablaINVENTARIO[SKU],TablaINVENTARIO[SUBCATEGORIA])</f>
        <v xml:space="preserve">MATERIAL DE CONSTRUCCIÓN </v>
      </c>
      <c r="F383" s="33" t="str">
        <f>_xlfn.XLOOKUP(TablaSTOCKINV[[#This Row],[SKU]],TablaINVENTARIO[SKU],TablaINVENTARIO[ESTADO])</f>
        <v xml:space="preserve">NUEVO </v>
      </c>
      <c r="G383" s="33" t="str">
        <f>_xlfn.XLOOKUP(TablaSTOCKINV[[#This Row],[SKU]],TablaINVENTARIO[SKU],TablaINVENTARIO[MEDIDA])</f>
        <v xml:space="preserve">UND </v>
      </c>
      <c r="H383" s="33" t="str">
        <f>_xlfn.XLOOKUP(TablaSTOCKINV[[#This Row],[SKU]],TablaINVENTARIO[SKU],TablaINVENTARIO[SERIAL])</f>
        <v>N/A</v>
      </c>
      <c r="I383" s="34" t="str">
        <f>_xlfn.XLOOKUP(TablaSTOCKINV[[#This Row],[SKU]],TablaINVENTARIO[SKU],TablaINVENTARIO[ALMACEN])</f>
        <v>ALMACEN PRINCIPAL</v>
      </c>
      <c r="J383" s="34" t="str">
        <f>_xlfn.XLOOKUP(TablaSTOCKINV[[#This Row],[SKU]],TablaINVENTARIO[SKU],TablaINVENTARIO[UBICACION])</f>
        <v>3D</v>
      </c>
      <c r="K383" s="34" t="str">
        <f>_xlfn.XLOOKUP(TablaSTOCKINV[[#This Row],[SKU]],TablaINVENTARIO[SKU],TablaINVENTARIO[DPTO RESPONSABLE])</f>
        <v>OPERACIONES / MANTENIMIENTO</v>
      </c>
      <c r="L383" s="36">
        <f>_xlfn.XLOOKUP(TablaSTOCKINV[[#This Row],[SKU]],TablaINVENTARIO[SKU],TablaINVENTARIO[RANGO MIN])</f>
        <v>0</v>
      </c>
      <c r="M383" s="34" cm="1">
        <f t="array" ref="M383">_xlfn.IFS(TablaSTOCKINV[[#This Row],[CANT. TOTAL]]&lt;=0,1,TablaSTOCKINV[[#This Row],[CANT. TOTAL]]&lt;=TablaSTOCKINV[[#This Row],[MIN]],2,TablaSTOCKINV[[#This Row],[CANT. TOTAL]]&gt;TablaSTOCKINV[[#This Row],[MIN]],3)</f>
        <v>3</v>
      </c>
      <c r="N383" s="34">
        <f>TablaSTOCKINV[[#This Row],[ENTRADAS]]-TablaSTOCKINV[[#This Row],[SALIDAS]]</f>
        <v>12</v>
      </c>
      <c r="O383" s="35">
        <f>SUMIFS(TablaENTRADA[CANT],TablaENTRADA[SKU],TablaSTOCKINV[[#This Row],[SKU]])</f>
        <v>12</v>
      </c>
      <c r="P383" s="35">
        <f>SUMIFS(TablaSALIDA[CANT],TablaSALIDA[SKU],TablaSTOCKINV[[#This Row],[SKU]])</f>
        <v>0</v>
      </c>
      <c r="Q383" s="34">
        <f>_xlfn.XLOOKUP(TablaSTOCKINV[[#This Row],[SKU]],TablaINVENTARIO[SKU],TablaINVENTARIO[PRECIO])</f>
        <v>0</v>
      </c>
      <c r="R383" s="34">
        <f>TablaSTOCKINV[[#This Row],[P.UNITARIO]]*TablaSTOCKINV[[#This Row],[CANT. TOTAL]]</f>
        <v>0</v>
      </c>
      <c r="S383" s="44">
        <f>_xlfn.XLOOKUP(TablaSTOCKINV[[#This Row],[SKU]],TablaINVENTARIO[SKU],TablaINVENTARIO[FECHA INGRESO])</f>
        <v>46023</v>
      </c>
      <c r="T383" s="44">
        <f>_xlfn.XLOOKUP(TablaSTOCKINV[[#This Row],[SKU]],TablaENTRADA[SKU],TablaENTRADA[FECHA],,0,-1)</f>
        <v>46023</v>
      </c>
      <c r="U383" s="46" t="str">
        <f>IFERROR((_xlfn.XLOOKUP(TablaSTOCKINV[[#This Row],[SKU]],TablaSALIDA[SKU],TablaSALIDA[FECHA],,0,-1))," " )</f>
        <v xml:space="preserve"> </v>
      </c>
    </row>
    <row r="384" spans="1:21" x14ac:dyDescent="0.3">
      <c r="A384" s="27" t="s">
        <v>1626</v>
      </c>
      <c r="B384" s="32" t="str">
        <f>_xlfn.XLOOKUP(TablaSTOCKINV[[#This Row],[SKU]],TablaINVENTARIO[SKU],TablaINVENTARIO[DESCRIPCION])</f>
        <v xml:space="preserve">SELLADOR DE SILICONA </v>
      </c>
      <c r="C384" s="32" t="str">
        <f>_xlfn.XLOOKUP(TablaSTOCKINV[[#This Row],[SKU]],TablaINVENTARIO[SKU],TablaINVENTARIO[MARCA])</f>
        <v>GRIVEN</v>
      </c>
      <c r="D384" s="33" t="str">
        <f>_xlfn.XLOOKUP(TablaSTOCKINV[[#This Row],[SKU]],TablaINVENTARIO[SKU],TablaINVENTARIO[CATEGORIA])</f>
        <v>HERRAMIENTAS_</v>
      </c>
      <c r="E384" s="33" t="str">
        <f>_xlfn.XLOOKUP(TablaSTOCKINV[[#This Row],[SKU]],TablaINVENTARIO[SKU],TablaINVENTARIO[SUBCATEGORIA])</f>
        <v xml:space="preserve">MATERIAL DE CONSTRUCCIÓN </v>
      </c>
      <c r="F384" s="33" t="str">
        <f>_xlfn.XLOOKUP(TablaSTOCKINV[[#This Row],[SKU]],TablaINVENTARIO[SKU],TablaINVENTARIO[ESTADO])</f>
        <v>USADO</v>
      </c>
      <c r="G384" s="33" t="str">
        <f>_xlfn.XLOOKUP(TablaSTOCKINV[[#This Row],[SKU]],TablaINVENTARIO[SKU],TablaINVENTARIO[MEDIDA])</f>
        <v>UND</v>
      </c>
      <c r="H384" s="33" t="str">
        <f>_xlfn.XLOOKUP(TablaSTOCKINV[[#This Row],[SKU]],TablaINVENTARIO[SKU],TablaINVENTARIO[SERIAL])</f>
        <v>N/A</v>
      </c>
      <c r="I384" s="34" t="str">
        <f>_xlfn.XLOOKUP(TablaSTOCKINV[[#This Row],[SKU]],TablaINVENTARIO[SKU],TablaINVENTARIO[ALMACEN])</f>
        <v>ALMACEN PRINCIPAL</v>
      </c>
      <c r="J384" s="34" t="str">
        <f>_xlfn.XLOOKUP(TablaSTOCKINV[[#This Row],[SKU]],TablaINVENTARIO[SKU],TablaINVENTARIO[UBICACION])</f>
        <v>3D</v>
      </c>
      <c r="K384" s="34" t="str">
        <f>_xlfn.XLOOKUP(TablaSTOCKINV[[#This Row],[SKU]],TablaINVENTARIO[SKU],TablaINVENTARIO[DPTO RESPONSABLE])</f>
        <v>OPERACIONES</v>
      </c>
      <c r="L384" s="36">
        <f>_xlfn.XLOOKUP(TablaSTOCKINV[[#This Row],[SKU]],TablaINVENTARIO[SKU],TablaINVENTARIO[RANGO MIN])</f>
        <v>0</v>
      </c>
      <c r="M384" s="34" cm="1">
        <f t="array" ref="M384">_xlfn.IFS(TablaSTOCKINV[[#This Row],[CANT. TOTAL]]&lt;=0,1,TablaSTOCKINV[[#This Row],[CANT. TOTAL]]&lt;=TablaSTOCKINV[[#This Row],[MIN]],2,TablaSTOCKINV[[#This Row],[CANT. TOTAL]]&gt;TablaSTOCKINV[[#This Row],[MIN]],3)</f>
        <v>3</v>
      </c>
      <c r="N384" s="34">
        <f>TablaSTOCKINV[[#This Row],[ENTRADAS]]-TablaSTOCKINV[[#This Row],[SALIDAS]]</f>
        <v>2</v>
      </c>
      <c r="O384" s="35">
        <f>SUMIFS(TablaENTRADA[CANT],TablaENTRADA[SKU],TablaSTOCKINV[[#This Row],[SKU]])</f>
        <v>2</v>
      </c>
      <c r="P384" s="35">
        <f>SUMIFS(TablaSALIDA[CANT],TablaSALIDA[SKU],TablaSTOCKINV[[#This Row],[SKU]])</f>
        <v>0</v>
      </c>
      <c r="Q384" s="34">
        <f>_xlfn.XLOOKUP(TablaSTOCKINV[[#This Row],[SKU]],TablaINVENTARIO[SKU],TablaINVENTARIO[PRECIO])</f>
        <v>0</v>
      </c>
      <c r="R384" s="34">
        <f>TablaSTOCKINV[[#This Row],[P.UNITARIO]]*TablaSTOCKINV[[#This Row],[CANT. TOTAL]]</f>
        <v>0</v>
      </c>
      <c r="S384" s="44">
        <f>_xlfn.XLOOKUP(TablaSTOCKINV[[#This Row],[SKU]],TablaINVENTARIO[SKU],TablaINVENTARIO[FECHA INGRESO])</f>
        <v>46023</v>
      </c>
      <c r="T384" s="44">
        <f>_xlfn.XLOOKUP(TablaSTOCKINV[[#This Row],[SKU]],TablaENTRADA[SKU],TablaENTRADA[FECHA],,0,-1)</f>
        <v>46023</v>
      </c>
      <c r="U384" s="46" t="str">
        <f>IFERROR((_xlfn.XLOOKUP(TablaSTOCKINV[[#This Row],[SKU]],TablaSALIDA[SKU],TablaSALIDA[FECHA],,0,-1))," " )</f>
        <v xml:space="preserve"> </v>
      </c>
    </row>
    <row r="385" spans="1:21" x14ac:dyDescent="0.3">
      <c r="A385" s="27" t="s">
        <v>1629</v>
      </c>
      <c r="B385" s="32" t="str">
        <f>_xlfn.XLOOKUP(TablaSTOCKINV[[#This Row],[SKU]],TablaINVENTARIO[SKU],TablaINVENTARIO[DESCRIPCION])</f>
        <v>ROLINERA 6201</v>
      </c>
      <c r="C385" s="32" t="str">
        <f>_xlfn.XLOOKUP(TablaSTOCKINV[[#This Row],[SKU]],TablaINVENTARIO[SKU],TablaINVENTARIO[MARCA])</f>
        <v>N/A</v>
      </c>
      <c r="D385" s="33" t="str">
        <f>_xlfn.XLOOKUP(TablaSTOCKINV[[#This Row],[SKU]],TablaINVENTARIO[SKU],TablaINVENTARIO[CATEGORIA])</f>
        <v>HERRAMIENTAS_</v>
      </c>
      <c r="E385" s="33" t="str">
        <f>_xlfn.XLOOKUP(TablaSTOCKINV[[#This Row],[SKU]],TablaINVENTARIO[SKU],TablaINVENTARIO[SUBCATEGORIA])</f>
        <v xml:space="preserve">MATERIAL DE REFRIGERACIÓN </v>
      </c>
      <c r="F385" s="33" t="str">
        <f>_xlfn.XLOOKUP(TablaSTOCKINV[[#This Row],[SKU]],TablaINVENTARIO[SKU],TablaINVENTARIO[ESTADO])</f>
        <v>USADO</v>
      </c>
      <c r="G385" s="33" t="str">
        <f>_xlfn.XLOOKUP(TablaSTOCKINV[[#This Row],[SKU]],TablaINVENTARIO[SKU],TablaINVENTARIO[MEDIDA])</f>
        <v>UND</v>
      </c>
      <c r="H385" s="33" t="str">
        <f>_xlfn.XLOOKUP(TablaSTOCKINV[[#This Row],[SKU]],TablaINVENTARIO[SKU],TablaINVENTARIO[SERIAL])</f>
        <v>N/A</v>
      </c>
      <c r="I385" s="34" t="str">
        <f>_xlfn.XLOOKUP(TablaSTOCKINV[[#This Row],[SKU]],TablaINVENTARIO[SKU],TablaINVENTARIO[ALMACEN])</f>
        <v>ALMACEN PRINCIPAL</v>
      </c>
      <c r="J385" s="34" t="str">
        <f>_xlfn.XLOOKUP(TablaSTOCKINV[[#This Row],[SKU]],TablaINVENTARIO[SKU],TablaINVENTARIO[UBICACION])</f>
        <v>3D</v>
      </c>
      <c r="K385" s="34" t="str">
        <f>_xlfn.XLOOKUP(TablaSTOCKINV[[#This Row],[SKU]],TablaINVENTARIO[SKU],TablaINVENTARIO[DPTO RESPONSABLE])</f>
        <v>MANTENIMIENTO</v>
      </c>
      <c r="L385" s="36">
        <f>_xlfn.XLOOKUP(TablaSTOCKINV[[#This Row],[SKU]],TablaINVENTARIO[SKU],TablaINVENTARIO[RANGO MIN])</f>
        <v>0</v>
      </c>
      <c r="M385" s="34" cm="1">
        <f t="array" ref="M385">_xlfn.IFS(TablaSTOCKINV[[#This Row],[CANT. TOTAL]]&lt;=0,1,TablaSTOCKINV[[#This Row],[CANT. TOTAL]]&lt;=TablaSTOCKINV[[#This Row],[MIN]],2,TablaSTOCKINV[[#This Row],[CANT. TOTAL]]&gt;TablaSTOCKINV[[#This Row],[MIN]],3)</f>
        <v>3</v>
      </c>
      <c r="N385" s="34">
        <f>TablaSTOCKINV[[#This Row],[ENTRADAS]]-TablaSTOCKINV[[#This Row],[SALIDAS]]</f>
        <v>2</v>
      </c>
      <c r="O385" s="35">
        <f>SUMIFS(TablaENTRADA[CANT],TablaENTRADA[SKU],TablaSTOCKINV[[#This Row],[SKU]])</f>
        <v>2</v>
      </c>
      <c r="P385" s="35">
        <f>SUMIFS(TablaSALIDA[CANT],TablaSALIDA[SKU],TablaSTOCKINV[[#This Row],[SKU]])</f>
        <v>0</v>
      </c>
      <c r="Q385" s="34">
        <f>_xlfn.XLOOKUP(TablaSTOCKINV[[#This Row],[SKU]],TablaINVENTARIO[SKU],TablaINVENTARIO[PRECIO])</f>
        <v>0</v>
      </c>
      <c r="R385" s="34">
        <f>TablaSTOCKINV[[#This Row],[P.UNITARIO]]*TablaSTOCKINV[[#This Row],[CANT. TOTAL]]</f>
        <v>0</v>
      </c>
      <c r="S385" s="44">
        <f>_xlfn.XLOOKUP(TablaSTOCKINV[[#This Row],[SKU]],TablaINVENTARIO[SKU],TablaINVENTARIO[FECHA INGRESO])</f>
        <v>46023</v>
      </c>
      <c r="T385" s="44">
        <f>_xlfn.XLOOKUP(TablaSTOCKINV[[#This Row],[SKU]],TablaENTRADA[SKU],TablaENTRADA[FECHA],,0,-1)</f>
        <v>46023</v>
      </c>
      <c r="U385" s="46" t="str">
        <f>IFERROR((_xlfn.XLOOKUP(TablaSTOCKINV[[#This Row],[SKU]],TablaSALIDA[SKU],TablaSALIDA[FECHA],,0,-1))," " )</f>
        <v xml:space="preserve"> </v>
      </c>
    </row>
    <row r="386" spans="1:21" x14ac:dyDescent="0.3">
      <c r="A386" s="27" t="s">
        <v>1633</v>
      </c>
      <c r="B386" s="32" t="str">
        <f>_xlfn.XLOOKUP(TablaSTOCKINV[[#This Row],[SKU]],TablaINVENTARIO[SKU],TablaINVENTARIO[DESCRIPCION])</f>
        <v xml:space="preserve">SELLADOR DE SILICONA BLANCO </v>
      </c>
      <c r="C386" s="32" t="str">
        <f>_xlfn.XLOOKUP(TablaSTOCKINV[[#This Row],[SKU]],TablaINVENTARIO[SKU],TablaINVENTARIO[MARCA])</f>
        <v>SILIPEX</v>
      </c>
      <c r="D386" s="33" t="str">
        <f>_xlfn.XLOOKUP(TablaSTOCKINV[[#This Row],[SKU]],TablaINVENTARIO[SKU],TablaINVENTARIO[CATEGORIA])</f>
        <v>HERRAMIENTAS_</v>
      </c>
      <c r="E386" s="33" t="str">
        <f>_xlfn.XLOOKUP(TablaSTOCKINV[[#This Row],[SKU]],TablaINVENTARIO[SKU],TablaINVENTARIO[SUBCATEGORIA])</f>
        <v xml:space="preserve">MATERIAL DE CONSTRUCCIÓN </v>
      </c>
      <c r="F386" s="33" t="str">
        <f>_xlfn.XLOOKUP(TablaSTOCKINV[[#This Row],[SKU]],TablaINVENTARIO[SKU],TablaINVENTARIO[ESTADO])</f>
        <v>USADO</v>
      </c>
      <c r="G386" s="33" t="str">
        <f>_xlfn.XLOOKUP(TablaSTOCKINV[[#This Row],[SKU]],TablaINVENTARIO[SKU],TablaINVENTARIO[MEDIDA])</f>
        <v>UND</v>
      </c>
      <c r="H386" s="33" t="str">
        <f>_xlfn.XLOOKUP(TablaSTOCKINV[[#This Row],[SKU]],TablaINVENTARIO[SKU],TablaINVENTARIO[SERIAL])</f>
        <v>N/A</v>
      </c>
      <c r="I386" s="34" t="str">
        <f>_xlfn.XLOOKUP(TablaSTOCKINV[[#This Row],[SKU]],TablaINVENTARIO[SKU],TablaINVENTARIO[ALMACEN])</f>
        <v>ALMACEN PRINCIPAL</v>
      </c>
      <c r="J386" s="34" t="str">
        <f>_xlfn.XLOOKUP(TablaSTOCKINV[[#This Row],[SKU]],TablaINVENTARIO[SKU],TablaINVENTARIO[UBICACION])</f>
        <v>3D</v>
      </c>
      <c r="K386" s="34" t="str">
        <f>_xlfn.XLOOKUP(TablaSTOCKINV[[#This Row],[SKU]],TablaINVENTARIO[SKU],TablaINVENTARIO[DPTO RESPONSABLE])</f>
        <v>OPERACIONES</v>
      </c>
      <c r="L386" s="36">
        <f>_xlfn.XLOOKUP(TablaSTOCKINV[[#This Row],[SKU]],TablaINVENTARIO[SKU],TablaINVENTARIO[RANGO MIN])</f>
        <v>0</v>
      </c>
      <c r="M386" s="34" cm="1">
        <f t="array" ref="M386">_xlfn.IFS(TablaSTOCKINV[[#This Row],[CANT. TOTAL]]&lt;=0,1,TablaSTOCKINV[[#This Row],[CANT. TOTAL]]&lt;=TablaSTOCKINV[[#This Row],[MIN]],2,TablaSTOCKINV[[#This Row],[CANT. TOTAL]]&gt;TablaSTOCKINV[[#This Row],[MIN]],3)</f>
        <v>3</v>
      </c>
      <c r="N386" s="34">
        <f>TablaSTOCKINV[[#This Row],[ENTRADAS]]-TablaSTOCKINV[[#This Row],[SALIDAS]]</f>
        <v>2</v>
      </c>
      <c r="O386" s="35">
        <f>SUMIFS(TablaENTRADA[CANT],TablaENTRADA[SKU],TablaSTOCKINV[[#This Row],[SKU]])</f>
        <v>2</v>
      </c>
      <c r="P386" s="35">
        <f>SUMIFS(TablaSALIDA[CANT],TablaSALIDA[SKU],TablaSTOCKINV[[#This Row],[SKU]])</f>
        <v>0</v>
      </c>
      <c r="Q386" s="34">
        <f>_xlfn.XLOOKUP(TablaSTOCKINV[[#This Row],[SKU]],TablaINVENTARIO[SKU],TablaINVENTARIO[PRECIO])</f>
        <v>0</v>
      </c>
      <c r="R386" s="34">
        <f>TablaSTOCKINV[[#This Row],[P.UNITARIO]]*TablaSTOCKINV[[#This Row],[CANT. TOTAL]]</f>
        <v>0</v>
      </c>
      <c r="S386" s="44">
        <f>_xlfn.XLOOKUP(TablaSTOCKINV[[#This Row],[SKU]],TablaINVENTARIO[SKU],TablaINVENTARIO[FECHA INGRESO])</f>
        <v>46023</v>
      </c>
      <c r="T386" s="44">
        <f>_xlfn.XLOOKUP(TablaSTOCKINV[[#This Row],[SKU]],TablaENTRADA[SKU],TablaENTRADA[FECHA],,0,-1)</f>
        <v>46023</v>
      </c>
      <c r="U386" s="46" t="str">
        <f>IFERROR((_xlfn.XLOOKUP(TablaSTOCKINV[[#This Row],[SKU]],TablaSALIDA[SKU],TablaSALIDA[FECHA],,0,-1))," " )</f>
        <v xml:space="preserve"> </v>
      </c>
    </row>
    <row r="387" spans="1:21" x14ac:dyDescent="0.3">
      <c r="A387" s="27" t="s">
        <v>1636</v>
      </c>
      <c r="B387" s="32" t="str">
        <f>_xlfn.XLOOKUP(TablaSTOCKINV[[#This Row],[SKU]],TablaINVENTARIO[SKU],TablaINVENTARIO[DESCRIPCION])</f>
        <v>SELLADOR DE SILICONA TRANSLUCIDO</v>
      </c>
      <c r="C387" s="32" t="str">
        <f>_xlfn.XLOOKUP(TablaSTOCKINV[[#This Row],[SKU]],TablaINVENTARIO[SKU],TablaINVENTARIO[MARCA])</f>
        <v>SILIPEX</v>
      </c>
      <c r="D387" s="33" t="str">
        <f>_xlfn.XLOOKUP(TablaSTOCKINV[[#This Row],[SKU]],TablaINVENTARIO[SKU],TablaINVENTARIO[CATEGORIA])</f>
        <v>HERRAMIENTAS_</v>
      </c>
      <c r="E387" s="33" t="str">
        <f>_xlfn.XLOOKUP(TablaSTOCKINV[[#This Row],[SKU]],TablaINVENTARIO[SKU],TablaINVENTARIO[SUBCATEGORIA])</f>
        <v xml:space="preserve">MATERIAL DE CONSTRUCCIÓN </v>
      </c>
      <c r="F387" s="33" t="str">
        <f>_xlfn.XLOOKUP(TablaSTOCKINV[[#This Row],[SKU]],TablaINVENTARIO[SKU],TablaINVENTARIO[ESTADO])</f>
        <v>USADO</v>
      </c>
      <c r="G387" s="33" t="str">
        <f>_xlfn.XLOOKUP(TablaSTOCKINV[[#This Row],[SKU]],TablaINVENTARIO[SKU],TablaINVENTARIO[MEDIDA])</f>
        <v>UND</v>
      </c>
      <c r="H387" s="33" t="str">
        <f>_xlfn.XLOOKUP(TablaSTOCKINV[[#This Row],[SKU]],TablaINVENTARIO[SKU],TablaINVENTARIO[SERIAL])</f>
        <v>N/A</v>
      </c>
      <c r="I387" s="34" t="str">
        <f>_xlfn.XLOOKUP(TablaSTOCKINV[[#This Row],[SKU]],TablaINVENTARIO[SKU],TablaINVENTARIO[ALMACEN])</f>
        <v>ALMACEN PRINCIPAL</v>
      </c>
      <c r="J387" s="34" t="str">
        <f>_xlfn.XLOOKUP(TablaSTOCKINV[[#This Row],[SKU]],TablaINVENTARIO[SKU],TablaINVENTARIO[UBICACION])</f>
        <v>3D</v>
      </c>
      <c r="K387" s="34" t="str">
        <f>_xlfn.XLOOKUP(TablaSTOCKINV[[#This Row],[SKU]],TablaINVENTARIO[SKU],TablaINVENTARIO[DPTO RESPONSABLE])</f>
        <v>OPERACIONES</v>
      </c>
      <c r="L387" s="36">
        <f>_xlfn.XLOOKUP(TablaSTOCKINV[[#This Row],[SKU]],TablaINVENTARIO[SKU],TablaINVENTARIO[RANGO MIN])</f>
        <v>0</v>
      </c>
      <c r="M387" s="34" cm="1">
        <f t="array" ref="M387">_xlfn.IFS(TablaSTOCKINV[[#This Row],[CANT. TOTAL]]&lt;=0,1,TablaSTOCKINV[[#This Row],[CANT. TOTAL]]&lt;=TablaSTOCKINV[[#This Row],[MIN]],2,TablaSTOCKINV[[#This Row],[CANT. TOTAL]]&gt;TablaSTOCKINV[[#This Row],[MIN]],3)</f>
        <v>3</v>
      </c>
      <c r="N387" s="34">
        <f>TablaSTOCKINV[[#This Row],[ENTRADAS]]-TablaSTOCKINV[[#This Row],[SALIDAS]]</f>
        <v>1</v>
      </c>
      <c r="O387" s="35">
        <f>SUMIFS(TablaENTRADA[CANT],TablaENTRADA[SKU],TablaSTOCKINV[[#This Row],[SKU]])</f>
        <v>1</v>
      </c>
      <c r="P387" s="35">
        <f>SUMIFS(TablaSALIDA[CANT],TablaSALIDA[SKU],TablaSTOCKINV[[#This Row],[SKU]])</f>
        <v>0</v>
      </c>
      <c r="Q387" s="34">
        <f>_xlfn.XLOOKUP(TablaSTOCKINV[[#This Row],[SKU]],TablaINVENTARIO[SKU],TablaINVENTARIO[PRECIO])</f>
        <v>0</v>
      </c>
      <c r="R387" s="34">
        <f>TablaSTOCKINV[[#This Row],[P.UNITARIO]]*TablaSTOCKINV[[#This Row],[CANT. TOTAL]]</f>
        <v>0</v>
      </c>
      <c r="S387" s="44">
        <f>_xlfn.XLOOKUP(TablaSTOCKINV[[#This Row],[SKU]],TablaINVENTARIO[SKU],TablaINVENTARIO[FECHA INGRESO])</f>
        <v>46023</v>
      </c>
      <c r="T387" s="44">
        <f>_xlfn.XLOOKUP(TablaSTOCKINV[[#This Row],[SKU]],TablaENTRADA[SKU],TablaENTRADA[FECHA],,0,-1)</f>
        <v>46023</v>
      </c>
      <c r="U387" s="46" t="str">
        <f>IFERROR((_xlfn.XLOOKUP(TablaSTOCKINV[[#This Row],[SKU]],TablaSALIDA[SKU],TablaSALIDA[FECHA],,0,-1))," " )</f>
        <v xml:space="preserve"> </v>
      </c>
    </row>
    <row r="388" spans="1:21" x14ac:dyDescent="0.3">
      <c r="A388" s="27" t="s">
        <v>1638</v>
      </c>
      <c r="B388" s="32" t="str">
        <f>_xlfn.XLOOKUP(TablaSTOCKINV[[#This Row],[SKU]],TablaINVENTARIO[SKU],TablaINVENTARIO[DESCRIPCION])</f>
        <v xml:space="preserve">PEGA EPOXICA </v>
      </c>
      <c r="C388" s="32" t="str">
        <f>_xlfn.XLOOKUP(TablaSTOCKINV[[#This Row],[SKU]],TablaINVENTARIO[SKU],TablaINVENTARIO[MARCA])</f>
        <v>VERSACHEM</v>
      </c>
      <c r="D388" s="33" t="str">
        <f>_xlfn.XLOOKUP(TablaSTOCKINV[[#This Row],[SKU]],TablaINVENTARIO[SKU],TablaINVENTARIO[CATEGORIA])</f>
        <v>HERRAMIENTAS_</v>
      </c>
      <c r="E388" s="33" t="str">
        <f>_xlfn.XLOOKUP(TablaSTOCKINV[[#This Row],[SKU]],TablaINVENTARIO[SKU],TablaINVENTARIO[SUBCATEGORIA])</f>
        <v xml:space="preserve">MATERIAL DE CONSTRUCCIÓN </v>
      </c>
      <c r="F388" s="33" t="str">
        <f>_xlfn.XLOOKUP(TablaSTOCKINV[[#This Row],[SKU]],TablaINVENTARIO[SKU],TablaINVENTARIO[ESTADO])</f>
        <v xml:space="preserve">NUEVO </v>
      </c>
      <c r="G388" s="33" t="str">
        <f>_xlfn.XLOOKUP(TablaSTOCKINV[[#This Row],[SKU]],TablaINVENTARIO[SKU],TablaINVENTARIO[MEDIDA])</f>
        <v>UND</v>
      </c>
      <c r="H388" s="33" t="str">
        <f>_xlfn.XLOOKUP(TablaSTOCKINV[[#This Row],[SKU]],TablaINVENTARIO[SKU],TablaINVENTARIO[SERIAL])</f>
        <v>N/A</v>
      </c>
      <c r="I388" s="34" t="str">
        <f>_xlfn.XLOOKUP(TablaSTOCKINV[[#This Row],[SKU]],TablaINVENTARIO[SKU],TablaINVENTARIO[ALMACEN])</f>
        <v>ALMACEN PRINCIPAL</v>
      </c>
      <c r="J388" s="34" t="str">
        <f>_xlfn.XLOOKUP(TablaSTOCKINV[[#This Row],[SKU]],TablaINVENTARIO[SKU],TablaINVENTARIO[UBICACION])</f>
        <v>3D</v>
      </c>
      <c r="K388" s="34" t="str">
        <f>_xlfn.XLOOKUP(TablaSTOCKINV[[#This Row],[SKU]],TablaINVENTARIO[SKU],TablaINVENTARIO[DPTO RESPONSABLE])</f>
        <v>OPERACIONES</v>
      </c>
      <c r="L388" s="36">
        <f>_xlfn.XLOOKUP(TablaSTOCKINV[[#This Row],[SKU]],TablaINVENTARIO[SKU],TablaINVENTARIO[RANGO MIN])</f>
        <v>0</v>
      </c>
      <c r="M388" s="34" cm="1">
        <f t="array" ref="M388">_xlfn.IFS(TablaSTOCKINV[[#This Row],[CANT. TOTAL]]&lt;=0,1,TablaSTOCKINV[[#This Row],[CANT. TOTAL]]&lt;=TablaSTOCKINV[[#This Row],[MIN]],2,TablaSTOCKINV[[#This Row],[CANT. TOTAL]]&gt;TablaSTOCKINV[[#This Row],[MIN]],3)</f>
        <v>3</v>
      </c>
      <c r="N388" s="34">
        <f>TablaSTOCKINV[[#This Row],[ENTRADAS]]-TablaSTOCKINV[[#This Row],[SALIDAS]]</f>
        <v>3</v>
      </c>
      <c r="O388" s="35">
        <f>SUMIFS(TablaENTRADA[CANT],TablaENTRADA[SKU],TablaSTOCKINV[[#This Row],[SKU]])</f>
        <v>3</v>
      </c>
      <c r="P388" s="35">
        <f>SUMIFS(TablaSALIDA[CANT],TablaSALIDA[SKU],TablaSTOCKINV[[#This Row],[SKU]])</f>
        <v>0</v>
      </c>
      <c r="Q388" s="34">
        <f>_xlfn.XLOOKUP(TablaSTOCKINV[[#This Row],[SKU]],TablaINVENTARIO[SKU],TablaINVENTARIO[PRECIO])</f>
        <v>0</v>
      </c>
      <c r="R388" s="34">
        <f>TablaSTOCKINV[[#This Row],[P.UNITARIO]]*TablaSTOCKINV[[#This Row],[CANT. TOTAL]]</f>
        <v>0</v>
      </c>
      <c r="S388" s="44">
        <f>_xlfn.XLOOKUP(TablaSTOCKINV[[#This Row],[SKU]],TablaINVENTARIO[SKU],TablaINVENTARIO[FECHA INGRESO])</f>
        <v>46023</v>
      </c>
      <c r="T388" s="44">
        <f>_xlfn.XLOOKUP(TablaSTOCKINV[[#This Row],[SKU]],TablaENTRADA[SKU],TablaENTRADA[FECHA],,0,-1)</f>
        <v>46023</v>
      </c>
      <c r="U388" s="46" t="str">
        <f>IFERROR((_xlfn.XLOOKUP(TablaSTOCKINV[[#This Row],[SKU]],TablaSALIDA[SKU],TablaSALIDA[FECHA],,0,-1))," " )</f>
        <v xml:space="preserve"> </v>
      </c>
    </row>
    <row r="389" spans="1:21" x14ac:dyDescent="0.3">
      <c r="A389" s="27" t="s">
        <v>1641</v>
      </c>
      <c r="B389" s="32" t="str">
        <f>_xlfn.XLOOKUP(TablaSTOCKINV[[#This Row],[SKU]],TablaINVENTARIO[SKU],TablaINVENTARIO[DESCRIPCION])</f>
        <v>SILICON PARA ALTAS TEMPERATURAS ROJO</v>
      </c>
      <c r="C389" s="32" t="str">
        <f>_xlfn.XLOOKUP(TablaSTOCKINV[[#This Row],[SKU]],TablaINVENTARIO[SKU],TablaINVENTARIO[MARCA])</f>
        <v>ZASC</v>
      </c>
      <c r="D389" s="33" t="str">
        <f>_xlfn.XLOOKUP(TablaSTOCKINV[[#This Row],[SKU]],TablaINVENTARIO[SKU],TablaINVENTARIO[CATEGORIA])</f>
        <v>HERRAMIENTAS_</v>
      </c>
      <c r="E389" s="33" t="str">
        <f>_xlfn.XLOOKUP(TablaSTOCKINV[[#This Row],[SKU]],TablaINVENTARIO[SKU],TablaINVENTARIO[SUBCATEGORIA])</f>
        <v xml:space="preserve">MATERIAL DE CONSTRUCCIÓN </v>
      </c>
      <c r="F389" s="33" t="str">
        <f>_xlfn.XLOOKUP(TablaSTOCKINV[[#This Row],[SKU]],TablaINVENTARIO[SKU],TablaINVENTARIO[ESTADO])</f>
        <v>USADO</v>
      </c>
      <c r="G389" s="33" t="str">
        <f>_xlfn.XLOOKUP(TablaSTOCKINV[[#This Row],[SKU]],TablaINVENTARIO[SKU],TablaINVENTARIO[MEDIDA])</f>
        <v>UND</v>
      </c>
      <c r="H389" s="33" t="str">
        <f>_xlfn.XLOOKUP(TablaSTOCKINV[[#This Row],[SKU]],TablaINVENTARIO[SKU],TablaINVENTARIO[SERIAL])</f>
        <v>N/A</v>
      </c>
      <c r="I389" s="34" t="str">
        <f>_xlfn.XLOOKUP(TablaSTOCKINV[[#This Row],[SKU]],TablaINVENTARIO[SKU],TablaINVENTARIO[ALMACEN])</f>
        <v>ALMACEN PRINCIPAL</v>
      </c>
      <c r="J389" s="34" t="str">
        <f>_xlfn.XLOOKUP(TablaSTOCKINV[[#This Row],[SKU]],TablaINVENTARIO[SKU],TablaINVENTARIO[UBICACION])</f>
        <v>3D</v>
      </c>
      <c r="K389" s="34" t="str">
        <f>_xlfn.XLOOKUP(TablaSTOCKINV[[#This Row],[SKU]],TablaINVENTARIO[SKU],TablaINVENTARIO[DPTO RESPONSABLE])</f>
        <v>OPERACIONES</v>
      </c>
      <c r="L389" s="36">
        <f>_xlfn.XLOOKUP(TablaSTOCKINV[[#This Row],[SKU]],TablaINVENTARIO[SKU],TablaINVENTARIO[RANGO MIN])</f>
        <v>0</v>
      </c>
      <c r="M389" s="34" cm="1">
        <f t="array" ref="M389">_xlfn.IFS(TablaSTOCKINV[[#This Row],[CANT. TOTAL]]&lt;=0,1,TablaSTOCKINV[[#This Row],[CANT. TOTAL]]&lt;=TablaSTOCKINV[[#This Row],[MIN]],2,TablaSTOCKINV[[#This Row],[CANT. TOTAL]]&gt;TablaSTOCKINV[[#This Row],[MIN]],3)</f>
        <v>3</v>
      </c>
      <c r="N389" s="34">
        <f>TablaSTOCKINV[[#This Row],[ENTRADAS]]-TablaSTOCKINV[[#This Row],[SALIDAS]]</f>
        <v>1</v>
      </c>
      <c r="O389" s="35">
        <f>SUMIFS(TablaENTRADA[CANT],TablaENTRADA[SKU],TablaSTOCKINV[[#This Row],[SKU]])</f>
        <v>1</v>
      </c>
      <c r="P389" s="35">
        <f>SUMIFS(TablaSALIDA[CANT],TablaSALIDA[SKU],TablaSTOCKINV[[#This Row],[SKU]])</f>
        <v>0</v>
      </c>
      <c r="Q389" s="34">
        <f>_xlfn.XLOOKUP(TablaSTOCKINV[[#This Row],[SKU]],TablaINVENTARIO[SKU],TablaINVENTARIO[PRECIO])</f>
        <v>0</v>
      </c>
      <c r="R389" s="34">
        <f>TablaSTOCKINV[[#This Row],[P.UNITARIO]]*TablaSTOCKINV[[#This Row],[CANT. TOTAL]]</f>
        <v>0</v>
      </c>
      <c r="S389" s="44">
        <f>_xlfn.XLOOKUP(TablaSTOCKINV[[#This Row],[SKU]],TablaINVENTARIO[SKU],TablaINVENTARIO[FECHA INGRESO])</f>
        <v>46023</v>
      </c>
      <c r="T389" s="44">
        <f>_xlfn.XLOOKUP(TablaSTOCKINV[[#This Row],[SKU]],TablaENTRADA[SKU],TablaENTRADA[FECHA],,0,-1)</f>
        <v>46023</v>
      </c>
      <c r="U389" s="46" t="str">
        <f>IFERROR((_xlfn.XLOOKUP(TablaSTOCKINV[[#This Row],[SKU]],TablaSALIDA[SKU],TablaSALIDA[FECHA],,0,-1))," " )</f>
        <v xml:space="preserve"> </v>
      </c>
    </row>
    <row r="390" spans="1:21" x14ac:dyDescent="0.3">
      <c r="A390" s="27" t="s">
        <v>1644</v>
      </c>
      <c r="B390" s="32" t="str">
        <f>_xlfn.XLOOKUP(TablaSTOCKINV[[#This Row],[SKU]],TablaINVENTARIO[SKU],TablaINVENTARIO[DESCRIPCION])</f>
        <v>SET DE ABRAZADERAS 10 PCS</v>
      </c>
      <c r="C390" s="32" t="str">
        <f>_xlfn.XLOOKUP(TablaSTOCKINV[[#This Row],[SKU]],TablaINVENTARIO[SKU],TablaINVENTARIO[MARCA])</f>
        <v>HANDTOOLS</v>
      </c>
      <c r="D390" s="33" t="str">
        <f>_xlfn.XLOOKUP(TablaSTOCKINV[[#This Row],[SKU]],TablaINVENTARIO[SKU],TablaINVENTARIO[CATEGORIA])</f>
        <v>HERRAMIENTAS_</v>
      </c>
      <c r="E390" s="33" t="str">
        <f>_xlfn.XLOOKUP(TablaSTOCKINV[[#This Row],[SKU]],TablaINVENTARIO[SKU],TablaINVENTARIO[SUBCATEGORIA])</f>
        <v xml:space="preserve">MATERIAL DE CONSTRUCCIÓN </v>
      </c>
      <c r="F390" s="33" t="str">
        <f>_xlfn.XLOOKUP(TablaSTOCKINV[[#This Row],[SKU]],TablaINVENTARIO[SKU],TablaINVENTARIO[ESTADO])</f>
        <v xml:space="preserve">NUEVO </v>
      </c>
      <c r="G390" s="33" t="str">
        <f>_xlfn.XLOOKUP(TablaSTOCKINV[[#This Row],[SKU]],TablaINVENTARIO[SKU],TablaINVENTARIO[MEDIDA])</f>
        <v>SET</v>
      </c>
      <c r="H390" s="33" t="str">
        <f>_xlfn.XLOOKUP(TablaSTOCKINV[[#This Row],[SKU]],TablaINVENTARIO[SKU],TablaINVENTARIO[SERIAL])</f>
        <v>N/A</v>
      </c>
      <c r="I390" s="34" t="str">
        <f>_xlfn.XLOOKUP(TablaSTOCKINV[[#This Row],[SKU]],TablaINVENTARIO[SKU],TablaINVENTARIO[ALMACEN])</f>
        <v>ALMACEN PRINCIPAL</v>
      </c>
      <c r="J390" s="34" t="str">
        <f>_xlfn.XLOOKUP(TablaSTOCKINV[[#This Row],[SKU]],TablaINVENTARIO[SKU],TablaINVENTARIO[UBICACION])</f>
        <v>3F</v>
      </c>
      <c r="K390" s="34" t="str">
        <f>_xlfn.XLOOKUP(TablaSTOCKINV[[#This Row],[SKU]],TablaINVENTARIO[SKU],TablaINVENTARIO[DPTO RESPONSABLE])</f>
        <v>OPERACIONES</v>
      </c>
      <c r="L390" s="36">
        <f>_xlfn.XLOOKUP(TablaSTOCKINV[[#This Row],[SKU]],TablaINVENTARIO[SKU],TablaINVENTARIO[RANGO MIN])</f>
        <v>0</v>
      </c>
      <c r="M390" s="34" cm="1">
        <f t="array" ref="M390">_xlfn.IFS(TablaSTOCKINV[[#This Row],[CANT. TOTAL]]&lt;=0,1,TablaSTOCKINV[[#This Row],[CANT. TOTAL]]&lt;=TablaSTOCKINV[[#This Row],[MIN]],2,TablaSTOCKINV[[#This Row],[CANT. TOTAL]]&gt;TablaSTOCKINV[[#This Row],[MIN]],3)</f>
        <v>3</v>
      </c>
      <c r="N390" s="34">
        <f>TablaSTOCKINV[[#This Row],[ENTRADAS]]-TablaSTOCKINV[[#This Row],[SALIDAS]]</f>
        <v>7</v>
      </c>
      <c r="O390" s="35">
        <f>SUMIFS(TablaENTRADA[CANT],TablaENTRADA[SKU],TablaSTOCKINV[[#This Row],[SKU]])</f>
        <v>7</v>
      </c>
      <c r="P390" s="35">
        <f>SUMIFS(TablaSALIDA[CANT],TablaSALIDA[SKU],TablaSTOCKINV[[#This Row],[SKU]])</f>
        <v>0</v>
      </c>
      <c r="Q390" s="34">
        <f>_xlfn.XLOOKUP(TablaSTOCKINV[[#This Row],[SKU]],TablaINVENTARIO[SKU],TablaINVENTARIO[PRECIO])</f>
        <v>0</v>
      </c>
      <c r="R390" s="34">
        <f>TablaSTOCKINV[[#This Row],[P.UNITARIO]]*TablaSTOCKINV[[#This Row],[CANT. TOTAL]]</f>
        <v>0</v>
      </c>
      <c r="S390" s="44">
        <f>_xlfn.XLOOKUP(TablaSTOCKINV[[#This Row],[SKU]],TablaINVENTARIO[SKU],TablaINVENTARIO[FECHA INGRESO])</f>
        <v>46023</v>
      </c>
      <c r="T390" s="44">
        <f>_xlfn.XLOOKUP(TablaSTOCKINV[[#This Row],[SKU]],TablaENTRADA[SKU],TablaENTRADA[FECHA],,0,-1)</f>
        <v>46023</v>
      </c>
      <c r="U390" s="46" t="str">
        <f>IFERROR((_xlfn.XLOOKUP(TablaSTOCKINV[[#This Row],[SKU]],TablaSALIDA[SKU],TablaSALIDA[FECHA],,0,-1))," " )</f>
        <v xml:space="preserve"> </v>
      </c>
    </row>
    <row r="391" spans="1:21" x14ac:dyDescent="0.3">
      <c r="A391" s="27" t="s">
        <v>1648</v>
      </c>
      <c r="B391" s="32" t="str">
        <f>_xlfn.XLOOKUP(TablaSTOCKINV[[#This Row],[SKU]],TablaINVENTARIO[SKU],TablaINVENTARIO[DESCRIPCION])</f>
        <v>ALAMBRE 24G</v>
      </c>
      <c r="C391" s="32" t="str">
        <f>_xlfn.XLOOKUP(TablaSTOCKINV[[#This Row],[SKU]],TablaINVENTARIO[SKU],TablaINVENTARIO[MARCA])</f>
        <v>N/A</v>
      </c>
      <c r="D391" s="33" t="str">
        <f>_xlfn.XLOOKUP(TablaSTOCKINV[[#This Row],[SKU]],TablaINVENTARIO[SKU],TablaINVENTARIO[CATEGORIA])</f>
        <v>HERRAMIENTAS_</v>
      </c>
      <c r="E391" s="33" t="str">
        <f>_xlfn.XLOOKUP(TablaSTOCKINV[[#This Row],[SKU]],TablaINVENTARIO[SKU],TablaINVENTARIO[SUBCATEGORIA])</f>
        <v xml:space="preserve">MATERIAL DE CONSTRUCCIÓN </v>
      </c>
      <c r="F391" s="33" t="str">
        <f>_xlfn.XLOOKUP(TablaSTOCKINV[[#This Row],[SKU]],TablaINVENTARIO[SKU],TablaINVENTARIO[ESTADO])</f>
        <v xml:space="preserve">NUEVO </v>
      </c>
      <c r="G391" s="33" t="str">
        <f>_xlfn.XLOOKUP(TablaSTOCKINV[[#This Row],[SKU]],TablaINVENTARIO[SKU],TablaINVENTARIO[MEDIDA])</f>
        <v>ROLLO</v>
      </c>
      <c r="H391" s="33" t="str">
        <f>_xlfn.XLOOKUP(TablaSTOCKINV[[#This Row],[SKU]],TablaINVENTARIO[SKU],TablaINVENTARIO[SERIAL])</f>
        <v>N/A</v>
      </c>
      <c r="I391" s="34" t="str">
        <f>_xlfn.XLOOKUP(TablaSTOCKINV[[#This Row],[SKU]],TablaINVENTARIO[SKU],TablaINVENTARIO[ALMACEN])</f>
        <v>ALMACEN PRINCIPAL</v>
      </c>
      <c r="J391" s="34" t="str">
        <f>_xlfn.XLOOKUP(TablaSTOCKINV[[#This Row],[SKU]],TablaINVENTARIO[SKU],TablaINVENTARIO[UBICACION])</f>
        <v>3F</v>
      </c>
      <c r="K391" s="34" t="str">
        <f>_xlfn.XLOOKUP(TablaSTOCKINV[[#This Row],[SKU]],TablaINVENTARIO[SKU],TablaINVENTARIO[DPTO RESPONSABLE])</f>
        <v>OPERACIONES</v>
      </c>
      <c r="L391" s="36">
        <f>_xlfn.XLOOKUP(TablaSTOCKINV[[#This Row],[SKU]],TablaINVENTARIO[SKU],TablaINVENTARIO[RANGO MIN])</f>
        <v>0</v>
      </c>
      <c r="M391" s="34" cm="1">
        <f t="array" ref="M391">_xlfn.IFS(TablaSTOCKINV[[#This Row],[CANT. TOTAL]]&lt;=0,1,TablaSTOCKINV[[#This Row],[CANT. TOTAL]]&lt;=TablaSTOCKINV[[#This Row],[MIN]],2,TablaSTOCKINV[[#This Row],[CANT. TOTAL]]&gt;TablaSTOCKINV[[#This Row],[MIN]],3)</f>
        <v>3</v>
      </c>
      <c r="N391" s="34">
        <f>TablaSTOCKINV[[#This Row],[ENTRADAS]]-TablaSTOCKINV[[#This Row],[SALIDAS]]</f>
        <v>1</v>
      </c>
      <c r="O391" s="35">
        <f>SUMIFS(TablaENTRADA[CANT],TablaENTRADA[SKU],TablaSTOCKINV[[#This Row],[SKU]])</f>
        <v>1</v>
      </c>
      <c r="P391" s="35">
        <f>SUMIFS(TablaSALIDA[CANT],TablaSALIDA[SKU],TablaSTOCKINV[[#This Row],[SKU]])</f>
        <v>0</v>
      </c>
      <c r="Q391" s="34">
        <f>_xlfn.XLOOKUP(TablaSTOCKINV[[#This Row],[SKU]],TablaINVENTARIO[SKU],TablaINVENTARIO[PRECIO])</f>
        <v>0</v>
      </c>
      <c r="R391" s="34">
        <f>TablaSTOCKINV[[#This Row],[P.UNITARIO]]*TablaSTOCKINV[[#This Row],[CANT. TOTAL]]</f>
        <v>0</v>
      </c>
      <c r="S391" s="44">
        <f>_xlfn.XLOOKUP(TablaSTOCKINV[[#This Row],[SKU]],TablaINVENTARIO[SKU],TablaINVENTARIO[FECHA INGRESO])</f>
        <v>46023</v>
      </c>
      <c r="T391" s="44">
        <f>_xlfn.XLOOKUP(TablaSTOCKINV[[#This Row],[SKU]],TablaENTRADA[SKU],TablaENTRADA[FECHA],,0,-1)</f>
        <v>46023</v>
      </c>
      <c r="U391" s="46" t="str">
        <f>IFERROR((_xlfn.XLOOKUP(TablaSTOCKINV[[#This Row],[SKU]],TablaSALIDA[SKU],TablaSALIDA[FECHA],,0,-1))," " )</f>
        <v xml:space="preserve"> </v>
      </c>
    </row>
    <row r="392" spans="1:21" x14ac:dyDescent="0.3">
      <c r="A392" s="27" t="s">
        <v>1650</v>
      </c>
      <c r="B392" s="32" t="str">
        <f>_xlfn.XLOOKUP(TablaSTOCKINV[[#This Row],[SKU]],TablaINVENTARIO[SKU],TablaINVENTARIO[DESCRIPCION])</f>
        <v xml:space="preserve">ESTAÑO </v>
      </c>
      <c r="C392" s="32" t="str">
        <f>_xlfn.XLOOKUP(TablaSTOCKINV[[#This Row],[SKU]],TablaINVENTARIO[SKU],TablaINVENTARIO[MARCA])</f>
        <v>N/A</v>
      </c>
      <c r="D392" s="33" t="str">
        <f>_xlfn.XLOOKUP(TablaSTOCKINV[[#This Row],[SKU]],TablaINVENTARIO[SKU],TablaINVENTARIO[CATEGORIA])</f>
        <v>HERRAMIENTAS_</v>
      </c>
      <c r="E392" s="33" t="str">
        <f>_xlfn.XLOOKUP(TablaSTOCKINV[[#This Row],[SKU]],TablaINVENTARIO[SKU],TablaINVENTARIO[SUBCATEGORIA])</f>
        <v xml:space="preserve">MATERIAL DE CONSTRUCCIÓN </v>
      </c>
      <c r="F392" s="33" t="str">
        <f>_xlfn.XLOOKUP(TablaSTOCKINV[[#This Row],[SKU]],TablaINVENTARIO[SKU],TablaINVENTARIO[ESTADO])</f>
        <v xml:space="preserve">NUEVO </v>
      </c>
      <c r="G392" s="33" t="str">
        <f>_xlfn.XLOOKUP(TablaSTOCKINV[[#This Row],[SKU]],TablaINVENTARIO[SKU],TablaINVENTARIO[MEDIDA])</f>
        <v>ROLLO</v>
      </c>
      <c r="H392" s="33" t="str">
        <f>_xlfn.XLOOKUP(TablaSTOCKINV[[#This Row],[SKU]],TablaINVENTARIO[SKU],TablaINVENTARIO[SERIAL])</f>
        <v>N/A</v>
      </c>
      <c r="I392" s="34" t="str">
        <f>_xlfn.XLOOKUP(TablaSTOCKINV[[#This Row],[SKU]],TablaINVENTARIO[SKU],TablaINVENTARIO[ALMACEN])</f>
        <v>ALMACEN PRINCIPAL</v>
      </c>
      <c r="J392" s="34" t="str">
        <f>_xlfn.XLOOKUP(TablaSTOCKINV[[#This Row],[SKU]],TablaINVENTARIO[SKU],TablaINVENTARIO[UBICACION])</f>
        <v>3F</v>
      </c>
      <c r="K392" s="34" t="str">
        <f>_xlfn.XLOOKUP(TablaSTOCKINV[[#This Row],[SKU]],TablaINVENTARIO[SKU],TablaINVENTARIO[DPTO RESPONSABLE])</f>
        <v>OPERACIONES</v>
      </c>
      <c r="L392" s="36">
        <f>_xlfn.XLOOKUP(TablaSTOCKINV[[#This Row],[SKU]],TablaINVENTARIO[SKU],TablaINVENTARIO[RANGO MIN])</f>
        <v>0</v>
      </c>
      <c r="M392" s="34" cm="1">
        <f t="array" ref="M392">_xlfn.IFS(TablaSTOCKINV[[#This Row],[CANT. TOTAL]]&lt;=0,1,TablaSTOCKINV[[#This Row],[CANT. TOTAL]]&lt;=TablaSTOCKINV[[#This Row],[MIN]],2,TablaSTOCKINV[[#This Row],[CANT. TOTAL]]&gt;TablaSTOCKINV[[#This Row],[MIN]],3)</f>
        <v>3</v>
      </c>
      <c r="N392" s="34">
        <f>TablaSTOCKINV[[#This Row],[ENTRADAS]]-TablaSTOCKINV[[#This Row],[SALIDAS]]</f>
        <v>3</v>
      </c>
      <c r="O392" s="35">
        <f>SUMIFS(TablaENTRADA[CANT],TablaENTRADA[SKU],TablaSTOCKINV[[#This Row],[SKU]])</f>
        <v>3</v>
      </c>
      <c r="P392" s="35">
        <f>SUMIFS(TablaSALIDA[CANT],TablaSALIDA[SKU],TablaSTOCKINV[[#This Row],[SKU]])</f>
        <v>0</v>
      </c>
      <c r="Q392" s="34">
        <f>_xlfn.XLOOKUP(TablaSTOCKINV[[#This Row],[SKU]],TablaINVENTARIO[SKU],TablaINVENTARIO[PRECIO])</f>
        <v>0</v>
      </c>
      <c r="R392" s="34">
        <f>TablaSTOCKINV[[#This Row],[P.UNITARIO]]*TablaSTOCKINV[[#This Row],[CANT. TOTAL]]</f>
        <v>0</v>
      </c>
      <c r="S392" s="44">
        <f>_xlfn.XLOOKUP(TablaSTOCKINV[[#This Row],[SKU]],TablaINVENTARIO[SKU],TablaINVENTARIO[FECHA INGRESO])</f>
        <v>46023</v>
      </c>
      <c r="T392" s="44">
        <f>_xlfn.XLOOKUP(TablaSTOCKINV[[#This Row],[SKU]],TablaENTRADA[SKU],TablaENTRADA[FECHA],,0,-1)</f>
        <v>46023</v>
      </c>
      <c r="U392" s="46" t="str">
        <f>IFERROR((_xlfn.XLOOKUP(TablaSTOCKINV[[#This Row],[SKU]],TablaSALIDA[SKU],TablaSALIDA[FECHA],,0,-1))," " )</f>
        <v xml:space="preserve"> </v>
      </c>
    </row>
    <row r="393" spans="1:21" x14ac:dyDescent="0.3">
      <c r="A393" s="27" t="s">
        <v>1652</v>
      </c>
      <c r="B393" s="32" t="str">
        <f>_xlfn.XLOOKUP(TablaSTOCKINV[[#This Row],[SKU]],TablaINVENTARIO[SKU],TablaINVENTARIO[DESCRIPCION])</f>
        <v>TUBO DE ESTAÑO 15G</v>
      </c>
      <c r="C393" s="32" t="str">
        <f>_xlfn.XLOOKUP(TablaSTOCKINV[[#This Row],[SKU]],TablaINVENTARIO[SKU],TablaINVENTARIO[MARCA])</f>
        <v>N/A</v>
      </c>
      <c r="D393" s="33" t="str">
        <f>_xlfn.XLOOKUP(TablaSTOCKINV[[#This Row],[SKU]],TablaINVENTARIO[SKU],TablaINVENTARIO[CATEGORIA])</f>
        <v>HERRAMIENTAS_</v>
      </c>
      <c r="E393" s="33" t="str">
        <f>_xlfn.XLOOKUP(TablaSTOCKINV[[#This Row],[SKU]],TablaINVENTARIO[SKU],TablaINVENTARIO[SUBCATEGORIA])</f>
        <v xml:space="preserve">MATERIAL DE CONSTRUCCIÓN </v>
      </c>
      <c r="F393" s="33" t="str">
        <f>_xlfn.XLOOKUP(TablaSTOCKINV[[#This Row],[SKU]],TablaINVENTARIO[SKU],TablaINVENTARIO[ESTADO])</f>
        <v xml:space="preserve">NUEVO </v>
      </c>
      <c r="G393" s="33" t="str">
        <f>_xlfn.XLOOKUP(TablaSTOCKINV[[#This Row],[SKU]],TablaINVENTARIO[SKU],TablaINVENTARIO[MEDIDA])</f>
        <v>UND</v>
      </c>
      <c r="H393" s="33" t="str">
        <f>_xlfn.XLOOKUP(TablaSTOCKINV[[#This Row],[SKU]],TablaINVENTARIO[SKU],TablaINVENTARIO[SERIAL])</f>
        <v>N/A</v>
      </c>
      <c r="I393" s="34" t="str">
        <f>_xlfn.XLOOKUP(TablaSTOCKINV[[#This Row],[SKU]],TablaINVENTARIO[SKU],TablaINVENTARIO[ALMACEN])</f>
        <v>ALMACEN PRINCIPAL</v>
      </c>
      <c r="J393" s="34" t="str">
        <f>_xlfn.XLOOKUP(TablaSTOCKINV[[#This Row],[SKU]],TablaINVENTARIO[SKU],TablaINVENTARIO[UBICACION])</f>
        <v>3F</v>
      </c>
      <c r="K393" s="34" t="str">
        <f>_xlfn.XLOOKUP(TablaSTOCKINV[[#This Row],[SKU]],TablaINVENTARIO[SKU],TablaINVENTARIO[DPTO RESPONSABLE])</f>
        <v>OPERACIONES</v>
      </c>
      <c r="L393" s="36">
        <f>_xlfn.XLOOKUP(TablaSTOCKINV[[#This Row],[SKU]],TablaINVENTARIO[SKU],TablaINVENTARIO[RANGO MIN])</f>
        <v>0</v>
      </c>
      <c r="M393" s="34" cm="1">
        <f t="array" ref="M393">_xlfn.IFS(TablaSTOCKINV[[#This Row],[CANT. TOTAL]]&lt;=0,1,TablaSTOCKINV[[#This Row],[CANT. TOTAL]]&lt;=TablaSTOCKINV[[#This Row],[MIN]],2,TablaSTOCKINV[[#This Row],[CANT. TOTAL]]&gt;TablaSTOCKINV[[#This Row],[MIN]],3)</f>
        <v>3</v>
      </c>
      <c r="N393" s="34">
        <f>TablaSTOCKINV[[#This Row],[ENTRADAS]]-TablaSTOCKINV[[#This Row],[SALIDAS]]</f>
        <v>3</v>
      </c>
      <c r="O393" s="35">
        <f>SUMIFS(TablaENTRADA[CANT],TablaENTRADA[SKU],TablaSTOCKINV[[#This Row],[SKU]])</f>
        <v>3</v>
      </c>
      <c r="P393" s="35">
        <f>SUMIFS(TablaSALIDA[CANT],TablaSALIDA[SKU],TablaSTOCKINV[[#This Row],[SKU]])</f>
        <v>0</v>
      </c>
      <c r="Q393" s="34">
        <f>_xlfn.XLOOKUP(TablaSTOCKINV[[#This Row],[SKU]],TablaINVENTARIO[SKU],TablaINVENTARIO[PRECIO])</f>
        <v>0</v>
      </c>
      <c r="R393" s="34">
        <f>TablaSTOCKINV[[#This Row],[P.UNITARIO]]*TablaSTOCKINV[[#This Row],[CANT. TOTAL]]</f>
        <v>0</v>
      </c>
      <c r="S393" s="44">
        <f>_xlfn.XLOOKUP(TablaSTOCKINV[[#This Row],[SKU]],TablaINVENTARIO[SKU],TablaINVENTARIO[FECHA INGRESO])</f>
        <v>46023</v>
      </c>
      <c r="T393" s="44">
        <f>_xlfn.XLOOKUP(TablaSTOCKINV[[#This Row],[SKU]],TablaENTRADA[SKU],TablaENTRADA[FECHA],,0,-1)</f>
        <v>46023</v>
      </c>
      <c r="U393" s="46" t="str">
        <f>IFERROR((_xlfn.XLOOKUP(TablaSTOCKINV[[#This Row],[SKU]],TablaSALIDA[SKU],TablaSALIDA[FECHA],,0,-1))," " )</f>
        <v xml:space="preserve"> </v>
      </c>
    </row>
    <row r="394" spans="1:21" x14ac:dyDescent="0.3">
      <c r="A394" s="27" t="s">
        <v>1654</v>
      </c>
      <c r="B394" s="32" t="str">
        <f>_xlfn.XLOOKUP(TablaSTOCKINV[[#This Row],[SKU]],TablaINVENTARIO[SKU],TablaINVENTARIO[DESCRIPCION])</f>
        <v>ENCHUFE MACHO INDUSTRIAL</v>
      </c>
      <c r="C394" s="32" t="str">
        <f>_xlfn.XLOOKUP(TablaSTOCKINV[[#This Row],[SKU]],TablaINVENTARIO[SKU],TablaINVENTARIO[MARCA])</f>
        <v>N/A</v>
      </c>
      <c r="D394" s="33" t="str">
        <f>_xlfn.XLOOKUP(TablaSTOCKINV[[#This Row],[SKU]],TablaINVENTARIO[SKU],TablaINVENTARIO[CATEGORIA])</f>
        <v>HERRAMIENTAS_</v>
      </c>
      <c r="E394" s="33" t="str">
        <f>_xlfn.XLOOKUP(TablaSTOCKINV[[#This Row],[SKU]],TablaINVENTARIO[SKU],TablaINVENTARIO[SUBCATEGORIA])</f>
        <v>MATERIAL ELECTRICO</v>
      </c>
      <c r="F394" s="33" t="str">
        <f>_xlfn.XLOOKUP(TablaSTOCKINV[[#This Row],[SKU]],TablaINVENTARIO[SKU],TablaINVENTARIO[ESTADO])</f>
        <v xml:space="preserve">NUEVO </v>
      </c>
      <c r="G394" s="33" t="str">
        <f>_xlfn.XLOOKUP(TablaSTOCKINV[[#This Row],[SKU]],TablaINVENTARIO[SKU],TablaINVENTARIO[MEDIDA])</f>
        <v>UND</v>
      </c>
      <c r="H394" s="33" t="str">
        <f>_xlfn.XLOOKUP(TablaSTOCKINV[[#This Row],[SKU]],TablaINVENTARIO[SKU],TablaINVENTARIO[SERIAL])</f>
        <v>N/A</v>
      </c>
      <c r="I394" s="34" t="str">
        <f>_xlfn.XLOOKUP(TablaSTOCKINV[[#This Row],[SKU]],TablaINVENTARIO[SKU],TablaINVENTARIO[ALMACEN])</f>
        <v>ALMACEN PRINCIPAL</v>
      </c>
      <c r="J394" s="34" t="str">
        <f>_xlfn.XLOOKUP(TablaSTOCKINV[[#This Row],[SKU]],TablaINVENTARIO[SKU],TablaINVENTARIO[UBICACION])</f>
        <v>3F</v>
      </c>
      <c r="K394" s="34" t="str">
        <f>_xlfn.XLOOKUP(TablaSTOCKINV[[#This Row],[SKU]],TablaINVENTARIO[SKU],TablaINVENTARIO[DPTO RESPONSABLE])</f>
        <v>OPERACIONES</v>
      </c>
      <c r="L394" s="36">
        <f>_xlfn.XLOOKUP(TablaSTOCKINV[[#This Row],[SKU]],TablaINVENTARIO[SKU],TablaINVENTARIO[RANGO MIN])</f>
        <v>0</v>
      </c>
      <c r="M394" s="34" cm="1">
        <f t="array" ref="M394">_xlfn.IFS(TablaSTOCKINV[[#This Row],[CANT. TOTAL]]&lt;=0,1,TablaSTOCKINV[[#This Row],[CANT. TOTAL]]&lt;=TablaSTOCKINV[[#This Row],[MIN]],2,TablaSTOCKINV[[#This Row],[CANT. TOTAL]]&gt;TablaSTOCKINV[[#This Row],[MIN]],3)</f>
        <v>3</v>
      </c>
      <c r="N394" s="34">
        <f>TablaSTOCKINV[[#This Row],[ENTRADAS]]-TablaSTOCKINV[[#This Row],[SALIDAS]]</f>
        <v>1</v>
      </c>
      <c r="O394" s="35">
        <f>SUMIFS(TablaENTRADA[CANT],TablaENTRADA[SKU],TablaSTOCKINV[[#This Row],[SKU]])</f>
        <v>1</v>
      </c>
      <c r="P394" s="35">
        <f>SUMIFS(TablaSALIDA[CANT],TablaSALIDA[SKU],TablaSTOCKINV[[#This Row],[SKU]])</f>
        <v>0</v>
      </c>
      <c r="Q394" s="34">
        <f>_xlfn.XLOOKUP(TablaSTOCKINV[[#This Row],[SKU]],TablaINVENTARIO[SKU],TablaINVENTARIO[PRECIO])</f>
        <v>0</v>
      </c>
      <c r="R394" s="34">
        <f>TablaSTOCKINV[[#This Row],[P.UNITARIO]]*TablaSTOCKINV[[#This Row],[CANT. TOTAL]]</f>
        <v>0</v>
      </c>
      <c r="S394" s="44">
        <f>_xlfn.XLOOKUP(TablaSTOCKINV[[#This Row],[SKU]],TablaINVENTARIO[SKU],TablaINVENTARIO[FECHA INGRESO])</f>
        <v>46023</v>
      </c>
      <c r="T394" s="44">
        <f>_xlfn.XLOOKUP(TablaSTOCKINV[[#This Row],[SKU]],TablaENTRADA[SKU],TablaENTRADA[FECHA],,0,-1)</f>
        <v>46023</v>
      </c>
      <c r="U394" s="46" t="str">
        <f>IFERROR((_xlfn.XLOOKUP(TablaSTOCKINV[[#This Row],[SKU]],TablaSALIDA[SKU],TablaSALIDA[FECHA],,0,-1))," " )</f>
        <v xml:space="preserve"> </v>
      </c>
    </row>
    <row r="395" spans="1:21" x14ac:dyDescent="0.3">
      <c r="A395" s="27" t="s">
        <v>1656</v>
      </c>
      <c r="B395" s="32" t="str">
        <f>_xlfn.XLOOKUP(TablaSTOCKINV[[#This Row],[SKU]],TablaINVENTARIO[SKU],TablaINVENTARIO[DESCRIPCION])</f>
        <v xml:space="preserve">ENCHUFE TRIFASICO PARA EMPOTRAR </v>
      </c>
      <c r="C395" s="32" t="str">
        <f>_xlfn.XLOOKUP(TablaSTOCKINV[[#This Row],[SKU]],TablaINVENTARIO[SKU],TablaINVENTARIO[MARCA])</f>
        <v>N/A</v>
      </c>
      <c r="D395" s="33" t="str">
        <f>_xlfn.XLOOKUP(TablaSTOCKINV[[#This Row],[SKU]],TablaINVENTARIO[SKU],TablaINVENTARIO[CATEGORIA])</f>
        <v>HERRAMIENTAS_</v>
      </c>
      <c r="E395" s="33" t="str">
        <f>_xlfn.XLOOKUP(TablaSTOCKINV[[#This Row],[SKU]],TablaINVENTARIO[SKU],TablaINVENTARIO[SUBCATEGORIA])</f>
        <v>MATERIAL ELECTRICO</v>
      </c>
      <c r="F395" s="33" t="str">
        <f>_xlfn.XLOOKUP(TablaSTOCKINV[[#This Row],[SKU]],TablaINVENTARIO[SKU],TablaINVENTARIO[ESTADO])</f>
        <v xml:space="preserve">NUEVO </v>
      </c>
      <c r="G395" s="33" t="str">
        <f>_xlfn.XLOOKUP(TablaSTOCKINV[[#This Row],[SKU]],TablaINVENTARIO[SKU],TablaINVENTARIO[MEDIDA])</f>
        <v>UND</v>
      </c>
      <c r="H395" s="33" t="str">
        <f>_xlfn.XLOOKUP(TablaSTOCKINV[[#This Row],[SKU]],TablaINVENTARIO[SKU],TablaINVENTARIO[SERIAL])</f>
        <v>N/A</v>
      </c>
      <c r="I395" s="34" t="str">
        <f>_xlfn.XLOOKUP(TablaSTOCKINV[[#This Row],[SKU]],TablaINVENTARIO[SKU],TablaINVENTARIO[ALMACEN])</f>
        <v>ALMACEN PRINCIPAL</v>
      </c>
      <c r="J395" s="34" t="str">
        <f>_xlfn.XLOOKUP(TablaSTOCKINV[[#This Row],[SKU]],TablaINVENTARIO[SKU],TablaINVENTARIO[UBICACION])</f>
        <v>3F</v>
      </c>
      <c r="K395" s="34" t="str">
        <f>_xlfn.XLOOKUP(TablaSTOCKINV[[#This Row],[SKU]],TablaINVENTARIO[SKU],TablaINVENTARIO[DPTO RESPONSABLE])</f>
        <v>OPERACIONES</v>
      </c>
      <c r="L395" s="36">
        <f>_xlfn.XLOOKUP(TablaSTOCKINV[[#This Row],[SKU]],TablaINVENTARIO[SKU],TablaINVENTARIO[RANGO MIN])</f>
        <v>0</v>
      </c>
      <c r="M395" s="34" cm="1">
        <f t="array" ref="M395">_xlfn.IFS(TablaSTOCKINV[[#This Row],[CANT. TOTAL]]&lt;=0,1,TablaSTOCKINV[[#This Row],[CANT. TOTAL]]&lt;=TablaSTOCKINV[[#This Row],[MIN]],2,TablaSTOCKINV[[#This Row],[CANT. TOTAL]]&gt;TablaSTOCKINV[[#This Row],[MIN]],3)</f>
        <v>3</v>
      </c>
      <c r="N395" s="34">
        <f>TablaSTOCKINV[[#This Row],[ENTRADAS]]-TablaSTOCKINV[[#This Row],[SALIDAS]]</f>
        <v>9</v>
      </c>
      <c r="O395" s="35">
        <f>SUMIFS(TablaENTRADA[CANT],TablaENTRADA[SKU],TablaSTOCKINV[[#This Row],[SKU]])</f>
        <v>9</v>
      </c>
      <c r="P395" s="35">
        <f>SUMIFS(TablaSALIDA[CANT],TablaSALIDA[SKU],TablaSTOCKINV[[#This Row],[SKU]])</f>
        <v>0</v>
      </c>
      <c r="Q395" s="34">
        <f>_xlfn.XLOOKUP(TablaSTOCKINV[[#This Row],[SKU]],TablaINVENTARIO[SKU],TablaINVENTARIO[PRECIO])</f>
        <v>0</v>
      </c>
      <c r="R395" s="34">
        <f>TablaSTOCKINV[[#This Row],[P.UNITARIO]]*TablaSTOCKINV[[#This Row],[CANT. TOTAL]]</f>
        <v>0</v>
      </c>
      <c r="S395" s="44">
        <f>_xlfn.XLOOKUP(TablaSTOCKINV[[#This Row],[SKU]],TablaINVENTARIO[SKU],TablaINVENTARIO[FECHA INGRESO])</f>
        <v>46023</v>
      </c>
      <c r="T395" s="44">
        <f>_xlfn.XLOOKUP(TablaSTOCKINV[[#This Row],[SKU]],TablaENTRADA[SKU],TablaENTRADA[FECHA],,0,-1)</f>
        <v>46023</v>
      </c>
      <c r="U395" s="46" t="str">
        <f>IFERROR((_xlfn.XLOOKUP(TablaSTOCKINV[[#This Row],[SKU]],TablaSALIDA[SKU],TablaSALIDA[FECHA],,0,-1))," " )</f>
        <v xml:space="preserve"> </v>
      </c>
    </row>
    <row r="396" spans="1:21" x14ac:dyDescent="0.3">
      <c r="A396" s="27" t="s">
        <v>1658</v>
      </c>
      <c r="B396" s="32" t="str">
        <f>_xlfn.XLOOKUP(TablaSTOCKINV[[#This Row],[SKU]],TablaINVENTARIO[SKU],TablaINVENTARIO[DESCRIPCION])</f>
        <v xml:space="preserve">TERMOCONTRAIBLE GRUESO </v>
      </c>
      <c r="C396" s="32" t="str">
        <f>_xlfn.XLOOKUP(TablaSTOCKINV[[#This Row],[SKU]],TablaINVENTARIO[SKU],TablaINVENTARIO[MARCA])</f>
        <v>N/A</v>
      </c>
      <c r="D396" s="33" t="str">
        <f>_xlfn.XLOOKUP(TablaSTOCKINV[[#This Row],[SKU]],TablaINVENTARIO[SKU],TablaINVENTARIO[CATEGORIA])</f>
        <v>HERRAMIENTAS_</v>
      </c>
      <c r="E396" s="33" t="str">
        <f>_xlfn.XLOOKUP(TablaSTOCKINV[[#This Row],[SKU]],TablaINVENTARIO[SKU],TablaINVENTARIO[SUBCATEGORIA])</f>
        <v>MATERIAL ELECTRICO</v>
      </c>
      <c r="F396" s="33" t="str">
        <f>_xlfn.XLOOKUP(TablaSTOCKINV[[#This Row],[SKU]],TablaINVENTARIO[SKU],TablaINVENTARIO[ESTADO])</f>
        <v xml:space="preserve">NUEVO </v>
      </c>
      <c r="G396" s="33" t="str">
        <f>_xlfn.XLOOKUP(TablaSTOCKINV[[#This Row],[SKU]],TablaINVENTARIO[SKU],TablaINVENTARIO[MEDIDA])</f>
        <v>MTS</v>
      </c>
      <c r="H396" s="33" t="str">
        <f>_xlfn.XLOOKUP(TablaSTOCKINV[[#This Row],[SKU]],TablaINVENTARIO[SKU],TablaINVENTARIO[SERIAL])</f>
        <v>N/A</v>
      </c>
      <c r="I396" s="34" t="str">
        <f>_xlfn.XLOOKUP(TablaSTOCKINV[[#This Row],[SKU]],TablaINVENTARIO[SKU],TablaINVENTARIO[ALMACEN])</f>
        <v>ALMACEN PRINCIPAL</v>
      </c>
      <c r="J396" s="34" t="str">
        <f>_xlfn.XLOOKUP(TablaSTOCKINV[[#This Row],[SKU]],TablaINVENTARIO[SKU],TablaINVENTARIO[UBICACION])</f>
        <v>3F</v>
      </c>
      <c r="K396" s="34" t="str">
        <f>_xlfn.XLOOKUP(TablaSTOCKINV[[#This Row],[SKU]],TablaINVENTARIO[SKU],TablaINVENTARIO[DPTO RESPONSABLE])</f>
        <v>OPERACIONES</v>
      </c>
      <c r="L396" s="36">
        <f>_xlfn.XLOOKUP(TablaSTOCKINV[[#This Row],[SKU]],TablaINVENTARIO[SKU],TablaINVENTARIO[RANGO MIN])</f>
        <v>0</v>
      </c>
      <c r="M396" s="34" cm="1">
        <f t="array" ref="M396">_xlfn.IFS(TablaSTOCKINV[[#This Row],[CANT. TOTAL]]&lt;=0,1,TablaSTOCKINV[[#This Row],[CANT. TOTAL]]&lt;=TablaSTOCKINV[[#This Row],[MIN]],2,TablaSTOCKINV[[#This Row],[CANT. TOTAL]]&gt;TablaSTOCKINV[[#This Row],[MIN]],3)</f>
        <v>3</v>
      </c>
      <c r="N396" s="34">
        <f>TablaSTOCKINV[[#This Row],[ENTRADAS]]-TablaSTOCKINV[[#This Row],[SALIDAS]]</f>
        <v>2</v>
      </c>
      <c r="O396" s="35">
        <f>SUMIFS(TablaENTRADA[CANT],TablaENTRADA[SKU],TablaSTOCKINV[[#This Row],[SKU]])</f>
        <v>2</v>
      </c>
      <c r="P396" s="35">
        <f>SUMIFS(TablaSALIDA[CANT],TablaSALIDA[SKU],TablaSTOCKINV[[#This Row],[SKU]])</f>
        <v>0</v>
      </c>
      <c r="Q396" s="34">
        <f>_xlfn.XLOOKUP(TablaSTOCKINV[[#This Row],[SKU]],TablaINVENTARIO[SKU],TablaINVENTARIO[PRECIO])</f>
        <v>0</v>
      </c>
      <c r="R396" s="34">
        <f>TablaSTOCKINV[[#This Row],[P.UNITARIO]]*TablaSTOCKINV[[#This Row],[CANT. TOTAL]]</f>
        <v>0</v>
      </c>
      <c r="S396" s="44">
        <f>_xlfn.XLOOKUP(TablaSTOCKINV[[#This Row],[SKU]],TablaINVENTARIO[SKU],TablaINVENTARIO[FECHA INGRESO])</f>
        <v>46023</v>
      </c>
      <c r="T396" s="44">
        <f>_xlfn.XLOOKUP(TablaSTOCKINV[[#This Row],[SKU]],TablaENTRADA[SKU],TablaENTRADA[FECHA],,0,-1)</f>
        <v>46023</v>
      </c>
      <c r="U396" s="46" t="str">
        <f>IFERROR((_xlfn.XLOOKUP(TablaSTOCKINV[[#This Row],[SKU]],TablaSALIDA[SKU],TablaSALIDA[FECHA],,0,-1))," " )</f>
        <v xml:space="preserve"> </v>
      </c>
    </row>
    <row r="397" spans="1:21" x14ac:dyDescent="0.3">
      <c r="A397" s="27" t="s">
        <v>1660</v>
      </c>
      <c r="B397" s="32" t="str">
        <f>_xlfn.XLOOKUP(TablaSTOCKINV[[#This Row],[SKU]],TablaINVENTARIO[SKU],TablaINVENTARIO[DESCRIPCION])</f>
        <v>TERMOCONTRAIBLE DELGADO</v>
      </c>
      <c r="C397" s="32" t="str">
        <f>_xlfn.XLOOKUP(TablaSTOCKINV[[#This Row],[SKU]],TablaINVENTARIO[SKU],TablaINVENTARIO[MARCA])</f>
        <v>N/A</v>
      </c>
      <c r="D397" s="33" t="str">
        <f>_xlfn.XLOOKUP(TablaSTOCKINV[[#This Row],[SKU]],TablaINVENTARIO[SKU],TablaINVENTARIO[CATEGORIA])</f>
        <v>HERRAMIENTAS_</v>
      </c>
      <c r="E397" s="33" t="str">
        <f>_xlfn.XLOOKUP(TablaSTOCKINV[[#This Row],[SKU]],TablaINVENTARIO[SKU],TablaINVENTARIO[SUBCATEGORIA])</f>
        <v>MATERIAL ELECTRICO</v>
      </c>
      <c r="F397" s="33" t="str">
        <f>_xlfn.XLOOKUP(TablaSTOCKINV[[#This Row],[SKU]],TablaINVENTARIO[SKU],TablaINVENTARIO[ESTADO])</f>
        <v xml:space="preserve">NUEVO </v>
      </c>
      <c r="G397" s="33" t="str">
        <f>_xlfn.XLOOKUP(TablaSTOCKINV[[#This Row],[SKU]],TablaINVENTARIO[SKU],TablaINVENTARIO[MEDIDA])</f>
        <v>CM</v>
      </c>
      <c r="H397" s="33" t="str">
        <f>_xlfn.XLOOKUP(TablaSTOCKINV[[#This Row],[SKU]],TablaINVENTARIO[SKU],TablaINVENTARIO[SERIAL])</f>
        <v>N/A</v>
      </c>
      <c r="I397" s="34" t="str">
        <f>_xlfn.XLOOKUP(TablaSTOCKINV[[#This Row],[SKU]],TablaINVENTARIO[SKU],TablaINVENTARIO[ALMACEN])</f>
        <v>ALMACEN PRINCIPAL</v>
      </c>
      <c r="J397" s="34" t="str">
        <f>_xlfn.XLOOKUP(TablaSTOCKINV[[#This Row],[SKU]],TablaINVENTARIO[SKU],TablaINVENTARIO[UBICACION])</f>
        <v>3F</v>
      </c>
      <c r="K397" s="34" t="str">
        <f>_xlfn.XLOOKUP(TablaSTOCKINV[[#This Row],[SKU]],TablaINVENTARIO[SKU],TablaINVENTARIO[DPTO RESPONSABLE])</f>
        <v>OPERACIONES</v>
      </c>
      <c r="L397" s="36">
        <f>_xlfn.XLOOKUP(TablaSTOCKINV[[#This Row],[SKU]],TablaINVENTARIO[SKU],TablaINVENTARIO[RANGO MIN])</f>
        <v>0</v>
      </c>
      <c r="M397" s="34" cm="1">
        <f t="array" ref="M397">_xlfn.IFS(TablaSTOCKINV[[#This Row],[CANT. TOTAL]]&lt;=0,1,TablaSTOCKINV[[#This Row],[CANT. TOTAL]]&lt;=TablaSTOCKINV[[#This Row],[MIN]],2,TablaSTOCKINV[[#This Row],[CANT. TOTAL]]&gt;TablaSTOCKINV[[#This Row],[MIN]],3)</f>
        <v>3</v>
      </c>
      <c r="N397" s="34">
        <f>TablaSTOCKINV[[#This Row],[ENTRADAS]]-TablaSTOCKINV[[#This Row],[SALIDAS]]</f>
        <v>32</v>
      </c>
      <c r="O397" s="35">
        <f>SUMIFS(TablaENTRADA[CANT],TablaENTRADA[SKU],TablaSTOCKINV[[#This Row],[SKU]])</f>
        <v>32</v>
      </c>
      <c r="P397" s="35">
        <f>SUMIFS(TablaSALIDA[CANT],TablaSALIDA[SKU],TablaSTOCKINV[[#This Row],[SKU]])</f>
        <v>0</v>
      </c>
      <c r="Q397" s="34">
        <f>_xlfn.XLOOKUP(TablaSTOCKINV[[#This Row],[SKU]],TablaINVENTARIO[SKU],TablaINVENTARIO[PRECIO])</f>
        <v>0</v>
      </c>
      <c r="R397" s="34">
        <f>TablaSTOCKINV[[#This Row],[P.UNITARIO]]*TablaSTOCKINV[[#This Row],[CANT. TOTAL]]</f>
        <v>0</v>
      </c>
      <c r="S397" s="44">
        <f>_xlfn.XLOOKUP(TablaSTOCKINV[[#This Row],[SKU]],TablaINVENTARIO[SKU],TablaINVENTARIO[FECHA INGRESO])</f>
        <v>46023</v>
      </c>
      <c r="T397" s="44">
        <f>_xlfn.XLOOKUP(TablaSTOCKINV[[#This Row],[SKU]],TablaENTRADA[SKU],TablaENTRADA[FECHA],,0,-1)</f>
        <v>46023</v>
      </c>
      <c r="U397" s="46" t="str">
        <f>IFERROR((_xlfn.XLOOKUP(TablaSTOCKINV[[#This Row],[SKU]],TablaSALIDA[SKU],TablaSALIDA[FECHA],,0,-1))," " )</f>
        <v xml:space="preserve"> </v>
      </c>
    </row>
    <row r="398" spans="1:21" x14ac:dyDescent="0.3">
      <c r="A398" s="27" t="s">
        <v>1663</v>
      </c>
      <c r="B398" s="32" t="str">
        <f>_xlfn.XLOOKUP(TablaSTOCKINV[[#This Row],[SKU]],TablaINVENTARIO[SKU],TablaINVENTARIO[DESCRIPCION])</f>
        <v>TEIPE NEGRO DE ELECTRICIDAD 33</v>
      </c>
      <c r="C398" s="32" t="str">
        <f>_xlfn.XLOOKUP(TablaSTOCKINV[[#This Row],[SKU]],TablaINVENTARIO[SKU],TablaINVENTARIO[MARCA])</f>
        <v xml:space="preserve">3M </v>
      </c>
      <c r="D398" s="33" t="str">
        <f>_xlfn.XLOOKUP(TablaSTOCKINV[[#This Row],[SKU]],TablaINVENTARIO[SKU],TablaINVENTARIO[CATEGORIA])</f>
        <v>HERRAMIENTAS_</v>
      </c>
      <c r="E398" s="33" t="str">
        <f>_xlfn.XLOOKUP(TablaSTOCKINV[[#This Row],[SKU]],TablaINVENTARIO[SKU],TablaINVENTARIO[SUBCATEGORIA])</f>
        <v>MATERIAL ELECTRICO</v>
      </c>
      <c r="F398" s="33" t="str">
        <f>_xlfn.XLOOKUP(TablaSTOCKINV[[#This Row],[SKU]],TablaINVENTARIO[SKU],TablaINVENTARIO[ESTADO])</f>
        <v xml:space="preserve">NUEVO </v>
      </c>
      <c r="G398" s="33" t="str">
        <f>_xlfn.XLOOKUP(TablaSTOCKINV[[#This Row],[SKU]],TablaINVENTARIO[SKU],TablaINVENTARIO[MEDIDA])</f>
        <v>UND</v>
      </c>
      <c r="H398" s="33" t="str">
        <f>_xlfn.XLOOKUP(TablaSTOCKINV[[#This Row],[SKU]],TablaINVENTARIO[SKU],TablaINVENTARIO[SERIAL])</f>
        <v>N/A</v>
      </c>
      <c r="I398" s="34" t="str">
        <f>_xlfn.XLOOKUP(TablaSTOCKINV[[#This Row],[SKU]],TablaINVENTARIO[SKU],TablaINVENTARIO[ALMACEN])</f>
        <v>ALMACEN PRINCIPAL</v>
      </c>
      <c r="J398" s="34" t="str">
        <f>_xlfn.XLOOKUP(TablaSTOCKINV[[#This Row],[SKU]],TablaINVENTARIO[SKU],TablaINVENTARIO[UBICACION])</f>
        <v>3F</v>
      </c>
      <c r="K398" s="34" t="str">
        <f>_xlfn.XLOOKUP(TablaSTOCKINV[[#This Row],[SKU]],TablaINVENTARIO[SKU],TablaINVENTARIO[DPTO RESPONSABLE])</f>
        <v>OPERACIONES</v>
      </c>
      <c r="L398" s="36">
        <f>_xlfn.XLOOKUP(TablaSTOCKINV[[#This Row],[SKU]],TablaINVENTARIO[SKU],TablaINVENTARIO[RANGO MIN])</f>
        <v>0</v>
      </c>
      <c r="M398" s="34" cm="1">
        <f t="array" ref="M398">_xlfn.IFS(TablaSTOCKINV[[#This Row],[CANT. TOTAL]]&lt;=0,1,TablaSTOCKINV[[#This Row],[CANT. TOTAL]]&lt;=TablaSTOCKINV[[#This Row],[MIN]],2,TablaSTOCKINV[[#This Row],[CANT. TOTAL]]&gt;TablaSTOCKINV[[#This Row],[MIN]],3)</f>
        <v>3</v>
      </c>
      <c r="N398" s="34">
        <f>TablaSTOCKINV[[#This Row],[ENTRADAS]]-TablaSTOCKINV[[#This Row],[SALIDAS]]</f>
        <v>5</v>
      </c>
      <c r="O398" s="35">
        <f>SUMIFS(TablaENTRADA[CANT],TablaENTRADA[SKU],TablaSTOCKINV[[#This Row],[SKU]])</f>
        <v>5</v>
      </c>
      <c r="P398" s="35">
        <f>SUMIFS(TablaSALIDA[CANT],TablaSALIDA[SKU],TablaSTOCKINV[[#This Row],[SKU]])</f>
        <v>0</v>
      </c>
      <c r="Q398" s="34">
        <f>_xlfn.XLOOKUP(TablaSTOCKINV[[#This Row],[SKU]],TablaINVENTARIO[SKU],TablaINVENTARIO[PRECIO])</f>
        <v>0</v>
      </c>
      <c r="R398" s="34">
        <f>TablaSTOCKINV[[#This Row],[P.UNITARIO]]*TablaSTOCKINV[[#This Row],[CANT. TOTAL]]</f>
        <v>0</v>
      </c>
      <c r="S398" s="44">
        <f>_xlfn.XLOOKUP(TablaSTOCKINV[[#This Row],[SKU]],TablaINVENTARIO[SKU],TablaINVENTARIO[FECHA INGRESO])</f>
        <v>46023</v>
      </c>
      <c r="T398" s="44">
        <f>_xlfn.XLOOKUP(TablaSTOCKINV[[#This Row],[SKU]],TablaENTRADA[SKU],TablaENTRADA[FECHA],,0,-1)</f>
        <v>46023</v>
      </c>
      <c r="U398" s="46" t="str">
        <f>IFERROR((_xlfn.XLOOKUP(TablaSTOCKINV[[#This Row],[SKU]],TablaSALIDA[SKU],TablaSALIDA[FECHA],,0,-1))," " )</f>
        <v xml:space="preserve"> </v>
      </c>
    </row>
    <row r="399" spans="1:21" x14ac:dyDescent="0.3">
      <c r="A399" s="27" t="s">
        <v>1665</v>
      </c>
      <c r="B399" s="32" t="str">
        <f>_xlfn.XLOOKUP(TablaSTOCKINV[[#This Row],[SKU]],TablaINVENTARIO[SKU],TablaINVENTARIO[DESCRIPCION])</f>
        <v>TEIPE DE ALUMINIO 2"</v>
      </c>
      <c r="C399" s="32" t="str">
        <f>_xlfn.XLOOKUP(TablaSTOCKINV[[#This Row],[SKU]],TablaINVENTARIO[SKU],TablaINVENTARIO[MARCA])</f>
        <v>RGC</v>
      </c>
      <c r="D399" s="33" t="str">
        <f>_xlfn.XLOOKUP(TablaSTOCKINV[[#This Row],[SKU]],TablaINVENTARIO[SKU],TablaINVENTARIO[CATEGORIA])</f>
        <v>HERRAMIENTAS_</v>
      </c>
      <c r="E399" s="33" t="str">
        <f>_xlfn.XLOOKUP(TablaSTOCKINV[[#This Row],[SKU]],TablaINVENTARIO[SKU],TablaINVENTARIO[SUBCATEGORIA])</f>
        <v xml:space="preserve">MATERIAL DE REFRIGERACIÓN </v>
      </c>
      <c r="F399" s="33" t="str">
        <f>_xlfn.XLOOKUP(TablaSTOCKINV[[#This Row],[SKU]],TablaINVENTARIO[SKU],TablaINVENTARIO[ESTADO])</f>
        <v xml:space="preserve">NUEVO </v>
      </c>
      <c r="G399" s="33" t="str">
        <f>_xlfn.XLOOKUP(TablaSTOCKINV[[#This Row],[SKU]],TablaINVENTARIO[SKU],TablaINVENTARIO[MEDIDA])</f>
        <v>UND</v>
      </c>
      <c r="H399" s="33" t="str">
        <f>_xlfn.XLOOKUP(TablaSTOCKINV[[#This Row],[SKU]],TablaINVENTARIO[SKU],TablaINVENTARIO[SERIAL])</f>
        <v>N/A</v>
      </c>
      <c r="I399" s="34" t="str">
        <f>_xlfn.XLOOKUP(TablaSTOCKINV[[#This Row],[SKU]],TablaINVENTARIO[SKU],TablaINVENTARIO[ALMACEN])</f>
        <v>ALMACEN PRINCIPAL</v>
      </c>
      <c r="J399" s="34" t="str">
        <f>_xlfn.XLOOKUP(TablaSTOCKINV[[#This Row],[SKU]],TablaINVENTARIO[SKU],TablaINVENTARIO[UBICACION])</f>
        <v>3F</v>
      </c>
      <c r="K399" s="34" t="str">
        <f>_xlfn.XLOOKUP(TablaSTOCKINV[[#This Row],[SKU]],TablaINVENTARIO[SKU],TablaINVENTARIO[DPTO RESPONSABLE])</f>
        <v>OPERACIONES</v>
      </c>
      <c r="L399" s="36">
        <f>_xlfn.XLOOKUP(TablaSTOCKINV[[#This Row],[SKU]],TablaINVENTARIO[SKU],TablaINVENTARIO[RANGO MIN])</f>
        <v>0</v>
      </c>
      <c r="M399" s="34" cm="1">
        <f t="array" ref="M399">_xlfn.IFS(TablaSTOCKINV[[#This Row],[CANT. TOTAL]]&lt;=0,1,TablaSTOCKINV[[#This Row],[CANT. TOTAL]]&lt;=TablaSTOCKINV[[#This Row],[MIN]],2,TablaSTOCKINV[[#This Row],[CANT. TOTAL]]&gt;TablaSTOCKINV[[#This Row],[MIN]],3)</f>
        <v>3</v>
      </c>
      <c r="N399" s="34">
        <f>TablaSTOCKINV[[#This Row],[ENTRADAS]]-TablaSTOCKINV[[#This Row],[SALIDAS]]</f>
        <v>1</v>
      </c>
      <c r="O399" s="35">
        <f>SUMIFS(TablaENTRADA[CANT],TablaENTRADA[SKU],TablaSTOCKINV[[#This Row],[SKU]])</f>
        <v>1</v>
      </c>
      <c r="P399" s="35">
        <f>SUMIFS(TablaSALIDA[CANT],TablaSALIDA[SKU],TablaSTOCKINV[[#This Row],[SKU]])</f>
        <v>0</v>
      </c>
      <c r="Q399" s="34">
        <f>_xlfn.XLOOKUP(TablaSTOCKINV[[#This Row],[SKU]],TablaINVENTARIO[SKU],TablaINVENTARIO[PRECIO])</f>
        <v>0</v>
      </c>
      <c r="R399" s="34">
        <f>TablaSTOCKINV[[#This Row],[P.UNITARIO]]*TablaSTOCKINV[[#This Row],[CANT. TOTAL]]</f>
        <v>0</v>
      </c>
      <c r="S399" s="44">
        <f>_xlfn.XLOOKUP(TablaSTOCKINV[[#This Row],[SKU]],TablaINVENTARIO[SKU],TablaINVENTARIO[FECHA INGRESO])</f>
        <v>46023</v>
      </c>
      <c r="T399" s="44">
        <f>_xlfn.XLOOKUP(TablaSTOCKINV[[#This Row],[SKU]],TablaENTRADA[SKU],TablaENTRADA[FECHA],,0,-1)</f>
        <v>46023</v>
      </c>
      <c r="U399" s="46" t="str">
        <f>IFERROR((_xlfn.XLOOKUP(TablaSTOCKINV[[#This Row],[SKU]],TablaSALIDA[SKU],TablaSALIDA[FECHA],,0,-1))," " )</f>
        <v xml:space="preserve"> </v>
      </c>
    </row>
    <row r="400" spans="1:21" x14ac:dyDescent="0.3">
      <c r="A400" s="27" t="s">
        <v>1668</v>
      </c>
      <c r="B400" s="32" t="str">
        <f>_xlfn.XLOOKUP(TablaSTOCKINV[[#This Row],[SKU]],TablaINVENTARIO[SKU],TablaINVENTARIO[DESCRIPCION])</f>
        <v>TEIPE DE ALUMINIO 2"</v>
      </c>
      <c r="C400" s="32" t="str">
        <f>_xlfn.XLOOKUP(TablaSTOCKINV[[#This Row],[SKU]],TablaINVENTARIO[SKU],TablaINVENTARIO[MARCA])</f>
        <v>WADFOW</v>
      </c>
      <c r="D400" s="33" t="str">
        <f>_xlfn.XLOOKUP(TablaSTOCKINV[[#This Row],[SKU]],TablaINVENTARIO[SKU],TablaINVENTARIO[CATEGORIA])</f>
        <v>HERRAMIENTAS_</v>
      </c>
      <c r="E400" s="33" t="str">
        <f>_xlfn.XLOOKUP(TablaSTOCKINV[[#This Row],[SKU]],TablaINVENTARIO[SKU],TablaINVENTARIO[SUBCATEGORIA])</f>
        <v xml:space="preserve">MATERIAL DE REFRIGERACIÓN </v>
      </c>
      <c r="F400" s="33" t="str">
        <f>_xlfn.XLOOKUP(TablaSTOCKINV[[#This Row],[SKU]],TablaINVENTARIO[SKU],TablaINVENTARIO[ESTADO])</f>
        <v xml:space="preserve">NUEVO </v>
      </c>
      <c r="G400" s="33" t="str">
        <f>_xlfn.XLOOKUP(TablaSTOCKINV[[#This Row],[SKU]],TablaINVENTARIO[SKU],TablaINVENTARIO[MEDIDA])</f>
        <v>UND</v>
      </c>
      <c r="H400" s="33" t="str">
        <f>_xlfn.XLOOKUP(TablaSTOCKINV[[#This Row],[SKU]],TablaINVENTARIO[SKU],TablaINVENTARIO[SERIAL])</f>
        <v>N/A</v>
      </c>
      <c r="I400" s="34" t="str">
        <f>_xlfn.XLOOKUP(TablaSTOCKINV[[#This Row],[SKU]],TablaINVENTARIO[SKU],TablaINVENTARIO[ALMACEN])</f>
        <v>ALMACEN PRINCIPAL</v>
      </c>
      <c r="J400" s="34" t="str">
        <f>_xlfn.XLOOKUP(TablaSTOCKINV[[#This Row],[SKU]],TablaINVENTARIO[SKU],TablaINVENTARIO[UBICACION])</f>
        <v>3F</v>
      </c>
      <c r="K400" s="34" t="str">
        <f>_xlfn.XLOOKUP(TablaSTOCKINV[[#This Row],[SKU]],TablaINVENTARIO[SKU],TablaINVENTARIO[DPTO RESPONSABLE])</f>
        <v>OPERACIONES</v>
      </c>
      <c r="L400" s="36">
        <f>_xlfn.XLOOKUP(TablaSTOCKINV[[#This Row],[SKU]],TablaINVENTARIO[SKU],TablaINVENTARIO[RANGO MIN])</f>
        <v>0</v>
      </c>
      <c r="M400" s="34" cm="1">
        <f t="array" ref="M400">_xlfn.IFS(TablaSTOCKINV[[#This Row],[CANT. TOTAL]]&lt;=0,1,TablaSTOCKINV[[#This Row],[CANT. TOTAL]]&lt;=TablaSTOCKINV[[#This Row],[MIN]],2,TablaSTOCKINV[[#This Row],[CANT. TOTAL]]&gt;TablaSTOCKINV[[#This Row],[MIN]],3)</f>
        <v>3</v>
      </c>
      <c r="N400" s="34">
        <f>TablaSTOCKINV[[#This Row],[ENTRADAS]]-TablaSTOCKINV[[#This Row],[SALIDAS]]</f>
        <v>1</v>
      </c>
      <c r="O400" s="35">
        <f>SUMIFS(TablaENTRADA[CANT],TablaENTRADA[SKU],TablaSTOCKINV[[#This Row],[SKU]])</f>
        <v>1</v>
      </c>
      <c r="P400" s="35">
        <f>SUMIFS(TablaSALIDA[CANT],TablaSALIDA[SKU],TablaSTOCKINV[[#This Row],[SKU]])</f>
        <v>0</v>
      </c>
      <c r="Q400" s="34">
        <f>_xlfn.XLOOKUP(TablaSTOCKINV[[#This Row],[SKU]],TablaINVENTARIO[SKU],TablaINVENTARIO[PRECIO])</f>
        <v>0</v>
      </c>
      <c r="R400" s="34">
        <f>TablaSTOCKINV[[#This Row],[P.UNITARIO]]*TablaSTOCKINV[[#This Row],[CANT. TOTAL]]</f>
        <v>0</v>
      </c>
      <c r="S400" s="44">
        <f>_xlfn.XLOOKUP(TablaSTOCKINV[[#This Row],[SKU]],TablaINVENTARIO[SKU],TablaINVENTARIO[FECHA INGRESO])</f>
        <v>46023</v>
      </c>
      <c r="T400" s="44">
        <f>_xlfn.XLOOKUP(TablaSTOCKINV[[#This Row],[SKU]],TablaENTRADA[SKU],TablaENTRADA[FECHA],,0,-1)</f>
        <v>46023</v>
      </c>
      <c r="U400" s="46" t="str">
        <f>IFERROR((_xlfn.XLOOKUP(TablaSTOCKINV[[#This Row],[SKU]],TablaSALIDA[SKU],TablaSALIDA[FECHA],,0,-1))," " )</f>
        <v xml:space="preserve"> </v>
      </c>
    </row>
    <row r="401" spans="1:21" x14ac:dyDescent="0.3">
      <c r="A401" s="27" t="s">
        <v>1670</v>
      </c>
      <c r="B401" s="32" t="str">
        <f>_xlfn.XLOOKUP(TablaSTOCKINV[[#This Row],[SKU]],TablaINVENTARIO[SKU],TablaINVENTARIO[DESCRIPCION])</f>
        <v>TEIPE DE GOMA 23</v>
      </c>
      <c r="C401" s="32" t="str">
        <f>_xlfn.XLOOKUP(TablaSTOCKINV[[#This Row],[SKU]],TablaINVENTARIO[SKU],TablaINVENTARIO[MARCA])</f>
        <v xml:space="preserve">3M </v>
      </c>
      <c r="D401" s="33" t="str">
        <f>_xlfn.XLOOKUP(TablaSTOCKINV[[#This Row],[SKU]],TablaINVENTARIO[SKU],TablaINVENTARIO[CATEGORIA])</f>
        <v>HERRAMIENTAS_</v>
      </c>
      <c r="E401" s="33" t="str">
        <f>_xlfn.XLOOKUP(TablaSTOCKINV[[#This Row],[SKU]],TablaINVENTARIO[SKU],TablaINVENTARIO[SUBCATEGORIA])</f>
        <v>MATERIAL ELECTRICO</v>
      </c>
      <c r="F401" s="33" t="str">
        <f>_xlfn.XLOOKUP(TablaSTOCKINV[[#This Row],[SKU]],TablaINVENTARIO[SKU],TablaINVENTARIO[ESTADO])</f>
        <v xml:space="preserve">NUEVO </v>
      </c>
      <c r="G401" s="33" t="str">
        <f>_xlfn.XLOOKUP(TablaSTOCKINV[[#This Row],[SKU]],TablaINVENTARIO[SKU],TablaINVENTARIO[MEDIDA])</f>
        <v>UND</v>
      </c>
      <c r="H401" s="33" t="str">
        <f>_xlfn.XLOOKUP(TablaSTOCKINV[[#This Row],[SKU]],TablaINVENTARIO[SKU],TablaINVENTARIO[SERIAL])</f>
        <v>N/A</v>
      </c>
      <c r="I401" s="34" t="str">
        <f>_xlfn.XLOOKUP(TablaSTOCKINV[[#This Row],[SKU]],TablaINVENTARIO[SKU],TablaINVENTARIO[ALMACEN])</f>
        <v>ALMACEN PRINCIPAL</v>
      </c>
      <c r="J401" s="34" t="str">
        <f>_xlfn.XLOOKUP(TablaSTOCKINV[[#This Row],[SKU]],TablaINVENTARIO[SKU],TablaINVENTARIO[UBICACION])</f>
        <v>3F</v>
      </c>
      <c r="K401" s="34" t="str">
        <f>_xlfn.XLOOKUP(TablaSTOCKINV[[#This Row],[SKU]],TablaINVENTARIO[SKU],TablaINVENTARIO[DPTO RESPONSABLE])</f>
        <v>OPERACIONES</v>
      </c>
      <c r="L401" s="36">
        <f>_xlfn.XLOOKUP(TablaSTOCKINV[[#This Row],[SKU]],TablaINVENTARIO[SKU],TablaINVENTARIO[RANGO MIN])</f>
        <v>0</v>
      </c>
      <c r="M401" s="34" cm="1">
        <f t="array" ref="M401">_xlfn.IFS(TablaSTOCKINV[[#This Row],[CANT. TOTAL]]&lt;=0,1,TablaSTOCKINV[[#This Row],[CANT. TOTAL]]&lt;=TablaSTOCKINV[[#This Row],[MIN]],2,TablaSTOCKINV[[#This Row],[CANT. TOTAL]]&gt;TablaSTOCKINV[[#This Row],[MIN]],3)</f>
        <v>3</v>
      </c>
      <c r="N401" s="34">
        <f>TablaSTOCKINV[[#This Row],[ENTRADAS]]-TablaSTOCKINV[[#This Row],[SALIDAS]]</f>
        <v>3</v>
      </c>
      <c r="O401" s="35">
        <f>SUMIFS(TablaENTRADA[CANT],TablaENTRADA[SKU],TablaSTOCKINV[[#This Row],[SKU]])</f>
        <v>3</v>
      </c>
      <c r="P401" s="35">
        <f>SUMIFS(TablaSALIDA[CANT],TablaSALIDA[SKU],TablaSTOCKINV[[#This Row],[SKU]])</f>
        <v>0</v>
      </c>
      <c r="Q401" s="34">
        <f>_xlfn.XLOOKUP(TablaSTOCKINV[[#This Row],[SKU]],TablaINVENTARIO[SKU],TablaINVENTARIO[PRECIO])</f>
        <v>0</v>
      </c>
      <c r="R401" s="34">
        <f>TablaSTOCKINV[[#This Row],[P.UNITARIO]]*TablaSTOCKINV[[#This Row],[CANT. TOTAL]]</f>
        <v>0</v>
      </c>
      <c r="S401" s="44">
        <f>_xlfn.XLOOKUP(TablaSTOCKINV[[#This Row],[SKU]],TablaINVENTARIO[SKU],TablaINVENTARIO[FECHA INGRESO])</f>
        <v>46023</v>
      </c>
      <c r="T401" s="44">
        <f>_xlfn.XLOOKUP(TablaSTOCKINV[[#This Row],[SKU]],TablaENTRADA[SKU],TablaENTRADA[FECHA],,0,-1)</f>
        <v>46023</v>
      </c>
      <c r="U401" s="46" t="str">
        <f>IFERROR((_xlfn.XLOOKUP(TablaSTOCKINV[[#This Row],[SKU]],TablaSALIDA[SKU],TablaSALIDA[FECHA],,0,-1))," " )</f>
        <v xml:space="preserve"> </v>
      </c>
    </row>
    <row r="402" spans="1:21" x14ac:dyDescent="0.3">
      <c r="A402" s="27" t="s">
        <v>1672</v>
      </c>
      <c r="B402" s="32" t="str">
        <f>_xlfn.XLOOKUP(TablaSTOCKINV[[#This Row],[SKU]],TablaINVENTARIO[SKU],TablaINVENTARIO[DESCRIPCION])</f>
        <v xml:space="preserve">CINTA ADHESIVA DE TELA </v>
      </c>
      <c r="C402" s="32" t="str">
        <f>_xlfn.XLOOKUP(TablaSTOCKINV[[#This Row],[SKU]],TablaINVENTARIO[SKU],TablaINVENTARIO[MARCA])</f>
        <v xml:space="preserve">3M </v>
      </c>
      <c r="D402" s="33" t="str">
        <f>_xlfn.XLOOKUP(TablaSTOCKINV[[#This Row],[SKU]],TablaINVENTARIO[SKU],TablaINVENTARIO[CATEGORIA])</f>
        <v>HERRAMIENTAS_</v>
      </c>
      <c r="E402" s="33" t="str">
        <f>_xlfn.XLOOKUP(TablaSTOCKINV[[#This Row],[SKU]],TablaINVENTARIO[SKU],TablaINVENTARIO[SUBCATEGORIA])</f>
        <v xml:space="preserve">MATERIAL DE CONSTRUCCIÓN </v>
      </c>
      <c r="F402" s="33" t="str">
        <f>_xlfn.XLOOKUP(TablaSTOCKINV[[#This Row],[SKU]],TablaINVENTARIO[SKU],TablaINVENTARIO[ESTADO])</f>
        <v>USADO</v>
      </c>
      <c r="G402" s="33" t="str">
        <f>_xlfn.XLOOKUP(TablaSTOCKINV[[#This Row],[SKU]],TablaINVENTARIO[SKU],TablaINVENTARIO[MEDIDA])</f>
        <v>UND</v>
      </c>
      <c r="H402" s="33" t="str">
        <f>_xlfn.XLOOKUP(TablaSTOCKINV[[#This Row],[SKU]],TablaINVENTARIO[SKU],TablaINVENTARIO[SERIAL])</f>
        <v>N/A</v>
      </c>
      <c r="I402" s="34" t="str">
        <f>_xlfn.XLOOKUP(TablaSTOCKINV[[#This Row],[SKU]],TablaINVENTARIO[SKU],TablaINVENTARIO[ALMACEN])</f>
        <v>ALMACEN PRINCIPAL</v>
      </c>
      <c r="J402" s="34" t="str">
        <f>_xlfn.XLOOKUP(TablaSTOCKINV[[#This Row],[SKU]],TablaINVENTARIO[SKU],TablaINVENTARIO[UBICACION])</f>
        <v>3F</v>
      </c>
      <c r="K402" s="34" t="str">
        <f>_xlfn.XLOOKUP(TablaSTOCKINV[[#This Row],[SKU]],TablaINVENTARIO[SKU],TablaINVENTARIO[DPTO RESPONSABLE])</f>
        <v>OPERACIONES</v>
      </c>
      <c r="L402" s="36">
        <f>_xlfn.XLOOKUP(TablaSTOCKINV[[#This Row],[SKU]],TablaINVENTARIO[SKU],TablaINVENTARIO[RANGO MIN])</f>
        <v>0</v>
      </c>
      <c r="M402" s="34" cm="1">
        <f t="array" ref="M402">_xlfn.IFS(TablaSTOCKINV[[#This Row],[CANT. TOTAL]]&lt;=0,1,TablaSTOCKINV[[#This Row],[CANT. TOTAL]]&lt;=TablaSTOCKINV[[#This Row],[MIN]],2,TablaSTOCKINV[[#This Row],[CANT. TOTAL]]&gt;TablaSTOCKINV[[#This Row],[MIN]],3)</f>
        <v>3</v>
      </c>
      <c r="N402" s="34">
        <f>TablaSTOCKINV[[#This Row],[ENTRADAS]]-TablaSTOCKINV[[#This Row],[SALIDAS]]</f>
        <v>1</v>
      </c>
      <c r="O402" s="35">
        <f>SUMIFS(TablaENTRADA[CANT],TablaENTRADA[SKU],TablaSTOCKINV[[#This Row],[SKU]])</f>
        <v>1</v>
      </c>
      <c r="P402" s="35">
        <f>SUMIFS(TablaSALIDA[CANT],TablaSALIDA[SKU],TablaSTOCKINV[[#This Row],[SKU]])</f>
        <v>0</v>
      </c>
      <c r="Q402" s="34">
        <f>_xlfn.XLOOKUP(TablaSTOCKINV[[#This Row],[SKU]],TablaINVENTARIO[SKU],TablaINVENTARIO[PRECIO])</f>
        <v>0</v>
      </c>
      <c r="R402" s="34">
        <f>TablaSTOCKINV[[#This Row],[P.UNITARIO]]*TablaSTOCKINV[[#This Row],[CANT. TOTAL]]</f>
        <v>0</v>
      </c>
      <c r="S402" s="44">
        <f>_xlfn.XLOOKUP(TablaSTOCKINV[[#This Row],[SKU]],TablaINVENTARIO[SKU],TablaINVENTARIO[FECHA INGRESO])</f>
        <v>46023</v>
      </c>
      <c r="T402" s="44">
        <f>_xlfn.XLOOKUP(TablaSTOCKINV[[#This Row],[SKU]],TablaENTRADA[SKU],TablaENTRADA[FECHA],,0,-1)</f>
        <v>46023</v>
      </c>
      <c r="U402" s="46" t="str">
        <f>IFERROR((_xlfn.XLOOKUP(TablaSTOCKINV[[#This Row],[SKU]],TablaSALIDA[SKU],TablaSALIDA[FECHA],,0,-1))," " )</f>
        <v xml:space="preserve"> </v>
      </c>
    </row>
    <row r="403" spans="1:21" x14ac:dyDescent="0.3">
      <c r="A403" s="27" t="s">
        <v>1674</v>
      </c>
      <c r="B403" s="32" t="str">
        <f>_xlfn.XLOOKUP(TablaSTOCKINV[[#This Row],[SKU]],TablaINVENTARIO[SKU],TablaINVENTARIO[DESCRIPCION])</f>
        <v xml:space="preserve">CINTA DOBLE FAZ </v>
      </c>
      <c r="C403" s="32" t="str">
        <f>_xlfn.XLOOKUP(TablaSTOCKINV[[#This Row],[SKU]],TablaINVENTARIO[SKU],TablaINVENTARIO[MARCA])</f>
        <v xml:space="preserve">3M </v>
      </c>
      <c r="D403" s="33" t="str">
        <f>_xlfn.XLOOKUP(TablaSTOCKINV[[#This Row],[SKU]],TablaINVENTARIO[SKU],TablaINVENTARIO[CATEGORIA])</f>
        <v>HERRAMIENTAS_</v>
      </c>
      <c r="E403" s="33" t="str">
        <f>_xlfn.XLOOKUP(TablaSTOCKINV[[#This Row],[SKU]],TablaINVENTARIO[SKU],TablaINVENTARIO[SUBCATEGORIA])</f>
        <v xml:space="preserve">MATERIAL DE CONSTRUCCIÓN </v>
      </c>
      <c r="F403" s="33" t="str">
        <f>_xlfn.XLOOKUP(TablaSTOCKINV[[#This Row],[SKU]],TablaINVENTARIO[SKU],TablaINVENTARIO[ESTADO])</f>
        <v>USADO</v>
      </c>
      <c r="G403" s="33" t="str">
        <f>_xlfn.XLOOKUP(TablaSTOCKINV[[#This Row],[SKU]],TablaINVENTARIO[SKU],TablaINVENTARIO[MEDIDA])</f>
        <v>UND</v>
      </c>
      <c r="H403" s="33" t="str">
        <f>_xlfn.XLOOKUP(TablaSTOCKINV[[#This Row],[SKU]],TablaINVENTARIO[SKU],TablaINVENTARIO[SERIAL])</f>
        <v>N/A</v>
      </c>
      <c r="I403" s="34" t="str">
        <f>_xlfn.XLOOKUP(TablaSTOCKINV[[#This Row],[SKU]],TablaINVENTARIO[SKU],TablaINVENTARIO[ALMACEN])</f>
        <v>ALMACEN PRINCIPAL</v>
      </c>
      <c r="J403" s="34" t="str">
        <f>_xlfn.XLOOKUP(TablaSTOCKINV[[#This Row],[SKU]],TablaINVENTARIO[SKU],TablaINVENTARIO[UBICACION])</f>
        <v>3F</v>
      </c>
      <c r="K403" s="34" t="str">
        <f>_xlfn.XLOOKUP(TablaSTOCKINV[[#This Row],[SKU]],TablaINVENTARIO[SKU],TablaINVENTARIO[DPTO RESPONSABLE])</f>
        <v>OPERACIONES</v>
      </c>
      <c r="L403" s="36">
        <f>_xlfn.XLOOKUP(TablaSTOCKINV[[#This Row],[SKU]],TablaINVENTARIO[SKU],TablaINVENTARIO[RANGO MIN])</f>
        <v>0</v>
      </c>
      <c r="M403" s="34" cm="1">
        <f t="array" ref="M403">_xlfn.IFS(TablaSTOCKINV[[#This Row],[CANT. TOTAL]]&lt;=0,1,TablaSTOCKINV[[#This Row],[CANT. TOTAL]]&lt;=TablaSTOCKINV[[#This Row],[MIN]],2,TablaSTOCKINV[[#This Row],[CANT. TOTAL]]&gt;TablaSTOCKINV[[#This Row],[MIN]],3)</f>
        <v>3</v>
      </c>
      <c r="N403" s="34">
        <f>TablaSTOCKINV[[#This Row],[ENTRADAS]]-TablaSTOCKINV[[#This Row],[SALIDAS]]</f>
        <v>1</v>
      </c>
      <c r="O403" s="35">
        <f>SUMIFS(TablaENTRADA[CANT],TablaENTRADA[SKU],TablaSTOCKINV[[#This Row],[SKU]])</f>
        <v>1</v>
      </c>
      <c r="P403" s="35">
        <f>SUMIFS(TablaSALIDA[CANT],TablaSALIDA[SKU],TablaSTOCKINV[[#This Row],[SKU]])</f>
        <v>0</v>
      </c>
      <c r="Q403" s="34">
        <f>_xlfn.XLOOKUP(TablaSTOCKINV[[#This Row],[SKU]],TablaINVENTARIO[SKU],TablaINVENTARIO[PRECIO])</f>
        <v>0</v>
      </c>
      <c r="R403" s="34">
        <f>TablaSTOCKINV[[#This Row],[P.UNITARIO]]*TablaSTOCKINV[[#This Row],[CANT. TOTAL]]</f>
        <v>0</v>
      </c>
      <c r="S403" s="44">
        <f>_xlfn.XLOOKUP(TablaSTOCKINV[[#This Row],[SKU]],TablaINVENTARIO[SKU],TablaINVENTARIO[FECHA INGRESO])</f>
        <v>46023</v>
      </c>
      <c r="T403" s="44">
        <f>_xlfn.XLOOKUP(TablaSTOCKINV[[#This Row],[SKU]],TablaENTRADA[SKU],TablaENTRADA[FECHA],,0,-1)</f>
        <v>46023</v>
      </c>
      <c r="U403" s="46" t="str">
        <f>IFERROR((_xlfn.XLOOKUP(TablaSTOCKINV[[#This Row],[SKU]],TablaSALIDA[SKU],TablaSALIDA[FECHA],,0,-1))," " )</f>
        <v xml:space="preserve"> </v>
      </c>
    </row>
    <row r="404" spans="1:21" x14ac:dyDescent="0.3">
      <c r="A404" s="27" t="s">
        <v>1676</v>
      </c>
      <c r="B404" s="32" t="str">
        <f>_xlfn.XLOOKUP(TablaSTOCKINV[[#This Row],[SKU]],TablaINVENTARIO[SKU],TablaINVENTARIO[DESCRIPCION])</f>
        <v xml:space="preserve">ENCHUFE MACHO TIPO CHINO </v>
      </c>
      <c r="C404" s="32" t="str">
        <f>_xlfn.XLOOKUP(TablaSTOCKINV[[#This Row],[SKU]],TablaINVENTARIO[SKU],TablaINVENTARIO[MARCA])</f>
        <v xml:space="preserve">SEMILIC </v>
      </c>
      <c r="D404" s="33" t="str">
        <f>_xlfn.XLOOKUP(TablaSTOCKINV[[#This Row],[SKU]],TablaINVENTARIO[SKU],TablaINVENTARIO[CATEGORIA])</f>
        <v>HERRAMIENTAS_</v>
      </c>
      <c r="E404" s="33" t="str">
        <f>_xlfn.XLOOKUP(TablaSTOCKINV[[#This Row],[SKU]],TablaINVENTARIO[SKU],TablaINVENTARIO[SUBCATEGORIA])</f>
        <v>MATERIAL ELECTRICO</v>
      </c>
      <c r="F404" s="33" t="str">
        <f>_xlfn.XLOOKUP(TablaSTOCKINV[[#This Row],[SKU]],TablaINVENTARIO[SKU],TablaINVENTARIO[ESTADO])</f>
        <v xml:space="preserve">NUEVO </v>
      </c>
      <c r="G404" s="33" t="str">
        <f>_xlfn.XLOOKUP(TablaSTOCKINV[[#This Row],[SKU]],TablaINVENTARIO[SKU],TablaINVENTARIO[MEDIDA])</f>
        <v>UND</v>
      </c>
      <c r="H404" s="33" t="str">
        <f>_xlfn.XLOOKUP(TablaSTOCKINV[[#This Row],[SKU]],TablaINVENTARIO[SKU],TablaINVENTARIO[SERIAL])</f>
        <v>N/A</v>
      </c>
      <c r="I404" s="34" t="str">
        <f>_xlfn.XLOOKUP(TablaSTOCKINV[[#This Row],[SKU]],TablaINVENTARIO[SKU],TablaINVENTARIO[ALMACEN])</f>
        <v>ALMACEN PRINCIPAL</v>
      </c>
      <c r="J404" s="34" t="str">
        <f>_xlfn.XLOOKUP(TablaSTOCKINV[[#This Row],[SKU]],TablaINVENTARIO[SKU],TablaINVENTARIO[UBICACION])</f>
        <v>3F</v>
      </c>
      <c r="K404" s="34" t="str">
        <f>_xlfn.XLOOKUP(TablaSTOCKINV[[#This Row],[SKU]],TablaINVENTARIO[SKU],TablaINVENTARIO[DPTO RESPONSABLE])</f>
        <v>MANTENIMIENTO</v>
      </c>
      <c r="L404" s="36">
        <f>_xlfn.XLOOKUP(TablaSTOCKINV[[#This Row],[SKU]],TablaINVENTARIO[SKU],TablaINVENTARIO[RANGO MIN])</f>
        <v>0</v>
      </c>
      <c r="M404" s="34" cm="1">
        <f t="array" ref="M404">_xlfn.IFS(TablaSTOCKINV[[#This Row],[CANT. TOTAL]]&lt;=0,1,TablaSTOCKINV[[#This Row],[CANT. TOTAL]]&lt;=TablaSTOCKINV[[#This Row],[MIN]],2,TablaSTOCKINV[[#This Row],[CANT. TOTAL]]&gt;TablaSTOCKINV[[#This Row],[MIN]],3)</f>
        <v>3</v>
      </c>
      <c r="N404" s="34">
        <f>TablaSTOCKINV[[#This Row],[ENTRADAS]]-TablaSTOCKINV[[#This Row],[SALIDAS]]</f>
        <v>5</v>
      </c>
      <c r="O404" s="35">
        <f>SUMIFS(TablaENTRADA[CANT],TablaENTRADA[SKU],TablaSTOCKINV[[#This Row],[SKU]])</f>
        <v>5</v>
      </c>
      <c r="P404" s="35">
        <f>SUMIFS(TablaSALIDA[CANT],TablaSALIDA[SKU],TablaSTOCKINV[[#This Row],[SKU]])</f>
        <v>0</v>
      </c>
      <c r="Q404" s="34">
        <f>_xlfn.XLOOKUP(TablaSTOCKINV[[#This Row],[SKU]],TablaINVENTARIO[SKU],TablaINVENTARIO[PRECIO])</f>
        <v>0</v>
      </c>
      <c r="R404" s="34">
        <f>TablaSTOCKINV[[#This Row],[P.UNITARIO]]*TablaSTOCKINV[[#This Row],[CANT. TOTAL]]</f>
        <v>0</v>
      </c>
      <c r="S404" s="44">
        <f>_xlfn.XLOOKUP(TablaSTOCKINV[[#This Row],[SKU]],TablaINVENTARIO[SKU],TablaINVENTARIO[FECHA INGRESO])</f>
        <v>46023</v>
      </c>
      <c r="T404" s="44">
        <f>_xlfn.XLOOKUP(TablaSTOCKINV[[#This Row],[SKU]],TablaENTRADA[SKU],TablaENTRADA[FECHA],,0,-1)</f>
        <v>46023</v>
      </c>
      <c r="U404" s="46" t="str">
        <f>IFERROR((_xlfn.XLOOKUP(TablaSTOCKINV[[#This Row],[SKU]],TablaSALIDA[SKU],TablaSALIDA[FECHA],,0,-1))," " )</f>
        <v xml:space="preserve"> </v>
      </c>
    </row>
    <row r="405" spans="1:21" x14ac:dyDescent="0.3">
      <c r="A405" s="27" t="s">
        <v>1679</v>
      </c>
      <c r="B405" s="32" t="str">
        <f>_xlfn.XLOOKUP(TablaSTOCKINV[[#This Row],[SKU]],TablaINVENTARIO[SKU],TablaINVENTARIO[DESCRIPCION])</f>
        <v xml:space="preserve">ENCHUFE HEMBRA TIPO CHINO </v>
      </c>
      <c r="C405" s="32" t="str">
        <f>_xlfn.XLOOKUP(TablaSTOCKINV[[#This Row],[SKU]],TablaINVENTARIO[SKU],TablaINVENTARIO[MARCA])</f>
        <v xml:space="preserve">SEMILIC </v>
      </c>
      <c r="D405" s="33" t="str">
        <f>_xlfn.XLOOKUP(TablaSTOCKINV[[#This Row],[SKU]],TablaINVENTARIO[SKU],TablaINVENTARIO[CATEGORIA])</f>
        <v>HERRAMIENTAS_</v>
      </c>
      <c r="E405" s="33" t="str">
        <f>_xlfn.XLOOKUP(TablaSTOCKINV[[#This Row],[SKU]],TablaINVENTARIO[SKU],TablaINVENTARIO[SUBCATEGORIA])</f>
        <v>MATERIAL ELECTRICO</v>
      </c>
      <c r="F405" s="33" t="str">
        <f>_xlfn.XLOOKUP(TablaSTOCKINV[[#This Row],[SKU]],TablaINVENTARIO[SKU],TablaINVENTARIO[ESTADO])</f>
        <v xml:space="preserve">NUEVO </v>
      </c>
      <c r="G405" s="33" t="str">
        <f>_xlfn.XLOOKUP(TablaSTOCKINV[[#This Row],[SKU]],TablaINVENTARIO[SKU],TablaINVENTARIO[MEDIDA])</f>
        <v>UND</v>
      </c>
      <c r="H405" s="33" t="str">
        <f>_xlfn.XLOOKUP(TablaSTOCKINV[[#This Row],[SKU]],TablaINVENTARIO[SKU],TablaINVENTARIO[SERIAL])</f>
        <v>N/A</v>
      </c>
      <c r="I405" s="34" t="str">
        <f>_xlfn.XLOOKUP(TablaSTOCKINV[[#This Row],[SKU]],TablaINVENTARIO[SKU],TablaINVENTARIO[ALMACEN])</f>
        <v>ALMACEN PRINCIPAL</v>
      </c>
      <c r="J405" s="34" t="str">
        <f>_xlfn.XLOOKUP(TablaSTOCKINV[[#This Row],[SKU]],TablaINVENTARIO[SKU],TablaINVENTARIO[UBICACION])</f>
        <v>3F</v>
      </c>
      <c r="K405" s="34" t="str">
        <f>_xlfn.XLOOKUP(TablaSTOCKINV[[#This Row],[SKU]],TablaINVENTARIO[SKU],TablaINVENTARIO[DPTO RESPONSABLE])</f>
        <v>MANTENIMIENTO</v>
      </c>
      <c r="L405" s="36">
        <f>_xlfn.XLOOKUP(TablaSTOCKINV[[#This Row],[SKU]],TablaINVENTARIO[SKU],TablaINVENTARIO[RANGO MIN])</f>
        <v>0</v>
      </c>
      <c r="M405" s="34" cm="1">
        <f t="array" ref="M405">_xlfn.IFS(TablaSTOCKINV[[#This Row],[CANT. TOTAL]]&lt;=0,1,TablaSTOCKINV[[#This Row],[CANT. TOTAL]]&lt;=TablaSTOCKINV[[#This Row],[MIN]],2,TablaSTOCKINV[[#This Row],[CANT. TOTAL]]&gt;TablaSTOCKINV[[#This Row],[MIN]],3)</f>
        <v>3</v>
      </c>
      <c r="N405" s="34">
        <f>TablaSTOCKINV[[#This Row],[ENTRADAS]]-TablaSTOCKINV[[#This Row],[SALIDAS]]</f>
        <v>7</v>
      </c>
      <c r="O405" s="35">
        <f>SUMIFS(TablaENTRADA[CANT],TablaENTRADA[SKU],TablaSTOCKINV[[#This Row],[SKU]])</f>
        <v>7</v>
      </c>
      <c r="P405" s="35">
        <f>SUMIFS(TablaSALIDA[CANT],TablaSALIDA[SKU],TablaSTOCKINV[[#This Row],[SKU]])</f>
        <v>0</v>
      </c>
      <c r="Q405" s="34">
        <f>_xlfn.XLOOKUP(TablaSTOCKINV[[#This Row],[SKU]],TablaINVENTARIO[SKU],TablaINVENTARIO[PRECIO])</f>
        <v>0</v>
      </c>
      <c r="R405" s="34">
        <f>TablaSTOCKINV[[#This Row],[P.UNITARIO]]*TablaSTOCKINV[[#This Row],[CANT. TOTAL]]</f>
        <v>0</v>
      </c>
      <c r="S405" s="44">
        <f>_xlfn.XLOOKUP(TablaSTOCKINV[[#This Row],[SKU]],TablaINVENTARIO[SKU],TablaINVENTARIO[FECHA INGRESO])</f>
        <v>46023</v>
      </c>
      <c r="T405" s="44">
        <f>_xlfn.XLOOKUP(TablaSTOCKINV[[#This Row],[SKU]],TablaENTRADA[SKU],TablaENTRADA[FECHA],,0,-1)</f>
        <v>46023</v>
      </c>
      <c r="U405" s="46" t="str">
        <f>IFERROR((_xlfn.XLOOKUP(TablaSTOCKINV[[#This Row],[SKU]],TablaSALIDA[SKU],TablaSALIDA[FECHA],,0,-1))," " )</f>
        <v xml:space="preserve"> </v>
      </c>
    </row>
    <row r="406" spans="1:21" x14ac:dyDescent="0.3">
      <c r="A406" s="27" t="s">
        <v>1681</v>
      </c>
      <c r="B406" s="32" t="str">
        <f>_xlfn.XLOOKUP(TablaSTOCKINV[[#This Row],[SKU]],TablaINVENTARIO[SKU],TablaINVENTARIO[DESCRIPCION])</f>
        <v xml:space="preserve">ENCHUFE TRIFASICO MACHO </v>
      </c>
      <c r="C406" s="32" t="str">
        <f>_xlfn.XLOOKUP(TablaSTOCKINV[[#This Row],[SKU]],TablaINVENTARIO[SKU],TablaINVENTARIO[MARCA])</f>
        <v>N/A</v>
      </c>
      <c r="D406" s="33" t="str">
        <f>_xlfn.XLOOKUP(TablaSTOCKINV[[#This Row],[SKU]],TablaINVENTARIO[SKU],TablaINVENTARIO[CATEGORIA])</f>
        <v>HERRAMIENTAS_</v>
      </c>
      <c r="E406" s="33" t="str">
        <f>_xlfn.XLOOKUP(TablaSTOCKINV[[#This Row],[SKU]],TablaINVENTARIO[SKU],TablaINVENTARIO[SUBCATEGORIA])</f>
        <v>MATERIAL ELECTRICO</v>
      </c>
      <c r="F406" s="33" t="str">
        <f>_xlfn.XLOOKUP(TablaSTOCKINV[[#This Row],[SKU]],TablaINVENTARIO[SKU],TablaINVENTARIO[ESTADO])</f>
        <v xml:space="preserve">NUEVO </v>
      </c>
      <c r="G406" s="33" t="str">
        <f>_xlfn.XLOOKUP(TablaSTOCKINV[[#This Row],[SKU]],TablaINVENTARIO[SKU],TablaINVENTARIO[MEDIDA])</f>
        <v>UND</v>
      </c>
      <c r="H406" s="33" t="str">
        <f>_xlfn.XLOOKUP(TablaSTOCKINV[[#This Row],[SKU]],TablaINVENTARIO[SKU],TablaINVENTARIO[SERIAL])</f>
        <v>N/A</v>
      </c>
      <c r="I406" s="34" t="str">
        <f>_xlfn.XLOOKUP(TablaSTOCKINV[[#This Row],[SKU]],TablaINVENTARIO[SKU],TablaINVENTARIO[ALMACEN])</f>
        <v>ALMACEN PRINCIPAL</v>
      </c>
      <c r="J406" s="34" t="str">
        <f>_xlfn.XLOOKUP(TablaSTOCKINV[[#This Row],[SKU]],TablaINVENTARIO[SKU],TablaINVENTARIO[UBICACION])</f>
        <v>3F</v>
      </c>
      <c r="K406" s="34" t="str">
        <f>_xlfn.XLOOKUP(TablaSTOCKINV[[#This Row],[SKU]],TablaINVENTARIO[SKU],TablaINVENTARIO[DPTO RESPONSABLE])</f>
        <v>MANTENIMIENTO</v>
      </c>
      <c r="L406" s="36">
        <f>_xlfn.XLOOKUP(TablaSTOCKINV[[#This Row],[SKU]],TablaINVENTARIO[SKU],TablaINVENTARIO[RANGO MIN])</f>
        <v>0</v>
      </c>
      <c r="M406" s="34" cm="1">
        <f t="array" ref="M406">_xlfn.IFS(TablaSTOCKINV[[#This Row],[CANT. TOTAL]]&lt;=0,1,TablaSTOCKINV[[#This Row],[CANT. TOTAL]]&lt;=TablaSTOCKINV[[#This Row],[MIN]],2,TablaSTOCKINV[[#This Row],[CANT. TOTAL]]&gt;TablaSTOCKINV[[#This Row],[MIN]],3)</f>
        <v>3</v>
      </c>
      <c r="N406" s="34">
        <f>TablaSTOCKINV[[#This Row],[ENTRADAS]]-TablaSTOCKINV[[#This Row],[SALIDAS]]</f>
        <v>4</v>
      </c>
      <c r="O406" s="35">
        <f>SUMIFS(TablaENTRADA[CANT],TablaENTRADA[SKU],TablaSTOCKINV[[#This Row],[SKU]])</f>
        <v>4</v>
      </c>
      <c r="P406" s="35">
        <f>SUMIFS(TablaSALIDA[CANT],TablaSALIDA[SKU],TablaSTOCKINV[[#This Row],[SKU]])</f>
        <v>0</v>
      </c>
      <c r="Q406" s="34">
        <f>_xlfn.XLOOKUP(TablaSTOCKINV[[#This Row],[SKU]],TablaINVENTARIO[SKU],TablaINVENTARIO[PRECIO])</f>
        <v>0</v>
      </c>
      <c r="R406" s="34">
        <f>TablaSTOCKINV[[#This Row],[P.UNITARIO]]*TablaSTOCKINV[[#This Row],[CANT. TOTAL]]</f>
        <v>0</v>
      </c>
      <c r="S406" s="44">
        <f>_xlfn.XLOOKUP(TablaSTOCKINV[[#This Row],[SKU]],TablaINVENTARIO[SKU],TablaINVENTARIO[FECHA INGRESO])</f>
        <v>46023</v>
      </c>
      <c r="T406" s="44">
        <f>_xlfn.XLOOKUP(TablaSTOCKINV[[#This Row],[SKU]],TablaENTRADA[SKU],TablaENTRADA[FECHA],,0,-1)</f>
        <v>46023</v>
      </c>
      <c r="U406" s="46" t="str">
        <f>IFERROR((_xlfn.XLOOKUP(TablaSTOCKINV[[#This Row],[SKU]],TablaSALIDA[SKU],TablaSALIDA[FECHA],,0,-1))," " )</f>
        <v xml:space="preserve"> </v>
      </c>
    </row>
    <row r="407" spans="1:21" x14ac:dyDescent="0.3">
      <c r="A407" s="27" t="s">
        <v>1683</v>
      </c>
      <c r="B407" s="32" t="str">
        <f>_xlfn.XLOOKUP(TablaSTOCKINV[[#This Row],[SKU]],TablaINVENTARIO[SKU],TablaINVENTARIO[DESCRIPCION])</f>
        <v xml:space="preserve">BREAKER MONOFASICO  1 X 20 120/240V </v>
      </c>
      <c r="C407" s="32" t="str">
        <f>_xlfn.XLOOKUP(TablaSTOCKINV[[#This Row],[SKU]],TablaINVENTARIO[SKU],TablaINVENTARIO[MARCA])</f>
        <v>BTICINO</v>
      </c>
      <c r="D407" s="33" t="str">
        <f>_xlfn.XLOOKUP(TablaSTOCKINV[[#This Row],[SKU]],TablaINVENTARIO[SKU],TablaINVENTARIO[CATEGORIA])</f>
        <v>HERRAMIENTAS_</v>
      </c>
      <c r="E407" s="33" t="str">
        <f>_xlfn.XLOOKUP(TablaSTOCKINV[[#This Row],[SKU]],TablaINVENTARIO[SKU],TablaINVENTARIO[SUBCATEGORIA])</f>
        <v>MATERIAL ELECTRICO</v>
      </c>
      <c r="F407" s="33" t="str">
        <f>_xlfn.XLOOKUP(TablaSTOCKINV[[#This Row],[SKU]],TablaINVENTARIO[SKU],TablaINVENTARIO[ESTADO])</f>
        <v>USADO</v>
      </c>
      <c r="G407" s="33" t="str">
        <f>_xlfn.XLOOKUP(TablaSTOCKINV[[#This Row],[SKU]],TablaINVENTARIO[SKU],TablaINVENTARIO[MEDIDA])</f>
        <v>UND</v>
      </c>
      <c r="H407" s="33" t="str">
        <f>_xlfn.XLOOKUP(TablaSTOCKINV[[#This Row],[SKU]],TablaINVENTARIO[SKU],TablaINVENTARIO[SERIAL])</f>
        <v>N/A</v>
      </c>
      <c r="I407" s="34" t="str">
        <f>_xlfn.XLOOKUP(TablaSTOCKINV[[#This Row],[SKU]],TablaINVENTARIO[SKU],TablaINVENTARIO[ALMACEN])</f>
        <v>ALMACEN PRINCIPAL</v>
      </c>
      <c r="J407" s="34" t="str">
        <f>_xlfn.XLOOKUP(TablaSTOCKINV[[#This Row],[SKU]],TablaINVENTARIO[SKU],TablaINVENTARIO[UBICACION])</f>
        <v>3H</v>
      </c>
      <c r="K407" s="34" t="str">
        <f>_xlfn.XLOOKUP(TablaSTOCKINV[[#This Row],[SKU]],TablaINVENTARIO[SKU],TablaINVENTARIO[DPTO RESPONSABLE])</f>
        <v>MANTENIMIENTO</v>
      </c>
      <c r="L407" s="36">
        <f>_xlfn.XLOOKUP(TablaSTOCKINV[[#This Row],[SKU]],TablaINVENTARIO[SKU],TablaINVENTARIO[RANGO MIN])</f>
        <v>0</v>
      </c>
      <c r="M407" s="34" cm="1">
        <f t="array" ref="M407">_xlfn.IFS(TablaSTOCKINV[[#This Row],[CANT. TOTAL]]&lt;=0,1,TablaSTOCKINV[[#This Row],[CANT. TOTAL]]&lt;=TablaSTOCKINV[[#This Row],[MIN]],2,TablaSTOCKINV[[#This Row],[CANT. TOTAL]]&gt;TablaSTOCKINV[[#This Row],[MIN]],3)</f>
        <v>3</v>
      </c>
      <c r="N407" s="34">
        <f>TablaSTOCKINV[[#This Row],[ENTRADAS]]-TablaSTOCKINV[[#This Row],[SALIDAS]]</f>
        <v>2</v>
      </c>
      <c r="O407" s="35">
        <f>SUMIFS(TablaENTRADA[CANT],TablaENTRADA[SKU],TablaSTOCKINV[[#This Row],[SKU]])</f>
        <v>2</v>
      </c>
      <c r="P407" s="35">
        <f>SUMIFS(TablaSALIDA[CANT],TablaSALIDA[SKU],TablaSTOCKINV[[#This Row],[SKU]])</f>
        <v>0</v>
      </c>
      <c r="Q407" s="34">
        <f>_xlfn.XLOOKUP(TablaSTOCKINV[[#This Row],[SKU]],TablaINVENTARIO[SKU],TablaINVENTARIO[PRECIO])</f>
        <v>0</v>
      </c>
      <c r="R407" s="34">
        <f>TablaSTOCKINV[[#This Row],[P.UNITARIO]]*TablaSTOCKINV[[#This Row],[CANT. TOTAL]]</f>
        <v>0</v>
      </c>
      <c r="S407" s="44">
        <f>_xlfn.XLOOKUP(TablaSTOCKINV[[#This Row],[SKU]],TablaINVENTARIO[SKU],TablaINVENTARIO[FECHA INGRESO])</f>
        <v>46023</v>
      </c>
      <c r="T407" s="44">
        <f>_xlfn.XLOOKUP(TablaSTOCKINV[[#This Row],[SKU]],TablaENTRADA[SKU],TablaENTRADA[FECHA],,0,-1)</f>
        <v>46023</v>
      </c>
      <c r="U407" s="46" t="str">
        <f>IFERROR((_xlfn.XLOOKUP(TablaSTOCKINV[[#This Row],[SKU]],TablaSALIDA[SKU],TablaSALIDA[FECHA],,0,-1))," " )</f>
        <v xml:space="preserve"> </v>
      </c>
    </row>
    <row r="408" spans="1:21" x14ac:dyDescent="0.3">
      <c r="A408" s="27" t="s">
        <v>1686</v>
      </c>
      <c r="B408" s="32" t="str">
        <f>_xlfn.XLOOKUP(TablaSTOCKINV[[#This Row],[SKU]],TablaINVENTARIO[SKU],TablaINVENTARIO[DESCRIPCION])</f>
        <v xml:space="preserve">BREAKER BIFASICO  2 X 70 120/240V </v>
      </c>
      <c r="C408" s="32" t="str">
        <f>_xlfn.XLOOKUP(TablaSTOCKINV[[#This Row],[SKU]],TablaINVENTARIO[SKU],TablaINVENTARIO[MARCA])</f>
        <v>SIEMENS</v>
      </c>
      <c r="D408" s="33" t="str">
        <f>_xlfn.XLOOKUP(TablaSTOCKINV[[#This Row],[SKU]],TablaINVENTARIO[SKU],TablaINVENTARIO[CATEGORIA])</f>
        <v>HERRAMIENTAS_</v>
      </c>
      <c r="E408" s="33" t="str">
        <f>_xlfn.XLOOKUP(TablaSTOCKINV[[#This Row],[SKU]],TablaINVENTARIO[SKU],TablaINVENTARIO[SUBCATEGORIA])</f>
        <v>MATERIAL ELECTRICO</v>
      </c>
      <c r="F408" s="33" t="str">
        <f>_xlfn.XLOOKUP(TablaSTOCKINV[[#This Row],[SKU]],TablaINVENTARIO[SKU],TablaINVENTARIO[ESTADO])</f>
        <v xml:space="preserve">NUEVO </v>
      </c>
      <c r="G408" s="33" t="str">
        <f>_xlfn.XLOOKUP(TablaSTOCKINV[[#This Row],[SKU]],TablaINVENTARIO[SKU],TablaINVENTARIO[MEDIDA])</f>
        <v>UND</v>
      </c>
      <c r="H408" s="33" t="str">
        <f>_xlfn.XLOOKUP(TablaSTOCKINV[[#This Row],[SKU]],TablaINVENTARIO[SKU],TablaINVENTARIO[SERIAL])</f>
        <v>N/A</v>
      </c>
      <c r="I408" s="34" t="str">
        <f>_xlfn.XLOOKUP(TablaSTOCKINV[[#This Row],[SKU]],TablaINVENTARIO[SKU],TablaINVENTARIO[ALMACEN])</f>
        <v>ALMACEN PRINCIPAL</v>
      </c>
      <c r="J408" s="34" t="str">
        <f>_xlfn.XLOOKUP(TablaSTOCKINV[[#This Row],[SKU]],TablaINVENTARIO[SKU],TablaINVENTARIO[UBICACION])</f>
        <v>3H</v>
      </c>
      <c r="K408" s="34" t="str">
        <f>_xlfn.XLOOKUP(TablaSTOCKINV[[#This Row],[SKU]],TablaINVENTARIO[SKU],TablaINVENTARIO[DPTO RESPONSABLE])</f>
        <v>MANTENIMIENTO</v>
      </c>
      <c r="L408" s="36">
        <f>_xlfn.XLOOKUP(TablaSTOCKINV[[#This Row],[SKU]],TablaINVENTARIO[SKU],TablaINVENTARIO[RANGO MIN])</f>
        <v>0</v>
      </c>
      <c r="M408" s="34" cm="1">
        <f t="array" ref="M408">_xlfn.IFS(TablaSTOCKINV[[#This Row],[CANT. TOTAL]]&lt;=0,1,TablaSTOCKINV[[#This Row],[CANT. TOTAL]]&lt;=TablaSTOCKINV[[#This Row],[MIN]],2,TablaSTOCKINV[[#This Row],[CANT. TOTAL]]&gt;TablaSTOCKINV[[#This Row],[MIN]],3)</f>
        <v>3</v>
      </c>
      <c r="N408" s="34">
        <f>TablaSTOCKINV[[#This Row],[ENTRADAS]]-TablaSTOCKINV[[#This Row],[SALIDAS]]</f>
        <v>1</v>
      </c>
      <c r="O408" s="35">
        <f>SUMIFS(TablaENTRADA[CANT],TablaENTRADA[SKU],TablaSTOCKINV[[#This Row],[SKU]])</f>
        <v>1</v>
      </c>
      <c r="P408" s="35">
        <f>SUMIFS(TablaSALIDA[CANT],TablaSALIDA[SKU],TablaSTOCKINV[[#This Row],[SKU]])</f>
        <v>0</v>
      </c>
      <c r="Q408" s="34">
        <f>_xlfn.XLOOKUP(TablaSTOCKINV[[#This Row],[SKU]],TablaINVENTARIO[SKU],TablaINVENTARIO[PRECIO])</f>
        <v>0</v>
      </c>
      <c r="R408" s="34">
        <f>TablaSTOCKINV[[#This Row],[P.UNITARIO]]*TablaSTOCKINV[[#This Row],[CANT. TOTAL]]</f>
        <v>0</v>
      </c>
      <c r="S408" s="44">
        <f>_xlfn.XLOOKUP(TablaSTOCKINV[[#This Row],[SKU]],TablaINVENTARIO[SKU],TablaINVENTARIO[FECHA INGRESO])</f>
        <v>46023</v>
      </c>
      <c r="T408" s="44">
        <f>_xlfn.XLOOKUP(TablaSTOCKINV[[#This Row],[SKU]],TablaENTRADA[SKU],TablaENTRADA[FECHA],,0,-1)</f>
        <v>46023</v>
      </c>
      <c r="U408" s="46" t="str">
        <f>IFERROR((_xlfn.XLOOKUP(TablaSTOCKINV[[#This Row],[SKU]],TablaSALIDA[SKU],TablaSALIDA[FECHA],,0,-1))," " )</f>
        <v xml:space="preserve"> </v>
      </c>
    </row>
    <row r="409" spans="1:21" x14ac:dyDescent="0.3">
      <c r="A409" s="27" t="s">
        <v>1689</v>
      </c>
      <c r="B409" s="32" t="str">
        <f>_xlfn.XLOOKUP(TablaSTOCKINV[[#This Row],[SKU]],TablaINVENTARIO[SKU],TablaINVENTARIO[DESCRIPCION])</f>
        <v xml:space="preserve">BREAKER BIFASICO  2 X 50 120/240V </v>
      </c>
      <c r="C409" s="32" t="str">
        <f>_xlfn.XLOOKUP(TablaSTOCKINV[[#This Row],[SKU]],TablaINVENTARIO[SKU],TablaINVENTARIO[MARCA])</f>
        <v>TRIC</v>
      </c>
      <c r="D409" s="33" t="str">
        <f>_xlfn.XLOOKUP(TablaSTOCKINV[[#This Row],[SKU]],TablaINVENTARIO[SKU],TablaINVENTARIO[CATEGORIA])</f>
        <v>HERRAMIENTAS_</v>
      </c>
      <c r="E409" s="33" t="str">
        <f>_xlfn.XLOOKUP(TablaSTOCKINV[[#This Row],[SKU]],TablaINVENTARIO[SKU],TablaINVENTARIO[SUBCATEGORIA])</f>
        <v>MATERIAL ELECTRICO</v>
      </c>
      <c r="F409" s="33" t="str">
        <f>_xlfn.XLOOKUP(TablaSTOCKINV[[#This Row],[SKU]],TablaINVENTARIO[SKU],TablaINVENTARIO[ESTADO])</f>
        <v xml:space="preserve">NUEVO </v>
      </c>
      <c r="G409" s="33" t="str">
        <f>_xlfn.XLOOKUP(TablaSTOCKINV[[#This Row],[SKU]],TablaINVENTARIO[SKU],TablaINVENTARIO[MEDIDA])</f>
        <v>UND</v>
      </c>
      <c r="H409" s="33" t="str">
        <f>_xlfn.XLOOKUP(TablaSTOCKINV[[#This Row],[SKU]],TablaINVENTARIO[SKU],TablaINVENTARIO[SERIAL])</f>
        <v>N/A</v>
      </c>
      <c r="I409" s="34" t="str">
        <f>_xlfn.XLOOKUP(TablaSTOCKINV[[#This Row],[SKU]],TablaINVENTARIO[SKU],TablaINVENTARIO[ALMACEN])</f>
        <v>ALMACEN PRINCIPAL</v>
      </c>
      <c r="J409" s="34" t="str">
        <f>_xlfn.XLOOKUP(TablaSTOCKINV[[#This Row],[SKU]],TablaINVENTARIO[SKU],TablaINVENTARIO[UBICACION])</f>
        <v>3H</v>
      </c>
      <c r="K409" s="34" t="str">
        <f>_xlfn.XLOOKUP(TablaSTOCKINV[[#This Row],[SKU]],TablaINVENTARIO[SKU],TablaINVENTARIO[DPTO RESPONSABLE])</f>
        <v>MANTENIMIENTO</v>
      </c>
      <c r="L409" s="36">
        <f>_xlfn.XLOOKUP(TablaSTOCKINV[[#This Row],[SKU]],TablaINVENTARIO[SKU],TablaINVENTARIO[RANGO MIN])</f>
        <v>0</v>
      </c>
      <c r="M409" s="34" cm="1">
        <f t="array" ref="M409">_xlfn.IFS(TablaSTOCKINV[[#This Row],[CANT. TOTAL]]&lt;=0,1,TablaSTOCKINV[[#This Row],[CANT. TOTAL]]&lt;=TablaSTOCKINV[[#This Row],[MIN]],2,TablaSTOCKINV[[#This Row],[CANT. TOTAL]]&gt;TablaSTOCKINV[[#This Row],[MIN]],3)</f>
        <v>3</v>
      </c>
      <c r="N409" s="34">
        <f>TablaSTOCKINV[[#This Row],[ENTRADAS]]-TablaSTOCKINV[[#This Row],[SALIDAS]]</f>
        <v>1</v>
      </c>
      <c r="O409" s="35">
        <f>SUMIFS(TablaENTRADA[CANT],TablaENTRADA[SKU],TablaSTOCKINV[[#This Row],[SKU]])</f>
        <v>1</v>
      </c>
      <c r="P409" s="35">
        <f>SUMIFS(TablaSALIDA[CANT],TablaSALIDA[SKU],TablaSTOCKINV[[#This Row],[SKU]])</f>
        <v>0</v>
      </c>
      <c r="Q409" s="34">
        <f>_xlfn.XLOOKUP(TablaSTOCKINV[[#This Row],[SKU]],TablaINVENTARIO[SKU],TablaINVENTARIO[PRECIO])</f>
        <v>0</v>
      </c>
      <c r="R409" s="34">
        <f>TablaSTOCKINV[[#This Row],[P.UNITARIO]]*TablaSTOCKINV[[#This Row],[CANT. TOTAL]]</f>
        <v>0</v>
      </c>
      <c r="S409" s="44">
        <f>_xlfn.XLOOKUP(TablaSTOCKINV[[#This Row],[SKU]],TablaINVENTARIO[SKU],TablaINVENTARIO[FECHA INGRESO])</f>
        <v>46023</v>
      </c>
      <c r="T409" s="44">
        <f>_xlfn.XLOOKUP(TablaSTOCKINV[[#This Row],[SKU]],TablaENTRADA[SKU],TablaENTRADA[FECHA],,0,-1)</f>
        <v>46023</v>
      </c>
      <c r="U409" s="46" t="str">
        <f>IFERROR((_xlfn.XLOOKUP(TablaSTOCKINV[[#This Row],[SKU]],TablaSALIDA[SKU],TablaSALIDA[FECHA],,0,-1))," " )</f>
        <v xml:space="preserve"> </v>
      </c>
    </row>
    <row r="410" spans="1:21" x14ac:dyDescent="0.3">
      <c r="A410" s="27" t="s">
        <v>1692</v>
      </c>
      <c r="B410" s="32" t="str">
        <f>_xlfn.XLOOKUP(TablaSTOCKINV[[#This Row],[SKU]],TablaINVENTARIO[SKU],TablaINVENTARIO[DESCRIPCION])</f>
        <v xml:space="preserve">BREAKER BIFASICO 2X60 120/240V </v>
      </c>
      <c r="C410" s="32" t="str">
        <f>_xlfn.XLOOKUP(TablaSTOCKINV[[#This Row],[SKU]],TablaINVENTARIO[SKU],TablaINVENTARIO[MARCA])</f>
        <v>BTICINO</v>
      </c>
      <c r="D410" s="33" t="str">
        <f>_xlfn.XLOOKUP(TablaSTOCKINV[[#This Row],[SKU]],TablaINVENTARIO[SKU],TablaINVENTARIO[CATEGORIA])</f>
        <v>HERRAMIENTAS_</v>
      </c>
      <c r="E410" s="33" t="str">
        <f>_xlfn.XLOOKUP(TablaSTOCKINV[[#This Row],[SKU]],TablaINVENTARIO[SKU],TablaINVENTARIO[SUBCATEGORIA])</f>
        <v>MATERIAL ELECTRICO</v>
      </c>
      <c r="F410" s="33" t="str">
        <f>_xlfn.XLOOKUP(TablaSTOCKINV[[#This Row],[SKU]],TablaINVENTARIO[SKU],TablaINVENTARIO[ESTADO])</f>
        <v xml:space="preserve">NUEVO </v>
      </c>
      <c r="G410" s="33" t="str">
        <f>_xlfn.XLOOKUP(TablaSTOCKINV[[#This Row],[SKU]],TablaINVENTARIO[SKU],TablaINVENTARIO[MEDIDA])</f>
        <v>UND</v>
      </c>
      <c r="H410" s="33" t="str">
        <f>_xlfn.XLOOKUP(TablaSTOCKINV[[#This Row],[SKU]],TablaINVENTARIO[SKU],TablaINVENTARIO[SERIAL])</f>
        <v>N/A</v>
      </c>
      <c r="I410" s="34" t="str">
        <f>_xlfn.XLOOKUP(TablaSTOCKINV[[#This Row],[SKU]],TablaINVENTARIO[SKU],TablaINVENTARIO[ALMACEN])</f>
        <v>ALMACEN PRINCIPAL</v>
      </c>
      <c r="J410" s="34" t="str">
        <f>_xlfn.XLOOKUP(TablaSTOCKINV[[#This Row],[SKU]],TablaINVENTARIO[SKU],TablaINVENTARIO[UBICACION])</f>
        <v>3H</v>
      </c>
      <c r="K410" s="34" t="str">
        <f>_xlfn.XLOOKUP(TablaSTOCKINV[[#This Row],[SKU]],TablaINVENTARIO[SKU],TablaINVENTARIO[DPTO RESPONSABLE])</f>
        <v>MANTENIMIENTO</v>
      </c>
      <c r="L410" s="36">
        <f>_xlfn.XLOOKUP(TablaSTOCKINV[[#This Row],[SKU]],TablaINVENTARIO[SKU],TablaINVENTARIO[RANGO MIN])</f>
        <v>0</v>
      </c>
      <c r="M410" s="34" cm="1">
        <f t="array" ref="M410">_xlfn.IFS(TablaSTOCKINV[[#This Row],[CANT. TOTAL]]&lt;=0,1,TablaSTOCKINV[[#This Row],[CANT. TOTAL]]&lt;=TablaSTOCKINV[[#This Row],[MIN]],2,TablaSTOCKINV[[#This Row],[CANT. TOTAL]]&gt;TablaSTOCKINV[[#This Row],[MIN]],3)</f>
        <v>3</v>
      </c>
      <c r="N410" s="34">
        <f>TablaSTOCKINV[[#This Row],[ENTRADAS]]-TablaSTOCKINV[[#This Row],[SALIDAS]]</f>
        <v>1</v>
      </c>
      <c r="O410" s="35">
        <f>SUMIFS(TablaENTRADA[CANT],TablaENTRADA[SKU],TablaSTOCKINV[[#This Row],[SKU]])</f>
        <v>1</v>
      </c>
      <c r="P410" s="35">
        <f>SUMIFS(TablaSALIDA[CANT],TablaSALIDA[SKU],TablaSTOCKINV[[#This Row],[SKU]])</f>
        <v>0</v>
      </c>
      <c r="Q410" s="34">
        <f>_xlfn.XLOOKUP(TablaSTOCKINV[[#This Row],[SKU]],TablaINVENTARIO[SKU],TablaINVENTARIO[PRECIO])</f>
        <v>0</v>
      </c>
      <c r="R410" s="34">
        <f>TablaSTOCKINV[[#This Row],[P.UNITARIO]]*TablaSTOCKINV[[#This Row],[CANT. TOTAL]]</f>
        <v>0</v>
      </c>
      <c r="S410" s="44">
        <f>_xlfn.XLOOKUP(TablaSTOCKINV[[#This Row],[SKU]],TablaINVENTARIO[SKU],TablaINVENTARIO[FECHA INGRESO])</f>
        <v>46023</v>
      </c>
      <c r="T410" s="44">
        <f>_xlfn.XLOOKUP(TablaSTOCKINV[[#This Row],[SKU]],TablaENTRADA[SKU],TablaENTRADA[FECHA],,0,-1)</f>
        <v>46023</v>
      </c>
      <c r="U410" s="46" t="str">
        <f>IFERROR((_xlfn.XLOOKUP(TablaSTOCKINV[[#This Row],[SKU]],TablaSALIDA[SKU],TablaSALIDA[FECHA],,0,-1))," " )</f>
        <v xml:space="preserve"> </v>
      </c>
    </row>
    <row r="411" spans="1:21" x14ac:dyDescent="0.3">
      <c r="A411" s="27" t="s">
        <v>1694</v>
      </c>
      <c r="B411" s="32" t="str">
        <f>_xlfn.XLOOKUP(TablaSTOCKINV[[#This Row],[SKU]],TablaINVENTARIO[SKU],TablaINVENTARIO[DESCRIPCION])</f>
        <v xml:space="preserve">BREAKER BIFASICO 2X50 120/240V </v>
      </c>
      <c r="C411" s="32" t="str">
        <f>_xlfn.XLOOKUP(TablaSTOCKINV[[#This Row],[SKU]],TablaINVENTARIO[SKU],TablaINVENTARIO[MARCA])</f>
        <v>BTICINO</v>
      </c>
      <c r="D411" s="33" t="str">
        <f>_xlfn.XLOOKUP(TablaSTOCKINV[[#This Row],[SKU]],TablaINVENTARIO[SKU],TablaINVENTARIO[CATEGORIA])</f>
        <v>HERRAMIENTAS_</v>
      </c>
      <c r="E411" s="33" t="str">
        <f>_xlfn.XLOOKUP(TablaSTOCKINV[[#This Row],[SKU]],TablaINVENTARIO[SKU],TablaINVENTARIO[SUBCATEGORIA])</f>
        <v>MATERIAL ELECTRICO</v>
      </c>
      <c r="F411" s="33" t="str">
        <f>_xlfn.XLOOKUP(TablaSTOCKINV[[#This Row],[SKU]],TablaINVENTARIO[SKU],TablaINVENTARIO[ESTADO])</f>
        <v xml:space="preserve">NUEVO </v>
      </c>
      <c r="G411" s="33" t="str">
        <f>_xlfn.XLOOKUP(TablaSTOCKINV[[#This Row],[SKU]],TablaINVENTARIO[SKU],TablaINVENTARIO[MEDIDA])</f>
        <v>UND</v>
      </c>
      <c r="H411" s="33" t="str">
        <f>_xlfn.XLOOKUP(TablaSTOCKINV[[#This Row],[SKU]],TablaINVENTARIO[SKU],TablaINVENTARIO[SERIAL])</f>
        <v>N/A</v>
      </c>
      <c r="I411" s="34" t="str">
        <f>_xlfn.XLOOKUP(TablaSTOCKINV[[#This Row],[SKU]],TablaINVENTARIO[SKU],TablaINVENTARIO[ALMACEN])</f>
        <v>ALMACEN PRINCIPAL</v>
      </c>
      <c r="J411" s="34" t="str">
        <f>_xlfn.XLOOKUP(TablaSTOCKINV[[#This Row],[SKU]],TablaINVENTARIO[SKU],TablaINVENTARIO[UBICACION])</f>
        <v>3H</v>
      </c>
      <c r="K411" s="34" t="str">
        <f>_xlfn.XLOOKUP(TablaSTOCKINV[[#This Row],[SKU]],TablaINVENTARIO[SKU],TablaINVENTARIO[DPTO RESPONSABLE])</f>
        <v>MANTENIMIENTO</v>
      </c>
      <c r="L411" s="36">
        <f>_xlfn.XLOOKUP(TablaSTOCKINV[[#This Row],[SKU]],TablaINVENTARIO[SKU],TablaINVENTARIO[RANGO MIN])</f>
        <v>0</v>
      </c>
      <c r="M411" s="34" cm="1">
        <f t="array" ref="M411">_xlfn.IFS(TablaSTOCKINV[[#This Row],[CANT. TOTAL]]&lt;=0,1,TablaSTOCKINV[[#This Row],[CANT. TOTAL]]&lt;=TablaSTOCKINV[[#This Row],[MIN]],2,TablaSTOCKINV[[#This Row],[CANT. TOTAL]]&gt;TablaSTOCKINV[[#This Row],[MIN]],3)</f>
        <v>3</v>
      </c>
      <c r="N411" s="34">
        <f>TablaSTOCKINV[[#This Row],[ENTRADAS]]-TablaSTOCKINV[[#This Row],[SALIDAS]]</f>
        <v>1</v>
      </c>
      <c r="O411" s="35">
        <f>SUMIFS(TablaENTRADA[CANT],TablaENTRADA[SKU],TablaSTOCKINV[[#This Row],[SKU]])</f>
        <v>1</v>
      </c>
      <c r="P411" s="35">
        <f>SUMIFS(TablaSALIDA[CANT],TablaSALIDA[SKU],TablaSTOCKINV[[#This Row],[SKU]])</f>
        <v>0</v>
      </c>
      <c r="Q411" s="34">
        <f>_xlfn.XLOOKUP(TablaSTOCKINV[[#This Row],[SKU]],TablaINVENTARIO[SKU],TablaINVENTARIO[PRECIO])</f>
        <v>0</v>
      </c>
      <c r="R411" s="34">
        <f>TablaSTOCKINV[[#This Row],[P.UNITARIO]]*TablaSTOCKINV[[#This Row],[CANT. TOTAL]]</f>
        <v>0</v>
      </c>
      <c r="S411" s="44">
        <f>_xlfn.XLOOKUP(TablaSTOCKINV[[#This Row],[SKU]],TablaINVENTARIO[SKU],TablaINVENTARIO[FECHA INGRESO])</f>
        <v>46023</v>
      </c>
      <c r="T411" s="44">
        <f>_xlfn.XLOOKUP(TablaSTOCKINV[[#This Row],[SKU]],TablaENTRADA[SKU],TablaENTRADA[FECHA],,0,-1)</f>
        <v>46023</v>
      </c>
      <c r="U411" s="46" t="str">
        <f>IFERROR((_xlfn.XLOOKUP(TablaSTOCKINV[[#This Row],[SKU]],TablaSALIDA[SKU],TablaSALIDA[FECHA],,0,-1))," " )</f>
        <v xml:space="preserve"> </v>
      </c>
    </row>
    <row r="412" spans="1:21" x14ac:dyDescent="0.3">
      <c r="A412" s="27" t="s">
        <v>1696</v>
      </c>
      <c r="B412" s="32" t="str">
        <f>_xlfn.XLOOKUP(TablaSTOCKINV[[#This Row],[SKU]],TablaINVENTARIO[SKU],TablaINVENTARIO[DESCRIPCION])</f>
        <v xml:space="preserve">BREAKER BIFASICO 2X40 120/240V </v>
      </c>
      <c r="C412" s="32" t="str">
        <f>_xlfn.XLOOKUP(TablaSTOCKINV[[#This Row],[SKU]],TablaINVENTARIO[SKU],TablaINVENTARIO[MARCA])</f>
        <v>BTICINO</v>
      </c>
      <c r="D412" s="33" t="str">
        <f>_xlfn.XLOOKUP(TablaSTOCKINV[[#This Row],[SKU]],TablaINVENTARIO[SKU],TablaINVENTARIO[CATEGORIA])</f>
        <v>HERRAMIENTAS_</v>
      </c>
      <c r="E412" s="33" t="str">
        <f>_xlfn.XLOOKUP(TablaSTOCKINV[[#This Row],[SKU]],TablaINVENTARIO[SKU],TablaINVENTARIO[SUBCATEGORIA])</f>
        <v>MATERIAL ELECTRICO</v>
      </c>
      <c r="F412" s="33" t="str">
        <f>_xlfn.XLOOKUP(TablaSTOCKINV[[#This Row],[SKU]],TablaINVENTARIO[SKU],TablaINVENTARIO[ESTADO])</f>
        <v xml:space="preserve">NUEVO </v>
      </c>
      <c r="G412" s="33" t="str">
        <f>_xlfn.XLOOKUP(TablaSTOCKINV[[#This Row],[SKU]],TablaINVENTARIO[SKU],TablaINVENTARIO[MEDIDA])</f>
        <v>UND</v>
      </c>
      <c r="H412" s="33" t="str">
        <f>_xlfn.XLOOKUP(TablaSTOCKINV[[#This Row],[SKU]],TablaINVENTARIO[SKU],TablaINVENTARIO[SERIAL])</f>
        <v>N/A</v>
      </c>
      <c r="I412" s="34" t="str">
        <f>_xlfn.XLOOKUP(TablaSTOCKINV[[#This Row],[SKU]],TablaINVENTARIO[SKU],TablaINVENTARIO[ALMACEN])</f>
        <v>ALMACEN PRINCIPAL</v>
      </c>
      <c r="J412" s="34" t="str">
        <f>_xlfn.XLOOKUP(TablaSTOCKINV[[#This Row],[SKU]],TablaINVENTARIO[SKU],TablaINVENTARIO[UBICACION])</f>
        <v>3H</v>
      </c>
      <c r="K412" s="34" t="str">
        <f>_xlfn.XLOOKUP(TablaSTOCKINV[[#This Row],[SKU]],TablaINVENTARIO[SKU],TablaINVENTARIO[DPTO RESPONSABLE])</f>
        <v>MANTENIMIENTO</v>
      </c>
      <c r="L412" s="36">
        <f>_xlfn.XLOOKUP(TablaSTOCKINV[[#This Row],[SKU]],TablaINVENTARIO[SKU],TablaINVENTARIO[RANGO MIN])</f>
        <v>0</v>
      </c>
      <c r="M412" s="34" cm="1">
        <f t="array" ref="M412">_xlfn.IFS(TablaSTOCKINV[[#This Row],[CANT. TOTAL]]&lt;=0,1,TablaSTOCKINV[[#This Row],[CANT. TOTAL]]&lt;=TablaSTOCKINV[[#This Row],[MIN]],2,TablaSTOCKINV[[#This Row],[CANT. TOTAL]]&gt;TablaSTOCKINV[[#This Row],[MIN]],3)</f>
        <v>3</v>
      </c>
      <c r="N412" s="34">
        <f>TablaSTOCKINV[[#This Row],[ENTRADAS]]-TablaSTOCKINV[[#This Row],[SALIDAS]]</f>
        <v>1</v>
      </c>
      <c r="O412" s="35">
        <f>SUMIFS(TablaENTRADA[CANT],TablaENTRADA[SKU],TablaSTOCKINV[[#This Row],[SKU]])</f>
        <v>1</v>
      </c>
      <c r="P412" s="35">
        <f>SUMIFS(TablaSALIDA[CANT],TablaSALIDA[SKU],TablaSTOCKINV[[#This Row],[SKU]])</f>
        <v>0</v>
      </c>
      <c r="Q412" s="34">
        <f>_xlfn.XLOOKUP(TablaSTOCKINV[[#This Row],[SKU]],TablaINVENTARIO[SKU],TablaINVENTARIO[PRECIO])</f>
        <v>0</v>
      </c>
      <c r="R412" s="34">
        <f>TablaSTOCKINV[[#This Row],[P.UNITARIO]]*TablaSTOCKINV[[#This Row],[CANT. TOTAL]]</f>
        <v>0</v>
      </c>
      <c r="S412" s="44">
        <f>_xlfn.XLOOKUP(TablaSTOCKINV[[#This Row],[SKU]],TablaINVENTARIO[SKU],TablaINVENTARIO[FECHA INGRESO])</f>
        <v>46023</v>
      </c>
      <c r="T412" s="44">
        <f>_xlfn.XLOOKUP(TablaSTOCKINV[[#This Row],[SKU]],TablaENTRADA[SKU],TablaENTRADA[FECHA],,0,-1)</f>
        <v>46023</v>
      </c>
      <c r="U412" s="46" t="str">
        <f>IFERROR((_xlfn.XLOOKUP(TablaSTOCKINV[[#This Row],[SKU]],TablaSALIDA[SKU],TablaSALIDA[FECHA],,0,-1))," " )</f>
        <v xml:space="preserve"> </v>
      </c>
    </row>
    <row r="413" spans="1:21" x14ac:dyDescent="0.3">
      <c r="A413" s="27" t="s">
        <v>1698</v>
      </c>
      <c r="B413" s="32" t="str">
        <f>_xlfn.XLOOKUP(TablaSTOCKINV[[#This Row],[SKU]],TablaINVENTARIO[SKU],TablaINVENTARIO[DESCRIPCION])</f>
        <v xml:space="preserve">TERMOSTATO DE AIRE ACONDICIONADO </v>
      </c>
      <c r="C413" s="32" t="str">
        <f>_xlfn.XLOOKUP(TablaSTOCKINV[[#This Row],[SKU]],TablaINVENTARIO[SKU],TablaINVENTARIO[MARCA])</f>
        <v xml:space="preserve">GEMLINE </v>
      </c>
      <c r="D413" s="33" t="str">
        <f>_xlfn.XLOOKUP(TablaSTOCKINV[[#This Row],[SKU]],TablaINVENTARIO[SKU],TablaINVENTARIO[CATEGORIA])</f>
        <v>HERRAMIENTAS_</v>
      </c>
      <c r="E413" s="33" t="str">
        <f>_xlfn.XLOOKUP(TablaSTOCKINV[[#This Row],[SKU]],TablaINVENTARIO[SKU],TablaINVENTARIO[SUBCATEGORIA])</f>
        <v xml:space="preserve">MATERIAL DE REFRIGERACIÓN </v>
      </c>
      <c r="F413" s="33" t="str">
        <f>_xlfn.XLOOKUP(TablaSTOCKINV[[#This Row],[SKU]],TablaINVENTARIO[SKU],TablaINVENTARIO[ESTADO])</f>
        <v xml:space="preserve">NUEVO </v>
      </c>
      <c r="G413" s="33" t="str">
        <f>_xlfn.XLOOKUP(TablaSTOCKINV[[#This Row],[SKU]],TablaINVENTARIO[SKU],TablaINVENTARIO[MEDIDA])</f>
        <v>UND</v>
      </c>
      <c r="H413" s="33" t="str">
        <f>_xlfn.XLOOKUP(TablaSTOCKINV[[#This Row],[SKU]],TablaINVENTARIO[SKU],TablaINVENTARIO[SERIAL])</f>
        <v>N/A</v>
      </c>
      <c r="I413" s="34" t="str">
        <f>_xlfn.XLOOKUP(TablaSTOCKINV[[#This Row],[SKU]],TablaINVENTARIO[SKU],TablaINVENTARIO[ALMACEN])</f>
        <v>ALMACEN PRINCIPAL</v>
      </c>
      <c r="J413" s="34" t="str">
        <f>_xlfn.XLOOKUP(TablaSTOCKINV[[#This Row],[SKU]],TablaINVENTARIO[SKU],TablaINVENTARIO[UBICACION])</f>
        <v>3H</v>
      </c>
      <c r="K413" s="34" t="str">
        <f>_xlfn.XLOOKUP(TablaSTOCKINV[[#This Row],[SKU]],TablaINVENTARIO[SKU],TablaINVENTARIO[DPTO RESPONSABLE])</f>
        <v>MANTENIMIENTO</v>
      </c>
      <c r="L413" s="36">
        <f>_xlfn.XLOOKUP(TablaSTOCKINV[[#This Row],[SKU]],TablaINVENTARIO[SKU],TablaINVENTARIO[RANGO MIN])</f>
        <v>0</v>
      </c>
      <c r="M413" s="34" cm="1">
        <f t="array" ref="M413">_xlfn.IFS(TablaSTOCKINV[[#This Row],[CANT. TOTAL]]&lt;=0,1,TablaSTOCKINV[[#This Row],[CANT. TOTAL]]&lt;=TablaSTOCKINV[[#This Row],[MIN]],2,TablaSTOCKINV[[#This Row],[CANT. TOTAL]]&gt;TablaSTOCKINV[[#This Row],[MIN]],3)</f>
        <v>3</v>
      </c>
      <c r="N413" s="34">
        <f>TablaSTOCKINV[[#This Row],[ENTRADAS]]-TablaSTOCKINV[[#This Row],[SALIDAS]]</f>
        <v>1</v>
      </c>
      <c r="O413" s="35">
        <f>SUMIFS(TablaENTRADA[CANT],TablaENTRADA[SKU],TablaSTOCKINV[[#This Row],[SKU]])</f>
        <v>1</v>
      </c>
      <c r="P413" s="35">
        <f>SUMIFS(TablaSALIDA[CANT],TablaSALIDA[SKU],TablaSTOCKINV[[#This Row],[SKU]])</f>
        <v>0</v>
      </c>
      <c r="Q413" s="34">
        <f>_xlfn.XLOOKUP(TablaSTOCKINV[[#This Row],[SKU]],TablaINVENTARIO[SKU],TablaINVENTARIO[PRECIO])</f>
        <v>0</v>
      </c>
      <c r="R413" s="34">
        <f>TablaSTOCKINV[[#This Row],[P.UNITARIO]]*TablaSTOCKINV[[#This Row],[CANT. TOTAL]]</f>
        <v>0</v>
      </c>
      <c r="S413" s="44">
        <f>_xlfn.XLOOKUP(TablaSTOCKINV[[#This Row],[SKU]],TablaINVENTARIO[SKU],TablaINVENTARIO[FECHA INGRESO])</f>
        <v>46023</v>
      </c>
      <c r="T413" s="44">
        <f>_xlfn.XLOOKUP(TablaSTOCKINV[[#This Row],[SKU]],TablaENTRADA[SKU],TablaENTRADA[FECHA],,0,-1)</f>
        <v>46023</v>
      </c>
      <c r="U413" s="46" t="str">
        <f>IFERROR((_xlfn.XLOOKUP(TablaSTOCKINV[[#This Row],[SKU]],TablaSALIDA[SKU],TablaSALIDA[FECHA],,0,-1))," " )</f>
        <v xml:space="preserve"> </v>
      </c>
    </row>
    <row r="414" spans="1:21" x14ac:dyDescent="0.3">
      <c r="A414" s="27" t="s">
        <v>1701</v>
      </c>
      <c r="B414" s="32" t="str">
        <f>_xlfn.XLOOKUP(TablaSTOCKINV[[#This Row],[SKU]],TablaINVENTARIO[SKU],TablaINVENTARIO[DESCRIPCION])</f>
        <v>TIEWRAP BLANCO 30"</v>
      </c>
      <c r="C414" s="32" t="str">
        <f>_xlfn.XLOOKUP(TablaSTOCKINV[[#This Row],[SKU]],TablaINVENTARIO[SKU],TablaINVENTARIO[MARCA])</f>
        <v>N/A</v>
      </c>
      <c r="D414" s="33" t="str">
        <f>_xlfn.XLOOKUP(TablaSTOCKINV[[#This Row],[SKU]],TablaINVENTARIO[SKU],TablaINVENTARIO[CATEGORIA])</f>
        <v>HERRAMIENTAS_</v>
      </c>
      <c r="E414" s="33" t="str">
        <f>_xlfn.XLOOKUP(TablaSTOCKINV[[#This Row],[SKU]],TablaINVENTARIO[SKU],TablaINVENTARIO[SUBCATEGORIA])</f>
        <v xml:space="preserve">MATERIAL DE CONSTRUCCIÓN </v>
      </c>
      <c r="F414" s="33" t="str">
        <f>_xlfn.XLOOKUP(TablaSTOCKINV[[#This Row],[SKU]],TablaINVENTARIO[SKU],TablaINVENTARIO[ESTADO])</f>
        <v xml:space="preserve">NUEVO </v>
      </c>
      <c r="G414" s="33" t="str">
        <f>_xlfn.XLOOKUP(TablaSTOCKINV[[#This Row],[SKU]],TablaINVENTARIO[SKU],TablaINVENTARIO[MEDIDA])</f>
        <v>UND</v>
      </c>
      <c r="H414" s="33" t="str">
        <f>_xlfn.XLOOKUP(TablaSTOCKINV[[#This Row],[SKU]],TablaINVENTARIO[SKU],TablaINVENTARIO[SERIAL])</f>
        <v>N/A</v>
      </c>
      <c r="I414" s="34" t="str">
        <f>_xlfn.XLOOKUP(TablaSTOCKINV[[#This Row],[SKU]],TablaINVENTARIO[SKU],TablaINVENTARIO[ALMACEN])</f>
        <v>ALMACEN PRINCIPAL</v>
      </c>
      <c r="J414" s="34" t="str">
        <f>_xlfn.XLOOKUP(TablaSTOCKINV[[#This Row],[SKU]],TablaINVENTARIO[SKU],TablaINVENTARIO[UBICACION])</f>
        <v>3H</v>
      </c>
      <c r="K414" s="34" t="str">
        <f>_xlfn.XLOOKUP(TablaSTOCKINV[[#This Row],[SKU]],TablaINVENTARIO[SKU],TablaINVENTARIO[DPTO RESPONSABLE])</f>
        <v>MANTENIMIENTO</v>
      </c>
      <c r="L414" s="36">
        <f>_xlfn.XLOOKUP(TablaSTOCKINV[[#This Row],[SKU]],TablaINVENTARIO[SKU],TablaINVENTARIO[RANGO MIN])</f>
        <v>0</v>
      </c>
      <c r="M414" s="34" cm="1">
        <f t="array" ref="M414">_xlfn.IFS(TablaSTOCKINV[[#This Row],[CANT. TOTAL]]&lt;=0,1,TablaSTOCKINV[[#This Row],[CANT. TOTAL]]&lt;=TablaSTOCKINV[[#This Row],[MIN]],2,TablaSTOCKINV[[#This Row],[CANT. TOTAL]]&gt;TablaSTOCKINV[[#This Row],[MIN]],3)</f>
        <v>3</v>
      </c>
      <c r="N414" s="34">
        <f>TablaSTOCKINV[[#This Row],[ENTRADAS]]-TablaSTOCKINV[[#This Row],[SALIDAS]]</f>
        <v>5</v>
      </c>
      <c r="O414" s="35">
        <f>SUMIFS(TablaENTRADA[CANT],TablaENTRADA[SKU],TablaSTOCKINV[[#This Row],[SKU]])</f>
        <v>5</v>
      </c>
      <c r="P414" s="35">
        <f>SUMIFS(TablaSALIDA[CANT],TablaSALIDA[SKU],TablaSTOCKINV[[#This Row],[SKU]])</f>
        <v>0</v>
      </c>
      <c r="Q414" s="34">
        <f>_xlfn.XLOOKUP(TablaSTOCKINV[[#This Row],[SKU]],TablaINVENTARIO[SKU],TablaINVENTARIO[PRECIO])</f>
        <v>0</v>
      </c>
      <c r="R414" s="34">
        <f>TablaSTOCKINV[[#This Row],[P.UNITARIO]]*TablaSTOCKINV[[#This Row],[CANT. TOTAL]]</f>
        <v>0</v>
      </c>
      <c r="S414" s="44">
        <f>_xlfn.XLOOKUP(TablaSTOCKINV[[#This Row],[SKU]],TablaINVENTARIO[SKU],TablaINVENTARIO[FECHA INGRESO])</f>
        <v>46023</v>
      </c>
      <c r="T414" s="44">
        <f>_xlfn.XLOOKUP(TablaSTOCKINV[[#This Row],[SKU]],TablaENTRADA[SKU],TablaENTRADA[FECHA],,0,-1)</f>
        <v>46023</v>
      </c>
      <c r="U414" s="46" t="str">
        <f>IFERROR((_xlfn.XLOOKUP(TablaSTOCKINV[[#This Row],[SKU]],TablaSALIDA[SKU],TablaSALIDA[FECHA],,0,-1))," " )</f>
        <v xml:space="preserve"> </v>
      </c>
    </row>
    <row r="415" spans="1:21" x14ac:dyDescent="0.3">
      <c r="A415" s="27" t="s">
        <v>1703</v>
      </c>
      <c r="B415" s="32" t="str">
        <f>_xlfn.XLOOKUP(TablaSTOCKINV[[#This Row],[SKU]],TablaINVENTARIO[SKU],TablaINVENTARIO[DESCRIPCION])</f>
        <v>SUICHE DE METAL ON/OFF</v>
      </c>
      <c r="C415" s="32" t="str">
        <f>_xlfn.XLOOKUP(TablaSTOCKINV[[#This Row],[SKU]],TablaINVENTARIO[SKU],TablaINVENTARIO[MARCA])</f>
        <v>N/A</v>
      </c>
      <c r="D415" s="33" t="str">
        <f>_xlfn.XLOOKUP(TablaSTOCKINV[[#This Row],[SKU]],TablaINVENTARIO[SKU],TablaINVENTARIO[CATEGORIA])</f>
        <v>HERRAMIENTAS_</v>
      </c>
      <c r="E415" s="33" t="str">
        <f>_xlfn.XLOOKUP(TablaSTOCKINV[[#This Row],[SKU]],TablaINVENTARIO[SKU],TablaINVENTARIO[SUBCATEGORIA])</f>
        <v>MATERIAL ELECTRICO</v>
      </c>
      <c r="F415" s="33" t="str">
        <f>_xlfn.XLOOKUP(TablaSTOCKINV[[#This Row],[SKU]],TablaINVENTARIO[SKU],TablaINVENTARIO[ESTADO])</f>
        <v xml:space="preserve">NUEVO </v>
      </c>
      <c r="G415" s="33" t="str">
        <f>_xlfn.XLOOKUP(TablaSTOCKINV[[#This Row],[SKU]],TablaINVENTARIO[SKU],TablaINVENTARIO[MEDIDA])</f>
        <v>UND</v>
      </c>
      <c r="H415" s="33" t="str">
        <f>_xlfn.XLOOKUP(TablaSTOCKINV[[#This Row],[SKU]],TablaINVENTARIO[SKU],TablaINVENTARIO[SERIAL])</f>
        <v>N/A</v>
      </c>
      <c r="I415" s="34" t="str">
        <f>_xlfn.XLOOKUP(TablaSTOCKINV[[#This Row],[SKU]],TablaINVENTARIO[SKU],TablaINVENTARIO[ALMACEN])</f>
        <v>ALMACEN PRINCIPAL</v>
      </c>
      <c r="J415" s="34" t="str">
        <f>_xlfn.XLOOKUP(TablaSTOCKINV[[#This Row],[SKU]],TablaINVENTARIO[SKU],TablaINVENTARIO[UBICACION])</f>
        <v>3H</v>
      </c>
      <c r="K415" s="34" t="str">
        <f>_xlfn.XLOOKUP(TablaSTOCKINV[[#This Row],[SKU]],TablaINVENTARIO[SKU],TablaINVENTARIO[DPTO RESPONSABLE])</f>
        <v>MANTENIMIENTO</v>
      </c>
      <c r="L415" s="36">
        <f>_xlfn.XLOOKUP(TablaSTOCKINV[[#This Row],[SKU]],TablaINVENTARIO[SKU],TablaINVENTARIO[RANGO MIN])</f>
        <v>0</v>
      </c>
      <c r="M415" s="34" cm="1">
        <f t="array" ref="M415">_xlfn.IFS(TablaSTOCKINV[[#This Row],[CANT. TOTAL]]&lt;=0,1,TablaSTOCKINV[[#This Row],[CANT. TOTAL]]&lt;=TablaSTOCKINV[[#This Row],[MIN]],2,TablaSTOCKINV[[#This Row],[CANT. TOTAL]]&gt;TablaSTOCKINV[[#This Row],[MIN]],3)</f>
        <v>3</v>
      </c>
      <c r="N415" s="34">
        <f>TablaSTOCKINV[[#This Row],[ENTRADAS]]-TablaSTOCKINV[[#This Row],[SALIDAS]]</f>
        <v>3</v>
      </c>
      <c r="O415" s="35">
        <f>SUMIFS(TablaENTRADA[CANT],TablaENTRADA[SKU],TablaSTOCKINV[[#This Row],[SKU]])</f>
        <v>3</v>
      </c>
      <c r="P415" s="35">
        <f>SUMIFS(TablaSALIDA[CANT],TablaSALIDA[SKU],TablaSTOCKINV[[#This Row],[SKU]])</f>
        <v>0</v>
      </c>
      <c r="Q415" s="34">
        <f>_xlfn.XLOOKUP(TablaSTOCKINV[[#This Row],[SKU]],TablaINVENTARIO[SKU],TablaINVENTARIO[PRECIO])</f>
        <v>0</v>
      </c>
      <c r="R415" s="34">
        <f>TablaSTOCKINV[[#This Row],[P.UNITARIO]]*TablaSTOCKINV[[#This Row],[CANT. TOTAL]]</f>
        <v>0</v>
      </c>
      <c r="S415" s="44">
        <f>_xlfn.XLOOKUP(TablaSTOCKINV[[#This Row],[SKU]],TablaINVENTARIO[SKU],TablaINVENTARIO[FECHA INGRESO])</f>
        <v>46023</v>
      </c>
      <c r="T415" s="44">
        <f>_xlfn.XLOOKUP(TablaSTOCKINV[[#This Row],[SKU]],TablaENTRADA[SKU],TablaENTRADA[FECHA],,0,-1)</f>
        <v>46023</v>
      </c>
      <c r="U415" s="46" t="str">
        <f>IFERROR((_xlfn.XLOOKUP(TablaSTOCKINV[[#This Row],[SKU]],TablaSALIDA[SKU],TablaSALIDA[FECHA],,0,-1))," " )</f>
        <v xml:space="preserve"> </v>
      </c>
    </row>
    <row r="416" spans="1:21" x14ac:dyDescent="0.3">
      <c r="A416" s="27" t="s">
        <v>1705</v>
      </c>
      <c r="B416" s="32" t="str">
        <f>_xlfn.XLOOKUP(TablaSTOCKINV[[#This Row],[SKU]],TablaINVENTARIO[SKU],TablaINVENTARIO[DESCRIPCION])</f>
        <v xml:space="preserve">PROTECTOR DE VOLTAJE PARA AIE ACONDICIONADO 220V </v>
      </c>
      <c r="C416" s="32" t="str">
        <f>_xlfn.XLOOKUP(TablaSTOCKINV[[#This Row],[SKU]],TablaINVENTARIO[SKU],TablaINVENTARIO[MARCA])</f>
        <v xml:space="preserve">EXCELINE </v>
      </c>
      <c r="D416" s="33" t="str">
        <f>_xlfn.XLOOKUP(TablaSTOCKINV[[#This Row],[SKU]],TablaINVENTARIO[SKU],TablaINVENTARIO[CATEGORIA])</f>
        <v>HERRAMIENTAS_</v>
      </c>
      <c r="E416" s="33" t="str">
        <f>_xlfn.XLOOKUP(TablaSTOCKINV[[#This Row],[SKU]],TablaINVENTARIO[SKU],TablaINVENTARIO[SUBCATEGORIA])</f>
        <v>MATERIAL ELECTRICO</v>
      </c>
      <c r="F416" s="33" t="str">
        <f>_xlfn.XLOOKUP(TablaSTOCKINV[[#This Row],[SKU]],TablaINVENTARIO[SKU],TablaINVENTARIO[ESTADO])</f>
        <v xml:space="preserve">NUEVO </v>
      </c>
      <c r="G416" s="33" t="str">
        <f>_xlfn.XLOOKUP(TablaSTOCKINV[[#This Row],[SKU]],TablaINVENTARIO[SKU],TablaINVENTARIO[MEDIDA])</f>
        <v>UND</v>
      </c>
      <c r="H416" s="33" t="str">
        <f>_xlfn.XLOOKUP(TablaSTOCKINV[[#This Row],[SKU]],TablaINVENTARIO[SKU],TablaINVENTARIO[SERIAL])</f>
        <v>N/A</v>
      </c>
      <c r="I416" s="34" t="str">
        <f>_xlfn.XLOOKUP(TablaSTOCKINV[[#This Row],[SKU]],TablaINVENTARIO[SKU],TablaINVENTARIO[ALMACEN])</f>
        <v>ALMACEN PRINCIPAL</v>
      </c>
      <c r="J416" s="34" t="str">
        <f>_xlfn.XLOOKUP(TablaSTOCKINV[[#This Row],[SKU]],TablaINVENTARIO[SKU],TablaINVENTARIO[UBICACION])</f>
        <v>3H</v>
      </c>
      <c r="K416" s="34" t="str">
        <f>_xlfn.XLOOKUP(TablaSTOCKINV[[#This Row],[SKU]],TablaINVENTARIO[SKU],TablaINVENTARIO[DPTO RESPONSABLE])</f>
        <v>MANTENIMIENTO</v>
      </c>
      <c r="L416" s="36">
        <f>_xlfn.XLOOKUP(TablaSTOCKINV[[#This Row],[SKU]],TablaINVENTARIO[SKU],TablaINVENTARIO[RANGO MIN])</f>
        <v>0</v>
      </c>
      <c r="M416" s="34" cm="1">
        <f t="array" ref="M416">_xlfn.IFS(TablaSTOCKINV[[#This Row],[CANT. TOTAL]]&lt;=0,1,TablaSTOCKINV[[#This Row],[CANT. TOTAL]]&lt;=TablaSTOCKINV[[#This Row],[MIN]],2,TablaSTOCKINV[[#This Row],[CANT. TOTAL]]&gt;TablaSTOCKINV[[#This Row],[MIN]],3)</f>
        <v>3</v>
      </c>
      <c r="N416" s="34">
        <f>TablaSTOCKINV[[#This Row],[ENTRADAS]]-TablaSTOCKINV[[#This Row],[SALIDAS]]</f>
        <v>3</v>
      </c>
      <c r="O416" s="35">
        <f>SUMIFS(TablaENTRADA[CANT],TablaENTRADA[SKU],TablaSTOCKINV[[#This Row],[SKU]])</f>
        <v>3</v>
      </c>
      <c r="P416" s="35">
        <f>SUMIFS(TablaSALIDA[CANT],TablaSALIDA[SKU],TablaSTOCKINV[[#This Row],[SKU]])</f>
        <v>0</v>
      </c>
      <c r="Q416" s="34">
        <f>_xlfn.XLOOKUP(TablaSTOCKINV[[#This Row],[SKU]],TablaINVENTARIO[SKU],TablaINVENTARIO[PRECIO])</f>
        <v>0</v>
      </c>
      <c r="R416" s="34">
        <f>TablaSTOCKINV[[#This Row],[P.UNITARIO]]*TablaSTOCKINV[[#This Row],[CANT. TOTAL]]</f>
        <v>0</v>
      </c>
      <c r="S416" s="44">
        <f>_xlfn.XLOOKUP(TablaSTOCKINV[[#This Row],[SKU]],TablaINVENTARIO[SKU],TablaINVENTARIO[FECHA INGRESO])</f>
        <v>46023</v>
      </c>
      <c r="T416" s="44">
        <f>_xlfn.XLOOKUP(TablaSTOCKINV[[#This Row],[SKU]],TablaENTRADA[SKU],TablaENTRADA[FECHA],,0,-1)</f>
        <v>46023</v>
      </c>
      <c r="U416" s="46" t="str">
        <f>IFERROR((_xlfn.XLOOKUP(TablaSTOCKINV[[#This Row],[SKU]],TablaSALIDA[SKU],TablaSALIDA[FECHA],,0,-1))," " )</f>
        <v xml:space="preserve"> </v>
      </c>
    </row>
    <row r="417" spans="1:21" x14ac:dyDescent="0.3">
      <c r="A417" s="27" t="s">
        <v>1708</v>
      </c>
      <c r="B417" s="32" t="str">
        <f>_xlfn.XLOOKUP(TablaSTOCKINV[[#This Row],[SKU]],TablaINVENTARIO[SKU],TablaINVENTARIO[DESCRIPCION])</f>
        <v>RELE ALTERNADOR PARA SISTEMAS HIDRONEUMATICOS 120/220V</v>
      </c>
      <c r="C417" s="32" t="str">
        <f>_xlfn.XLOOKUP(TablaSTOCKINV[[#This Row],[SKU]],TablaINVENTARIO[SKU],TablaINVENTARIO[MARCA])</f>
        <v xml:space="preserve">EXCELINE </v>
      </c>
      <c r="D417" s="33" t="str">
        <f>_xlfn.XLOOKUP(TablaSTOCKINV[[#This Row],[SKU]],TablaINVENTARIO[SKU],TablaINVENTARIO[CATEGORIA])</f>
        <v>HERRAMIENTAS_</v>
      </c>
      <c r="E417" s="33" t="str">
        <f>_xlfn.XLOOKUP(TablaSTOCKINV[[#This Row],[SKU]],TablaINVENTARIO[SKU],TablaINVENTARIO[SUBCATEGORIA])</f>
        <v>MATERIAL ELECTRICO</v>
      </c>
      <c r="F417" s="33" t="str">
        <f>_xlfn.XLOOKUP(TablaSTOCKINV[[#This Row],[SKU]],TablaINVENTARIO[SKU],TablaINVENTARIO[ESTADO])</f>
        <v xml:space="preserve">NUEVO </v>
      </c>
      <c r="G417" s="33" t="str">
        <f>_xlfn.XLOOKUP(TablaSTOCKINV[[#This Row],[SKU]],TablaINVENTARIO[SKU],TablaINVENTARIO[MEDIDA])</f>
        <v>UND</v>
      </c>
      <c r="H417" s="33" t="str">
        <f>_xlfn.XLOOKUP(TablaSTOCKINV[[#This Row],[SKU]],TablaINVENTARIO[SKU],TablaINVENTARIO[SERIAL])</f>
        <v>N/A</v>
      </c>
      <c r="I417" s="34" t="str">
        <f>_xlfn.XLOOKUP(TablaSTOCKINV[[#This Row],[SKU]],TablaINVENTARIO[SKU],TablaINVENTARIO[ALMACEN])</f>
        <v>ALMACEN PRINCIPAL</v>
      </c>
      <c r="J417" s="34" t="str">
        <f>_xlfn.XLOOKUP(TablaSTOCKINV[[#This Row],[SKU]],TablaINVENTARIO[SKU],TablaINVENTARIO[UBICACION])</f>
        <v>3H</v>
      </c>
      <c r="K417" s="34" t="str">
        <f>_xlfn.XLOOKUP(TablaSTOCKINV[[#This Row],[SKU]],TablaINVENTARIO[SKU],TablaINVENTARIO[DPTO RESPONSABLE])</f>
        <v>MANTENIMIENTO</v>
      </c>
      <c r="L417" s="36">
        <f>_xlfn.XLOOKUP(TablaSTOCKINV[[#This Row],[SKU]],TablaINVENTARIO[SKU],TablaINVENTARIO[RANGO MIN])</f>
        <v>0</v>
      </c>
      <c r="M417" s="34" cm="1">
        <f t="array" ref="M417">_xlfn.IFS(TablaSTOCKINV[[#This Row],[CANT. TOTAL]]&lt;=0,1,TablaSTOCKINV[[#This Row],[CANT. TOTAL]]&lt;=TablaSTOCKINV[[#This Row],[MIN]],2,TablaSTOCKINV[[#This Row],[CANT. TOTAL]]&gt;TablaSTOCKINV[[#This Row],[MIN]],3)</f>
        <v>3</v>
      </c>
      <c r="N417" s="34">
        <f>TablaSTOCKINV[[#This Row],[ENTRADAS]]-TablaSTOCKINV[[#This Row],[SALIDAS]]</f>
        <v>2</v>
      </c>
      <c r="O417" s="35">
        <f>SUMIFS(TablaENTRADA[CANT],TablaENTRADA[SKU],TablaSTOCKINV[[#This Row],[SKU]])</f>
        <v>2</v>
      </c>
      <c r="P417" s="35">
        <f>SUMIFS(TablaSALIDA[CANT],TablaSALIDA[SKU],TablaSTOCKINV[[#This Row],[SKU]])</f>
        <v>0</v>
      </c>
      <c r="Q417" s="34">
        <f>_xlfn.XLOOKUP(TablaSTOCKINV[[#This Row],[SKU]],TablaINVENTARIO[SKU],TablaINVENTARIO[PRECIO])</f>
        <v>0</v>
      </c>
      <c r="R417" s="34">
        <f>TablaSTOCKINV[[#This Row],[P.UNITARIO]]*TablaSTOCKINV[[#This Row],[CANT. TOTAL]]</f>
        <v>0</v>
      </c>
      <c r="S417" s="44">
        <f>_xlfn.XLOOKUP(TablaSTOCKINV[[#This Row],[SKU]],TablaINVENTARIO[SKU],TablaINVENTARIO[FECHA INGRESO])</f>
        <v>46023</v>
      </c>
      <c r="T417" s="44">
        <f>_xlfn.XLOOKUP(TablaSTOCKINV[[#This Row],[SKU]],TablaENTRADA[SKU],TablaENTRADA[FECHA],,0,-1)</f>
        <v>46023</v>
      </c>
      <c r="U417" s="46" t="str">
        <f>IFERROR((_xlfn.XLOOKUP(TablaSTOCKINV[[#This Row],[SKU]],TablaSALIDA[SKU],TablaSALIDA[FECHA],,0,-1))," " )</f>
        <v xml:space="preserve"> </v>
      </c>
    </row>
    <row r="418" spans="1:21" x14ac:dyDescent="0.3">
      <c r="A418" s="27" t="s">
        <v>1710</v>
      </c>
      <c r="B418" s="32" t="str">
        <f>_xlfn.XLOOKUP(TablaSTOCKINV[[#This Row],[SKU]],TablaINVENTARIO[SKU],TablaINVENTARIO[DESCRIPCION])</f>
        <v xml:space="preserve">MULTIMETRO DIGITAL 6000AR </v>
      </c>
      <c r="C418" s="32" t="str">
        <f>_xlfn.XLOOKUP(TablaSTOCKINV[[#This Row],[SKU]],TablaINVENTARIO[SKU],TablaINVENTARIO[MARCA])</f>
        <v xml:space="preserve">ASTROAI </v>
      </c>
      <c r="D418" s="33" t="str">
        <f>_xlfn.XLOOKUP(TablaSTOCKINV[[#This Row],[SKU]],TablaINVENTARIO[SKU],TablaINVENTARIO[CATEGORIA])</f>
        <v>HERRAMIENTAS_</v>
      </c>
      <c r="E418" s="33" t="str">
        <f>_xlfn.XLOOKUP(TablaSTOCKINV[[#This Row],[SKU]],TablaINVENTARIO[SKU],TablaINVENTARIO[SUBCATEGORIA])</f>
        <v>INSTRUMENTO DE MEDICIÓN</v>
      </c>
      <c r="F418" s="33" t="str">
        <f>_xlfn.XLOOKUP(TablaSTOCKINV[[#This Row],[SKU]],TablaINVENTARIO[SKU],TablaINVENTARIO[ESTADO])</f>
        <v>USADO</v>
      </c>
      <c r="G418" s="33" t="str">
        <f>_xlfn.XLOOKUP(TablaSTOCKINV[[#This Row],[SKU]],TablaINVENTARIO[SKU],TablaINVENTARIO[MEDIDA])</f>
        <v xml:space="preserve">UND </v>
      </c>
      <c r="H418" s="33">
        <f>_xlfn.XLOOKUP(TablaSTOCKINV[[#This Row],[SKU]],TablaINVENTARIO[SKU],TablaINVENTARIO[SERIAL])</f>
        <v>2411535985</v>
      </c>
      <c r="I418" s="34" t="str">
        <f>_xlfn.XLOOKUP(TablaSTOCKINV[[#This Row],[SKU]],TablaINVENTARIO[SKU],TablaINVENTARIO[ALMACEN])</f>
        <v>ALMACEN PRINCIPAL</v>
      </c>
      <c r="J418" s="34" t="str">
        <f>_xlfn.XLOOKUP(TablaSTOCKINV[[#This Row],[SKU]],TablaINVENTARIO[SKU],TablaINVENTARIO[UBICACION])</f>
        <v>2A</v>
      </c>
      <c r="K418" s="34" t="str">
        <f>_xlfn.XLOOKUP(TablaSTOCKINV[[#This Row],[SKU]],TablaINVENTARIO[SKU],TablaINVENTARIO[DPTO RESPONSABLE])</f>
        <v xml:space="preserve">OPERACIONES </v>
      </c>
      <c r="L418" s="36">
        <f>_xlfn.XLOOKUP(TablaSTOCKINV[[#This Row],[SKU]],TablaINVENTARIO[SKU],TablaINVENTARIO[RANGO MIN])</f>
        <v>0</v>
      </c>
      <c r="M418" s="34" cm="1">
        <f t="array" ref="M418">_xlfn.IFS(TablaSTOCKINV[[#This Row],[CANT. TOTAL]]&lt;=0,1,TablaSTOCKINV[[#This Row],[CANT. TOTAL]]&lt;=TablaSTOCKINV[[#This Row],[MIN]],2,TablaSTOCKINV[[#This Row],[CANT. TOTAL]]&gt;TablaSTOCKINV[[#This Row],[MIN]],3)</f>
        <v>3</v>
      </c>
      <c r="N418" s="34">
        <f>TablaSTOCKINV[[#This Row],[ENTRADAS]]-TablaSTOCKINV[[#This Row],[SALIDAS]]</f>
        <v>1</v>
      </c>
      <c r="O418" s="35">
        <f>SUMIFS(TablaENTRADA[CANT],TablaENTRADA[SKU],TablaSTOCKINV[[#This Row],[SKU]])</f>
        <v>1</v>
      </c>
      <c r="P418" s="35">
        <f>SUMIFS(TablaSALIDA[CANT],TablaSALIDA[SKU],TablaSTOCKINV[[#This Row],[SKU]])</f>
        <v>0</v>
      </c>
      <c r="Q418" s="34">
        <f>_xlfn.XLOOKUP(TablaSTOCKINV[[#This Row],[SKU]],TablaINVENTARIO[SKU],TablaINVENTARIO[PRECIO])</f>
        <v>0</v>
      </c>
      <c r="R418" s="34">
        <f>TablaSTOCKINV[[#This Row],[P.UNITARIO]]*TablaSTOCKINV[[#This Row],[CANT. TOTAL]]</f>
        <v>0</v>
      </c>
      <c r="S418" s="44">
        <f>_xlfn.XLOOKUP(TablaSTOCKINV[[#This Row],[SKU]],TablaINVENTARIO[SKU],TablaINVENTARIO[FECHA INGRESO])</f>
        <v>46023</v>
      </c>
      <c r="T418" s="44">
        <f>_xlfn.XLOOKUP(TablaSTOCKINV[[#This Row],[SKU]],TablaENTRADA[SKU],TablaENTRADA[FECHA],,0,-1)</f>
        <v>46023</v>
      </c>
      <c r="U418" s="46" t="str">
        <f>IFERROR((_xlfn.XLOOKUP(TablaSTOCKINV[[#This Row],[SKU]],TablaSALIDA[SKU],TablaSALIDA[FECHA],,0,-1))," " )</f>
        <v xml:space="preserve"> </v>
      </c>
    </row>
    <row r="419" spans="1:21" x14ac:dyDescent="0.3">
      <c r="A419" s="27" t="s">
        <v>1714</v>
      </c>
      <c r="B419" s="32" t="str">
        <f>_xlfn.XLOOKUP(TablaSTOCKINV[[#This Row],[SKU]],TablaINVENTARIO[SKU],TablaINVENTARIO[DESCRIPCION])</f>
        <v>MULTIMETRO DIGITAL 6000AR</v>
      </c>
      <c r="C419" s="32" t="str">
        <f>_xlfn.XLOOKUP(TablaSTOCKINV[[#This Row],[SKU]],TablaINVENTARIO[SKU],TablaINVENTARIO[MARCA])</f>
        <v xml:space="preserve">ASTROAI </v>
      </c>
      <c r="D419" s="33" t="str">
        <f>_xlfn.XLOOKUP(TablaSTOCKINV[[#This Row],[SKU]],TablaINVENTARIO[SKU],TablaINVENTARIO[CATEGORIA])</f>
        <v>HERRAMIENTAS_</v>
      </c>
      <c r="E419" s="33" t="str">
        <f>_xlfn.XLOOKUP(TablaSTOCKINV[[#This Row],[SKU]],TablaINVENTARIO[SKU],TablaINVENTARIO[SUBCATEGORIA])</f>
        <v>INSTRUMENTO DE MEDICIÓN</v>
      </c>
      <c r="F419" s="33" t="str">
        <f>_xlfn.XLOOKUP(TablaSTOCKINV[[#This Row],[SKU]],TablaINVENTARIO[SKU],TablaINVENTARIO[ESTADO])</f>
        <v>USADO</v>
      </c>
      <c r="G419" s="33" t="str">
        <f>_xlfn.XLOOKUP(TablaSTOCKINV[[#This Row],[SKU]],TablaINVENTARIO[SKU],TablaINVENTARIO[MEDIDA])</f>
        <v xml:space="preserve">UND </v>
      </c>
      <c r="H419" s="33">
        <f>_xlfn.XLOOKUP(TablaSTOCKINV[[#This Row],[SKU]],TablaINVENTARIO[SKU],TablaINVENTARIO[SERIAL])</f>
        <v>2411435481</v>
      </c>
      <c r="I419" s="34" t="str">
        <f>_xlfn.XLOOKUP(TablaSTOCKINV[[#This Row],[SKU]],TablaINVENTARIO[SKU],TablaINVENTARIO[ALMACEN])</f>
        <v>ALMACEN PRINCIPAL</v>
      </c>
      <c r="J419" s="34" t="str">
        <f>_xlfn.XLOOKUP(TablaSTOCKINV[[#This Row],[SKU]],TablaINVENTARIO[SKU],TablaINVENTARIO[UBICACION])</f>
        <v>2A</v>
      </c>
      <c r="K419" s="34" t="str">
        <f>_xlfn.XLOOKUP(TablaSTOCKINV[[#This Row],[SKU]],TablaINVENTARIO[SKU],TablaINVENTARIO[DPTO RESPONSABLE])</f>
        <v xml:space="preserve">OPERACIONES </v>
      </c>
      <c r="L419" s="36">
        <f>_xlfn.XLOOKUP(TablaSTOCKINV[[#This Row],[SKU]],TablaINVENTARIO[SKU],TablaINVENTARIO[RANGO MIN])</f>
        <v>0</v>
      </c>
      <c r="M419" s="34" cm="1">
        <f t="array" ref="M419">_xlfn.IFS(TablaSTOCKINV[[#This Row],[CANT. TOTAL]]&lt;=0,1,TablaSTOCKINV[[#This Row],[CANT. TOTAL]]&lt;=TablaSTOCKINV[[#This Row],[MIN]],2,TablaSTOCKINV[[#This Row],[CANT. TOTAL]]&gt;TablaSTOCKINV[[#This Row],[MIN]],3)</f>
        <v>3</v>
      </c>
      <c r="N419" s="34">
        <f>TablaSTOCKINV[[#This Row],[ENTRADAS]]-TablaSTOCKINV[[#This Row],[SALIDAS]]</f>
        <v>1</v>
      </c>
      <c r="O419" s="35">
        <f>SUMIFS(TablaENTRADA[CANT],TablaENTRADA[SKU],TablaSTOCKINV[[#This Row],[SKU]])</f>
        <v>1</v>
      </c>
      <c r="P419" s="35">
        <f>SUMIFS(TablaSALIDA[CANT],TablaSALIDA[SKU],TablaSTOCKINV[[#This Row],[SKU]])</f>
        <v>0</v>
      </c>
      <c r="Q419" s="34">
        <f>_xlfn.XLOOKUP(TablaSTOCKINV[[#This Row],[SKU]],TablaINVENTARIO[SKU],TablaINVENTARIO[PRECIO])</f>
        <v>0</v>
      </c>
      <c r="R419" s="34">
        <f>TablaSTOCKINV[[#This Row],[P.UNITARIO]]*TablaSTOCKINV[[#This Row],[CANT. TOTAL]]</f>
        <v>0</v>
      </c>
      <c r="S419" s="44">
        <f>_xlfn.XLOOKUP(TablaSTOCKINV[[#This Row],[SKU]],TablaINVENTARIO[SKU],TablaINVENTARIO[FECHA INGRESO])</f>
        <v>46023</v>
      </c>
      <c r="T419" s="44">
        <f>_xlfn.XLOOKUP(TablaSTOCKINV[[#This Row],[SKU]],TablaENTRADA[SKU],TablaENTRADA[FECHA],,0,-1)</f>
        <v>46023</v>
      </c>
      <c r="U419" s="46" t="str">
        <f>IFERROR((_xlfn.XLOOKUP(TablaSTOCKINV[[#This Row],[SKU]],TablaSALIDA[SKU],TablaSALIDA[FECHA],,0,-1))," " )</f>
        <v xml:space="preserve"> </v>
      </c>
    </row>
    <row r="420" spans="1:21" x14ac:dyDescent="0.3">
      <c r="A420" s="27" t="s">
        <v>1716</v>
      </c>
      <c r="B420" s="32" t="str">
        <f>_xlfn.XLOOKUP(TablaSTOCKINV[[#This Row],[SKU]],TablaINVENTARIO[SKU],TablaINVENTARIO[DESCRIPCION])</f>
        <v>MULTIMETRO DIGITAL 6000AR</v>
      </c>
      <c r="C420" s="32" t="str">
        <f>_xlfn.XLOOKUP(TablaSTOCKINV[[#This Row],[SKU]],TablaINVENTARIO[SKU],TablaINVENTARIO[MARCA])</f>
        <v xml:space="preserve">ASTROAI </v>
      </c>
      <c r="D420" s="33" t="str">
        <f>_xlfn.XLOOKUP(TablaSTOCKINV[[#This Row],[SKU]],TablaINVENTARIO[SKU],TablaINVENTARIO[CATEGORIA])</f>
        <v>HERRAMIENTAS_</v>
      </c>
      <c r="E420" s="33" t="str">
        <f>_xlfn.XLOOKUP(TablaSTOCKINV[[#This Row],[SKU]],TablaINVENTARIO[SKU],TablaINVENTARIO[SUBCATEGORIA])</f>
        <v>INSTRUMENTO DE MEDICIÓN</v>
      </c>
      <c r="F420" s="33" t="str">
        <f>_xlfn.XLOOKUP(TablaSTOCKINV[[#This Row],[SKU]],TablaINVENTARIO[SKU],TablaINVENTARIO[ESTADO])</f>
        <v>USADO</v>
      </c>
      <c r="G420" s="33" t="str">
        <f>_xlfn.XLOOKUP(TablaSTOCKINV[[#This Row],[SKU]],TablaINVENTARIO[SKU],TablaINVENTARIO[MEDIDA])</f>
        <v xml:space="preserve">UND </v>
      </c>
      <c r="H420" s="33">
        <f>_xlfn.XLOOKUP(TablaSTOCKINV[[#This Row],[SKU]],TablaINVENTARIO[SKU],TablaINVENTARIO[SERIAL])</f>
        <v>2401529171</v>
      </c>
      <c r="I420" s="34" t="str">
        <f>_xlfn.XLOOKUP(TablaSTOCKINV[[#This Row],[SKU]],TablaINVENTARIO[SKU],TablaINVENTARIO[ALMACEN])</f>
        <v>ALMACEN PRINCIPAL</v>
      </c>
      <c r="J420" s="34" t="str">
        <f>_xlfn.XLOOKUP(TablaSTOCKINV[[#This Row],[SKU]],TablaINVENTARIO[SKU],TablaINVENTARIO[UBICACION])</f>
        <v>2A</v>
      </c>
      <c r="K420" s="34" t="str">
        <f>_xlfn.XLOOKUP(TablaSTOCKINV[[#This Row],[SKU]],TablaINVENTARIO[SKU],TablaINVENTARIO[DPTO RESPONSABLE])</f>
        <v xml:space="preserve">OPERACIONES </v>
      </c>
      <c r="L420" s="36">
        <f>_xlfn.XLOOKUP(TablaSTOCKINV[[#This Row],[SKU]],TablaINVENTARIO[SKU],TablaINVENTARIO[RANGO MIN])</f>
        <v>0</v>
      </c>
      <c r="M420" s="34" cm="1">
        <f t="array" ref="M420">_xlfn.IFS(TablaSTOCKINV[[#This Row],[CANT. TOTAL]]&lt;=0,1,TablaSTOCKINV[[#This Row],[CANT. TOTAL]]&lt;=TablaSTOCKINV[[#This Row],[MIN]],2,TablaSTOCKINV[[#This Row],[CANT. TOTAL]]&gt;TablaSTOCKINV[[#This Row],[MIN]],3)</f>
        <v>3</v>
      </c>
      <c r="N420" s="34">
        <f>TablaSTOCKINV[[#This Row],[ENTRADAS]]-TablaSTOCKINV[[#This Row],[SALIDAS]]</f>
        <v>1</v>
      </c>
      <c r="O420" s="35">
        <f>SUMIFS(TablaENTRADA[CANT],TablaENTRADA[SKU],TablaSTOCKINV[[#This Row],[SKU]])</f>
        <v>1</v>
      </c>
      <c r="P420" s="35">
        <f>SUMIFS(TablaSALIDA[CANT],TablaSALIDA[SKU],TablaSTOCKINV[[#This Row],[SKU]])</f>
        <v>0</v>
      </c>
      <c r="Q420" s="34">
        <f>_xlfn.XLOOKUP(TablaSTOCKINV[[#This Row],[SKU]],TablaINVENTARIO[SKU],TablaINVENTARIO[PRECIO])</f>
        <v>0</v>
      </c>
      <c r="R420" s="34">
        <f>TablaSTOCKINV[[#This Row],[P.UNITARIO]]*TablaSTOCKINV[[#This Row],[CANT. TOTAL]]</f>
        <v>0</v>
      </c>
      <c r="S420" s="44">
        <f>_xlfn.XLOOKUP(TablaSTOCKINV[[#This Row],[SKU]],TablaINVENTARIO[SKU],TablaINVENTARIO[FECHA INGRESO])</f>
        <v>46023</v>
      </c>
      <c r="T420" s="44">
        <f>_xlfn.XLOOKUP(TablaSTOCKINV[[#This Row],[SKU]],TablaENTRADA[SKU],TablaENTRADA[FECHA],,0,-1)</f>
        <v>46023</v>
      </c>
      <c r="U420" s="46" t="str">
        <f>IFERROR((_xlfn.XLOOKUP(TablaSTOCKINV[[#This Row],[SKU]],TablaSALIDA[SKU],TablaSALIDA[FECHA],,0,-1))," " )</f>
        <v xml:space="preserve"> </v>
      </c>
    </row>
    <row r="421" spans="1:21" x14ac:dyDescent="0.3">
      <c r="A421" s="27" t="s">
        <v>1717</v>
      </c>
      <c r="B421" s="32" t="str">
        <f>_xlfn.XLOOKUP(TablaSTOCKINV[[#This Row],[SKU]],TablaINVENTARIO[SKU],TablaINVENTARIO[DESCRIPCION])</f>
        <v>MULTIMETRO DIGITAL 6000AR</v>
      </c>
      <c r="C421" s="32" t="str">
        <f>_xlfn.XLOOKUP(TablaSTOCKINV[[#This Row],[SKU]],TablaINVENTARIO[SKU],TablaINVENTARIO[MARCA])</f>
        <v xml:space="preserve">ASTROAI </v>
      </c>
      <c r="D421" s="33" t="str">
        <f>_xlfn.XLOOKUP(TablaSTOCKINV[[#This Row],[SKU]],TablaINVENTARIO[SKU],TablaINVENTARIO[CATEGORIA])</f>
        <v>HERRAMIENTAS_</v>
      </c>
      <c r="E421" s="33" t="str">
        <f>_xlfn.XLOOKUP(TablaSTOCKINV[[#This Row],[SKU]],TablaINVENTARIO[SKU],TablaINVENTARIO[SUBCATEGORIA])</f>
        <v>INSTRUMENTO DE MEDICIÓN</v>
      </c>
      <c r="F421" s="33" t="str">
        <f>_xlfn.XLOOKUP(TablaSTOCKINV[[#This Row],[SKU]],TablaINVENTARIO[SKU],TablaINVENTARIO[ESTADO])</f>
        <v>USADO</v>
      </c>
      <c r="G421" s="33" t="str">
        <f>_xlfn.XLOOKUP(TablaSTOCKINV[[#This Row],[SKU]],TablaINVENTARIO[SKU],TablaINVENTARIO[MEDIDA])</f>
        <v xml:space="preserve">UND </v>
      </c>
      <c r="H421" s="33">
        <f>_xlfn.XLOOKUP(TablaSTOCKINV[[#This Row],[SKU]],TablaINVENTARIO[SKU],TablaINVENTARIO[SERIAL])</f>
        <v>2401528932</v>
      </c>
      <c r="I421" s="34" t="str">
        <f>_xlfn.XLOOKUP(TablaSTOCKINV[[#This Row],[SKU]],TablaINVENTARIO[SKU],TablaINVENTARIO[ALMACEN])</f>
        <v>ALMACEN PRINCIPAL</v>
      </c>
      <c r="J421" s="34" t="str">
        <f>_xlfn.XLOOKUP(TablaSTOCKINV[[#This Row],[SKU]],TablaINVENTARIO[SKU],TablaINVENTARIO[UBICACION])</f>
        <v>2A</v>
      </c>
      <c r="K421" s="34" t="str">
        <f>_xlfn.XLOOKUP(TablaSTOCKINV[[#This Row],[SKU]],TablaINVENTARIO[SKU],TablaINVENTARIO[DPTO RESPONSABLE])</f>
        <v xml:space="preserve">OPERACIONES </v>
      </c>
      <c r="L421" s="36">
        <f>_xlfn.XLOOKUP(TablaSTOCKINV[[#This Row],[SKU]],TablaINVENTARIO[SKU],TablaINVENTARIO[RANGO MIN])</f>
        <v>0</v>
      </c>
      <c r="M421" s="34" cm="1">
        <f t="array" ref="M421">_xlfn.IFS(TablaSTOCKINV[[#This Row],[CANT. TOTAL]]&lt;=0,1,TablaSTOCKINV[[#This Row],[CANT. TOTAL]]&lt;=TablaSTOCKINV[[#This Row],[MIN]],2,TablaSTOCKINV[[#This Row],[CANT. TOTAL]]&gt;TablaSTOCKINV[[#This Row],[MIN]],3)</f>
        <v>3</v>
      </c>
      <c r="N421" s="34">
        <f>TablaSTOCKINV[[#This Row],[ENTRADAS]]-TablaSTOCKINV[[#This Row],[SALIDAS]]</f>
        <v>1</v>
      </c>
      <c r="O421" s="35">
        <f>SUMIFS(TablaENTRADA[CANT],TablaENTRADA[SKU],TablaSTOCKINV[[#This Row],[SKU]])</f>
        <v>1</v>
      </c>
      <c r="P421" s="35">
        <f>SUMIFS(TablaSALIDA[CANT],TablaSALIDA[SKU],TablaSTOCKINV[[#This Row],[SKU]])</f>
        <v>0</v>
      </c>
      <c r="Q421" s="34">
        <f>_xlfn.XLOOKUP(TablaSTOCKINV[[#This Row],[SKU]],TablaINVENTARIO[SKU],TablaINVENTARIO[PRECIO])</f>
        <v>0</v>
      </c>
      <c r="R421" s="34">
        <f>TablaSTOCKINV[[#This Row],[P.UNITARIO]]*TablaSTOCKINV[[#This Row],[CANT. TOTAL]]</f>
        <v>0</v>
      </c>
      <c r="S421" s="44">
        <f>_xlfn.XLOOKUP(TablaSTOCKINV[[#This Row],[SKU]],TablaINVENTARIO[SKU],TablaINVENTARIO[FECHA INGRESO])</f>
        <v>46023</v>
      </c>
      <c r="T421" s="44">
        <f>_xlfn.XLOOKUP(TablaSTOCKINV[[#This Row],[SKU]],TablaENTRADA[SKU],TablaENTRADA[FECHA],,0,-1)</f>
        <v>46023</v>
      </c>
      <c r="U421" s="46" t="str">
        <f>IFERROR((_xlfn.XLOOKUP(TablaSTOCKINV[[#This Row],[SKU]],TablaSALIDA[SKU],TablaSALIDA[FECHA],,0,-1))," " )</f>
        <v xml:space="preserve"> </v>
      </c>
    </row>
    <row r="422" spans="1:21" x14ac:dyDescent="0.3">
      <c r="A422" s="27" t="s">
        <v>1718</v>
      </c>
      <c r="B422" s="32" t="str">
        <f>_xlfn.XLOOKUP(TablaSTOCKINV[[#This Row],[SKU]],TablaINVENTARIO[SKU],TablaINVENTARIO[DESCRIPCION])</f>
        <v>MULTIMETRO DIGITAL T-92 X000Y8LI2HF</v>
      </c>
      <c r="C422" s="32" t="str">
        <f>_xlfn.XLOOKUP(TablaSTOCKINV[[#This Row],[SKU]],TablaINVENTARIO[SKU],TablaINVENTARIO[MARCA])</f>
        <v>ELIKE</v>
      </c>
      <c r="D422" s="33" t="str">
        <f>_xlfn.XLOOKUP(TablaSTOCKINV[[#This Row],[SKU]],TablaINVENTARIO[SKU],TablaINVENTARIO[CATEGORIA])</f>
        <v>HERRAMIENTAS_</v>
      </c>
      <c r="E422" s="33" t="str">
        <f>_xlfn.XLOOKUP(TablaSTOCKINV[[#This Row],[SKU]],TablaINVENTARIO[SKU],TablaINVENTARIO[SUBCATEGORIA])</f>
        <v>INSTRUMENTO DE MEDICIÓN</v>
      </c>
      <c r="F422" s="33" t="str">
        <f>_xlfn.XLOOKUP(TablaSTOCKINV[[#This Row],[SKU]],TablaINVENTARIO[SKU],TablaINVENTARIO[ESTADO])</f>
        <v>USADO</v>
      </c>
      <c r="G422" s="33" t="str">
        <f>_xlfn.XLOOKUP(TablaSTOCKINV[[#This Row],[SKU]],TablaINVENTARIO[SKU],TablaINVENTARIO[MEDIDA])</f>
        <v xml:space="preserve">UND </v>
      </c>
      <c r="H422" s="33" t="str">
        <f>_xlfn.XLOOKUP(TablaSTOCKINV[[#This Row],[SKU]],TablaINVENTARIO[SKU],TablaINVENTARIO[SERIAL])</f>
        <v>N/A</v>
      </c>
      <c r="I422" s="34" t="str">
        <f>_xlfn.XLOOKUP(TablaSTOCKINV[[#This Row],[SKU]],TablaINVENTARIO[SKU],TablaINVENTARIO[ALMACEN])</f>
        <v>ALMACEN PRINCIPAL</v>
      </c>
      <c r="J422" s="34" t="str">
        <f>_xlfn.XLOOKUP(TablaSTOCKINV[[#This Row],[SKU]],TablaINVENTARIO[SKU],TablaINVENTARIO[UBICACION])</f>
        <v>2A</v>
      </c>
      <c r="K422" s="34" t="str">
        <f>_xlfn.XLOOKUP(TablaSTOCKINV[[#This Row],[SKU]],TablaINVENTARIO[SKU],TablaINVENTARIO[DPTO RESPONSABLE])</f>
        <v xml:space="preserve">OPERACIONES </v>
      </c>
      <c r="L422" s="36">
        <f>_xlfn.XLOOKUP(TablaSTOCKINV[[#This Row],[SKU]],TablaINVENTARIO[SKU],TablaINVENTARIO[RANGO MIN])</f>
        <v>0</v>
      </c>
      <c r="M422" s="34" cm="1">
        <f t="array" ref="M422">_xlfn.IFS(TablaSTOCKINV[[#This Row],[CANT. TOTAL]]&lt;=0,1,TablaSTOCKINV[[#This Row],[CANT. TOTAL]]&lt;=TablaSTOCKINV[[#This Row],[MIN]],2,TablaSTOCKINV[[#This Row],[CANT. TOTAL]]&gt;TablaSTOCKINV[[#This Row],[MIN]],3)</f>
        <v>3</v>
      </c>
      <c r="N422" s="34">
        <f>TablaSTOCKINV[[#This Row],[ENTRADAS]]-TablaSTOCKINV[[#This Row],[SALIDAS]]</f>
        <v>1</v>
      </c>
      <c r="O422" s="35">
        <f>SUMIFS(TablaENTRADA[CANT],TablaENTRADA[SKU],TablaSTOCKINV[[#This Row],[SKU]])</f>
        <v>1</v>
      </c>
      <c r="P422" s="35">
        <f>SUMIFS(TablaSALIDA[CANT],TablaSALIDA[SKU],TablaSTOCKINV[[#This Row],[SKU]])</f>
        <v>0</v>
      </c>
      <c r="Q422" s="34">
        <f>_xlfn.XLOOKUP(TablaSTOCKINV[[#This Row],[SKU]],TablaINVENTARIO[SKU],TablaINVENTARIO[PRECIO])</f>
        <v>0</v>
      </c>
      <c r="R422" s="34">
        <f>TablaSTOCKINV[[#This Row],[P.UNITARIO]]*TablaSTOCKINV[[#This Row],[CANT. TOTAL]]</f>
        <v>0</v>
      </c>
      <c r="S422" s="44">
        <f>_xlfn.XLOOKUP(TablaSTOCKINV[[#This Row],[SKU]],TablaINVENTARIO[SKU],TablaINVENTARIO[FECHA INGRESO])</f>
        <v>46023</v>
      </c>
      <c r="T422" s="44">
        <f>_xlfn.XLOOKUP(TablaSTOCKINV[[#This Row],[SKU]],TablaENTRADA[SKU],TablaENTRADA[FECHA],,0,-1)</f>
        <v>46023</v>
      </c>
      <c r="U422" s="46" t="str">
        <f>IFERROR((_xlfn.XLOOKUP(TablaSTOCKINV[[#This Row],[SKU]],TablaSALIDA[SKU],TablaSALIDA[FECHA],,0,-1))," " )</f>
        <v xml:space="preserve"> </v>
      </c>
    </row>
    <row r="423" spans="1:21" x14ac:dyDescent="0.3">
      <c r="A423" s="27" t="s">
        <v>1721</v>
      </c>
      <c r="B423" s="32" t="str">
        <f>_xlfn.XLOOKUP(TablaSTOCKINV[[#This Row],[SKU]],TablaINVENTARIO[SKU],TablaINVENTARIO[DESCRIPCION])</f>
        <v>MULTIMETRO DIGITAL T-92 X000Y8LI2HF</v>
      </c>
      <c r="C423" s="32" t="str">
        <f>_xlfn.XLOOKUP(TablaSTOCKINV[[#This Row],[SKU]],TablaINVENTARIO[SKU],TablaINVENTARIO[MARCA])</f>
        <v xml:space="preserve">ELIKE </v>
      </c>
      <c r="D423" s="33" t="str">
        <f>_xlfn.XLOOKUP(TablaSTOCKINV[[#This Row],[SKU]],TablaINVENTARIO[SKU],TablaINVENTARIO[CATEGORIA])</f>
        <v>HERRAMIENTAS_</v>
      </c>
      <c r="E423" s="33" t="str">
        <f>_xlfn.XLOOKUP(TablaSTOCKINV[[#This Row],[SKU]],TablaINVENTARIO[SKU],TablaINVENTARIO[SUBCATEGORIA])</f>
        <v>INSTRUMENTO DE MEDICIÓN</v>
      </c>
      <c r="F423" s="33" t="str">
        <f>_xlfn.XLOOKUP(TablaSTOCKINV[[#This Row],[SKU]],TablaINVENTARIO[SKU],TablaINVENTARIO[ESTADO])</f>
        <v>DAÑADO</v>
      </c>
      <c r="G423" s="33" t="str">
        <f>_xlfn.XLOOKUP(TablaSTOCKINV[[#This Row],[SKU]],TablaINVENTARIO[SKU],TablaINVENTARIO[MEDIDA])</f>
        <v xml:space="preserve">UND </v>
      </c>
      <c r="H423" s="33" t="str">
        <f>_xlfn.XLOOKUP(TablaSTOCKINV[[#This Row],[SKU]],TablaINVENTARIO[SKU],TablaINVENTARIO[SERIAL])</f>
        <v>N/A</v>
      </c>
      <c r="I423" s="34" t="str">
        <f>_xlfn.XLOOKUP(TablaSTOCKINV[[#This Row],[SKU]],TablaINVENTARIO[SKU],TablaINVENTARIO[ALMACEN])</f>
        <v>ALMACEN PRINCIPAL</v>
      </c>
      <c r="J423" s="34" t="str">
        <f>_xlfn.XLOOKUP(TablaSTOCKINV[[#This Row],[SKU]],TablaINVENTARIO[SKU],TablaINVENTARIO[UBICACION])</f>
        <v>2A</v>
      </c>
      <c r="K423" s="34" t="str">
        <f>_xlfn.XLOOKUP(TablaSTOCKINV[[#This Row],[SKU]],TablaINVENTARIO[SKU],TablaINVENTARIO[DPTO RESPONSABLE])</f>
        <v xml:space="preserve">OPERACIONES </v>
      </c>
      <c r="L423" s="36">
        <f>_xlfn.XLOOKUP(TablaSTOCKINV[[#This Row],[SKU]],TablaINVENTARIO[SKU],TablaINVENTARIO[RANGO MIN])</f>
        <v>0</v>
      </c>
      <c r="M423" s="34" cm="1">
        <f t="array" ref="M423">_xlfn.IFS(TablaSTOCKINV[[#This Row],[CANT. TOTAL]]&lt;=0,1,TablaSTOCKINV[[#This Row],[CANT. TOTAL]]&lt;=TablaSTOCKINV[[#This Row],[MIN]],2,TablaSTOCKINV[[#This Row],[CANT. TOTAL]]&gt;TablaSTOCKINV[[#This Row],[MIN]],3)</f>
        <v>3</v>
      </c>
      <c r="N423" s="34">
        <f>TablaSTOCKINV[[#This Row],[ENTRADAS]]-TablaSTOCKINV[[#This Row],[SALIDAS]]</f>
        <v>1</v>
      </c>
      <c r="O423" s="35">
        <f>SUMIFS(TablaENTRADA[CANT],TablaENTRADA[SKU],TablaSTOCKINV[[#This Row],[SKU]])</f>
        <v>1</v>
      </c>
      <c r="P423" s="35">
        <f>SUMIFS(TablaSALIDA[CANT],TablaSALIDA[SKU],TablaSTOCKINV[[#This Row],[SKU]])</f>
        <v>0</v>
      </c>
      <c r="Q423" s="34">
        <f>_xlfn.XLOOKUP(TablaSTOCKINV[[#This Row],[SKU]],TablaINVENTARIO[SKU],TablaINVENTARIO[PRECIO])</f>
        <v>0</v>
      </c>
      <c r="R423" s="34">
        <f>TablaSTOCKINV[[#This Row],[P.UNITARIO]]*TablaSTOCKINV[[#This Row],[CANT. TOTAL]]</f>
        <v>0</v>
      </c>
      <c r="S423" s="44">
        <f>_xlfn.XLOOKUP(TablaSTOCKINV[[#This Row],[SKU]],TablaINVENTARIO[SKU],TablaINVENTARIO[FECHA INGRESO])</f>
        <v>46023</v>
      </c>
      <c r="T423" s="44">
        <f>_xlfn.XLOOKUP(TablaSTOCKINV[[#This Row],[SKU]],TablaENTRADA[SKU],TablaENTRADA[FECHA],,0,-1)</f>
        <v>46023</v>
      </c>
      <c r="U423" s="46" t="str">
        <f>IFERROR((_xlfn.XLOOKUP(TablaSTOCKINV[[#This Row],[SKU]],TablaSALIDA[SKU],TablaSALIDA[FECHA],,0,-1))," " )</f>
        <v xml:space="preserve"> </v>
      </c>
    </row>
    <row r="424" spans="1:21" x14ac:dyDescent="0.3">
      <c r="A424" s="27" t="s">
        <v>1723</v>
      </c>
      <c r="B424" s="32" t="str">
        <f>_xlfn.XLOOKUP(TablaSTOCKINV[[#This Row],[SKU]],TablaINVENTARIO[SKU],TablaINVENTARIO[DESCRIPCION])</f>
        <v>MULTIMETRO DIGITAL 37XR-A</v>
      </c>
      <c r="C424" s="32" t="str">
        <f>_xlfn.XLOOKUP(TablaSTOCKINV[[#This Row],[SKU]],TablaINVENTARIO[SKU],TablaINVENTARIO[MARCA])</f>
        <v xml:space="preserve">AMPROBE </v>
      </c>
      <c r="D424" s="33" t="str">
        <f>_xlfn.XLOOKUP(TablaSTOCKINV[[#This Row],[SKU]],TablaINVENTARIO[SKU],TablaINVENTARIO[CATEGORIA])</f>
        <v>HERRAMIENTAS_</v>
      </c>
      <c r="E424" s="33" t="str">
        <f>_xlfn.XLOOKUP(TablaSTOCKINV[[#This Row],[SKU]],TablaINVENTARIO[SKU],TablaINVENTARIO[SUBCATEGORIA])</f>
        <v>INSTRUMENTO DE MEDICIÓN</v>
      </c>
      <c r="F424" s="33" t="str">
        <f>_xlfn.XLOOKUP(TablaSTOCKINV[[#This Row],[SKU]],TablaINVENTARIO[SKU],TablaINVENTARIO[ESTADO])</f>
        <v>USADO</v>
      </c>
      <c r="G424" s="33" t="str">
        <f>_xlfn.XLOOKUP(TablaSTOCKINV[[#This Row],[SKU]],TablaINVENTARIO[SKU],TablaINVENTARIO[MEDIDA])</f>
        <v xml:space="preserve">UND </v>
      </c>
      <c r="H424" s="33">
        <f>_xlfn.XLOOKUP(TablaSTOCKINV[[#This Row],[SKU]],TablaINVENTARIO[SKU],TablaINVENTARIO[SERIAL])</f>
        <v>130403299</v>
      </c>
      <c r="I424" s="34" t="str">
        <f>_xlfn.XLOOKUP(TablaSTOCKINV[[#This Row],[SKU]],TablaINVENTARIO[SKU],TablaINVENTARIO[ALMACEN])</f>
        <v>ALMACEN PRINCIPAL</v>
      </c>
      <c r="J424" s="34" t="str">
        <f>_xlfn.XLOOKUP(TablaSTOCKINV[[#This Row],[SKU]],TablaINVENTARIO[SKU],TablaINVENTARIO[UBICACION])</f>
        <v>2A</v>
      </c>
      <c r="K424" s="34" t="str">
        <f>_xlfn.XLOOKUP(TablaSTOCKINV[[#This Row],[SKU]],TablaINVENTARIO[SKU],TablaINVENTARIO[DPTO RESPONSABLE])</f>
        <v xml:space="preserve">OPERACIONES </v>
      </c>
      <c r="L424" s="36">
        <f>_xlfn.XLOOKUP(TablaSTOCKINV[[#This Row],[SKU]],TablaINVENTARIO[SKU],TablaINVENTARIO[RANGO MIN])</f>
        <v>0</v>
      </c>
      <c r="M424" s="34" cm="1">
        <f t="array" ref="M424">_xlfn.IFS(TablaSTOCKINV[[#This Row],[CANT. TOTAL]]&lt;=0,1,TablaSTOCKINV[[#This Row],[CANT. TOTAL]]&lt;=TablaSTOCKINV[[#This Row],[MIN]],2,TablaSTOCKINV[[#This Row],[CANT. TOTAL]]&gt;TablaSTOCKINV[[#This Row],[MIN]],3)</f>
        <v>3</v>
      </c>
      <c r="N424" s="34">
        <f>TablaSTOCKINV[[#This Row],[ENTRADAS]]-TablaSTOCKINV[[#This Row],[SALIDAS]]</f>
        <v>1</v>
      </c>
      <c r="O424" s="35">
        <f>SUMIFS(TablaENTRADA[CANT],TablaENTRADA[SKU],TablaSTOCKINV[[#This Row],[SKU]])</f>
        <v>1</v>
      </c>
      <c r="P424" s="35">
        <f>SUMIFS(TablaSALIDA[CANT],TablaSALIDA[SKU],TablaSTOCKINV[[#This Row],[SKU]])</f>
        <v>0</v>
      </c>
      <c r="Q424" s="34">
        <f>_xlfn.XLOOKUP(TablaSTOCKINV[[#This Row],[SKU]],TablaINVENTARIO[SKU],TablaINVENTARIO[PRECIO])</f>
        <v>0</v>
      </c>
      <c r="R424" s="34">
        <f>TablaSTOCKINV[[#This Row],[P.UNITARIO]]*TablaSTOCKINV[[#This Row],[CANT. TOTAL]]</f>
        <v>0</v>
      </c>
      <c r="S424" s="44">
        <f>_xlfn.XLOOKUP(TablaSTOCKINV[[#This Row],[SKU]],TablaINVENTARIO[SKU],TablaINVENTARIO[FECHA INGRESO])</f>
        <v>46023</v>
      </c>
      <c r="T424" s="44">
        <f>_xlfn.XLOOKUP(TablaSTOCKINV[[#This Row],[SKU]],TablaENTRADA[SKU],TablaENTRADA[FECHA],,0,-1)</f>
        <v>46023</v>
      </c>
      <c r="U424" s="46" t="str">
        <f>IFERROR((_xlfn.XLOOKUP(TablaSTOCKINV[[#This Row],[SKU]],TablaSALIDA[SKU],TablaSALIDA[FECHA],,0,-1))," " )</f>
        <v xml:space="preserve"> </v>
      </c>
    </row>
    <row r="425" spans="1:21" x14ac:dyDescent="0.3">
      <c r="A425" s="27" t="s">
        <v>1726</v>
      </c>
      <c r="B425" s="32" t="str">
        <f>_xlfn.XLOOKUP(TablaSTOCKINV[[#This Row],[SKU]],TablaINVENTARIO[SKU],TablaINVENTARIO[DESCRIPCION])</f>
        <v>MULTIMETRO DIGITAL 37XR-A</v>
      </c>
      <c r="C425" s="32" t="str">
        <f>_xlfn.XLOOKUP(TablaSTOCKINV[[#This Row],[SKU]],TablaINVENTARIO[SKU],TablaINVENTARIO[MARCA])</f>
        <v xml:space="preserve">AMPROBE </v>
      </c>
      <c r="D425" s="33" t="str">
        <f>_xlfn.XLOOKUP(TablaSTOCKINV[[#This Row],[SKU]],TablaINVENTARIO[SKU],TablaINVENTARIO[CATEGORIA])</f>
        <v>HERRAMIENTAS_</v>
      </c>
      <c r="E425" s="33" t="str">
        <f>_xlfn.XLOOKUP(TablaSTOCKINV[[#This Row],[SKU]],TablaINVENTARIO[SKU],TablaINVENTARIO[SUBCATEGORIA])</f>
        <v>INSTRUMENTO DE MEDICIÓN</v>
      </c>
      <c r="F425" s="33" t="str">
        <f>_xlfn.XLOOKUP(TablaSTOCKINV[[#This Row],[SKU]],TablaINVENTARIO[SKU],TablaINVENTARIO[ESTADO])</f>
        <v>USADO</v>
      </c>
      <c r="G425" s="33" t="str">
        <f>_xlfn.XLOOKUP(TablaSTOCKINV[[#This Row],[SKU]],TablaINVENTARIO[SKU],TablaINVENTARIO[MEDIDA])</f>
        <v xml:space="preserve">UND </v>
      </c>
      <c r="H425" s="33">
        <f>_xlfn.XLOOKUP(TablaSTOCKINV[[#This Row],[SKU]],TablaINVENTARIO[SKU],TablaINVENTARIO[SERIAL])</f>
        <v>2401529171</v>
      </c>
      <c r="I425" s="34" t="str">
        <f>_xlfn.XLOOKUP(TablaSTOCKINV[[#This Row],[SKU]],TablaINVENTARIO[SKU],TablaINVENTARIO[ALMACEN])</f>
        <v>ALMACEN PRINCIPAL</v>
      </c>
      <c r="J425" s="34" t="str">
        <f>_xlfn.XLOOKUP(TablaSTOCKINV[[#This Row],[SKU]],TablaINVENTARIO[SKU],TablaINVENTARIO[UBICACION])</f>
        <v>2A</v>
      </c>
      <c r="K425" s="34" t="str">
        <f>_xlfn.XLOOKUP(TablaSTOCKINV[[#This Row],[SKU]],TablaINVENTARIO[SKU],TablaINVENTARIO[DPTO RESPONSABLE])</f>
        <v xml:space="preserve">OPERACIONES </v>
      </c>
      <c r="L425" s="36">
        <f>_xlfn.XLOOKUP(TablaSTOCKINV[[#This Row],[SKU]],TablaINVENTARIO[SKU],TablaINVENTARIO[RANGO MIN])</f>
        <v>0</v>
      </c>
      <c r="M425" s="34" cm="1">
        <f t="array" ref="M425">_xlfn.IFS(TablaSTOCKINV[[#This Row],[CANT. TOTAL]]&lt;=0,1,TablaSTOCKINV[[#This Row],[CANT. TOTAL]]&lt;=TablaSTOCKINV[[#This Row],[MIN]],2,TablaSTOCKINV[[#This Row],[CANT. TOTAL]]&gt;TablaSTOCKINV[[#This Row],[MIN]],3)</f>
        <v>3</v>
      </c>
      <c r="N425" s="34">
        <f>TablaSTOCKINV[[#This Row],[ENTRADAS]]-TablaSTOCKINV[[#This Row],[SALIDAS]]</f>
        <v>1</v>
      </c>
      <c r="O425" s="35">
        <f>SUMIFS(TablaENTRADA[CANT],TablaENTRADA[SKU],TablaSTOCKINV[[#This Row],[SKU]])</f>
        <v>1</v>
      </c>
      <c r="P425" s="35">
        <f>SUMIFS(TablaSALIDA[CANT],TablaSALIDA[SKU],TablaSTOCKINV[[#This Row],[SKU]])</f>
        <v>0</v>
      </c>
      <c r="Q425" s="34">
        <f>_xlfn.XLOOKUP(TablaSTOCKINV[[#This Row],[SKU]],TablaINVENTARIO[SKU],TablaINVENTARIO[PRECIO])</f>
        <v>0</v>
      </c>
      <c r="R425" s="34">
        <f>TablaSTOCKINV[[#This Row],[P.UNITARIO]]*TablaSTOCKINV[[#This Row],[CANT. TOTAL]]</f>
        <v>0</v>
      </c>
      <c r="S425" s="44">
        <f>_xlfn.XLOOKUP(TablaSTOCKINV[[#This Row],[SKU]],TablaINVENTARIO[SKU],TablaINVENTARIO[FECHA INGRESO])</f>
        <v>46023</v>
      </c>
      <c r="T425" s="44">
        <f>_xlfn.XLOOKUP(TablaSTOCKINV[[#This Row],[SKU]],TablaENTRADA[SKU],TablaENTRADA[FECHA],,0,-1)</f>
        <v>46023</v>
      </c>
      <c r="U425" s="46" t="str">
        <f>IFERROR((_xlfn.XLOOKUP(TablaSTOCKINV[[#This Row],[SKU]],TablaSALIDA[SKU],TablaSALIDA[FECHA],,0,-1))," " )</f>
        <v xml:space="preserve"> </v>
      </c>
    </row>
    <row r="426" spans="1:21" x14ac:dyDescent="0.3">
      <c r="A426" s="27" t="s">
        <v>1727</v>
      </c>
      <c r="B426" s="32" t="str">
        <f>_xlfn.XLOOKUP(TablaSTOCKINV[[#This Row],[SKU]],TablaINVENTARIO[SKU],TablaINVENTARIO[DESCRIPCION])</f>
        <v>MULTIMETRO DIGITAL TMC-585</v>
      </c>
      <c r="C426" s="32" t="str">
        <f>_xlfn.XLOOKUP(TablaSTOCKINV[[#This Row],[SKU]],TablaINVENTARIO[SKU],TablaINVENTARIO[MARCA])</f>
        <v>TMC</v>
      </c>
      <c r="D426" s="33" t="str">
        <f>_xlfn.XLOOKUP(TablaSTOCKINV[[#This Row],[SKU]],TablaINVENTARIO[SKU],TablaINVENTARIO[CATEGORIA])</f>
        <v>HERRAMIENTAS_</v>
      </c>
      <c r="E426" s="33" t="str">
        <f>_xlfn.XLOOKUP(TablaSTOCKINV[[#This Row],[SKU]],TablaINVENTARIO[SKU],TablaINVENTARIO[SUBCATEGORIA])</f>
        <v>INSTRUMENTO DE MEDICIÓN</v>
      </c>
      <c r="F426" s="33" t="str">
        <f>_xlfn.XLOOKUP(TablaSTOCKINV[[#This Row],[SKU]],TablaINVENTARIO[SKU],TablaINVENTARIO[ESTADO])</f>
        <v>DAÑADO</v>
      </c>
      <c r="G426" s="33" t="str">
        <f>_xlfn.XLOOKUP(TablaSTOCKINV[[#This Row],[SKU]],TablaINVENTARIO[SKU],TablaINVENTARIO[MEDIDA])</f>
        <v xml:space="preserve">UND </v>
      </c>
      <c r="H426" s="33" t="str">
        <f>_xlfn.XLOOKUP(TablaSTOCKINV[[#This Row],[SKU]],TablaINVENTARIO[SKU],TablaINVENTARIO[SERIAL])</f>
        <v>N/A</v>
      </c>
      <c r="I426" s="34" t="str">
        <f>_xlfn.XLOOKUP(TablaSTOCKINV[[#This Row],[SKU]],TablaINVENTARIO[SKU],TablaINVENTARIO[ALMACEN])</f>
        <v>ALMACEN PRINCIPAL</v>
      </c>
      <c r="J426" s="34" t="str">
        <f>_xlfn.XLOOKUP(TablaSTOCKINV[[#This Row],[SKU]],TablaINVENTARIO[SKU],TablaINVENTARIO[UBICACION])</f>
        <v>2A</v>
      </c>
      <c r="K426" s="34" t="str">
        <f>_xlfn.XLOOKUP(TablaSTOCKINV[[#This Row],[SKU]],TablaINVENTARIO[SKU],TablaINVENTARIO[DPTO RESPONSABLE])</f>
        <v xml:space="preserve">OPERACIONES </v>
      </c>
      <c r="L426" s="36">
        <f>_xlfn.XLOOKUP(TablaSTOCKINV[[#This Row],[SKU]],TablaINVENTARIO[SKU],TablaINVENTARIO[RANGO MIN])</f>
        <v>0</v>
      </c>
      <c r="M426" s="34" cm="1">
        <f t="array" ref="M426">_xlfn.IFS(TablaSTOCKINV[[#This Row],[CANT. TOTAL]]&lt;=0,1,TablaSTOCKINV[[#This Row],[CANT. TOTAL]]&lt;=TablaSTOCKINV[[#This Row],[MIN]],2,TablaSTOCKINV[[#This Row],[CANT. TOTAL]]&gt;TablaSTOCKINV[[#This Row],[MIN]],3)</f>
        <v>3</v>
      </c>
      <c r="N426" s="34">
        <f>TablaSTOCKINV[[#This Row],[ENTRADAS]]-TablaSTOCKINV[[#This Row],[SALIDAS]]</f>
        <v>1</v>
      </c>
      <c r="O426" s="35">
        <f>SUMIFS(TablaENTRADA[CANT],TablaENTRADA[SKU],TablaSTOCKINV[[#This Row],[SKU]])</f>
        <v>1</v>
      </c>
      <c r="P426" s="35">
        <f>SUMIFS(TablaSALIDA[CANT],TablaSALIDA[SKU],TablaSTOCKINV[[#This Row],[SKU]])</f>
        <v>0</v>
      </c>
      <c r="Q426" s="34">
        <f>_xlfn.XLOOKUP(TablaSTOCKINV[[#This Row],[SKU]],TablaINVENTARIO[SKU],TablaINVENTARIO[PRECIO])</f>
        <v>0</v>
      </c>
      <c r="R426" s="34">
        <f>TablaSTOCKINV[[#This Row],[P.UNITARIO]]*TablaSTOCKINV[[#This Row],[CANT. TOTAL]]</f>
        <v>0</v>
      </c>
      <c r="S426" s="44">
        <f>_xlfn.XLOOKUP(TablaSTOCKINV[[#This Row],[SKU]],TablaINVENTARIO[SKU],TablaINVENTARIO[FECHA INGRESO])</f>
        <v>46023</v>
      </c>
      <c r="T426" s="44">
        <f>_xlfn.XLOOKUP(TablaSTOCKINV[[#This Row],[SKU]],TablaENTRADA[SKU],TablaENTRADA[FECHA],,0,-1)</f>
        <v>46023</v>
      </c>
      <c r="U426" s="46" t="str">
        <f>IFERROR((_xlfn.XLOOKUP(TablaSTOCKINV[[#This Row],[SKU]],TablaSALIDA[SKU],TablaSALIDA[FECHA],,0,-1))," " )</f>
        <v xml:space="preserve"> </v>
      </c>
    </row>
    <row r="427" spans="1:21" x14ac:dyDescent="0.3">
      <c r="A427" s="27" t="s">
        <v>1730</v>
      </c>
      <c r="B427" s="32" t="str">
        <f>_xlfn.XLOOKUP(TablaSTOCKINV[[#This Row],[SKU]],TablaINVENTARIO[SKU],TablaINVENTARIO[DESCRIPCION])</f>
        <v xml:space="preserve">HARD COMUNICATION PROTOCOL </v>
      </c>
      <c r="C427" s="32" t="str">
        <f>_xlfn.XLOOKUP(TablaSTOCKINV[[#This Row],[SKU]],TablaINVENTARIO[SKU],TablaINVENTARIO[MARCA])</f>
        <v xml:space="preserve">EMERSON </v>
      </c>
      <c r="D427" s="33" t="str">
        <f>_xlfn.XLOOKUP(TablaSTOCKINV[[#This Row],[SKU]],TablaINVENTARIO[SKU],TablaINVENTARIO[CATEGORIA])</f>
        <v>HERRAMIENTAS_</v>
      </c>
      <c r="E427" s="33" t="str">
        <f>_xlfn.XLOOKUP(TablaSTOCKINV[[#This Row],[SKU]],TablaINVENTARIO[SKU],TablaINVENTARIO[SUBCATEGORIA])</f>
        <v xml:space="preserve">HERRAMIENTA ELECTRONICA </v>
      </c>
      <c r="F427" s="33" t="str">
        <f>_xlfn.XLOOKUP(TablaSTOCKINV[[#This Row],[SKU]],TablaINVENTARIO[SKU],TablaINVENTARIO[ESTADO])</f>
        <v>DAÑADO</v>
      </c>
      <c r="G427" s="33" t="str">
        <f>_xlfn.XLOOKUP(TablaSTOCKINV[[#This Row],[SKU]],TablaINVENTARIO[SKU],TablaINVENTARIO[MEDIDA])</f>
        <v xml:space="preserve">UND </v>
      </c>
      <c r="H427" s="33">
        <f>_xlfn.XLOOKUP(TablaSTOCKINV[[#This Row],[SKU]],TablaINVENTARIO[SKU],TablaINVENTARIO[SERIAL])</f>
        <v>11124883</v>
      </c>
      <c r="I427" s="34" t="str">
        <f>_xlfn.XLOOKUP(TablaSTOCKINV[[#This Row],[SKU]],TablaINVENTARIO[SKU],TablaINVENTARIO[ALMACEN])</f>
        <v>ALMACEN PRINCIPAL</v>
      </c>
      <c r="J427" s="34" t="str">
        <f>_xlfn.XLOOKUP(TablaSTOCKINV[[#This Row],[SKU]],TablaINVENTARIO[SKU],TablaINVENTARIO[UBICACION])</f>
        <v>2A</v>
      </c>
      <c r="K427" s="34" t="str">
        <f>_xlfn.XLOOKUP(TablaSTOCKINV[[#This Row],[SKU]],TablaINVENTARIO[SKU],TablaINVENTARIO[DPTO RESPONSABLE])</f>
        <v xml:space="preserve">OPERACIONES </v>
      </c>
      <c r="L427" s="36">
        <f>_xlfn.XLOOKUP(TablaSTOCKINV[[#This Row],[SKU]],TablaINVENTARIO[SKU],TablaINVENTARIO[RANGO MIN])</f>
        <v>0</v>
      </c>
      <c r="M427" s="34" cm="1">
        <f t="array" ref="M427">_xlfn.IFS(TablaSTOCKINV[[#This Row],[CANT. TOTAL]]&lt;=0,1,TablaSTOCKINV[[#This Row],[CANT. TOTAL]]&lt;=TablaSTOCKINV[[#This Row],[MIN]],2,TablaSTOCKINV[[#This Row],[CANT. TOTAL]]&gt;TablaSTOCKINV[[#This Row],[MIN]],3)</f>
        <v>3</v>
      </c>
      <c r="N427" s="34">
        <f>TablaSTOCKINV[[#This Row],[ENTRADAS]]-TablaSTOCKINV[[#This Row],[SALIDAS]]</f>
        <v>1</v>
      </c>
      <c r="O427" s="35">
        <f>SUMIFS(TablaENTRADA[CANT],TablaENTRADA[SKU],TablaSTOCKINV[[#This Row],[SKU]])</f>
        <v>1</v>
      </c>
      <c r="P427" s="35">
        <f>SUMIFS(TablaSALIDA[CANT],TablaSALIDA[SKU],TablaSTOCKINV[[#This Row],[SKU]])</f>
        <v>0</v>
      </c>
      <c r="Q427" s="34">
        <f>_xlfn.XLOOKUP(TablaSTOCKINV[[#This Row],[SKU]],TablaINVENTARIO[SKU],TablaINVENTARIO[PRECIO])</f>
        <v>0</v>
      </c>
      <c r="R427" s="34">
        <f>TablaSTOCKINV[[#This Row],[P.UNITARIO]]*TablaSTOCKINV[[#This Row],[CANT. TOTAL]]</f>
        <v>0</v>
      </c>
      <c r="S427" s="44">
        <f>_xlfn.XLOOKUP(TablaSTOCKINV[[#This Row],[SKU]],TablaINVENTARIO[SKU],TablaINVENTARIO[FECHA INGRESO])</f>
        <v>46023</v>
      </c>
      <c r="T427" s="44">
        <f>_xlfn.XLOOKUP(TablaSTOCKINV[[#This Row],[SKU]],TablaENTRADA[SKU],TablaENTRADA[FECHA],,0,-1)</f>
        <v>46023</v>
      </c>
      <c r="U427" s="46" t="str">
        <f>IFERROR((_xlfn.XLOOKUP(TablaSTOCKINV[[#This Row],[SKU]],TablaSALIDA[SKU],TablaSALIDA[FECHA],,0,-1))," " )</f>
        <v xml:space="preserve"> </v>
      </c>
    </row>
    <row r="428" spans="1:21" x14ac:dyDescent="0.3">
      <c r="A428" s="27" t="s">
        <v>1734</v>
      </c>
      <c r="B428" s="32" t="str">
        <f>_xlfn.XLOOKUP(TablaSTOCKINV[[#This Row],[SKU]],TablaINVENTARIO[SKU],TablaINVENTARIO[DESCRIPCION])</f>
        <v xml:space="preserve">HARD COMUNICATION PROTOCOL </v>
      </c>
      <c r="C428" s="32" t="str">
        <f>_xlfn.XLOOKUP(TablaSTOCKINV[[#This Row],[SKU]],TablaINVENTARIO[SKU],TablaINVENTARIO[MARCA])</f>
        <v xml:space="preserve">EMERSON </v>
      </c>
      <c r="D428" s="33" t="str">
        <f>_xlfn.XLOOKUP(TablaSTOCKINV[[#This Row],[SKU]],TablaINVENTARIO[SKU],TablaINVENTARIO[CATEGORIA])</f>
        <v>HERRAMIENTAS_</v>
      </c>
      <c r="E428" s="33" t="str">
        <f>_xlfn.XLOOKUP(TablaSTOCKINV[[#This Row],[SKU]],TablaINVENTARIO[SKU],TablaINVENTARIO[SUBCATEGORIA])</f>
        <v xml:space="preserve">HERRAMIENTA ELECTRONICA </v>
      </c>
      <c r="F428" s="33" t="str">
        <f>_xlfn.XLOOKUP(TablaSTOCKINV[[#This Row],[SKU]],TablaINVENTARIO[SKU],TablaINVENTARIO[ESTADO])</f>
        <v>USADO</v>
      </c>
      <c r="G428" s="33" t="str">
        <f>_xlfn.XLOOKUP(TablaSTOCKINV[[#This Row],[SKU]],TablaINVENTARIO[SKU],TablaINVENTARIO[MEDIDA])</f>
        <v xml:space="preserve">UND </v>
      </c>
      <c r="H428" s="33">
        <f>_xlfn.XLOOKUP(TablaSTOCKINV[[#This Row],[SKU]],TablaINVENTARIO[SKU],TablaINVENTARIO[SERIAL])</f>
        <v>11124797</v>
      </c>
      <c r="I428" s="34" t="str">
        <f>_xlfn.XLOOKUP(TablaSTOCKINV[[#This Row],[SKU]],TablaINVENTARIO[SKU],TablaINVENTARIO[ALMACEN])</f>
        <v>ALMACEN PRINCIPAL</v>
      </c>
      <c r="J428" s="34" t="str">
        <f>_xlfn.XLOOKUP(TablaSTOCKINV[[#This Row],[SKU]],TablaINVENTARIO[SKU],TablaINVENTARIO[UBICACION])</f>
        <v>2A</v>
      </c>
      <c r="K428" s="34" t="str">
        <f>_xlfn.XLOOKUP(TablaSTOCKINV[[#This Row],[SKU]],TablaINVENTARIO[SKU],TablaINVENTARIO[DPTO RESPONSABLE])</f>
        <v xml:space="preserve">OPERACIONES </v>
      </c>
      <c r="L428" s="36">
        <f>_xlfn.XLOOKUP(TablaSTOCKINV[[#This Row],[SKU]],TablaINVENTARIO[SKU],TablaINVENTARIO[RANGO MIN])</f>
        <v>0</v>
      </c>
      <c r="M428" s="34" cm="1">
        <f t="array" ref="M428">_xlfn.IFS(TablaSTOCKINV[[#This Row],[CANT. TOTAL]]&lt;=0,1,TablaSTOCKINV[[#This Row],[CANT. TOTAL]]&lt;=TablaSTOCKINV[[#This Row],[MIN]],2,TablaSTOCKINV[[#This Row],[CANT. TOTAL]]&gt;TablaSTOCKINV[[#This Row],[MIN]],3)</f>
        <v>3</v>
      </c>
      <c r="N428" s="34">
        <f>TablaSTOCKINV[[#This Row],[ENTRADAS]]-TablaSTOCKINV[[#This Row],[SALIDAS]]</f>
        <v>1</v>
      </c>
      <c r="O428" s="35">
        <f>SUMIFS(TablaENTRADA[CANT],TablaENTRADA[SKU],TablaSTOCKINV[[#This Row],[SKU]])</f>
        <v>1</v>
      </c>
      <c r="P428" s="35">
        <f>SUMIFS(TablaSALIDA[CANT],TablaSALIDA[SKU],TablaSTOCKINV[[#This Row],[SKU]])</f>
        <v>0</v>
      </c>
      <c r="Q428" s="34">
        <f>_xlfn.XLOOKUP(TablaSTOCKINV[[#This Row],[SKU]],TablaINVENTARIO[SKU],TablaINVENTARIO[PRECIO])</f>
        <v>0</v>
      </c>
      <c r="R428" s="34">
        <f>TablaSTOCKINV[[#This Row],[P.UNITARIO]]*TablaSTOCKINV[[#This Row],[CANT. TOTAL]]</f>
        <v>0</v>
      </c>
      <c r="S428" s="44">
        <f>_xlfn.XLOOKUP(TablaSTOCKINV[[#This Row],[SKU]],TablaINVENTARIO[SKU],TablaINVENTARIO[FECHA INGRESO])</f>
        <v>46023</v>
      </c>
      <c r="T428" s="44">
        <f>_xlfn.XLOOKUP(TablaSTOCKINV[[#This Row],[SKU]],TablaENTRADA[SKU],TablaENTRADA[FECHA],,0,-1)</f>
        <v>46023</v>
      </c>
      <c r="U428" s="46" t="str">
        <f>IFERROR((_xlfn.XLOOKUP(TablaSTOCKINV[[#This Row],[SKU]],TablaSALIDA[SKU],TablaSALIDA[FECHA],,0,-1))," " )</f>
        <v xml:space="preserve"> </v>
      </c>
    </row>
    <row r="429" spans="1:21" x14ac:dyDescent="0.3">
      <c r="A429" s="27" t="s">
        <v>1735</v>
      </c>
      <c r="B429" s="32" t="str">
        <f>_xlfn.XLOOKUP(TablaSTOCKINV[[#This Row],[SKU]],TablaINVENTARIO[SKU],TablaINVENTARIO[DESCRIPCION])</f>
        <v xml:space="preserve">HARD COMUNICATION PROTOCOL </v>
      </c>
      <c r="C429" s="32" t="str">
        <f>_xlfn.XLOOKUP(TablaSTOCKINV[[#This Row],[SKU]],TablaINVENTARIO[SKU],TablaINVENTARIO[MARCA])</f>
        <v xml:space="preserve">EMERSON </v>
      </c>
      <c r="D429" s="33" t="str">
        <f>_xlfn.XLOOKUP(TablaSTOCKINV[[#This Row],[SKU]],TablaINVENTARIO[SKU],TablaINVENTARIO[CATEGORIA])</f>
        <v>HERRAMIENTAS_</v>
      </c>
      <c r="E429" s="33" t="str">
        <f>_xlfn.XLOOKUP(TablaSTOCKINV[[#This Row],[SKU]],TablaINVENTARIO[SKU],TablaINVENTARIO[SUBCATEGORIA])</f>
        <v xml:space="preserve">HERRAMIENTA ELECTRONICA </v>
      </c>
      <c r="F429" s="33" t="str">
        <f>_xlfn.XLOOKUP(TablaSTOCKINV[[#This Row],[SKU]],TablaINVENTARIO[SKU],TablaINVENTARIO[ESTADO])</f>
        <v>USADO</v>
      </c>
      <c r="G429" s="33" t="str">
        <f>_xlfn.XLOOKUP(TablaSTOCKINV[[#This Row],[SKU]],TablaINVENTARIO[SKU],TablaINVENTARIO[MEDIDA])</f>
        <v xml:space="preserve">UND </v>
      </c>
      <c r="H429" s="33">
        <f>_xlfn.XLOOKUP(TablaSTOCKINV[[#This Row],[SKU]],TablaINVENTARIO[SKU],TablaINVENTARIO[SERIAL])</f>
        <v>11124883</v>
      </c>
      <c r="I429" s="34" t="str">
        <f>_xlfn.XLOOKUP(TablaSTOCKINV[[#This Row],[SKU]],TablaINVENTARIO[SKU],TablaINVENTARIO[ALMACEN])</f>
        <v>ALMACEN PRINCIPAL</v>
      </c>
      <c r="J429" s="34" t="str">
        <f>_xlfn.XLOOKUP(TablaSTOCKINV[[#This Row],[SKU]],TablaINVENTARIO[SKU],TablaINVENTARIO[UBICACION])</f>
        <v>2A</v>
      </c>
      <c r="K429" s="34" t="str">
        <f>_xlfn.XLOOKUP(TablaSTOCKINV[[#This Row],[SKU]],TablaINVENTARIO[SKU],TablaINVENTARIO[DPTO RESPONSABLE])</f>
        <v xml:space="preserve">OPERACIONES </v>
      </c>
      <c r="L429" s="36">
        <f>_xlfn.XLOOKUP(TablaSTOCKINV[[#This Row],[SKU]],TablaINVENTARIO[SKU],TablaINVENTARIO[RANGO MIN])</f>
        <v>0</v>
      </c>
      <c r="M429" s="34" cm="1">
        <f t="array" ref="M429">_xlfn.IFS(TablaSTOCKINV[[#This Row],[CANT. TOTAL]]&lt;=0,1,TablaSTOCKINV[[#This Row],[CANT. TOTAL]]&lt;=TablaSTOCKINV[[#This Row],[MIN]],2,TablaSTOCKINV[[#This Row],[CANT. TOTAL]]&gt;TablaSTOCKINV[[#This Row],[MIN]],3)</f>
        <v>3</v>
      </c>
      <c r="N429" s="34">
        <f>TablaSTOCKINV[[#This Row],[ENTRADAS]]-TablaSTOCKINV[[#This Row],[SALIDAS]]</f>
        <v>1</v>
      </c>
      <c r="O429" s="35">
        <f>SUMIFS(TablaENTRADA[CANT],TablaENTRADA[SKU],TablaSTOCKINV[[#This Row],[SKU]])</f>
        <v>1</v>
      </c>
      <c r="P429" s="35">
        <f>SUMIFS(TablaSALIDA[CANT],TablaSALIDA[SKU],TablaSTOCKINV[[#This Row],[SKU]])</f>
        <v>0</v>
      </c>
      <c r="Q429" s="34">
        <f>_xlfn.XLOOKUP(TablaSTOCKINV[[#This Row],[SKU]],TablaINVENTARIO[SKU],TablaINVENTARIO[PRECIO])</f>
        <v>0</v>
      </c>
      <c r="R429" s="34">
        <f>TablaSTOCKINV[[#This Row],[P.UNITARIO]]*TablaSTOCKINV[[#This Row],[CANT. TOTAL]]</f>
        <v>0</v>
      </c>
      <c r="S429" s="44">
        <f>_xlfn.XLOOKUP(TablaSTOCKINV[[#This Row],[SKU]],TablaINVENTARIO[SKU],TablaINVENTARIO[FECHA INGRESO])</f>
        <v>46023</v>
      </c>
      <c r="T429" s="44">
        <f>_xlfn.XLOOKUP(TablaSTOCKINV[[#This Row],[SKU]],TablaENTRADA[SKU],TablaENTRADA[FECHA],,0,-1)</f>
        <v>46023</v>
      </c>
      <c r="U429" s="46" t="str">
        <f>IFERROR((_xlfn.XLOOKUP(TablaSTOCKINV[[#This Row],[SKU]],TablaSALIDA[SKU],TablaSALIDA[FECHA],,0,-1))," " )</f>
        <v xml:space="preserve"> </v>
      </c>
    </row>
    <row r="430" spans="1:21" x14ac:dyDescent="0.3">
      <c r="A430" s="27" t="s">
        <v>1736</v>
      </c>
      <c r="B430" s="32" t="str">
        <f>_xlfn.XLOOKUP(TablaSTOCKINV[[#This Row],[SKU]],TablaINVENTARIO[SKU],TablaINVENTARIO[DESCRIPCION])</f>
        <v>DETECTOR MULTIGASES MODELO: PLT840</v>
      </c>
      <c r="C430" s="32" t="str">
        <f>_xlfn.XLOOKUP(TablaSTOCKINV[[#This Row],[SKU]],TablaINVENTARIO[SKU],TablaINVENTARIO[MARCA])</f>
        <v>N/A</v>
      </c>
      <c r="D430" s="33" t="str">
        <f>_xlfn.XLOOKUP(TablaSTOCKINV[[#This Row],[SKU]],TablaINVENTARIO[SKU],TablaINVENTARIO[CATEGORIA])</f>
        <v>HERRAMIENTAS_</v>
      </c>
      <c r="E430" s="33" t="str">
        <f>_xlfn.XLOOKUP(TablaSTOCKINV[[#This Row],[SKU]],TablaINVENTARIO[SKU],TablaINVENTARIO[SUBCATEGORIA])</f>
        <v xml:space="preserve">HERRAMIENTA ELECTRONICA </v>
      </c>
      <c r="F430" s="33" t="str">
        <f>_xlfn.XLOOKUP(TablaSTOCKINV[[#This Row],[SKU]],TablaINVENTARIO[SKU],TablaINVENTARIO[ESTADO])</f>
        <v>USADO</v>
      </c>
      <c r="G430" s="33" t="str">
        <f>_xlfn.XLOOKUP(TablaSTOCKINV[[#This Row],[SKU]],TablaINVENTARIO[SKU],TablaINVENTARIO[MEDIDA])</f>
        <v xml:space="preserve">UND </v>
      </c>
      <c r="H430" s="33" t="str">
        <f>_xlfn.XLOOKUP(TablaSTOCKINV[[#This Row],[SKU]],TablaINVENTARIO[SKU],TablaINVENTARIO[SERIAL])</f>
        <v>PLT2408028406757</v>
      </c>
      <c r="I430" s="34" t="str">
        <f>_xlfn.XLOOKUP(TablaSTOCKINV[[#This Row],[SKU]],TablaINVENTARIO[SKU],TablaINVENTARIO[ALMACEN])</f>
        <v>ALMACEN PRINCIPAL</v>
      </c>
      <c r="J430" s="34" t="str">
        <f>_xlfn.XLOOKUP(TablaSTOCKINV[[#This Row],[SKU]],TablaINVENTARIO[SKU],TablaINVENTARIO[UBICACION])</f>
        <v>2A</v>
      </c>
      <c r="K430" s="34" t="str">
        <f>_xlfn.XLOOKUP(TablaSTOCKINV[[#This Row],[SKU]],TablaINVENTARIO[SKU],TablaINVENTARIO[DPTO RESPONSABLE])</f>
        <v xml:space="preserve">OPERACIONES </v>
      </c>
      <c r="L430" s="36">
        <f>_xlfn.XLOOKUP(TablaSTOCKINV[[#This Row],[SKU]],TablaINVENTARIO[SKU],TablaINVENTARIO[RANGO MIN])</f>
        <v>0</v>
      </c>
      <c r="M430" s="34" cm="1">
        <f t="array" ref="M430">_xlfn.IFS(TablaSTOCKINV[[#This Row],[CANT. TOTAL]]&lt;=0,1,TablaSTOCKINV[[#This Row],[CANT. TOTAL]]&lt;=TablaSTOCKINV[[#This Row],[MIN]],2,TablaSTOCKINV[[#This Row],[CANT. TOTAL]]&gt;TablaSTOCKINV[[#This Row],[MIN]],3)</f>
        <v>3</v>
      </c>
      <c r="N430" s="34">
        <f>TablaSTOCKINV[[#This Row],[ENTRADAS]]-TablaSTOCKINV[[#This Row],[SALIDAS]]</f>
        <v>1</v>
      </c>
      <c r="O430" s="35">
        <f>SUMIFS(TablaENTRADA[CANT],TablaENTRADA[SKU],TablaSTOCKINV[[#This Row],[SKU]])</f>
        <v>1</v>
      </c>
      <c r="P430" s="35">
        <f>SUMIFS(TablaSALIDA[CANT],TablaSALIDA[SKU],TablaSTOCKINV[[#This Row],[SKU]])</f>
        <v>0</v>
      </c>
      <c r="Q430" s="34">
        <f>_xlfn.XLOOKUP(TablaSTOCKINV[[#This Row],[SKU]],TablaINVENTARIO[SKU],TablaINVENTARIO[PRECIO])</f>
        <v>0</v>
      </c>
      <c r="R430" s="34">
        <f>TablaSTOCKINV[[#This Row],[P.UNITARIO]]*TablaSTOCKINV[[#This Row],[CANT. TOTAL]]</f>
        <v>0</v>
      </c>
      <c r="S430" s="44">
        <f>_xlfn.XLOOKUP(TablaSTOCKINV[[#This Row],[SKU]],TablaINVENTARIO[SKU],TablaINVENTARIO[FECHA INGRESO])</f>
        <v>46023</v>
      </c>
      <c r="T430" s="44">
        <f>_xlfn.XLOOKUP(TablaSTOCKINV[[#This Row],[SKU]],TablaENTRADA[SKU],TablaENTRADA[FECHA],,0,-1)</f>
        <v>46023</v>
      </c>
      <c r="U430" s="46" t="str">
        <f>IFERROR((_xlfn.XLOOKUP(TablaSTOCKINV[[#This Row],[SKU]],TablaSALIDA[SKU],TablaSALIDA[FECHA],,0,-1))," " )</f>
        <v xml:space="preserve"> </v>
      </c>
    </row>
    <row r="431" spans="1:21" x14ac:dyDescent="0.3">
      <c r="A431" s="27" t="s">
        <v>1739</v>
      </c>
      <c r="B431" s="32" t="str">
        <f>_xlfn.XLOOKUP(TablaSTOCKINV[[#This Row],[SKU]],TablaINVENTARIO[SKU],TablaINVENTARIO[DESCRIPCION])</f>
        <v>DETECTOR MULTIGASES MODELO: PLT840</v>
      </c>
      <c r="C431" s="32" t="str">
        <f>_xlfn.XLOOKUP(TablaSTOCKINV[[#This Row],[SKU]],TablaINVENTARIO[SKU],TablaINVENTARIO[MARCA])</f>
        <v>N/A</v>
      </c>
      <c r="D431" s="33" t="str">
        <f>_xlfn.XLOOKUP(TablaSTOCKINV[[#This Row],[SKU]],TablaINVENTARIO[SKU],TablaINVENTARIO[CATEGORIA])</f>
        <v>HERRAMIENTAS_</v>
      </c>
      <c r="E431" s="33" t="str">
        <f>_xlfn.XLOOKUP(TablaSTOCKINV[[#This Row],[SKU]],TablaINVENTARIO[SKU],TablaINVENTARIO[SUBCATEGORIA])</f>
        <v xml:space="preserve">HERRAMIENTA ELECTRONICA </v>
      </c>
      <c r="F431" s="33" t="str">
        <f>_xlfn.XLOOKUP(TablaSTOCKINV[[#This Row],[SKU]],TablaINVENTARIO[SKU],TablaINVENTARIO[ESTADO])</f>
        <v>USADO</v>
      </c>
      <c r="G431" s="33" t="str">
        <f>_xlfn.XLOOKUP(TablaSTOCKINV[[#This Row],[SKU]],TablaINVENTARIO[SKU],TablaINVENTARIO[MEDIDA])</f>
        <v xml:space="preserve">UND </v>
      </c>
      <c r="H431" s="33" t="str">
        <f>_xlfn.XLOOKUP(TablaSTOCKINV[[#This Row],[SKU]],TablaINVENTARIO[SKU],TablaINVENTARIO[SERIAL])</f>
        <v>PLT2408028406397</v>
      </c>
      <c r="I431" s="34" t="str">
        <f>_xlfn.XLOOKUP(TablaSTOCKINV[[#This Row],[SKU]],TablaINVENTARIO[SKU],TablaINVENTARIO[ALMACEN])</f>
        <v>ALMACEN PRINCIPAL</v>
      </c>
      <c r="J431" s="34" t="str">
        <f>_xlfn.XLOOKUP(TablaSTOCKINV[[#This Row],[SKU]],TablaINVENTARIO[SKU],TablaINVENTARIO[UBICACION])</f>
        <v>2A</v>
      </c>
      <c r="K431" s="34" t="str">
        <f>_xlfn.XLOOKUP(TablaSTOCKINV[[#This Row],[SKU]],TablaINVENTARIO[SKU],TablaINVENTARIO[DPTO RESPONSABLE])</f>
        <v xml:space="preserve">OPERACIONES </v>
      </c>
      <c r="L431" s="36">
        <f>_xlfn.XLOOKUP(TablaSTOCKINV[[#This Row],[SKU]],TablaINVENTARIO[SKU],TablaINVENTARIO[RANGO MIN])</f>
        <v>0</v>
      </c>
      <c r="M431" s="34" cm="1">
        <f t="array" ref="M431">_xlfn.IFS(TablaSTOCKINV[[#This Row],[CANT. TOTAL]]&lt;=0,1,TablaSTOCKINV[[#This Row],[CANT. TOTAL]]&lt;=TablaSTOCKINV[[#This Row],[MIN]],2,TablaSTOCKINV[[#This Row],[CANT. TOTAL]]&gt;TablaSTOCKINV[[#This Row],[MIN]],3)</f>
        <v>3</v>
      </c>
      <c r="N431" s="34">
        <f>TablaSTOCKINV[[#This Row],[ENTRADAS]]-TablaSTOCKINV[[#This Row],[SALIDAS]]</f>
        <v>1</v>
      </c>
      <c r="O431" s="35">
        <f>SUMIFS(TablaENTRADA[CANT],TablaENTRADA[SKU],TablaSTOCKINV[[#This Row],[SKU]])</f>
        <v>1</v>
      </c>
      <c r="P431" s="35">
        <f>SUMIFS(TablaSALIDA[CANT],TablaSALIDA[SKU],TablaSTOCKINV[[#This Row],[SKU]])</f>
        <v>0</v>
      </c>
      <c r="Q431" s="34">
        <f>_xlfn.XLOOKUP(TablaSTOCKINV[[#This Row],[SKU]],TablaINVENTARIO[SKU],TablaINVENTARIO[PRECIO])</f>
        <v>0</v>
      </c>
      <c r="R431" s="34">
        <f>TablaSTOCKINV[[#This Row],[P.UNITARIO]]*TablaSTOCKINV[[#This Row],[CANT. TOTAL]]</f>
        <v>0</v>
      </c>
      <c r="S431" s="44">
        <f>_xlfn.XLOOKUP(TablaSTOCKINV[[#This Row],[SKU]],TablaINVENTARIO[SKU],TablaINVENTARIO[FECHA INGRESO])</f>
        <v>46023</v>
      </c>
      <c r="T431" s="44">
        <f>_xlfn.XLOOKUP(TablaSTOCKINV[[#This Row],[SKU]],TablaENTRADA[SKU],TablaENTRADA[FECHA],,0,-1)</f>
        <v>46023</v>
      </c>
      <c r="U431" s="46" t="str">
        <f>IFERROR((_xlfn.XLOOKUP(TablaSTOCKINV[[#This Row],[SKU]],TablaSALIDA[SKU],TablaSALIDA[FECHA],,0,-1))," " )</f>
        <v xml:space="preserve"> </v>
      </c>
    </row>
    <row r="432" spans="1:21" x14ac:dyDescent="0.3">
      <c r="A432" s="27" t="s">
        <v>1741</v>
      </c>
      <c r="B432" s="32" t="str">
        <f>_xlfn.XLOOKUP(TablaSTOCKINV[[#This Row],[SKU]],TablaINVENTARIO[SKU],TablaINVENTARIO[DESCRIPCION])</f>
        <v>DETECTOR MULTIGASES MODELO: PLT840</v>
      </c>
      <c r="C432" s="32" t="str">
        <f>_xlfn.XLOOKUP(TablaSTOCKINV[[#This Row],[SKU]],TablaINVENTARIO[SKU],TablaINVENTARIO[MARCA])</f>
        <v>N/A</v>
      </c>
      <c r="D432" s="33" t="str">
        <f>_xlfn.XLOOKUP(TablaSTOCKINV[[#This Row],[SKU]],TablaINVENTARIO[SKU],TablaINVENTARIO[CATEGORIA])</f>
        <v>HERRAMIENTAS_</v>
      </c>
      <c r="E432" s="33" t="str">
        <f>_xlfn.XLOOKUP(TablaSTOCKINV[[#This Row],[SKU]],TablaINVENTARIO[SKU],TablaINVENTARIO[SUBCATEGORIA])</f>
        <v xml:space="preserve">HERRAMIENTA ELECTRONICA </v>
      </c>
      <c r="F432" s="33" t="str">
        <f>_xlfn.XLOOKUP(TablaSTOCKINV[[#This Row],[SKU]],TablaINVENTARIO[SKU],TablaINVENTARIO[ESTADO])</f>
        <v>USADO</v>
      </c>
      <c r="G432" s="33" t="str">
        <f>_xlfn.XLOOKUP(TablaSTOCKINV[[#This Row],[SKU]],TablaINVENTARIO[SKU],TablaINVENTARIO[MEDIDA])</f>
        <v xml:space="preserve">UND </v>
      </c>
      <c r="H432" s="33" t="str">
        <f>_xlfn.XLOOKUP(TablaSTOCKINV[[#This Row],[SKU]],TablaINVENTARIO[SKU],TablaINVENTARIO[SERIAL])</f>
        <v>PLT2408028406755</v>
      </c>
      <c r="I432" s="34" t="str">
        <f>_xlfn.XLOOKUP(TablaSTOCKINV[[#This Row],[SKU]],TablaINVENTARIO[SKU],TablaINVENTARIO[ALMACEN])</f>
        <v>ALMACEN PRINCIPAL</v>
      </c>
      <c r="J432" s="34" t="str">
        <f>_xlfn.XLOOKUP(TablaSTOCKINV[[#This Row],[SKU]],TablaINVENTARIO[SKU],TablaINVENTARIO[UBICACION])</f>
        <v>2A</v>
      </c>
      <c r="K432" s="34" t="str">
        <f>_xlfn.XLOOKUP(TablaSTOCKINV[[#This Row],[SKU]],TablaINVENTARIO[SKU],TablaINVENTARIO[DPTO RESPONSABLE])</f>
        <v xml:space="preserve">OPERACIONES </v>
      </c>
      <c r="L432" s="36">
        <f>_xlfn.XLOOKUP(TablaSTOCKINV[[#This Row],[SKU]],TablaINVENTARIO[SKU],TablaINVENTARIO[RANGO MIN])</f>
        <v>0</v>
      </c>
      <c r="M432" s="34" cm="1">
        <f t="array" ref="M432">_xlfn.IFS(TablaSTOCKINV[[#This Row],[CANT. TOTAL]]&lt;=0,1,TablaSTOCKINV[[#This Row],[CANT. TOTAL]]&lt;=TablaSTOCKINV[[#This Row],[MIN]],2,TablaSTOCKINV[[#This Row],[CANT. TOTAL]]&gt;TablaSTOCKINV[[#This Row],[MIN]],3)</f>
        <v>3</v>
      </c>
      <c r="N432" s="34">
        <f>TablaSTOCKINV[[#This Row],[ENTRADAS]]-TablaSTOCKINV[[#This Row],[SALIDAS]]</f>
        <v>1</v>
      </c>
      <c r="O432" s="35">
        <f>SUMIFS(TablaENTRADA[CANT],TablaENTRADA[SKU],TablaSTOCKINV[[#This Row],[SKU]])</f>
        <v>1</v>
      </c>
      <c r="P432" s="35">
        <f>SUMIFS(TablaSALIDA[CANT],TablaSALIDA[SKU],TablaSTOCKINV[[#This Row],[SKU]])</f>
        <v>0</v>
      </c>
      <c r="Q432" s="34">
        <f>_xlfn.XLOOKUP(TablaSTOCKINV[[#This Row],[SKU]],TablaINVENTARIO[SKU],TablaINVENTARIO[PRECIO])</f>
        <v>0</v>
      </c>
      <c r="R432" s="34">
        <f>TablaSTOCKINV[[#This Row],[P.UNITARIO]]*TablaSTOCKINV[[#This Row],[CANT. TOTAL]]</f>
        <v>0</v>
      </c>
      <c r="S432" s="44">
        <f>_xlfn.XLOOKUP(TablaSTOCKINV[[#This Row],[SKU]],TablaINVENTARIO[SKU],TablaINVENTARIO[FECHA INGRESO])</f>
        <v>46023</v>
      </c>
      <c r="T432" s="44">
        <f>_xlfn.XLOOKUP(TablaSTOCKINV[[#This Row],[SKU]],TablaENTRADA[SKU],TablaENTRADA[FECHA],,0,-1)</f>
        <v>46023</v>
      </c>
      <c r="U432" s="46" t="str">
        <f>IFERROR((_xlfn.XLOOKUP(TablaSTOCKINV[[#This Row],[SKU]],TablaSALIDA[SKU],TablaSALIDA[FECHA],,0,-1))," " )</f>
        <v xml:space="preserve"> </v>
      </c>
    </row>
    <row r="433" spans="1:21" x14ac:dyDescent="0.3">
      <c r="A433" s="27" t="s">
        <v>1743</v>
      </c>
      <c r="B433" s="32" t="str">
        <f>_xlfn.XLOOKUP(TablaSTOCKINV[[#This Row],[SKU]],TablaINVENTARIO[SKU],TablaINVENTARIO[DESCRIPCION])</f>
        <v>DETECTOR MULTIGASES MODELO: PLT840</v>
      </c>
      <c r="C433" s="32" t="str">
        <f>_xlfn.XLOOKUP(TablaSTOCKINV[[#This Row],[SKU]],TablaINVENTARIO[SKU],TablaINVENTARIO[MARCA])</f>
        <v>N/A</v>
      </c>
      <c r="D433" s="33" t="str">
        <f>_xlfn.XLOOKUP(TablaSTOCKINV[[#This Row],[SKU]],TablaINVENTARIO[SKU],TablaINVENTARIO[CATEGORIA])</f>
        <v>HERRAMIENTAS_</v>
      </c>
      <c r="E433" s="33" t="str">
        <f>_xlfn.XLOOKUP(TablaSTOCKINV[[#This Row],[SKU]],TablaINVENTARIO[SKU],TablaINVENTARIO[SUBCATEGORIA])</f>
        <v xml:space="preserve">HERRAMIENTA ELECTRONICA </v>
      </c>
      <c r="F433" s="33" t="str">
        <f>_xlfn.XLOOKUP(TablaSTOCKINV[[#This Row],[SKU]],TablaINVENTARIO[SKU],TablaINVENTARIO[ESTADO])</f>
        <v>USADO</v>
      </c>
      <c r="G433" s="33" t="str">
        <f>_xlfn.XLOOKUP(TablaSTOCKINV[[#This Row],[SKU]],TablaINVENTARIO[SKU],TablaINVENTARIO[MEDIDA])</f>
        <v xml:space="preserve">UND </v>
      </c>
      <c r="H433" s="33" t="str">
        <f>_xlfn.XLOOKUP(TablaSTOCKINV[[#This Row],[SKU]],TablaINVENTARIO[SKU],TablaINVENTARIO[SERIAL])</f>
        <v>PLT2408028406655</v>
      </c>
      <c r="I433" s="34" t="str">
        <f>_xlfn.XLOOKUP(TablaSTOCKINV[[#This Row],[SKU]],TablaINVENTARIO[SKU],TablaINVENTARIO[ALMACEN])</f>
        <v>ALMACEN PRINCIPAL</v>
      </c>
      <c r="J433" s="34" t="str">
        <f>_xlfn.XLOOKUP(TablaSTOCKINV[[#This Row],[SKU]],TablaINVENTARIO[SKU],TablaINVENTARIO[UBICACION])</f>
        <v>2A</v>
      </c>
      <c r="K433" s="34" t="str">
        <f>_xlfn.XLOOKUP(TablaSTOCKINV[[#This Row],[SKU]],TablaINVENTARIO[SKU],TablaINVENTARIO[DPTO RESPONSABLE])</f>
        <v xml:space="preserve">OPERACIONES </v>
      </c>
      <c r="L433" s="36">
        <f>_xlfn.XLOOKUP(TablaSTOCKINV[[#This Row],[SKU]],TablaINVENTARIO[SKU],TablaINVENTARIO[RANGO MIN])</f>
        <v>0</v>
      </c>
      <c r="M433" s="34" cm="1">
        <f t="array" ref="M433">_xlfn.IFS(TablaSTOCKINV[[#This Row],[CANT. TOTAL]]&lt;=0,1,TablaSTOCKINV[[#This Row],[CANT. TOTAL]]&lt;=TablaSTOCKINV[[#This Row],[MIN]],2,TablaSTOCKINV[[#This Row],[CANT. TOTAL]]&gt;TablaSTOCKINV[[#This Row],[MIN]],3)</f>
        <v>3</v>
      </c>
      <c r="N433" s="34">
        <f>TablaSTOCKINV[[#This Row],[ENTRADAS]]-TablaSTOCKINV[[#This Row],[SALIDAS]]</f>
        <v>1</v>
      </c>
      <c r="O433" s="35">
        <f>SUMIFS(TablaENTRADA[CANT],TablaENTRADA[SKU],TablaSTOCKINV[[#This Row],[SKU]])</f>
        <v>1</v>
      </c>
      <c r="P433" s="35">
        <f>SUMIFS(TablaSALIDA[CANT],TablaSALIDA[SKU],TablaSTOCKINV[[#This Row],[SKU]])</f>
        <v>0</v>
      </c>
      <c r="Q433" s="34">
        <f>_xlfn.XLOOKUP(TablaSTOCKINV[[#This Row],[SKU]],TablaINVENTARIO[SKU],TablaINVENTARIO[PRECIO])</f>
        <v>0</v>
      </c>
      <c r="R433" s="34">
        <f>TablaSTOCKINV[[#This Row],[P.UNITARIO]]*TablaSTOCKINV[[#This Row],[CANT. TOTAL]]</f>
        <v>0</v>
      </c>
      <c r="S433" s="44">
        <f>_xlfn.XLOOKUP(TablaSTOCKINV[[#This Row],[SKU]],TablaINVENTARIO[SKU],TablaINVENTARIO[FECHA INGRESO])</f>
        <v>46023</v>
      </c>
      <c r="T433" s="44">
        <f>_xlfn.XLOOKUP(TablaSTOCKINV[[#This Row],[SKU]],TablaENTRADA[SKU],TablaENTRADA[FECHA],,0,-1)</f>
        <v>46023</v>
      </c>
      <c r="U433" s="46" t="str">
        <f>IFERROR((_xlfn.XLOOKUP(TablaSTOCKINV[[#This Row],[SKU]],TablaSALIDA[SKU],TablaSALIDA[FECHA],,0,-1))," " )</f>
        <v xml:space="preserve"> </v>
      </c>
    </row>
    <row r="434" spans="1:21" x14ac:dyDescent="0.3">
      <c r="A434" s="27" t="s">
        <v>1745</v>
      </c>
      <c r="B434" s="32" t="str">
        <f>_xlfn.XLOOKUP(TablaSTOCKINV[[#This Row],[SKU]],TablaINVENTARIO[SKU],TablaINVENTARIO[DESCRIPCION])</f>
        <v>LOOP CALIBRATOR 707</v>
      </c>
      <c r="C434" s="32" t="str">
        <f>_xlfn.XLOOKUP(TablaSTOCKINV[[#This Row],[SKU]],TablaINVENTARIO[SKU],TablaINVENTARIO[MARCA])</f>
        <v xml:space="preserve">FLUKE </v>
      </c>
      <c r="D434" s="33" t="str">
        <f>_xlfn.XLOOKUP(TablaSTOCKINV[[#This Row],[SKU]],TablaINVENTARIO[SKU],TablaINVENTARIO[CATEGORIA])</f>
        <v>HERRAMIENTAS_</v>
      </c>
      <c r="E434" s="33" t="str">
        <f>_xlfn.XLOOKUP(TablaSTOCKINV[[#This Row],[SKU]],TablaINVENTARIO[SKU],TablaINVENTARIO[SUBCATEGORIA])</f>
        <v xml:space="preserve">HERRAMIENTA ELECTRONICA </v>
      </c>
      <c r="F434" s="33" t="str">
        <f>_xlfn.XLOOKUP(TablaSTOCKINV[[#This Row],[SKU]],TablaINVENTARIO[SKU],TablaINVENTARIO[ESTADO])</f>
        <v>USADO</v>
      </c>
      <c r="G434" s="33" t="str">
        <f>_xlfn.XLOOKUP(TablaSTOCKINV[[#This Row],[SKU]],TablaINVENTARIO[SKU],TablaINVENTARIO[MEDIDA])</f>
        <v xml:space="preserve">UND </v>
      </c>
      <c r="H434" s="33">
        <f>_xlfn.XLOOKUP(TablaSTOCKINV[[#This Row],[SKU]],TablaINVENTARIO[SKU],TablaINVENTARIO[SERIAL])</f>
        <v>8206063</v>
      </c>
      <c r="I434" s="34" t="str">
        <f>_xlfn.XLOOKUP(TablaSTOCKINV[[#This Row],[SKU]],TablaINVENTARIO[SKU],TablaINVENTARIO[ALMACEN])</f>
        <v>ALMACEN PRINCIPAL</v>
      </c>
      <c r="J434" s="34" t="str">
        <f>_xlfn.XLOOKUP(TablaSTOCKINV[[#This Row],[SKU]],TablaINVENTARIO[SKU],TablaINVENTARIO[UBICACION])</f>
        <v>2A</v>
      </c>
      <c r="K434" s="34" t="str">
        <f>_xlfn.XLOOKUP(TablaSTOCKINV[[#This Row],[SKU]],TablaINVENTARIO[SKU],TablaINVENTARIO[DPTO RESPONSABLE])</f>
        <v xml:space="preserve">OPERACIONES </v>
      </c>
      <c r="L434" s="36">
        <f>_xlfn.XLOOKUP(TablaSTOCKINV[[#This Row],[SKU]],TablaINVENTARIO[SKU],TablaINVENTARIO[RANGO MIN])</f>
        <v>0</v>
      </c>
      <c r="M434" s="34" cm="1">
        <f t="array" ref="M434">_xlfn.IFS(TablaSTOCKINV[[#This Row],[CANT. TOTAL]]&lt;=0,1,TablaSTOCKINV[[#This Row],[CANT. TOTAL]]&lt;=TablaSTOCKINV[[#This Row],[MIN]],2,TablaSTOCKINV[[#This Row],[CANT. TOTAL]]&gt;TablaSTOCKINV[[#This Row],[MIN]],3)</f>
        <v>3</v>
      </c>
      <c r="N434" s="34">
        <f>TablaSTOCKINV[[#This Row],[ENTRADAS]]-TablaSTOCKINV[[#This Row],[SALIDAS]]</f>
        <v>1</v>
      </c>
      <c r="O434" s="35">
        <f>SUMIFS(TablaENTRADA[CANT],TablaENTRADA[SKU],TablaSTOCKINV[[#This Row],[SKU]])</f>
        <v>1</v>
      </c>
      <c r="P434" s="35">
        <f>SUMIFS(TablaSALIDA[CANT],TablaSALIDA[SKU],TablaSTOCKINV[[#This Row],[SKU]])</f>
        <v>0</v>
      </c>
      <c r="Q434" s="34">
        <f>_xlfn.XLOOKUP(TablaSTOCKINV[[#This Row],[SKU]],TablaINVENTARIO[SKU],TablaINVENTARIO[PRECIO])</f>
        <v>0</v>
      </c>
      <c r="R434" s="34">
        <f>TablaSTOCKINV[[#This Row],[P.UNITARIO]]*TablaSTOCKINV[[#This Row],[CANT. TOTAL]]</f>
        <v>0</v>
      </c>
      <c r="S434" s="44">
        <f>_xlfn.XLOOKUP(TablaSTOCKINV[[#This Row],[SKU]],TablaINVENTARIO[SKU],TablaINVENTARIO[FECHA INGRESO])</f>
        <v>46023</v>
      </c>
      <c r="T434" s="44">
        <f>_xlfn.XLOOKUP(TablaSTOCKINV[[#This Row],[SKU]],TablaENTRADA[SKU],TablaENTRADA[FECHA],,0,-1)</f>
        <v>46023</v>
      </c>
      <c r="U434" s="46" t="str">
        <f>IFERROR((_xlfn.XLOOKUP(TablaSTOCKINV[[#This Row],[SKU]],TablaSALIDA[SKU],TablaSALIDA[FECHA],,0,-1))," " )</f>
        <v xml:space="preserve"> </v>
      </c>
    </row>
    <row r="435" spans="1:21" x14ac:dyDescent="0.3">
      <c r="A435" s="27" t="s">
        <v>1747</v>
      </c>
      <c r="B435" s="32" t="str">
        <f>_xlfn.XLOOKUP(TablaSTOCKINV[[#This Row],[SKU]],TablaINVENTARIO[SKU],TablaINVENTARIO[DESCRIPCION])</f>
        <v>DENISMETRO DMA35 COD: ADV-ILAB-DD02</v>
      </c>
      <c r="C435" s="32" t="str">
        <f>_xlfn.XLOOKUP(TablaSTOCKINV[[#This Row],[SKU]],TablaINVENTARIO[SKU],TablaINVENTARIO[MARCA])</f>
        <v>ANTON PAAR</v>
      </c>
      <c r="D435" s="33" t="str">
        <f>_xlfn.XLOOKUP(TablaSTOCKINV[[#This Row],[SKU]],TablaINVENTARIO[SKU],TablaINVENTARIO[CATEGORIA])</f>
        <v>HERRAMIENTAS_</v>
      </c>
      <c r="E435" s="33" t="str">
        <f>_xlfn.XLOOKUP(TablaSTOCKINV[[#This Row],[SKU]],TablaINVENTARIO[SKU],TablaINVENTARIO[SUBCATEGORIA])</f>
        <v>INSTRUMENTO DE MEDICIÓN</v>
      </c>
      <c r="F435" s="33" t="str">
        <f>_xlfn.XLOOKUP(TablaSTOCKINV[[#This Row],[SKU]],TablaINVENTARIO[SKU],TablaINVENTARIO[ESTADO])</f>
        <v>USADO</v>
      </c>
      <c r="G435" s="33" t="str">
        <f>_xlfn.XLOOKUP(TablaSTOCKINV[[#This Row],[SKU]],TablaINVENTARIO[SKU],TablaINVENTARIO[MEDIDA])</f>
        <v xml:space="preserve">UND </v>
      </c>
      <c r="H435" s="33" t="str">
        <f>_xlfn.XLOOKUP(TablaSTOCKINV[[#This Row],[SKU]],TablaINVENTARIO[SKU],TablaINVENTARIO[SERIAL])</f>
        <v>N/A</v>
      </c>
      <c r="I435" s="34" t="str">
        <f>_xlfn.XLOOKUP(TablaSTOCKINV[[#This Row],[SKU]],TablaINVENTARIO[SKU],TablaINVENTARIO[ALMACEN])</f>
        <v>ALMACEN PRINCIPAL</v>
      </c>
      <c r="J435" s="34" t="str">
        <f>_xlfn.XLOOKUP(TablaSTOCKINV[[#This Row],[SKU]],TablaINVENTARIO[SKU],TablaINVENTARIO[UBICACION])</f>
        <v>2A</v>
      </c>
      <c r="K435" s="34" t="str">
        <f>_xlfn.XLOOKUP(TablaSTOCKINV[[#This Row],[SKU]],TablaINVENTARIO[SKU],TablaINVENTARIO[DPTO RESPONSABLE])</f>
        <v xml:space="preserve">OPERACIONES </v>
      </c>
      <c r="L435" s="36">
        <f>_xlfn.XLOOKUP(TablaSTOCKINV[[#This Row],[SKU]],TablaINVENTARIO[SKU],TablaINVENTARIO[RANGO MIN])</f>
        <v>0</v>
      </c>
      <c r="M435" s="34" cm="1">
        <f t="array" ref="M435">_xlfn.IFS(TablaSTOCKINV[[#This Row],[CANT. TOTAL]]&lt;=0,1,TablaSTOCKINV[[#This Row],[CANT. TOTAL]]&lt;=TablaSTOCKINV[[#This Row],[MIN]],2,TablaSTOCKINV[[#This Row],[CANT. TOTAL]]&gt;TablaSTOCKINV[[#This Row],[MIN]],3)</f>
        <v>3</v>
      </c>
      <c r="N435" s="34">
        <f>TablaSTOCKINV[[#This Row],[ENTRADAS]]-TablaSTOCKINV[[#This Row],[SALIDAS]]</f>
        <v>1</v>
      </c>
      <c r="O435" s="35">
        <f>SUMIFS(TablaENTRADA[CANT],TablaENTRADA[SKU],TablaSTOCKINV[[#This Row],[SKU]])</f>
        <v>1</v>
      </c>
      <c r="P435" s="35">
        <f>SUMIFS(TablaSALIDA[CANT],TablaSALIDA[SKU],TablaSTOCKINV[[#This Row],[SKU]])</f>
        <v>0</v>
      </c>
      <c r="Q435" s="34">
        <f>_xlfn.XLOOKUP(TablaSTOCKINV[[#This Row],[SKU]],TablaINVENTARIO[SKU],TablaINVENTARIO[PRECIO])</f>
        <v>0</v>
      </c>
      <c r="R435" s="34">
        <f>TablaSTOCKINV[[#This Row],[P.UNITARIO]]*TablaSTOCKINV[[#This Row],[CANT. TOTAL]]</f>
        <v>0</v>
      </c>
      <c r="S435" s="44">
        <f>_xlfn.XLOOKUP(TablaSTOCKINV[[#This Row],[SKU]],TablaINVENTARIO[SKU],TablaINVENTARIO[FECHA INGRESO])</f>
        <v>46023</v>
      </c>
      <c r="T435" s="44">
        <f>_xlfn.XLOOKUP(TablaSTOCKINV[[#This Row],[SKU]],TablaENTRADA[SKU],TablaENTRADA[FECHA],,0,-1)</f>
        <v>46023</v>
      </c>
      <c r="U435" s="46" t="str">
        <f>IFERROR((_xlfn.XLOOKUP(TablaSTOCKINV[[#This Row],[SKU]],TablaSALIDA[SKU],TablaSALIDA[FECHA],,0,-1))," " )</f>
        <v xml:space="preserve"> </v>
      </c>
    </row>
    <row r="436" spans="1:21" x14ac:dyDescent="0.3">
      <c r="A436" s="27" t="s">
        <v>1750</v>
      </c>
      <c r="B436" s="32" t="str">
        <f>_xlfn.XLOOKUP(TablaSTOCKINV[[#This Row],[SKU]],TablaINVENTARIO[SKU],TablaINVENTARIO[DESCRIPCION])</f>
        <v>DENISMETRO DMA35 COD: ADV-ILAB-DD01</v>
      </c>
      <c r="C436" s="32" t="str">
        <f>_xlfn.XLOOKUP(TablaSTOCKINV[[#This Row],[SKU]],TablaINVENTARIO[SKU],TablaINVENTARIO[MARCA])</f>
        <v>ANTON PAAR</v>
      </c>
      <c r="D436" s="33" t="str">
        <f>_xlfn.XLOOKUP(TablaSTOCKINV[[#This Row],[SKU]],TablaINVENTARIO[SKU],TablaINVENTARIO[CATEGORIA])</f>
        <v>HERRAMIENTAS_</v>
      </c>
      <c r="E436" s="33" t="str">
        <f>_xlfn.XLOOKUP(TablaSTOCKINV[[#This Row],[SKU]],TablaINVENTARIO[SKU],TablaINVENTARIO[SUBCATEGORIA])</f>
        <v>INSTRUMENTO DE MEDICIÓN</v>
      </c>
      <c r="F436" s="33" t="str">
        <f>_xlfn.XLOOKUP(TablaSTOCKINV[[#This Row],[SKU]],TablaINVENTARIO[SKU],TablaINVENTARIO[ESTADO])</f>
        <v>USADO</v>
      </c>
      <c r="G436" s="33" t="str">
        <f>_xlfn.XLOOKUP(TablaSTOCKINV[[#This Row],[SKU]],TablaINVENTARIO[SKU],TablaINVENTARIO[MEDIDA])</f>
        <v xml:space="preserve">UND </v>
      </c>
      <c r="H436" s="33" t="str">
        <f>_xlfn.XLOOKUP(TablaSTOCKINV[[#This Row],[SKU]],TablaINVENTARIO[SKU],TablaINVENTARIO[SERIAL])</f>
        <v>N/A</v>
      </c>
      <c r="I436" s="34" t="str">
        <f>_xlfn.XLOOKUP(TablaSTOCKINV[[#This Row],[SKU]],TablaINVENTARIO[SKU],TablaINVENTARIO[ALMACEN])</f>
        <v>ALMACEN PRINCIPAL</v>
      </c>
      <c r="J436" s="34" t="str">
        <f>_xlfn.XLOOKUP(TablaSTOCKINV[[#This Row],[SKU]],TablaINVENTARIO[SKU],TablaINVENTARIO[UBICACION])</f>
        <v>2A</v>
      </c>
      <c r="K436" s="34" t="str">
        <f>_xlfn.XLOOKUP(TablaSTOCKINV[[#This Row],[SKU]],TablaINVENTARIO[SKU],TablaINVENTARIO[DPTO RESPONSABLE])</f>
        <v xml:space="preserve">OPERACIONES </v>
      </c>
      <c r="L436" s="36">
        <f>_xlfn.XLOOKUP(TablaSTOCKINV[[#This Row],[SKU]],TablaINVENTARIO[SKU],TablaINVENTARIO[RANGO MIN])</f>
        <v>0</v>
      </c>
      <c r="M436" s="34" cm="1">
        <f t="array" ref="M436">_xlfn.IFS(TablaSTOCKINV[[#This Row],[CANT. TOTAL]]&lt;=0,1,TablaSTOCKINV[[#This Row],[CANT. TOTAL]]&lt;=TablaSTOCKINV[[#This Row],[MIN]],2,TablaSTOCKINV[[#This Row],[CANT. TOTAL]]&gt;TablaSTOCKINV[[#This Row],[MIN]],3)</f>
        <v>3</v>
      </c>
      <c r="N436" s="34">
        <f>TablaSTOCKINV[[#This Row],[ENTRADAS]]-TablaSTOCKINV[[#This Row],[SALIDAS]]</f>
        <v>1</v>
      </c>
      <c r="O436" s="35">
        <f>SUMIFS(TablaENTRADA[CANT],TablaENTRADA[SKU],TablaSTOCKINV[[#This Row],[SKU]])</f>
        <v>1</v>
      </c>
      <c r="P436" s="35">
        <f>SUMIFS(TablaSALIDA[CANT],TablaSALIDA[SKU],TablaSTOCKINV[[#This Row],[SKU]])</f>
        <v>0</v>
      </c>
      <c r="Q436" s="34">
        <f>_xlfn.XLOOKUP(TablaSTOCKINV[[#This Row],[SKU]],TablaINVENTARIO[SKU],TablaINVENTARIO[PRECIO])</f>
        <v>0</v>
      </c>
      <c r="R436" s="34">
        <f>TablaSTOCKINV[[#This Row],[P.UNITARIO]]*TablaSTOCKINV[[#This Row],[CANT. TOTAL]]</f>
        <v>0</v>
      </c>
      <c r="S436" s="44">
        <f>_xlfn.XLOOKUP(TablaSTOCKINV[[#This Row],[SKU]],TablaINVENTARIO[SKU],TablaINVENTARIO[FECHA INGRESO])</f>
        <v>46023</v>
      </c>
      <c r="T436" s="44">
        <f>_xlfn.XLOOKUP(TablaSTOCKINV[[#This Row],[SKU]],TablaENTRADA[SKU],TablaENTRADA[FECHA],,0,-1)</f>
        <v>46023</v>
      </c>
      <c r="U436" s="46" t="str">
        <f>IFERROR((_xlfn.XLOOKUP(TablaSTOCKINV[[#This Row],[SKU]],TablaSALIDA[SKU],TablaSALIDA[FECHA],,0,-1))," " )</f>
        <v xml:space="preserve"> </v>
      </c>
    </row>
    <row r="437" spans="1:21" x14ac:dyDescent="0.3">
      <c r="A437" s="27" t="s">
        <v>1752</v>
      </c>
      <c r="B437" s="32" t="str">
        <f>_xlfn.XLOOKUP(TablaSTOCKINV[[#This Row],[SKU]],TablaINVENTARIO[SKU],TablaINVENTARIO[DESCRIPCION])</f>
        <v>DETECTOR DE H2S MODELO: BWC2-H</v>
      </c>
      <c r="C437" s="32" t="str">
        <f>_xlfn.XLOOKUP(TablaSTOCKINV[[#This Row],[SKU]],TablaINVENTARIO[SKU],TablaINVENTARIO[MARCA])</f>
        <v>HONEYWELL</v>
      </c>
      <c r="D437" s="33" t="str">
        <f>_xlfn.XLOOKUP(TablaSTOCKINV[[#This Row],[SKU]],TablaINVENTARIO[SKU],TablaINVENTARIO[CATEGORIA])</f>
        <v>HERRAMIENTAS_</v>
      </c>
      <c r="E437" s="33" t="str">
        <f>_xlfn.XLOOKUP(TablaSTOCKINV[[#This Row],[SKU]],TablaINVENTARIO[SKU],TablaINVENTARIO[SUBCATEGORIA])</f>
        <v xml:space="preserve">HERRAMIENTA ELECTRONICA </v>
      </c>
      <c r="F437" s="33" t="str">
        <f>_xlfn.XLOOKUP(TablaSTOCKINV[[#This Row],[SKU]],TablaINVENTARIO[SKU],TablaINVENTARIO[ESTADO])</f>
        <v>USADO</v>
      </c>
      <c r="G437" s="33" t="str">
        <f>_xlfn.XLOOKUP(TablaSTOCKINV[[#This Row],[SKU]],TablaINVENTARIO[SKU],TablaINVENTARIO[MEDIDA])</f>
        <v xml:space="preserve">UND </v>
      </c>
      <c r="H437" s="33" t="str">
        <f>_xlfn.XLOOKUP(TablaSTOCKINV[[#This Row],[SKU]],TablaINVENTARIO[SKU],TablaINVENTARIO[SERIAL])</f>
        <v>5220BWC01241125354</v>
      </c>
      <c r="I437" s="34" t="str">
        <f>_xlfn.XLOOKUP(TablaSTOCKINV[[#This Row],[SKU]],TablaINVENTARIO[SKU],TablaINVENTARIO[ALMACEN])</f>
        <v>ALMACEN PRINCIPAL</v>
      </c>
      <c r="J437" s="34" t="str">
        <f>_xlfn.XLOOKUP(TablaSTOCKINV[[#This Row],[SKU]],TablaINVENTARIO[SKU],TablaINVENTARIO[UBICACION])</f>
        <v>2A</v>
      </c>
      <c r="K437" s="34" t="str">
        <f>_xlfn.XLOOKUP(TablaSTOCKINV[[#This Row],[SKU]],TablaINVENTARIO[SKU],TablaINVENTARIO[DPTO RESPONSABLE])</f>
        <v xml:space="preserve">OPERACIONES </v>
      </c>
      <c r="L437" s="36">
        <f>_xlfn.XLOOKUP(TablaSTOCKINV[[#This Row],[SKU]],TablaINVENTARIO[SKU],TablaINVENTARIO[RANGO MIN])</f>
        <v>0</v>
      </c>
      <c r="M437" s="34" cm="1">
        <f t="array" ref="M437">_xlfn.IFS(TablaSTOCKINV[[#This Row],[CANT. TOTAL]]&lt;=0,1,TablaSTOCKINV[[#This Row],[CANT. TOTAL]]&lt;=TablaSTOCKINV[[#This Row],[MIN]],2,TablaSTOCKINV[[#This Row],[CANT. TOTAL]]&gt;TablaSTOCKINV[[#This Row],[MIN]],3)</f>
        <v>3</v>
      </c>
      <c r="N437" s="34">
        <f>TablaSTOCKINV[[#This Row],[ENTRADAS]]-TablaSTOCKINV[[#This Row],[SALIDAS]]</f>
        <v>1</v>
      </c>
      <c r="O437" s="35">
        <f>SUMIFS(TablaENTRADA[CANT],TablaENTRADA[SKU],TablaSTOCKINV[[#This Row],[SKU]])</f>
        <v>1</v>
      </c>
      <c r="P437" s="35">
        <f>SUMIFS(TablaSALIDA[CANT],TablaSALIDA[SKU],TablaSTOCKINV[[#This Row],[SKU]])</f>
        <v>0</v>
      </c>
      <c r="Q437" s="34">
        <f>_xlfn.XLOOKUP(TablaSTOCKINV[[#This Row],[SKU]],TablaINVENTARIO[SKU],TablaINVENTARIO[PRECIO])</f>
        <v>0</v>
      </c>
      <c r="R437" s="34">
        <f>TablaSTOCKINV[[#This Row],[P.UNITARIO]]*TablaSTOCKINV[[#This Row],[CANT. TOTAL]]</f>
        <v>0</v>
      </c>
      <c r="S437" s="44">
        <f>_xlfn.XLOOKUP(TablaSTOCKINV[[#This Row],[SKU]],TablaINVENTARIO[SKU],TablaINVENTARIO[FECHA INGRESO])</f>
        <v>46023</v>
      </c>
      <c r="T437" s="44">
        <f>_xlfn.XLOOKUP(TablaSTOCKINV[[#This Row],[SKU]],TablaENTRADA[SKU],TablaENTRADA[FECHA],,0,-1)</f>
        <v>46023</v>
      </c>
      <c r="U437" s="46" t="str">
        <f>IFERROR((_xlfn.XLOOKUP(TablaSTOCKINV[[#This Row],[SKU]],TablaSALIDA[SKU],TablaSALIDA[FECHA],,0,-1))," " )</f>
        <v xml:space="preserve"> </v>
      </c>
    </row>
    <row r="438" spans="1:21" x14ac:dyDescent="0.3">
      <c r="A438" s="27" t="s">
        <v>1756</v>
      </c>
      <c r="B438" s="32" t="str">
        <f>_xlfn.XLOOKUP(TablaSTOCKINV[[#This Row],[SKU]],TablaINVENTARIO[SKU],TablaINVENTARIO[DESCRIPCION])</f>
        <v>DETECTOR DE H2S MODELO: BWC2-H</v>
      </c>
      <c r="C438" s="32" t="str">
        <f>_xlfn.XLOOKUP(TablaSTOCKINV[[#This Row],[SKU]],TablaINVENTARIO[SKU],TablaINVENTARIO[MARCA])</f>
        <v>HONEYWELL</v>
      </c>
      <c r="D438" s="33" t="str">
        <f>_xlfn.XLOOKUP(TablaSTOCKINV[[#This Row],[SKU]],TablaINVENTARIO[SKU],TablaINVENTARIO[CATEGORIA])</f>
        <v>HERRAMIENTAS_</v>
      </c>
      <c r="E438" s="33" t="str">
        <f>_xlfn.XLOOKUP(TablaSTOCKINV[[#This Row],[SKU]],TablaINVENTARIO[SKU],TablaINVENTARIO[SUBCATEGORIA])</f>
        <v xml:space="preserve">HERRAMIENTA ELECTRONICA </v>
      </c>
      <c r="F438" s="33" t="str">
        <f>_xlfn.XLOOKUP(TablaSTOCKINV[[#This Row],[SKU]],TablaINVENTARIO[SKU],TablaINVENTARIO[ESTADO])</f>
        <v>USADO</v>
      </c>
      <c r="G438" s="33" t="str">
        <f>_xlfn.XLOOKUP(TablaSTOCKINV[[#This Row],[SKU]],TablaINVENTARIO[SKU],TablaINVENTARIO[MEDIDA])</f>
        <v xml:space="preserve">UND </v>
      </c>
      <c r="H438" s="33" t="str">
        <f>_xlfn.XLOOKUP(TablaSTOCKINV[[#This Row],[SKU]],TablaINVENTARIO[SKU],TablaINVENTARIO[SERIAL])</f>
        <v>5220BWC01241125365</v>
      </c>
      <c r="I438" s="34" t="str">
        <f>_xlfn.XLOOKUP(TablaSTOCKINV[[#This Row],[SKU]],TablaINVENTARIO[SKU],TablaINVENTARIO[ALMACEN])</f>
        <v>ALMACEN PRINCIPAL</v>
      </c>
      <c r="J438" s="34" t="str">
        <f>_xlfn.XLOOKUP(TablaSTOCKINV[[#This Row],[SKU]],TablaINVENTARIO[SKU],TablaINVENTARIO[UBICACION])</f>
        <v>2A</v>
      </c>
      <c r="K438" s="34" t="str">
        <f>_xlfn.XLOOKUP(TablaSTOCKINV[[#This Row],[SKU]],TablaINVENTARIO[SKU],TablaINVENTARIO[DPTO RESPONSABLE])</f>
        <v xml:space="preserve">OPERACIONES </v>
      </c>
      <c r="L438" s="36">
        <f>_xlfn.XLOOKUP(TablaSTOCKINV[[#This Row],[SKU]],TablaINVENTARIO[SKU],TablaINVENTARIO[RANGO MIN])</f>
        <v>0</v>
      </c>
      <c r="M438" s="34" cm="1">
        <f t="array" ref="M438">_xlfn.IFS(TablaSTOCKINV[[#This Row],[CANT. TOTAL]]&lt;=0,1,TablaSTOCKINV[[#This Row],[CANT. TOTAL]]&lt;=TablaSTOCKINV[[#This Row],[MIN]],2,TablaSTOCKINV[[#This Row],[CANT. TOTAL]]&gt;TablaSTOCKINV[[#This Row],[MIN]],3)</f>
        <v>3</v>
      </c>
      <c r="N438" s="34">
        <f>TablaSTOCKINV[[#This Row],[ENTRADAS]]-TablaSTOCKINV[[#This Row],[SALIDAS]]</f>
        <v>1</v>
      </c>
      <c r="O438" s="35">
        <f>SUMIFS(TablaENTRADA[CANT],TablaENTRADA[SKU],TablaSTOCKINV[[#This Row],[SKU]])</f>
        <v>1</v>
      </c>
      <c r="P438" s="35">
        <f>SUMIFS(TablaSALIDA[CANT],TablaSALIDA[SKU],TablaSTOCKINV[[#This Row],[SKU]])</f>
        <v>0</v>
      </c>
      <c r="Q438" s="34">
        <f>_xlfn.XLOOKUP(TablaSTOCKINV[[#This Row],[SKU]],TablaINVENTARIO[SKU],TablaINVENTARIO[PRECIO])</f>
        <v>0</v>
      </c>
      <c r="R438" s="34">
        <f>TablaSTOCKINV[[#This Row],[P.UNITARIO]]*TablaSTOCKINV[[#This Row],[CANT. TOTAL]]</f>
        <v>0</v>
      </c>
      <c r="S438" s="44">
        <f>_xlfn.XLOOKUP(TablaSTOCKINV[[#This Row],[SKU]],TablaINVENTARIO[SKU],TablaINVENTARIO[FECHA INGRESO])</f>
        <v>46023</v>
      </c>
      <c r="T438" s="44">
        <f>_xlfn.XLOOKUP(TablaSTOCKINV[[#This Row],[SKU]],TablaENTRADA[SKU],TablaENTRADA[FECHA],,0,-1)</f>
        <v>46023</v>
      </c>
      <c r="U438" s="46" t="str">
        <f>IFERROR((_xlfn.XLOOKUP(TablaSTOCKINV[[#This Row],[SKU]],TablaSALIDA[SKU],TablaSALIDA[FECHA],,0,-1))," " )</f>
        <v xml:space="preserve"> </v>
      </c>
    </row>
    <row r="439" spans="1:21" x14ac:dyDescent="0.3">
      <c r="A439" s="27" t="s">
        <v>1758</v>
      </c>
      <c r="B439" s="32" t="str">
        <f>_xlfn.XLOOKUP(TablaSTOCKINV[[#This Row],[SKU]],TablaINVENTARIO[SKU],TablaINVENTARIO[DESCRIPCION])</f>
        <v>LOOP CALIBRATOR</v>
      </c>
      <c r="C439" s="32" t="str">
        <f>_xlfn.XLOOKUP(TablaSTOCKINV[[#This Row],[SKU]],TablaINVENTARIO[SKU],TablaINVENTARIO[MARCA])</f>
        <v>DRUCK</v>
      </c>
      <c r="D439" s="33" t="str">
        <f>_xlfn.XLOOKUP(TablaSTOCKINV[[#This Row],[SKU]],TablaINVENTARIO[SKU],TablaINVENTARIO[CATEGORIA])</f>
        <v>HERRAMIENTAS_</v>
      </c>
      <c r="E439" s="33" t="str">
        <f>_xlfn.XLOOKUP(TablaSTOCKINV[[#This Row],[SKU]],TablaINVENTARIO[SKU],TablaINVENTARIO[SUBCATEGORIA])</f>
        <v xml:space="preserve">HERRAMIENTA ELECTRONICA </v>
      </c>
      <c r="F439" s="33" t="str">
        <f>_xlfn.XLOOKUP(TablaSTOCKINV[[#This Row],[SKU]],TablaINVENTARIO[SKU],TablaINVENTARIO[ESTADO])</f>
        <v>USADO</v>
      </c>
      <c r="G439" s="33" t="str">
        <f>_xlfn.XLOOKUP(TablaSTOCKINV[[#This Row],[SKU]],TablaINVENTARIO[SKU],TablaINVENTARIO[MEDIDA])</f>
        <v xml:space="preserve">UND </v>
      </c>
      <c r="H439" s="33" t="str">
        <f>_xlfn.XLOOKUP(TablaSTOCKINV[[#This Row],[SKU]],TablaINVENTARIO[SKU],TablaINVENTARIO[SERIAL])</f>
        <v>N/A</v>
      </c>
      <c r="I439" s="34" t="str">
        <f>_xlfn.XLOOKUP(TablaSTOCKINV[[#This Row],[SKU]],TablaINVENTARIO[SKU],TablaINVENTARIO[ALMACEN])</f>
        <v>ALMACEN PRINCIPAL</v>
      </c>
      <c r="J439" s="34" t="str">
        <f>_xlfn.XLOOKUP(TablaSTOCKINV[[#This Row],[SKU]],TablaINVENTARIO[SKU],TablaINVENTARIO[UBICACION])</f>
        <v>2A</v>
      </c>
      <c r="K439" s="34" t="str">
        <f>_xlfn.XLOOKUP(TablaSTOCKINV[[#This Row],[SKU]],TablaINVENTARIO[SKU],TablaINVENTARIO[DPTO RESPONSABLE])</f>
        <v xml:space="preserve">OPERACIONES </v>
      </c>
      <c r="L439" s="36">
        <f>_xlfn.XLOOKUP(TablaSTOCKINV[[#This Row],[SKU]],TablaINVENTARIO[SKU],TablaINVENTARIO[RANGO MIN])</f>
        <v>0</v>
      </c>
      <c r="M439" s="34" cm="1">
        <f t="array" ref="M439">_xlfn.IFS(TablaSTOCKINV[[#This Row],[CANT. TOTAL]]&lt;=0,1,TablaSTOCKINV[[#This Row],[CANT. TOTAL]]&lt;=TablaSTOCKINV[[#This Row],[MIN]],2,TablaSTOCKINV[[#This Row],[CANT. TOTAL]]&gt;TablaSTOCKINV[[#This Row],[MIN]],3)</f>
        <v>3</v>
      </c>
      <c r="N439" s="34">
        <f>TablaSTOCKINV[[#This Row],[ENTRADAS]]-TablaSTOCKINV[[#This Row],[SALIDAS]]</f>
        <v>1</v>
      </c>
      <c r="O439" s="35">
        <f>SUMIFS(TablaENTRADA[CANT],TablaENTRADA[SKU],TablaSTOCKINV[[#This Row],[SKU]])</f>
        <v>1</v>
      </c>
      <c r="P439" s="35">
        <f>SUMIFS(TablaSALIDA[CANT],TablaSALIDA[SKU],TablaSTOCKINV[[#This Row],[SKU]])</f>
        <v>0</v>
      </c>
      <c r="Q439" s="34">
        <f>_xlfn.XLOOKUP(TablaSTOCKINV[[#This Row],[SKU]],TablaINVENTARIO[SKU],TablaINVENTARIO[PRECIO])</f>
        <v>0</v>
      </c>
      <c r="R439" s="34">
        <f>TablaSTOCKINV[[#This Row],[P.UNITARIO]]*TablaSTOCKINV[[#This Row],[CANT. TOTAL]]</f>
        <v>0</v>
      </c>
      <c r="S439" s="44">
        <f>_xlfn.XLOOKUP(TablaSTOCKINV[[#This Row],[SKU]],TablaINVENTARIO[SKU],TablaINVENTARIO[FECHA INGRESO])</f>
        <v>46023</v>
      </c>
      <c r="T439" s="44">
        <f>_xlfn.XLOOKUP(TablaSTOCKINV[[#This Row],[SKU]],TablaENTRADA[SKU],TablaENTRADA[FECHA],,0,-1)</f>
        <v>46023</v>
      </c>
      <c r="U439" s="46" t="str">
        <f>IFERROR((_xlfn.XLOOKUP(TablaSTOCKINV[[#This Row],[SKU]],TablaSALIDA[SKU],TablaSALIDA[FECHA],,0,-1))," " )</f>
        <v xml:space="preserve"> </v>
      </c>
    </row>
    <row r="440" spans="1:21" x14ac:dyDescent="0.3">
      <c r="A440" s="27" t="s">
        <v>1761</v>
      </c>
      <c r="B440" s="32" t="str">
        <f>_xlfn.XLOOKUP(TablaSTOCKINV[[#This Row],[SKU]],TablaINVENTARIO[SKU],TablaINVENTARIO[DESCRIPCION])</f>
        <v>MECHAS PARA PIEDRA DE ACERO AL CARBON CON PUNTA DE CARBURO 4MM - 12MM (9 UND)</v>
      </c>
      <c r="C440" s="32" t="str">
        <f>_xlfn.XLOOKUP(TablaSTOCKINV[[#This Row],[SKU]],TablaINVENTARIO[SKU],TablaINVENTARIO[MARCA])</f>
        <v xml:space="preserve">PARKSIDE </v>
      </c>
      <c r="D440" s="33" t="str">
        <f>_xlfn.XLOOKUP(TablaSTOCKINV[[#This Row],[SKU]],TablaINVENTARIO[SKU],TablaINVENTARIO[CATEGORIA])</f>
        <v>HERRAMIENTAS_</v>
      </c>
      <c r="E440" s="33" t="str">
        <f>_xlfn.XLOOKUP(TablaSTOCKINV[[#This Row],[SKU]],TablaINVENTARIO[SKU],TablaINVENTARIO[SUBCATEGORIA])</f>
        <v xml:space="preserve">MATERIAL DE CONSTRUCCIÓN </v>
      </c>
      <c r="F440" s="33" t="str">
        <f>_xlfn.XLOOKUP(TablaSTOCKINV[[#This Row],[SKU]],TablaINVENTARIO[SKU],TablaINVENTARIO[ESTADO])</f>
        <v>NUEVO</v>
      </c>
      <c r="G440" s="33" t="str">
        <f>_xlfn.XLOOKUP(TablaSTOCKINV[[#This Row],[SKU]],TablaINVENTARIO[SKU],TablaINVENTARIO[MEDIDA])</f>
        <v>SET</v>
      </c>
      <c r="H440" s="33" t="str">
        <f>_xlfn.XLOOKUP(TablaSTOCKINV[[#This Row],[SKU]],TablaINVENTARIO[SKU],TablaINVENTARIO[SERIAL])</f>
        <v>N/A</v>
      </c>
      <c r="I440" s="34" t="str">
        <f>_xlfn.XLOOKUP(TablaSTOCKINV[[#This Row],[SKU]],TablaINVENTARIO[SKU],TablaINVENTARIO[ALMACEN])</f>
        <v>ALMACEN PRINCIPAL</v>
      </c>
      <c r="J440" s="34" t="str">
        <f>_xlfn.XLOOKUP(TablaSTOCKINV[[#This Row],[SKU]],TablaINVENTARIO[SKU],TablaINVENTARIO[UBICACION])</f>
        <v>2B</v>
      </c>
      <c r="K440" s="34" t="str">
        <f>_xlfn.XLOOKUP(TablaSTOCKINV[[#This Row],[SKU]],TablaINVENTARIO[SKU],TablaINVENTARIO[DPTO RESPONSABLE])</f>
        <v xml:space="preserve">OPERACIONES </v>
      </c>
      <c r="L440" s="36">
        <f>_xlfn.XLOOKUP(TablaSTOCKINV[[#This Row],[SKU]],TablaINVENTARIO[SKU],TablaINVENTARIO[RANGO MIN])</f>
        <v>0</v>
      </c>
      <c r="M440" s="34" cm="1">
        <f t="array" ref="M440">_xlfn.IFS(TablaSTOCKINV[[#This Row],[CANT. TOTAL]]&lt;=0,1,TablaSTOCKINV[[#This Row],[CANT. TOTAL]]&lt;=TablaSTOCKINV[[#This Row],[MIN]],2,TablaSTOCKINV[[#This Row],[CANT. TOTAL]]&gt;TablaSTOCKINV[[#This Row],[MIN]],3)</f>
        <v>3</v>
      </c>
      <c r="N440" s="34">
        <f>TablaSTOCKINV[[#This Row],[ENTRADAS]]-TablaSTOCKINV[[#This Row],[SALIDAS]]</f>
        <v>1</v>
      </c>
      <c r="O440" s="35">
        <f>SUMIFS(TablaENTRADA[CANT],TablaENTRADA[SKU],TablaSTOCKINV[[#This Row],[SKU]])</f>
        <v>1</v>
      </c>
      <c r="P440" s="35">
        <f>SUMIFS(TablaSALIDA[CANT],TablaSALIDA[SKU],TablaSTOCKINV[[#This Row],[SKU]])</f>
        <v>0</v>
      </c>
      <c r="Q440" s="34">
        <f>_xlfn.XLOOKUP(TablaSTOCKINV[[#This Row],[SKU]],TablaINVENTARIO[SKU],TablaINVENTARIO[PRECIO])</f>
        <v>0</v>
      </c>
      <c r="R440" s="34">
        <f>TablaSTOCKINV[[#This Row],[P.UNITARIO]]*TablaSTOCKINV[[#This Row],[CANT. TOTAL]]</f>
        <v>0</v>
      </c>
      <c r="S440" s="44">
        <f>_xlfn.XLOOKUP(TablaSTOCKINV[[#This Row],[SKU]],TablaINVENTARIO[SKU],TablaINVENTARIO[FECHA INGRESO])</f>
        <v>46023</v>
      </c>
      <c r="T440" s="44">
        <f>_xlfn.XLOOKUP(TablaSTOCKINV[[#This Row],[SKU]],TablaENTRADA[SKU],TablaENTRADA[FECHA],,0,-1)</f>
        <v>46023</v>
      </c>
      <c r="U440" s="46" t="str">
        <f>IFERROR((_xlfn.XLOOKUP(TablaSTOCKINV[[#This Row],[SKU]],TablaSALIDA[SKU],TablaSALIDA[FECHA],,0,-1))," " )</f>
        <v xml:space="preserve"> </v>
      </c>
    </row>
    <row r="441" spans="1:21" x14ac:dyDescent="0.3">
      <c r="A441" s="27" t="s">
        <v>1764</v>
      </c>
      <c r="B441" s="32" t="str">
        <f>_xlfn.XLOOKUP(TablaSTOCKINV[[#This Row],[SKU]],TablaINVENTARIO[SKU],TablaINVENTARIO[DESCRIPCION])</f>
        <v>MECHAS MULTIFUNCIONALES 1,5MM - 8MM (9 UND)</v>
      </c>
      <c r="C441" s="32" t="str">
        <f>_xlfn.XLOOKUP(TablaSTOCKINV[[#This Row],[SKU]],TablaINVENTARIO[SKU],TablaINVENTARIO[MARCA])</f>
        <v xml:space="preserve">PARKSIDE </v>
      </c>
      <c r="D441" s="33" t="str">
        <f>_xlfn.XLOOKUP(TablaSTOCKINV[[#This Row],[SKU]],TablaINVENTARIO[SKU],TablaINVENTARIO[CATEGORIA])</f>
        <v>HERRAMIENTAS_</v>
      </c>
      <c r="E441" s="33" t="str">
        <f>_xlfn.XLOOKUP(TablaSTOCKINV[[#This Row],[SKU]],TablaINVENTARIO[SKU],TablaINVENTARIO[SUBCATEGORIA])</f>
        <v xml:space="preserve">MATERIAL DE CONSTRUCCIÓN </v>
      </c>
      <c r="F441" s="33" t="str">
        <f>_xlfn.XLOOKUP(TablaSTOCKINV[[#This Row],[SKU]],TablaINVENTARIO[SKU],TablaINVENTARIO[ESTADO])</f>
        <v>NUEVO</v>
      </c>
      <c r="G441" s="33" t="str">
        <f>_xlfn.XLOOKUP(TablaSTOCKINV[[#This Row],[SKU]],TablaINVENTARIO[SKU],TablaINVENTARIO[MEDIDA])</f>
        <v>SET</v>
      </c>
      <c r="H441" s="33" t="str">
        <f>_xlfn.XLOOKUP(TablaSTOCKINV[[#This Row],[SKU]],TablaINVENTARIO[SKU],TablaINVENTARIO[SERIAL])</f>
        <v>N/A</v>
      </c>
      <c r="I441" s="34" t="str">
        <f>_xlfn.XLOOKUP(TablaSTOCKINV[[#This Row],[SKU]],TablaINVENTARIO[SKU],TablaINVENTARIO[ALMACEN])</f>
        <v>ALMACEN PRINCIPAL</v>
      </c>
      <c r="J441" s="34" t="str">
        <f>_xlfn.XLOOKUP(TablaSTOCKINV[[#This Row],[SKU]],TablaINVENTARIO[SKU],TablaINVENTARIO[UBICACION])</f>
        <v>2B</v>
      </c>
      <c r="K441" s="34" t="str">
        <f>_xlfn.XLOOKUP(TablaSTOCKINV[[#This Row],[SKU]],TablaINVENTARIO[SKU],TablaINVENTARIO[DPTO RESPONSABLE])</f>
        <v xml:space="preserve">OPERACIONES </v>
      </c>
      <c r="L441" s="36">
        <f>_xlfn.XLOOKUP(TablaSTOCKINV[[#This Row],[SKU]],TablaINVENTARIO[SKU],TablaINVENTARIO[RANGO MIN])</f>
        <v>0</v>
      </c>
      <c r="M441" s="34" cm="1">
        <f t="array" ref="M441">_xlfn.IFS(TablaSTOCKINV[[#This Row],[CANT. TOTAL]]&lt;=0,1,TablaSTOCKINV[[#This Row],[CANT. TOTAL]]&lt;=TablaSTOCKINV[[#This Row],[MIN]],2,TablaSTOCKINV[[#This Row],[CANT. TOTAL]]&gt;TablaSTOCKINV[[#This Row],[MIN]],3)</f>
        <v>3</v>
      </c>
      <c r="N441" s="34">
        <f>TablaSTOCKINV[[#This Row],[ENTRADAS]]-TablaSTOCKINV[[#This Row],[SALIDAS]]</f>
        <v>1</v>
      </c>
      <c r="O441" s="35">
        <f>SUMIFS(TablaENTRADA[CANT],TablaENTRADA[SKU],TablaSTOCKINV[[#This Row],[SKU]])</f>
        <v>1</v>
      </c>
      <c r="P441" s="35">
        <f>SUMIFS(TablaSALIDA[CANT],TablaSALIDA[SKU],TablaSTOCKINV[[#This Row],[SKU]])</f>
        <v>0</v>
      </c>
      <c r="Q441" s="34">
        <f>_xlfn.XLOOKUP(TablaSTOCKINV[[#This Row],[SKU]],TablaINVENTARIO[SKU],TablaINVENTARIO[PRECIO])</f>
        <v>0</v>
      </c>
      <c r="R441" s="34">
        <f>TablaSTOCKINV[[#This Row],[P.UNITARIO]]*TablaSTOCKINV[[#This Row],[CANT. TOTAL]]</f>
        <v>0</v>
      </c>
      <c r="S441" s="44">
        <f>_xlfn.XLOOKUP(TablaSTOCKINV[[#This Row],[SKU]],TablaINVENTARIO[SKU],TablaINVENTARIO[FECHA INGRESO])</f>
        <v>46023</v>
      </c>
      <c r="T441" s="44">
        <f>_xlfn.XLOOKUP(TablaSTOCKINV[[#This Row],[SKU]],TablaENTRADA[SKU],TablaENTRADA[FECHA],,0,-1)</f>
        <v>46023</v>
      </c>
      <c r="U441" s="46" t="str">
        <f>IFERROR((_xlfn.XLOOKUP(TablaSTOCKINV[[#This Row],[SKU]],TablaSALIDA[SKU],TablaSALIDA[FECHA],,0,-1))," " )</f>
        <v xml:space="preserve"> </v>
      </c>
    </row>
    <row r="442" spans="1:21" x14ac:dyDescent="0.3">
      <c r="A442" s="27" t="s">
        <v>1766</v>
      </c>
      <c r="B442" s="32" t="str">
        <f>_xlfn.XLOOKUP(TablaSTOCKINV[[#This Row],[SKU]],TablaINVENTARIO[SKU],TablaINVENTARIO[DESCRIPCION])</f>
        <v>TUERCA MARIPOSA M4 (SET)</v>
      </c>
      <c r="C442" s="32" t="str">
        <f>_xlfn.XLOOKUP(TablaSTOCKINV[[#This Row],[SKU]],TablaINVENTARIO[SKU],TablaINVENTARIO[MARCA])</f>
        <v xml:space="preserve">PARKSIDE </v>
      </c>
      <c r="D442" s="33" t="str">
        <f>_xlfn.XLOOKUP(TablaSTOCKINV[[#This Row],[SKU]],TablaINVENTARIO[SKU],TablaINVENTARIO[CATEGORIA])</f>
        <v>HERRAMIENTAS_</v>
      </c>
      <c r="E442" s="33" t="str">
        <f>_xlfn.XLOOKUP(TablaSTOCKINV[[#This Row],[SKU]],TablaINVENTARIO[SKU],TablaINVENTARIO[SUBCATEGORIA])</f>
        <v xml:space="preserve">MATERIAL DE CONSTRUCCIÓN </v>
      </c>
      <c r="F442" s="33" t="str">
        <f>_xlfn.XLOOKUP(TablaSTOCKINV[[#This Row],[SKU]],TablaINVENTARIO[SKU],TablaINVENTARIO[ESTADO])</f>
        <v>NUEVO</v>
      </c>
      <c r="G442" s="33" t="str">
        <f>_xlfn.XLOOKUP(TablaSTOCKINV[[#This Row],[SKU]],TablaINVENTARIO[SKU],TablaINVENTARIO[MEDIDA])</f>
        <v xml:space="preserve">UND </v>
      </c>
      <c r="H442" s="33" t="str">
        <f>_xlfn.XLOOKUP(TablaSTOCKINV[[#This Row],[SKU]],TablaINVENTARIO[SKU],TablaINVENTARIO[SERIAL])</f>
        <v>N/A</v>
      </c>
      <c r="I442" s="34" t="str">
        <f>_xlfn.XLOOKUP(TablaSTOCKINV[[#This Row],[SKU]],TablaINVENTARIO[SKU],TablaINVENTARIO[ALMACEN])</f>
        <v>ALMACEN PRINCIPAL</v>
      </c>
      <c r="J442" s="34" t="str">
        <f>_xlfn.XLOOKUP(TablaSTOCKINV[[#This Row],[SKU]],TablaINVENTARIO[SKU],TablaINVENTARIO[UBICACION])</f>
        <v>2B</v>
      </c>
      <c r="K442" s="34" t="str">
        <f>_xlfn.XLOOKUP(TablaSTOCKINV[[#This Row],[SKU]],TablaINVENTARIO[SKU],TablaINVENTARIO[DPTO RESPONSABLE])</f>
        <v xml:space="preserve">OPERACIONES </v>
      </c>
      <c r="L442" s="36">
        <f>_xlfn.XLOOKUP(TablaSTOCKINV[[#This Row],[SKU]],TablaINVENTARIO[SKU],TablaINVENTARIO[RANGO MIN])</f>
        <v>0</v>
      </c>
      <c r="M442" s="34" cm="1">
        <f t="array" ref="M442">_xlfn.IFS(TablaSTOCKINV[[#This Row],[CANT. TOTAL]]&lt;=0,1,TablaSTOCKINV[[#This Row],[CANT. TOTAL]]&lt;=TablaSTOCKINV[[#This Row],[MIN]],2,TablaSTOCKINV[[#This Row],[CANT. TOTAL]]&gt;TablaSTOCKINV[[#This Row],[MIN]],3)</f>
        <v>3</v>
      </c>
      <c r="N442" s="34">
        <f>TablaSTOCKINV[[#This Row],[ENTRADAS]]-TablaSTOCKINV[[#This Row],[SALIDAS]]</f>
        <v>25</v>
      </c>
      <c r="O442" s="35">
        <f>SUMIFS(TablaENTRADA[CANT],TablaENTRADA[SKU],TablaSTOCKINV[[#This Row],[SKU]])</f>
        <v>25</v>
      </c>
      <c r="P442" s="35">
        <f>SUMIFS(TablaSALIDA[CANT],TablaSALIDA[SKU],TablaSTOCKINV[[#This Row],[SKU]])</f>
        <v>0</v>
      </c>
      <c r="Q442" s="34">
        <f>_xlfn.XLOOKUP(TablaSTOCKINV[[#This Row],[SKU]],TablaINVENTARIO[SKU],TablaINVENTARIO[PRECIO])</f>
        <v>0</v>
      </c>
      <c r="R442" s="34">
        <f>TablaSTOCKINV[[#This Row],[P.UNITARIO]]*TablaSTOCKINV[[#This Row],[CANT. TOTAL]]</f>
        <v>0</v>
      </c>
      <c r="S442" s="44">
        <f>_xlfn.XLOOKUP(TablaSTOCKINV[[#This Row],[SKU]],TablaINVENTARIO[SKU],TablaINVENTARIO[FECHA INGRESO])</f>
        <v>46023</v>
      </c>
      <c r="T442" s="44">
        <f>_xlfn.XLOOKUP(TablaSTOCKINV[[#This Row],[SKU]],TablaENTRADA[SKU],TablaENTRADA[FECHA],,0,-1)</f>
        <v>46023</v>
      </c>
      <c r="U442" s="46" t="str">
        <f>IFERROR((_xlfn.XLOOKUP(TablaSTOCKINV[[#This Row],[SKU]],TablaSALIDA[SKU],TablaSALIDA[FECHA],,0,-1))," " )</f>
        <v xml:space="preserve"> </v>
      </c>
    </row>
    <row r="443" spans="1:21" x14ac:dyDescent="0.3">
      <c r="A443" s="27" t="s">
        <v>1768</v>
      </c>
      <c r="B443" s="32" t="str">
        <f>_xlfn.XLOOKUP(TablaSTOCKINV[[#This Row],[SKU]],TablaINVENTARIO[SKU],TablaINVENTARIO[DESCRIPCION])</f>
        <v>TUERCA MARIPOSA M6 (SET)</v>
      </c>
      <c r="C443" s="32" t="str">
        <f>_xlfn.XLOOKUP(TablaSTOCKINV[[#This Row],[SKU]],TablaINVENTARIO[SKU],TablaINVENTARIO[MARCA])</f>
        <v xml:space="preserve">PARKSIDE </v>
      </c>
      <c r="D443" s="33" t="str">
        <f>_xlfn.XLOOKUP(TablaSTOCKINV[[#This Row],[SKU]],TablaINVENTARIO[SKU],TablaINVENTARIO[CATEGORIA])</f>
        <v>HERRAMIENTAS_</v>
      </c>
      <c r="E443" s="33" t="str">
        <f>_xlfn.XLOOKUP(TablaSTOCKINV[[#This Row],[SKU]],TablaINVENTARIO[SKU],TablaINVENTARIO[SUBCATEGORIA])</f>
        <v xml:space="preserve">MATERIAL DE CONSTRUCCIÓN </v>
      </c>
      <c r="F443" s="33" t="str">
        <f>_xlfn.XLOOKUP(TablaSTOCKINV[[#This Row],[SKU]],TablaINVENTARIO[SKU],TablaINVENTARIO[ESTADO])</f>
        <v>NUEVO</v>
      </c>
      <c r="G443" s="33" t="str">
        <f>_xlfn.XLOOKUP(TablaSTOCKINV[[#This Row],[SKU]],TablaINVENTARIO[SKU],TablaINVENTARIO[MEDIDA])</f>
        <v xml:space="preserve">UND </v>
      </c>
      <c r="H443" s="33" t="str">
        <f>_xlfn.XLOOKUP(TablaSTOCKINV[[#This Row],[SKU]],TablaINVENTARIO[SKU],TablaINVENTARIO[SERIAL])</f>
        <v>N/A</v>
      </c>
      <c r="I443" s="34" t="str">
        <f>_xlfn.XLOOKUP(TablaSTOCKINV[[#This Row],[SKU]],TablaINVENTARIO[SKU],TablaINVENTARIO[ALMACEN])</f>
        <v>ALMACEN PRINCIPAL</v>
      </c>
      <c r="J443" s="34" t="str">
        <f>_xlfn.XLOOKUP(TablaSTOCKINV[[#This Row],[SKU]],TablaINVENTARIO[SKU],TablaINVENTARIO[UBICACION])</f>
        <v>2B</v>
      </c>
      <c r="K443" s="34" t="str">
        <f>_xlfn.XLOOKUP(TablaSTOCKINV[[#This Row],[SKU]],TablaINVENTARIO[SKU],TablaINVENTARIO[DPTO RESPONSABLE])</f>
        <v xml:space="preserve">OPERACIONES </v>
      </c>
      <c r="L443" s="36">
        <f>_xlfn.XLOOKUP(TablaSTOCKINV[[#This Row],[SKU]],TablaINVENTARIO[SKU],TablaINVENTARIO[RANGO MIN])</f>
        <v>0</v>
      </c>
      <c r="M443" s="34" cm="1">
        <f t="array" ref="M443">_xlfn.IFS(TablaSTOCKINV[[#This Row],[CANT. TOTAL]]&lt;=0,1,TablaSTOCKINV[[#This Row],[CANT. TOTAL]]&lt;=TablaSTOCKINV[[#This Row],[MIN]],2,TablaSTOCKINV[[#This Row],[CANT. TOTAL]]&gt;TablaSTOCKINV[[#This Row],[MIN]],3)</f>
        <v>3</v>
      </c>
      <c r="N443" s="34">
        <f>TablaSTOCKINV[[#This Row],[ENTRADAS]]-TablaSTOCKINV[[#This Row],[SALIDAS]]</f>
        <v>12</v>
      </c>
      <c r="O443" s="35">
        <f>SUMIFS(TablaENTRADA[CANT],TablaENTRADA[SKU],TablaSTOCKINV[[#This Row],[SKU]])</f>
        <v>12</v>
      </c>
      <c r="P443" s="35">
        <f>SUMIFS(TablaSALIDA[CANT],TablaSALIDA[SKU],TablaSTOCKINV[[#This Row],[SKU]])</f>
        <v>0</v>
      </c>
      <c r="Q443" s="34">
        <f>_xlfn.XLOOKUP(TablaSTOCKINV[[#This Row],[SKU]],TablaINVENTARIO[SKU],TablaINVENTARIO[PRECIO])</f>
        <v>0</v>
      </c>
      <c r="R443" s="34">
        <f>TablaSTOCKINV[[#This Row],[P.UNITARIO]]*TablaSTOCKINV[[#This Row],[CANT. TOTAL]]</f>
        <v>0</v>
      </c>
      <c r="S443" s="44">
        <f>_xlfn.XLOOKUP(TablaSTOCKINV[[#This Row],[SKU]],TablaINVENTARIO[SKU],TablaINVENTARIO[FECHA INGRESO])</f>
        <v>46023</v>
      </c>
      <c r="T443" s="44">
        <f>_xlfn.XLOOKUP(TablaSTOCKINV[[#This Row],[SKU]],TablaENTRADA[SKU],TablaENTRADA[FECHA],,0,-1)</f>
        <v>46023</v>
      </c>
      <c r="U443" s="46" t="str">
        <f>IFERROR((_xlfn.XLOOKUP(TablaSTOCKINV[[#This Row],[SKU]],TablaSALIDA[SKU],TablaSALIDA[FECHA],,0,-1))," " )</f>
        <v xml:space="preserve"> </v>
      </c>
    </row>
    <row r="444" spans="1:21" x14ac:dyDescent="0.3">
      <c r="A444" s="27" t="s">
        <v>1770</v>
      </c>
      <c r="B444" s="32" t="str">
        <f>_xlfn.XLOOKUP(TablaSTOCKINV[[#This Row],[SKU]],TablaINVENTARIO[SKU],TablaINVENTARIO[DESCRIPCION])</f>
        <v>TUERCA MARIPOSA M10 (SET)</v>
      </c>
      <c r="C444" s="32" t="str">
        <f>_xlfn.XLOOKUP(TablaSTOCKINV[[#This Row],[SKU]],TablaINVENTARIO[SKU],TablaINVENTARIO[MARCA])</f>
        <v xml:space="preserve">PARKSIDE </v>
      </c>
      <c r="D444" s="33" t="str">
        <f>_xlfn.XLOOKUP(TablaSTOCKINV[[#This Row],[SKU]],TablaINVENTARIO[SKU],TablaINVENTARIO[CATEGORIA])</f>
        <v>HERRAMIENTAS_</v>
      </c>
      <c r="E444" s="33" t="str">
        <f>_xlfn.XLOOKUP(TablaSTOCKINV[[#This Row],[SKU]],TablaINVENTARIO[SKU],TablaINVENTARIO[SUBCATEGORIA])</f>
        <v xml:space="preserve">MATERIAL DE CONSTRUCCIÓN </v>
      </c>
      <c r="F444" s="33" t="str">
        <f>_xlfn.XLOOKUP(TablaSTOCKINV[[#This Row],[SKU]],TablaINVENTARIO[SKU],TablaINVENTARIO[ESTADO])</f>
        <v>NUEVO</v>
      </c>
      <c r="G444" s="33" t="str">
        <f>_xlfn.XLOOKUP(TablaSTOCKINV[[#This Row],[SKU]],TablaINVENTARIO[SKU],TablaINVENTARIO[MEDIDA])</f>
        <v xml:space="preserve">UND </v>
      </c>
      <c r="H444" s="33" t="str">
        <f>_xlfn.XLOOKUP(TablaSTOCKINV[[#This Row],[SKU]],TablaINVENTARIO[SKU],TablaINVENTARIO[SERIAL])</f>
        <v>N/A</v>
      </c>
      <c r="I444" s="34" t="str">
        <f>_xlfn.XLOOKUP(TablaSTOCKINV[[#This Row],[SKU]],TablaINVENTARIO[SKU],TablaINVENTARIO[ALMACEN])</f>
        <v>ALMACEN PRINCIPAL</v>
      </c>
      <c r="J444" s="34" t="str">
        <f>_xlfn.XLOOKUP(TablaSTOCKINV[[#This Row],[SKU]],TablaINVENTARIO[SKU],TablaINVENTARIO[UBICACION])</f>
        <v>2B</v>
      </c>
      <c r="K444" s="34" t="str">
        <f>_xlfn.XLOOKUP(TablaSTOCKINV[[#This Row],[SKU]],TablaINVENTARIO[SKU],TablaINVENTARIO[DPTO RESPONSABLE])</f>
        <v xml:space="preserve">OPERACIONES </v>
      </c>
      <c r="L444" s="36">
        <f>_xlfn.XLOOKUP(TablaSTOCKINV[[#This Row],[SKU]],TablaINVENTARIO[SKU],TablaINVENTARIO[RANGO MIN])</f>
        <v>0</v>
      </c>
      <c r="M444" s="34" cm="1">
        <f t="array" ref="M444">_xlfn.IFS(TablaSTOCKINV[[#This Row],[CANT. TOTAL]]&lt;=0,1,TablaSTOCKINV[[#This Row],[CANT. TOTAL]]&lt;=TablaSTOCKINV[[#This Row],[MIN]],2,TablaSTOCKINV[[#This Row],[CANT. TOTAL]]&gt;TablaSTOCKINV[[#This Row],[MIN]],3)</f>
        <v>3</v>
      </c>
      <c r="N444" s="34">
        <f>TablaSTOCKINV[[#This Row],[ENTRADAS]]-TablaSTOCKINV[[#This Row],[SALIDAS]]</f>
        <v>6</v>
      </c>
      <c r="O444" s="35">
        <f>SUMIFS(TablaENTRADA[CANT],TablaENTRADA[SKU],TablaSTOCKINV[[#This Row],[SKU]])</f>
        <v>6</v>
      </c>
      <c r="P444" s="35">
        <f>SUMIFS(TablaSALIDA[CANT],TablaSALIDA[SKU],TablaSTOCKINV[[#This Row],[SKU]])</f>
        <v>0</v>
      </c>
      <c r="Q444" s="34">
        <f>_xlfn.XLOOKUP(TablaSTOCKINV[[#This Row],[SKU]],TablaINVENTARIO[SKU],TablaINVENTARIO[PRECIO])</f>
        <v>0</v>
      </c>
      <c r="R444" s="34">
        <f>TablaSTOCKINV[[#This Row],[P.UNITARIO]]*TablaSTOCKINV[[#This Row],[CANT. TOTAL]]</f>
        <v>0</v>
      </c>
      <c r="S444" s="44">
        <f>_xlfn.XLOOKUP(TablaSTOCKINV[[#This Row],[SKU]],TablaINVENTARIO[SKU],TablaINVENTARIO[FECHA INGRESO])</f>
        <v>46023</v>
      </c>
      <c r="T444" s="44">
        <f>_xlfn.XLOOKUP(TablaSTOCKINV[[#This Row],[SKU]],TablaENTRADA[SKU],TablaENTRADA[FECHA],,0,-1)</f>
        <v>46023</v>
      </c>
      <c r="U444" s="46" t="str">
        <f>IFERROR((_xlfn.XLOOKUP(TablaSTOCKINV[[#This Row],[SKU]],TablaSALIDA[SKU],TablaSALIDA[FECHA],,0,-1))," " )</f>
        <v xml:space="preserve"> </v>
      </c>
    </row>
    <row r="445" spans="1:21" x14ac:dyDescent="0.3">
      <c r="A445" s="27" t="s">
        <v>1772</v>
      </c>
      <c r="B445" s="32" t="str">
        <f>_xlfn.XLOOKUP(TablaSTOCKINV[[#This Row],[SKU]],TablaINVENTARIO[SKU],TablaINVENTARIO[DESCRIPCION])</f>
        <v>TUERCA MARIPOSA M5 (SET)</v>
      </c>
      <c r="C445" s="32" t="str">
        <f>_xlfn.XLOOKUP(TablaSTOCKINV[[#This Row],[SKU]],TablaINVENTARIO[SKU],TablaINVENTARIO[MARCA])</f>
        <v xml:space="preserve">PARKSIDE </v>
      </c>
      <c r="D445" s="33" t="str">
        <f>_xlfn.XLOOKUP(TablaSTOCKINV[[#This Row],[SKU]],TablaINVENTARIO[SKU],TablaINVENTARIO[CATEGORIA])</f>
        <v>HERRAMIENTAS_</v>
      </c>
      <c r="E445" s="33" t="str">
        <f>_xlfn.XLOOKUP(TablaSTOCKINV[[#This Row],[SKU]],TablaINVENTARIO[SKU],TablaINVENTARIO[SUBCATEGORIA])</f>
        <v xml:space="preserve">MATERIAL DE CONSTRUCCIÓN </v>
      </c>
      <c r="F445" s="33" t="str">
        <f>_xlfn.XLOOKUP(TablaSTOCKINV[[#This Row],[SKU]],TablaINVENTARIO[SKU],TablaINVENTARIO[ESTADO])</f>
        <v>NUEVO</v>
      </c>
      <c r="G445" s="33" t="str">
        <f>_xlfn.XLOOKUP(TablaSTOCKINV[[#This Row],[SKU]],TablaINVENTARIO[SKU],TablaINVENTARIO[MEDIDA])</f>
        <v xml:space="preserve">UND </v>
      </c>
      <c r="H445" s="33" t="str">
        <f>_xlfn.XLOOKUP(TablaSTOCKINV[[#This Row],[SKU]],TablaINVENTARIO[SKU],TablaINVENTARIO[SERIAL])</f>
        <v>N/A</v>
      </c>
      <c r="I445" s="34" t="str">
        <f>_xlfn.XLOOKUP(TablaSTOCKINV[[#This Row],[SKU]],TablaINVENTARIO[SKU],TablaINVENTARIO[ALMACEN])</f>
        <v>ALMACEN PRINCIPAL</v>
      </c>
      <c r="J445" s="34" t="str">
        <f>_xlfn.XLOOKUP(TablaSTOCKINV[[#This Row],[SKU]],TablaINVENTARIO[SKU],TablaINVENTARIO[UBICACION])</f>
        <v>2B</v>
      </c>
      <c r="K445" s="34" t="str">
        <f>_xlfn.XLOOKUP(TablaSTOCKINV[[#This Row],[SKU]],TablaINVENTARIO[SKU],TablaINVENTARIO[DPTO RESPONSABLE])</f>
        <v xml:space="preserve">OPERACIONES </v>
      </c>
      <c r="L445" s="36">
        <f>_xlfn.XLOOKUP(TablaSTOCKINV[[#This Row],[SKU]],TablaINVENTARIO[SKU],TablaINVENTARIO[RANGO MIN])</f>
        <v>0</v>
      </c>
      <c r="M445" s="34" cm="1">
        <f t="array" ref="M445">_xlfn.IFS(TablaSTOCKINV[[#This Row],[CANT. TOTAL]]&lt;=0,1,TablaSTOCKINV[[#This Row],[CANT. TOTAL]]&lt;=TablaSTOCKINV[[#This Row],[MIN]],2,TablaSTOCKINV[[#This Row],[CANT. TOTAL]]&gt;TablaSTOCKINV[[#This Row],[MIN]],3)</f>
        <v>3</v>
      </c>
      <c r="N445" s="34">
        <f>TablaSTOCKINV[[#This Row],[ENTRADAS]]-TablaSTOCKINV[[#This Row],[SALIDAS]]</f>
        <v>20</v>
      </c>
      <c r="O445" s="35">
        <f>SUMIFS(TablaENTRADA[CANT],TablaENTRADA[SKU],TablaSTOCKINV[[#This Row],[SKU]])</f>
        <v>20</v>
      </c>
      <c r="P445" s="35">
        <f>SUMIFS(TablaSALIDA[CANT],TablaSALIDA[SKU],TablaSTOCKINV[[#This Row],[SKU]])</f>
        <v>0</v>
      </c>
      <c r="Q445" s="34">
        <f>_xlfn.XLOOKUP(TablaSTOCKINV[[#This Row],[SKU]],TablaINVENTARIO[SKU],TablaINVENTARIO[PRECIO])</f>
        <v>0</v>
      </c>
      <c r="R445" s="34">
        <f>TablaSTOCKINV[[#This Row],[P.UNITARIO]]*TablaSTOCKINV[[#This Row],[CANT. TOTAL]]</f>
        <v>0</v>
      </c>
      <c r="S445" s="44">
        <f>_xlfn.XLOOKUP(TablaSTOCKINV[[#This Row],[SKU]],TablaINVENTARIO[SKU],TablaINVENTARIO[FECHA INGRESO])</f>
        <v>46023</v>
      </c>
      <c r="T445" s="44">
        <f>_xlfn.XLOOKUP(TablaSTOCKINV[[#This Row],[SKU]],TablaENTRADA[SKU],TablaENTRADA[FECHA],,0,-1)</f>
        <v>46023</v>
      </c>
      <c r="U445" s="46" t="str">
        <f>IFERROR((_xlfn.XLOOKUP(TablaSTOCKINV[[#This Row],[SKU]],TablaSALIDA[SKU],TablaSALIDA[FECHA],,0,-1))," " )</f>
        <v xml:space="preserve"> </v>
      </c>
    </row>
    <row r="446" spans="1:21" x14ac:dyDescent="0.3">
      <c r="A446" s="27" t="s">
        <v>1774</v>
      </c>
      <c r="B446" s="32" t="str">
        <f>_xlfn.XLOOKUP(TablaSTOCKINV[[#This Row],[SKU]],TablaINVENTARIO[SKU],TablaINVENTARIO[DESCRIPCION])</f>
        <v>TUERCA MARIPOSA M8 (SET)</v>
      </c>
      <c r="C446" s="32" t="str">
        <f>_xlfn.XLOOKUP(TablaSTOCKINV[[#This Row],[SKU]],TablaINVENTARIO[SKU],TablaINVENTARIO[MARCA])</f>
        <v xml:space="preserve">PARKSIDE </v>
      </c>
      <c r="D446" s="33" t="str">
        <f>_xlfn.XLOOKUP(TablaSTOCKINV[[#This Row],[SKU]],TablaINVENTARIO[SKU],TablaINVENTARIO[CATEGORIA])</f>
        <v>HERRAMIENTAS_</v>
      </c>
      <c r="E446" s="33" t="str">
        <f>_xlfn.XLOOKUP(TablaSTOCKINV[[#This Row],[SKU]],TablaINVENTARIO[SKU],TablaINVENTARIO[SUBCATEGORIA])</f>
        <v xml:space="preserve">MATERIAL DE CONSTRUCCIÓN </v>
      </c>
      <c r="F446" s="33" t="str">
        <f>_xlfn.XLOOKUP(TablaSTOCKINV[[#This Row],[SKU]],TablaINVENTARIO[SKU],TablaINVENTARIO[ESTADO])</f>
        <v>NUEVO</v>
      </c>
      <c r="G446" s="33" t="str">
        <f>_xlfn.XLOOKUP(TablaSTOCKINV[[#This Row],[SKU]],TablaINVENTARIO[SKU],TablaINVENTARIO[MEDIDA])</f>
        <v xml:space="preserve">UND </v>
      </c>
      <c r="H446" s="33" t="str">
        <f>_xlfn.XLOOKUP(TablaSTOCKINV[[#This Row],[SKU]],TablaINVENTARIO[SKU],TablaINVENTARIO[SERIAL])</f>
        <v>N/A</v>
      </c>
      <c r="I446" s="34" t="str">
        <f>_xlfn.XLOOKUP(TablaSTOCKINV[[#This Row],[SKU]],TablaINVENTARIO[SKU],TablaINVENTARIO[ALMACEN])</f>
        <v>ALMACEN PRINCIPAL</v>
      </c>
      <c r="J446" s="34" t="str">
        <f>_xlfn.XLOOKUP(TablaSTOCKINV[[#This Row],[SKU]],TablaINVENTARIO[SKU],TablaINVENTARIO[UBICACION])</f>
        <v>2B</v>
      </c>
      <c r="K446" s="34" t="str">
        <f>_xlfn.XLOOKUP(TablaSTOCKINV[[#This Row],[SKU]],TablaINVENTARIO[SKU],TablaINVENTARIO[DPTO RESPONSABLE])</f>
        <v xml:space="preserve">OPERACIONES </v>
      </c>
      <c r="L446" s="36">
        <f>_xlfn.XLOOKUP(TablaSTOCKINV[[#This Row],[SKU]],TablaINVENTARIO[SKU],TablaINVENTARIO[RANGO MIN])</f>
        <v>0</v>
      </c>
      <c r="M446" s="34" cm="1">
        <f t="array" ref="M446">_xlfn.IFS(TablaSTOCKINV[[#This Row],[CANT. TOTAL]]&lt;=0,1,TablaSTOCKINV[[#This Row],[CANT. TOTAL]]&lt;=TablaSTOCKINV[[#This Row],[MIN]],2,TablaSTOCKINV[[#This Row],[CANT. TOTAL]]&gt;TablaSTOCKINV[[#This Row],[MIN]],3)</f>
        <v>3</v>
      </c>
      <c r="N446" s="34">
        <f>TablaSTOCKINV[[#This Row],[ENTRADAS]]-TablaSTOCKINV[[#This Row],[SALIDAS]]</f>
        <v>10</v>
      </c>
      <c r="O446" s="35">
        <f>SUMIFS(TablaENTRADA[CANT],TablaENTRADA[SKU],TablaSTOCKINV[[#This Row],[SKU]])</f>
        <v>10</v>
      </c>
      <c r="P446" s="35">
        <f>SUMIFS(TablaSALIDA[CANT],TablaSALIDA[SKU],TablaSTOCKINV[[#This Row],[SKU]])</f>
        <v>0</v>
      </c>
      <c r="Q446" s="34">
        <f>_xlfn.XLOOKUP(TablaSTOCKINV[[#This Row],[SKU]],TablaINVENTARIO[SKU],TablaINVENTARIO[PRECIO])</f>
        <v>0</v>
      </c>
      <c r="R446" s="34">
        <f>TablaSTOCKINV[[#This Row],[P.UNITARIO]]*TablaSTOCKINV[[#This Row],[CANT. TOTAL]]</f>
        <v>0</v>
      </c>
      <c r="S446" s="44">
        <f>_xlfn.XLOOKUP(TablaSTOCKINV[[#This Row],[SKU]],TablaINVENTARIO[SKU],TablaINVENTARIO[FECHA INGRESO])</f>
        <v>46023</v>
      </c>
      <c r="T446" s="44">
        <f>_xlfn.XLOOKUP(TablaSTOCKINV[[#This Row],[SKU]],TablaENTRADA[SKU],TablaENTRADA[FECHA],,0,-1)</f>
        <v>46023</v>
      </c>
      <c r="U446" s="46" t="str">
        <f>IFERROR((_xlfn.XLOOKUP(TablaSTOCKINV[[#This Row],[SKU]],TablaSALIDA[SKU],TablaSALIDA[FECHA],,0,-1))," " )</f>
        <v xml:space="preserve"> </v>
      </c>
    </row>
    <row r="447" spans="1:21" x14ac:dyDescent="0.3">
      <c r="A447" s="27" t="s">
        <v>1776</v>
      </c>
      <c r="B447" s="32" t="str">
        <f>_xlfn.XLOOKUP(TablaSTOCKINV[[#This Row],[SKU]],TablaINVENTARIO[SKU],TablaINVENTARIO[DESCRIPCION])</f>
        <v>TUERCA MARIPOSA M12 (SET)</v>
      </c>
      <c r="C447" s="32" t="str">
        <f>_xlfn.XLOOKUP(TablaSTOCKINV[[#This Row],[SKU]],TablaINVENTARIO[SKU],TablaINVENTARIO[MARCA])</f>
        <v xml:space="preserve">PARKSIDE </v>
      </c>
      <c r="D447" s="33" t="str">
        <f>_xlfn.XLOOKUP(TablaSTOCKINV[[#This Row],[SKU]],TablaINVENTARIO[SKU],TablaINVENTARIO[CATEGORIA])</f>
        <v>HERRAMIENTAS_</v>
      </c>
      <c r="E447" s="33" t="str">
        <f>_xlfn.XLOOKUP(TablaSTOCKINV[[#This Row],[SKU]],TablaINVENTARIO[SKU],TablaINVENTARIO[SUBCATEGORIA])</f>
        <v xml:space="preserve">MATERIAL DE CONSTRUCCIÓN </v>
      </c>
      <c r="F447" s="33" t="str">
        <f>_xlfn.XLOOKUP(TablaSTOCKINV[[#This Row],[SKU]],TablaINVENTARIO[SKU],TablaINVENTARIO[ESTADO])</f>
        <v>NUEVO</v>
      </c>
      <c r="G447" s="33" t="str">
        <f>_xlfn.XLOOKUP(TablaSTOCKINV[[#This Row],[SKU]],TablaINVENTARIO[SKU],TablaINVENTARIO[MEDIDA])</f>
        <v xml:space="preserve">UND </v>
      </c>
      <c r="H447" s="33" t="str">
        <f>_xlfn.XLOOKUP(TablaSTOCKINV[[#This Row],[SKU]],TablaINVENTARIO[SKU],TablaINVENTARIO[SERIAL])</f>
        <v>N/A</v>
      </c>
      <c r="I447" s="34" t="str">
        <f>_xlfn.XLOOKUP(TablaSTOCKINV[[#This Row],[SKU]],TablaINVENTARIO[SKU],TablaINVENTARIO[ALMACEN])</f>
        <v>ALMACEN PRINCIPAL</v>
      </c>
      <c r="J447" s="34" t="str">
        <f>_xlfn.XLOOKUP(TablaSTOCKINV[[#This Row],[SKU]],TablaINVENTARIO[SKU],TablaINVENTARIO[UBICACION])</f>
        <v>2B</v>
      </c>
      <c r="K447" s="34" t="str">
        <f>_xlfn.XLOOKUP(TablaSTOCKINV[[#This Row],[SKU]],TablaINVENTARIO[SKU],TablaINVENTARIO[DPTO RESPONSABLE])</f>
        <v xml:space="preserve">OPERACIONES </v>
      </c>
      <c r="L447" s="36">
        <f>_xlfn.XLOOKUP(TablaSTOCKINV[[#This Row],[SKU]],TablaINVENTARIO[SKU],TablaINVENTARIO[RANGO MIN])</f>
        <v>0</v>
      </c>
      <c r="M447" s="34" cm="1">
        <f t="array" ref="M447">_xlfn.IFS(TablaSTOCKINV[[#This Row],[CANT. TOTAL]]&lt;=0,1,TablaSTOCKINV[[#This Row],[CANT. TOTAL]]&lt;=TablaSTOCKINV[[#This Row],[MIN]],2,TablaSTOCKINV[[#This Row],[CANT. TOTAL]]&gt;TablaSTOCKINV[[#This Row],[MIN]],3)</f>
        <v>3</v>
      </c>
      <c r="N447" s="34">
        <f>TablaSTOCKINV[[#This Row],[ENTRADAS]]-TablaSTOCKINV[[#This Row],[SALIDAS]]</f>
        <v>3</v>
      </c>
      <c r="O447" s="35">
        <f>SUMIFS(TablaENTRADA[CANT],TablaENTRADA[SKU],TablaSTOCKINV[[#This Row],[SKU]])</f>
        <v>3</v>
      </c>
      <c r="P447" s="35">
        <f>SUMIFS(TablaSALIDA[CANT],TablaSALIDA[SKU],TablaSTOCKINV[[#This Row],[SKU]])</f>
        <v>0</v>
      </c>
      <c r="Q447" s="34">
        <f>_xlfn.XLOOKUP(TablaSTOCKINV[[#This Row],[SKU]],TablaINVENTARIO[SKU],TablaINVENTARIO[PRECIO])</f>
        <v>0</v>
      </c>
      <c r="R447" s="34">
        <f>TablaSTOCKINV[[#This Row],[P.UNITARIO]]*TablaSTOCKINV[[#This Row],[CANT. TOTAL]]</f>
        <v>0</v>
      </c>
      <c r="S447" s="44">
        <f>_xlfn.XLOOKUP(TablaSTOCKINV[[#This Row],[SKU]],TablaINVENTARIO[SKU],TablaINVENTARIO[FECHA INGRESO])</f>
        <v>46023</v>
      </c>
      <c r="T447" s="44">
        <f>_xlfn.XLOOKUP(TablaSTOCKINV[[#This Row],[SKU]],TablaENTRADA[SKU],TablaENTRADA[FECHA],,0,-1)</f>
        <v>46023</v>
      </c>
      <c r="U447" s="46" t="str">
        <f>IFERROR((_xlfn.XLOOKUP(TablaSTOCKINV[[#This Row],[SKU]],TablaSALIDA[SKU],TablaSALIDA[FECHA],,0,-1))," " )</f>
        <v xml:space="preserve"> </v>
      </c>
    </row>
    <row r="448" spans="1:21" x14ac:dyDescent="0.3">
      <c r="A448" s="27" t="s">
        <v>1778</v>
      </c>
      <c r="B448" s="32" t="str">
        <f>_xlfn.XLOOKUP(TablaSTOCKINV[[#This Row],[SKU]],TablaINVENTARIO[SKU],TablaINVENTARIO[DESCRIPCION])</f>
        <v>TORNILLO PRISIONERO M6 (SET)</v>
      </c>
      <c r="C448" s="32" t="str">
        <f>_xlfn.XLOOKUP(TablaSTOCKINV[[#This Row],[SKU]],TablaINVENTARIO[SKU],TablaINVENTARIO[MARCA])</f>
        <v xml:space="preserve">PARKSIDE </v>
      </c>
      <c r="D448" s="33" t="str">
        <f>_xlfn.XLOOKUP(TablaSTOCKINV[[#This Row],[SKU]],TablaINVENTARIO[SKU],TablaINVENTARIO[CATEGORIA])</f>
        <v>HERRAMIENTAS_</v>
      </c>
      <c r="E448" s="33" t="str">
        <f>_xlfn.XLOOKUP(TablaSTOCKINV[[#This Row],[SKU]],TablaINVENTARIO[SKU],TablaINVENTARIO[SUBCATEGORIA])</f>
        <v xml:space="preserve">MATERIAL DE CONSTRUCCIÓN </v>
      </c>
      <c r="F448" s="33" t="str">
        <f>_xlfn.XLOOKUP(TablaSTOCKINV[[#This Row],[SKU]],TablaINVENTARIO[SKU],TablaINVENTARIO[ESTADO])</f>
        <v>NUEVO</v>
      </c>
      <c r="G448" s="33" t="str">
        <f>_xlfn.XLOOKUP(TablaSTOCKINV[[#This Row],[SKU]],TablaINVENTARIO[SKU],TablaINVENTARIO[MEDIDA])</f>
        <v xml:space="preserve">UND </v>
      </c>
      <c r="H448" s="33" t="str">
        <f>_xlfn.XLOOKUP(TablaSTOCKINV[[#This Row],[SKU]],TablaINVENTARIO[SKU],TablaINVENTARIO[SERIAL])</f>
        <v>N/A</v>
      </c>
      <c r="I448" s="34" t="str">
        <f>_xlfn.XLOOKUP(TablaSTOCKINV[[#This Row],[SKU]],TablaINVENTARIO[SKU],TablaINVENTARIO[ALMACEN])</f>
        <v>ALMACEN PRINCIPAL</v>
      </c>
      <c r="J448" s="34" t="str">
        <f>_xlfn.XLOOKUP(TablaSTOCKINV[[#This Row],[SKU]],TablaINVENTARIO[SKU],TablaINVENTARIO[UBICACION])</f>
        <v>2B</v>
      </c>
      <c r="K448" s="34" t="str">
        <f>_xlfn.XLOOKUP(TablaSTOCKINV[[#This Row],[SKU]],TablaINVENTARIO[SKU],TablaINVENTARIO[DPTO RESPONSABLE])</f>
        <v xml:space="preserve">OPERACIONES </v>
      </c>
      <c r="L448" s="36">
        <f>_xlfn.XLOOKUP(TablaSTOCKINV[[#This Row],[SKU]],TablaINVENTARIO[SKU],TablaINVENTARIO[RANGO MIN])</f>
        <v>0</v>
      </c>
      <c r="M448" s="34" cm="1">
        <f t="array" ref="M448">_xlfn.IFS(TablaSTOCKINV[[#This Row],[CANT. TOTAL]]&lt;=0,1,TablaSTOCKINV[[#This Row],[CANT. TOTAL]]&lt;=TablaSTOCKINV[[#This Row],[MIN]],2,TablaSTOCKINV[[#This Row],[CANT. TOTAL]]&gt;TablaSTOCKINV[[#This Row],[MIN]],3)</f>
        <v>3</v>
      </c>
      <c r="N448" s="34">
        <f>TablaSTOCKINV[[#This Row],[ENTRADAS]]-TablaSTOCKINV[[#This Row],[SALIDAS]]</f>
        <v>15</v>
      </c>
      <c r="O448" s="35">
        <f>SUMIFS(TablaENTRADA[CANT],TablaENTRADA[SKU],TablaSTOCKINV[[#This Row],[SKU]])</f>
        <v>15</v>
      </c>
      <c r="P448" s="35">
        <f>SUMIFS(TablaSALIDA[CANT],TablaSALIDA[SKU],TablaSTOCKINV[[#This Row],[SKU]])</f>
        <v>0</v>
      </c>
      <c r="Q448" s="34">
        <f>_xlfn.XLOOKUP(TablaSTOCKINV[[#This Row],[SKU]],TablaINVENTARIO[SKU],TablaINVENTARIO[PRECIO])</f>
        <v>0</v>
      </c>
      <c r="R448" s="34">
        <f>TablaSTOCKINV[[#This Row],[P.UNITARIO]]*TablaSTOCKINV[[#This Row],[CANT. TOTAL]]</f>
        <v>0</v>
      </c>
      <c r="S448" s="44">
        <f>_xlfn.XLOOKUP(TablaSTOCKINV[[#This Row],[SKU]],TablaINVENTARIO[SKU],TablaINVENTARIO[FECHA INGRESO])</f>
        <v>46023</v>
      </c>
      <c r="T448" s="44">
        <f>_xlfn.XLOOKUP(TablaSTOCKINV[[#This Row],[SKU]],TablaENTRADA[SKU],TablaENTRADA[FECHA],,0,-1)</f>
        <v>46023</v>
      </c>
      <c r="U448" s="46" t="str">
        <f>IFERROR((_xlfn.XLOOKUP(TablaSTOCKINV[[#This Row],[SKU]],TablaSALIDA[SKU],TablaSALIDA[FECHA],,0,-1))," " )</f>
        <v xml:space="preserve"> </v>
      </c>
    </row>
    <row r="449" spans="1:21" x14ac:dyDescent="0.3">
      <c r="A449" s="27" t="s">
        <v>1780</v>
      </c>
      <c r="B449" s="32" t="str">
        <f>_xlfn.XLOOKUP(TablaSTOCKINV[[#This Row],[SKU]],TablaINVENTARIO[SKU],TablaINVENTARIO[DESCRIPCION])</f>
        <v>TORNILLO PRISIONERO M8 (SET)</v>
      </c>
      <c r="C449" s="32" t="str">
        <f>_xlfn.XLOOKUP(TablaSTOCKINV[[#This Row],[SKU]],TablaINVENTARIO[SKU],TablaINVENTARIO[MARCA])</f>
        <v xml:space="preserve">PARKSIDE </v>
      </c>
      <c r="D449" s="33" t="str">
        <f>_xlfn.XLOOKUP(TablaSTOCKINV[[#This Row],[SKU]],TablaINVENTARIO[SKU],TablaINVENTARIO[CATEGORIA])</f>
        <v>HERRAMIENTAS_</v>
      </c>
      <c r="E449" s="33" t="str">
        <f>_xlfn.XLOOKUP(TablaSTOCKINV[[#This Row],[SKU]],TablaINVENTARIO[SKU],TablaINVENTARIO[SUBCATEGORIA])</f>
        <v xml:space="preserve">MATERIAL DE CONSTRUCCIÓN </v>
      </c>
      <c r="F449" s="33" t="str">
        <f>_xlfn.XLOOKUP(TablaSTOCKINV[[#This Row],[SKU]],TablaINVENTARIO[SKU],TablaINVENTARIO[ESTADO])</f>
        <v>NUEVO</v>
      </c>
      <c r="G449" s="33" t="str">
        <f>_xlfn.XLOOKUP(TablaSTOCKINV[[#This Row],[SKU]],TablaINVENTARIO[SKU],TablaINVENTARIO[MEDIDA])</f>
        <v xml:space="preserve">UND </v>
      </c>
      <c r="H449" s="33" t="str">
        <f>_xlfn.XLOOKUP(TablaSTOCKINV[[#This Row],[SKU]],TablaINVENTARIO[SKU],TablaINVENTARIO[SERIAL])</f>
        <v>N/A</v>
      </c>
      <c r="I449" s="34" t="str">
        <f>_xlfn.XLOOKUP(TablaSTOCKINV[[#This Row],[SKU]],TablaINVENTARIO[SKU],TablaINVENTARIO[ALMACEN])</f>
        <v>ALMACEN PRINCIPAL</v>
      </c>
      <c r="J449" s="34" t="str">
        <f>_xlfn.XLOOKUP(TablaSTOCKINV[[#This Row],[SKU]],TablaINVENTARIO[SKU],TablaINVENTARIO[UBICACION])</f>
        <v>2B</v>
      </c>
      <c r="K449" s="34" t="str">
        <f>_xlfn.XLOOKUP(TablaSTOCKINV[[#This Row],[SKU]],TablaINVENTARIO[SKU],TablaINVENTARIO[DPTO RESPONSABLE])</f>
        <v xml:space="preserve">OPERACIONES </v>
      </c>
      <c r="L449" s="36">
        <f>_xlfn.XLOOKUP(TablaSTOCKINV[[#This Row],[SKU]],TablaINVENTARIO[SKU],TablaINVENTARIO[RANGO MIN])</f>
        <v>0</v>
      </c>
      <c r="M449" s="34" cm="1">
        <f t="array" ref="M449">_xlfn.IFS(TablaSTOCKINV[[#This Row],[CANT. TOTAL]]&lt;=0,1,TablaSTOCKINV[[#This Row],[CANT. TOTAL]]&lt;=TablaSTOCKINV[[#This Row],[MIN]],2,TablaSTOCKINV[[#This Row],[CANT. TOTAL]]&gt;TablaSTOCKINV[[#This Row],[MIN]],3)</f>
        <v>3</v>
      </c>
      <c r="N449" s="34">
        <f>TablaSTOCKINV[[#This Row],[ENTRADAS]]-TablaSTOCKINV[[#This Row],[SALIDAS]]</f>
        <v>15</v>
      </c>
      <c r="O449" s="35">
        <f>SUMIFS(TablaENTRADA[CANT],TablaENTRADA[SKU],TablaSTOCKINV[[#This Row],[SKU]])</f>
        <v>15</v>
      </c>
      <c r="P449" s="35">
        <f>SUMIFS(TablaSALIDA[CANT],TablaSALIDA[SKU],TablaSTOCKINV[[#This Row],[SKU]])</f>
        <v>0</v>
      </c>
      <c r="Q449" s="34">
        <f>_xlfn.XLOOKUP(TablaSTOCKINV[[#This Row],[SKU]],TablaINVENTARIO[SKU],TablaINVENTARIO[PRECIO])</f>
        <v>0</v>
      </c>
      <c r="R449" s="34">
        <f>TablaSTOCKINV[[#This Row],[P.UNITARIO]]*TablaSTOCKINV[[#This Row],[CANT. TOTAL]]</f>
        <v>0</v>
      </c>
      <c r="S449" s="44">
        <f>_xlfn.XLOOKUP(TablaSTOCKINV[[#This Row],[SKU]],TablaINVENTARIO[SKU],TablaINVENTARIO[FECHA INGRESO])</f>
        <v>46023</v>
      </c>
      <c r="T449" s="44">
        <f>_xlfn.XLOOKUP(TablaSTOCKINV[[#This Row],[SKU]],TablaENTRADA[SKU],TablaENTRADA[FECHA],,0,-1)</f>
        <v>46023</v>
      </c>
      <c r="U449" s="46" t="str">
        <f>IFERROR((_xlfn.XLOOKUP(TablaSTOCKINV[[#This Row],[SKU]],TablaSALIDA[SKU],TablaSALIDA[FECHA],,0,-1))," " )</f>
        <v xml:space="preserve"> </v>
      </c>
    </row>
    <row r="450" spans="1:21" x14ac:dyDescent="0.3">
      <c r="A450" s="27" t="s">
        <v>1782</v>
      </c>
      <c r="B450" s="32" t="str">
        <f>_xlfn.XLOOKUP(TablaSTOCKINV[[#This Row],[SKU]],TablaINVENTARIO[SKU],TablaINVENTARIO[DESCRIPCION])</f>
        <v>TORNILLO PRISIONERO M3 (SET)</v>
      </c>
      <c r="C450" s="32" t="str">
        <f>_xlfn.XLOOKUP(TablaSTOCKINV[[#This Row],[SKU]],TablaINVENTARIO[SKU],TablaINVENTARIO[MARCA])</f>
        <v xml:space="preserve">PARKSIDE </v>
      </c>
      <c r="D450" s="33" t="str">
        <f>_xlfn.XLOOKUP(TablaSTOCKINV[[#This Row],[SKU]],TablaINVENTARIO[SKU],TablaINVENTARIO[CATEGORIA])</f>
        <v>HERRAMIENTAS_</v>
      </c>
      <c r="E450" s="33" t="str">
        <f>_xlfn.XLOOKUP(TablaSTOCKINV[[#This Row],[SKU]],TablaINVENTARIO[SKU],TablaINVENTARIO[SUBCATEGORIA])</f>
        <v xml:space="preserve">MATERIAL DE CONSTRUCCIÓN </v>
      </c>
      <c r="F450" s="33" t="str">
        <f>_xlfn.XLOOKUP(TablaSTOCKINV[[#This Row],[SKU]],TablaINVENTARIO[SKU],TablaINVENTARIO[ESTADO])</f>
        <v>NUEVO</v>
      </c>
      <c r="G450" s="33" t="str">
        <f>_xlfn.XLOOKUP(TablaSTOCKINV[[#This Row],[SKU]],TablaINVENTARIO[SKU],TablaINVENTARIO[MEDIDA])</f>
        <v xml:space="preserve">UND </v>
      </c>
      <c r="H450" s="33" t="str">
        <f>_xlfn.XLOOKUP(TablaSTOCKINV[[#This Row],[SKU]],TablaINVENTARIO[SKU],TablaINVENTARIO[SERIAL])</f>
        <v>N/A</v>
      </c>
      <c r="I450" s="34" t="str">
        <f>_xlfn.XLOOKUP(TablaSTOCKINV[[#This Row],[SKU]],TablaINVENTARIO[SKU],TablaINVENTARIO[ALMACEN])</f>
        <v>ALMACEN PRINCIPAL</v>
      </c>
      <c r="J450" s="34" t="str">
        <f>_xlfn.XLOOKUP(TablaSTOCKINV[[#This Row],[SKU]],TablaINVENTARIO[SKU],TablaINVENTARIO[UBICACION])</f>
        <v>2B</v>
      </c>
      <c r="K450" s="34" t="str">
        <f>_xlfn.XLOOKUP(TablaSTOCKINV[[#This Row],[SKU]],TablaINVENTARIO[SKU],TablaINVENTARIO[DPTO RESPONSABLE])</f>
        <v xml:space="preserve">OPERACIONES </v>
      </c>
      <c r="L450" s="36">
        <f>_xlfn.XLOOKUP(TablaSTOCKINV[[#This Row],[SKU]],TablaINVENTARIO[SKU],TablaINVENTARIO[RANGO MIN])</f>
        <v>0</v>
      </c>
      <c r="M450" s="34" cm="1">
        <f t="array" ref="M450">_xlfn.IFS(TablaSTOCKINV[[#This Row],[CANT. TOTAL]]&lt;=0,1,TablaSTOCKINV[[#This Row],[CANT. TOTAL]]&lt;=TablaSTOCKINV[[#This Row],[MIN]],2,TablaSTOCKINV[[#This Row],[CANT. TOTAL]]&gt;TablaSTOCKINV[[#This Row],[MIN]],3)</f>
        <v>3</v>
      </c>
      <c r="N450" s="34">
        <f>TablaSTOCKINV[[#This Row],[ENTRADAS]]-TablaSTOCKINV[[#This Row],[SALIDAS]]</f>
        <v>25</v>
      </c>
      <c r="O450" s="35">
        <f>SUMIFS(TablaENTRADA[CANT],TablaENTRADA[SKU],TablaSTOCKINV[[#This Row],[SKU]])</f>
        <v>25</v>
      </c>
      <c r="P450" s="35">
        <f>SUMIFS(TablaSALIDA[CANT],TablaSALIDA[SKU],TablaSTOCKINV[[#This Row],[SKU]])</f>
        <v>0</v>
      </c>
      <c r="Q450" s="34">
        <f>_xlfn.XLOOKUP(TablaSTOCKINV[[#This Row],[SKU]],TablaINVENTARIO[SKU],TablaINVENTARIO[PRECIO])</f>
        <v>0</v>
      </c>
      <c r="R450" s="34">
        <f>TablaSTOCKINV[[#This Row],[P.UNITARIO]]*TablaSTOCKINV[[#This Row],[CANT. TOTAL]]</f>
        <v>0</v>
      </c>
      <c r="S450" s="44">
        <f>_xlfn.XLOOKUP(TablaSTOCKINV[[#This Row],[SKU]],TablaINVENTARIO[SKU],TablaINVENTARIO[FECHA INGRESO])</f>
        <v>46023</v>
      </c>
      <c r="T450" s="44">
        <f>_xlfn.XLOOKUP(TablaSTOCKINV[[#This Row],[SKU]],TablaENTRADA[SKU],TablaENTRADA[FECHA],,0,-1)</f>
        <v>46023</v>
      </c>
      <c r="U450" s="46" t="str">
        <f>IFERROR((_xlfn.XLOOKUP(TablaSTOCKINV[[#This Row],[SKU]],TablaSALIDA[SKU],TablaSALIDA[FECHA],,0,-1))," " )</f>
        <v xml:space="preserve"> </v>
      </c>
    </row>
    <row r="451" spans="1:21" x14ac:dyDescent="0.3">
      <c r="A451" s="27" t="s">
        <v>1784</v>
      </c>
      <c r="B451" s="32" t="str">
        <f>_xlfn.XLOOKUP(TablaSTOCKINV[[#This Row],[SKU]],TablaINVENTARIO[SKU],TablaINVENTARIO[DESCRIPCION])</f>
        <v>TORNILLO PRISIONERO M4 (SET)</v>
      </c>
      <c r="C451" s="32" t="str">
        <f>_xlfn.XLOOKUP(TablaSTOCKINV[[#This Row],[SKU]],TablaINVENTARIO[SKU],TablaINVENTARIO[MARCA])</f>
        <v xml:space="preserve">PARKSIDE </v>
      </c>
      <c r="D451" s="33" t="str">
        <f>_xlfn.XLOOKUP(TablaSTOCKINV[[#This Row],[SKU]],TablaINVENTARIO[SKU],TablaINVENTARIO[CATEGORIA])</f>
        <v>HERRAMIENTAS_</v>
      </c>
      <c r="E451" s="33" t="str">
        <f>_xlfn.XLOOKUP(TablaSTOCKINV[[#This Row],[SKU]],TablaINVENTARIO[SKU],TablaINVENTARIO[SUBCATEGORIA])</f>
        <v xml:space="preserve">MATERIAL DE CONSTRUCCIÓN </v>
      </c>
      <c r="F451" s="33" t="str">
        <f>_xlfn.XLOOKUP(TablaSTOCKINV[[#This Row],[SKU]],TablaINVENTARIO[SKU],TablaINVENTARIO[ESTADO])</f>
        <v>NUEVO</v>
      </c>
      <c r="G451" s="33" t="str">
        <f>_xlfn.XLOOKUP(TablaSTOCKINV[[#This Row],[SKU]],TablaINVENTARIO[SKU],TablaINVENTARIO[MEDIDA])</f>
        <v xml:space="preserve">UND </v>
      </c>
      <c r="H451" s="33" t="str">
        <f>_xlfn.XLOOKUP(TablaSTOCKINV[[#This Row],[SKU]],TablaINVENTARIO[SKU],TablaINVENTARIO[SERIAL])</f>
        <v>N/A</v>
      </c>
      <c r="I451" s="34" t="str">
        <f>_xlfn.XLOOKUP(TablaSTOCKINV[[#This Row],[SKU]],TablaINVENTARIO[SKU],TablaINVENTARIO[ALMACEN])</f>
        <v>ALMACEN PRINCIPAL</v>
      </c>
      <c r="J451" s="34" t="str">
        <f>_xlfn.XLOOKUP(TablaSTOCKINV[[#This Row],[SKU]],TablaINVENTARIO[SKU],TablaINVENTARIO[UBICACION])</f>
        <v>2B</v>
      </c>
      <c r="K451" s="34" t="str">
        <f>_xlfn.XLOOKUP(TablaSTOCKINV[[#This Row],[SKU]],TablaINVENTARIO[SKU],TablaINVENTARIO[DPTO RESPONSABLE])</f>
        <v xml:space="preserve">OPERACIONES </v>
      </c>
      <c r="L451" s="36">
        <f>_xlfn.XLOOKUP(TablaSTOCKINV[[#This Row],[SKU]],TablaINVENTARIO[SKU],TablaINVENTARIO[RANGO MIN])</f>
        <v>0</v>
      </c>
      <c r="M451" s="34" cm="1">
        <f t="array" ref="M451">_xlfn.IFS(TablaSTOCKINV[[#This Row],[CANT. TOTAL]]&lt;=0,1,TablaSTOCKINV[[#This Row],[CANT. TOTAL]]&lt;=TablaSTOCKINV[[#This Row],[MIN]],2,TablaSTOCKINV[[#This Row],[CANT. TOTAL]]&gt;TablaSTOCKINV[[#This Row],[MIN]],3)</f>
        <v>3</v>
      </c>
      <c r="N451" s="34">
        <f>TablaSTOCKINV[[#This Row],[ENTRADAS]]-TablaSTOCKINV[[#This Row],[SALIDAS]]</f>
        <v>25</v>
      </c>
      <c r="O451" s="35">
        <f>SUMIFS(TablaENTRADA[CANT],TablaENTRADA[SKU],TablaSTOCKINV[[#This Row],[SKU]])</f>
        <v>25</v>
      </c>
      <c r="P451" s="35">
        <f>SUMIFS(TablaSALIDA[CANT],TablaSALIDA[SKU],TablaSTOCKINV[[#This Row],[SKU]])</f>
        <v>0</v>
      </c>
      <c r="Q451" s="34">
        <f>_xlfn.XLOOKUP(TablaSTOCKINV[[#This Row],[SKU]],TablaINVENTARIO[SKU],TablaINVENTARIO[PRECIO])</f>
        <v>0</v>
      </c>
      <c r="R451" s="34">
        <f>TablaSTOCKINV[[#This Row],[P.UNITARIO]]*TablaSTOCKINV[[#This Row],[CANT. TOTAL]]</f>
        <v>0</v>
      </c>
      <c r="S451" s="44">
        <f>_xlfn.XLOOKUP(TablaSTOCKINV[[#This Row],[SKU]],TablaINVENTARIO[SKU],TablaINVENTARIO[FECHA INGRESO])</f>
        <v>46023</v>
      </c>
      <c r="T451" s="44">
        <f>_xlfn.XLOOKUP(TablaSTOCKINV[[#This Row],[SKU]],TablaENTRADA[SKU],TablaENTRADA[FECHA],,0,-1)</f>
        <v>46023</v>
      </c>
      <c r="U451" s="46" t="str">
        <f>IFERROR((_xlfn.XLOOKUP(TablaSTOCKINV[[#This Row],[SKU]],TablaSALIDA[SKU],TablaSALIDA[FECHA],,0,-1))," " )</f>
        <v xml:space="preserve"> </v>
      </c>
    </row>
    <row r="452" spans="1:21" x14ac:dyDescent="0.3">
      <c r="A452" s="27" t="s">
        <v>1786</v>
      </c>
      <c r="B452" s="32" t="str">
        <f>_xlfn.XLOOKUP(TablaSTOCKINV[[#This Row],[SKU]],TablaINVENTARIO[SKU],TablaINVENTARIO[DESCRIPCION])</f>
        <v>TORNILLO PRISIONERO M5 (SET)</v>
      </c>
      <c r="C452" s="32" t="str">
        <f>_xlfn.XLOOKUP(TablaSTOCKINV[[#This Row],[SKU]],TablaINVENTARIO[SKU],TablaINVENTARIO[MARCA])</f>
        <v xml:space="preserve">PARKSIDE </v>
      </c>
      <c r="D452" s="33" t="str">
        <f>_xlfn.XLOOKUP(TablaSTOCKINV[[#This Row],[SKU]],TablaINVENTARIO[SKU],TablaINVENTARIO[CATEGORIA])</f>
        <v>HERRAMIENTAS_</v>
      </c>
      <c r="E452" s="33" t="str">
        <f>_xlfn.XLOOKUP(TablaSTOCKINV[[#This Row],[SKU]],TablaINVENTARIO[SKU],TablaINVENTARIO[SUBCATEGORIA])</f>
        <v xml:space="preserve">MATERIAL DE CONSTRUCCIÓN </v>
      </c>
      <c r="F452" s="33" t="str">
        <f>_xlfn.XLOOKUP(TablaSTOCKINV[[#This Row],[SKU]],TablaINVENTARIO[SKU],TablaINVENTARIO[ESTADO])</f>
        <v>NUEVO</v>
      </c>
      <c r="G452" s="33" t="str">
        <f>_xlfn.XLOOKUP(TablaSTOCKINV[[#This Row],[SKU]],TablaINVENTARIO[SKU],TablaINVENTARIO[MEDIDA])</f>
        <v xml:space="preserve">UND </v>
      </c>
      <c r="H452" s="33" t="str">
        <f>_xlfn.XLOOKUP(TablaSTOCKINV[[#This Row],[SKU]],TablaINVENTARIO[SKU],TablaINVENTARIO[SERIAL])</f>
        <v>N/A</v>
      </c>
      <c r="I452" s="34" t="str">
        <f>_xlfn.XLOOKUP(TablaSTOCKINV[[#This Row],[SKU]],TablaINVENTARIO[SKU],TablaINVENTARIO[ALMACEN])</f>
        <v>ALMACEN PRINCIPAL</v>
      </c>
      <c r="J452" s="34" t="str">
        <f>_xlfn.XLOOKUP(TablaSTOCKINV[[#This Row],[SKU]],TablaINVENTARIO[SKU],TablaINVENTARIO[UBICACION])</f>
        <v>2B</v>
      </c>
      <c r="K452" s="34" t="str">
        <f>_xlfn.XLOOKUP(TablaSTOCKINV[[#This Row],[SKU]],TablaINVENTARIO[SKU],TablaINVENTARIO[DPTO RESPONSABLE])</f>
        <v xml:space="preserve">OPERACIONES </v>
      </c>
      <c r="L452" s="36">
        <f>_xlfn.XLOOKUP(TablaSTOCKINV[[#This Row],[SKU]],TablaINVENTARIO[SKU],TablaINVENTARIO[RANGO MIN])</f>
        <v>0</v>
      </c>
      <c r="M452" s="34" cm="1">
        <f t="array" ref="M452">_xlfn.IFS(TablaSTOCKINV[[#This Row],[CANT. TOTAL]]&lt;=0,1,TablaSTOCKINV[[#This Row],[CANT. TOTAL]]&lt;=TablaSTOCKINV[[#This Row],[MIN]],2,TablaSTOCKINV[[#This Row],[CANT. TOTAL]]&gt;TablaSTOCKINV[[#This Row],[MIN]],3)</f>
        <v>3</v>
      </c>
      <c r="N452" s="34">
        <f>TablaSTOCKINV[[#This Row],[ENTRADAS]]-TablaSTOCKINV[[#This Row],[SALIDAS]]</f>
        <v>15</v>
      </c>
      <c r="O452" s="35">
        <f>SUMIFS(TablaENTRADA[CANT],TablaENTRADA[SKU],TablaSTOCKINV[[#This Row],[SKU]])</f>
        <v>15</v>
      </c>
      <c r="P452" s="35">
        <f>SUMIFS(TablaSALIDA[CANT],TablaSALIDA[SKU],TablaSTOCKINV[[#This Row],[SKU]])</f>
        <v>0</v>
      </c>
      <c r="Q452" s="34">
        <f>_xlfn.XLOOKUP(TablaSTOCKINV[[#This Row],[SKU]],TablaINVENTARIO[SKU],TablaINVENTARIO[PRECIO])</f>
        <v>0</v>
      </c>
      <c r="R452" s="34">
        <f>TablaSTOCKINV[[#This Row],[P.UNITARIO]]*TablaSTOCKINV[[#This Row],[CANT. TOTAL]]</f>
        <v>0</v>
      </c>
      <c r="S452" s="44">
        <f>_xlfn.XLOOKUP(TablaSTOCKINV[[#This Row],[SKU]],TablaINVENTARIO[SKU],TablaINVENTARIO[FECHA INGRESO])</f>
        <v>46023</v>
      </c>
      <c r="T452" s="44">
        <f>_xlfn.XLOOKUP(TablaSTOCKINV[[#This Row],[SKU]],TablaENTRADA[SKU],TablaENTRADA[FECHA],,0,-1)</f>
        <v>46023</v>
      </c>
      <c r="U452" s="46" t="str">
        <f>IFERROR((_xlfn.XLOOKUP(TablaSTOCKINV[[#This Row],[SKU]],TablaSALIDA[SKU],TablaSALIDA[FECHA],,0,-1))," " )</f>
        <v xml:space="preserve"> </v>
      </c>
    </row>
    <row r="453" spans="1:21" x14ac:dyDescent="0.3">
      <c r="A453" s="27" t="s">
        <v>1788</v>
      </c>
      <c r="B453" s="32" t="str">
        <f>_xlfn.XLOOKUP(TablaSTOCKINV[[#This Row],[SKU]],TablaINVENTARIO[SKU],TablaINVENTARIO[DESCRIPCION])</f>
        <v>LLAVE ALLEN 1,5 (SET)</v>
      </c>
      <c r="C453" s="32" t="str">
        <f>_xlfn.XLOOKUP(TablaSTOCKINV[[#This Row],[SKU]],TablaINVENTARIO[SKU],TablaINVENTARIO[MARCA])</f>
        <v xml:space="preserve">PARKSIDE </v>
      </c>
      <c r="D453" s="33" t="str">
        <f>_xlfn.XLOOKUP(TablaSTOCKINV[[#This Row],[SKU]],TablaINVENTARIO[SKU],TablaINVENTARIO[CATEGORIA])</f>
        <v>HERRAMIENTAS_</v>
      </c>
      <c r="E453" s="33" t="str">
        <f>_xlfn.XLOOKUP(TablaSTOCKINV[[#This Row],[SKU]],TablaINVENTARIO[SKU],TablaINVENTARIO[SUBCATEGORIA])</f>
        <v xml:space="preserve">HERRAMIENTA DE MANO </v>
      </c>
      <c r="F453" s="33" t="str">
        <f>_xlfn.XLOOKUP(TablaSTOCKINV[[#This Row],[SKU]],TablaINVENTARIO[SKU],TablaINVENTARIO[ESTADO])</f>
        <v>NUEVO</v>
      </c>
      <c r="G453" s="33" t="str">
        <f>_xlfn.XLOOKUP(TablaSTOCKINV[[#This Row],[SKU]],TablaINVENTARIO[SKU],TablaINVENTARIO[MEDIDA])</f>
        <v xml:space="preserve">UND </v>
      </c>
      <c r="H453" s="33" t="str">
        <f>_xlfn.XLOOKUP(TablaSTOCKINV[[#This Row],[SKU]],TablaINVENTARIO[SKU],TablaINVENTARIO[SERIAL])</f>
        <v>N/A</v>
      </c>
      <c r="I453" s="34" t="str">
        <f>_xlfn.XLOOKUP(TablaSTOCKINV[[#This Row],[SKU]],TablaINVENTARIO[SKU],TablaINVENTARIO[ALMACEN])</f>
        <v>ALMACEN PRINCIPAL</v>
      </c>
      <c r="J453" s="34" t="str">
        <f>_xlfn.XLOOKUP(TablaSTOCKINV[[#This Row],[SKU]],TablaINVENTARIO[SKU],TablaINVENTARIO[UBICACION])</f>
        <v>2B</v>
      </c>
      <c r="K453" s="34" t="str">
        <f>_xlfn.XLOOKUP(TablaSTOCKINV[[#This Row],[SKU]],TablaINVENTARIO[SKU],TablaINVENTARIO[DPTO RESPONSABLE])</f>
        <v xml:space="preserve">OPERACIONES </v>
      </c>
      <c r="L453" s="36">
        <f>_xlfn.XLOOKUP(TablaSTOCKINV[[#This Row],[SKU]],TablaINVENTARIO[SKU],TablaINVENTARIO[RANGO MIN])</f>
        <v>0</v>
      </c>
      <c r="M453" s="34" cm="1">
        <f t="array" ref="M453">_xlfn.IFS(TablaSTOCKINV[[#This Row],[CANT. TOTAL]]&lt;=0,1,TablaSTOCKINV[[#This Row],[CANT. TOTAL]]&lt;=TablaSTOCKINV[[#This Row],[MIN]],2,TablaSTOCKINV[[#This Row],[CANT. TOTAL]]&gt;TablaSTOCKINV[[#This Row],[MIN]],3)</f>
        <v>3</v>
      </c>
      <c r="N453" s="34">
        <f>TablaSTOCKINV[[#This Row],[ENTRADAS]]-TablaSTOCKINV[[#This Row],[SALIDAS]]</f>
        <v>1</v>
      </c>
      <c r="O453" s="35">
        <f>SUMIFS(TablaENTRADA[CANT],TablaENTRADA[SKU],TablaSTOCKINV[[#This Row],[SKU]])</f>
        <v>1</v>
      </c>
      <c r="P453" s="35">
        <f>SUMIFS(TablaSALIDA[CANT],TablaSALIDA[SKU],TablaSTOCKINV[[#This Row],[SKU]])</f>
        <v>0</v>
      </c>
      <c r="Q453" s="34">
        <f>_xlfn.XLOOKUP(TablaSTOCKINV[[#This Row],[SKU]],TablaINVENTARIO[SKU],TablaINVENTARIO[PRECIO])</f>
        <v>0</v>
      </c>
      <c r="R453" s="34">
        <f>TablaSTOCKINV[[#This Row],[P.UNITARIO]]*TablaSTOCKINV[[#This Row],[CANT. TOTAL]]</f>
        <v>0</v>
      </c>
      <c r="S453" s="44">
        <f>_xlfn.XLOOKUP(TablaSTOCKINV[[#This Row],[SKU]],TablaINVENTARIO[SKU],TablaINVENTARIO[FECHA INGRESO])</f>
        <v>46023</v>
      </c>
      <c r="T453" s="44">
        <f>_xlfn.XLOOKUP(TablaSTOCKINV[[#This Row],[SKU]],TablaENTRADA[SKU],TablaENTRADA[FECHA],,0,-1)</f>
        <v>46023</v>
      </c>
      <c r="U453" s="46" t="str">
        <f>IFERROR((_xlfn.XLOOKUP(TablaSTOCKINV[[#This Row],[SKU]],TablaSALIDA[SKU],TablaSALIDA[FECHA],,0,-1))," " )</f>
        <v xml:space="preserve"> </v>
      </c>
    </row>
    <row r="454" spans="1:21" x14ac:dyDescent="0.3">
      <c r="A454" s="27" t="s">
        <v>1790</v>
      </c>
      <c r="B454" s="32" t="str">
        <f>_xlfn.XLOOKUP(TablaSTOCKINV[[#This Row],[SKU]],TablaINVENTARIO[SKU],TablaINVENTARIO[DESCRIPCION])</f>
        <v>LLAVE ALLEN 2,5 (SET)</v>
      </c>
      <c r="C454" s="32" t="str">
        <f>_xlfn.XLOOKUP(TablaSTOCKINV[[#This Row],[SKU]],TablaINVENTARIO[SKU],TablaINVENTARIO[MARCA])</f>
        <v xml:space="preserve">PARKSIDE </v>
      </c>
      <c r="D454" s="33" t="str">
        <f>_xlfn.XLOOKUP(TablaSTOCKINV[[#This Row],[SKU]],TablaINVENTARIO[SKU],TablaINVENTARIO[CATEGORIA])</f>
        <v>HERRAMIENTAS_</v>
      </c>
      <c r="E454" s="33" t="str">
        <f>_xlfn.XLOOKUP(TablaSTOCKINV[[#This Row],[SKU]],TablaINVENTARIO[SKU],TablaINVENTARIO[SUBCATEGORIA])</f>
        <v xml:space="preserve">HERRAMIENTA DE MANO </v>
      </c>
      <c r="F454" s="33" t="str">
        <f>_xlfn.XLOOKUP(TablaSTOCKINV[[#This Row],[SKU]],TablaINVENTARIO[SKU],TablaINVENTARIO[ESTADO])</f>
        <v>NUEVO</v>
      </c>
      <c r="G454" s="33" t="str">
        <f>_xlfn.XLOOKUP(TablaSTOCKINV[[#This Row],[SKU]],TablaINVENTARIO[SKU],TablaINVENTARIO[MEDIDA])</f>
        <v xml:space="preserve">UND </v>
      </c>
      <c r="H454" s="33" t="str">
        <f>_xlfn.XLOOKUP(TablaSTOCKINV[[#This Row],[SKU]],TablaINVENTARIO[SKU],TablaINVENTARIO[SERIAL])</f>
        <v>N/A</v>
      </c>
      <c r="I454" s="34" t="str">
        <f>_xlfn.XLOOKUP(TablaSTOCKINV[[#This Row],[SKU]],TablaINVENTARIO[SKU],TablaINVENTARIO[ALMACEN])</f>
        <v>ALMACEN PRINCIPAL</v>
      </c>
      <c r="J454" s="34" t="str">
        <f>_xlfn.XLOOKUP(TablaSTOCKINV[[#This Row],[SKU]],TablaINVENTARIO[SKU],TablaINVENTARIO[UBICACION])</f>
        <v>2B</v>
      </c>
      <c r="K454" s="34" t="str">
        <f>_xlfn.XLOOKUP(TablaSTOCKINV[[#This Row],[SKU]],TablaINVENTARIO[SKU],TablaINVENTARIO[DPTO RESPONSABLE])</f>
        <v xml:space="preserve">OPERACIONES </v>
      </c>
      <c r="L454" s="36">
        <f>_xlfn.XLOOKUP(TablaSTOCKINV[[#This Row],[SKU]],TablaINVENTARIO[SKU],TablaINVENTARIO[RANGO MIN])</f>
        <v>0</v>
      </c>
      <c r="M454" s="34" cm="1">
        <f t="array" ref="M454">_xlfn.IFS(TablaSTOCKINV[[#This Row],[CANT. TOTAL]]&lt;=0,1,TablaSTOCKINV[[#This Row],[CANT. TOTAL]]&lt;=TablaSTOCKINV[[#This Row],[MIN]],2,TablaSTOCKINV[[#This Row],[CANT. TOTAL]]&gt;TablaSTOCKINV[[#This Row],[MIN]],3)</f>
        <v>3</v>
      </c>
      <c r="N454" s="34">
        <f>TablaSTOCKINV[[#This Row],[ENTRADAS]]-TablaSTOCKINV[[#This Row],[SALIDAS]]</f>
        <v>1</v>
      </c>
      <c r="O454" s="35">
        <f>SUMIFS(TablaENTRADA[CANT],TablaENTRADA[SKU],TablaSTOCKINV[[#This Row],[SKU]])</f>
        <v>1</v>
      </c>
      <c r="P454" s="35">
        <f>SUMIFS(TablaSALIDA[CANT],TablaSALIDA[SKU],TablaSTOCKINV[[#This Row],[SKU]])</f>
        <v>0</v>
      </c>
      <c r="Q454" s="34">
        <f>_xlfn.XLOOKUP(TablaSTOCKINV[[#This Row],[SKU]],TablaINVENTARIO[SKU],TablaINVENTARIO[PRECIO])</f>
        <v>0</v>
      </c>
      <c r="R454" s="34">
        <f>TablaSTOCKINV[[#This Row],[P.UNITARIO]]*TablaSTOCKINV[[#This Row],[CANT. TOTAL]]</f>
        <v>0</v>
      </c>
      <c r="S454" s="44">
        <f>_xlfn.XLOOKUP(TablaSTOCKINV[[#This Row],[SKU]],TablaINVENTARIO[SKU],TablaINVENTARIO[FECHA INGRESO])</f>
        <v>46023</v>
      </c>
      <c r="T454" s="44">
        <f>_xlfn.XLOOKUP(TablaSTOCKINV[[#This Row],[SKU]],TablaENTRADA[SKU],TablaENTRADA[FECHA],,0,-1)</f>
        <v>46023</v>
      </c>
      <c r="U454" s="46" t="str">
        <f>IFERROR((_xlfn.XLOOKUP(TablaSTOCKINV[[#This Row],[SKU]],TablaSALIDA[SKU],TablaSALIDA[FECHA],,0,-1))," " )</f>
        <v xml:space="preserve"> </v>
      </c>
    </row>
    <row r="455" spans="1:21" x14ac:dyDescent="0.3">
      <c r="A455" s="27" t="s">
        <v>1792</v>
      </c>
      <c r="B455" s="32" t="str">
        <f>_xlfn.XLOOKUP(TablaSTOCKINV[[#This Row],[SKU]],TablaINVENTARIO[SKU],TablaINVENTARIO[DESCRIPCION])</f>
        <v>LLAVE ALLEN 4,0 (SET)</v>
      </c>
      <c r="C455" s="32" t="str">
        <f>_xlfn.XLOOKUP(TablaSTOCKINV[[#This Row],[SKU]],TablaINVENTARIO[SKU],TablaINVENTARIO[MARCA])</f>
        <v xml:space="preserve">PARKSIDE </v>
      </c>
      <c r="D455" s="33" t="str">
        <f>_xlfn.XLOOKUP(TablaSTOCKINV[[#This Row],[SKU]],TablaINVENTARIO[SKU],TablaINVENTARIO[CATEGORIA])</f>
        <v>HERRAMIENTAS_</v>
      </c>
      <c r="E455" s="33" t="str">
        <f>_xlfn.XLOOKUP(TablaSTOCKINV[[#This Row],[SKU]],TablaINVENTARIO[SKU],TablaINVENTARIO[SUBCATEGORIA])</f>
        <v xml:space="preserve">HERRAMIENTA DE MANO </v>
      </c>
      <c r="F455" s="33" t="str">
        <f>_xlfn.XLOOKUP(TablaSTOCKINV[[#This Row],[SKU]],TablaINVENTARIO[SKU],TablaINVENTARIO[ESTADO])</f>
        <v>NUEVO</v>
      </c>
      <c r="G455" s="33" t="str">
        <f>_xlfn.XLOOKUP(TablaSTOCKINV[[#This Row],[SKU]],TablaINVENTARIO[SKU],TablaINVENTARIO[MEDIDA])</f>
        <v xml:space="preserve">UND </v>
      </c>
      <c r="H455" s="33" t="str">
        <f>_xlfn.XLOOKUP(TablaSTOCKINV[[#This Row],[SKU]],TablaINVENTARIO[SKU],TablaINVENTARIO[SERIAL])</f>
        <v>N/A</v>
      </c>
      <c r="I455" s="34" t="str">
        <f>_xlfn.XLOOKUP(TablaSTOCKINV[[#This Row],[SKU]],TablaINVENTARIO[SKU],TablaINVENTARIO[ALMACEN])</f>
        <v>ALMACEN PRINCIPAL</v>
      </c>
      <c r="J455" s="34" t="str">
        <f>_xlfn.XLOOKUP(TablaSTOCKINV[[#This Row],[SKU]],TablaINVENTARIO[SKU],TablaINVENTARIO[UBICACION])</f>
        <v>2B</v>
      </c>
      <c r="K455" s="34" t="str">
        <f>_xlfn.XLOOKUP(TablaSTOCKINV[[#This Row],[SKU]],TablaINVENTARIO[SKU],TablaINVENTARIO[DPTO RESPONSABLE])</f>
        <v xml:space="preserve">OPERACIONES </v>
      </c>
      <c r="L455" s="36">
        <f>_xlfn.XLOOKUP(TablaSTOCKINV[[#This Row],[SKU]],TablaINVENTARIO[SKU],TablaINVENTARIO[RANGO MIN])</f>
        <v>0</v>
      </c>
      <c r="M455" s="34" cm="1">
        <f t="array" ref="M455">_xlfn.IFS(TablaSTOCKINV[[#This Row],[CANT. TOTAL]]&lt;=0,1,TablaSTOCKINV[[#This Row],[CANT. TOTAL]]&lt;=TablaSTOCKINV[[#This Row],[MIN]],2,TablaSTOCKINV[[#This Row],[CANT. TOTAL]]&gt;TablaSTOCKINV[[#This Row],[MIN]],3)</f>
        <v>3</v>
      </c>
      <c r="N455" s="34">
        <f>TablaSTOCKINV[[#This Row],[ENTRADAS]]-TablaSTOCKINV[[#This Row],[SALIDAS]]</f>
        <v>1</v>
      </c>
      <c r="O455" s="35">
        <f>SUMIFS(TablaENTRADA[CANT],TablaENTRADA[SKU],TablaSTOCKINV[[#This Row],[SKU]])</f>
        <v>1</v>
      </c>
      <c r="P455" s="35">
        <f>SUMIFS(TablaSALIDA[CANT],TablaSALIDA[SKU],TablaSTOCKINV[[#This Row],[SKU]])</f>
        <v>0</v>
      </c>
      <c r="Q455" s="34">
        <f>_xlfn.XLOOKUP(TablaSTOCKINV[[#This Row],[SKU]],TablaINVENTARIO[SKU],TablaINVENTARIO[PRECIO])</f>
        <v>0</v>
      </c>
      <c r="R455" s="34">
        <f>TablaSTOCKINV[[#This Row],[P.UNITARIO]]*TablaSTOCKINV[[#This Row],[CANT. TOTAL]]</f>
        <v>0</v>
      </c>
      <c r="S455" s="44">
        <f>_xlfn.XLOOKUP(TablaSTOCKINV[[#This Row],[SKU]],TablaINVENTARIO[SKU],TablaINVENTARIO[FECHA INGRESO])</f>
        <v>46023</v>
      </c>
      <c r="T455" s="44">
        <f>_xlfn.XLOOKUP(TablaSTOCKINV[[#This Row],[SKU]],TablaENTRADA[SKU],TablaENTRADA[FECHA],,0,-1)</f>
        <v>46023</v>
      </c>
      <c r="U455" s="46" t="str">
        <f>IFERROR((_xlfn.XLOOKUP(TablaSTOCKINV[[#This Row],[SKU]],TablaSALIDA[SKU],TablaSALIDA[FECHA],,0,-1))," " )</f>
        <v xml:space="preserve"> </v>
      </c>
    </row>
    <row r="456" spans="1:21" x14ac:dyDescent="0.3">
      <c r="A456" s="27" t="s">
        <v>1794</v>
      </c>
      <c r="B456" s="32" t="str">
        <f>_xlfn.XLOOKUP(TablaSTOCKINV[[#This Row],[SKU]],TablaINVENTARIO[SKU],TablaINVENTARIO[DESCRIPCION])</f>
        <v>LLAVE ALLEN 2,0 (SET)</v>
      </c>
      <c r="C456" s="32" t="str">
        <f>_xlfn.XLOOKUP(TablaSTOCKINV[[#This Row],[SKU]],TablaINVENTARIO[SKU],TablaINVENTARIO[MARCA])</f>
        <v xml:space="preserve">PARKSIDE </v>
      </c>
      <c r="D456" s="33" t="str">
        <f>_xlfn.XLOOKUP(TablaSTOCKINV[[#This Row],[SKU]],TablaINVENTARIO[SKU],TablaINVENTARIO[CATEGORIA])</f>
        <v>HERRAMIENTAS_</v>
      </c>
      <c r="E456" s="33" t="str">
        <f>_xlfn.XLOOKUP(TablaSTOCKINV[[#This Row],[SKU]],TablaINVENTARIO[SKU],TablaINVENTARIO[SUBCATEGORIA])</f>
        <v xml:space="preserve">HERRAMIENTA DE MANO </v>
      </c>
      <c r="F456" s="33" t="str">
        <f>_xlfn.XLOOKUP(TablaSTOCKINV[[#This Row],[SKU]],TablaINVENTARIO[SKU],TablaINVENTARIO[ESTADO])</f>
        <v>NUEVO</v>
      </c>
      <c r="G456" s="33" t="str">
        <f>_xlfn.XLOOKUP(TablaSTOCKINV[[#This Row],[SKU]],TablaINVENTARIO[SKU],TablaINVENTARIO[MEDIDA])</f>
        <v xml:space="preserve">UND </v>
      </c>
      <c r="H456" s="33" t="str">
        <f>_xlfn.XLOOKUP(TablaSTOCKINV[[#This Row],[SKU]],TablaINVENTARIO[SKU],TablaINVENTARIO[SERIAL])</f>
        <v>N/A</v>
      </c>
      <c r="I456" s="34" t="str">
        <f>_xlfn.XLOOKUP(TablaSTOCKINV[[#This Row],[SKU]],TablaINVENTARIO[SKU],TablaINVENTARIO[ALMACEN])</f>
        <v>ALMACEN PRINCIPAL</v>
      </c>
      <c r="J456" s="34" t="str">
        <f>_xlfn.XLOOKUP(TablaSTOCKINV[[#This Row],[SKU]],TablaINVENTARIO[SKU],TablaINVENTARIO[UBICACION])</f>
        <v>2B</v>
      </c>
      <c r="K456" s="34" t="str">
        <f>_xlfn.XLOOKUP(TablaSTOCKINV[[#This Row],[SKU]],TablaINVENTARIO[SKU],TablaINVENTARIO[DPTO RESPONSABLE])</f>
        <v xml:space="preserve">OPERACIONES </v>
      </c>
      <c r="L456" s="36">
        <f>_xlfn.XLOOKUP(TablaSTOCKINV[[#This Row],[SKU]],TablaINVENTARIO[SKU],TablaINVENTARIO[RANGO MIN])</f>
        <v>0</v>
      </c>
      <c r="M456" s="34" cm="1">
        <f t="array" ref="M456">_xlfn.IFS(TablaSTOCKINV[[#This Row],[CANT. TOTAL]]&lt;=0,1,TablaSTOCKINV[[#This Row],[CANT. TOTAL]]&lt;=TablaSTOCKINV[[#This Row],[MIN]],2,TablaSTOCKINV[[#This Row],[CANT. TOTAL]]&gt;TablaSTOCKINV[[#This Row],[MIN]],3)</f>
        <v>3</v>
      </c>
      <c r="N456" s="34">
        <f>TablaSTOCKINV[[#This Row],[ENTRADAS]]-TablaSTOCKINV[[#This Row],[SALIDAS]]</f>
        <v>1</v>
      </c>
      <c r="O456" s="35">
        <f>SUMIFS(TablaENTRADA[CANT],TablaENTRADA[SKU],TablaSTOCKINV[[#This Row],[SKU]])</f>
        <v>1</v>
      </c>
      <c r="P456" s="35">
        <f>SUMIFS(TablaSALIDA[CANT],TablaSALIDA[SKU],TablaSTOCKINV[[#This Row],[SKU]])</f>
        <v>0</v>
      </c>
      <c r="Q456" s="34">
        <f>_xlfn.XLOOKUP(TablaSTOCKINV[[#This Row],[SKU]],TablaINVENTARIO[SKU],TablaINVENTARIO[PRECIO])</f>
        <v>0</v>
      </c>
      <c r="R456" s="34">
        <f>TablaSTOCKINV[[#This Row],[P.UNITARIO]]*TablaSTOCKINV[[#This Row],[CANT. TOTAL]]</f>
        <v>0</v>
      </c>
      <c r="S456" s="44">
        <f>_xlfn.XLOOKUP(TablaSTOCKINV[[#This Row],[SKU]],TablaINVENTARIO[SKU],TablaINVENTARIO[FECHA INGRESO])</f>
        <v>46023</v>
      </c>
      <c r="T456" s="44">
        <f>_xlfn.XLOOKUP(TablaSTOCKINV[[#This Row],[SKU]],TablaENTRADA[SKU],TablaENTRADA[FECHA],,0,-1)</f>
        <v>46023</v>
      </c>
      <c r="U456" s="46" t="str">
        <f>IFERROR((_xlfn.XLOOKUP(TablaSTOCKINV[[#This Row],[SKU]],TablaSALIDA[SKU],TablaSALIDA[FECHA],,0,-1))," " )</f>
        <v xml:space="preserve"> </v>
      </c>
    </row>
    <row r="457" spans="1:21" x14ac:dyDescent="0.3">
      <c r="A457" s="27" t="s">
        <v>1796</v>
      </c>
      <c r="B457" s="32" t="str">
        <f>_xlfn.XLOOKUP(TablaSTOCKINV[[#This Row],[SKU]],TablaINVENTARIO[SKU],TablaINVENTARIO[DESCRIPCION])</f>
        <v>LLAVE ALLEN 3,0 (SET)</v>
      </c>
      <c r="C457" s="32" t="str">
        <f>_xlfn.XLOOKUP(TablaSTOCKINV[[#This Row],[SKU]],TablaINVENTARIO[SKU],TablaINVENTARIO[MARCA])</f>
        <v xml:space="preserve">PARKSIDE </v>
      </c>
      <c r="D457" s="33" t="str">
        <f>_xlfn.XLOOKUP(TablaSTOCKINV[[#This Row],[SKU]],TablaINVENTARIO[SKU],TablaINVENTARIO[CATEGORIA])</f>
        <v>HERRAMIENTAS_</v>
      </c>
      <c r="E457" s="33" t="str">
        <f>_xlfn.XLOOKUP(TablaSTOCKINV[[#This Row],[SKU]],TablaINVENTARIO[SKU],TablaINVENTARIO[SUBCATEGORIA])</f>
        <v xml:space="preserve">HERRAMIENTA DE MANO </v>
      </c>
      <c r="F457" s="33" t="str">
        <f>_xlfn.XLOOKUP(TablaSTOCKINV[[#This Row],[SKU]],TablaINVENTARIO[SKU],TablaINVENTARIO[ESTADO])</f>
        <v>NUEVO</v>
      </c>
      <c r="G457" s="33" t="str">
        <f>_xlfn.XLOOKUP(TablaSTOCKINV[[#This Row],[SKU]],TablaINVENTARIO[SKU],TablaINVENTARIO[MEDIDA])</f>
        <v xml:space="preserve">UND </v>
      </c>
      <c r="H457" s="33" t="str">
        <f>_xlfn.XLOOKUP(TablaSTOCKINV[[#This Row],[SKU]],TablaINVENTARIO[SKU],TablaINVENTARIO[SERIAL])</f>
        <v>N/A</v>
      </c>
      <c r="I457" s="34" t="str">
        <f>_xlfn.XLOOKUP(TablaSTOCKINV[[#This Row],[SKU]],TablaINVENTARIO[SKU],TablaINVENTARIO[ALMACEN])</f>
        <v>ALMACEN PRINCIPAL</v>
      </c>
      <c r="J457" s="34" t="str">
        <f>_xlfn.XLOOKUP(TablaSTOCKINV[[#This Row],[SKU]],TablaINVENTARIO[SKU],TablaINVENTARIO[UBICACION])</f>
        <v>2B</v>
      </c>
      <c r="K457" s="34" t="str">
        <f>_xlfn.XLOOKUP(TablaSTOCKINV[[#This Row],[SKU]],TablaINVENTARIO[SKU],TablaINVENTARIO[DPTO RESPONSABLE])</f>
        <v xml:space="preserve">OPERACIONES </v>
      </c>
      <c r="L457" s="36">
        <f>_xlfn.XLOOKUP(TablaSTOCKINV[[#This Row],[SKU]],TablaINVENTARIO[SKU],TablaINVENTARIO[RANGO MIN])</f>
        <v>0</v>
      </c>
      <c r="M457" s="34" cm="1">
        <f t="array" ref="M457">_xlfn.IFS(TablaSTOCKINV[[#This Row],[CANT. TOTAL]]&lt;=0,1,TablaSTOCKINV[[#This Row],[CANT. TOTAL]]&lt;=TablaSTOCKINV[[#This Row],[MIN]],2,TablaSTOCKINV[[#This Row],[CANT. TOTAL]]&gt;TablaSTOCKINV[[#This Row],[MIN]],3)</f>
        <v>3</v>
      </c>
      <c r="N457" s="34">
        <f>TablaSTOCKINV[[#This Row],[ENTRADAS]]-TablaSTOCKINV[[#This Row],[SALIDAS]]</f>
        <v>1</v>
      </c>
      <c r="O457" s="35">
        <f>SUMIFS(TablaENTRADA[CANT],TablaENTRADA[SKU],TablaSTOCKINV[[#This Row],[SKU]])</f>
        <v>1</v>
      </c>
      <c r="P457" s="35">
        <f>SUMIFS(TablaSALIDA[CANT],TablaSALIDA[SKU],TablaSTOCKINV[[#This Row],[SKU]])</f>
        <v>0</v>
      </c>
      <c r="Q457" s="34">
        <f>_xlfn.XLOOKUP(TablaSTOCKINV[[#This Row],[SKU]],TablaINVENTARIO[SKU],TablaINVENTARIO[PRECIO])</f>
        <v>0</v>
      </c>
      <c r="R457" s="34">
        <f>TablaSTOCKINV[[#This Row],[P.UNITARIO]]*TablaSTOCKINV[[#This Row],[CANT. TOTAL]]</f>
        <v>0</v>
      </c>
      <c r="S457" s="44">
        <f>_xlfn.XLOOKUP(TablaSTOCKINV[[#This Row],[SKU]],TablaINVENTARIO[SKU],TablaINVENTARIO[FECHA INGRESO])</f>
        <v>46023</v>
      </c>
      <c r="T457" s="44">
        <f>_xlfn.XLOOKUP(TablaSTOCKINV[[#This Row],[SKU]],TablaENTRADA[SKU],TablaENTRADA[FECHA],,0,-1)</f>
        <v>46023</v>
      </c>
      <c r="U457" s="46" t="str">
        <f>IFERROR((_xlfn.XLOOKUP(TablaSTOCKINV[[#This Row],[SKU]],TablaSALIDA[SKU],TablaSALIDA[FECHA],,0,-1))," " )</f>
        <v xml:space="preserve"> </v>
      </c>
    </row>
    <row r="458" spans="1:21" x14ac:dyDescent="0.3">
      <c r="A458" s="27" t="s">
        <v>1798</v>
      </c>
      <c r="B458" s="32" t="str">
        <f>_xlfn.XLOOKUP(TablaSTOCKINV[[#This Row],[SKU]],TablaINVENTARIO[SKU],TablaINVENTARIO[DESCRIPCION])</f>
        <v>TRANSPORTADOR DIGITAL MODELO: HG10715</v>
      </c>
      <c r="C458" s="32" t="str">
        <f>_xlfn.XLOOKUP(TablaSTOCKINV[[#This Row],[SKU]],TablaINVENTARIO[SKU],TablaINVENTARIO[MARCA])</f>
        <v xml:space="preserve">PARKSIDE </v>
      </c>
      <c r="D458" s="33" t="str">
        <f>_xlfn.XLOOKUP(TablaSTOCKINV[[#This Row],[SKU]],TablaINVENTARIO[SKU],TablaINVENTARIO[CATEGORIA])</f>
        <v>HERRAMIENTAS_</v>
      </c>
      <c r="E458" s="33" t="str">
        <f>_xlfn.XLOOKUP(TablaSTOCKINV[[#This Row],[SKU]],TablaINVENTARIO[SKU],TablaINVENTARIO[SUBCATEGORIA])</f>
        <v xml:space="preserve">HERRAMIENTA DE MANO </v>
      </c>
      <c r="F458" s="33" t="str">
        <f>_xlfn.XLOOKUP(TablaSTOCKINV[[#This Row],[SKU]],TablaINVENTARIO[SKU],TablaINVENTARIO[ESTADO])</f>
        <v>NUEVO</v>
      </c>
      <c r="G458" s="33" t="str">
        <f>_xlfn.XLOOKUP(TablaSTOCKINV[[#This Row],[SKU]],TablaINVENTARIO[SKU],TablaINVENTARIO[MEDIDA])</f>
        <v xml:space="preserve">UND </v>
      </c>
      <c r="H458" s="33" t="str">
        <f>_xlfn.XLOOKUP(TablaSTOCKINV[[#This Row],[SKU]],TablaINVENTARIO[SKU],TablaINVENTARIO[SERIAL])</f>
        <v>N/A</v>
      </c>
      <c r="I458" s="34" t="str">
        <f>_xlfn.XLOOKUP(TablaSTOCKINV[[#This Row],[SKU]],TablaINVENTARIO[SKU],TablaINVENTARIO[ALMACEN])</f>
        <v>ALMACEN PRINCIPAL</v>
      </c>
      <c r="J458" s="34" t="str">
        <f>_xlfn.XLOOKUP(TablaSTOCKINV[[#This Row],[SKU]],TablaINVENTARIO[SKU],TablaINVENTARIO[UBICACION])</f>
        <v>2B</v>
      </c>
      <c r="K458" s="34" t="str">
        <f>_xlfn.XLOOKUP(TablaSTOCKINV[[#This Row],[SKU]],TablaINVENTARIO[SKU],TablaINVENTARIO[DPTO RESPONSABLE])</f>
        <v xml:space="preserve">OPERACIONES </v>
      </c>
      <c r="L458" s="36">
        <f>_xlfn.XLOOKUP(TablaSTOCKINV[[#This Row],[SKU]],TablaINVENTARIO[SKU],TablaINVENTARIO[RANGO MIN])</f>
        <v>0</v>
      </c>
      <c r="M458" s="34" cm="1">
        <f t="array" ref="M458">_xlfn.IFS(TablaSTOCKINV[[#This Row],[CANT. TOTAL]]&lt;=0,1,TablaSTOCKINV[[#This Row],[CANT. TOTAL]]&lt;=TablaSTOCKINV[[#This Row],[MIN]],2,TablaSTOCKINV[[#This Row],[CANT. TOTAL]]&gt;TablaSTOCKINV[[#This Row],[MIN]],3)</f>
        <v>3</v>
      </c>
      <c r="N458" s="34">
        <f>TablaSTOCKINV[[#This Row],[ENTRADAS]]-TablaSTOCKINV[[#This Row],[SALIDAS]]</f>
        <v>1</v>
      </c>
      <c r="O458" s="35">
        <f>SUMIFS(TablaENTRADA[CANT],TablaENTRADA[SKU],TablaSTOCKINV[[#This Row],[SKU]])</f>
        <v>1</v>
      </c>
      <c r="P458" s="35">
        <f>SUMIFS(TablaSALIDA[CANT],TablaSALIDA[SKU],TablaSTOCKINV[[#This Row],[SKU]])</f>
        <v>0</v>
      </c>
      <c r="Q458" s="34">
        <f>_xlfn.XLOOKUP(TablaSTOCKINV[[#This Row],[SKU]],TablaINVENTARIO[SKU],TablaINVENTARIO[PRECIO])</f>
        <v>0</v>
      </c>
      <c r="R458" s="34">
        <f>TablaSTOCKINV[[#This Row],[P.UNITARIO]]*TablaSTOCKINV[[#This Row],[CANT. TOTAL]]</f>
        <v>0</v>
      </c>
      <c r="S458" s="44">
        <f>_xlfn.XLOOKUP(TablaSTOCKINV[[#This Row],[SKU]],TablaINVENTARIO[SKU],TablaINVENTARIO[FECHA INGRESO])</f>
        <v>46023</v>
      </c>
      <c r="T458" s="44">
        <f>_xlfn.XLOOKUP(TablaSTOCKINV[[#This Row],[SKU]],TablaENTRADA[SKU],TablaENTRADA[FECHA],,0,-1)</f>
        <v>46023</v>
      </c>
      <c r="U458" s="46" t="str">
        <f>IFERROR((_xlfn.XLOOKUP(TablaSTOCKINV[[#This Row],[SKU]],TablaSALIDA[SKU],TablaSALIDA[FECHA],,0,-1))," " )</f>
        <v xml:space="preserve"> </v>
      </c>
    </row>
    <row r="459" spans="1:21" x14ac:dyDescent="0.3">
      <c r="A459" s="27" t="s">
        <v>1800</v>
      </c>
      <c r="B459" s="32" t="str">
        <f>_xlfn.XLOOKUP(TablaSTOCKINV[[#This Row],[SKU]],TablaINVENTARIO[SKU],TablaINVENTARIO[DESCRIPCION])</f>
        <v>CALIBRADOR DIGITAL MODELO: HG10714</v>
      </c>
      <c r="C459" s="32" t="str">
        <f>_xlfn.XLOOKUP(TablaSTOCKINV[[#This Row],[SKU]],TablaINVENTARIO[SKU],TablaINVENTARIO[MARCA])</f>
        <v xml:space="preserve">PARKSIDE </v>
      </c>
      <c r="D459" s="33" t="str">
        <f>_xlfn.XLOOKUP(TablaSTOCKINV[[#This Row],[SKU]],TablaINVENTARIO[SKU],TablaINVENTARIO[CATEGORIA])</f>
        <v>HERRAMIENTAS_</v>
      </c>
      <c r="E459" s="33" t="str">
        <f>_xlfn.XLOOKUP(TablaSTOCKINV[[#This Row],[SKU]],TablaINVENTARIO[SKU],TablaINVENTARIO[SUBCATEGORIA])</f>
        <v xml:space="preserve">HERRAMIENTA DE MANO </v>
      </c>
      <c r="F459" s="33" t="str">
        <f>_xlfn.XLOOKUP(TablaSTOCKINV[[#This Row],[SKU]],TablaINVENTARIO[SKU],TablaINVENTARIO[ESTADO])</f>
        <v>NUEVO</v>
      </c>
      <c r="G459" s="33" t="str">
        <f>_xlfn.XLOOKUP(TablaSTOCKINV[[#This Row],[SKU]],TablaINVENTARIO[SKU],TablaINVENTARIO[MEDIDA])</f>
        <v xml:space="preserve">UND </v>
      </c>
      <c r="H459" s="33" t="str">
        <f>_xlfn.XLOOKUP(TablaSTOCKINV[[#This Row],[SKU]],TablaINVENTARIO[SKU],TablaINVENTARIO[SERIAL])</f>
        <v>N/A</v>
      </c>
      <c r="I459" s="34" t="str">
        <f>_xlfn.XLOOKUP(TablaSTOCKINV[[#This Row],[SKU]],TablaINVENTARIO[SKU],TablaINVENTARIO[ALMACEN])</f>
        <v>ALMACEN PRINCIPAL</v>
      </c>
      <c r="J459" s="34" t="str">
        <f>_xlfn.XLOOKUP(TablaSTOCKINV[[#This Row],[SKU]],TablaINVENTARIO[SKU],TablaINVENTARIO[UBICACION])</f>
        <v>2B</v>
      </c>
      <c r="K459" s="34" t="str">
        <f>_xlfn.XLOOKUP(TablaSTOCKINV[[#This Row],[SKU]],TablaINVENTARIO[SKU],TablaINVENTARIO[DPTO RESPONSABLE])</f>
        <v xml:space="preserve">OPERACIONES </v>
      </c>
      <c r="L459" s="36">
        <f>_xlfn.XLOOKUP(TablaSTOCKINV[[#This Row],[SKU]],TablaINVENTARIO[SKU],TablaINVENTARIO[RANGO MIN])</f>
        <v>0</v>
      </c>
      <c r="M459" s="34" cm="1">
        <f t="array" ref="M459">_xlfn.IFS(TablaSTOCKINV[[#This Row],[CANT. TOTAL]]&lt;=0,1,TablaSTOCKINV[[#This Row],[CANT. TOTAL]]&lt;=TablaSTOCKINV[[#This Row],[MIN]],2,TablaSTOCKINV[[#This Row],[CANT. TOTAL]]&gt;TablaSTOCKINV[[#This Row],[MIN]],3)</f>
        <v>3</v>
      </c>
      <c r="N459" s="34">
        <f>TablaSTOCKINV[[#This Row],[ENTRADAS]]-TablaSTOCKINV[[#This Row],[SALIDAS]]</f>
        <v>1</v>
      </c>
      <c r="O459" s="35">
        <f>SUMIFS(TablaENTRADA[CANT],TablaENTRADA[SKU],TablaSTOCKINV[[#This Row],[SKU]])</f>
        <v>1</v>
      </c>
      <c r="P459" s="35">
        <f>SUMIFS(TablaSALIDA[CANT],TablaSALIDA[SKU],TablaSTOCKINV[[#This Row],[SKU]])</f>
        <v>0</v>
      </c>
      <c r="Q459" s="34">
        <f>_xlfn.XLOOKUP(TablaSTOCKINV[[#This Row],[SKU]],TablaINVENTARIO[SKU],TablaINVENTARIO[PRECIO])</f>
        <v>0</v>
      </c>
      <c r="R459" s="34">
        <f>TablaSTOCKINV[[#This Row],[P.UNITARIO]]*TablaSTOCKINV[[#This Row],[CANT. TOTAL]]</f>
        <v>0</v>
      </c>
      <c r="S459" s="44">
        <f>_xlfn.XLOOKUP(TablaSTOCKINV[[#This Row],[SKU]],TablaINVENTARIO[SKU],TablaINVENTARIO[FECHA INGRESO])</f>
        <v>46023</v>
      </c>
      <c r="T459" s="44">
        <f>_xlfn.XLOOKUP(TablaSTOCKINV[[#This Row],[SKU]],TablaENTRADA[SKU],TablaENTRADA[FECHA],,0,-1)</f>
        <v>46023</v>
      </c>
      <c r="U459" s="46" t="str">
        <f>IFERROR((_xlfn.XLOOKUP(TablaSTOCKINV[[#This Row],[SKU]],TablaSALIDA[SKU],TablaSALIDA[FECHA],,0,-1))," " )</f>
        <v xml:space="preserve"> </v>
      </c>
    </row>
    <row r="460" spans="1:21" x14ac:dyDescent="0.3">
      <c r="A460" s="27" t="s">
        <v>1802</v>
      </c>
      <c r="B460" s="32" t="str">
        <f>_xlfn.XLOOKUP(TablaSTOCKINV[[#This Row],[SKU]],TablaINVENTARIO[SKU],TablaINVENTARIO[DESCRIPCION])</f>
        <v>ESPATULAS PARA JUNTAS (9 PZAS)</v>
      </c>
      <c r="C460" s="32" t="str">
        <f>_xlfn.XLOOKUP(TablaSTOCKINV[[#This Row],[SKU]],TablaINVENTARIO[SKU],TablaINVENTARIO[MARCA])</f>
        <v xml:space="preserve">PARKSIDE </v>
      </c>
      <c r="D460" s="33" t="str">
        <f>_xlfn.XLOOKUP(TablaSTOCKINV[[#This Row],[SKU]],TablaINVENTARIO[SKU],TablaINVENTARIO[CATEGORIA])</f>
        <v>HERRAMIENTAS_</v>
      </c>
      <c r="E460" s="33" t="str">
        <f>_xlfn.XLOOKUP(TablaSTOCKINV[[#This Row],[SKU]],TablaINVENTARIO[SKU],TablaINVENTARIO[SUBCATEGORIA])</f>
        <v xml:space="preserve">HERRAMIENTA DE MANO </v>
      </c>
      <c r="F460" s="33" t="str">
        <f>_xlfn.XLOOKUP(TablaSTOCKINV[[#This Row],[SKU]],TablaINVENTARIO[SKU],TablaINVENTARIO[ESTADO])</f>
        <v>NUEVO</v>
      </c>
      <c r="G460" s="33" t="str">
        <f>_xlfn.XLOOKUP(TablaSTOCKINV[[#This Row],[SKU]],TablaINVENTARIO[SKU],TablaINVENTARIO[MEDIDA])</f>
        <v>SET</v>
      </c>
      <c r="H460" s="33" t="str">
        <f>_xlfn.XLOOKUP(TablaSTOCKINV[[#This Row],[SKU]],TablaINVENTARIO[SKU],TablaINVENTARIO[SERIAL])</f>
        <v>N/A</v>
      </c>
      <c r="I460" s="34" t="str">
        <f>_xlfn.XLOOKUP(TablaSTOCKINV[[#This Row],[SKU]],TablaINVENTARIO[SKU],TablaINVENTARIO[ALMACEN])</f>
        <v>ALMACEN PRINCIPAL</v>
      </c>
      <c r="J460" s="34" t="str">
        <f>_xlfn.XLOOKUP(TablaSTOCKINV[[#This Row],[SKU]],TablaINVENTARIO[SKU],TablaINVENTARIO[UBICACION])</f>
        <v>2B</v>
      </c>
      <c r="K460" s="34" t="str">
        <f>_xlfn.XLOOKUP(TablaSTOCKINV[[#This Row],[SKU]],TablaINVENTARIO[SKU],TablaINVENTARIO[DPTO RESPONSABLE])</f>
        <v xml:space="preserve">OPERACIONES </v>
      </c>
      <c r="L460" s="36">
        <f>_xlfn.XLOOKUP(TablaSTOCKINV[[#This Row],[SKU]],TablaINVENTARIO[SKU],TablaINVENTARIO[RANGO MIN])</f>
        <v>0</v>
      </c>
      <c r="M460" s="34" cm="1">
        <f t="array" ref="M460">_xlfn.IFS(TablaSTOCKINV[[#This Row],[CANT. TOTAL]]&lt;=0,1,TablaSTOCKINV[[#This Row],[CANT. TOTAL]]&lt;=TablaSTOCKINV[[#This Row],[MIN]],2,TablaSTOCKINV[[#This Row],[CANT. TOTAL]]&gt;TablaSTOCKINV[[#This Row],[MIN]],3)</f>
        <v>3</v>
      </c>
      <c r="N460" s="34">
        <f>TablaSTOCKINV[[#This Row],[ENTRADAS]]-TablaSTOCKINV[[#This Row],[SALIDAS]]</f>
        <v>1</v>
      </c>
      <c r="O460" s="35">
        <f>SUMIFS(TablaENTRADA[CANT],TablaENTRADA[SKU],TablaSTOCKINV[[#This Row],[SKU]])</f>
        <v>1</v>
      </c>
      <c r="P460" s="35">
        <f>SUMIFS(TablaSALIDA[CANT],TablaSALIDA[SKU],TablaSTOCKINV[[#This Row],[SKU]])</f>
        <v>0</v>
      </c>
      <c r="Q460" s="34">
        <f>_xlfn.XLOOKUP(TablaSTOCKINV[[#This Row],[SKU]],TablaINVENTARIO[SKU],TablaINVENTARIO[PRECIO])</f>
        <v>0</v>
      </c>
      <c r="R460" s="34">
        <f>TablaSTOCKINV[[#This Row],[P.UNITARIO]]*TablaSTOCKINV[[#This Row],[CANT. TOTAL]]</f>
        <v>0</v>
      </c>
      <c r="S460" s="44">
        <f>_xlfn.XLOOKUP(TablaSTOCKINV[[#This Row],[SKU]],TablaINVENTARIO[SKU],TablaINVENTARIO[FECHA INGRESO])</f>
        <v>46023</v>
      </c>
      <c r="T460" s="44">
        <f>_xlfn.XLOOKUP(TablaSTOCKINV[[#This Row],[SKU]],TablaENTRADA[SKU],TablaENTRADA[FECHA],,0,-1)</f>
        <v>46023</v>
      </c>
      <c r="U460" s="46" t="str">
        <f>IFERROR((_xlfn.XLOOKUP(TablaSTOCKINV[[#This Row],[SKU]],TablaSALIDA[SKU],TablaSALIDA[FECHA],,0,-1))," " )</f>
        <v xml:space="preserve"> </v>
      </c>
    </row>
    <row r="461" spans="1:21" x14ac:dyDescent="0.3">
      <c r="A461" s="27" t="s">
        <v>1804</v>
      </c>
      <c r="B461" s="32" t="str">
        <f>_xlfn.XLOOKUP(TablaSTOCKINV[[#This Row],[SKU]],TablaINVENTARIO[SKU],TablaINVENTARIO[DESCRIPCION])</f>
        <v>MONTAJE CON TACOS METALICOS PARA MATERIALES HUECOS (31 PZAS)</v>
      </c>
      <c r="C461" s="32" t="str">
        <f>_xlfn.XLOOKUP(TablaSTOCKINV[[#This Row],[SKU]],TablaINVENTARIO[SKU],TablaINVENTARIO[MARCA])</f>
        <v xml:space="preserve">PARKSIDE </v>
      </c>
      <c r="D461" s="33" t="str">
        <f>_xlfn.XLOOKUP(TablaSTOCKINV[[#This Row],[SKU]],TablaINVENTARIO[SKU],TablaINVENTARIO[CATEGORIA])</f>
        <v>HERRAMIENTAS_</v>
      </c>
      <c r="E461" s="33" t="str">
        <f>_xlfn.XLOOKUP(TablaSTOCKINV[[#This Row],[SKU]],TablaINVENTARIO[SKU],TablaINVENTARIO[SUBCATEGORIA])</f>
        <v xml:space="preserve">HERRAMIENTA DE MANO </v>
      </c>
      <c r="F461" s="33" t="str">
        <f>_xlfn.XLOOKUP(TablaSTOCKINV[[#This Row],[SKU]],TablaINVENTARIO[SKU],TablaINVENTARIO[ESTADO])</f>
        <v>NUEVO</v>
      </c>
      <c r="G461" s="33" t="str">
        <f>_xlfn.XLOOKUP(TablaSTOCKINV[[#This Row],[SKU]],TablaINVENTARIO[SKU],TablaINVENTARIO[MEDIDA])</f>
        <v>SET</v>
      </c>
      <c r="H461" s="33" t="str">
        <f>_xlfn.XLOOKUP(TablaSTOCKINV[[#This Row],[SKU]],TablaINVENTARIO[SKU],TablaINVENTARIO[SERIAL])</f>
        <v>N/A</v>
      </c>
      <c r="I461" s="34" t="str">
        <f>_xlfn.XLOOKUP(TablaSTOCKINV[[#This Row],[SKU]],TablaINVENTARIO[SKU],TablaINVENTARIO[ALMACEN])</f>
        <v>ALMACEN PRINCIPAL</v>
      </c>
      <c r="J461" s="34" t="str">
        <f>_xlfn.XLOOKUP(TablaSTOCKINV[[#This Row],[SKU]],TablaINVENTARIO[SKU],TablaINVENTARIO[UBICACION])</f>
        <v>2B</v>
      </c>
      <c r="K461" s="34" t="str">
        <f>_xlfn.XLOOKUP(TablaSTOCKINV[[#This Row],[SKU]],TablaINVENTARIO[SKU],TablaINVENTARIO[DPTO RESPONSABLE])</f>
        <v xml:space="preserve">OPERACIONES </v>
      </c>
      <c r="L461" s="36">
        <f>_xlfn.XLOOKUP(TablaSTOCKINV[[#This Row],[SKU]],TablaINVENTARIO[SKU],TablaINVENTARIO[RANGO MIN])</f>
        <v>0</v>
      </c>
      <c r="M461" s="34" cm="1">
        <f t="array" ref="M461">_xlfn.IFS(TablaSTOCKINV[[#This Row],[CANT. TOTAL]]&lt;=0,1,TablaSTOCKINV[[#This Row],[CANT. TOTAL]]&lt;=TablaSTOCKINV[[#This Row],[MIN]],2,TablaSTOCKINV[[#This Row],[CANT. TOTAL]]&gt;TablaSTOCKINV[[#This Row],[MIN]],3)</f>
        <v>3</v>
      </c>
      <c r="N461" s="34">
        <f>TablaSTOCKINV[[#This Row],[ENTRADAS]]-TablaSTOCKINV[[#This Row],[SALIDAS]]</f>
        <v>1</v>
      </c>
      <c r="O461" s="35">
        <f>SUMIFS(TablaENTRADA[CANT],TablaENTRADA[SKU],TablaSTOCKINV[[#This Row],[SKU]])</f>
        <v>1</v>
      </c>
      <c r="P461" s="35">
        <f>SUMIFS(TablaSALIDA[CANT],TablaSALIDA[SKU],TablaSTOCKINV[[#This Row],[SKU]])</f>
        <v>0</v>
      </c>
      <c r="Q461" s="34">
        <f>_xlfn.XLOOKUP(TablaSTOCKINV[[#This Row],[SKU]],TablaINVENTARIO[SKU],TablaINVENTARIO[PRECIO])</f>
        <v>0</v>
      </c>
      <c r="R461" s="34">
        <f>TablaSTOCKINV[[#This Row],[P.UNITARIO]]*TablaSTOCKINV[[#This Row],[CANT. TOTAL]]</f>
        <v>0</v>
      </c>
      <c r="S461" s="44">
        <f>_xlfn.XLOOKUP(TablaSTOCKINV[[#This Row],[SKU]],TablaINVENTARIO[SKU],TablaINVENTARIO[FECHA INGRESO])</f>
        <v>46023</v>
      </c>
      <c r="T461" s="44">
        <f>_xlfn.XLOOKUP(TablaSTOCKINV[[#This Row],[SKU]],TablaENTRADA[SKU],TablaENTRADA[FECHA],,0,-1)</f>
        <v>46023</v>
      </c>
      <c r="U461" s="46" t="str">
        <f>IFERROR((_xlfn.XLOOKUP(TablaSTOCKINV[[#This Row],[SKU]],TablaSALIDA[SKU],TablaSALIDA[FECHA],,0,-1))," " )</f>
        <v xml:space="preserve"> </v>
      </c>
    </row>
    <row r="462" spans="1:21" x14ac:dyDescent="0.3">
      <c r="A462" s="27" t="s">
        <v>1806</v>
      </c>
      <c r="B462" s="32" t="str">
        <f>_xlfn.XLOOKUP(TablaSTOCKINV[[#This Row],[SKU]],TablaINVENTARIO[SKU],TablaINVENTARIO[DESCRIPCION])</f>
        <v>PINZA AMPERIMETRICA 600V MODELO: PZM 2 B4</v>
      </c>
      <c r="C462" s="32" t="str">
        <f>_xlfn.XLOOKUP(TablaSTOCKINV[[#This Row],[SKU]],TablaINVENTARIO[SKU],TablaINVENTARIO[MARCA])</f>
        <v xml:space="preserve">PARKSIDE </v>
      </c>
      <c r="D462" s="33" t="str">
        <f>_xlfn.XLOOKUP(TablaSTOCKINV[[#This Row],[SKU]],TablaINVENTARIO[SKU],TablaINVENTARIO[CATEGORIA])</f>
        <v>HERRAMIENTAS_</v>
      </c>
      <c r="E462" s="33" t="str">
        <f>_xlfn.XLOOKUP(TablaSTOCKINV[[#This Row],[SKU]],TablaINVENTARIO[SKU],TablaINVENTARIO[SUBCATEGORIA])</f>
        <v xml:space="preserve">HERRAMIENTA DE MANO </v>
      </c>
      <c r="F462" s="33" t="str">
        <f>_xlfn.XLOOKUP(TablaSTOCKINV[[#This Row],[SKU]],TablaINVENTARIO[SKU],TablaINVENTARIO[ESTADO])</f>
        <v>USADO</v>
      </c>
      <c r="G462" s="33" t="str">
        <f>_xlfn.XLOOKUP(TablaSTOCKINV[[#This Row],[SKU]],TablaINVENTARIO[SKU],TablaINVENTARIO[MEDIDA])</f>
        <v xml:space="preserve">UND </v>
      </c>
      <c r="H462" s="33">
        <f>_xlfn.XLOOKUP(TablaSTOCKINV[[#This Row],[SKU]],TablaINVENTARIO[SKU],TablaINVENTARIO[SERIAL])</f>
        <v>52419</v>
      </c>
      <c r="I462" s="34" t="str">
        <f>_xlfn.XLOOKUP(TablaSTOCKINV[[#This Row],[SKU]],TablaINVENTARIO[SKU],TablaINVENTARIO[ALMACEN])</f>
        <v>ALMACEN PRINCIPAL</v>
      </c>
      <c r="J462" s="34" t="str">
        <f>_xlfn.XLOOKUP(TablaSTOCKINV[[#This Row],[SKU]],TablaINVENTARIO[SKU],TablaINVENTARIO[UBICACION])</f>
        <v>2B</v>
      </c>
      <c r="K462" s="34" t="str">
        <f>_xlfn.XLOOKUP(TablaSTOCKINV[[#This Row],[SKU]],TablaINVENTARIO[SKU],TablaINVENTARIO[DPTO RESPONSABLE])</f>
        <v xml:space="preserve">OPERACIONES </v>
      </c>
      <c r="L462" s="36">
        <f>_xlfn.XLOOKUP(TablaSTOCKINV[[#This Row],[SKU]],TablaINVENTARIO[SKU],TablaINVENTARIO[RANGO MIN])</f>
        <v>0</v>
      </c>
      <c r="M462" s="34" cm="1">
        <f t="array" ref="M462">_xlfn.IFS(TablaSTOCKINV[[#This Row],[CANT. TOTAL]]&lt;=0,1,TablaSTOCKINV[[#This Row],[CANT. TOTAL]]&lt;=TablaSTOCKINV[[#This Row],[MIN]],2,TablaSTOCKINV[[#This Row],[CANT. TOTAL]]&gt;TablaSTOCKINV[[#This Row],[MIN]],3)</f>
        <v>3</v>
      </c>
      <c r="N462" s="34">
        <f>TablaSTOCKINV[[#This Row],[ENTRADAS]]-TablaSTOCKINV[[#This Row],[SALIDAS]]</f>
        <v>1</v>
      </c>
      <c r="O462" s="35">
        <f>SUMIFS(TablaENTRADA[CANT],TablaENTRADA[SKU],TablaSTOCKINV[[#This Row],[SKU]])</f>
        <v>1</v>
      </c>
      <c r="P462" s="35">
        <f>SUMIFS(TablaSALIDA[CANT],TablaSALIDA[SKU],TablaSTOCKINV[[#This Row],[SKU]])</f>
        <v>0</v>
      </c>
      <c r="Q462" s="34">
        <f>_xlfn.XLOOKUP(TablaSTOCKINV[[#This Row],[SKU]],TablaINVENTARIO[SKU],TablaINVENTARIO[PRECIO])</f>
        <v>0</v>
      </c>
      <c r="R462" s="34">
        <f>TablaSTOCKINV[[#This Row],[P.UNITARIO]]*TablaSTOCKINV[[#This Row],[CANT. TOTAL]]</f>
        <v>0</v>
      </c>
      <c r="S462" s="44">
        <f>_xlfn.XLOOKUP(TablaSTOCKINV[[#This Row],[SKU]],TablaINVENTARIO[SKU],TablaINVENTARIO[FECHA INGRESO])</f>
        <v>46023</v>
      </c>
      <c r="T462" s="44">
        <f>_xlfn.XLOOKUP(TablaSTOCKINV[[#This Row],[SKU]],TablaENTRADA[SKU],TablaENTRADA[FECHA],,0,-1)</f>
        <v>46023</v>
      </c>
      <c r="U462" s="46" t="str">
        <f>IFERROR((_xlfn.XLOOKUP(TablaSTOCKINV[[#This Row],[SKU]],TablaSALIDA[SKU],TablaSALIDA[FECHA],,0,-1))," " )</f>
        <v xml:space="preserve"> </v>
      </c>
    </row>
    <row r="463" spans="1:21" x14ac:dyDescent="0.3">
      <c r="A463" s="27" t="s">
        <v>1808</v>
      </c>
      <c r="B463" s="32" t="str">
        <f>_xlfn.XLOOKUP(TablaSTOCKINV[[#This Row],[SKU]],TablaINVENTARIO[SKU],TablaINVENTARIO[DESCRIPCION])</f>
        <v xml:space="preserve">FUSIBLE PARA AUTO 5A  </v>
      </c>
      <c r="C463" s="32" t="str">
        <f>_xlfn.XLOOKUP(TablaSTOCKINV[[#This Row],[SKU]],TablaINVENTARIO[SKU],TablaINVENTARIO[MARCA])</f>
        <v>WADFOW</v>
      </c>
      <c r="D463" s="33" t="str">
        <f>_xlfn.XLOOKUP(TablaSTOCKINV[[#This Row],[SKU]],TablaINVENTARIO[SKU],TablaINVENTARIO[CATEGORIA])</f>
        <v>HERRAMIENTAS_</v>
      </c>
      <c r="E463" s="33" t="str">
        <f>_xlfn.XLOOKUP(TablaSTOCKINV[[#This Row],[SKU]],TablaINVENTARIO[SKU],TablaINVENTARIO[SUBCATEGORIA])</f>
        <v xml:space="preserve">HERRAMIENTA ELECTRONICA </v>
      </c>
      <c r="F463" s="33" t="str">
        <f>_xlfn.XLOOKUP(TablaSTOCKINV[[#This Row],[SKU]],TablaINVENTARIO[SKU],TablaINVENTARIO[ESTADO])</f>
        <v>NUEVO</v>
      </c>
      <c r="G463" s="33" t="str">
        <f>_xlfn.XLOOKUP(TablaSTOCKINV[[#This Row],[SKU]],TablaINVENTARIO[SKU],TablaINVENTARIO[MEDIDA])</f>
        <v xml:space="preserve">UND </v>
      </c>
      <c r="H463" s="33" t="str">
        <f>_xlfn.XLOOKUP(TablaSTOCKINV[[#This Row],[SKU]],TablaINVENTARIO[SKU],TablaINVENTARIO[SERIAL])</f>
        <v>N/A</v>
      </c>
      <c r="I463" s="34" t="str">
        <f>_xlfn.XLOOKUP(TablaSTOCKINV[[#This Row],[SKU]],TablaINVENTARIO[SKU],TablaINVENTARIO[ALMACEN])</f>
        <v>ALMACEN PRINCIPAL</v>
      </c>
      <c r="J463" s="34" t="str">
        <f>_xlfn.XLOOKUP(TablaSTOCKINV[[#This Row],[SKU]],TablaINVENTARIO[SKU],TablaINVENTARIO[UBICACION])</f>
        <v>2B</v>
      </c>
      <c r="K463" s="34" t="str">
        <f>_xlfn.XLOOKUP(TablaSTOCKINV[[#This Row],[SKU]],TablaINVENTARIO[SKU],TablaINVENTARIO[DPTO RESPONSABLE])</f>
        <v>MANTENIMIENTO</v>
      </c>
      <c r="L463" s="36">
        <f>_xlfn.XLOOKUP(TablaSTOCKINV[[#This Row],[SKU]],TablaINVENTARIO[SKU],TablaINVENTARIO[RANGO MIN])</f>
        <v>0</v>
      </c>
      <c r="M463" s="34" cm="1">
        <f t="array" ref="M463">_xlfn.IFS(TablaSTOCKINV[[#This Row],[CANT. TOTAL]]&lt;=0,1,TablaSTOCKINV[[#This Row],[CANT. TOTAL]]&lt;=TablaSTOCKINV[[#This Row],[MIN]],2,TablaSTOCKINV[[#This Row],[CANT. TOTAL]]&gt;TablaSTOCKINV[[#This Row],[MIN]],3)</f>
        <v>3</v>
      </c>
      <c r="N463" s="34">
        <f>TablaSTOCKINV[[#This Row],[ENTRADAS]]-TablaSTOCKINV[[#This Row],[SALIDAS]]</f>
        <v>8</v>
      </c>
      <c r="O463" s="35">
        <f>SUMIFS(TablaENTRADA[CANT],TablaENTRADA[SKU],TablaSTOCKINV[[#This Row],[SKU]])</f>
        <v>8</v>
      </c>
      <c r="P463" s="35">
        <f>SUMIFS(TablaSALIDA[CANT],TablaSALIDA[SKU],TablaSTOCKINV[[#This Row],[SKU]])</f>
        <v>0</v>
      </c>
      <c r="Q463" s="34">
        <f>_xlfn.XLOOKUP(TablaSTOCKINV[[#This Row],[SKU]],TablaINVENTARIO[SKU],TablaINVENTARIO[PRECIO])</f>
        <v>0</v>
      </c>
      <c r="R463" s="34">
        <f>TablaSTOCKINV[[#This Row],[P.UNITARIO]]*TablaSTOCKINV[[#This Row],[CANT. TOTAL]]</f>
        <v>0</v>
      </c>
      <c r="S463" s="44">
        <f>_xlfn.XLOOKUP(TablaSTOCKINV[[#This Row],[SKU]],TablaINVENTARIO[SKU],TablaINVENTARIO[FECHA INGRESO])</f>
        <v>46023</v>
      </c>
      <c r="T463" s="44">
        <f>_xlfn.XLOOKUP(TablaSTOCKINV[[#This Row],[SKU]],TablaENTRADA[SKU],TablaENTRADA[FECHA],,0,-1)</f>
        <v>46023</v>
      </c>
      <c r="U463" s="46" t="str">
        <f>IFERROR((_xlfn.XLOOKUP(TablaSTOCKINV[[#This Row],[SKU]],TablaSALIDA[SKU],TablaSALIDA[FECHA],,0,-1))," " )</f>
        <v xml:space="preserve"> </v>
      </c>
    </row>
    <row r="464" spans="1:21" x14ac:dyDescent="0.3">
      <c r="A464" s="27" t="s">
        <v>1810</v>
      </c>
      <c r="B464" s="32" t="str">
        <f>_xlfn.XLOOKUP(TablaSTOCKINV[[#This Row],[SKU]],TablaINVENTARIO[SKU],TablaINVENTARIO[DESCRIPCION])</f>
        <v>FUSIBLE PARA AUTO 10A</v>
      </c>
      <c r="C464" s="32" t="str">
        <f>_xlfn.XLOOKUP(TablaSTOCKINV[[#This Row],[SKU]],TablaINVENTARIO[SKU],TablaINVENTARIO[MARCA])</f>
        <v>WADFOW</v>
      </c>
      <c r="D464" s="33" t="str">
        <f>_xlfn.XLOOKUP(TablaSTOCKINV[[#This Row],[SKU]],TablaINVENTARIO[SKU],TablaINVENTARIO[CATEGORIA])</f>
        <v>HERRAMIENTAS_</v>
      </c>
      <c r="E464" s="33" t="str">
        <f>_xlfn.XLOOKUP(TablaSTOCKINV[[#This Row],[SKU]],TablaINVENTARIO[SKU],TablaINVENTARIO[SUBCATEGORIA])</f>
        <v xml:space="preserve">HERRAMIENTA ELECTRONICA </v>
      </c>
      <c r="F464" s="33" t="str">
        <f>_xlfn.XLOOKUP(TablaSTOCKINV[[#This Row],[SKU]],TablaINVENTARIO[SKU],TablaINVENTARIO[ESTADO])</f>
        <v>NUEVO</v>
      </c>
      <c r="G464" s="33" t="str">
        <f>_xlfn.XLOOKUP(TablaSTOCKINV[[#This Row],[SKU]],TablaINVENTARIO[SKU],TablaINVENTARIO[MEDIDA])</f>
        <v xml:space="preserve">UND </v>
      </c>
      <c r="H464" s="33" t="str">
        <f>_xlfn.XLOOKUP(TablaSTOCKINV[[#This Row],[SKU]],TablaINVENTARIO[SKU],TablaINVENTARIO[SERIAL])</f>
        <v>N/A</v>
      </c>
      <c r="I464" s="34" t="str">
        <f>_xlfn.XLOOKUP(TablaSTOCKINV[[#This Row],[SKU]],TablaINVENTARIO[SKU],TablaINVENTARIO[ALMACEN])</f>
        <v>ALMACEN PRINCIPAL</v>
      </c>
      <c r="J464" s="34" t="str">
        <f>_xlfn.XLOOKUP(TablaSTOCKINV[[#This Row],[SKU]],TablaINVENTARIO[SKU],TablaINVENTARIO[UBICACION])</f>
        <v>2B</v>
      </c>
      <c r="K464" s="34" t="str">
        <f>_xlfn.XLOOKUP(TablaSTOCKINV[[#This Row],[SKU]],TablaINVENTARIO[SKU],TablaINVENTARIO[DPTO RESPONSABLE])</f>
        <v>MANTENIMIENTO</v>
      </c>
      <c r="L464" s="36">
        <f>_xlfn.XLOOKUP(TablaSTOCKINV[[#This Row],[SKU]],TablaINVENTARIO[SKU],TablaINVENTARIO[RANGO MIN])</f>
        <v>0</v>
      </c>
      <c r="M464" s="34" cm="1">
        <f t="array" ref="M464">_xlfn.IFS(TablaSTOCKINV[[#This Row],[CANT. TOTAL]]&lt;=0,1,TablaSTOCKINV[[#This Row],[CANT. TOTAL]]&lt;=TablaSTOCKINV[[#This Row],[MIN]],2,TablaSTOCKINV[[#This Row],[CANT. TOTAL]]&gt;TablaSTOCKINV[[#This Row],[MIN]],3)</f>
        <v>3</v>
      </c>
      <c r="N464" s="34">
        <f>TablaSTOCKINV[[#This Row],[ENTRADAS]]-TablaSTOCKINV[[#This Row],[SALIDAS]]</f>
        <v>8</v>
      </c>
      <c r="O464" s="35">
        <f>SUMIFS(TablaENTRADA[CANT],TablaENTRADA[SKU],TablaSTOCKINV[[#This Row],[SKU]])</f>
        <v>8</v>
      </c>
      <c r="P464" s="35">
        <f>SUMIFS(TablaSALIDA[CANT],TablaSALIDA[SKU],TablaSTOCKINV[[#This Row],[SKU]])</f>
        <v>0</v>
      </c>
      <c r="Q464" s="34">
        <f>_xlfn.XLOOKUP(TablaSTOCKINV[[#This Row],[SKU]],TablaINVENTARIO[SKU],TablaINVENTARIO[PRECIO])</f>
        <v>0</v>
      </c>
      <c r="R464" s="34">
        <f>TablaSTOCKINV[[#This Row],[P.UNITARIO]]*TablaSTOCKINV[[#This Row],[CANT. TOTAL]]</f>
        <v>0</v>
      </c>
      <c r="S464" s="44">
        <f>_xlfn.XLOOKUP(TablaSTOCKINV[[#This Row],[SKU]],TablaINVENTARIO[SKU],TablaINVENTARIO[FECHA INGRESO])</f>
        <v>46023</v>
      </c>
      <c r="T464" s="44">
        <f>_xlfn.XLOOKUP(TablaSTOCKINV[[#This Row],[SKU]],TablaENTRADA[SKU],TablaENTRADA[FECHA],,0,-1)</f>
        <v>46023</v>
      </c>
      <c r="U464" s="46" t="str">
        <f>IFERROR((_xlfn.XLOOKUP(TablaSTOCKINV[[#This Row],[SKU]],TablaSALIDA[SKU],TablaSALIDA[FECHA],,0,-1))," " )</f>
        <v xml:space="preserve"> </v>
      </c>
    </row>
    <row r="465" spans="1:21" x14ac:dyDescent="0.3">
      <c r="A465" s="27" t="s">
        <v>1812</v>
      </c>
      <c r="B465" s="32" t="str">
        <f>_xlfn.XLOOKUP(TablaSTOCKINV[[#This Row],[SKU]],TablaINVENTARIO[SKU],TablaINVENTARIO[DESCRIPCION])</f>
        <v>FUSIBLE PARA AUTO 15A</v>
      </c>
      <c r="C465" s="32" t="str">
        <f>_xlfn.XLOOKUP(TablaSTOCKINV[[#This Row],[SKU]],TablaINVENTARIO[SKU],TablaINVENTARIO[MARCA])</f>
        <v>WADFOW</v>
      </c>
      <c r="D465" s="33" t="str">
        <f>_xlfn.XLOOKUP(TablaSTOCKINV[[#This Row],[SKU]],TablaINVENTARIO[SKU],TablaINVENTARIO[CATEGORIA])</f>
        <v>HERRAMIENTAS_</v>
      </c>
      <c r="E465" s="33" t="str">
        <f>_xlfn.XLOOKUP(TablaSTOCKINV[[#This Row],[SKU]],TablaINVENTARIO[SKU],TablaINVENTARIO[SUBCATEGORIA])</f>
        <v xml:space="preserve">HERRAMIENTA ELECTRONICA </v>
      </c>
      <c r="F465" s="33" t="str">
        <f>_xlfn.XLOOKUP(TablaSTOCKINV[[#This Row],[SKU]],TablaINVENTARIO[SKU],TablaINVENTARIO[ESTADO])</f>
        <v>NUEVO</v>
      </c>
      <c r="G465" s="33" t="str">
        <f>_xlfn.XLOOKUP(TablaSTOCKINV[[#This Row],[SKU]],TablaINVENTARIO[SKU],TablaINVENTARIO[MEDIDA])</f>
        <v xml:space="preserve">UND </v>
      </c>
      <c r="H465" s="33" t="str">
        <f>_xlfn.XLOOKUP(TablaSTOCKINV[[#This Row],[SKU]],TablaINVENTARIO[SKU],TablaINVENTARIO[SERIAL])</f>
        <v>N/A</v>
      </c>
      <c r="I465" s="34" t="str">
        <f>_xlfn.XLOOKUP(TablaSTOCKINV[[#This Row],[SKU]],TablaINVENTARIO[SKU],TablaINVENTARIO[ALMACEN])</f>
        <v>ALMACEN PRINCIPAL</v>
      </c>
      <c r="J465" s="34" t="str">
        <f>_xlfn.XLOOKUP(TablaSTOCKINV[[#This Row],[SKU]],TablaINVENTARIO[SKU],TablaINVENTARIO[UBICACION])</f>
        <v>2B</v>
      </c>
      <c r="K465" s="34" t="str">
        <f>_xlfn.XLOOKUP(TablaSTOCKINV[[#This Row],[SKU]],TablaINVENTARIO[SKU],TablaINVENTARIO[DPTO RESPONSABLE])</f>
        <v>MANTENIMIENTO</v>
      </c>
      <c r="L465" s="36">
        <f>_xlfn.XLOOKUP(TablaSTOCKINV[[#This Row],[SKU]],TablaINVENTARIO[SKU],TablaINVENTARIO[RANGO MIN])</f>
        <v>0</v>
      </c>
      <c r="M465" s="34" cm="1">
        <f t="array" ref="M465">_xlfn.IFS(TablaSTOCKINV[[#This Row],[CANT. TOTAL]]&lt;=0,1,TablaSTOCKINV[[#This Row],[CANT. TOTAL]]&lt;=TablaSTOCKINV[[#This Row],[MIN]],2,TablaSTOCKINV[[#This Row],[CANT. TOTAL]]&gt;TablaSTOCKINV[[#This Row],[MIN]],3)</f>
        <v>3</v>
      </c>
      <c r="N465" s="34">
        <f>TablaSTOCKINV[[#This Row],[ENTRADAS]]-TablaSTOCKINV[[#This Row],[SALIDAS]]</f>
        <v>8</v>
      </c>
      <c r="O465" s="35">
        <f>SUMIFS(TablaENTRADA[CANT],TablaENTRADA[SKU],TablaSTOCKINV[[#This Row],[SKU]])</f>
        <v>8</v>
      </c>
      <c r="P465" s="35">
        <f>SUMIFS(TablaSALIDA[CANT],TablaSALIDA[SKU],TablaSTOCKINV[[#This Row],[SKU]])</f>
        <v>0</v>
      </c>
      <c r="Q465" s="34">
        <f>_xlfn.XLOOKUP(TablaSTOCKINV[[#This Row],[SKU]],TablaINVENTARIO[SKU],TablaINVENTARIO[PRECIO])</f>
        <v>0</v>
      </c>
      <c r="R465" s="34">
        <f>TablaSTOCKINV[[#This Row],[P.UNITARIO]]*TablaSTOCKINV[[#This Row],[CANT. TOTAL]]</f>
        <v>0</v>
      </c>
      <c r="S465" s="44">
        <f>_xlfn.XLOOKUP(TablaSTOCKINV[[#This Row],[SKU]],TablaINVENTARIO[SKU],TablaINVENTARIO[FECHA INGRESO])</f>
        <v>46023</v>
      </c>
      <c r="T465" s="44">
        <f>_xlfn.XLOOKUP(TablaSTOCKINV[[#This Row],[SKU]],TablaENTRADA[SKU],TablaENTRADA[FECHA],,0,-1)</f>
        <v>46023</v>
      </c>
      <c r="U465" s="46" t="str">
        <f>IFERROR((_xlfn.XLOOKUP(TablaSTOCKINV[[#This Row],[SKU]],TablaSALIDA[SKU],TablaSALIDA[FECHA],,0,-1))," " )</f>
        <v xml:space="preserve"> </v>
      </c>
    </row>
    <row r="466" spans="1:21" x14ac:dyDescent="0.3">
      <c r="A466" s="27" t="s">
        <v>1814</v>
      </c>
      <c r="B466" s="32" t="str">
        <f>_xlfn.XLOOKUP(TablaSTOCKINV[[#This Row],[SKU]],TablaINVENTARIO[SKU],TablaINVENTARIO[DESCRIPCION])</f>
        <v>FUSIBLE PARA AUTO 20A</v>
      </c>
      <c r="C466" s="32" t="str">
        <f>_xlfn.XLOOKUP(TablaSTOCKINV[[#This Row],[SKU]],TablaINVENTARIO[SKU],TablaINVENTARIO[MARCA])</f>
        <v>WADFOW</v>
      </c>
      <c r="D466" s="33" t="str">
        <f>_xlfn.XLOOKUP(TablaSTOCKINV[[#This Row],[SKU]],TablaINVENTARIO[SKU],TablaINVENTARIO[CATEGORIA])</f>
        <v>HERRAMIENTAS_</v>
      </c>
      <c r="E466" s="33" t="str">
        <f>_xlfn.XLOOKUP(TablaSTOCKINV[[#This Row],[SKU]],TablaINVENTARIO[SKU],TablaINVENTARIO[SUBCATEGORIA])</f>
        <v xml:space="preserve">HERRAMIENTA ELECTRONICA </v>
      </c>
      <c r="F466" s="33" t="str">
        <f>_xlfn.XLOOKUP(TablaSTOCKINV[[#This Row],[SKU]],TablaINVENTARIO[SKU],TablaINVENTARIO[ESTADO])</f>
        <v>NUEVO</v>
      </c>
      <c r="G466" s="33" t="str">
        <f>_xlfn.XLOOKUP(TablaSTOCKINV[[#This Row],[SKU]],TablaINVENTARIO[SKU],TablaINVENTARIO[MEDIDA])</f>
        <v xml:space="preserve">UND </v>
      </c>
      <c r="H466" s="33" t="str">
        <f>_xlfn.XLOOKUP(TablaSTOCKINV[[#This Row],[SKU]],TablaINVENTARIO[SKU],TablaINVENTARIO[SERIAL])</f>
        <v>N/A</v>
      </c>
      <c r="I466" s="34" t="str">
        <f>_xlfn.XLOOKUP(TablaSTOCKINV[[#This Row],[SKU]],TablaINVENTARIO[SKU],TablaINVENTARIO[ALMACEN])</f>
        <v>ALMACEN PRINCIPAL</v>
      </c>
      <c r="J466" s="34" t="str">
        <f>_xlfn.XLOOKUP(TablaSTOCKINV[[#This Row],[SKU]],TablaINVENTARIO[SKU],TablaINVENTARIO[UBICACION])</f>
        <v>2B</v>
      </c>
      <c r="K466" s="34" t="str">
        <f>_xlfn.XLOOKUP(TablaSTOCKINV[[#This Row],[SKU]],TablaINVENTARIO[SKU],TablaINVENTARIO[DPTO RESPONSABLE])</f>
        <v>MANTENIMIENTO</v>
      </c>
      <c r="L466" s="36">
        <f>_xlfn.XLOOKUP(TablaSTOCKINV[[#This Row],[SKU]],TablaINVENTARIO[SKU],TablaINVENTARIO[RANGO MIN])</f>
        <v>0</v>
      </c>
      <c r="M466" s="34" cm="1">
        <f t="array" ref="M466">_xlfn.IFS(TablaSTOCKINV[[#This Row],[CANT. TOTAL]]&lt;=0,1,TablaSTOCKINV[[#This Row],[CANT. TOTAL]]&lt;=TablaSTOCKINV[[#This Row],[MIN]],2,TablaSTOCKINV[[#This Row],[CANT. TOTAL]]&gt;TablaSTOCKINV[[#This Row],[MIN]],3)</f>
        <v>3</v>
      </c>
      <c r="N466" s="34">
        <f>TablaSTOCKINV[[#This Row],[ENTRADAS]]-TablaSTOCKINV[[#This Row],[SALIDAS]]</f>
        <v>8</v>
      </c>
      <c r="O466" s="35">
        <f>SUMIFS(TablaENTRADA[CANT],TablaENTRADA[SKU],TablaSTOCKINV[[#This Row],[SKU]])</f>
        <v>8</v>
      </c>
      <c r="P466" s="35">
        <f>SUMIFS(TablaSALIDA[CANT],TablaSALIDA[SKU],TablaSTOCKINV[[#This Row],[SKU]])</f>
        <v>0</v>
      </c>
      <c r="Q466" s="34">
        <f>_xlfn.XLOOKUP(TablaSTOCKINV[[#This Row],[SKU]],TablaINVENTARIO[SKU],TablaINVENTARIO[PRECIO])</f>
        <v>0</v>
      </c>
      <c r="R466" s="34">
        <f>TablaSTOCKINV[[#This Row],[P.UNITARIO]]*TablaSTOCKINV[[#This Row],[CANT. TOTAL]]</f>
        <v>0</v>
      </c>
      <c r="S466" s="44">
        <f>_xlfn.XLOOKUP(TablaSTOCKINV[[#This Row],[SKU]],TablaINVENTARIO[SKU],TablaINVENTARIO[FECHA INGRESO])</f>
        <v>46023</v>
      </c>
      <c r="T466" s="44">
        <f>_xlfn.XLOOKUP(TablaSTOCKINV[[#This Row],[SKU]],TablaENTRADA[SKU],TablaENTRADA[FECHA],,0,-1)</f>
        <v>46023</v>
      </c>
      <c r="U466" s="46" t="str">
        <f>IFERROR((_xlfn.XLOOKUP(TablaSTOCKINV[[#This Row],[SKU]],TablaSALIDA[SKU],TablaSALIDA[FECHA],,0,-1))," " )</f>
        <v xml:space="preserve"> </v>
      </c>
    </row>
    <row r="467" spans="1:21" x14ac:dyDescent="0.3">
      <c r="A467" s="27" t="s">
        <v>1816</v>
      </c>
      <c r="B467" s="32" t="str">
        <f>_xlfn.XLOOKUP(TablaSTOCKINV[[#This Row],[SKU]],TablaINVENTARIO[SKU],TablaINVENTARIO[DESCRIPCION])</f>
        <v>FUSIBLE PARA AUTO 25A</v>
      </c>
      <c r="C467" s="32" t="str">
        <f>_xlfn.XLOOKUP(TablaSTOCKINV[[#This Row],[SKU]],TablaINVENTARIO[SKU],TablaINVENTARIO[MARCA])</f>
        <v>WADFOW</v>
      </c>
      <c r="D467" s="33" t="str">
        <f>_xlfn.XLOOKUP(TablaSTOCKINV[[#This Row],[SKU]],TablaINVENTARIO[SKU],TablaINVENTARIO[CATEGORIA])</f>
        <v>HERRAMIENTAS_</v>
      </c>
      <c r="E467" s="33" t="str">
        <f>_xlfn.XLOOKUP(TablaSTOCKINV[[#This Row],[SKU]],TablaINVENTARIO[SKU],TablaINVENTARIO[SUBCATEGORIA])</f>
        <v xml:space="preserve">HERRAMIENTA ELECTRONICA </v>
      </c>
      <c r="F467" s="33" t="str">
        <f>_xlfn.XLOOKUP(TablaSTOCKINV[[#This Row],[SKU]],TablaINVENTARIO[SKU],TablaINVENTARIO[ESTADO])</f>
        <v>NUEVO</v>
      </c>
      <c r="G467" s="33" t="str">
        <f>_xlfn.XLOOKUP(TablaSTOCKINV[[#This Row],[SKU]],TablaINVENTARIO[SKU],TablaINVENTARIO[MEDIDA])</f>
        <v xml:space="preserve">UND </v>
      </c>
      <c r="H467" s="33" t="str">
        <f>_xlfn.XLOOKUP(TablaSTOCKINV[[#This Row],[SKU]],TablaINVENTARIO[SKU],TablaINVENTARIO[SERIAL])</f>
        <v>N/A</v>
      </c>
      <c r="I467" s="34" t="str">
        <f>_xlfn.XLOOKUP(TablaSTOCKINV[[#This Row],[SKU]],TablaINVENTARIO[SKU],TablaINVENTARIO[ALMACEN])</f>
        <v>ALMACEN PRINCIPAL</v>
      </c>
      <c r="J467" s="34" t="str">
        <f>_xlfn.XLOOKUP(TablaSTOCKINV[[#This Row],[SKU]],TablaINVENTARIO[SKU],TablaINVENTARIO[UBICACION])</f>
        <v>2B</v>
      </c>
      <c r="K467" s="34" t="str">
        <f>_xlfn.XLOOKUP(TablaSTOCKINV[[#This Row],[SKU]],TablaINVENTARIO[SKU],TablaINVENTARIO[DPTO RESPONSABLE])</f>
        <v>MANTENIMIENTO</v>
      </c>
      <c r="L467" s="36">
        <f>_xlfn.XLOOKUP(TablaSTOCKINV[[#This Row],[SKU]],TablaINVENTARIO[SKU],TablaINVENTARIO[RANGO MIN])</f>
        <v>0</v>
      </c>
      <c r="M467" s="34" cm="1">
        <f t="array" ref="M467">_xlfn.IFS(TablaSTOCKINV[[#This Row],[CANT. TOTAL]]&lt;=0,1,TablaSTOCKINV[[#This Row],[CANT. TOTAL]]&lt;=TablaSTOCKINV[[#This Row],[MIN]],2,TablaSTOCKINV[[#This Row],[CANT. TOTAL]]&gt;TablaSTOCKINV[[#This Row],[MIN]],3)</f>
        <v>3</v>
      </c>
      <c r="N467" s="34">
        <f>TablaSTOCKINV[[#This Row],[ENTRADAS]]-TablaSTOCKINV[[#This Row],[SALIDAS]]</f>
        <v>8</v>
      </c>
      <c r="O467" s="35">
        <f>SUMIFS(TablaENTRADA[CANT],TablaENTRADA[SKU],TablaSTOCKINV[[#This Row],[SKU]])</f>
        <v>8</v>
      </c>
      <c r="P467" s="35">
        <f>SUMIFS(TablaSALIDA[CANT],TablaSALIDA[SKU],TablaSTOCKINV[[#This Row],[SKU]])</f>
        <v>0</v>
      </c>
      <c r="Q467" s="34">
        <f>_xlfn.XLOOKUP(TablaSTOCKINV[[#This Row],[SKU]],TablaINVENTARIO[SKU],TablaINVENTARIO[PRECIO])</f>
        <v>0</v>
      </c>
      <c r="R467" s="34">
        <f>TablaSTOCKINV[[#This Row],[P.UNITARIO]]*TablaSTOCKINV[[#This Row],[CANT. TOTAL]]</f>
        <v>0</v>
      </c>
      <c r="S467" s="44">
        <f>_xlfn.XLOOKUP(TablaSTOCKINV[[#This Row],[SKU]],TablaINVENTARIO[SKU],TablaINVENTARIO[FECHA INGRESO])</f>
        <v>46023</v>
      </c>
      <c r="T467" s="44">
        <f>_xlfn.XLOOKUP(TablaSTOCKINV[[#This Row],[SKU]],TablaENTRADA[SKU],TablaENTRADA[FECHA],,0,-1)</f>
        <v>46023</v>
      </c>
      <c r="U467" s="46" t="str">
        <f>IFERROR((_xlfn.XLOOKUP(TablaSTOCKINV[[#This Row],[SKU]],TablaSALIDA[SKU],TablaSALIDA[FECHA],,0,-1))," " )</f>
        <v xml:space="preserve"> </v>
      </c>
    </row>
    <row r="468" spans="1:21" x14ac:dyDescent="0.3">
      <c r="A468" s="27" t="s">
        <v>1818</v>
      </c>
      <c r="B468" s="32" t="str">
        <f>_xlfn.XLOOKUP(TablaSTOCKINV[[#This Row],[SKU]],TablaINVENTARIO[SKU],TablaINVENTARIO[DESCRIPCION])</f>
        <v>FUSIBLE PARA AUTO 30A</v>
      </c>
      <c r="C468" s="32" t="str">
        <f>_xlfn.XLOOKUP(TablaSTOCKINV[[#This Row],[SKU]],TablaINVENTARIO[SKU],TablaINVENTARIO[MARCA])</f>
        <v>WADFOW</v>
      </c>
      <c r="D468" s="33" t="str">
        <f>_xlfn.XLOOKUP(TablaSTOCKINV[[#This Row],[SKU]],TablaINVENTARIO[SKU],TablaINVENTARIO[CATEGORIA])</f>
        <v>HERRAMIENTAS_</v>
      </c>
      <c r="E468" s="33" t="str">
        <f>_xlfn.XLOOKUP(TablaSTOCKINV[[#This Row],[SKU]],TablaINVENTARIO[SKU],TablaINVENTARIO[SUBCATEGORIA])</f>
        <v xml:space="preserve">HERRAMIENTA ELECTRONICA </v>
      </c>
      <c r="F468" s="33" t="str">
        <f>_xlfn.XLOOKUP(TablaSTOCKINV[[#This Row],[SKU]],TablaINVENTARIO[SKU],TablaINVENTARIO[ESTADO])</f>
        <v>NUEVO</v>
      </c>
      <c r="G468" s="33" t="str">
        <f>_xlfn.XLOOKUP(TablaSTOCKINV[[#This Row],[SKU]],TablaINVENTARIO[SKU],TablaINVENTARIO[MEDIDA])</f>
        <v xml:space="preserve">UND </v>
      </c>
      <c r="H468" s="33" t="str">
        <f>_xlfn.XLOOKUP(TablaSTOCKINV[[#This Row],[SKU]],TablaINVENTARIO[SKU],TablaINVENTARIO[SERIAL])</f>
        <v>N/A</v>
      </c>
      <c r="I468" s="34" t="str">
        <f>_xlfn.XLOOKUP(TablaSTOCKINV[[#This Row],[SKU]],TablaINVENTARIO[SKU],TablaINVENTARIO[ALMACEN])</f>
        <v>ALMACEN PRINCIPAL</v>
      </c>
      <c r="J468" s="34" t="str">
        <f>_xlfn.XLOOKUP(TablaSTOCKINV[[#This Row],[SKU]],TablaINVENTARIO[SKU],TablaINVENTARIO[UBICACION])</f>
        <v>2B</v>
      </c>
      <c r="K468" s="34" t="str">
        <f>_xlfn.XLOOKUP(TablaSTOCKINV[[#This Row],[SKU]],TablaINVENTARIO[SKU],TablaINVENTARIO[DPTO RESPONSABLE])</f>
        <v>MANTENIMIENTO</v>
      </c>
      <c r="L468" s="36">
        <f>_xlfn.XLOOKUP(TablaSTOCKINV[[#This Row],[SKU]],TablaINVENTARIO[SKU],TablaINVENTARIO[RANGO MIN])</f>
        <v>0</v>
      </c>
      <c r="M468" s="34" cm="1">
        <f t="array" ref="M468">_xlfn.IFS(TablaSTOCKINV[[#This Row],[CANT. TOTAL]]&lt;=0,1,TablaSTOCKINV[[#This Row],[CANT. TOTAL]]&lt;=TablaSTOCKINV[[#This Row],[MIN]],2,TablaSTOCKINV[[#This Row],[CANT. TOTAL]]&gt;TablaSTOCKINV[[#This Row],[MIN]],3)</f>
        <v>3</v>
      </c>
      <c r="N468" s="34">
        <f>TablaSTOCKINV[[#This Row],[ENTRADAS]]-TablaSTOCKINV[[#This Row],[SALIDAS]]</f>
        <v>8</v>
      </c>
      <c r="O468" s="35">
        <f>SUMIFS(TablaENTRADA[CANT],TablaENTRADA[SKU],TablaSTOCKINV[[#This Row],[SKU]])</f>
        <v>8</v>
      </c>
      <c r="P468" s="35">
        <f>SUMIFS(TablaSALIDA[CANT],TablaSALIDA[SKU],TablaSTOCKINV[[#This Row],[SKU]])</f>
        <v>0</v>
      </c>
      <c r="Q468" s="34">
        <f>_xlfn.XLOOKUP(TablaSTOCKINV[[#This Row],[SKU]],TablaINVENTARIO[SKU],TablaINVENTARIO[PRECIO])</f>
        <v>0</v>
      </c>
      <c r="R468" s="34">
        <f>TablaSTOCKINV[[#This Row],[P.UNITARIO]]*TablaSTOCKINV[[#This Row],[CANT. TOTAL]]</f>
        <v>0</v>
      </c>
      <c r="S468" s="44">
        <f>_xlfn.XLOOKUP(TablaSTOCKINV[[#This Row],[SKU]],TablaINVENTARIO[SKU],TablaINVENTARIO[FECHA INGRESO])</f>
        <v>46023</v>
      </c>
      <c r="T468" s="44">
        <f>_xlfn.XLOOKUP(TablaSTOCKINV[[#This Row],[SKU]],TablaENTRADA[SKU],TablaENTRADA[FECHA],,0,-1)</f>
        <v>46023</v>
      </c>
      <c r="U468" s="46" t="str">
        <f>IFERROR((_xlfn.XLOOKUP(TablaSTOCKINV[[#This Row],[SKU]],TablaSALIDA[SKU],TablaSALIDA[FECHA],,0,-1))," " )</f>
        <v xml:space="preserve"> </v>
      </c>
    </row>
    <row r="469" spans="1:21" x14ac:dyDescent="0.3">
      <c r="A469" s="27" t="s">
        <v>1820</v>
      </c>
      <c r="B469" s="32" t="str">
        <f>_xlfn.XLOOKUP(TablaSTOCKINV[[#This Row],[SKU]],TablaINVENTARIO[SKU],TablaINVENTARIO[DESCRIPCION])</f>
        <v>HERRAMIENTA DE MOLETEADO MANUAL MODELO: K1-237</v>
      </c>
      <c r="C469" s="32" t="str">
        <f>_xlfn.XLOOKUP(TablaSTOCKINV[[#This Row],[SKU]],TablaINVENTARIO[SKU],TablaINVENTARIO[MARCA])</f>
        <v xml:space="preserve">KNURLCRAFT </v>
      </c>
      <c r="D469" s="33" t="str">
        <f>_xlfn.XLOOKUP(TablaSTOCKINV[[#This Row],[SKU]],TablaINVENTARIO[SKU],TablaINVENTARIO[CATEGORIA])</f>
        <v>HERRAMIENTAS_</v>
      </c>
      <c r="E469" s="33" t="str">
        <f>_xlfn.XLOOKUP(TablaSTOCKINV[[#This Row],[SKU]],TablaINVENTARIO[SKU],TablaINVENTARIO[SUBCATEGORIA])</f>
        <v xml:space="preserve">HERRAMIENTA DE MANO </v>
      </c>
      <c r="F469" s="33" t="str">
        <f>_xlfn.XLOOKUP(TablaSTOCKINV[[#This Row],[SKU]],TablaINVENTARIO[SKU],TablaINVENTARIO[ESTADO])</f>
        <v>NUEVO</v>
      </c>
      <c r="G469" s="33" t="str">
        <f>_xlfn.XLOOKUP(TablaSTOCKINV[[#This Row],[SKU]],TablaINVENTARIO[SKU],TablaINVENTARIO[MEDIDA])</f>
        <v>KIT</v>
      </c>
      <c r="H469" s="33" t="str">
        <f>_xlfn.XLOOKUP(TablaSTOCKINV[[#This Row],[SKU]],TablaINVENTARIO[SKU],TablaINVENTARIO[SERIAL])</f>
        <v>N/A</v>
      </c>
      <c r="I469" s="34" t="str">
        <f>_xlfn.XLOOKUP(TablaSTOCKINV[[#This Row],[SKU]],TablaINVENTARIO[SKU],TablaINVENTARIO[ALMACEN])</f>
        <v>ALMACEN PRINCIPAL</v>
      </c>
      <c r="J469" s="34" t="str">
        <f>_xlfn.XLOOKUP(TablaSTOCKINV[[#This Row],[SKU]],TablaINVENTARIO[SKU],TablaINVENTARIO[UBICACION])</f>
        <v>2B</v>
      </c>
      <c r="K469" s="34" t="str">
        <f>_xlfn.XLOOKUP(TablaSTOCKINV[[#This Row],[SKU]],TablaINVENTARIO[SKU],TablaINVENTARIO[DPTO RESPONSABLE])</f>
        <v xml:space="preserve">OPERACIONES </v>
      </c>
      <c r="L469" s="36">
        <f>_xlfn.XLOOKUP(TablaSTOCKINV[[#This Row],[SKU]],TablaINVENTARIO[SKU],TablaINVENTARIO[RANGO MIN])</f>
        <v>0</v>
      </c>
      <c r="M469" s="34" cm="1">
        <f t="array" ref="M469">_xlfn.IFS(TablaSTOCKINV[[#This Row],[CANT. TOTAL]]&lt;=0,1,TablaSTOCKINV[[#This Row],[CANT. TOTAL]]&lt;=TablaSTOCKINV[[#This Row],[MIN]],2,TablaSTOCKINV[[#This Row],[CANT. TOTAL]]&gt;TablaSTOCKINV[[#This Row],[MIN]],3)</f>
        <v>3</v>
      </c>
      <c r="N469" s="34">
        <f>TablaSTOCKINV[[#This Row],[ENTRADAS]]-TablaSTOCKINV[[#This Row],[SALIDAS]]</f>
        <v>1</v>
      </c>
      <c r="O469" s="35">
        <f>SUMIFS(TablaENTRADA[CANT],TablaENTRADA[SKU],TablaSTOCKINV[[#This Row],[SKU]])</f>
        <v>1</v>
      </c>
      <c r="P469" s="35">
        <f>SUMIFS(TablaSALIDA[CANT],TablaSALIDA[SKU],TablaSTOCKINV[[#This Row],[SKU]])</f>
        <v>0</v>
      </c>
      <c r="Q469" s="34">
        <f>_xlfn.XLOOKUP(TablaSTOCKINV[[#This Row],[SKU]],TablaINVENTARIO[SKU],TablaINVENTARIO[PRECIO])</f>
        <v>0</v>
      </c>
      <c r="R469" s="34">
        <f>TablaSTOCKINV[[#This Row],[P.UNITARIO]]*TablaSTOCKINV[[#This Row],[CANT. TOTAL]]</f>
        <v>0</v>
      </c>
      <c r="S469" s="44">
        <f>_xlfn.XLOOKUP(TablaSTOCKINV[[#This Row],[SKU]],TablaINVENTARIO[SKU],TablaINVENTARIO[FECHA INGRESO])</f>
        <v>46023</v>
      </c>
      <c r="T469" s="44">
        <f>_xlfn.XLOOKUP(TablaSTOCKINV[[#This Row],[SKU]],TablaENTRADA[SKU],TablaENTRADA[FECHA],,0,-1)</f>
        <v>46023</v>
      </c>
      <c r="U469" s="46" t="str">
        <f>IFERROR((_xlfn.XLOOKUP(TablaSTOCKINV[[#This Row],[SKU]],TablaSALIDA[SKU],TablaSALIDA[FECHA],,0,-1))," " )</f>
        <v xml:space="preserve"> </v>
      </c>
    </row>
    <row r="470" spans="1:21" x14ac:dyDescent="0.3">
      <c r="A470" s="27" t="s">
        <v>1823</v>
      </c>
      <c r="B470" s="32" t="str">
        <f>_xlfn.XLOOKUP(TablaSTOCKINV[[#This Row],[SKU]],TablaINVENTARIO[SKU],TablaINVENTARIO[DESCRIPCION])</f>
        <v xml:space="preserve">VERNIER DIGITAL </v>
      </c>
      <c r="C470" s="32" t="str">
        <f>_xlfn.XLOOKUP(TablaSTOCKINV[[#This Row],[SKU]],TablaINVENTARIO[SKU],TablaINVENTARIO[MARCA])</f>
        <v xml:space="preserve">STANLEY </v>
      </c>
      <c r="D470" s="33" t="str">
        <f>_xlfn.XLOOKUP(TablaSTOCKINV[[#This Row],[SKU]],TablaINVENTARIO[SKU],TablaINVENTARIO[CATEGORIA])</f>
        <v>HERRAMIENTAS_</v>
      </c>
      <c r="E470" s="33" t="str">
        <f>_xlfn.XLOOKUP(TablaSTOCKINV[[#This Row],[SKU]],TablaINVENTARIO[SKU],TablaINVENTARIO[SUBCATEGORIA])</f>
        <v>INSTRUMENTO DE MEDICIÓN</v>
      </c>
      <c r="F470" s="33" t="str">
        <f>_xlfn.XLOOKUP(TablaSTOCKINV[[#This Row],[SKU]],TablaINVENTARIO[SKU],TablaINVENTARIO[ESTADO])</f>
        <v>NUEVO</v>
      </c>
      <c r="G470" s="33" t="str">
        <f>_xlfn.XLOOKUP(TablaSTOCKINV[[#This Row],[SKU]],TablaINVENTARIO[SKU],TablaINVENTARIO[MEDIDA])</f>
        <v xml:space="preserve">UND </v>
      </c>
      <c r="H470" s="33" t="str">
        <f>_xlfn.XLOOKUP(TablaSTOCKINV[[#This Row],[SKU]],TablaINVENTARIO[SKU],TablaINVENTARIO[SERIAL])</f>
        <v>N/A</v>
      </c>
      <c r="I470" s="34" t="str">
        <f>_xlfn.XLOOKUP(TablaSTOCKINV[[#This Row],[SKU]],TablaINVENTARIO[SKU],TablaINVENTARIO[ALMACEN])</f>
        <v>ALMACEN PRINCIPAL</v>
      </c>
      <c r="J470" s="34" t="str">
        <f>_xlfn.XLOOKUP(TablaSTOCKINV[[#This Row],[SKU]],TablaINVENTARIO[SKU],TablaINVENTARIO[UBICACION])</f>
        <v>2B</v>
      </c>
      <c r="K470" s="34" t="str">
        <f>_xlfn.XLOOKUP(TablaSTOCKINV[[#This Row],[SKU]],TablaINVENTARIO[SKU],TablaINVENTARIO[DPTO RESPONSABLE])</f>
        <v xml:space="preserve">OPERACIONES </v>
      </c>
      <c r="L470" s="36">
        <f>_xlfn.XLOOKUP(TablaSTOCKINV[[#This Row],[SKU]],TablaINVENTARIO[SKU],TablaINVENTARIO[RANGO MIN])</f>
        <v>0</v>
      </c>
      <c r="M470" s="34" cm="1">
        <f t="array" ref="M470">_xlfn.IFS(TablaSTOCKINV[[#This Row],[CANT. TOTAL]]&lt;=0,1,TablaSTOCKINV[[#This Row],[CANT. TOTAL]]&lt;=TablaSTOCKINV[[#This Row],[MIN]],2,TablaSTOCKINV[[#This Row],[CANT. TOTAL]]&gt;TablaSTOCKINV[[#This Row],[MIN]],3)</f>
        <v>3</v>
      </c>
      <c r="N470" s="34">
        <f>TablaSTOCKINV[[#This Row],[ENTRADAS]]-TablaSTOCKINV[[#This Row],[SALIDAS]]</f>
        <v>1</v>
      </c>
      <c r="O470" s="35">
        <f>SUMIFS(TablaENTRADA[CANT],TablaENTRADA[SKU],TablaSTOCKINV[[#This Row],[SKU]])</f>
        <v>1</v>
      </c>
      <c r="P470" s="35">
        <f>SUMIFS(TablaSALIDA[CANT],TablaSALIDA[SKU],TablaSTOCKINV[[#This Row],[SKU]])</f>
        <v>0</v>
      </c>
      <c r="Q470" s="34">
        <f>_xlfn.XLOOKUP(TablaSTOCKINV[[#This Row],[SKU]],TablaINVENTARIO[SKU],TablaINVENTARIO[PRECIO])</f>
        <v>0</v>
      </c>
      <c r="R470" s="34">
        <f>TablaSTOCKINV[[#This Row],[P.UNITARIO]]*TablaSTOCKINV[[#This Row],[CANT. TOTAL]]</f>
        <v>0</v>
      </c>
      <c r="S470" s="44">
        <f>_xlfn.XLOOKUP(TablaSTOCKINV[[#This Row],[SKU]],TablaINVENTARIO[SKU],TablaINVENTARIO[FECHA INGRESO])</f>
        <v>46023</v>
      </c>
      <c r="T470" s="44">
        <f>_xlfn.XLOOKUP(TablaSTOCKINV[[#This Row],[SKU]],TablaENTRADA[SKU],TablaENTRADA[FECHA],,0,-1)</f>
        <v>46023</v>
      </c>
      <c r="U470" s="46" t="str">
        <f>IFERROR((_xlfn.XLOOKUP(TablaSTOCKINV[[#This Row],[SKU]],TablaSALIDA[SKU],TablaSALIDA[FECHA],,0,-1))," " )</f>
        <v xml:space="preserve"> </v>
      </c>
    </row>
    <row r="471" spans="1:21" x14ac:dyDescent="0.3">
      <c r="A471" s="27" t="s">
        <v>1825</v>
      </c>
      <c r="B471" s="32" t="str">
        <f>_xlfn.XLOOKUP(TablaSTOCKINV[[#This Row],[SKU]],TablaINVENTARIO[SKU],TablaINVENTARIO[DESCRIPCION])</f>
        <v xml:space="preserve">PINZA DE ATERRAMIENTO 500 AMP </v>
      </c>
      <c r="C471" s="32" t="str">
        <f>_xlfn.XLOOKUP(TablaSTOCKINV[[#This Row],[SKU]],TablaINVENTARIO[SKU],TablaINVENTARIO[MARCA])</f>
        <v xml:space="preserve">ALFAWELD </v>
      </c>
      <c r="D471" s="33" t="str">
        <f>_xlfn.XLOOKUP(TablaSTOCKINV[[#This Row],[SKU]],TablaINVENTARIO[SKU],TablaINVENTARIO[CATEGORIA])</f>
        <v>HERRAMIENTAS_</v>
      </c>
      <c r="E471" s="33" t="str">
        <f>_xlfn.XLOOKUP(TablaSTOCKINV[[#This Row],[SKU]],TablaINVENTARIO[SKU],TablaINVENTARIO[SUBCATEGORIA])</f>
        <v xml:space="preserve">HERRAMIENTA ELÉCTRICA </v>
      </c>
      <c r="F471" s="33" t="str">
        <f>_xlfn.XLOOKUP(TablaSTOCKINV[[#This Row],[SKU]],TablaINVENTARIO[SKU],TablaINVENTARIO[ESTADO])</f>
        <v>NUEVO</v>
      </c>
      <c r="G471" s="33" t="str">
        <f>_xlfn.XLOOKUP(TablaSTOCKINV[[#This Row],[SKU]],TablaINVENTARIO[SKU],TablaINVENTARIO[MEDIDA])</f>
        <v xml:space="preserve">UND </v>
      </c>
      <c r="H471" s="33" t="str">
        <f>_xlfn.XLOOKUP(TablaSTOCKINV[[#This Row],[SKU]],TablaINVENTARIO[SKU],TablaINVENTARIO[SERIAL])</f>
        <v>N/A</v>
      </c>
      <c r="I471" s="34" t="str">
        <f>_xlfn.XLOOKUP(TablaSTOCKINV[[#This Row],[SKU]],TablaINVENTARIO[SKU],TablaINVENTARIO[ALMACEN])</f>
        <v>ALMACEN PRINCIPAL</v>
      </c>
      <c r="J471" s="34" t="str">
        <f>_xlfn.XLOOKUP(TablaSTOCKINV[[#This Row],[SKU]],TablaINVENTARIO[SKU],TablaINVENTARIO[UBICACION])</f>
        <v>2B</v>
      </c>
      <c r="K471" s="34" t="str">
        <f>_xlfn.XLOOKUP(TablaSTOCKINV[[#This Row],[SKU]],TablaINVENTARIO[SKU],TablaINVENTARIO[DPTO RESPONSABLE])</f>
        <v>MANTENIMIENTO</v>
      </c>
      <c r="L471" s="36">
        <f>_xlfn.XLOOKUP(TablaSTOCKINV[[#This Row],[SKU]],TablaINVENTARIO[SKU],TablaINVENTARIO[RANGO MIN])</f>
        <v>0</v>
      </c>
      <c r="M471" s="34" cm="1">
        <f t="array" ref="M471">_xlfn.IFS(TablaSTOCKINV[[#This Row],[CANT. TOTAL]]&lt;=0,1,TablaSTOCKINV[[#This Row],[CANT. TOTAL]]&lt;=TablaSTOCKINV[[#This Row],[MIN]],2,TablaSTOCKINV[[#This Row],[CANT. TOTAL]]&gt;TablaSTOCKINV[[#This Row],[MIN]],3)</f>
        <v>3</v>
      </c>
      <c r="N471" s="34">
        <f>TablaSTOCKINV[[#This Row],[ENTRADAS]]-TablaSTOCKINV[[#This Row],[SALIDAS]]</f>
        <v>1</v>
      </c>
      <c r="O471" s="35">
        <f>SUMIFS(TablaENTRADA[CANT],TablaENTRADA[SKU],TablaSTOCKINV[[#This Row],[SKU]])</f>
        <v>1</v>
      </c>
      <c r="P471" s="35">
        <f>SUMIFS(TablaSALIDA[CANT],TablaSALIDA[SKU],TablaSTOCKINV[[#This Row],[SKU]])</f>
        <v>0</v>
      </c>
      <c r="Q471" s="34">
        <f>_xlfn.XLOOKUP(TablaSTOCKINV[[#This Row],[SKU]],TablaINVENTARIO[SKU],TablaINVENTARIO[PRECIO])</f>
        <v>0</v>
      </c>
      <c r="R471" s="34">
        <f>TablaSTOCKINV[[#This Row],[P.UNITARIO]]*TablaSTOCKINV[[#This Row],[CANT. TOTAL]]</f>
        <v>0</v>
      </c>
      <c r="S471" s="44">
        <f>_xlfn.XLOOKUP(TablaSTOCKINV[[#This Row],[SKU]],TablaINVENTARIO[SKU],TablaINVENTARIO[FECHA INGRESO])</f>
        <v>46023</v>
      </c>
      <c r="T471" s="44">
        <f>_xlfn.XLOOKUP(TablaSTOCKINV[[#This Row],[SKU]],TablaENTRADA[SKU],TablaENTRADA[FECHA],,0,-1)</f>
        <v>46023</v>
      </c>
      <c r="U471" s="46" t="str">
        <f>IFERROR((_xlfn.XLOOKUP(TablaSTOCKINV[[#This Row],[SKU]],TablaSALIDA[SKU],TablaSALIDA[FECHA],,0,-1))," " )</f>
        <v xml:space="preserve"> </v>
      </c>
    </row>
    <row r="472" spans="1:21" x14ac:dyDescent="0.3">
      <c r="A472" s="27" t="s">
        <v>1828</v>
      </c>
      <c r="B472" s="32" t="str">
        <f>_xlfn.XLOOKUP(TablaSTOCKINV[[#This Row],[SKU]],TablaINVENTARIO[SKU],TablaINVENTARIO[DESCRIPCION])</f>
        <v xml:space="preserve">BROCAS CONICAS </v>
      </c>
      <c r="C472" s="32" t="str">
        <f>_xlfn.XLOOKUP(TablaSTOCKINV[[#This Row],[SKU]],TablaINVENTARIO[SKU],TablaINVENTARIO[MARCA])</f>
        <v>N/A</v>
      </c>
      <c r="D472" s="33" t="str">
        <f>_xlfn.XLOOKUP(TablaSTOCKINV[[#This Row],[SKU]],TablaINVENTARIO[SKU],TablaINVENTARIO[CATEGORIA])</f>
        <v>HERRAMIENTAS_</v>
      </c>
      <c r="E472" s="33" t="str">
        <f>_xlfn.XLOOKUP(TablaSTOCKINV[[#This Row],[SKU]],TablaINVENTARIO[SKU],TablaINVENTARIO[SUBCATEGORIA])</f>
        <v xml:space="preserve">HERRAMIENTA DE MANO </v>
      </c>
      <c r="F472" s="33" t="str">
        <f>_xlfn.XLOOKUP(TablaSTOCKINV[[#This Row],[SKU]],TablaINVENTARIO[SKU],TablaINVENTARIO[ESTADO])</f>
        <v>NUEVO</v>
      </c>
      <c r="G472" s="33" t="str">
        <f>_xlfn.XLOOKUP(TablaSTOCKINV[[#This Row],[SKU]],TablaINVENTARIO[SKU],TablaINVENTARIO[MEDIDA])</f>
        <v>KIT</v>
      </c>
      <c r="H472" s="33" t="str">
        <f>_xlfn.XLOOKUP(TablaSTOCKINV[[#This Row],[SKU]],TablaINVENTARIO[SKU],TablaINVENTARIO[SERIAL])</f>
        <v>N/A</v>
      </c>
      <c r="I472" s="34" t="str">
        <f>_xlfn.XLOOKUP(TablaSTOCKINV[[#This Row],[SKU]],TablaINVENTARIO[SKU],TablaINVENTARIO[ALMACEN])</f>
        <v>ALMACEN PRINCIPAL</v>
      </c>
      <c r="J472" s="34" t="str">
        <f>_xlfn.XLOOKUP(TablaSTOCKINV[[#This Row],[SKU]],TablaINVENTARIO[SKU],TablaINVENTARIO[UBICACION])</f>
        <v>2B</v>
      </c>
      <c r="K472" s="34" t="str">
        <f>_xlfn.XLOOKUP(TablaSTOCKINV[[#This Row],[SKU]],TablaINVENTARIO[SKU],TablaINVENTARIO[DPTO RESPONSABLE])</f>
        <v xml:space="preserve">OPERACIONES </v>
      </c>
      <c r="L472" s="36">
        <f>_xlfn.XLOOKUP(TablaSTOCKINV[[#This Row],[SKU]],TablaINVENTARIO[SKU],TablaINVENTARIO[RANGO MIN])</f>
        <v>0</v>
      </c>
      <c r="M472" s="34" cm="1">
        <f t="array" ref="M472">_xlfn.IFS(TablaSTOCKINV[[#This Row],[CANT. TOTAL]]&lt;=0,1,TablaSTOCKINV[[#This Row],[CANT. TOTAL]]&lt;=TablaSTOCKINV[[#This Row],[MIN]],2,TablaSTOCKINV[[#This Row],[CANT. TOTAL]]&gt;TablaSTOCKINV[[#This Row],[MIN]],3)</f>
        <v>3</v>
      </c>
      <c r="N472" s="34">
        <f>TablaSTOCKINV[[#This Row],[ENTRADAS]]-TablaSTOCKINV[[#This Row],[SALIDAS]]</f>
        <v>1</v>
      </c>
      <c r="O472" s="35">
        <f>SUMIFS(TablaENTRADA[CANT],TablaENTRADA[SKU],TablaSTOCKINV[[#This Row],[SKU]])</f>
        <v>1</v>
      </c>
      <c r="P472" s="35">
        <f>SUMIFS(TablaSALIDA[CANT],TablaSALIDA[SKU],TablaSTOCKINV[[#This Row],[SKU]])</f>
        <v>0</v>
      </c>
      <c r="Q472" s="34">
        <f>_xlfn.XLOOKUP(TablaSTOCKINV[[#This Row],[SKU]],TablaINVENTARIO[SKU],TablaINVENTARIO[PRECIO])</f>
        <v>0</v>
      </c>
      <c r="R472" s="34">
        <f>TablaSTOCKINV[[#This Row],[P.UNITARIO]]*TablaSTOCKINV[[#This Row],[CANT. TOTAL]]</f>
        <v>0</v>
      </c>
      <c r="S472" s="44">
        <f>_xlfn.XLOOKUP(TablaSTOCKINV[[#This Row],[SKU]],TablaINVENTARIO[SKU],TablaINVENTARIO[FECHA INGRESO])</f>
        <v>46023</v>
      </c>
      <c r="T472" s="44">
        <f>_xlfn.XLOOKUP(TablaSTOCKINV[[#This Row],[SKU]],TablaENTRADA[SKU],TablaENTRADA[FECHA],,0,-1)</f>
        <v>46023</v>
      </c>
      <c r="U472" s="46" t="str">
        <f>IFERROR((_xlfn.XLOOKUP(TablaSTOCKINV[[#This Row],[SKU]],TablaSALIDA[SKU],TablaSALIDA[FECHA],,0,-1))," " )</f>
        <v xml:space="preserve"> </v>
      </c>
    </row>
    <row r="473" spans="1:21" x14ac:dyDescent="0.3">
      <c r="A473" s="27" t="s">
        <v>1830</v>
      </c>
      <c r="B473" s="32" t="str">
        <f>_xlfn.XLOOKUP(TablaSTOCKINV[[#This Row],[SKU]],TablaINVENTARIO[SKU],TablaINVENTARIO[DESCRIPCION])</f>
        <v>PINZA AMPERIMETRICA MODELO: UT202+</v>
      </c>
      <c r="C473" s="32" t="str">
        <f>_xlfn.XLOOKUP(TablaSTOCKINV[[#This Row],[SKU]],TablaINVENTARIO[SKU],TablaINVENTARIO[MARCA])</f>
        <v>UNI-T</v>
      </c>
      <c r="D473" s="33" t="str">
        <f>_xlfn.XLOOKUP(TablaSTOCKINV[[#This Row],[SKU]],TablaINVENTARIO[SKU],TablaINVENTARIO[CATEGORIA])</f>
        <v>HERRAMIENTAS_</v>
      </c>
      <c r="E473" s="33" t="str">
        <f>_xlfn.XLOOKUP(TablaSTOCKINV[[#This Row],[SKU]],TablaINVENTARIO[SKU],TablaINVENTARIO[SUBCATEGORIA])</f>
        <v>INSTRUMENTO DE MEDICIÓN</v>
      </c>
      <c r="F473" s="33" t="str">
        <f>_xlfn.XLOOKUP(TablaSTOCKINV[[#This Row],[SKU]],TablaINVENTARIO[SKU],TablaINVENTARIO[ESTADO])</f>
        <v>USADO</v>
      </c>
      <c r="G473" s="33" t="str">
        <f>_xlfn.XLOOKUP(TablaSTOCKINV[[#This Row],[SKU]],TablaINVENTARIO[SKU],TablaINVENTARIO[MEDIDA])</f>
        <v xml:space="preserve">UND </v>
      </c>
      <c r="H473" s="33" t="str">
        <f>_xlfn.XLOOKUP(TablaSTOCKINV[[#This Row],[SKU]],TablaINVENTARIO[SKU],TablaINVENTARIO[SERIAL])</f>
        <v>C233072556</v>
      </c>
      <c r="I473" s="34" t="str">
        <f>_xlfn.XLOOKUP(TablaSTOCKINV[[#This Row],[SKU]],TablaINVENTARIO[SKU],TablaINVENTARIO[ALMACEN])</f>
        <v>ALMACEN PRINCIPAL</v>
      </c>
      <c r="J473" s="34" t="str">
        <f>_xlfn.XLOOKUP(TablaSTOCKINV[[#This Row],[SKU]],TablaINVENTARIO[SKU],TablaINVENTARIO[UBICACION])</f>
        <v>2B</v>
      </c>
      <c r="K473" s="34" t="str">
        <f>_xlfn.XLOOKUP(TablaSTOCKINV[[#This Row],[SKU]],TablaINVENTARIO[SKU],TablaINVENTARIO[DPTO RESPONSABLE])</f>
        <v xml:space="preserve">OPERACIONES </v>
      </c>
      <c r="L473" s="36">
        <f>_xlfn.XLOOKUP(TablaSTOCKINV[[#This Row],[SKU]],TablaINVENTARIO[SKU],TablaINVENTARIO[RANGO MIN])</f>
        <v>0</v>
      </c>
      <c r="M473" s="34" cm="1">
        <f t="array" ref="M473">_xlfn.IFS(TablaSTOCKINV[[#This Row],[CANT. TOTAL]]&lt;=0,1,TablaSTOCKINV[[#This Row],[CANT. TOTAL]]&lt;=TablaSTOCKINV[[#This Row],[MIN]],2,TablaSTOCKINV[[#This Row],[CANT. TOTAL]]&gt;TablaSTOCKINV[[#This Row],[MIN]],3)</f>
        <v>3</v>
      </c>
      <c r="N473" s="34">
        <f>TablaSTOCKINV[[#This Row],[ENTRADAS]]-TablaSTOCKINV[[#This Row],[SALIDAS]]</f>
        <v>1</v>
      </c>
      <c r="O473" s="35">
        <f>SUMIFS(TablaENTRADA[CANT],TablaENTRADA[SKU],TablaSTOCKINV[[#This Row],[SKU]])</f>
        <v>1</v>
      </c>
      <c r="P473" s="35">
        <f>SUMIFS(TablaSALIDA[CANT],TablaSALIDA[SKU],TablaSTOCKINV[[#This Row],[SKU]])</f>
        <v>0</v>
      </c>
      <c r="Q473" s="34">
        <f>_xlfn.XLOOKUP(TablaSTOCKINV[[#This Row],[SKU]],TablaINVENTARIO[SKU],TablaINVENTARIO[PRECIO])</f>
        <v>0</v>
      </c>
      <c r="R473" s="34">
        <f>TablaSTOCKINV[[#This Row],[P.UNITARIO]]*TablaSTOCKINV[[#This Row],[CANT. TOTAL]]</f>
        <v>0</v>
      </c>
      <c r="S473" s="44">
        <f>_xlfn.XLOOKUP(TablaSTOCKINV[[#This Row],[SKU]],TablaINVENTARIO[SKU],TablaINVENTARIO[FECHA INGRESO])</f>
        <v>46023</v>
      </c>
      <c r="T473" s="44">
        <f>_xlfn.XLOOKUP(TablaSTOCKINV[[#This Row],[SKU]],TablaENTRADA[SKU],TablaENTRADA[FECHA],,0,-1)</f>
        <v>46023</v>
      </c>
      <c r="U473" s="46" t="str">
        <f>IFERROR((_xlfn.XLOOKUP(TablaSTOCKINV[[#This Row],[SKU]],TablaSALIDA[SKU],TablaSALIDA[FECHA],,0,-1))," " )</f>
        <v xml:space="preserve"> </v>
      </c>
    </row>
    <row r="474" spans="1:21" x14ac:dyDescent="0.3">
      <c r="A474" s="27" t="s">
        <v>1834</v>
      </c>
      <c r="B474" s="32" t="str">
        <f>_xlfn.XLOOKUP(TablaSTOCKINV[[#This Row],[SKU]],TablaINVENTARIO[SKU],TablaINVENTARIO[DESCRIPCION])</f>
        <v>CAUTIN 110V 200-450°C 60W</v>
      </c>
      <c r="C474" s="32" t="str">
        <f>_xlfn.XLOOKUP(TablaSTOCKINV[[#This Row],[SKU]],TablaINVENTARIO[SKU],TablaINVENTARIO[MARCA])</f>
        <v>SMRAZA</v>
      </c>
      <c r="D474" s="33" t="str">
        <f>_xlfn.XLOOKUP(TablaSTOCKINV[[#This Row],[SKU]],TablaINVENTARIO[SKU],TablaINVENTARIO[CATEGORIA])</f>
        <v>HERRAMIENTAS_</v>
      </c>
      <c r="E474" s="33" t="str">
        <f>_xlfn.XLOOKUP(TablaSTOCKINV[[#This Row],[SKU]],TablaINVENTARIO[SKU],TablaINVENTARIO[SUBCATEGORIA])</f>
        <v xml:space="preserve">HERRAMIENTA DE MANO </v>
      </c>
      <c r="F474" s="33" t="str">
        <f>_xlfn.XLOOKUP(TablaSTOCKINV[[#This Row],[SKU]],TablaINVENTARIO[SKU],TablaINVENTARIO[ESTADO])</f>
        <v>USADO</v>
      </c>
      <c r="G474" s="33" t="str">
        <f>_xlfn.XLOOKUP(TablaSTOCKINV[[#This Row],[SKU]],TablaINVENTARIO[SKU],TablaINVENTARIO[MEDIDA])</f>
        <v xml:space="preserve">UND </v>
      </c>
      <c r="H474" s="33" t="str">
        <f>_xlfn.XLOOKUP(TablaSTOCKINV[[#This Row],[SKU]],TablaINVENTARIO[SKU],TablaINVENTARIO[SERIAL])</f>
        <v>N/A</v>
      </c>
      <c r="I474" s="34" t="str">
        <f>_xlfn.XLOOKUP(TablaSTOCKINV[[#This Row],[SKU]],TablaINVENTARIO[SKU],TablaINVENTARIO[ALMACEN])</f>
        <v>ALMACEN PRINCIPAL</v>
      </c>
      <c r="J474" s="34" t="str">
        <f>_xlfn.XLOOKUP(TablaSTOCKINV[[#This Row],[SKU]],TablaINVENTARIO[SKU],TablaINVENTARIO[UBICACION])</f>
        <v>2B</v>
      </c>
      <c r="K474" s="34" t="str">
        <f>_xlfn.XLOOKUP(TablaSTOCKINV[[#This Row],[SKU]],TablaINVENTARIO[SKU],TablaINVENTARIO[DPTO RESPONSABLE])</f>
        <v xml:space="preserve">OPERACIONES </v>
      </c>
      <c r="L474" s="36">
        <f>_xlfn.XLOOKUP(TablaSTOCKINV[[#This Row],[SKU]],TablaINVENTARIO[SKU],TablaINVENTARIO[RANGO MIN])</f>
        <v>0</v>
      </c>
      <c r="M474" s="34" cm="1">
        <f t="array" ref="M474">_xlfn.IFS(TablaSTOCKINV[[#This Row],[CANT. TOTAL]]&lt;=0,1,TablaSTOCKINV[[#This Row],[CANT. TOTAL]]&lt;=TablaSTOCKINV[[#This Row],[MIN]],2,TablaSTOCKINV[[#This Row],[CANT. TOTAL]]&gt;TablaSTOCKINV[[#This Row],[MIN]],3)</f>
        <v>3</v>
      </c>
      <c r="N474" s="34">
        <f>TablaSTOCKINV[[#This Row],[ENTRADAS]]-TablaSTOCKINV[[#This Row],[SALIDAS]]</f>
        <v>2</v>
      </c>
      <c r="O474" s="35">
        <f>SUMIFS(TablaENTRADA[CANT],TablaENTRADA[SKU],TablaSTOCKINV[[#This Row],[SKU]])</f>
        <v>2</v>
      </c>
      <c r="P474" s="35">
        <f>SUMIFS(TablaSALIDA[CANT],TablaSALIDA[SKU],TablaSTOCKINV[[#This Row],[SKU]])</f>
        <v>0</v>
      </c>
      <c r="Q474" s="34">
        <f>_xlfn.XLOOKUP(TablaSTOCKINV[[#This Row],[SKU]],TablaINVENTARIO[SKU],TablaINVENTARIO[PRECIO])</f>
        <v>0</v>
      </c>
      <c r="R474" s="34">
        <f>TablaSTOCKINV[[#This Row],[P.UNITARIO]]*TablaSTOCKINV[[#This Row],[CANT. TOTAL]]</f>
        <v>0</v>
      </c>
      <c r="S474" s="44">
        <f>_xlfn.XLOOKUP(TablaSTOCKINV[[#This Row],[SKU]],TablaINVENTARIO[SKU],TablaINVENTARIO[FECHA INGRESO])</f>
        <v>46023</v>
      </c>
      <c r="T474" s="44">
        <f>_xlfn.XLOOKUP(TablaSTOCKINV[[#This Row],[SKU]],TablaENTRADA[SKU],TablaENTRADA[FECHA],,0,-1)</f>
        <v>46023</v>
      </c>
      <c r="U474" s="46" t="str">
        <f>IFERROR((_xlfn.XLOOKUP(TablaSTOCKINV[[#This Row],[SKU]],TablaSALIDA[SKU],TablaSALIDA[FECHA],,0,-1))," " )</f>
        <v xml:space="preserve"> </v>
      </c>
    </row>
    <row r="475" spans="1:21" x14ac:dyDescent="0.3">
      <c r="A475" s="27" t="s">
        <v>1837</v>
      </c>
      <c r="B475" s="32" t="str">
        <f>_xlfn.XLOOKUP(TablaSTOCKINV[[#This Row],[SKU]],TablaINVENTARIO[SKU],TablaINVENTARIO[DESCRIPCION])</f>
        <v>TERMOMETRO MODELO: 62 MINI</v>
      </c>
      <c r="C475" s="32" t="str">
        <f>_xlfn.XLOOKUP(TablaSTOCKINV[[#This Row],[SKU]],TablaINVENTARIO[SKU],TablaINVENTARIO[MARCA])</f>
        <v xml:space="preserve">FLUKE </v>
      </c>
      <c r="D475" s="33" t="str">
        <f>_xlfn.XLOOKUP(TablaSTOCKINV[[#This Row],[SKU]],TablaINVENTARIO[SKU],TablaINVENTARIO[CATEGORIA])</f>
        <v>HERRAMIENTAS_</v>
      </c>
      <c r="E475" s="33" t="str">
        <f>_xlfn.XLOOKUP(TablaSTOCKINV[[#This Row],[SKU]],TablaINVENTARIO[SKU],TablaINVENTARIO[SUBCATEGORIA])</f>
        <v>INSTRUMENTO DE MEDICIÓN</v>
      </c>
      <c r="F475" s="33" t="str">
        <f>_xlfn.XLOOKUP(TablaSTOCKINV[[#This Row],[SKU]],TablaINVENTARIO[SKU],TablaINVENTARIO[ESTADO])</f>
        <v>USADO</v>
      </c>
      <c r="G475" s="33" t="str">
        <f>_xlfn.XLOOKUP(TablaSTOCKINV[[#This Row],[SKU]],TablaINVENTARIO[SKU],TablaINVENTARIO[MEDIDA])</f>
        <v xml:space="preserve">UND </v>
      </c>
      <c r="H475" s="33">
        <f>_xlfn.XLOOKUP(TablaSTOCKINV[[#This Row],[SKU]],TablaINVENTARIO[SKU],TablaINVENTARIO[SERIAL])</f>
        <v>90940315</v>
      </c>
      <c r="I475" s="34" t="str">
        <f>_xlfn.XLOOKUP(TablaSTOCKINV[[#This Row],[SKU]],TablaINVENTARIO[SKU],TablaINVENTARIO[ALMACEN])</f>
        <v>ALMACEN PRINCIPAL</v>
      </c>
      <c r="J475" s="34" t="str">
        <f>_xlfn.XLOOKUP(TablaSTOCKINV[[#This Row],[SKU]],TablaINVENTARIO[SKU],TablaINVENTARIO[UBICACION])</f>
        <v>2B</v>
      </c>
      <c r="K475" s="34" t="str">
        <f>_xlfn.XLOOKUP(TablaSTOCKINV[[#This Row],[SKU]],TablaINVENTARIO[SKU],TablaINVENTARIO[DPTO RESPONSABLE])</f>
        <v xml:space="preserve">OPERACIONES </v>
      </c>
      <c r="L475" s="36">
        <f>_xlfn.XLOOKUP(TablaSTOCKINV[[#This Row],[SKU]],TablaINVENTARIO[SKU],TablaINVENTARIO[RANGO MIN])</f>
        <v>0</v>
      </c>
      <c r="M475" s="34" cm="1">
        <f t="array" ref="M475">_xlfn.IFS(TablaSTOCKINV[[#This Row],[CANT. TOTAL]]&lt;=0,1,TablaSTOCKINV[[#This Row],[CANT. TOTAL]]&lt;=TablaSTOCKINV[[#This Row],[MIN]],2,TablaSTOCKINV[[#This Row],[CANT. TOTAL]]&gt;TablaSTOCKINV[[#This Row],[MIN]],3)</f>
        <v>3</v>
      </c>
      <c r="N475" s="34">
        <f>TablaSTOCKINV[[#This Row],[ENTRADAS]]-TablaSTOCKINV[[#This Row],[SALIDAS]]</f>
        <v>1</v>
      </c>
      <c r="O475" s="35">
        <f>SUMIFS(TablaENTRADA[CANT],TablaENTRADA[SKU],TablaSTOCKINV[[#This Row],[SKU]])</f>
        <v>1</v>
      </c>
      <c r="P475" s="35">
        <f>SUMIFS(TablaSALIDA[CANT],TablaSALIDA[SKU],TablaSTOCKINV[[#This Row],[SKU]])</f>
        <v>0</v>
      </c>
      <c r="Q475" s="34">
        <f>_xlfn.XLOOKUP(TablaSTOCKINV[[#This Row],[SKU]],TablaINVENTARIO[SKU],TablaINVENTARIO[PRECIO])</f>
        <v>0</v>
      </c>
      <c r="R475" s="34">
        <f>TablaSTOCKINV[[#This Row],[P.UNITARIO]]*TablaSTOCKINV[[#This Row],[CANT. TOTAL]]</f>
        <v>0</v>
      </c>
      <c r="S475" s="44">
        <f>_xlfn.XLOOKUP(TablaSTOCKINV[[#This Row],[SKU]],TablaINVENTARIO[SKU],TablaINVENTARIO[FECHA INGRESO])</f>
        <v>46023</v>
      </c>
      <c r="T475" s="44">
        <f>_xlfn.XLOOKUP(TablaSTOCKINV[[#This Row],[SKU]],TablaENTRADA[SKU],TablaENTRADA[FECHA],,0,-1)</f>
        <v>46023</v>
      </c>
      <c r="U475" s="46" t="str">
        <f>IFERROR((_xlfn.XLOOKUP(TablaSTOCKINV[[#This Row],[SKU]],TablaSALIDA[SKU],TablaSALIDA[FECHA],,0,-1))," " )</f>
        <v xml:space="preserve"> </v>
      </c>
    </row>
    <row r="476" spans="1:21" x14ac:dyDescent="0.3">
      <c r="A476" s="27" t="s">
        <v>1839</v>
      </c>
      <c r="B476" s="32" t="str">
        <f>_xlfn.XLOOKUP(TablaSTOCKINV[[#This Row],[SKU]],TablaINVENTARIO[SKU],TablaINVENTARIO[DESCRIPCION])</f>
        <v>TERMOMETRO MODELO: 62 MINI</v>
      </c>
      <c r="C476" s="32" t="str">
        <f>_xlfn.XLOOKUP(TablaSTOCKINV[[#This Row],[SKU]],TablaINVENTARIO[SKU],TablaINVENTARIO[MARCA])</f>
        <v xml:space="preserve">FLUKE </v>
      </c>
      <c r="D476" s="33" t="str">
        <f>_xlfn.XLOOKUP(TablaSTOCKINV[[#This Row],[SKU]],TablaINVENTARIO[SKU],TablaINVENTARIO[CATEGORIA])</f>
        <v>HERRAMIENTAS_</v>
      </c>
      <c r="E476" s="33" t="str">
        <f>_xlfn.XLOOKUP(TablaSTOCKINV[[#This Row],[SKU]],TablaINVENTARIO[SKU],TablaINVENTARIO[SUBCATEGORIA])</f>
        <v>INSTRUMENTO DE MEDICIÓN</v>
      </c>
      <c r="F476" s="33" t="str">
        <f>_xlfn.XLOOKUP(TablaSTOCKINV[[#This Row],[SKU]],TablaINVENTARIO[SKU],TablaINVENTARIO[ESTADO])</f>
        <v>USADO</v>
      </c>
      <c r="G476" s="33" t="str">
        <f>_xlfn.XLOOKUP(TablaSTOCKINV[[#This Row],[SKU]],TablaINVENTARIO[SKU],TablaINVENTARIO[MEDIDA])</f>
        <v xml:space="preserve">UND </v>
      </c>
      <c r="H476" s="33">
        <f>_xlfn.XLOOKUP(TablaSTOCKINV[[#This Row],[SKU]],TablaINVENTARIO[SKU],TablaINVENTARIO[SERIAL])</f>
        <v>90940134</v>
      </c>
      <c r="I476" s="34" t="str">
        <f>_xlfn.XLOOKUP(TablaSTOCKINV[[#This Row],[SKU]],TablaINVENTARIO[SKU],TablaINVENTARIO[ALMACEN])</f>
        <v>ALMACEN PRINCIPAL</v>
      </c>
      <c r="J476" s="34" t="str">
        <f>_xlfn.XLOOKUP(TablaSTOCKINV[[#This Row],[SKU]],TablaINVENTARIO[SKU],TablaINVENTARIO[UBICACION])</f>
        <v>2B</v>
      </c>
      <c r="K476" s="34" t="str">
        <f>_xlfn.XLOOKUP(TablaSTOCKINV[[#This Row],[SKU]],TablaINVENTARIO[SKU],TablaINVENTARIO[DPTO RESPONSABLE])</f>
        <v xml:space="preserve">OPERACIONES </v>
      </c>
      <c r="L476" s="36">
        <f>_xlfn.XLOOKUP(TablaSTOCKINV[[#This Row],[SKU]],TablaINVENTARIO[SKU],TablaINVENTARIO[RANGO MIN])</f>
        <v>0</v>
      </c>
      <c r="M476" s="34" cm="1">
        <f t="array" ref="M476">_xlfn.IFS(TablaSTOCKINV[[#This Row],[CANT. TOTAL]]&lt;=0,1,TablaSTOCKINV[[#This Row],[CANT. TOTAL]]&lt;=TablaSTOCKINV[[#This Row],[MIN]],2,TablaSTOCKINV[[#This Row],[CANT. TOTAL]]&gt;TablaSTOCKINV[[#This Row],[MIN]],3)</f>
        <v>3</v>
      </c>
      <c r="N476" s="34">
        <f>TablaSTOCKINV[[#This Row],[ENTRADAS]]-TablaSTOCKINV[[#This Row],[SALIDAS]]</f>
        <v>1</v>
      </c>
      <c r="O476" s="35">
        <f>SUMIFS(TablaENTRADA[CANT],TablaENTRADA[SKU],TablaSTOCKINV[[#This Row],[SKU]])</f>
        <v>1</v>
      </c>
      <c r="P476" s="35">
        <f>SUMIFS(TablaSALIDA[CANT],TablaSALIDA[SKU],TablaSTOCKINV[[#This Row],[SKU]])</f>
        <v>0</v>
      </c>
      <c r="Q476" s="34">
        <f>_xlfn.XLOOKUP(TablaSTOCKINV[[#This Row],[SKU]],TablaINVENTARIO[SKU],TablaINVENTARIO[PRECIO])</f>
        <v>0</v>
      </c>
      <c r="R476" s="34">
        <f>TablaSTOCKINV[[#This Row],[P.UNITARIO]]*TablaSTOCKINV[[#This Row],[CANT. TOTAL]]</f>
        <v>0</v>
      </c>
      <c r="S476" s="44">
        <f>_xlfn.XLOOKUP(TablaSTOCKINV[[#This Row],[SKU]],TablaINVENTARIO[SKU],TablaINVENTARIO[FECHA INGRESO])</f>
        <v>46023</v>
      </c>
      <c r="T476" s="44">
        <f>_xlfn.XLOOKUP(TablaSTOCKINV[[#This Row],[SKU]],TablaENTRADA[SKU],TablaENTRADA[FECHA],,0,-1)</f>
        <v>46023</v>
      </c>
      <c r="U476" s="46" t="str">
        <f>IFERROR((_xlfn.XLOOKUP(TablaSTOCKINV[[#This Row],[SKU]],TablaSALIDA[SKU],TablaSALIDA[FECHA],,0,-1))," " )</f>
        <v xml:space="preserve"> </v>
      </c>
    </row>
    <row r="477" spans="1:21" x14ac:dyDescent="0.3">
      <c r="A477" s="27" t="s">
        <v>1840</v>
      </c>
      <c r="B477" s="32" t="str">
        <f>_xlfn.XLOOKUP(TablaSTOCKINV[[#This Row],[SKU]],TablaINVENTARIO[SKU],TablaINVENTARIO[DESCRIPCION])</f>
        <v xml:space="preserve">TACHOMETER DIGITAL </v>
      </c>
      <c r="C477" s="32" t="str">
        <f>_xlfn.XLOOKUP(TablaSTOCKINV[[#This Row],[SKU]],TablaINVENTARIO[SKU],TablaINVENTARIO[MARCA])</f>
        <v>N/A</v>
      </c>
      <c r="D477" s="33" t="str">
        <f>_xlfn.XLOOKUP(TablaSTOCKINV[[#This Row],[SKU]],TablaINVENTARIO[SKU],TablaINVENTARIO[CATEGORIA])</f>
        <v>HERRAMIENTAS_</v>
      </c>
      <c r="E477" s="33" t="str">
        <f>_xlfn.XLOOKUP(TablaSTOCKINV[[#This Row],[SKU]],TablaINVENTARIO[SKU],TablaINVENTARIO[SUBCATEGORIA])</f>
        <v>INSTRUMENTO DE MEDICIÓN</v>
      </c>
      <c r="F477" s="33" t="str">
        <f>_xlfn.XLOOKUP(TablaSTOCKINV[[#This Row],[SKU]],TablaINVENTARIO[SKU],TablaINVENTARIO[ESTADO])</f>
        <v>USADO</v>
      </c>
      <c r="G477" s="33" t="str">
        <f>_xlfn.XLOOKUP(TablaSTOCKINV[[#This Row],[SKU]],TablaINVENTARIO[SKU],TablaINVENTARIO[MEDIDA])</f>
        <v xml:space="preserve">UND </v>
      </c>
      <c r="H477" s="33" t="str">
        <f>_xlfn.XLOOKUP(TablaSTOCKINV[[#This Row],[SKU]],TablaINVENTARIO[SKU],TablaINVENTARIO[SERIAL])</f>
        <v>N/A</v>
      </c>
      <c r="I477" s="34" t="str">
        <f>_xlfn.XLOOKUP(TablaSTOCKINV[[#This Row],[SKU]],TablaINVENTARIO[SKU],TablaINVENTARIO[ALMACEN])</f>
        <v>ALMACEN PRINCIPAL</v>
      </c>
      <c r="J477" s="34" t="str">
        <f>_xlfn.XLOOKUP(TablaSTOCKINV[[#This Row],[SKU]],TablaINVENTARIO[SKU],TablaINVENTARIO[UBICACION])</f>
        <v>2B</v>
      </c>
      <c r="K477" s="34" t="str">
        <f>_xlfn.XLOOKUP(TablaSTOCKINV[[#This Row],[SKU]],TablaINVENTARIO[SKU],TablaINVENTARIO[DPTO RESPONSABLE])</f>
        <v xml:space="preserve">OPERACIONES </v>
      </c>
      <c r="L477" s="36">
        <f>_xlfn.XLOOKUP(TablaSTOCKINV[[#This Row],[SKU]],TablaINVENTARIO[SKU],TablaINVENTARIO[RANGO MIN])</f>
        <v>0</v>
      </c>
      <c r="M477" s="34" cm="1">
        <f t="array" ref="M477">_xlfn.IFS(TablaSTOCKINV[[#This Row],[CANT. TOTAL]]&lt;=0,1,TablaSTOCKINV[[#This Row],[CANT. TOTAL]]&lt;=TablaSTOCKINV[[#This Row],[MIN]],2,TablaSTOCKINV[[#This Row],[CANT. TOTAL]]&gt;TablaSTOCKINV[[#This Row],[MIN]],3)</f>
        <v>3</v>
      </c>
      <c r="N477" s="34">
        <f>TablaSTOCKINV[[#This Row],[ENTRADAS]]-TablaSTOCKINV[[#This Row],[SALIDAS]]</f>
        <v>2</v>
      </c>
      <c r="O477" s="35">
        <f>SUMIFS(TablaENTRADA[CANT],TablaENTRADA[SKU],TablaSTOCKINV[[#This Row],[SKU]])</f>
        <v>2</v>
      </c>
      <c r="P477" s="35">
        <f>SUMIFS(TablaSALIDA[CANT],TablaSALIDA[SKU],TablaSTOCKINV[[#This Row],[SKU]])</f>
        <v>0</v>
      </c>
      <c r="Q477" s="34">
        <f>_xlfn.XLOOKUP(TablaSTOCKINV[[#This Row],[SKU]],TablaINVENTARIO[SKU],TablaINVENTARIO[PRECIO])</f>
        <v>0</v>
      </c>
      <c r="R477" s="34">
        <f>TablaSTOCKINV[[#This Row],[P.UNITARIO]]*TablaSTOCKINV[[#This Row],[CANT. TOTAL]]</f>
        <v>0</v>
      </c>
      <c r="S477" s="44">
        <f>_xlfn.XLOOKUP(TablaSTOCKINV[[#This Row],[SKU]],TablaINVENTARIO[SKU],TablaINVENTARIO[FECHA INGRESO])</f>
        <v>46023</v>
      </c>
      <c r="T477" s="44">
        <f>_xlfn.XLOOKUP(TablaSTOCKINV[[#This Row],[SKU]],TablaENTRADA[SKU],TablaENTRADA[FECHA],,0,-1)</f>
        <v>46023</v>
      </c>
      <c r="U477" s="46" t="str">
        <f>IFERROR((_xlfn.XLOOKUP(TablaSTOCKINV[[#This Row],[SKU]],TablaSALIDA[SKU],TablaSALIDA[FECHA],,0,-1))," " )</f>
        <v xml:space="preserve"> </v>
      </c>
    </row>
    <row r="478" spans="1:21" x14ac:dyDescent="0.3">
      <c r="A478" s="27" t="s">
        <v>1842</v>
      </c>
      <c r="B478" s="32" t="str">
        <f>_xlfn.XLOOKUP(TablaSTOCKINV[[#This Row],[SKU]],TablaINVENTARIO[SKU],TablaINVENTARIO[DESCRIPCION])</f>
        <v>PINZA AMPERIMETRICA MODELO: MT 87</v>
      </c>
      <c r="C478" s="32" t="str">
        <f>_xlfn.XLOOKUP(TablaSTOCKINV[[#This Row],[SKU]],TablaINVENTARIO[SKU],TablaINVENTARIO[MARCA])</f>
        <v>BECKER</v>
      </c>
      <c r="D478" s="33" t="str">
        <f>_xlfn.XLOOKUP(TablaSTOCKINV[[#This Row],[SKU]],TablaINVENTARIO[SKU],TablaINVENTARIO[CATEGORIA])</f>
        <v>HERRAMIENTAS_</v>
      </c>
      <c r="E478" s="33" t="str">
        <f>_xlfn.XLOOKUP(TablaSTOCKINV[[#This Row],[SKU]],TablaINVENTARIO[SKU],TablaINVENTARIO[SUBCATEGORIA])</f>
        <v>INSTRUMENTO DE MEDICIÓN</v>
      </c>
      <c r="F478" s="33" t="str">
        <f>_xlfn.XLOOKUP(TablaSTOCKINV[[#This Row],[SKU]],TablaINVENTARIO[SKU],TablaINVENTARIO[ESTADO])</f>
        <v>DAÑADA</v>
      </c>
      <c r="G478" s="33" t="str">
        <f>_xlfn.XLOOKUP(TablaSTOCKINV[[#This Row],[SKU]],TablaINVENTARIO[SKU],TablaINVENTARIO[MEDIDA])</f>
        <v xml:space="preserve">UND </v>
      </c>
      <c r="H478" s="33">
        <f>_xlfn.XLOOKUP(TablaSTOCKINV[[#This Row],[SKU]],TablaINVENTARIO[SKU],TablaINVENTARIO[SERIAL])</f>
        <v>8001833</v>
      </c>
      <c r="I478" s="34" t="str">
        <f>_xlfn.XLOOKUP(TablaSTOCKINV[[#This Row],[SKU]],TablaINVENTARIO[SKU],TablaINVENTARIO[ALMACEN])</f>
        <v>ALMACEN PRINCIPAL</v>
      </c>
      <c r="J478" s="34" t="str">
        <f>_xlfn.XLOOKUP(TablaSTOCKINV[[#This Row],[SKU]],TablaINVENTARIO[SKU],TablaINVENTARIO[UBICACION])</f>
        <v>2B</v>
      </c>
      <c r="K478" s="34" t="str">
        <f>_xlfn.XLOOKUP(TablaSTOCKINV[[#This Row],[SKU]],TablaINVENTARIO[SKU],TablaINVENTARIO[DPTO RESPONSABLE])</f>
        <v xml:space="preserve">OPERACIONES </v>
      </c>
      <c r="L478" s="36">
        <f>_xlfn.XLOOKUP(TablaSTOCKINV[[#This Row],[SKU]],TablaINVENTARIO[SKU],TablaINVENTARIO[RANGO MIN])</f>
        <v>0</v>
      </c>
      <c r="M478" s="34" cm="1">
        <f t="array" ref="M478">_xlfn.IFS(TablaSTOCKINV[[#This Row],[CANT. TOTAL]]&lt;=0,1,TablaSTOCKINV[[#This Row],[CANT. TOTAL]]&lt;=TablaSTOCKINV[[#This Row],[MIN]],2,TablaSTOCKINV[[#This Row],[CANT. TOTAL]]&gt;TablaSTOCKINV[[#This Row],[MIN]],3)</f>
        <v>3</v>
      </c>
      <c r="N478" s="34">
        <f>TablaSTOCKINV[[#This Row],[ENTRADAS]]-TablaSTOCKINV[[#This Row],[SALIDAS]]</f>
        <v>1</v>
      </c>
      <c r="O478" s="35">
        <f>SUMIFS(TablaENTRADA[CANT],TablaENTRADA[SKU],TablaSTOCKINV[[#This Row],[SKU]])</f>
        <v>1</v>
      </c>
      <c r="P478" s="35">
        <f>SUMIFS(TablaSALIDA[CANT],TablaSALIDA[SKU],TablaSTOCKINV[[#This Row],[SKU]])</f>
        <v>0</v>
      </c>
      <c r="Q478" s="34">
        <f>_xlfn.XLOOKUP(TablaSTOCKINV[[#This Row],[SKU]],TablaINVENTARIO[SKU],TablaINVENTARIO[PRECIO])</f>
        <v>0</v>
      </c>
      <c r="R478" s="34">
        <f>TablaSTOCKINV[[#This Row],[P.UNITARIO]]*TablaSTOCKINV[[#This Row],[CANT. TOTAL]]</f>
        <v>0</v>
      </c>
      <c r="S478" s="44">
        <f>_xlfn.XLOOKUP(TablaSTOCKINV[[#This Row],[SKU]],TablaINVENTARIO[SKU],TablaINVENTARIO[FECHA INGRESO])</f>
        <v>46023</v>
      </c>
      <c r="T478" s="44">
        <f>_xlfn.XLOOKUP(TablaSTOCKINV[[#This Row],[SKU]],TablaENTRADA[SKU],TablaENTRADA[FECHA],,0,-1)</f>
        <v>46023</v>
      </c>
      <c r="U478" s="46" t="str">
        <f>IFERROR((_xlfn.XLOOKUP(TablaSTOCKINV[[#This Row],[SKU]],TablaSALIDA[SKU],TablaSALIDA[FECHA],,0,-1))," " )</f>
        <v xml:space="preserve"> </v>
      </c>
    </row>
    <row r="479" spans="1:21" x14ac:dyDescent="0.3">
      <c r="A479" s="27" t="s">
        <v>1846</v>
      </c>
      <c r="B479" s="32" t="str">
        <f>_xlfn.XLOOKUP(TablaSTOCKINV[[#This Row],[SKU]],TablaINVENTARIO[SKU],TablaINVENTARIO[DESCRIPCION])</f>
        <v>PINZA AMPERIMETRICA MODELO: MT 87</v>
      </c>
      <c r="C479" s="32" t="str">
        <f>_xlfn.XLOOKUP(TablaSTOCKINV[[#This Row],[SKU]],TablaINVENTARIO[SKU],TablaINVENTARIO[MARCA])</f>
        <v>BECKER</v>
      </c>
      <c r="D479" s="33" t="str">
        <f>_xlfn.XLOOKUP(TablaSTOCKINV[[#This Row],[SKU]],TablaINVENTARIO[SKU],TablaINVENTARIO[CATEGORIA])</f>
        <v>HERRAMIENTAS_</v>
      </c>
      <c r="E479" s="33" t="str">
        <f>_xlfn.XLOOKUP(TablaSTOCKINV[[#This Row],[SKU]],TablaINVENTARIO[SKU],TablaINVENTARIO[SUBCATEGORIA])</f>
        <v>INSTRUMENTO DE MEDICIÓN</v>
      </c>
      <c r="F479" s="33" t="str">
        <f>_xlfn.XLOOKUP(TablaSTOCKINV[[#This Row],[SKU]],TablaINVENTARIO[SKU],TablaINVENTARIO[ESTADO])</f>
        <v>DAÑADA</v>
      </c>
      <c r="G479" s="33" t="str">
        <f>_xlfn.XLOOKUP(TablaSTOCKINV[[#This Row],[SKU]],TablaINVENTARIO[SKU],TablaINVENTARIO[MEDIDA])</f>
        <v xml:space="preserve">UND </v>
      </c>
      <c r="H479" s="33">
        <f>_xlfn.XLOOKUP(TablaSTOCKINV[[#This Row],[SKU]],TablaINVENTARIO[SKU],TablaINVENTARIO[SERIAL])</f>
        <v>8101008</v>
      </c>
      <c r="I479" s="34" t="str">
        <f>_xlfn.XLOOKUP(TablaSTOCKINV[[#This Row],[SKU]],TablaINVENTARIO[SKU],TablaINVENTARIO[ALMACEN])</f>
        <v>ALMACEN PRINCIPAL</v>
      </c>
      <c r="J479" s="34" t="str">
        <f>_xlfn.XLOOKUP(TablaSTOCKINV[[#This Row],[SKU]],TablaINVENTARIO[SKU],TablaINVENTARIO[UBICACION])</f>
        <v>2B</v>
      </c>
      <c r="K479" s="34" t="str">
        <f>_xlfn.XLOOKUP(TablaSTOCKINV[[#This Row],[SKU]],TablaINVENTARIO[SKU],TablaINVENTARIO[DPTO RESPONSABLE])</f>
        <v xml:space="preserve">OPERACIONES </v>
      </c>
      <c r="L479" s="36">
        <f>_xlfn.XLOOKUP(TablaSTOCKINV[[#This Row],[SKU]],TablaINVENTARIO[SKU],TablaINVENTARIO[RANGO MIN])</f>
        <v>0</v>
      </c>
      <c r="M479" s="34" cm="1">
        <f t="array" ref="M479">_xlfn.IFS(TablaSTOCKINV[[#This Row],[CANT. TOTAL]]&lt;=0,1,TablaSTOCKINV[[#This Row],[CANT. TOTAL]]&lt;=TablaSTOCKINV[[#This Row],[MIN]],2,TablaSTOCKINV[[#This Row],[CANT. TOTAL]]&gt;TablaSTOCKINV[[#This Row],[MIN]],3)</f>
        <v>3</v>
      </c>
      <c r="N479" s="34">
        <f>TablaSTOCKINV[[#This Row],[ENTRADAS]]-TablaSTOCKINV[[#This Row],[SALIDAS]]</f>
        <v>1</v>
      </c>
      <c r="O479" s="35">
        <f>SUMIFS(TablaENTRADA[CANT],TablaENTRADA[SKU],TablaSTOCKINV[[#This Row],[SKU]])</f>
        <v>1</v>
      </c>
      <c r="P479" s="35">
        <f>SUMIFS(TablaSALIDA[CANT],TablaSALIDA[SKU],TablaSTOCKINV[[#This Row],[SKU]])</f>
        <v>0</v>
      </c>
      <c r="Q479" s="34">
        <f>_xlfn.XLOOKUP(TablaSTOCKINV[[#This Row],[SKU]],TablaINVENTARIO[SKU],TablaINVENTARIO[PRECIO])</f>
        <v>0</v>
      </c>
      <c r="R479" s="34">
        <f>TablaSTOCKINV[[#This Row],[P.UNITARIO]]*TablaSTOCKINV[[#This Row],[CANT. TOTAL]]</f>
        <v>0</v>
      </c>
      <c r="S479" s="44">
        <f>_xlfn.XLOOKUP(TablaSTOCKINV[[#This Row],[SKU]],TablaINVENTARIO[SKU],TablaINVENTARIO[FECHA INGRESO])</f>
        <v>46023</v>
      </c>
      <c r="T479" s="44">
        <f>_xlfn.XLOOKUP(TablaSTOCKINV[[#This Row],[SKU]],TablaENTRADA[SKU],TablaENTRADA[FECHA],,0,-1)</f>
        <v>46023</v>
      </c>
      <c r="U479" s="46" t="str">
        <f>IFERROR((_xlfn.XLOOKUP(TablaSTOCKINV[[#This Row],[SKU]],TablaSALIDA[SKU],TablaSALIDA[FECHA],,0,-1))," " )</f>
        <v xml:space="preserve"> </v>
      </c>
    </row>
    <row r="480" spans="1:21" x14ac:dyDescent="0.3">
      <c r="A480" s="27" t="s">
        <v>1847</v>
      </c>
      <c r="B480" s="32" t="str">
        <f>_xlfn.XLOOKUP(TablaSTOCKINV[[#This Row],[SKU]],TablaINVENTARIO[SKU],TablaINVENTARIO[DESCRIPCION])</f>
        <v xml:space="preserve">KIT DE CALIBRACION 110 </v>
      </c>
      <c r="C480" s="32" t="str">
        <f>_xlfn.XLOOKUP(TablaSTOCKINV[[#This Row],[SKU]],TablaINVENTARIO[SKU],TablaINVENTARIO[MARCA])</f>
        <v>N/A</v>
      </c>
      <c r="D480" s="33" t="str">
        <f>_xlfn.XLOOKUP(TablaSTOCKINV[[#This Row],[SKU]],TablaINVENTARIO[SKU],TablaINVENTARIO[CATEGORIA])</f>
        <v>HERRAMIENTAS_</v>
      </c>
      <c r="E480" s="33" t="str">
        <f>_xlfn.XLOOKUP(TablaSTOCKINV[[#This Row],[SKU]],TablaINVENTARIO[SKU],TablaINVENTARIO[SUBCATEGORIA])</f>
        <v xml:space="preserve">HERRAMIENTA ELECTRONICA </v>
      </c>
      <c r="F480" s="33" t="str">
        <f>_xlfn.XLOOKUP(TablaSTOCKINV[[#This Row],[SKU]],TablaINVENTARIO[SKU],TablaINVENTARIO[ESTADO])</f>
        <v>USADO</v>
      </c>
      <c r="G480" s="33" t="str">
        <f>_xlfn.XLOOKUP(TablaSTOCKINV[[#This Row],[SKU]],TablaINVENTARIO[SKU],TablaINVENTARIO[MEDIDA])</f>
        <v xml:space="preserve">UND </v>
      </c>
      <c r="H480" s="33" t="str">
        <f>_xlfn.XLOOKUP(TablaSTOCKINV[[#This Row],[SKU]],TablaINVENTARIO[SKU],TablaINVENTARIO[SERIAL])</f>
        <v>N/A</v>
      </c>
      <c r="I480" s="34" t="str">
        <f>_xlfn.XLOOKUP(TablaSTOCKINV[[#This Row],[SKU]],TablaINVENTARIO[SKU],TablaINVENTARIO[ALMACEN])</f>
        <v>ALMACEN PRINCIPAL</v>
      </c>
      <c r="J480" s="34" t="str">
        <f>_xlfn.XLOOKUP(TablaSTOCKINV[[#This Row],[SKU]],TablaINVENTARIO[SKU],TablaINVENTARIO[UBICACION])</f>
        <v>2B</v>
      </c>
      <c r="K480" s="34" t="str">
        <f>_xlfn.XLOOKUP(TablaSTOCKINV[[#This Row],[SKU]],TablaINVENTARIO[SKU],TablaINVENTARIO[DPTO RESPONSABLE])</f>
        <v xml:space="preserve">OPERACIONES </v>
      </c>
      <c r="L480" s="36">
        <f>_xlfn.XLOOKUP(TablaSTOCKINV[[#This Row],[SKU]],TablaINVENTARIO[SKU],TablaINVENTARIO[RANGO MIN])</f>
        <v>0</v>
      </c>
      <c r="M480" s="34" cm="1">
        <f t="array" ref="M480">_xlfn.IFS(TablaSTOCKINV[[#This Row],[CANT. TOTAL]]&lt;=0,1,TablaSTOCKINV[[#This Row],[CANT. TOTAL]]&lt;=TablaSTOCKINV[[#This Row],[MIN]],2,TablaSTOCKINV[[#This Row],[CANT. TOTAL]]&gt;TablaSTOCKINV[[#This Row],[MIN]],3)</f>
        <v>3</v>
      </c>
      <c r="N480" s="34">
        <f>TablaSTOCKINV[[#This Row],[ENTRADAS]]-TablaSTOCKINV[[#This Row],[SALIDAS]]</f>
        <v>1</v>
      </c>
      <c r="O480" s="35">
        <f>SUMIFS(TablaENTRADA[CANT],TablaENTRADA[SKU],TablaSTOCKINV[[#This Row],[SKU]])</f>
        <v>1</v>
      </c>
      <c r="P480" s="35">
        <f>SUMIFS(TablaSALIDA[CANT],TablaSALIDA[SKU],TablaSTOCKINV[[#This Row],[SKU]])</f>
        <v>0</v>
      </c>
      <c r="Q480" s="34">
        <f>_xlfn.XLOOKUP(TablaSTOCKINV[[#This Row],[SKU]],TablaINVENTARIO[SKU],TablaINVENTARIO[PRECIO])</f>
        <v>0</v>
      </c>
      <c r="R480" s="34">
        <f>TablaSTOCKINV[[#This Row],[P.UNITARIO]]*TablaSTOCKINV[[#This Row],[CANT. TOTAL]]</f>
        <v>0</v>
      </c>
      <c r="S480" s="44">
        <f>_xlfn.XLOOKUP(TablaSTOCKINV[[#This Row],[SKU]],TablaINVENTARIO[SKU],TablaINVENTARIO[FECHA INGRESO])</f>
        <v>46023</v>
      </c>
      <c r="T480" s="44">
        <f>_xlfn.XLOOKUP(TablaSTOCKINV[[#This Row],[SKU]],TablaENTRADA[SKU],TablaENTRADA[FECHA],,0,-1)</f>
        <v>46023</v>
      </c>
      <c r="U480" s="46" t="str">
        <f>IFERROR((_xlfn.XLOOKUP(TablaSTOCKINV[[#This Row],[SKU]],TablaSALIDA[SKU],TablaSALIDA[FECHA],,0,-1))," " )</f>
        <v xml:space="preserve"> </v>
      </c>
    </row>
    <row r="481" spans="1:21" x14ac:dyDescent="0.3">
      <c r="A481" s="27" t="s">
        <v>1849</v>
      </c>
      <c r="B481" s="32" t="str">
        <f>_xlfn.XLOOKUP(TablaSTOCKINV[[#This Row],[SKU]],TablaINVENTARIO[SKU],TablaINVENTARIO[DESCRIPCION])</f>
        <v xml:space="preserve">LLAVE DE TALADRO </v>
      </c>
      <c r="C481" s="32" t="str">
        <f>_xlfn.XLOOKUP(TablaSTOCKINV[[#This Row],[SKU]],TablaINVENTARIO[SKU],TablaINVENTARIO[MARCA])</f>
        <v>N/A</v>
      </c>
      <c r="D481" s="33" t="str">
        <f>_xlfn.XLOOKUP(TablaSTOCKINV[[#This Row],[SKU]],TablaINVENTARIO[SKU],TablaINVENTARIO[CATEGORIA])</f>
        <v>HERRAMIENTAS_</v>
      </c>
      <c r="E481" s="33" t="str">
        <f>_xlfn.XLOOKUP(TablaSTOCKINV[[#This Row],[SKU]],TablaINVENTARIO[SKU],TablaINVENTARIO[SUBCATEGORIA])</f>
        <v xml:space="preserve">HERRAMIENTA DE MANO </v>
      </c>
      <c r="F481" s="33" t="str">
        <f>_xlfn.XLOOKUP(TablaSTOCKINV[[#This Row],[SKU]],TablaINVENTARIO[SKU],TablaINVENTARIO[ESTADO])</f>
        <v>USADO</v>
      </c>
      <c r="G481" s="33" t="str">
        <f>_xlfn.XLOOKUP(TablaSTOCKINV[[#This Row],[SKU]],TablaINVENTARIO[SKU],TablaINVENTARIO[MEDIDA])</f>
        <v xml:space="preserve">UND </v>
      </c>
      <c r="H481" s="33" t="str">
        <f>_xlfn.XLOOKUP(TablaSTOCKINV[[#This Row],[SKU]],TablaINVENTARIO[SKU],TablaINVENTARIO[SERIAL])</f>
        <v>N/A</v>
      </c>
      <c r="I481" s="34" t="str">
        <f>_xlfn.XLOOKUP(TablaSTOCKINV[[#This Row],[SKU]],TablaINVENTARIO[SKU],TablaINVENTARIO[ALMACEN])</f>
        <v>ALMACEN PRINCIPAL</v>
      </c>
      <c r="J481" s="34" t="str">
        <f>_xlfn.XLOOKUP(TablaSTOCKINV[[#This Row],[SKU]],TablaINVENTARIO[SKU],TablaINVENTARIO[UBICACION])</f>
        <v>2B</v>
      </c>
      <c r="K481" s="34" t="str">
        <f>_xlfn.XLOOKUP(TablaSTOCKINV[[#This Row],[SKU]],TablaINVENTARIO[SKU],TablaINVENTARIO[DPTO RESPONSABLE])</f>
        <v>OPERACIONES / MANTENIMIENTO</v>
      </c>
      <c r="L481" s="36">
        <f>_xlfn.XLOOKUP(TablaSTOCKINV[[#This Row],[SKU]],TablaINVENTARIO[SKU],TablaINVENTARIO[RANGO MIN])</f>
        <v>0</v>
      </c>
      <c r="M481" s="34" cm="1">
        <f t="array" ref="M481">_xlfn.IFS(TablaSTOCKINV[[#This Row],[CANT. TOTAL]]&lt;=0,1,TablaSTOCKINV[[#This Row],[CANT. TOTAL]]&lt;=TablaSTOCKINV[[#This Row],[MIN]],2,TablaSTOCKINV[[#This Row],[CANT. TOTAL]]&gt;TablaSTOCKINV[[#This Row],[MIN]],3)</f>
        <v>3</v>
      </c>
      <c r="N481" s="34">
        <f>TablaSTOCKINV[[#This Row],[ENTRADAS]]-TablaSTOCKINV[[#This Row],[SALIDAS]]</f>
        <v>2</v>
      </c>
      <c r="O481" s="35">
        <f>SUMIFS(TablaENTRADA[CANT],TablaENTRADA[SKU],TablaSTOCKINV[[#This Row],[SKU]])</f>
        <v>2</v>
      </c>
      <c r="P481" s="35">
        <f>SUMIFS(TablaSALIDA[CANT],TablaSALIDA[SKU],TablaSTOCKINV[[#This Row],[SKU]])</f>
        <v>0</v>
      </c>
      <c r="Q481" s="34">
        <f>_xlfn.XLOOKUP(TablaSTOCKINV[[#This Row],[SKU]],TablaINVENTARIO[SKU],TablaINVENTARIO[PRECIO])</f>
        <v>0</v>
      </c>
      <c r="R481" s="34">
        <f>TablaSTOCKINV[[#This Row],[P.UNITARIO]]*TablaSTOCKINV[[#This Row],[CANT. TOTAL]]</f>
        <v>0</v>
      </c>
      <c r="S481" s="44">
        <f>_xlfn.XLOOKUP(TablaSTOCKINV[[#This Row],[SKU]],TablaINVENTARIO[SKU],TablaINVENTARIO[FECHA INGRESO])</f>
        <v>46023</v>
      </c>
      <c r="T481" s="44">
        <f>_xlfn.XLOOKUP(TablaSTOCKINV[[#This Row],[SKU]],TablaENTRADA[SKU],TablaENTRADA[FECHA],,0,-1)</f>
        <v>46023</v>
      </c>
      <c r="U481" s="46" t="str">
        <f>IFERROR((_xlfn.XLOOKUP(TablaSTOCKINV[[#This Row],[SKU]],TablaSALIDA[SKU],TablaSALIDA[FECHA],,0,-1))," " )</f>
        <v xml:space="preserve"> </v>
      </c>
    </row>
    <row r="482" spans="1:21" x14ac:dyDescent="0.3">
      <c r="A482" s="27" t="s">
        <v>1851</v>
      </c>
      <c r="B482" s="32" t="str">
        <f>_xlfn.XLOOKUP(TablaSTOCKINV[[#This Row],[SKU]],TablaINVENTARIO[SKU],TablaINVENTARIO[DESCRIPCION])</f>
        <v>MECHA PARA METAL 1MM (SET)</v>
      </c>
      <c r="C482" s="32" t="str">
        <f>_xlfn.XLOOKUP(TablaSTOCKINV[[#This Row],[SKU]],TablaINVENTARIO[SKU],TablaINVENTARIO[MARCA])</f>
        <v xml:space="preserve">BOSCH </v>
      </c>
      <c r="D482" s="33" t="str">
        <f>_xlfn.XLOOKUP(TablaSTOCKINV[[#This Row],[SKU]],TablaINVENTARIO[SKU],TablaINVENTARIO[CATEGORIA])</f>
        <v>HERRAMIENTAS_</v>
      </c>
      <c r="E482" s="33" t="str">
        <f>_xlfn.XLOOKUP(TablaSTOCKINV[[#This Row],[SKU]],TablaINVENTARIO[SKU],TablaINVENTARIO[SUBCATEGORIA])</f>
        <v xml:space="preserve">MATERIAL DE CONSTRUCCIÓN </v>
      </c>
      <c r="F482" s="33" t="str">
        <f>_xlfn.XLOOKUP(TablaSTOCKINV[[#This Row],[SKU]],TablaINVENTARIO[SKU],TablaINVENTARIO[ESTADO])</f>
        <v>USADO</v>
      </c>
      <c r="G482" s="33" t="str">
        <f>_xlfn.XLOOKUP(TablaSTOCKINV[[#This Row],[SKU]],TablaINVENTARIO[SKU],TablaINVENTARIO[MEDIDA])</f>
        <v xml:space="preserve">UND </v>
      </c>
      <c r="H482" s="33" t="str">
        <f>_xlfn.XLOOKUP(TablaSTOCKINV[[#This Row],[SKU]],TablaINVENTARIO[SKU],TablaINVENTARIO[SERIAL])</f>
        <v>N/A</v>
      </c>
      <c r="I482" s="34" t="str">
        <f>_xlfn.XLOOKUP(TablaSTOCKINV[[#This Row],[SKU]],TablaINVENTARIO[SKU],TablaINVENTARIO[ALMACEN])</f>
        <v>ALMACEN PRINCIPAL</v>
      </c>
      <c r="J482" s="34" t="str">
        <f>_xlfn.XLOOKUP(TablaSTOCKINV[[#This Row],[SKU]],TablaINVENTARIO[SKU],TablaINVENTARIO[UBICACION])</f>
        <v>2B</v>
      </c>
      <c r="K482" s="34" t="str">
        <f>_xlfn.XLOOKUP(TablaSTOCKINV[[#This Row],[SKU]],TablaINVENTARIO[SKU],TablaINVENTARIO[DPTO RESPONSABLE])</f>
        <v>OPERACIONES / MANTENIMIENTO</v>
      </c>
      <c r="L482" s="36">
        <f>_xlfn.XLOOKUP(TablaSTOCKINV[[#This Row],[SKU]],TablaINVENTARIO[SKU],TablaINVENTARIO[RANGO MIN])</f>
        <v>0</v>
      </c>
      <c r="M482" s="34" cm="1">
        <f t="array" ref="M482">_xlfn.IFS(TablaSTOCKINV[[#This Row],[CANT. TOTAL]]&lt;=0,1,TablaSTOCKINV[[#This Row],[CANT. TOTAL]]&lt;=TablaSTOCKINV[[#This Row],[MIN]],2,TablaSTOCKINV[[#This Row],[CANT. TOTAL]]&gt;TablaSTOCKINV[[#This Row],[MIN]],3)</f>
        <v>3</v>
      </c>
      <c r="N482" s="34">
        <f>TablaSTOCKINV[[#This Row],[ENTRADAS]]-TablaSTOCKINV[[#This Row],[SALIDAS]]</f>
        <v>1</v>
      </c>
      <c r="O482" s="35">
        <f>SUMIFS(TablaENTRADA[CANT],TablaENTRADA[SKU],TablaSTOCKINV[[#This Row],[SKU]])</f>
        <v>1</v>
      </c>
      <c r="P482" s="35">
        <f>SUMIFS(TablaSALIDA[CANT],TablaSALIDA[SKU],TablaSTOCKINV[[#This Row],[SKU]])</f>
        <v>0</v>
      </c>
      <c r="Q482" s="34">
        <f>_xlfn.XLOOKUP(TablaSTOCKINV[[#This Row],[SKU]],TablaINVENTARIO[SKU],TablaINVENTARIO[PRECIO])</f>
        <v>0</v>
      </c>
      <c r="R482" s="34">
        <f>TablaSTOCKINV[[#This Row],[P.UNITARIO]]*TablaSTOCKINV[[#This Row],[CANT. TOTAL]]</f>
        <v>0</v>
      </c>
      <c r="S482" s="44">
        <f>_xlfn.XLOOKUP(TablaSTOCKINV[[#This Row],[SKU]],TablaINVENTARIO[SKU],TablaINVENTARIO[FECHA INGRESO])</f>
        <v>46023</v>
      </c>
      <c r="T482" s="44">
        <f>_xlfn.XLOOKUP(TablaSTOCKINV[[#This Row],[SKU]],TablaENTRADA[SKU],TablaENTRADA[FECHA],,0,-1)</f>
        <v>46023</v>
      </c>
      <c r="U482" s="46" t="str">
        <f>IFERROR((_xlfn.XLOOKUP(TablaSTOCKINV[[#This Row],[SKU]],TablaSALIDA[SKU],TablaSALIDA[FECHA],,0,-1))," " )</f>
        <v xml:space="preserve"> </v>
      </c>
    </row>
    <row r="483" spans="1:21" x14ac:dyDescent="0.3">
      <c r="A483" s="27" t="s">
        <v>1854</v>
      </c>
      <c r="B483" s="32" t="str">
        <f>_xlfn.XLOOKUP(TablaSTOCKINV[[#This Row],[SKU]],TablaINVENTARIO[SKU],TablaINVENTARIO[DESCRIPCION])</f>
        <v>MECHA PARA METAL 1.5MM (SET)</v>
      </c>
      <c r="C483" s="32" t="str">
        <f>_xlfn.XLOOKUP(TablaSTOCKINV[[#This Row],[SKU]],TablaINVENTARIO[SKU],TablaINVENTARIO[MARCA])</f>
        <v xml:space="preserve">BOSCH </v>
      </c>
      <c r="D483" s="33" t="str">
        <f>_xlfn.XLOOKUP(TablaSTOCKINV[[#This Row],[SKU]],TablaINVENTARIO[SKU],TablaINVENTARIO[CATEGORIA])</f>
        <v>HERRAMIENTAS_</v>
      </c>
      <c r="E483" s="33" t="str">
        <f>_xlfn.XLOOKUP(TablaSTOCKINV[[#This Row],[SKU]],TablaINVENTARIO[SKU],TablaINVENTARIO[SUBCATEGORIA])</f>
        <v xml:space="preserve">MATERIAL DE CONSTRUCCIÓN </v>
      </c>
      <c r="F483" s="33" t="str">
        <f>_xlfn.XLOOKUP(TablaSTOCKINV[[#This Row],[SKU]],TablaINVENTARIO[SKU],TablaINVENTARIO[ESTADO])</f>
        <v>USADO</v>
      </c>
      <c r="G483" s="33" t="str">
        <f>_xlfn.XLOOKUP(TablaSTOCKINV[[#This Row],[SKU]],TablaINVENTARIO[SKU],TablaINVENTARIO[MEDIDA])</f>
        <v xml:space="preserve">UND </v>
      </c>
      <c r="H483" s="33" t="str">
        <f>_xlfn.XLOOKUP(TablaSTOCKINV[[#This Row],[SKU]],TablaINVENTARIO[SKU],TablaINVENTARIO[SERIAL])</f>
        <v>N/A</v>
      </c>
      <c r="I483" s="34" t="str">
        <f>_xlfn.XLOOKUP(TablaSTOCKINV[[#This Row],[SKU]],TablaINVENTARIO[SKU],TablaINVENTARIO[ALMACEN])</f>
        <v>ALMACEN PRINCIPAL</v>
      </c>
      <c r="J483" s="34" t="str">
        <f>_xlfn.XLOOKUP(TablaSTOCKINV[[#This Row],[SKU]],TablaINVENTARIO[SKU],TablaINVENTARIO[UBICACION])</f>
        <v>2B</v>
      </c>
      <c r="K483" s="34" t="str">
        <f>_xlfn.XLOOKUP(TablaSTOCKINV[[#This Row],[SKU]],TablaINVENTARIO[SKU],TablaINVENTARIO[DPTO RESPONSABLE])</f>
        <v>OPERACIONES / MANTENIMIENTO</v>
      </c>
      <c r="L483" s="36">
        <f>_xlfn.XLOOKUP(TablaSTOCKINV[[#This Row],[SKU]],TablaINVENTARIO[SKU],TablaINVENTARIO[RANGO MIN])</f>
        <v>0</v>
      </c>
      <c r="M483" s="34" cm="1">
        <f t="array" ref="M483">_xlfn.IFS(TablaSTOCKINV[[#This Row],[CANT. TOTAL]]&lt;=0,1,TablaSTOCKINV[[#This Row],[CANT. TOTAL]]&lt;=TablaSTOCKINV[[#This Row],[MIN]],2,TablaSTOCKINV[[#This Row],[CANT. TOTAL]]&gt;TablaSTOCKINV[[#This Row],[MIN]],3)</f>
        <v>3</v>
      </c>
      <c r="N483" s="34">
        <f>TablaSTOCKINV[[#This Row],[ENTRADAS]]-TablaSTOCKINV[[#This Row],[SALIDAS]]</f>
        <v>1</v>
      </c>
      <c r="O483" s="35">
        <f>SUMIFS(TablaENTRADA[CANT],TablaENTRADA[SKU],TablaSTOCKINV[[#This Row],[SKU]])</f>
        <v>1</v>
      </c>
      <c r="P483" s="35">
        <f>SUMIFS(TablaSALIDA[CANT],TablaSALIDA[SKU],TablaSTOCKINV[[#This Row],[SKU]])</f>
        <v>0</v>
      </c>
      <c r="Q483" s="34">
        <f>_xlfn.XLOOKUP(TablaSTOCKINV[[#This Row],[SKU]],TablaINVENTARIO[SKU],TablaINVENTARIO[PRECIO])</f>
        <v>0</v>
      </c>
      <c r="R483" s="34">
        <f>TablaSTOCKINV[[#This Row],[P.UNITARIO]]*TablaSTOCKINV[[#This Row],[CANT. TOTAL]]</f>
        <v>0</v>
      </c>
      <c r="S483" s="44">
        <f>_xlfn.XLOOKUP(TablaSTOCKINV[[#This Row],[SKU]],TablaINVENTARIO[SKU],TablaINVENTARIO[FECHA INGRESO])</f>
        <v>46023</v>
      </c>
      <c r="T483" s="44">
        <f>_xlfn.XLOOKUP(TablaSTOCKINV[[#This Row],[SKU]],TablaENTRADA[SKU],TablaENTRADA[FECHA],,0,-1)</f>
        <v>46023</v>
      </c>
      <c r="U483" s="46" t="str">
        <f>IFERROR((_xlfn.XLOOKUP(TablaSTOCKINV[[#This Row],[SKU]],TablaSALIDA[SKU],TablaSALIDA[FECHA],,0,-1))," " )</f>
        <v xml:space="preserve"> </v>
      </c>
    </row>
    <row r="484" spans="1:21" x14ac:dyDescent="0.3">
      <c r="A484" s="27" t="s">
        <v>1856</v>
      </c>
      <c r="B484" s="32" t="str">
        <f>_xlfn.XLOOKUP(TablaSTOCKINV[[#This Row],[SKU]],TablaINVENTARIO[SKU],TablaINVENTARIO[DESCRIPCION])</f>
        <v>MECHA PARA METAL 2MM (SET)</v>
      </c>
      <c r="C484" s="32" t="str">
        <f>_xlfn.XLOOKUP(TablaSTOCKINV[[#This Row],[SKU]],TablaINVENTARIO[SKU],TablaINVENTARIO[MARCA])</f>
        <v xml:space="preserve">BOSCH </v>
      </c>
      <c r="D484" s="33" t="str">
        <f>_xlfn.XLOOKUP(TablaSTOCKINV[[#This Row],[SKU]],TablaINVENTARIO[SKU],TablaINVENTARIO[CATEGORIA])</f>
        <v>HERRAMIENTAS_</v>
      </c>
      <c r="E484" s="33" t="str">
        <f>_xlfn.XLOOKUP(TablaSTOCKINV[[#This Row],[SKU]],TablaINVENTARIO[SKU],TablaINVENTARIO[SUBCATEGORIA])</f>
        <v xml:space="preserve">MATERIAL DE CONSTRUCCIÓN </v>
      </c>
      <c r="F484" s="33" t="str">
        <f>_xlfn.XLOOKUP(TablaSTOCKINV[[#This Row],[SKU]],TablaINVENTARIO[SKU],TablaINVENTARIO[ESTADO])</f>
        <v>USADO</v>
      </c>
      <c r="G484" s="33" t="str">
        <f>_xlfn.XLOOKUP(TablaSTOCKINV[[#This Row],[SKU]],TablaINVENTARIO[SKU],TablaINVENTARIO[MEDIDA])</f>
        <v xml:space="preserve">UND </v>
      </c>
      <c r="H484" s="33" t="str">
        <f>_xlfn.XLOOKUP(TablaSTOCKINV[[#This Row],[SKU]],TablaINVENTARIO[SKU],TablaINVENTARIO[SERIAL])</f>
        <v>N/A</v>
      </c>
      <c r="I484" s="34" t="str">
        <f>_xlfn.XLOOKUP(TablaSTOCKINV[[#This Row],[SKU]],TablaINVENTARIO[SKU],TablaINVENTARIO[ALMACEN])</f>
        <v>ALMACEN PRINCIPAL</v>
      </c>
      <c r="J484" s="34" t="str">
        <f>_xlfn.XLOOKUP(TablaSTOCKINV[[#This Row],[SKU]],TablaINVENTARIO[SKU],TablaINVENTARIO[UBICACION])</f>
        <v>2B</v>
      </c>
      <c r="K484" s="34" t="str">
        <f>_xlfn.XLOOKUP(TablaSTOCKINV[[#This Row],[SKU]],TablaINVENTARIO[SKU],TablaINVENTARIO[DPTO RESPONSABLE])</f>
        <v>OPERACIONES / MANTENIMIENTO</v>
      </c>
      <c r="L484" s="36">
        <f>_xlfn.XLOOKUP(TablaSTOCKINV[[#This Row],[SKU]],TablaINVENTARIO[SKU],TablaINVENTARIO[RANGO MIN])</f>
        <v>0</v>
      </c>
      <c r="M484" s="34" cm="1">
        <f t="array" ref="M484">_xlfn.IFS(TablaSTOCKINV[[#This Row],[CANT. TOTAL]]&lt;=0,1,TablaSTOCKINV[[#This Row],[CANT. TOTAL]]&lt;=TablaSTOCKINV[[#This Row],[MIN]],2,TablaSTOCKINV[[#This Row],[CANT. TOTAL]]&gt;TablaSTOCKINV[[#This Row],[MIN]],3)</f>
        <v>3</v>
      </c>
      <c r="N484" s="34">
        <f>TablaSTOCKINV[[#This Row],[ENTRADAS]]-TablaSTOCKINV[[#This Row],[SALIDAS]]</f>
        <v>1</v>
      </c>
      <c r="O484" s="35">
        <f>SUMIFS(TablaENTRADA[CANT],TablaENTRADA[SKU],TablaSTOCKINV[[#This Row],[SKU]])</f>
        <v>1</v>
      </c>
      <c r="P484" s="35">
        <f>SUMIFS(TablaSALIDA[CANT],TablaSALIDA[SKU],TablaSTOCKINV[[#This Row],[SKU]])</f>
        <v>0</v>
      </c>
      <c r="Q484" s="34">
        <f>_xlfn.XLOOKUP(TablaSTOCKINV[[#This Row],[SKU]],TablaINVENTARIO[SKU],TablaINVENTARIO[PRECIO])</f>
        <v>0</v>
      </c>
      <c r="R484" s="34">
        <f>TablaSTOCKINV[[#This Row],[P.UNITARIO]]*TablaSTOCKINV[[#This Row],[CANT. TOTAL]]</f>
        <v>0</v>
      </c>
      <c r="S484" s="44">
        <f>_xlfn.XLOOKUP(TablaSTOCKINV[[#This Row],[SKU]],TablaINVENTARIO[SKU],TablaINVENTARIO[FECHA INGRESO])</f>
        <v>46023</v>
      </c>
      <c r="T484" s="44">
        <f>_xlfn.XLOOKUP(TablaSTOCKINV[[#This Row],[SKU]],TablaENTRADA[SKU],TablaENTRADA[FECHA],,0,-1)</f>
        <v>46023</v>
      </c>
      <c r="U484" s="46" t="str">
        <f>IFERROR((_xlfn.XLOOKUP(TablaSTOCKINV[[#This Row],[SKU]],TablaSALIDA[SKU],TablaSALIDA[FECHA],,0,-1))," " )</f>
        <v xml:space="preserve"> </v>
      </c>
    </row>
    <row r="485" spans="1:21" x14ac:dyDescent="0.3">
      <c r="A485" s="27" t="s">
        <v>1858</v>
      </c>
      <c r="B485" s="32" t="str">
        <f>_xlfn.XLOOKUP(TablaSTOCKINV[[#This Row],[SKU]],TablaINVENTARIO[SKU],TablaINVENTARIO[DESCRIPCION])</f>
        <v>MECHA PARA METAL 2.5MM (SET)</v>
      </c>
      <c r="C485" s="32" t="str">
        <f>_xlfn.XLOOKUP(TablaSTOCKINV[[#This Row],[SKU]],TablaINVENTARIO[SKU],TablaINVENTARIO[MARCA])</f>
        <v xml:space="preserve">BOSCH </v>
      </c>
      <c r="D485" s="33" t="str">
        <f>_xlfn.XLOOKUP(TablaSTOCKINV[[#This Row],[SKU]],TablaINVENTARIO[SKU],TablaINVENTARIO[CATEGORIA])</f>
        <v>HERRAMIENTAS_</v>
      </c>
      <c r="E485" s="33" t="str">
        <f>_xlfn.XLOOKUP(TablaSTOCKINV[[#This Row],[SKU]],TablaINVENTARIO[SKU],TablaINVENTARIO[SUBCATEGORIA])</f>
        <v xml:space="preserve">MATERIAL DE CONSTRUCCIÓN </v>
      </c>
      <c r="F485" s="33" t="str">
        <f>_xlfn.XLOOKUP(TablaSTOCKINV[[#This Row],[SKU]],TablaINVENTARIO[SKU],TablaINVENTARIO[ESTADO])</f>
        <v>USADO</v>
      </c>
      <c r="G485" s="33" t="str">
        <f>_xlfn.XLOOKUP(TablaSTOCKINV[[#This Row],[SKU]],TablaINVENTARIO[SKU],TablaINVENTARIO[MEDIDA])</f>
        <v xml:space="preserve">UND </v>
      </c>
      <c r="H485" s="33" t="str">
        <f>_xlfn.XLOOKUP(TablaSTOCKINV[[#This Row],[SKU]],TablaINVENTARIO[SKU],TablaINVENTARIO[SERIAL])</f>
        <v>N/A</v>
      </c>
      <c r="I485" s="34" t="str">
        <f>_xlfn.XLOOKUP(TablaSTOCKINV[[#This Row],[SKU]],TablaINVENTARIO[SKU],TablaINVENTARIO[ALMACEN])</f>
        <v>ALMACEN PRINCIPAL</v>
      </c>
      <c r="J485" s="34" t="str">
        <f>_xlfn.XLOOKUP(TablaSTOCKINV[[#This Row],[SKU]],TablaINVENTARIO[SKU],TablaINVENTARIO[UBICACION])</f>
        <v>2B</v>
      </c>
      <c r="K485" s="34" t="str">
        <f>_xlfn.XLOOKUP(TablaSTOCKINV[[#This Row],[SKU]],TablaINVENTARIO[SKU],TablaINVENTARIO[DPTO RESPONSABLE])</f>
        <v>OPERACIONES / MANTENIMIENTO</v>
      </c>
      <c r="L485" s="36">
        <f>_xlfn.XLOOKUP(TablaSTOCKINV[[#This Row],[SKU]],TablaINVENTARIO[SKU],TablaINVENTARIO[RANGO MIN])</f>
        <v>0</v>
      </c>
      <c r="M485" s="34" cm="1">
        <f t="array" ref="M485">_xlfn.IFS(TablaSTOCKINV[[#This Row],[CANT. TOTAL]]&lt;=0,1,TablaSTOCKINV[[#This Row],[CANT. TOTAL]]&lt;=TablaSTOCKINV[[#This Row],[MIN]],2,TablaSTOCKINV[[#This Row],[CANT. TOTAL]]&gt;TablaSTOCKINV[[#This Row],[MIN]],3)</f>
        <v>3</v>
      </c>
      <c r="N485" s="34">
        <f>TablaSTOCKINV[[#This Row],[ENTRADAS]]-TablaSTOCKINV[[#This Row],[SALIDAS]]</f>
        <v>1</v>
      </c>
      <c r="O485" s="35">
        <f>SUMIFS(TablaENTRADA[CANT],TablaENTRADA[SKU],TablaSTOCKINV[[#This Row],[SKU]])</f>
        <v>1</v>
      </c>
      <c r="P485" s="35">
        <f>SUMIFS(TablaSALIDA[CANT],TablaSALIDA[SKU],TablaSTOCKINV[[#This Row],[SKU]])</f>
        <v>0</v>
      </c>
      <c r="Q485" s="34">
        <f>_xlfn.XLOOKUP(TablaSTOCKINV[[#This Row],[SKU]],TablaINVENTARIO[SKU],TablaINVENTARIO[PRECIO])</f>
        <v>0</v>
      </c>
      <c r="R485" s="34">
        <f>TablaSTOCKINV[[#This Row],[P.UNITARIO]]*TablaSTOCKINV[[#This Row],[CANT. TOTAL]]</f>
        <v>0</v>
      </c>
      <c r="S485" s="44">
        <f>_xlfn.XLOOKUP(TablaSTOCKINV[[#This Row],[SKU]],TablaINVENTARIO[SKU],TablaINVENTARIO[FECHA INGRESO])</f>
        <v>46023</v>
      </c>
      <c r="T485" s="44">
        <f>_xlfn.XLOOKUP(TablaSTOCKINV[[#This Row],[SKU]],TablaENTRADA[SKU],TablaENTRADA[FECHA],,0,-1)</f>
        <v>46023</v>
      </c>
      <c r="U485" s="46" t="str">
        <f>IFERROR((_xlfn.XLOOKUP(TablaSTOCKINV[[#This Row],[SKU]],TablaSALIDA[SKU],TablaSALIDA[FECHA],,0,-1))," " )</f>
        <v xml:space="preserve"> </v>
      </c>
    </row>
    <row r="486" spans="1:21" x14ac:dyDescent="0.3">
      <c r="A486" s="27" t="s">
        <v>1860</v>
      </c>
      <c r="B486" s="32" t="str">
        <f>_xlfn.XLOOKUP(TablaSTOCKINV[[#This Row],[SKU]],TablaINVENTARIO[SKU],TablaINVENTARIO[DESCRIPCION])</f>
        <v>MECHA PARA METAL 3MM (SET)</v>
      </c>
      <c r="C486" s="32" t="str">
        <f>_xlfn.XLOOKUP(TablaSTOCKINV[[#This Row],[SKU]],TablaINVENTARIO[SKU],TablaINVENTARIO[MARCA])</f>
        <v xml:space="preserve">BOSCH </v>
      </c>
      <c r="D486" s="33" t="str">
        <f>_xlfn.XLOOKUP(TablaSTOCKINV[[#This Row],[SKU]],TablaINVENTARIO[SKU],TablaINVENTARIO[CATEGORIA])</f>
        <v>HERRAMIENTAS_</v>
      </c>
      <c r="E486" s="33" t="str">
        <f>_xlfn.XLOOKUP(TablaSTOCKINV[[#This Row],[SKU]],TablaINVENTARIO[SKU],TablaINVENTARIO[SUBCATEGORIA])</f>
        <v xml:space="preserve">MATERIAL DE CONSTRUCCIÓN </v>
      </c>
      <c r="F486" s="33" t="str">
        <f>_xlfn.XLOOKUP(TablaSTOCKINV[[#This Row],[SKU]],TablaINVENTARIO[SKU],TablaINVENTARIO[ESTADO])</f>
        <v>USADO</v>
      </c>
      <c r="G486" s="33" t="str">
        <f>_xlfn.XLOOKUP(TablaSTOCKINV[[#This Row],[SKU]],TablaINVENTARIO[SKU],TablaINVENTARIO[MEDIDA])</f>
        <v xml:space="preserve">UND </v>
      </c>
      <c r="H486" s="33" t="str">
        <f>_xlfn.XLOOKUP(TablaSTOCKINV[[#This Row],[SKU]],TablaINVENTARIO[SKU],TablaINVENTARIO[SERIAL])</f>
        <v>N/A</v>
      </c>
      <c r="I486" s="34" t="str">
        <f>_xlfn.XLOOKUP(TablaSTOCKINV[[#This Row],[SKU]],TablaINVENTARIO[SKU],TablaINVENTARIO[ALMACEN])</f>
        <v>ALMACEN PRINCIPAL</v>
      </c>
      <c r="J486" s="34" t="str">
        <f>_xlfn.XLOOKUP(TablaSTOCKINV[[#This Row],[SKU]],TablaINVENTARIO[SKU],TablaINVENTARIO[UBICACION])</f>
        <v>2B</v>
      </c>
      <c r="K486" s="34" t="str">
        <f>_xlfn.XLOOKUP(TablaSTOCKINV[[#This Row],[SKU]],TablaINVENTARIO[SKU],TablaINVENTARIO[DPTO RESPONSABLE])</f>
        <v>OPERACIONES / MANTENIMIENTO</v>
      </c>
      <c r="L486" s="36">
        <f>_xlfn.XLOOKUP(TablaSTOCKINV[[#This Row],[SKU]],TablaINVENTARIO[SKU],TablaINVENTARIO[RANGO MIN])</f>
        <v>0</v>
      </c>
      <c r="M486" s="34" cm="1">
        <f t="array" ref="M486">_xlfn.IFS(TablaSTOCKINV[[#This Row],[CANT. TOTAL]]&lt;=0,1,TablaSTOCKINV[[#This Row],[CANT. TOTAL]]&lt;=TablaSTOCKINV[[#This Row],[MIN]],2,TablaSTOCKINV[[#This Row],[CANT. TOTAL]]&gt;TablaSTOCKINV[[#This Row],[MIN]],3)</f>
        <v>3</v>
      </c>
      <c r="N486" s="34">
        <f>TablaSTOCKINV[[#This Row],[ENTRADAS]]-TablaSTOCKINV[[#This Row],[SALIDAS]]</f>
        <v>1</v>
      </c>
      <c r="O486" s="35">
        <f>SUMIFS(TablaENTRADA[CANT],TablaENTRADA[SKU],TablaSTOCKINV[[#This Row],[SKU]])</f>
        <v>1</v>
      </c>
      <c r="P486" s="35">
        <f>SUMIFS(TablaSALIDA[CANT],TablaSALIDA[SKU],TablaSTOCKINV[[#This Row],[SKU]])</f>
        <v>0</v>
      </c>
      <c r="Q486" s="34">
        <f>_xlfn.XLOOKUP(TablaSTOCKINV[[#This Row],[SKU]],TablaINVENTARIO[SKU],TablaINVENTARIO[PRECIO])</f>
        <v>0</v>
      </c>
      <c r="R486" s="34">
        <f>TablaSTOCKINV[[#This Row],[P.UNITARIO]]*TablaSTOCKINV[[#This Row],[CANT. TOTAL]]</f>
        <v>0</v>
      </c>
      <c r="S486" s="44">
        <f>_xlfn.XLOOKUP(TablaSTOCKINV[[#This Row],[SKU]],TablaINVENTARIO[SKU],TablaINVENTARIO[FECHA INGRESO])</f>
        <v>46023</v>
      </c>
      <c r="T486" s="44">
        <f>_xlfn.XLOOKUP(TablaSTOCKINV[[#This Row],[SKU]],TablaENTRADA[SKU],TablaENTRADA[FECHA],,0,-1)</f>
        <v>46023</v>
      </c>
      <c r="U486" s="46" t="str">
        <f>IFERROR((_xlfn.XLOOKUP(TablaSTOCKINV[[#This Row],[SKU]],TablaSALIDA[SKU],TablaSALIDA[FECHA],,0,-1))," " )</f>
        <v xml:space="preserve"> </v>
      </c>
    </row>
    <row r="487" spans="1:21" x14ac:dyDescent="0.3">
      <c r="A487" s="27" t="s">
        <v>1862</v>
      </c>
      <c r="B487" s="32" t="str">
        <f>_xlfn.XLOOKUP(TablaSTOCKINV[[#This Row],[SKU]],TablaINVENTARIO[SKU],TablaINVENTARIO[DESCRIPCION])</f>
        <v>MECHA PARA METAL 3.5MM (SET)</v>
      </c>
      <c r="C487" s="32" t="str">
        <f>_xlfn.XLOOKUP(TablaSTOCKINV[[#This Row],[SKU]],TablaINVENTARIO[SKU],TablaINVENTARIO[MARCA])</f>
        <v xml:space="preserve">BOSCH </v>
      </c>
      <c r="D487" s="33" t="str">
        <f>_xlfn.XLOOKUP(TablaSTOCKINV[[#This Row],[SKU]],TablaINVENTARIO[SKU],TablaINVENTARIO[CATEGORIA])</f>
        <v>HERRAMIENTAS_</v>
      </c>
      <c r="E487" s="33" t="str">
        <f>_xlfn.XLOOKUP(TablaSTOCKINV[[#This Row],[SKU]],TablaINVENTARIO[SKU],TablaINVENTARIO[SUBCATEGORIA])</f>
        <v xml:space="preserve">MATERIAL DE CONSTRUCCIÓN </v>
      </c>
      <c r="F487" s="33" t="str">
        <f>_xlfn.XLOOKUP(TablaSTOCKINV[[#This Row],[SKU]],TablaINVENTARIO[SKU],TablaINVENTARIO[ESTADO])</f>
        <v>USADO</v>
      </c>
      <c r="G487" s="33" t="str">
        <f>_xlfn.XLOOKUP(TablaSTOCKINV[[#This Row],[SKU]],TablaINVENTARIO[SKU],TablaINVENTARIO[MEDIDA])</f>
        <v xml:space="preserve">UND </v>
      </c>
      <c r="H487" s="33" t="str">
        <f>_xlfn.XLOOKUP(TablaSTOCKINV[[#This Row],[SKU]],TablaINVENTARIO[SKU],TablaINVENTARIO[SERIAL])</f>
        <v>N/A</v>
      </c>
      <c r="I487" s="34" t="str">
        <f>_xlfn.XLOOKUP(TablaSTOCKINV[[#This Row],[SKU]],TablaINVENTARIO[SKU],TablaINVENTARIO[ALMACEN])</f>
        <v>ALMACEN PRINCIPAL</v>
      </c>
      <c r="J487" s="34" t="str">
        <f>_xlfn.XLOOKUP(TablaSTOCKINV[[#This Row],[SKU]],TablaINVENTARIO[SKU],TablaINVENTARIO[UBICACION])</f>
        <v>2B</v>
      </c>
      <c r="K487" s="34" t="str">
        <f>_xlfn.XLOOKUP(TablaSTOCKINV[[#This Row],[SKU]],TablaINVENTARIO[SKU],TablaINVENTARIO[DPTO RESPONSABLE])</f>
        <v>OPERACIONES / MANTENIMIENTO</v>
      </c>
      <c r="L487" s="36">
        <f>_xlfn.XLOOKUP(TablaSTOCKINV[[#This Row],[SKU]],TablaINVENTARIO[SKU],TablaINVENTARIO[RANGO MIN])</f>
        <v>0</v>
      </c>
      <c r="M487" s="34" cm="1">
        <f t="array" ref="M487">_xlfn.IFS(TablaSTOCKINV[[#This Row],[CANT. TOTAL]]&lt;=0,1,TablaSTOCKINV[[#This Row],[CANT. TOTAL]]&lt;=TablaSTOCKINV[[#This Row],[MIN]],2,TablaSTOCKINV[[#This Row],[CANT. TOTAL]]&gt;TablaSTOCKINV[[#This Row],[MIN]],3)</f>
        <v>3</v>
      </c>
      <c r="N487" s="34">
        <f>TablaSTOCKINV[[#This Row],[ENTRADAS]]-TablaSTOCKINV[[#This Row],[SALIDAS]]</f>
        <v>1</v>
      </c>
      <c r="O487" s="35">
        <f>SUMIFS(TablaENTRADA[CANT],TablaENTRADA[SKU],TablaSTOCKINV[[#This Row],[SKU]])</f>
        <v>1</v>
      </c>
      <c r="P487" s="35">
        <f>SUMIFS(TablaSALIDA[CANT],TablaSALIDA[SKU],TablaSTOCKINV[[#This Row],[SKU]])</f>
        <v>0</v>
      </c>
      <c r="Q487" s="34">
        <f>_xlfn.XLOOKUP(TablaSTOCKINV[[#This Row],[SKU]],TablaINVENTARIO[SKU],TablaINVENTARIO[PRECIO])</f>
        <v>0</v>
      </c>
      <c r="R487" s="34">
        <f>TablaSTOCKINV[[#This Row],[P.UNITARIO]]*TablaSTOCKINV[[#This Row],[CANT. TOTAL]]</f>
        <v>0</v>
      </c>
      <c r="S487" s="44">
        <f>_xlfn.XLOOKUP(TablaSTOCKINV[[#This Row],[SKU]],TablaINVENTARIO[SKU],TablaINVENTARIO[FECHA INGRESO])</f>
        <v>46023</v>
      </c>
      <c r="T487" s="44">
        <f>_xlfn.XLOOKUP(TablaSTOCKINV[[#This Row],[SKU]],TablaENTRADA[SKU],TablaENTRADA[FECHA],,0,-1)</f>
        <v>46023</v>
      </c>
      <c r="U487" s="46" t="str">
        <f>IFERROR((_xlfn.XLOOKUP(TablaSTOCKINV[[#This Row],[SKU]],TablaSALIDA[SKU],TablaSALIDA[FECHA],,0,-1))," " )</f>
        <v xml:space="preserve"> </v>
      </c>
    </row>
    <row r="488" spans="1:21" x14ac:dyDescent="0.3">
      <c r="A488" s="27" t="s">
        <v>1864</v>
      </c>
      <c r="B488" s="32" t="str">
        <f>_xlfn.XLOOKUP(TablaSTOCKINV[[#This Row],[SKU]],TablaINVENTARIO[SKU],TablaINVENTARIO[DESCRIPCION])</f>
        <v>MECHA PARA METAL 4MM (SET)</v>
      </c>
      <c r="C488" s="32" t="str">
        <f>_xlfn.XLOOKUP(TablaSTOCKINV[[#This Row],[SKU]],TablaINVENTARIO[SKU],TablaINVENTARIO[MARCA])</f>
        <v xml:space="preserve">BOSCH </v>
      </c>
      <c r="D488" s="33" t="str">
        <f>_xlfn.XLOOKUP(TablaSTOCKINV[[#This Row],[SKU]],TablaINVENTARIO[SKU],TablaINVENTARIO[CATEGORIA])</f>
        <v>HERRAMIENTAS_</v>
      </c>
      <c r="E488" s="33" t="str">
        <f>_xlfn.XLOOKUP(TablaSTOCKINV[[#This Row],[SKU]],TablaINVENTARIO[SKU],TablaINVENTARIO[SUBCATEGORIA])</f>
        <v xml:space="preserve">MATERIAL DE CONSTRUCCIÓN </v>
      </c>
      <c r="F488" s="33" t="str">
        <f>_xlfn.XLOOKUP(TablaSTOCKINV[[#This Row],[SKU]],TablaINVENTARIO[SKU],TablaINVENTARIO[ESTADO])</f>
        <v>USADO</v>
      </c>
      <c r="G488" s="33" t="str">
        <f>_xlfn.XLOOKUP(TablaSTOCKINV[[#This Row],[SKU]],TablaINVENTARIO[SKU],TablaINVENTARIO[MEDIDA])</f>
        <v xml:space="preserve">UND </v>
      </c>
      <c r="H488" s="33" t="str">
        <f>_xlfn.XLOOKUP(TablaSTOCKINV[[#This Row],[SKU]],TablaINVENTARIO[SKU],TablaINVENTARIO[SERIAL])</f>
        <v>N/A</v>
      </c>
      <c r="I488" s="34" t="str">
        <f>_xlfn.XLOOKUP(TablaSTOCKINV[[#This Row],[SKU]],TablaINVENTARIO[SKU],TablaINVENTARIO[ALMACEN])</f>
        <v>ALMACEN PRINCIPAL</v>
      </c>
      <c r="J488" s="34" t="str">
        <f>_xlfn.XLOOKUP(TablaSTOCKINV[[#This Row],[SKU]],TablaINVENTARIO[SKU],TablaINVENTARIO[UBICACION])</f>
        <v>2B</v>
      </c>
      <c r="K488" s="34" t="str">
        <f>_xlfn.XLOOKUP(TablaSTOCKINV[[#This Row],[SKU]],TablaINVENTARIO[SKU],TablaINVENTARIO[DPTO RESPONSABLE])</f>
        <v>OPERACIONES / MANTENIMIENTO</v>
      </c>
      <c r="L488" s="36">
        <f>_xlfn.XLOOKUP(TablaSTOCKINV[[#This Row],[SKU]],TablaINVENTARIO[SKU],TablaINVENTARIO[RANGO MIN])</f>
        <v>0</v>
      </c>
      <c r="M488" s="34" cm="1">
        <f t="array" ref="M488">_xlfn.IFS(TablaSTOCKINV[[#This Row],[CANT. TOTAL]]&lt;=0,1,TablaSTOCKINV[[#This Row],[CANT. TOTAL]]&lt;=TablaSTOCKINV[[#This Row],[MIN]],2,TablaSTOCKINV[[#This Row],[CANT. TOTAL]]&gt;TablaSTOCKINV[[#This Row],[MIN]],3)</f>
        <v>3</v>
      </c>
      <c r="N488" s="34">
        <f>TablaSTOCKINV[[#This Row],[ENTRADAS]]-TablaSTOCKINV[[#This Row],[SALIDAS]]</f>
        <v>1</v>
      </c>
      <c r="O488" s="35">
        <f>SUMIFS(TablaENTRADA[CANT],TablaENTRADA[SKU],TablaSTOCKINV[[#This Row],[SKU]])</f>
        <v>1</v>
      </c>
      <c r="P488" s="35">
        <f>SUMIFS(TablaSALIDA[CANT],TablaSALIDA[SKU],TablaSTOCKINV[[#This Row],[SKU]])</f>
        <v>0</v>
      </c>
      <c r="Q488" s="34">
        <f>_xlfn.XLOOKUP(TablaSTOCKINV[[#This Row],[SKU]],TablaINVENTARIO[SKU],TablaINVENTARIO[PRECIO])</f>
        <v>0</v>
      </c>
      <c r="R488" s="34">
        <f>TablaSTOCKINV[[#This Row],[P.UNITARIO]]*TablaSTOCKINV[[#This Row],[CANT. TOTAL]]</f>
        <v>0</v>
      </c>
      <c r="S488" s="44">
        <f>_xlfn.XLOOKUP(TablaSTOCKINV[[#This Row],[SKU]],TablaINVENTARIO[SKU],TablaINVENTARIO[FECHA INGRESO])</f>
        <v>46023</v>
      </c>
      <c r="T488" s="44">
        <f>_xlfn.XLOOKUP(TablaSTOCKINV[[#This Row],[SKU]],TablaENTRADA[SKU],TablaENTRADA[FECHA],,0,-1)</f>
        <v>46023</v>
      </c>
      <c r="U488" s="46" t="str">
        <f>IFERROR((_xlfn.XLOOKUP(TablaSTOCKINV[[#This Row],[SKU]],TablaSALIDA[SKU],TablaSALIDA[FECHA],,0,-1))," " )</f>
        <v xml:space="preserve"> </v>
      </c>
    </row>
    <row r="489" spans="1:21" x14ac:dyDescent="0.3">
      <c r="A489" s="27" t="s">
        <v>1866</v>
      </c>
      <c r="B489" s="32" t="str">
        <f>_xlfn.XLOOKUP(TablaSTOCKINV[[#This Row],[SKU]],TablaINVENTARIO[SKU],TablaINVENTARIO[DESCRIPCION])</f>
        <v>MECHA PARA METAL 4.5MM (SET)</v>
      </c>
      <c r="C489" s="32" t="str">
        <f>_xlfn.XLOOKUP(TablaSTOCKINV[[#This Row],[SKU]],TablaINVENTARIO[SKU],TablaINVENTARIO[MARCA])</f>
        <v xml:space="preserve">BOSCH </v>
      </c>
      <c r="D489" s="33" t="str">
        <f>_xlfn.XLOOKUP(TablaSTOCKINV[[#This Row],[SKU]],TablaINVENTARIO[SKU],TablaINVENTARIO[CATEGORIA])</f>
        <v>HERRAMIENTAS_</v>
      </c>
      <c r="E489" s="33" t="str">
        <f>_xlfn.XLOOKUP(TablaSTOCKINV[[#This Row],[SKU]],TablaINVENTARIO[SKU],TablaINVENTARIO[SUBCATEGORIA])</f>
        <v xml:space="preserve">MATERIAL DE CONSTRUCCIÓN </v>
      </c>
      <c r="F489" s="33" t="str">
        <f>_xlfn.XLOOKUP(TablaSTOCKINV[[#This Row],[SKU]],TablaINVENTARIO[SKU],TablaINVENTARIO[ESTADO])</f>
        <v>USADO</v>
      </c>
      <c r="G489" s="33" t="str">
        <f>_xlfn.XLOOKUP(TablaSTOCKINV[[#This Row],[SKU]],TablaINVENTARIO[SKU],TablaINVENTARIO[MEDIDA])</f>
        <v xml:space="preserve">UND </v>
      </c>
      <c r="H489" s="33" t="str">
        <f>_xlfn.XLOOKUP(TablaSTOCKINV[[#This Row],[SKU]],TablaINVENTARIO[SKU],TablaINVENTARIO[SERIAL])</f>
        <v>N/A</v>
      </c>
      <c r="I489" s="34" t="str">
        <f>_xlfn.XLOOKUP(TablaSTOCKINV[[#This Row],[SKU]],TablaINVENTARIO[SKU],TablaINVENTARIO[ALMACEN])</f>
        <v>ALMACEN PRINCIPAL</v>
      </c>
      <c r="J489" s="34" t="str">
        <f>_xlfn.XLOOKUP(TablaSTOCKINV[[#This Row],[SKU]],TablaINVENTARIO[SKU],TablaINVENTARIO[UBICACION])</f>
        <v>2B</v>
      </c>
      <c r="K489" s="34" t="str">
        <f>_xlfn.XLOOKUP(TablaSTOCKINV[[#This Row],[SKU]],TablaINVENTARIO[SKU],TablaINVENTARIO[DPTO RESPONSABLE])</f>
        <v>OPERACIONES / MANTENIMIENTO</v>
      </c>
      <c r="L489" s="36">
        <f>_xlfn.XLOOKUP(TablaSTOCKINV[[#This Row],[SKU]],TablaINVENTARIO[SKU],TablaINVENTARIO[RANGO MIN])</f>
        <v>0</v>
      </c>
      <c r="M489" s="34" cm="1">
        <f t="array" ref="M489">_xlfn.IFS(TablaSTOCKINV[[#This Row],[CANT. TOTAL]]&lt;=0,1,TablaSTOCKINV[[#This Row],[CANT. TOTAL]]&lt;=TablaSTOCKINV[[#This Row],[MIN]],2,TablaSTOCKINV[[#This Row],[CANT. TOTAL]]&gt;TablaSTOCKINV[[#This Row],[MIN]],3)</f>
        <v>3</v>
      </c>
      <c r="N489" s="34">
        <f>TablaSTOCKINV[[#This Row],[ENTRADAS]]-TablaSTOCKINV[[#This Row],[SALIDAS]]</f>
        <v>1</v>
      </c>
      <c r="O489" s="35">
        <f>SUMIFS(TablaENTRADA[CANT],TablaENTRADA[SKU],TablaSTOCKINV[[#This Row],[SKU]])</f>
        <v>1</v>
      </c>
      <c r="P489" s="35">
        <f>SUMIFS(TablaSALIDA[CANT],TablaSALIDA[SKU],TablaSTOCKINV[[#This Row],[SKU]])</f>
        <v>0</v>
      </c>
      <c r="Q489" s="34">
        <f>_xlfn.XLOOKUP(TablaSTOCKINV[[#This Row],[SKU]],TablaINVENTARIO[SKU],TablaINVENTARIO[PRECIO])</f>
        <v>0</v>
      </c>
      <c r="R489" s="34">
        <f>TablaSTOCKINV[[#This Row],[P.UNITARIO]]*TablaSTOCKINV[[#This Row],[CANT. TOTAL]]</f>
        <v>0</v>
      </c>
      <c r="S489" s="44">
        <f>_xlfn.XLOOKUP(TablaSTOCKINV[[#This Row],[SKU]],TablaINVENTARIO[SKU],TablaINVENTARIO[FECHA INGRESO])</f>
        <v>46023</v>
      </c>
      <c r="T489" s="44">
        <f>_xlfn.XLOOKUP(TablaSTOCKINV[[#This Row],[SKU]],TablaENTRADA[SKU],TablaENTRADA[FECHA],,0,-1)</f>
        <v>46023</v>
      </c>
      <c r="U489" s="46" t="str">
        <f>IFERROR((_xlfn.XLOOKUP(TablaSTOCKINV[[#This Row],[SKU]],TablaSALIDA[SKU],TablaSALIDA[FECHA],,0,-1))," " )</f>
        <v xml:space="preserve"> </v>
      </c>
    </row>
    <row r="490" spans="1:21" x14ac:dyDescent="0.3">
      <c r="A490" s="27" t="s">
        <v>1868</v>
      </c>
      <c r="B490" s="32" t="str">
        <f>_xlfn.XLOOKUP(TablaSTOCKINV[[#This Row],[SKU]],TablaINVENTARIO[SKU],TablaINVENTARIO[DESCRIPCION])</f>
        <v>MECHA PARA METAL 5MM (SET)</v>
      </c>
      <c r="C490" s="32" t="str">
        <f>_xlfn.XLOOKUP(TablaSTOCKINV[[#This Row],[SKU]],TablaINVENTARIO[SKU],TablaINVENTARIO[MARCA])</f>
        <v xml:space="preserve">BOSCH </v>
      </c>
      <c r="D490" s="33" t="str">
        <f>_xlfn.XLOOKUP(TablaSTOCKINV[[#This Row],[SKU]],TablaINVENTARIO[SKU],TablaINVENTARIO[CATEGORIA])</f>
        <v>HERRAMIENTAS_</v>
      </c>
      <c r="E490" s="33" t="str">
        <f>_xlfn.XLOOKUP(TablaSTOCKINV[[#This Row],[SKU]],TablaINVENTARIO[SKU],TablaINVENTARIO[SUBCATEGORIA])</f>
        <v xml:space="preserve">MATERIAL DE CONSTRUCCIÓN </v>
      </c>
      <c r="F490" s="33" t="str">
        <f>_xlfn.XLOOKUP(TablaSTOCKINV[[#This Row],[SKU]],TablaINVENTARIO[SKU],TablaINVENTARIO[ESTADO])</f>
        <v>USADO</v>
      </c>
      <c r="G490" s="33" t="str">
        <f>_xlfn.XLOOKUP(TablaSTOCKINV[[#This Row],[SKU]],TablaINVENTARIO[SKU],TablaINVENTARIO[MEDIDA])</f>
        <v xml:space="preserve">UND </v>
      </c>
      <c r="H490" s="33" t="str">
        <f>_xlfn.XLOOKUP(TablaSTOCKINV[[#This Row],[SKU]],TablaINVENTARIO[SKU],TablaINVENTARIO[SERIAL])</f>
        <v>N/A</v>
      </c>
      <c r="I490" s="34" t="str">
        <f>_xlfn.XLOOKUP(TablaSTOCKINV[[#This Row],[SKU]],TablaINVENTARIO[SKU],TablaINVENTARIO[ALMACEN])</f>
        <v>ALMACEN PRINCIPAL</v>
      </c>
      <c r="J490" s="34" t="str">
        <f>_xlfn.XLOOKUP(TablaSTOCKINV[[#This Row],[SKU]],TablaINVENTARIO[SKU],TablaINVENTARIO[UBICACION])</f>
        <v>2B</v>
      </c>
      <c r="K490" s="34" t="str">
        <f>_xlfn.XLOOKUP(TablaSTOCKINV[[#This Row],[SKU]],TablaINVENTARIO[SKU],TablaINVENTARIO[DPTO RESPONSABLE])</f>
        <v>OPERACIONES / MANTENIMIENTO</v>
      </c>
      <c r="L490" s="36">
        <f>_xlfn.XLOOKUP(TablaSTOCKINV[[#This Row],[SKU]],TablaINVENTARIO[SKU],TablaINVENTARIO[RANGO MIN])</f>
        <v>0</v>
      </c>
      <c r="M490" s="34" cm="1">
        <f t="array" ref="M490">_xlfn.IFS(TablaSTOCKINV[[#This Row],[CANT. TOTAL]]&lt;=0,1,TablaSTOCKINV[[#This Row],[CANT. TOTAL]]&lt;=TablaSTOCKINV[[#This Row],[MIN]],2,TablaSTOCKINV[[#This Row],[CANT. TOTAL]]&gt;TablaSTOCKINV[[#This Row],[MIN]],3)</f>
        <v>3</v>
      </c>
      <c r="N490" s="34">
        <f>TablaSTOCKINV[[#This Row],[ENTRADAS]]-TablaSTOCKINV[[#This Row],[SALIDAS]]</f>
        <v>1</v>
      </c>
      <c r="O490" s="35">
        <f>SUMIFS(TablaENTRADA[CANT],TablaENTRADA[SKU],TablaSTOCKINV[[#This Row],[SKU]])</f>
        <v>1</v>
      </c>
      <c r="P490" s="35">
        <f>SUMIFS(TablaSALIDA[CANT],TablaSALIDA[SKU],TablaSTOCKINV[[#This Row],[SKU]])</f>
        <v>0</v>
      </c>
      <c r="Q490" s="34">
        <f>_xlfn.XLOOKUP(TablaSTOCKINV[[#This Row],[SKU]],TablaINVENTARIO[SKU],TablaINVENTARIO[PRECIO])</f>
        <v>0</v>
      </c>
      <c r="R490" s="34">
        <f>TablaSTOCKINV[[#This Row],[P.UNITARIO]]*TablaSTOCKINV[[#This Row],[CANT. TOTAL]]</f>
        <v>0</v>
      </c>
      <c r="S490" s="44">
        <f>_xlfn.XLOOKUP(TablaSTOCKINV[[#This Row],[SKU]],TablaINVENTARIO[SKU],TablaINVENTARIO[FECHA INGRESO])</f>
        <v>46023</v>
      </c>
      <c r="T490" s="44">
        <f>_xlfn.XLOOKUP(TablaSTOCKINV[[#This Row],[SKU]],TablaENTRADA[SKU],TablaENTRADA[FECHA],,0,-1)</f>
        <v>46023</v>
      </c>
      <c r="U490" s="46" t="str">
        <f>IFERROR((_xlfn.XLOOKUP(TablaSTOCKINV[[#This Row],[SKU]],TablaSALIDA[SKU],TablaSALIDA[FECHA],,0,-1))," " )</f>
        <v xml:space="preserve"> </v>
      </c>
    </row>
    <row r="491" spans="1:21" x14ac:dyDescent="0.3">
      <c r="A491" s="27" t="s">
        <v>1870</v>
      </c>
      <c r="B491" s="32" t="str">
        <f>_xlfn.XLOOKUP(TablaSTOCKINV[[#This Row],[SKU]],TablaINVENTARIO[SKU],TablaINVENTARIO[DESCRIPCION])</f>
        <v>MECHA PARA METAL 5.5MM (SET)</v>
      </c>
      <c r="C491" s="32" t="str">
        <f>_xlfn.XLOOKUP(TablaSTOCKINV[[#This Row],[SKU]],TablaINVENTARIO[SKU],TablaINVENTARIO[MARCA])</f>
        <v xml:space="preserve">BOSCH </v>
      </c>
      <c r="D491" s="33" t="str">
        <f>_xlfn.XLOOKUP(TablaSTOCKINV[[#This Row],[SKU]],TablaINVENTARIO[SKU],TablaINVENTARIO[CATEGORIA])</f>
        <v>HERRAMIENTAS_</v>
      </c>
      <c r="E491" s="33" t="str">
        <f>_xlfn.XLOOKUP(TablaSTOCKINV[[#This Row],[SKU]],TablaINVENTARIO[SKU],TablaINVENTARIO[SUBCATEGORIA])</f>
        <v xml:space="preserve">MATERIAL DE CONSTRUCCIÓN </v>
      </c>
      <c r="F491" s="33" t="str">
        <f>_xlfn.XLOOKUP(TablaSTOCKINV[[#This Row],[SKU]],TablaINVENTARIO[SKU],TablaINVENTARIO[ESTADO])</f>
        <v>USADO</v>
      </c>
      <c r="G491" s="33" t="str">
        <f>_xlfn.XLOOKUP(TablaSTOCKINV[[#This Row],[SKU]],TablaINVENTARIO[SKU],TablaINVENTARIO[MEDIDA])</f>
        <v xml:space="preserve">UND </v>
      </c>
      <c r="H491" s="33" t="str">
        <f>_xlfn.XLOOKUP(TablaSTOCKINV[[#This Row],[SKU]],TablaINVENTARIO[SKU],TablaINVENTARIO[SERIAL])</f>
        <v>N/A</v>
      </c>
      <c r="I491" s="34" t="str">
        <f>_xlfn.XLOOKUP(TablaSTOCKINV[[#This Row],[SKU]],TablaINVENTARIO[SKU],TablaINVENTARIO[ALMACEN])</f>
        <v>ALMACEN PRINCIPAL</v>
      </c>
      <c r="J491" s="34" t="str">
        <f>_xlfn.XLOOKUP(TablaSTOCKINV[[#This Row],[SKU]],TablaINVENTARIO[SKU],TablaINVENTARIO[UBICACION])</f>
        <v>2B</v>
      </c>
      <c r="K491" s="34" t="str">
        <f>_xlfn.XLOOKUP(TablaSTOCKINV[[#This Row],[SKU]],TablaINVENTARIO[SKU],TablaINVENTARIO[DPTO RESPONSABLE])</f>
        <v>OPERACIONES / MANTENIMIENTO</v>
      </c>
      <c r="L491" s="36">
        <f>_xlfn.XLOOKUP(TablaSTOCKINV[[#This Row],[SKU]],TablaINVENTARIO[SKU],TablaINVENTARIO[RANGO MIN])</f>
        <v>0</v>
      </c>
      <c r="M491" s="34" cm="1">
        <f t="array" ref="M491">_xlfn.IFS(TablaSTOCKINV[[#This Row],[CANT. TOTAL]]&lt;=0,1,TablaSTOCKINV[[#This Row],[CANT. TOTAL]]&lt;=TablaSTOCKINV[[#This Row],[MIN]],2,TablaSTOCKINV[[#This Row],[CANT. TOTAL]]&gt;TablaSTOCKINV[[#This Row],[MIN]],3)</f>
        <v>3</v>
      </c>
      <c r="N491" s="34">
        <f>TablaSTOCKINV[[#This Row],[ENTRADAS]]-TablaSTOCKINV[[#This Row],[SALIDAS]]</f>
        <v>1</v>
      </c>
      <c r="O491" s="35">
        <f>SUMIFS(TablaENTRADA[CANT],TablaENTRADA[SKU],TablaSTOCKINV[[#This Row],[SKU]])</f>
        <v>1</v>
      </c>
      <c r="P491" s="35">
        <f>SUMIFS(TablaSALIDA[CANT],TablaSALIDA[SKU],TablaSTOCKINV[[#This Row],[SKU]])</f>
        <v>0</v>
      </c>
      <c r="Q491" s="34">
        <f>_xlfn.XLOOKUP(TablaSTOCKINV[[#This Row],[SKU]],TablaINVENTARIO[SKU],TablaINVENTARIO[PRECIO])</f>
        <v>0</v>
      </c>
      <c r="R491" s="34">
        <f>TablaSTOCKINV[[#This Row],[P.UNITARIO]]*TablaSTOCKINV[[#This Row],[CANT. TOTAL]]</f>
        <v>0</v>
      </c>
      <c r="S491" s="44">
        <f>_xlfn.XLOOKUP(TablaSTOCKINV[[#This Row],[SKU]],TablaINVENTARIO[SKU],TablaINVENTARIO[FECHA INGRESO])</f>
        <v>46023</v>
      </c>
      <c r="T491" s="44">
        <f>_xlfn.XLOOKUP(TablaSTOCKINV[[#This Row],[SKU]],TablaENTRADA[SKU],TablaENTRADA[FECHA],,0,-1)</f>
        <v>46023</v>
      </c>
      <c r="U491" s="46" t="str">
        <f>IFERROR((_xlfn.XLOOKUP(TablaSTOCKINV[[#This Row],[SKU]],TablaSALIDA[SKU],TablaSALIDA[FECHA],,0,-1))," " )</f>
        <v xml:space="preserve"> </v>
      </c>
    </row>
    <row r="492" spans="1:21" x14ac:dyDescent="0.3">
      <c r="A492" s="27" t="s">
        <v>1872</v>
      </c>
      <c r="B492" s="32" t="str">
        <f>_xlfn.XLOOKUP(TablaSTOCKINV[[#This Row],[SKU]],TablaINVENTARIO[SKU],TablaINVENTARIO[DESCRIPCION])</f>
        <v>MECHA PARA METAL 6MM (SET)</v>
      </c>
      <c r="C492" s="32" t="str">
        <f>_xlfn.XLOOKUP(TablaSTOCKINV[[#This Row],[SKU]],TablaINVENTARIO[SKU],TablaINVENTARIO[MARCA])</f>
        <v xml:space="preserve">BOSCH </v>
      </c>
      <c r="D492" s="33" t="str">
        <f>_xlfn.XLOOKUP(TablaSTOCKINV[[#This Row],[SKU]],TablaINVENTARIO[SKU],TablaINVENTARIO[CATEGORIA])</f>
        <v>HERRAMIENTAS_</v>
      </c>
      <c r="E492" s="33" t="str">
        <f>_xlfn.XLOOKUP(TablaSTOCKINV[[#This Row],[SKU]],TablaINVENTARIO[SKU],TablaINVENTARIO[SUBCATEGORIA])</f>
        <v xml:space="preserve">MATERIAL DE CONSTRUCCIÓN </v>
      </c>
      <c r="F492" s="33" t="str">
        <f>_xlfn.XLOOKUP(TablaSTOCKINV[[#This Row],[SKU]],TablaINVENTARIO[SKU],TablaINVENTARIO[ESTADO])</f>
        <v>USADO</v>
      </c>
      <c r="G492" s="33" t="str">
        <f>_xlfn.XLOOKUP(TablaSTOCKINV[[#This Row],[SKU]],TablaINVENTARIO[SKU],TablaINVENTARIO[MEDIDA])</f>
        <v xml:space="preserve">UND </v>
      </c>
      <c r="H492" s="33" t="str">
        <f>_xlfn.XLOOKUP(TablaSTOCKINV[[#This Row],[SKU]],TablaINVENTARIO[SKU],TablaINVENTARIO[SERIAL])</f>
        <v>N/A</v>
      </c>
      <c r="I492" s="34" t="str">
        <f>_xlfn.XLOOKUP(TablaSTOCKINV[[#This Row],[SKU]],TablaINVENTARIO[SKU],TablaINVENTARIO[ALMACEN])</f>
        <v>ALMACEN PRINCIPAL</v>
      </c>
      <c r="J492" s="34" t="str">
        <f>_xlfn.XLOOKUP(TablaSTOCKINV[[#This Row],[SKU]],TablaINVENTARIO[SKU],TablaINVENTARIO[UBICACION])</f>
        <v>2B</v>
      </c>
      <c r="K492" s="34" t="str">
        <f>_xlfn.XLOOKUP(TablaSTOCKINV[[#This Row],[SKU]],TablaINVENTARIO[SKU],TablaINVENTARIO[DPTO RESPONSABLE])</f>
        <v>OPERACIONES / MANTENIMIENTO</v>
      </c>
      <c r="L492" s="36">
        <f>_xlfn.XLOOKUP(TablaSTOCKINV[[#This Row],[SKU]],TablaINVENTARIO[SKU],TablaINVENTARIO[RANGO MIN])</f>
        <v>0</v>
      </c>
      <c r="M492" s="34" cm="1">
        <f t="array" ref="M492">_xlfn.IFS(TablaSTOCKINV[[#This Row],[CANT. TOTAL]]&lt;=0,1,TablaSTOCKINV[[#This Row],[CANT. TOTAL]]&lt;=TablaSTOCKINV[[#This Row],[MIN]],2,TablaSTOCKINV[[#This Row],[CANT. TOTAL]]&gt;TablaSTOCKINV[[#This Row],[MIN]],3)</f>
        <v>3</v>
      </c>
      <c r="N492" s="34">
        <f>TablaSTOCKINV[[#This Row],[ENTRADAS]]-TablaSTOCKINV[[#This Row],[SALIDAS]]</f>
        <v>1</v>
      </c>
      <c r="O492" s="35">
        <f>SUMIFS(TablaENTRADA[CANT],TablaENTRADA[SKU],TablaSTOCKINV[[#This Row],[SKU]])</f>
        <v>1</v>
      </c>
      <c r="P492" s="35">
        <f>SUMIFS(TablaSALIDA[CANT],TablaSALIDA[SKU],TablaSTOCKINV[[#This Row],[SKU]])</f>
        <v>0</v>
      </c>
      <c r="Q492" s="34">
        <f>_xlfn.XLOOKUP(TablaSTOCKINV[[#This Row],[SKU]],TablaINVENTARIO[SKU],TablaINVENTARIO[PRECIO])</f>
        <v>0</v>
      </c>
      <c r="R492" s="34">
        <f>TablaSTOCKINV[[#This Row],[P.UNITARIO]]*TablaSTOCKINV[[#This Row],[CANT. TOTAL]]</f>
        <v>0</v>
      </c>
      <c r="S492" s="44">
        <f>_xlfn.XLOOKUP(TablaSTOCKINV[[#This Row],[SKU]],TablaINVENTARIO[SKU],TablaINVENTARIO[FECHA INGRESO])</f>
        <v>46023</v>
      </c>
      <c r="T492" s="44">
        <f>_xlfn.XLOOKUP(TablaSTOCKINV[[#This Row],[SKU]],TablaENTRADA[SKU],TablaENTRADA[FECHA],,0,-1)</f>
        <v>46023</v>
      </c>
      <c r="U492" s="46" t="str">
        <f>IFERROR((_xlfn.XLOOKUP(TablaSTOCKINV[[#This Row],[SKU]],TablaSALIDA[SKU],TablaSALIDA[FECHA],,0,-1))," " )</f>
        <v xml:space="preserve"> </v>
      </c>
    </row>
    <row r="493" spans="1:21" x14ac:dyDescent="0.3">
      <c r="A493" s="27" t="s">
        <v>1874</v>
      </c>
      <c r="B493" s="32" t="str">
        <f>_xlfn.XLOOKUP(TablaSTOCKINV[[#This Row],[SKU]],TablaINVENTARIO[SKU],TablaINVENTARIO[DESCRIPCION])</f>
        <v>MECHA PARA METAL 6.5MM (SET)</v>
      </c>
      <c r="C493" s="32" t="str">
        <f>_xlfn.XLOOKUP(TablaSTOCKINV[[#This Row],[SKU]],TablaINVENTARIO[SKU],TablaINVENTARIO[MARCA])</f>
        <v xml:space="preserve">BOSCH </v>
      </c>
      <c r="D493" s="33" t="str">
        <f>_xlfn.XLOOKUP(TablaSTOCKINV[[#This Row],[SKU]],TablaINVENTARIO[SKU],TablaINVENTARIO[CATEGORIA])</f>
        <v>HERRAMIENTAS_</v>
      </c>
      <c r="E493" s="33" t="str">
        <f>_xlfn.XLOOKUP(TablaSTOCKINV[[#This Row],[SKU]],TablaINVENTARIO[SKU],TablaINVENTARIO[SUBCATEGORIA])</f>
        <v xml:space="preserve">MATERIAL DE CONSTRUCCIÓN </v>
      </c>
      <c r="F493" s="33" t="str">
        <f>_xlfn.XLOOKUP(TablaSTOCKINV[[#This Row],[SKU]],TablaINVENTARIO[SKU],TablaINVENTARIO[ESTADO])</f>
        <v>USADO</v>
      </c>
      <c r="G493" s="33" t="str">
        <f>_xlfn.XLOOKUP(TablaSTOCKINV[[#This Row],[SKU]],TablaINVENTARIO[SKU],TablaINVENTARIO[MEDIDA])</f>
        <v xml:space="preserve">UND </v>
      </c>
      <c r="H493" s="33" t="str">
        <f>_xlfn.XLOOKUP(TablaSTOCKINV[[#This Row],[SKU]],TablaINVENTARIO[SKU],TablaINVENTARIO[SERIAL])</f>
        <v>N/A</v>
      </c>
      <c r="I493" s="34" t="str">
        <f>_xlfn.XLOOKUP(TablaSTOCKINV[[#This Row],[SKU]],TablaINVENTARIO[SKU],TablaINVENTARIO[ALMACEN])</f>
        <v>ALMACEN PRINCIPAL</v>
      </c>
      <c r="J493" s="34" t="str">
        <f>_xlfn.XLOOKUP(TablaSTOCKINV[[#This Row],[SKU]],TablaINVENTARIO[SKU],TablaINVENTARIO[UBICACION])</f>
        <v>2B</v>
      </c>
      <c r="K493" s="34" t="str">
        <f>_xlfn.XLOOKUP(TablaSTOCKINV[[#This Row],[SKU]],TablaINVENTARIO[SKU],TablaINVENTARIO[DPTO RESPONSABLE])</f>
        <v>OPERACIONES / MANTENIMIENTO</v>
      </c>
      <c r="L493" s="36">
        <f>_xlfn.XLOOKUP(TablaSTOCKINV[[#This Row],[SKU]],TablaINVENTARIO[SKU],TablaINVENTARIO[RANGO MIN])</f>
        <v>0</v>
      </c>
      <c r="M493" s="34" cm="1">
        <f t="array" ref="M493">_xlfn.IFS(TablaSTOCKINV[[#This Row],[CANT. TOTAL]]&lt;=0,1,TablaSTOCKINV[[#This Row],[CANT. TOTAL]]&lt;=TablaSTOCKINV[[#This Row],[MIN]],2,TablaSTOCKINV[[#This Row],[CANT. TOTAL]]&gt;TablaSTOCKINV[[#This Row],[MIN]],3)</f>
        <v>3</v>
      </c>
      <c r="N493" s="34">
        <f>TablaSTOCKINV[[#This Row],[ENTRADAS]]-TablaSTOCKINV[[#This Row],[SALIDAS]]</f>
        <v>1</v>
      </c>
      <c r="O493" s="35">
        <f>SUMIFS(TablaENTRADA[CANT],TablaENTRADA[SKU],TablaSTOCKINV[[#This Row],[SKU]])</f>
        <v>1</v>
      </c>
      <c r="P493" s="35">
        <f>SUMIFS(TablaSALIDA[CANT],TablaSALIDA[SKU],TablaSTOCKINV[[#This Row],[SKU]])</f>
        <v>0</v>
      </c>
      <c r="Q493" s="34">
        <f>_xlfn.XLOOKUP(TablaSTOCKINV[[#This Row],[SKU]],TablaINVENTARIO[SKU],TablaINVENTARIO[PRECIO])</f>
        <v>0</v>
      </c>
      <c r="R493" s="34">
        <f>TablaSTOCKINV[[#This Row],[P.UNITARIO]]*TablaSTOCKINV[[#This Row],[CANT. TOTAL]]</f>
        <v>0</v>
      </c>
      <c r="S493" s="44">
        <f>_xlfn.XLOOKUP(TablaSTOCKINV[[#This Row],[SKU]],TablaINVENTARIO[SKU],TablaINVENTARIO[FECHA INGRESO])</f>
        <v>46023</v>
      </c>
      <c r="T493" s="44">
        <f>_xlfn.XLOOKUP(TablaSTOCKINV[[#This Row],[SKU]],TablaENTRADA[SKU],TablaENTRADA[FECHA],,0,-1)</f>
        <v>46023</v>
      </c>
      <c r="U493" s="46" t="str">
        <f>IFERROR((_xlfn.XLOOKUP(TablaSTOCKINV[[#This Row],[SKU]],TablaSALIDA[SKU],TablaSALIDA[FECHA],,0,-1))," " )</f>
        <v xml:space="preserve"> </v>
      </c>
    </row>
    <row r="494" spans="1:21" x14ac:dyDescent="0.3">
      <c r="A494" s="27" t="s">
        <v>1876</v>
      </c>
      <c r="B494" s="32" t="str">
        <f>_xlfn.XLOOKUP(TablaSTOCKINV[[#This Row],[SKU]],TablaINVENTARIO[SKU],TablaINVENTARIO[DESCRIPCION])</f>
        <v>MECHA PARA METAL 7MM (SET)</v>
      </c>
      <c r="C494" s="32" t="str">
        <f>_xlfn.XLOOKUP(TablaSTOCKINV[[#This Row],[SKU]],TablaINVENTARIO[SKU],TablaINVENTARIO[MARCA])</f>
        <v xml:space="preserve">BOSCH </v>
      </c>
      <c r="D494" s="33" t="str">
        <f>_xlfn.XLOOKUP(TablaSTOCKINV[[#This Row],[SKU]],TablaINVENTARIO[SKU],TablaINVENTARIO[CATEGORIA])</f>
        <v>HERRAMIENTAS_</v>
      </c>
      <c r="E494" s="33" t="str">
        <f>_xlfn.XLOOKUP(TablaSTOCKINV[[#This Row],[SKU]],TablaINVENTARIO[SKU],TablaINVENTARIO[SUBCATEGORIA])</f>
        <v xml:space="preserve">MATERIAL DE CONSTRUCCIÓN </v>
      </c>
      <c r="F494" s="33" t="str">
        <f>_xlfn.XLOOKUP(TablaSTOCKINV[[#This Row],[SKU]],TablaINVENTARIO[SKU],TablaINVENTARIO[ESTADO])</f>
        <v>USADO</v>
      </c>
      <c r="G494" s="33" t="str">
        <f>_xlfn.XLOOKUP(TablaSTOCKINV[[#This Row],[SKU]],TablaINVENTARIO[SKU],TablaINVENTARIO[MEDIDA])</f>
        <v xml:space="preserve">UND </v>
      </c>
      <c r="H494" s="33" t="str">
        <f>_xlfn.XLOOKUP(TablaSTOCKINV[[#This Row],[SKU]],TablaINVENTARIO[SKU],TablaINVENTARIO[SERIAL])</f>
        <v>N/A</v>
      </c>
      <c r="I494" s="34" t="str">
        <f>_xlfn.XLOOKUP(TablaSTOCKINV[[#This Row],[SKU]],TablaINVENTARIO[SKU],TablaINVENTARIO[ALMACEN])</f>
        <v>ALMACEN PRINCIPAL</v>
      </c>
      <c r="J494" s="34" t="str">
        <f>_xlfn.XLOOKUP(TablaSTOCKINV[[#This Row],[SKU]],TablaINVENTARIO[SKU],TablaINVENTARIO[UBICACION])</f>
        <v>2B</v>
      </c>
      <c r="K494" s="34" t="str">
        <f>_xlfn.XLOOKUP(TablaSTOCKINV[[#This Row],[SKU]],TablaINVENTARIO[SKU],TablaINVENTARIO[DPTO RESPONSABLE])</f>
        <v>OPERACIONES / MANTENIMIENTO</v>
      </c>
      <c r="L494" s="36">
        <f>_xlfn.XLOOKUP(TablaSTOCKINV[[#This Row],[SKU]],TablaINVENTARIO[SKU],TablaINVENTARIO[RANGO MIN])</f>
        <v>0</v>
      </c>
      <c r="M494" s="34" cm="1">
        <f t="array" ref="M494">_xlfn.IFS(TablaSTOCKINV[[#This Row],[CANT. TOTAL]]&lt;=0,1,TablaSTOCKINV[[#This Row],[CANT. TOTAL]]&lt;=TablaSTOCKINV[[#This Row],[MIN]],2,TablaSTOCKINV[[#This Row],[CANT. TOTAL]]&gt;TablaSTOCKINV[[#This Row],[MIN]],3)</f>
        <v>3</v>
      </c>
      <c r="N494" s="34">
        <f>TablaSTOCKINV[[#This Row],[ENTRADAS]]-TablaSTOCKINV[[#This Row],[SALIDAS]]</f>
        <v>1</v>
      </c>
      <c r="O494" s="35">
        <f>SUMIFS(TablaENTRADA[CANT],TablaENTRADA[SKU],TablaSTOCKINV[[#This Row],[SKU]])</f>
        <v>1</v>
      </c>
      <c r="P494" s="35">
        <f>SUMIFS(TablaSALIDA[CANT],TablaSALIDA[SKU],TablaSTOCKINV[[#This Row],[SKU]])</f>
        <v>0</v>
      </c>
      <c r="Q494" s="34">
        <f>_xlfn.XLOOKUP(TablaSTOCKINV[[#This Row],[SKU]],TablaINVENTARIO[SKU],TablaINVENTARIO[PRECIO])</f>
        <v>0</v>
      </c>
      <c r="R494" s="34">
        <f>TablaSTOCKINV[[#This Row],[P.UNITARIO]]*TablaSTOCKINV[[#This Row],[CANT. TOTAL]]</f>
        <v>0</v>
      </c>
      <c r="S494" s="44">
        <f>_xlfn.XLOOKUP(TablaSTOCKINV[[#This Row],[SKU]],TablaINVENTARIO[SKU],TablaINVENTARIO[FECHA INGRESO])</f>
        <v>46023</v>
      </c>
      <c r="T494" s="44">
        <f>_xlfn.XLOOKUP(TablaSTOCKINV[[#This Row],[SKU]],TablaENTRADA[SKU],TablaENTRADA[FECHA],,0,-1)</f>
        <v>46023</v>
      </c>
      <c r="U494" s="46" t="str">
        <f>IFERROR((_xlfn.XLOOKUP(TablaSTOCKINV[[#This Row],[SKU]],TablaSALIDA[SKU],TablaSALIDA[FECHA],,0,-1))," " )</f>
        <v xml:space="preserve"> </v>
      </c>
    </row>
    <row r="495" spans="1:21" x14ac:dyDescent="0.3">
      <c r="A495" s="27" t="s">
        <v>1878</v>
      </c>
      <c r="B495" s="32" t="str">
        <f>_xlfn.XLOOKUP(TablaSTOCKINV[[#This Row],[SKU]],TablaINVENTARIO[SKU],TablaINVENTARIO[DESCRIPCION])</f>
        <v>MECHA PARA METAL 7.5MM (SET)</v>
      </c>
      <c r="C495" s="32" t="str">
        <f>_xlfn.XLOOKUP(TablaSTOCKINV[[#This Row],[SKU]],TablaINVENTARIO[SKU],TablaINVENTARIO[MARCA])</f>
        <v xml:space="preserve">BOSCH </v>
      </c>
      <c r="D495" s="33" t="str">
        <f>_xlfn.XLOOKUP(TablaSTOCKINV[[#This Row],[SKU]],TablaINVENTARIO[SKU],TablaINVENTARIO[CATEGORIA])</f>
        <v>HERRAMIENTAS_</v>
      </c>
      <c r="E495" s="33" t="str">
        <f>_xlfn.XLOOKUP(TablaSTOCKINV[[#This Row],[SKU]],TablaINVENTARIO[SKU],TablaINVENTARIO[SUBCATEGORIA])</f>
        <v xml:space="preserve">MATERIAL DE CONSTRUCCIÓN </v>
      </c>
      <c r="F495" s="33" t="str">
        <f>_xlfn.XLOOKUP(TablaSTOCKINV[[#This Row],[SKU]],TablaINVENTARIO[SKU],TablaINVENTARIO[ESTADO])</f>
        <v>USADO</v>
      </c>
      <c r="G495" s="33" t="str">
        <f>_xlfn.XLOOKUP(TablaSTOCKINV[[#This Row],[SKU]],TablaINVENTARIO[SKU],TablaINVENTARIO[MEDIDA])</f>
        <v xml:space="preserve">UND </v>
      </c>
      <c r="H495" s="33" t="str">
        <f>_xlfn.XLOOKUP(TablaSTOCKINV[[#This Row],[SKU]],TablaINVENTARIO[SKU],TablaINVENTARIO[SERIAL])</f>
        <v>N/A</v>
      </c>
      <c r="I495" s="34" t="str">
        <f>_xlfn.XLOOKUP(TablaSTOCKINV[[#This Row],[SKU]],TablaINVENTARIO[SKU],TablaINVENTARIO[ALMACEN])</f>
        <v>ALMACEN PRINCIPAL</v>
      </c>
      <c r="J495" s="34" t="str">
        <f>_xlfn.XLOOKUP(TablaSTOCKINV[[#This Row],[SKU]],TablaINVENTARIO[SKU],TablaINVENTARIO[UBICACION])</f>
        <v>2B</v>
      </c>
      <c r="K495" s="34" t="str">
        <f>_xlfn.XLOOKUP(TablaSTOCKINV[[#This Row],[SKU]],TablaINVENTARIO[SKU],TablaINVENTARIO[DPTO RESPONSABLE])</f>
        <v>OPERACIONES / MANTENIMIENTO</v>
      </c>
      <c r="L495" s="36">
        <f>_xlfn.XLOOKUP(TablaSTOCKINV[[#This Row],[SKU]],TablaINVENTARIO[SKU],TablaINVENTARIO[RANGO MIN])</f>
        <v>0</v>
      </c>
      <c r="M495" s="34" cm="1">
        <f t="array" ref="M495">_xlfn.IFS(TablaSTOCKINV[[#This Row],[CANT. TOTAL]]&lt;=0,1,TablaSTOCKINV[[#This Row],[CANT. TOTAL]]&lt;=TablaSTOCKINV[[#This Row],[MIN]],2,TablaSTOCKINV[[#This Row],[CANT. TOTAL]]&gt;TablaSTOCKINV[[#This Row],[MIN]],3)</f>
        <v>3</v>
      </c>
      <c r="N495" s="34">
        <f>TablaSTOCKINV[[#This Row],[ENTRADAS]]-TablaSTOCKINV[[#This Row],[SALIDAS]]</f>
        <v>1</v>
      </c>
      <c r="O495" s="35">
        <f>SUMIFS(TablaENTRADA[CANT],TablaENTRADA[SKU],TablaSTOCKINV[[#This Row],[SKU]])</f>
        <v>1</v>
      </c>
      <c r="P495" s="35">
        <f>SUMIFS(TablaSALIDA[CANT],TablaSALIDA[SKU],TablaSTOCKINV[[#This Row],[SKU]])</f>
        <v>0</v>
      </c>
      <c r="Q495" s="34">
        <f>_xlfn.XLOOKUP(TablaSTOCKINV[[#This Row],[SKU]],TablaINVENTARIO[SKU],TablaINVENTARIO[PRECIO])</f>
        <v>0</v>
      </c>
      <c r="R495" s="34">
        <f>TablaSTOCKINV[[#This Row],[P.UNITARIO]]*TablaSTOCKINV[[#This Row],[CANT. TOTAL]]</f>
        <v>0</v>
      </c>
      <c r="S495" s="44">
        <f>_xlfn.XLOOKUP(TablaSTOCKINV[[#This Row],[SKU]],TablaINVENTARIO[SKU],TablaINVENTARIO[FECHA INGRESO])</f>
        <v>46023</v>
      </c>
      <c r="T495" s="44">
        <f>_xlfn.XLOOKUP(TablaSTOCKINV[[#This Row],[SKU]],TablaENTRADA[SKU],TablaENTRADA[FECHA],,0,-1)</f>
        <v>46023</v>
      </c>
      <c r="U495" s="46" t="str">
        <f>IFERROR((_xlfn.XLOOKUP(TablaSTOCKINV[[#This Row],[SKU]],TablaSALIDA[SKU],TablaSALIDA[FECHA],,0,-1))," " )</f>
        <v xml:space="preserve"> </v>
      </c>
    </row>
    <row r="496" spans="1:21" x14ac:dyDescent="0.3">
      <c r="A496" s="27" t="s">
        <v>1880</v>
      </c>
      <c r="B496" s="32" t="str">
        <f>_xlfn.XLOOKUP(TablaSTOCKINV[[#This Row],[SKU]],TablaINVENTARIO[SKU],TablaINVENTARIO[DESCRIPCION])</f>
        <v>MECHA PARA METAL 8MM (SET)</v>
      </c>
      <c r="C496" s="32" t="str">
        <f>_xlfn.XLOOKUP(TablaSTOCKINV[[#This Row],[SKU]],TablaINVENTARIO[SKU],TablaINVENTARIO[MARCA])</f>
        <v xml:space="preserve">BOSCH </v>
      </c>
      <c r="D496" s="33" t="str">
        <f>_xlfn.XLOOKUP(TablaSTOCKINV[[#This Row],[SKU]],TablaINVENTARIO[SKU],TablaINVENTARIO[CATEGORIA])</f>
        <v>HERRAMIENTAS_</v>
      </c>
      <c r="E496" s="33" t="str">
        <f>_xlfn.XLOOKUP(TablaSTOCKINV[[#This Row],[SKU]],TablaINVENTARIO[SKU],TablaINVENTARIO[SUBCATEGORIA])</f>
        <v xml:space="preserve">MATERIAL DE CONSTRUCCIÓN </v>
      </c>
      <c r="F496" s="33" t="str">
        <f>_xlfn.XLOOKUP(TablaSTOCKINV[[#This Row],[SKU]],TablaINVENTARIO[SKU],TablaINVENTARIO[ESTADO])</f>
        <v>USADO</v>
      </c>
      <c r="G496" s="33" t="str">
        <f>_xlfn.XLOOKUP(TablaSTOCKINV[[#This Row],[SKU]],TablaINVENTARIO[SKU],TablaINVENTARIO[MEDIDA])</f>
        <v xml:space="preserve">UND </v>
      </c>
      <c r="H496" s="33" t="str">
        <f>_xlfn.XLOOKUP(TablaSTOCKINV[[#This Row],[SKU]],TablaINVENTARIO[SKU],TablaINVENTARIO[SERIAL])</f>
        <v>N/A</v>
      </c>
      <c r="I496" s="34" t="str">
        <f>_xlfn.XLOOKUP(TablaSTOCKINV[[#This Row],[SKU]],TablaINVENTARIO[SKU],TablaINVENTARIO[ALMACEN])</f>
        <v>ALMACEN PRINCIPAL</v>
      </c>
      <c r="J496" s="34" t="str">
        <f>_xlfn.XLOOKUP(TablaSTOCKINV[[#This Row],[SKU]],TablaINVENTARIO[SKU],TablaINVENTARIO[UBICACION])</f>
        <v>2B</v>
      </c>
      <c r="K496" s="34" t="str">
        <f>_xlfn.XLOOKUP(TablaSTOCKINV[[#This Row],[SKU]],TablaINVENTARIO[SKU],TablaINVENTARIO[DPTO RESPONSABLE])</f>
        <v>OPERACIONES / MANTENIMIENTO</v>
      </c>
      <c r="L496" s="36">
        <f>_xlfn.XLOOKUP(TablaSTOCKINV[[#This Row],[SKU]],TablaINVENTARIO[SKU],TablaINVENTARIO[RANGO MIN])</f>
        <v>0</v>
      </c>
      <c r="M496" s="34" cm="1">
        <f t="array" ref="M496">_xlfn.IFS(TablaSTOCKINV[[#This Row],[CANT. TOTAL]]&lt;=0,1,TablaSTOCKINV[[#This Row],[CANT. TOTAL]]&lt;=TablaSTOCKINV[[#This Row],[MIN]],2,TablaSTOCKINV[[#This Row],[CANT. TOTAL]]&gt;TablaSTOCKINV[[#This Row],[MIN]],3)</f>
        <v>3</v>
      </c>
      <c r="N496" s="34">
        <f>TablaSTOCKINV[[#This Row],[ENTRADAS]]-TablaSTOCKINV[[#This Row],[SALIDAS]]</f>
        <v>1</v>
      </c>
      <c r="O496" s="35">
        <f>SUMIFS(TablaENTRADA[CANT],TablaENTRADA[SKU],TablaSTOCKINV[[#This Row],[SKU]])</f>
        <v>1</v>
      </c>
      <c r="P496" s="35">
        <f>SUMIFS(TablaSALIDA[CANT],TablaSALIDA[SKU],TablaSTOCKINV[[#This Row],[SKU]])</f>
        <v>0</v>
      </c>
      <c r="Q496" s="34">
        <f>_xlfn.XLOOKUP(TablaSTOCKINV[[#This Row],[SKU]],TablaINVENTARIO[SKU],TablaINVENTARIO[PRECIO])</f>
        <v>0</v>
      </c>
      <c r="R496" s="34">
        <f>TablaSTOCKINV[[#This Row],[P.UNITARIO]]*TablaSTOCKINV[[#This Row],[CANT. TOTAL]]</f>
        <v>0</v>
      </c>
      <c r="S496" s="44">
        <f>_xlfn.XLOOKUP(TablaSTOCKINV[[#This Row],[SKU]],TablaINVENTARIO[SKU],TablaINVENTARIO[FECHA INGRESO])</f>
        <v>46023</v>
      </c>
      <c r="T496" s="44">
        <f>_xlfn.XLOOKUP(TablaSTOCKINV[[#This Row],[SKU]],TablaENTRADA[SKU],TablaENTRADA[FECHA],,0,-1)</f>
        <v>46023</v>
      </c>
      <c r="U496" s="46" t="str">
        <f>IFERROR((_xlfn.XLOOKUP(TablaSTOCKINV[[#This Row],[SKU]],TablaSALIDA[SKU],TablaSALIDA[FECHA],,0,-1))," " )</f>
        <v xml:space="preserve"> </v>
      </c>
    </row>
    <row r="497" spans="1:21" x14ac:dyDescent="0.3">
      <c r="A497" s="27" t="s">
        <v>1882</v>
      </c>
      <c r="B497" s="32" t="str">
        <f>_xlfn.XLOOKUP(TablaSTOCKINV[[#This Row],[SKU]],TablaINVENTARIO[SKU],TablaINVENTARIO[DESCRIPCION])</f>
        <v>MECHA PARA METAL 8.5MM (SET)</v>
      </c>
      <c r="C497" s="32" t="str">
        <f>_xlfn.XLOOKUP(TablaSTOCKINV[[#This Row],[SKU]],TablaINVENTARIO[SKU],TablaINVENTARIO[MARCA])</f>
        <v xml:space="preserve">BOSCH </v>
      </c>
      <c r="D497" s="33" t="str">
        <f>_xlfn.XLOOKUP(TablaSTOCKINV[[#This Row],[SKU]],TablaINVENTARIO[SKU],TablaINVENTARIO[CATEGORIA])</f>
        <v>HERRAMIENTAS_</v>
      </c>
      <c r="E497" s="33" t="str">
        <f>_xlfn.XLOOKUP(TablaSTOCKINV[[#This Row],[SKU]],TablaINVENTARIO[SKU],TablaINVENTARIO[SUBCATEGORIA])</f>
        <v xml:space="preserve">MATERIAL DE CONSTRUCCIÓN </v>
      </c>
      <c r="F497" s="33" t="str">
        <f>_xlfn.XLOOKUP(TablaSTOCKINV[[#This Row],[SKU]],TablaINVENTARIO[SKU],TablaINVENTARIO[ESTADO])</f>
        <v>USADO</v>
      </c>
      <c r="G497" s="33" t="str">
        <f>_xlfn.XLOOKUP(TablaSTOCKINV[[#This Row],[SKU]],TablaINVENTARIO[SKU],TablaINVENTARIO[MEDIDA])</f>
        <v xml:space="preserve">UND </v>
      </c>
      <c r="H497" s="33" t="str">
        <f>_xlfn.XLOOKUP(TablaSTOCKINV[[#This Row],[SKU]],TablaINVENTARIO[SKU],TablaINVENTARIO[SERIAL])</f>
        <v>N/A</v>
      </c>
      <c r="I497" s="34" t="str">
        <f>_xlfn.XLOOKUP(TablaSTOCKINV[[#This Row],[SKU]],TablaINVENTARIO[SKU],TablaINVENTARIO[ALMACEN])</f>
        <v>ALMACEN PRINCIPAL</v>
      </c>
      <c r="J497" s="34" t="str">
        <f>_xlfn.XLOOKUP(TablaSTOCKINV[[#This Row],[SKU]],TablaINVENTARIO[SKU],TablaINVENTARIO[UBICACION])</f>
        <v>2B</v>
      </c>
      <c r="K497" s="34" t="str">
        <f>_xlfn.XLOOKUP(TablaSTOCKINV[[#This Row],[SKU]],TablaINVENTARIO[SKU],TablaINVENTARIO[DPTO RESPONSABLE])</f>
        <v>OPERACIONES / MANTENIMIENTO</v>
      </c>
      <c r="L497" s="36">
        <f>_xlfn.XLOOKUP(TablaSTOCKINV[[#This Row],[SKU]],TablaINVENTARIO[SKU],TablaINVENTARIO[RANGO MIN])</f>
        <v>0</v>
      </c>
      <c r="M497" s="34" cm="1">
        <f t="array" ref="M497">_xlfn.IFS(TablaSTOCKINV[[#This Row],[CANT. TOTAL]]&lt;=0,1,TablaSTOCKINV[[#This Row],[CANT. TOTAL]]&lt;=TablaSTOCKINV[[#This Row],[MIN]],2,TablaSTOCKINV[[#This Row],[CANT. TOTAL]]&gt;TablaSTOCKINV[[#This Row],[MIN]],3)</f>
        <v>3</v>
      </c>
      <c r="N497" s="34">
        <f>TablaSTOCKINV[[#This Row],[ENTRADAS]]-TablaSTOCKINV[[#This Row],[SALIDAS]]</f>
        <v>1</v>
      </c>
      <c r="O497" s="35">
        <f>SUMIFS(TablaENTRADA[CANT],TablaENTRADA[SKU],TablaSTOCKINV[[#This Row],[SKU]])</f>
        <v>1</v>
      </c>
      <c r="P497" s="35">
        <f>SUMIFS(TablaSALIDA[CANT],TablaSALIDA[SKU],TablaSTOCKINV[[#This Row],[SKU]])</f>
        <v>0</v>
      </c>
      <c r="Q497" s="34">
        <f>_xlfn.XLOOKUP(TablaSTOCKINV[[#This Row],[SKU]],TablaINVENTARIO[SKU],TablaINVENTARIO[PRECIO])</f>
        <v>0</v>
      </c>
      <c r="R497" s="34">
        <f>TablaSTOCKINV[[#This Row],[P.UNITARIO]]*TablaSTOCKINV[[#This Row],[CANT. TOTAL]]</f>
        <v>0</v>
      </c>
      <c r="S497" s="44">
        <f>_xlfn.XLOOKUP(TablaSTOCKINV[[#This Row],[SKU]],TablaINVENTARIO[SKU],TablaINVENTARIO[FECHA INGRESO])</f>
        <v>46023</v>
      </c>
      <c r="T497" s="44">
        <f>_xlfn.XLOOKUP(TablaSTOCKINV[[#This Row],[SKU]],TablaENTRADA[SKU],TablaENTRADA[FECHA],,0,-1)</f>
        <v>46023</v>
      </c>
      <c r="U497" s="46" t="str">
        <f>IFERROR((_xlfn.XLOOKUP(TablaSTOCKINV[[#This Row],[SKU]],TablaSALIDA[SKU],TablaSALIDA[FECHA],,0,-1))," " )</f>
        <v xml:space="preserve"> </v>
      </c>
    </row>
    <row r="498" spans="1:21" x14ac:dyDescent="0.3">
      <c r="A498" s="27" t="s">
        <v>1884</v>
      </c>
      <c r="B498" s="32" t="str">
        <f>_xlfn.XLOOKUP(TablaSTOCKINV[[#This Row],[SKU]],TablaINVENTARIO[SKU],TablaINVENTARIO[DESCRIPCION])</f>
        <v>MECHA PARA METAL 9MM (SET)</v>
      </c>
      <c r="C498" s="32" t="str">
        <f>_xlfn.XLOOKUP(TablaSTOCKINV[[#This Row],[SKU]],TablaINVENTARIO[SKU],TablaINVENTARIO[MARCA])</f>
        <v xml:space="preserve">BOSCH </v>
      </c>
      <c r="D498" s="33" t="str">
        <f>_xlfn.XLOOKUP(TablaSTOCKINV[[#This Row],[SKU]],TablaINVENTARIO[SKU],TablaINVENTARIO[CATEGORIA])</f>
        <v>HERRAMIENTAS_</v>
      </c>
      <c r="E498" s="33" t="str">
        <f>_xlfn.XLOOKUP(TablaSTOCKINV[[#This Row],[SKU]],TablaINVENTARIO[SKU],TablaINVENTARIO[SUBCATEGORIA])</f>
        <v xml:space="preserve">MATERIAL DE CONSTRUCCIÓN </v>
      </c>
      <c r="F498" s="33" t="str">
        <f>_xlfn.XLOOKUP(TablaSTOCKINV[[#This Row],[SKU]],TablaINVENTARIO[SKU],TablaINVENTARIO[ESTADO])</f>
        <v>USADO</v>
      </c>
      <c r="G498" s="33" t="str">
        <f>_xlfn.XLOOKUP(TablaSTOCKINV[[#This Row],[SKU]],TablaINVENTARIO[SKU],TablaINVENTARIO[MEDIDA])</f>
        <v xml:space="preserve">UND </v>
      </c>
      <c r="H498" s="33" t="str">
        <f>_xlfn.XLOOKUP(TablaSTOCKINV[[#This Row],[SKU]],TablaINVENTARIO[SKU],TablaINVENTARIO[SERIAL])</f>
        <v>N/A</v>
      </c>
      <c r="I498" s="34" t="str">
        <f>_xlfn.XLOOKUP(TablaSTOCKINV[[#This Row],[SKU]],TablaINVENTARIO[SKU],TablaINVENTARIO[ALMACEN])</f>
        <v>ALMACEN PRINCIPAL</v>
      </c>
      <c r="J498" s="34" t="str">
        <f>_xlfn.XLOOKUP(TablaSTOCKINV[[#This Row],[SKU]],TablaINVENTARIO[SKU],TablaINVENTARIO[UBICACION])</f>
        <v>2B</v>
      </c>
      <c r="K498" s="34" t="str">
        <f>_xlfn.XLOOKUP(TablaSTOCKINV[[#This Row],[SKU]],TablaINVENTARIO[SKU],TablaINVENTARIO[DPTO RESPONSABLE])</f>
        <v>OPERACIONES / MANTENIMIENTO</v>
      </c>
      <c r="L498" s="36">
        <f>_xlfn.XLOOKUP(TablaSTOCKINV[[#This Row],[SKU]],TablaINVENTARIO[SKU],TablaINVENTARIO[RANGO MIN])</f>
        <v>0</v>
      </c>
      <c r="M498" s="34" cm="1">
        <f t="array" ref="M498">_xlfn.IFS(TablaSTOCKINV[[#This Row],[CANT. TOTAL]]&lt;=0,1,TablaSTOCKINV[[#This Row],[CANT. TOTAL]]&lt;=TablaSTOCKINV[[#This Row],[MIN]],2,TablaSTOCKINV[[#This Row],[CANT. TOTAL]]&gt;TablaSTOCKINV[[#This Row],[MIN]],3)</f>
        <v>3</v>
      </c>
      <c r="N498" s="34">
        <f>TablaSTOCKINV[[#This Row],[ENTRADAS]]-TablaSTOCKINV[[#This Row],[SALIDAS]]</f>
        <v>1</v>
      </c>
      <c r="O498" s="35">
        <f>SUMIFS(TablaENTRADA[CANT],TablaENTRADA[SKU],TablaSTOCKINV[[#This Row],[SKU]])</f>
        <v>1</v>
      </c>
      <c r="P498" s="35">
        <f>SUMIFS(TablaSALIDA[CANT],TablaSALIDA[SKU],TablaSTOCKINV[[#This Row],[SKU]])</f>
        <v>0</v>
      </c>
      <c r="Q498" s="34">
        <f>_xlfn.XLOOKUP(TablaSTOCKINV[[#This Row],[SKU]],TablaINVENTARIO[SKU],TablaINVENTARIO[PRECIO])</f>
        <v>0</v>
      </c>
      <c r="R498" s="34">
        <f>TablaSTOCKINV[[#This Row],[P.UNITARIO]]*TablaSTOCKINV[[#This Row],[CANT. TOTAL]]</f>
        <v>0</v>
      </c>
      <c r="S498" s="44">
        <f>_xlfn.XLOOKUP(TablaSTOCKINV[[#This Row],[SKU]],TablaINVENTARIO[SKU],TablaINVENTARIO[FECHA INGRESO])</f>
        <v>46023</v>
      </c>
      <c r="T498" s="44">
        <f>_xlfn.XLOOKUP(TablaSTOCKINV[[#This Row],[SKU]],TablaENTRADA[SKU],TablaENTRADA[FECHA],,0,-1)</f>
        <v>46023</v>
      </c>
      <c r="U498" s="46" t="str">
        <f>IFERROR((_xlfn.XLOOKUP(TablaSTOCKINV[[#This Row],[SKU]],TablaSALIDA[SKU],TablaSALIDA[FECHA],,0,-1))," " )</f>
        <v xml:space="preserve"> </v>
      </c>
    </row>
    <row r="499" spans="1:21" x14ac:dyDescent="0.3">
      <c r="A499" s="27" t="s">
        <v>1886</v>
      </c>
      <c r="B499" s="32" t="str">
        <f>_xlfn.XLOOKUP(TablaSTOCKINV[[#This Row],[SKU]],TablaINVENTARIO[SKU],TablaINVENTARIO[DESCRIPCION])</f>
        <v>MECHA PARA METAL 9.5MM (SET)</v>
      </c>
      <c r="C499" s="32" t="str">
        <f>_xlfn.XLOOKUP(TablaSTOCKINV[[#This Row],[SKU]],TablaINVENTARIO[SKU],TablaINVENTARIO[MARCA])</f>
        <v xml:space="preserve">BOSCH </v>
      </c>
      <c r="D499" s="33" t="str">
        <f>_xlfn.XLOOKUP(TablaSTOCKINV[[#This Row],[SKU]],TablaINVENTARIO[SKU],TablaINVENTARIO[CATEGORIA])</f>
        <v>HERRAMIENTAS_</v>
      </c>
      <c r="E499" s="33" t="str">
        <f>_xlfn.XLOOKUP(TablaSTOCKINV[[#This Row],[SKU]],TablaINVENTARIO[SKU],TablaINVENTARIO[SUBCATEGORIA])</f>
        <v xml:space="preserve">MATERIAL DE CONSTRUCCIÓN </v>
      </c>
      <c r="F499" s="33" t="str">
        <f>_xlfn.XLOOKUP(TablaSTOCKINV[[#This Row],[SKU]],TablaINVENTARIO[SKU],TablaINVENTARIO[ESTADO])</f>
        <v>USADO</v>
      </c>
      <c r="G499" s="33" t="str">
        <f>_xlfn.XLOOKUP(TablaSTOCKINV[[#This Row],[SKU]],TablaINVENTARIO[SKU],TablaINVENTARIO[MEDIDA])</f>
        <v xml:space="preserve">UND </v>
      </c>
      <c r="H499" s="33" t="str">
        <f>_xlfn.XLOOKUP(TablaSTOCKINV[[#This Row],[SKU]],TablaINVENTARIO[SKU],TablaINVENTARIO[SERIAL])</f>
        <v>N/A</v>
      </c>
      <c r="I499" s="34" t="str">
        <f>_xlfn.XLOOKUP(TablaSTOCKINV[[#This Row],[SKU]],TablaINVENTARIO[SKU],TablaINVENTARIO[ALMACEN])</f>
        <v>ALMACEN PRINCIPAL</v>
      </c>
      <c r="J499" s="34" t="str">
        <f>_xlfn.XLOOKUP(TablaSTOCKINV[[#This Row],[SKU]],TablaINVENTARIO[SKU],TablaINVENTARIO[UBICACION])</f>
        <v>2B</v>
      </c>
      <c r="K499" s="34" t="str">
        <f>_xlfn.XLOOKUP(TablaSTOCKINV[[#This Row],[SKU]],TablaINVENTARIO[SKU],TablaINVENTARIO[DPTO RESPONSABLE])</f>
        <v>OPERACIONES / MANTENIMIENTO</v>
      </c>
      <c r="L499" s="36">
        <f>_xlfn.XLOOKUP(TablaSTOCKINV[[#This Row],[SKU]],TablaINVENTARIO[SKU],TablaINVENTARIO[RANGO MIN])</f>
        <v>0</v>
      </c>
      <c r="M499" s="34" cm="1">
        <f t="array" ref="M499">_xlfn.IFS(TablaSTOCKINV[[#This Row],[CANT. TOTAL]]&lt;=0,1,TablaSTOCKINV[[#This Row],[CANT. TOTAL]]&lt;=TablaSTOCKINV[[#This Row],[MIN]],2,TablaSTOCKINV[[#This Row],[CANT. TOTAL]]&gt;TablaSTOCKINV[[#This Row],[MIN]],3)</f>
        <v>3</v>
      </c>
      <c r="N499" s="34">
        <f>TablaSTOCKINV[[#This Row],[ENTRADAS]]-TablaSTOCKINV[[#This Row],[SALIDAS]]</f>
        <v>1</v>
      </c>
      <c r="O499" s="35">
        <f>SUMIFS(TablaENTRADA[CANT],TablaENTRADA[SKU],TablaSTOCKINV[[#This Row],[SKU]])</f>
        <v>1</v>
      </c>
      <c r="P499" s="35">
        <f>SUMIFS(TablaSALIDA[CANT],TablaSALIDA[SKU],TablaSTOCKINV[[#This Row],[SKU]])</f>
        <v>0</v>
      </c>
      <c r="Q499" s="34">
        <f>_xlfn.XLOOKUP(TablaSTOCKINV[[#This Row],[SKU]],TablaINVENTARIO[SKU],TablaINVENTARIO[PRECIO])</f>
        <v>0</v>
      </c>
      <c r="R499" s="34">
        <f>TablaSTOCKINV[[#This Row],[P.UNITARIO]]*TablaSTOCKINV[[#This Row],[CANT. TOTAL]]</f>
        <v>0</v>
      </c>
      <c r="S499" s="44">
        <f>_xlfn.XLOOKUP(TablaSTOCKINV[[#This Row],[SKU]],TablaINVENTARIO[SKU],TablaINVENTARIO[FECHA INGRESO])</f>
        <v>46023</v>
      </c>
      <c r="T499" s="44">
        <f>_xlfn.XLOOKUP(TablaSTOCKINV[[#This Row],[SKU]],TablaENTRADA[SKU],TablaENTRADA[FECHA],,0,-1)</f>
        <v>46023</v>
      </c>
      <c r="U499" s="46" t="str">
        <f>IFERROR((_xlfn.XLOOKUP(TablaSTOCKINV[[#This Row],[SKU]],TablaSALIDA[SKU],TablaSALIDA[FECHA],,0,-1))," " )</f>
        <v xml:space="preserve"> </v>
      </c>
    </row>
    <row r="500" spans="1:21" x14ac:dyDescent="0.3">
      <c r="A500" s="27" t="s">
        <v>1888</v>
      </c>
      <c r="B500" s="32" t="str">
        <f>_xlfn.XLOOKUP(TablaSTOCKINV[[#This Row],[SKU]],TablaINVENTARIO[SKU],TablaINVENTARIO[DESCRIPCION])</f>
        <v>MECHA PARA METAL 10MM (SET)</v>
      </c>
      <c r="C500" s="32" t="str">
        <f>_xlfn.XLOOKUP(TablaSTOCKINV[[#This Row],[SKU]],TablaINVENTARIO[SKU],TablaINVENTARIO[MARCA])</f>
        <v xml:space="preserve">BOSCH </v>
      </c>
      <c r="D500" s="33" t="str">
        <f>_xlfn.XLOOKUP(TablaSTOCKINV[[#This Row],[SKU]],TablaINVENTARIO[SKU],TablaINVENTARIO[CATEGORIA])</f>
        <v>HERRAMIENTAS_</v>
      </c>
      <c r="E500" s="33" t="str">
        <f>_xlfn.XLOOKUP(TablaSTOCKINV[[#This Row],[SKU]],TablaINVENTARIO[SKU],TablaINVENTARIO[SUBCATEGORIA])</f>
        <v xml:space="preserve">MATERIAL DE CONSTRUCCIÓN </v>
      </c>
      <c r="F500" s="33" t="str">
        <f>_xlfn.XLOOKUP(TablaSTOCKINV[[#This Row],[SKU]],TablaINVENTARIO[SKU],TablaINVENTARIO[ESTADO])</f>
        <v>USADO</v>
      </c>
      <c r="G500" s="33" t="str">
        <f>_xlfn.XLOOKUP(TablaSTOCKINV[[#This Row],[SKU]],TablaINVENTARIO[SKU],TablaINVENTARIO[MEDIDA])</f>
        <v xml:space="preserve">UND </v>
      </c>
      <c r="H500" s="33" t="str">
        <f>_xlfn.XLOOKUP(TablaSTOCKINV[[#This Row],[SKU]],TablaINVENTARIO[SKU],TablaINVENTARIO[SERIAL])</f>
        <v>N/A</v>
      </c>
      <c r="I500" s="34" t="str">
        <f>_xlfn.XLOOKUP(TablaSTOCKINV[[#This Row],[SKU]],TablaINVENTARIO[SKU],TablaINVENTARIO[ALMACEN])</f>
        <v>ALMACEN PRINCIPAL</v>
      </c>
      <c r="J500" s="34" t="str">
        <f>_xlfn.XLOOKUP(TablaSTOCKINV[[#This Row],[SKU]],TablaINVENTARIO[SKU],TablaINVENTARIO[UBICACION])</f>
        <v>2B</v>
      </c>
      <c r="K500" s="34" t="str">
        <f>_xlfn.XLOOKUP(TablaSTOCKINV[[#This Row],[SKU]],TablaINVENTARIO[SKU],TablaINVENTARIO[DPTO RESPONSABLE])</f>
        <v>OPERACIONES / MANTENIMIENTO</v>
      </c>
      <c r="L500" s="36">
        <f>_xlfn.XLOOKUP(TablaSTOCKINV[[#This Row],[SKU]],TablaINVENTARIO[SKU],TablaINVENTARIO[RANGO MIN])</f>
        <v>0</v>
      </c>
      <c r="M500" s="34" cm="1">
        <f t="array" ref="M500">_xlfn.IFS(TablaSTOCKINV[[#This Row],[CANT. TOTAL]]&lt;=0,1,TablaSTOCKINV[[#This Row],[CANT. TOTAL]]&lt;=TablaSTOCKINV[[#This Row],[MIN]],2,TablaSTOCKINV[[#This Row],[CANT. TOTAL]]&gt;TablaSTOCKINV[[#This Row],[MIN]],3)</f>
        <v>3</v>
      </c>
      <c r="N500" s="34">
        <f>TablaSTOCKINV[[#This Row],[ENTRADAS]]-TablaSTOCKINV[[#This Row],[SALIDAS]]</f>
        <v>1</v>
      </c>
      <c r="O500" s="35">
        <f>SUMIFS(TablaENTRADA[CANT],TablaENTRADA[SKU],TablaSTOCKINV[[#This Row],[SKU]])</f>
        <v>1</v>
      </c>
      <c r="P500" s="35">
        <f>SUMIFS(TablaSALIDA[CANT],TablaSALIDA[SKU],TablaSTOCKINV[[#This Row],[SKU]])</f>
        <v>0</v>
      </c>
      <c r="Q500" s="34">
        <f>_xlfn.XLOOKUP(TablaSTOCKINV[[#This Row],[SKU]],TablaINVENTARIO[SKU],TablaINVENTARIO[PRECIO])</f>
        <v>0</v>
      </c>
      <c r="R500" s="34">
        <f>TablaSTOCKINV[[#This Row],[P.UNITARIO]]*TablaSTOCKINV[[#This Row],[CANT. TOTAL]]</f>
        <v>0</v>
      </c>
      <c r="S500" s="44">
        <f>_xlfn.XLOOKUP(TablaSTOCKINV[[#This Row],[SKU]],TablaINVENTARIO[SKU],TablaINVENTARIO[FECHA INGRESO])</f>
        <v>46023</v>
      </c>
      <c r="T500" s="44">
        <f>_xlfn.XLOOKUP(TablaSTOCKINV[[#This Row],[SKU]],TablaENTRADA[SKU],TablaENTRADA[FECHA],,0,-1)</f>
        <v>46023</v>
      </c>
      <c r="U500" s="46" t="str">
        <f>IFERROR((_xlfn.XLOOKUP(TablaSTOCKINV[[#This Row],[SKU]],TablaSALIDA[SKU],TablaSALIDA[FECHA],,0,-1))," " )</f>
        <v xml:space="preserve"> </v>
      </c>
    </row>
    <row r="501" spans="1:21" x14ac:dyDescent="0.3">
      <c r="A501" s="27" t="s">
        <v>1890</v>
      </c>
      <c r="B501" s="32" t="str">
        <f>_xlfn.XLOOKUP(TablaSTOCKINV[[#This Row],[SKU]],TablaINVENTARIO[SKU],TablaINVENTARIO[DESCRIPCION])</f>
        <v>MULTIMETRO DIGITAL MODELO: 463</v>
      </c>
      <c r="C501" s="32" t="str">
        <f>_xlfn.XLOOKUP(TablaSTOCKINV[[#This Row],[SKU]],TablaINVENTARIO[SKU],TablaINVENTARIO[MARCA])</f>
        <v>SIMPSON</v>
      </c>
      <c r="D501" s="33" t="str">
        <f>_xlfn.XLOOKUP(TablaSTOCKINV[[#This Row],[SKU]],TablaINVENTARIO[SKU],TablaINVENTARIO[CATEGORIA])</f>
        <v>HERRAMIENTAS_</v>
      </c>
      <c r="E501" s="33" t="str">
        <f>_xlfn.XLOOKUP(TablaSTOCKINV[[#This Row],[SKU]],TablaINVENTARIO[SKU],TablaINVENTARIO[SUBCATEGORIA])</f>
        <v>INSTRUMENTO DE MEDICIÓN</v>
      </c>
      <c r="F501" s="33" t="str">
        <f>_xlfn.XLOOKUP(TablaSTOCKINV[[#This Row],[SKU]],TablaINVENTARIO[SKU],TablaINVENTARIO[ESTADO])</f>
        <v xml:space="preserve">USADO </v>
      </c>
      <c r="G501" s="33" t="str">
        <f>_xlfn.XLOOKUP(TablaSTOCKINV[[#This Row],[SKU]],TablaINVENTARIO[SKU],TablaINVENTARIO[MEDIDA])</f>
        <v xml:space="preserve">UND </v>
      </c>
      <c r="H501" s="33" t="str">
        <f>_xlfn.XLOOKUP(TablaSTOCKINV[[#This Row],[SKU]],TablaINVENTARIO[SKU],TablaINVENTARIO[SERIAL])</f>
        <v>A32606</v>
      </c>
      <c r="I501" s="34" t="str">
        <f>_xlfn.XLOOKUP(TablaSTOCKINV[[#This Row],[SKU]],TablaINVENTARIO[SKU],TablaINVENTARIO[ALMACEN])</f>
        <v>ALMACEN PRINCIPAL</v>
      </c>
      <c r="J501" s="34" t="str">
        <f>_xlfn.XLOOKUP(TablaSTOCKINV[[#This Row],[SKU]],TablaINVENTARIO[SKU],TablaINVENTARIO[UBICACION])</f>
        <v>2B</v>
      </c>
      <c r="K501" s="34" t="str">
        <f>_xlfn.XLOOKUP(TablaSTOCKINV[[#This Row],[SKU]],TablaINVENTARIO[SKU],TablaINVENTARIO[DPTO RESPONSABLE])</f>
        <v xml:space="preserve">OPERACIONES </v>
      </c>
      <c r="L501" s="36">
        <f>_xlfn.XLOOKUP(TablaSTOCKINV[[#This Row],[SKU]],TablaINVENTARIO[SKU],TablaINVENTARIO[RANGO MIN])</f>
        <v>0</v>
      </c>
      <c r="M501" s="34" cm="1">
        <f t="array" ref="M501">_xlfn.IFS(TablaSTOCKINV[[#This Row],[CANT. TOTAL]]&lt;=0,1,TablaSTOCKINV[[#This Row],[CANT. TOTAL]]&lt;=TablaSTOCKINV[[#This Row],[MIN]],2,TablaSTOCKINV[[#This Row],[CANT. TOTAL]]&gt;TablaSTOCKINV[[#This Row],[MIN]],3)</f>
        <v>3</v>
      </c>
      <c r="N501" s="34">
        <f>TablaSTOCKINV[[#This Row],[ENTRADAS]]-TablaSTOCKINV[[#This Row],[SALIDAS]]</f>
        <v>1</v>
      </c>
      <c r="O501" s="35">
        <f>SUMIFS(TablaENTRADA[CANT],TablaENTRADA[SKU],TablaSTOCKINV[[#This Row],[SKU]])</f>
        <v>1</v>
      </c>
      <c r="P501" s="35">
        <f>SUMIFS(TablaSALIDA[CANT],TablaSALIDA[SKU],TablaSTOCKINV[[#This Row],[SKU]])</f>
        <v>0</v>
      </c>
      <c r="Q501" s="34">
        <f>_xlfn.XLOOKUP(TablaSTOCKINV[[#This Row],[SKU]],TablaINVENTARIO[SKU],TablaINVENTARIO[PRECIO])</f>
        <v>0</v>
      </c>
      <c r="R501" s="34">
        <f>TablaSTOCKINV[[#This Row],[P.UNITARIO]]*TablaSTOCKINV[[#This Row],[CANT. TOTAL]]</f>
        <v>0</v>
      </c>
      <c r="S501" s="44">
        <f>_xlfn.XLOOKUP(TablaSTOCKINV[[#This Row],[SKU]],TablaINVENTARIO[SKU],TablaINVENTARIO[FECHA INGRESO])</f>
        <v>46023</v>
      </c>
      <c r="T501" s="44">
        <f>_xlfn.XLOOKUP(TablaSTOCKINV[[#This Row],[SKU]],TablaENTRADA[SKU],TablaENTRADA[FECHA],,0,-1)</f>
        <v>46023</v>
      </c>
      <c r="U501" s="46" t="str">
        <f>IFERROR((_xlfn.XLOOKUP(TablaSTOCKINV[[#This Row],[SKU]],TablaSALIDA[SKU],TablaSALIDA[FECHA],,0,-1))," " )</f>
        <v xml:space="preserve"> </v>
      </c>
    </row>
    <row r="502" spans="1:21" x14ac:dyDescent="0.3">
      <c r="A502" s="27" t="s">
        <v>1895</v>
      </c>
      <c r="B502" s="32" t="str">
        <f>_xlfn.XLOOKUP(TablaSTOCKINV[[#This Row],[SKU]],TablaINVENTARIO[SKU],TablaINVENTARIO[DESCRIPCION])</f>
        <v xml:space="preserve">TARRAJAS MACHO </v>
      </c>
      <c r="C502" s="32" t="str">
        <f>_xlfn.XLOOKUP(TablaSTOCKINV[[#This Row],[SKU]],TablaINVENTARIO[SKU],TablaINVENTARIO[MARCA])</f>
        <v>N/A</v>
      </c>
      <c r="D502" s="33" t="str">
        <f>_xlfn.XLOOKUP(TablaSTOCKINV[[#This Row],[SKU]],TablaINVENTARIO[SKU],TablaINVENTARIO[CATEGORIA])</f>
        <v>HERRAMIENTAS_</v>
      </c>
      <c r="E502" s="33" t="str">
        <f>_xlfn.XLOOKUP(TablaSTOCKINV[[#This Row],[SKU]],TablaINVENTARIO[SKU],TablaINVENTARIO[SUBCATEGORIA])</f>
        <v xml:space="preserve">HERRAMIENTA DE MANO </v>
      </c>
      <c r="F502" s="33" t="str">
        <f>_xlfn.XLOOKUP(TablaSTOCKINV[[#This Row],[SKU]],TablaINVENTARIO[SKU],TablaINVENTARIO[ESTADO])</f>
        <v>USADO</v>
      </c>
      <c r="G502" s="33" t="str">
        <f>_xlfn.XLOOKUP(TablaSTOCKINV[[#This Row],[SKU]],TablaINVENTARIO[SKU],TablaINVENTARIO[MEDIDA])</f>
        <v>JUEGO</v>
      </c>
      <c r="H502" s="33" t="str">
        <f>_xlfn.XLOOKUP(TablaSTOCKINV[[#This Row],[SKU]],TablaINVENTARIO[SKU],TablaINVENTARIO[SERIAL])</f>
        <v>N/A</v>
      </c>
      <c r="I502" s="34" t="str">
        <f>_xlfn.XLOOKUP(TablaSTOCKINV[[#This Row],[SKU]],TablaINVENTARIO[SKU],TablaINVENTARIO[ALMACEN])</f>
        <v>ALMACEN PRINCIPAL</v>
      </c>
      <c r="J502" s="34" t="str">
        <f>_xlfn.XLOOKUP(TablaSTOCKINV[[#This Row],[SKU]],TablaINVENTARIO[SKU],TablaINVENTARIO[UBICACION])</f>
        <v>2B</v>
      </c>
      <c r="K502" s="34" t="str">
        <f>_xlfn.XLOOKUP(TablaSTOCKINV[[#This Row],[SKU]],TablaINVENTARIO[SKU],TablaINVENTARIO[DPTO RESPONSABLE])</f>
        <v xml:space="preserve">OPERACIONES </v>
      </c>
      <c r="L502" s="36">
        <f>_xlfn.XLOOKUP(TablaSTOCKINV[[#This Row],[SKU]],TablaINVENTARIO[SKU],TablaINVENTARIO[RANGO MIN])</f>
        <v>0</v>
      </c>
      <c r="M502" s="34" cm="1">
        <f t="array" ref="M502">_xlfn.IFS(TablaSTOCKINV[[#This Row],[CANT. TOTAL]]&lt;=0,1,TablaSTOCKINV[[#This Row],[CANT. TOTAL]]&lt;=TablaSTOCKINV[[#This Row],[MIN]],2,TablaSTOCKINV[[#This Row],[CANT. TOTAL]]&gt;TablaSTOCKINV[[#This Row],[MIN]],3)</f>
        <v>3</v>
      </c>
      <c r="N502" s="34">
        <f>TablaSTOCKINV[[#This Row],[ENTRADAS]]-TablaSTOCKINV[[#This Row],[SALIDAS]]</f>
        <v>1</v>
      </c>
      <c r="O502" s="35">
        <f>SUMIFS(TablaENTRADA[CANT],TablaENTRADA[SKU],TablaSTOCKINV[[#This Row],[SKU]])</f>
        <v>1</v>
      </c>
      <c r="P502" s="35">
        <f>SUMIFS(TablaSALIDA[CANT],TablaSALIDA[SKU],TablaSTOCKINV[[#This Row],[SKU]])</f>
        <v>0</v>
      </c>
      <c r="Q502" s="34">
        <f>_xlfn.XLOOKUP(TablaSTOCKINV[[#This Row],[SKU]],TablaINVENTARIO[SKU],TablaINVENTARIO[PRECIO])</f>
        <v>0</v>
      </c>
      <c r="R502" s="34">
        <f>TablaSTOCKINV[[#This Row],[P.UNITARIO]]*TablaSTOCKINV[[#This Row],[CANT. TOTAL]]</f>
        <v>0</v>
      </c>
      <c r="S502" s="44">
        <f>_xlfn.XLOOKUP(TablaSTOCKINV[[#This Row],[SKU]],TablaINVENTARIO[SKU],TablaINVENTARIO[FECHA INGRESO])</f>
        <v>46023</v>
      </c>
      <c r="T502" s="44">
        <f>_xlfn.XLOOKUP(TablaSTOCKINV[[#This Row],[SKU]],TablaENTRADA[SKU],TablaENTRADA[FECHA],,0,-1)</f>
        <v>46023</v>
      </c>
      <c r="U502" s="46" t="str">
        <f>IFERROR((_xlfn.XLOOKUP(TablaSTOCKINV[[#This Row],[SKU]],TablaSALIDA[SKU],TablaSALIDA[FECHA],,0,-1))," " )</f>
        <v xml:space="preserve"> </v>
      </c>
    </row>
    <row r="503" spans="1:21" x14ac:dyDescent="0.3">
      <c r="A503" s="27" t="s">
        <v>1897</v>
      </c>
      <c r="B503" s="32" t="str">
        <f>_xlfn.XLOOKUP(TablaSTOCKINV[[#This Row],[SKU]],TablaINVENTARIO[SKU],TablaINVENTARIO[DESCRIPCION])</f>
        <v>TACHOMETER 2 IN 1 MODELO: UT372D</v>
      </c>
      <c r="C503" s="32" t="str">
        <f>_xlfn.XLOOKUP(TablaSTOCKINV[[#This Row],[SKU]],TablaINVENTARIO[SKU],TablaINVENTARIO[MARCA])</f>
        <v>UNI-T</v>
      </c>
      <c r="D503" s="33" t="str">
        <f>_xlfn.XLOOKUP(TablaSTOCKINV[[#This Row],[SKU]],TablaINVENTARIO[SKU],TablaINVENTARIO[CATEGORIA])</f>
        <v>HERRAMIENTAS_</v>
      </c>
      <c r="E503" s="33" t="str">
        <f>_xlfn.XLOOKUP(TablaSTOCKINV[[#This Row],[SKU]],TablaINVENTARIO[SKU],TablaINVENTARIO[SUBCATEGORIA])</f>
        <v>INSTRUMENTO DE MEDICIÓN</v>
      </c>
      <c r="F503" s="33" t="str">
        <f>_xlfn.XLOOKUP(TablaSTOCKINV[[#This Row],[SKU]],TablaINVENTARIO[SKU],TablaINVENTARIO[ESTADO])</f>
        <v>USADO</v>
      </c>
      <c r="G503" s="33" t="str">
        <f>_xlfn.XLOOKUP(TablaSTOCKINV[[#This Row],[SKU]],TablaINVENTARIO[SKU],TablaINVENTARIO[MEDIDA])</f>
        <v xml:space="preserve">UND </v>
      </c>
      <c r="H503" s="33">
        <f>_xlfn.XLOOKUP(TablaSTOCKINV[[#This Row],[SKU]],TablaINVENTARIO[SKU],TablaINVENTARIO[SERIAL])</f>
        <v>7925</v>
      </c>
      <c r="I503" s="34" t="str">
        <f>_xlfn.XLOOKUP(TablaSTOCKINV[[#This Row],[SKU]],TablaINVENTARIO[SKU],TablaINVENTARIO[ALMACEN])</f>
        <v>ALMACEN PRINCIPAL</v>
      </c>
      <c r="J503" s="34" t="str">
        <f>_xlfn.XLOOKUP(TablaSTOCKINV[[#This Row],[SKU]],TablaINVENTARIO[SKU],TablaINVENTARIO[UBICACION])</f>
        <v>2B</v>
      </c>
      <c r="K503" s="34" t="str">
        <f>_xlfn.XLOOKUP(TablaSTOCKINV[[#This Row],[SKU]],TablaINVENTARIO[SKU],TablaINVENTARIO[DPTO RESPONSABLE])</f>
        <v xml:space="preserve">OPERACIONES </v>
      </c>
      <c r="L503" s="36">
        <f>_xlfn.XLOOKUP(TablaSTOCKINV[[#This Row],[SKU]],TablaINVENTARIO[SKU],TablaINVENTARIO[RANGO MIN])</f>
        <v>0</v>
      </c>
      <c r="M503" s="34" cm="1">
        <f t="array" ref="M503">_xlfn.IFS(TablaSTOCKINV[[#This Row],[CANT. TOTAL]]&lt;=0,1,TablaSTOCKINV[[#This Row],[CANT. TOTAL]]&lt;=TablaSTOCKINV[[#This Row],[MIN]],2,TablaSTOCKINV[[#This Row],[CANT. TOTAL]]&gt;TablaSTOCKINV[[#This Row],[MIN]],3)</f>
        <v>3</v>
      </c>
      <c r="N503" s="34">
        <f>TablaSTOCKINV[[#This Row],[ENTRADAS]]-TablaSTOCKINV[[#This Row],[SALIDAS]]</f>
        <v>1</v>
      </c>
      <c r="O503" s="35">
        <f>SUMIFS(TablaENTRADA[CANT],TablaENTRADA[SKU],TablaSTOCKINV[[#This Row],[SKU]])</f>
        <v>1</v>
      </c>
      <c r="P503" s="35">
        <f>SUMIFS(TablaSALIDA[CANT],TablaSALIDA[SKU],TablaSTOCKINV[[#This Row],[SKU]])</f>
        <v>0</v>
      </c>
      <c r="Q503" s="34">
        <f>_xlfn.XLOOKUP(TablaSTOCKINV[[#This Row],[SKU]],TablaINVENTARIO[SKU],TablaINVENTARIO[PRECIO])</f>
        <v>0</v>
      </c>
      <c r="R503" s="34">
        <f>TablaSTOCKINV[[#This Row],[P.UNITARIO]]*TablaSTOCKINV[[#This Row],[CANT. TOTAL]]</f>
        <v>0</v>
      </c>
      <c r="S503" s="44">
        <f>_xlfn.XLOOKUP(TablaSTOCKINV[[#This Row],[SKU]],TablaINVENTARIO[SKU],TablaINVENTARIO[FECHA INGRESO])</f>
        <v>46023</v>
      </c>
      <c r="T503" s="44">
        <f>_xlfn.XLOOKUP(TablaSTOCKINV[[#This Row],[SKU]],TablaENTRADA[SKU],TablaENTRADA[FECHA],,0,-1)</f>
        <v>46023</v>
      </c>
      <c r="U503" s="46" t="str">
        <f>IFERROR((_xlfn.XLOOKUP(TablaSTOCKINV[[#This Row],[SKU]],TablaSALIDA[SKU],TablaSALIDA[FECHA],,0,-1))," " )</f>
        <v xml:space="preserve"> </v>
      </c>
    </row>
    <row r="504" spans="1:21" x14ac:dyDescent="0.3">
      <c r="A504" s="27" t="s">
        <v>1899</v>
      </c>
      <c r="B504" s="32" t="str">
        <f>_xlfn.XLOOKUP(TablaSTOCKINV[[#This Row],[SKU]],TablaINVENTARIO[SKU],TablaINVENTARIO[DESCRIPCION])</f>
        <v>TACHOMETER 2 IN 1 MODELO: UT372D</v>
      </c>
      <c r="C504" s="32" t="str">
        <f>_xlfn.XLOOKUP(TablaSTOCKINV[[#This Row],[SKU]],TablaINVENTARIO[SKU],TablaINVENTARIO[MARCA])</f>
        <v>UNI-T</v>
      </c>
      <c r="D504" s="33" t="str">
        <f>_xlfn.XLOOKUP(TablaSTOCKINV[[#This Row],[SKU]],TablaINVENTARIO[SKU],TablaINVENTARIO[CATEGORIA])</f>
        <v>HERRAMIENTAS_</v>
      </c>
      <c r="E504" s="33" t="str">
        <f>_xlfn.XLOOKUP(TablaSTOCKINV[[#This Row],[SKU]],TablaINVENTARIO[SKU],TablaINVENTARIO[SUBCATEGORIA])</f>
        <v>INSTRUMENTO DE MEDICIÓN</v>
      </c>
      <c r="F504" s="33" t="str">
        <f>_xlfn.XLOOKUP(TablaSTOCKINV[[#This Row],[SKU]],TablaINVENTARIO[SKU],TablaINVENTARIO[ESTADO])</f>
        <v>USADO</v>
      </c>
      <c r="G504" s="33" t="str">
        <f>_xlfn.XLOOKUP(TablaSTOCKINV[[#This Row],[SKU]],TablaINVENTARIO[SKU],TablaINVENTARIO[MEDIDA])</f>
        <v xml:space="preserve">UND </v>
      </c>
      <c r="H504" s="33">
        <f>_xlfn.XLOOKUP(TablaSTOCKINV[[#This Row],[SKU]],TablaINVENTARIO[SKU],TablaINVENTARIO[SERIAL])</f>
        <v>7926</v>
      </c>
      <c r="I504" s="34" t="str">
        <f>_xlfn.XLOOKUP(TablaSTOCKINV[[#This Row],[SKU]],TablaINVENTARIO[SKU],TablaINVENTARIO[ALMACEN])</f>
        <v>ALMACEN PRINCIPAL</v>
      </c>
      <c r="J504" s="34" t="str">
        <f>_xlfn.XLOOKUP(TablaSTOCKINV[[#This Row],[SKU]],TablaINVENTARIO[SKU],TablaINVENTARIO[UBICACION])</f>
        <v>2B</v>
      </c>
      <c r="K504" s="34" t="str">
        <f>_xlfn.XLOOKUP(TablaSTOCKINV[[#This Row],[SKU]],TablaINVENTARIO[SKU],TablaINVENTARIO[DPTO RESPONSABLE])</f>
        <v xml:space="preserve">OPERACIONES </v>
      </c>
      <c r="L504" s="36">
        <f>_xlfn.XLOOKUP(TablaSTOCKINV[[#This Row],[SKU]],TablaINVENTARIO[SKU],TablaINVENTARIO[RANGO MIN])</f>
        <v>0</v>
      </c>
      <c r="M504" s="34" cm="1">
        <f t="array" ref="M504">_xlfn.IFS(TablaSTOCKINV[[#This Row],[CANT. TOTAL]]&lt;=0,1,TablaSTOCKINV[[#This Row],[CANT. TOTAL]]&lt;=TablaSTOCKINV[[#This Row],[MIN]],2,TablaSTOCKINV[[#This Row],[CANT. TOTAL]]&gt;TablaSTOCKINV[[#This Row],[MIN]],3)</f>
        <v>3</v>
      </c>
      <c r="N504" s="34">
        <f>TablaSTOCKINV[[#This Row],[ENTRADAS]]-TablaSTOCKINV[[#This Row],[SALIDAS]]</f>
        <v>1</v>
      </c>
      <c r="O504" s="35">
        <f>SUMIFS(TablaENTRADA[CANT],TablaENTRADA[SKU],TablaSTOCKINV[[#This Row],[SKU]])</f>
        <v>1</v>
      </c>
      <c r="P504" s="35">
        <f>SUMIFS(TablaSALIDA[CANT],TablaSALIDA[SKU],TablaSTOCKINV[[#This Row],[SKU]])</f>
        <v>0</v>
      </c>
      <c r="Q504" s="34">
        <f>_xlfn.XLOOKUP(TablaSTOCKINV[[#This Row],[SKU]],TablaINVENTARIO[SKU],TablaINVENTARIO[PRECIO])</f>
        <v>0</v>
      </c>
      <c r="R504" s="34">
        <f>TablaSTOCKINV[[#This Row],[P.UNITARIO]]*TablaSTOCKINV[[#This Row],[CANT. TOTAL]]</f>
        <v>0</v>
      </c>
      <c r="S504" s="44">
        <f>_xlfn.XLOOKUP(TablaSTOCKINV[[#This Row],[SKU]],TablaINVENTARIO[SKU],TablaINVENTARIO[FECHA INGRESO])</f>
        <v>46023</v>
      </c>
      <c r="T504" s="44">
        <f>_xlfn.XLOOKUP(TablaSTOCKINV[[#This Row],[SKU]],TablaENTRADA[SKU],TablaENTRADA[FECHA],,0,-1)</f>
        <v>46023</v>
      </c>
      <c r="U504" s="46" t="str">
        <f>IFERROR((_xlfn.XLOOKUP(TablaSTOCKINV[[#This Row],[SKU]],TablaSALIDA[SKU],TablaSALIDA[FECHA],,0,-1))," " )</f>
        <v xml:space="preserve"> </v>
      </c>
    </row>
    <row r="505" spans="1:21" x14ac:dyDescent="0.3">
      <c r="A505" s="27" t="s">
        <v>1900</v>
      </c>
      <c r="B505" s="32" t="str">
        <f>_xlfn.XLOOKUP(TablaSTOCKINV[[#This Row],[SKU]],TablaINVENTARIO[SKU],TablaINVENTARIO[DESCRIPCION])</f>
        <v xml:space="preserve">LLAVE DE RUEDA </v>
      </c>
      <c r="C505" s="32" t="str">
        <f>_xlfn.XLOOKUP(TablaSTOCKINV[[#This Row],[SKU]],TablaINVENTARIO[SKU],TablaINVENTARIO[MARCA])</f>
        <v>N/A</v>
      </c>
      <c r="D505" s="33" t="str">
        <f>_xlfn.XLOOKUP(TablaSTOCKINV[[#This Row],[SKU]],TablaINVENTARIO[SKU],TablaINVENTARIO[CATEGORIA])</f>
        <v>HERRAMIENTAS_</v>
      </c>
      <c r="E505" s="33" t="str">
        <f>_xlfn.XLOOKUP(TablaSTOCKINV[[#This Row],[SKU]],TablaINVENTARIO[SKU],TablaINVENTARIO[SUBCATEGORIA])</f>
        <v xml:space="preserve">HERRAMIENTA DE MANO </v>
      </c>
      <c r="F505" s="33" t="str">
        <f>_xlfn.XLOOKUP(TablaSTOCKINV[[#This Row],[SKU]],TablaINVENTARIO[SKU],TablaINVENTARIO[ESTADO])</f>
        <v>USADO</v>
      </c>
      <c r="G505" s="33" t="str">
        <f>_xlfn.XLOOKUP(TablaSTOCKINV[[#This Row],[SKU]],TablaINVENTARIO[SKU],TablaINVENTARIO[MEDIDA])</f>
        <v xml:space="preserve">UND </v>
      </c>
      <c r="H505" s="33" t="str">
        <f>_xlfn.XLOOKUP(TablaSTOCKINV[[#This Row],[SKU]],TablaINVENTARIO[SKU],TablaINVENTARIO[SERIAL])</f>
        <v>N/A</v>
      </c>
      <c r="I505" s="34" t="str">
        <f>_xlfn.XLOOKUP(TablaSTOCKINV[[#This Row],[SKU]],TablaINVENTARIO[SKU],TablaINVENTARIO[ALMACEN])</f>
        <v>ALMACEN PRINCIPAL</v>
      </c>
      <c r="J505" s="34" t="str">
        <f>_xlfn.XLOOKUP(TablaSTOCKINV[[#This Row],[SKU]],TablaINVENTARIO[SKU],TablaINVENTARIO[UBICACION])</f>
        <v>2D</v>
      </c>
      <c r="K505" s="34" t="str">
        <f>_xlfn.XLOOKUP(TablaSTOCKINV[[#This Row],[SKU]],TablaINVENTARIO[SKU],TablaINVENTARIO[DPTO RESPONSABLE])</f>
        <v>OPERACIONES</v>
      </c>
      <c r="L505" s="36">
        <f>_xlfn.XLOOKUP(TablaSTOCKINV[[#This Row],[SKU]],TablaINVENTARIO[SKU],TablaINVENTARIO[RANGO MIN])</f>
        <v>0</v>
      </c>
      <c r="M505" s="34" cm="1">
        <f t="array" ref="M505">_xlfn.IFS(TablaSTOCKINV[[#This Row],[CANT. TOTAL]]&lt;=0,1,TablaSTOCKINV[[#This Row],[CANT. TOTAL]]&lt;=TablaSTOCKINV[[#This Row],[MIN]],2,TablaSTOCKINV[[#This Row],[CANT. TOTAL]]&gt;TablaSTOCKINV[[#This Row],[MIN]],3)</f>
        <v>3</v>
      </c>
      <c r="N505" s="34">
        <f>TablaSTOCKINV[[#This Row],[ENTRADAS]]-TablaSTOCKINV[[#This Row],[SALIDAS]]</f>
        <v>1</v>
      </c>
      <c r="O505" s="35">
        <f>SUMIFS(TablaENTRADA[CANT],TablaENTRADA[SKU],TablaSTOCKINV[[#This Row],[SKU]])</f>
        <v>1</v>
      </c>
      <c r="P505" s="35">
        <f>SUMIFS(TablaSALIDA[CANT],TablaSALIDA[SKU],TablaSTOCKINV[[#This Row],[SKU]])</f>
        <v>0</v>
      </c>
      <c r="Q505" s="34">
        <f>_xlfn.XLOOKUP(TablaSTOCKINV[[#This Row],[SKU]],TablaINVENTARIO[SKU],TablaINVENTARIO[PRECIO])</f>
        <v>0</v>
      </c>
      <c r="R505" s="34">
        <f>TablaSTOCKINV[[#This Row],[P.UNITARIO]]*TablaSTOCKINV[[#This Row],[CANT. TOTAL]]</f>
        <v>0</v>
      </c>
      <c r="S505" s="44">
        <f>_xlfn.XLOOKUP(TablaSTOCKINV[[#This Row],[SKU]],TablaINVENTARIO[SKU],TablaINVENTARIO[FECHA INGRESO])</f>
        <v>46023</v>
      </c>
      <c r="T505" s="44">
        <f>_xlfn.XLOOKUP(TablaSTOCKINV[[#This Row],[SKU]],TablaENTRADA[SKU],TablaENTRADA[FECHA],,0,-1)</f>
        <v>46023</v>
      </c>
      <c r="U505" s="46" t="str">
        <f>IFERROR((_xlfn.XLOOKUP(TablaSTOCKINV[[#This Row],[SKU]],TablaSALIDA[SKU],TablaSALIDA[FECHA],,0,-1))," " )</f>
        <v xml:space="preserve"> </v>
      </c>
    </row>
    <row r="506" spans="1:21" x14ac:dyDescent="0.3">
      <c r="A506" s="27" t="s">
        <v>1902</v>
      </c>
      <c r="B506" s="32" t="str">
        <f>_xlfn.XLOOKUP(TablaSTOCKINV[[#This Row],[SKU]],TablaINVENTARIO[SKU],TablaINVENTARIO[DESCRIPCION])</f>
        <v xml:space="preserve">SARGENTO DE BARRA </v>
      </c>
      <c r="C506" s="32" t="str">
        <f>_xlfn.XLOOKUP(TablaSTOCKINV[[#This Row],[SKU]],TablaINVENTARIO[SKU],TablaINVENTARIO[MARCA])</f>
        <v>WISENT</v>
      </c>
      <c r="D506" s="33" t="str">
        <f>_xlfn.XLOOKUP(TablaSTOCKINV[[#This Row],[SKU]],TablaINVENTARIO[SKU],TablaINVENTARIO[CATEGORIA])</f>
        <v>HERRAMIENTAS_</v>
      </c>
      <c r="E506" s="33" t="str">
        <f>_xlfn.XLOOKUP(TablaSTOCKINV[[#This Row],[SKU]],TablaINVENTARIO[SKU],TablaINVENTARIO[SUBCATEGORIA])</f>
        <v xml:space="preserve">HERRAMIENTA DE MANO </v>
      </c>
      <c r="F506" s="33" t="str">
        <f>_xlfn.XLOOKUP(TablaSTOCKINV[[#This Row],[SKU]],TablaINVENTARIO[SKU],TablaINVENTARIO[ESTADO])</f>
        <v>NUEVO</v>
      </c>
      <c r="G506" s="33" t="str">
        <f>_xlfn.XLOOKUP(TablaSTOCKINV[[#This Row],[SKU]],TablaINVENTARIO[SKU],TablaINVENTARIO[MEDIDA])</f>
        <v xml:space="preserve">UND </v>
      </c>
      <c r="H506" s="33" t="str">
        <f>_xlfn.XLOOKUP(TablaSTOCKINV[[#This Row],[SKU]],TablaINVENTARIO[SKU],TablaINVENTARIO[SERIAL])</f>
        <v>N/A</v>
      </c>
      <c r="I506" s="34" t="str">
        <f>_xlfn.XLOOKUP(TablaSTOCKINV[[#This Row],[SKU]],TablaINVENTARIO[SKU],TablaINVENTARIO[ALMACEN])</f>
        <v>ALMACEN PRINCIPAL</v>
      </c>
      <c r="J506" s="34" t="str">
        <f>_xlfn.XLOOKUP(TablaSTOCKINV[[#This Row],[SKU]],TablaINVENTARIO[SKU],TablaINVENTARIO[UBICACION])</f>
        <v>2D</v>
      </c>
      <c r="K506" s="34" t="str">
        <f>_xlfn.XLOOKUP(TablaSTOCKINV[[#This Row],[SKU]],TablaINVENTARIO[SKU],TablaINVENTARIO[DPTO RESPONSABLE])</f>
        <v>OPERACIONES</v>
      </c>
      <c r="L506" s="36">
        <f>_xlfn.XLOOKUP(TablaSTOCKINV[[#This Row],[SKU]],TablaINVENTARIO[SKU],TablaINVENTARIO[RANGO MIN])</f>
        <v>0</v>
      </c>
      <c r="M506" s="34" cm="1">
        <f t="array" ref="M506">_xlfn.IFS(TablaSTOCKINV[[#This Row],[CANT. TOTAL]]&lt;=0,1,TablaSTOCKINV[[#This Row],[CANT. TOTAL]]&lt;=TablaSTOCKINV[[#This Row],[MIN]],2,TablaSTOCKINV[[#This Row],[CANT. TOTAL]]&gt;TablaSTOCKINV[[#This Row],[MIN]],3)</f>
        <v>3</v>
      </c>
      <c r="N506" s="34">
        <f>TablaSTOCKINV[[#This Row],[ENTRADAS]]-TablaSTOCKINV[[#This Row],[SALIDAS]]</f>
        <v>1</v>
      </c>
      <c r="O506" s="35">
        <f>SUMIFS(TablaENTRADA[CANT],TablaENTRADA[SKU],TablaSTOCKINV[[#This Row],[SKU]])</f>
        <v>1</v>
      </c>
      <c r="P506" s="35">
        <f>SUMIFS(TablaSALIDA[CANT],TablaSALIDA[SKU],TablaSTOCKINV[[#This Row],[SKU]])</f>
        <v>0</v>
      </c>
      <c r="Q506" s="34">
        <f>_xlfn.XLOOKUP(TablaSTOCKINV[[#This Row],[SKU]],TablaINVENTARIO[SKU],TablaINVENTARIO[PRECIO])</f>
        <v>0</v>
      </c>
      <c r="R506" s="34">
        <f>TablaSTOCKINV[[#This Row],[P.UNITARIO]]*TablaSTOCKINV[[#This Row],[CANT. TOTAL]]</f>
        <v>0</v>
      </c>
      <c r="S506" s="44">
        <f>_xlfn.XLOOKUP(TablaSTOCKINV[[#This Row],[SKU]],TablaINVENTARIO[SKU],TablaINVENTARIO[FECHA INGRESO])</f>
        <v>46023</v>
      </c>
      <c r="T506" s="44">
        <f>_xlfn.XLOOKUP(TablaSTOCKINV[[#This Row],[SKU]],TablaENTRADA[SKU],TablaENTRADA[FECHA],,0,-1)</f>
        <v>46023</v>
      </c>
      <c r="U506" s="46" t="str">
        <f>IFERROR((_xlfn.XLOOKUP(TablaSTOCKINV[[#This Row],[SKU]],TablaSALIDA[SKU],TablaSALIDA[FECHA],,0,-1))," " )</f>
        <v xml:space="preserve"> </v>
      </c>
    </row>
    <row r="507" spans="1:21" x14ac:dyDescent="0.3">
      <c r="A507" s="27" t="s">
        <v>1904</v>
      </c>
      <c r="B507" s="32" t="str">
        <f>_xlfn.XLOOKUP(TablaSTOCKINV[[#This Row],[SKU]],TablaINVENTARIO[SKU],TablaINVENTARIO[DESCRIPCION])</f>
        <v>REGLA MULTIUSOS</v>
      </c>
      <c r="C507" s="32" t="str">
        <f>_xlfn.XLOOKUP(TablaSTOCKINV[[#This Row],[SKU]],TablaINVENTARIO[SKU],TablaINVENTARIO[MARCA])</f>
        <v xml:space="preserve">PARKSIDE </v>
      </c>
      <c r="D507" s="33" t="str">
        <f>_xlfn.XLOOKUP(TablaSTOCKINV[[#This Row],[SKU]],TablaINVENTARIO[SKU],TablaINVENTARIO[CATEGORIA])</f>
        <v>HERRAMIENTAS_</v>
      </c>
      <c r="E507" s="33" t="str">
        <f>_xlfn.XLOOKUP(TablaSTOCKINV[[#This Row],[SKU]],TablaINVENTARIO[SKU],TablaINVENTARIO[SUBCATEGORIA])</f>
        <v xml:space="preserve">HERRAMIENTA DE MANO </v>
      </c>
      <c r="F507" s="33" t="str">
        <f>_xlfn.XLOOKUP(TablaSTOCKINV[[#This Row],[SKU]],TablaINVENTARIO[SKU],TablaINVENTARIO[ESTADO])</f>
        <v>NUEVO</v>
      </c>
      <c r="G507" s="33" t="str">
        <f>_xlfn.XLOOKUP(TablaSTOCKINV[[#This Row],[SKU]],TablaINVENTARIO[SKU],TablaINVENTARIO[MEDIDA])</f>
        <v xml:space="preserve">UND </v>
      </c>
      <c r="H507" s="33" t="str">
        <f>_xlfn.XLOOKUP(TablaSTOCKINV[[#This Row],[SKU]],TablaINVENTARIO[SKU],TablaINVENTARIO[SERIAL])</f>
        <v>N/A</v>
      </c>
      <c r="I507" s="34" t="str">
        <f>_xlfn.XLOOKUP(TablaSTOCKINV[[#This Row],[SKU]],TablaINVENTARIO[SKU],TablaINVENTARIO[ALMACEN])</f>
        <v>ALMACEN PRINCIPAL</v>
      </c>
      <c r="J507" s="34" t="str">
        <f>_xlfn.XLOOKUP(TablaSTOCKINV[[#This Row],[SKU]],TablaINVENTARIO[SKU],TablaINVENTARIO[UBICACION])</f>
        <v>2D</v>
      </c>
      <c r="K507" s="34" t="str">
        <f>_xlfn.XLOOKUP(TablaSTOCKINV[[#This Row],[SKU]],TablaINVENTARIO[SKU],TablaINVENTARIO[DPTO RESPONSABLE])</f>
        <v>OPERACIONES</v>
      </c>
      <c r="L507" s="36">
        <f>_xlfn.XLOOKUP(TablaSTOCKINV[[#This Row],[SKU]],TablaINVENTARIO[SKU],TablaINVENTARIO[RANGO MIN])</f>
        <v>0</v>
      </c>
      <c r="M507" s="34" cm="1">
        <f t="array" ref="M507">_xlfn.IFS(TablaSTOCKINV[[#This Row],[CANT. TOTAL]]&lt;=0,1,TablaSTOCKINV[[#This Row],[CANT. TOTAL]]&lt;=TablaSTOCKINV[[#This Row],[MIN]],2,TablaSTOCKINV[[#This Row],[CANT. TOTAL]]&gt;TablaSTOCKINV[[#This Row],[MIN]],3)</f>
        <v>3</v>
      </c>
      <c r="N507" s="34">
        <f>TablaSTOCKINV[[#This Row],[ENTRADAS]]-TablaSTOCKINV[[#This Row],[SALIDAS]]</f>
        <v>1</v>
      </c>
      <c r="O507" s="35">
        <f>SUMIFS(TablaENTRADA[CANT],TablaENTRADA[SKU],TablaSTOCKINV[[#This Row],[SKU]])</f>
        <v>1</v>
      </c>
      <c r="P507" s="35">
        <f>SUMIFS(TablaSALIDA[CANT],TablaSALIDA[SKU],TablaSTOCKINV[[#This Row],[SKU]])</f>
        <v>0</v>
      </c>
      <c r="Q507" s="34">
        <f>_xlfn.XLOOKUP(TablaSTOCKINV[[#This Row],[SKU]],TablaINVENTARIO[SKU],TablaINVENTARIO[PRECIO])</f>
        <v>0</v>
      </c>
      <c r="R507" s="34">
        <f>TablaSTOCKINV[[#This Row],[P.UNITARIO]]*TablaSTOCKINV[[#This Row],[CANT. TOTAL]]</f>
        <v>0</v>
      </c>
      <c r="S507" s="44">
        <f>_xlfn.XLOOKUP(TablaSTOCKINV[[#This Row],[SKU]],TablaINVENTARIO[SKU],TablaINVENTARIO[FECHA INGRESO])</f>
        <v>46023</v>
      </c>
      <c r="T507" s="44">
        <f>_xlfn.XLOOKUP(TablaSTOCKINV[[#This Row],[SKU]],TablaENTRADA[SKU],TablaENTRADA[FECHA],,0,-1)</f>
        <v>46023</v>
      </c>
      <c r="U507" s="46" t="str">
        <f>IFERROR((_xlfn.XLOOKUP(TablaSTOCKINV[[#This Row],[SKU]],TablaSALIDA[SKU],TablaSALIDA[FECHA],,0,-1))," " )</f>
        <v xml:space="preserve"> </v>
      </c>
    </row>
    <row r="508" spans="1:21" x14ac:dyDescent="0.3">
      <c r="A508" s="27" t="s">
        <v>1906</v>
      </c>
      <c r="B508" s="32" t="str">
        <f>_xlfn.XLOOKUP(TablaSTOCKINV[[#This Row],[SKU]],TablaINVENTARIO[SKU],TablaINVENTARIO[DESCRIPCION])</f>
        <v>ESCUADRA RAPIDA</v>
      </c>
      <c r="C508" s="32" t="str">
        <f>_xlfn.XLOOKUP(TablaSTOCKINV[[#This Row],[SKU]],TablaINVENTARIO[SKU],TablaINVENTARIO[MARCA])</f>
        <v xml:space="preserve">PARKSIDE </v>
      </c>
      <c r="D508" s="33" t="str">
        <f>_xlfn.XLOOKUP(TablaSTOCKINV[[#This Row],[SKU]],TablaINVENTARIO[SKU],TablaINVENTARIO[CATEGORIA])</f>
        <v>HERRAMIENTAS_</v>
      </c>
      <c r="E508" s="33" t="str">
        <f>_xlfn.XLOOKUP(TablaSTOCKINV[[#This Row],[SKU]],TablaINVENTARIO[SKU],TablaINVENTARIO[SUBCATEGORIA])</f>
        <v xml:space="preserve">HERRAMIENTA DE MANO </v>
      </c>
      <c r="F508" s="33" t="str">
        <f>_xlfn.XLOOKUP(TablaSTOCKINV[[#This Row],[SKU]],TablaINVENTARIO[SKU],TablaINVENTARIO[ESTADO])</f>
        <v>NUEVO</v>
      </c>
      <c r="G508" s="33" t="str">
        <f>_xlfn.XLOOKUP(TablaSTOCKINV[[#This Row],[SKU]],TablaINVENTARIO[SKU],TablaINVENTARIO[MEDIDA])</f>
        <v xml:space="preserve">UND </v>
      </c>
      <c r="H508" s="33" t="str">
        <f>_xlfn.XLOOKUP(TablaSTOCKINV[[#This Row],[SKU]],TablaINVENTARIO[SKU],TablaINVENTARIO[SERIAL])</f>
        <v>N/A</v>
      </c>
      <c r="I508" s="34" t="str">
        <f>_xlfn.XLOOKUP(TablaSTOCKINV[[#This Row],[SKU]],TablaINVENTARIO[SKU],TablaINVENTARIO[ALMACEN])</f>
        <v>ALMACEN PRINCIPAL</v>
      </c>
      <c r="J508" s="34" t="str">
        <f>_xlfn.XLOOKUP(TablaSTOCKINV[[#This Row],[SKU]],TablaINVENTARIO[SKU],TablaINVENTARIO[UBICACION])</f>
        <v>2D</v>
      </c>
      <c r="K508" s="34" t="str">
        <f>_xlfn.XLOOKUP(TablaSTOCKINV[[#This Row],[SKU]],TablaINVENTARIO[SKU],TablaINVENTARIO[DPTO RESPONSABLE])</f>
        <v>OPERACIONES</v>
      </c>
      <c r="L508" s="36">
        <f>_xlfn.XLOOKUP(TablaSTOCKINV[[#This Row],[SKU]],TablaINVENTARIO[SKU],TablaINVENTARIO[RANGO MIN])</f>
        <v>0</v>
      </c>
      <c r="M508" s="34" cm="1">
        <f t="array" ref="M508">_xlfn.IFS(TablaSTOCKINV[[#This Row],[CANT. TOTAL]]&lt;=0,1,TablaSTOCKINV[[#This Row],[CANT. TOTAL]]&lt;=TablaSTOCKINV[[#This Row],[MIN]],2,TablaSTOCKINV[[#This Row],[CANT. TOTAL]]&gt;TablaSTOCKINV[[#This Row],[MIN]],3)</f>
        <v>3</v>
      </c>
      <c r="N508" s="34">
        <f>TablaSTOCKINV[[#This Row],[ENTRADAS]]-TablaSTOCKINV[[#This Row],[SALIDAS]]</f>
        <v>1</v>
      </c>
      <c r="O508" s="35">
        <f>SUMIFS(TablaENTRADA[CANT],TablaENTRADA[SKU],TablaSTOCKINV[[#This Row],[SKU]])</f>
        <v>1</v>
      </c>
      <c r="P508" s="35">
        <f>SUMIFS(TablaSALIDA[CANT],TablaSALIDA[SKU],TablaSTOCKINV[[#This Row],[SKU]])</f>
        <v>0</v>
      </c>
      <c r="Q508" s="34">
        <f>_xlfn.XLOOKUP(TablaSTOCKINV[[#This Row],[SKU]],TablaINVENTARIO[SKU],TablaINVENTARIO[PRECIO])</f>
        <v>0</v>
      </c>
      <c r="R508" s="34">
        <f>TablaSTOCKINV[[#This Row],[P.UNITARIO]]*TablaSTOCKINV[[#This Row],[CANT. TOTAL]]</f>
        <v>0</v>
      </c>
      <c r="S508" s="44">
        <f>_xlfn.XLOOKUP(TablaSTOCKINV[[#This Row],[SKU]],TablaINVENTARIO[SKU],TablaINVENTARIO[FECHA INGRESO])</f>
        <v>46023</v>
      </c>
      <c r="T508" s="44">
        <f>_xlfn.XLOOKUP(TablaSTOCKINV[[#This Row],[SKU]],TablaENTRADA[SKU],TablaENTRADA[FECHA],,0,-1)</f>
        <v>46023</v>
      </c>
      <c r="U508" s="46" t="str">
        <f>IFERROR((_xlfn.XLOOKUP(TablaSTOCKINV[[#This Row],[SKU]],TablaSALIDA[SKU],TablaSALIDA[FECHA],,0,-1))," " )</f>
        <v xml:space="preserve"> </v>
      </c>
    </row>
    <row r="509" spans="1:21" x14ac:dyDescent="0.3">
      <c r="A509" s="27" t="s">
        <v>1908</v>
      </c>
      <c r="B509" s="32" t="str">
        <f>_xlfn.XLOOKUP(TablaSTOCKINV[[#This Row],[SKU]],TablaINVENTARIO[SKU],TablaINVENTARIO[DESCRIPCION])</f>
        <v>GENERADOR 110V</v>
      </c>
      <c r="C509" s="32" t="str">
        <f>_xlfn.XLOOKUP(TablaSTOCKINV[[#This Row],[SKU]],TablaINVENTARIO[SKU],TablaINVENTARIO[MARCA])</f>
        <v>N/A</v>
      </c>
      <c r="D509" s="33" t="str">
        <f>_xlfn.XLOOKUP(TablaSTOCKINV[[#This Row],[SKU]],TablaINVENTARIO[SKU],TablaINVENTARIO[CATEGORIA])</f>
        <v>HERRAMIENTAS_</v>
      </c>
      <c r="E509" s="33" t="str">
        <f>_xlfn.XLOOKUP(TablaSTOCKINV[[#This Row],[SKU]],TablaINVENTARIO[SKU],TablaINVENTARIO[SUBCATEGORIA])</f>
        <v>MATERIAL ELECTRICO</v>
      </c>
      <c r="F509" s="33" t="str">
        <f>_xlfn.XLOOKUP(TablaSTOCKINV[[#This Row],[SKU]],TablaINVENTARIO[SKU],TablaINVENTARIO[ESTADO])</f>
        <v>USADO</v>
      </c>
      <c r="G509" s="33" t="str">
        <f>_xlfn.XLOOKUP(TablaSTOCKINV[[#This Row],[SKU]],TablaINVENTARIO[SKU],TablaINVENTARIO[MEDIDA])</f>
        <v xml:space="preserve">UND </v>
      </c>
      <c r="H509" s="33" t="str">
        <f>_xlfn.XLOOKUP(TablaSTOCKINV[[#This Row],[SKU]],TablaINVENTARIO[SKU],TablaINVENTARIO[SERIAL])</f>
        <v>N/A</v>
      </c>
      <c r="I509" s="34" t="str">
        <f>_xlfn.XLOOKUP(TablaSTOCKINV[[#This Row],[SKU]],TablaINVENTARIO[SKU],TablaINVENTARIO[ALMACEN])</f>
        <v>ALMACEN PRINCIPAL</v>
      </c>
      <c r="J509" s="34" t="str">
        <f>_xlfn.XLOOKUP(TablaSTOCKINV[[#This Row],[SKU]],TablaINVENTARIO[SKU],TablaINVENTARIO[UBICACION])</f>
        <v>2D</v>
      </c>
      <c r="K509" s="34" t="str">
        <f>_xlfn.XLOOKUP(TablaSTOCKINV[[#This Row],[SKU]],TablaINVENTARIO[SKU],TablaINVENTARIO[DPTO RESPONSABLE])</f>
        <v>OPERACIONES</v>
      </c>
      <c r="L509" s="36">
        <f>_xlfn.XLOOKUP(TablaSTOCKINV[[#This Row],[SKU]],TablaINVENTARIO[SKU],TablaINVENTARIO[RANGO MIN])</f>
        <v>0</v>
      </c>
      <c r="M509" s="34" cm="1">
        <f t="array" ref="M509">_xlfn.IFS(TablaSTOCKINV[[#This Row],[CANT. TOTAL]]&lt;=0,1,TablaSTOCKINV[[#This Row],[CANT. TOTAL]]&lt;=TablaSTOCKINV[[#This Row],[MIN]],2,TablaSTOCKINV[[#This Row],[CANT. TOTAL]]&gt;TablaSTOCKINV[[#This Row],[MIN]],3)</f>
        <v>3</v>
      </c>
      <c r="N509" s="34">
        <f>TablaSTOCKINV[[#This Row],[ENTRADAS]]-TablaSTOCKINV[[#This Row],[SALIDAS]]</f>
        <v>1</v>
      </c>
      <c r="O509" s="35">
        <f>SUMIFS(TablaENTRADA[CANT],TablaENTRADA[SKU],TablaSTOCKINV[[#This Row],[SKU]])</f>
        <v>1</v>
      </c>
      <c r="P509" s="35">
        <f>SUMIFS(TablaSALIDA[CANT],TablaSALIDA[SKU],TablaSTOCKINV[[#This Row],[SKU]])</f>
        <v>0</v>
      </c>
      <c r="Q509" s="34">
        <f>_xlfn.XLOOKUP(TablaSTOCKINV[[#This Row],[SKU]],TablaINVENTARIO[SKU],TablaINVENTARIO[PRECIO])</f>
        <v>0</v>
      </c>
      <c r="R509" s="34">
        <f>TablaSTOCKINV[[#This Row],[P.UNITARIO]]*TablaSTOCKINV[[#This Row],[CANT. TOTAL]]</f>
        <v>0</v>
      </c>
      <c r="S509" s="44">
        <f>_xlfn.XLOOKUP(TablaSTOCKINV[[#This Row],[SKU]],TablaINVENTARIO[SKU],TablaINVENTARIO[FECHA INGRESO])</f>
        <v>46023</v>
      </c>
      <c r="T509" s="44">
        <f>_xlfn.XLOOKUP(TablaSTOCKINV[[#This Row],[SKU]],TablaENTRADA[SKU],TablaENTRADA[FECHA],,0,-1)</f>
        <v>46023</v>
      </c>
      <c r="U509" s="46" t="str">
        <f>IFERROR((_xlfn.XLOOKUP(TablaSTOCKINV[[#This Row],[SKU]],TablaSALIDA[SKU],TablaSALIDA[FECHA],,0,-1))," " )</f>
        <v xml:space="preserve"> </v>
      </c>
    </row>
    <row r="510" spans="1:21" x14ac:dyDescent="0.3">
      <c r="A510" s="27" t="s">
        <v>1910</v>
      </c>
      <c r="B510" s="32" t="str">
        <f>_xlfn.XLOOKUP(TablaSTOCKINV[[#This Row],[SKU]],TablaINVENTARIO[SKU],TablaINVENTARIO[DESCRIPCION])</f>
        <v>PONCHADORA</v>
      </c>
      <c r="C510" s="32" t="str">
        <f>_xlfn.XLOOKUP(TablaSTOCKINV[[#This Row],[SKU]],TablaINVENTARIO[SKU],TablaINVENTARIO[MARCA])</f>
        <v>N/A</v>
      </c>
      <c r="D510" s="33" t="str">
        <f>_xlfn.XLOOKUP(TablaSTOCKINV[[#This Row],[SKU]],TablaINVENTARIO[SKU],TablaINVENTARIO[CATEGORIA])</f>
        <v>HERRAMIENTAS_</v>
      </c>
      <c r="E510" s="33" t="str">
        <f>_xlfn.XLOOKUP(TablaSTOCKINV[[#This Row],[SKU]],TablaINVENTARIO[SKU],TablaINVENTARIO[SUBCATEGORIA])</f>
        <v xml:space="preserve">HERRAMIENTA DE MANO </v>
      </c>
      <c r="F510" s="33" t="str">
        <f>_xlfn.XLOOKUP(TablaSTOCKINV[[#This Row],[SKU]],TablaINVENTARIO[SKU],TablaINVENTARIO[ESTADO])</f>
        <v>USADO</v>
      </c>
      <c r="G510" s="33" t="str">
        <f>_xlfn.XLOOKUP(TablaSTOCKINV[[#This Row],[SKU]],TablaINVENTARIO[SKU],TablaINVENTARIO[MEDIDA])</f>
        <v>KIT</v>
      </c>
      <c r="H510" s="33" t="str">
        <f>_xlfn.XLOOKUP(TablaSTOCKINV[[#This Row],[SKU]],TablaINVENTARIO[SKU],TablaINVENTARIO[SERIAL])</f>
        <v>N/A</v>
      </c>
      <c r="I510" s="34" t="str">
        <f>_xlfn.XLOOKUP(TablaSTOCKINV[[#This Row],[SKU]],TablaINVENTARIO[SKU],TablaINVENTARIO[ALMACEN])</f>
        <v>ALMACEN PRINCIPAL</v>
      </c>
      <c r="J510" s="34" t="str">
        <f>_xlfn.XLOOKUP(TablaSTOCKINV[[#This Row],[SKU]],TablaINVENTARIO[SKU],TablaINVENTARIO[UBICACION])</f>
        <v>2D</v>
      </c>
      <c r="K510" s="34" t="str">
        <f>_xlfn.XLOOKUP(TablaSTOCKINV[[#This Row],[SKU]],TablaINVENTARIO[SKU],TablaINVENTARIO[DPTO RESPONSABLE])</f>
        <v>OPERACIONES</v>
      </c>
      <c r="L510" s="36">
        <f>_xlfn.XLOOKUP(TablaSTOCKINV[[#This Row],[SKU]],TablaINVENTARIO[SKU],TablaINVENTARIO[RANGO MIN])</f>
        <v>0</v>
      </c>
      <c r="M510" s="34" cm="1">
        <f t="array" ref="M510">_xlfn.IFS(TablaSTOCKINV[[#This Row],[CANT. TOTAL]]&lt;=0,1,TablaSTOCKINV[[#This Row],[CANT. TOTAL]]&lt;=TablaSTOCKINV[[#This Row],[MIN]],2,TablaSTOCKINV[[#This Row],[CANT. TOTAL]]&gt;TablaSTOCKINV[[#This Row],[MIN]],3)</f>
        <v>3</v>
      </c>
      <c r="N510" s="34">
        <f>TablaSTOCKINV[[#This Row],[ENTRADAS]]-TablaSTOCKINV[[#This Row],[SALIDAS]]</f>
        <v>1</v>
      </c>
      <c r="O510" s="35">
        <f>SUMIFS(TablaENTRADA[CANT],TablaENTRADA[SKU],TablaSTOCKINV[[#This Row],[SKU]])</f>
        <v>1</v>
      </c>
      <c r="P510" s="35">
        <f>SUMIFS(TablaSALIDA[CANT],TablaSALIDA[SKU],TablaSTOCKINV[[#This Row],[SKU]])</f>
        <v>0</v>
      </c>
      <c r="Q510" s="34">
        <f>_xlfn.XLOOKUP(TablaSTOCKINV[[#This Row],[SKU]],TablaINVENTARIO[SKU],TablaINVENTARIO[PRECIO])</f>
        <v>0</v>
      </c>
      <c r="R510" s="34">
        <f>TablaSTOCKINV[[#This Row],[P.UNITARIO]]*TablaSTOCKINV[[#This Row],[CANT. TOTAL]]</f>
        <v>0</v>
      </c>
      <c r="S510" s="44">
        <f>_xlfn.XLOOKUP(TablaSTOCKINV[[#This Row],[SKU]],TablaINVENTARIO[SKU],TablaINVENTARIO[FECHA INGRESO])</f>
        <v>46023</v>
      </c>
      <c r="T510" s="44">
        <f>_xlfn.XLOOKUP(TablaSTOCKINV[[#This Row],[SKU]],TablaENTRADA[SKU],TablaENTRADA[FECHA],,0,-1)</f>
        <v>46023</v>
      </c>
      <c r="U510" s="46" t="str">
        <f>IFERROR((_xlfn.XLOOKUP(TablaSTOCKINV[[#This Row],[SKU]],TablaSALIDA[SKU],TablaSALIDA[FECHA],,0,-1))," " )</f>
        <v xml:space="preserve"> </v>
      </c>
    </row>
    <row r="511" spans="1:21" x14ac:dyDescent="0.3">
      <c r="A511" s="27" t="s">
        <v>1912</v>
      </c>
      <c r="B511" s="32" t="str">
        <f>_xlfn.XLOOKUP(TablaSTOCKINV[[#This Row],[SKU]],TablaINVENTARIO[SKU],TablaINVENTARIO[DESCRIPCION])</f>
        <v xml:space="preserve">REGLETA 6 TOMAS </v>
      </c>
      <c r="C511" s="32" t="str">
        <f>_xlfn.XLOOKUP(TablaSTOCKINV[[#This Row],[SKU]],TablaINVENTARIO[SKU],TablaINVENTARIO[MARCA])</f>
        <v>N/A</v>
      </c>
      <c r="D511" s="33" t="str">
        <f>_xlfn.XLOOKUP(TablaSTOCKINV[[#This Row],[SKU]],TablaINVENTARIO[SKU],TablaINVENTARIO[CATEGORIA])</f>
        <v>HERRAMIENTAS_</v>
      </c>
      <c r="E511" s="33" t="str">
        <f>_xlfn.XLOOKUP(TablaSTOCKINV[[#This Row],[SKU]],TablaINVENTARIO[SKU],TablaINVENTARIO[SUBCATEGORIA])</f>
        <v>MATERIAL ELECTRICO</v>
      </c>
      <c r="F511" s="33" t="str">
        <f>_xlfn.XLOOKUP(TablaSTOCKINV[[#This Row],[SKU]],TablaINVENTARIO[SKU],TablaINVENTARIO[ESTADO])</f>
        <v>USADO</v>
      </c>
      <c r="G511" s="33" t="str">
        <f>_xlfn.XLOOKUP(TablaSTOCKINV[[#This Row],[SKU]],TablaINVENTARIO[SKU],TablaINVENTARIO[MEDIDA])</f>
        <v xml:space="preserve">UND </v>
      </c>
      <c r="H511" s="33" t="str">
        <f>_xlfn.XLOOKUP(TablaSTOCKINV[[#This Row],[SKU]],TablaINVENTARIO[SKU],TablaINVENTARIO[SERIAL])</f>
        <v>N/A</v>
      </c>
      <c r="I511" s="34" t="str">
        <f>_xlfn.XLOOKUP(TablaSTOCKINV[[#This Row],[SKU]],TablaINVENTARIO[SKU],TablaINVENTARIO[ALMACEN])</f>
        <v>ALMACEN PRINCIPAL</v>
      </c>
      <c r="J511" s="34" t="str">
        <f>_xlfn.XLOOKUP(TablaSTOCKINV[[#This Row],[SKU]],TablaINVENTARIO[SKU],TablaINVENTARIO[UBICACION])</f>
        <v>2D</v>
      </c>
      <c r="K511" s="34" t="str">
        <f>_xlfn.XLOOKUP(TablaSTOCKINV[[#This Row],[SKU]],TablaINVENTARIO[SKU],TablaINVENTARIO[DPTO RESPONSABLE])</f>
        <v>OPERACIONES</v>
      </c>
      <c r="L511" s="36">
        <f>_xlfn.XLOOKUP(TablaSTOCKINV[[#This Row],[SKU]],TablaINVENTARIO[SKU],TablaINVENTARIO[RANGO MIN])</f>
        <v>0</v>
      </c>
      <c r="M511" s="34" cm="1">
        <f t="array" ref="M511">_xlfn.IFS(TablaSTOCKINV[[#This Row],[CANT. TOTAL]]&lt;=0,1,TablaSTOCKINV[[#This Row],[CANT. TOTAL]]&lt;=TablaSTOCKINV[[#This Row],[MIN]],2,TablaSTOCKINV[[#This Row],[CANT. TOTAL]]&gt;TablaSTOCKINV[[#This Row],[MIN]],3)</f>
        <v>3</v>
      </c>
      <c r="N511" s="34">
        <f>TablaSTOCKINV[[#This Row],[ENTRADAS]]-TablaSTOCKINV[[#This Row],[SALIDAS]]</f>
        <v>1</v>
      </c>
      <c r="O511" s="35">
        <f>SUMIFS(TablaENTRADA[CANT],TablaENTRADA[SKU],TablaSTOCKINV[[#This Row],[SKU]])</f>
        <v>1</v>
      </c>
      <c r="P511" s="35">
        <f>SUMIFS(TablaSALIDA[CANT],TablaSALIDA[SKU],TablaSTOCKINV[[#This Row],[SKU]])</f>
        <v>0</v>
      </c>
      <c r="Q511" s="34">
        <f>_xlfn.XLOOKUP(TablaSTOCKINV[[#This Row],[SKU]],TablaINVENTARIO[SKU],TablaINVENTARIO[PRECIO])</f>
        <v>0</v>
      </c>
      <c r="R511" s="34">
        <f>TablaSTOCKINV[[#This Row],[P.UNITARIO]]*TablaSTOCKINV[[#This Row],[CANT. TOTAL]]</f>
        <v>0</v>
      </c>
      <c r="S511" s="44">
        <f>_xlfn.XLOOKUP(TablaSTOCKINV[[#This Row],[SKU]],TablaINVENTARIO[SKU],TablaINVENTARIO[FECHA INGRESO])</f>
        <v>46023</v>
      </c>
      <c r="T511" s="44">
        <f>_xlfn.XLOOKUP(TablaSTOCKINV[[#This Row],[SKU]],TablaENTRADA[SKU],TablaENTRADA[FECHA],,0,-1)</f>
        <v>46023</v>
      </c>
      <c r="U511" s="46" t="str">
        <f>IFERROR((_xlfn.XLOOKUP(TablaSTOCKINV[[#This Row],[SKU]],TablaSALIDA[SKU],TablaSALIDA[FECHA],,0,-1))," " )</f>
        <v xml:space="preserve"> </v>
      </c>
    </row>
    <row r="512" spans="1:21" x14ac:dyDescent="0.3">
      <c r="A512" s="27" t="s">
        <v>1914</v>
      </c>
      <c r="B512" s="32" t="str">
        <f>_xlfn.XLOOKUP(TablaSTOCKINV[[#This Row],[SKU]],TablaINVENTARIO[SKU],TablaINVENTARIO[DESCRIPCION])</f>
        <v xml:space="preserve">MALETIN UNIVERSAL DE ALUMINIO </v>
      </c>
      <c r="C512" s="32" t="str">
        <f>_xlfn.XLOOKUP(TablaSTOCKINV[[#This Row],[SKU]],TablaINVENTARIO[SKU],TablaINVENTARIO[MARCA])</f>
        <v>N/A</v>
      </c>
      <c r="D512" s="33" t="str">
        <f>_xlfn.XLOOKUP(TablaSTOCKINV[[#This Row],[SKU]],TablaINVENTARIO[SKU],TablaINVENTARIO[CATEGORIA])</f>
        <v>HERRAMIENTAS_</v>
      </c>
      <c r="E512" s="33" t="str">
        <f>_xlfn.XLOOKUP(TablaSTOCKINV[[#This Row],[SKU]],TablaINVENTARIO[SKU],TablaINVENTARIO[SUBCATEGORIA])</f>
        <v xml:space="preserve">ALMACENAMIENTO </v>
      </c>
      <c r="F512" s="33" t="str">
        <f>_xlfn.XLOOKUP(TablaSTOCKINV[[#This Row],[SKU]],TablaINVENTARIO[SKU],TablaINVENTARIO[ESTADO])</f>
        <v>NUEVO</v>
      </c>
      <c r="G512" s="33" t="str">
        <f>_xlfn.XLOOKUP(TablaSTOCKINV[[#This Row],[SKU]],TablaINVENTARIO[SKU],TablaINVENTARIO[MEDIDA])</f>
        <v xml:space="preserve">UND </v>
      </c>
      <c r="H512" s="33" t="str">
        <f>_xlfn.XLOOKUP(TablaSTOCKINV[[#This Row],[SKU]],TablaINVENTARIO[SKU],TablaINVENTARIO[SERIAL])</f>
        <v>N/A</v>
      </c>
      <c r="I512" s="34" t="str">
        <f>_xlfn.XLOOKUP(TablaSTOCKINV[[#This Row],[SKU]],TablaINVENTARIO[SKU],TablaINVENTARIO[ALMACEN])</f>
        <v>ALMACEN PRINCIPAL</v>
      </c>
      <c r="J512" s="34" t="str">
        <f>_xlfn.XLOOKUP(TablaSTOCKINV[[#This Row],[SKU]],TablaINVENTARIO[SKU],TablaINVENTARIO[UBICACION])</f>
        <v>2E</v>
      </c>
      <c r="K512" s="34" t="str">
        <f>_xlfn.XLOOKUP(TablaSTOCKINV[[#This Row],[SKU]],TablaINVENTARIO[SKU],TablaINVENTARIO[DPTO RESPONSABLE])</f>
        <v>OPERACIONES</v>
      </c>
      <c r="L512" s="36">
        <f>_xlfn.XLOOKUP(TablaSTOCKINV[[#This Row],[SKU]],TablaINVENTARIO[SKU],TablaINVENTARIO[RANGO MIN])</f>
        <v>0</v>
      </c>
      <c r="M512" s="34" cm="1">
        <f t="array" ref="M512">_xlfn.IFS(TablaSTOCKINV[[#This Row],[CANT. TOTAL]]&lt;=0,1,TablaSTOCKINV[[#This Row],[CANT. TOTAL]]&lt;=TablaSTOCKINV[[#This Row],[MIN]],2,TablaSTOCKINV[[#This Row],[CANT. TOTAL]]&gt;TablaSTOCKINV[[#This Row],[MIN]],3)</f>
        <v>3</v>
      </c>
      <c r="N512" s="34">
        <f>TablaSTOCKINV[[#This Row],[ENTRADAS]]-TablaSTOCKINV[[#This Row],[SALIDAS]]</f>
        <v>1</v>
      </c>
      <c r="O512" s="35">
        <f>SUMIFS(TablaENTRADA[CANT],TablaENTRADA[SKU],TablaSTOCKINV[[#This Row],[SKU]])</f>
        <v>1</v>
      </c>
      <c r="P512" s="35">
        <f>SUMIFS(TablaSALIDA[CANT],TablaSALIDA[SKU],TablaSTOCKINV[[#This Row],[SKU]])</f>
        <v>0</v>
      </c>
      <c r="Q512" s="34">
        <f>_xlfn.XLOOKUP(TablaSTOCKINV[[#This Row],[SKU]],TablaINVENTARIO[SKU],TablaINVENTARIO[PRECIO])</f>
        <v>0</v>
      </c>
      <c r="R512" s="34">
        <f>TablaSTOCKINV[[#This Row],[P.UNITARIO]]*TablaSTOCKINV[[#This Row],[CANT. TOTAL]]</f>
        <v>0</v>
      </c>
      <c r="S512" s="44">
        <f>_xlfn.XLOOKUP(TablaSTOCKINV[[#This Row],[SKU]],TablaINVENTARIO[SKU],TablaINVENTARIO[FECHA INGRESO])</f>
        <v>46023</v>
      </c>
      <c r="T512" s="44">
        <f>_xlfn.XLOOKUP(TablaSTOCKINV[[#This Row],[SKU]],TablaENTRADA[SKU],TablaENTRADA[FECHA],,0,-1)</f>
        <v>46023</v>
      </c>
      <c r="U512" s="46" t="str">
        <f>IFERROR((_xlfn.XLOOKUP(TablaSTOCKINV[[#This Row],[SKU]],TablaSALIDA[SKU],TablaSALIDA[FECHA],,0,-1))," " )</f>
        <v xml:space="preserve"> </v>
      </c>
    </row>
    <row r="513" spans="1:21" x14ac:dyDescent="0.3">
      <c r="A513" s="27" t="s">
        <v>1917</v>
      </c>
      <c r="B513" s="32" t="str">
        <f>_xlfn.XLOOKUP(TablaSTOCKINV[[#This Row],[SKU]],TablaINVENTARIO[SKU],TablaINVENTARIO[DESCRIPCION])</f>
        <v>DREMEL PROJECT TABLE MODELO: 887</v>
      </c>
      <c r="C513" s="32" t="str">
        <f>_xlfn.XLOOKUP(TablaSTOCKINV[[#This Row],[SKU]],TablaINVENTARIO[SKU],TablaINVENTARIO[MARCA])</f>
        <v>N/A</v>
      </c>
      <c r="D513" s="33" t="str">
        <f>_xlfn.XLOOKUP(TablaSTOCKINV[[#This Row],[SKU]],TablaINVENTARIO[SKU],TablaINVENTARIO[CATEGORIA])</f>
        <v>HERRAMIENTAS_</v>
      </c>
      <c r="E513" s="33" t="str">
        <f>_xlfn.XLOOKUP(TablaSTOCKINV[[#This Row],[SKU]],TablaINVENTARIO[SKU],TablaINVENTARIO[SUBCATEGORIA])</f>
        <v xml:space="preserve">MATERIAL DE CONSTRUCCIÓN </v>
      </c>
      <c r="F513" s="33" t="str">
        <f>_xlfn.XLOOKUP(TablaSTOCKINV[[#This Row],[SKU]],TablaINVENTARIO[SKU],TablaINVENTARIO[ESTADO])</f>
        <v>USADO</v>
      </c>
      <c r="G513" s="33" t="str">
        <f>_xlfn.XLOOKUP(TablaSTOCKINV[[#This Row],[SKU]],TablaINVENTARIO[SKU],TablaINVENTARIO[MEDIDA])</f>
        <v xml:space="preserve">UND </v>
      </c>
      <c r="H513" s="33" t="str">
        <f>_xlfn.XLOOKUP(TablaSTOCKINV[[#This Row],[SKU]],TablaINVENTARIO[SKU],TablaINVENTARIO[SERIAL])</f>
        <v>N/A</v>
      </c>
      <c r="I513" s="34" t="str">
        <f>_xlfn.XLOOKUP(TablaSTOCKINV[[#This Row],[SKU]],TablaINVENTARIO[SKU],TablaINVENTARIO[ALMACEN])</f>
        <v>ALMACEN PRINCIPAL</v>
      </c>
      <c r="J513" s="34" t="str">
        <f>_xlfn.XLOOKUP(TablaSTOCKINV[[#This Row],[SKU]],TablaINVENTARIO[SKU],TablaINVENTARIO[UBICACION])</f>
        <v>2E</v>
      </c>
      <c r="K513" s="34" t="str">
        <f>_xlfn.XLOOKUP(TablaSTOCKINV[[#This Row],[SKU]],TablaINVENTARIO[SKU],TablaINVENTARIO[DPTO RESPONSABLE])</f>
        <v>OPERACIONES</v>
      </c>
      <c r="L513" s="36">
        <f>_xlfn.XLOOKUP(TablaSTOCKINV[[#This Row],[SKU]],TablaINVENTARIO[SKU],TablaINVENTARIO[RANGO MIN])</f>
        <v>0</v>
      </c>
      <c r="M513" s="34" cm="1">
        <f t="array" ref="M513">_xlfn.IFS(TablaSTOCKINV[[#This Row],[CANT. TOTAL]]&lt;=0,1,TablaSTOCKINV[[#This Row],[CANT. TOTAL]]&lt;=TablaSTOCKINV[[#This Row],[MIN]],2,TablaSTOCKINV[[#This Row],[CANT. TOTAL]]&gt;TablaSTOCKINV[[#This Row],[MIN]],3)</f>
        <v>3</v>
      </c>
      <c r="N513" s="34">
        <f>TablaSTOCKINV[[#This Row],[ENTRADAS]]-TablaSTOCKINV[[#This Row],[SALIDAS]]</f>
        <v>1</v>
      </c>
      <c r="O513" s="35">
        <f>SUMIFS(TablaENTRADA[CANT],TablaENTRADA[SKU],TablaSTOCKINV[[#This Row],[SKU]])</f>
        <v>1</v>
      </c>
      <c r="P513" s="35">
        <f>SUMIFS(TablaSALIDA[CANT],TablaSALIDA[SKU],TablaSTOCKINV[[#This Row],[SKU]])</f>
        <v>0</v>
      </c>
      <c r="Q513" s="34">
        <f>_xlfn.XLOOKUP(TablaSTOCKINV[[#This Row],[SKU]],TablaINVENTARIO[SKU],TablaINVENTARIO[PRECIO])</f>
        <v>0</v>
      </c>
      <c r="R513" s="34">
        <f>TablaSTOCKINV[[#This Row],[P.UNITARIO]]*TablaSTOCKINV[[#This Row],[CANT. TOTAL]]</f>
        <v>0</v>
      </c>
      <c r="S513" s="44">
        <f>_xlfn.XLOOKUP(TablaSTOCKINV[[#This Row],[SKU]],TablaINVENTARIO[SKU],TablaINVENTARIO[FECHA INGRESO])</f>
        <v>46023</v>
      </c>
      <c r="T513" s="44">
        <f>_xlfn.XLOOKUP(TablaSTOCKINV[[#This Row],[SKU]],TablaENTRADA[SKU],TablaENTRADA[FECHA],,0,-1)</f>
        <v>46023</v>
      </c>
      <c r="U513" s="46" t="str">
        <f>IFERROR((_xlfn.XLOOKUP(TablaSTOCKINV[[#This Row],[SKU]],TablaSALIDA[SKU],TablaSALIDA[FECHA],,0,-1))," " )</f>
        <v xml:space="preserve"> </v>
      </c>
    </row>
    <row r="514" spans="1:21" x14ac:dyDescent="0.3">
      <c r="A514" s="27" t="s">
        <v>1919</v>
      </c>
      <c r="B514" s="32" t="str">
        <f>_xlfn.XLOOKUP(TablaSTOCKINV[[#This Row],[SKU]],TablaINVENTARIO[SKU],TablaINVENTARIO[DESCRIPCION])</f>
        <v>DREMEL 300 SERIES (25 ACCESORIOS)</v>
      </c>
      <c r="C514" s="32" t="str">
        <f>_xlfn.XLOOKUP(TablaSTOCKINV[[#This Row],[SKU]],TablaINVENTARIO[SKU],TablaINVENTARIO[MARCA])</f>
        <v>N/A</v>
      </c>
      <c r="D514" s="33" t="str">
        <f>_xlfn.XLOOKUP(TablaSTOCKINV[[#This Row],[SKU]],TablaINVENTARIO[SKU],TablaINVENTARIO[CATEGORIA])</f>
        <v>HERRAMIENTAS_</v>
      </c>
      <c r="E514" s="33" t="str">
        <f>_xlfn.XLOOKUP(TablaSTOCKINV[[#This Row],[SKU]],TablaINVENTARIO[SKU],TablaINVENTARIO[SUBCATEGORIA])</f>
        <v>MATERIAL ELECTRICO</v>
      </c>
      <c r="F514" s="33" t="str">
        <f>_xlfn.XLOOKUP(TablaSTOCKINV[[#This Row],[SKU]],TablaINVENTARIO[SKU],TablaINVENTARIO[ESTADO])</f>
        <v>USADO</v>
      </c>
      <c r="G514" s="33" t="str">
        <f>_xlfn.XLOOKUP(TablaSTOCKINV[[#This Row],[SKU]],TablaINVENTARIO[SKU],TablaINVENTARIO[MEDIDA])</f>
        <v>KIT</v>
      </c>
      <c r="H514" s="33" t="str">
        <f>_xlfn.XLOOKUP(TablaSTOCKINV[[#This Row],[SKU]],TablaINVENTARIO[SKU],TablaINVENTARIO[SERIAL])</f>
        <v>N/A</v>
      </c>
      <c r="I514" s="34" t="str">
        <f>_xlfn.XLOOKUP(TablaSTOCKINV[[#This Row],[SKU]],TablaINVENTARIO[SKU],TablaINVENTARIO[ALMACEN])</f>
        <v>ALMACEN PRINCIPAL</v>
      </c>
      <c r="J514" s="34" t="str">
        <f>_xlfn.XLOOKUP(TablaSTOCKINV[[#This Row],[SKU]],TablaINVENTARIO[SKU],TablaINVENTARIO[UBICACION])</f>
        <v>2D</v>
      </c>
      <c r="K514" s="34" t="str">
        <f>_xlfn.XLOOKUP(TablaSTOCKINV[[#This Row],[SKU]],TablaINVENTARIO[SKU],TablaINVENTARIO[DPTO RESPONSABLE])</f>
        <v>OPERACIONES</v>
      </c>
      <c r="L514" s="36">
        <f>_xlfn.XLOOKUP(TablaSTOCKINV[[#This Row],[SKU]],TablaINVENTARIO[SKU],TablaINVENTARIO[RANGO MIN])</f>
        <v>0</v>
      </c>
      <c r="M514" s="34" cm="1">
        <f t="array" ref="M514">_xlfn.IFS(TablaSTOCKINV[[#This Row],[CANT. TOTAL]]&lt;=0,1,TablaSTOCKINV[[#This Row],[CANT. TOTAL]]&lt;=TablaSTOCKINV[[#This Row],[MIN]],2,TablaSTOCKINV[[#This Row],[CANT. TOTAL]]&gt;TablaSTOCKINV[[#This Row],[MIN]],3)</f>
        <v>3</v>
      </c>
      <c r="N514" s="34">
        <f>TablaSTOCKINV[[#This Row],[ENTRADAS]]-TablaSTOCKINV[[#This Row],[SALIDAS]]</f>
        <v>1</v>
      </c>
      <c r="O514" s="35">
        <f>SUMIFS(TablaENTRADA[CANT],TablaENTRADA[SKU],TablaSTOCKINV[[#This Row],[SKU]])</f>
        <v>1</v>
      </c>
      <c r="P514" s="35">
        <f>SUMIFS(TablaSALIDA[CANT],TablaSALIDA[SKU],TablaSTOCKINV[[#This Row],[SKU]])</f>
        <v>0</v>
      </c>
      <c r="Q514" s="34">
        <f>_xlfn.XLOOKUP(TablaSTOCKINV[[#This Row],[SKU]],TablaINVENTARIO[SKU],TablaINVENTARIO[PRECIO])</f>
        <v>0</v>
      </c>
      <c r="R514" s="34">
        <f>TablaSTOCKINV[[#This Row],[P.UNITARIO]]*TablaSTOCKINV[[#This Row],[CANT. TOTAL]]</f>
        <v>0</v>
      </c>
      <c r="S514" s="44">
        <f>_xlfn.XLOOKUP(TablaSTOCKINV[[#This Row],[SKU]],TablaINVENTARIO[SKU],TablaINVENTARIO[FECHA INGRESO])</f>
        <v>46023</v>
      </c>
      <c r="T514" s="44">
        <f>_xlfn.XLOOKUP(TablaSTOCKINV[[#This Row],[SKU]],TablaENTRADA[SKU],TablaENTRADA[FECHA],,0,-1)</f>
        <v>46023</v>
      </c>
      <c r="U514" s="46" t="str">
        <f>IFERROR((_xlfn.XLOOKUP(TablaSTOCKINV[[#This Row],[SKU]],TablaSALIDA[SKU],TablaSALIDA[FECHA],,0,-1))," " )</f>
        <v xml:space="preserve"> </v>
      </c>
    </row>
    <row r="515" spans="1:21" x14ac:dyDescent="0.3">
      <c r="A515" s="27" t="s">
        <v>1921</v>
      </c>
      <c r="B515" s="32" t="str">
        <f>_xlfn.XLOOKUP(TablaSTOCKINV[[#This Row],[SKU]],TablaINVENTARIO[SKU],TablaINVENTARIO[DESCRIPCION])</f>
        <v xml:space="preserve">CAMARA INFRA ROJO CON ESTUCHE </v>
      </c>
      <c r="C515" s="32" t="str">
        <f>_xlfn.XLOOKUP(TablaSTOCKINV[[#This Row],[SKU]],TablaINVENTARIO[SKU],TablaINVENTARIO[MARCA])</f>
        <v>FLIR</v>
      </c>
      <c r="D515" s="33" t="str">
        <f>_xlfn.XLOOKUP(TablaSTOCKINV[[#This Row],[SKU]],TablaINVENTARIO[SKU],TablaINVENTARIO[CATEGORIA])</f>
        <v>HERRAMIENTAS_</v>
      </c>
      <c r="E515" s="33" t="str">
        <f>_xlfn.XLOOKUP(TablaSTOCKINV[[#This Row],[SKU]],TablaINVENTARIO[SKU],TablaINVENTARIO[SUBCATEGORIA])</f>
        <v>MATERIAL ELECTRICO</v>
      </c>
      <c r="F515" s="33" t="str">
        <f>_xlfn.XLOOKUP(TablaSTOCKINV[[#This Row],[SKU]],TablaINVENTARIO[SKU],TablaINVENTARIO[ESTADO])</f>
        <v>USADO</v>
      </c>
      <c r="G515" s="33" t="str">
        <f>_xlfn.XLOOKUP(TablaSTOCKINV[[#This Row],[SKU]],TablaINVENTARIO[SKU],TablaINVENTARIO[MEDIDA])</f>
        <v xml:space="preserve">UND </v>
      </c>
      <c r="H515" s="33">
        <f>_xlfn.XLOOKUP(TablaSTOCKINV[[#This Row],[SKU]],TablaINVENTARIO[SKU],TablaINVENTARIO[SERIAL])</f>
        <v>393022419</v>
      </c>
      <c r="I515" s="34" t="str">
        <f>_xlfn.XLOOKUP(TablaSTOCKINV[[#This Row],[SKU]],TablaINVENTARIO[SKU],TablaINVENTARIO[ALMACEN])</f>
        <v>ALMACEN PRINCIPAL</v>
      </c>
      <c r="J515" s="34" t="str">
        <f>_xlfn.XLOOKUP(TablaSTOCKINV[[#This Row],[SKU]],TablaINVENTARIO[SKU],TablaINVENTARIO[UBICACION])</f>
        <v>2D</v>
      </c>
      <c r="K515" s="34" t="str">
        <f>_xlfn.XLOOKUP(TablaSTOCKINV[[#This Row],[SKU]],TablaINVENTARIO[SKU],TablaINVENTARIO[DPTO RESPONSABLE])</f>
        <v>OPERACIONES</v>
      </c>
      <c r="L515" s="36">
        <f>_xlfn.XLOOKUP(TablaSTOCKINV[[#This Row],[SKU]],TablaINVENTARIO[SKU],TablaINVENTARIO[RANGO MIN])</f>
        <v>0</v>
      </c>
      <c r="M515" s="34" cm="1">
        <f t="array" ref="M515">_xlfn.IFS(TablaSTOCKINV[[#This Row],[CANT. TOTAL]]&lt;=0,1,TablaSTOCKINV[[#This Row],[CANT. TOTAL]]&lt;=TablaSTOCKINV[[#This Row],[MIN]],2,TablaSTOCKINV[[#This Row],[CANT. TOTAL]]&gt;TablaSTOCKINV[[#This Row],[MIN]],3)</f>
        <v>3</v>
      </c>
      <c r="N515" s="34">
        <f>TablaSTOCKINV[[#This Row],[ENTRADAS]]-TablaSTOCKINV[[#This Row],[SALIDAS]]</f>
        <v>1</v>
      </c>
      <c r="O515" s="35">
        <f>SUMIFS(TablaENTRADA[CANT],TablaENTRADA[SKU],TablaSTOCKINV[[#This Row],[SKU]])</f>
        <v>1</v>
      </c>
      <c r="P515" s="35">
        <f>SUMIFS(TablaSALIDA[CANT],TablaSALIDA[SKU],TablaSTOCKINV[[#This Row],[SKU]])</f>
        <v>0</v>
      </c>
      <c r="Q515" s="34">
        <f>_xlfn.XLOOKUP(TablaSTOCKINV[[#This Row],[SKU]],TablaINVENTARIO[SKU],TablaINVENTARIO[PRECIO])</f>
        <v>0</v>
      </c>
      <c r="R515" s="34">
        <f>TablaSTOCKINV[[#This Row],[P.UNITARIO]]*TablaSTOCKINV[[#This Row],[CANT. TOTAL]]</f>
        <v>0</v>
      </c>
      <c r="S515" s="44">
        <f>_xlfn.XLOOKUP(TablaSTOCKINV[[#This Row],[SKU]],TablaINVENTARIO[SKU],TablaINVENTARIO[FECHA INGRESO])</f>
        <v>46023</v>
      </c>
      <c r="T515" s="44">
        <f>_xlfn.XLOOKUP(TablaSTOCKINV[[#This Row],[SKU]],TablaENTRADA[SKU],TablaENTRADA[FECHA],,0,-1)</f>
        <v>46023</v>
      </c>
      <c r="U515" s="46" t="str">
        <f>IFERROR((_xlfn.XLOOKUP(TablaSTOCKINV[[#This Row],[SKU]],TablaSALIDA[SKU],TablaSALIDA[FECHA],,0,-1))," " )</f>
        <v xml:space="preserve"> </v>
      </c>
    </row>
    <row r="516" spans="1:21" x14ac:dyDescent="0.3">
      <c r="A516" s="27" t="s">
        <v>1924</v>
      </c>
      <c r="B516" s="32" t="str">
        <f>_xlfn.XLOOKUP(TablaSTOCKINV[[#This Row],[SKU]],TablaINVENTARIO[SKU],TablaINVENTARIO[DESCRIPCION])</f>
        <v xml:space="preserve">HERRAMIENTA DE SOLDADURA EXOTERMICA </v>
      </c>
      <c r="C516" s="32" t="str">
        <f>_xlfn.XLOOKUP(TablaSTOCKINV[[#This Row],[SKU]],TablaINVENTARIO[SKU],TablaINVENTARIO[MARCA])</f>
        <v>THERMOWELD</v>
      </c>
      <c r="D516" s="33" t="str">
        <f>_xlfn.XLOOKUP(TablaSTOCKINV[[#This Row],[SKU]],TablaINVENTARIO[SKU],TablaINVENTARIO[CATEGORIA])</f>
        <v>HERRAMIENTAS_</v>
      </c>
      <c r="E516" s="33" t="str">
        <f>_xlfn.XLOOKUP(TablaSTOCKINV[[#This Row],[SKU]],TablaINVENTARIO[SKU],TablaINVENTARIO[SUBCATEGORIA])</f>
        <v xml:space="preserve">HERRAMIENTA DE MANO </v>
      </c>
      <c r="F516" s="33" t="str">
        <f>_xlfn.XLOOKUP(TablaSTOCKINV[[#This Row],[SKU]],TablaINVENTARIO[SKU],TablaINVENTARIO[ESTADO])</f>
        <v>USADO</v>
      </c>
      <c r="G516" s="33" t="str">
        <f>_xlfn.XLOOKUP(TablaSTOCKINV[[#This Row],[SKU]],TablaINVENTARIO[SKU],TablaINVENTARIO[MEDIDA])</f>
        <v xml:space="preserve">UND </v>
      </c>
      <c r="H516" s="33" t="str">
        <f>_xlfn.XLOOKUP(TablaSTOCKINV[[#This Row],[SKU]],TablaINVENTARIO[SKU],TablaINVENTARIO[SERIAL])</f>
        <v>N/A</v>
      </c>
      <c r="I516" s="34" t="str">
        <f>_xlfn.XLOOKUP(TablaSTOCKINV[[#This Row],[SKU]],TablaINVENTARIO[SKU],TablaINVENTARIO[ALMACEN])</f>
        <v>ALMACEN PRINCIPAL</v>
      </c>
      <c r="J516" s="34" t="str">
        <f>_xlfn.XLOOKUP(TablaSTOCKINV[[#This Row],[SKU]],TablaINVENTARIO[SKU],TablaINVENTARIO[UBICACION])</f>
        <v>2D</v>
      </c>
      <c r="K516" s="34" t="str">
        <f>_xlfn.XLOOKUP(TablaSTOCKINV[[#This Row],[SKU]],TablaINVENTARIO[SKU],TablaINVENTARIO[DPTO RESPONSABLE])</f>
        <v>OPERACIONES</v>
      </c>
      <c r="L516" s="36">
        <f>_xlfn.XLOOKUP(TablaSTOCKINV[[#This Row],[SKU]],TablaINVENTARIO[SKU],TablaINVENTARIO[RANGO MIN])</f>
        <v>0</v>
      </c>
      <c r="M516" s="34" cm="1">
        <f t="array" ref="M516">_xlfn.IFS(TablaSTOCKINV[[#This Row],[CANT. TOTAL]]&lt;=0,1,TablaSTOCKINV[[#This Row],[CANT. TOTAL]]&lt;=TablaSTOCKINV[[#This Row],[MIN]],2,TablaSTOCKINV[[#This Row],[CANT. TOTAL]]&gt;TablaSTOCKINV[[#This Row],[MIN]],3)</f>
        <v>3</v>
      </c>
      <c r="N516" s="34">
        <f>TablaSTOCKINV[[#This Row],[ENTRADAS]]-TablaSTOCKINV[[#This Row],[SALIDAS]]</f>
        <v>1</v>
      </c>
      <c r="O516" s="35">
        <f>SUMIFS(TablaENTRADA[CANT],TablaENTRADA[SKU],TablaSTOCKINV[[#This Row],[SKU]])</f>
        <v>1</v>
      </c>
      <c r="P516" s="35">
        <f>SUMIFS(TablaSALIDA[CANT],TablaSALIDA[SKU],TablaSTOCKINV[[#This Row],[SKU]])</f>
        <v>0</v>
      </c>
      <c r="Q516" s="34">
        <f>_xlfn.XLOOKUP(TablaSTOCKINV[[#This Row],[SKU]],TablaINVENTARIO[SKU],TablaINVENTARIO[PRECIO])</f>
        <v>0</v>
      </c>
      <c r="R516" s="34">
        <f>TablaSTOCKINV[[#This Row],[P.UNITARIO]]*TablaSTOCKINV[[#This Row],[CANT. TOTAL]]</f>
        <v>0</v>
      </c>
      <c r="S516" s="44">
        <f>_xlfn.XLOOKUP(TablaSTOCKINV[[#This Row],[SKU]],TablaINVENTARIO[SKU],TablaINVENTARIO[FECHA INGRESO])</f>
        <v>46023</v>
      </c>
      <c r="T516" s="44">
        <f>_xlfn.XLOOKUP(TablaSTOCKINV[[#This Row],[SKU]],TablaENTRADA[SKU],TablaENTRADA[FECHA],,0,-1)</f>
        <v>46023</v>
      </c>
      <c r="U516" s="46" t="str">
        <f>IFERROR((_xlfn.XLOOKUP(TablaSTOCKINV[[#This Row],[SKU]],TablaSALIDA[SKU],TablaSALIDA[FECHA],,0,-1))," " )</f>
        <v xml:space="preserve"> </v>
      </c>
    </row>
    <row r="517" spans="1:21" x14ac:dyDescent="0.3">
      <c r="A517" s="27" t="s">
        <v>1927</v>
      </c>
      <c r="B517" s="32" t="str">
        <f>_xlfn.XLOOKUP(TablaSTOCKINV[[#This Row],[SKU]],TablaINVENTARIO[SKU],TablaINVENTARIO[DESCRIPCION])</f>
        <v xml:space="preserve">SET  DE MECHAS Y PUNTAS </v>
      </c>
      <c r="C517" s="32" t="str">
        <f>_xlfn.XLOOKUP(TablaSTOCKINV[[#This Row],[SKU]],TablaINVENTARIO[SKU],TablaINVENTARIO[MARCA])</f>
        <v>BLACK + DECKER</v>
      </c>
      <c r="D517" s="33" t="str">
        <f>_xlfn.XLOOKUP(TablaSTOCKINV[[#This Row],[SKU]],TablaINVENTARIO[SKU],TablaINVENTARIO[CATEGORIA])</f>
        <v>HERRAMIENTAS_</v>
      </c>
      <c r="E517" s="33" t="str">
        <f>_xlfn.XLOOKUP(TablaSTOCKINV[[#This Row],[SKU]],TablaINVENTARIO[SKU],TablaINVENTARIO[SUBCATEGORIA])</f>
        <v xml:space="preserve">HERRAMIENTA DE MANO </v>
      </c>
      <c r="F517" s="33" t="str">
        <f>_xlfn.XLOOKUP(TablaSTOCKINV[[#This Row],[SKU]],TablaINVENTARIO[SKU],TablaINVENTARIO[ESTADO])</f>
        <v>USADO</v>
      </c>
      <c r="G517" s="33" t="str">
        <f>_xlfn.XLOOKUP(TablaSTOCKINV[[#This Row],[SKU]],TablaINVENTARIO[SKU],TablaINVENTARIO[MEDIDA])</f>
        <v>SET</v>
      </c>
      <c r="H517" s="33" t="str">
        <f>_xlfn.XLOOKUP(TablaSTOCKINV[[#This Row],[SKU]],TablaINVENTARIO[SKU],TablaINVENTARIO[SERIAL])</f>
        <v>N/A</v>
      </c>
      <c r="I517" s="34" t="str">
        <f>_xlfn.XLOOKUP(TablaSTOCKINV[[#This Row],[SKU]],TablaINVENTARIO[SKU],TablaINVENTARIO[ALMACEN])</f>
        <v>ALMACEN PRINCIPAL</v>
      </c>
      <c r="J517" s="34" t="str">
        <f>_xlfn.XLOOKUP(TablaSTOCKINV[[#This Row],[SKU]],TablaINVENTARIO[SKU],TablaINVENTARIO[UBICACION])</f>
        <v>2E</v>
      </c>
      <c r="K517" s="34" t="str">
        <f>_xlfn.XLOOKUP(TablaSTOCKINV[[#This Row],[SKU]],TablaINVENTARIO[SKU],TablaINVENTARIO[DPTO RESPONSABLE])</f>
        <v>OPERACIONES</v>
      </c>
      <c r="L517" s="36">
        <f>_xlfn.XLOOKUP(TablaSTOCKINV[[#This Row],[SKU]],TablaINVENTARIO[SKU],TablaINVENTARIO[RANGO MIN])</f>
        <v>0</v>
      </c>
      <c r="M517" s="34" cm="1">
        <f t="array" ref="M517">_xlfn.IFS(TablaSTOCKINV[[#This Row],[CANT. TOTAL]]&lt;=0,1,TablaSTOCKINV[[#This Row],[CANT. TOTAL]]&lt;=TablaSTOCKINV[[#This Row],[MIN]],2,TablaSTOCKINV[[#This Row],[CANT. TOTAL]]&gt;TablaSTOCKINV[[#This Row],[MIN]],3)</f>
        <v>3</v>
      </c>
      <c r="N517" s="34">
        <f>TablaSTOCKINV[[#This Row],[ENTRADAS]]-TablaSTOCKINV[[#This Row],[SALIDAS]]</f>
        <v>1</v>
      </c>
      <c r="O517" s="35">
        <f>SUMIFS(TablaENTRADA[CANT],TablaENTRADA[SKU],TablaSTOCKINV[[#This Row],[SKU]])</f>
        <v>1</v>
      </c>
      <c r="P517" s="35">
        <f>SUMIFS(TablaSALIDA[CANT],TablaSALIDA[SKU],TablaSTOCKINV[[#This Row],[SKU]])</f>
        <v>0</v>
      </c>
      <c r="Q517" s="34">
        <f>_xlfn.XLOOKUP(TablaSTOCKINV[[#This Row],[SKU]],TablaINVENTARIO[SKU],TablaINVENTARIO[PRECIO])</f>
        <v>0</v>
      </c>
      <c r="R517" s="34">
        <f>TablaSTOCKINV[[#This Row],[P.UNITARIO]]*TablaSTOCKINV[[#This Row],[CANT. TOTAL]]</f>
        <v>0</v>
      </c>
      <c r="S517" s="44">
        <f>_xlfn.XLOOKUP(TablaSTOCKINV[[#This Row],[SKU]],TablaINVENTARIO[SKU],TablaINVENTARIO[FECHA INGRESO])</f>
        <v>46023</v>
      </c>
      <c r="T517" s="44">
        <f>_xlfn.XLOOKUP(TablaSTOCKINV[[#This Row],[SKU]],TablaENTRADA[SKU],TablaENTRADA[FECHA],,0,-1)</f>
        <v>46023</v>
      </c>
      <c r="U517" s="46" t="str">
        <f>IFERROR((_xlfn.XLOOKUP(TablaSTOCKINV[[#This Row],[SKU]],TablaSALIDA[SKU],TablaSALIDA[FECHA],,0,-1))," " )</f>
        <v xml:space="preserve"> </v>
      </c>
    </row>
    <row r="518" spans="1:21" x14ac:dyDescent="0.3">
      <c r="A518" s="27" t="s">
        <v>2676</v>
      </c>
      <c r="B518" s="32" t="str">
        <f>_xlfn.XLOOKUP(TablaSTOCKINV[[#This Row],[SKU]],TablaINVENTARIO[SKU],TablaINVENTARIO[DESCRIPCION])</f>
        <v>LLAVE DE TUBO 36"</v>
      </c>
      <c r="C518" s="32" t="str">
        <f>_xlfn.XLOOKUP(TablaSTOCKINV[[#This Row],[SKU]],TablaINVENTARIO[SKU],TablaINVENTARIO[MARCA])</f>
        <v>STANLEY</v>
      </c>
      <c r="D518" s="33" t="str">
        <f>_xlfn.XLOOKUP(TablaSTOCKINV[[#This Row],[SKU]],TablaINVENTARIO[SKU],TablaINVENTARIO[CATEGORIA])</f>
        <v>HERRAMIENTAS_</v>
      </c>
      <c r="E518" s="33" t="str">
        <f>_xlfn.XLOOKUP(TablaSTOCKINV[[#This Row],[SKU]],TablaINVENTARIO[SKU],TablaINVENTARIO[SUBCATEGORIA])</f>
        <v xml:space="preserve">HERRAMIENTA DE MANO </v>
      </c>
      <c r="F518" s="33" t="str">
        <f>_xlfn.XLOOKUP(TablaSTOCKINV[[#This Row],[SKU]],TablaINVENTARIO[SKU],TablaINVENTARIO[ESTADO])</f>
        <v>USADO</v>
      </c>
      <c r="G518" s="33" t="str">
        <f>_xlfn.XLOOKUP(TablaSTOCKINV[[#This Row],[SKU]],TablaINVENTARIO[SKU],TablaINVENTARIO[MEDIDA])</f>
        <v>UND</v>
      </c>
      <c r="H518" s="33" t="str">
        <f>_xlfn.XLOOKUP(TablaSTOCKINV[[#This Row],[SKU]],TablaINVENTARIO[SKU],TablaINVENTARIO[SERIAL])</f>
        <v>N/A</v>
      </c>
      <c r="I518" s="34" t="str">
        <f>_xlfn.XLOOKUP(TablaSTOCKINV[[#This Row],[SKU]],TablaINVENTARIO[SKU],TablaINVENTARIO[ALMACEN])</f>
        <v>ALMACEN PRINCIPAL</v>
      </c>
      <c r="J518" s="34" t="str">
        <f>_xlfn.XLOOKUP(TablaSTOCKINV[[#This Row],[SKU]],TablaINVENTARIO[SKU],TablaINVENTARIO[UBICACION])</f>
        <v>D5</v>
      </c>
      <c r="K518" s="34" t="str">
        <f>_xlfn.XLOOKUP(TablaSTOCKINV[[#This Row],[SKU]],TablaINVENTARIO[SKU],TablaINVENTARIO[DPTO RESPONSABLE])</f>
        <v xml:space="preserve">OPERACIONES / MANTENIMIENTO </v>
      </c>
      <c r="L518" s="36">
        <f>_xlfn.XLOOKUP(TablaSTOCKINV[[#This Row],[SKU]],TablaINVENTARIO[SKU],TablaINVENTARIO[RANGO MIN])</f>
        <v>0</v>
      </c>
      <c r="M518" s="34" cm="1">
        <f t="array" ref="M518">_xlfn.IFS(TablaSTOCKINV[[#This Row],[CANT. TOTAL]]&lt;=0,1,TablaSTOCKINV[[#This Row],[CANT. TOTAL]]&lt;=TablaSTOCKINV[[#This Row],[MIN]],2,TablaSTOCKINV[[#This Row],[CANT. TOTAL]]&gt;TablaSTOCKINV[[#This Row],[MIN]],3)</f>
        <v>3</v>
      </c>
      <c r="N518" s="34">
        <f>TablaSTOCKINV[[#This Row],[ENTRADAS]]-TablaSTOCKINV[[#This Row],[SALIDAS]]</f>
        <v>4</v>
      </c>
      <c r="O518" s="35">
        <f>SUMIFS(TablaENTRADA[CANT],TablaENTRADA[SKU],TablaSTOCKINV[[#This Row],[SKU]])</f>
        <v>4</v>
      </c>
      <c r="P518" s="35">
        <f>SUMIFS(TablaSALIDA[CANT],TablaSALIDA[SKU],TablaSTOCKINV[[#This Row],[SKU]])</f>
        <v>0</v>
      </c>
      <c r="Q518" s="34">
        <f>_xlfn.XLOOKUP(TablaSTOCKINV[[#This Row],[SKU]],TablaINVENTARIO[SKU],TablaINVENTARIO[PRECIO])</f>
        <v>0</v>
      </c>
      <c r="R518" s="34">
        <f>TablaSTOCKINV[[#This Row],[P.UNITARIO]]*TablaSTOCKINV[[#This Row],[CANT. TOTAL]]</f>
        <v>0</v>
      </c>
      <c r="S518" s="44">
        <f>_xlfn.XLOOKUP(TablaSTOCKINV[[#This Row],[SKU]],TablaINVENTARIO[SKU],TablaINVENTARIO[FECHA INGRESO])</f>
        <v>46023</v>
      </c>
      <c r="T518" s="44">
        <f>_xlfn.XLOOKUP(TablaSTOCKINV[[#This Row],[SKU]],TablaENTRADA[SKU],TablaENTRADA[FECHA],,0,-1)</f>
        <v>46023</v>
      </c>
      <c r="U518" s="46" t="str">
        <f>IFERROR((_xlfn.XLOOKUP(TablaSTOCKINV[[#This Row],[SKU]],TablaSALIDA[SKU],TablaSALIDA[FECHA],,0,-1))," " )</f>
        <v xml:space="preserve"> </v>
      </c>
    </row>
    <row r="519" spans="1:21" x14ac:dyDescent="0.3">
      <c r="A519" s="27" t="s">
        <v>2680</v>
      </c>
      <c r="B519" s="32" t="str">
        <f>_xlfn.XLOOKUP(TablaSTOCKINV[[#This Row],[SKU]],TablaINVENTARIO[SKU],TablaINVENTARIO[DESCRIPCION])</f>
        <v>LLAVE DE TUBO 36"</v>
      </c>
      <c r="C519" s="32" t="str">
        <f>_xlfn.XLOOKUP(TablaSTOCKINV[[#This Row],[SKU]],TablaINVENTARIO[SKU],TablaINVENTARIO[MARCA])</f>
        <v xml:space="preserve">RIDGID </v>
      </c>
      <c r="D519" s="33" t="str">
        <f>_xlfn.XLOOKUP(TablaSTOCKINV[[#This Row],[SKU]],TablaINVENTARIO[SKU],TablaINVENTARIO[CATEGORIA])</f>
        <v>HERRAMIENTAS_</v>
      </c>
      <c r="E519" s="33" t="str">
        <f>_xlfn.XLOOKUP(TablaSTOCKINV[[#This Row],[SKU]],TablaINVENTARIO[SKU],TablaINVENTARIO[SUBCATEGORIA])</f>
        <v xml:space="preserve">HERRAMIENTA DE MANO </v>
      </c>
      <c r="F519" s="33" t="str">
        <f>_xlfn.XLOOKUP(TablaSTOCKINV[[#This Row],[SKU]],TablaINVENTARIO[SKU],TablaINVENTARIO[ESTADO])</f>
        <v>USADO</v>
      </c>
      <c r="G519" s="33" t="str">
        <f>_xlfn.XLOOKUP(TablaSTOCKINV[[#This Row],[SKU]],TablaINVENTARIO[SKU],TablaINVENTARIO[MEDIDA])</f>
        <v>UND</v>
      </c>
      <c r="H519" s="33" t="str">
        <f>_xlfn.XLOOKUP(TablaSTOCKINV[[#This Row],[SKU]],TablaINVENTARIO[SKU],TablaINVENTARIO[SERIAL])</f>
        <v>N/A</v>
      </c>
      <c r="I519" s="34" t="str">
        <f>_xlfn.XLOOKUP(TablaSTOCKINV[[#This Row],[SKU]],TablaINVENTARIO[SKU],TablaINVENTARIO[ALMACEN])</f>
        <v>ALMACEN PRINCIPAL</v>
      </c>
      <c r="J519" s="34" t="str">
        <f>_xlfn.XLOOKUP(TablaSTOCKINV[[#This Row],[SKU]],TablaINVENTARIO[SKU],TablaINVENTARIO[UBICACION])</f>
        <v>D5</v>
      </c>
      <c r="K519" s="34" t="str">
        <f>_xlfn.XLOOKUP(TablaSTOCKINV[[#This Row],[SKU]],TablaINVENTARIO[SKU],TablaINVENTARIO[DPTO RESPONSABLE])</f>
        <v xml:space="preserve">OPERACIONES / MANTENIMIENTO </v>
      </c>
      <c r="L519" s="36">
        <f>_xlfn.XLOOKUP(TablaSTOCKINV[[#This Row],[SKU]],TablaINVENTARIO[SKU],TablaINVENTARIO[RANGO MIN])</f>
        <v>0</v>
      </c>
      <c r="M519" s="34" cm="1">
        <f t="array" ref="M519">_xlfn.IFS(TablaSTOCKINV[[#This Row],[CANT. TOTAL]]&lt;=0,1,TablaSTOCKINV[[#This Row],[CANT. TOTAL]]&lt;=TablaSTOCKINV[[#This Row],[MIN]],2,TablaSTOCKINV[[#This Row],[CANT. TOTAL]]&gt;TablaSTOCKINV[[#This Row],[MIN]],3)</f>
        <v>3</v>
      </c>
      <c r="N519" s="34">
        <f>TablaSTOCKINV[[#This Row],[ENTRADAS]]-TablaSTOCKINV[[#This Row],[SALIDAS]]</f>
        <v>2</v>
      </c>
      <c r="O519" s="35">
        <f>SUMIFS(TablaENTRADA[CANT],TablaENTRADA[SKU],TablaSTOCKINV[[#This Row],[SKU]])</f>
        <v>2</v>
      </c>
      <c r="P519" s="35">
        <f>SUMIFS(TablaSALIDA[CANT],TablaSALIDA[SKU],TablaSTOCKINV[[#This Row],[SKU]])</f>
        <v>0</v>
      </c>
      <c r="Q519" s="34">
        <f>_xlfn.XLOOKUP(TablaSTOCKINV[[#This Row],[SKU]],TablaINVENTARIO[SKU],TablaINVENTARIO[PRECIO])</f>
        <v>0</v>
      </c>
      <c r="R519" s="34">
        <f>TablaSTOCKINV[[#This Row],[P.UNITARIO]]*TablaSTOCKINV[[#This Row],[CANT. TOTAL]]</f>
        <v>0</v>
      </c>
      <c r="S519" s="44">
        <f>_xlfn.XLOOKUP(TablaSTOCKINV[[#This Row],[SKU]],TablaINVENTARIO[SKU],TablaINVENTARIO[FECHA INGRESO])</f>
        <v>46023</v>
      </c>
      <c r="T519" s="44">
        <f>_xlfn.XLOOKUP(TablaSTOCKINV[[#This Row],[SKU]],TablaENTRADA[SKU],TablaENTRADA[FECHA],,0,-1)</f>
        <v>46023</v>
      </c>
      <c r="U519" s="46" t="str">
        <f>IFERROR((_xlfn.XLOOKUP(TablaSTOCKINV[[#This Row],[SKU]],TablaSALIDA[SKU],TablaSALIDA[FECHA],,0,-1))," " )</f>
        <v xml:space="preserve"> </v>
      </c>
    </row>
    <row r="520" spans="1:21" x14ac:dyDescent="0.3">
      <c r="A520" s="27" t="s">
        <v>2682</v>
      </c>
      <c r="B520" s="32" t="str">
        <f>_xlfn.XLOOKUP(TablaSTOCKINV[[#This Row],[SKU]],TablaINVENTARIO[SKU],TablaINVENTARIO[DESCRIPCION])</f>
        <v>LLAVE DE TUBO 24"</v>
      </c>
      <c r="C520" s="32" t="str">
        <f>_xlfn.XLOOKUP(TablaSTOCKINV[[#This Row],[SKU]],TablaINVENTARIO[SKU],TablaINVENTARIO[MARCA])</f>
        <v xml:space="preserve">STANLEY </v>
      </c>
      <c r="D520" s="33" t="str">
        <f>_xlfn.XLOOKUP(TablaSTOCKINV[[#This Row],[SKU]],TablaINVENTARIO[SKU],TablaINVENTARIO[CATEGORIA])</f>
        <v>HERRAMIENTAS_</v>
      </c>
      <c r="E520" s="33" t="str">
        <f>_xlfn.XLOOKUP(TablaSTOCKINV[[#This Row],[SKU]],TablaINVENTARIO[SKU],TablaINVENTARIO[SUBCATEGORIA])</f>
        <v xml:space="preserve">HERRAMIENTA DE MANO </v>
      </c>
      <c r="F520" s="33" t="str">
        <f>_xlfn.XLOOKUP(TablaSTOCKINV[[#This Row],[SKU]],TablaINVENTARIO[SKU],TablaINVENTARIO[ESTADO])</f>
        <v>USADO</v>
      </c>
      <c r="G520" s="33" t="str">
        <f>_xlfn.XLOOKUP(TablaSTOCKINV[[#This Row],[SKU]],TablaINVENTARIO[SKU],TablaINVENTARIO[MEDIDA])</f>
        <v>UND</v>
      </c>
      <c r="H520" s="33" t="str">
        <f>_xlfn.XLOOKUP(TablaSTOCKINV[[#This Row],[SKU]],TablaINVENTARIO[SKU],TablaINVENTARIO[SERIAL])</f>
        <v>N/A</v>
      </c>
      <c r="I520" s="34" t="str">
        <f>_xlfn.XLOOKUP(TablaSTOCKINV[[#This Row],[SKU]],TablaINVENTARIO[SKU],TablaINVENTARIO[ALMACEN])</f>
        <v>ALMACEN PRINCIPAL</v>
      </c>
      <c r="J520" s="34" t="str">
        <f>_xlfn.XLOOKUP(TablaSTOCKINV[[#This Row],[SKU]],TablaINVENTARIO[SKU],TablaINVENTARIO[UBICACION])</f>
        <v>D5</v>
      </c>
      <c r="K520" s="34" t="str">
        <f>_xlfn.XLOOKUP(TablaSTOCKINV[[#This Row],[SKU]],TablaINVENTARIO[SKU],TablaINVENTARIO[DPTO RESPONSABLE])</f>
        <v xml:space="preserve">OPERACIONES / MANTENIMIENTO </v>
      </c>
      <c r="L520" s="36">
        <f>_xlfn.XLOOKUP(TablaSTOCKINV[[#This Row],[SKU]],TablaINVENTARIO[SKU],TablaINVENTARIO[RANGO MIN])</f>
        <v>0</v>
      </c>
      <c r="M520" s="34" cm="1">
        <f t="array" ref="M520">_xlfn.IFS(TablaSTOCKINV[[#This Row],[CANT. TOTAL]]&lt;=0,1,TablaSTOCKINV[[#This Row],[CANT. TOTAL]]&lt;=TablaSTOCKINV[[#This Row],[MIN]],2,TablaSTOCKINV[[#This Row],[CANT. TOTAL]]&gt;TablaSTOCKINV[[#This Row],[MIN]],3)</f>
        <v>3</v>
      </c>
      <c r="N520" s="34">
        <f>TablaSTOCKINV[[#This Row],[ENTRADAS]]-TablaSTOCKINV[[#This Row],[SALIDAS]]</f>
        <v>1</v>
      </c>
      <c r="O520" s="35">
        <f>SUMIFS(TablaENTRADA[CANT],TablaENTRADA[SKU],TablaSTOCKINV[[#This Row],[SKU]])</f>
        <v>1</v>
      </c>
      <c r="P520" s="35">
        <f>SUMIFS(TablaSALIDA[CANT],TablaSALIDA[SKU],TablaSTOCKINV[[#This Row],[SKU]])</f>
        <v>0</v>
      </c>
      <c r="Q520" s="34">
        <f>_xlfn.XLOOKUP(TablaSTOCKINV[[#This Row],[SKU]],TablaINVENTARIO[SKU],TablaINVENTARIO[PRECIO])</f>
        <v>0</v>
      </c>
      <c r="R520" s="34">
        <f>TablaSTOCKINV[[#This Row],[P.UNITARIO]]*TablaSTOCKINV[[#This Row],[CANT. TOTAL]]</f>
        <v>0</v>
      </c>
      <c r="S520" s="44">
        <f>_xlfn.XLOOKUP(TablaSTOCKINV[[#This Row],[SKU]],TablaINVENTARIO[SKU],TablaINVENTARIO[FECHA INGRESO])</f>
        <v>46023</v>
      </c>
      <c r="T520" s="44">
        <f>_xlfn.XLOOKUP(TablaSTOCKINV[[#This Row],[SKU]],TablaENTRADA[SKU],TablaENTRADA[FECHA],,0,-1)</f>
        <v>46023</v>
      </c>
      <c r="U520" s="46" t="str">
        <f>IFERROR((_xlfn.XLOOKUP(TablaSTOCKINV[[#This Row],[SKU]],TablaSALIDA[SKU],TablaSALIDA[FECHA],,0,-1))," " )</f>
        <v xml:space="preserve"> </v>
      </c>
    </row>
    <row r="521" spans="1:21" x14ac:dyDescent="0.3">
      <c r="A521" s="27" t="s">
        <v>2684</v>
      </c>
      <c r="B521" s="32" t="str">
        <f>_xlfn.XLOOKUP(TablaSTOCKINV[[#This Row],[SKU]],TablaINVENTARIO[SKU],TablaINVENTARIO[DESCRIPCION])</f>
        <v>ADAPTADOR DE CORERIENTE AC/DC MODELO: FJ-66#</v>
      </c>
      <c r="C521" s="32" t="str">
        <f>_xlfn.XLOOKUP(TablaSTOCKINV[[#This Row],[SKU]],TablaINVENTARIO[SKU],TablaINVENTARIO[MARCA])</f>
        <v>N/A</v>
      </c>
      <c r="D521" s="33" t="str">
        <f>_xlfn.XLOOKUP(TablaSTOCKINV[[#This Row],[SKU]],TablaINVENTARIO[SKU],TablaINVENTARIO[CATEGORIA])</f>
        <v>HERRAMIENTAS_</v>
      </c>
      <c r="E521" s="33" t="str">
        <f>_xlfn.XLOOKUP(TablaSTOCKINV[[#This Row],[SKU]],TablaINVENTARIO[SKU],TablaINVENTARIO[SUBCATEGORIA])</f>
        <v xml:space="preserve">MATERIAL ELECTRICO </v>
      </c>
      <c r="F521" s="33" t="str">
        <f>_xlfn.XLOOKUP(TablaSTOCKINV[[#This Row],[SKU]],TablaINVENTARIO[SKU],TablaINVENTARIO[ESTADO])</f>
        <v>DAÑADO</v>
      </c>
      <c r="G521" s="33" t="str">
        <f>_xlfn.XLOOKUP(TablaSTOCKINV[[#This Row],[SKU]],TablaINVENTARIO[SKU],TablaINVENTARIO[MEDIDA])</f>
        <v>UND</v>
      </c>
      <c r="H521" s="33" t="str">
        <f>_xlfn.XLOOKUP(TablaSTOCKINV[[#This Row],[SKU]],TablaINVENTARIO[SKU],TablaINVENTARIO[SERIAL])</f>
        <v>N/A</v>
      </c>
      <c r="I521" s="34" t="str">
        <f>_xlfn.XLOOKUP(TablaSTOCKINV[[#This Row],[SKU]],TablaINVENTARIO[SKU],TablaINVENTARIO[ALMACEN])</f>
        <v>ALMACEN PRINCIPAL</v>
      </c>
      <c r="J521" s="34" t="str">
        <f>_xlfn.XLOOKUP(TablaSTOCKINV[[#This Row],[SKU]],TablaINVENTARIO[SKU],TablaINVENTARIO[UBICACION])</f>
        <v>D2-2</v>
      </c>
      <c r="K521" s="34" t="str">
        <f>_xlfn.XLOOKUP(TablaSTOCKINV[[#This Row],[SKU]],TablaINVENTARIO[SKU],TablaINVENTARIO[DPTO RESPONSABLE])</f>
        <v>AIT</v>
      </c>
      <c r="L521" s="36">
        <f>_xlfn.XLOOKUP(TablaSTOCKINV[[#This Row],[SKU]],TablaINVENTARIO[SKU],TablaINVENTARIO[RANGO MIN])</f>
        <v>0</v>
      </c>
      <c r="M521" s="34" cm="1">
        <f t="array" ref="M521">_xlfn.IFS(TablaSTOCKINV[[#This Row],[CANT. TOTAL]]&lt;=0,1,TablaSTOCKINV[[#This Row],[CANT. TOTAL]]&lt;=TablaSTOCKINV[[#This Row],[MIN]],2,TablaSTOCKINV[[#This Row],[CANT. TOTAL]]&gt;TablaSTOCKINV[[#This Row],[MIN]],3)</f>
        <v>3</v>
      </c>
      <c r="N521" s="34">
        <f>TablaSTOCKINV[[#This Row],[ENTRADAS]]-TablaSTOCKINV[[#This Row],[SALIDAS]]</f>
        <v>1</v>
      </c>
      <c r="O521" s="35">
        <f>SUMIFS(TablaENTRADA[CANT],TablaENTRADA[SKU],TablaSTOCKINV[[#This Row],[SKU]])</f>
        <v>1</v>
      </c>
      <c r="P521" s="35">
        <f>SUMIFS(TablaSALIDA[CANT],TablaSALIDA[SKU],TablaSTOCKINV[[#This Row],[SKU]])</f>
        <v>0</v>
      </c>
      <c r="Q521" s="34">
        <f>_xlfn.XLOOKUP(TablaSTOCKINV[[#This Row],[SKU]],TablaINVENTARIO[SKU],TablaINVENTARIO[PRECIO])</f>
        <v>0</v>
      </c>
      <c r="R521" s="34">
        <f>TablaSTOCKINV[[#This Row],[P.UNITARIO]]*TablaSTOCKINV[[#This Row],[CANT. TOTAL]]</f>
        <v>0</v>
      </c>
      <c r="S521" s="44">
        <f>_xlfn.XLOOKUP(TablaSTOCKINV[[#This Row],[SKU]],TablaINVENTARIO[SKU],TablaINVENTARIO[FECHA INGRESO])</f>
        <v>46023</v>
      </c>
      <c r="T521" s="44">
        <f>_xlfn.XLOOKUP(TablaSTOCKINV[[#This Row],[SKU]],TablaENTRADA[SKU],TablaENTRADA[FECHA],,0,-1)</f>
        <v>46023</v>
      </c>
      <c r="U521" s="46" t="str">
        <f>IFERROR((_xlfn.XLOOKUP(TablaSTOCKINV[[#This Row],[SKU]],TablaSALIDA[SKU],TablaSALIDA[FECHA],,0,-1))," " )</f>
        <v xml:space="preserve"> </v>
      </c>
    </row>
    <row r="522" spans="1:21" x14ac:dyDescent="0.3">
      <c r="A522" s="27" t="s">
        <v>2687</v>
      </c>
      <c r="B522" s="32" t="str">
        <f>_xlfn.XLOOKUP(TablaSTOCKINV[[#This Row],[SKU]],TablaINVENTARIO[SKU],TablaINVENTARIO[DESCRIPCION])</f>
        <v xml:space="preserve">CABLE MARCADOR TIPO ANILLO </v>
      </c>
      <c r="C522" s="32" t="str">
        <f>_xlfn.XLOOKUP(TablaSTOCKINV[[#This Row],[SKU]],TablaINVENTARIO[SKU],TablaINVENTARIO[MARCA])</f>
        <v>N/A</v>
      </c>
      <c r="D522" s="33" t="str">
        <f>_xlfn.XLOOKUP(TablaSTOCKINV[[#This Row],[SKU]],TablaINVENTARIO[SKU],TablaINVENTARIO[CATEGORIA])</f>
        <v>HERRAMIENTAS_</v>
      </c>
      <c r="E522" s="33" t="str">
        <f>_xlfn.XLOOKUP(TablaSTOCKINV[[#This Row],[SKU]],TablaINVENTARIO[SKU],TablaINVENTARIO[SUBCATEGORIA])</f>
        <v xml:space="preserve">MATERIAL ELECTRICO </v>
      </c>
      <c r="F522" s="33" t="str">
        <f>_xlfn.XLOOKUP(TablaSTOCKINV[[#This Row],[SKU]],TablaINVENTARIO[SKU],TablaINVENTARIO[ESTADO])</f>
        <v xml:space="preserve">NUEVO </v>
      </c>
      <c r="G522" s="33" t="str">
        <f>_xlfn.XLOOKUP(TablaSTOCKINV[[#This Row],[SKU]],TablaINVENTARIO[SKU],TablaINVENTARIO[MEDIDA])</f>
        <v>UND</v>
      </c>
      <c r="H522" s="33" t="str">
        <f>_xlfn.XLOOKUP(TablaSTOCKINV[[#This Row],[SKU]],TablaINVENTARIO[SKU],TablaINVENTARIO[SERIAL])</f>
        <v>N/A</v>
      </c>
      <c r="I522" s="34" t="str">
        <f>_xlfn.XLOOKUP(TablaSTOCKINV[[#This Row],[SKU]],TablaINVENTARIO[SKU],TablaINVENTARIO[ALMACEN])</f>
        <v>ALMACEN PRINCIPAL</v>
      </c>
      <c r="J522" s="34" t="str">
        <f>_xlfn.XLOOKUP(TablaSTOCKINV[[#This Row],[SKU]],TablaINVENTARIO[SKU],TablaINVENTARIO[UBICACION])</f>
        <v>D2-3</v>
      </c>
      <c r="K522" s="34" t="str">
        <f>_xlfn.XLOOKUP(TablaSTOCKINV[[#This Row],[SKU]],TablaINVENTARIO[SKU],TablaINVENTARIO[DPTO RESPONSABLE])</f>
        <v>AIT</v>
      </c>
      <c r="L522" s="36">
        <f>_xlfn.XLOOKUP(TablaSTOCKINV[[#This Row],[SKU]],TablaINVENTARIO[SKU],TablaINVENTARIO[RANGO MIN])</f>
        <v>0</v>
      </c>
      <c r="M522" s="34" cm="1">
        <f t="array" ref="M522">_xlfn.IFS(TablaSTOCKINV[[#This Row],[CANT. TOTAL]]&lt;=0,1,TablaSTOCKINV[[#This Row],[CANT. TOTAL]]&lt;=TablaSTOCKINV[[#This Row],[MIN]],2,TablaSTOCKINV[[#This Row],[CANT. TOTAL]]&gt;TablaSTOCKINV[[#This Row],[MIN]],3)</f>
        <v>3</v>
      </c>
      <c r="N522" s="34">
        <f>TablaSTOCKINV[[#This Row],[ENTRADAS]]-TablaSTOCKINV[[#This Row],[SALIDAS]]</f>
        <v>665</v>
      </c>
      <c r="O522" s="35">
        <f>SUMIFS(TablaENTRADA[CANT],TablaENTRADA[SKU],TablaSTOCKINV[[#This Row],[SKU]])</f>
        <v>665</v>
      </c>
      <c r="P522" s="35">
        <f>SUMIFS(TablaSALIDA[CANT],TablaSALIDA[SKU],TablaSTOCKINV[[#This Row],[SKU]])</f>
        <v>0</v>
      </c>
      <c r="Q522" s="34">
        <f>_xlfn.XLOOKUP(TablaSTOCKINV[[#This Row],[SKU]],TablaINVENTARIO[SKU],TablaINVENTARIO[PRECIO])</f>
        <v>0</v>
      </c>
      <c r="R522" s="34">
        <f>TablaSTOCKINV[[#This Row],[P.UNITARIO]]*TablaSTOCKINV[[#This Row],[CANT. TOTAL]]</f>
        <v>0</v>
      </c>
      <c r="S522" s="44">
        <f>_xlfn.XLOOKUP(TablaSTOCKINV[[#This Row],[SKU]],TablaINVENTARIO[SKU],TablaINVENTARIO[FECHA INGRESO])</f>
        <v>46023</v>
      </c>
      <c r="T522" s="44">
        <f>_xlfn.XLOOKUP(TablaSTOCKINV[[#This Row],[SKU]],TablaENTRADA[SKU],TablaENTRADA[FECHA],,0,-1)</f>
        <v>46023</v>
      </c>
      <c r="U522" s="46" t="str">
        <f>IFERROR((_xlfn.XLOOKUP(TablaSTOCKINV[[#This Row],[SKU]],TablaSALIDA[SKU],TablaSALIDA[FECHA],,0,-1))," " )</f>
        <v xml:space="preserve"> </v>
      </c>
    </row>
    <row r="523" spans="1:21" x14ac:dyDescent="0.3">
      <c r="A523" s="27" t="s">
        <v>2689</v>
      </c>
      <c r="B523" s="32" t="str">
        <f>_xlfn.XLOOKUP(TablaSTOCKINV[[#This Row],[SKU]],TablaINVENTARIO[SKU],TablaINVENTARIO[DESCRIPCION])</f>
        <v xml:space="preserve">MANDARRIA DE BRONCE 8LB </v>
      </c>
      <c r="C523" s="32" t="str">
        <f>_xlfn.XLOOKUP(TablaSTOCKINV[[#This Row],[SKU]],TablaINVENTARIO[SKU],TablaINVENTARIO[MARCA])</f>
        <v>N/A</v>
      </c>
      <c r="D523" s="33" t="str">
        <f>_xlfn.XLOOKUP(TablaSTOCKINV[[#This Row],[SKU]],TablaINVENTARIO[SKU],TablaINVENTARIO[CATEGORIA])</f>
        <v>HERRAMIENTAS_</v>
      </c>
      <c r="E523" s="33" t="str">
        <f>_xlfn.XLOOKUP(TablaSTOCKINV[[#This Row],[SKU]],TablaINVENTARIO[SKU],TablaINVENTARIO[SUBCATEGORIA])</f>
        <v xml:space="preserve">HERRAMIENTA DE MANO </v>
      </c>
      <c r="F523" s="33" t="str">
        <f>_xlfn.XLOOKUP(TablaSTOCKINV[[#This Row],[SKU]],TablaINVENTARIO[SKU],TablaINVENTARIO[ESTADO])</f>
        <v>USADO</v>
      </c>
      <c r="G523" s="33" t="str">
        <f>_xlfn.XLOOKUP(TablaSTOCKINV[[#This Row],[SKU]],TablaINVENTARIO[SKU],TablaINVENTARIO[MEDIDA])</f>
        <v>UND</v>
      </c>
      <c r="H523" s="33" t="str">
        <f>_xlfn.XLOOKUP(TablaSTOCKINV[[#This Row],[SKU]],TablaINVENTARIO[SKU],TablaINVENTARIO[SERIAL])</f>
        <v>N/A</v>
      </c>
      <c r="I523" s="34" t="str">
        <f>_xlfn.XLOOKUP(TablaSTOCKINV[[#This Row],[SKU]],TablaINVENTARIO[SKU],TablaINVENTARIO[ALMACEN])</f>
        <v>ALMACEN PRINCIPAL</v>
      </c>
      <c r="J523" s="34" t="str">
        <f>_xlfn.XLOOKUP(TablaSTOCKINV[[#This Row],[SKU]],TablaINVENTARIO[SKU],TablaINVENTARIO[UBICACION])</f>
        <v>E5</v>
      </c>
      <c r="K523" s="34" t="str">
        <f>_xlfn.XLOOKUP(TablaSTOCKINV[[#This Row],[SKU]],TablaINVENTARIO[SKU],TablaINVENTARIO[DPTO RESPONSABLE])</f>
        <v xml:space="preserve">OPERACIONES </v>
      </c>
      <c r="L523" s="36">
        <f>_xlfn.XLOOKUP(TablaSTOCKINV[[#This Row],[SKU]],TablaINVENTARIO[SKU],TablaINVENTARIO[RANGO MIN])</f>
        <v>0</v>
      </c>
      <c r="M523" s="34" cm="1">
        <f t="array" ref="M523">_xlfn.IFS(TablaSTOCKINV[[#This Row],[CANT. TOTAL]]&lt;=0,1,TablaSTOCKINV[[#This Row],[CANT. TOTAL]]&lt;=TablaSTOCKINV[[#This Row],[MIN]],2,TablaSTOCKINV[[#This Row],[CANT. TOTAL]]&gt;TablaSTOCKINV[[#This Row],[MIN]],3)</f>
        <v>3</v>
      </c>
      <c r="N523" s="34">
        <f>TablaSTOCKINV[[#This Row],[ENTRADAS]]-TablaSTOCKINV[[#This Row],[SALIDAS]]</f>
        <v>2</v>
      </c>
      <c r="O523" s="35">
        <f>SUMIFS(TablaENTRADA[CANT],TablaENTRADA[SKU],TablaSTOCKINV[[#This Row],[SKU]])</f>
        <v>2</v>
      </c>
      <c r="P523" s="35">
        <f>SUMIFS(TablaSALIDA[CANT],TablaSALIDA[SKU],TablaSTOCKINV[[#This Row],[SKU]])</f>
        <v>0</v>
      </c>
      <c r="Q523" s="34">
        <f>_xlfn.XLOOKUP(TablaSTOCKINV[[#This Row],[SKU]],TablaINVENTARIO[SKU],TablaINVENTARIO[PRECIO])</f>
        <v>0</v>
      </c>
      <c r="R523" s="34">
        <f>TablaSTOCKINV[[#This Row],[P.UNITARIO]]*TablaSTOCKINV[[#This Row],[CANT. TOTAL]]</f>
        <v>0</v>
      </c>
      <c r="S523" s="44">
        <f>_xlfn.XLOOKUP(TablaSTOCKINV[[#This Row],[SKU]],TablaINVENTARIO[SKU],TablaINVENTARIO[FECHA INGRESO])</f>
        <v>46023</v>
      </c>
      <c r="T523" s="44">
        <f>_xlfn.XLOOKUP(TablaSTOCKINV[[#This Row],[SKU]],TablaENTRADA[SKU],TablaENTRADA[FECHA],,0,-1)</f>
        <v>46023</v>
      </c>
      <c r="U523" s="46" t="str">
        <f>IFERROR((_xlfn.XLOOKUP(TablaSTOCKINV[[#This Row],[SKU]],TablaSALIDA[SKU],TablaSALIDA[FECHA],,0,-1))," " )</f>
        <v xml:space="preserve"> </v>
      </c>
    </row>
    <row r="524" spans="1:21" x14ac:dyDescent="0.3">
      <c r="A524" s="27" t="s">
        <v>2692</v>
      </c>
      <c r="B524" s="32" t="str">
        <f>_xlfn.XLOOKUP(TablaSTOCKINV[[#This Row],[SKU]],TablaINVENTARIO[SKU],TablaINVENTARIO[DESCRIPCION])</f>
        <v>MANDARRIA DE BRONCE 4 LB</v>
      </c>
      <c r="C524" s="32" t="str">
        <f>_xlfn.XLOOKUP(TablaSTOCKINV[[#This Row],[SKU]],TablaINVENTARIO[SKU],TablaINVENTARIO[MARCA])</f>
        <v>N/A</v>
      </c>
      <c r="D524" s="33" t="str">
        <f>_xlfn.XLOOKUP(TablaSTOCKINV[[#This Row],[SKU]],TablaINVENTARIO[SKU],TablaINVENTARIO[CATEGORIA])</f>
        <v>HERRAMIENTAS_</v>
      </c>
      <c r="E524" s="33" t="str">
        <f>_xlfn.XLOOKUP(TablaSTOCKINV[[#This Row],[SKU]],TablaINVENTARIO[SKU],TablaINVENTARIO[SUBCATEGORIA])</f>
        <v xml:space="preserve">HERRAMIENTA DE MANO </v>
      </c>
      <c r="F524" s="33" t="str">
        <f>_xlfn.XLOOKUP(TablaSTOCKINV[[#This Row],[SKU]],TablaINVENTARIO[SKU],TablaINVENTARIO[ESTADO])</f>
        <v>USADO</v>
      </c>
      <c r="G524" s="33" t="str">
        <f>_xlfn.XLOOKUP(TablaSTOCKINV[[#This Row],[SKU]],TablaINVENTARIO[SKU],TablaINVENTARIO[MEDIDA])</f>
        <v>UND</v>
      </c>
      <c r="H524" s="33" t="str">
        <f>_xlfn.XLOOKUP(TablaSTOCKINV[[#This Row],[SKU]],TablaINVENTARIO[SKU],TablaINVENTARIO[SERIAL])</f>
        <v>N/A</v>
      </c>
      <c r="I524" s="34" t="str">
        <f>_xlfn.XLOOKUP(TablaSTOCKINV[[#This Row],[SKU]],TablaINVENTARIO[SKU],TablaINVENTARIO[ALMACEN])</f>
        <v>ALMACEN PRINCIPAL</v>
      </c>
      <c r="J524" s="34" t="str">
        <f>_xlfn.XLOOKUP(TablaSTOCKINV[[#This Row],[SKU]],TablaINVENTARIO[SKU],TablaINVENTARIO[UBICACION])</f>
        <v>E5</v>
      </c>
      <c r="K524" s="34" t="str">
        <f>_xlfn.XLOOKUP(TablaSTOCKINV[[#This Row],[SKU]],TablaINVENTARIO[SKU],TablaINVENTARIO[DPTO RESPONSABLE])</f>
        <v xml:space="preserve">OPERACIONES </v>
      </c>
      <c r="L524" s="36">
        <f>_xlfn.XLOOKUP(TablaSTOCKINV[[#This Row],[SKU]],TablaINVENTARIO[SKU],TablaINVENTARIO[RANGO MIN])</f>
        <v>0</v>
      </c>
      <c r="M524" s="34" cm="1">
        <f t="array" ref="M524">_xlfn.IFS(TablaSTOCKINV[[#This Row],[CANT. TOTAL]]&lt;=0,1,TablaSTOCKINV[[#This Row],[CANT. TOTAL]]&lt;=TablaSTOCKINV[[#This Row],[MIN]],2,TablaSTOCKINV[[#This Row],[CANT. TOTAL]]&gt;TablaSTOCKINV[[#This Row],[MIN]],3)</f>
        <v>3</v>
      </c>
      <c r="N524" s="34">
        <f>TablaSTOCKINV[[#This Row],[ENTRADAS]]-TablaSTOCKINV[[#This Row],[SALIDAS]]</f>
        <v>3</v>
      </c>
      <c r="O524" s="35">
        <f>SUMIFS(TablaENTRADA[CANT],TablaENTRADA[SKU],TablaSTOCKINV[[#This Row],[SKU]])</f>
        <v>3</v>
      </c>
      <c r="P524" s="35">
        <f>SUMIFS(TablaSALIDA[CANT],TablaSALIDA[SKU],TablaSTOCKINV[[#This Row],[SKU]])</f>
        <v>0</v>
      </c>
      <c r="Q524" s="34">
        <f>_xlfn.XLOOKUP(TablaSTOCKINV[[#This Row],[SKU]],TablaINVENTARIO[SKU],TablaINVENTARIO[PRECIO])</f>
        <v>0</v>
      </c>
      <c r="R524" s="34">
        <f>TablaSTOCKINV[[#This Row],[P.UNITARIO]]*TablaSTOCKINV[[#This Row],[CANT. TOTAL]]</f>
        <v>0</v>
      </c>
      <c r="S524" s="44">
        <f>_xlfn.XLOOKUP(TablaSTOCKINV[[#This Row],[SKU]],TablaINVENTARIO[SKU],TablaINVENTARIO[FECHA INGRESO])</f>
        <v>46023</v>
      </c>
      <c r="T524" s="44">
        <f>_xlfn.XLOOKUP(TablaSTOCKINV[[#This Row],[SKU]],TablaENTRADA[SKU],TablaENTRADA[FECHA],,0,-1)</f>
        <v>46023</v>
      </c>
      <c r="U524" s="46" t="str">
        <f>IFERROR((_xlfn.XLOOKUP(TablaSTOCKINV[[#This Row],[SKU]],TablaSALIDA[SKU],TablaSALIDA[FECHA],,0,-1))," " )</f>
        <v xml:space="preserve"> </v>
      </c>
    </row>
    <row r="525" spans="1:21" x14ac:dyDescent="0.3">
      <c r="A525" s="27" t="s">
        <v>2694</v>
      </c>
      <c r="B525" s="32" t="str">
        <f>_xlfn.XLOOKUP(TablaSTOCKINV[[#This Row],[SKU]],TablaINVENTARIO[SKU],TablaINVENTARIO[DESCRIPCION])</f>
        <v xml:space="preserve">ESLINGA 4" </v>
      </c>
      <c r="C525" s="32" t="str">
        <f>_xlfn.XLOOKUP(TablaSTOCKINV[[#This Row],[SKU]],TablaINVENTARIO[SKU],TablaINVENTARIO[MARCA])</f>
        <v>N/A</v>
      </c>
      <c r="D525" s="33" t="str">
        <f>_xlfn.XLOOKUP(TablaSTOCKINV[[#This Row],[SKU]],TablaINVENTARIO[SKU],TablaINVENTARIO[CATEGORIA])</f>
        <v>HERRAMIENTAS_</v>
      </c>
      <c r="E525" s="33" t="str">
        <f>_xlfn.XLOOKUP(TablaSTOCKINV[[#This Row],[SKU]],TablaINVENTARIO[SKU],TablaINVENTARIO[SUBCATEGORIA])</f>
        <v xml:space="preserve">HERRAMIENTA DE MANO </v>
      </c>
      <c r="F525" s="33" t="str">
        <f>_xlfn.XLOOKUP(TablaSTOCKINV[[#This Row],[SKU]],TablaINVENTARIO[SKU],TablaINVENTARIO[ESTADO])</f>
        <v>USADO</v>
      </c>
      <c r="G525" s="33" t="str">
        <f>_xlfn.XLOOKUP(TablaSTOCKINV[[#This Row],[SKU]],TablaINVENTARIO[SKU],TablaINVENTARIO[MEDIDA])</f>
        <v>UND</v>
      </c>
      <c r="H525" s="33" t="str">
        <f>_xlfn.XLOOKUP(TablaSTOCKINV[[#This Row],[SKU]],TablaINVENTARIO[SKU],TablaINVENTARIO[SERIAL])</f>
        <v>N/A</v>
      </c>
      <c r="I525" s="34" t="str">
        <f>_xlfn.XLOOKUP(TablaSTOCKINV[[#This Row],[SKU]],TablaINVENTARIO[SKU],TablaINVENTARIO[ALMACEN])</f>
        <v>ALMACEN PRINCIPAL</v>
      </c>
      <c r="J525" s="34" t="str">
        <f>_xlfn.XLOOKUP(TablaSTOCKINV[[#This Row],[SKU]],TablaINVENTARIO[SKU],TablaINVENTARIO[UBICACION])</f>
        <v>E4-1</v>
      </c>
      <c r="K525" s="34" t="str">
        <f>_xlfn.XLOOKUP(TablaSTOCKINV[[#This Row],[SKU]],TablaINVENTARIO[SKU],TablaINVENTARIO[DPTO RESPONSABLE])</f>
        <v xml:space="preserve">OPERACIONES / MANTENIMIENTO </v>
      </c>
      <c r="L525" s="36">
        <f>_xlfn.XLOOKUP(TablaSTOCKINV[[#This Row],[SKU]],TablaINVENTARIO[SKU],TablaINVENTARIO[RANGO MIN])</f>
        <v>0</v>
      </c>
      <c r="M525" s="34" cm="1">
        <f t="array" ref="M525">_xlfn.IFS(TablaSTOCKINV[[#This Row],[CANT. TOTAL]]&lt;=0,1,TablaSTOCKINV[[#This Row],[CANT. TOTAL]]&lt;=TablaSTOCKINV[[#This Row],[MIN]],2,TablaSTOCKINV[[#This Row],[CANT. TOTAL]]&gt;TablaSTOCKINV[[#This Row],[MIN]],3)</f>
        <v>3</v>
      </c>
      <c r="N525" s="34">
        <f>TablaSTOCKINV[[#This Row],[ENTRADAS]]-TablaSTOCKINV[[#This Row],[SALIDAS]]</f>
        <v>7</v>
      </c>
      <c r="O525" s="35">
        <f>SUMIFS(TablaENTRADA[CANT],TablaENTRADA[SKU],TablaSTOCKINV[[#This Row],[SKU]])</f>
        <v>7</v>
      </c>
      <c r="P525" s="35">
        <f>SUMIFS(TablaSALIDA[CANT],TablaSALIDA[SKU],TablaSTOCKINV[[#This Row],[SKU]])</f>
        <v>0</v>
      </c>
      <c r="Q525" s="34">
        <f>_xlfn.XLOOKUP(TablaSTOCKINV[[#This Row],[SKU]],TablaINVENTARIO[SKU],TablaINVENTARIO[PRECIO])</f>
        <v>0</v>
      </c>
      <c r="R525" s="34">
        <f>TablaSTOCKINV[[#This Row],[P.UNITARIO]]*TablaSTOCKINV[[#This Row],[CANT. TOTAL]]</f>
        <v>0</v>
      </c>
      <c r="S525" s="44">
        <f>_xlfn.XLOOKUP(TablaSTOCKINV[[#This Row],[SKU]],TablaINVENTARIO[SKU],TablaINVENTARIO[FECHA INGRESO])</f>
        <v>46023</v>
      </c>
      <c r="T525" s="44">
        <f>_xlfn.XLOOKUP(TablaSTOCKINV[[#This Row],[SKU]],TablaENTRADA[SKU],TablaENTRADA[FECHA],,0,-1)</f>
        <v>46023</v>
      </c>
      <c r="U525" s="46" t="str">
        <f>IFERROR((_xlfn.XLOOKUP(TablaSTOCKINV[[#This Row],[SKU]],TablaSALIDA[SKU],TablaSALIDA[FECHA],,0,-1))," " )</f>
        <v xml:space="preserve"> </v>
      </c>
    </row>
    <row r="526" spans="1:21" x14ac:dyDescent="0.3">
      <c r="A526" s="27" t="s">
        <v>2696</v>
      </c>
      <c r="B526" s="32" t="str">
        <f>_xlfn.XLOOKUP(TablaSTOCKINV[[#This Row],[SKU]],TablaINVENTARIO[SKU],TablaINVENTARIO[DESCRIPCION])</f>
        <v>ESLINGA 3"</v>
      </c>
      <c r="C526" s="32" t="str">
        <f>_xlfn.XLOOKUP(TablaSTOCKINV[[#This Row],[SKU]],TablaINVENTARIO[SKU],TablaINVENTARIO[MARCA])</f>
        <v>N/A</v>
      </c>
      <c r="D526" s="33" t="str">
        <f>_xlfn.XLOOKUP(TablaSTOCKINV[[#This Row],[SKU]],TablaINVENTARIO[SKU],TablaINVENTARIO[CATEGORIA])</f>
        <v>HERRAMIENTAS_</v>
      </c>
      <c r="E526" s="33" t="str">
        <f>_xlfn.XLOOKUP(TablaSTOCKINV[[#This Row],[SKU]],TablaINVENTARIO[SKU],TablaINVENTARIO[SUBCATEGORIA])</f>
        <v xml:space="preserve">HERRAMIENTA DE MANO </v>
      </c>
      <c r="F526" s="33" t="str">
        <f>_xlfn.XLOOKUP(TablaSTOCKINV[[#This Row],[SKU]],TablaINVENTARIO[SKU],TablaINVENTARIO[ESTADO])</f>
        <v>USADO</v>
      </c>
      <c r="G526" s="33" t="str">
        <f>_xlfn.XLOOKUP(TablaSTOCKINV[[#This Row],[SKU]],TablaINVENTARIO[SKU],TablaINVENTARIO[MEDIDA])</f>
        <v>UND</v>
      </c>
      <c r="H526" s="33" t="str">
        <f>_xlfn.XLOOKUP(TablaSTOCKINV[[#This Row],[SKU]],TablaINVENTARIO[SKU],TablaINVENTARIO[SERIAL])</f>
        <v>N/A</v>
      </c>
      <c r="I526" s="34" t="str">
        <f>_xlfn.XLOOKUP(TablaSTOCKINV[[#This Row],[SKU]],TablaINVENTARIO[SKU],TablaINVENTARIO[ALMACEN])</f>
        <v>ALMACEN PRINCIPAL</v>
      </c>
      <c r="J526" s="34" t="str">
        <f>_xlfn.XLOOKUP(TablaSTOCKINV[[#This Row],[SKU]],TablaINVENTARIO[SKU],TablaINVENTARIO[UBICACION])</f>
        <v>E4-1</v>
      </c>
      <c r="K526" s="34" t="str">
        <f>_xlfn.XLOOKUP(TablaSTOCKINV[[#This Row],[SKU]],TablaINVENTARIO[SKU],TablaINVENTARIO[DPTO RESPONSABLE])</f>
        <v xml:space="preserve">OPERACIONES / MANTENIMIENTO </v>
      </c>
      <c r="L526" s="36">
        <f>_xlfn.XLOOKUP(TablaSTOCKINV[[#This Row],[SKU]],TablaINVENTARIO[SKU],TablaINVENTARIO[RANGO MIN])</f>
        <v>0</v>
      </c>
      <c r="M526" s="34" cm="1">
        <f t="array" ref="M526">_xlfn.IFS(TablaSTOCKINV[[#This Row],[CANT. TOTAL]]&lt;=0,1,TablaSTOCKINV[[#This Row],[CANT. TOTAL]]&lt;=TablaSTOCKINV[[#This Row],[MIN]],2,TablaSTOCKINV[[#This Row],[CANT. TOTAL]]&gt;TablaSTOCKINV[[#This Row],[MIN]],3)</f>
        <v>3</v>
      </c>
      <c r="N526" s="34">
        <f>TablaSTOCKINV[[#This Row],[ENTRADAS]]-TablaSTOCKINV[[#This Row],[SALIDAS]]</f>
        <v>2</v>
      </c>
      <c r="O526" s="35">
        <f>SUMIFS(TablaENTRADA[CANT],TablaENTRADA[SKU],TablaSTOCKINV[[#This Row],[SKU]])</f>
        <v>2</v>
      </c>
      <c r="P526" s="35">
        <f>SUMIFS(TablaSALIDA[CANT],TablaSALIDA[SKU],TablaSTOCKINV[[#This Row],[SKU]])</f>
        <v>0</v>
      </c>
      <c r="Q526" s="34">
        <f>_xlfn.XLOOKUP(TablaSTOCKINV[[#This Row],[SKU]],TablaINVENTARIO[SKU],TablaINVENTARIO[PRECIO])</f>
        <v>0</v>
      </c>
      <c r="R526" s="34">
        <f>TablaSTOCKINV[[#This Row],[P.UNITARIO]]*TablaSTOCKINV[[#This Row],[CANT. TOTAL]]</f>
        <v>0</v>
      </c>
      <c r="S526" s="44">
        <f>_xlfn.XLOOKUP(TablaSTOCKINV[[#This Row],[SKU]],TablaINVENTARIO[SKU],TablaINVENTARIO[FECHA INGRESO])</f>
        <v>46023</v>
      </c>
      <c r="T526" s="44">
        <f>_xlfn.XLOOKUP(TablaSTOCKINV[[#This Row],[SKU]],TablaENTRADA[SKU],TablaENTRADA[FECHA],,0,-1)</f>
        <v>46023</v>
      </c>
      <c r="U526" s="46" t="str">
        <f>IFERROR((_xlfn.XLOOKUP(TablaSTOCKINV[[#This Row],[SKU]],TablaSALIDA[SKU],TablaSALIDA[FECHA],,0,-1))," " )</f>
        <v xml:space="preserve"> </v>
      </c>
    </row>
    <row r="527" spans="1:21" x14ac:dyDescent="0.3">
      <c r="A527" s="27" t="s">
        <v>2698</v>
      </c>
      <c r="B527" s="32" t="str">
        <f>_xlfn.XLOOKUP(TablaSTOCKINV[[#This Row],[SKU]],TablaINVENTARIO[SKU],TablaINVENTARIO[DESCRIPCION])</f>
        <v>ESLINGA 1"</v>
      </c>
      <c r="C527" s="32" t="str">
        <f>_xlfn.XLOOKUP(TablaSTOCKINV[[#This Row],[SKU]],TablaINVENTARIO[SKU],TablaINVENTARIO[MARCA])</f>
        <v>N/A</v>
      </c>
      <c r="D527" s="33" t="str">
        <f>_xlfn.XLOOKUP(TablaSTOCKINV[[#This Row],[SKU]],TablaINVENTARIO[SKU],TablaINVENTARIO[CATEGORIA])</f>
        <v>HERRAMIENTAS_</v>
      </c>
      <c r="E527" s="33" t="str">
        <f>_xlfn.XLOOKUP(TablaSTOCKINV[[#This Row],[SKU]],TablaINVENTARIO[SKU],TablaINVENTARIO[SUBCATEGORIA])</f>
        <v xml:space="preserve">HERRAMIENTA DE MANO </v>
      </c>
      <c r="F527" s="33" t="str">
        <f>_xlfn.XLOOKUP(TablaSTOCKINV[[#This Row],[SKU]],TablaINVENTARIO[SKU],TablaINVENTARIO[ESTADO])</f>
        <v>USADO</v>
      </c>
      <c r="G527" s="33" t="str">
        <f>_xlfn.XLOOKUP(TablaSTOCKINV[[#This Row],[SKU]],TablaINVENTARIO[SKU],TablaINVENTARIO[MEDIDA])</f>
        <v>UND</v>
      </c>
      <c r="H527" s="33" t="str">
        <f>_xlfn.XLOOKUP(TablaSTOCKINV[[#This Row],[SKU]],TablaINVENTARIO[SKU],TablaINVENTARIO[SERIAL])</f>
        <v>N/A</v>
      </c>
      <c r="I527" s="34" t="str">
        <f>_xlfn.XLOOKUP(TablaSTOCKINV[[#This Row],[SKU]],TablaINVENTARIO[SKU],TablaINVENTARIO[ALMACEN])</f>
        <v>ALMACEN PRINCIPAL</v>
      </c>
      <c r="J527" s="34" t="str">
        <f>_xlfn.XLOOKUP(TablaSTOCKINV[[#This Row],[SKU]],TablaINVENTARIO[SKU],TablaINVENTARIO[UBICACION])</f>
        <v>E4-1</v>
      </c>
      <c r="K527" s="34" t="str">
        <f>_xlfn.XLOOKUP(TablaSTOCKINV[[#This Row],[SKU]],TablaINVENTARIO[SKU],TablaINVENTARIO[DPTO RESPONSABLE])</f>
        <v xml:space="preserve">OPERACIONES / MANTENIMIENTO </v>
      </c>
      <c r="L527" s="36">
        <f>_xlfn.XLOOKUP(TablaSTOCKINV[[#This Row],[SKU]],TablaINVENTARIO[SKU],TablaINVENTARIO[RANGO MIN])</f>
        <v>0</v>
      </c>
      <c r="M527" s="34" cm="1">
        <f t="array" ref="M527">_xlfn.IFS(TablaSTOCKINV[[#This Row],[CANT. TOTAL]]&lt;=0,1,TablaSTOCKINV[[#This Row],[CANT. TOTAL]]&lt;=TablaSTOCKINV[[#This Row],[MIN]],2,TablaSTOCKINV[[#This Row],[CANT. TOTAL]]&gt;TablaSTOCKINV[[#This Row],[MIN]],3)</f>
        <v>3</v>
      </c>
      <c r="N527" s="34">
        <f>TablaSTOCKINV[[#This Row],[ENTRADAS]]-TablaSTOCKINV[[#This Row],[SALIDAS]]</f>
        <v>4</v>
      </c>
      <c r="O527" s="35">
        <f>SUMIFS(TablaENTRADA[CANT],TablaENTRADA[SKU],TablaSTOCKINV[[#This Row],[SKU]])</f>
        <v>4</v>
      </c>
      <c r="P527" s="35">
        <f>SUMIFS(TablaSALIDA[CANT],TablaSALIDA[SKU],TablaSTOCKINV[[#This Row],[SKU]])</f>
        <v>0</v>
      </c>
      <c r="Q527" s="34">
        <f>_xlfn.XLOOKUP(TablaSTOCKINV[[#This Row],[SKU]],TablaINVENTARIO[SKU],TablaINVENTARIO[PRECIO])</f>
        <v>0</v>
      </c>
      <c r="R527" s="34">
        <f>TablaSTOCKINV[[#This Row],[P.UNITARIO]]*TablaSTOCKINV[[#This Row],[CANT. TOTAL]]</f>
        <v>0</v>
      </c>
      <c r="S527" s="44">
        <f>_xlfn.XLOOKUP(TablaSTOCKINV[[#This Row],[SKU]],TablaINVENTARIO[SKU],TablaINVENTARIO[FECHA INGRESO])</f>
        <v>46023</v>
      </c>
      <c r="T527" s="44">
        <f>_xlfn.XLOOKUP(TablaSTOCKINV[[#This Row],[SKU]],TablaENTRADA[SKU],TablaENTRADA[FECHA],,0,-1)</f>
        <v>46023</v>
      </c>
      <c r="U527" s="46" t="str">
        <f>IFERROR((_xlfn.XLOOKUP(TablaSTOCKINV[[#This Row],[SKU]],TablaSALIDA[SKU],TablaSALIDA[FECHA],,0,-1))," " )</f>
        <v xml:space="preserve"> </v>
      </c>
    </row>
    <row r="528" spans="1:21" x14ac:dyDescent="0.3">
      <c r="A528" s="27" t="s">
        <v>2700</v>
      </c>
      <c r="B528" s="32" t="str">
        <f>_xlfn.XLOOKUP(TablaSTOCKINV[[#This Row],[SKU]],TablaINVENTARIO[SKU],TablaINVENTARIO[DESCRIPCION])</f>
        <v xml:space="preserve">ESLINGA 1" CON RATCHE </v>
      </c>
      <c r="C528" s="32" t="str">
        <f>_xlfn.XLOOKUP(TablaSTOCKINV[[#This Row],[SKU]],TablaINVENTARIO[SKU],TablaINVENTARIO[MARCA])</f>
        <v>N/A</v>
      </c>
      <c r="D528" s="33" t="str">
        <f>_xlfn.XLOOKUP(TablaSTOCKINV[[#This Row],[SKU]],TablaINVENTARIO[SKU],TablaINVENTARIO[CATEGORIA])</f>
        <v>HERRAMIENTAS_</v>
      </c>
      <c r="E528" s="33" t="str">
        <f>_xlfn.XLOOKUP(TablaSTOCKINV[[#This Row],[SKU]],TablaINVENTARIO[SKU],TablaINVENTARIO[SUBCATEGORIA])</f>
        <v xml:space="preserve">HERRAMIENTA DE MANO </v>
      </c>
      <c r="F528" s="33" t="str">
        <f>_xlfn.XLOOKUP(TablaSTOCKINV[[#This Row],[SKU]],TablaINVENTARIO[SKU],TablaINVENTARIO[ESTADO])</f>
        <v>USADO</v>
      </c>
      <c r="G528" s="33" t="str">
        <f>_xlfn.XLOOKUP(TablaSTOCKINV[[#This Row],[SKU]],TablaINVENTARIO[SKU],TablaINVENTARIO[MEDIDA])</f>
        <v>UND</v>
      </c>
      <c r="H528" s="33" t="str">
        <f>_xlfn.XLOOKUP(TablaSTOCKINV[[#This Row],[SKU]],TablaINVENTARIO[SKU],TablaINVENTARIO[SERIAL])</f>
        <v>N/A</v>
      </c>
      <c r="I528" s="34" t="str">
        <f>_xlfn.XLOOKUP(TablaSTOCKINV[[#This Row],[SKU]],TablaINVENTARIO[SKU],TablaINVENTARIO[ALMACEN])</f>
        <v>ALMACEN PRINCIPAL</v>
      </c>
      <c r="J528" s="34" t="str">
        <f>_xlfn.XLOOKUP(TablaSTOCKINV[[#This Row],[SKU]],TablaINVENTARIO[SKU],TablaINVENTARIO[UBICACION])</f>
        <v>E4-1</v>
      </c>
      <c r="K528" s="34" t="str">
        <f>_xlfn.XLOOKUP(TablaSTOCKINV[[#This Row],[SKU]],TablaINVENTARIO[SKU],TablaINVENTARIO[DPTO RESPONSABLE])</f>
        <v xml:space="preserve">OPERACIONES / MANTENIMIENTO </v>
      </c>
      <c r="L528" s="36">
        <f>_xlfn.XLOOKUP(TablaSTOCKINV[[#This Row],[SKU]],TablaINVENTARIO[SKU],TablaINVENTARIO[RANGO MIN])</f>
        <v>0</v>
      </c>
      <c r="M528" s="34" cm="1">
        <f t="array" ref="M528">_xlfn.IFS(TablaSTOCKINV[[#This Row],[CANT. TOTAL]]&lt;=0,1,TablaSTOCKINV[[#This Row],[CANT. TOTAL]]&lt;=TablaSTOCKINV[[#This Row],[MIN]],2,TablaSTOCKINV[[#This Row],[CANT. TOTAL]]&gt;TablaSTOCKINV[[#This Row],[MIN]],3)</f>
        <v>3</v>
      </c>
      <c r="N528" s="34">
        <f>TablaSTOCKINV[[#This Row],[ENTRADAS]]-TablaSTOCKINV[[#This Row],[SALIDAS]]</f>
        <v>4</v>
      </c>
      <c r="O528" s="35">
        <f>SUMIFS(TablaENTRADA[CANT],TablaENTRADA[SKU],TablaSTOCKINV[[#This Row],[SKU]])</f>
        <v>4</v>
      </c>
      <c r="P528" s="35">
        <f>SUMIFS(TablaSALIDA[CANT],TablaSALIDA[SKU],TablaSTOCKINV[[#This Row],[SKU]])</f>
        <v>0</v>
      </c>
      <c r="Q528" s="34">
        <f>_xlfn.XLOOKUP(TablaSTOCKINV[[#This Row],[SKU]],TablaINVENTARIO[SKU],TablaINVENTARIO[PRECIO])</f>
        <v>0</v>
      </c>
      <c r="R528" s="34">
        <f>TablaSTOCKINV[[#This Row],[P.UNITARIO]]*TablaSTOCKINV[[#This Row],[CANT. TOTAL]]</f>
        <v>0</v>
      </c>
      <c r="S528" s="44">
        <f>_xlfn.XLOOKUP(TablaSTOCKINV[[#This Row],[SKU]],TablaINVENTARIO[SKU],TablaINVENTARIO[FECHA INGRESO])</f>
        <v>46023</v>
      </c>
      <c r="T528" s="44">
        <f>_xlfn.XLOOKUP(TablaSTOCKINV[[#This Row],[SKU]],TablaENTRADA[SKU],TablaENTRADA[FECHA],,0,-1)</f>
        <v>46023</v>
      </c>
      <c r="U528" s="46" t="str">
        <f>IFERROR((_xlfn.XLOOKUP(TablaSTOCKINV[[#This Row],[SKU]],TablaSALIDA[SKU],TablaSALIDA[FECHA],,0,-1))," " )</f>
        <v xml:space="preserve"> </v>
      </c>
    </row>
    <row r="529" spans="1:21" x14ac:dyDescent="0.3">
      <c r="A529" s="27" t="s">
        <v>2702</v>
      </c>
      <c r="B529" s="32" t="str">
        <f>_xlfn.XLOOKUP(TablaSTOCKINV[[#This Row],[SKU]],TablaINVENTARIO[SKU],TablaINVENTARIO[DESCRIPCION])</f>
        <v>RATCHE 4"</v>
      </c>
      <c r="C529" s="32" t="str">
        <f>_xlfn.XLOOKUP(TablaSTOCKINV[[#This Row],[SKU]],TablaINVENTARIO[SKU],TablaINVENTARIO[MARCA])</f>
        <v>N/A</v>
      </c>
      <c r="D529" s="33" t="str">
        <f>_xlfn.XLOOKUP(TablaSTOCKINV[[#This Row],[SKU]],TablaINVENTARIO[SKU],TablaINVENTARIO[CATEGORIA])</f>
        <v>HERRAMIENTAS_</v>
      </c>
      <c r="E529" s="33" t="str">
        <f>_xlfn.XLOOKUP(TablaSTOCKINV[[#This Row],[SKU]],TablaINVENTARIO[SKU],TablaINVENTARIO[SUBCATEGORIA])</f>
        <v xml:space="preserve">HERRAMIENTA DE MANO </v>
      </c>
      <c r="F529" s="33" t="str">
        <f>_xlfn.XLOOKUP(TablaSTOCKINV[[#This Row],[SKU]],TablaINVENTARIO[SKU],TablaINVENTARIO[ESTADO])</f>
        <v>USADO</v>
      </c>
      <c r="G529" s="33" t="str">
        <f>_xlfn.XLOOKUP(TablaSTOCKINV[[#This Row],[SKU]],TablaINVENTARIO[SKU],TablaINVENTARIO[MEDIDA])</f>
        <v>UND</v>
      </c>
      <c r="H529" s="33" t="str">
        <f>_xlfn.XLOOKUP(TablaSTOCKINV[[#This Row],[SKU]],TablaINVENTARIO[SKU],TablaINVENTARIO[SERIAL])</f>
        <v>N/A</v>
      </c>
      <c r="I529" s="34" t="str">
        <f>_xlfn.XLOOKUP(TablaSTOCKINV[[#This Row],[SKU]],TablaINVENTARIO[SKU],TablaINVENTARIO[ALMACEN])</f>
        <v>ALMACEN PRINCIPAL</v>
      </c>
      <c r="J529" s="34" t="str">
        <f>_xlfn.XLOOKUP(TablaSTOCKINV[[#This Row],[SKU]],TablaINVENTARIO[SKU],TablaINVENTARIO[UBICACION])</f>
        <v>E4-1</v>
      </c>
      <c r="K529" s="34" t="str">
        <f>_xlfn.XLOOKUP(TablaSTOCKINV[[#This Row],[SKU]],TablaINVENTARIO[SKU],TablaINVENTARIO[DPTO RESPONSABLE])</f>
        <v xml:space="preserve">OPERACIONES / MANTENIMIENTO </v>
      </c>
      <c r="L529" s="36">
        <f>_xlfn.XLOOKUP(TablaSTOCKINV[[#This Row],[SKU]],TablaINVENTARIO[SKU],TablaINVENTARIO[RANGO MIN])</f>
        <v>0</v>
      </c>
      <c r="M529" s="34" cm="1">
        <f t="array" ref="M529">_xlfn.IFS(TablaSTOCKINV[[#This Row],[CANT. TOTAL]]&lt;=0,1,TablaSTOCKINV[[#This Row],[CANT. TOTAL]]&lt;=TablaSTOCKINV[[#This Row],[MIN]],2,TablaSTOCKINV[[#This Row],[CANT. TOTAL]]&gt;TablaSTOCKINV[[#This Row],[MIN]],3)</f>
        <v>3</v>
      </c>
      <c r="N529" s="34">
        <f>TablaSTOCKINV[[#This Row],[ENTRADAS]]-TablaSTOCKINV[[#This Row],[SALIDAS]]</f>
        <v>8</v>
      </c>
      <c r="O529" s="35">
        <f>SUMIFS(TablaENTRADA[CANT],TablaENTRADA[SKU],TablaSTOCKINV[[#This Row],[SKU]])</f>
        <v>8</v>
      </c>
      <c r="P529" s="35">
        <f>SUMIFS(TablaSALIDA[CANT],TablaSALIDA[SKU],TablaSTOCKINV[[#This Row],[SKU]])</f>
        <v>0</v>
      </c>
      <c r="Q529" s="34">
        <f>_xlfn.XLOOKUP(TablaSTOCKINV[[#This Row],[SKU]],TablaINVENTARIO[SKU],TablaINVENTARIO[PRECIO])</f>
        <v>0</v>
      </c>
      <c r="R529" s="34">
        <f>TablaSTOCKINV[[#This Row],[P.UNITARIO]]*TablaSTOCKINV[[#This Row],[CANT. TOTAL]]</f>
        <v>0</v>
      </c>
      <c r="S529" s="44">
        <f>_xlfn.XLOOKUP(TablaSTOCKINV[[#This Row],[SKU]],TablaINVENTARIO[SKU],TablaINVENTARIO[FECHA INGRESO])</f>
        <v>46023</v>
      </c>
      <c r="T529" s="44">
        <f>_xlfn.XLOOKUP(TablaSTOCKINV[[#This Row],[SKU]],TablaENTRADA[SKU],TablaENTRADA[FECHA],,0,-1)</f>
        <v>46023</v>
      </c>
      <c r="U529" s="46" t="str">
        <f>IFERROR((_xlfn.XLOOKUP(TablaSTOCKINV[[#This Row],[SKU]],TablaSALIDA[SKU],TablaSALIDA[FECHA],,0,-1))," " )</f>
        <v xml:space="preserve"> </v>
      </c>
    </row>
    <row r="530" spans="1:21" x14ac:dyDescent="0.3">
      <c r="A530" s="27" t="s">
        <v>2704</v>
      </c>
      <c r="B530" s="32" t="str">
        <f>_xlfn.XLOOKUP(TablaSTOCKINV[[#This Row],[SKU]],TablaINVENTARIO[SKU],TablaINVENTARIO[DESCRIPCION])</f>
        <v>RATCHE 3"</v>
      </c>
      <c r="C530" s="32" t="str">
        <f>_xlfn.XLOOKUP(TablaSTOCKINV[[#This Row],[SKU]],TablaINVENTARIO[SKU],TablaINVENTARIO[MARCA])</f>
        <v>N/A</v>
      </c>
      <c r="D530" s="33" t="str">
        <f>_xlfn.XLOOKUP(TablaSTOCKINV[[#This Row],[SKU]],TablaINVENTARIO[SKU],TablaINVENTARIO[CATEGORIA])</f>
        <v>HERRAMIENTAS_</v>
      </c>
      <c r="E530" s="33" t="str">
        <f>_xlfn.XLOOKUP(TablaSTOCKINV[[#This Row],[SKU]],TablaINVENTARIO[SKU],TablaINVENTARIO[SUBCATEGORIA])</f>
        <v xml:space="preserve">HERRAMIENTA DE MANO </v>
      </c>
      <c r="F530" s="33" t="str">
        <f>_xlfn.XLOOKUP(TablaSTOCKINV[[#This Row],[SKU]],TablaINVENTARIO[SKU],TablaINVENTARIO[ESTADO])</f>
        <v>USADO</v>
      </c>
      <c r="G530" s="33" t="str">
        <f>_xlfn.XLOOKUP(TablaSTOCKINV[[#This Row],[SKU]],TablaINVENTARIO[SKU],TablaINVENTARIO[MEDIDA])</f>
        <v>UND</v>
      </c>
      <c r="H530" s="33" t="str">
        <f>_xlfn.XLOOKUP(TablaSTOCKINV[[#This Row],[SKU]],TablaINVENTARIO[SKU],TablaINVENTARIO[SERIAL])</f>
        <v>N/A</v>
      </c>
      <c r="I530" s="34" t="str">
        <f>_xlfn.XLOOKUP(TablaSTOCKINV[[#This Row],[SKU]],TablaINVENTARIO[SKU],TablaINVENTARIO[ALMACEN])</f>
        <v>ALMACEN PRINCIPAL</v>
      </c>
      <c r="J530" s="34" t="str">
        <f>_xlfn.XLOOKUP(TablaSTOCKINV[[#This Row],[SKU]],TablaINVENTARIO[SKU],TablaINVENTARIO[UBICACION])</f>
        <v>E4-1</v>
      </c>
      <c r="K530" s="34" t="str">
        <f>_xlfn.XLOOKUP(TablaSTOCKINV[[#This Row],[SKU]],TablaINVENTARIO[SKU],TablaINVENTARIO[DPTO RESPONSABLE])</f>
        <v xml:space="preserve">OPERACIONES / MANTENIMIENTO </v>
      </c>
      <c r="L530" s="36">
        <f>_xlfn.XLOOKUP(TablaSTOCKINV[[#This Row],[SKU]],TablaINVENTARIO[SKU],TablaINVENTARIO[RANGO MIN])</f>
        <v>0</v>
      </c>
      <c r="M530" s="34" cm="1">
        <f t="array" ref="M530">_xlfn.IFS(TablaSTOCKINV[[#This Row],[CANT. TOTAL]]&lt;=0,1,TablaSTOCKINV[[#This Row],[CANT. TOTAL]]&lt;=TablaSTOCKINV[[#This Row],[MIN]],2,TablaSTOCKINV[[#This Row],[CANT. TOTAL]]&gt;TablaSTOCKINV[[#This Row],[MIN]],3)</f>
        <v>3</v>
      </c>
      <c r="N530" s="34">
        <f>TablaSTOCKINV[[#This Row],[ENTRADAS]]-TablaSTOCKINV[[#This Row],[SALIDAS]]</f>
        <v>2</v>
      </c>
      <c r="O530" s="35">
        <f>SUMIFS(TablaENTRADA[CANT],TablaENTRADA[SKU],TablaSTOCKINV[[#This Row],[SKU]])</f>
        <v>2</v>
      </c>
      <c r="P530" s="35">
        <f>SUMIFS(TablaSALIDA[CANT],TablaSALIDA[SKU],TablaSTOCKINV[[#This Row],[SKU]])</f>
        <v>0</v>
      </c>
      <c r="Q530" s="34">
        <f>_xlfn.XLOOKUP(TablaSTOCKINV[[#This Row],[SKU]],TablaINVENTARIO[SKU],TablaINVENTARIO[PRECIO])</f>
        <v>0</v>
      </c>
      <c r="R530" s="34">
        <f>TablaSTOCKINV[[#This Row],[P.UNITARIO]]*TablaSTOCKINV[[#This Row],[CANT. TOTAL]]</f>
        <v>0</v>
      </c>
      <c r="S530" s="44">
        <f>_xlfn.XLOOKUP(TablaSTOCKINV[[#This Row],[SKU]],TablaINVENTARIO[SKU],TablaINVENTARIO[FECHA INGRESO])</f>
        <v>46023</v>
      </c>
      <c r="T530" s="44">
        <f>_xlfn.XLOOKUP(TablaSTOCKINV[[#This Row],[SKU]],TablaENTRADA[SKU],TablaENTRADA[FECHA],,0,-1)</f>
        <v>46023</v>
      </c>
      <c r="U530" s="46" t="str">
        <f>IFERROR((_xlfn.XLOOKUP(TablaSTOCKINV[[#This Row],[SKU]],TablaSALIDA[SKU],TablaSALIDA[FECHA],,0,-1))," " )</f>
        <v xml:space="preserve"> </v>
      </c>
    </row>
    <row r="531" spans="1:21" x14ac:dyDescent="0.3">
      <c r="A531" s="27" t="s">
        <v>2706</v>
      </c>
      <c r="B531" s="32" t="str">
        <f>_xlfn.XLOOKUP(TablaSTOCKINV[[#This Row],[SKU]],TablaINVENTARIO[SKU],TablaINVENTARIO[DESCRIPCION])</f>
        <v>RATCHE 2"</v>
      </c>
      <c r="C531" s="32" t="str">
        <f>_xlfn.XLOOKUP(TablaSTOCKINV[[#This Row],[SKU]],TablaINVENTARIO[SKU],TablaINVENTARIO[MARCA])</f>
        <v>N/A</v>
      </c>
      <c r="D531" s="33" t="str">
        <f>_xlfn.XLOOKUP(TablaSTOCKINV[[#This Row],[SKU]],TablaINVENTARIO[SKU],TablaINVENTARIO[CATEGORIA])</f>
        <v>HERRAMIENTAS_</v>
      </c>
      <c r="E531" s="33" t="str">
        <f>_xlfn.XLOOKUP(TablaSTOCKINV[[#This Row],[SKU]],TablaINVENTARIO[SKU],TablaINVENTARIO[SUBCATEGORIA])</f>
        <v xml:space="preserve">HERRAMIENTA DE MANO </v>
      </c>
      <c r="F531" s="33" t="str">
        <f>_xlfn.XLOOKUP(TablaSTOCKINV[[#This Row],[SKU]],TablaINVENTARIO[SKU],TablaINVENTARIO[ESTADO])</f>
        <v>USADO</v>
      </c>
      <c r="G531" s="33" t="str">
        <f>_xlfn.XLOOKUP(TablaSTOCKINV[[#This Row],[SKU]],TablaINVENTARIO[SKU],TablaINVENTARIO[MEDIDA])</f>
        <v>UND</v>
      </c>
      <c r="H531" s="33" t="str">
        <f>_xlfn.XLOOKUP(TablaSTOCKINV[[#This Row],[SKU]],TablaINVENTARIO[SKU],TablaINVENTARIO[SERIAL])</f>
        <v>N/A</v>
      </c>
      <c r="I531" s="34" t="str">
        <f>_xlfn.XLOOKUP(TablaSTOCKINV[[#This Row],[SKU]],TablaINVENTARIO[SKU],TablaINVENTARIO[ALMACEN])</f>
        <v>ALMACEN PRINCIPAL</v>
      </c>
      <c r="J531" s="34" t="str">
        <f>_xlfn.XLOOKUP(TablaSTOCKINV[[#This Row],[SKU]],TablaINVENTARIO[SKU],TablaINVENTARIO[UBICACION])</f>
        <v>E4-1</v>
      </c>
      <c r="K531" s="34" t="str">
        <f>_xlfn.XLOOKUP(TablaSTOCKINV[[#This Row],[SKU]],TablaINVENTARIO[SKU],TablaINVENTARIO[DPTO RESPONSABLE])</f>
        <v xml:space="preserve">OPERACIONES / MANTENIMIENTO </v>
      </c>
      <c r="L531" s="36">
        <f>_xlfn.XLOOKUP(TablaSTOCKINV[[#This Row],[SKU]],TablaINVENTARIO[SKU],TablaINVENTARIO[RANGO MIN])</f>
        <v>0</v>
      </c>
      <c r="M531" s="34" cm="1">
        <f t="array" ref="M531">_xlfn.IFS(TablaSTOCKINV[[#This Row],[CANT. TOTAL]]&lt;=0,1,TablaSTOCKINV[[#This Row],[CANT. TOTAL]]&lt;=TablaSTOCKINV[[#This Row],[MIN]],2,TablaSTOCKINV[[#This Row],[CANT. TOTAL]]&gt;TablaSTOCKINV[[#This Row],[MIN]],3)</f>
        <v>3</v>
      </c>
      <c r="N531" s="34">
        <f>TablaSTOCKINV[[#This Row],[ENTRADAS]]-TablaSTOCKINV[[#This Row],[SALIDAS]]</f>
        <v>4</v>
      </c>
      <c r="O531" s="35">
        <f>SUMIFS(TablaENTRADA[CANT],TablaENTRADA[SKU],TablaSTOCKINV[[#This Row],[SKU]])</f>
        <v>4</v>
      </c>
      <c r="P531" s="35">
        <f>SUMIFS(TablaSALIDA[CANT],TablaSALIDA[SKU],TablaSTOCKINV[[#This Row],[SKU]])</f>
        <v>0</v>
      </c>
      <c r="Q531" s="34">
        <f>_xlfn.XLOOKUP(TablaSTOCKINV[[#This Row],[SKU]],TablaINVENTARIO[SKU],TablaINVENTARIO[PRECIO])</f>
        <v>0</v>
      </c>
      <c r="R531" s="34">
        <f>TablaSTOCKINV[[#This Row],[P.UNITARIO]]*TablaSTOCKINV[[#This Row],[CANT. TOTAL]]</f>
        <v>0</v>
      </c>
      <c r="S531" s="44">
        <f>_xlfn.XLOOKUP(TablaSTOCKINV[[#This Row],[SKU]],TablaINVENTARIO[SKU],TablaINVENTARIO[FECHA INGRESO])</f>
        <v>46023</v>
      </c>
      <c r="T531" s="44">
        <f>_xlfn.XLOOKUP(TablaSTOCKINV[[#This Row],[SKU]],TablaENTRADA[SKU],TablaENTRADA[FECHA],,0,-1)</f>
        <v>46023</v>
      </c>
      <c r="U531" s="46" t="str">
        <f>IFERROR((_xlfn.XLOOKUP(TablaSTOCKINV[[#This Row],[SKU]],TablaSALIDA[SKU],TablaSALIDA[FECHA],,0,-1))," " )</f>
        <v xml:space="preserve"> </v>
      </c>
    </row>
    <row r="532" spans="1:21" x14ac:dyDescent="0.3">
      <c r="A532" s="27" t="s">
        <v>2708</v>
      </c>
      <c r="B532" s="32" t="str">
        <f>_xlfn.XLOOKUP(TablaSTOCKINV[[#This Row],[SKU]],TablaINVENTARIO[SKU],TablaINVENTARIO[DESCRIPCION])</f>
        <v>RATCHE 1"</v>
      </c>
      <c r="C532" s="32" t="str">
        <f>_xlfn.XLOOKUP(TablaSTOCKINV[[#This Row],[SKU]],TablaINVENTARIO[SKU],TablaINVENTARIO[MARCA])</f>
        <v>N/A</v>
      </c>
      <c r="D532" s="33" t="str">
        <f>_xlfn.XLOOKUP(TablaSTOCKINV[[#This Row],[SKU]],TablaINVENTARIO[SKU],TablaINVENTARIO[CATEGORIA])</f>
        <v>HERRAMIENTAS_</v>
      </c>
      <c r="E532" s="33" t="str">
        <f>_xlfn.XLOOKUP(TablaSTOCKINV[[#This Row],[SKU]],TablaINVENTARIO[SKU],TablaINVENTARIO[SUBCATEGORIA])</f>
        <v xml:space="preserve">HERRAMIENTA DE MANO </v>
      </c>
      <c r="F532" s="33" t="str">
        <f>_xlfn.XLOOKUP(TablaSTOCKINV[[#This Row],[SKU]],TablaINVENTARIO[SKU],TablaINVENTARIO[ESTADO])</f>
        <v>USADO</v>
      </c>
      <c r="G532" s="33" t="str">
        <f>_xlfn.XLOOKUP(TablaSTOCKINV[[#This Row],[SKU]],TablaINVENTARIO[SKU],TablaINVENTARIO[MEDIDA])</f>
        <v>UND</v>
      </c>
      <c r="H532" s="33" t="str">
        <f>_xlfn.XLOOKUP(TablaSTOCKINV[[#This Row],[SKU]],TablaINVENTARIO[SKU],TablaINVENTARIO[SERIAL])</f>
        <v>N/A</v>
      </c>
      <c r="I532" s="34" t="str">
        <f>_xlfn.XLOOKUP(TablaSTOCKINV[[#This Row],[SKU]],TablaINVENTARIO[SKU],TablaINVENTARIO[ALMACEN])</f>
        <v>ALMACEN PRINCIPAL</v>
      </c>
      <c r="J532" s="34" t="str">
        <f>_xlfn.XLOOKUP(TablaSTOCKINV[[#This Row],[SKU]],TablaINVENTARIO[SKU],TablaINVENTARIO[UBICACION])</f>
        <v>E4-1</v>
      </c>
      <c r="K532" s="34" t="str">
        <f>_xlfn.XLOOKUP(TablaSTOCKINV[[#This Row],[SKU]],TablaINVENTARIO[SKU],TablaINVENTARIO[DPTO RESPONSABLE])</f>
        <v xml:space="preserve">OPERACIONES / MANTENIMIENTO </v>
      </c>
      <c r="L532" s="36">
        <f>_xlfn.XLOOKUP(TablaSTOCKINV[[#This Row],[SKU]],TablaINVENTARIO[SKU],TablaINVENTARIO[RANGO MIN])</f>
        <v>0</v>
      </c>
      <c r="M532" s="34" cm="1">
        <f t="array" ref="M532">_xlfn.IFS(TablaSTOCKINV[[#This Row],[CANT. TOTAL]]&lt;=0,1,TablaSTOCKINV[[#This Row],[CANT. TOTAL]]&lt;=TablaSTOCKINV[[#This Row],[MIN]],2,TablaSTOCKINV[[#This Row],[CANT. TOTAL]]&gt;TablaSTOCKINV[[#This Row],[MIN]],3)</f>
        <v>3</v>
      </c>
      <c r="N532" s="34">
        <f>TablaSTOCKINV[[#This Row],[ENTRADAS]]-TablaSTOCKINV[[#This Row],[SALIDAS]]</f>
        <v>2</v>
      </c>
      <c r="O532" s="35">
        <f>SUMIFS(TablaENTRADA[CANT],TablaENTRADA[SKU],TablaSTOCKINV[[#This Row],[SKU]])</f>
        <v>2</v>
      </c>
      <c r="P532" s="35">
        <f>SUMIFS(TablaSALIDA[CANT],TablaSALIDA[SKU],TablaSTOCKINV[[#This Row],[SKU]])</f>
        <v>0</v>
      </c>
      <c r="Q532" s="34">
        <f>_xlfn.XLOOKUP(TablaSTOCKINV[[#This Row],[SKU]],TablaINVENTARIO[SKU],TablaINVENTARIO[PRECIO])</f>
        <v>0</v>
      </c>
      <c r="R532" s="34">
        <f>TablaSTOCKINV[[#This Row],[P.UNITARIO]]*TablaSTOCKINV[[#This Row],[CANT. TOTAL]]</f>
        <v>0</v>
      </c>
      <c r="S532" s="44">
        <f>_xlfn.XLOOKUP(TablaSTOCKINV[[#This Row],[SKU]],TablaINVENTARIO[SKU],TablaINVENTARIO[FECHA INGRESO])</f>
        <v>46023</v>
      </c>
      <c r="T532" s="44">
        <f>_xlfn.XLOOKUP(TablaSTOCKINV[[#This Row],[SKU]],TablaENTRADA[SKU],TablaENTRADA[FECHA],,0,-1)</f>
        <v>46023</v>
      </c>
      <c r="U532" s="46" t="str">
        <f>IFERROR((_xlfn.XLOOKUP(TablaSTOCKINV[[#This Row],[SKU]],TablaSALIDA[SKU],TablaSALIDA[FECHA],,0,-1))," " )</f>
        <v xml:space="preserve"> </v>
      </c>
    </row>
    <row r="533" spans="1:21" x14ac:dyDescent="0.3">
      <c r="A533" s="27" t="s">
        <v>2710</v>
      </c>
      <c r="B533" s="32" t="str">
        <f>_xlfn.XLOOKUP(TablaSTOCKINV[[#This Row],[SKU]],TablaINVENTARIO[SKU],TablaINVENTARIO[DESCRIPCION])</f>
        <v>LLAVE COMBINADA 37MM</v>
      </c>
      <c r="C533" s="32" t="str">
        <f>_xlfn.XLOOKUP(TablaSTOCKINV[[#This Row],[SKU]],TablaINVENTARIO[SKU],TablaINVENTARIO[MARCA])</f>
        <v>URREA</v>
      </c>
      <c r="D533" s="33" t="str">
        <f>_xlfn.XLOOKUP(TablaSTOCKINV[[#This Row],[SKU]],TablaINVENTARIO[SKU],TablaINVENTARIO[CATEGORIA])</f>
        <v>HERRAMIENTAS_</v>
      </c>
      <c r="E533" s="33" t="str">
        <f>_xlfn.XLOOKUP(TablaSTOCKINV[[#This Row],[SKU]],TablaINVENTARIO[SKU],TablaINVENTARIO[SUBCATEGORIA])</f>
        <v xml:space="preserve">HERRAMIENTA DE MANO </v>
      </c>
      <c r="F533" s="33" t="str">
        <f>_xlfn.XLOOKUP(TablaSTOCKINV[[#This Row],[SKU]],TablaINVENTARIO[SKU],TablaINVENTARIO[ESTADO])</f>
        <v>USADO</v>
      </c>
      <c r="G533" s="33" t="str">
        <f>_xlfn.XLOOKUP(TablaSTOCKINV[[#This Row],[SKU]],TablaINVENTARIO[SKU],TablaINVENTARIO[MEDIDA])</f>
        <v>UND</v>
      </c>
      <c r="H533" s="33" t="str">
        <f>_xlfn.XLOOKUP(TablaSTOCKINV[[#This Row],[SKU]],TablaINVENTARIO[SKU],TablaINVENTARIO[SERIAL])</f>
        <v>N/A</v>
      </c>
      <c r="I533" s="34" t="str">
        <f>_xlfn.XLOOKUP(TablaSTOCKINV[[#This Row],[SKU]],TablaINVENTARIO[SKU],TablaINVENTARIO[ALMACEN])</f>
        <v>ALMACEN PRINCIPAL</v>
      </c>
      <c r="J533" s="34" t="str">
        <f>_xlfn.XLOOKUP(TablaSTOCKINV[[#This Row],[SKU]],TablaINVENTARIO[SKU],TablaINVENTARIO[UBICACION])</f>
        <v>E4-2</v>
      </c>
      <c r="K533" s="34" t="str">
        <f>_xlfn.XLOOKUP(TablaSTOCKINV[[#This Row],[SKU]],TablaINVENTARIO[SKU],TablaINVENTARIO[DPTO RESPONSABLE])</f>
        <v xml:space="preserve">OPERACIONES / MANTENIMIENTO </v>
      </c>
      <c r="L533" s="36">
        <f>_xlfn.XLOOKUP(TablaSTOCKINV[[#This Row],[SKU]],TablaINVENTARIO[SKU],TablaINVENTARIO[RANGO MIN])</f>
        <v>0</v>
      </c>
      <c r="M533" s="34" cm="1">
        <f t="array" ref="M533">_xlfn.IFS(TablaSTOCKINV[[#This Row],[CANT. TOTAL]]&lt;=0,1,TablaSTOCKINV[[#This Row],[CANT. TOTAL]]&lt;=TablaSTOCKINV[[#This Row],[MIN]],2,TablaSTOCKINV[[#This Row],[CANT. TOTAL]]&gt;TablaSTOCKINV[[#This Row],[MIN]],3)</f>
        <v>3</v>
      </c>
      <c r="N533" s="34">
        <f>TablaSTOCKINV[[#This Row],[ENTRADAS]]-TablaSTOCKINV[[#This Row],[SALIDAS]]</f>
        <v>1</v>
      </c>
      <c r="O533" s="35">
        <f>SUMIFS(TablaENTRADA[CANT],TablaENTRADA[SKU],TablaSTOCKINV[[#This Row],[SKU]])</f>
        <v>1</v>
      </c>
      <c r="P533" s="35">
        <f>SUMIFS(TablaSALIDA[CANT],TablaSALIDA[SKU],TablaSTOCKINV[[#This Row],[SKU]])</f>
        <v>0</v>
      </c>
      <c r="Q533" s="34">
        <f>_xlfn.XLOOKUP(TablaSTOCKINV[[#This Row],[SKU]],TablaINVENTARIO[SKU],TablaINVENTARIO[PRECIO])</f>
        <v>0</v>
      </c>
      <c r="R533" s="34">
        <f>TablaSTOCKINV[[#This Row],[P.UNITARIO]]*TablaSTOCKINV[[#This Row],[CANT. TOTAL]]</f>
        <v>0</v>
      </c>
      <c r="S533" s="44">
        <f>_xlfn.XLOOKUP(TablaSTOCKINV[[#This Row],[SKU]],TablaINVENTARIO[SKU],TablaINVENTARIO[FECHA INGRESO])</f>
        <v>46023</v>
      </c>
      <c r="T533" s="44">
        <f>_xlfn.XLOOKUP(TablaSTOCKINV[[#This Row],[SKU]],TablaENTRADA[SKU],TablaENTRADA[FECHA],,0,-1)</f>
        <v>46023</v>
      </c>
      <c r="U533" s="46" t="str">
        <f>IFERROR((_xlfn.XLOOKUP(TablaSTOCKINV[[#This Row],[SKU]],TablaSALIDA[SKU],TablaSALIDA[FECHA],,0,-1))," " )</f>
        <v xml:space="preserve"> </v>
      </c>
    </row>
    <row r="534" spans="1:21" x14ac:dyDescent="0.3">
      <c r="A534" s="27" t="s">
        <v>2714</v>
      </c>
      <c r="B534" s="32" t="str">
        <f>_xlfn.XLOOKUP(TablaSTOCKINV[[#This Row],[SKU]],TablaINVENTARIO[SKU],TablaINVENTARIO[DESCRIPCION])</f>
        <v>LLAVE COMBINADA 32MM</v>
      </c>
      <c r="C534" s="32" t="str">
        <f>_xlfn.XLOOKUP(TablaSTOCKINV[[#This Row],[SKU]],TablaINVENTARIO[SKU],TablaINVENTARIO[MARCA])</f>
        <v>STANLEY</v>
      </c>
      <c r="D534" s="33" t="str">
        <f>_xlfn.XLOOKUP(TablaSTOCKINV[[#This Row],[SKU]],TablaINVENTARIO[SKU],TablaINVENTARIO[CATEGORIA])</f>
        <v>HERRAMIENTAS_</v>
      </c>
      <c r="E534" s="33" t="str">
        <f>_xlfn.XLOOKUP(TablaSTOCKINV[[#This Row],[SKU]],TablaINVENTARIO[SKU],TablaINVENTARIO[SUBCATEGORIA])</f>
        <v xml:space="preserve">HERRAMIENTA DE MANO </v>
      </c>
      <c r="F534" s="33" t="str">
        <f>_xlfn.XLOOKUP(TablaSTOCKINV[[#This Row],[SKU]],TablaINVENTARIO[SKU],TablaINVENTARIO[ESTADO])</f>
        <v>USADO</v>
      </c>
      <c r="G534" s="33" t="str">
        <f>_xlfn.XLOOKUP(TablaSTOCKINV[[#This Row],[SKU]],TablaINVENTARIO[SKU],TablaINVENTARIO[MEDIDA])</f>
        <v>UND</v>
      </c>
      <c r="H534" s="33" t="str">
        <f>_xlfn.XLOOKUP(TablaSTOCKINV[[#This Row],[SKU]],TablaINVENTARIO[SKU],TablaINVENTARIO[SERIAL])</f>
        <v>N/A</v>
      </c>
      <c r="I534" s="34" t="str">
        <f>_xlfn.XLOOKUP(TablaSTOCKINV[[#This Row],[SKU]],TablaINVENTARIO[SKU],TablaINVENTARIO[ALMACEN])</f>
        <v>ALMACEN PRINCIPAL</v>
      </c>
      <c r="J534" s="34" t="str">
        <f>_xlfn.XLOOKUP(TablaSTOCKINV[[#This Row],[SKU]],TablaINVENTARIO[SKU],TablaINVENTARIO[UBICACION])</f>
        <v>E4-2</v>
      </c>
      <c r="K534" s="34" t="str">
        <f>_xlfn.XLOOKUP(TablaSTOCKINV[[#This Row],[SKU]],TablaINVENTARIO[SKU],TablaINVENTARIO[DPTO RESPONSABLE])</f>
        <v xml:space="preserve">OPERACIONES / MANTENIMIENTO </v>
      </c>
      <c r="L534" s="36">
        <f>_xlfn.XLOOKUP(TablaSTOCKINV[[#This Row],[SKU]],TablaINVENTARIO[SKU],TablaINVENTARIO[RANGO MIN])</f>
        <v>0</v>
      </c>
      <c r="M534" s="34" cm="1">
        <f t="array" ref="M534">_xlfn.IFS(TablaSTOCKINV[[#This Row],[CANT. TOTAL]]&lt;=0,1,TablaSTOCKINV[[#This Row],[CANT. TOTAL]]&lt;=TablaSTOCKINV[[#This Row],[MIN]],2,TablaSTOCKINV[[#This Row],[CANT. TOTAL]]&gt;TablaSTOCKINV[[#This Row],[MIN]],3)</f>
        <v>3</v>
      </c>
      <c r="N534" s="34">
        <f>TablaSTOCKINV[[#This Row],[ENTRADAS]]-TablaSTOCKINV[[#This Row],[SALIDAS]]</f>
        <v>1</v>
      </c>
      <c r="O534" s="35">
        <f>SUMIFS(TablaENTRADA[CANT],TablaENTRADA[SKU],TablaSTOCKINV[[#This Row],[SKU]])</f>
        <v>1</v>
      </c>
      <c r="P534" s="35">
        <f>SUMIFS(TablaSALIDA[CANT],TablaSALIDA[SKU],TablaSTOCKINV[[#This Row],[SKU]])</f>
        <v>0</v>
      </c>
      <c r="Q534" s="34">
        <f>_xlfn.XLOOKUP(TablaSTOCKINV[[#This Row],[SKU]],TablaINVENTARIO[SKU],TablaINVENTARIO[PRECIO])</f>
        <v>0</v>
      </c>
      <c r="R534" s="34">
        <f>TablaSTOCKINV[[#This Row],[P.UNITARIO]]*TablaSTOCKINV[[#This Row],[CANT. TOTAL]]</f>
        <v>0</v>
      </c>
      <c r="S534" s="44">
        <f>_xlfn.XLOOKUP(TablaSTOCKINV[[#This Row],[SKU]],TablaINVENTARIO[SKU],TablaINVENTARIO[FECHA INGRESO])</f>
        <v>46023</v>
      </c>
      <c r="T534" s="44">
        <f>_xlfn.XLOOKUP(TablaSTOCKINV[[#This Row],[SKU]],TablaENTRADA[SKU],TablaENTRADA[FECHA],,0,-1)</f>
        <v>46023</v>
      </c>
      <c r="U534" s="46" t="str">
        <f>IFERROR((_xlfn.XLOOKUP(TablaSTOCKINV[[#This Row],[SKU]],TablaSALIDA[SKU],TablaSALIDA[FECHA],,0,-1))," " )</f>
        <v xml:space="preserve"> </v>
      </c>
    </row>
    <row r="535" spans="1:21" x14ac:dyDescent="0.3">
      <c r="A535" s="27" t="s">
        <v>2716</v>
      </c>
      <c r="B535" s="32" t="str">
        <f>_xlfn.XLOOKUP(TablaSTOCKINV[[#This Row],[SKU]],TablaINVENTARIO[SKU],TablaINVENTARIO[DESCRIPCION])</f>
        <v>LLAVE COMBINADA 30MM</v>
      </c>
      <c r="C535" s="32" t="str">
        <f>_xlfn.XLOOKUP(TablaSTOCKINV[[#This Row],[SKU]],TablaINVENTARIO[SKU],TablaINVENTARIO[MARCA])</f>
        <v>STANLEY</v>
      </c>
      <c r="D535" s="33" t="str">
        <f>_xlfn.XLOOKUP(TablaSTOCKINV[[#This Row],[SKU]],TablaINVENTARIO[SKU],TablaINVENTARIO[CATEGORIA])</f>
        <v>HERRAMIENTAS_</v>
      </c>
      <c r="E535" s="33" t="str">
        <f>_xlfn.XLOOKUP(TablaSTOCKINV[[#This Row],[SKU]],TablaINVENTARIO[SKU],TablaINVENTARIO[SUBCATEGORIA])</f>
        <v xml:space="preserve">HERRAMIENTA DE MANO </v>
      </c>
      <c r="F535" s="33" t="str">
        <f>_xlfn.XLOOKUP(TablaSTOCKINV[[#This Row],[SKU]],TablaINVENTARIO[SKU],TablaINVENTARIO[ESTADO])</f>
        <v>USADO</v>
      </c>
      <c r="G535" s="33" t="str">
        <f>_xlfn.XLOOKUP(TablaSTOCKINV[[#This Row],[SKU]],TablaINVENTARIO[SKU],TablaINVENTARIO[MEDIDA])</f>
        <v>UND</v>
      </c>
      <c r="H535" s="33" t="str">
        <f>_xlfn.XLOOKUP(TablaSTOCKINV[[#This Row],[SKU]],TablaINVENTARIO[SKU],TablaINVENTARIO[SERIAL])</f>
        <v>N/A</v>
      </c>
      <c r="I535" s="34" t="str">
        <f>_xlfn.XLOOKUP(TablaSTOCKINV[[#This Row],[SKU]],TablaINVENTARIO[SKU],TablaINVENTARIO[ALMACEN])</f>
        <v>ALMACEN PRINCIPAL</v>
      </c>
      <c r="J535" s="34" t="str">
        <f>_xlfn.XLOOKUP(TablaSTOCKINV[[#This Row],[SKU]],TablaINVENTARIO[SKU],TablaINVENTARIO[UBICACION])</f>
        <v>E4-2</v>
      </c>
      <c r="K535" s="34" t="str">
        <f>_xlfn.XLOOKUP(TablaSTOCKINV[[#This Row],[SKU]],TablaINVENTARIO[SKU],TablaINVENTARIO[DPTO RESPONSABLE])</f>
        <v xml:space="preserve">OPERACIONES / MANTENIMIENTO </v>
      </c>
      <c r="L535" s="36">
        <f>_xlfn.XLOOKUP(TablaSTOCKINV[[#This Row],[SKU]],TablaINVENTARIO[SKU],TablaINVENTARIO[RANGO MIN])</f>
        <v>0</v>
      </c>
      <c r="M535" s="34" cm="1">
        <f t="array" ref="M535">_xlfn.IFS(TablaSTOCKINV[[#This Row],[CANT. TOTAL]]&lt;=0,1,TablaSTOCKINV[[#This Row],[CANT. TOTAL]]&lt;=TablaSTOCKINV[[#This Row],[MIN]],2,TablaSTOCKINV[[#This Row],[CANT. TOTAL]]&gt;TablaSTOCKINV[[#This Row],[MIN]],3)</f>
        <v>3</v>
      </c>
      <c r="N535" s="34">
        <f>TablaSTOCKINV[[#This Row],[ENTRADAS]]-TablaSTOCKINV[[#This Row],[SALIDAS]]</f>
        <v>1</v>
      </c>
      <c r="O535" s="35">
        <f>SUMIFS(TablaENTRADA[CANT],TablaENTRADA[SKU],TablaSTOCKINV[[#This Row],[SKU]])</f>
        <v>1</v>
      </c>
      <c r="P535" s="35">
        <f>SUMIFS(TablaSALIDA[CANT],TablaSALIDA[SKU],TablaSTOCKINV[[#This Row],[SKU]])</f>
        <v>0</v>
      </c>
      <c r="Q535" s="34">
        <f>_xlfn.XLOOKUP(TablaSTOCKINV[[#This Row],[SKU]],TablaINVENTARIO[SKU],TablaINVENTARIO[PRECIO])</f>
        <v>0</v>
      </c>
      <c r="R535" s="34">
        <f>TablaSTOCKINV[[#This Row],[P.UNITARIO]]*TablaSTOCKINV[[#This Row],[CANT. TOTAL]]</f>
        <v>0</v>
      </c>
      <c r="S535" s="44">
        <f>_xlfn.XLOOKUP(TablaSTOCKINV[[#This Row],[SKU]],TablaINVENTARIO[SKU],TablaINVENTARIO[FECHA INGRESO])</f>
        <v>46023</v>
      </c>
      <c r="T535" s="44">
        <f>_xlfn.XLOOKUP(TablaSTOCKINV[[#This Row],[SKU]],TablaENTRADA[SKU],TablaENTRADA[FECHA],,0,-1)</f>
        <v>46023</v>
      </c>
      <c r="U535" s="46" t="str">
        <f>IFERROR((_xlfn.XLOOKUP(TablaSTOCKINV[[#This Row],[SKU]],TablaSALIDA[SKU],TablaSALIDA[FECHA],,0,-1))," " )</f>
        <v xml:space="preserve"> </v>
      </c>
    </row>
    <row r="536" spans="1:21" x14ac:dyDescent="0.3">
      <c r="A536" s="27" t="s">
        <v>2718</v>
      </c>
      <c r="B536" s="32" t="str">
        <f>_xlfn.XLOOKUP(TablaSTOCKINV[[#This Row],[SKU]],TablaINVENTARIO[SKU],TablaINVENTARIO[DESCRIPCION])</f>
        <v>LLAVE COMBINADA 1-1/8"</v>
      </c>
      <c r="C536" s="32" t="str">
        <f>_xlfn.XLOOKUP(TablaSTOCKINV[[#This Row],[SKU]],TablaINVENTARIO[SKU],TablaINVENTARIO[MARCA])</f>
        <v>STANLEY</v>
      </c>
      <c r="D536" s="33" t="str">
        <f>_xlfn.XLOOKUP(TablaSTOCKINV[[#This Row],[SKU]],TablaINVENTARIO[SKU],TablaINVENTARIO[CATEGORIA])</f>
        <v>HERRAMIENTAS_</v>
      </c>
      <c r="E536" s="33" t="str">
        <f>_xlfn.XLOOKUP(TablaSTOCKINV[[#This Row],[SKU]],TablaINVENTARIO[SKU],TablaINVENTARIO[SUBCATEGORIA])</f>
        <v xml:space="preserve">HERRAMIENTA DE MANO </v>
      </c>
      <c r="F536" s="33" t="str">
        <f>_xlfn.XLOOKUP(TablaSTOCKINV[[#This Row],[SKU]],TablaINVENTARIO[SKU],TablaINVENTARIO[ESTADO])</f>
        <v>USADO</v>
      </c>
      <c r="G536" s="33" t="str">
        <f>_xlfn.XLOOKUP(TablaSTOCKINV[[#This Row],[SKU]],TablaINVENTARIO[SKU],TablaINVENTARIO[MEDIDA])</f>
        <v>UND</v>
      </c>
      <c r="H536" s="33" t="str">
        <f>_xlfn.XLOOKUP(TablaSTOCKINV[[#This Row],[SKU]],TablaINVENTARIO[SKU],TablaINVENTARIO[SERIAL])</f>
        <v>N/A</v>
      </c>
      <c r="I536" s="34" t="str">
        <f>_xlfn.XLOOKUP(TablaSTOCKINV[[#This Row],[SKU]],TablaINVENTARIO[SKU],TablaINVENTARIO[ALMACEN])</f>
        <v>ALMACEN PRINCIPAL</v>
      </c>
      <c r="J536" s="34" t="str">
        <f>_xlfn.XLOOKUP(TablaSTOCKINV[[#This Row],[SKU]],TablaINVENTARIO[SKU],TablaINVENTARIO[UBICACION])</f>
        <v>E4-2</v>
      </c>
      <c r="K536" s="34" t="str">
        <f>_xlfn.XLOOKUP(TablaSTOCKINV[[#This Row],[SKU]],TablaINVENTARIO[SKU],TablaINVENTARIO[DPTO RESPONSABLE])</f>
        <v xml:space="preserve">OPERACIONES / MANTENIMIENTO </v>
      </c>
      <c r="L536" s="36">
        <f>_xlfn.XLOOKUP(TablaSTOCKINV[[#This Row],[SKU]],TablaINVENTARIO[SKU],TablaINVENTARIO[RANGO MIN])</f>
        <v>0</v>
      </c>
      <c r="M536" s="34" cm="1">
        <f t="array" ref="M536">_xlfn.IFS(TablaSTOCKINV[[#This Row],[CANT. TOTAL]]&lt;=0,1,TablaSTOCKINV[[#This Row],[CANT. TOTAL]]&lt;=TablaSTOCKINV[[#This Row],[MIN]],2,TablaSTOCKINV[[#This Row],[CANT. TOTAL]]&gt;TablaSTOCKINV[[#This Row],[MIN]],3)</f>
        <v>3</v>
      </c>
      <c r="N536" s="34">
        <f>TablaSTOCKINV[[#This Row],[ENTRADAS]]-TablaSTOCKINV[[#This Row],[SALIDAS]]</f>
        <v>6</v>
      </c>
      <c r="O536" s="35">
        <f>SUMIFS(TablaENTRADA[CANT],TablaENTRADA[SKU],TablaSTOCKINV[[#This Row],[SKU]])</f>
        <v>6</v>
      </c>
      <c r="P536" s="35">
        <f>SUMIFS(TablaSALIDA[CANT],TablaSALIDA[SKU],TablaSTOCKINV[[#This Row],[SKU]])</f>
        <v>0</v>
      </c>
      <c r="Q536" s="34">
        <f>_xlfn.XLOOKUP(TablaSTOCKINV[[#This Row],[SKU]],TablaINVENTARIO[SKU],TablaINVENTARIO[PRECIO])</f>
        <v>0</v>
      </c>
      <c r="R536" s="34">
        <f>TablaSTOCKINV[[#This Row],[P.UNITARIO]]*TablaSTOCKINV[[#This Row],[CANT. TOTAL]]</f>
        <v>0</v>
      </c>
      <c r="S536" s="44">
        <f>_xlfn.XLOOKUP(TablaSTOCKINV[[#This Row],[SKU]],TablaINVENTARIO[SKU],TablaINVENTARIO[FECHA INGRESO])</f>
        <v>46023</v>
      </c>
      <c r="T536" s="44">
        <f>_xlfn.XLOOKUP(TablaSTOCKINV[[#This Row],[SKU]],TablaENTRADA[SKU],TablaENTRADA[FECHA],,0,-1)</f>
        <v>46023</v>
      </c>
      <c r="U536" s="46" t="str">
        <f>IFERROR((_xlfn.XLOOKUP(TablaSTOCKINV[[#This Row],[SKU]],TablaSALIDA[SKU],TablaSALIDA[FECHA],,0,-1))," " )</f>
        <v xml:space="preserve"> </v>
      </c>
    </row>
    <row r="537" spans="1:21" x14ac:dyDescent="0.3">
      <c r="A537" s="27" t="s">
        <v>2720</v>
      </c>
      <c r="B537" s="32" t="str">
        <f>_xlfn.XLOOKUP(TablaSTOCKINV[[#This Row],[SKU]],TablaINVENTARIO[SKU],TablaINVENTARIO[DESCRIPCION])</f>
        <v>LLAVE AJUSTABLE 12"</v>
      </c>
      <c r="C537" s="32" t="str">
        <f>_xlfn.XLOOKUP(TablaSTOCKINV[[#This Row],[SKU]],TablaINVENTARIO[SKU],TablaINVENTARIO[MARCA])</f>
        <v>STANLEY</v>
      </c>
      <c r="D537" s="33" t="str">
        <f>_xlfn.XLOOKUP(TablaSTOCKINV[[#This Row],[SKU]],TablaINVENTARIO[SKU],TablaINVENTARIO[CATEGORIA])</f>
        <v>HERRAMIENTAS_</v>
      </c>
      <c r="E537" s="33" t="str">
        <f>_xlfn.XLOOKUP(TablaSTOCKINV[[#This Row],[SKU]],TablaINVENTARIO[SKU],TablaINVENTARIO[SUBCATEGORIA])</f>
        <v xml:space="preserve">HERRAMIENTA DE MANO </v>
      </c>
      <c r="F537" s="33" t="str">
        <f>_xlfn.XLOOKUP(TablaSTOCKINV[[#This Row],[SKU]],TablaINVENTARIO[SKU],TablaINVENTARIO[ESTADO])</f>
        <v>USADO</v>
      </c>
      <c r="G537" s="33" t="str">
        <f>_xlfn.XLOOKUP(TablaSTOCKINV[[#This Row],[SKU]],TablaINVENTARIO[SKU],TablaINVENTARIO[MEDIDA])</f>
        <v>UND</v>
      </c>
      <c r="H537" s="33" t="str">
        <f>_xlfn.XLOOKUP(TablaSTOCKINV[[#This Row],[SKU]],TablaINVENTARIO[SKU],TablaINVENTARIO[SERIAL])</f>
        <v>N/A</v>
      </c>
      <c r="I537" s="34" t="str">
        <f>_xlfn.XLOOKUP(TablaSTOCKINV[[#This Row],[SKU]],TablaINVENTARIO[SKU],TablaINVENTARIO[ALMACEN])</f>
        <v>ALMACEN PRINCIPAL</v>
      </c>
      <c r="J537" s="34" t="str">
        <f>_xlfn.XLOOKUP(TablaSTOCKINV[[#This Row],[SKU]],TablaINVENTARIO[SKU],TablaINVENTARIO[UBICACION])</f>
        <v>E4-2</v>
      </c>
      <c r="K537" s="34" t="str">
        <f>_xlfn.XLOOKUP(TablaSTOCKINV[[#This Row],[SKU]],TablaINVENTARIO[SKU],TablaINVENTARIO[DPTO RESPONSABLE])</f>
        <v xml:space="preserve">OPERACIONES / MANTENIMIENTO </v>
      </c>
      <c r="L537" s="36">
        <f>_xlfn.XLOOKUP(TablaSTOCKINV[[#This Row],[SKU]],TablaINVENTARIO[SKU],TablaINVENTARIO[RANGO MIN])</f>
        <v>0</v>
      </c>
      <c r="M537" s="34" cm="1">
        <f t="array" ref="M537">_xlfn.IFS(TablaSTOCKINV[[#This Row],[CANT. TOTAL]]&lt;=0,1,TablaSTOCKINV[[#This Row],[CANT. TOTAL]]&lt;=TablaSTOCKINV[[#This Row],[MIN]],2,TablaSTOCKINV[[#This Row],[CANT. TOTAL]]&gt;TablaSTOCKINV[[#This Row],[MIN]],3)</f>
        <v>3</v>
      </c>
      <c r="N537" s="34">
        <f>TablaSTOCKINV[[#This Row],[ENTRADAS]]-TablaSTOCKINV[[#This Row],[SALIDAS]]</f>
        <v>1</v>
      </c>
      <c r="O537" s="35">
        <f>SUMIFS(TablaENTRADA[CANT],TablaENTRADA[SKU],TablaSTOCKINV[[#This Row],[SKU]])</f>
        <v>1</v>
      </c>
      <c r="P537" s="35">
        <f>SUMIFS(TablaSALIDA[CANT],TablaSALIDA[SKU],TablaSTOCKINV[[#This Row],[SKU]])</f>
        <v>0</v>
      </c>
      <c r="Q537" s="34">
        <f>_xlfn.XLOOKUP(TablaSTOCKINV[[#This Row],[SKU]],TablaINVENTARIO[SKU],TablaINVENTARIO[PRECIO])</f>
        <v>0</v>
      </c>
      <c r="R537" s="34">
        <f>TablaSTOCKINV[[#This Row],[P.UNITARIO]]*TablaSTOCKINV[[#This Row],[CANT. TOTAL]]</f>
        <v>0</v>
      </c>
      <c r="S537" s="44">
        <f>_xlfn.XLOOKUP(TablaSTOCKINV[[#This Row],[SKU]],TablaINVENTARIO[SKU],TablaINVENTARIO[FECHA INGRESO])</f>
        <v>46023</v>
      </c>
      <c r="T537" s="44">
        <f>_xlfn.XLOOKUP(TablaSTOCKINV[[#This Row],[SKU]],TablaENTRADA[SKU],TablaENTRADA[FECHA],,0,-1)</f>
        <v>46023</v>
      </c>
      <c r="U537" s="46" t="str">
        <f>IFERROR((_xlfn.XLOOKUP(TablaSTOCKINV[[#This Row],[SKU]],TablaSALIDA[SKU],TablaSALIDA[FECHA],,0,-1))," " )</f>
        <v xml:space="preserve"> </v>
      </c>
    </row>
    <row r="538" spans="1:21" x14ac:dyDescent="0.3">
      <c r="A538" s="27" t="s">
        <v>2722</v>
      </c>
      <c r="B538" s="32" t="str">
        <f>_xlfn.XLOOKUP(TablaSTOCKINV[[#This Row],[SKU]],TablaINVENTARIO[SKU],TablaINVENTARIO[DESCRIPCION])</f>
        <v>LLAVE COMBINADA 1"</v>
      </c>
      <c r="C538" s="32" t="str">
        <f>_xlfn.XLOOKUP(TablaSTOCKINV[[#This Row],[SKU]],TablaINVENTARIO[SKU],TablaINVENTARIO[MARCA])</f>
        <v>STANLEY</v>
      </c>
      <c r="D538" s="33" t="str">
        <f>_xlfn.XLOOKUP(TablaSTOCKINV[[#This Row],[SKU]],TablaINVENTARIO[SKU],TablaINVENTARIO[CATEGORIA])</f>
        <v>HERRAMIENTAS_</v>
      </c>
      <c r="E538" s="33" t="str">
        <f>_xlfn.XLOOKUP(TablaSTOCKINV[[#This Row],[SKU]],TablaINVENTARIO[SKU],TablaINVENTARIO[SUBCATEGORIA])</f>
        <v xml:space="preserve">HERRAMIENTA DE MANO </v>
      </c>
      <c r="F538" s="33" t="str">
        <f>_xlfn.XLOOKUP(TablaSTOCKINV[[#This Row],[SKU]],TablaINVENTARIO[SKU],TablaINVENTARIO[ESTADO])</f>
        <v>USADO</v>
      </c>
      <c r="G538" s="33" t="str">
        <f>_xlfn.XLOOKUP(TablaSTOCKINV[[#This Row],[SKU]],TablaINVENTARIO[SKU],TablaINVENTARIO[MEDIDA])</f>
        <v>UND</v>
      </c>
      <c r="H538" s="33" t="str">
        <f>_xlfn.XLOOKUP(TablaSTOCKINV[[#This Row],[SKU]],TablaINVENTARIO[SKU],TablaINVENTARIO[SERIAL])</f>
        <v>N/A</v>
      </c>
      <c r="I538" s="34" t="str">
        <f>_xlfn.XLOOKUP(TablaSTOCKINV[[#This Row],[SKU]],TablaINVENTARIO[SKU],TablaINVENTARIO[ALMACEN])</f>
        <v>ALMACEN PRINCIPAL</v>
      </c>
      <c r="J538" s="34" t="str">
        <f>_xlfn.XLOOKUP(TablaSTOCKINV[[#This Row],[SKU]],TablaINVENTARIO[SKU],TablaINVENTARIO[UBICACION])</f>
        <v>E4-2</v>
      </c>
      <c r="K538" s="34" t="str">
        <f>_xlfn.XLOOKUP(TablaSTOCKINV[[#This Row],[SKU]],TablaINVENTARIO[SKU],TablaINVENTARIO[DPTO RESPONSABLE])</f>
        <v xml:space="preserve">OPERACIONES / MANTENIMIENTO </v>
      </c>
      <c r="L538" s="36">
        <f>_xlfn.XLOOKUP(TablaSTOCKINV[[#This Row],[SKU]],TablaINVENTARIO[SKU],TablaINVENTARIO[RANGO MIN])</f>
        <v>0</v>
      </c>
      <c r="M538" s="34" cm="1">
        <f t="array" ref="M538">_xlfn.IFS(TablaSTOCKINV[[#This Row],[CANT. TOTAL]]&lt;=0,1,TablaSTOCKINV[[#This Row],[CANT. TOTAL]]&lt;=TablaSTOCKINV[[#This Row],[MIN]],2,TablaSTOCKINV[[#This Row],[CANT. TOTAL]]&gt;TablaSTOCKINV[[#This Row],[MIN]],3)</f>
        <v>3</v>
      </c>
      <c r="N538" s="34">
        <f>TablaSTOCKINV[[#This Row],[ENTRADAS]]-TablaSTOCKINV[[#This Row],[SALIDAS]]</f>
        <v>8</v>
      </c>
      <c r="O538" s="35">
        <f>SUMIFS(TablaENTRADA[CANT],TablaENTRADA[SKU],TablaSTOCKINV[[#This Row],[SKU]])</f>
        <v>8</v>
      </c>
      <c r="P538" s="35">
        <f>SUMIFS(TablaSALIDA[CANT],TablaSALIDA[SKU],TablaSTOCKINV[[#This Row],[SKU]])</f>
        <v>0</v>
      </c>
      <c r="Q538" s="34">
        <f>_xlfn.XLOOKUP(TablaSTOCKINV[[#This Row],[SKU]],TablaINVENTARIO[SKU],TablaINVENTARIO[PRECIO])</f>
        <v>0</v>
      </c>
      <c r="R538" s="34">
        <f>TablaSTOCKINV[[#This Row],[P.UNITARIO]]*TablaSTOCKINV[[#This Row],[CANT. TOTAL]]</f>
        <v>0</v>
      </c>
      <c r="S538" s="44">
        <f>_xlfn.XLOOKUP(TablaSTOCKINV[[#This Row],[SKU]],TablaINVENTARIO[SKU],TablaINVENTARIO[FECHA INGRESO])</f>
        <v>46023</v>
      </c>
      <c r="T538" s="44">
        <f>_xlfn.XLOOKUP(TablaSTOCKINV[[#This Row],[SKU]],TablaENTRADA[SKU],TablaENTRADA[FECHA],,0,-1)</f>
        <v>46023</v>
      </c>
      <c r="U538" s="46" t="str">
        <f>IFERROR((_xlfn.XLOOKUP(TablaSTOCKINV[[#This Row],[SKU]],TablaSALIDA[SKU],TablaSALIDA[FECHA],,0,-1))," " )</f>
        <v xml:space="preserve"> </v>
      </c>
    </row>
    <row r="539" spans="1:21" x14ac:dyDescent="0.3">
      <c r="A539" s="27" t="s">
        <v>2724</v>
      </c>
      <c r="B539" s="32" t="str">
        <f>_xlfn.XLOOKUP(TablaSTOCKINV[[#This Row],[SKU]],TablaINVENTARIO[SKU],TablaINVENTARIO[DESCRIPCION])</f>
        <v>LLAVE COMBINADA 15/16"</v>
      </c>
      <c r="C539" s="32" t="str">
        <f>_xlfn.XLOOKUP(TablaSTOCKINV[[#This Row],[SKU]],TablaINVENTARIO[SKU],TablaINVENTARIO[MARCA])</f>
        <v>STANLEY</v>
      </c>
      <c r="D539" s="33" t="str">
        <f>_xlfn.XLOOKUP(TablaSTOCKINV[[#This Row],[SKU]],TablaINVENTARIO[SKU],TablaINVENTARIO[CATEGORIA])</f>
        <v>HERRAMIENTAS_</v>
      </c>
      <c r="E539" s="33" t="str">
        <f>_xlfn.XLOOKUP(TablaSTOCKINV[[#This Row],[SKU]],TablaINVENTARIO[SKU],TablaINVENTARIO[SUBCATEGORIA])</f>
        <v xml:space="preserve">HERRAMIENTA DE MANO </v>
      </c>
      <c r="F539" s="33" t="str">
        <f>_xlfn.XLOOKUP(TablaSTOCKINV[[#This Row],[SKU]],TablaINVENTARIO[SKU],TablaINVENTARIO[ESTADO])</f>
        <v>USADO</v>
      </c>
      <c r="G539" s="33" t="str">
        <f>_xlfn.XLOOKUP(TablaSTOCKINV[[#This Row],[SKU]],TablaINVENTARIO[SKU],TablaINVENTARIO[MEDIDA])</f>
        <v>UND</v>
      </c>
      <c r="H539" s="33" t="str">
        <f>_xlfn.XLOOKUP(TablaSTOCKINV[[#This Row],[SKU]],TablaINVENTARIO[SKU],TablaINVENTARIO[SERIAL])</f>
        <v>N/A</v>
      </c>
      <c r="I539" s="34" t="str">
        <f>_xlfn.XLOOKUP(TablaSTOCKINV[[#This Row],[SKU]],TablaINVENTARIO[SKU],TablaINVENTARIO[ALMACEN])</f>
        <v>ALMACEN PRINCIPAL</v>
      </c>
      <c r="J539" s="34" t="str">
        <f>_xlfn.XLOOKUP(TablaSTOCKINV[[#This Row],[SKU]],TablaINVENTARIO[SKU],TablaINVENTARIO[UBICACION])</f>
        <v>E4-2</v>
      </c>
      <c r="K539" s="34" t="str">
        <f>_xlfn.XLOOKUP(TablaSTOCKINV[[#This Row],[SKU]],TablaINVENTARIO[SKU],TablaINVENTARIO[DPTO RESPONSABLE])</f>
        <v xml:space="preserve">OPERACIONES / MANTENIMIENTO </v>
      </c>
      <c r="L539" s="36">
        <f>_xlfn.XLOOKUP(TablaSTOCKINV[[#This Row],[SKU]],TablaINVENTARIO[SKU],TablaINVENTARIO[RANGO MIN])</f>
        <v>0</v>
      </c>
      <c r="M539" s="34" cm="1">
        <f t="array" ref="M539">_xlfn.IFS(TablaSTOCKINV[[#This Row],[CANT. TOTAL]]&lt;=0,1,TablaSTOCKINV[[#This Row],[CANT. TOTAL]]&lt;=TablaSTOCKINV[[#This Row],[MIN]],2,TablaSTOCKINV[[#This Row],[CANT. TOTAL]]&gt;TablaSTOCKINV[[#This Row],[MIN]],3)</f>
        <v>3</v>
      </c>
      <c r="N539" s="34">
        <f>TablaSTOCKINV[[#This Row],[ENTRADAS]]-TablaSTOCKINV[[#This Row],[SALIDAS]]</f>
        <v>9</v>
      </c>
      <c r="O539" s="35">
        <f>SUMIFS(TablaENTRADA[CANT],TablaENTRADA[SKU],TablaSTOCKINV[[#This Row],[SKU]])</f>
        <v>9</v>
      </c>
      <c r="P539" s="35">
        <f>SUMIFS(TablaSALIDA[CANT],TablaSALIDA[SKU],TablaSTOCKINV[[#This Row],[SKU]])</f>
        <v>0</v>
      </c>
      <c r="Q539" s="34">
        <f>_xlfn.XLOOKUP(TablaSTOCKINV[[#This Row],[SKU]],TablaINVENTARIO[SKU],TablaINVENTARIO[PRECIO])</f>
        <v>0</v>
      </c>
      <c r="R539" s="34">
        <f>TablaSTOCKINV[[#This Row],[P.UNITARIO]]*TablaSTOCKINV[[#This Row],[CANT. TOTAL]]</f>
        <v>0</v>
      </c>
      <c r="S539" s="44">
        <f>_xlfn.XLOOKUP(TablaSTOCKINV[[#This Row],[SKU]],TablaINVENTARIO[SKU],TablaINVENTARIO[FECHA INGRESO])</f>
        <v>46023</v>
      </c>
      <c r="T539" s="44">
        <f>_xlfn.XLOOKUP(TablaSTOCKINV[[#This Row],[SKU]],TablaENTRADA[SKU],TablaENTRADA[FECHA],,0,-1)</f>
        <v>46023</v>
      </c>
      <c r="U539" s="46" t="str">
        <f>IFERROR((_xlfn.XLOOKUP(TablaSTOCKINV[[#This Row],[SKU]],TablaSALIDA[SKU],TablaSALIDA[FECHA],,0,-1))," " )</f>
        <v xml:space="preserve"> </v>
      </c>
    </row>
    <row r="540" spans="1:21" x14ac:dyDescent="0.3">
      <c r="A540" s="27" t="s">
        <v>2726</v>
      </c>
      <c r="B540" s="32" t="str">
        <f>_xlfn.XLOOKUP(TablaSTOCKINV[[#This Row],[SKU]],TablaINVENTARIO[SKU],TablaINVENTARIO[DESCRIPCION])</f>
        <v>LLAVE COMBINADA 7/8"</v>
      </c>
      <c r="C540" s="32" t="str">
        <f>_xlfn.XLOOKUP(TablaSTOCKINV[[#This Row],[SKU]],TablaINVENTARIO[SKU],TablaINVENTARIO[MARCA])</f>
        <v>STANLEY</v>
      </c>
      <c r="D540" s="33" t="str">
        <f>_xlfn.XLOOKUP(TablaSTOCKINV[[#This Row],[SKU]],TablaINVENTARIO[SKU],TablaINVENTARIO[CATEGORIA])</f>
        <v>HERRAMIENTAS_</v>
      </c>
      <c r="E540" s="33" t="str">
        <f>_xlfn.XLOOKUP(TablaSTOCKINV[[#This Row],[SKU]],TablaINVENTARIO[SKU],TablaINVENTARIO[SUBCATEGORIA])</f>
        <v xml:space="preserve">HERRAMIENTA DE MANO </v>
      </c>
      <c r="F540" s="33" t="str">
        <f>_xlfn.XLOOKUP(TablaSTOCKINV[[#This Row],[SKU]],TablaINVENTARIO[SKU],TablaINVENTARIO[ESTADO])</f>
        <v>USADO</v>
      </c>
      <c r="G540" s="33" t="str">
        <f>_xlfn.XLOOKUP(TablaSTOCKINV[[#This Row],[SKU]],TablaINVENTARIO[SKU],TablaINVENTARIO[MEDIDA])</f>
        <v>UND</v>
      </c>
      <c r="H540" s="33" t="str">
        <f>_xlfn.XLOOKUP(TablaSTOCKINV[[#This Row],[SKU]],TablaINVENTARIO[SKU],TablaINVENTARIO[SERIAL])</f>
        <v>N/A</v>
      </c>
      <c r="I540" s="34" t="str">
        <f>_xlfn.XLOOKUP(TablaSTOCKINV[[#This Row],[SKU]],TablaINVENTARIO[SKU],TablaINVENTARIO[ALMACEN])</f>
        <v>ALMACEN PRINCIPAL</v>
      </c>
      <c r="J540" s="34" t="str">
        <f>_xlfn.XLOOKUP(TablaSTOCKINV[[#This Row],[SKU]],TablaINVENTARIO[SKU],TablaINVENTARIO[UBICACION])</f>
        <v>E4-2</v>
      </c>
      <c r="K540" s="34" t="str">
        <f>_xlfn.XLOOKUP(TablaSTOCKINV[[#This Row],[SKU]],TablaINVENTARIO[SKU],TablaINVENTARIO[DPTO RESPONSABLE])</f>
        <v xml:space="preserve">OPERACIONES / MANTENIMIENTO </v>
      </c>
      <c r="L540" s="36">
        <f>_xlfn.XLOOKUP(TablaSTOCKINV[[#This Row],[SKU]],TablaINVENTARIO[SKU],TablaINVENTARIO[RANGO MIN])</f>
        <v>0</v>
      </c>
      <c r="M540" s="34" cm="1">
        <f t="array" ref="M540">_xlfn.IFS(TablaSTOCKINV[[#This Row],[CANT. TOTAL]]&lt;=0,1,TablaSTOCKINV[[#This Row],[CANT. TOTAL]]&lt;=TablaSTOCKINV[[#This Row],[MIN]],2,TablaSTOCKINV[[#This Row],[CANT. TOTAL]]&gt;TablaSTOCKINV[[#This Row],[MIN]],3)</f>
        <v>3</v>
      </c>
      <c r="N540" s="34">
        <f>TablaSTOCKINV[[#This Row],[ENTRADAS]]-TablaSTOCKINV[[#This Row],[SALIDAS]]</f>
        <v>9</v>
      </c>
      <c r="O540" s="35">
        <f>SUMIFS(TablaENTRADA[CANT],TablaENTRADA[SKU],TablaSTOCKINV[[#This Row],[SKU]])</f>
        <v>9</v>
      </c>
      <c r="P540" s="35">
        <f>SUMIFS(TablaSALIDA[CANT],TablaSALIDA[SKU],TablaSTOCKINV[[#This Row],[SKU]])</f>
        <v>0</v>
      </c>
      <c r="Q540" s="34">
        <f>_xlfn.XLOOKUP(TablaSTOCKINV[[#This Row],[SKU]],TablaINVENTARIO[SKU],TablaINVENTARIO[PRECIO])</f>
        <v>0</v>
      </c>
      <c r="R540" s="34">
        <f>TablaSTOCKINV[[#This Row],[P.UNITARIO]]*TablaSTOCKINV[[#This Row],[CANT. TOTAL]]</f>
        <v>0</v>
      </c>
      <c r="S540" s="44">
        <f>_xlfn.XLOOKUP(TablaSTOCKINV[[#This Row],[SKU]],TablaINVENTARIO[SKU],TablaINVENTARIO[FECHA INGRESO])</f>
        <v>46023</v>
      </c>
      <c r="T540" s="44">
        <f>_xlfn.XLOOKUP(TablaSTOCKINV[[#This Row],[SKU]],TablaENTRADA[SKU],TablaENTRADA[FECHA],,0,-1)</f>
        <v>46023</v>
      </c>
      <c r="U540" s="46" t="str">
        <f>IFERROR((_xlfn.XLOOKUP(TablaSTOCKINV[[#This Row],[SKU]],TablaSALIDA[SKU],TablaSALIDA[FECHA],,0,-1))," " )</f>
        <v xml:space="preserve"> </v>
      </c>
    </row>
    <row r="541" spans="1:21" x14ac:dyDescent="0.3">
      <c r="A541" s="27" t="s">
        <v>2728</v>
      </c>
      <c r="B541" s="32" t="str">
        <f>_xlfn.XLOOKUP(TablaSTOCKINV[[#This Row],[SKU]],TablaINVENTARIO[SKU],TablaINVENTARIO[DESCRIPCION])</f>
        <v>LLAVE COMBINADA 13/16"</v>
      </c>
      <c r="C541" s="32" t="str">
        <f>_xlfn.XLOOKUP(TablaSTOCKINV[[#This Row],[SKU]],TablaINVENTARIO[SKU],TablaINVENTARIO[MARCA])</f>
        <v>STANLEY</v>
      </c>
      <c r="D541" s="33" t="str">
        <f>_xlfn.XLOOKUP(TablaSTOCKINV[[#This Row],[SKU]],TablaINVENTARIO[SKU],TablaINVENTARIO[CATEGORIA])</f>
        <v>HERRAMIENTAS_</v>
      </c>
      <c r="E541" s="33" t="str">
        <f>_xlfn.XLOOKUP(TablaSTOCKINV[[#This Row],[SKU]],TablaINVENTARIO[SKU],TablaINVENTARIO[SUBCATEGORIA])</f>
        <v xml:space="preserve">HERRAMIENTA DE MANO </v>
      </c>
      <c r="F541" s="33" t="str">
        <f>_xlfn.XLOOKUP(TablaSTOCKINV[[#This Row],[SKU]],TablaINVENTARIO[SKU],TablaINVENTARIO[ESTADO])</f>
        <v>USADO</v>
      </c>
      <c r="G541" s="33" t="str">
        <f>_xlfn.XLOOKUP(TablaSTOCKINV[[#This Row],[SKU]],TablaINVENTARIO[SKU],TablaINVENTARIO[MEDIDA])</f>
        <v>UND</v>
      </c>
      <c r="H541" s="33" t="str">
        <f>_xlfn.XLOOKUP(TablaSTOCKINV[[#This Row],[SKU]],TablaINVENTARIO[SKU],TablaINVENTARIO[SERIAL])</f>
        <v>N/A</v>
      </c>
      <c r="I541" s="34" t="str">
        <f>_xlfn.XLOOKUP(TablaSTOCKINV[[#This Row],[SKU]],TablaINVENTARIO[SKU],TablaINVENTARIO[ALMACEN])</f>
        <v>ALMACEN PRINCIPAL</v>
      </c>
      <c r="J541" s="34" t="str">
        <f>_xlfn.XLOOKUP(TablaSTOCKINV[[#This Row],[SKU]],TablaINVENTARIO[SKU],TablaINVENTARIO[UBICACION])</f>
        <v>E4-2</v>
      </c>
      <c r="K541" s="34" t="str">
        <f>_xlfn.XLOOKUP(TablaSTOCKINV[[#This Row],[SKU]],TablaINVENTARIO[SKU],TablaINVENTARIO[DPTO RESPONSABLE])</f>
        <v xml:space="preserve">OPERACIONES / MANTENIMIENTO </v>
      </c>
      <c r="L541" s="36">
        <f>_xlfn.XLOOKUP(TablaSTOCKINV[[#This Row],[SKU]],TablaINVENTARIO[SKU],TablaINVENTARIO[RANGO MIN])</f>
        <v>0</v>
      </c>
      <c r="M541" s="34" cm="1">
        <f t="array" ref="M541">_xlfn.IFS(TablaSTOCKINV[[#This Row],[CANT. TOTAL]]&lt;=0,1,TablaSTOCKINV[[#This Row],[CANT. TOTAL]]&lt;=TablaSTOCKINV[[#This Row],[MIN]],2,TablaSTOCKINV[[#This Row],[CANT. TOTAL]]&gt;TablaSTOCKINV[[#This Row],[MIN]],3)</f>
        <v>3</v>
      </c>
      <c r="N541" s="34">
        <f>TablaSTOCKINV[[#This Row],[ENTRADAS]]-TablaSTOCKINV[[#This Row],[SALIDAS]]</f>
        <v>4</v>
      </c>
      <c r="O541" s="35">
        <f>SUMIFS(TablaENTRADA[CANT],TablaENTRADA[SKU],TablaSTOCKINV[[#This Row],[SKU]])</f>
        <v>4</v>
      </c>
      <c r="P541" s="35">
        <f>SUMIFS(TablaSALIDA[CANT],TablaSALIDA[SKU],TablaSTOCKINV[[#This Row],[SKU]])</f>
        <v>0</v>
      </c>
      <c r="Q541" s="34">
        <f>_xlfn.XLOOKUP(TablaSTOCKINV[[#This Row],[SKU]],TablaINVENTARIO[SKU],TablaINVENTARIO[PRECIO])</f>
        <v>0</v>
      </c>
      <c r="R541" s="34">
        <f>TablaSTOCKINV[[#This Row],[P.UNITARIO]]*TablaSTOCKINV[[#This Row],[CANT. TOTAL]]</f>
        <v>0</v>
      </c>
      <c r="S541" s="44">
        <f>_xlfn.XLOOKUP(TablaSTOCKINV[[#This Row],[SKU]],TablaINVENTARIO[SKU],TablaINVENTARIO[FECHA INGRESO])</f>
        <v>46023</v>
      </c>
      <c r="T541" s="44">
        <f>_xlfn.XLOOKUP(TablaSTOCKINV[[#This Row],[SKU]],TablaENTRADA[SKU],TablaENTRADA[FECHA],,0,-1)</f>
        <v>46023</v>
      </c>
      <c r="U541" s="46" t="str">
        <f>IFERROR((_xlfn.XLOOKUP(TablaSTOCKINV[[#This Row],[SKU]],TablaSALIDA[SKU],TablaSALIDA[FECHA],,0,-1))," " )</f>
        <v xml:space="preserve"> </v>
      </c>
    </row>
    <row r="542" spans="1:21" x14ac:dyDescent="0.3">
      <c r="A542" s="27" t="s">
        <v>2730</v>
      </c>
      <c r="B542" s="32" t="str">
        <f>_xlfn.XLOOKUP(TablaSTOCKINV[[#This Row],[SKU]],TablaINVENTARIO[SKU],TablaINVENTARIO[DESCRIPCION])</f>
        <v>LLAVE COMBINADA 3/4"</v>
      </c>
      <c r="C542" s="32" t="str">
        <f>_xlfn.XLOOKUP(TablaSTOCKINV[[#This Row],[SKU]],TablaINVENTARIO[SKU],TablaINVENTARIO[MARCA])</f>
        <v>STANLEY</v>
      </c>
      <c r="D542" s="33" t="str">
        <f>_xlfn.XLOOKUP(TablaSTOCKINV[[#This Row],[SKU]],TablaINVENTARIO[SKU],TablaINVENTARIO[CATEGORIA])</f>
        <v>HERRAMIENTAS_</v>
      </c>
      <c r="E542" s="33" t="str">
        <f>_xlfn.XLOOKUP(TablaSTOCKINV[[#This Row],[SKU]],TablaINVENTARIO[SKU],TablaINVENTARIO[SUBCATEGORIA])</f>
        <v xml:space="preserve">HERRAMIENTA DE MANO </v>
      </c>
      <c r="F542" s="33" t="str">
        <f>_xlfn.XLOOKUP(TablaSTOCKINV[[#This Row],[SKU]],TablaINVENTARIO[SKU],TablaINVENTARIO[ESTADO])</f>
        <v>USADO</v>
      </c>
      <c r="G542" s="33" t="str">
        <f>_xlfn.XLOOKUP(TablaSTOCKINV[[#This Row],[SKU]],TablaINVENTARIO[SKU],TablaINVENTARIO[MEDIDA])</f>
        <v>UND</v>
      </c>
      <c r="H542" s="33" t="str">
        <f>_xlfn.XLOOKUP(TablaSTOCKINV[[#This Row],[SKU]],TablaINVENTARIO[SKU],TablaINVENTARIO[SERIAL])</f>
        <v>N/A</v>
      </c>
      <c r="I542" s="34" t="str">
        <f>_xlfn.XLOOKUP(TablaSTOCKINV[[#This Row],[SKU]],TablaINVENTARIO[SKU],TablaINVENTARIO[ALMACEN])</f>
        <v>ALMACEN PRINCIPAL</v>
      </c>
      <c r="J542" s="34" t="str">
        <f>_xlfn.XLOOKUP(TablaSTOCKINV[[#This Row],[SKU]],TablaINVENTARIO[SKU],TablaINVENTARIO[UBICACION])</f>
        <v>E4-2</v>
      </c>
      <c r="K542" s="34" t="str">
        <f>_xlfn.XLOOKUP(TablaSTOCKINV[[#This Row],[SKU]],TablaINVENTARIO[SKU],TablaINVENTARIO[DPTO RESPONSABLE])</f>
        <v xml:space="preserve">OPERACIONES / MANTENIMIENTO </v>
      </c>
      <c r="L542" s="36">
        <f>_xlfn.XLOOKUP(TablaSTOCKINV[[#This Row],[SKU]],TablaINVENTARIO[SKU],TablaINVENTARIO[RANGO MIN])</f>
        <v>0</v>
      </c>
      <c r="M542" s="34" cm="1">
        <f t="array" ref="M542">_xlfn.IFS(TablaSTOCKINV[[#This Row],[CANT. TOTAL]]&lt;=0,1,TablaSTOCKINV[[#This Row],[CANT. TOTAL]]&lt;=TablaSTOCKINV[[#This Row],[MIN]],2,TablaSTOCKINV[[#This Row],[CANT. TOTAL]]&gt;TablaSTOCKINV[[#This Row],[MIN]],3)</f>
        <v>3</v>
      </c>
      <c r="N542" s="34">
        <f>TablaSTOCKINV[[#This Row],[ENTRADAS]]-TablaSTOCKINV[[#This Row],[SALIDAS]]</f>
        <v>3</v>
      </c>
      <c r="O542" s="35">
        <f>SUMIFS(TablaENTRADA[CANT],TablaENTRADA[SKU],TablaSTOCKINV[[#This Row],[SKU]])</f>
        <v>3</v>
      </c>
      <c r="P542" s="35">
        <f>SUMIFS(TablaSALIDA[CANT],TablaSALIDA[SKU],TablaSTOCKINV[[#This Row],[SKU]])</f>
        <v>0</v>
      </c>
      <c r="Q542" s="34">
        <f>_xlfn.XLOOKUP(TablaSTOCKINV[[#This Row],[SKU]],TablaINVENTARIO[SKU],TablaINVENTARIO[PRECIO])</f>
        <v>0</v>
      </c>
      <c r="R542" s="34">
        <f>TablaSTOCKINV[[#This Row],[P.UNITARIO]]*TablaSTOCKINV[[#This Row],[CANT. TOTAL]]</f>
        <v>0</v>
      </c>
      <c r="S542" s="44">
        <f>_xlfn.XLOOKUP(TablaSTOCKINV[[#This Row],[SKU]],TablaINVENTARIO[SKU],TablaINVENTARIO[FECHA INGRESO])</f>
        <v>46023</v>
      </c>
      <c r="T542" s="44">
        <f>_xlfn.XLOOKUP(TablaSTOCKINV[[#This Row],[SKU]],TablaENTRADA[SKU],TablaENTRADA[FECHA],,0,-1)</f>
        <v>46023</v>
      </c>
      <c r="U542" s="46" t="str">
        <f>IFERROR((_xlfn.XLOOKUP(TablaSTOCKINV[[#This Row],[SKU]],TablaSALIDA[SKU],TablaSALIDA[FECHA],,0,-1))," " )</f>
        <v xml:space="preserve"> </v>
      </c>
    </row>
    <row r="543" spans="1:21" x14ac:dyDescent="0.3">
      <c r="A543" s="27" t="s">
        <v>2732</v>
      </c>
      <c r="B543" s="32" t="str">
        <f>_xlfn.XLOOKUP(TablaSTOCKINV[[#This Row],[SKU]],TablaINVENTARIO[SKU],TablaINVENTARIO[DESCRIPCION])</f>
        <v>LLAVE COMBINADA 5/8"</v>
      </c>
      <c r="C543" s="32" t="str">
        <f>_xlfn.XLOOKUP(TablaSTOCKINV[[#This Row],[SKU]],TablaINVENTARIO[SKU],TablaINVENTARIO[MARCA])</f>
        <v>STANLEY</v>
      </c>
      <c r="D543" s="33" t="str">
        <f>_xlfn.XLOOKUP(TablaSTOCKINV[[#This Row],[SKU]],TablaINVENTARIO[SKU],TablaINVENTARIO[CATEGORIA])</f>
        <v>HERRAMIENTAS_</v>
      </c>
      <c r="E543" s="33" t="str">
        <f>_xlfn.XLOOKUP(TablaSTOCKINV[[#This Row],[SKU]],TablaINVENTARIO[SKU],TablaINVENTARIO[SUBCATEGORIA])</f>
        <v xml:space="preserve">HERRAMIENTA DE MANO </v>
      </c>
      <c r="F543" s="33" t="str">
        <f>_xlfn.XLOOKUP(TablaSTOCKINV[[#This Row],[SKU]],TablaINVENTARIO[SKU],TablaINVENTARIO[ESTADO])</f>
        <v>USADO</v>
      </c>
      <c r="G543" s="33" t="str">
        <f>_xlfn.XLOOKUP(TablaSTOCKINV[[#This Row],[SKU]],TablaINVENTARIO[SKU],TablaINVENTARIO[MEDIDA])</f>
        <v>UND</v>
      </c>
      <c r="H543" s="33" t="str">
        <f>_xlfn.XLOOKUP(TablaSTOCKINV[[#This Row],[SKU]],TablaINVENTARIO[SKU],TablaINVENTARIO[SERIAL])</f>
        <v>N/A</v>
      </c>
      <c r="I543" s="34" t="str">
        <f>_xlfn.XLOOKUP(TablaSTOCKINV[[#This Row],[SKU]],TablaINVENTARIO[SKU],TablaINVENTARIO[ALMACEN])</f>
        <v>ALMACEN PRINCIPAL</v>
      </c>
      <c r="J543" s="34" t="str">
        <f>_xlfn.XLOOKUP(TablaSTOCKINV[[#This Row],[SKU]],TablaINVENTARIO[SKU],TablaINVENTARIO[UBICACION])</f>
        <v>E4-2</v>
      </c>
      <c r="K543" s="34" t="str">
        <f>_xlfn.XLOOKUP(TablaSTOCKINV[[#This Row],[SKU]],TablaINVENTARIO[SKU],TablaINVENTARIO[DPTO RESPONSABLE])</f>
        <v xml:space="preserve">OPERACIONES / MANTENIMIENTO </v>
      </c>
      <c r="L543" s="36">
        <f>_xlfn.XLOOKUP(TablaSTOCKINV[[#This Row],[SKU]],TablaINVENTARIO[SKU],TablaINVENTARIO[RANGO MIN])</f>
        <v>0</v>
      </c>
      <c r="M543" s="34" cm="1">
        <f t="array" ref="M543">_xlfn.IFS(TablaSTOCKINV[[#This Row],[CANT. TOTAL]]&lt;=0,1,TablaSTOCKINV[[#This Row],[CANT. TOTAL]]&lt;=TablaSTOCKINV[[#This Row],[MIN]],2,TablaSTOCKINV[[#This Row],[CANT. TOTAL]]&gt;TablaSTOCKINV[[#This Row],[MIN]],3)</f>
        <v>3</v>
      </c>
      <c r="N543" s="34">
        <f>TablaSTOCKINV[[#This Row],[ENTRADAS]]-TablaSTOCKINV[[#This Row],[SALIDAS]]</f>
        <v>3</v>
      </c>
      <c r="O543" s="35">
        <f>SUMIFS(TablaENTRADA[CANT],TablaENTRADA[SKU],TablaSTOCKINV[[#This Row],[SKU]])</f>
        <v>3</v>
      </c>
      <c r="P543" s="35">
        <f>SUMIFS(TablaSALIDA[CANT],TablaSALIDA[SKU],TablaSTOCKINV[[#This Row],[SKU]])</f>
        <v>0</v>
      </c>
      <c r="Q543" s="34">
        <f>_xlfn.XLOOKUP(TablaSTOCKINV[[#This Row],[SKU]],TablaINVENTARIO[SKU],TablaINVENTARIO[PRECIO])</f>
        <v>0</v>
      </c>
      <c r="R543" s="34">
        <f>TablaSTOCKINV[[#This Row],[P.UNITARIO]]*TablaSTOCKINV[[#This Row],[CANT. TOTAL]]</f>
        <v>0</v>
      </c>
      <c r="S543" s="44">
        <f>_xlfn.XLOOKUP(TablaSTOCKINV[[#This Row],[SKU]],TablaINVENTARIO[SKU],TablaINVENTARIO[FECHA INGRESO])</f>
        <v>46023</v>
      </c>
      <c r="T543" s="44">
        <f>_xlfn.XLOOKUP(TablaSTOCKINV[[#This Row],[SKU]],TablaENTRADA[SKU],TablaENTRADA[FECHA],,0,-1)</f>
        <v>46023</v>
      </c>
      <c r="U543" s="46" t="str">
        <f>IFERROR((_xlfn.XLOOKUP(TablaSTOCKINV[[#This Row],[SKU]],TablaSALIDA[SKU],TablaSALIDA[FECHA],,0,-1))," " )</f>
        <v xml:space="preserve"> </v>
      </c>
    </row>
    <row r="544" spans="1:21" x14ac:dyDescent="0.3">
      <c r="A544" s="27" t="s">
        <v>2734</v>
      </c>
      <c r="B544" s="32" t="str">
        <f>_xlfn.XLOOKUP(TablaSTOCKINV[[#This Row],[SKU]],TablaINVENTARIO[SKU],TablaINVENTARIO[DESCRIPCION])</f>
        <v>LLAVE COMBINADA 9/16"</v>
      </c>
      <c r="C544" s="32" t="str">
        <f>_xlfn.XLOOKUP(TablaSTOCKINV[[#This Row],[SKU]],TablaINVENTARIO[SKU],TablaINVENTARIO[MARCA])</f>
        <v>STANLEY</v>
      </c>
      <c r="D544" s="33" t="str">
        <f>_xlfn.XLOOKUP(TablaSTOCKINV[[#This Row],[SKU]],TablaINVENTARIO[SKU],TablaINVENTARIO[CATEGORIA])</f>
        <v>HERRAMIENTAS_</v>
      </c>
      <c r="E544" s="33" t="str">
        <f>_xlfn.XLOOKUP(TablaSTOCKINV[[#This Row],[SKU]],TablaINVENTARIO[SKU],TablaINVENTARIO[SUBCATEGORIA])</f>
        <v xml:space="preserve">HERRAMIENTA DE MANO </v>
      </c>
      <c r="F544" s="33" t="str">
        <f>_xlfn.XLOOKUP(TablaSTOCKINV[[#This Row],[SKU]],TablaINVENTARIO[SKU],TablaINVENTARIO[ESTADO])</f>
        <v>USADO</v>
      </c>
      <c r="G544" s="33" t="str">
        <f>_xlfn.XLOOKUP(TablaSTOCKINV[[#This Row],[SKU]],TablaINVENTARIO[SKU],TablaINVENTARIO[MEDIDA])</f>
        <v>UND</v>
      </c>
      <c r="H544" s="33" t="str">
        <f>_xlfn.XLOOKUP(TablaSTOCKINV[[#This Row],[SKU]],TablaINVENTARIO[SKU],TablaINVENTARIO[SERIAL])</f>
        <v>N/A</v>
      </c>
      <c r="I544" s="34" t="str">
        <f>_xlfn.XLOOKUP(TablaSTOCKINV[[#This Row],[SKU]],TablaINVENTARIO[SKU],TablaINVENTARIO[ALMACEN])</f>
        <v>ALMACEN PRINCIPAL</v>
      </c>
      <c r="J544" s="34" t="str">
        <f>_xlfn.XLOOKUP(TablaSTOCKINV[[#This Row],[SKU]],TablaINVENTARIO[SKU],TablaINVENTARIO[UBICACION])</f>
        <v>E4-2</v>
      </c>
      <c r="K544" s="34" t="str">
        <f>_xlfn.XLOOKUP(TablaSTOCKINV[[#This Row],[SKU]],TablaINVENTARIO[SKU],TablaINVENTARIO[DPTO RESPONSABLE])</f>
        <v xml:space="preserve">OPERACIONES / MANTENIMIENTO </v>
      </c>
      <c r="L544" s="36">
        <f>_xlfn.XLOOKUP(TablaSTOCKINV[[#This Row],[SKU]],TablaINVENTARIO[SKU],TablaINVENTARIO[RANGO MIN])</f>
        <v>0</v>
      </c>
      <c r="M544" s="34" cm="1">
        <f t="array" ref="M544">_xlfn.IFS(TablaSTOCKINV[[#This Row],[CANT. TOTAL]]&lt;=0,1,TablaSTOCKINV[[#This Row],[CANT. TOTAL]]&lt;=TablaSTOCKINV[[#This Row],[MIN]],2,TablaSTOCKINV[[#This Row],[CANT. TOTAL]]&gt;TablaSTOCKINV[[#This Row],[MIN]],3)</f>
        <v>3</v>
      </c>
      <c r="N544" s="34">
        <f>TablaSTOCKINV[[#This Row],[ENTRADAS]]-TablaSTOCKINV[[#This Row],[SALIDAS]]</f>
        <v>2</v>
      </c>
      <c r="O544" s="35">
        <f>SUMIFS(TablaENTRADA[CANT],TablaENTRADA[SKU],TablaSTOCKINV[[#This Row],[SKU]])</f>
        <v>2</v>
      </c>
      <c r="P544" s="35">
        <f>SUMIFS(TablaSALIDA[CANT],TablaSALIDA[SKU],TablaSTOCKINV[[#This Row],[SKU]])</f>
        <v>0</v>
      </c>
      <c r="Q544" s="34">
        <f>_xlfn.XLOOKUP(TablaSTOCKINV[[#This Row],[SKU]],TablaINVENTARIO[SKU],TablaINVENTARIO[PRECIO])</f>
        <v>0</v>
      </c>
      <c r="R544" s="34">
        <f>TablaSTOCKINV[[#This Row],[P.UNITARIO]]*TablaSTOCKINV[[#This Row],[CANT. TOTAL]]</f>
        <v>0</v>
      </c>
      <c r="S544" s="44">
        <f>_xlfn.XLOOKUP(TablaSTOCKINV[[#This Row],[SKU]],TablaINVENTARIO[SKU],TablaINVENTARIO[FECHA INGRESO])</f>
        <v>46023</v>
      </c>
      <c r="T544" s="44">
        <f>_xlfn.XLOOKUP(TablaSTOCKINV[[#This Row],[SKU]],TablaENTRADA[SKU],TablaENTRADA[FECHA],,0,-1)</f>
        <v>46023</v>
      </c>
      <c r="U544" s="46" t="str">
        <f>IFERROR((_xlfn.XLOOKUP(TablaSTOCKINV[[#This Row],[SKU]],TablaSALIDA[SKU],TablaSALIDA[FECHA],,0,-1))," " )</f>
        <v xml:space="preserve"> </v>
      </c>
    </row>
    <row r="545" spans="1:21" x14ac:dyDescent="0.3">
      <c r="A545" s="27" t="s">
        <v>2736</v>
      </c>
      <c r="B545" s="32" t="str">
        <f>_xlfn.XLOOKUP(TablaSTOCKINV[[#This Row],[SKU]],TablaINVENTARIO[SKU],TablaINVENTARIO[DESCRIPCION])</f>
        <v>LLAVE ESTRIADA ACODADA 16-17MM</v>
      </c>
      <c r="C545" s="32" t="str">
        <f>_xlfn.XLOOKUP(TablaSTOCKINV[[#This Row],[SKU]],TablaINVENTARIO[SKU],TablaINVENTARIO[MARCA])</f>
        <v>STANLEY</v>
      </c>
      <c r="D545" s="33" t="str">
        <f>_xlfn.XLOOKUP(TablaSTOCKINV[[#This Row],[SKU]],TablaINVENTARIO[SKU],TablaINVENTARIO[CATEGORIA])</f>
        <v>HERRAMIENTAS_</v>
      </c>
      <c r="E545" s="33" t="str">
        <f>_xlfn.XLOOKUP(TablaSTOCKINV[[#This Row],[SKU]],TablaINVENTARIO[SKU],TablaINVENTARIO[SUBCATEGORIA])</f>
        <v xml:space="preserve">HERRAMIENTA DE MANO </v>
      </c>
      <c r="F545" s="33" t="str">
        <f>_xlfn.XLOOKUP(TablaSTOCKINV[[#This Row],[SKU]],TablaINVENTARIO[SKU],TablaINVENTARIO[ESTADO])</f>
        <v>USADO</v>
      </c>
      <c r="G545" s="33" t="str">
        <f>_xlfn.XLOOKUP(TablaSTOCKINV[[#This Row],[SKU]],TablaINVENTARIO[SKU],TablaINVENTARIO[MEDIDA])</f>
        <v>UND</v>
      </c>
      <c r="H545" s="33" t="str">
        <f>_xlfn.XLOOKUP(TablaSTOCKINV[[#This Row],[SKU]],TablaINVENTARIO[SKU],TablaINVENTARIO[SERIAL])</f>
        <v>N/A</v>
      </c>
      <c r="I545" s="34" t="str">
        <f>_xlfn.XLOOKUP(TablaSTOCKINV[[#This Row],[SKU]],TablaINVENTARIO[SKU],TablaINVENTARIO[ALMACEN])</f>
        <v>ALMACEN PRINCIPAL</v>
      </c>
      <c r="J545" s="34" t="str">
        <f>_xlfn.XLOOKUP(TablaSTOCKINV[[#This Row],[SKU]],TablaINVENTARIO[SKU],TablaINVENTARIO[UBICACION])</f>
        <v>E4-2</v>
      </c>
      <c r="K545" s="34" t="str">
        <f>_xlfn.XLOOKUP(TablaSTOCKINV[[#This Row],[SKU]],TablaINVENTARIO[SKU],TablaINVENTARIO[DPTO RESPONSABLE])</f>
        <v xml:space="preserve">OPERACIONES / MANTENIMIENTO </v>
      </c>
      <c r="L545" s="36">
        <f>_xlfn.XLOOKUP(TablaSTOCKINV[[#This Row],[SKU]],TablaINVENTARIO[SKU],TablaINVENTARIO[RANGO MIN])</f>
        <v>0</v>
      </c>
      <c r="M545" s="34" cm="1">
        <f t="array" ref="M545">_xlfn.IFS(TablaSTOCKINV[[#This Row],[CANT. TOTAL]]&lt;=0,1,TablaSTOCKINV[[#This Row],[CANT. TOTAL]]&lt;=TablaSTOCKINV[[#This Row],[MIN]],2,TablaSTOCKINV[[#This Row],[CANT. TOTAL]]&gt;TablaSTOCKINV[[#This Row],[MIN]],3)</f>
        <v>3</v>
      </c>
      <c r="N545" s="34">
        <f>TablaSTOCKINV[[#This Row],[ENTRADAS]]-TablaSTOCKINV[[#This Row],[SALIDAS]]</f>
        <v>1</v>
      </c>
      <c r="O545" s="35">
        <f>SUMIFS(TablaENTRADA[CANT],TablaENTRADA[SKU],TablaSTOCKINV[[#This Row],[SKU]])</f>
        <v>1</v>
      </c>
      <c r="P545" s="35">
        <f>SUMIFS(TablaSALIDA[CANT],TablaSALIDA[SKU],TablaSTOCKINV[[#This Row],[SKU]])</f>
        <v>0</v>
      </c>
      <c r="Q545" s="34">
        <f>_xlfn.XLOOKUP(TablaSTOCKINV[[#This Row],[SKU]],TablaINVENTARIO[SKU],TablaINVENTARIO[PRECIO])</f>
        <v>0</v>
      </c>
      <c r="R545" s="34">
        <f>TablaSTOCKINV[[#This Row],[P.UNITARIO]]*TablaSTOCKINV[[#This Row],[CANT. TOTAL]]</f>
        <v>0</v>
      </c>
      <c r="S545" s="44">
        <f>_xlfn.XLOOKUP(TablaSTOCKINV[[#This Row],[SKU]],TablaINVENTARIO[SKU],TablaINVENTARIO[FECHA INGRESO])</f>
        <v>46023</v>
      </c>
      <c r="T545" s="44">
        <f>_xlfn.XLOOKUP(TablaSTOCKINV[[#This Row],[SKU]],TablaENTRADA[SKU],TablaENTRADA[FECHA],,0,-1)</f>
        <v>46023</v>
      </c>
      <c r="U545" s="46" t="str">
        <f>IFERROR((_xlfn.XLOOKUP(TablaSTOCKINV[[#This Row],[SKU]],TablaSALIDA[SKU],TablaSALIDA[FECHA],,0,-1))," " )</f>
        <v xml:space="preserve"> </v>
      </c>
    </row>
    <row r="546" spans="1:21" x14ac:dyDescent="0.3">
      <c r="A546" s="27" t="s">
        <v>2738</v>
      </c>
      <c r="B546" s="32" t="str">
        <f>_xlfn.XLOOKUP(TablaSTOCKINV[[#This Row],[SKU]],TablaINVENTARIO[SKU],TablaINVENTARIO[DESCRIPCION])</f>
        <v>LLAVE COMBINADA 11/16"</v>
      </c>
      <c r="C546" s="32" t="str">
        <f>_xlfn.XLOOKUP(TablaSTOCKINV[[#This Row],[SKU]],TablaINVENTARIO[SKU],TablaINVENTARIO[MARCA])</f>
        <v>STANLEY</v>
      </c>
      <c r="D546" s="33" t="str">
        <f>_xlfn.XLOOKUP(TablaSTOCKINV[[#This Row],[SKU]],TablaINVENTARIO[SKU],TablaINVENTARIO[CATEGORIA])</f>
        <v>HERRAMIENTAS_</v>
      </c>
      <c r="E546" s="33" t="str">
        <f>_xlfn.XLOOKUP(TablaSTOCKINV[[#This Row],[SKU]],TablaINVENTARIO[SKU],TablaINVENTARIO[SUBCATEGORIA])</f>
        <v xml:space="preserve">HERRAMIENTA DE MANO </v>
      </c>
      <c r="F546" s="33" t="str">
        <f>_xlfn.XLOOKUP(TablaSTOCKINV[[#This Row],[SKU]],TablaINVENTARIO[SKU],TablaINVENTARIO[ESTADO])</f>
        <v>USADO</v>
      </c>
      <c r="G546" s="33" t="str">
        <f>_xlfn.XLOOKUP(TablaSTOCKINV[[#This Row],[SKU]],TablaINVENTARIO[SKU],TablaINVENTARIO[MEDIDA])</f>
        <v>UND</v>
      </c>
      <c r="H546" s="33" t="str">
        <f>_xlfn.XLOOKUP(TablaSTOCKINV[[#This Row],[SKU]],TablaINVENTARIO[SKU],TablaINVENTARIO[SERIAL])</f>
        <v>N/A</v>
      </c>
      <c r="I546" s="34" t="str">
        <f>_xlfn.XLOOKUP(TablaSTOCKINV[[#This Row],[SKU]],TablaINVENTARIO[SKU],TablaINVENTARIO[ALMACEN])</f>
        <v>ALMACEN PRINCIPAL</v>
      </c>
      <c r="J546" s="34" t="str">
        <f>_xlfn.XLOOKUP(TablaSTOCKINV[[#This Row],[SKU]],TablaINVENTARIO[SKU],TablaINVENTARIO[UBICACION])</f>
        <v>E4-2</v>
      </c>
      <c r="K546" s="34" t="str">
        <f>_xlfn.XLOOKUP(TablaSTOCKINV[[#This Row],[SKU]],TablaINVENTARIO[SKU],TablaINVENTARIO[DPTO RESPONSABLE])</f>
        <v xml:space="preserve">OPERACIONES / MANTENIMIENTO </v>
      </c>
      <c r="L546" s="36">
        <f>_xlfn.XLOOKUP(TablaSTOCKINV[[#This Row],[SKU]],TablaINVENTARIO[SKU],TablaINVENTARIO[RANGO MIN])</f>
        <v>0</v>
      </c>
      <c r="M546" s="34" cm="1">
        <f t="array" ref="M546">_xlfn.IFS(TablaSTOCKINV[[#This Row],[CANT. TOTAL]]&lt;=0,1,TablaSTOCKINV[[#This Row],[CANT. TOTAL]]&lt;=TablaSTOCKINV[[#This Row],[MIN]],2,TablaSTOCKINV[[#This Row],[CANT. TOTAL]]&gt;TablaSTOCKINV[[#This Row],[MIN]],3)</f>
        <v>3</v>
      </c>
      <c r="N546" s="34">
        <f>TablaSTOCKINV[[#This Row],[ENTRADAS]]-TablaSTOCKINV[[#This Row],[SALIDAS]]</f>
        <v>1</v>
      </c>
      <c r="O546" s="35">
        <f>SUMIFS(TablaENTRADA[CANT],TablaENTRADA[SKU],TablaSTOCKINV[[#This Row],[SKU]])</f>
        <v>1</v>
      </c>
      <c r="P546" s="35">
        <f>SUMIFS(TablaSALIDA[CANT],TablaSALIDA[SKU],TablaSTOCKINV[[#This Row],[SKU]])</f>
        <v>0</v>
      </c>
      <c r="Q546" s="34">
        <f>_xlfn.XLOOKUP(TablaSTOCKINV[[#This Row],[SKU]],TablaINVENTARIO[SKU],TablaINVENTARIO[PRECIO])</f>
        <v>0</v>
      </c>
      <c r="R546" s="34">
        <f>TablaSTOCKINV[[#This Row],[P.UNITARIO]]*TablaSTOCKINV[[#This Row],[CANT. TOTAL]]</f>
        <v>0</v>
      </c>
      <c r="S546" s="44">
        <f>_xlfn.XLOOKUP(TablaSTOCKINV[[#This Row],[SKU]],TablaINVENTARIO[SKU],TablaINVENTARIO[FECHA INGRESO])</f>
        <v>46023</v>
      </c>
      <c r="T546" s="44">
        <f>_xlfn.XLOOKUP(TablaSTOCKINV[[#This Row],[SKU]],TablaENTRADA[SKU],TablaENTRADA[FECHA],,0,-1)</f>
        <v>46023</v>
      </c>
      <c r="U546" s="46" t="str">
        <f>IFERROR((_xlfn.XLOOKUP(TablaSTOCKINV[[#This Row],[SKU]],TablaSALIDA[SKU],TablaSALIDA[FECHA],,0,-1))," " )</f>
        <v xml:space="preserve"> </v>
      </c>
    </row>
    <row r="547" spans="1:21" x14ac:dyDescent="0.3">
      <c r="A547" s="27" t="s">
        <v>2740</v>
      </c>
      <c r="B547" s="32" t="str">
        <f>_xlfn.XLOOKUP(TablaSTOCKINV[[#This Row],[SKU]],TablaINVENTARIO[SKU],TablaINVENTARIO[DESCRIPCION])</f>
        <v>LLAVE AJUSTABLE 8"</v>
      </c>
      <c r="C547" s="32" t="str">
        <f>_xlfn.XLOOKUP(TablaSTOCKINV[[#This Row],[SKU]],TablaINVENTARIO[SKU],TablaINVENTARIO[MARCA])</f>
        <v>STANLEY</v>
      </c>
      <c r="D547" s="33" t="str">
        <f>_xlfn.XLOOKUP(TablaSTOCKINV[[#This Row],[SKU]],TablaINVENTARIO[SKU],TablaINVENTARIO[CATEGORIA])</f>
        <v>HERRAMIENTAS_</v>
      </c>
      <c r="E547" s="33" t="str">
        <f>_xlfn.XLOOKUP(TablaSTOCKINV[[#This Row],[SKU]],TablaINVENTARIO[SKU],TablaINVENTARIO[SUBCATEGORIA])</f>
        <v xml:space="preserve">HERRAMIENTA DE MANO </v>
      </c>
      <c r="F547" s="33" t="str">
        <f>_xlfn.XLOOKUP(TablaSTOCKINV[[#This Row],[SKU]],TablaINVENTARIO[SKU],TablaINVENTARIO[ESTADO])</f>
        <v>USADO</v>
      </c>
      <c r="G547" s="33" t="str">
        <f>_xlfn.XLOOKUP(TablaSTOCKINV[[#This Row],[SKU]],TablaINVENTARIO[SKU],TablaINVENTARIO[MEDIDA])</f>
        <v>UND</v>
      </c>
      <c r="H547" s="33" t="str">
        <f>_xlfn.XLOOKUP(TablaSTOCKINV[[#This Row],[SKU]],TablaINVENTARIO[SKU],TablaINVENTARIO[SERIAL])</f>
        <v>N/A</v>
      </c>
      <c r="I547" s="34" t="str">
        <f>_xlfn.XLOOKUP(TablaSTOCKINV[[#This Row],[SKU]],TablaINVENTARIO[SKU],TablaINVENTARIO[ALMACEN])</f>
        <v>ALMACEN PRINCIPAL</v>
      </c>
      <c r="J547" s="34" t="str">
        <f>_xlfn.XLOOKUP(TablaSTOCKINV[[#This Row],[SKU]],TablaINVENTARIO[SKU],TablaINVENTARIO[UBICACION])</f>
        <v>E4-2</v>
      </c>
      <c r="K547" s="34" t="str">
        <f>_xlfn.XLOOKUP(TablaSTOCKINV[[#This Row],[SKU]],TablaINVENTARIO[SKU],TablaINVENTARIO[DPTO RESPONSABLE])</f>
        <v xml:space="preserve">OPERACIONES / MANTENIMIENTO </v>
      </c>
      <c r="L547" s="36">
        <f>_xlfn.XLOOKUP(TablaSTOCKINV[[#This Row],[SKU]],TablaINVENTARIO[SKU],TablaINVENTARIO[RANGO MIN])</f>
        <v>0</v>
      </c>
      <c r="M547" s="34" cm="1">
        <f t="array" ref="M547">_xlfn.IFS(TablaSTOCKINV[[#This Row],[CANT. TOTAL]]&lt;=0,1,TablaSTOCKINV[[#This Row],[CANT. TOTAL]]&lt;=TablaSTOCKINV[[#This Row],[MIN]],2,TablaSTOCKINV[[#This Row],[CANT. TOTAL]]&gt;TablaSTOCKINV[[#This Row],[MIN]],3)</f>
        <v>3</v>
      </c>
      <c r="N547" s="34">
        <f>TablaSTOCKINV[[#This Row],[ENTRADAS]]-TablaSTOCKINV[[#This Row],[SALIDAS]]</f>
        <v>1</v>
      </c>
      <c r="O547" s="35">
        <f>SUMIFS(TablaENTRADA[CANT],TablaENTRADA[SKU],TablaSTOCKINV[[#This Row],[SKU]])</f>
        <v>1</v>
      </c>
      <c r="P547" s="35">
        <f>SUMIFS(TablaSALIDA[CANT],TablaSALIDA[SKU],TablaSTOCKINV[[#This Row],[SKU]])</f>
        <v>0</v>
      </c>
      <c r="Q547" s="34">
        <f>_xlfn.XLOOKUP(TablaSTOCKINV[[#This Row],[SKU]],TablaINVENTARIO[SKU],TablaINVENTARIO[PRECIO])</f>
        <v>0</v>
      </c>
      <c r="R547" s="34">
        <f>TablaSTOCKINV[[#This Row],[P.UNITARIO]]*TablaSTOCKINV[[#This Row],[CANT. TOTAL]]</f>
        <v>0</v>
      </c>
      <c r="S547" s="44">
        <f>_xlfn.XLOOKUP(TablaSTOCKINV[[#This Row],[SKU]],TablaINVENTARIO[SKU],TablaINVENTARIO[FECHA INGRESO])</f>
        <v>46023</v>
      </c>
      <c r="T547" s="44">
        <f>_xlfn.XLOOKUP(TablaSTOCKINV[[#This Row],[SKU]],TablaENTRADA[SKU],TablaENTRADA[FECHA],,0,-1)</f>
        <v>46023</v>
      </c>
      <c r="U547" s="46" t="str">
        <f>IFERROR((_xlfn.XLOOKUP(TablaSTOCKINV[[#This Row],[SKU]],TablaSALIDA[SKU],TablaSALIDA[FECHA],,0,-1))," " )</f>
        <v xml:space="preserve"> </v>
      </c>
    </row>
    <row r="548" spans="1:21" x14ac:dyDescent="0.3">
      <c r="A548" s="27" t="s">
        <v>2742</v>
      </c>
      <c r="B548" s="32" t="str">
        <f>_xlfn.XLOOKUP(TablaSTOCKINV[[#This Row],[SKU]],TablaINVENTARIO[SKU],TablaINVENTARIO[DESCRIPCION])</f>
        <v>LLAVE DE TUBO 12"</v>
      </c>
      <c r="C548" s="32" t="str">
        <f>_xlfn.XLOOKUP(TablaSTOCKINV[[#This Row],[SKU]],TablaINVENTARIO[SKU],TablaINVENTARIO[MARCA])</f>
        <v>STANLEY</v>
      </c>
      <c r="D548" s="33" t="str">
        <f>_xlfn.XLOOKUP(TablaSTOCKINV[[#This Row],[SKU]],TablaINVENTARIO[SKU],TablaINVENTARIO[CATEGORIA])</f>
        <v>HERRAMIENTAS_</v>
      </c>
      <c r="E548" s="33" t="str">
        <f>_xlfn.XLOOKUP(TablaSTOCKINV[[#This Row],[SKU]],TablaINVENTARIO[SKU],TablaINVENTARIO[SUBCATEGORIA])</f>
        <v xml:space="preserve">HERRAMIENTA DE MANO </v>
      </c>
      <c r="F548" s="33" t="str">
        <f>_xlfn.XLOOKUP(TablaSTOCKINV[[#This Row],[SKU]],TablaINVENTARIO[SKU],TablaINVENTARIO[ESTADO])</f>
        <v>USADO</v>
      </c>
      <c r="G548" s="33" t="str">
        <f>_xlfn.XLOOKUP(TablaSTOCKINV[[#This Row],[SKU]],TablaINVENTARIO[SKU],TablaINVENTARIO[MEDIDA])</f>
        <v>UND</v>
      </c>
      <c r="H548" s="33" t="str">
        <f>_xlfn.XLOOKUP(TablaSTOCKINV[[#This Row],[SKU]],TablaINVENTARIO[SKU],TablaINVENTARIO[SERIAL])</f>
        <v>N/A</v>
      </c>
      <c r="I548" s="34" t="str">
        <f>_xlfn.XLOOKUP(TablaSTOCKINV[[#This Row],[SKU]],TablaINVENTARIO[SKU],TablaINVENTARIO[ALMACEN])</f>
        <v>ALMACEN PRINCIPAL</v>
      </c>
      <c r="J548" s="34" t="str">
        <f>_xlfn.XLOOKUP(TablaSTOCKINV[[#This Row],[SKU]],TablaINVENTARIO[SKU],TablaINVENTARIO[UBICACION])</f>
        <v>E4-2</v>
      </c>
      <c r="K548" s="34" t="str">
        <f>_xlfn.XLOOKUP(TablaSTOCKINV[[#This Row],[SKU]],TablaINVENTARIO[SKU],TablaINVENTARIO[DPTO RESPONSABLE])</f>
        <v xml:space="preserve">OPERACIONES / MANTENIMIENTO </v>
      </c>
      <c r="L548" s="36">
        <f>_xlfn.XLOOKUP(TablaSTOCKINV[[#This Row],[SKU]],TablaINVENTARIO[SKU],TablaINVENTARIO[RANGO MIN])</f>
        <v>0</v>
      </c>
      <c r="M548" s="34" cm="1">
        <f t="array" ref="M548">_xlfn.IFS(TablaSTOCKINV[[#This Row],[CANT. TOTAL]]&lt;=0,1,TablaSTOCKINV[[#This Row],[CANT. TOTAL]]&lt;=TablaSTOCKINV[[#This Row],[MIN]],2,TablaSTOCKINV[[#This Row],[CANT. TOTAL]]&gt;TablaSTOCKINV[[#This Row],[MIN]],3)</f>
        <v>3</v>
      </c>
      <c r="N548" s="34">
        <f>TablaSTOCKINV[[#This Row],[ENTRADAS]]-TablaSTOCKINV[[#This Row],[SALIDAS]]</f>
        <v>2</v>
      </c>
      <c r="O548" s="35">
        <f>SUMIFS(TablaENTRADA[CANT],TablaENTRADA[SKU],TablaSTOCKINV[[#This Row],[SKU]])</f>
        <v>2</v>
      </c>
      <c r="P548" s="35">
        <f>SUMIFS(TablaSALIDA[CANT],TablaSALIDA[SKU],TablaSTOCKINV[[#This Row],[SKU]])</f>
        <v>0</v>
      </c>
      <c r="Q548" s="34">
        <f>_xlfn.XLOOKUP(TablaSTOCKINV[[#This Row],[SKU]],TablaINVENTARIO[SKU],TablaINVENTARIO[PRECIO])</f>
        <v>0</v>
      </c>
      <c r="R548" s="34">
        <f>TablaSTOCKINV[[#This Row],[P.UNITARIO]]*TablaSTOCKINV[[#This Row],[CANT. TOTAL]]</f>
        <v>0</v>
      </c>
      <c r="S548" s="44">
        <f>_xlfn.XLOOKUP(TablaSTOCKINV[[#This Row],[SKU]],TablaINVENTARIO[SKU],TablaINVENTARIO[FECHA INGRESO])</f>
        <v>46023</v>
      </c>
      <c r="T548" s="44">
        <f>_xlfn.XLOOKUP(TablaSTOCKINV[[#This Row],[SKU]],TablaENTRADA[SKU],TablaENTRADA[FECHA],,0,-1)</f>
        <v>46023</v>
      </c>
      <c r="U548" s="46" t="str">
        <f>IFERROR((_xlfn.XLOOKUP(TablaSTOCKINV[[#This Row],[SKU]],TablaSALIDA[SKU],TablaSALIDA[FECHA],,0,-1))," " )</f>
        <v xml:space="preserve"> </v>
      </c>
    </row>
    <row r="549" spans="1:21" x14ac:dyDescent="0.3">
      <c r="A549" s="27" t="s">
        <v>2744</v>
      </c>
      <c r="B549" s="32" t="str">
        <f>_xlfn.XLOOKUP(TablaSTOCKINV[[#This Row],[SKU]],TablaINVENTARIO[SKU],TablaINVENTARIO[DESCRIPCION])</f>
        <v xml:space="preserve">LLAVE COMBINADA 14MM </v>
      </c>
      <c r="C549" s="32" t="str">
        <f>_xlfn.XLOOKUP(TablaSTOCKINV[[#This Row],[SKU]],TablaINVENTARIO[SKU],TablaINVENTARIO[MARCA])</f>
        <v>STANLEY</v>
      </c>
      <c r="D549" s="33" t="str">
        <f>_xlfn.XLOOKUP(TablaSTOCKINV[[#This Row],[SKU]],TablaINVENTARIO[SKU],TablaINVENTARIO[CATEGORIA])</f>
        <v>HERRAMIENTAS_</v>
      </c>
      <c r="E549" s="33" t="str">
        <f>_xlfn.XLOOKUP(TablaSTOCKINV[[#This Row],[SKU]],TablaINVENTARIO[SKU],TablaINVENTARIO[SUBCATEGORIA])</f>
        <v xml:space="preserve">HERRAMIENTA DE MANO </v>
      </c>
      <c r="F549" s="33" t="str">
        <f>_xlfn.XLOOKUP(TablaSTOCKINV[[#This Row],[SKU]],TablaINVENTARIO[SKU],TablaINVENTARIO[ESTADO])</f>
        <v>USADO</v>
      </c>
      <c r="G549" s="33" t="str">
        <f>_xlfn.XLOOKUP(TablaSTOCKINV[[#This Row],[SKU]],TablaINVENTARIO[SKU],TablaINVENTARIO[MEDIDA])</f>
        <v>UND</v>
      </c>
      <c r="H549" s="33" t="str">
        <f>_xlfn.XLOOKUP(TablaSTOCKINV[[#This Row],[SKU]],TablaINVENTARIO[SKU],TablaINVENTARIO[SERIAL])</f>
        <v>N/A</v>
      </c>
      <c r="I549" s="34" t="str">
        <f>_xlfn.XLOOKUP(TablaSTOCKINV[[#This Row],[SKU]],TablaINVENTARIO[SKU],TablaINVENTARIO[ALMACEN])</f>
        <v>ALMACEN PRINCIPAL</v>
      </c>
      <c r="J549" s="34" t="str">
        <f>_xlfn.XLOOKUP(TablaSTOCKINV[[#This Row],[SKU]],TablaINVENTARIO[SKU],TablaINVENTARIO[UBICACION])</f>
        <v>E4-2</v>
      </c>
      <c r="K549" s="34" t="str">
        <f>_xlfn.XLOOKUP(TablaSTOCKINV[[#This Row],[SKU]],TablaINVENTARIO[SKU],TablaINVENTARIO[DPTO RESPONSABLE])</f>
        <v xml:space="preserve">OPERACIONES / MANTENIMIENTO </v>
      </c>
      <c r="L549" s="36">
        <f>_xlfn.XLOOKUP(TablaSTOCKINV[[#This Row],[SKU]],TablaINVENTARIO[SKU],TablaINVENTARIO[RANGO MIN])</f>
        <v>0</v>
      </c>
      <c r="M549" s="34" cm="1">
        <f t="array" ref="M549">_xlfn.IFS(TablaSTOCKINV[[#This Row],[CANT. TOTAL]]&lt;=0,1,TablaSTOCKINV[[#This Row],[CANT. TOTAL]]&lt;=TablaSTOCKINV[[#This Row],[MIN]],2,TablaSTOCKINV[[#This Row],[CANT. TOTAL]]&gt;TablaSTOCKINV[[#This Row],[MIN]],3)</f>
        <v>3</v>
      </c>
      <c r="N549" s="34">
        <f>TablaSTOCKINV[[#This Row],[ENTRADAS]]-TablaSTOCKINV[[#This Row],[SALIDAS]]</f>
        <v>2</v>
      </c>
      <c r="O549" s="35">
        <f>SUMIFS(TablaENTRADA[CANT],TablaENTRADA[SKU],TablaSTOCKINV[[#This Row],[SKU]])</f>
        <v>2</v>
      </c>
      <c r="P549" s="35">
        <f>SUMIFS(TablaSALIDA[CANT],TablaSALIDA[SKU],TablaSTOCKINV[[#This Row],[SKU]])</f>
        <v>0</v>
      </c>
      <c r="Q549" s="34">
        <f>_xlfn.XLOOKUP(TablaSTOCKINV[[#This Row],[SKU]],TablaINVENTARIO[SKU],TablaINVENTARIO[PRECIO])</f>
        <v>0</v>
      </c>
      <c r="R549" s="34">
        <f>TablaSTOCKINV[[#This Row],[P.UNITARIO]]*TablaSTOCKINV[[#This Row],[CANT. TOTAL]]</f>
        <v>0</v>
      </c>
      <c r="S549" s="44">
        <f>_xlfn.XLOOKUP(TablaSTOCKINV[[#This Row],[SKU]],TablaINVENTARIO[SKU],TablaINVENTARIO[FECHA INGRESO])</f>
        <v>46023</v>
      </c>
      <c r="T549" s="44">
        <f>_xlfn.XLOOKUP(TablaSTOCKINV[[#This Row],[SKU]],TablaENTRADA[SKU],TablaENTRADA[FECHA],,0,-1)</f>
        <v>46023</v>
      </c>
      <c r="U549" s="46" t="str">
        <f>IFERROR((_xlfn.XLOOKUP(TablaSTOCKINV[[#This Row],[SKU]],TablaSALIDA[SKU],TablaSALIDA[FECHA],,0,-1))," " )</f>
        <v xml:space="preserve"> </v>
      </c>
    </row>
    <row r="550" spans="1:21" x14ac:dyDescent="0.3">
      <c r="A550" s="27" t="s">
        <v>2746</v>
      </c>
      <c r="B550" s="32" t="str">
        <f>_xlfn.XLOOKUP(TablaSTOCKINV[[#This Row],[SKU]],TablaINVENTARIO[SKU],TablaINVENTARIO[DESCRIPCION])</f>
        <v>LLAVE COMBINADA 1/2"</v>
      </c>
      <c r="C550" s="32" t="str">
        <f>_xlfn.XLOOKUP(TablaSTOCKINV[[#This Row],[SKU]],TablaINVENTARIO[SKU],TablaINVENTARIO[MARCA])</f>
        <v>STANLEY</v>
      </c>
      <c r="D550" s="33" t="str">
        <f>_xlfn.XLOOKUP(TablaSTOCKINV[[#This Row],[SKU]],TablaINVENTARIO[SKU],TablaINVENTARIO[CATEGORIA])</f>
        <v>HERRAMIENTAS_</v>
      </c>
      <c r="E550" s="33" t="str">
        <f>_xlfn.XLOOKUP(TablaSTOCKINV[[#This Row],[SKU]],TablaINVENTARIO[SKU],TablaINVENTARIO[SUBCATEGORIA])</f>
        <v xml:space="preserve">HERRAMIENTA DE MANO </v>
      </c>
      <c r="F550" s="33" t="str">
        <f>_xlfn.XLOOKUP(TablaSTOCKINV[[#This Row],[SKU]],TablaINVENTARIO[SKU],TablaINVENTARIO[ESTADO])</f>
        <v>USADO</v>
      </c>
      <c r="G550" s="33" t="str">
        <f>_xlfn.XLOOKUP(TablaSTOCKINV[[#This Row],[SKU]],TablaINVENTARIO[SKU],TablaINVENTARIO[MEDIDA])</f>
        <v>UND</v>
      </c>
      <c r="H550" s="33" t="str">
        <f>_xlfn.XLOOKUP(TablaSTOCKINV[[#This Row],[SKU]],TablaINVENTARIO[SKU],TablaINVENTARIO[SERIAL])</f>
        <v>N/A</v>
      </c>
      <c r="I550" s="34" t="str">
        <f>_xlfn.XLOOKUP(TablaSTOCKINV[[#This Row],[SKU]],TablaINVENTARIO[SKU],TablaINVENTARIO[ALMACEN])</f>
        <v>ALMACEN PRINCIPAL</v>
      </c>
      <c r="J550" s="34" t="str">
        <f>_xlfn.XLOOKUP(TablaSTOCKINV[[#This Row],[SKU]],TablaINVENTARIO[SKU],TablaINVENTARIO[UBICACION])</f>
        <v>E4-2</v>
      </c>
      <c r="K550" s="34" t="str">
        <f>_xlfn.XLOOKUP(TablaSTOCKINV[[#This Row],[SKU]],TablaINVENTARIO[SKU],TablaINVENTARIO[DPTO RESPONSABLE])</f>
        <v xml:space="preserve">OPERACIONES / MANTENIMIENTO </v>
      </c>
      <c r="L550" s="36">
        <f>_xlfn.XLOOKUP(TablaSTOCKINV[[#This Row],[SKU]],TablaINVENTARIO[SKU],TablaINVENTARIO[RANGO MIN])</f>
        <v>0</v>
      </c>
      <c r="M550" s="34" cm="1">
        <f t="array" ref="M550">_xlfn.IFS(TablaSTOCKINV[[#This Row],[CANT. TOTAL]]&lt;=0,1,TablaSTOCKINV[[#This Row],[CANT. TOTAL]]&lt;=TablaSTOCKINV[[#This Row],[MIN]],2,TablaSTOCKINV[[#This Row],[CANT. TOTAL]]&gt;TablaSTOCKINV[[#This Row],[MIN]],3)</f>
        <v>3</v>
      </c>
      <c r="N550" s="34">
        <f>TablaSTOCKINV[[#This Row],[ENTRADAS]]-TablaSTOCKINV[[#This Row],[SALIDAS]]</f>
        <v>2</v>
      </c>
      <c r="O550" s="35">
        <f>SUMIFS(TablaENTRADA[CANT],TablaENTRADA[SKU],TablaSTOCKINV[[#This Row],[SKU]])</f>
        <v>2</v>
      </c>
      <c r="P550" s="35">
        <f>SUMIFS(TablaSALIDA[CANT],TablaSALIDA[SKU],TablaSTOCKINV[[#This Row],[SKU]])</f>
        <v>0</v>
      </c>
      <c r="Q550" s="34">
        <f>_xlfn.XLOOKUP(TablaSTOCKINV[[#This Row],[SKU]],TablaINVENTARIO[SKU],TablaINVENTARIO[PRECIO])</f>
        <v>0</v>
      </c>
      <c r="R550" s="34">
        <f>TablaSTOCKINV[[#This Row],[P.UNITARIO]]*TablaSTOCKINV[[#This Row],[CANT. TOTAL]]</f>
        <v>0</v>
      </c>
      <c r="S550" s="44">
        <f>_xlfn.XLOOKUP(TablaSTOCKINV[[#This Row],[SKU]],TablaINVENTARIO[SKU],TablaINVENTARIO[FECHA INGRESO])</f>
        <v>46023</v>
      </c>
      <c r="T550" s="44">
        <f>_xlfn.XLOOKUP(TablaSTOCKINV[[#This Row],[SKU]],TablaENTRADA[SKU],TablaENTRADA[FECHA],,0,-1)</f>
        <v>46023</v>
      </c>
      <c r="U550" s="46" t="str">
        <f>IFERROR((_xlfn.XLOOKUP(TablaSTOCKINV[[#This Row],[SKU]],TablaSALIDA[SKU],TablaSALIDA[FECHA],,0,-1))," " )</f>
        <v xml:space="preserve"> </v>
      </c>
    </row>
    <row r="551" spans="1:21" x14ac:dyDescent="0.3">
      <c r="A551" s="27" t="s">
        <v>2748</v>
      </c>
      <c r="B551" s="32" t="str">
        <f>_xlfn.XLOOKUP(TablaSTOCKINV[[#This Row],[SKU]],TablaINVENTARIO[SKU],TablaINVENTARIO[DESCRIPCION])</f>
        <v>LLAVE COMBINADA 3/8"</v>
      </c>
      <c r="C551" s="32" t="str">
        <f>_xlfn.XLOOKUP(TablaSTOCKINV[[#This Row],[SKU]],TablaINVENTARIO[SKU],TablaINVENTARIO[MARCA])</f>
        <v>STANLEY</v>
      </c>
      <c r="D551" s="33" t="str">
        <f>_xlfn.XLOOKUP(TablaSTOCKINV[[#This Row],[SKU]],TablaINVENTARIO[SKU],TablaINVENTARIO[CATEGORIA])</f>
        <v>HERRAMIENTAS_</v>
      </c>
      <c r="E551" s="33" t="str">
        <f>_xlfn.XLOOKUP(TablaSTOCKINV[[#This Row],[SKU]],TablaINVENTARIO[SKU],TablaINVENTARIO[SUBCATEGORIA])</f>
        <v xml:space="preserve">HERRAMIENTA DE MANO </v>
      </c>
      <c r="F551" s="33" t="str">
        <f>_xlfn.XLOOKUP(TablaSTOCKINV[[#This Row],[SKU]],TablaINVENTARIO[SKU],TablaINVENTARIO[ESTADO])</f>
        <v>USADO</v>
      </c>
      <c r="G551" s="33" t="str">
        <f>_xlfn.XLOOKUP(TablaSTOCKINV[[#This Row],[SKU]],TablaINVENTARIO[SKU],TablaINVENTARIO[MEDIDA])</f>
        <v>UND</v>
      </c>
      <c r="H551" s="33" t="str">
        <f>_xlfn.XLOOKUP(TablaSTOCKINV[[#This Row],[SKU]],TablaINVENTARIO[SKU],TablaINVENTARIO[SERIAL])</f>
        <v>N/A</v>
      </c>
      <c r="I551" s="34" t="str">
        <f>_xlfn.XLOOKUP(TablaSTOCKINV[[#This Row],[SKU]],TablaINVENTARIO[SKU],TablaINVENTARIO[ALMACEN])</f>
        <v>ALMACEN PRINCIPAL</v>
      </c>
      <c r="J551" s="34" t="str">
        <f>_xlfn.XLOOKUP(TablaSTOCKINV[[#This Row],[SKU]],TablaINVENTARIO[SKU],TablaINVENTARIO[UBICACION])</f>
        <v>E4-2</v>
      </c>
      <c r="K551" s="34" t="str">
        <f>_xlfn.XLOOKUP(TablaSTOCKINV[[#This Row],[SKU]],TablaINVENTARIO[SKU],TablaINVENTARIO[DPTO RESPONSABLE])</f>
        <v xml:space="preserve">OPERACIONES / MANTENIMIENTO </v>
      </c>
      <c r="L551" s="36">
        <f>_xlfn.XLOOKUP(TablaSTOCKINV[[#This Row],[SKU]],TablaINVENTARIO[SKU],TablaINVENTARIO[RANGO MIN])</f>
        <v>0</v>
      </c>
      <c r="M551" s="34" cm="1">
        <f t="array" ref="M551">_xlfn.IFS(TablaSTOCKINV[[#This Row],[CANT. TOTAL]]&lt;=0,1,TablaSTOCKINV[[#This Row],[CANT. TOTAL]]&lt;=TablaSTOCKINV[[#This Row],[MIN]],2,TablaSTOCKINV[[#This Row],[CANT. TOTAL]]&gt;TablaSTOCKINV[[#This Row],[MIN]],3)</f>
        <v>3</v>
      </c>
      <c r="N551" s="34">
        <f>TablaSTOCKINV[[#This Row],[ENTRADAS]]-TablaSTOCKINV[[#This Row],[SALIDAS]]</f>
        <v>1</v>
      </c>
      <c r="O551" s="35">
        <f>SUMIFS(TablaENTRADA[CANT],TablaENTRADA[SKU],TablaSTOCKINV[[#This Row],[SKU]])</f>
        <v>1</v>
      </c>
      <c r="P551" s="35">
        <f>SUMIFS(TablaSALIDA[CANT],TablaSALIDA[SKU],TablaSTOCKINV[[#This Row],[SKU]])</f>
        <v>0</v>
      </c>
      <c r="Q551" s="34">
        <f>_xlfn.XLOOKUP(TablaSTOCKINV[[#This Row],[SKU]],TablaINVENTARIO[SKU],TablaINVENTARIO[PRECIO])</f>
        <v>0</v>
      </c>
      <c r="R551" s="34">
        <f>TablaSTOCKINV[[#This Row],[P.UNITARIO]]*TablaSTOCKINV[[#This Row],[CANT. TOTAL]]</f>
        <v>0</v>
      </c>
      <c r="S551" s="44">
        <f>_xlfn.XLOOKUP(TablaSTOCKINV[[#This Row],[SKU]],TablaINVENTARIO[SKU],TablaINVENTARIO[FECHA INGRESO])</f>
        <v>46023</v>
      </c>
      <c r="T551" s="44">
        <f>_xlfn.XLOOKUP(TablaSTOCKINV[[#This Row],[SKU]],TablaENTRADA[SKU],TablaENTRADA[FECHA],,0,-1)</f>
        <v>46023</v>
      </c>
      <c r="U551" s="46" t="str">
        <f>IFERROR((_xlfn.XLOOKUP(TablaSTOCKINV[[#This Row],[SKU]],TablaSALIDA[SKU],TablaSALIDA[FECHA],,0,-1))," " )</f>
        <v xml:space="preserve"> </v>
      </c>
    </row>
    <row r="552" spans="1:21" x14ac:dyDescent="0.3">
      <c r="A552" s="27" t="s">
        <v>2750</v>
      </c>
      <c r="B552" s="32" t="str">
        <f>_xlfn.XLOOKUP(TablaSTOCKINV[[#This Row],[SKU]],TablaINVENTARIO[SKU],TablaINVENTARIO[DESCRIPCION])</f>
        <v>LLAVE COMBINADA 1-13/16</v>
      </c>
      <c r="C552" s="32" t="str">
        <f>_xlfn.XLOOKUP(TablaSTOCKINV[[#This Row],[SKU]],TablaINVENTARIO[SKU],TablaINVENTARIO[MARCA])</f>
        <v>STANLEY</v>
      </c>
      <c r="D552" s="33" t="str">
        <f>_xlfn.XLOOKUP(TablaSTOCKINV[[#This Row],[SKU]],TablaINVENTARIO[SKU],TablaINVENTARIO[CATEGORIA])</f>
        <v>HERRAMIENTAS_</v>
      </c>
      <c r="E552" s="33" t="str">
        <f>_xlfn.XLOOKUP(TablaSTOCKINV[[#This Row],[SKU]],TablaINVENTARIO[SKU],TablaINVENTARIO[SUBCATEGORIA])</f>
        <v xml:space="preserve">HERRAMIENTA DE MANO </v>
      </c>
      <c r="F552" s="33" t="str">
        <f>_xlfn.XLOOKUP(TablaSTOCKINV[[#This Row],[SKU]],TablaINVENTARIO[SKU],TablaINVENTARIO[ESTADO])</f>
        <v>USADO</v>
      </c>
      <c r="G552" s="33" t="str">
        <f>_xlfn.XLOOKUP(TablaSTOCKINV[[#This Row],[SKU]],TablaINVENTARIO[SKU],TablaINVENTARIO[MEDIDA])</f>
        <v>UND</v>
      </c>
      <c r="H552" s="33" t="str">
        <f>_xlfn.XLOOKUP(TablaSTOCKINV[[#This Row],[SKU]],TablaINVENTARIO[SKU],TablaINVENTARIO[SERIAL])</f>
        <v>N/A</v>
      </c>
      <c r="I552" s="34" t="str">
        <f>_xlfn.XLOOKUP(TablaSTOCKINV[[#This Row],[SKU]],TablaINVENTARIO[SKU],TablaINVENTARIO[ALMACEN])</f>
        <v>ALMACEN PRINCIPAL</v>
      </c>
      <c r="J552" s="34" t="str">
        <f>_xlfn.XLOOKUP(TablaSTOCKINV[[#This Row],[SKU]],TablaINVENTARIO[SKU],TablaINVENTARIO[UBICACION])</f>
        <v>E4-2</v>
      </c>
      <c r="K552" s="34" t="str">
        <f>_xlfn.XLOOKUP(TablaSTOCKINV[[#This Row],[SKU]],TablaINVENTARIO[SKU],TablaINVENTARIO[DPTO RESPONSABLE])</f>
        <v xml:space="preserve">OPERACIONES / MANTENIMIENTO </v>
      </c>
      <c r="L552" s="36">
        <f>_xlfn.XLOOKUP(TablaSTOCKINV[[#This Row],[SKU]],TablaINVENTARIO[SKU],TablaINVENTARIO[RANGO MIN])</f>
        <v>0</v>
      </c>
      <c r="M552" s="34" cm="1">
        <f t="array" ref="M552">_xlfn.IFS(TablaSTOCKINV[[#This Row],[CANT. TOTAL]]&lt;=0,1,TablaSTOCKINV[[#This Row],[CANT. TOTAL]]&lt;=TablaSTOCKINV[[#This Row],[MIN]],2,TablaSTOCKINV[[#This Row],[CANT. TOTAL]]&gt;TablaSTOCKINV[[#This Row],[MIN]],3)</f>
        <v>3</v>
      </c>
      <c r="N552" s="34">
        <f>TablaSTOCKINV[[#This Row],[ENTRADAS]]-TablaSTOCKINV[[#This Row],[SALIDAS]]</f>
        <v>2</v>
      </c>
      <c r="O552" s="35">
        <f>SUMIFS(TablaENTRADA[CANT],TablaENTRADA[SKU],TablaSTOCKINV[[#This Row],[SKU]])</f>
        <v>2</v>
      </c>
      <c r="P552" s="35">
        <f>SUMIFS(TablaSALIDA[CANT],TablaSALIDA[SKU],TablaSTOCKINV[[#This Row],[SKU]])</f>
        <v>0</v>
      </c>
      <c r="Q552" s="34">
        <f>_xlfn.XLOOKUP(TablaSTOCKINV[[#This Row],[SKU]],TablaINVENTARIO[SKU],TablaINVENTARIO[PRECIO])</f>
        <v>0</v>
      </c>
      <c r="R552" s="34">
        <f>TablaSTOCKINV[[#This Row],[P.UNITARIO]]*TablaSTOCKINV[[#This Row],[CANT. TOTAL]]</f>
        <v>0</v>
      </c>
      <c r="S552" s="44">
        <f>_xlfn.XLOOKUP(TablaSTOCKINV[[#This Row],[SKU]],TablaINVENTARIO[SKU],TablaINVENTARIO[FECHA INGRESO])</f>
        <v>46023</v>
      </c>
      <c r="T552" s="44">
        <f>_xlfn.XLOOKUP(TablaSTOCKINV[[#This Row],[SKU]],TablaENTRADA[SKU],TablaENTRADA[FECHA],,0,-1)</f>
        <v>46023</v>
      </c>
      <c r="U552" s="46" t="str">
        <f>IFERROR((_xlfn.XLOOKUP(TablaSTOCKINV[[#This Row],[SKU]],TablaSALIDA[SKU],TablaSALIDA[FECHA],,0,-1))," " )</f>
        <v xml:space="preserve"> </v>
      </c>
    </row>
    <row r="553" spans="1:21" x14ac:dyDescent="0.3">
      <c r="A553" s="27" t="s">
        <v>2752</v>
      </c>
      <c r="B553" s="32" t="str">
        <f>_xlfn.XLOOKUP(TablaSTOCKINV[[#This Row],[SKU]],TablaINVENTARIO[SKU],TablaINVENTARIO[DESCRIPCION])</f>
        <v>LLAVE COMBINADA 1-5/8"</v>
      </c>
      <c r="C553" s="32" t="str">
        <f>_xlfn.XLOOKUP(TablaSTOCKINV[[#This Row],[SKU]],TablaINVENTARIO[SKU],TablaINVENTARIO[MARCA])</f>
        <v>STANLEY</v>
      </c>
      <c r="D553" s="33" t="str">
        <f>_xlfn.XLOOKUP(TablaSTOCKINV[[#This Row],[SKU]],TablaINVENTARIO[SKU],TablaINVENTARIO[CATEGORIA])</f>
        <v>HERRAMIENTAS_</v>
      </c>
      <c r="E553" s="33" t="str">
        <f>_xlfn.XLOOKUP(TablaSTOCKINV[[#This Row],[SKU]],TablaINVENTARIO[SKU],TablaINVENTARIO[SUBCATEGORIA])</f>
        <v xml:space="preserve">HERRAMIENTA DE MANO </v>
      </c>
      <c r="F553" s="33" t="str">
        <f>_xlfn.XLOOKUP(TablaSTOCKINV[[#This Row],[SKU]],TablaINVENTARIO[SKU],TablaINVENTARIO[ESTADO])</f>
        <v>USADO</v>
      </c>
      <c r="G553" s="33" t="str">
        <f>_xlfn.XLOOKUP(TablaSTOCKINV[[#This Row],[SKU]],TablaINVENTARIO[SKU],TablaINVENTARIO[MEDIDA])</f>
        <v>UND</v>
      </c>
      <c r="H553" s="33" t="str">
        <f>_xlfn.XLOOKUP(TablaSTOCKINV[[#This Row],[SKU]],TablaINVENTARIO[SKU],TablaINVENTARIO[SERIAL])</f>
        <v>N/A</v>
      </c>
      <c r="I553" s="34" t="str">
        <f>_xlfn.XLOOKUP(TablaSTOCKINV[[#This Row],[SKU]],TablaINVENTARIO[SKU],TablaINVENTARIO[ALMACEN])</f>
        <v>ALMACEN PRINCIPAL</v>
      </c>
      <c r="J553" s="34" t="str">
        <f>_xlfn.XLOOKUP(TablaSTOCKINV[[#This Row],[SKU]],TablaINVENTARIO[SKU],TablaINVENTARIO[UBICACION])</f>
        <v>E4-2</v>
      </c>
      <c r="K553" s="34" t="str">
        <f>_xlfn.XLOOKUP(TablaSTOCKINV[[#This Row],[SKU]],TablaINVENTARIO[SKU],TablaINVENTARIO[DPTO RESPONSABLE])</f>
        <v xml:space="preserve">OPERACIONES / MANTENIMIENTO </v>
      </c>
      <c r="L553" s="36">
        <f>_xlfn.XLOOKUP(TablaSTOCKINV[[#This Row],[SKU]],TablaINVENTARIO[SKU],TablaINVENTARIO[RANGO MIN])</f>
        <v>0</v>
      </c>
      <c r="M553" s="34" cm="1">
        <f t="array" ref="M553">_xlfn.IFS(TablaSTOCKINV[[#This Row],[CANT. TOTAL]]&lt;=0,1,TablaSTOCKINV[[#This Row],[CANT. TOTAL]]&lt;=TablaSTOCKINV[[#This Row],[MIN]],2,TablaSTOCKINV[[#This Row],[CANT. TOTAL]]&gt;TablaSTOCKINV[[#This Row],[MIN]],3)</f>
        <v>3</v>
      </c>
      <c r="N553" s="34">
        <f>TablaSTOCKINV[[#This Row],[ENTRADAS]]-TablaSTOCKINV[[#This Row],[SALIDAS]]</f>
        <v>1</v>
      </c>
      <c r="O553" s="35">
        <f>SUMIFS(TablaENTRADA[CANT],TablaENTRADA[SKU],TablaSTOCKINV[[#This Row],[SKU]])</f>
        <v>1</v>
      </c>
      <c r="P553" s="35">
        <f>SUMIFS(TablaSALIDA[CANT],TablaSALIDA[SKU],TablaSTOCKINV[[#This Row],[SKU]])</f>
        <v>0</v>
      </c>
      <c r="Q553" s="34">
        <f>_xlfn.XLOOKUP(TablaSTOCKINV[[#This Row],[SKU]],TablaINVENTARIO[SKU],TablaINVENTARIO[PRECIO])</f>
        <v>0</v>
      </c>
      <c r="R553" s="34">
        <f>TablaSTOCKINV[[#This Row],[P.UNITARIO]]*TablaSTOCKINV[[#This Row],[CANT. TOTAL]]</f>
        <v>0</v>
      </c>
      <c r="S553" s="44">
        <f>_xlfn.XLOOKUP(TablaSTOCKINV[[#This Row],[SKU]],TablaINVENTARIO[SKU],TablaINVENTARIO[FECHA INGRESO])</f>
        <v>46023</v>
      </c>
      <c r="T553" s="44">
        <f>_xlfn.XLOOKUP(TablaSTOCKINV[[#This Row],[SKU]],TablaENTRADA[SKU],TablaENTRADA[FECHA],,0,-1)</f>
        <v>46023</v>
      </c>
      <c r="U553" s="46" t="str">
        <f>IFERROR((_xlfn.XLOOKUP(TablaSTOCKINV[[#This Row],[SKU]],TablaSALIDA[SKU],TablaSALIDA[FECHA],,0,-1))," " )</f>
        <v xml:space="preserve"> </v>
      </c>
    </row>
    <row r="554" spans="1:21" x14ac:dyDescent="0.3">
      <c r="A554" s="27" t="s">
        <v>2754</v>
      </c>
      <c r="B554" s="32" t="str">
        <f>_xlfn.XLOOKUP(TablaSTOCKINV[[#This Row],[SKU]],TablaINVENTARIO[SKU],TablaINVENTARIO[DESCRIPCION])</f>
        <v>LLAVE COMBINADA 1-7/8"</v>
      </c>
      <c r="C554" s="32" t="str">
        <f>_xlfn.XLOOKUP(TablaSTOCKINV[[#This Row],[SKU]],TablaINVENTARIO[SKU],TablaINVENTARIO[MARCA])</f>
        <v>STANLEY</v>
      </c>
      <c r="D554" s="33" t="str">
        <f>_xlfn.XLOOKUP(TablaSTOCKINV[[#This Row],[SKU]],TablaINVENTARIO[SKU],TablaINVENTARIO[CATEGORIA])</f>
        <v>HERRAMIENTAS_</v>
      </c>
      <c r="E554" s="33" t="str">
        <f>_xlfn.XLOOKUP(TablaSTOCKINV[[#This Row],[SKU]],TablaINVENTARIO[SKU],TablaINVENTARIO[SUBCATEGORIA])</f>
        <v xml:space="preserve">HERRAMIENTA DE MANO </v>
      </c>
      <c r="F554" s="33" t="str">
        <f>_xlfn.XLOOKUP(TablaSTOCKINV[[#This Row],[SKU]],TablaINVENTARIO[SKU],TablaINVENTARIO[ESTADO])</f>
        <v>USADO</v>
      </c>
      <c r="G554" s="33" t="str">
        <f>_xlfn.XLOOKUP(TablaSTOCKINV[[#This Row],[SKU]],TablaINVENTARIO[SKU],TablaINVENTARIO[MEDIDA])</f>
        <v>UND</v>
      </c>
      <c r="H554" s="33" t="str">
        <f>_xlfn.XLOOKUP(TablaSTOCKINV[[#This Row],[SKU]],TablaINVENTARIO[SKU],TablaINVENTARIO[SERIAL])</f>
        <v>N/A</v>
      </c>
      <c r="I554" s="34" t="str">
        <f>_xlfn.XLOOKUP(TablaSTOCKINV[[#This Row],[SKU]],TablaINVENTARIO[SKU],TablaINVENTARIO[ALMACEN])</f>
        <v>ALMACEN PRINCIPAL</v>
      </c>
      <c r="J554" s="34" t="str">
        <f>_xlfn.XLOOKUP(TablaSTOCKINV[[#This Row],[SKU]],TablaINVENTARIO[SKU],TablaINVENTARIO[UBICACION])</f>
        <v>E4-2</v>
      </c>
      <c r="K554" s="34" t="str">
        <f>_xlfn.XLOOKUP(TablaSTOCKINV[[#This Row],[SKU]],TablaINVENTARIO[SKU],TablaINVENTARIO[DPTO RESPONSABLE])</f>
        <v xml:space="preserve">OPERACIONES / MANTENIMIENTO </v>
      </c>
      <c r="L554" s="36">
        <f>_xlfn.XLOOKUP(TablaSTOCKINV[[#This Row],[SKU]],TablaINVENTARIO[SKU],TablaINVENTARIO[RANGO MIN])</f>
        <v>0</v>
      </c>
      <c r="M554" s="34" cm="1">
        <f t="array" ref="M554">_xlfn.IFS(TablaSTOCKINV[[#This Row],[CANT. TOTAL]]&lt;=0,1,TablaSTOCKINV[[#This Row],[CANT. TOTAL]]&lt;=TablaSTOCKINV[[#This Row],[MIN]],2,TablaSTOCKINV[[#This Row],[CANT. TOTAL]]&gt;TablaSTOCKINV[[#This Row],[MIN]],3)</f>
        <v>3</v>
      </c>
      <c r="N554" s="34">
        <f>TablaSTOCKINV[[#This Row],[ENTRADAS]]-TablaSTOCKINV[[#This Row],[SALIDAS]]</f>
        <v>1</v>
      </c>
      <c r="O554" s="35">
        <f>SUMIFS(TablaENTRADA[CANT],TablaENTRADA[SKU],TablaSTOCKINV[[#This Row],[SKU]])</f>
        <v>1</v>
      </c>
      <c r="P554" s="35">
        <f>SUMIFS(TablaSALIDA[CANT],TablaSALIDA[SKU],TablaSTOCKINV[[#This Row],[SKU]])</f>
        <v>0</v>
      </c>
      <c r="Q554" s="34">
        <f>_xlfn.XLOOKUP(TablaSTOCKINV[[#This Row],[SKU]],TablaINVENTARIO[SKU],TablaINVENTARIO[PRECIO])</f>
        <v>0</v>
      </c>
      <c r="R554" s="34">
        <f>TablaSTOCKINV[[#This Row],[P.UNITARIO]]*TablaSTOCKINV[[#This Row],[CANT. TOTAL]]</f>
        <v>0</v>
      </c>
      <c r="S554" s="44">
        <f>_xlfn.XLOOKUP(TablaSTOCKINV[[#This Row],[SKU]],TablaINVENTARIO[SKU],TablaINVENTARIO[FECHA INGRESO])</f>
        <v>46023</v>
      </c>
      <c r="T554" s="44">
        <f>_xlfn.XLOOKUP(TablaSTOCKINV[[#This Row],[SKU]],TablaENTRADA[SKU],TablaENTRADA[FECHA],,0,-1)</f>
        <v>46023</v>
      </c>
      <c r="U554" s="46" t="str">
        <f>IFERROR((_xlfn.XLOOKUP(TablaSTOCKINV[[#This Row],[SKU]],TablaSALIDA[SKU],TablaSALIDA[FECHA],,0,-1))," " )</f>
        <v xml:space="preserve"> </v>
      </c>
    </row>
    <row r="555" spans="1:21" x14ac:dyDescent="0.3">
      <c r="A555" s="27" t="s">
        <v>2756</v>
      </c>
      <c r="B555" s="32" t="str">
        <f>_xlfn.XLOOKUP(TablaSTOCKINV[[#This Row],[SKU]],TablaINVENTARIO[SKU],TablaINVENTARIO[DESCRIPCION])</f>
        <v>LLAVE COMBINADA 1-7/16"</v>
      </c>
      <c r="C555" s="32" t="str">
        <f>_xlfn.XLOOKUP(TablaSTOCKINV[[#This Row],[SKU]],TablaINVENTARIO[SKU],TablaINVENTARIO[MARCA])</f>
        <v>STANLEY</v>
      </c>
      <c r="D555" s="33" t="str">
        <f>_xlfn.XLOOKUP(TablaSTOCKINV[[#This Row],[SKU]],TablaINVENTARIO[SKU],TablaINVENTARIO[CATEGORIA])</f>
        <v>HERRAMIENTAS_</v>
      </c>
      <c r="E555" s="33" t="str">
        <f>_xlfn.XLOOKUP(TablaSTOCKINV[[#This Row],[SKU]],TablaINVENTARIO[SKU],TablaINVENTARIO[SUBCATEGORIA])</f>
        <v xml:space="preserve">HERRAMIENTA DE MANO </v>
      </c>
      <c r="F555" s="33" t="str">
        <f>_xlfn.XLOOKUP(TablaSTOCKINV[[#This Row],[SKU]],TablaINVENTARIO[SKU],TablaINVENTARIO[ESTADO])</f>
        <v>USADO</v>
      </c>
      <c r="G555" s="33" t="str">
        <f>_xlfn.XLOOKUP(TablaSTOCKINV[[#This Row],[SKU]],TablaINVENTARIO[SKU],TablaINVENTARIO[MEDIDA])</f>
        <v>UND</v>
      </c>
      <c r="H555" s="33" t="str">
        <f>_xlfn.XLOOKUP(TablaSTOCKINV[[#This Row],[SKU]],TablaINVENTARIO[SKU],TablaINVENTARIO[SERIAL])</f>
        <v>N/A</v>
      </c>
      <c r="I555" s="34" t="str">
        <f>_xlfn.XLOOKUP(TablaSTOCKINV[[#This Row],[SKU]],TablaINVENTARIO[SKU],TablaINVENTARIO[ALMACEN])</f>
        <v>ALMACEN PRINCIPAL</v>
      </c>
      <c r="J555" s="34" t="str">
        <f>_xlfn.XLOOKUP(TablaSTOCKINV[[#This Row],[SKU]],TablaINVENTARIO[SKU],TablaINVENTARIO[UBICACION])</f>
        <v>E4-2</v>
      </c>
      <c r="K555" s="34" t="str">
        <f>_xlfn.XLOOKUP(TablaSTOCKINV[[#This Row],[SKU]],TablaINVENTARIO[SKU],TablaINVENTARIO[DPTO RESPONSABLE])</f>
        <v xml:space="preserve">OPERACIONES / MANTENIMIENTO </v>
      </c>
      <c r="L555" s="36">
        <f>_xlfn.XLOOKUP(TablaSTOCKINV[[#This Row],[SKU]],TablaINVENTARIO[SKU],TablaINVENTARIO[RANGO MIN])</f>
        <v>0</v>
      </c>
      <c r="M555" s="34" cm="1">
        <f t="array" ref="M555">_xlfn.IFS(TablaSTOCKINV[[#This Row],[CANT. TOTAL]]&lt;=0,1,TablaSTOCKINV[[#This Row],[CANT. TOTAL]]&lt;=TablaSTOCKINV[[#This Row],[MIN]],2,TablaSTOCKINV[[#This Row],[CANT. TOTAL]]&gt;TablaSTOCKINV[[#This Row],[MIN]],3)</f>
        <v>3</v>
      </c>
      <c r="N555" s="34">
        <f>TablaSTOCKINV[[#This Row],[ENTRADAS]]-TablaSTOCKINV[[#This Row],[SALIDAS]]</f>
        <v>1</v>
      </c>
      <c r="O555" s="35">
        <f>SUMIFS(TablaENTRADA[CANT],TablaENTRADA[SKU],TablaSTOCKINV[[#This Row],[SKU]])</f>
        <v>1</v>
      </c>
      <c r="P555" s="35">
        <f>SUMIFS(TablaSALIDA[CANT],TablaSALIDA[SKU],TablaSTOCKINV[[#This Row],[SKU]])</f>
        <v>0</v>
      </c>
      <c r="Q555" s="34">
        <f>_xlfn.XLOOKUP(TablaSTOCKINV[[#This Row],[SKU]],TablaINVENTARIO[SKU],TablaINVENTARIO[PRECIO])</f>
        <v>0</v>
      </c>
      <c r="R555" s="34">
        <f>TablaSTOCKINV[[#This Row],[P.UNITARIO]]*TablaSTOCKINV[[#This Row],[CANT. TOTAL]]</f>
        <v>0</v>
      </c>
      <c r="S555" s="44">
        <f>_xlfn.XLOOKUP(TablaSTOCKINV[[#This Row],[SKU]],TablaINVENTARIO[SKU],TablaINVENTARIO[FECHA INGRESO])</f>
        <v>46023</v>
      </c>
      <c r="T555" s="44">
        <f>_xlfn.XLOOKUP(TablaSTOCKINV[[#This Row],[SKU]],TablaENTRADA[SKU],TablaENTRADA[FECHA],,0,-1)</f>
        <v>46023</v>
      </c>
      <c r="U555" s="46" t="str">
        <f>IFERROR((_xlfn.XLOOKUP(TablaSTOCKINV[[#This Row],[SKU]],TablaSALIDA[SKU],TablaSALIDA[FECHA],,0,-1))," " )</f>
        <v xml:space="preserve"> </v>
      </c>
    </row>
    <row r="556" spans="1:21" x14ac:dyDescent="0.3">
      <c r="A556" s="27" t="s">
        <v>2758</v>
      </c>
      <c r="B556" s="32" t="str">
        <f>_xlfn.XLOOKUP(TablaSTOCKINV[[#This Row],[SKU]],TablaINVENTARIO[SKU],TablaINVENTARIO[DESCRIPCION])</f>
        <v>LLAVE COMBINADA 1-1/4</v>
      </c>
      <c r="C556" s="32" t="str">
        <f>_xlfn.XLOOKUP(TablaSTOCKINV[[#This Row],[SKU]],TablaINVENTARIO[SKU],TablaINVENTARIO[MARCA])</f>
        <v>STANLEY</v>
      </c>
      <c r="D556" s="33" t="str">
        <f>_xlfn.XLOOKUP(TablaSTOCKINV[[#This Row],[SKU]],TablaINVENTARIO[SKU],TablaINVENTARIO[CATEGORIA])</f>
        <v>HERRAMIENTAS_</v>
      </c>
      <c r="E556" s="33" t="str">
        <f>_xlfn.XLOOKUP(TablaSTOCKINV[[#This Row],[SKU]],TablaINVENTARIO[SKU],TablaINVENTARIO[SUBCATEGORIA])</f>
        <v xml:space="preserve">HERRAMIENTA DE MANO </v>
      </c>
      <c r="F556" s="33" t="str">
        <f>_xlfn.XLOOKUP(TablaSTOCKINV[[#This Row],[SKU]],TablaINVENTARIO[SKU],TablaINVENTARIO[ESTADO])</f>
        <v>USADO</v>
      </c>
      <c r="G556" s="33" t="str">
        <f>_xlfn.XLOOKUP(TablaSTOCKINV[[#This Row],[SKU]],TablaINVENTARIO[SKU],TablaINVENTARIO[MEDIDA])</f>
        <v>UND</v>
      </c>
      <c r="H556" s="33" t="str">
        <f>_xlfn.XLOOKUP(TablaSTOCKINV[[#This Row],[SKU]],TablaINVENTARIO[SKU],TablaINVENTARIO[SERIAL])</f>
        <v>N/A</v>
      </c>
      <c r="I556" s="34" t="str">
        <f>_xlfn.XLOOKUP(TablaSTOCKINV[[#This Row],[SKU]],TablaINVENTARIO[SKU],TablaINVENTARIO[ALMACEN])</f>
        <v>ALMACEN PRINCIPAL</v>
      </c>
      <c r="J556" s="34" t="str">
        <f>_xlfn.XLOOKUP(TablaSTOCKINV[[#This Row],[SKU]],TablaINVENTARIO[SKU],TablaINVENTARIO[UBICACION])</f>
        <v>E4-2</v>
      </c>
      <c r="K556" s="34" t="str">
        <f>_xlfn.XLOOKUP(TablaSTOCKINV[[#This Row],[SKU]],TablaINVENTARIO[SKU],TablaINVENTARIO[DPTO RESPONSABLE])</f>
        <v xml:space="preserve">OPERACIONES / MANTENIMIENTO </v>
      </c>
      <c r="L556" s="36">
        <f>_xlfn.XLOOKUP(TablaSTOCKINV[[#This Row],[SKU]],TablaINVENTARIO[SKU],TablaINVENTARIO[RANGO MIN])</f>
        <v>0</v>
      </c>
      <c r="M556" s="34" cm="1">
        <f t="array" ref="M556">_xlfn.IFS(TablaSTOCKINV[[#This Row],[CANT. TOTAL]]&lt;=0,1,TablaSTOCKINV[[#This Row],[CANT. TOTAL]]&lt;=TablaSTOCKINV[[#This Row],[MIN]],2,TablaSTOCKINV[[#This Row],[CANT. TOTAL]]&gt;TablaSTOCKINV[[#This Row],[MIN]],3)</f>
        <v>3</v>
      </c>
      <c r="N556" s="34">
        <f>TablaSTOCKINV[[#This Row],[ENTRADAS]]-TablaSTOCKINV[[#This Row],[SALIDAS]]</f>
        <v>7</v>
      </c>
      <c r="O556" s="35">
        <f>SUMIFS(TablaENTRADA[CANT],TablaENTRADA[SKU],TablaSTOCKINV[[#This Row],[SKU]])</f>
        <v>7</v>
      </c>
      <c r="P556" s="35">
        <f>SUMIFS(TablaSALIDA[CANT],TablaSALIDA[SKU],TablaSTOCKINV[[#This Row],[SKU]])</f>
        <v>0</v>
      </c>
      <c r="Q556" s="34">
        <f>_xlfn.XLOOKUP(TablaSTOCKINV[[#This Row],[SKU]],TablaINVENTARIO[SKU],TablaINVENTARIO[PRECIO])</f>
        <v>0</v>
      </c>
      <c r="R556" s="34">
        <f>TablaSTOCKINV[[#This Row],[P.UNITARIO]]*TablaSTOCKINV[[#This Row],[CANT. TOTAL]]</f>
        <v>0</v>
      </c>
      <c r="S556" s="44">
        <f>_xlfn.XLOOKUP(TablaSTOCKINV[[#This Row],[SKU]],TablaINVENTARIO[SKU],TablaINVENTARIO[FECHA INGRESO])</f>
        <v>46023</v>
      </c>
      <c r="T556" s="44">
        <f>_xlfn.XLOOKUP(TablaSTOCKINV[[#This Row],[SKU]],TablaENTRADA[SKU],TablaENTRADA[FECHA],,0,-1)</f>
        <v>46023</v>
      </c>
      <c r="U556" s="46" t="str">
        <f>IFERROR((_xlfn.XLOOKUP(TablaSTOCKINV[[#This Row],[SKU]],TablaSALIDA[SKU],TablaSALIDA[FECHA],,0,-1))," " )</f>
        <v xml:space="preserve"> </v>
      </c>
    </row>
    <row r="557" spans="1:21" x14ac:dyDescent="0.3">
      <c r="A557" s="27" t="s">
        <v>2760</v>
      </c>
      <c r="B557" s="32" t="str">
        <f>_xlfn.XLOOKUP(TablaSTOCKINV[[#This Row],[SKU]],TablaINVENTARIO[SKU],TablaINVENTARIO[DESCRIPCION])</f>
        <v>LLAVE COMBINADA 23MM</v>
      </c>
      <c r="C557" s="32" t="str">
        <f>_xlfn.XLOOKUP(TablaSTOCKINV[[#This Row],[SKU]],TablaINVENTARIO[SKU],TablaINVENTARIO[MARCA])</f>
        <v>STANLEY</v>
      </c>
      <c r="D557" s="33" t="str">
        <f>_xlfn.XLOOKUP(TablaSTOCKINV[[#This Row],[SKU]],TablaINVENTARIO[SKU],TablaINVENTARIO[CATEGORIA])</f>
        <v>HERRAMIENTAS_</v>
      </c>
      <c r="E557" s="33" t="str">
        <f>_xlfn.XLOOKUP(TablaSTOCKINV[[#This Row],[SKU]],TablaINVENTARIO[SKU],TablaINVENTARIO[SUBCATEGORIA])</f>
        <v xml:space="preserve">HERRAMIENTA DE MANO </v>
      </c>
      <c r="F557" s="33" t="str">
        <f>_xlfn.XLOOKUP(TablaSTOCKINV[[#This Row],[SKU]],TablaINVENTARIO[SKU],TablaINVENTARIO[ESTADO])</f>
        <v>USADO</v>
      </c>
      <c r="G557" s="33" t="str">
        <f>_xlfn.XLOOKUP(TablaSTOCKINV[[#This Row],[SKU]],TablaINVENTARIO[SKU],TablaINVENTARIO[MEDIDA])</f>
        <v>UND</v>
      </c>
      <c r="H557" s="33" t="str">
        <f>_xlfn.XLOOKUP(TablaSTOCKINV[[#This Row],[SKU]],TablaINVENTARIO[SKU],TablaINVENTARIO[SERIAL])</f>
        <v>N/A</v>
      </c>
      <c r="I557" s="34" t="str">
        <f>_xlfn.XLOOKUP(TablaSTOCKINV[[#This Row],[SKU]],TablaINVENTARIO[SKU],TablaINVENTARIO[ALMACEN])</f>
        <v>ALMACEN PRINCIPAL</v>
      </c>
      <c r="J557" s="34" t="str">
        <f>_xlfn.XLOOKUP(TablaSTOCKINV[[#This Row],[SKU]],TablaINVENTARIO[SKU],TablaINVENTARIO[UBICACION])</f>
        <v>E4-2</v>
      </c>
      <c r="K557" s="34" t="str">
        <f>_xlfn.XLOOKUP(TablaSTOCKINV[[#This Row],[SKU]],TablaINVENTARIO[SKU],TablaINVENTARIO[DPTO RESPONSABLE])</f>
        <v xml:space="preserve">OPERACIONES / MANTENIMIENTO </v>
      </c>
      <c r="L557" s="36">
        <f>_xlfn.XLOOKUP(TablaSTOCKINV[[#This Row],[SKU]],TablaINVENTARIO[SKU],TablaINVENTARIO[RANGO MIN])</f>
        <v>0</v>
      </c>
      <c r="M557" s="34" cm="1">
        <f t="array" ref="M557">_xlfn.IFS(TablaSTOCKINV[[#This Row],[CANT. TOTAL]]&lt;=0,1,TablaSTOCKINV[[#This Row],[CANT. TOTAL]]&lt;=TablaSTOCKINV[[#This Row],[MIN]],2,TablaSTOCKINV[[#This Row],[CANT. TOTAL]]&gt;TablaSTOCKINV[[#This Row],[MIN]],3)</f>
        <v>3</v>
      </c>
      <c r="N557" s="34">
        <f>TablaSTOCKINV[[#This Row],[ENTRADAS]]-TablaSTOCKINV[[#This Row],[SALIDAS]]</f>
        <v>1</v>
      </c>
      <c r="O557" s="35">
        <f>SUMIFS(TablaENTRADA[CANT],TablaENTRADA[SKU],TablaSTOCKINV[[#This Row],[SKU]])</f>
        <v>1</v>
      </c>
      <c r="P557" s="35">
        <f>SUMIFS(TablaSALIDA[CANT],TablaSALIDA[SKU],TablaSTOCKINV[[#This Row],[SKU]])</f>
        <v>0</v>
      </c>
      <c r="Q557" s="34">
        <f>_xlfn.XLOOKUP(TablaSTOCKINV[[#This Row],[SKU]],TablaINVENTARIO[SKU],TablaINVENTARIO[PRECIO])</f>
        <v>0</v>
      </c>
      <c r="R557" s="34">
        <f>TablaSTOCKINV[[#This Row],[P.UNITARIO]]*TablaSTOCKINV[[#This Row],[CANT. TOTAL]]</f>
        <v>0</v>
      </c>
      <c r="S557" s="44">
        <f>_xlfn.XLOOKUP(TablaSTOCKINV[[#This Row],[SKU]],TablaINVENTARIO[SKU],TablaINVENTARIO[FECHA INGRESO])</f>
        <v>46023</v>
      </c>
      <c r="T557" s="44">
        <f>_xlfn.XLOOKUP(TablaSTOCKINV[[#This Row],[SKU]],TablaENTRADA[SKU],TablaENTRADA[FECHA],,0,-1)</f>
        <v>46023</v>
      </c>
      <c r="U557" s="46" t="str">
        <f>IFERROR((_xlfn.XLOOKUP(TablaSTOCKINV[[#This Row],[SKU]],TablaSALIDA[SKU],TablaSALIDA[FECHA],,0,-1))," " )</f>
        <v xml:space="preserve"> </v>
      </c>
    </row>
    <row r="558" spans="1:21" x14ac:dyDescent="0.3">
      <c r="A558" s="27" t="s">
        <v>2762</v>
      </c>
      <c r="B558" s="32" t="str">
        <f>_xlfn.XLOOKUP(TablaSTOCKINV[[#This Row],[SKU]],TablaINVENTARIO[SKU],TablaINVENTARIO[DESCRIPCION])</f>
        <v>LLAVE COMBINADA 22MM</v>
      </c>
      <c r="C558" s="32" t="str">
        <f>_xlfn.XLOOKUP(TablaSTOCKINV[[#This Row],[SKU]],TablaINVENTARIO[SKU],TablaINVENTARIO[MARCA])</f>
        <v>STANLEY</v>
      </c>
      <c r="D558" s="33" t="str">
        <f>_xlfn.XLOOKUP(TablaSTOCKINV[[#This Row],[SKU]],TablaINVENTARIO[SKU],TablaINVENTARIO[CATEGORIA])</f>
        <v>HERRAMIENTAS_</v>
      </c>
      <c r="E558" s="33" t="str">
        <f>_xlfn.XLOOKUP(TablaSTOCKINV[[#This Row],[SKU]],TablaINVENTARIO[SKU],TablaINVENTARIO[SUBCATEGORIA])</f>
        <v xml:space="preserve">HERRAMIENTA DE MANO </v>
      </c>
      <c r="F558" s="33" t="str">
        <f>_xlfn.XLOOKUP(TablaSTOCKINV[[#This Row],[SKU]],TablaINVENTARIO[SKU],TablaINVENTARIO[ESTADO])</f>
        <v>USADO</v>
      </c>
      <c r="G558" s="33" t="str">
        <f>_xlfn.XLOOKUP(TablaSTOCKINV[[#This Row],[SKU]],TablaINVENTARIO[SKU],TablaINVENTARIO[MEDIDA])</f>
        <v>UND</v>
      </c>
      <c r="H558" s="33" t="str">
        <f>_xlfn.XLOOKUP(TablaSTOCKINV[[#This Row],[SKU]],TablaINVENTARIO[SKU],TablaINVENTARIO[SERIAL])</f>
        <v>N/A</v>
      </c>
      <c r="I558" s="34" t="str">
        <f>_xlfn.XLOOKUP(TablaSTOCKINV[[#This Row],[SKU]],TablaINVENTARIO[SKU],TablaINVENTARIO[ALMACEN])</f>
        <v>ALMACEN PRINCIPAL</v>
      </c>
      <c r="J558" s="34" t="str">
        <f>_xlfn.XLOOKUP(TablaSTOCKINV[[#This Row],[SKU]],TablaINVENTARIO[SKU],TablaINVENTARIO[UBICACION])</f>
        <v>E4-2</v>
      </c>
      <c r="K558" s="34" t="str">
        <f>_xlfn.XLOOKUP(TablaSTOCKINV[[#This Row],[SKU]],TablaINVENTARIO[SKU],TablaINVENTARIO[DPTO RESPONSABLE])</f>
        <v xml:space="preserve">OPERACIONES / MANTENIMIENTO </v>
      </c>
      <c r="L558" s="36">
        <f>_xlfn.XLOOKUP(TablaSTOCKINV[[#This Row],[SKU]],TablaINVENTARIO[SKU],TablaINVENTARIO[RANGO MIN])</f>
        <v>0</v>
      </c>
      <c r="M558" s="34" cm="1">
        <f t="array" ref="M558">_xlfn.IFS(TablaSTOCKINV[[#This Row],[CANT. TOTAL]]&lt;=0,1,TablaSTOCKINV[[#This Row],[CANT. TOTAL]]&lt;=TablaSTOCKINV[[#This Row],[MIN]],2,TablaSTOCKINV[[#This Row],[CANT. TOTAL]]&gt;TablaSTOCKINV[[#This Row],[MIN]],3)</f>
        <v>3</v>
      </c>
      <c r="N558" s="34">
        <f>TablaSTOCKINV[[#This Row],[ENTRADAS]]-TablaSTOCKINV[[#This Row],[SALIDAS]]</f>
        <v>2</v>
      </c>
      <c r="O558" s="35">
        <f>SUMIFS(TablaENTRADA[CANT],TablaENTRADA[SKU],TablaSTOCKINV[[#This Row],[SKU]])</f>
        <v>2</v>
      </c>
      <c r="P558" s="35">
        <f>SUMIFS(TablaSALIDA[CANT],TablaSALIDA[SKU],TablaSTOCKINV[[#This Row],[SKU]])</f>
        <v>0</v>
      </c>
      <c r="Q558" s="34">
        <f>_xlfn.XLOOKUP(TablaSTOCKINV[[#This Row],[SKU]],TablaINVENTARIO[SKU],TablaINVENTARIO[PRECIO])</f>
        <v>0</v>
      </c>
      <c r="R558" s="34">
        <f>TablaSTOCKINV[[#This Row],[P.UNITARIO]]*TablaSTOCKINV[[#This Row],[CANT. TOTAL]]</f>
        <v>0</v>
      </c>
      <c r="S558" s="44">
        <f>_xlfn.XLOOKUP(TablaSTOCKINV[[#This Row],[SKU]],TablaINVENTARIO[SKU],TablaINVENTARIO[FECHA INGRESO])</f>
        <v>46023</v>
      </c>
      <c r="T558" s="44">
        <f>_xlfn.XLOOKUP(TablaSTOCKINV[[#This Row],[SKU]],TablaENTRADA[SKU],TablaENTRADA[FECHA],,0,-1)</f>
        <v>46023</v>
      </c>
      <c r="U558" s="46" t="str">
        <f>IFERROR((_xlfn.XLOOKUP(TablaSTOCKINV[[#This Row],[SKU]],TablaSALIDA[SKU],TablaSALIDA[FECHA],,0,-1))," " )</f>
        <v xml:space="preserve"> </v>
      </c>
    </row>
    <row r="559" spans="1:21" x14ac:dyDescent="0.3">
      <c r="A559" s="27" t="s">
        <v>2764</v>
      </c>
      <c r="B559" s="32" t="str">
        <f>_xlfn.XLOOKUP(TablaSTOCKINV[[#This Row],[SKU]],TablaINVENTARIO[SKU],TablaINVENTARIO[DESCRIPCION])</f>
        <v>LLAVE COMBINADA 21MM</v>
      </c>
      <c r="C559" s="32" t="str">
        <f>_xlfn.XLOOKUP(TablaSTOCKINV[[#This Row],[SKU]],TablaINVENTARIO[SKU],TablaINVENTARIO[MARCA])</f>
        <v>STANLEY</v>
      </c>
      <c r="D559" s="33" t="str">
        <f>_xlfn.XLOOKUP(TablaSTOCKINV[[#This Row],[SKU]],TablaINVENTARIO[SKU],TablaINVENTARIO[CATEGORIA])</f>
        <v>HERRAMIENTAS_</v>
      </c>
      <c r="E559" s="33" t="str">
        <f>_xlfn.XLOOKUP(TablaSTOCKINV[[#This Row],[SKU]],TablaINVENTARIO[SKU],TablaINVENTARIO[SUBCATEGORIA])</f>
        <v xml:space="preserve">HERRAMIENTA DE MANO </v>
      </c>
      <c r="F559" s="33" t="str">
        <f>_xlfn.XLOOKUP(TablaSTOCKINV[[#This Row],[SKU]],TablaINVENTARIO[SKU],TablaINVENTARIO[ESTADO])</f>
        <v>USADO</v>
      </c>
      <c r="G559" s="33" t="str">
        <f>_xlfn.XLOOKUP(TablaSTOCKINV[[#This Row],[SKU]],TablaINVENTARIO[SKU],TablaINVENTARIO[MEDIDA])</f>
        <v>UND</v>
      </c>
      <c r="H559" s="33" t="str">
        <f>_xlfn.XLOOKUP(TablaSTOCKINV[[#This Row],[SKU]],TablaINVENTARIO[SKU],TablaINVENTARIO[SERIAL])</f>
        <v>N/A</v>
      </c>
      <c r="I559" s="34" t="str">
        <f>_xlfn.XLOOKUP(TablaSTOCKINV[[#This Row],[SKU]],TablaINVENTARIO[SKU],TablaINVENTARIO[ALMACEN])</f>
        <v>ALMACEN PRINCIPAL</v>
      </c>
      <c r="J559" s="34" t="str">
        <f>_xlfn.XLOOKUP(TablaSTOCKINV[[#This Row],[SKU]],TablaINVENTARIO[SKU],TablaINVENTARIO[UBICACION])</f>
        <v>E4-2</v>
      </c>
      <c r="K559" s="34" t="str">
        <f>_xlfn.XLOOKUP(TablaSTOCKINV[[#This Row],[SKU]],TablaINVENTARIO[SKU],TablaINVENTARIO[DPTO RESPONSABLE])</f>
        <v xml:space="preserve">OPERACIONES / MANTENIMIENTO </v>
      </c>
      <c r="L559" s="36">
        <f>_xlfn.XLOOKUP(TablaSTOCKINV[[#This Row],[SKU]],TablaINVENTARIO[SKU],TablaINVENTARIO[RANGO MIN])</f>
        <v>0</v>
      </c>
      <c r="M559" s="34" cm="1">
        <f t="array" ref="M559">_xlfn.IFS(TablaSTOCKINV[[#This Row],[CANT. TOTAL]]&lt;=0,1,TablaSTOCKINV[[#This Row],[CANT. TOTAL]]&lt;=TablaSTOCKINV[[#This Row],[MIN]],2,TablaSTOCKINV[[#This Row],[CANT. TOTAL]]&gt;TablaSTOCKINV[[#This Row],[MIN]],3)</f>
        <v>3</v>
      </c>
      <c r="N559" s="34">
        <f>TablaSTOCKINV[[#This Row],[ENTRADAS]]-TablaSTOCKINV[[#This Row],[SALIDAS]]</f>
        <v>1</v>
      </c>
      <c r="O559" s="35">
        <f>SUMIFS(TablaENTRADA[CANT],TablaENTRADA[SKU],TablaSTOCKINV[[#This Row],[SKU]])</f>
        <v>1</v>
      </c>
      <c r="P559" s="35">
        <f>SUMIFS(TablaSALIDA[CANT],TablaSALIDA[SKU],TablaSTOCKINV[[#This Row],[SKU]])</f>
        <v>0</v>
      </c>
      <c r="Q559" s="34">
        <f>_xlfn.XLOOKUP(TablaSTOCKINV[[#This Row],[SKU]],TablaINVENTARIO[SKU],TablaINVENTARIO[PRECIO])</f>
        <v>0</v>
      </c>
      <c r="R559" s="34">
        <f>TablaSTOCKINV[[#This Row],[P.UNITARIO]]*TablaSTOCKINV[[#This Row],[CANT. TOTAL]]</f>
        <v>0</v>
      </c>
      <c r="S559" s="44">
        <f>_xlfn.XLOOKUP(TablaSTOCKINV[[#This Row],[SKU]],TablaINVENTARIO[SKU],TablaINVENTARIO[FECHA INGRESO])</f>
        <v>46023</v>
      </c>
      <c r="T559" s="44">
        <f>_xlfn.XLOOKUP(TablaSTOCKINV[[#This Row],[SKU]],TablaENTRADA[SKU],TablaENTRADA[FECHA],,0,-1)</f>
        <v>46023</v>
      </c>
      <c r="U559" s="46" t="str">
        <f>IFERROR((_xlfn.XLOOKUP(TablaSTOCKINV[[#This Row],[SKU]],TablaSALIDA[SKU],TablaSALIDA[FECHA],,0,-1))," " )</f>
        <v xml:space="preserve"> </v>
      </c>
    </row>
    <row r="560" spans="1:21" x14ac:dyDescent="0.3">
      <c r="A560" s="27" t="s">
        <v>2766</v>
      </c>
      <c r="B560" s="32" t="str">
        <f>_xlfn.XLOOKUP(TablaSTOCKINV[[#This Row],[SKU]],TablaINVENTARIO[SKU],TablaINVENTARIO[DESCRIPCION])</f>
        <v>LLAVE COMBINADA 19MM</v>
      </c>
      <c r="C560" s="32" t="str">
        <f>_xlfn.XLOOKUP(TablaSTOCKINV[[#This Row],[SKU]],TablaINVENTARIO[SKU],TablaINVENTARIO[MARCA])</f>
        <v>STANLEY</v>
      </c>
      <c r="D560" s="33" t="str">
        <f>_xlfn.XLOOKUP(TablaSTOCKINV[[#This Row],[SKU]],TablaINVENTARIO[SKU],TablaINVENTARIO[CATEGORIA])</f>
        <v>HERRAMIENTAS_</v>
      </c>
      <c r="E560" s="33" t="str">
        <f>_xlfn.XLOOKUP(TablaSTOCKINV[[#This Row],[SKU]],TablaINVENTARIO[SKU],TablaINVENTARIO[SUBCATEGORIA])</f>
        <v xml:space="preserve">HERRAMIENTA DE MANO </v>
      </c>
      <c r="F560" s="33" t="str">
        <f>_xlfn.XLOOKUP(TablaSTOCKINV[[#This Row],[SKU]],TablaINVENTARIO[SKU],TablaINVENTARIO[ESTADO])</f>
        <v>USADO</v>
      </c>
      <c r="G560" s="33" t="str">
        <f>_xlfn.XLOOKUP(TablaSTOCKINV[[#This Row],[SKU]],TablaINVENTARIO[SKU],TablaINVENTARIO[MEDIDA])</f>
        <v>UND</v>
      </c>
      <c r="H560" s="33" t="str">
        <f>_xlfn.XLOOKUP(TablaSTOCKINV[[#This Row],[SKU]],TablaINVENTARIO[SKU],TablaINVENTARIO[SERIAL])</f>
        <v>N/A</v>
      </c>
      <c r="I560" s="34" t="str">
        <f>_xlfn.XLOOKUP(TablaSTOCKINV[[#This Row],[SKU]],TablaINVENTARIO[SKU],TablaINVENTARIO[ALMACEN])</f>
        <v>ALMACEN PRINCIPAL</v>
      </c>
      <c r="J560" s="34" t="str">
        <f>_xlfn.XLOOKUP(TablaSTOCKINV[[#This Row],[SKU]],TablaINVENTARIO[SKU],TablaINVENTARIO[UBICACION])</f>
        <v>E4-2</v>
      </c>
      <c r="K560" s="34" t="str">
        <f>_xlfn.XLOOKUP(TablaSTOCKINV[[#This Row],[SKU]],TablaINVENTARIO[SKU],TablaINVENTARIO[DPTO RESPONSABLE])</f>
        <v xml:space="preserve">OPERACIONES / MANTENIMIENTO </v>
      </c>
      <c r="L560" s="36">
        <f>_xlfn.XLOOKUP(TablaSTOCKINV[[#This Row],[SKU]],TablaINVENTARIO[SKU],TablaINVENTARIO[RANGO MIN])</f>
        <v>0</v>
      </c>
      <c r="M560" s="34" cm="1">
        <f t="array" ref="M560">_xlfn.IFS(TablaSTOCKINV[[#This Row],[CANT. TOTAL]]&lt;=0,1,TablaSTOCKINV[[#This Row],[CANT. TOTAL]]&lt;=TablaSTOCKINV[[#This Row],[MIN]],2,TablaSTOCKINV[[#This Row],[CANT. TOTAL]]&gt;TablaSTOCKINV[[#This Row],[MIN]],3)</f>
        <v>3</v>
      </c>
      <c r="N560" s="34">
        <f>TablaSTOCKINV[[#This Row],[ENTRADAS]]-TablaSTOCKINV[[#This Row],[SALIDAS]]</f>
        <v>1</v>
      </c>
      <c r="O560" s="35">
        <f>SUMIFS(TablaENTRADA[CANT],TablaENTRADA[SKU],TablaSTOCKINV[[#This Row],[SKU]])</f>
        <v>1</v>
      </c>
      <c r="P560" s="35">
        <f>SUMIFS(TablaSALIDA[CANT],TablaSALIDA[SKU],TablaSTOCKINV[[#This Row],[SKU]])</f>
        <v>0</v>
      </c>
      <c r="Q560" s="34">
        <f>_xlfn.XLOOKUP(TablaSTOCKINV[[#This Row],[SKU]],TablaINVENTARIO[SKU],TablaINVENTARIO[PRECIO])</f>
        <v>0</v>
      </c>
      <c r="R560" s="34">
        <f>TablaSTOCKINV[[#This Row],[P.UNITARIO]]*TablaSTOCKINV[[#This Row],[CANT. TOTAL]]</f>
        <v>0</v>
      </c>
      <c r="S560" s="44">
        <f>_xlfn.XLOOKUP(TablaSTOCKINV[[#This Row],[SKU]],TablaINVENTARIO[SKU],TablaINVENTARIO[FECHA INGRESO])</f>
        <v>46023</v>
      </c>
      <c r="T560" s="44">
        <f>_xlfn.XLOOKUP(TablaSTOCKINV[[#This Row],[SKU]],TablaENTRADA[SKU],TablaENTRADA[FECHA],,0,-1)</f>
        <v>46023</v>
      </c>
      <c r="U560" s="46" t="str">
        <f>IFERROR((_xlfn.XLOOKUP(TablaSTOCKINV[[#This Row],[SKU]],TablaSALIDA[SKU],TablaSALIDA[FECHA],,0,-1))," " )</f>
        <v xml:space="preserve"> </v>
      </c>
    </row>
    <row r="561" spans="1:21" x14ac:dyDescent="0.3">
      <c r="A561" s="27" t="s">
        <v>2768</v>
      </c>
      <c r="B561" s="32" t="str">
        <f>_xlfn.XLOOKUP(TablaSTOCKINV[[#This Row],[SKU]],TablaINVENTARIO[SKU],TablaINVENTARIO[DESCRIPCION])</f>
        <v xml:space="preserve">LLAVE DE GANCHO </v>
      </c>
      <c r="C561" s="32" t="str">
        <f>_xlfn.XLOOKUP(TablaSTOCKINV[[#This Row],[SKU]],TablaINVENTARIO[SKU],TablaINVENTARIO[MARCA])</f>
        <v>N/A</v>
      </c>
      <c r="D561" s="33" t="str">
        <f>_xlfn.XLOOKUP(TablaSTOCKINV[[#This Row],[SKU]],TablaINVENTARIO[SKU],TablaINVENTARIO[CATEGORIA])</f>
        <v>HERRAMIENTAS_</v>
      </c>
      <c r="E561" s="33" t="str">
        <f>_xlfn.XLOOKUP(TablaSTOCKINV[[#This Row],[SKU]],TablaINVENTARIO[SKU],TablaINVENTARIO[SUBCATEGORIA])</f>
        <v xml:space="preserve">HERRAMIENTA DE MANO </v>
      </c>
      <c r="F561" s="33" t="str">
        <f>_xlfn.XLOOKUP(TablaSTOCKINV[[#This Row],[SKU]],TablaINVENTARIO[SKU],TablaINVENTARIO[ESTADO])</f>
        <v>USADO</v>
      </c>
      <c r="G561" s="33" t="str">
        <f>_xlfn.XLOOKUP(TablaSTOCKINV[[#This Row],[SKU]],TablaINVENTARIO[SKU],TablaINVENTARIO[MEDIDA])</f>
        <v>UND</v>
      </c>
      <c r="H561" s="33" t="str">
        <f>_xlfn.XLOOKUP(TablaSTOCKINV[[#This Row],[SKU]],TablaINVENTARIO[SKU],TablaINVENTARIO[SERIAL])</f>
        <v>N/A</v>
      </c>
      <c r="I561" s="34" t="str">
        <f>_xlfn.XLOOKUP(TablaSTOCKINV[[#This Row],[SKU]],TablaINVENTARIO[SKU],TablaINVENTARIO[ALMACEN])</f>
        <v>ALMACEN PRINCIPAL</v>
      </c>
      <c r="J561" s="34" t="str">
        <f>_xlfn.XLOOKUP(TablaSTOCKINV[[#This Row],[SKU]],TablaINVENTARIO[SKU],TablaINVENTARIO[UBICACION])</f>
        <v>E4-2</v>
      </c>
      <c r="K561" s="34" t="str">
        <f>_xlfn.XLOOKUP(TablaSTOCKINV[[#This Row],[SKU]],TablaINVENTARIO[SKU],TablaINVENTARIO[DPTO RESPONSABLE])</f>
        <v xml:space="preserve">OPERACIONES / MANTENIMIENTO </v>
      </c>
      <c r="L561" s="36">
        <f>_xlfn.XLOOKUP(TablaSTOCKINV[[#This Row],[SKU]],TablaINVENTARIO[SKU],TablaINVENTARIO[RANGO MIN])</f>
        <v>0</v>
      </c>
      <c r="M561" s="34" cm="1">
        <f t="array" ref="M561">_xlfn.IFS(TablaSTOCKINV[[#This Row],[CANT. TOTAL]]&lt;=0,1,TablaSTOCKINV[[#This Row],[CANT. TOTAL]]&lt;=TablaSTOCKINV[[#This Row],[MIN]],2,TablaSTOCKINV[[#This Row],[CANT. TOTAL]]&gt;TablaSTOCKINV[[#This Row],[MIN]],3)</f>
        <v>3</v>
      </c>
      <c r="N561" s="34">
        <f>TablaSTOCKINV[[#This Row],[ENTRADAS]]-TablaSTOCKINV[[#This Row],[SALIDAS]]</f>
        <v>1</v>
      </c>
      <c r="O561" s="35">
        <f>SUMIFS(TablaENTRADA[CANT],TablaENTRADA[SKU],TablaSTOCKINV[[#This Row],[SKU]])</f>
        <v>1</v>
      </c>
      <c r="P561" s="35">
        <f>SUMIFS(TablaSALIDA[CANT],TablaSALIDA[SKU],TablaSTOCKINV[[#This Row],[SKU]])</f>
        <v>0</v>
      </c>
      <c r="Q561" s="34">
        <f>_xlfn.XLOOKUP(TablaSTOCKINV[[#This Row],[SKU]],TablaINVENTARIO[SKU],TablaINVENTARIO[PRECIO])</f>
        <v>0</v>
      </c>
      <c r="R561" s="34">
        <f>TablaSTOCKINV[[#This Row],[P.UNITARIO]]*TablaSTOCKINV[[#This Row],[CANT. TOTAL]]</f>
        <v>0</v>
      </c>
      <c r="S561" s="44">
        <f>_xlfn.XLOOKUP(TablaSTOCKINV[[#This Row],[SKU]],TablaINVENTARIO[SKU],TablaINVENTARIO[FECHA INGRESO])</f>
        <v>46023</v>
      </c>
      <c r="T561" s="44">
        <f>_xlfn.XLOOKUP(TablaSTOCKINV[[#This Row],[SKU]],TablaENTRADA[SKU],TablaENTRADA[FECHA],,0,-1)</f>
        <v>46023</v>
      </c>
      <c r="U561" s="46" t="str">
        <f>IFERROR((_xlfn.XLOOKUP(TablaSTOCKINV[[#This Row],[SKU]],TablaSALIDA[SKU],TablaSALIDA[FECHA],,0,-1))," " )</f>
        <v xml:space="preserve"> </v>
      </c>
    </row>
    <row r="562" spans="1:21" x14ac:dyDescent="0.3">
      <c r="A562" s="27" t="s">
        <v>2770</v>
      </c>
      <c r="B562" s="32" t="str">
        <f>_xlfn.XLOOKUP(TablaSTOCKINV[[#This Row],[SKU]],TablaINVENTARIO[SKU],TablaINVENTARIO[DESCRIPCION])</f>
        <v>LLAVE DE TUBO 18"</v>
      </c>
      <c r="C562" s="32" t="str">
        <f>_xlfn.XLOOKUP(TablaSTOCKINV[[#This Row],[SKU]],TablaINVENTARIO[SKU],TablaINVENTARIO[MARCA])</f>
        <v>STANLEY</v>
      </c>
      <c r="D562" s="33" t="str">
        <f>_xlfn.XLOOKUP(TablaSTOCKINV[[#This Row],[SKU]],TablaINVENTARIO[SKU],TablaINVENTARIO[CATEGORIA])</f>
        <v>HERRAMIENTAS_</v>
      </c>
      <c r="E562" s="33" t="str">
        <f>_xlfn.XLOOKUP(TablaSTOCKINV[[#This Row],[SKU]],TablaINVENTARIO[SKU],TablaINVENTARIO[SUBCATEGORIA])</f>
        <v xml:space="preserve">HERRAMIENTA DE MANO </v>
      </c>
      <c r="F562" s="33" t="str">
        <f>_xlfn.XLOOKUP(TablaSTOCKINV[[#This Row],[SKU]],TablaINVENTARIO[SKU],TablaINVENTARIO[ESTADO])</f>
        <v>USADO</v>
      </c>
      <c r="G562" s="33" t="str">
        <f>_xlfn.XLOOKUP(TablaSTOCKINV[[#This Row],[SKU]],TablaINVENTARIO[SKU],TablaINVENTARIO[MEDIDA])</f>
        <v>UND</v>
      </c>
      <c r="H562" s="33" t="str">
        <f>_xlfn.XLOOKUP(TablaSTOCKINV[[#This Row],[SKU]],TablaINVENTARIO[SKU],TablaINVENTARIO[SERIAL])</f>
        <v>N/A</v>
      </c>
      <c r="I562" s="34" t="str">
        <f>_xlfn.XLOOKUP(TablaSTOCKINV[[#This Row],[SKU]],TablaINVENTARIO[SKU],TablaINVENTARIO[ALMACEN])</f>
        <v>ALMACEN PRINCIPAL</v>
      </c>
      <c r="J562" s="34" t="str">
        <f>_xlfn.XLOOKUP(TablaSTOCKINV[[#This Row],[SKU]],TablaINVENTARIO[SKU],TablaINVENTARIO[UBICACION])</f>
        <v>E4-2</v>
      </c>
      <c r="K562" s="34" t="str">
        <f>_xlfn.XLOOKUP(TablaSTOCKINV[[#This Row],[SKU]],TablaINVENTARIO[SKU],TablaINVENTARIO[DPTO RESPONSABLE])</f>
        <v xml:space="preserve">OPERACIONES / MANTENIMIENTO </v>
      </c>
      <c r="L562" s="36">
        <f>_xlfn.XLOOKUP(TablaSTOCKINV[[#This Row],[SKU]],TablaINVENTARIO[SKU],TablaINVENTARIO[RANGO MIN])</f>
        <v>0</v>
      </c>
      <c r="M562" s="34" cm="1">
        <f t="array" ref="M562">_xlfn.IFS(TablaSTOCKINV[[#This Row],[CANT. TOTAL]]&lt;=0,1,TablaSTOCKINV[[#This Row],[CANT. TOTAL]]&lt;=TablaSTOCKINV[[#This Row],[MIN]],2,TablaSTOCKINV[[#This Row],[CANT. TOTAL]]&gt;TablaSTOCKINV[[#This Row],[MIN]],3)</f>
        <v>3</v>
      </c>
      <c r="N562" s="34">
        <f>TablaSTOCKINV[[#This Row],[ENTRADAS]]-TablaSTOCKINV[[#This Row],[SALIDAS]]</f>
        <v>2</v>
      </c>
      <c r="O562" s="35">
        <f>SUMIFS(TablaENTRADA[CANT],TablaENTRADA[SKU],TablaSTOCKINV[[#This Row],[SKU]])</f>
        <v>2</v>
      </c>
      <c r="P562" s="35">
        <f>SUMIFS(TablaSALIDA[CANT],TablaSALIDA[SKU],TablaSTOCKINV[[#This Row],[SKU]])</f>
        <v>0</v>
      </c>
      <c r="Q562" s="34">
        <f>_xlfn.XLOOKUP(TablaSTOCKINV[[#This Row],[SKU]],TablaINVENTARIO[SKU],TablaINVENTARIO[PRECIO])</f>
        <v>0</v>
      </c>
      <c r="R562" s="34">
        <f>TablaSTOCKINV[[#This Row],[P.UNITARIO]]*TablaSTOCKINV[[#This Row],[CANT. TOTAL]]</f>
        <v>0</v>
      </c>
      <c r="S562" s="44">
        <f>_xlfn.XLOOKUP(TablaSTOCKINV[[#This Row],[SKU]],TablaINVENTARIO[SKU],TablaINVENTARIO[FECHA INGRESO])</f>
        <v>46023</v>
      </c>
      <c r="T562" s="44">
        <f>_xlfn.XLOOKUP(TablaSTOCKINV[[#This Row],[SKU]],TablaENTRADA[SKU],TablaENTRADA[FECHA],,0,-1)</f>
        <v>46023</v>
      </c>
      <c r="U562" s="46" t="str">
        <f>IFERROR((_xlfn.XLOOKUP(TablaSTOCKINV[[#This Row],[SKU]],TablaSALIDA[SKU],TablaSALIDA[FECHA],,0,-1))," " )</f>
        <v xml:space="preserve"> </v>
      </c>
    </row>
    <row r="563" spans="1:21" x14ac:dyDescent="0.3">
      <c r="A563" s="27" t="s">
        <v>2772</v>
      </c>
      <c r="B563" s="32" t="str">
        <f>_xlfn.XLOOKUP(TablaSTOCKINV[[#This Row],[SKU]],TablaINVENTARIO[SKU],TablaINVENTARIO[DESCRIPCION])</f>
        <v>RATCHE 19MM</v>
      </c>
      <c r="C563" s="32" t="str">
        <f>_xlfn.XLOOKUP(TablaSTOCKINV[[#This Row],[SKU]],TablaINVENTARIO[SKU],TablaINVENTARIO[MARCA])</f>
        <v>STANLEY</v>
      </c>
      <c r="D563" s="33" t="str">
        <f>_xlfn.XLOOKUP(TablaSTOCKINV[[#This Row],[SKU]],TablaINVENTARIO[SKU],TablaINVENTARIO[CATEGORIA])</f>
        <v>HERRAMIENTAS_</v>
      </c>
      <c r="E563" s="33" t="str">
        <f>_xlfn.XLOOKUP(TablaSTOCKINV[[#This Row],[SKU]],TablaINVENTARIO[SKU],TablaINVENTARIO[SUBCATEGORIA])</f>
        <v xml:space="preserve">HERRAMIENTA DE MANO </v>
      </c>
      <c r="F563" s="33" t="str">
        <f>_xlfn.XLOOKUP(TablaSTOCKINV[[#This Row],[SKU]],TablaINVENTARIO[SKU],TablaINVENTARIO[ESTADO])</f>
        <v>USADO</v>
      </c>
      <c r="G563" s="33" t="str">
        <f>_xlfn.XLOOKUP(TablaSTOCKINV[[#This Row],[SKU]],TablaINVENTARIO[SKU],TablaINVENTARIO[MEDIDA])</f>
        <v>UND</v>
      </c>
      <c r="H563" s="33" t="str">
        <f>_xlfn.XLOOKUP(TablaSTOCKINV[[#This Row],[SKU]],TablaINVENTARIO[SKU],TablaINVENTARIO[SERIAL])</f>
        <v>N/A</v>
      </c>
      <c r="I563" s="34" t="str">
        <f>_xlfn.XLOOKUP(TablaSTOCKINV[[#This Row],[SKU]],TablaINVENTARIO[SKU],TablaINVENTARIO[ALMACEN])</f>
        <v>ALMACEN PRINCIPAL</v>
      </c>
      <c r="J563" s="34" t="str">
        <f>_xlfn.XLOOKUP(TablaSTOCKINV[[#This Row],[SKU]],TablaINVENTARIO[SKU],TablaINVENTARIO[UBICACION])</f>
        <v>E4-2</v>
      </c>
      <c r="K563" s="34" t="str">
        <f>_xlfn.XLOOKUP(TablaSTOCKINV[[#This Row],[SKU]],TablaINVENTARIO[SKU],TablaINVENTARIO[DPTO RESPONSABLE])</f>
        <v xml:space="preserve">OPERACIONES / MANTENIMIENTO </v>
      </c>
      <c r="L563" s="36">
        <f>_xlfn.XLOOKUP(TablaSTOCKINV[[#This Row],[SKU]],TablaINVENTARIO[SKU],TablaINVENTARIO[RANGO MIN])</f>
        <v>0</v>
      </c>
      <c r="M563" s="34" cm="1">
        <f t="array" ref="M563">_xlfn.IFS(TablaSTOCKINV[[#This Row],[CANT. TOTAL]]&lt;=0,1,TablaSTOCKINV[[#This Row],[CANT. TOTAL]]&lt;=TablaSTOCKINV[[#This Row],[MIN]],2,TablaSTOCKINV[[#This Row],[CANT. TOTAL]]&gt;TablaSTOCKINV[[#This Row],[MIN]],3)</f>
        <v>3</v>
      </c>
      <c r="N563" s="34">
        <f>TablaSTOCKINV[[#This Row],[ENTRADAS]]-TablaSTOCKINV[[#This Row],[SALIDAS]]</f>
        <v>1</v>
      </c>
      <c r="O563" s="35">
        <f>SUMIFS(TablaENTRADA[CANT],TablaENTRADA[SKU],TablaSTOCKINV[[#This Row],[SKU]])</f>
        <v>1</v>
      </c>
      <c r="P563" s="35">
        <f>SUMIFS(TablaSALIDA[CANT],TablaSALIDA[SKU],TablaSTOCKINV[[#This Row],[SKU]])</f>
        <v>0</v>
      </c>
      <c r="Q563" s="34">
        <f>_xlfn.XLOOKUP(TablaSTOCKINV[[#This Row],[SKU]],TablaINVENTARIO[SKU],TablaINVENTARIO[PRECIO])</f>
        <v>0</v>
      </c>
      <c r="R563" s="34">
        <f>TablaSTOCKINV[[#This Row],[P.UNITARIO]]*TablaSTOCKINV[[#This Row],[CANT. TOTAL]]</f>
        <v>0</v>
      </c>
      <c r="S563" s="44">
        <f>_xlfn.XLOOKUP(TablaSTOCKINV[[#This Row],[SKU]],TablaINVENTARIO[SKU],TablaINVENTARIO[FECHA INGRESO])</f>
        <v>46023</v>
      </c>
      <c r="T563" s="44">
        <f>_xlfn.XLOOKUP(TablaSTOCKINV[[#This Row],[SKU]],TablaENTRADA[SKU],TablaENTRADA[FECHA],,0,-1)</f>
        <v>46023</v>
      </c>
      <c r="U563" s="46" t="str">
        <f>IFERROR((_xlfn.XLOOKUP(TablaSTOCKINV[[#This Row],[SKU]],TablaSALIDA[SKU],TablaSALIDA[FECHA],,0,-1))," " )</f>
        <v xml:space="preserve"> </v>
      </c>
    </row>
    <row r="564" spans="1:21" x14ac:dyDescent="0.3">
      <c r="A564" s="27" t="s">
        <v>2774</v>
      </c>
      <c r="B564" s="32" t="str">
        <f>_xlfn.XLOOKUP(TablaSTOCKINV[[#This Row],[SKU]],TablaINVENTARIO[SKU],TablaINVENTARIO[DESCRIPCION])</f>
        <v>DADO 1-7/8"</v>
      </c>
      <c r="C564" s="32" t="str">
        <f>_xlfn.XLOOKUP(TablaSTOCKINV[[#This Row],[SKU]],TablaINVENTARIO[SKU],TablaINVENTARIO[MARCA])</f>
        <v>STANLEY</v>
      </c>
      <c r="D564" s="33" t="str">
        <f>_xlfn.XLOOKUP(TablaSTOCKINV[[#This Row],[SKU]],TablaINVENTARIO[SKU],TablaINVENTARIO[CATEGORIA])</f>
        <v>HERRAMIENTAS_</v>
      </c>
      <c r="E564" s="33" t="str">
        <f>_xlfn.XLOOKUP(TablaSTOCKINV[[#This Row],[SKU]],TablaINVENTARIO[SKU],TablaINVENTARIO[SUBCATEGORIA])</f>
        <v xml:space="preserve">HERRAMIENTA DE MANO </v>
      </c>
      <c r="F564" s="33" t="str">
        <f>_xlfn.XLOOKUP(TablaSTOCKINV[[#This Row],[SKU]],TablaINVENTARIO[SKU],TablaINVENTARIO[ESTADO])</f>
        <v>USADO</v>
      </c>
      <c r="G564" s="33" t="str">
        <f>_xlfn.XLOOKUP(TablaSTOCKINV[[#This Row],[SKU]],TablaINVENTARIO[SKU],TablaINVENTARIO[MEDIDA])</f>
        <v>UND</v>
      </c>
      <c r="H564" s="33" t="str">
        <f>_xlfn.XLOOKUP(TablaSTOCKINV[[#This Row],[SKU]],TablaINVENTARIO[SKU],TablaINVENTARIO[SERIAL])</f>
        <v>N/A</v>
      </c>
      <c r="I564" s="34" t="str">
        <f>_xlfn.XLOOKUP(TablaSTOCKINV[[#This Row],[SKU]],TablaINVENTARIO[SKU],TablaINVENTARIO[ALMACEN])</f>
        <v>ALMACEN PRINCIPAL</v>
      </c>
      <c r="J564" s="34" t="str">
        <f>_xlfn.XLOOKUP(TablaSTOCKINV[[#This Row],[SKU]],TablaINVENTARIO[SKU],TablaINVENTARIO[UBICACION])</f>
        <v>E4-2</v>
      </c>
      <c r="K564" s="34" t="str">
        <f>_xlfn.XLOOKUP(TablaSTOCKINV[[#This Row],[SKU]],TablaINVENTARIO[SKU],TablaINVENTARIO[DPTO RESPONSABLE])</f>
        <v xml:space="preserve">OPERACIONES / MANTENIMIENTO </v>
      </c>
      <c r="L564" s="36">
        <f>_xlfn.XLOOKUP(TablaSTOCKINV[[#This Row],[SKU]],TablaINVENTARIO[SKU],TablaINVENTARIO[RANGO MIN])</f>
        <v>0</v>
      </c>
      <c r="M564" s="34" cm="1">
        <f t="array" ref="M564">_xlfn.IFS(TablaSTOCKINV[[#This Row],[CANT. TOTAL]]&lt;=0,1,TablaSTOCKINV[[#This Row],[CANT. TOTAL]]&lt;=TablaSTOCKINV[[#This Row],[MIN]],2,TablaSTOCKINV[[#This Row],[CANT. TOTAL]]&gt;TablaSTOCKINV[[#This Row],[MIN]],3)</f>
        <v>3</v>
      </c>
      <c r="N564" s="34">
        <f>TablaSTOCKINV[[#This Row],[ENTRADAS]]-TablaSTOCKINV[[#This Row],[SALIDAS]]</f>
        <v>1</v>
      </c>
      <c r="O564" s="35">
        <f>SUMIFS(TablaENTRADA[CANT],TablaENTRADA[SKU],TablaSTOCKINV[[#This Row],[SKU]])</f>
        <v>1</v>
      </c>
      <c r="P564" s="35">
        <f>SUMIFS(TablaSALIDA[CANT],TablaSALIDA[SKU],TablaSTOCKINV[[#This Row],[SKU]])</f>
        <v>0</v>
      </c>
      <c r="Q564" s="34">
        <f>_xlfn.XLOOKUP(TablaSTOCKINV[[#This Row],[SKU]],TablaINVENTARIO[SKU],TablaINVENTARIO[PRECIO])</f>
        <v>0</v>
      </c>
      <c r="R564" s="34">
        <f>TablaSTOCKINV[[#This Row],[P.UNITARIO]]*TablaSTOCKINV[[#This Row],[CANT. TOTAL]]</f>
        <v>0</v>
      </c>
      <c r="S564" s="44">
        <f>_xlfn.XLOOKUP(TablaSTOCKINV[[#This Row],[SKU]],TablaINVENTARIO[SKU],TablaINVENTARIO[FECHA INGRESO])</f>
        <v>46023</v>
      </c>
      <c r="T564" s="44">
        <f>_xlfn.XLOOKUP(TablaSTOCKINV[[#This Row],[SKU]],TablaENTRADA[SKU],TablaENTRADA[FECHA],,0,-1)</f>
        <v>46023</v>
      </c>
      <c r="U564" s="46" t="str">
        <f>IFERROR((_xlfn.XLOOKUP(TablaSTOCKINV[[#This Row],[SKU]],TablaSALIDA[SKU],TablaSALIDA[FECHA],,0,-1))," " )</f>
        <v xml:space="preserve"> </v>
      </c>
    </row>
    <row r="565" spans="1:21" x14ac:dyDescent="0.3">
      <c r="A565" s="27" t="s">
        <v>2776</v>
      </c>
      <c r="B565" s="32" t="str">
        <f>_xlfn.XLOOKUP(TablaSTOCKINV[[#This Row],[SKU]],TablaINVENTARIO[SKU],TablaINVENTARIO[DESCRIPCION])</f>
        <v>DADO 13/16"</v>
      </c>
      <c r="C565" s="32" t="str">
        <f>_xlfn.XLOOKUP(TablaSTOCKINV[[#This Row],[SKU]],TablaINVENTARIO[SKU],TablaINVENTARIO[MARCA])</f>
        <v>STANLEY</v>
      </c>
      <c r="D565" s="33" t="str">
        <f>_xlfn.XLOOKUP(TablaSTOCKINV[[#This Row],[SKU]],TablaINVENTARIO[SKU],TablaINVENTARIO[CATEGORIA])</f>
        <v>HERRAMIENTAS_</v>
      </c>
      <c r="E565" s="33" t="str">
        <f>_xlfn.XLOOKUP(TablaSTOCKINV[[#This Row],[SKU]],TablaINVENTARIO[SKU],TablaINVENTARIO[SUBCATEGORIA])</f>
        <v xml:space="preserve">HERRAMIENTA DE MANO </v>
      </c>
      <c r="F565" s="33" t="str">
        <f>_xlfn.XLOOKUP(TablaSTOCKINV[[#This Row],[SKU]],TablaINVENTARIO[SKU],TablaINVENTARIO[ESTADO])</f>
        <v>USADO</v>
      </c>
      <c r="G565" s="33" t="str">
        <f>_xlfn.XLOOKUP(TablaSTOCKINV[[#This Row],[SKU]],TablaINVENTARIO[SKU],TablaINVENTARIO[MEDIDA])</f>
        <v>UND</v>
      </c>
      <c r="H565" s="33" t="str">
        <f>_xlfn.XLOOKUP(TablaSTOCKINV[[#This Row],[SKU]],TablaINVENTARIO[SKU],TablaINVENTARIO[SERIAL])</f>
        <v>N/A</v>
      </c>
      <c r="I565" s="34" t="str">
        <f>_xlfn.XLOOKUP(TablaSTOCKINV[[#This Row],[SKU]],TablaINVENTARIO[SKU],TablaINVENTARIO[ALMACEN])</f>
        <v>ALMACEN PRINCIPAL</v>
      </c>
      <c r="J565" s="34" t="str">
        <f>_xlfn.XLOOKUP(TablaSTOCKINV[[#This Row],[SKU]],TablaINVENTARIO[SKU],TablaINVENTARIO[UBICACION])</f>
        <v>E4-2</v>
      </c>
      <c r="K565" s="34" t="str">
        <f>_xlfn.XLOOKUP(TablaSTOCKINV[[#This Row],[SKU]],TablaINVENTARIO[SKU],TablaINVENTARIO[DPTO RESPONSABLE])</f>
        <v xml:space="preserve">OPERACIONES / MANTENIMIENTO </v>
      </c>
      <c r="L565" s="36">
        <f>_xlfn.XLOOKUP(TablaSTOCKINV[[#This Row],[SKU]],TablaINVENTARIO[SKU],TablaINVENTARIO[RANGO MIN])</f>
        <v>0</v>
      </c>
      <c r="M565" s="34" cm="1">
        <f t="array" ref="M565">_xlfn.IFS(TablaSTOCKINV[[#This Row],[CANT. TOTAL]]&lt;=0,1,TablaSTOCKINV[[#This Row],[CANT. TOTAL]]&lt;=TablaSTOCKINV[[#This Row],[MIN]],2,TablaSTOCKINV[[#This Row],[CANT. TOTAL]]&gt;TablaSTOCKINV[[#This Row],[MIN]],3)</f>
        <v>3</v>
      </c>
      <c r="N565" s="34">
        <f>TablaSTOCKINV[[#This Row],[ENTRADAS]]-TablaSTOCKINV[[#This Row],[SALIDAS]]</f>
        <v>1</v>
      </c>
      <c r="O565" s="35">
        <f>SUMIFS(TablaENTRADA[CANT],TablaENTRADA[SKU],TablaSTOCKINV[[#This Row],[SKU]])</f>
        <v>1</v>
      </c>
      <c r="P565" s="35">
        <f>SUMIFS(TablaSALIDA[CANT],TablaSALIDA[SKU],TablaSTOCKINV[[#This Row],[SKU]])</f>
        <v>0</v>
      </c>
      <c r="Q565" s="34">
        <f>_xlfn.XLOOKUP(TablaSTOCKINV[[#This Row],[SKU]],TablaINVENTARIO[SKU],TablaINVENTARIO[PRECIO])</f>
        <v>0</v>
      </c>
      <c r="R565" s="34">
        <f>TablaSTOCKINV[[#This Row],[P.UNITARIO]]*TablaSTOCKINV[[#This Row],[CANT. TOTAL]]</f>
        <v>0</v>
      </c>
      <c r="S565" s="44">
        <f>_xlfn.XLOOKUP(TablaSTOCKINV[[#This Row],[SKU]],TablaINVENTARIO[SKU],TablaINVENTARIO[FECHA INGRESO])</f>
        <v>46023</v>
      </c>
      <c r="T565" s="44">
        <f>_xlfn.XLOOKUP(TablaSTOCKINV[[#This Row],[SKU]],TablaENTRADA[SKU],TablaENTRADA[FECHA],,0,-1)</f>
        <v>46023</v>
      </c>
      <c r="U565" s="46" t="str">
        <f>IFERROR((_xlfn.XLOOKUP(TablaSTOCKINV[[#This Row],[SKU]],TablaSALIDA[SKU],TablaSALIDA[FECHA],,0,-1))," " )</f>
        <v xml:space="preserve"> </v>
      </c>
    </row>
    <row r="566" spans="1:21" x14ac:dyDescent="0.3">
      <c r="A566" s="27" t="s">
        <v>2778</v>
      </c>
      <c r="B566" s="32" t="str">
        <f>_xlfn.XLOOKUP(TablaSTOCKINV[[#This Row],[SKU]],TablaINVENTARIO[SKU],TablaINVENTARIO[DESCRIPCION])</f>
        <v xml:space="preserve">ABRE ROSCA </v>
      </c>
      <c r="C566" s="32" t="str">
        <f>_xlfn.XLOOKUP(TablaSTOCKINV[[#This Row],[SKU]],TablaINVENTARIO[SKU],TablaINVENTARIO[MARCA])</f>
        <v>N/A</v>
      </c>
      <c r="D566" s="33" t="str">
        <f>_xlfn.XLOOKUP(TablaSTOCKINV[[#This Row],[SKU]],TablaINVENTARIO[SKU],TablaINVENTARIO[CATEGORIA])</f>
        <v>HERRAMIENTAS_</v>
      </c>
      <c r="E566" s="33" t="str">
        <f>_xlfn.XLOOKUP(TablaSTOCKINV[[#This Row],[SKU]],TablaINVENTARIO[SKU],TablaINVENTARIO[SUBCATEGORIA])</f>
        <v xml:space="preserve">HERRAMIENTA DE MANO </v>
      </c>
      <c r="F566" s="33" t="str">
        <f>_xlfn.XLOOKUP(TablaSTOCKINV[[#This Row],[SKU]],TablaINVENTARIO[SKU],TablaINVENTARIO[ESTADO])</f>
        <v>USADO</v>
      </c>
      <c r="G566" s="33" t="str">
        <f>_xlfn.XLOOKUP(TablaSTOCKINV[[#This Row],[SKU]],TablaINVENTARIO[SKU],TablaINVENTARIO[MEDIDA])</f>
        <v>UND</v>
      </c>
      <c r="H566" s="33" t="str">
        <f>_xlfn.XLOOKUP(TablaSTOCKINV[[#This Row],[SKU]],TablaINVENTARIO[SKU],TablaINVENTARIO[SERIAL])</f>
        <v>N/A</v>
      </c>
      <c r="I566" s="34" t="str">
        <f>_xlfn.XLOOKUP(TablaSTOCKINV[[#This Row],[SKU]],TablaINVENTARIO[SKU],TablaINVENTARIO[ALMACEN])</f>
        <v>ALMACEN PRINCIPAL</v>
      </c>
      <c r="J566" s="34" t="str">
        <f>_xlfn.XLOOKUP(TablaSTOCKINV[[#This Row],[SKU]],TablaINVENTARIO[SKU],TablaINVENTARIO[UBICACION])</f>
        <v>E4-2</v>
      </c>
      <c r="K566" s="34" t="str">
        <f>_xlfn.XLOOKUP(TablaSTOCKINV[[#This Row],[SKU]],TablaINVENTARIO[SKU],TablaINVENTARIO[DPTO RESPONSABLE])</f>
        <v xml:space="preserve">OPERACIONES / MANTENIMIENTO </v>
      </c>
      <c r="L566" s="36">
        <f>_xlfn.XLOOKUP(TablaSTOCKINV[[#This Row],[SKU]],TablaINVENTARIO[SKU],TablaINVENTARIO[RANGO MIN])</f>
        <v>0</v>
      </c>
      <c r="M566" s="34" cm="1">
        <f t="array" ref="M566">_xlfn.IFS(TablaSTOCKINV[[#This Row],[CANT. TOTAL]]&lt;=0,1,TablaSTOCKINV[[#This Row],[CANT. TOTAL]]&lt;=TablaSTOCKINV[[#This Row],[MIN]],2,TablaSTOCKINV[[#This Row],[CANT. TOTAL]]&gt;TablaSTOCKINV[[#This Row],[MIN]],3)</f>
        <v>3</v>
      </c>
      <c r="N566" s="34">
        <f>TablaSTOCKINV[[#This Row],[ENTRADAS]]-TablaSTOCKINV[[#This Row],[SALIDAS]]</f>
        <v>1</v>
      </c>
      <c r="O566" s="35">
        <f>SUMIFS(TablaENTRADA[CANT],TablaENTRADA[SKU],TablaSTOCKINV[[#This Row],[SKU]])</f>
        <v>1</v>
      </c>
      <c r="P566" s="35">
        <f>SUMIFS(TablaSALIDA[CANT],TablaSALIDA[SKU],TablaSTOCKINV[[#This Row],[SKU]])</f>
        <v>0</v>
      </c>
      <c r="Q566" s="34">
        <f>_xlfn.XLOOKUP(TablaSTOCKINV[[#This Row],[SKU]],TablaINVENTARIO[SKU],TablaINVENTARIO[PRECIO])</f>
        <v>0</v>
      </c>
      <c r="R566" s="34">
        <f>TablaSTOCKINV[[#This Row],[P.UNITARIO]]*TablaSTOCKINV[[#This Row],[CANT. TOTAL]]</f>
        <v>0</v>
      </c>
      <c r="S566" s="44">
        <f>_xlfn.XLOOKUP(TablaSTOCKINV[[#This Row],[SKU]],TablaINVENTARIO[SKU],TablaINVENTARIO[FECHA INGRESO])</f>
        <v>46023</v>
      </c>
      <c r="T566" s="44">
        <f>_xlfn.XLOOKUP(TablaSTOCKINV[[#This Row],[SKU]],TablaENTRADA[SKU],TablaENTRADA[FECHA],,0,-1)</f>
        <v>46023</v>
      </c>
      <c r="U566" s="46" t="str">
        <f>IFERROR((_xlfn.XLOOKUP(TablaSTOCKINV[[#This Row],[SKU]],TablaSALIDA[SKU],TablaSALIDA[FECHA],,0,-1))," " )</f>
        <v xml:space="preserve"> </v>
      </c>
    </row>
    <row r="567" spans="1:21" x14ac:dyDescent="0.3">
      <c r="A567" s="27" t="s">
        <v>2780</v>
      </c>
      <c r="B567" s="32" t="str">
        <f>_xlfn.XLOOKUP(TablaSTOCKINV[[#This Row],[SKU]],TablaINVENTARIO[SKU],TablaINVENTARIO[DESCRIPCION])</f>
        <v xml:space="preserve">BARRA DE ATERRAMIENTO DE BRONCE </v>
      </c>
      <c r="C567" s="32" t="str">
        <f>_xlfn.XLOOKUP(TablaSTOCKINV[[#This Row],[SKU]],TablaINVENTARIO[SKU],TablaINVENTARIO[MARCA])</f>
        <v>N/A</v>
      </c>
      <c r="D567" s="33" t="str">
        <f>_xlfn.XLOOKUP(TablaSTOCKINV[[#This Row],[SKU]],TablaINVENTARIO[SKU],TablaINVENTARIO[CATEGORIA])</f>
        <v>HERRAMIENTAS_</v>
      </c>
      <c r="E567" s="33" t="str">
        <f>_xlfn.XLOOKUP(TablaSTOCKINV[[#This Row],[SKU]],TablaINVENTARIO[SKU],TablaINVENTARIO[SUBCATEGORIA])</f>
        <v xml:space="preserve">HERRAMIENTA DE MANO </v>
      </c>
      <c r="F567" s="33" t="str">
        <f>_xlfn.XLOOKUP(TablaSTOCKINV[[#This Row],[SKU]],TablaINVENTARIO[SKU],TablaINVENTARIO[ESTADO])</f>
        <v>USADO</v>
      </c>
      <c r="G567" s="33" t="str">
        <f>_xlfn.XLOOKUP(TablaSTOCKINV[[#This Row],[SKU]],TablaINVENTARIO[SKU],TablaINVENTARIO[MEDIDA])</f>
        <v>UND</v>
      </c>
      <c r="H567" s="33" t="str">
        <f>_xlfn.XLOOKUP(TablaSTOCKINV[[#This Row],[SKU]],TablaINVENTARIO[SKU],TablaINVENTARIO[SERIAL])</f>
        <v>N/A</v>
      </c>
      <c r="I567" s="34" t="str">
        <f>_xlfn.XLOOKUP(TablaSTOCKINV[[#This Row],[SKU]],TablaINVENTARIO[SKU],TablaINVENTARIO[ALMACEN])</f>
        <v>ALMACEN PRINCIPAL</v>
      </c>
      <c r="J567" s="34" t="str">
        <f>_xlfn.XLOOKUP(TablaSTOCKINV[[#This Row],[SKU]],TablaINVENTARIO[SKU],TablaINVENTARIO[UBICACION])</f>
        <v>E4-2</v>
      </c>
      <c r="K567" s="34" t="str">
        <f>_xlfn.XLOOKUP(TablaSTOCKINV[[#This Row],[SKU]],TablaINVENTARIO[SKU],TablaINVENTARIO[DPTO RESPONSABLE])</f>
        <v xml:space="preserve">OPERACIONES </v>
      </c>
      <c r="L567" s="36">
        <f>_xlfn.XLOOKUP(TablaSTOCKINV[[#This Row],[SKU]],TablaINVENTARIO[SKU],TablaINVENTARIO[RANGO MIN])</f>
        <v>0</v>
      </c>
      <c r="M567" s="34" cm="1">
        <f t="array" ref="M567">_xlfn.IFS(TablaSTOCKINV[[#This Row],[CANT. TOTAL]]&lt;=0,1,TablaSTOCKINV[[#This Row],[CANT. TOTAL]]&lt;=TablaSTOCKINV[[#This Row],[MIN]],2,TablaSTOCKINV[[#This Row],[CANT. TOTAL]]&gt;TablaSTOCKINV[[#This Row],[MIN]],3)</f>
        <v>3</v>
      </c>
      <c r="N567" s="34">
        <f>TablaSTOCKINV[[#This Row],[ENTRADAS]]-TablaSTOCKINV[[#This Row],[SALIDAS]]</f>
        <v>2</v>
      </c>
      <c r="O567" s="35">
        <f>SUMIFS(TablaENTRADA[CANT],TablaENTRADA[SKU],TablaSTOCKINV[[#This Row],[SKU]])</f>
        <v>2</v>
      </c>
      <c r="P567" s="35">
        <f>SUMIFS(TablaSALIDA[CANT],TablaSALIDA[SKU],TablaSTOCKINV[[#This Row],[SKU]])</f>
        <v>0</v>
      </c>
      <c r="Q567" s="34">
        <f>_xlfn.XLOOKUP(TablaSTOCKINV[[#This Row],[SKU]],TablaINVENTARIO[SKU],TablaINVENTARIO[PRECIO])</f>
        <v>0</v>
      </c>
      <c r="R567" s="34">
        <f>TablaSTOCKINV[[#This Row],[P.UNITARIO]]*TablaSTOCKINV[[#This Row],[CANT. TOTAL]]</f>
        <v>0</v>
      </c>
      <c r="S567" s="44">
        <f>_xlfn.XLOOKUP(TablaSTOCKINV[[#This Row],[SKU]],TablaINVENTARIO[SKU],TablaINVENTARIO[FECHA INGRESO])</f>
        <v>46023</v>
      </c>
      <c r="T567" s="44">
        <f>_xlfn.XLOOKUP(TablaSTOCKINV[[#This Row],[SKU]],TablaENTRADA[SKU],TablaENTRADA[FECHA],,0,-1)</f>
        <v>46023</v>
      </c>
      <c r="U567" s="46" t="str">
        <f>IFERROR((_xlfn.XLOOKUP(TablaSTOCKINV[[#This Row],[SKU]],TablaSALIDA[SKU],TablaSALIDA[FECHA],,0,-1))," " )</f>
        <v xml:space="preserve"> </v>
      </c>
    </row>
    <row r="568" spans="1:21" x14ac:dyDescent="0.3">
      <c r="A568" s="27" t="s">
        <v>2782</v>
      </c>
      <c r="B568" s="32" t="str">
        <f>_xlfn.XLOOKUP(TablaSTOCKINV[[#This Row],[SKU]],TablaINVENTARIO[SKU],TablaINVENTARIO[DESCRIPCION])</f>
        <v xml:space="preserve">LLAVE COMBINADA 32MM </v>
      </c>
      <c r="C568" s="32" t="str">
        <f>_xlfn.XLOOKUP(TablaSTOCKINV[[#This Row],[SKU]],TablaINVENTARIO[SKU],TablaINVENTARIO[MARCA])</f>
        <v xml:space="preserve">STANLEY </v>
      </c>
      <c r="D568" s="33" t="str">
        <f>_xlfn.XLOOKUP(TablaSTOCKINV[[#This Row],[SKU]],TablaINVENTARIO[SKU],TablaINVENTARIO[CATEGORIA])</f>
        <v>HERRAMIENTAS_</v>
      </c>
      <c r="E568" s="33" t="str">
        <f>_xlfn.XLOOKUP(TablaSTOCKINV[[#This Row],[SKU]],TablaINVENTARIO[SKU],TablaINVENTARIO[SUBCATEGORIA])</f>
        <v xml:space="preserve">HERRAMIENTA DE MANO </v>
      </c>
      <c r="F568" s="33" t="str">
        <f>_xlfn.XLOOKUP(TablaSTOCKINV[[#This Row],[SKU]],TablaINVENTARIO[SKU],TablaINVENTARIO[ESTADO])</f>
        <v>USADO</v>
      </c>
      <c r="G568" s="33" t="str">
        <f>_xlfn.XLOOKUP(TablaSTOCKINV[[#This Row],[SKU]],TablaINVENTARIO[SKU],TablaINVENTARIO[MEDIDA])</f>
        <v>UND</v>
      </c>
      <c r="H568" s="33" t="str">
        <f>_xlfn.XLOOKUP(TablaSTOCKINV[[#This Row],[SKU]],TablaINVENTARIO[SKU],TablaINVENTARIO[SERIAL])</f>
        <v>N/A</v>
      </c>
      <c r="I568" s="34" t="str">
        <f>_xlfn.XLOOKUP(TablaSTOCKINV[[#This Row],[SKU]],TablaINVENTARIO[SKU],TablaINVENTARIO[ALMACEN])</f>
        <v>ALMACEN PRINCIPAL</v>
      </c>
      <c r="J568" s="34" t="str">
        <f>_xlfn.XLOOKUP(TablaSTOCKINV[[#This Row],[SKU]],TablaINVENTARIO[SKU],TablaINVENTARIO[UBICACION])</f>
        <v>E4-2</v>
      </c>
      <c r="K568" s="34" t="str">
        <f>_xlfn.XLOOKUP(TablaSTOCKINV[[#This Row],[SKU]],TablaINVENTARIO[SKU],TablaINVENTARIO[DPTO RESPONSABLE])</f>
        <v>PETROCEDEÑO</v>
      </c>
      <c r="L568" s="36">
        <f>_xlfn.XLOOKUP(TablaSTOCKINV[[#This Row],[SKU]],TablaINVENTARIO[SKU],TablaINVENTARIO[RANGO MIN])</f>
        <v>0</v>
      </c>
      <c r="M568" s="34" cm="1">
        <f t="array" ref="M568">_xlfn.IFS(TablaSTOCKINV[[#This Row],[CANT. TOTAL]]&lt;=0,1,TablaSTOCKINV[[#This Row],[CANT. TOTAL]]&lt;=TablaSTOCKINV[[#This Row],[MIN]],2,TablaSTOCKINV[[#This Row],[CANT. TOTAL]]&gt;TablaSTOCKINV[[#This Row],[MIN]],3)</f>
        <v>3</v>
      </c>
      <c r="N568" s="34">
        <f>TablaSTOCKINV[[#This Row],[ENTRADAS]]-TablaSTOCKINV[[#This Row],[SALIDAS]]</f>
        <v>1</v>
      </c>
      <c r="O568" s="35">
        <f>SUMIFS(TablaENTRADA[CANT],TablaENTRADA[SKU],TablaSTOCKINV[[#This Row],[SKU]])</f>
        <v>1</v>
      </c>
      <c r="P568" s="35">
        <f>SUMIFS(TablaSALIDA[CANT],TablaSALIDA[SKU],TablaSTOCKINV[[#This Row],[SKU]])</f>
        <v>0</v>
      </c>
      <c r="Q568" s="34">
        <f>_xlfn.XLOOKUP(TablaSTOCKINV[[#This Row],[SKU]],TablaINVENTARIO[SKU],TablaINVENTARIO[PRECIO])</f>
        <v>0</v>
      </c>
      <c r="R568" s="34">
        <f>TablaSTOCKINV[[#This Row],[P.UNITARIO]]*TablaSTOCKINV[[#This Row],[CANT. TOTAL]]</f>
        <v>0</v>
      </c>
      <c r="S568" s="44">
        <f>_xlfn.XLOOKUP(TablaSTOCKINV[[#This Row],[SKU]],TablaINVENTARIO[SKU],TablaINVENTARIO[FECHA INGRESO])</f>
        <v>46023</v>
      </c>
      <c r="T568" s="44">
        <f>_xlfn.XLOOKUP(TablaSTOCKINV[[#This Row],[SKU]],TablaENTRADA[SKU],TablaENTRADA[FECHA],,0,-1)</f>
        <v>46023</v>
      </c>
      <c r="U568" s="46" t="str">
        <f>IFERROR((_xlfn.XLOOKUP(TablaSTOCKINV[[#This Row],[SKU]],TablaSALIDA[SKU],TablaSALIDA[FECHA],,0,-1))," " )</f>
        <v xml:space="preserve"> </v>
      </c>
    </row>
    <row r="569" spans="1:21" x14ac:dyDescent="0.3">
      <c r="A569" s="27" t="s">
        <v>2785</v>
      </c>
      <c r="B569" s="32" t="str">
        <f>_xlfn.XLOOKUP(TablaSTOCKINV[[#This Row],[SKU]],TablaINVENTARIO[SKU],TablaINVENTARIO[DESCRIPCION])</f>
        <v xml:space="preserve">LLAVE COMBINADA 1-1/4" </v>
      </c>
      <c r="C569" s="32" t="str">
        <f>_xlfn.XLOOKUP(TablaSTOCKINV[[#This Row],[SKU]],TablaINVENTARIO[SKU],TablaINVENTARIO[MARCA])</f>
        <v xml:space="preserve">STANLEY </v>
      </c>
      <c r="D569" s="33" t="str">
        <f>_xlfn.XLOOKUP(TablaSTOCKINV[[#This Row],[SKU]],TablaINVENTARIO[SKU],TablaINVENTARIO[CATEGORIA])</f>
        <v>HERRAMIENTAS_</v>
      </c>
      <c r="E569" s="33" t="str">
        <f>_xlfn.XLOOKUP(TablaSTOCKINV[[#This Row],[SKU]],TablaINVENTARIO[SKU],TablaINVENTARIO[SUBCATEGORIA])</f>
        <v xml:space="preserve">HERRAMIENTA DE MANO </v>
      </c>
      <c r="F569" s="33" t="str">
        <f>_xlfn.XLOOKUP(TablaSTOCKINV[[#This Row],[SKU]],TablaINVENTARIO[SKU],TablaINVENTARIO[ESTADO])</f>
        <v>USADO</v>
      </c>
      <c r="G569" s="33" t="str">
        <f>_xlfn.XLOOKUP(TablaSTOCKINV[[#This Row],[SKU]],TablaINVENTARIO[SKU],TablaINVENTARIO[MEDIDA])</f>
        <v>UND</v>
      </c>
      <c r="H569" s="33" t="str">
        <f>_xlfn.XLOOKUP(TablaSTOCKINV[[#This Row],[SKU]],TablaINVENTARIO[SKU],TablaINVENTARIO[SERIAL])</f>
        <v>N/A</v>
      </c>
      <c r="I569" s="34" t="str">
        <f>_xlfn.XLOOKUP(TablaSTOCKINV[[#This Row],[SKU]],TablaINVENTARIO[SKU],TablaINVENTARIO[ALMACEN])</f>
        <v>ALMACEN PRINCIPAL</v>
      </c>
      <c r="J569" s="34" t="str">
        <f>_xlfn.XLOOKUP(TablaSTOCKINV[[#This Row],[SKU]],TablaINVENTARIO[SKU],TablaINVENTARIO[UBICACION])</f>
        <v>E4-2</v>
      </c>
      <c r="K569" s="34" t="str">
        <f>_xlfn.XLOOKUP(TablaSTOCKINV[[#This Row],[SKU]],TablaINVENTARIO[SKU],TablaINVENTARIO[DPTO RESPONSABLE])</f>
        <v>PETROCEDEÑO</v>
      </c>
      <c r="L569" s="36">
        <f>_xlfn.XLOOKUP(TablaSTOCKINV[[#This Row],[SKU]],TablaINVENTARIO[SKU],TablaINVENTARIO[RANGO MIN])</f>
        <v>0</v>
      </c>
      <c r="M569" s="34" cm="1">
        <f t="array" ref="M569">_xlfn.IFS(TablaSTOCKINV[[#This Row],[CANT. TOTAL]]&lt;=0,1,TablaSTOCKINV[[#This Row],[CANT. TOTAL]]&lt;=TablaSTOCKINV[[#This Row],[MIN]],2,TablaSTOCKINV[[#This Row],[CANT. TOTAL]]&gt;TablaSTOCKINV[[#This Row],[MIN]],3)</f>
        <v>3</v>
      </c>
      <c r="N569" s="34">
        <f>TablaSTOCKINV[[#This Row],[ENTRADAS]]-TablaSTOCKINV[[#This Row],[SALIDAS]]</f>
        <v>2</v>
      </c>
      <c r="O569" s="35">
        <f>SUMIFS(TablaENTRADA[CANT],TablaENTRADA[SKU],TablaSTOCKINV[[#This Row],[SKU]])</f>
        <v>2</v>
      </c>
      <c r="P569" s="35">
        <f>SUMIFS(TablaSALIDA[CANT],TablaSALIDA[SKU],TablaSTOCKINV[[#This Row],[SKU]])</f>
        <v>0</v>
      </c>
      <c r="Q569" s="34">
        <f>_xlfn.XLOOKUP(TablaSTOCKINV[[#This Row],[SKU]],TablaINVENTARIO[SKU],TablaINVENTARIO[PRECIO])</f>
        <v>0</v>
      </c>
      <c r="R569" s="34">
        <f>TablaSTOCKINV[[#This Row],[P.UNITARIO]]*TablaSTOCKINV[[#This Row],[CANT. TOTAL]]</f>
        <v>0</v>
      </c>
      <c r="S569" s="44">
        <f>_xlfn.XLOOKUP(TablaSTOCKINV[[#This Row],[SKU]],TablaINVENTARIO[SKU],TablaINVENTARIO[FECHA INGRESO])</f>
        <v>46023</v>
      </c>
      <c r="T569" s="44">
        <f>_xlfn.XLOOKUP(TablaSTOCKINV[[#This Row],[SKU]],TablaENTRADA[SKU],TablaENTRADA[FECHA],,0,-1)</f>
        <v>46023</v>
      </c>
      <c r="U569" s="46" t="str">
        <f>IFERROR((_xlfn.XLOOKUP(TablaSTOCKINV[[#This Row],[SKU]],TablaSALIDA[SKU],TablaSALIDA[FECHA],,0,-1))," " )</f>
        <v xml:space="preserve"> </v>
      </c>
    </row>
    <row r="570" spans="1:21" x14ac:dyDescent="0.3">
      <c r="A570" s="27" t="s">
        <v>2787</v>
      </c>
      <c r="B570" s="32" t="str">
        <f>_xlfn.XLOOKUP(TablaSTOCKINV[[#This Row],[SKU]],TablaINVENTARIO[SKU],TablaINVENTARIO[DESCRIPCION])</f>
        <v>LLAVE COMBINADA 30MM</v>
      </c>
      <c r="C570" s="32" t="str">
        <f>_xlfn.XLOOKUP(TablaSTOCKINV[[#This Row],[SKU]],TablaINVENTARIO[SKU],TablaINVENTARIO[MARCA])</f>
        <v xml:space="preserve">STANLEY </v>
      </c>
      <c r="D570" s="33" t="str">
        <f>_xlfn.XLOOKUP(TablaSTOCKINV[[#This Row],[SKU]],TablaINVENTARIO[SKU],TablaINVENTARIO[CATEGORIA])</f>
        <v>HERRAMIENTAS_</v>
      </c>
      <c r="E570" s="33" t="str">
        <f>_xlfn.XLOOKUP(TablaSTOCKINV[[#This Row],[SKU]],TablaINVENTARIO[SKU],TablaINVENTARIO[SUBCATEGORIA])</f>
        <v xml:space="preserve">HERRAMIENTA DE MANO </v>
      </c>
      <c r="F570" s="33" t="str">
        <f>_xlfn.XLOOKUP(TablaSTOCKINV[[#This Row],[SKU]],TablaINVENTARIO[SKU],TablaINVENTARIO[ESTADO])</f>
        <v>USADO</v>
      </c>
      <c r="G570" s="33" t="str">
        <f>_xlfn.XLOOKUP(TablaSTOCKINV[[#This Row],[SKU]],TablaINVENTARIO[SKU],TablaINVENTARIO[MEDIDA])</f>
        <v>UND</v>
      </c>
      <c r="H570" s="33" t="str">
        <f>_xlfn.XLOOKUP(TablaSTOCKINV[[#This Row],[SKU]],TablaINVENTARIO[SKU],TablaINVENTARIO[SERIAL])</f>
        <v>N/A</v>
      </c>
      <c r="I570" s="34" t="str">
        <f>_xlfn.XLOOKUP(TablaSTOCKINV[[#This Row],[SKU]],TablaINVENTARIO[SKU],TablaINVENTARIO[ALMACEN])</f>
        <v>ALMACEN PRINCIPAL</v>
      </c>
      <c r="J570" s="34" t="str">
        <f>_xlfn.XLOOKUP(TablaSTOCKINV[[#This Row],[SKU]],TablaINVENTARIO[SKU],TablaINVENTARIO[UBICACION])</f>
        <v>E4-2</v>
      </c>
      <c r="K570" s="34" t="str">
        <f>_xlfn.XLOOKUP(TablaSTOCKINV[[#This Row],[SKU]],TablaINVENTARIO[SKU],TablaINVENTARIO[DPTO RESPONSABLE])</f>
        <v>PETROCEDEÑO</v>
      </c>
      <c r="L570" s="36">
        <f>_xlfn.XLOOKUP(TablaSTOCKINV[[#This Row],[SKU]],TablaINVENTARIO[SKU],TablaINVENTARIO[RANGO MIN])</f>
        <v>0</v>
      </c>
      <c r="M570" s="34" cm="1">
        <f t="array" ref="M570">_xlfn.IFS(TablaSTOCKINV[[#This Row],[CANT. TOTAL]]&lt;=0,1,TablaSTOCKINV[[#This Row],[CANT. TOTAL]]&lt;=TablaSTOCKINV[[#This Row],[MIN]],2,TablaSTOCKINV[[#This Row],[CANT. TOTAL]]&gt;TablaSTOCKINV[[#This Row],[MIN]],3)</f>
        <v>3</v>
      </c>
      <c r="N570" s="34">
        <f>TablaSTOCKINV[[#This Row],[ENTRADAS]]-TablaSTOCKINV[[#This Row],[SALIDAS]]</f>
        <v>1</v>
      </c>
      <c r="O570" s="35">
        <f>SUMIFS(TablaENTRADA[CANT],TablaENTRADA[SKU],TablaSTOCKINV[[#This Row],[SKU]])</f>
        <v>1</v>
      </c>
      <c r="P570" s="35">
        <f>SUMIFS(TablaSALIDA[CANT],TablaSALIDA[SKU],TablaSTOCKINV[[#This Row],[SKU]])</f>
        <v>0</v>
      </c>
      <c r="Q570" s="34">
        <f>_xlfn.XLOOKUP(TablaSTOCKINV[[#This Row],[SKU]],TablaINVENTARIO[SKU],TablaINVENTARIO[PRECIO])</f>
        <v>0</v>
      </c>
      <c r="R570" s="34">
        <f>TablaSTOCKINV[[#This Row],[P.UNITARIO]]*TablaSTOCKINV[[#This Row],[CANT. TOTAL]]</f>
        <v>0</v>
      </c>
      <c r="S570" s="44">
        <f>_xlfn.XLOOKUP(TablaSTOCKINV[[#This Row],[SKU]],TablaINVENTARIO[SKU],TablaINVENTARIO[FECHA INGRESO])</f>
        <v>46023</v>
      </c>
      <c r="T570" s="44">
        <f>_xlfn.XLOOKUP(TablaSTOCKINV[[#This Row],[SKU]],TablaENTRADA[SKU],TablaENTRADA[FECHA],,0,-1)</f>
        <v>46023</v>
      </c>
      <c r="U570" s="46" t="str">
        <f>IFERROR((_xlfn.XLOOKUP(TablaSTOCKINV[[#This Row],[SKU]],TablaSALIDA[SKU],TablaSALIDA[FECHA],,0,-1))," " )</f>
        <v xml:space="preserve"> </v>
      </c>
    </row>
    <row r="571" spans="1:21" x14ac:dyDescent="0.3">
      <c r="A571" s="27" t="s">
        <v>2788</v>
      </c>
      <c r="B571" s="32" t="str">
        <f>_xlfn.XLOOKUP(TablaSTOCKINV[[#This Row],[SKU]],TablaINVENTARIO[SKU],TablaINVENTARIO[DESCRIPCION])</f>
        <v>LLAVE COMBINADA 1-7/16"</v>
      </c>
      <c r="C571" s="32" t="str">
        <f>_xlfn.XLOOKUP(TablaSTOCKINV[[#This Row],[SKU]],TablaINVENTARIO[SKU],TablaINVENTARIO[MARCA])</f>
        <v xml:space="preserve">STANLEY </v>
      </c>
      <c r="D571" s="33" t="str">
        <f>_xlfn.XLOOKUP(TablaSTOCKINV[[#This Row],[SKU]],TablaINVENTARIO[SKU],TablaINVENTARIO[CATEGORIA])</f>
        <v>HERRAMIENTAS_</v>
      </c>
      <c r="E571" s="33" t="str">
        <f>_xlfn.XLOOKUP(TablaSTOCKINV[[#This Row],[SKU]],TablaINVENTARIO[SKU],TablaINVENTARIO[SUBCATEGORIA])</f>
        <v xml:space="preserve">HERRAMIENTA DE MANO </v>
      </c>
      <c r="F571" s="33" t="str">
        <f>_xlfn.XLOOKUP(TablaSTOCKINV[[#This Row],[SKU]],TablaINVENTARIO[SKU],TablaINVENTARIO[ESTADO])</f>
        <v>USADO</v>
      </c>
      <c r="G571" s="33" t="str">
        <f>_xlfn.XLOOKUP(TablaSTOCKINV[[#This Row],[SKU]],TablaINVENTARIO[SKU],TablaINVENTARIO[MEDIDA])</f>
        <v>UND</v>
      </c>
      <c r="H571" s="33" t="str">
        <f>_xlfn.XLOOKUP(TablaSTOCKINV[[#This Row],[SKU]],TablaINVENTARIO[SKU],TablaINVENTARIO[SERIAL])</f>
        <v>N/A</v>
      </c>
      <c r="I571" s="34" t="str">
        <f>_xlfn.XLOOKUP(TablaSTOCKINV[[#This Row],[SKU]],TablaINVENTARIO[SKU],TablaINVENTARIO[ALMACEN])</f>
        <v>ALMACEN PRINCIPAL</v>
      </c>
      <c r="J571" s="34" t="str">
        <f>_xlfn.XLOOKUP(TablaSTOCKINV[[#This Row],[SKU]],TablaINVENTARIO[SKU],TablaINVENTARIO[UBICACION])</f>
        <v>E4-2</v>
      </c>
      <c r="K571" s="34" t="str">
        <f>_xlfn.XLOOKUP(TablaSTOCKINV[[#This Row],[SKU]],TablaINVENTARIO[SKU],TablaINVENTARIO[DPTO RESPONSABLE])</f>
        <v>PETROCEDEÑO</v>
      </c>
      <c r="L571" s="36">
        <f>_xlfn.XLOOKUP(TablaSTOCKINV[[#This Row],[SKU]],TablaINVENTARIO[SKU],TablaINVENTARIO[RANGO MIN])</f>
        <v>0</v>
      </c>
      <c r="M571" s="34" cm="1">
        <f t="array" ref="M571">_xlfn.IFS(TablaSTOCKINV[[#This Row],[CANT. TOTAL]]&lt;=0,1,TablaSTOCKINV[[#This Row],[CANT. TOTAL]]&lt;=TablaSTOCKINV[[#This Row],[MIN]],2,TablaSTOCKINV[[#This Row],[CANT. TOTAL]]&gt;TablaSTOCKINV[[#This Row],[MIN]],3)</f>
        <v>3</v>
      </c>
      <c r="N571" s="34">
        <f>TablaSTOCKINV[[#This Row],[ENTRADAS]]-TablaSTOCKINV[[#This Row],[SALIDAS]]</f>
        <v>2</v>
      </c>
      <c r="O571" s="35">
        <f>SUMIFS(TablaENTRADA[CANT],TablaENTRADA[SKU],TablaSTOCKINV[[#This Row],[SKU]])</f>
        <v>2</v>
      </c>
      <c r="P571" s="35">
        <f>SUMIFS(TablaSALIDA[CANT],TablaSALIDA[SKU],TablaSTOCKINV[[#This Row],[SKU]])</f>
        <v>0</v>
      </c>
      <c r="Q571" s="34">
        <f>_xlfn.XLOOKUP(TablaSTOCKINV[[#This Row],[SKU]],TablaINVENTARIO[SKU],TablaINVENTARIO[PRECIO])</f>
        <v>0</v>
      </c>
      <c r="R571" s="34">
        <f>TablaSTOCKINV[[#This Row],[P.UNITARIO]]*TablaSTOCKINV[[#This Row],[CANT. TOTAL]]</f>
        <v>0</v>
      </c>
      <c r="S571" s="44">
        <f>_xlfn.XLOOKUP(TablaSTOCKINV[[#This Row],[SKU]],TablaINVENTARIO[SKU],TablaINVENTARIO[FECHA INGRESO])</f>
        <v>46023</v>
      </c>
      <c r="T571" s="44">
        <f>_xlfn.XLOOKUP(TablaSTOCKINV[[#This Row],[SKU]],TablaENTRADA[SKU],TablaENTRADA[FECHA],,0,-1)</f>
        <v>46023</v>
      </c>
      <c r="U571" s="46" t="str">
        <f>IFERROR((_xlfn.XLOOKUP(TablaSTOCKINV[[#This Row],[SKU]],TablaSALIDA[SKU],TablaSALIDA[FECHA],,0,-1))," " )</f>
        <v xml:space="preserve"> </v>
      </c>
    </row>
    <row r="572" spans="1:21" x14ac:dyDescent="0.3">
      <c r="A572" s="27" t="s">
        <v>2789</v>
      </c>
      <c r="B572" s="32" t="str">
        <f>_xlfn.XLOOKUP(TablaSTOCKINV[[#This Row],[SKU]],TablaINVENTARIO[SKU],TablaINVENTARIO[DESCRIPCION])</f>
        <v>LLAVE COMBINADA 1-5/8"</v>
      </c>
      <c r="C572" s="32" t="str">
        <f>_xlfn.XLOOKUP(TablaSTOCKINV[[#This Row],[SKU]],TablaINVENTARIO[SKU],TablaINVENTARIO[MARCA])</f>
        <v xml:space="preserve">STANLEY </v>
      </c>
      <c r="D572" s="33" t="str">
        <f>_xlfn.XLOOKUP(TablaSTOCKINV[[#This Row],[SKU]],TablaINVENTARIO[SKU],TablaINVENTARIO[CATEGORIA])</f>
        <v>HERRAMIENTAS_</v>
      </c>
      <c r="E572" s="33" t="str">
        <f>_xlfn.XLOOKUP(TablaSTOCKINV[[#This Row],[SKU]],TablaINVENTARIO[SKU],TablaINVENTARIO[SUBCATEGORIA])</f>
        <v xml:space="preserve">HERRAMIENTA DE MANO </v>
      </c>
      <c r="F572" s="33" t="str">
        <f>_xlfn.XLOOKUP(TablaSTOCKINV[[#This Row],[SKU]],TablaINVENTARIO[SKU],TablaINVENTARIO[ESTADO])</f>
        <v>USADO</v>
      </c>
      <c r="G572" s="33" t="str">
        <f>_xlfn.XLOOKUP(TablaSTOCKINV[[#This Row],[SKU]],TablaINVENTARIO[SKU],TablaINVENTARIO[MEDIDA])</f>
        <v>UND</v>
      </c>
      <c r="H572" s="33" t="str">
        <f>_xlfn.XLOOKUP(TablaSTOCKINV[[#This Row],[SKU]],TablaINVENTARIO[SKU],TablaINVENTARIO[SERIAL])</f>
        <v>N/A</v>
      </c>
      <c r="I572" s="34" t="str">
        <f>_xlfn.XLOOKUP(TablaSTOCKINV[[#This Row],[SKU]],TablaINVENTARIO[SKU],TablaINVENTARIO[ALMACEN])</f>
        <v>ALMACEN PRINCIPAL</v>
      </c>
      <c r="J572" s="34" t="str">
        <f>_xlfn.XLOOKUP(TablaSTOCKINV[[#This Row],[SKU]],TablaINVENTARIO[SKU],TablaINVENTARIO[UBICACION])</f>
        <v>E4-2</v>
      </c>
      <c r="K572" s="34" t="str">
        <f>_xlfn.XLOOKUP(TablaSTOCKINV[[#This Row],[SKU]],TablaINVENTARIO[SKU],TablaINVENTARIO[DPTO RESPONSABLE])</f>
        <v>PETROCEDEÑO</v>
      </c>
      <c r="L572" s="36">
        <f>_xlfn.XLOOKUP(TablaSTOCKINV[[#This Row],[SKU]],TablaINVENTARIO[SKU],TablaINVENTARIO[RANGO MIN])</f>
        <v>0</v>
      </c>
      <c r="M572" s="34" cm="1">
        <f t="array" ref="M572">_xlfn.IFS(TablaSTOCKINV[[#This Row],[CANT. TOTAL]]&lt;=0,1,TablaSTOCKINV[[#This Row],[CANT. TOTAL]]&lt;=TablaSTOCKINV[[#This Row],[MIN]],2,TablaSTOCKINV[[#This Row],[CANT. TOTAL]]&gt;TablaSTOCKINV[[#This Row],[MIN]],3)</f>
        <v>3</v>
      </c>
      <c r="N572" s="34">
        <f>TablaSTOCKINV[[#This Row],[ENTRADAS]]-TablaSTOCKINV[[#This Row],[SALIDAS]]</f>
        <v>2</v>
      </c>
      <c r="O572" s="35">
        <f>SUMIFS(TablaENTRADA[CANT],TablaENTRADA[SKU],TablaSTOCKINV[[#This Row],[SKU]])</f>
        <v>2</v>
      </c>
      <c r="P572" s="35">
        <f>SUMIFS(TablaSALIDA[CANT],TablaSALIDA[SKU],TablaSTOCKINV[[#This Row],[SKU]])</f>
        <v>0</v>
      </c>
      <c r="Q572" s="34">
        <f>_xlfn.XLOOKUP(TablaSTOCKINV[[#This Row],[SKU]],TablaINVENTARIO[SKU],TablaINVENTARIO[PRECIO])</f>
        <v>0</v>
      </c>
      <c r="R572" s="34">
        <f>TablaSTOCKINV[[#This Row],[P.UNITARIO]]*TablaSTOCKINV[[#This Row],[CANT. TOTAL]]</f>
        <v>0</v>
      </c>
      <c r="S572" s="44">
        <f>_xlfn.XLOOKUP(TablaSTOCKINV[[#This Row],[SKU]],TablaINVENTARIO[SKU],TablaINVENTARIO[FECHA INGRESO])</f>
        <v>46023</v>
      </c>
      <c r="T572" s="44">
        <f>_xlfn.XLOOKUP(TablaSTOCKINV[[#This Row],[SKU]],TablaENTRADA[SKU],TablaENTRADA[FECHA],,0,-1)</f>
        <v>46023</v>
      </c>
      <c r="U572" s="46" t="str">
        <f>IFERROR((_xlfn.XLOOKUP(TablaSTOCKINV[[#This Row],[SKU]],TablaSALIDA[SKU],TablaSALIDA[FECHA],,0,-1))," " )</f>
        <v xml:space="preserve"> </v>
      </c>
    </row>
    <row r="573" spans="1:21" x14ac:dyDescent="0.3">
      <c r="A573" s="27" t="s">
        <v>2790</v>
      </c>
      <c r="B573" s="32" t="str">
        <f>_xlfn.XLOOKUP(TablaSTOCKINV[[#This Row],[SKU]],TablaINVENTARIO[SKU],TablaINVENTARIO[DESCRIPCION])</f>
        <v>LLAVE COMBINADA 1/8"</v>
      </c>
      <c r="C573" s="32" t="str">
        <f>_xlfn.XLOOKUP(TablaSTOCKINV[[#This Row],[SKU]],TablaINVENTARIO[SKU],TablaINVENTARIO[MARCA])</f>
        <v xml:space="preserve">STANLEY </v>
      </c>
      <c r="D573" s="33" t="str">
        <f>_xlfn.XLOOKUP(TablaSTOCKINV[[#This Row],[SKU]],TablaINVENTARIO[SKU],TablaINVENTARIO[CATEGORIA])</f>
        <v>HERRAMIENTAS_</v>
      </c>
      <c r="E573" s="33" t="str">
        <f>_xlfn.XLOOKUP(TablaSTOCKINV[[#This Row],[SKU]],TablaINVENTARIO[SKU],TablaINVENTARIO[SUBCATEGORIA])</f>
        <v xml:space="preserve">HERRAMIENTA DE MANO </v>
      </c>
      <c r="F573" s="33" t="str">
        <f>_xlfn.XLOOKUP(TablaSTOCKINV[[#This Row],[SKU]],TablaINVENTARIO[SKU],TablaINVENTARIO[ESTADO])</f>
        <v>USADO</v>
      </c>
      <c r="G573" s="33" t="str">
        <f>_xlfn.XLOOKUP(TablaSTOCKINV[[#This Row],[SKU]],TablaINVENTARIO[SKU],TablaINVENTARIO[MEDIDA])</f>
        <v>UND</v>
      </c>
      <c r="H573" s="33" t="str">
        <f>_xlfn.XLOOKUP(TablaSTOCKINV[[#This Row],[SKU]],TablaINVENTARIO[SKU],TablaINVENTARIO[SERIAL])</f>
        <v>N/A</v>
      </c>
      <c r="I573" s="34" t="str">
        <f>_xlfn.XLOOKUP(TablaSTOCKINV[[#This Row],[SKU]],TablaINVENTARIO[SKU],TablaINVENTARIO[ALMACEN])</f>
        <v>ALMACEN PRINCIPAL</v>
      </c>
      <c r="J573" s="34" t="str">
        <f>_xlfn.XLOOKUP(TablaSTOCKINV[[#This Row],[SKU]],TablaINVENTARIO[SKU],TablaINVENTARIO[UBICACION])</f>
        <v>E4-2</v>
      </c>
      <c r="K573" s="34" t="str">
        <f>_xlfn.XLOOKUP(TablaSTOCKINV[[#This Row],[SKU]],TablaINVENTARIO[SKU],TablaINVENTARIO[DPTO RESPONSABLE])</f>
        <v>PETROCEDEÑO</v>
      </c>
      <c r="L573" s="36">
        <f>_xlfn.XLOOKUP(TablaSTOCKINV[[#This Row],[SKU]],TablaINVENTARIO[SKU],TablaINVENTARIO[RANGO MIN])</f>
        <v>0</v>
      </c>
      <c r="M573" s="34" cm="1">
        <f t="array" ref="M573">_xlfn.IFS(TablaSTOCKINV[[#This Row],[CANT. TOTAL]]&lt;=0,1,TablaSTOCKINV[[#This Row],[CANT. TOTAL]]&lt;=TablaSTOCKINV[[#This Row],[MIN]],2,TablaSTOCKINV[[#This Row],[CANT. TOTAL]]&gt;TablaSTOCKINV[[#This Row],[MIN]],3)</f>
        <v>3</v>
      </c>
      <c r="N573" s="34">
        <f>TablaSTOCKINV[[#This Row],[ENTRADAS]]-TablaSTOCKINV[[#This Row],[SALIDAS]]</f>
        <v>2</v>
      </c>
      <c r="O573" s="35">
        <f>SUMIFS(TablaENTRADA[CANT],TablaENTRADA[SKU],TablaSTOCKINV[[#This Row],[SKU]])</f>
        <v>2</v>
      </c>
      <c r="P573" s="35">
        <f>SUMIFS(TablaSALIDA[CANT],TablaSALIDA[SKU],TablaSTOCKINV[[#This Row],[SKU]])</f>
        <v>0</v>
      </c>
      <c r="Q573" s="34">
        <f>_xlfn.XLOOKUP(TablaSTOCKINV[[#This Row],[SKU]],TablaINVENTARIO[SKU],TablaINVENTARIO[PRECIO])</f>
        <v>0</v>
      </c>
      <c r="R573" s="34">
        <f>TablaSTOCKINV[[#This Row],[P.UNITARIO]]*TablaSTOCKINV[[#This Row],[CANT. TOTAL]]</f>
        <v>0</v>
      </c>
      <c r="S573" s="44">
        <f>_xlfn.XLOOKUP(TablaSTOCKINV[[#This Row],[SKU]],TablaINVENTARIO[SKU],TablaINVENTARIO[FECHA INGRESO])</f>
        <v>46023</v>
      </c>
      <c r="T573" s="44">
        <f>_xlfn.XLOOKUP(TablaSTOCKINV[[#This Row],[SKU]],TablaENTRADA[SKU],TablaENTRADA[FECHA],,0,-1)</f>
        <v>46023</v>
      </c>
      <c r="U573" s="46" t="str">
        <f>IFERROR((_xlfn.XLOOKUP(TablaSTOCKINV[[#This Row],[SKU]],TablaSALIDA[SKU],TablaSALIDA[FECHA],,0,-1))," " )</f>
        <v xml:space="preserve"> </v>
      </c>
    </row>
    <row r="574" spans="1:21" x14ac:dyDescent="0.3">
      <c r="A574" s="27" t="s">
        <v>2792</v>
      </c>
      <c r="B574" s="32" t="str">
        <f>_xlfn.XLOOKUP(TablaSTOCKINV[[#This Row],[SKU]],TablaINVENTARIO[SKU],TablaINVENTARIO[DESCRIPCION])</f>
        <v>LLAVE COMBINADA 1-5/16"</v>
      </c>
      <c r="C574" s="32" t="str">
        <f>_xlfn.XLOOKUP(TablaSTOCKINV[[#This Row],[SKU]],TablaINVENTARIO[SKU],TablaINVENTARIO[MARCA])</f>
        <v xml:space="preserve">STANLEY </v>
      </c>
      <c r="D574" s="33" t="str">
        <f>_xlfn.XLOOKUP(TablaSTOCKINV[[#This Row],[SKU]],TablaINVENTARIO[SKU],TablaINVENTARIO[CATEGORIA])</f>
        <v>HERRAMIENTAS_</v>
      </c>
      <c r="E574" s="33" t="str">
        <f>_xlfn.XLOOKUP(TablaSTOCKINV[[#This Row],[SKU]],TablaINVENTARIO[SKU],TablaINVENTARIO[SUBCATEGORIA])</f>
        <v xml:space="preserve">HERRAMIENTA DE MANO </v>
      </c>
      <c r="F574" s="33" t="str">
        <f>_xlfn.XLOOKUP(TablaSTOCKINV[[#This Row],[SKU]],TablaINVENTARIO[SKU],TablaINVENTARIO[ESTADO])</f>
        <v>USADO</v>
      </c>
      <c r="G574" s="33" t="str">
        <f>_xlfn.XLOOKUP(TablaSTOCKINV[[#This Row],[SKU]],TablaINVENTARIO[SKU],TablaINVENTARIO[MEDIDA])</f>
        <v>UND</v>
      </c>
      <c r="H574" s="33" t="str">
        <f>_xlfn.XLOOKUP(TablaSTOCKINV[[#This Row],[SKU]],TablaINVENTARIO[SKU],TablaINVENTARIO[SERIAL])</f>
        <v>N/A</v>
      </c>
      <c r="I574" s="34" t="str">
        <f>_xlfn.XLOOKUP(TablaSTOCKINV[[#This Row],[SKU]],TablaINVENTARIO[SKU],TablaINVENTARIO[ALMACEN])</f>
        <v>ALMACEN PRINCIPAL</v>
      </c>
      <c r="J574" s="34" t="str">
        <f>_xlfn.XLOOKUP(TablaSTOCKINV[[#This Row],[SKU]],TablaINVENTARIO[SKU],TablaINVENTARIO[UBICACION])</f>
        <v>E4-2</v>
      </c>
      <c r="K574" s="34" t="str">
        <f>_xlfn.XLOOKUP(TablaSTOCKINV[[#This Row],[SKU]],TablaINVENTARIO[SKU],TablaINVENTARIO[DPTO RESPONSABLE])</f>
        <v>PETROCEDEÑO</v>
      </c>
      <c r="L574" s="36">
        <f>_xlfn.XLOOKUP(TablaSTOCKINV[[#This Row],[SKU]],TablaINVENTARIO[SKU],TablaINVENTARIO[RANGO MIN])</f>
        <v>0</v>
      </c>
      <c r="M574" s="34" cm="1">
        <f t="array" ref="M574">_xlfn.IFS(TablaSTOCKINV[[#This Row],[CANT. TOTAL]]&lt;=0,1,TablaSTOCKINV[[#This Row],[CANT. TOTAL]]&lt;=TablaSTOCKINV[[#This Row],[MIN]],2,TablaSTOCKINV[[#This Row],[CANT. TOTAL]]&gt;TablaSTOCKINV[[#This Row],[MIN]],3)</f>
        <v>3</v>
      </c>
      <c r="N574" s="34">
        <f>TablaSTOCKINV[[#This Row],[ENTRADAS]]-TablaSTOCKINV[[#This Row],[SALIDAS]]</f>
        <v>1</v>
      </c>
      <c r="O574" s="35">
        <f>SUMIFS(TablaENTRADA[CANT],TablaENTRADA[SKU],TablaSTOCKINV[[#This Row],[SKU]])</f>
        <v>1</v>
      </c>
      <c r="P574" s="35">
        <f>SUMIFS(TablaSALIDA[CANT],TablaSALIDA[SKU],TablaSTOCKINV[[#This Row],[SKU]])</f>
        <v>0</v>
      </c>
      <c r="Q574" s="34">
        <f>_xlfn.XLOOKUP(TablaSTOCKINV[[#This Row],[SKU]],TablaINVENTARIO[SKU],TablaINVENTARIO[PRECIO])</f>
        <v>0</v>
      </c>
      <c r="R574" s="34">
        <f>TablaSTOCKINV[[#This Row],[P.UNITARIO]]*TablaSTOCKINV[[#This Row],[CANT. TOTAL]]</f>
        <v>0</v>
      </c>
      <c r="S574" s="44">
        <f>_xlfn.XLOOKUP(TablaSTOCKINV[[#This Row],[SKU]],TablaINVENTARIO[SKU],TablaINVENTARIO[FECHA INGRESO])</f>
        <v>46023</v>
      </c>
      <c r="T574" s="44">
        <f>_xlfn.XLOOKUP(TablaSTOCKINV[[#This Row],[SKU]],TablaENTRADA[SKU],TablaENTRADA[FECHA],,0,-1)</f>
        <v>46023</v>
      </c>
      <c r="U574" s="46" t="str">
        <f>IFERROR((_xlfn.XLOOKUP(TablaSTOCKINV[[#This Row],[SKU]],TablaSALIDA[SKU],TablaSALIDA[FECHA],,0,-1))," " )</f>
        <v xml:space="preserve"> </v>
      </c>
    </row>
    <row r="575" spans="1:21" x14ac:dyDescent="0.3">
      <c r="A575" s="27" t="s">
        <v>2794</v>
      </c>
      <c r="B575" s="32" t="str">
        <f>_xlfn.XLOOKUP(TablaSTOCKINV[[#This Row],[SKU]],TablaINVENTARIO[SKU],TablaINVENTARIO[DESCRIPCION])</f>
        <v>LLAVE DE TUBO 24"</v>
      </c>
      <c r="C575" s="32" t="str">
        <f>_xlfn.XLOOKUP(TablaSTOCKINV[[#This Row],[SKU]],TablaINVENTARIO[SKU],TablaINVENTARIO[MARCA])</f>
        <v xml:space="preserve">STANLEY </v>
      </c>
      <c r="D575" s="33" t="str">
        <f>_xlfn.XLOOKUP(TablaSTOCKINV[[#This Row],[SKU]],TablaINVENTARIO[SKU],TablaINVENTARIO[CATEGORIA])</f>
        <v>HERRAMIENTAS_</v>
      </c>
      <c r="E575" s="33" t="str">
        <f>_xlfn.XLOOKUP(TablaSTOCKINV[[#This Row],[SKU]],TablaINVENTARIO[SKU],TablaINVENTARIO[SUBCATEGORIA])</f>
        <v xml:space="preserve">HERRAMIENTA DE MANO </v>
      </c>
      <c r="F575" s="33" t="str">
        <f>_xlfn.XLOOKUP(TablaSTOCKINV[[#This Row],[SKU]],TablaINVENTARIO[SKU],TablaINVENTARIO[ESTADO])</f>
        <v>USADO</v>
      </c>
      <c r="G575" s="33" t="str">
        <f>_xlfn.XLOOKUP(TablaSTOCKINV[[#This Row],[SKU]],TablaINVENTARIO[SKU],TablaINVENTARIO[MEDIDA])</f>
        <v>UND</v>
      </c>
      <c r="H575" s="33" t="str">
        <f>_xlfn.XLOOKUP(TablaSTOCKINV[[#This Row],[SKU]],TablaINVENTARIO[SKU],TablaINVENTARIO[SERIAL])</f>
        <v>N/A</v>
      </c>
      <c r="I575" s="34" t="str">
        <f>_xlfn.XLOOKUP(TablaSTOCKINV[[#This Row],[SKU]],TablaINVENTARIO[SKU],TablaINVENTARIO[ALMACEN])</f>
        <v>ALMACEN PRINCIPAL</v>
      </c>
      <c r="J575" s="34" t="str">
        <f>_xlfn.XLOOKUP(TablaSTOCKINV[[#This Row],[SKU]],TablaINVENTARIO[SKU],TablaINVENTARIO[UBICACION])</f>
        <v>E4-2</v>
      </c>
      <c r="K575" s="34" t="str">
        <f>_xlfn.XLOOKUP(TablaSTOCKINV[[#This Row],[SKU]],TablaINVENTARIO[SKU],TablaINVENTARIO[DPTO RESPONSABLE])</f>
        <v>PETROCEDEÑO</v>
      </c>
      <c r="L575" s="36">
        <f>_xlfn.XLOOKUP(TablaSTOCKINV[[#This Row],[SKU]],TablaINVENTARIO[SKU],TablaINVENTARIO[RANGO MIN])</f>
        <v>0</v>
      </c>
      <c r="M575" s="34" cm="1">
        <f t="array" ref="M575">_xlfn.IFS(TablaSTOCKINV[[#This Row],[CANT. TOTAL]]&lt;=0,1,TablaSTOCKINV[[#This Row],[CANT. TOTAL]]&lt;=TablaSTOCKINV[[#This Row],[MIN]],2,TablaSTOCKINV[[#This Row],[CANT. TOTAL]]&gt;TablaSTOCKINV[[#This Row],[MIN]],3)</f>
        <v>3</v>
      </c>
      <c r="N575" s="34">
        <f>TablaSTOCKINV[[#This Row],[ENTRADAS]]-TablaSTOCKINV[[#This Row],[SALIDAS]]</f>
        <v>3</v>
      </c>
      <c r="O575" s="35">
        <f>SUMIFS(TablaENTRADA[CANT],TablaENTRADA[SKU],TablaSTOCKINV[[#This Row],[SKU]])</f>
        <v>3</v>
      </c>
      <c r="P575" s="35">
        <f>SUMIFS(TablaSALIDA[CANT],TablaSALIDA[SKU],TablaSTOCKINV[[#This Row],[SKU]])</f>
        <v>0</v>
      </c>
      <c r="Q575" s="34">
        <f>_xlfn.XLOOKUP(TablaSTOCKINV[[#This Row],[SKU]],TablaINVENTARIO[SKU],TablaINVENTARIO[PRECIO])</f>
        <v>0</v>
      </c>
      <c r="R575" s="34">
        <f>TablaSTOCKINV[[#This Row],[P.UNITARIO]]*TablaSTOCKINV[[#This Row],[CANT. TOTAL]]</f>
        <v>0</v>
      </c>
      <c r="S575" s="44">
        <f>_xlfn.XLOOKUP(TablaSTOCKINV[[#This Row],[SKU]],TablaINVENTARIO[SKU],TablaINVENTARIO[FECHA INGRESO])</f>
        <v>46023</v>
      </c>
      <c r="T575" s="44">
        <f>_xlfn.XLOOKUP(TablaSTOCKINV[[#This Row],[SKU]],TablaENTRADA[SKU],TablaENTRADA[FECHA],,0,-1)</f>
        <v>46023</v>
      </c>
      <c r="U575" s="46" t="str">
        <f>IFERROR((_xlfn.XLOOKUP(TablaSTOCKINV[[#This Row],[SKU]],TablaSALIDA[SKU],TablaSALIDA[FECHA],,0,-1))," " )</f>
        <v xml:space="preserve"> </v>
      </c>
    </row>
    <row r="576" spans="1:21" x14ac:dyDescent="0.3">
      <c r="A576" s="27" t="s">
        <v>2795</v>
      </c>
      <c r="B576" s="32" t="str">
        <f>_xlfn.XLOOKUP(TablaSTOCKINV[[#This Row],[SKU]],TablaINVENTARIO[SKU],TablaINVENTARIO[DESCRIPCION])</f>
        <v>LLAVE DE GOLPE 1-7/16"</v>
      </c>
      <c r="C576" s="32" t="str">
        <f>_xlfn.XLOOKUP(TablaSTOCKINV[[#This Row],[SKU]],TablaINVENTARIO[SKU],TablaINVENTARIO[MARCA])</f>
        <v>PROTO</v>
      </c>
      <c r="D576" s="33" t="str">
        <f>_xlfn.XLOOKUP(TablaSTOCKINV[[#This Row],[SKU]],TablaINVENTARIO[SKU],TablaINVENTARIO[CATEGORIA])</f>
        <v>HERRAMIENTAS_</v>
      </c>
      <c r="E576" s="33" t="str">
        <f>_xlfn.XLOOKUP(TablaSTOCKINV[[#This Row],[SKU]],TablaINVENTARIO[SKU],TablaINVENTARIO[SUBCATEGORIA])</f>
        <v xml:space="preserve">HERRAMIENTA DE MANO </v>
      </c>
      <c r="F576" s="33" t="str">
        <f>_xlfn.XLOOKUP(TablaSTOCKINV[[#This Row],[SKU]],TablaINVENTARIO[SKU],TablaINVENTARIO[ESTADO])</f>
        <v>USADO</v>
      </c>
      <c r="G576" s="33" t="str">
        <f>_xlfn.XLOOKUP(TablaSTOCKINV[[#This Row],[SKU]],TablaINVENTARIO[SKU],TablaINVENTARIO[MEDIDA])</f>
        <v>UND</v>
      </c>
      <c r="H576" s="33" t="str">
        <f>_xlfn.XLOOKUP(TablaSTOCKINV[[#This Row],[SKU]],TablaINVENTARIO[SKU],TablaINVENTARIO[SERIAL])</f>
        <v>N/A</v>
      </c>
      <c r="I576" s="34" t="str">
        <f>_xlfn.XLOOKUP(TablaSTOCKINV[[#This Row],[SKU]],TablaINVENTARIO[SKU],TablaINVENTARIO[ALMACEN])</f>
        <v>ALMACEN PRINCIPAL</v>
      </c>
      <c r="J576" s="34" t="str">
        <f>_xlfn.XLOOKUP(TablaSTOCKINV[[#This Row],[SKU]],TablaINVENTARIO[SKU],TablaINVENTARIO[UBICACION])</f>
        <v>E4-2</v>
      </c>
      <c r="K576" s="34" t="str">
        <f>_xlfn.XLOOKUP(TablaSTOCKINV[[#This Row],[SKU]],TablaINVENTARIO[SKU],TablaINVENTARIO[DPTO RESPONSABLE])</f>
        <v>PETROCEDEÑO</v>
      </c>
      <c r="L576" s="36">
        <f>_xlfn.XLOOKUP(TablaSTOCKINV[[#This Row],[SKU]],TablaINVENTARIO[SKU],TablaINVENTARIO[RANGO MIN])</f>
        <v>0</v>
      </c>
      <c r="M576" s="34" cm="1">
        <f t="array" ref="M576">_xlfn.IFS(TablaSTOCKINV[[#This Row],[CANT. TOTAL]]&lt;=0,1,TablaSTOCKINV[[#This Row],[CANT. TOTAL]]&lt;=TablaSTOCKINV[[#This Row],[MIN]],2,TablaSTOCKINV[[#This Row],[CANT. TOTAL]]&gt;TablaSTOCKINV[[#This Row],[MIN]],3)</f>
        <v>3</v>
      </c>
      <c r="N576" s="34">
        <f>TablaSTOCKINV[[#This Row],[ENTRADAS]]-TablaSTOCKINV[[#This Row],[SALIDAS]]</f>
        <v>3</v>
      </c>
      <c r="O576" s="35">
        <f>SUMIFS(TablaENTRADA[CANT],TablaENTRADA[SKU],TablaSTOCKINV[[#This Row],[SKU]])</f>
        <v>3</v>
      </c>
      <c r="P576" s="35">
        <f>SUMIFS(TablaSALIDA[CANT],TablaSALIDA[SKU],TablaSTOCKINV[[#This Row],[SKU]])</f>
        <v>0</v>
      </c>
      <c r="Q576" s="34">
        <f>_xlfn.XLOOKUP(TablaSTOCKINV[[#This Row],[SKU]],TablaINVENTARIO[SKU],TablaINVENTARIO[PRECIO])</f>
        <v>0</v>
      </c>
      <c r="R576" s="34">
        <f>TablaSTOCKINV[[#This Row],[P.UNITARIO]]*TablaSTOCKINV[[#This Row],[CANT. TOTAL]]</f>
        <v>0</v>
      </c>
      <c r="S576" s="44">
        <f>_xlfn.XLOOKUP(TablaSTOCKINV[[#This Row],[SKU]],TablaINVENTARIO[SKU],TablaINVENTARIO[FECHA INGRESO])</f>
        <v>46023</v>
      </c>
      <c r="T576" s="44">
        <f>_xlfn.XLOOKUP(TablaSTOCKINV[[#This Row],[SKU]],TablaENTRADA[SKU],TablaENTRADA[FECHA],,0,-1)</f>
        <v>46023</v>
      </c>
      <c r="U576" s="46" t="str">
        <f>IFERROR((_xlfn.XLOOKUP(TablaSTOCKINV[[#This Row],[SKU]],TablaSALIDA[SKU],TablaSALIDA[FECHA],,0,-1))," " )</f>
        <v xml:space="preserve"> </v>
      </c>
    </row>
    <row r="577" spans="1:21" x14ac:dyDescent="0.3">
      <c r="A577" s="27" t="s">
        <v>2798</v>
      </c>
      <c r="B577" s="32" t="str">
        <f>_xlfn.XLOOKUP(TablaSTOCKINV[[#This Row],[SKU]],TablaINVENTARIO[SKU],TablaINVENTARIO[DESCRIPCION])</f>
        <v xml:space="preserve">CEPILLO DE ALAMBRE </v>
      </c>
      <c r="C577" s="32" t="str">
        <f>_xlfn.XLOOKUP(TablaSTOCKINV[[#This Row],[SKU]],TablaINVENTARIO[SKU],TablaINVENTARIO[MARCA])</f>
        <v>N/A</v>
      </c>
      <c r="D577" s="33" t="str">
        <f>_xlfn.XLOOKUP(TablaSTOCKINV[[#This Row],[SKU]],TablaINVENTARIO[SKU],TablaINVENTARIO[CATEGORIA])</f>
        <v>HERRAMIENTAS_</v>
      </c>
      <c r="E577" s="33" t="str">
        <f>_xlfn.XLOOKUP(TablaSTOCKINV[[#This Row],[SKU]],TablaINVENTARIO[SKU],TablaINVENTARIO[SUBCATEGORIA])</f>
        <v xml:space="preserve">HERRAMIENTA DE MANO </v>
      </c>
      <c r="F577" s="33" t="str">
        <f>_xlfn.XLOOKUP(TablaSTOCKINV[[#This Row],[SKU]],TablaINVENTARIO[SKU],TablaINVENTARIO[ESTADO])</f>
        <v>USADO</v>
      </c>
      <c r="G577" s="33" t="str">
        <f>_xlfn.XLOOKUP(TablaSTOCKINV[[#This Row],[SKU]],TablaINVENTARIO[SKU],TablaINVENTARIO[MEDIDA])</f>
        <v>UND</v>
      </c>
      <c r="H577" s="33" t="str">
        <f>_xlfn.XLOOKUP(TablaSTOCKINV[[#This Row],[SKU]],TablaINVENTARIO[SKU],TablaINVENTARIO[SERIAL])</f>
        <v>N/A</v>
      </c>
      <c r="I577" s="34" t="str">
        <f>_xlfn.XLOOKUP(TablaSTOCKINV[[#This Row],[SKU]],TablaINVENTARIO[SKU],TablaINVENTARIO[ALMACEN])</f>
        <v>ALMACEN PRINCIPAL</v>
      </c>
      <c r="J577" s="34" t="str">
        <f>_xlfn.XLOOKUP(TablaSTOCKINV[[#This Row],[SKU]],TablaINVENTARIO[SKU],TablaINVENTARIO[UBICACION])</f>
        <v>E4-2</v>
      </c>
      <c r="K577" s="34" t="str">
        <f>_xlfn.XLOOKUP(TablaSTOCKINV[[#This Row],[SKU]],TablaINVENTARIO[SKU],TablaINVENTARIO[DPTO RESPONSABLE])</f>
        <v>PETROCEDEÑO</v>
      </c>
      <c r="L577" s="36">
        <f>_xlfn.XLOOKUP(TablaSTOCKINV[[#This Row],[SKU]],TablaINVENTARIO[SKU],TablaINVENTARIO[RANGO MIN])</f>
        <v>0</v>
      </c>
      <c r="M577" s="34" cm="1">
        <f t="array" ref="M577">_xlfn.IFS(TablaSTOCKINV[[#This Row],[CANT. TOTAL]]&lt;=0,1,TablaSTOCKINV[[#This Row],[CANT. TOTAL]]&lt;=TablaSTOCKINV[[#This Row],[MIN]],2,TablaSTOCKINV[[#This Row],[CANT. TOTAL]]&gt;TablaSTOCKINV[[#This Row],[MIN]],3)</f>
        <v>3</v>
      </c>
      <c r="N577" s="34">
        <f>TablaSTOCKINV[[#This Row],[ENTRADAS]]-TablaSTOCKINV[[#This Row],[SALIDAS]]</f>
        <v>3</v>
      </c>
      <c r="O577" s="35">
        <f>SUMIFS(TablaENTRADA[CANT],TablaENTRADA[SKU],TablaSTOCKINV[[#This Row],[SKU]])</f>
        <v>3</v>
      </c>
      <c r="P577" s="35">
        <f>SUMIFS(TablaSALIDA[CANT],TablaSALIDA[SKU],TablaSTOCKINV[[#This Row],[SKU]])</f>
        <v>0</v>
      </c>
      <c r="Q577" s="34">
        <f>_xlfn.XLOOKUP(TablaSTOCKINV[[#This Row],[SKU]],TablaINVENTARIO[SKU],TablaINVENTARIO[PRECIO])</f>
        <v>0</v>
      </c>
      <c r="R577" s="34">
        <f>TablaSTOCKINV[[#This Row],[P.UNITARIO]]*TablaSTOCKINV[[#This Row],[CANT. TOTAL]]</f>
        <v>0</v>
      </c>
      <c r="S577" s="44">
        <f>_xlfn.XLOOKUP(TablaSTOCKINV[[#This Row],[SKU]],TablaINVENTARIO[SKU],TablaINVENTARIO[FECHA INGRESO])</f>
        <v>46023</v>
      </c>
      <c r="T577" s="44">
        <f>_xlfn.XLOOKUP(TablaSTOCKINV[[#This Row],[SKU]],TablaENTRADA[SKU],TablaENTRADA[FECHA],,0,-1)</f>
        <v>46023</v>
      </c>
      <c r="U577" s="46" t="str">
        <f>IFERROR((_xlfn.XLOOKUP(TablaSTOCKINV[[#This Row],[SKU]],TablaSALIDA[SKU],TablaSALIDA[FECHA],,0,-1))," " )</f>
        <v xml:space="preserve"> </v>
      </c>
    </row>
    <row r="578" spans="1:21" x14ac:dyDescent="0.3">
      <c r="A578" s="27" t="s">
        <v>2800</v>
      </c>
      <c r="B578" s="32" t="str">
        <f>_xlfn.XLOOKUP(TablaSTOCKINV[[#This Row],[SKU]],TablaINVENTARIO[SKU],TablaINVENTARIO[DESCRIPCION])</f>
        <v xml:space="preserve">MALETA NEGRA PESURIZADA </v>
      </c>
      <c r="C578" s="32" t="str">
        <f>_xlfn.XLOOKUP(TablaSTOCKINV[[#This Row],[SKU]],TablaINVENTARIO[SKU],TablaINVENTARIO[MARCA])</f>
        <v>N/A</v>
      </c>
      <c r="D578" s="33" t="str">
        <f>_xlfn.XLOOKUP(TablaSTOCKINV[[#This Row],[SKU]],TablaINVENTARIO[SKU],TablaINVENTARIO[CATEGORIA])</f>
        <v>HERRAMIENTAS_</v>
      </c>
      <c r="E578" s="33" t="str">
        <f>_xlfn.XLOOKUP(TablaSTOCKINV[[#This Row],[SKU]],TablaINVENTARIO[SKU],TablaINVENTARIO[SUBCATEGORIA])</f>
        <v xml:space="preserve">HERRAMIENTA DE MANO </v>
      </c>
      <c r="F578" s="33" t="str">
        <f>_xlfn.XLOOKUP(TablaSTOCKINV[[#This Row],[SKU]],TablaINVENTARIO[SKU],TablaINVENTARIO[ESTADO])</f>
        <v>USADO</v>
      </c>
      <c r="G578" s="33" t="str">
        <f>_xlfn.XLOOKUP(TablaSTOCKINV[[#This Row],[SKU]],TablaINVENTARIO[SKU],TablaINVENTARIO[MEDIDA])</f>
        <v>UND</v>
      </c>
      <c r="H578" s="33" t="str">
        <f>_xlfn.XLOOKUP(TablaSTOCKINV[[#This Row],[SKU]],TablaINVENTARIO[SKU],TablaINVENTARIO[SERIAL])</f>
        <v>N/A</v>
      </c>
      <c r="I578" s="34" t="str">
        <f>_xlfn.XLOOKUP(TablaSTOCKINV[[#This Row],[SKU]],TablaINVENTARIO[SKU],TablaINVENTARIO[ALMACEN])</f>
        <v>ALMACEN PRINCIPAL</v>
      </c>
      <c r="J578" s="34" t="str">
        <f>_xlfn.XLOOKUP(TablaSTOCKINV[[#This Row],[SKU]],TablaINVENTARIO[SKU],TablaINVENTARIO[UBICACION])</f>
        <v>E4-3</v>
      </c>
      <c r="K578" s="34" t="str">
        <f>_xlfn.XLOOKUP(TablaSTOCKINV[[#This Row],[SKU]],TablaINVENTARIO[SKU],TablaINVENTARIO[DPTO RESPONSABLE])</f>
        <v>PETROCEDEÑO</v>
      </c>
      <c r="L578" s="36">
        <f>_xlfn.XLOOKUP(TablaSTOCKINV[[#This Row],[SKU]],TablaINVENTARIO[SKU],TablaINVENTARIO[RANGO MIN])</f>
        <v>0</v>
      </c>
      <c r="M578" s="34" cm="1">
        <f t="array" ref="M578">_xlfn.IFS(TablaSTOCKINV[[#This Row],[CANT. TOTAL]]&lt;=0,1,TablaSTOCKINV[[#This Row],[CANT. TOTAL]]&lt;=TablaSTOCKINV[[#This Row],[MIN]],2,TablaSTOCKINV[[#This Row],[CANT. TOTAL]]&gt;TablaSTOCKINV[[#This Row],[MIN]],3)</f>
        <v>3</v>
      </c>
      <c r="N578" s="34">
        <f>TablaSTOCKINV[[#This Row],[ENTRADAS]]-TablaSTOCKINV[[#This Row],[SALIDAS]]</f>
        <v>1</v>
      </c>
      <c r="O578" s="35">
        <f>SUMIFS(TablaENTRADA[CANT],TablaENTRADA[SKU],TablaSTOCKINV[[#This Row],[SKU]])</f>
        <v>1</v>
      </c>
      <c r="P578" s="35">
        <f>SUMIFS(TablaSALIDA[CANT],TablaSALIDA[SKU],TablaSTOCKINV[[#This Row],[SKU]])</f>
        <v>0</v>
      </c>
      <c r="Q578" s="34">
        <f>_xlfn.XLOOKUP(TablaSTOCKINV[[#This Row],[SKU]],TablaINVENTARIO[SKU],TablaINVENTARIO[PRECIO])</f>
        <v>0</v>
      </c>
      <c r="R578" s="34">
        <f>TablaSTOCKINV[[#This Row],[P.UNITARIO]]*TablaSTOCKINV[[#This Row],[CANT. TOTAL]]</f>
        <v>0</v>
      </c>
      <c r="S578" s="44">
        <f>_xlfn.XLOOKUP(TablaSTOCKINV[[#This Row],[SKU]],TablaINVENTARIO[SKU],TablaINVENTARIO[FECHA INGRESO])</f>
        <v>46023</v>
      </c>
      <c r="T578" s="44">
        <f>_xlfn.XLOOKUP(TablaSTOCKINV[[#This Row],[SKU]],TablaENTRADA[SKU],TablaENTRADA[FECHA],,0,-1)</f>
        <v>46023</v>
      </c>
      <c r="U578" s="46" t="str">
        <f>IFERROR((_xlfn.XLOOKUP(TablaSTOCKINV[[#This Row],[SKU]],TablaSALIDA[SKU],TablaSALIDA[FECHA],,0,-1))," " )</f>
        <v xml:space="preserve"> </v>
      </c>
    </row>
    <row r="579" spans="1:21" x14ac:dyDescent="0.3">
      <c r="A579" s="27" t="s">
        <v>2803</v>
      </c>
      <c r="B579" s="32" t="str">
        <f>_xlfn.XLOOKUP(TablaSTOCKINV[[#This Row],[SKU]],TablaINVENTARIO[SKU],TablaINVENTARIO[DESCRIPCION])</f>
        <v>DOBLA TUBING 3/4"</v>
      </c>
      <c r="C579" s="32" t="str">
        <f>_xlfn.XLOOKUP(TablaSTOCKINV[[#This Row],[SKU]],TablaINVENTARIO[SKU],TablaINVENTARIO[MARCA])</f>
        <v>N/A</v>
      </c>
      <c r="D579" s="33" t="str">
        <f>_xlfn.XLOOKUP(TablaSTOCKINV[[#This Row],[SKU]],TablaINVENTARIO[SKU],TablaINVENTARIO[CATEGORIA])</f>
        <v>HERRAMIENTAS_</v>
      </c>
      <c r="E579" s="33" t="str">
        <f>_xlfn.XLOOKUP(TablaSTOCKINV[[#This Row],[SKU]],TablaINVENTARIO[SKU],TablaINVENTARIO[SUBCATEGORIA])</f>
        <v xml:space="preserve">HERRAMIENTA DE MANO </v>
      </c>
      <c r="F579" s="33" t="str">
        <f>_xlfn.XLOOKUP(TablaSTOCKINV[[#This Row],[SKU]],TablaINVENTARIO[SKU],TablaINVENTARIO[ESTADO])</f>
        <v>USADO</v>
      </c>
      <c r="G579" s="33" t="str">
        <f>_xlfn.XLOOKUP(TablaSTOCKINV[[#This Row],[SKU]],TablaINVENTARIO[SKU],TablaINVENTARIO[MEDIDA])</f>
        <v>UND</v>
      </c>
      <c r="H579" s="33" t="str">
        <f>_xlfn.XLOOKUP(TablaSTOCKINV[[#This Row],[SKU]],TablaINVENTARIO[SKU],TablaINVENTARIO[SERIAL])</f>
        <v>N/A</v>
      </c>
      <c r="I579" s="34" t="str">
        <f>_xlfn.XLOOKUP(TablaSTOCKINV[[#This Row],[SKU]],TablaINVENTARIO[SKU],TablaINVENTARIO[ALMACEN])</f>
        <v>ALMACEN PRINCIPAL</v>
      </c>
      <c r="J579" s="34" t="str">
        <f>_xlfn.XLOOKUP(TablaSTOCKINV[[#This Row],[SKU]],TablaINVENTARIO[SKU],TablaINVENTARIO[UBICACION])</f>
        <v>E3-2</v>
      </c>
      <c r="K579" s="34" t="str">
        <f>_xlfn.XLOOKUP(TablaSTOCKINV[[#This Row],[SKU]],TablaINVENTARIO[SKU],TablaINVENTARIO[DPTO RESPONSABLE])</f>
        <v xml:space="preserve">OPERACIONES </v>
      </c>
      <c r="L579" s="36">
        <f>_xlfn.XLOOKUP(TablaSTOCKINV[[#This Row],[SKU]],TablaINVENTARIO[SKU],TablaINVENTARIO[RANGO MIN])</f>
        <v>0</v>
      </c>
      <c r="M579" s="34" cm="1">
        <f t="array" ref="M579">_xlfn.IFS(TablaSTOCKINV[[#This Row],[CANT. TOTAL]]&lt;=0,1,TablaSTOCKINV[[#This Row],[CANT. TOTAL]]&lt;=TablaSTOCKINV[[#This Row],[MIN]],2,TablaSTOCKINV[[#This Row],[CANT. TOTAL]]&gt;TablaSTOCKINV[[#This Row],[MIN]],3)</f>
        <v>3</v>
      </c>
      <c r="N579" s="34">
        <f>TablaSTOCKINV[[#This Row],[ENTRADAS]]-TablaSTOCKINV[[#This Row],[SALIDAS]]</f>
        <v>1</v>
      </c>
      <c r="O579" s="35">
        <f>SUMIFS(TablaENTRADA[CANT],TablaENTRADA[SKU],TablaSTOCKINV[[#This Row],[SKU]])</f>
        <v>1</v>
      </c>
      <c r="P579" s="35">
        <f>SUMIFS(TablaSALIDA[CANT],TablaSALIDA[SKU],TablaSTOCKINV[[#This Row],[SKU]])</f>
        <v>0</v>
      </c>
      <c r="Q579" s="34">
        <f>_xlfn.XLOOKUP(TablaSTOCKINV[[#This Row],[SKU]],TablaINVENTARIO[SKU],TablaINVENTARIO[PRECIO])</f>
        <v>0</v>
      </c>
      <c r="R579" s="34">
        <f>TablaSTOCKINV[[#This Row],[P.UNITARIO]]*TablaSTOCKINV[[#This Row],[CANT. TOTAL]]</f>
        <v>0</v>
      </c>
      <c r="S579" s="44">
        <f>_xlfn.XLOOKUP(TablaSTOCKINV[[#This Row],[SKU]],TablaINVENTARIO[SKU],TablaINVENTARIO[FECHA INGRESO])</f>
        <v>46023</v>
      </c>
      <c r="T579" s="44">
        <f>_xlfn.XLOOKUP(TablaSTOCKINV[[#This Row],[SKU]],TablaENTRADA[SKU],TablaENTRADA[FECHA],,0,-1)</f>
        <v>46023</v>
      </c>
      <c r="U579" s="46" t="str">
        <f>IFERROR((_xlfn.XLOOKUP(TablaSTOCKINV[[#This Row],[SKU]],TablaSALIDA[SKU],TablaSALIDA[FECHA],,0,-1))," " )</f>
        <v xml:space="preserve"> </v>
      </c>
    </row>
    <row r="580" spans="1:21" x14ac:dyDescent="0.3">
      <c r="A580" s="27" t="s">
        <v>2806</v>
      </c>
      <c r="B580" s="32" t="str">
        <f>_xlfn.XLOOKUP(TablaSTOCKINV[[#This Row],[SKU]],TablaINVENTARIO[SKU],TablaINVENTARIO[DESCRIPCION])</f>
        <v>DOBLA TUBING 1/2"</v>
      </c>
      <c r="C580" s="32" t="str">
        <f>_xlfn.XLOOKUP(TablaSTOCKINV[[#This Row],[SKU]],TablaINVENTARIO[SKU],TablaINVENTARIO[MARCA])</f>
        <v>N/A</v>
      </c>
      <c r="D580" s="33" t="str">
        <f>_xlfn.XLOOKUP(TablaSTOCKINV[[#This Row],[SKU]],TablaINVENTARIO[SKU],TablaINVENTARIO[CATEGORIA])</f>
        <v>HERRAMIENTAS_</v>
      </c>
      <c r="E580" s="33" t="str">
        <f>_xlfn.XLOOKUP(TablaSTOCKINV[[#This Row],[SKU]],TablaINVENTARIO[SKU],TablaINVENTARIO[SUBCATEGORIA])</f>
        <v xml:space="preserve">HERRAMIENTA DE MANO </v>
      </c>
      <c r="F580" s="33" t="str">
        <f>_xlfn.XLOOKUP(TablaSTOCKINV[[#This Row],[SKU]],TablaINVENTARIO[SKU],TablaINVENTARIO[ESTADO])</f>
        <v>USADO</v>
      </c>
      <c r="G580" s="33" t="str">
        <f>_xlfn.XLOOKUP(TablaSTOCKINV[[#This Row],[SKU]],TablaINVENTARIO[SKU],TablaINVENTARIO[MEDIDA])</f>
        <v>UND</v>
      </c>
      <c r="H580" s="33" t="str">
        <f>_xlfn.XLOOKUP(TablaSTOCKINV[[#This Row],[SKU]],TablaINVENTARIO[SKU],TablaINVENTARIO[SERIAL])</f>
        <v>N/A</v>
      </c>
      <c r="I580" s="34" t="str">
        <f>_xlfn.XLOOKUP(TablaSTOCKINV[[#This Row],[SKU]],TablaINVENTARIO[SKU],TablaINVENTARIO[ALMACEN])</f>
        <v>ALMACEN PRINCIPAL</v>
      </c>
      <c r="J580" s="34" t="str">
        <f>_xlfn.XLOOKUP(TablaSTOCKINV[[#This Row],[SKU]],TablaINVENTARIO[SKU],TablaINVENTARIO[UBICACION])</f>
        <v>E3-2</v>
      </c>
      <c r="K580" s="34" t="str">
        <f>_xlfn.XLOOKUP(TablaSTOCKINV[[#This Row],[SKU]],TablaINVENTARIO[SKU],TablaINVENTARIO[DPTO RESPONSABLE])</f>
        <v xml:space="preserve">OPERACIONES </v>
      </c>
      <c r="L580" s="36">
        <f>_xlfn.XLOOKUP(TablaSTOCKINV[[#This Row],[SKU]],TablaINVENTARIO[SKU],TablaINVENTARIO[RANGO MIN])</f>
        <v>0</v>
      </c>
      <c r="M580" s="34" cm="1">
        <f t="array" ref="M580">_xlfn.IFS(TablaSTOCKINV[[#This Row],[CANT. TOTAL]]&lt;=0,1,TablaSTOCKINV[[#This Row],[CANT. TOTAL]]&lt;=TablaSTOCKINV[[#This Row],[MIN]],2,TablaSTOCKINV[[#This Row],[CANT. TOTAL]]&gt;TablaSTOCKINV[[#This Row],[MIN]],3)</f>
        <v>3</v>
      </c>
      <c r="N580" s="34">
        <f>TablaSTOCKINV[[#This Row],[ENTRADAS]]-TablaSTOCKINV[[#This Row],[SALIDAS]]</f>
        <v>1</v>
      </c>
      <c r="O580" s="35">
        <f>SUMIFS(TablaENTRADA[CANT],TablaENTRADA[SKU],TablaSTOCKINV[[#This Row],[SKU]])</f>
        <v>1</v>
      </c>
      <c r="P580" s="35">
        <f>SUMIFS(TablaSALIDA[CANT],TablaSALIDA[SKU],TablaSTOCKINV[[#This Row],[SKU]])</f>
        <v>0</v>
      </c>
      <c r="Q580" s="34">
        <f>_xlfn.XLOOKUP(TablaSTOCKINV[[#This Row],[SKU]],TablaINVENTARIO[SKU],TablaINVENTARIO[PRECIO])</f>
        <v>0</v>
      </c>
      <c r="R580" s="34">
        <f>TablaSTOCKINV[[#This Row],[P.UNITARIO]]*TablaSTOCKINV[[#This Row],[CANT. TOTAL]]</f>
        <v>0</v>
      </c>
      <c r="S580" s="44">
        <f>_xlfn.XLOOKUP(TablaSTOCKINV[[#This Row],[SKU]],TablaINVENTARIO[SKU],TablaINVENTARIO[FECHA INGRESO])</f>
        <v>46023</v>
      </c>
      <c r="T580" s="44">
        <f>_xlfn.XLOOKUP(TablaSTOCKINV[[#This Row],[SKU]],TablaENTRADA[SKU],TablaENTRADA[FECHA],,0,-1)</f>
        <v>46023</v>
      </c>
      <c r="U580" s="46" t="str">
        <f>IFERROR((_xlfn.XLOOKUP(TablaSTOCKINV[[#This Row],[SKU]],TablaSALIDA[SKU],TablaSALIDA[FECHA],,0,-1))," " )</f>
        <v xml:space="preserve"> </v>
      </c>
    </row>
    <row r="581" spans="1:21" x14ac:dyDescent="0.3">
      <c r="A581" s="27" t="s">
        <v>2808</v>
      </c>
      <c r="B581" s="32" t="str">
        <f>_xlfn.XLOOKUP(TablaSTOCKINV[[#This Row],[SKU]],TablaINVENTARIO[SKU],TablaINVENTARIO[DESCRIPCION])</f>
        <v>DOBLA TUBING 1/4"</v>
      </c>
      <c r="C581" s="32" t="str">
        <f>_xlfn.XLOOKUP(TablaSTOCKINV[[#This Row],[SKU]],TablaINVENTARIO[SKU],TablaINVENTARIO[MARCA])</f>
        <v>N/A</v>
      </c>
      <c r="D581" s="33" t="str">
        <f>_xlfn.XLOOKUP(TablaSTOCKINV[[#This Row],[SKU]],TablaINVENTARIO[SKU],TablaINVENTARIO[CATEGORIA])</f>
        <v>HERRAMIENTAS_</v>
      </c>
      <c r="E581" s="33" t="str">
        <f>_xlfn.XLOOKUP(TablaSTOCKINV[[#This Row],[SKU]],TablaINVENTARIO[SKU],TablaINVENTARIO[SUBCATEGORIA])</f>
        <v xml:space="preserve">HERRAMIENTA DE MANO </v>
      </c>
      <c r="F581" s="33" t="str">
        <f>_xlfn.XLOOKUP(TablaSTOCKINV[[#This Row],[SKU]],TablaINVENTARIO[SKU],TablaINVENTARIO[ESTADO])</f>
        <v>USADO</v>
      </c>
      <c r="G581" s="33" t="str">
        <f>_xlfn.XLOOKUP(TablaSTOCKINV[[#This Row],[SKU]],TablaINVENTARIO[SKU],TablaINVENTARIO[MEDIDA])</f>
        <v>UND</v>
      </c>
      <c r="H581" s="33" t="str">
        <f>_xlfn.XLOOKUP(TablaSTOCKINV[[#This Row],[SKU]],TablaINVENTARIO[SKU],TablaINVENTARIO[SERIAL])</f>
        <v>N/A</v>
      </c>
      <c r="I581" s="34" t="str">
        <f>_xlfn.XLOOKUP(TablaSTOCKINV[[#This Row],[SKU]],TablaINVENTARIO[SKU],TablaINVENTARIO[ALMACEN])</f>
        <v>ALMACEN PRINCIPAL</v>
      </c>
      <c r="J581" s="34" t="str">
        <f>_xlfn.XLOOKUP(TablaSTOCKINV[[#This Row],[SKU]],TablaINVENTARIO[SKU],TablaINVENTARIO[UBICACION])</f>
        <v>E3-2</v>
      </c>
      <c r="K581" s="34" t="str">
        <f>_xlfn.XLOOKUP(TablaSTOCKINV[[#This Row],[SKU]],TablaINVENTARIO[SKU],TablaINVENTARIO[DPTO RESPONSABLE])</f>
        <v xml:space="preserve">OPERACIONES </v>
      </c>
      <c r="L581" s="36">
        <f>_xlfn.XLOOKUP(TablaSTOCKINV[[#This Row],[SKU]],TablaINVENTARIO[SKU],TablaINVENTARIO[RANGO MIN])</f>
        <v>0</v>
      </c>
      <c r="M581" s="34" cm="1">
        <f t="array" ref="M581">_xlfn.IFS(TablaSTOCKINV[[#This Row],[CANT. TOTAL]]&lt;=0,1,TablaSTOCKINV[[#This Row],[CANT. TOTAL]]&lt;=TablaSTOCKINV[[#This Row],[MIN]],2,TablaSTOCKINV[[#This Row],[CANT. TOTAL]]&gt;TablaSTOCKINV[[#This Row],[MIN]],3)</f>
        <v>3</v>
      </c>
      <c r="N581" s="34">
        <f>TablaSTOCKINV[[#This Row],[ENTRADAS]]-TablaSTOCKINV[[#This Row],[SALIDAS]]</f>
        <v>2</v>
      </c>
      <c r="O581" s="35">
        <f>SUMIFS(TablaENTRADA[CANT],TablaENTRADA[SKU],TablaSTOCKINV[[#This Row],[SKU]])</f>
        <v>2</v>
      </c>
      <c r="P581" s="35">
        <f>SUMIFS(TablaSALIDA[CANT],TablaSALIDA[SKU],TablaSTOCKINV[[#This Row],[SKU]])</f>
        <v>0</v>
      </c>
      <c r="Q581" s="34">
        <f>_xlfn.XLOOKUP(TablaSTOCKINV[[#This Row],[SKU]],TablaINVENTARIO[SKU],TablaINVENTARIO[PRECIO])</f>
        <v>0</v>
      </c>
      <c r="R581" s="34">
        <f>TablaSTOCKINV[[#This Row],[P.UNITARIO]]*TablaSTOCKINV[[#This Row],[CANT. TOTAL]]</f>
        <v>0</v>
      </c>
      <c r="S581" s="44">
        <f>_xlfn.XLOOKUP(TablaSTOCKINV[[#This Row],[SKU]],TablaINVENTARIO[SKU],TablaINVENTARIO[FECHA INGRESO])</f>
        <v>46023</v>
      </c>
      <c r="T581" s="44">
        <f>_xlfn.XLOOKUP(TablaSTOCKINV[[#This Row],[SKU]],TablaENTRADA[SKU],TablaENTRADA[FECHA],,0,-1)</f>
        <v>46023</v>
      </c>
      <c r="U581" s="46" t="str">
        <f>IFERROR((_xlfn.XLOOKUP(TablaSTOCKINV[[#This Row],[SKU]],TablaSALIDA[SKU],TablaSALIDA[FECHA],,0,-1))," " )</f>
        <v xml:space="preserve"> </v>
      </c>
    </row>
    <row r="582" spans="1:21" x14ac:dyDescent="0.3">
      <c r="A582" s="27" t="s">
        <v>2810</v>
      </c>
      <c r="B582" s="32" t="str">
        <f>_xlfn.XLOOKUP(TablaSTOCKINV[[#This Row],[SKU]],TablaINVENTARIO[SKU],TablaINVENTARIO[DESCRIPCION])</f>
        <v>DOBLA TUBING 3/8"</v>
      </c>
      <c r="C582" s="32" t="str">
        <f>_xlfn.XLOOKUP(TablaSTOCKINV[[#This Row],[SKU]],TablaINVENTARIO[SKU],TablaINVENTARIO[MARCA])</f>
        <v>N/A</v>
      </c>
      <c r="D582" s="33" t="str">
        <f>_xlfn.XLOOKUP(TablaSTOCKINV[[#This Row],[SKU]],TablaINVENTARIO[SKU],TablaINVENTARIO[CATEGORIA])</f>
        <v>HERRAMIENTAS_</v>
      </c>
      <c r="E582" s="33" t="str">
        <f>_xlfn.XLOOKUP(TablaSTOCKINV[[#This Row],[SKU]],TablaINVENTARIO[SKU],TablaINVENTARIO[SUBCATEGORIA])</f>
        <v xml:space="preserve">HERRAMIENTA DE MANO </v>
      </c>
      <c r="F582" s="33" t="str">
        <f>_xlfn.XLOOKUP(TablaSTOCKINV[[#This Row],[SKU]],TablaINVENTARIO[SKU],TablaINVENTARIO[ESTADO])</f>
        <v>USADO</v>
      </c>
      <c r="G582" s="33" t="str">
        <f>_xlfn.XLOOKUP(TablaSTOCKINV[[#This Row],[SKU]],TablaINVENTARIO[SKU],TablaINVENTARIO[MEDIDA])</f>
        <v>UND</v>
      </c>
      <c r="H582" s="33" t="str">
        <f>_xlfn.XLOOKUP(TablaSTOCKINV[[#This Row],[SKU]],TablaINVENTARIO[SKU],TablaINVENTARIO[SERIAL])</f>
        <v>N/A</v>
      </c>
      <c r="I582" s="34" t="str">
        <f>_xlfn.XLOOKUP(TablaSTOCKINV[[#This Row],[SKU]],TablaINVENTARIO[SKU],TablaINVENTARIO[ALMACEN])</f>
        <v>ALMACEN PRINCIPAL</v>
      </c>
      <c r="J582" s="34" t="str">
        <f>_xlfn.XLOOKUP(TablaSTOCKINV[[#This Row],[SKU]],TablaINVENTARIO[SKU],TablaINVENTARIO[UBICACION])</f>
        <v>E3-2</v>
      </c>
      <c r="K582" s="34" t="str">
        <f>_xlfn.XLOOKUP(TablaSTOCKINV[[#This Row],[SKU]],TablaINVENTARIO[SKU],TablaINVENTARIO[DPTO RESPONSABLE])</f>
        <v xml:space="preserve">OPERACIONES </v>
      </c>
      <c r="L582" s="36">
        <f>_xlfn.XLOOKUP(TablaSTOCKINV[[#This Row],[SKU]],TablaINVENTARIO[SKU],TablaINVENTARIO[RANGO MIN])</f>
        <v>0</v>
      </c>
      <c r="M582" s="34" cm="1">
        <f t="array" ref="M582">_xlfn.IFS(TablaSTOCKINV[[#This Row],[CANT. TOTAL]]&lt;=0,1,TablaSTOCKINV[[#This Row],[CANT. TOTAL]]&lt;=TablaSTOCKINV[[#This Row],[MIN]],2,TablaSTOCKINV[[#This Row],[CANT. TOTAL]]&gt;TablaSTOCKINV[[#This Row],[MIN]],3)</f>
        <v>3</v>
      </c>
      <c r="N582" s="34">
        <f>TablaSTOCKINV[[#This Row],[ENTRADAS]]-TablaSTOCKINV[[#This Row],[SALIDAS]]</f>
        <v>1</v>
      </c>
      <c r="O582" s="35">
        <f>SUMIFS(TablaENTRADA[CANT],TablaENTRADA[SKU],TablaSTOCKINV[[#This Row],[SKU]])</f>
        <v>1</v>
      </c>
      <c r="P582" s="35">
        <f>SUMIFS(TablaSALIDA[CANT],TablaSALIDA[SKU],TablaSTOCKINV[[#This Row],[SKU]])</f>
        <v>0</v>
      </c>
      <c r="Q582" s="34">
        <f>_xlfn.XLOOKUP(TablaSTOCKINV[[#This Row],[SKU]],TablaINVENTARIO[SKU],TablaINVENTARIO[PRECIO])</f>
        <v>0</v>
      </c>
      <c r="R582" s="34">
        <f>TablaSTOCKINV[[#This Row],[P.UNITARIO]]*TablaSTOCKINV[[#This Row],[CANT. TOTAL]]</f>
        <v>0</v>
      </c>
      <c r="S582" s="44">
        <f>_xlfn.XLOOKUP(TablaSTOCKINV[[#This Row],[SKU]],TablaINVENTARIO[SKU],TablaINVENTARIO[FECHA INGRESO])</f>
        <v>46023</v>
      </c>
      <c r="T582" s="44">
        <f>_xlfn.XLOOKUP(TablaSTOCKINV[[#This Row],[SKU]],TablaENTRADA[SKU],TablaENTRADA[FECHA],,0,-1)</f>
        <v>46023</v>
      </c>
      <c r="U582" s="46" t="str">
        <f>IFERROR((_xlfn.XLOOKUP(TablaSTOCKINV[[#This Row],[SKU]],TablaSALIDA[SKU],TablaSALIDA[FECHA],,0,-1))," " )</f>
        <v xml:space="preserve"> </v>
      </c>
    </row>
    <row r="583" spans="1:21" x14ac:dyDescent="0.3">
      <c r="A583" s="27" t="s">
        <v>2812</v>
      </c>
      <c r="B583" s="32" t="str">
        <f>_xlfn.XLOOKUP(TablaSTOCKINV[[#This Row],[SKU]],TablaINVENTARIO[SKU],TablaINVENTARIO[DESCRIPCION])</f>
        <v xml:space="preserve">EXTRACTOR INDUSTRIAL </v>
      </c>
      <c r="C583" s="32" t="str">
        <f>_xlfn.XLOOKUP(TablaSTOCKINV[[#This Row],[SKU]],TablaINVENTARIO[SKU],TablaINVENTARIO[MARCA])</f>
        <v>N/A</v>
      </c>
      <c r="D583" s="33" t="str">
        <f>_xlfn.XLOOKUP(TablaSTOCKINV[[#This Row],[SKU]],TablaINVENTARIO[SKU],TablaINVENTARIO[CATEGORIA])</f>
        <v>HERRAMIENTAS_</v>
      </c>
      <c r="E583" s="33" t="str">
        <f>_xlfn.XLOOKUP(TablaSTOCKINV[[#This Row],[SKU]],TablaINVENTARIO[SKU],TablaINVENTARIO[SUBCATEGORIA])</f>
        <v xml:space="preserve">HERRAMIENTA DE MANO </v>
      </c>
      <c r="F583" s="33" t="str">
        <f>_xlfn.XLOOKUP(TablaSTOCKINV[[#This Row],[SKU]],TablaINVENTARIO[SKU],TablaINVENTARIO[ESTADO])</f>
        <v>USADO</v>
      </c>
      <c r="G583" s="33" t="str">
        <f>_xlfn.XLOOKUP(TablaSTOCKINV[[#This Row],[SKU]],TablaINVENTARIO[SKU],TablaINVENTARIO[MEDIDA])</f>
        <v>UND</v>
      </c>
      <c r="H583" s="33" t="str">
        <f>_xlfn.XLOOKUP(TablaSTOCKINV[[#This Row],[SKU]],TablaINVENTARIO[SKU],TablaINVENTARIO[SERIAL])</f>
        <v>N/A</v>
      </c>
      <c r="I583" s="34" t="str">
        <f>_xlfn.XLOOKUP(TablaSTOCKINV[[#This Row],[SKU]],TablaINVENTARIO[SKU],TablaINVENTARIO[ALMACEN])</f>
        <v>ALMACEN PRINCIPAL</v>
      </c>
      <c r="J583" s="34" t="str">
        <f>_xlfn.XLOOKUP(TablaSTOCKINV[[#This Row],[SKU]],TablaINVENTARIO[SKU],TablaINVENTARIO[UBICACION])</f>
        <v>E3-2</v>
      </c>
      <c r="K583" s="34" t="str">
        <f>_xlfn.XLOOKUP(TablaSTOCKINV[[#This Row],[SKU]],TablaINVENTARIO[SKU],TablaINVENTARIO[DPTO RESPONSABLE])</f>
        <v xml:space="preserve">OPERACIONES </v>
      </c>
      <c r="L583" s="36">
        <f>_xlfn.XLOOKUP(TablaSTOCKINV[[#This Row],[SKU]],TablaINVENTARIO[SKU],TablaINVENTARIO[RANGO MIN])</f>
        <v>0</v>
      </c>
      <c r="M583" s="34" cm="1">
        <f t="array" ref="M583">_xlfn.IFS(TablaSTOCKINV[[#This Row],[CANT. TOTAL]]&lt;=0,1,TablaSTOCKINV[[#This Row],[CANT. TOTAL]]&lt;=TablaSTOCKINV[[#This Row],[MIN]],2,TablaSTOCKINV[[#This Row],[CANT. TOTAL]]&gt;TablaSTOCKINV[[#This Row],[MIN]],3)</f>
        <v>3</v>
      </c>
      <c r="N583" s="34">
        <f>TablaSTOCKINV[[#This Row],[ENTRADAS]]-TablaSTOCKINV[[#This Row],[SALIDAS]]</f>
        <v>1</v>
      </c>
      <c r="O583" s="35">
        <f>SUMIFS(TablaENTRADA[CANT],TablaENTRADA[SKU],TablaSTOCKINV[[#This Row],[SKU]])</f>
        <v>1</v>
      </c>
      <c r="P583" s="35">
        <f>SUMIFS(TablaSALIDA[CANT],TablaSALIDA[SKU],TablaSTOCKINV[[#This Row],[SKU]])</f>
        <v>0</v>
      </c>
      <c r="Q583" s="34">
        <f>_xlfn.XLOOKUP(TablaSTOCKINV[[#This Row],[SKU]],TablaINVENTARIO[SKU],TablaINVENTARIO[PRECIO])</f>
        <v>0</v>
      </c>
      <c r="R583" s="34">
        <f>TablaSTOCKINV[[#This Row],[P.UNITARIO]]*TablaSTOCKINV[[#This Row],[CANT. TOTAL]]</f>
        <v>0</v>
      </c>
      <c r="S583" s="44">
        <f>_xlfn.XLOOKUP(TablaSTOCKINV[[#This Row],[SKU]],TablaINVENTARIO[SKU],TablaINVENTARIO[FECHA INGRESO])</f>
        <v>46023</v>
      </c>
      <c r="T583" s="44">
        <f>_xlfn.XLOOKUP(TablaSTOCKINV[[#This Row],[SKU]],TablaENTRADA[SKU],TablaENTRADA[FECHA],,0,-1)</f>
        <v>46023</v>
      </c>
      <c r="U583" s="46" t="str">
        <f>IFERROR((_xlfn.XLOOKUP(TablaSTOCKINV[[#This Row],[SKU]],TablaSALIDA[SKU],TablaSALIDA[FECHA],,0,-1))," " )</f>
        <v xml:space="preserve"> </v>
      </c>
    </row>
    <row r="584" spans="1:21" x14ac:dyDescent="0.3">
      <c r="A584" s="27" t="s">
        <v>2814</v>
      </c>
      <c r="B584" s="32" t="str">
        <f>_xlfn.XLOOKUP(TablaSTOCKINV[[#This Row],[SKU]],TablaINVENTARIO[SKU],TablaINVENTARIO[DESCRIPCION])</f>
        <v xml:space="preserve">CORTA TUBING 50MM </v>
      </c>
      <c r="C584" s="32" t="str">
        <f>_xlfn.XLOOKUP(TablaSTOCKINV[[#This Row],[SKU]],TablaINVENTARIO[SKU],TablaINVENTARIO[MARCA])</f>
        <v>N/A</v>
      </c>
      <c r="D584" s="33" t="str">
        <f>_xlfn.XLOOKUP(TablaSTOCKINV[[#This Row],[SKU]],TablaINVENTARIO[SKU],TablaINVENTARIO[CATEGORIA])</f>
        <v>HERRAMIENTAS_</v>
      </c>
      <c r="E584" s="33" t="str">
        <f>_xlfn.XLOOKUP(TablaSTOCKINV[[#This Row],[SKU]],TablaINVENTARIO[SKU],TablaINVENTARIO[SUBCATEGORIA])</f>
        <v xml:space="preserve">HERRAMIENTA DE MANO </v>
      </c>
      <c r="F584" s="33" t="str">
        <f>_xlfn.XLOOKUP(TablaSTOCKINV[[#This Row],[SKU]],TablaINVENTARIO[SKU],TablaINVENTARIO[ESTADO])</f>
        <v>USADO</v>
      </c>
      <c r="G584" s="33" t="str">
        <f>_xlfn.XLOOKUP(TablaSTOCKINV[[#This Row],[SKU]],TablaINVENTARIO[SKU],TablaINVENTARIO[MEDIDA])</f>
        <v>UND</v>
      </c>
      <c r="H584" s="33" t="str">
        <f>_xlfn.XLOOKUP(TablaSTOCKINV[[#This Row],[SKU]],TablaINVENTARIO[SKU],TablaINVENTARIO[SERIAL])</f>
        <v>N/A</v>
      </c>
      <c r="I584" s="34" t="str">
        <f>_xlfn.XLOOKUP(TablaSTOCKINV[[#This Row],[SKU]],TablaINVENTARIO[SKU],TablaINVENTARIO[ALMACEN])</f>
        <v>ALMACEN PRINCIPAL</v>
      </c>
      <c r="J584" s="34" t="str">
        <f>_xlfn.XLOOKUP(TablaSTOCKINV[[#This Row],[SKU]],TablaINVENTARIO[SKU],TablaINVENTARIO[UBICACION])</f>
        <v>E3-2</v>
      </c>
      <c r="K584" s="34" t="str">
        <f>_xlfn.XLOOKUP(TablaSTOCKINV[[#This Row],[SKU]],TablaINVENTARIO[SKU],TablaINVENTARIO[DPTO RESPONSABLE])</f>
        <v xml:space="preserve">OPERACIONES </v>
      </c>
      <c r="L584" s="36">
        <f>_xlfn.XLOOKUP(TablaSTOCKINV[[#This Row],[SKU]],TablaINVENTARIO[SKU],TablaINVENTARIO[RANGO MIN])</f>
        <v>0</v>
      </c>
      <c r="M584" s="34" cm="1">
        <f t="array" ref="M584">_xlfn.IFS(TablaSTOCKINV[[#This Row],[CANT. TOTAL]]&lt;=0,1,TablaSTOCKINV[[#This Row],[CANT. TOTAL]]&lt;=TablaSTOCKINV[[#This Row],[MIN]],2,TablaSTOCKINV[[#This Row],[CANT. TOTAL]]&gt;TablaSTOCKINV[[#This Row],[MIN]],3)</f>
        <v>3</v>
      </c>
      <c r="N584" s="34">
        <f>TablaSTOCKINV[[#This Row],[ENTRADAS]]-TablaSTOCKINV[[#This Row],[SALIDAS]]</f>
        <v>1</v>
      </c>
      <c r="O584" s="35">
        <f>SUMIFS(TablaENTRADA[CANT],TablaENTRADA[SKU],TablaSTOCKINV[[#This Row],[SKU]])</f>
        <v>1</v>
      </c>
      <c r="P584" s="35">
        <f>SUMIFS(TablaSALIDA[CANT],TablaSALIDA[SKU],TablaSTOCKINV[[#This Row],[SKU]])</f>
        <v>0</v>
      </c>
      <c r="Q584" s="34">
        <f>_xlfn.XLOOKUP(TablaSTOCKINV[[#This Row],[SKU]],TablaINVENTARIO[SKU],TablaINVENTARIO[PRECIO])</f>
        <v>0</v>
      </c>
      <c r="R584" s="34">
        <f>TablaSTOCKINV[[#This Row],[P.UNITARIO]]*TablaSTOCKINV[[#This Row],[CANT. TOTAL]]</f>
        <v>0</v>
      </c>
      <c r="S584" s="44">
        <f>_xlfn.XLOOKUP(TablaSTOCKINV[[#This Row],[SKU]],TablaINVENTARIO[SKU],TablaINVENTARIO[FECHA INGRESO])</f>
        <v>46023</v>
      </c>
      <c r="T584" s="44">
        <f>_xlfn.XLOOKUP(TablaSTOCKINV[[#This Row],[SKU]],TablaENTRADA[SKU],TablaENTRADA[FECHA],,0,-1)</f>
        <v>46023</v>
      </c>
      <c r="U584" s="46" t="str">
        <f>IFERROR((_xlfn.XLOOKUP(TablaSTOCKINV[[#This Row],[SKU]],TablaSALIDA[SKU],TablaSALIDA[FECHA],,0,-1))," " )</f>
        <v xml:space="preserve"> </v>
      </c>
    </row>
    <row r="585" spans="1:21" x14ac:dyDescent="0.3">
      <c r="A585" s="27" t="s">
        <v>2816</v>
      </c>
      <c r="B585" s="32" t="str">
        <f>_xlfn.XLOOKUP(TablaSTOCKINV[[#This Row],[SKU]],TablaINVENTARIO[SKU],TablaINVENTARIO[DESCRIPCION])</f>
        <v>CORTA TUBING 1/8"-2"</v>
      </c>
      <c r="C585" s="32" t="str">
        <f>_xlfn.XLOOKUP(TablaSTOCKINV[[#This Row],[SKU]],TablaINVENTARIO[SKU],TablaINVENTARIO[MARCA])</f>
        <v>N/A</v>
      </c>
      <c r="D585" s="33" t="str">
        <f>_xlfn.XLOOKUP(TablaSTOCKINV[[#This Row],[SKU]],TablaINVENTARIO[SKU],TablaINVENTARIO[CATEGORIA])</f>
        <v>HERRAMIENTAS_</v>
      </c>
      <c r="E585" s="33" t="str">
        <f>_xlfn.XLOOKUP(TablaSTOCKINV[[#This Row],[SKU]],TablaINVENTARIO[SKU],TablaINVENTARIO[SUBCATEGORIA])</f>
        <v xml:space="preserve">HERRAMIENTA DE MANO </v>
      </c>
      <c r="F585" s="33" t="str">
        <f>_xlfn.XLOOKUP(TablaSTOCKINV[[#This Row],[SKU]],TablaINVENTARIO[SKU],TablaINVENTARIO[ESTADO])</f>
        <v>USADO</v>
      </c>
      <c r="G585" s="33" t="str">
        <f>_xlfn.XLOOKUP(TablaSTOCKINV[[#This Row],[SKU]],TablaINVENTARIO[SKU],TablaINVENTARIO[MEDIDA])</f>
        <v>UND</v>
      </c>
      <c r="H585" s="33" t="str">
        <f>_xlfn.XLOOKUP(TablaSTOCKINV[[#This Row],[SKU]],TablaINVENTARIO[SKU],TablaINVENTARIO[SERIAL])</f>
        <v>N/A</v>
      </c>
      <c r="I585" s="34" t="str">
        <f>_xlfn.XLOOKUP(TablaSTOCKINV[[#This Row],[SKU]],TablaINVENTARIO[SKU],TablaINVENTARIO[ALMACEN])</f>
        <v>ALMACEN PRINCIPAL</v>
      </c>
      <c r="J585" s="34" t="str">
        <f>_xlfn.XLOOKUP(TablaSTOCKINV[[#This Row],[SKU]],TablaINVENTARIO[SKU],TablaINVENTARIO[UBICACION])</f>
        <v>E3-2</v>
      </c>
      <c r="K585" s="34" t="str">
        <f>_xlfn.XLOOKUP(TablaSTOCKINV[[#This Row],[SKU]],TablaINVENTARIO[SKU],TablaINVENTARIO[DPTO RESPONSABLE])</f>
        <v xml:space="preserve">OPERACIONES </v>
      </c>
      <c r="L585" s="36">
        <f>_xlfn.XLOOKUP(TablaSTOCKINV[[#This Row],[SKU]],TablaINVENTARIO[SKU],TablaINVENTARIO[RANGO MIN])</f>
        <v>0</v>
      </c>
      <c r="M585" s="34" cm="1">
        <f t="array" ref="M585">_xlfn.IFS(TablaSTOCKINV[[#This Row],[CANT. TOTAL]]&lt;=0,1,TablaSTOCKINV[[#This Row],[CANT. TOTAL]]&lt;=TablaSTOCKINV[[#This Row],[MIN]],2,TablaSTOCKINV[[#This Row],[CANT. TOTAL]]&gt;TablaSTOCKINV[[#This Row],[MIN]],3)</f>
        <v>3</v>
      </c>
      <c r="N585" s="34">
        <f>TablaSTOCKINV[[#This Row],[ENTRADAS]]-TablaSTOCKINV[[#This Row],[SALIDAS]]</f>
        <v>1</v>
      </c>
      <c r="O585" s="35">
        <f>SUMIFS(TablaENTRADA[CANT],TablaENTRADA[SKU],TablaSTOCKINV[[#This Row],[SKU]])</f>
        <v>1</v>
      </c>
      <c r="P585" s="35">
        <f>SUMIFS(TablaSALIDA[CANT],TablaSALIDA[SKU],TablaSTOCKINV[[#This Row],[SKU]])</f>
        <v>0</v>
      </c>
      <c r="Q585" s="34">
        <f>_xlfn.XLOOKUP(TablaSTOCKINV[[#This Row],[SKU]],TablaINVENTARIO[SKU],TablaINVENTARIO[PRECIO])</f>
        <v>0</v>
      </c>
      <c r="R585" s="34">
        <f>TablaSTOCKINV[[#This Row],[P.UNITARIO]]*TablaSTOCKINV[[#This Row],[CANT. TOTAL]]</f>
        <v>0</v>
      </c>
      <c r="S585" s="44">
        <f>_xlfn.XLOOKUP(TablaSTOCKINV[[#This Row],[SKU]],TablaINVENTARIO[SKU],TablaINVENTARIO[FECHA INGRESO])</f>
        <v>46023</v>
      </c>
      <c r="T585" s="44">
        <f>_xlfn.XLOOKUP(TablaSTOCKINV[[#This Row],[SKU]],TablaENTRADA[SKU],TablaENTRADA[FECHA],,0,-1)</f>
        <v>46023</v>
      </c>
      <c r="U585" s="46" t="str">
        <f>IFERROR((_xlfn.XLOOKUP(TablaSTOCKINV[[#This Row],[SKU]],TablaSALIDA[SKU],TablaSALIDA[FECHA],,0,-1))," " )</f>
        <v xml:space="preserve"> </v>
      </c>
    </row>
    <row r="586" spans="1:21" x14ac:dyDescent="0.3">
      <c r="A586" s="27" t="s">
        <v>2818</v>
      </c>
      <c r="B586" s="32" t="str">
        <f>_xlfn.XLOOKUP(TablaSTOCKINV[[#This Row],[SKU]],TablaINVENTARIO[SKU],TablaINVENTARIO[DESCRIPCION])</f>
        <v xml:space="preserve">CEPILLO DE CARPINTERIA </v>
      </c>
      <c r="C586" s="32" t="str">
        <f>_xlfn.XLOOKUP(TablaSTOCKINV[[#This Row],[SKU]],TablaINVENTARIO[SKU],TablaINVENTARIO[MARCA])</f>
        <v>N/A</v>
      </c>
      <c r="D586" s="33" t="str">
        <f>_xlfn.XLOOKUP(TablaSTOCKINV[[#This Row],[SKU]],TablaINVENTARIO[SKU],TablaINVENTARIO[CATEGORIA])</f>
        <v>HERRAMIENTAS_</v>
      </c>
      <c r="E586" s="33" t="str">
        <f>_xlfn.XLOOKUP(TablaSTOCKINV[[#This Row],[SKU]],TablaINVENTARIO[SKU],TablaINVENTARIO[SUBCATEGORIA])</f>
        <v xml:space="preserve">HERRAMIENTA DE MANO </v>
      </c>
      <c r="F586" s="33" t="str">
        <f>_xlfn.XLOOKUP(TablaSTOCKINV[[#This Row],[SKU]],TablaINVENTARIO[SKU],TablaINVENTARIO[ESTADO])</f>
        <v>USADO</v>
      </c>
      <c r="G586" s="33" t="str">
        <f>_xlfn.XLOOKUP(TablaSTOCKINV[[#This Row],[SKU]],TablaINVENTARIO[SKU],TablaINVENTARIO[MEDIDA])</f>
        <v>UND</v>
      </c>
      <c r="H586" s="33" t="str">
        <f>_xlfn.XLOOKUP(TablaSTOCKINV[[#This Row],[SKU]],TablaINVENTARIO[SKU],TablaINVENTARIO[SERIAL])</f>
        <v>N/A</v>
      </c>
      <c r="I586" s="34" t="str">
        <f>_xlfn.XLOOKUP(TablaSTOCKINV[[#This Row],[SKU]],TablaINVENTARIO[SKU],TablaINVENTARIO[ALMACEN])</f>
        <v>ALMACEN PRINCIPAL</v>
      </c>
      <c r="J586" s="34" t="str">
        <f>_xlfn.XLOOKUP(TablaSTOCKINV[[#This Row],[SKU]],TablaINVENTARIO[SKU],TablaINVENTARIO[UBICACION])</f>
        <v>E3-2</v>
      </c>
      <c r="K586" s="34" t="str">
        <f>_xlfn.XLOOKUP(TablaSTOCKINV[[#This Row],[SKU]],TablaINVENTARIO[SKU],TablaINVENTARIO[DPTO RESPONSABLE])</f>
        <v xml:space="preserve">OPERACIONES </v>
      </c>
      <c r="L586" s="36">
        <f>_xlfn.XLOOKUP(TablaSTOCKINV[[#This Row],[SKU]],TablaINVENTARIO[SKU],TablaINVENTARIO[RANGO MIN])</f>
        <v>0</v>
      </c>
      <c r="M586" s="34" cm="1">
        <f t="array" ref="M586">_xlfn.IFS(TablaSTOCKINV[[#This Row],[CANT. TOTAL]]&lt;=0,1,TablaSTOCKINV[[#This Row],[CANT. TOTAL]]&lt;=TablaSTOCKINV[[#This Row],[MIN]],2,TablaSTOCKINV[[#This Row],[CANT. TOTAL]]&gt;TablaSTOCKINV[[#This Row],[MIN]],3)</f>
        <v>3</v>
      </c>
      <c r="N586" s="34">
        <f>TablaSTOCKINV[[#This Row],[ENTRADAS]]-TablaSTOCKINV[[#This Row],[SALIDAS]]</f>
        <v>1</v>
      </c>
      <c r="O586" s="35">
        <f>SUMIFS(TablaENTRADA[CANT],TablaENTRADA[SKU],TablaSTOCKINV[[#This Row],[SKU]])</f>
        <v>1</v>
      </c>
      <c r="P586" s="35">
        <f>SUMIFS(TablaSALIDA[CANT],TablaSALIDA[SKU],TablaSTOCKINV[[#This Row],[SKU]])</f>
        <v>0</v>
      </c>
      <c r="Q586" s="34">
        <f>_xlfn.XLOOKUP(TablaSTOCKINV[[#This Row],[SKU]],TablaINVENTARIO[SKU],TablaINVENTARIO[PRECIO])</f>
        <v>0</v>
      </c>
      <c r="R586" s="34">
        <f>TablaSTOCKINV[[#This Row],[P.UNITARIO]]*TablaSTOCKINV[[#This Row],[CANT. TOTAL]]</f>
        <v>0</v>
      </c>
      <c r="S586" s="44">
        <f>_xlfn.XLOOKUP(TablaSTOCKINV[[#This Row],[SKU]],TablaINVENTARIO[SKU],TablaINVENTARIO[FECHA INGRESO])</f>
        <v>46023</v>
      </c>
      <c r="T586" s="44">
        <f>_xlfn.XLOOKUP(TablaSTOCKINV[[#This Row],[SKU]],TablaENTRADA[SKU],TablaENTRADA[FECHA],,0,-1)</f>
        <v>46023</v>
      </c>
      <c r="U586" s="46" t="str">
        <f>IFERROR((_xlfn.XLOOKUP(TablaSTOCKINV[[#This Row],[SKU]],TablaSALIDA[SKU],TablaSALIDA[FECHA],,0,-1))," " )</f>
        <v xml:space="preserve"> </v>
      </c>
    </row>
    <row r="587" spans="1:21" x14ac:dyDescent="0.3">
      <c r="A587" s="27" t="s">
        <v>2820</v>
      </c>
      <c r="B587" s="32" t="str">
        <f>_xlfn.XLOOKUP(TablaSTOCKINV[[#This Row],[SKU]],TablaINVENTARIO[SKU],TablaINVENTARIO[DESCRIPCION])</f>
        <v>CALADORA</v>
      </c>
      <c r="C587" s="32" t="str">
        <f>_xlfn.XLOOKUP(TablaSTOCKINV[[#This Row],[SKU]],TablaINVENTARIO[SKU],TablaINVENTARIO[MARCA])</f>
        <v>N/A</v>
      </c>
      <c r="D587" s="33" t="str">
        <f>_xlfn.XLOOKUP(TablaSTOCKINV[[#This Row],[SKU]],TablaINVENTARIO[SKU],TablaINVENTARIO[CATEGORIA])</f>
        <v>HERRAMIENTAS_</v>
      </c>
      <c r="E587" s="33" t="str">
        <f>_xlfn.XLOOKUP(TablaSTOCKINV[[#This Row],[SKU]],TablaINVENTARIO[SKU],TablaINVENTARIO[SUBCATEGORIA])</f>
        <v xml:space="preserve">HERRAMIENTA DE MANO </v>
      </c>
      <c r="F587" s="33" t="str">
        <f>_xlfn.XLOOKUP(TablaSTOCKINV[[#This Row],[SKU]],TablaINVENTARIO[SKU],TablaINVENTARIO[ESTADO])</f>
        <v>USADO</v>
      </c>
      <c r="G587" s="33" t="str">
        <f>_xlfn.XLOOKUP(TablaSTOCKINV[[#This Row],[SKU]],TablaINVENTARIO[SKU],TablaINVENTARIO[MEDIDA])</f>
        <v>UND</v>
      </c>
      <c r="H587" s="33" t="str">
        <f>_xlfn.XLOOKUP(TablaSTOCKINV[[#This Row],[SKU]],TablaINVENTARIO[SKU],TablaINVENTARIO[SERIAL])</f>
        <v>N/A</v>
      </c>
      <c r="I587" s="34" t="str">
        <f>_xlfn.XLOOKUP(TablaSTOCKINV[[#This Row],[SKU]],TablaINVENTARIO[SKU],TablaINVENTARIO[ALMACEN])</f>
        <v>ALMACEN PRINCIPAL</v>
      </c>
      <c r="J587" s="34" t="str">
        <f>_xlfn.XLOOKUP(TablaSTOCKINV[[#This Row],[SKU]],TablaINVENTARIO[SKU],TablaINVENTARIO[UBICACION])</f>
        <v>E3-2</v>
      </c>
      <c r="K587" s="34" t="str">
        <f>_xlfn.XLOOKUP(TablaSTOCKINV[[#This Row],[SKU]],TablaINVENTARIO[SKU],TablaINVENTARIO[DPTO RESPONSABLE])</f>
        <v xml:space="preserve">OPERACIONES </v>
      </c>
      <c r="L587" s="36">
        <f>_xlfn.XLOOKUP(TablaSTOCKINV[[#This Row],[SKU]],TablaINVENTARIO[SKU],TablaINVENTARIO[RANGO MIN])</f>
        <v>0</v>
      </c>
      <c r="M587" s="34" cm="1">
        <f t="array" ref="M587">_xlfn.IFS(TablaSTOCKINV[[#This Row],[CANT. TOTAL]]&lt;=0,1,TablaSTOCKINV[[#This Row],[CANT. TOTAL]]&lt;=TablaSTOCKINV[[#This Row],[MIN]],2,TablaSTOCKINV[[#This Row],[CANT. TOTAL]]&gt;TablaSTOCKINV[[#This Row],[MIN]],3)</f>
        <v>3</v>
      </c>
      <c r="N587" s="34">
        <f>TablaSTOCKINV[[#This Row],[ENTRADAS]]-TablaSTOCKINV[[#This Row],[SALIDAS]]</f>
        <v>1</v>
      </c>
      <c r="O587" s="35">
        <f>SUMIFS(TablaENTRADA[CANT],TablaENTRADA[SKU],TablaSTOCKINV[[#This Row],[SKU]])</f>
        <v>1</v>
      </c>
      <c r="P587" s="35">
        <f>SUMIFS(TablaSALIDA[CANT],TablaSALIDA[SKU],TablaSTOCKINV[[#This Row],[SKU]])</f>
        <v>0</v>
      </c>
      <c r="Q587" s="34">
        <f>_xlfn.XLOOKUP(TablaSTOCKINV[[#This Row],[SKU]],TablaINVENTARIO[SKU],TablaINVENTARIO[PRECIO])</f>
        <v>0</v>
      </c>
      <c r="R587" s="34">
        <f>TablaSTOCKINV[[#This Row],[P.UNITARIO]]*TablaSTOCKINV[[#This Row],[CANT. TOTAL]]</f>
        <v>0</v>
      </c>
      <c r="S587" s="44">
        <f>_xlfn.XLOOKUP(TablaSTOCKINV[[#This Row],[SKU]],TablaINVENTARIO[SKU],TablaINVENTARIO[FECHA INGRESO])</f>
        <v>46023</v>
      </c>
      <c r="T587" s="44">
        <f>_xlfn.XLOOKUP(TablaSTOCKINV[[#This Row],[SKU]],TablaENTRADA[SKU],TablaENTRADA[FECHA],,0,-1)</f>
        <v>46023</v>
      </c>
      <c r="U587" s="46" t="str">
        <f>IFERROR((_xlfn.XLOOKUP(TablaSTOCKINV[[#This Row],[SKU]],TablaSALIDA[SKU],TablaSALIDA[FECHA],,0,-1))," " )</f>
        <v xml:space="preserve"> </v>
      </c>
    </row>
    <row r="588" spans="1:21" x14ac:dyDescent="0.3">
      <c r="A588" s="27" t="s">
        <v>2822</v>
      </c>
      <c r="B588" s="32" t="str">
        <f>_xlfn.XLOOKUP(TablaSTOCKINV[[#This Row],[SKU]],TablaINVENTARIO[SKU],TablaINVENTARIO[DESCRIPCION])</f>
        <v>CAUTIN 110V-150W</v>
      </c>
      <c r="C588" s="32" t="str">
        <f>_xlfn.XLOOKUP(TablaSTOCKINV[[#This Row],[SKU]],TablaINVENTARIO[SKU],TablaINVENTARIO[MARCA])</f>
        <v>N/A</v>
      </c>
      <c r="D588" s="33" t="str">
        <f>_xlfn.XLOOKUP(TablaSTOCKINV[[#This Row],[SKU]],TablaINVENTARIO[SKU],TablaINVENTARIO[CATEGORIA])</f>
        <v>HERRAMIENTAS_</v>
      </c>
      <c r="E588" s="33" t="str">
        <f>_xlfn.XLOOKUP(TablaSTOCKINV[[#This Row],[SKU]],TablaINVENTARIO[SKU],TablaINVENTARIO[SUBCATEGORIA])</f>
        <v xml:space="preserve">HERRAMIENTA DE MANO </v>
      </c>
      <c r="F588" s="33" t="str">
        <f>_xlfn.XLOOKUP(TablaSTOCKINV[[#This Row],[SKU]],TablaINVENTARIO[SKU],TablaINVENTARIO[ESTADO])</f>
        <v>USADO</v>
      </c>
      <c r="G588" s="33" t="str">
        <f>_xlfn.XLOOKUP(TablaSTOCKINV[[#This Row],[SKU]],TablaINVENTARIO[SKU],TablaINVENTARIO[MEDIDA])</f>
        <v>UND</v>
      </c>
      <c r="H588" s="33" t="str">
        <f>_xlfn.XLOOKUP(TablaSTOCKINV[[#This Row],[SKU]],TablaINVENTARIO[SKU],TablaINVENTARIO[SERIAL])</f>
        <v>N/A</v>
      </c>
      <c r="I588" s="34" t="str">
        <f>_xlfn.XLOOKUP(TablaSTOCKINV[[#This Row],[SKU]],TablaINVENTARIO[SKU],TablaINVENTARIO[ALMACEN])</f>
        <v>ALMACEN PRINCIPAL</v>
      </c>
      <c r="J588" s="34" t="str">
        <f>_xlfn.XLOOKUP(TablaSTOCKINV[[#This Row],[SKU]],TablaINVENTARIO[SKU],TablaINVENTARIO[UBICACION])</f>
        <v>E3-2</v>
      </c>
      <c r="K588" s="34" t="str">
        <f>_xlfn.XLOOKUP(TablaSTOCKINV[[#This Row],[SKU]],TablaINVENTARIO[SKU],TablaINVENTARIO[DPTO RESPONSABLE])</f>
        <v xml:space="preserve">OPERACIONES </v>
      </c>
      <c r="L588" s="36">
        <f>_xlfn.XLOOKUP(TablaSTOCKINV[[#This Row],[SKU]],TablaINVENTARIO[SKU],TablaINVENTARIO[RANGO MIN])</f>
        <v>0</v>
      </c>
      <c r="M588" s="34" cm="1">
        <f t="array" ref="M588">_xlfn.IFS(TablaSTOCKINV[[#This Row],[CANT. TOTAL]]&lt;=0,1,TablaSTOCKINV[[#This Row],[CANT. TOTAL]]&lt;=TablaSTOCKINV[[#This Row],[MIN]],2,TablaSTOCKINV[[#This Row],[CANT. TOTAL]]&gt;TablaSTOCKINV[[#This Row],[MIN]],3)</f>
        <v>3</v>
      </c>
      <c r="N588" s="34">
        <f>TablaSTOCKINV[[#This Row],[ENTRADAS]]-TablaSTOCKINV[[#This Row],[SALIDAS]]</f>
        <v>1</v>
      </c>
      <c r="O588" s="35">
        <f>SUMIFS(TablaENTRADA[CANT],TablaENTRADA[SKU],TablaSTOCKINV[[#This Row],[SKU]])</f>
        <v>1</v>
      </c>
      <c r="P588" s="35">
        <f>SUMIFS(TablaSALIDA[CANT],TablaSALIDA[SKU],TablaSTOCKINV[[#This Row],[SKU]])</f>
        <v>0</v>
      </c>
      <c r="Q588" s="34">
        <f>_xlfn.XLOOKUP(TablaSTOCKINV[[#This Row],[SKU]],TablaINVENTARIO[SKU],TablaINVENTARIO[PRECIO])</f>
        <v>0</v>
      </c>
      <c r="R588" s="34">
        <f>TablaSTOCKINV[[#This Row],[P.UNITARIO]]*TablaSTOCKINV[[#This Row],[CANT. TOTAL]]</f>
        <v>0</v>
      </c>
      <c r="S588" s="44">
        <f>_xlfn.XLOOKUP(TablaSTOCKINV[[#This Row],[SKU]],TablaINVENTARIO[SKU],TablaINVENTARIO[FECHA INGRESO])</f>
        <v>46023</v>
      </c>
      <c r="T588" s="44">
        <f>_xlfn.XLOOKUP(TablaSTOCKINV[[#This Row],[SKU]],TablaENTRADA[SKU],TablaENTRADA[FECHA],,0,-1)</f>
        <v>46023</v>
      </c>
      <c r="U588" s="46" t="str">
        <f>IFERROR((_xlfn.XLOOKUP(TablaSTOCKINV[[#This Row],[SKU]],TablaSALIDA[SKU],TablaSALIDA[FECHA],,0,-1))," " )</f>
        <v xml:space="preserve"> </v>
      </c>
    </row>
    <row r="589" spans="1:21" x14ac:dyDescent="0.3">
      <c r="A589" s="27" t="s">
        <v>2824</v>
      </c>
      <c r="B589" s="32" t="str">
        <f>_xlfn.XLOOKUP(TablaSTOCKINV[[#This Row],[SKU]],TablaINVENTARIO[SKU],TablaINVENTARIO[DESCRIPCION])</f>
        <v>SOPLADOR MODELO: TKEB-23</v>
      </c>
      <c r="C589" s="32" t="str">
        <f>_xlfn.XLOOKUP(TablaSTOCKINV[[#This Row],[SKU]],TablaINVENTARIO[SKU],TablaINVENTARIO[MARCA])</f>
        <v>TAKIMA</v>
      </c>
      <c r="D589" s="33" t="str">
        <f>_xlfn.XLOOKUP(TablaSTOCKINV[[#This Row],[SKU]],TablaINVENTARIO[SKU],TablaINVENTARIO[CATEGORIA])</f>
        <v>HERRAMIENTAS_</v>
      </c>
      <c r="E589" s="33" t="str">
        <f>_xlfn.XLOOKUP(TablaSTOCKINV[[#This Row],[SKU]],TablaINVENTARIO[SKU],TablaINVENTARIO[SUBCATEGORIA])</f>
        <v xml:space="preserve">HERRAMIENTA DE MANO </v>
      </c>
      <c r="F589" s="33" t="str">
        <f>_xlfn.XLOOKUP(TablaSTOCKINV[[#This Row],[SKU]],TablaINVENTARIO[SKU],TablaINVENTARIO[ESTADO])</f>
        <v>USADO</v>
      </c>
      <c r="G589" s="33" t="str">
        <f>_xlfn.XLOOKUP(TablaSTOCKINV[[#This Row],[SKU]],TablaINVENTARIO[SKU],TablaINVENTARIO[MEDIDA])</f>
        <v>UND</v>
      </c>
      <c r="H589" s="33" t="str">
        <f>_xlfn.XLOOKUP(TablaSTOCKINV[[#This Row],[SKU]],TablaINVENTARIO[SKU],TablaINVENTARIO[SERIAL])</f>
        <v>TK043737</v>
      </c>
      <c r="I589" s="34" t="str">
        <f>_xlfn.XLOOKUP(TablaSTOCKINV[[#This Row],[SKU]],TablaINVENTARIO[SKU],TablaINVENTARIO[ALMACEN])</f>
        <v>ALMACEN PRINCIPAL</v>
      </c>
      <c r="J589" s="34" t="str">
        <f>_xlfn.XLOOKUP(TablaSTOCKINV[[#This Row],[SKU]],TablaINVENTARIO[SKU],TablaINVENTARIO[UBICACION])</f>
        <v>E3-2</v>
      </c>
      <c r="K589" s="34" t="str">
        <f>_xlfn.XLOOKUP(TablaSTOCKINV[[#This Row],[SKU]],TablaINVENTARIO[SKU],TablaINVENTARIO[DPTO RESPONSABLE])</f>
        <v xml:space="preserve">OPERACIONES </v>
      </c>
      <c r="L589" s="36">
        <f>_xlfn.XLOOKUP(TablaSTOCKINV[[#This Row],[SKU]],TablaINVENTARIO[SKU],TablaINVENTARIO[RANGO MIN])</f>
        <v>0</v>
      </c>
      <c r="M589" s="34" cm="1">
        <f t="array" ref="M589">_xlfn.IFS(TablaSTOCKINV[[#This Row],[CANT. TOTAL]]&lt;=0,1,TablaSTOCKINV[[#This Row],[CANT. TOTAL]]&lt;=TablaSTOCKINV[[#This Row],[MIN]],2,TablaSTOCKINV[[#This Row],[CANT. TOTAL]]&gt;TablaSTOCKINV[[#This Row],[MIN]],3)</f>
        <v>3</v>
      </c>
      <c r="N589" s="34">
        <f>TablaSTOCKINV[[#This Row],[ENTRADAS]]-TablaSTOCKINV[[#This Row],[SALIDAS]]</f>
        <v>1</v>
      </c>
      <c r="O589" s="35">
        <f>SUMIFS(TablaENTRADA[CANT],TablaENTRADA[SKU],TablaSTOCKINV[[#This Row],[SKU]])</f>
        <v>1</v>
      </c>
      <c r="P589" s="35">
        <f>SUMIFS(TablaSALIDA[CANT],TablaSALIDA[SKU],TablaSTOCKINV[[#This Row],[SKU]])</f>
        <v>0</v>
      </c>
      <c r="Q589" s="34">
        <f>_xlfn.XLOOKUP(TablaSTOCKINV[[#This Row],[SKU]],TablaINVENTARIO[SKU],TablaINVENTARIO[PRECIO])</f>
        <v>0</v>
      </c>
      <c r="R589" s="34">
        <f>TablaSTOCKINV[[#This Row],[P.UNITARIO]]*TablaSTOCKINV[[#This Row],[CANT. TOTAL]]</f>
        <v>0</v>
      </c>
      <c r="S589" s="44">
        <f>_xlfn.XLOOKUP(TablaSTOCKINV[[#This Row],[SKU]],TablaINVENTARIO[SKU],TablaINVENTARIO[FECHA INGRESO])</f>
        <v>46023</v>
      </c>
      <c r="T589" s="44">
        <f>_xlfn.XLOOKUP(TablaSTOCKINV[[#This Row],[SKU]],TablaENTRADA[SKU],TablaENTRADA[FECHA],,0,-1)</f>
        <v>46023</v>
      </c>
      <c r="U589" s="46" t="str">
        <f>IFERROR((_xlfn.XLOOKUP(TablaSTOCKINV[[#This Row],[SKU]],TablaSALIDA[SKU],TablaSALIDA[FECHA],,0,-1))," " )</f>
        <v xml:space="preserve"> </v>
      </c>
    </row>
    <row r="590" spans="1:21" x14ac:dyDescent="0.3">
      <c r="A590" s="27" t="s">
        <v>2828</v>
      </c>
      <c r="B590" s="32" t="str">
        <f>_xlfn.XLOOKUP(TablaSTOCKINV[[#This Row],[SKU]],TablaINVENTARIO[SKU],TablaINVENTARIO[DESCRIPCION])</f>
        <v xml:space="preserve">HOMOGENEIZADOR </v>
      </c>
      <c r="C590" s="32" t="str">
        <f>_xlfn.XLOOKUP(TablaSTOCKINV[[#This Row],[SKU]],TablaINVENTARIO[SKU],TablaINVENTARIO[MARCA])</f>
        <v>KAM CONTROLS</v>
      </c>
      <c r="D590" s="33" t="str">
        <f>_xlfn.XLOOKUP(TablaSTOCKINV[[#This Row],[SKU]],TablaINVENTARIO[SKU],TablaINVENTARIO[CATEGORIA])</f>
        <v>HERRAMIENTAS_</v>
      </c>
      <c r="E590" s="33" t="str">
        <f>_xlfn.XLOOKUP(TablaSTOCKINV[[#This Row],[SKU]],TablaINVENTARIO[SKU],TablaINVENTARIO[SUBCATEGORIA])</f>
        <v xml:space="preserve">HERRAMIENTA DE MANO </v>
      </c>
      <c r="F590" s="33" t="str">
        <f>_xlfn.XLOOKUP(TablaSTOCKINV[[#This Row],[SKU]],TablaINVENTARIO[SKU],TablaINVENTARIO[ESTADO])</f>
        <v>USADO</v>
      </c>
      <c r="G590" s="33" t="str">
        <f>_xlfn.XLOOKUP(TablaSTOCKINV[[#This Row],[SKU]],TablaINVENTARIO[SKU],TablaINVENTARIO[MEDIDA])</f>
        <v>UND</v>
      </c>
      <c r="H590" s="33" t="str">
        <f>_xlfn.XLOOKUP(TablaSTOCKINV[[#This Row],[SKU]],TablaINVENTARIO[SKU],TablaINVENTARIO[SERIAL])</f>
        <v>25-01796</v>
      </c>
      <c r="I590" s="34" t="str">
        <f>_xlfn.XLOOKUP(TablaSTOCKINV[[#This Row],[SKU]],TablaINVENTARIO[SKU],TablaINVENTARIO[ALMACEN])</f>
        <v>ALMACEN PRINCIPAL</v>
      </c>
      <c r="J590" s="34" t="str">
        <f>_xlfn.XLOOKUP(TablaSTOCKINV[[#This Row],[SKU]],TablaINVENTARIO[SKU],TablaINVENTARIO[UBICACION])</f>
        <v>E3-2</v>
      </c>
      <c r="K590" s="34" t="str">
        <f>_xlfn.XLOOKUP(TablaSTOCKINV[[#This Row],[SKU]],TablaINVENTARIO[SKU],TablaINVENTARIO[DPTO RESPONSABLE])</f>
        <v xml:space="preserve">OPERACIONES </v>
      </c>
      <c r="L590" s="36">
        <f>_xlfn.XLOOKUP(TablaSTOCKINV[[#This Row],[SKU]],TablaINVENTARIO[SKU],TablaINVENTARIO[RANGO MIN])</f>
        <v>0</v>
      </c>
      <c r="M590" s="34" cm="1">
        <f t="array" ref="M590">_xlfn.IFS(TablaSTOCKINV[[#This Row],[CANT. TOTAL]]&lt;=0,1,TablaSTOCKINV[[#This Row],[CANT. TOTAL]]&lt;=TablaSTOCKINV[[#This Row],[MIN]],2,TablaSTOCKINV[[#This Row],[CANT. TOTAL]]&gt;TablaSTOCKINV[[#This Row],[MIN]],3)</f>
        <v>3</v>
      </c>
      <c r="N590" s="34">
        <f>TablaSTOCKINV[[#This Row],[ENTRADAS]]-TablaSTOCKINV[[#This Row],[SALIDAS]]</f>
        <v>1</v>
      </c>
      <c r="O590" s="35">
        <f>SUMIFS(TablaENTRADA[CANT],TablaENTRADA[SKU],TablaSTOCKINV[[#This Row],[SKU]])</f>
        <v>1</v>
      </c>
      <c r="P590" s="35">
        <f>SUMIFS(TablaSALIDA[CANT],TablaSALIDA[SKU],TablaSTOCKINV[[#This Row],[SKU]])</f>
        <v>0</v>
      </c>
      <c r="Q590" s="34">
        <f>_xlfn.XLOOKUP(TablaSTOCKINV[[#This Row],[SKU]],TablaINVENTARIO[SKU],TablaINVENTARIO[PRECIO])</f>
        <v>0</v>
      </c>
      <c r="R590" s="34">
        <f>TablaSTOCKINV[[#This Row],[P.UNITARIO]]*TablaSTOCKINV[[#This Row],[CANT. TOTAL]]</f>
        <v>0</v>
      </c>
      <c r="S590" s="44">
        <f>_xlfn.XLOOKUP(TablaSTOCKINV[[#This Row],[SKU]],TablaINVENTARIO[SKU],TablaINVENTARIO[FECHA INGRESO])</f>
        <v>46023</v>
      </c>
      <c r="T590" s="44">
        <f>_xlfn.XLOOKUP(TablaSTOCKINV[[#This Row],[SKU]],TablaENTRADA[SKU],TablaENTRADA[FECHA],,0,-1)</f>
        <v>46023</v>
      </c>
      <c r="U590" s="46" t="str">
        <f>IFERROR((_xlfn.XLOOKUP(TablaSTOCKINV[[#This Row],[SKU]],TablaSALIDA[SKU],TablaSALIDA[FECHA],,0,-1))," " )</f>
        <v xml:space="preserve"> </v>
      </c>
    </row>
    <row r="591" spans="1:21" x14ac:dyDescent="0.3">
      <c r="A591" s="27" t="s">
        <v>2832</v>
      </c>
      <c r="B591" s="32" t="str">
        <f>_xlfn.XLOOKUP(TablaSTOCKINV[[#This Row],[SKU]],TablaINVENTARIO[SKU],TablaINVENTARIO[DESCRIPCION])</f>
        <v>TALADRO 18V 1/4"</v>
      </c>
      <c r="C591" s="32" t="str">
        <f>_xlfn.XLOOKUP(TablaSTOCKINV[[#This Row],[SKU]],TablaINVENTARIO[SKU],TablaINVENTARIO[MARCA])</f>
        <v xml:space="preserve">DEWALT </v>
      </c>
      <c r="D591" s="33" t="str">
        <f>_xlfn.XLOOKUP(TablaSTOCKINV[[#This Row],[SKU]],TablaINVENTARIO[SKU],TablaINVENTARIO[CATEGORIA])</f>
        <v>HERRAMIENTAS_</v>
      </c>
      <c r="E591" s="33" t="str">
        <f>_xlfn.XLOOKUP(TablaSTOCKINV[[#This Row],[SKU]],TablaINVENTARIO[SKU],TablaINVENTARIO[SUBCATEGORIA])</f>
        <v xml:space="preserve">HERRAMIENTA DE MANO </v>
      </c>
      <c r="F591" s="33" t="str">
        <f>_xlfn.XLOOKUP(TablaSTOCKINV[[#This Row],[SKU]],TablaINVENTARIO[SKU],TablaINVENTARIO[ESTADO])</f>
        <v>USADO</v>
      </c>
      <c r="G591" s="33" t="str">
        <f>_xlfn.XLOOKUP(TablaSTOCKINV[[#This Row],[SKU]],TablaINVENTARIO[SKU],TablaINVENTARIO[MEDIDA])</f>
        <v>UND</v>
      </c>
      <c r="H591" s="33">
        <f>_xlfn.XLOOKUP(TablaSTOCKINV[[#This Row],[SKU]],TablaINVENTARIO[SKU],TablaINVENTARIO[SERIAL])</f>
        <v>29252</v>
      </c>
      <c r="I591" s="34" t="str">
        <f>_xlfn.XLOOKUP(TablaSTOCKINV[[#This Row],[SKU]],TablaINVENTARIO[SKU],TablaINVENTARIO[ALMACEN])</f>
        <v>ALMACEN PRINCIPAL</v>
      </c>
      <c r="J591" s="34" t="str">
        <f>_xlfn.XLOOKUP(TablaSTOCKINV[[#This Row],[SKU]],TablaINVENTARIO[SKU],TablaINVENTARIO[UBICACION])</f>
        <v>E3-2</v>
      </c>
      <c r="K591" s="34" t="str">
        <f>_xlfn.XLOOKUP(TablaSTOCKINV[[#This Row],[SKU]],TablaINVENTARIO[SKU],TablaINVENTARIO[DPTO RESPONSABLE])</f>
        <v xml:space="preserve">OPERACIONES </v>
      </c>
      <c r="L591" s="36">
        <f>_xlfn.XLOOKUP(TablaSTOCKINV[[#This Row],[SKU]],TablaINVENTARIO[SKU],TablaINVENTARIO[RANGO MIN])</f>
        <v>0</v>
      </c>
      <c r="M591" s="34" cm="1">
        <f t="array" ref="M591">_xlfn.IFS(TablaSTOCKINV[[#This Row],[CANT. TOTAL]]&lt;=0,1,TablaSTOCKINV[[#This Row],[CANT. TOTAL]]&lt;=TablaSTOCKINV[[#This Row],[MIN]],2,TablaSTOCKINV[[#This Row],[CANT. TOTAL]]&gt;TablaSTOCKINV[[#This Row],[MIN]],3)</f>
        <v>3</v>
      </c>
      <c r="N591" s="34">
        <f>TablaSTOCKINV[[#This Row],[ENTRADAS]]-TablaSTOCKINV[[#This Row],[SALIDAS]]</f>
        <v>1</v>
      </c>
      <c r="O591" s="35">
        <f>SUMIFS(TablaENTRADA[CANT],TablaENTRADA[SKU],TablaSTOCKINV[[#This Row],[SKU]])</f>
        <v>1</v>
      </c>
      <c r="P591" s="35">
        <f>SUMIFS(TablaSALIDA[CANT],TablaSALIDA[SKU],TablaSTOCKINV[[#This Row],[SKU]])</f>
        <v>0</v>
      </c>
      <c r="Q591" s="34">
        <f>_xlfn.XLOOKUP(TablaSTOCKINV[[#This Row],[SKU]],TablaINVENTARIO[SKU],TablaINVENTARIO[PRECIO])</f>
        <v>0</v>
      </c>
      <c r="R591" s="34">
        <f>TablaSTOCKINV[[#This Row],[P.UNITARIO]]*TablaSTOCKINV[[#This Row],[CANT. TOTAL]]</f>
        <v>0</v>
      </c>
      <c r="S591" s="44">
        <f>_xlfn.XLOOKUP(TablaSTOCKINV[[#This Row],[SKU]],TablaINVENTARIO[SKU],TablaINVENTARIO[FECHA INGRESO])</f>
        <v>46023</v>
      </c>
      <c r="T591" s="44">
        <f>_xlfn.XLOOKUP(TablaSTOCKINV[[#This Row],[SKU]],TablaENTRADA[SKU],TablaENTRADA[FECHA],,0,-1)</f>
        <v>46023</v>
      </c>
      <c r="U591" s="46" t="str">
        <f>IFERROR((_xlfn.XLOOKUP(TablaSTOCKINV[[#This Row],[SKU]],TablaSALIDA[SKU],TablaSALIDA[FECHA],,0,-1))," " )</f>
        <v xml:space="preserve"> </v>
      </c>
    </row>
    <row r="592" spans="1:21" x14ac:dyDescent="0.3">
      <c r="A592" s="27" t="s">
        <v>2835</v>
      </c>
      <c r="B592" s="32" t="str">
        <f>_xlfn.XLOOKUP(TablaSTOCKINV[[#This Row],[SKU]],TablaINVENTARIO[SKU],TablaINVENTARIO[DESCRIPCION])</f>
        <v>TALADRO 18V 1/2"</v>
      </c>
      <c r="C592" s="32" t="str">
        <f>_xlfn.XLOOKUP(TablaSTOCKINV[[#This Row],[SKU]],TablaINVENTARIO[SKU],TablaINVENTARIO[MARCA])</f>
        <v xml:space="preserve">DEWALT </v>
      </c>
      <c r="D592" s="33" t="str">
        <f>_xlfn.XLOOKUP(TablaSTOCKINV[[#This Row],[SKU]],TablaINVENTARIO[SKU],TablaINVENTARIO[CATEGORIA])</f>
        <v>HERRAMIENTAS_</v>
      </c>
      <c r="E592" s="33" t="str">
        <f>_xlfn.XLOOKUP(TablaSTOCKINV[[#This Row],[SKU]],TablaINVENTARIO[SKU],TablaINVENTARIO[SUBCATEGORIA])</f>
        <v xml:space="preserve">HERRAMIENTA DE MANO </v>
      </c>
      <c r="F592" s="33" t="str">
        <f>_xlfn.XLOOKUP(TablaSTOCKINV[[#This Row],[SKU]],TablaINVENTARIO[SKU],TablaINVENTARIO[ESTADO])</f>
        <v>USADO</v>
      </c>
      <c r="G592" s="33" t="str">
        <f>_xlfn.XLOOKUP(TablaSTOCKINV[[#This Row],[SKU]],TablaINVENTARIO[SKU],TablaINVENTARIO[MEDIDA])</f>
        <v>UND</v>
      </c>
      <c r="H592" s="33">
        <f>_xlfn.XLOOKUP(TablaSTOCKINV[[#This Row],[SKU]],TablaINVENTARIO[SKU],TablaINVENTARIO[SERIAL])</f>
        <v>566867</v>
      </c>
      <c r="I592" s="34" t="str">
        <f>_xlfn.XLOOKUP(TablaSTOCKINV[[#This Row],[SKU]],TablaINVENTARIO[SKU],TablaINVENTARIO[ALMACEN])</f>
        <v>ALMACEN PRINCIPAL</v>
      </c>
      <c r="J592" s="34" t="str">
        <f>_xlfn.XLOOKUP(TablaSTOCKINV[[#This Row],[SKU]],TablaINVENTARIO[SKU],TablaINVENTARIO[UBICACION])</f>
        <v>E3-2</v>
      </c>
      <c r="K592" s="34" t="str">
        <f>_xlfn.XLOOKUP(TablaSTOCKINV[[#This Row],[SKU]],TablaINVENTARIO[SKU],TablaINVENTARIO[DPTO RESPONSABLE])</f>
        <v xml:space="preserve">OPERACIONES </v>
      </c>
      <c r="L592" s="36">
        <f>_xlfn.XLOOKUP(TablaSTOCKINV[[#This Row],[SKU]],TablaINVENTARIO[SKU],TablaINVENTARIO[RANGO MIN])</f>
        <v>0</v>
      </c>
      <c r="M592" s="34" cm="1">
        <f t="array" ref="M592">_xlfn.IFS(TablaSTOCKINV[[#This Row],[CANT. TOTAL]]&lt;=0,1,TablaSTOCKINV[[#This Row],[CANT. TOTAL]]&lt;=TablaSTOCKINV[[#This Row],[MIN]],2,TablaSTOCKINV[[#This Row],[CANT. TOTAL]]&gt;TablaSTOCKINV[[#This Row],[MIN]],3)</f>
        <v>3</v>
      </c>
      <c r="N592" s="34">
        <f>TablaSTOCKINV[[#This Row],[ENTRADAS]]-TablaSTOCKINV[[#This Row],[SALIDAS]]</f>
        <v>1</v>
      </c>
      <c r="O592" s="35">
        <f>SUMIFS(TablaENTRADA[CANT],TablaENTRADA[SKU],TablaSTOCKINV[[#This Row],[SKU]])</f>
        <v>1</v>
      </c>
      <c r="P592" s="35">
        <f>SUMIFS(TablaSALIDA[CANT],TablaSALIDA[SKU],TablaSTOCKINV[[#This Row],[SKU]])</f>
        <v>0</v>
      </c>
      <c r="Q592" s="34">
        <f>_xlfn.XLOOKUP(TablaSTOCKINV[[#This Row],[SKU]],TablaINVENTARIO[SKU],TablaINVENTARIO[PRECIO])</f>
        <v>0</v>
      </c>
      <c r="R592" s="34">
        <f>TablaSTOCKINV[[#This Row],[P.UNITARIO]]*TablaSTOCKINV[[#This Row],[CANT. TOTAL]]</f>
        <v>0</v>
      </c>
      <c r="S592" s="44">
        <f>_xlfn.XLOOKUP(TablaSTOCKINV[[#This Row],[SKU]],TablaINVENTARIO[SKU],TablaINVENTARIO[FECHA INGRESO])</f>
        <v>46023</v>
      </c>
      <c r="T592" s="44">
        <f>_xlfn.XLOOKUP(TablaSTOCKINV[[#This Row],[SKU]],TablaENTRADA[SKU],TablaENTRADA[FECHA],,0,-1)</f>
        <v>46023</v>
      </c>
      <c r="U592" s="46" t="str">
        <f>IFERROR((_xlfn.XLOOKUP(TablaSTOCKINV[[#This Row],[SKU]],TablaSALIDA[SKU],TablaSALIDA[FECHA],,0,-1))," " )</f>
        <v xml:space="preserve"> </v>
      </c>
    </row>
    <row r="593" spans="1:21" x14ac:dyDescent="0.3">
      <c r="A593" s="27" t="s">
        <v>2837</v>
      </c>
      <c r="B593" s="32" t="str">
        <f>_xlfn.XLOOKUP(TablaSTOCKINV[[#This Row],[SKU]],TablaINVENTARIO[SKU],TablaINVENTARIO[DESCRIPCION])</f>
        <v>NIVEL 120CM</v>
      </c>
      <c r="C593" s="32" t="str">
        <f>_xlfn.XLOOKUP(TablaSTOCKINV[[#This Row],[SKU]],TablaINVENTARIO[SKU],TablaINVENTARIO[MARCA])</f>
        <v>N/A</v>
      </c>
      <c r="D593" s="33" t="str">
        <f>_xlfn.XLOOKUP(TablaSTOCKINV[[#This Row],[SKU]],TablaINVENTARIO[SKU],TablaINVENTARIO[CATEGORIA])</f>
        <v>HERRAMIENTAS_</v>
      </c>
      <c r="E593" s="33" t="str">
        <f>_xlfn.XLOOKUP(TablaSTOCKINV[[#This Row],[SKU]],TablaINVENTARIO[SKU],TablaINVENTARIO[SUBCATEGORIA])</f>
        <v xml:space="preserve">HERRAMIENTA DE MANO </v>
      </c>
      <c r="F593" s="33" t="str">
        <f>_xlfn.XLOOKUP(TablaSTOCKINV[[#This Row],[SKU]],TablaINVENTARIO[SKU],TablaINVENTARIO[ESTADO])</f>
        <v>USADO</v>
      </c>
      <c r="G593" s="33" t="str">
        <f>_xlfn.XLOOKUP(TablaSTOCKINV[[#This Row],[SKU]],TablaINVENTARIO[SKU],TablaINVENTARIO[MEDIDA])</f>
        <v>UND</v>
      </c>
      <c r="H593" s="33" t="str">
        <f>_xlfn.XLOOKUP(TablaSTOCKINV[[#This Row],[SKU]],TablaINVENTARIO[SKU],TablaINVENTARIO[SERIAL])</f>
        <v>N/A</v>
      </c>
      <c r="I593" s="34" t="str">
        <f>_xlfn.XLOOKUP(TablaSTOCKINV[[#This Row],[SKU]],TablaINVENTARIO[SKU],TablaINVENTARIO[ALMACEN])</f>
        <v>ALMACEN PRINCIPAL</v>
      </c>
      <c r="J593" s="34" t="str">
        <f>_xlfn.XLOOKUP(TablaSTOCKINV[[#This Row],[SKU]],TablaINVENTARIO[SKU],TablaINVENTARIO[UBICACION])</f>
        <v>E3-2</v>
      </c>
      <c r="K593" s="34" t="str">
        <f>_xlfn.XLOOKUP(TablaSTOCKINV[[#This Row],[SKU]],TablaINVENTARIO[SKU],TablaINVENTARIO[DPTO RESPONSABLE])</f>
        <v xml:space="preserve">OPERACIONES </v>
      </c>
      <c r="L593" s="36">
        <f>_xlfn.XLOOKUP(TablaSTOCKINV[[#This Row],[SKU]],TablaINVENTARIO[SKU],TablaINVENTARIO[RANGO MIN])</f>
        <v>0</v>
      </c>
      <c r="M593" s="34" cm="1">
        <f t="array" ref="M593">_xlfn.IFS(TablaSTOCKINV[[#This Row],[CANT. TOTAL]]&lt;=0,1,TablaSTOCKINV[[#This Row],[CANT. TOTAL]]&lt;=TablaSTOCKINV[[#This Row],[MIN]],2,TablaSTOCKINV[[#This Row],[CANT. TOTAL]]&gt;TablaSTOCKINV[[#This Row],[MIN]],3)</f>
        <v>3</v>
      </c>
      <c r="N593" s="34">
        <f>TablaSTOCKINV[[#This Row],[ENTRADAS]]-TablaSTOCKINV[[#This Row],[SALIDAS]]</f>
        <v>1</v>
      </c>
      <c r="O593" s="35">
        <f>SUMIFS(TablaENTRADA[CANT],TablaENTRADA[SKU],TablaSTOCKINV[[#This Row],[SKU]])</f>
        <v>1</v>
      </c>
      <c r="P593" s="35">
        <f>SUMIFS(TablaSALIDA[CANT],TablaSALIDA[SKU],TablaSTOCKINV[[#This Row],[SKU]])</f>
        <v>0</v>
      </c>
      <c r="Q593" s="34">
        <f>_xlfn.XLOOKUP(TablaSTOCKINV[[#This Row],[SKU]],TablaINVENTARIO[SKU],TablaINVENTARIO[PRECIO])</f>
        <v>0</v>
      </c>
      <c r="R593" s="34">
        <f>TablaSTOCKINV[[#This Row],[P.UNITARIO]]*TablaSTOCKINV[[#This Row],[CANT. TOTAL]]</f>
        <v>0</v>
      </c>
      <c r="S593" s="44">
        <f>_xlfn.XLOOKUP(TablaSTOCKINV[[#This Row],[SKU]],TablaINVENTARIO[SKU],TablaINVENTARIO[FECHA INGRESO])</f>
        <v>46023</v>
      </c>
      <c r="T593" s="44">
        <f>_xlfn.XLOOKUP(TablaSTOCKINV[[#This Row],[SKU]],TablaENTRADA[SKU],TablaENTRADA[FECHA],,0,-1)</f>
        <v>46023</v>
      </c>
      <c r="U593" s="46" t="str">
        <f>IFERROR((_xlfn.XLOOKUP(TablaSTOCKINV[[#This Row],[SKU]],TablaSALIDA[SKU],TablaSALIDA[FECHA],,0,-1))," " )</f>
        <v xml:space="preserve"> </v>
      </c>
    </row>
    <row r="594" spans="1:21" x14ac:dyDescent="0.3">
      <c r="A594" s="27" t="s">
        <v>2839</v>
      </c>
      <c r="B594" s="32" t="str">
        <f>_xlfn.XLOOKUP(TablaSTOCKINV[[#This Row],[SKU]],TablaINVENTARIO[SKU],TablaINVENTARIO[DESCRIPCION])</f>
        <v xml:space="preserve">PATA DE CABRA </v>
      </c>
      <c r="C594" s="32" t="str">
        <f>_xlfn.XLOOKUP(TablaSTOCKINV[[#This Row],[SKU]],TablaINVENTARIO[SKU],TablaINVENTARIO[MARCA])</f>
        <v>N/A</v>
      </c>
      <c r="D594" s="33" t="str">
        <f>_xlfn.XLOOKUP(TablaSTOCKINV[[#This Row],[SKU]],TablaINVENTARIO[SKU],TablaINVENTARIO[CATEGORIA])</f>
        <v>HERRAMIENTAS_</v>
      </c>
      <c r="E594" s="33" t="str">
        <f>_xlfn.XLOOKUP(TablaSTOCKINV[[#This Row],[SKU]],TablaINVENTARIO[SKU],TablaINVENTARIO[SUBCATEGORIA])</f>
        <v xml:space="preserve">HERRAMIENTA DE MANO </v>
      </c>
      <c r="F594" s="33" t="str">
        <f>_xlfn.XLOOKUP(TablaSTOCKINV[[#This Row],[SKU]],TablaINVENTARIO[SKU],TablaINVENTARIO[ESTADO])</f>
        <v>USADO</v>
      </c>
      <c r="G594" s="33" t="str">
        <f>_xlfn.XLOOKUP(TablaSTOCKINV[[#This Row],[SKU]],TablaINVENTARIO[SKU],TablaINVENTARIO[MEDIDA])</f>
        <v>UND</v>
      </c>
      <c r="H594" s="33" t="str">
        <f>_xlfn.XLOOKUP(TablaSTOCKINV[[#This Row],[SKU]],TablaINVENTARIO[SKU],TablaINVENTARIO[SERIAL])</f>
        <v>N/A</v>
      </c>
      <c r="I594" s="34" t="str">
        <f>_xlfn.XLOOKUP(TablaSTOCKINV[[#This Row],[SKU]],TablaINVENTARIO[SKU],TablaINVENTARIO[ALMACEN])</f>
        <v>ALMACEN PRINCIPAL</v>
      </c>
      <c r="J594" s="34" t="str">
        <f>_xlfn.XLOOKUP(TablaSTOCKINV[[#This Row],[SKU]],TablaINVENTARIO[SKU],TablaINVENTARIO[UBICACION])</f>
        <v>E3-2</v>
      </c>
      <c r="K594" s="34" t="str">
        <f>_xlfn.XLOOKUP(TablaSTOCKINV[[#This Row],[SKU]],TablaINVENTARIO[SKU],TablaINVENTARIO[DPTO RESPONSABLE])</f>
        <v xml:space="preserve">OPERACIONES </v>
      </c>
      <c r="L594" s="36">
        <f>_xlfn.XLOOKUP(TablaSTOCKINV[[#This Row],[SKU]],TablaINVENTARIO[SKU],TablaINVENTARIO[RANGO MIN])</f>
        <v>0</v>
      </c>
      <c r="M594" s="34" cm="1">
        <f t="array" ref="M594">_xlfn.IFS(TablaSTOCKINV[[#This Row],[CANT. TOTAL]]&lt;=0,1,TablaSTOCKINV[[#This Row],[CANT. TOTAL]]&lt;=TablaSTOCKINV[[#This Row],[MIN]],2,TablaSTOCKINV[[#This Row],[CANT. TOTAL]]&gt;TablaSTOCKINV[[#This Row],[MIN]],3)</f>
        <v>3</v>
      </c>
      <c r="N594" s="34">
        <f>TablaSTOCKINV[[#This Row],[ENTRADAS]]-TablaSTOCKINV[[#This Row],[SALIDAS]]</f>
        <v>1</v>
      </c>
      <c r="O594" s="35">
        <f>SUMIFS(TablaENTRADA[CANT],TablaENTRADA[SKU],TablaSTOCKINV[[#This Row],[SKU]])</f>
        <v>1</v>
      </c>
      <c r="P594" s="35">
        <f>SUMIFS(TablaSALIDA[CANT],TablaSALIDA[SKU],TablaSTOCKINV[[#This Row],[SKU]])</f>
        <v>0</v>
      </c>
      <c r="Q594" s="34">
        <f>_xlfn.XLOOKUP(TablaSTOCKINV[[#This Row],[SKU]],TablaINVENTARIO[SKU],TablaINVENTARIO[PRECIO])</f>
        <v>0</v>
      </c>
      <c r="R594" s="34">
        <f>TablaSTOCKINV[[#This Row],[P.UNITARIO]]*TablaSTOCKINV[[#This Row],[CANT. TOTAL]]</f>
        <v>0</v>
      </c>
      <c r="S594" s="44">
        <f>_xlfn.XLOOKUP(TablaSTOCKINV[[#This Row],[SKU]],TablaINVENTARIO[SKU],TablaINVENTARIO[FECHA INGRESO])</f>
        <v>46023</v>
      </c>
      <c r="T594" s="44">
        <f>_xlfn.XLOOKUP(TablaSTOCKINV[[#This Row],[SKU]],TablaENTRADA[SKU],TablaENTRADA[FECHA],,0,-1)</f>
        <v>46023</v>
      </c>
      <c r="U594" s="46" t="str">
        <f>IFERROR((_xlfn.XLOOKUP(TablaSTOCKINV[[#This Row],[SKU]],TablaSALIDA[SKU],TablaSALIDA[FECHA],,0,-1))," " )</f>
        <v xml:space="preserve"> </v>
      </c>
    </row>
    <row r="595" spans="1:21" x14ac:dyDescent="0.3">
      <c r="A595" s="27" t="s">
        <v>2841</v>
      </c>
      <c r="B595" s="32" t="str">
        <f>_xlfn.XLOOKUP(TablaSTOCKINV[[#This Row],[SKU]],TablaINVENTARIO[SKU],TablaINVENTARIO[DESCRIPCION])</f>
        <v xml:space="preserve">CEGUETA </v>
      </c>
      <c r="C595" s="32" t="str">
        <f>_xlfn.XLOOKUP(TablaSTOCKINV[[#This Row],[SKU]],TablaINVENTARIO[SKU],TablaINVENTARIO[MARCA])</f>
        <v>N/A</v>
      </c>
      <c r="D595" s="33" t="str">
        <f>_xlfn.XLOOKUP(TablaSTOCKINV[[#This Row],[SKU]],TablaINVENTARIO[SKU],TablaINVENTARIO[CATEGORIA])</f>
        <v>HERRAMIENTAS_</v>
      </c>
      <c r="E595" s="33" t="str">
        <f>_xlfn.XLOOKUP(TablaSTOCKINV[[#This Row],[SKU]],TablaINVENTARIO[SKU],TablaINVENTARIO[SUBCATEGORIA])</f>
        <v xml:space="preserve">HERRAMIENTA DE MANO </v>
      </c>
      <c r="F595" s="33" t="str">
        <f>_xlfn.XLOOKUP(TablaSTOCKINV[[#This Row],[SKU]],TablaINVENTARIO[SKU],TablaINVENTARIO[ESTADO])</f>
        <v>USADO</v>
      </c>
      <c r="G595" s="33" t="str">
        <f>_xlfn.XLOOKUP(TablaSTOCKINV[[#This Row],[SKU]],TablaINVENTARIO[SKU],TablaINVENTARIO[MEDIDA])</f>
        <v>UND</v>
      </c>
      <c r="H595" s="33" t="str">
        <f>_xlfn.XLOOKUP(TablaSTOCKINV[[#This Row],[SKU]],TablaINVENTARIO[SKU],TablaINVENTARIO[SERIAL])</f>
        <v>N/A</v>
      </c>
      <c r="I595" s="34" t="str">
        <f>_xlfn.XLOOKUP(TablaSTOCKINV[[#This Row],[SKU]],TablaINVENTARIO[SKU],TablaINVENTARIO[ALMACEN])</f>
        <v>ALMACEN PRINCIPAL</v>
      </c>
      <c r="J595" s="34" t="str">
        <f>_xlfn.XLOOKUP(TablaSTOCKINV[[#This Row],[SKU]],TablaINVENTARIO[SKU],TablaINVENTARIO[UBICACION])</f>
        <v>E3-2</v>
      </c>
      <c r="K595" s="34" t="str">
        <f>_xlfn.XLOOKUP(TablaSTOCKINV[[#This Row],[SKU]],TablaINVENTARIO[SKU],TablaINVENTARIO[DPTO RESPONSABLE])</f>
        <v xml:space="preserve">OPERACIONES </v>
      </c>
      <c r="L595" s="36">
        <f>_xlfn.XLOOKUP(TablaSTOCKINV[[#This Row],[SKU]],TablaINVENTARIO[SKU],TablaINVENTARIO[RANGO MIN])</f>
        <v>0</v>
      </c>
      <c r="M595" s="34" cm="1">
        <f t="array" ref="M595">_xlfn.IFS(TablaSTOCKINV[[#This Row],[CANT. TOTAL]]&lt;=0,1,TablaSTOCKINV[[#This Row],[CANT. TOTAL]]&lt;=TablaSTOCKINV[[#This Row],[MIN]],2,TablaSTOCKINV[[#This Row],[CANT. TOTAL]]&gt;TablaSTOCKINV[[#This Row],[MIN]],3)</f>
        <v>3</v>
      </c>
      <c r="N595" s="34">
        <f>TablaSTOCKINV[[#This Row],[ENTRADAS]]-TablaSTOCKINV[[#This Row],[SALIDAS]]</f>
        <v>1</v>
      </c>
      <c r="O595" s="35">
        <f>SUMIFS(TablaENTRADA[CANT],TablaENTRADA[SKU],TablaSTOCKINV[[#This Row],[SKU]])</f>
        <v>1</v>
      </c>
      <c r="P595" s="35">
        <f>SUMIFS(TablaSALIDA[CANT],TablaSALIDA[SKU],TablaSTOCKINV[[#This Row],[SKU]])</f>
        <v>0</v>
      </c>
      <c r="Q595" s="34">
        <f>_xlfn.XLOOKUP(TablaSTOCKINV[[#This Row],[SKU]],TablaINVENTARIO[SKU],TablaINVENTARIO[PRECIO])</f>
        <v>0</v>
      </c>
      <c r="R595" s="34">
        <f>TablaSTOCKINV[[#This Row],[P.UNITARIO]]*TablaSTOCKINV[[#This Row],[CANT. TOTAL]]</f>
        <v>0</v>
      </c>
      <c r="S595" s="44">
        <f>_xlfn.XLOOKUP(TablaSTOCKINV[[#This Row],[SKU]],TablaINVENTARIO[SKU],TablaINVENTARIO[FECHA INGRESO])</f>
        <v>46023</v>
      </c>
      <c r="T595" s="44">
        <f>_xlfn.XLOOKUP(TablaSTOCKINV[[#This Row],[SKU]],TablaENTRADA[SKU],TablaENTRADA[FECHA],,0,-1)</f>
        <v>46023</v>
      </c>
      <c r="U595" s="46" t="str">
        <f>IFERROR((_xlfn.XLOOKUP(TablaSTOCKINV[[#This Row],[SKU]],TablaSALIDA[SKU],TablaSALIDA[FECHA],,0,-1))," " )</f>
        <v xml:space="preserve"> </v>
      </c>
    </row>
    <row r="596" spans="1:21" x14ac:dyDescent="0.3">
      <c r="A596" s="27" t="s">
        <v>2843</v>
      </c>
      <c r="B596" s="32" t="str">
        <f>_xlfn.XLOOKUP(TablaSTOCKINV[[#This Row],[SKU]],TablaINVENTARIO[SKU],TablaINVENTARIO[DESCRIPCION])</f>
        <v xml:space="preserve">CORTA FLEJE </v>
      </c>
      <c r="C596" s="32" t="str">
        <f>_xlfn.XLOOKUP(TablaSTOCKINV[[#This Row],[SKU]],TablaINVENTARIO[SKU],TablaINVENTARIO[MARCA])</f>
        <v>N/A</v>
      </c>
      <c r="D596" s="33" t="str">
        <f>_xlfn.XLOOKUP(TablaSTOCKINV[[#This Row],[SKU]],TablaINVENTARIO[SKU],TablaINVENTARIO[CATEGORIA])</f>
        <v>HERRAMIENTAS_</v>
      </c>
      <c r="E596" s="33" t="str">
        <f>_xlfn.XLOOKUP(TablaSTOCKINV[[#This Row],[SKU]],TablaINVENTARIO[SKU],TablaINVENTARIO[SUBCATEGORIA])</f>
        <v xml:space="preserve">HERRAMIENTA DE MANO </v>
      </c>
      <c r="F596" s="33" t="str">
        <f>_xlfn.XLOOKUP(TablaSTOCKINV[[#This Row],[SKU]],TablaINVENTARIO[SKU],TablaINVENTARIO[ESTADO])</f>
        <v>USADO</v>
      </c>
      <c r="G596" s="33" t="str">
        <f>_xlfn.XLOOKUP(TablaSTOCKINV[[#This Row],[SKU]],TablaINVENTARIO[SKU],TablaINVENTARIO[MEDIDA])</f>
        <v>UND</v>
      </c>
      <c r="H596" s="33" t="str">
        <f>_xlfn.XLOOKUP(TablaSTOCKINV[[#This Row],[SKU]],TablaINVENTARIO[SKU],TablaINVENTARIO[SERIAL])</f>
        <v>N/A</v>
      </c>
      <c r="I596" s="34" t="str">
        <f>_xlfn.XLOOKUP(TablaSTOCKINV[[#This Row],[SKU]],TablaINVENTARIO[SKU],TablaINVENTARIO[ALMACEN])</f>
        <v>ALMACEN PRINCIPAL</v>
      </c>
      <c r="J596" s="34" t="str">
        <f>_xlfn.XLOOKUP(TablaSTOCKINV[[#This Row],[SKU]],TablaINVENTARIO[SKU],TablaINVENTARIO[UBICACION])</f>
        <v>E3-2</v>
      </c>
      <c r="K596" s="34" t="str">
        <f>_xlfn.XLOOKUP(TablaSTOCKINV[[#This Row],[SKU]],TablaINVENTARIO[SKU],TablaINVENTARIO[DPTO RESPONSABLE])</f>
        <v xml:space="preserve">OPERACIONES </v>
      </c>
      <c r="L596" s="36">
        <f>_xlfn.XLOOKUP(TablaSTOCKINV[[#This Row],[SKU]],TablaINVENTARIO[SKU],TablaINVENTARIO[RANGO MIN])</f>
        <v>0</v>
      </c>
      <c r="M596" s="34" cm="1">
        <f t="array" ref="M596">_xlfn.IFS(TablaSTOCKINV[[#This Row],[CANT. TOTAL]]&lt;=0,1,TablaSTOCKINV[[#This Row],[CANT. TOTAL]]&lt;=TablaSTOCKINV[[#This Row],[MIN]],2,TablaSTOCKINV[[#This Row],[CANT. TOTAL]]&gt;TablaSTOCKINV[[#This Row],[MIN]],3)</f>
        <v>3</v>
      </c>
      <c r="N596" s="34">
        <f>TablaSTOCKINV[[#This Row],[ENTRADAS]]-TablaSTOCKINV[[#This Row],[SALIDAS]]</f>
        <v>2</v>
      </c>
      <c r="O596" s="35">
        <f>SUMIFS(TablaENTRADA[CANT],TablaENTRADA[SKU],TablaSTOCKINV[[#This Row],[SKU]])</f>
        <v>2</v>
      </c>
      <c r="P596" s="35">
        <f>SUMIFS(TablaSALIDA[CANT],TablaSALIDA[SKU],TablaSTOCKINV[[#This Row],[SKU]])</f>
        <v>0</v>
      </c>
      <c r="Q596" s="34">
        <f>_xlfn.XLOOKUP(TablaSTOCKINV[[#This Row],[SKU]],TablaINVENTARIO[SKU],TablaINVENTARIO[PRECIO])</f>
        <v>0</v>
      </c>
      <c r="R596" s="34">
        <f>TablaSTOCKINV[[#This Row],[P.UNITARIO]]*TablaSTOCKINV[[#This Row],[CANT. TOTAL]]</f>
        <v>0</v>
      </c>
      <c r="S596" s="44">
        <f>_xlfn.XLOOKUP(TablaSTOCKINV[[#This Row],[SKU]],TablaINVENTARIO[SKU],TablaINVENTARIO[FECHA INGRESO])</f>
        <v>46023</v>
      </c>
      <c r="T596" s="44">
        <f>_xlfn.XLOOKUP(TablaSTOCKINV[[#This Row],[SKU]],TablaENTRADA[SKU],TablaENTRADA[FECHA],,0,-1)</f>
        <v>46023</v>
      </c>
      <c r="U596" s="46" t="str">
        <f>IFERROR((_xlfn.XLOOKUP(TablaSTOCKINV[[#This Row],[SKU]],TablaSALIDA[SKU],TablaSALIDA[FECHA],,0,-1))," " )</f>
        <v xml:space="preserve"> </v>
      </c>
    </row>
    <row r="597" spans="1:21" x14ac:dyDescent="0.3">
      <c r="A597" s="27" t="s">
        <v>2845</v>
      </c>
      <c r="B597" s="32" t="str">
        <f>_xlfn.XLOOKUP(TablaSTOCKINV[[#This Row],[SKU]],TablaINVENTARIO[SKU],TablaINVENTARIO[DESCRIPCION])</f>
        <v xml:space="preserve">CONECTOR CARGADOR DE BATERIA </v>
      </c>
      <c r="C597" s="32" t="str">
        <f>_xlfn.XLOOKUP(TablaSTOCKINV[[#This Row],[SKU]],TablaINVENTARIO[SKU],TablaINVENTARIO[MARCA])</f>
        <v>N/A</v>
      </c>
      <c r="D597" s="33" t="str">
        <f>_xlfn.XLOOKUP(TablaSTOCKINV[[#This Row],[SKU]],TablaINVENTARIO[SKU],TablaINVENTARIO[CATEGORIA])</f>
        <v>HERRAMIENTAS_</v>
      </c>
      <c r="E597" s="33" t="str">
        <f>_xlfn.XLOOKUP(TablaSTOCKINV[[#This Row],[SKU]],TablaINVENTARIO[SKU],TablaINVENTARIO[SUBCATEGORIA])</f>
        <v xml:space="preserve">HERRAMIENTA DE MANO </v>
      </c>
      <c r="F597" s="33" t="str">
        <f>_xlfn.XLOOKUP(TablaSTOCKINV[[#This Row],[SKU]],TablaINVENTARIO[SKU],TablaINVENTARIO[ESTADO])</f>
        <v>USADO</v>
      </c>
      <c r="G597" s="33" t="str">
        <f>_xlfn.XLOOKUP(TablaSTOCKINV[[#This Row],[SKU]],TablaINVENTARIO[SKU],TablaINVENTARIO[MEDIDA])</f>
        <v>UND</v>
      </c>
      <c r="H597" s="33" t="str">
        <f>_xlfn.XLOOKUP(TablaSTOCKINV[[#This Row],[SKU]],TablaINVENTARIO[SKU],TablaINVENTARIO[SERIAL])</f>
        <v>N/A</v>
      </c>
      <c r="I597" s="34" t="str">
        <f>_xlfn.XLOOKUP(TablaSTOCKINV[[#This Row],[SKU]],TablaINVENTARIO[SKU],TablaINVENTARIO[ALMACEN])</f>
        <v>ALMACEN PRINCIPAL</v>
      </c>
      <c r="J597" s="34" t="str">
        <f>_xlfn.XLOOKUP(TablaSTOCKINV[[#This Row],[SKU]],TablaINVENTARIO[SKU],TablaINVENTARIO[UBICACION])</f>
        <v>E3-2</v>
      </c>
      <c r="K597" s="34" t="str">
        <f>_xlfn.XLOOKUP(TablaSTOCKINV[[#This Row],[SKU]],TablaINVENTARIO[SKU],TablaINVENTARIO[DPTO RESPONSABLE])</f>
        <v xml:space="preserve">OPERACIONES </v>
      </c>
      <c r="L597" s="36">
        <f>_xlfn.XLOOKUP(TablaSTOCKINV[[#This Row],[SKU]],TablaINVENTARIO[SKU],TablaINVENTARIO[RANGO MIN])</f>
        <v>0</v>
      </c>
      <c r="M597" s="34" cm="1">
        <f t="array" ref="M597">_xlfn.IFS(TablaSTOCKINV[[#This Row],[CANT. TOTAL]]&lt;=0,1,TablaSTOCKINV[[#This Row],[CANT. TOTAL]]&lt;=TablaSTOCKINV[[#This Row],[MIN]],2,TablaSTOCKINV[[#This Row],[CANT. TOTAL]]&gt;TablaSTOCKINV[[#This Row],[MIN]],3)</f>
        <v>3</v>
      </c>
      <c r="N597" s="34">
        <f>TablaSTOCKINV[[#This Row],[ENTRADAS]]-TablaSTOCKINV[[#This Row],[SALIDAS]]</f>
        <v>1</v>
      </c>
      <c r="O597" s="35">
        <f>SUMIFS(TablaENTRADA[CANT],TablaENTRADA[SKU],TablaSTOCKINV[[#This Row],[SKU]])</f>
        <v>1</v>
      </c>
      <c r="P597" s="35">
        <f>SUMIFS(TablaSALIDA[CANT],TablaSALIDA[SKU],TablaSTOCKINV[[#This Row],[SKU]])</f>
        <v>0</v>
      </c>
      <c r="Q597" s="34">
        <f>_xlfn.XLOOKUP(TablaSTOCKINV[[#This Row],[SKU]],TablaINVENTARIO[SKU],TablaINVENTARIO[PRECIO])</f>
        <v>0</v>
      </c>
      <c r="R597" s="34">
        <f>TablaSTOCKINV[[#This Row],[P.UNITARIO]]*TablaSTOCKINV[[#This Row],[CANT. TOTAL]]</f>
        <v>0</v>
      </c>
      <c r="S597" s="44">
        <f>_xlfn.XLOOKUP(TablaSTOCKINV[[#This Row],[SKU]],TablaINVENTARIO[SKU],TablaINVENTARIO[FECHA INGRESO])</f>
        <v>46023</v>
      </c>
      <c r="T597" s="44">
        <f>_xlfn.XLOOKUP(TablaSTOCKINV[[#This Row],[SKU]],TablaENTRADA[SKU],TablaENTRADA[FECHA],,0,-1)</f>
        <v>46023</v>
      </c>
      <c r="U597" s="46" t="str">
        <f>IFERROR((_xlfn.XLOOKUP(TablaSTOCKINV[[#This Row],[SKU]],TablaSALIDA[SKU],TablaSALIDA[FECHA],,0,-1))," " )</f>
        <v xml:space="preserve"> </v>
      </c>
    </row>
    <row r="598" spans="1:21" x14ac:dyDescent="0.3">
      <c r="A598" s="27" t="s">
        <v>2847</v>
      </c>
      <c r="B598" s="32" t="str">
        <f>_xlfn.XLOOKUP(TablaSTOCKINV[[#This Row],[SKU]],TablaINVENTARIO[SKU],TablaINVENTARIO[DESCRIPCION])</f>
        <v>PINZA DE METAL</v>
      </c>
      <c r="C598" s="32" t="str">
        <f>_xlfn.XLOOKUP(TablaSTOCKINV[[#This Row],[SKU]],TablaINVENTARIO[SKU],TablaINVENTARIO[MARCA])</f>
        <v>N/A</v>
      </c>
      <c r="D598" s="33" t="str">
        <f>_xlfn.XLOOKUP(TablaSTOCKINV[[#This Row],[SKU]],TablaINVENTARIO[SKU],TablaINVENTARIO[CATEGORIA])</f>
        <v>HERRAMIENTAS_</v>
      </c>
      <c r="E598" s="33" t="str">
        <f>_xlfn.XLOOKUP(TablaSTOCKINV[[#This Row],[SKU]],TablaINVENTARIO[SKU],TablaINVENTARIO[SUBCATEGORIA])</f>
        <v xml:space="preserve">HERRAMIENTA DE MANO </v>
      </c>
      <c r="F598" s="33" t="str">
        <f>_xlfn.XLOOKUP(TablaSTOCKINV[[#This Row],[SKU]],TablaINVENTARIO[SKU],TablaINVENTARIO[ESTADO])</f>
        <v>USADO</v>
      </c>
      <c r="G598" s="33" t="str">
        <f>_xlfn.XLOOKUP(TablaSTOCKINV[[#This Row],[SKU]],TablaINVENTARIO[SKU],TablaINVENTARIO[MEDIDA])</f>
        <v>UND</v>
      </c>
      <c r="H598" s="33" t="str">
        <f>_xlfn.XLOOKUP(TablaSTOCKINV[[#This Row],[SKU]],TablaINVENTARIO[SKU],TablaINVENTARIO[SERIAL])</f>
        <v>N/A</v>
      </c>
      <c r="I598" s="34" t="str">
        <f>_xlfn.XLOOKUP(TablaSTOCKINV[[#This Row],[SKU]],TablaINVENTARIO[SKU],TablaINVENTARIO[ALMACEN])</f>
        <v>ALMACEN PRINCIPAL</v>
      </c>
      <c r="J598" s="34" t="str">
        <f>_xlfn.XLOOKUP(TablaSTOCKINV[[#This Row],[SKU]],TablaINVENTARIO[SKU],TablaINVENTARIO[UBICACION])</f>
        <v>E3-2</v>
      </c>
      <c r="K598" s="34" t="str">
        <f>_xlfn.XLOOKUP(TablaSTOCKINV[[#This Row],[SKU]],TablaINVENTARIO[SKU],TablaINVENTARIO[DPTO RESPONSABLE])</f>
        <v xml:space="preserve">OPERACIONES </v>
      </c>
      <c r="L598" s="36">
        <f>_xlfn.XLOOKUP(TablaSTOCKINV[[#This Row],[SKU]],TablaINVENTARIO[SKU],TablaINVENTARIO[RANGO MIN])</f>
        <v>0</v>
      </c>
      <c r="M598" s="34" cm="1">
        <f t="array" ref="M598">_xlfn.IFS(TablaSTOCKINV[[#This Row],[CANT. TOTAL]]&lt;=0,1,TablaSTOCKINV[[#This Row],[CANT. TOTAL]]&lt;=TablaSTOCKINV[[#This Row],[MIN]],2,TablaSTOCKINV[[#This Row],[CANT. TOTAL]]&gt;TablaSTOCKINV[[#This Row],[MIN]],3)</f>
        <v>3</v>
      </c>
      <c r="N598" s="34">
        <f>TablaSTOCKINV[[#This Row],[ENTRADAS]]-TablaSTOCKINV[[#This Row],[SALIDAS]]</f>
        <v>1</v>
      </c>
      <c r="O598" s="35">
        <f>SUMIFS(TablaENTRADA[CANT],TablaENTRADA[SKU],TablaSTOCKINV[[#This Row],[SKU]])</f>
        <v>1</v>
      </c>
      <c r="P598" s="35">
        <f>SUMIFS(TablaSALIDA[CANT],TablaSALIDA[SKU],TablaSTOCKINV[[#This Row],[SKU]])</f>
        <v>0</v>
      </c>
      <c r="Q598" s="34">
        <f>_xlfn.XLOOKUP(TablaSTOCKINV[[#This Row],[SKU]],TablaINVENTARIO[SKU],TablaINVENTARIO[PRECIO])</f>
        <v>0</v>
      </c>
      <c r="R598" s="34">
        <f>TablaSTOCKINV[[#This Row],[P.UNITARIO]]*TablaSTOCKINV[[#This Row],[CANT. TOTAL]]</f>
        <v>0</v>
      </c>
      <c r="S598" s="44">
        <f>_xlfn.XLOOKUP(TablaSTOCKINV[[#This Row],[SKU]],TablaINVENTARIO[SKU],TablaINVENTARIO[FECHA INGRESO])</f>
        <v>46023</v>
      </c>
      <c r="T598" s="44">
        <f>_xlfn.XLOOKUP(TablaSTOCKINV[[#This Row],[SKU]],TablaENTRADA[SKU],TablaENTRADA[FECHA],,0,-1)</f>
        <v>46023</v>
      </c>
      <c r="U598" s="46" t="str">
        <f>IFERROR((_xlfn.XLOOKUP(TablaSTOCKINV[[#This Row],[SKU]],TablaSALIDA[SKU],TablaSALIDA[FECHA],,0,-1))," " )</f>
        <v xml:space="preserve"> </v>
      </c>
    </row>
    <row r="599" spans="1:21" x14ac:dyDescent="0.3">
      <c r="A599" s="27" t="s">
        <v>2849</v>
      </c>
      <c r="B599" s="32" t="str">
        <f>_xlfn.XLOOKUP(TablaSTOCKINV[[#This Row],[SKU]],TablaINVENTARIO[SKU],TablaINVENTARIO[DESCRIPCION])</f>
        <v xml:space="preserve">TORNILLO DE BRIDA HEXAGONAL AUTOPERFORANTE 12,5MM </v>
      </c>
      <c r="C599" s="32" t="str">
        <f>_xlfn.XLOOKUP(TablaSTOCKINV[[#This Row],[SKU]],TablaINVENTARIO[SKU],TablaINVENTARIO[MARCA])</f>
        <v>N/A</v>
      </c>
      <c r="D599" s="33" t="str">
        <f>_xlfn.XLOOKUP(TablaSTOCKINV[[#This Row],[SKU]],TablaINVENTARIO[SKU],TablaINVENTARIO[CATEGORIA])</f>
        <v>HERRAMIENTAS_</v>
      </c>
      <c r="E599" s="33" t="str">
        <f>_xlfn.XLOOKUP(TablaSTOCKINV[[#This Row],[SKU]],TablaINVENTARIO[SKU],TablaINVENTARIO[SUBCATEGORIA])</f>
        <v xml:space="preserve">MATERIAL DE CONSTRUCCIÓN </v>
      </c>
      <c r="F599" s="33" t="str">
        <f>_xlfn.XLOOKUP(TablaSTOCKINV[[#This Row],[SKU]],TablaINVENTARIO[SKU],TablaINVENTARIO[ESTADO])</f>
        <v xml:space="preserve">NUEVO </v>
      </c>
      <c r="G599" s="33" t="str">
        <f>_xlfn.XLOOKUP(TablaSTOCKINV[[#This Row],[SKU]],TablaINVENTARIO[SKU],TablaINVENTARIO[MEDIDA])</f>
        <v>UND</v>
      </c>
      <c r="H599" s="33" t="str">
        <f>_xlfn.XLOOKUP(TablaSTOCKINV[[#This Row],[SKU]],TablaINVENTARIO[SKU],TablaINVENTARIO[SERIAL])</f>
        <v>N/A</v>
      </c>
      <c r="I599" s="34" t="str">
        <f>_xlfn.XLOOKUP(TablaSTOCKINV[[#This Row],[SKU]],TablaINVENTARIO[SKU],TablaINVENTARIO[ALMACEN])</f>
        <v>ALMACEN PRINCIPAL</v>
      </c>
      <c r="J599" s="34" t="str">
        <f>_xlfn.XLOOKUP(TablaSTOCKINV[[#This Row],[SKU]],TablaINVENTARIO[SKU],TablaINVENTARIO[UBICACION])</f>
        <v>E2-3</v>
      </c>
      <c r="K599" s="34" t="str">
        <f>_xlfn.XLOOKUP(TablaSTOCKINV[[#This Row],[SKU]],TablaINVENTARIO[SKU],TablaINVENTARIO[DPTO RESPONSABLE])</f>
        <v xml:space="preserve">OPERACIONES </v>
      </c>
      <c r="L599" s="36">
        <f>_xlfn.XLOOKUP(TablaSTOCKINV[[#This Row],[SKU]],TablaINVENTARIO[SKU],TablaINVENTARIO[RANGO MIN])</f>
        <v>0</v>
      </c>
      <c r="M599" s="34" cm="1">
        <f t="array" ref="M599">_xlfn.IFS(TablaSTOCKINV[[#This Row],[CANT. TOTAL]]&lt;=0,1,TablaSTOCKINV[[#This Row],[CANT. TOTAL]]&lt;=TablaSTOCKINV[[#This Row],[MIN]],2,TablaSTOCKINV[[#This Row],[CANT. TOTAL]]&gt;TablaSTOCKINV[[#This Row],[MIN]],3)</f>
        <v>3</v>
      </c>
      <c r="N599" s="34">
        <f>TablaSTOCKINV[[#This Row],[ENTRADAS]]-TablaSTOCKINV[[#This Row],[SALIDAS]]</f>
        <v>72</v>
      </c>
      <c r="O599" s="35">
        <f>SUMIFS(TablaENTRADA[CANT],TablaENTRADA[SKU],TablaSTOCKINV[[#This Row],[SKU]])</f>
        <v>72</v>
      </c>
      <c r="P599" s="35">
        <f>SUMIFS(TablaSALIDA[CANT],TablaSALIDA[SKU],TablaSTOCKINV[[#This Row],[SKU]])</f>
        <v>0</v>
      </c>
      <c r="Q599" s="34">
        <f>_xlfn.XLOOKUP(TablaSTOCKINV[[#This Row],[SKU]],TablaINVENTARIO[SKU],TablaINVENTARIO[PRECIO])</f>
        <v>0</v>
      </c>
      <c r="R599" s="34">
        <f>TablaSTOCKINV[[#This Row],[P.UNITARIO]]*TablaSTOCKINV[[#This Row],[CANT. TOTAL]]</f>
        <v>0</v>
      </c>
      <c r="S599" s="44">
        <f>_xlfn.XLOOKUP(TablaSTOCKINV[[#This Row],[SKU]],TablaINVENTARIO[SKU],TablaINVENTARIO[FECHA INGRESO])</f>
        <v>46023</v>
      </c>
      <c r="T599" s="44">
        <f>_xlfn.XLOOKUP(TablaSTOCKINV[[#This Row],[SKU]],TablaENTRADA[SKU],TablaENTRADA[FECHA],,0,-1)</f>
        <v>46023</v>
      </c>
      <c r="U599" s="46" t="str">
        <f>IFERROR((_xlfn.XLOOKUP(TablaSTOCKINV[[#This Row],[SKU]],TablaSALIDA[SKU],TablaSALIDA[FECHA],,0,-1))," " )</f>
        <v xml:space="preserve"> </v>
      </c>
    </row>
    <row r="600" spans="1:21" x14ac:dyDescent="0.3">
      <c r="A600" s="27" t="s">
        <v>2852</v>
      </c>
      <c r="B600" s="32" t="str">
        <f>_xlfn.XLOOKUP(TablaSTOCKINV[[#This Row],[SKU]],TablaINVENTARIO[SKU],TablaINVENTARIO[DESCRIPCION])</f>
        <v xml:space="preserve">TORNILLO 2,9MM </v>
      </c>
      <c r="C600" s="32" t="str">
        <f>_xlfn.XLOOKUP(TablaSTOCKINV[[#This Row],[SKU]],TablaINVENTARIO[SKU],TablaINVENTARIO[MARCA])</f>
        <v>N/A</v>
      </c>
      <c r="D600" s="33" t="str">
        <f>_xlfn.XLOOKUP(TablaSTOCKINV[[#This Row],[SKU]],TablaINVENTARIO[SKU],TablaINVENTARIO[CATEGORIA])</f>
        <v>HERRAMIENTAS_</v>
      </c>
      <c r="E600" s="33" t="str">
        <f>_xlfn.XLOOKUP(TablaSTOCKINV[[#This Row],[SKU]],TablaINVENTARIO[SKU],TablaINVENTARIO[SUBCATEGORIA])</f>
        <v xml:space="preserve">MATERIAL DE CONSTRUCCIÓN </v>
      </c>
      <c r="F600" s="33" t="str">
        <f>_xlfn.XLOOKUP(TablaSTOCKINV[[#This Row],[SKU]],TablaINVENTARIO[SKU],TablaINVENTARIO[ESTADO])</f>
        <v xml:space="preserve">NUEVO </v>
      </c>
      <c r="G600" s="33" t="str">
        <f>_xlfn.XLOOKUP(TablaSTOCKINV[[#This Row],[SKU]],TablaINVENTARIO[SKU],TablaINVENTARIO[MEDIDA])</f>
        <v>UND</v>
      </c>
      <c r="H600" s="33" t="str">
        <f>_xlfn.XLOOKUP(TablaSTOCKINV[[#This Row],[SKU]],TablaINVENTARIO[SKU],TablaINVENTARIO[SERIAL])</f>
        <v>N/A</v>
      </c>
      <c r="I600" s="34" t="str">
        <f>_xlfn.XLOOKUP(TablaSTOCKINV[[#This Row],[SKU]],TablaINVENTARIO[SKU],TablaINVENTARIO[ALMACEN])</f>
        <v>ALMACEN PRINCIPAL</v>
      </c>
      <c r="J600" s="34" t="str">
        <f>_xlfn.XLOOKUP(TablaSTOCKINV[[#This Row],[SKU]],TablaINVENTARIO[SKU],TablaINVENTARIO[UBICACION])</f>
        <v>E2-3</v>
      </c>
      <c r="K600" s="34" t="str">
        <f>_xlfn.XLOOKUP(TablaSTOCKINV[[#This Row],[SKU]],TablaINVENTARIO[SKU],TablaINVENTARIO[DPTO RESPONSABLE])</f>
        <v xml:space="preserve">OPERACIONES </v>
      </c>
      <c r="L600" s="36">
        <f>_xlfn.XLOOKUP(TablaSTOCKINV[[#This Row],[SKU]],TablaINVENTARIO[SKU],TablaINVENTARIO[RANGO MIN])</f>
        <v>0</v>
      </c>
      <c r="M600" s="34" cm="1">
        <f t="array" ref="M600">_xlfn.IFS(TablaSTOCKINV[[#This Row],[CANT. TOTAL]]&lt;=0,1,TablaSTOCKINV[[#This Row],[CANT. TOTAL]]&lt;=TablaSTOCKINV[[#This Row],[MIN]],2,TablaSTOCKINV[[#This Row],[CANT. TOTAL]]&gt;TablaSTOCKINV[[#This Row],[MIN]],3)</f>
        <v>3</v>
      </c>
      <c r="N600" s="34">
        <f>TablaSTOCKINV[[#This Row],[ENTRADAS]]-TablaSTOCKINV[[#This Row],[SALIDAS]]</f>
        <v>10</v>
      </c>
      <c r="O600" s="35">
        <f>SUMIFS(TablaENTRADA[CANT],TablaENTRADA[SKU],TablaSTOCKINV[[#This Row],[SKU]])</f>
        <v>10</v>
      </c>
      <c r="P600" s="35">
        <f>SUMIFS(TablaSALIDA[CANT],TablaSALIDA[SKU],TablaSTOCKINV[[#This Row],[SKU]])</f>
        <v>0</v>
      </c>
      <c r="Q600" s="34">
        <f>_xlfn.XLOOKUP(TablaSTOCKINV[[#This Row],[SKU]],TablaINVENTARIO[SKU],TablaINVENTARIO[PRECIO])</f>
        <v>0</v>
      </c>
      <c r="R600" s="34">
        <f>TablaSTOCKINV[[#This Row],[P.UNITARIO]]*TablaSTOCKINV[[#This Row],[CANT. TOTAL]]</f>
        <v>0</v>
      </c>
      <c r="S600" s="44">
        <f>_xlfn.XLOOKUP(TablaSTOCKINV[[#This Row],[SKU]],TablaINVENTARIO[SKU],TablaINVENTARIO[FECHA INGRESO])</f>
        <v>46023</v>
      </c>
      <c r="T600" s="44">
        <f>_xlfn.XLOOKUP(TablaSTOCKINV[[#This Row],[SKU]],TablaENTRADA[SKU],TablaENTRADA[FECHA],,0,-1)</f>
        <v>46023</v>
      </c>
      <c r="U600" s="46" t="str">
        <f>IFERROR((_xlfn.XLOOKUP(TablaSTOCKINV[[#This Row],[SKU]],TablaSALIDA[SKU],TablaSALIDA[FECHA],,0,-1))," " )</f>
        <v xml:space="preserve"> </v>
      </c>
    </row>
    <row r="601" spans="1:21" x14ac:dyDescent="0.3">
      <c r="A601" s="27" t="s">
        <v>2854</v>
      </c>
      <c r="B601" s="32" t="str">
        <f>_xlfn.XLOOKUP(TablaSTOCKINV[[#This Row],[SKU]],TablaINVENTARIO[SKU],TablaINVENTARIO[DESCRIPCION])</f>
        <v xml:space="preserve">TORNILLO 2,8MM </v>
      </c>
      <c r="C601" s="32" t="str">
        <f>_xlfn.XLOOKUP(TablaSTOCKINV[[#This Row],[SKU]],TablaINVENTARIO[SKU],TablaINVENTARIO[MARCA])</f>
        <v>N/A</v>
      </c>
      <c r="D601" s="33" t="str">
        <f>_xlfn.XLOOKUP(TablaSTOCKINV[[#This Row],[SKU]],TablaINVENTARIO[SKU],TablaINVENTARIO[CATEGORIA])</f>
        <v>HERRAMIENTAS_</v>
      </c>
      <c r="E601" s="33" t="str">
        <f>_xlfn.XLOOKUP(TablaSTOCKINV[[#This Row],[SKU]],TablaINVENTARIO[SKU],TablaINVENTARIO[SUBCATEGORIA])</f>
        <v xml:space="preserve">MATERIAL DE CONSTRUCCIÓN </v>
      </c>
      <c r="F601" s="33" t="str">
        <f>_xlfn.XLOOKUP(TablaSTOCKINV[[#This Row],[SKU]],TablaINVENTARIO[SKU],TablaINVENTARIO[ESTADO])</f>
        <v xml:space="preserve">NUEVO </v>
      </c>
      <c r="G601" s="33" t="str">
        <f>_xlfn.XLOOKUP(TablaSTOCKINV[[#This Row],[SKU]],TablaINVENTARIO[SKU],TablaINVENTARIO[MEDIDA])</f>
        <v>UND</v>
      </c>
      <c r="H601" s="33" t="str">
        <f>_xlfn.XLOOKUP(TablaSTOCKINV[[#This Row],[SKU]],TablaINVENTARIO[SKU],TablaINVENTARIO[SERIAL])</f>
        <v>N/A</v>
      </c>
      <c r="I601" s="34" t="str">
        <f>_xlfn.XLOOKUP(TablaSTOCKINV[[#This Row],[SKU]],TablaINVENTARIO[SKU],TablaINVENTARIO[ALMACEN])</f>
        <v>ALMACEN PRINCIPAL</v>
      </c>
      <c r="J601" s="34" t="str">
        <f>_xlfn.XLOOKUP(TablaSTOCKINV[[#This Row],[SKU]],TablaINVENTARIO[SKU],TablaINVENTARIO[UBICACION])</f>
        <v>E2-3</v>
      </c>
      <c r="K601" s="34" t="str">
        <f>_xlfn.XLOOKUP(TablaSTOCKINV[[#This Row],[SKU]],TablaINVENTARIO[SKU],TablaINVENTARIO[DPTO RESPONSABLE])</f>
        <v xml:space="preserve">OPERACIONES </v>
      </c>
      <c r="L601" s="36">
        <f>_xlfn.XLOOKUP(TablaSTOCKINV[[#This Row],[SKU]],TablaINVENTARIO[SKU],TablaINVENTARIO[RANGO MIN])</f>
        <v>0</v>
      </c>
      <c r="M601" s="34" cm="1">
        <f t="array" ref="M601">_xlfn.IFS(TablaSTOCKINV[[#This Row],[CANT. TOTAL]]&lt;=0,1,TablaSTOCKINV[[#This Row],[CANT. TOTAL]]&lt;=TablaSTOCKINV[[#This Row],[MIN]],2,TablaSTOCKINV[[#This Row],[CANT. TOTAL]]&gt;TablaSTOCKINV[[#This Row],[MIN]],3)</f>
        <v>3</v>
      </c>
      <c r="N601" s="34">
        <f>TablaSTOCKINV[[#This Row],[ENTRADAS]]-TablaSTOCKINV[[#This Row],[SALIDAS]]</f>
        <v>191</v>
      </c>
      <c r="O601" s="35">
        <f>SUMIFS(TablaENTRADA[CANT],TablaENTRADA[SKU],TablaSTOCKINV[[#This Row],[SKU]])</f>
        <v>191</v>
      </c>
      <c r="P601" s="35">
        <f>SUMIFS(TablaSALIDA[CANT],TablaSALIDA[SKU],TablaSTOCKINV[[#This Row],[SKU]])</f>
        <v>0</v>
      </c>
      <c r="Q601" s="34">
        <f>_xlfn.XLOOKUP(TablaSTOCKINV[[#This Row],[SKU]],TablaINVENTARIO[SKU],TablaINVENTARIO[PRECIO])</f>
        <v>0</v>
      </c>
      <c r="R601" s="34">
        <f>TablaSTOCKINV[[#This Row],[P.UNITARIO]]*TablaSTOCKINV[[#This Row],[CANT. TOTAL]]</f>
        <v>0</v>
      </c>
      <c r="S601" s="44">
        <f>_xlfn.XLOOKUP(TablaSTOCKINV[[#This Row],[SKU]],TablaINVENTARIO[SKU],TablaINVENTARIO[FECHA INGRESO])</f>
        <v>46023</v>
      </c>
      <c r="T601" s="44">
        <f>_xlfn.XLOOKUP(TablaSTOCKINV[[#This Row],[SKU]],TablaENTRADA[SKU],TablaENTRADA[FECHA],,0,-1)</f>
        <v>46023</v>
      </c>
      <c r="U601" s="46" t="str">
        <f>IFERROR((_xlfn.XLOOKUP(TablaSTOCKINV[[#This Row],[SKU]],TablaSALIDA[SKU],TablaSALIDA[FECHA],,0,-1))," " )</f>
        <v xml:space="preserve"> </v>
      </c>
    </row>
    <row r="602" spans="1:21" x14ac:dyDescent="0.3">
      <c r="A602" s="27" t="s">
        <v>2856</v>
      </c>
      <c r="B602" s="32" t="str">
        <f>_xlfn.XLOOKUP(TablaSTOCKINV[[#This Row],[SKU]],TablaINVENTARIO[SKU],TablaINVENTARIO[DESCRIPCION])</f>
        <v xml:space="preserve">ANILLO RETENEDOR 20MM ACERO INOXIDABLE </v>
      </c>
      <c r="C602" s="32" t="str">
        <f>_xlfn.XLOOKUP(TablaSTOCKINV[[#This Row],[SKU]],TablaINVENTARIO[SKU],TablaINVENTARIO[MARCA])</f>
        <v>N/A</v>
      </c>
      <c r="D602" s="33" t="str">
        <f>_xlfn.XLOOKUP(TablaSTOCKINV[[#This Row],[SKU]],TablaINVENTARIO[SKU],TablaINVENTARIO[CATEGORIA])</f>
        <v>HERRAMIENTAS_</v>
      </c>
      <c r="E602" s="33" t="str">
        <f>_xlfn.XLOOKUP(TablaSTOCKINV[[#This Row],[SKU]],TablaINVENTARIO[SKU],TablaINVENTARIO[SUBCATEGORIA])</f>
        <v xml:space="preserve">MATERIAL DE CONSTRUCCIÓN </v>
      </c>
      <c r="F602" s="33" t="str">
        <f>_xlfn.XLOOKUP(TablaSTOCKINV[[#This Row],[SKU]],TablaINVENTARIO[SKU],TablaINVENTARIO[ESTADO])</f>
        <v xml:space="preserve">NUEVO </v>
      </c>
      <c r="G602" s="33" t="str">
        <f>_xlfn.XLOOKUP(TablaSTOCKINV[[#This Row],[SKU]],TablaINVENTARIO[SKU],TablaINVENTARIO[MEDIDA])</f>
        <v>UND</v>
      </c>
      <c r="H602" s="33" t="str">
        <f>_xlfn.XLOOKUP(TablaSTOCKINV[[#This Row],[SKU]],TablaINVENTARIO[SKU],TablaINVENTARIO[SERIAL])</f>
        <v>N/A</v>
      </c>
      <c r="I602" s="34" t="str">
        <f>_xlfn.XLOOKUP(TablaSTOCKINV[[#This Row],[SKU]],TablaINVENTARIO[SKU],TablaINVENTARIO[ALMACEN])</f>
        <v>ALMACEN PRINCIPAL</v>
      </c>
      <c r="J602" s="34" t="str">
        <f>_xlfn.XLOOKUP(TablaSTOCKINV[[#This Row],[SKU]],TablaINVENTARIO[SKU],TablaINVENTARIO[UBICACION])</f>
        <v>E2-3</v>
      </c>
      <c r="K602" s="34" t="str">
        <f>_xlfn.XLOOKUP(TablaSTOCKINV[[#This Row],[SKU]],TablaINVENTARIO[SKU],TablaINVENTARIO[DPTO RESPONSABLE])</f>
        <v xml:space="preserve">OPERACIONES </v>
      </c>
      <c r="L602" s="36">
        <f>_xlfn.XLOOKUP(TablaSTOCKINV[[#This Row],[SKU]],TablaINVENTARIO[SKU],TablaINVENTARIO[RANGO MIN])</f>
        <v>0</v>
      </c>
      <c r="M602" s="34" cm="1">
        <f t="array" ref="M602">_xlfn.IFS(TablaSTOCKINV[[#This Row],[CANT. TOTAL]]&lt;=0,1,TablaSTOCKINV[[#This Row],[CANT. TOTAL]]&lt;=TablaSTOCKINV[[#This Row],[MIN]],2,TablaSTOCKINV[[#This Row],[CANT. TOTAL]]&gt;TablaSTOCKINV[[#This Row],[MIN]],3)</f>
        <v>3</v>
      </c>
      <c r="N602" s="34">
        <f>TablaSTOCKINV[[#This Row],[ENTRADAS]]-TablaSTOCKINV[[#This Row],[SALIDAS]]</f>
        <v>7</v>
      </c>
      <c r="O602" s="35">
        <f>SUMIFS(TablaENTRADA[CANT],TablaENTRADA[SKU],TablaSTOCKINV[[#This Row],[SKU]])</f>
        <v>7</v>
      </c>
      <c r="P602" s="35">
        <f>SUMIFS(TablaSALIDA[CANT],TablaSALIDA[SKU],TablaSTOCKINV[[#This Row],[SKU]])</f>
        <v>0</v>
      </c>
      <c r="Q602" s="34">
        <f>_xlfn.XLOOKUP(TablaSTOCKINV[[#This Row],[SKU]],TablaINVENTARIO[SKU],TablaINVENTARIO[PRECIO])</f>
        <v>0</v>
      </c>
      <c r="R602" s="34">
        <f>TablaSTOCKINV[[#This Row],[P.UNITARIO]]*TablaSTOCKINV[[#This Row],[CANT. TOTAL]]</f>
        <v>0</v>
      </c>
      <c r="S602" s="44">
        <f>_xlfn.XLOOKUP(TablaSTOCKINV[[#This Row],[SKU]],TablaINVENTARIO[SKU],TablaINVENTARIO[FECHA INGRESO])</f>
        <v>46023</v>
      </c>
      <c r="T602" s="44">
        <f>_xlfn.XLOOKUP(TablaSTOCKINV[[#This Row],[SKU]],TablaENTRADA[SKU],TablaENTRADA[FECHA],,0,-1)</f>
        <v>46023</v>
      </c>
      <c r="U602" s="46" t="str">
        <f>IFERROR((_xlfn.XLOOKUP(TablaSTOCKINV[[#This Row],[SKU]],TablaSALIDA[SKU],TablaSALIDA[FECHA],,0,-1))," " )</f>
        <v xml:space="preserve"> </v>
      </c>
    </row>
    <row r="603" spans="1:21" x14ac:dyDescent="0.3">
      <c r="A603" s="27" t="s">
        <v>2858</v>
      </c>
      <c r="B603" s="32" t="str">
        <f>_xlfn.XLOOKUP(TablaSTOCKINV[[#This Row],[SKU]],TablaINVENTARIO[SKU],TablaINVENTARIO[DESCRIPCION])</f>
        <v xml:space="preserve">ANILLO RETENEDOR 14MM ACERO INOXIDABLE </v>
      </c>
      <c r="C603" s="32" t="str">
        <f>_xlfn.XLOOKUP(TablaSTOCKINV[[#This Row],[SKU]],TablaINVENTARIO[SKU],TablaINVENTARIO[MARCA])</f>
        <v>N/A</v>
      </c>
      <c r="D603" s="33" t="str">
        <f>_xlfn.XLOOKUP(TablaSTOCKINV[[#This Row],[SKU]],TablaINVENTARIO[SKU],TablaINVENTARIO[CATEGORIA])</f>
        <v>HERRAMIENTAS_</v>
      </c>
      <c r="E603" s="33" t="str">
        <f>_xlfn.XLOOKUP(TablaSTOCKINV[[#This Row],[SKU]],TablaINVENTARIO[SKU],TablaINVENTARIO[SUBCATEGORIA])</f>
        <v xml:space="preserve">MATERIAL DE CONSTRUCCIÓN </v>
      </c>
      <c r="F603" s="33" t="str">
        <f>_xlfn.XLOOKUP(TablaSTOCKINV[[#This Row],[SKU]],TablaINVENTARIO[SKU],TablaINVENTARIO[ESTADO])</f>
        <v xml:space="preserve">NUEVO </v>
      </c>
      <c r="G603" s="33" t="str">
        <f>_xlfn.XLOOKUP(TablaSTOCKINV[[#This Row],[SKU]],TablaINVENTARIO[SKU],TablaINVENTARIO[MEDIDA])</f>
        <v>UND</v>
      </c>
      <c r="H603" s="33" t="str">
        <f>_xlfn.XLOOKUP(TablaSTOCKINV[[#This Row],[SKU]],TablaINVENTARIO[SKU],TablaINVENTARIO[SERIAL])</f>
        <v>N/A</v>
      </c>
      <c r="I603" s="34" t="str">
        <f>_xlfn.XLOOKUP(TablaSTOCKINV[[#This Row],[SKU]],TablaINVENTARIO[SKU],TablaINVENTARIO[ALMACEN])</f>
        <v>ALMACEN PRINCIPAL</v>
      </c>
      <c r="J603" s="34" t="str">
        <f>_xlfn.XLOOKUP(TablaSTOCKINV[[#This Row],[SKU]],TablaINVENTARIO[SKU],TablaINVENTARIO[UBICACION])</f>
        <v>E2-3</v>
      </c>
      <c r="K603" s="34" t="str">
        <f>_xlfn.XLOOKUP(TablaSTOCKINV[[#This Row],[SKU]],TablaINVENTARIO[SKU],TablaINVENTARIO[DPTO RESPONSABLE])</f>
        <v xml:space="preserve">OPERACIONES </v>
      </c>
      <c r="L603" s="36">
        <f>_xlfn.XLOOKUP(TablaSTOCKINV[[#This Row],[SKU]],TablaINVENTARIO[SKU],TablaINVENTARIO[RANGO MIN])</f>
        <v>0</v>
      </c>
      <c r="M603" s="34" cm="1">
        <f t="array" ref="M603">_xlfn.IFS(TablaSTOCKINV[[#This Row],[CANT. TOTAL]]&lt;=0,1,TablaSTOCKINV[[#This Row],[CANT. TOTAL]]&lt;=TablaSTOCKINV[[#This Row],[MIN]],2,TablaSTOCKINV[[#This Row],[CANT. TOTAL]]&gt;TablaSTOCKINV[[#This Row],[MIN]],3)</f>
        <v>3</v>
      </c>
      <c r="N603" s="34">
        <f>TablaSTOCKINV[[#This Row],[ENTRADAS]]-TablaSTOCKINV[[#This Row],[SALIDAS]]</f>
        <v>6</v>
      </c>
      <c r="O603" s="35">
        <f>SUMIFS(TablaENTRADA[CANT],TablaENTRADA[SKU],TablaSTOCKINV[[#This Row],[SKU]])</f>
        <v>6</v>
      </c>
      <c r="P603" s="35">
        <f>SUMIFS(TablaSALIDA[CANT],TablaSALIDA[SKU],TablaSTOCKINV[[#This Row],[SKU]])</f>
        <v>0</v>
      </c>
      <c r="Q603" s="34">
        <f>_xlfn.XLOOKUP(TablaSTOCKINV[[#This Row],[SKU]],TablaINVENTARIO[SKU],TablaINVENTARIO[PRECIO])</f>
        <v>0</v>
      </c>
      <c r="R603" s="34">
        <f>TablaSTOCKINV[[#This Row],[P.UNITARIO]]*TablaSTOCKINV[[#This Row],[CANT. TOTAL]]</f>
        <v>0</v>
      </c>
      <c r="S603" s="44">
        <f>_xlfn.XLOOKUP(TablaSTOCKINV[[#This Row],[SKU]],TablaINVENTARIO[SKU],TablaINVENTARIO[FECHA INGRESO])</f>
        <v>46023</v>
      </c>
      <c r="T603" s="44">
        <f>_xlfn.XLOOKUP(TablaSTOCKINV[[#This Row],[SKU]],TablaENTRADA[SKU],TablaENTRADA[FECHA],,0,-1)</f>
        <v>46023</v>
      </c>
      <c r="U603" s="46" t="str">
        <f>IFERROR((_xlfn.XLOOKUP(TablaSTOCKINV[[#This Row],[SKU]],TablaSALIDA[SKU],TablaSALIDA[FECHA],,0,-1))," " )</f>
        <v xml:space="preserve"> </v>
      </c>
    </row>
    <row r="604" spans="1:21" x14ac:dyDescent="0.3">
      <c r="A604" s="27" t="s">
        <v>2860</v>
      </c>
      <c r="B604" s="32" t="str">
        <f>_xlfn.XLOOKUP(TablaSTOCKINV[[#This Row],[SKU]],TablaINVENTARIO[SKU],TablaINVENTARIO[DESCRIPCION])</f>
        <v xml:space="preserve">TORNILLO 3,66MM </v>
      </c>
      <c r="C604" s="32" t="str">
        <f>_xlfn.XLOOKUP(TablaSTOCKINV[[#This Row],[SKU]],TablaINVENTARIO[SKU],TablaINVENTARIO[MARCA])</f>
        <v>N/A</v>
      </c>
      <c r="D604" s="33" t="str">
        <f>_xlfn.XLOOKUP(TablaSTOCKINV[[#This Row],[SKU]],TablaINVENTARIO[SKU],TablaINVENTARIO[CATEGORIA])</f>
        <v>HERRAMIENTAS_</v>
      </c>
      <c r="E604" s="33" t="str">
        <f>_xlfn.XLOOKUP(TablaSTOCKINV[[#This Row],[SKU]],TablaINVENTARIO[SKU],TablaINVENTARIO[SUBCATEGORIA])</f>
        <v xml:space="preserve">MATERIAL DE CONSTRUCCIÓN </v>
      </c>
      <c r="F604" s="33" t="str">
        <f>_xlfn.XLOOKUP(TablaSTOCKINV[[#This Row],[SKU]],TablaINVENTARIO[SKU],TablaINVENTARIO[ESTADO])</f>
        <v xml:space="preserve">NUEVO </v>
      </c>
      <c r="G604" s="33" t="str">
        <f>_xlfn.XLOOKUP(TablaSTOCKINV[[#This Row],[SKU]],TablaINVENTARIO[SKU],TablaINVENTARIO[MEDIDA])</f>
        <v>UND</v>
      </c>
      <c r="H604" s="33" t="str">
        <f>_xlfn.XLOOKUP(TablaSTOCKINV[[#This Row],[SKU]],TablaINVENTARIO[SKU],TablaINVENTARIO[SERIAL])</f>
        <v>N/A</v>
      </c>
      <c r="I604" s="34" t="str">
        <f>_xlfn.XLOOKUP(TablaSTOCKINV[[#This Row],[SKU]],TablaINVENTARIO[SKU],TablaINVENTARIO[ALMACEN])</f>
        <v>ALMACEN PRINCIPAL</v>
      </c>
      <c r="J604" s="34" t="str">
        <f>_xlfn.XLOOKUP(TablaSTOCKINV[[#This Row],[SKU]],TablaINVENTARIO[SKU],TablaINVENTARIO[UBICACION])</f>
        <v>E2-3</v>
      </c>
      <c r="K604" s="34" t="str">
        <f>_xlfn.XLOOKUP(TablaSTOCKINV[[#This Row],[SKU]],TablaINVENTARIO[SKU],TablaINVENTARIO[DPTO RESPONSABLE])</f>
        <v xml:space="preserve">OPERACIONES </v>
      </c>
      <c r="L604" s="36">
        <f>_xlfn.XLOOKUP(TablaSTOCKINV[[#This Row],[SKU]],TablaINVENTARIO[SKU],TablaINVENTARIO[RANGO MIN])</f>
        <v>0</v>
      </c>
      <c r="M604" s="34" cm="1">
        <f t="array" ref="M604">_xlfn.IFS(TablaSTOCKINV[[#This Row],[CANT. TOTAL]]&lt;=0,1,TablaSTOCKINV[[#This Row],[CANT. TOTAL]]&lt;=TablaSTOCKINV[[#This Row],[MIN]],2,TablaSTOCKINV[[#This Row],[CANT. TOTAL]]&gt;TablaSTOCKINV[[#This Row],[MIN]],3)</f>
        <v>3</v>
      </c>
      <c r="N604" s="34">
        <f>TablaSTOCKINV[[#This Row],[ENTRADAS]]-TablaSTOCKINV[[#This Row],[SALIDAS]]</f>
        <v>46</v>
      </c>
      <c r="O604" s="35">
        <f>SUMIFS(TablaENTRADA[CANT],TablaENTRADA[SKU],TablaSTOCKINV[[#This Row],[SKU]])</f>
        <v>46</v>
      </c>
      <c r="P604" s="35">
        <f>SUMIFS(TablaSALIDA[CANT],TablaSALIDA[SKU],TablaSTOCKINV[[#This Row],[SKU]])</f>
        <v>0</v>
      </c>
      <c r="Q604" s="34">
        <f>_xlfn.XLOOKUP(TablaSTOCKINV[[#This Row],[SKU]],TablaINVENTARIO[SKU],TablaINVENTARIO[PRECIO])</f>
        <v>0</v>
      </c>
      <c r="R604" s="34">
        <f>TablaSTOCKINV[[#This Row],[P.UNITARIO]]*TablaSTOCKINV[[#This Row],[CANT. TOTAL]]</f>
        <v>0</v>
      </c>
      <c r="S604" s="44">
        <f>_xlfn.XLOOKUP(TablaSTOCKINV[[#This Row],[SKU]],TablaINVENTARIO[SKU],TablaINVENTARIO[FECHA INGRESO])</f>
        <v>46023</v>
      </c>
      <c r="T604" s="44">
        <f>_xlfn.XLOOKUP(TablaSTOCKINV[[#This Row],[SKU]],TablaENTRADA[SKU],TablaENTRADA[FECHA],,0,-1)</f>
        <v>46023</v>
      </c>
      <c r="U604" s="46" t="str">
        <f>IFERROR((_xlfn.XLOOKUP(TablaSTOCKINV[[#This Row],[SKU]],TablaSALIDA[SKU],TablaSALIDA[FECHA],,0,-1))," " )</f>
        <v xml:space="preserve"> </v>
      </c>
    </row>
    <row r="605" spans="1:21" x14ac:dyDescent="0.3">
      <c r="A605" s="27" t="s">
        <v>2862</v>
      </c>
      <c r="B605" s="32" t="str">
        <f>_xlfn.XLOOKUP(TablaSTOCKINV[[#This Row],[SKU]],TablaINVENTARIO[SKU],TablaINVENTARIO[DESCRIPCION])</f>
        <v xml:space="preserve">ARANDELA 3,66MM </v>
      </c>
      <c r="C605" s="32" t="str">
        <f>_xlfn.XLOOKUP(TablaSTOCKINV[[#This Row],[SKU]],TablaINVENTARIO[SKU],TablaINVENTARIO[MARCA])</f>
        <v>N/A</v>
      </c>
      <c r="D605" s="33" t="str">
        <f>_xlfn.XLOOKUP(TablaSTOCKINV[[#This Row],[SKU]],TablaINVENTARIO[SKU],TablaINVENTARIO[CATEGORIA])</f>
        <v>HERRAMIENTAS_</v>
      </c>
      <c r="E605" s="33" t="str">
        <f>_xlfn.XLOOKUP(TablaSTOCKINV[[#This Row],[SKU]],TablaINVENTARIO[SKU],TablaINVENTARIO[SUBCATEGORIA])</f>
        <v xml:space="preserve">MATERIAL DE CONSTRUCCIÓN </v>
      </c>
      <c r="F605" s="33" t="str">
        <f>_xlfn.XLOOKUP(TablaSTOCKINV[[#This Row],[SKU]],TablaINVENTARIO[SKU],TablaINVENTARIO[ESTADO])</f>
        <v xml:space="preserve">NUEVO </v>
      </c>
      <c r="G605" s="33" t="str">
        <f>_xlfn.XLOOKUP(TablaSTOCKINV[[#This Row],[SKU]],TablaINVENTARIO[SKU],TablaINVENTARIO[MEDIDA])</f>
        <v>UND</v>
      </c>
      <c r="H605" s="33" t="str">
        <f>_xlfn.XLOOKUP(TablaSTOCKINV[[#This Row],[SKU]],TablaINVENTARIO[SKU],TablaINVENTARIO[SERIAL])</f>
        <v>N/A</v>
      </c>
      <c r="I605" s="34" t="str">
        <f>_xlfn.XLOOKUP(TablaSTOCKINV[[#This Row],[SKU]],TablaINVENTARIO[SKU],TablaINVENTARIO[ALMACEN])</f>
        <v>ALMACEN PRINCIPAL</v>
      </c>
      <c r="J605" s="34" t="str">
        <f>_xlfn.XLOOKUP(TablaSTOCKINV[[#This Row],[SKU]],TablaINVENTARIO[SKU],TablaINVENTARIO[UBICACION])</f>
        <v>E2-3</v>
      </c>
      <c r="K605" s="34" t="str">
        <f>_xlfn.XLOOKUP(TablaSTOCKINV[[#This Row],[SKU]],TablaINVENTARIO[SKU],TablaINVENTARIO[DPTO RESPONSABLE])</f>
        <v xml:space="preserve">OPERACIONES </v>
      </c>
      <c r="L605" s="36">
        <f>_xlfn.XLOOKUP(TablaSTOCKINV[[#This Row],[SKU]],TablaINVENTARIO[SKU],TablaINVENTARIO[RANGO MIN])</f>
        <v>0</v>
      </c>
      <c r="M605" s="34" cm="1">
        <f t="array" ref="M605">_xlfn.IFS(TablaSTOCKINV[[#This Row],[CANT. TOTAL]]&lt;=0,1,TablaSTOCKINV[[#This Row],[CANT. TOTAL]]&lt;=TablaSTOCKINV[[#This Row],[MIN]],2,TablaSTOCKINV[[#This Row],[CANT. TOTAL]]&gt;TablaSTOCKINV[[#This Row],[MIN]],3)</f>
        <v>3</v>
      </c>
      <c r="N605" s="34">
        <f>TablaSTOCKINV[[#This Row],[ENTRADAS]]-TablaSTOCKINV[[#This Row],[SALIDAS]]</f>
        <v>46</v>
      </c>
      <c r="O605" s="35">
        <f>SUMIFS(TablaENTRADA[CANT],TablaENTRADA[SKU],TablaSTOCKINV[[#This Row],[SKU]])</f>
        <v>46</v>
      </c>
      <c r="P605" s="35">
        <f>SUMIFS(TablaSALIDA[CANT],TablaSALIDA[SKU],TablaSTOCKINV[[#This Row],[SKU]])</f>
        <v>0</v>
      </c>
      <c r="Q605" s="34">
        <f>_xlfn.XLOOKUP(TablaSTOCKINV[[#This Row],[SKU]],TablaINVENTARIO[SKU],TablaINVENTARIO[PRECIO])</f>
        <v>0</v>
      </c>
      <c r="R605" s="34">
        <f>TablaSTOCKINV[[#This Row],[P.UNITARIO]]*TablaSTOCKINV[[#This Row],[CANT. TOTAL]]</f>
        <v>0</v>
      </c>
      <c r="S605" s="44">
        <f>_xlfn.XLOOKUP(TablaSTOCKINV[[#This Row],[SKU]],TablaINVENTARIO[SKU],TablaINVENTARIO[FECHA INGRESO])</f>
        <v>46023</v>
      </c>
      <c r="T605" s="44">
        <f>_xlfn.XLOOKUP(TablaSTOCKINV[[#This Row],[SKU]],TablaENTRADA[SKU],TablaENTRADA[FECHA],,0,-1)</f>
        <v>46023</v>
      </c>
      <c r="U605" s="46" t="str">
        <f>IFERROR((_xlfn.XLOOKUP(TablaSTOCKINV[[#This Row],[SKU]],TablaSALIDA[SKU],TablaSALIDA[FECHA],,0,-1))," " )</f>
        <v xml:space="preserve"> </v>
      </c>
    </row>
    <row r="606" spans="1:21" x14ac:dyDescent="0.3">
      <c r="A606" s="27" t="s">
        <v>2864</v>
      </c>
      <c r="B606" s="32" t="str">
        <f>_xlfn.XLOOKUP(TablaSTOCKINV[[#This Row],[SKU]],TablaINVENTARIO[SKU],TablaINVENTARIO[DESCRIPCION])</f>
        <v xml:space="preserve">TORNILLO 3,8MM </v>
      </c>
      <c r="C606" s="32" t="str">
        <f>_xlfn.XLOOKUP(TablaSTOCKINV[[#This Row],[SKU]],TablaINVENTARIO[SKU],TablaINVENTARIO[MARCA])</f>
        <v>N/A</v>
      </c>
      <c r="D606" s="33" t="str">
        <f>_xlfn.XLOOKUP(TablaSTOCKINV[[#This Row],[SKU]],TablaINVENTARIO[SKU],TablaINVENTARIO[CATEGORIA])</f>
        <v>HERRAMIENTAS_</v>
      </c>
      <c r="E606" s="33" t="str">
        <f>_xlfn.XLOOKUP(TablaSTOCKINV[[#This Row],[SKU]],TablaINVENTARIO[SKU],TablaINVENTARIO[SUBCATEGORIA])</f>
        <v xml:space="preserve">MATERIAL DE CONSTRUCCIÓN </v>
      </c>
      <c r="F606" s="33" t="str">
        <f>_xlfn.XLOOKUP(TablaSTOCKINV[[#This Row],[SKU]],TablaINVENTARIO[SKU],TablaINVENTARIO[ESTADO])</f>
        <v xml:space="preserve">NUEVO </v>
      </c>
      <c r="G606" s="33" t="str">
        <f>_xlfn.XLOOKUP(TablaSTOCKINV[[#This Row],[SKU]],TablaINVENTARIO[SKU],TablaINVENTARIO[MEDIDA])</f>
        <v>UND</v>
      </c>
      <c r="H606" s="33" t="str">
        <f>_xlfn.XLOOKUP(TablaSTOCKINV[[#This Row],[SKU]],TablaINVENTARIO[SKU],TablaINVENTARIO[SERIAL])</f>
        <v>N/A</v>
      </c>
      <c r="I606" s="34" t="str">
        <f>_xlfn.XLOOKUP(TablaSTOCKINV[[#This Row],[SKU]],TablaINVENTARIO[SKU],TablaINVENTARIO[ALMACEN])</f>
        <v>ALMACEN PRINCIPAL</v>
      </c>
      <c r="J606" s="34" t="str">
        <f>_xlfn.XLOOKUP(TablaSTOCKINV[[#This Row],[SKU]],TablaINVENTARIO[SKU],TablaINVENTARIO[UBICACION])</f>
        <v>E2-3</v>
      </c>
      <c r="K606" s="34" t="str">
        <f>_xlfn.XLOOKUP(TablaSTOCKINV[[#This Row],[SKU]],TablaINVENTARIO[SKU],TablaINVENTARIO[DPTO RESPONSABLE])</f>
        <v xml:space="preserve">OPERACIONES </v>
      </c>
      <c r="L606" s="36">
        <f>_xlfn.XLOOKUP(TablaSTOCKINV[[#This Row],[SKU]],TablaINVENTARIO[SKU],TablaINVENTARIO[RANGO MIN])</f>
        <v>0</v>
      </c>
      <c r="M606" s="34" cm="1">
        <f t="array" ref="M606">_xlfn.IFS(TablaSTOCKINV[[#This Row],[CANT. TOTAL]]&lt;=0,1,TablaSTOCKINV[[#This Row],[CANT. TOTAL]]&lt;=TablaSTOCKINV[[#This Row],[MIN]],2,TablaSTOCKINV[[#This Row],[CANT. TOTAL]]&gt;TablaSTOCKINV[[#This Row],[MIN]],3)</f>
        <v>3</v>
      </c>
      <c r="N606" s="34">
        <f>TablaSTOCKINV[[#This Row],[ENTRADAS]]-TablaSTOCKINV[[#This Row],[SALIDAS]]</f>
        <v>27</v>
      </c>
      <c r="O606" s="35">
        <f>SUMIFS(TablaENTRADA[CANT],TablaENTRADA[SKU],TablaSTOCKINV[[#This Row],[SKU]])</f>
        <v>27</v>
      </c>
      <c r="P606" s="35">
        <f>SUMIFS(TablaSALIDA[CANT],TablaSALIDA[SKU],TablaSTOCKINV[[#This Row],[SKU]])</f>
        <v>0</v>
      </c>
      <c r="Q606" s="34">
        <f>_xlfn.XLOOKUP(TablaSTOCKINV[[#This Row],[SKU]],TablaINVENTARIO[SKU],TablaINVENTARIO[PRECIO])</f>
        <v>0</v>
      </c>
      <c r="R606" s="34">
        <f>TablaSTOCKINV[[#This Row],[P.UNITARIO]]*TablaSTOCKINV[[#This Row],[CANT. TOTAL]]</f>
        <v>0</v>
      </c>
      <c r="S606" s="44">
        <f>_xlfn.XLOOKUP(TablaSTOCKINV[[#This Row],[SKU]],TablaINVENTARIO[SKU],TablaINVENTARIO[FECHA INGRESO])</f>
        <v>46023</v>
      </c>
      <c r="T606" s="44">
        <f>_xlfn.XLOOKUP(TablaSTOCKINV[[#This Row],[SKU]],TablaENTRADA[SKU],TablaENTRADA[FECHA],,0,-1)</f>
        <v>46023</v>
      </c>
      <c r="U606" s="46" t="str">
        <f>IFERROR((_xlfn.XLOOKUP(TablaSTOCKINV[[#This Row],[SKU]],TablaSALIDA[SKU],TablaSALIDA[FECHA],,0,-1))," " )</f>
        <v xml:space="preserve"> </v>
      </c>
    </row>
    <row r="607" spans="1:21" x14ac:dyDescent="0.3">
      <c r="A607" s="27" t="s">
        <v>2866</v>
      </c>
      <c r="B607" s="32" t="str">
        <f>_xlfn.XLOOKUP(TablaSTOCKINV[[#This Row],[SKU]],TablaINVENTARIO[SKU],TablaINVENTARIO[DESCRIPCION])</f>
        <v>TORNILLO 3,76MM</v>
      </c>
      <c r="C607" s="32" t="str">
        <f>_xlfn.XLOOKUP(TablaSTOCKINV[[#This Row],[SKU]],TablaINVENTARIO[SKU],TablaINVENTARIO[MARCA])</f>
        <v>N/A</v>
      </c>
      <c r="D607" s="33" t="str">
        <f>_xlfn.XLOOKUP(TablaSTOCKINV[[#This Row],[SKU]],TablaINVENTARIO[SKU],TablaINVENTARIO[CATEGORIA])</f>
        <v>HERRAMIENTAS_</v>
      </c>
      <c r="E607" s="33" t="str">
        <f>_xlfn.XLOOKUP(TablaSTOCKINV[[#This Row],[SKU]],TablaINVENTARIO[SKU],TablaINVENTARIO[SUBCATEGORIA])</f>
        <v xml:space="preserve">MATERIAL DE CONSTRUCCIÓN </v>
      </c>
      <c r="F607" s="33" t="str">
        <f>_xlfn.XLOOKUP(TablaSTOCKINV[[#This Row],[SKU]],TablaINVENTARIO[SKU],TablaINVENTARIO[ESTADO])</f>
        <v xml:space="preserve">NUEVO </v>
      </c>
      <c r="G607" s="33" t="str">
        <f>_xlfn.XLOOKUP(TablaSTOCKINV[[#This Row],[SKU]],TablaINVENTARIO[SKU],TablaINVENTARIO[MEDIDA])</f>
        <v>UND</v>
      </c>
      <c r="H607" s="33" t="str">
        <f>_xlfn.XLOOKUP(TablaSTOCKINV[[#This Row],[SKU]],TablaINVENTARIO[SKU],TablaINVENTARIO[SERIAL])</f>
        <v>N/A</v>
      </c>
      <c r="I607" s="34" t="str">
        <f>_xlfn.XLOOKUP(TablaSTOCKINV[[#This Row],[SKU]],TablaINVENTARIO[SKU],TablaINVENTARIO[ALMACEN])</f>
        <v>ALMACEN PRINCIPAL</v>
      </c>
      <c r="J607" s="34" t="str">
        <f>_xlfn.XLOOKUP(TablaSTOCKINV[[#This Row],[SKU]],TablaINVENTARIO[SKU],TablaINVENTARIO[UBICACION])</f>
        <v>E2-3</v>
      </c>
      <c r="K607" s="34" t="str">
        <f>_xlfn.XLOOKUP(TablaSTOCKINV[[#This Row],[SKU]],TablaINVENTARIO[SKU],TablaINVENTARIO[DPTO RESPONSABLE])</f>
        <v xml:space="preserve">OPERACIONES </v>
      </c>
      <c r="L607" s="36">
        <f>_xlfn.XLOOKUP(TablaSTOCKINV[[#This Row],[SKU]],TablaINVENTARIO[SKU],TablaINVENTARIO[RANGO MIN])</f>
        <v>0</v>
      </c>
      <c r="M607" s="34" cm="1">
        <f t="array" ref="M607">_xlfn.IFS(TablaSTOCKINV[[#This Row],[CANT. TOTAL]]&lt;=0,1,TablaSTOCKINV[[#This Row],[CANT. TOTAL]]&lt;=TablaSTOCKINV[[#This Row],[MIN]],2,TablaSTOCKINV[[#This Row],[CANT. TOTAL]]&gt;TablaSTOCKINV[[#This Row],[MIN]],3)</f>
        <v>3</v>
      </c>
      <c r="N607" s="34">
        <f>TablaSTOCKINV[[#This Row],[ENTRADAS]]-TablaSTOCKINV[[#This Row],[SALIDAS]]</f>
        <v>6</v>
      </c>
      <c r="O607" s="35">
        <f>SUMIFS(TablaENTRADA[CANT],TablaENTRADA[SKU],TablaSTOCKINV[[#This Row],[SKU]])</f>
        <v>6</v>
      </c>
      <c r="P607" s="35">
        <f>SUMIFS(TablaSALIDA[CANT],TablaSALIDA[SKU],TablaSTOCKINV[[#This Row],[SKU]])</f>
        <v>0</v>
      </c>
      <c r="Q607" s="34">
        <f>_xlfn.XLOOKUP(TablaSTOCKINV[[#This Row],[SKU]],TablaINVENTARIO[SKU],TablaINVENTARIO[PRECIO])</f>
        <v>0</v>
      </c>
      <c r="R607" s="34">
        <f>TablaSTOCKINV[[#This Row],[P.UNITARIO]]*TablaSTOCKINV[[#This Row],[CANT. TOTAL]]</f>
        <v>0</v>
      </c>
      <c r="S607" s="44">
        <f>_xlfn.XLOOKUP(TablaSTOCKINV[[#This Row],[SKU]],TablaINVENTARIO[SKU],TablaINVENTARIO[FECHA INGRESO])</f>
        <v>46023</v>
      </c>
      <c r="T607" s="44">
        <f>_xlfn.XLOOKUP(TablaSTOCKINV[[#This Row],[SKU]],TablaENTRADA[SKU],TablaENTRADA[FECHA],,0,-1)</f>
        <v>46023</v>
      </c>
      <c r="U607" s="46" t="str">
        <f>IFERROR((_xlfn.XLOOKUP(TablaSTOCKINV[[#This Row],[SKU]],TablaSALIDA[SKU],TablaSALIDA[FECHA],,0,-1))," " )</f>
        <v xml:space="preserve"> </v>
      </c>
    </row>
    <row r="608" spans="1:21" x14ac:dyDescent="0.3">
      <c r="A608" s="27" t="s">
        <v>2868</v>
      </c>
      <c r="B608" s="32" t="str">
        <f>_xlfn.XLOOKUP(TablaSTOCKINV[[#This Row],[SKU]],TablaINVENTARIO[SKU],TablaINVENTARIO[DESCRIPCION])</f>
        <v xml:space="preserve">TORNILLO DE HIERRO 3,8 MM </v>
      </c>
      <c r="C608" s="32" t="str">
        <f>_xlfn.XLOOKUP(TablaSTOCKINV[[#This Row],[SKU]],TablaINVENTARIO[SKU],TablaINVENTARIO[MARCA])</f>
        <v>N/A</v>
      </c>
      <c r="D608" s="33" t="str">
        <f>_xlfn.XLOOKUP(TablaSTOCKINV[[#This Row],[SKU]],TablaINVENTARIO[SKU],TablaINVENTARIO[CATEGORIA])</f>
        <v>HERRAMIENTAS_</v>
      </c>
      <c r="E608" s="33" t="str">
        <f>_xlfn.XLOOKUP(TablaSTOCKINV[[#This Row],[SKU]],TablaINVENTARIO[SKU],TablaINVENTARIO[SUBCATEGORIA])</f>
        <v xml:space="preserve">MATERIAL DE CONSTRUCCIÓN </v>
      </c>
      <c r="F608" s="33" t="str">
        <f>_xlfn.XLOOKUP(TablaSTOCKINV[[#This Row],[SKU]],TablaINVENTARIO[SKU],TablaINVENTARIO[ESTADO])</f>
        <v xml:space="preserve">NUEVO </v>
      </c>
      <c r="G608" s="33" t="str">
        <f>_xlfn.XLOOKUP(TablaSTOCKINV[[#This Row],[SKU]],TablaINVENTARIO[SKU],TablaINVENTARIO[MEDIDA])</f>
        <v>UND</v>
      </c>
      <c r="H608" s="33" t="str">
        <f>_xlfn.XLOOKUP(TablaSTOCKINV[[#This Row],[SKU]],TablaINVENTARIO[SKU],TablaINVENTARIO[SERIAL])</f>
        <v>N/A</v>
      </c>
      <c r="I608" s="34" t="str">
        <f>_xlfn.XLOOKUP(TablaSTOCKINV[[#This Row],[SKU]],TablaINVENTARIO[SKU],TablaINVENTARIO[ALMACEN])</f>
        <v>ALMACEN PRINCIPAL</v>
      </c>
      <c r="J608" s="34" t="str">
        <f>_xlfn.XLOOKUP(TablaSTOCKINV[[#This Row],[SKU]],TablaINVENTARIO[SKU],TablaINVENTARIO[UBICACION])</f>
        <v>E2-3</v>
      </c>
      <c r="K608" s="34" t="str">
        <f>_xlfn.XLOOKUP(TablaSTOCKINV[[#This Row],[SKU]],TablaINVENTARIO[SKU],TablaINVENTARIO[DPTO RESPONSABLE])</f>
        <v xml:space="preserve">OPERACIONES </v>
      </c>
      <c r="L608" s="36">
        <f>_xlfn.XLOOKUP(TablaSTOCKINV[[#This Row],[SKU]],TablaINVENTARIO[SKU],TablaINVENTARIO[RANGO MIN])</f>
        <v>0</v>
      </c>
      <c r="M608" s="34" cm="1">
        <f t="array" ref="M608">_xlfn.IFS(TablaSTOCKINV[[#This Row],[CANT. TOTAL]]&lt;=0,1,TablaSTOCKINV[[#This Row],[CANT. TOTAL]]&lt;=TablaSTOCKINV[[#This Row],[MIN]],2,TablaSTOCKINV[[#This Row],[CANT. TOTAL]]&gt;TablaSTOCKINV[[#This Row],[MIN]],3)</f>
        <v>3</v>
      </c>
      <c r="N608" s="34">
        <f>TablaSTOCKINV[[#This Row],[ENTRADAS]]-TablaSTOCKINV[[#This Row],[SALIDAS]]</f>
        <v>28</v>
      </c>
      <c r="O608" s="35">
        <f>SUMIFS(TablaENTRADA[CANT],TablaENTRADA[SKU],TablaSTOCKINV[[#This Row],[SKU]])</f>
        <v>28</v>
      </c>
      <c r="P608" s="35">
        <f>SUMIFS(TablaSALIDA[CANT],TablaSALIDA[SKU],TablaSTOCKINV[[#This Row],[SKU]])</f>
        <v>0</v>
      </c>
      <c r="Q608" s="34">
        <f>_xlfn.XLOOKUP(TablaSTOCKINV[[#This Row],[SKU]],TablaINVENTARIO[SKU],TablaINVENTARIO[PRECIO])</f>
        <v>0</v>
      </c>
      <c r="R608" s="34">
        <f>TablaSTOCKINV[[#This Row],[P.UNITARIO]]*TablaSTOCKINV[[#This Row],[CANT. TOTAL]]</f>
        <v>0</v>
      </c>
      <c r="S608" s="44">
        <f>_xlfn.XLOOKUP(TablaSTOCKINV[[#This Row],[SKU]],TablaINVENTARIO[SKU],TablaINVENTARIO[FECHA INGRESO])</f>
        <v>46023</v>
      </c>
      <c r="T608" s="44">
        <f>_xlfn.XLOOKUP(TablaSTOCKINV[[#This Row],[SKU]],TablaENTRADA[SKU],TablaENTRADA[FECHA],,0,-1)</f>
        <v>46023</v>
      </c>
      <c r="U608" s="46" t="str">
        <f>IFERROR((_xlfn.XLOOKUP(TablaSTOCKINV[[#This Row],[SKU]],TablaSALIDA[SKU],TablaSALIDA[FECHA],,0,-1))," " )</f>
        <v xml:space="preserve"> </v>
      </c>
    </row>
    <row r="609" spans="1:21" x14ac:dyDescent="0.3">
      <c r="A609" s="27" t="s">
        <v>2870</v>
      </c>
      <c r="B609" s="32" t="str">
        <f>_xlfn.XLOOKUP(TablaSTOCKINV[[#This Row],[SKU]],TablaINVENTARIO[SKU],TablaINVENTARIO[DESCRIPCION])</f>
        <v xml:space="preserve">ARANDELA DE HIERRO 3,8 MM </v>
      </c>
      <c r="C609" s="32" t="str">
        <f>_xlfn.XLOOKUP(TablaSTOCKINV[[#This Row],[SKU]],TablaINVENTARIO[SKU],TablaINVENTARIO[MARCA])</f>
        <v>N/A</v>
      </c>
      <c r="D609" s="33" t="str">
        <f>_xlfn.XLOOKUP(TablaSTOCKINV[[#This Row],[SKU]],TablaINVENTARIO[SKU],TablaINVENTARIO[CATEGORIA])</f>
        <v>HERRAMIENTAS_</v>
      </c>
      <c r="E609" s="33" t="str">
        <f>_xlfn.XLOOKUP(TablaSTOCKINV[[#This Row],[SKU]],TablaINVENTARIO[SKU],TablaINVENTARIO[SUBCATEGORIA])</f>
        <v xml:space="preserve">MATERIAL DE CONSTRUCCIÓN </v>
      </c>
      <c r="F609" s="33" t="str">
        <f>_xlfn.XLOOKUP(TablaSTOCKINV[[#This Row],[SKU]],TablaINVENTARIO[SKU],TablaINVENTARIO[ESTADO])</f>
        <v xml:space="preserve">NUEVO </v>
      </c>
      <c r="G609" s="33" t="str">
        <f>_xlfn.XLOOKUP(TablaSTOCKINV[[#This Row],[SKU]],TablaINVENTARIO[SKU],TablaINVENTARIO[MEDIDA])</f>
        <v>UND</v>
      </c>
      <c r="H609" s="33" t="str">
        <f>_xlfn.XLOOKUP(TablaSTOCKINV[[#This Row],[SKU]],TablaINVENTARIO[SKU],TablaINVENTARIO[SERIAL])</f>
        <v>N/A</v>
      </c>
      <c r="I609" s="34" t="str">
        <f>_xlfn.XLOOKUP(TablaSTOCKINV[[#This Row],[SKU]],TablaINVENTARIO[SKU],TablaINVENTARIO[ALMACEN])</f>
        <v>ALMACEN PRINCIPAL</v>
      </c>
      <c r="J609" s="34" t="str">
        <f>_xlfn.XLOOKUP(TablaSTOCKINV[[#This Row],[SKU]],TablaINVENTARIO[SKU],TablaINVENTARIO[UBICACION])</f>
        <v>E2-3</v>
      </c>
      <c r="K609" s="34" t="str">
        <f>_xlfn.XLOOKUP(TablaSTOCKINV[[#This Row],[SKU]],TablaINVENTARIO[SKU],TablaINVENTARIO[DPTO RESPONSABLE])</f>
        <v xml:space="preserve">OPERACIONES </v>
      </c>
      <c r="L609" s="36">
        <f>_xlfn.XLOOKUP(TablaSTOCKINV[[#This Row],[SKU]],TablaINVENTARIO[SKU],TablaINVENTARIO[RANGO MIN])</f>
        <v>0</v>
      </c>
      <c r="M609" s="34" cm="1">
        <f t="array" ref="M609">_xlfn.IFS(TablaSTOCKINV[[#This Row],[CANT. TOTAL]]&lt;=0,1,TablaSTOCKINV[[#This Row],[CANT. TOTAL]]&lt;=TablaSTOCKINV[[#This Row],[MIN]],2,TablaSTOCKINV[[#This Row],[CANT. TOTAL]]&gt;TablaSTOCKINV[[#This Row],[MIN]],3)</f>
        <v>3</v>
      </c>
      <c r="N609" s="34">
        <f>TablaSTOCKINV[[#This Row],[ENTRADAS]]-TablaSTOCKINV[[#This Row],[SALIDAS]]</f>
        <v>28</v>
      </c>
      <c r="O609" s="35">
        <f>SUMIFS(TablaENTRADA[CANT],TablaENTRADA[SKU],TablaSTOCKINV[[#This Row],[SKU]])</f>
        <v>28</v>
      </c>
      <c r="P609" s="35">
        <f>SUMIFS(TablaSALIDA[CANT],TablaSALIDA[SKU],TablaSTOCKINV[[#This Row],[SKU]])</f>
        <v>0</v>
      </c>
      <c r="Q609" s="34">
        <f>_xlfn.XLOOKUP(TablaSTOCKINV[[#This Row],[SKU]],TablaINVENTARIO[SKU],TablaINVENTARIO[PRECIO])</f>
        <v>0</v>
      </c>
      <c r="R609" s="34">
        <f>TablaSTOCKINV[[#This Row],[P.UNITARIO]]*TablaSTOCKINV[[#This Row],[CANT. TOTAL]]</f>
        <v>0</v>
      </c>
      <c r="S609" s="44">
        <f>_xlfn.XLOOKUP(TablaSTOCKINV[[#This Row],[SKU]],TablaINVENTARIO[SKU],TablaINVENTARIO[FECHA INGRESO])</f>
        <v>46023</v>
      </c>
      <c r="T609" s="44">
        <f>_xlfn.XLOOKUP(TablaSTOCKINV[[#This Row],[SKU]],TablaENTRADA[SKU],TablaENTRADA[FECHA],,0,-1)</f>
        <v>46023</v>
      </c>
      <c r="U609" s="46" t="str">
        <f>IFERROR((_xlfn.XLOOKUP(TablaSTOCKINV[[#This Row],[SKU]],TablaSALIDA[SKU],TablaSALIDA[FECHA],,0,-1))," " )</f>
        <v xml:space="preserve"> </v>
      </c>
    </row>
    <row r="610" spans="1:21" x14ac:dyDescent="0.3">
      <c r="A610" s="27" t="s">
        <v>2872</v>
      </c>
      <c r="B610" s="32" t="str">
        <f>_xlfn.XLOOKUP(TablaSTOCKINV[[#This Row],[SKU]],TablaINVENTARIO[SKU],TablaINVENTARIO[DESCRIPCION])</f>
        <v xml:space="preserve">TORNILLO ACERADO 2,8MM </v>
      </c>
      <c r="C610" s="32" t="str">
        <f>_xlfn.XLOOKUP(TablaSTOCKINV[[#This Row],[SKU]],TablaINVENTARIO[SKU],TablaINVENTARIO[MARCA])</f>
        <v>N/A</v>
      </c>
      <c r="D610" s="33" t="str">
        <f>_xlfn.XLOOKUP(TablaSTOCKINV[[#This Row],[SKU]],TablaINVENTARIO[SKU],TablaINVENTARIO[CATEGORIA])</f>
        <v>HERRAMIENTAS_</v>
      </c>
      <c r="E610" s="33" t="str">
        <f>_xlfn.XLOOKUP(TablaSTOCKINV[[#This Row],[SKU]],TablaINVENTARIO[SKU],TablaINVENTARIO[SUBCATEGORIA])</f>
        <v xml:space="preserve">MATERIAL DE CONSTRUCCIÓN </v>
      </c>
      <c r="F610" s="33" t="str">
        <f>_xlfn.XLOOKUP(TablaSTOCKINV[[#This Row],[SKU]],TablaINVENTARIO[SKU],TablaINVENTARIO[ESTADO])</f>
        <v xml:space="preserve">NUEVO </v>
      </c>
      <c r="G610" s="33" t="str">
        <f>_xlfn.XLOOKUP(TablaSTOCKINV[[#This Row],[SKU]],TablaINVENTARIO[SKU],TablaINVENTARIO[MEDIDA])</f>
        <v>UND</v>
      </c>
      <c r="H610" s="33" t="str">
        <f>_xlfn.XLOOKUP(TablaSTOCKINV[[#This Row],[SKU]],TablaINVENTARIO[SKU],TablaINVENTARIO[SERIAL])</f>
        <v>N/A</v>
      </c>
      <c r="I610" s="34" t="str">
        <f>_xlfn.XLOOKUP(TablaSTOCKINV[[#This Row],[SKU]],TablaINVENTARIO[SKU],TablaINVENTARIO[ALMACEN])</f>
        <v>ALMACEN PRINCIPAL</v>
      </c>
      <c r="J610" s="34" t="str">
        <f>_xlfn.XLOOKUP(TablaSTOCKINV[[#This Row],[SKU]],TablaINVENTARIO[SKU],TablaINVENTARIO[UBICACION])</f>
        <v>E2-3</v>
      </c>
      <c r="K610" s="34" t="str">
        <f>_xlfn.XLOOKUP(TablaSTOCKINV[[#This Row],[SKU]],TablaINVENTARIO[SKU],TablaINVENTARIO[DPTO RESPONSABLE])</f>
        <v xml:space="preserve">OPERACIONES </v>
      </c>
      <c r="L610" s="36">
        <f>_xlfn.XLOOKUP(TablaSTOCKINV[[#This Row],[SKU]],TablaINVENTARIO[SKU],TablaINVENTARIO[RANGO MIN])</f>
        <v>0</v>
      </c>
      <c r="M610" s="34" cm="1">
        <f t="array" ref="M610">_xlfn.IFS(TablaSTOCKINV[[#This Row],[CANT. TOTAL]]&lt;=0,1,TablaSTOCKINV[[#This Row],[CANT. TOTAL]]&lt;=TablaSTOCKINV[[#This Row],[MIN]],2,TablaSTOCKINV[[#This Row],[CANT. TOTAL]]&gt;TablaSTOCKINV[[#This Row],[MIN]],3)</f>
        <v>3</v>
      </c>
      <c r="N610" s="34">
        <f>TablaSTOCKINV[[#This Row],[ENTRADAS]]-TablaSTOCKINV[[#This Row],[SALIDAS]]</f>
        <v>14</v>
      </c>
      <c r="O610" s="35">
        <f>SUMIFS(TablaENTRADA[CANT],TablaENTRADA[SKU],TablaSTOCKINV[[#This Row],[SKU]])</f>
        <v>14</v>
      </c>
      <c r="P610" s="35">
        <f>SUMIFS(TablaSALIDA[CANT],TablaSALIDA[SKU],TablaSTOCKINV[[#This Row],[SKU]])</f>
        <v>0</v>
      </c>
      <c r="Q610" s="34">
        <f>_xlfn.XLOOKUP(TablaSTOCKINV[[#This Row],[SKU]],TablaINVENTARIO[SKU],TablaINVENTARIO[PRECIO])</f>
        <v>0</v>
      </c>
      <c r="R610" s="34">
        <f>TablaSTOCKINV[[#This Row],[P.UNITARIO]]*TablaSTOCKINV[[#This Row],[CANT. TOTAL]]</f>
        <v>0</v>
      </c>
      <c r="S610" s="44">
        <f>_xlfn.XLOOKUP(TablaSTOCKINV[[#This Row],[SKU]],TablaINVENTARIO[SKU],TablaINVENTARIO[FECHA INGRESO])</f>
        <v>46023</v>
      </c>
      <c r="T610" s="44">
        <f>_xlfn.XLOOKUP(TablaSTOCKINV[[#This Row],[SKU]],TablaENTRADA[SKU],TablaENTRADA[FECHA],,0,-1)</f>
        <v>46023</v>
      </c>
      <c r="U610" s="46" t="str">
        <f>IFERROR((_xlfn.XLOOKUP(TablaSTOCKINV[[#This Row],[SKU]],TablaSALIDA[SKU],TablaSALIDA[FECHA],,0,-1))," " )</f>
        <v xml:space="preserve"> </v>
      </c>
    </row>
    <row r="611" spans="1:21" x14ac:dyDescent="0.3">
      <c r="A611" s="27" t="s">
        <v>2874</v>
      </c>
      <c r="B611" s="32" t="str">
        <f>_xlfn.XLOOKUP(TablaSTOCKINV[[#This Row],[SKU]],TablaINVENTARIO[SKU],TablaINVENTARIO[DESCRIPCION])</f>
        <v>TORNILLO AUTOROSCANTE 2,66MM</v>
      </c>
      <c r="C611" s="32" t="str">
        <f>_xlfn.XLOOKUP(TablaSTOCKINV[[#This Row],[SKU]],TablaINVENTARIO[SKU],TablaINVENTARIO[MARCA])</f>
        <v>N/A</v>
      </c>
      <c r="D611" s="33" t="str">
        <f>_xlfn.XLOOKUP(TablaSTOCKINV[[#This Row],[SKU]],TablaINVENTARIO[SKU],TablaINVENTARIO[CATEGORIA])</f>
        <v>HERRAMIENTAS_</v>
      </c>
      <c r="E611" s="33" t="str">
        <f>_xlfn.XLOOKUP(TablaSTOCKINV[[#This Row],[SKU]],TablaINVENTARIO[SKU],TablaINVENTARIO[SUBCATEGORIA])</f>
        <v xml:space="preserve">MATERIAL DE CONSTRUCCIÓN </v>
      </c>
      <c r="F611" s="33" t="str">
        <f>_xlfn.XLOOKUP(TablaSTOCKINV[[#This Row],[SKU]],TablaINVENTARIO[SKU],TablaINVENTARIO[ESTADO])</f>
        <v xml:space="preserve">NUEVO </v>
      </c>
      <c r="G611" s="33" t="str">
        <f>_xlfn.XLOOKUP(TablaSTOCKINV[[#This Row],[SKU]],TablaINVENTARIO[SKU],TablaINVENTARIO[MEDIDA])</f>
        <v>UND</v>
      </c>
      <c r="H611" s="33" t="str">
        <f>_xlfn.XLOOKUP(TablaSTOCKINV[[#This Row],[SKU]],TablaINVENTARIO[SKU],TablaINVENTARIO[SERIAL])</f>
        <v>N/A</v>
      </c>
      <c r="I611" s="34" t="str">
        <f>_xlfn.XLOOKUP(TablaSTOCKINV[[#This Row],[SKU]],TablaINVENTARIO[SKU],TablaINVENTARIO[ALMACEN])</f>
        <v>ALMACEN PRINCIPAL</v>
      </c>
      <c r="J611" s="34" t="str">
        <f>_xlfn.XLOOKUP(TablaSTOCKINV[[#This Row],[SKU]],TablaINVENTARIO[SKU],TablaINVENTARIO[UBICACION])</f>
        <v>E2-3</v>
      </c>
      <c r="K611" s="34" t="str">
        <f>_xlfn.XLOOKUP(TablaSTOCKINV[[#This Row],[SKU]],TablaINVENTARIO[SKU],TablaINVENTARIO[DPTO RESPONSABLE])</f>
        <v xml:space="preserve">OPERACIONES </v>
      </c>
      <c r="L611" s="36">
        <f>_xlfn.XLOOKUP(TablaSTOCKINV[[#This Row],[SKU]],TablaINVENTARIO[SKU],TablaINVENTARIO[RANGO MIN])</f>
        <v>0</v>
      </c>
      <c r="M611" s="34" cm="1">
        <f t="array" ref="M611">_xlfn.IFS(TablaSTOCKINV[[#This Row],[CANT. TOTAL]]&lt;=0,1,TablaSTOCKINV[[#This Row],[CANT. TOTAL]]&lt;=TablaSTOCKINV[[#This Row],[MIN]],2,TablaSTOCKINV[[#This Row],[CANT. TOTAL]]&gt;TablaSTOCKINV[[#This Row],[MIN]],3)</f>
        <v>3</v>
      </c>
      <c r="N611" s="34">
        <f>TablaSTOCKINV[[#This Row],[ENTRADAS]]-TablaSTOCKINV[[#This Row],[SALIDAS]]</f>
        <v>10</v>
      </c>
      <c r="O611" s="35">
        <f>SUMIFS(TablaENTRADA[CANT],TablaENTRADA[SKU],TablaSTOCKINV[[#This Row],[SKU]])</f>
        <v>10</v>
      </c>
      <c r="P611" s="35">
        <f>SUMIFS(TablaSALIDA[CANT],TablaSALIDA[SKU],TablaSTOCKINV[[#This Row],[SKU]])</f>
        <v>0</v>
      </c>
      <c r="Q611" s="34">
        <f>_xlfn.XLOOKUP(TablaSTOCKINV[[#This Row],[SKU]],TablaINVENTARIO[SKU],TablaINVENTARIO[PRECIO])</f>
        <v>0</v>
      </c>
      <c r="R611" s="34">
        <f>TablaSTOCKINV[[#This Row],[P.UNITARIO]]*TablaSTOCKINV[[#This Row],[CANT. TOTAL]]</f>
        <v>0</v>
      </c>
      <c r="S611" s="44">
        <f>_xlfn.XLOOKUP(TablaSTOCKINV[[#This Row],[SKU]],TablaINVENTARIO[SKU],TablaINVENTARIO[FECHA INGRESO])</f>
        <v>46023</v>
      </c>
      <c r="T611" s="44">
        <f>_xlfn.XLOOKUP(TablaSTOCKINV[[#This Row],[SKU]],TablaENTRADA[SKU],TablaENTRADA[FECHA],,0,-1)</f>
        <v>46023</v>
      </c>
      <c r="U611" s="46" t="str">
        <f>IFERROR((_xlfn.XLOOKUP(TablaSTOCKINV[[#This Row],[SKU]],TablaSALIDA[SKU],TablaSALIDA[FECHA],,0,-1))," " )</f>
        <v xml:space="preserve"> </v>
      </c>
    </row>
    <row r="612" spans="1:21" x14ac:dyDescent="0.3">
      <c r="A612" s="27" t="s">
        <v>2876</v>
      </c>
      <c r="B612" s="32" t="str">
        <f>_xlfn.XLOOKUP(TablaSTOCKINV[[#This Row],[SKU]],TablaINVENTARIO[SKU],TablaINVENTARIO[DESCRIPCION])</f>
        <v xml:space="preserve">TORNILLO 3,20 MM </v>
      </c>
      <c r="C612" s="32" t="str">
        <f>_xlfn.XLOOKUP(TablaSTOCKINV[[#This Row],[SKU]],TablaINVENTARIO[SKU],TablaINVENTARIO[MARCA])</f>
        <v>N/A</v>
      </c>
      <c r="D612" s="33" t="str">
        <f>_xlfn.XLOOKUP(TablaSTOCKINV[[#This Row],[SKU]],TablaINVENTARIO[SKU],TablaINVENTARIO[CATEGORIA])</f>
        <v>HERRAMIENTAS_</v>
      </c>
      <c r="E612" s="33" t="str">
        <f>_xlfn.XLOOKUP(TablaSTOCKINV[[#This Row],[SKU]],TablaINVENTARIO[SKU],TablaINVENTARIO[SUBCATEGORIA])</f>
        <v xml:space="preserve">MATERIAL DE CONSTRUCCIÓN </v>
      </c>
      <c r="F612" s="33" t="str">
        <f>_xlfn.XLOOKUP(TablaSTOCKINV[[#This Row],[SKU]],TablaINVENTARIO[SKU],TablaINVENTARIO[ESTADO])</f>
        <v xml:space="preserve">NUEVO </v>
      </c>
      <c r="G612" s="33" t="str">
        <f>_xlfn.XLOOKUP(TablaSTOCKINV[[#This Row],[SKU]],TablaINVENTARIO[SKU],TablaINVENTARIO[MEDIDA])</f>
        <v>UND</v>
      </c>
      <c r="H612" s="33" t="str">
        <f>_xlfn.XLOOKUP(TablaSTOCKINV[[#This Row],[SKU]],TablaINVENTARIO[SKU],TablaINVENTARIO[SERIAL])</f>
        <v>N/A</v>
      </c>
      <c r="I612" s="34" t="str">
        <f>_xlfn.XLOOKUP(TablaSTOCKINV[[#This Row],[SKU]],TablaINVENTARIO[SKU],TablaINVENTARIO[ALMACEN])</f>
        <v>ALMACEN PRINCIPAL</v>
      </c>
      <c r="J612" s="34" t="str">
        <f>_xlfn.XLOOKUP(TablaSTOCKINV[[#This Row],[SKU]],TablaINVENTARIO[SKU],TablaINVENTARIO[UBICACION])</f>
        <v>E2-3</v>
      </c>
      <c r="K612" s="34" t="str">
        <f>_xlfn.XLOOKUP(TablaSTOCKINV[[#This Row],[SKU]],TablaINVENTARIO[SKU],TablaINVENTARIO[DPTO RESPONSABLE])</f>
        <v xml:space="preserve">OPERACIONES </v>
      </c>
      <c r="L612" s="36">
        <f>_xlfn.XLOOKUP(TablaSTOCKINV[[#This Row],[SKU]],TablaINVENTARIO[SKU],TablaINVENTARIO[RANGO MIN])</f>
        <v>0</v>
      </c>
      <c r="M612" s="34" cm="1">
        <f t="array" ref="M612">_xlfn.IFS(TablaSTOCKINV[[#This Row],[CANT. TOTAL]]&lt;=0,1,TablaSTOCKINV[[#This Row],[CANT. TOTAL]]&lt;=TablaSTOCKINV[[#This Row],[MIN]],2,TablaSTOCKINV[[#This Row],[CANT. TOTAL]]&gt;TablaSTOCKINV[[#This Row],[MIN]],3)</f>
        <v>3</v>
      </c>
      <c r="N612" s="34">
        <f>TablaSTOCKINV[[#This Row],[ENTRADAS]]-TablaSTOCKINV[[#This Row],[SALIDAS]]</f>
        <v>5</v>
      </c>
      <c r="O612" s="35">
        <f>SUMIFS(TablaENTRADA[CANT],TablaENTRADA[SKU],TablaSTOCKINV[[#This Row],[SKU]])</f>
        <v>5</v>
      </c>
      <c r="P612" s="35">
        <f>SUMIFS(TablaSALIDA[CANT],TablaSALIDA[SKU],TablaSTOCKINV[[#This Row],[SKU]])</f>
        <v>0</v>
      </c>
      <c r="Q612" s="34">
        <f>_xlfn.XLOOKUP(TablaSTOCKINV[[#This Row],[SKU]],TablaINVENTARIO[SKU],TablaINVENTARIO[PRECIO])</f>
        <v>0</v>
      </c>
      <c r="R612" s="34">
        <f>TablaSTOCKINV[[#This Row],[P.UNITARIO]]*TablaSTOCKINV[[#This Row],[CANT. TOTAL]]</f>
        <v>0</v>
      </c>
      <c r="S612" s="44">
        <f>_xlfn.XLOOKUP(TablaSTOCKINV[[#This Row],[SKU]],TablaINVENTARIO[SKU],TablaINVENTARIO[FECHA INGRESO])</f>
        <v>46023</v>
      </c>
      <c r="T612" s="44">
        <f>_xlfn.XLOOKUP(TablaSTOCKINV[[#This Row],[SKU]],TablaENTRADA[SKU],TablaENTRADA[FECHA],,0,-1)</f>
        <v>46023</v>
      </c>
      <c r="U612" s="46" t="str">
        <f>IFERROR((_xlfn.XLOOKUP(TablaSTOCKINV[[#This Row],[SKU]],TablaSALIDA[SKU],TablaSALIDA[FECHA],,0,-1))," " )</f>
        <v xml:space="preserve"> </v>
      </c>
    </row>
    <row r="613" spans="1:21" x14ac:dyDescent="0.3">
      <c r="A613" s="27" t="s">
        <v>2878</v>
      </c>
      <c r="B613" s="32" t="str">
        <f>_xlfn.XLOOKUP(TablaSTOCKINV[[#This Row],[SKU]],TablaINVENTARIO[SKU],TablaINVENTARIO[DESCRIPCION])</f>
        <v xml:space="preserve">TORNILLO 3,33MM </v>
      </c>
      <c r="C613" s="32" t="str">
        <f>_xlfn.XLOOKUP(TablaSTOCKINV[[#This Row],[SKU]],TablaINVENTARIO[SKU],TablaINVENTARIO[MARCA])</f>
        <v>N/A</v>
      </c>
      <c r="D613" s="33" t="str">
        <f>_xlfn.XLOOKUP(TablaSTOCKINV[[#This Row],[SKU]],TablaINVENTARIO[SKU],TablaINVENTARIO[CATEGORIA])</f>
        <v>HERRAMIENTAS_</v>
      </c>
      <c r="E613" s="33" t="str">
        <f>_xlfn.XLOOKUP(TablaSTOCKINV[[#This Row],[SKU]],TablaINVENTARIO[SKU],TablaINVENTARIO[SUBCATEGORIA])</f>
        <v xml:space="preserve">MATERIAL DE CONSTRUCCIÓN </v>
      </c>
      <c r="F613" s="33" t="str">
        <f>_xlfn.XLOOKUP(TablaSTOCKINV[[#This Row],[SKU]],TablaINVENTARIO[SKU],TablaINVENTARIO[ESTADO])</f>
        <v xml:space="preserve">NUEVO </v>
      </c>
      <c r="G613" s="33" t="str">
        <f>_xlfn.XLOOKUP(TablaSTOCKINV[[#This Row],[SKU]],TablaINVENTARIO[SKU],TablaINVENTARIO[MEDIDA])</f>
        <v>UND</v>
      </c>
      <c r="H613" s="33" t="str">
        <f>_xlfn.XLOOKUP(TablaSTOCKINV[[#This Row],[SKU]],TablaINVENTARIO[SKU],TablaINVENTARIO[SERIAL])</f>
        <v>N/A</v>
      </c>
      <c r="I613" s="34" t="str">
        <f>_xlfn.XLOOKUP(TablaSTOCKINV[[#This Row],[SKU]],TablaINVENTARIO[SKU],TablaINVENTARIO[ALMACEN])</f>
        <v>ALMACEN PRINCIPAL</v>
      </c>
      <c r="J613" s="34" t="str">
        <f>_xlfn.XLOOKUP(TablaSTOCKINV[[#This Row],[SKU]],TablaINVENTARIO[SKU],TablaINVENTARIO[UBICACION])</f>
        <v>E2-3</v>
      </c>
      <c r="K613" s="34" t="str">
        <f>_xlfn.XLOOKUP(TablaSTOCKINV[[#This Row],[SKU]],TablaINVENTARIO[SKU],TablaINVENTARIO[DPTO RESPONSABLE])</f>
        <v xml:space="preserve">OPERACIONES </v>
      </c>
      <c r="L613" s="36">
        <f>_xlfn.XLOOKUP(TablaSTOCKINV[[#This Row],[SKU]],TablaINVENTARIO[SKU],TablaINVENTARIO[RANGO MIN])</f>
        <v>0</v>
      </c>
      <c r="M613" s="34" cm="1">
        <f t="array" ref="M613">_xlfn.IFS(TablaSTOCKINV[[#This Row],[CANT. TOTAL]]&lt;=0,1,TablaSTOCKINV[[#This Row],[CANT. TOTAL]]&lt;=TablaSTOCKINV[[#This Row],[MIN]],2,TablaSTOCKINV[[#This Row],[CANT. TOTAL]]&gt;TablaSTOCKINV[[#This Row],[MIN]],3)</f>
        <v>3</v>
      </c>
      <c r="N613" s="34">
        <f>TablaSTOCKINV[[#This Row],[ENTRADAS]]-TablaSTOCKINV[[#This Row],[SALIDAS]]</f>
        <v>5</v>
      </c>
      <c r="O613" s="35">
        <f>SUMIFS(TablaENTRADA[CANT],TablaENTRADA[SKU],TablaSTOCKINV[[#This Row],[SKU]])</f>
        <v>5</v>
      </c>
      <c r="P613" s="35">
        <f>SUMIFS(TablaSALIDA[CANT],TablaSALIDA[SKU],TablaSTOCKINV[[#This Row],[SKU]])</f>
        <v>0</v>
      </c>
      <c r="Q613" s="34">
        <f>_xlfn.XLOOKUP(TablaSTOCKINV[[#This Row],[SKU]],TablaINVENTARIO[SKU],TablaINVENTARIO[PRECIO])</f>
        <v>0</v>
      </c>
      <c r="R613" s="34">
        <f>TablaSTOCKINV[[#This Row],[P.UNITARIO]]*TablaSTOCKINV[[#This Row],[CANT. TOTAL]]</f>
        <v>0</v>
      </c>
      <c r="S613" s="44">
        <f>_xlfn.XLOOKUP(TablaSTOCKINV[[#This Row],[SKU]],TablaINVENTARIO[SKU],TablaINVENTARIO[FECHA INGRESO])</f>
        <v>46023</v>
      </c>
      <c r="T613" s="44">
        <f>_xlfn.XLOOKUP(TablaSTOCKINV[[#This Row],[SKU]],TablaENTRADA[SKU],TablaENTRADA[FECHA],,0,-1)</f>
        <v>46023</v>
      </c>
      <c r="U613" s="46" t="str">
        <f>IFERROR((_xlfn.XLOOKUP(TablaSTOCKINV[[#This Row],[SKU]],TablaSALIDA[SKU],TablaSALIDA[FECHA],,0,-1))," " )</f>
        <v xml:space="preserve"> </v>
      </c>
    </row>
    <row r="614" spans="1:21" x14ac:dyDescent="0.3">
      <c r="A614" s="27" t="s">
        <v>2880</v>
      </c>
      <c r="B614" s="32" t="str">
        <f>_xlfn.XLOOKUP(TablaSTOCKINV[[#This Row],[SKU]],TablaINVENTARIO[SKU],TablaINVENTARIO[DESCRIPCION])</f>
        <v>TORNILLO DRYWALL 1"</v>
      </c>
      <c r="C614" s="32" t="str">
        <f>_xlfn.XLOOKUP(TablaSTOCKINV[[#This Row],[SKU]],TablaINVENTARIO[SKU],TablaINVENTARIO[MARCA])</f>
        <v>N/A</v>
      </c>
      <c r="D614" s="33" t="str">
        <f>_xlfn.XLOOKUP(TablaSTOCKINV[[#This Row],[SKU]],TablaINVENTARIO[SKU],TablaINVENTARIO[CATEGORIA])</f>
        <v>HERRAMIENTAS_</v>
      </c>
      <c r="E614" s="33" t="str">
        <f>_xlfn.XLOOKUP(TablaSTOCKINV[[#This Row],[SKU]],TablaINVENTARIO[SKU],TablaINVENTARIO[SUBCATEGORIA])</f>
        <v xml:space="preserve">MATERIAL DE CONSTRUCCIÓN </v>
      </c>
      <c r="F614" s="33" t="str">
        <f>_xlfn.XLOOKUP(TablaSTOCKINV[[#This Row],[SKU]],TablaINVENTARIO[SKU],TablaINVENTARIO[ESTADO])</f>
        <v xml:space="preserve">NUEVO </v>
      </c>
      <c r="G614" s="33" t="str">
        <f>_xlfn.XLOOKUP(TablaSTOCKINV[[#This Row],[SKU]],TablaINVENTARIO[SKU],TablaINVENTARIO[MEDIDA])</f>
        <v>UND</v>
      </c>
      <c r="H614" s="33" t="str">
        <f>_xlfn.XLOOKUP(TablaSTOCKINV[[#This Row],[SKU]],TablaINVENTARIO[SKU],TablaINVENTARIO[SERIAL])</f>
        <v>N/A</v>
      </c>
      <c r="I614" s="34" t="str">
        <f>_xlfn.XLOOKUP(TablaSTOCKINV[[#This Row],[SKU]],TablaINVENTARIO[SKU],TablaINVENTARIO[ALMACEN])</f>
        <v>ALMACEN PRINCIPAL</v>
      </c>
      <c r="J614" s="34" t="str">
        <f>_xlfn.XLOOKUP(TablaSTOCKINV[[#This Row],[SKU]],TablaINVENTARIO[SKU],TablaINVENTARIO[UBICACION])</f>
        <v>E2-3</v>
      </c>
      <c r="K614" s="34" t="str">
        <f>_xlfn.XLOOKUP(TablaSTOCKINV[[#This Row],[SKU]],TablaINVENTARIO[SKU],TablaINVENTARIO[DPTO RESPONSABLE])</f>
        <v>MANTENIMIENTO</v>
      </c>
      <c r="L614" s="36">
        <f>_xlfn.XLOOKUP(TablaSTOCKINV[[#This Row],[SKU]],TablaINVENTARIO[SKU],TablaINVENTARIO[RANGO MIN])</f>
        <v>0</v>
      </c>
      <c r="M614" s="34" cm="1">
        <f t="array" ref="M614">_xlfn.IFS(TablaSTOCKINV[[#This Row],[CANT. TOTAL]]&lt;=0,1,TablaSTOCKINV[[#This Row],[CANT. TOTAL]]&lt;=TablaSTOCKINV[[#This Row],[MIN]],2,TablaSTOCKINV[[#This Row],[CANT. TOTAL]]&gt;TablaSTOCKINV[[#This Row],[MIN]],3)</f>
        <v>3</v>
      </c>
      <c r="N614" s="34">
        <f>TablaSTOCKINV[[#This Row],[ENTRADAS]]-TablaSTOCKINV[[#This Row],[SALIDAS]]</f>
        <v>28</v>
      </c>
      <c r="O614" s="35">
        <f>SUMIFS(TablaENTRADA[CANT],TablaENTRADA[SKU],TablaSTOCKINV[[#This Row],[SKU]])</f>
        <v>28</v>
      </c>
      <c r="P614" s="35">
        <f>SUMIFS(TablaSALIDA[CANT],TablaSALIDA[SKU],TablaSTOCKINV[[#This Row],[SKU]])</f>
        <v>0</v>
      </c>
      <c r="Q614" s="34">
        <f>_xlfn.XLOOKUP(TablaSTOCKINV[[#This Row],[SKU]],TablaINVENTARIO[SKU],TablaINVENTARIO[PRECIO])</f>
        <v>0</v>
      </c>
      <c r="R614" s="34">
        <f>TablaSTOCKINV[[#This Row],[P.UNITARIO]]*TablaSTOCKINV[[#This Row],[CANT. TOTAL]]</f>
        <v>0</v>
      </c>
      <c r="S614" s="44">
        <f>_xlfn.XLOOKUP(TablaSTOCKINV[[#This Row],[SKU]],TablaINVENTARIO[SKU],TablaINVENTARIO[FECHA INGRESO])</f>
        <v>46023</v>
      </c>
      <c r="T614" s="44">
        <f>_xlfn.XLOOKUP(TablaSTOCKINV[[#This Row],[SKU]],TablaENTRADA[SKU],TablaENTRADA[FECHA],,0,-1)</f>
        <v>46023</v>
      </c>
      <c r="U614" s="46" t="str">
        <f>IFERROR((_xlfn.XLOOKUP(TablaSTOCKINV[[#This Row],[SKU]],TablaSALIDA[SKU],TablaSALIDA[FECHA],,0,-1))," " )</f>
        <v xml:space="preserve"> </v>
      </c>
    </row>
    <row r="615" spans="1:21" x14ac:dyDescent="0.3">
      <c r="A615" s="27" t="s">
        <v>2882</v>
      </c>
      <c r="B615" s="32" t="str">
        <f>_xlfn.XLOOKUP(TablaSTOCKINV[[#This Row],[SKU]],TablaINVENTARIO[SKU],TablaINVENTARIO[DESCRIPCION])</f>
        <v>TORNILLO DRYWALL 1-1/2"</v>
      </c>
      <c r="C615" s="32" t="str">
        <f>_xlfn.XLOOKUP(TablaSTOCKINV[[#This Row],[SKU]],TablaINVENTARIO[SKU],TablaINVENTARIO[MARCA])</f>
        <v>N/A</v>
      </c>
      <c r="D615" s="33" t="str">
        <f>_xlfn.XLOOKUP(TablaSTOCKINV[[#This Row],[SKU]],TablaINVENTARIO[SKU],TablaINVENTARIO[CATEGORIA])</f>
        <v>HERRAMIENTAS_</v>
      </c>
      <c r="E615" s="33" t="str">
        <f>_xlfn.XLOOKUP(TablaSTOCKINV[[#This Row],[SKU]],TablaINVENTARIO[SKU],TablaINVENTARIO[SUBCATEGORIA])</f>
        <v xml:space="preserve">MATERIAL DE CONSTRUCCIÓN </v>
      </c>
      <c r="F615" s="33" t="str">
        <f>_xlfn.XLOOKUP(TablaSTOCKINV[[#This Row],[SKU]],TablaINVENTARIO[SKU],TablaINVENTARIO[ESTADO])</f>
        <v xml:space="preserve">NUEVO </v>
      </c>
      <c r="G615" s="33" t="str">
        <f>_xlfn.XLOOKUP(TablaSTOCKINV[[#This Row],[SKU]],TablaINVENTARIO[SKU],TablaINVENTARIO[MEDIDA])</f>
        <v>UND</v>
      </c>
      <c r="H615" s="33" t="str">
        <f>_xlfn.XLOOKUP(TablaSTOCKINV[[#This Row],[SKU]],TablaINVENTARIO[SKU],TablaINVENTARIO[SERIAL])</f>
        <v>N/A</v>
      </c>
      <c r="I615" s="34" t="str">
        <f>_xlfn.XLOOKUP(TablaSTOCKINV[[#This Row],[SKU]],TablaINVENTARIO[SKU],TablaINVENTARIO[ALMACEN])</f>
        <v>ALMACEN PRINCIPAL</v>
      </c>
      <c r="J615" s="34" t="str">
        <f>_xlfn.XLOOKUP(TablaSTOCKINV[[#This Row],[SKU]],TablaINVENTARIO[SKU],TablaINVENTARIO[UBICACION])</f>
        <v>E2-3</v>
      </c>
      <c r="K615" s="34" t="str">
        <f>_xlfn.XLOOKUP(TablaSTOCKINV[[#This Row],[SKU]],TablaINVENTARIO[SKU],TablaINVENTARIO[DPTO RESPONSABLE])</f>
        <v>MANTENIMIENTO</v>
      </c>
      <c r="L615" s="36">
        <f>_xlfn.XLOOKUP(TablaSTOCKINV[[#This Row],[SKU]],TablaINVENTARIO[SKU],TablaINVENTARIO[RANGO MIN])</f>
        <v>0</v>
      </c>
      <c r="M615" s="34" cm="1">
        <f t="array" ref="M615">_xlfn.IFS(TablaSTOCKINV[[#This Row],[CANT. TOTAL]]&lt;=0,1,TablaSTOCKINV[[#This Row],[CANT. TOTAL]]&lt;=TablaSTOCKINV[[#This Row],[MIN]],2,TablaSTOCKINV[[#This Row],[CANT. TOTAL]]&gt;TablaSTOCKINV[[#This Row],[MIN]],3)</f>
        <v>3</v>
      </c>
      <c r="N615" s="34">
        <f>TablaSTOCKINV[[#This Row],[ENTRADAS]]-TablaSTOCKINV[[#This Row],[SALIDAS]]</f>
        <v>125</v>
      </c>
      <c r="O615" s="35">
        <f>SUMIFS(TablaENTRADA[CANT],TablaENTRADA[SKU],TablaSTOCKINV[[#This Row],[SKU]])</f>
        <v>125</v>
      </c>
      <c r="P615" s="35">
        <f>SUMIFS(TablaSALIDA[CANT],TablaSALIDA[SKU],TablaSTOCKINV[[#This Row],[SKU]])</f>
        <v>0</v>
      </c>
      <c r="Q615" s="34">
        <f>_xlfn.XLOOKUP(TablaSTOCKINV[[#This Row],[SKU]],TablaINVENTARIO[SKU],TablaINVENTARIO[PRECIO])</f>
        <v>0</v>
      </c>
      <c r="R615" s="34">
        <f>TablaSTOCKINV[[#This Row],[P.UNITARIO]]*TablaSTOCKINV[[#This Row],[CANT. TOTAL]]</f>
        <v>0</v>
      </c>
      <c r="S615" s="44">
        <f>_xlfn.XLOOKUP(TablaSTOCKINV[[#This Row],[SKU]],TablaINVENTARIO[SKU],TablaINVENTARIO[FECHA INGRESO])</f>
        <v>46023</v>
      </c>
      <c r="T615" s="44">
        <f>_xlfn.XLOOKUP(TablaSTOCKINV[[#This Row],[SKU]],TablaENTRADA[SKU],TablaENTRADA[FECHA],,0,-1)</f>
        <v>46023</v>
      </c>
      <c r="U615" s="46" t="str">
        <f>IFERROR((_xlfn.XLOOKUP(TablaSTOCKINV[[#This Row],[SKU]],TablaSALIDA[SKU],TablaSALIDA[FECHA],,0,-1))," " )</f>
        <v xml:space="preserve"> </v>
      </c>
    </row>
    <row r="616" spans="1:21" x14ac:dyDescent="0.3">
      <c r="A616" s="27" t="s">
        <v>2884</v>
      </c>
      <c r="B616" s="32" t="str">
        <f>_xlfn.XLOOKUP(TablaSTOCKINV[[#This Row],[SKU]],TablaINVENTARIO[SKU],TablaINVENTARIO[DESCRIPCION])</f>
        <v>RAMPLUG 3/16"</v>
      </c>
      <c r="C616" s="32" t="str">
        <f>_xlfn.XLOOKUP(TablaSTOCKINV[[#This Row],[SKU]],TablaINVENTARIO[SKU],TablaINVENTARIO[MARCA])</f>
        <v>N/A</v>
      </c>
      <c r="D616" s="33" t="str">
        <f>_xlfn.XLOOKUP(TablaSTOCKINV[[#This Row],[SKU]],TablaINVENTARIO[SKU],TablaINVENTARIO[CATEGORIA])</f>
        <v>HERRAMIENTAS_</v>
      </c>
      <c r="E616" s="33" t="str">
        <f>_xlfn.XLOOKUP(TablaSTOCKINV[[#This Row],[SKU]],TablaINVENTARIO[SKU],TablaINVENTARIO[SUBCATEGORIA])</f>
        <v xml:space="preserve">MATERIAL DE CONSTRUCCIÓN </v>
      </c>
      <c r="F616" s="33" t="str">
        <f>_xlfn.XLOOKUP(TablaSTOCKINV[[#This Row],[SKU]],TablaINVENTARIO[SKU],TablaINVENTARIO[ESTADO])</f>
        <v xml:space="preserve">NUEVO </v>
      </c>
      <c r="G616" s="33" t="str">
        <f>_xlfn.XLOOKUP(TablaSTOCKINV[[#This Row],[SKU]],TablaINVENTARIO[SKU],TablaINVENTARIO[MEDIDA])</f>
        <v>UND</v>
      </c>
      <c r="H616" s="33" t="str">
        <f>_xlfn.XLOOKUP(TablaSTOCKINV[[#This Row],[SKU]],TablaINVENTARIO[SKU],TablaINVENTARIO[SERIAL])</f>
        <v>N/A</v>
      </c>
      <c r="I616" s="34" t="str">
        <f>_xlfn.XLOOKUP(TablaSTOCKINV[[#This Row],[SKU]],TablaINVENTARIO[SKU],TablaINVENTARIO[ALMACEN])</f>
        <v>ALMACEN PRINCIPAL</v>
      </c>
      <c r="J616" s="34" t="str">
        <f>_xlfn.XLOOKUP(TablaSTOCKINV[[#This Row],[SKU]],TablaINVENTARIO[SKU],TablaINVENTARIO[UBICACION])</f>
        <v>E2-2</v>
      </c>
      <c r="K616" s="34" t="str">
        <f>_xlfn.XLOOKUP(TablaSTOCKINV[[#This Row],[SKU]],TablaINVENTARIO[SKU],TablaINVENTARIO[DPTO RESPONSABLE])</f>
        <v>MANTENIMIENTO</v>
      </c>
      <c r="L616" s="36">
        <f>_xlfn.XLOOKUP(TablaSTOCKINV[[#This Row],[SKU]],TablaINVENTARIO[SKU],TablaINVENTARIO[RANGO MIN])</f>
        <v>0</v>
      </c>
      <c r="M616" s="34" cm="1">
        <f t="array" ref="M616">_xlfn.IFS(TablaSTOCKINV[[#This Row],[CANT. TOTAL]]&lt;=0,1,TablaSTOCKINV[[#This Row],[CANT. TOTAL]]&lt;=TablaSTOCKINV[[#This Row],[MIN]],2,TablaSTOCKINV[[#This Row],[CANT. TOTAL]]&gt;TablaSTOCKINV[[#This Row],[MIN]],3)</f>
        <v>3</v>
      </c>
      <c r="N616" s="34">
        <f>TablaSTOCKINV[[#This Row],[ENTRADAS]]-TablaSTOCKINV[[#This Row],[SALIDAS]]</f>
        <v>50</v>
      </c>
      <c r="O616" s="35">
        <f>SUMIFS(TablaENTRADA[CANT],TablaENTRADA[SKU],TablaSTOCKINV[[#This Row],[SKU]])</f>
        <v>50</v>
      </c>
      <c r="P616" s="35">
        <f>SUMIFS(TablaSALIDA[CANT],TablaSALIDA[SKU],TablaSTOCKINV[[#This Row],[SKU]])</f>
        <v>0</v>
      </c>
      <c r="Q616" s="34">
        <f>_xlfn.XLOOKUP(TablaSTOCKINV[[#This Row],[SKU]],TablaINVENTARIO[SKU],TablaINVENTARIO[PRECIO])</f>
        <v>0</v>
      </c>
      <c r="R616" s="34">
        <f>TablaSTOCKINV[[#This Row],[P.UNITARIO]]*TablaSTOCKINV[[#This Row],[CANT. TOTAL]]</f>
        <v>0</v>
      </c>
      <c r="S616" s="44">
        <f>_xlfn.XLOOKUP(TablaSTOCKINV[[#This Row],[SKU]],TablaINVENTARIO[SKU],TablaINVENTARIO[FECHA INGRESO])</f>
        <v>46023</v>
      </c>
      <c r="T616" s="44">
        <f>_xlfn.XLOOKUP(TablaSTOCKINV[[#This Row],[SKU]],TablaENTRADA[SKU],TablaENTRADA[FECHA],,0,-1)</f>
        <v>46023</v>
      </c>
      <c r="U616" s="46" t="str">
        <f>IFERROR((_xlfn.XLOOKUP(TablaSTOCKINV[[#This Row],[SKU]],TablaSALIDA[SKU],TablaSALIDA[FECHA],,0,-1))," " )</f>
        <v xml:space="preserve"> </v>
      </c>
    </row>
    <row r="617" spans="1:21" x14ac:dyDescent="0.3">
      <c r="A617" s="27" t="s">
        <v>2886</v>
      </c>
      <c r="B617" s="32" t="str">
        <f>_xlfn.XLOOKUP(TablaSTOCKINV[[#This Row],[SKU]],TablaINVENTARIO[SKU],TablaINVENTARIO[DESCRIPCION])</f>
        <v>RAMPLUG 1/4"</v>
      </c>
      <c r="C617" s="32" t="str">
        <f>_xlfn.XLOOKUP(TablaSTOCKINV[[#This Row],[SKU]],TablaINVENTARIO[SKU],TablaINVENTARIO[MARCA])</f>
        <v>N/A</v>
      </c>
      <c r="D617" s="33" t="str">
        <f>_xlfn.XLOOKUP(TablaSTOCKINV[[#This Row],[SKU]],TablaINVENTARIO[SKU],TablaINVENTARIO[CATEGORIA])</f>
        <v>HERRAMIENTAS_</v>
      </c>
      <c r="E617" s="33" t="str">
        <f>_xlfn.XLOOKUP(TablaSTOCKINV[[#This Row],[SKU]],TablaINVENTARIO[SKU],TablaINVENTARIO[SUBCATEGORIA])</f>
        <v xml:space="preserve">MATERIAL DE CONSTRUCCIÓN </v>
      </c>
      <c r="F617" s="33" t="str">
        <f>_xlfn.XLOOKUP(TablaSTOCKINV[[#This Row],[SKU]],TablaINVENTARIO[SKU],TablaINVENTARIO[ESTADO])</f>
        <v xml:space="preserve">NUEVO </v>
      </c>
      <c r="G617" s="33" t="str">
        <f>_xlfn.XLOOKUP(TablaSTOCKINV[[#This Row],[SKU]],TablaINVENTARIO[SKU],TablaINVENTARIO[MEDIDA])</f>
        <v>UND</v>
      </c>
      <c r="H617" s="33" t="str">
        <f>_xlfn.XLOOKUP(TablaSTOCKINV[[#This Row],[SKU]],TablaINVENTARIO[SKU],TablaINVENTARIO[SERIAL])</f>
        <v>N/A</v>
      </c>
      <c r="I617" s="34" t="str">
        <f>_xlfn.XLOOKUP(TablaSTOCKINV[[#This Row],[SKU]],TablaINVENTARIO[SKU],TablaINVENTARIO[ALMACEN])</f>
        <v>ALMACEN PRINCIPAL</v>
      </c>
      <c r="J617" s="34" t="str">
        <f>_xlfn.XLOOKUP(TablaSTOCKINV[[#This Row],[SKU]],TablaINVENTARIO[SKU],TablaINVENTARIO[UBICACION])</f>
        <v>E2-2</v>
      </c>
      <c r="K617" s="34" t="str">
        <f>_xlfn.XLOOKUP(TablaSTOCKINV[[#This Row],[SKU]],TablaINVENTARIO[SKU],TablaINVENTARIO[DPTO RESPONSABLE])</f>
        <v>MANTENIMIENTO</v>
      </c>
      <c r="L617" s="36">
        <f>_xlfn.XLOOKUP(TablaSTOCKINV[[#This Row],[SKU]],TablaINVENTARIO[SKU],TablaINVENTARIO[RANGO MIN])</f>
        <v>0</v>
      </c>
      <c r="M617" s="34" cm="1">
        <f t="array" ref="M617">_xlfn.IFS(TablaSTOCKINV[[#This Row],[CANT. TOTAL]]&lt;=0,1,TablaSTOCKINV[[#This Row],[CANT. TOTAL]]&lt;=TablaSTOCKINV[[#This Row],[MIN]],2,TablaSTOCKINV[[#This Row],[CANT. TOTAL]]&gt;TablaSTOCKINV[[#This Row],[MIN]],3)</f>
        <v>3</v>
      </c>
      <c r="N617" s="34">
        <f>TablaSTOCKINV[[#This Row],[ENTRADAS]]-TablaSTOCKINV[[#This Row],[SALIDAS]]</f>
        <v>87</v>
      </c>
      <c r="O617" s="35">
        <f>SUMIFS(TablaENTRADA[CANT],TablaENTRADA[SKU],TablaSTOCKINV[[#This Row],[SKU]])</f>
        <v>87</v>
      </c>
      <c r="P617" s="35">
        <f>SUMIFS(TablaSALIDA[CANT],TablaSALIDA[SKU],TablaSTOCKINV[[#This Row],[SKU]])</f>
        <v>0</v>
      </c>
      <c r="Q617" s="34">
        <f>_xlfn.XLOOKUP(TablaSTOCKINV[[#This Row],[SKU]],TablaINVENTARIO[SKU],TablaINVENTARIO[PRECIO])</f>
        <v>0</v>
      </c>
      <c r="R617" s="34">
        <f>TablaSTOCKINV[[#This Row],[P.UNITARIO]]*TablaSTOCKINV[[#This Row],[CANT. TOTAL]]</f>
        <v>0</v>
      </c>
      <c r="S617" s="44">
        <f>_xlfn.XLOOKUP(TablaSTOCKINV[[#This Row],[SKU]],TablaINVENTARIO[SKU],TablaINVENTARIO[FECHA INGRESO])</f>
        <v>46023</v>
      </c>
      <c r="T617" s="44">
        <f>_xlfn.XLOOKUP(TablaSTOCKINV[[#This Row],[SKU]],TablaENTRADA[SKU],TablaENTRADA[FECHA],,0,-1)</f>
        <v>46023</v>
      </c>
      <c r="U617" s="46" t="str">
        <f>IFERROR((_xlfn.XLOOKUP(TablaSTOCKINV[[#This Row],[SKU]],TablaSALIDA[SKU],TablaSALIDA[FECHA],,0,-1))," " )</f>
        <v xml:space="preserve"> </v>
      </c>
    </row>
    <row r="618" spans="1:21" x14ac:dyDescent="0.3">
      <c r="A618" s="27" t="s">
        <v>2888</v>
      </c>
      <c r="B618" s="32" t="str">
        <f>_xlfn.XLOOKUP(TablaSTOCKINV[[#This Row],[SKU]],TablaINVENTARIO[SKU],TablaINVENTARIO[DESCRIPCION])</f>
        <v>RAMPLUG 3/32"</v>
      </c>
      <c r="C618" s="32" t="str">
        <f>_xlfn.XLOOKUP(TablaSTOCKINV[[#This Row],[SKU]],TablaINVENTARIO[SKU],TablaINVENTARIO[MARCA])</f>
        <v>N/A</v>
      </c>
      <c r="D618" s="33" t="str">
        <f>_xlfn.XLOOKUP(TablaSTOCKINV[[#This Row],[SKU]],TablaINVENTARIO[SKU],TablaINVENTARIO[CATEGORIA])</f>
        <v>HERRAMIENTAS_</v>
      </c>
      <c r="E618" s="33" t="str">
        <f>_xlfn.XLOOKUP(TablaSTOCKINV[[#This Row],[SKU]],TablaINVENTARIO[SKU],TablaINVENTARIO[SUBCATEGORIA])</f>
        <v xml:space="preserve">MATERIAL DE CONSTRUCCIÓN </v>
      </c>
      <c r="F618" s="33" t="str">
        <f>_xlfn.XLOOKUP(TablaSTOCKINV[[#This Row],[SKU]],TablaINVENTARIO[SKU],TablaINVENTARIO[ESTADO])</f>
        <v xml:space="preserve">NUEVO </v>
      </c>
      <c r="G618" s="33" t="str">
        <f>_xlfn.XLOOKUP(TablaSTOCKINV[[#This Row],[SKU]],TablaINVENTARIO[SKU],TablaINVENTARIO[MEDIDA])</f>
        <v>UND</v>
      </c>
      <c r="H618" s="33" t="str">
        <f>_xlfn.XLOOKUP(TablaSTOCKINV[[#This Row],[SKU]],TablaINVENTARIO[SKU],TablaINVENTARIO[SERIAL])</f>
        <v>N/A</v>
      </c>
      <c r="I618" s="34" t="str">
        <f>_xlfn.XLOOKUP(TablaSTOCKINV[[#This Row],[SKU]],TablaINVENTARIO[SKU],TablaINVENTARIO[ALMACEN])</f>
        <v>ALMACEN PRINCIPAL</v>
      </c>
      <c r="J618" s="34" t="str">
        <f>_xlfn.XLOOKUP(TablaSTOCKINV[[#This Row],[SKU]],TablaINVENTARIO[SKU],TablaINVENTARIO[UBICACION])</f>
        <v>E2-2</v>
      </c>
      <c r="K618" s="34" t="str">
        <f>_xlfn.XLOOKUP(TablaSTOCKINV[[#This Row],[SKU]],TablaINVENTARIO[SKU],TablaINVENTARIO[DPTO RESPONSABLE])</f>
        <v>MANTENIMIENTO</v>
      </c>
      <c r="L618" s="36">
        <f>_xlfn.XLOOKUP(TablaSTOCKINV[[#This Row],[SKU]],TablaINVENTARIO[SKU],TablaINVENTARIO[RANGO MIN])</f>
        <v>0</v>
      </c>
      <c r="M618" s="34" cm="1">
        <f t="array" ref="M618">_xlfn.IFS(TablaSTOCKINV[[#This Row],[CANT. TOTAL]]&lt;=0,1,TablaSTOCKINV[[#This Row],[CANT. TOTAL]]&lt;=TablaSTOCKINV[[#This Row],[MIN]],2,TablaSTOCKINV[[#This Row],[CANT. TOTAL]]&gt;TablaSTOCKINV[[#This Row],[MIN]],3)</f>
        <v>3</v>
      </c>
      <c r="N618" s="34">
        <f>TablaSTOCKINV[[#This Row],[ENTRADAS]]-TablaSTOCKINV[[#This Row],[SALIDAS]]</f>
        <v>16</v>
      </c>
      <c r="O618" s="35">
        <f>SUMIFS(TablaENTRADA[CANT],TablaENTRADA[SKU],TablaSTOCKINV[[#This Row],[SKU]])</f>
        <v>16</v>
      </c>
      <c r="P618" s="35">
        <f>SUMIFS(TablaSALIDA[CANT],TablaSALIDA[SKU],TablaSTOCKINV[[#This Row],[SKU]])</f>
        <v>0</v>
      </c>
      <c r="Q618" s="34">
        <f>_xlfn.XLOOKUP(TablaSTOCKINV[[#This Row],[SKU]],TablaINVENTARIO[SKU],TablaINVENTARIO[PRECIO])</f>
        <v>0</v>
      </c>
      <c r="R618" s="34">
        <f>TablaSTOCKINV[[#This Row],[P.UNITARIO]]*TablaSTOCKINV[[#This Row],[CANT. TOTAL]]</f>
        <v>0</v>
      </c>
      <c r="S618" s="44">
        <f>_xlfn.XLOOKUP(TablaSTOCKINV[[#This Row],[SKU]],TablaINVENTARIO[SKU],TablaINVENTARIO[FECHA INGRESO])</f>
        <v>46023</v>
      </c>
      <c r="T618" s="44">
        <f>_xlfn.XLOOKUP(TablaSTOCKINV[[#This Row],[SKU]],TablaENTRADA[SKU],TablaENTRADA[FECHA],,0,-1)</f>
        <v>46023</v>
      </c>
      <c r="U618" s="46" t="str">
        <f>IFERROR((_xlfn.XLOOKUP(TablaSTOCKINV[[#This Row],[SKU]],TablaSALIDA[SKU],TablaSALIDA[FECHA],,0,-1))," " )</f>
        <v xml:space="preserve"> </v>
      </c>
    </row>
    <row r="619" spans="1:21" x14ac:dyDescent="0.3">
      <c r="A619" s="27" t="s">
        <v>2890</v>
      </c>
      <c r="B619" s="32" t="str">
        <f>_xlfn.XLOOKUP(TablaSTOCKINV[[#This Row],[SKU]],TablaINVENTARIO[SKU],TablaINVENTARIO[DESCRIPCION])</f>
        <v>TORNILLO DRYWALL 3"</v>
      </c>
      <c r="C619" s="32" t="str">
        <f>_xlfn.XLOOKUP(TablaSTOCKINV[[#This Row],[SKU]],TablaINVENTARIO[SKU],TablaINVENTARIO[MARCA])</f>
        <v>N/A</v>
      </c>
      <c r="D619" s="33" t="str">
        <f>_xlfn.XLOOKUP(TablaSTOCKINV[[#This Row],[SKU]],TablaINVENTARIO[SKU],TablaINVENTARIO[CATEGORIA])</f>
        <v>HERRAMIENTAS_</v>
      </c>
      <c r="E619" s="33" t="str">
        <f>_xlfn.XLOOKUP(TablaSTOCKINV[[#This Row],[SKU]],TablaINVENTARIO[SKU],TablaINVENTARIO[SUBCATEGORIA])</f>
        <v xml:space="preserve">MATERIAL DE CONSTRUCCIÓN </v>
      </c>
      <c r="F619" s="33" t="str">
        <f>_xlfn.XLOOKUP(TablaSTOCKINV[[#This Row],[SKU]],TablaINVENTARIO[SKU],TablaINVENTARIO[ESTADO])</f>
        <v xml:space="preserve">NUEVO </v>
      </c>
      <c r="G619" s="33" t="str">
        <f>_xlfn.XLOOKUP(TablaSTOCKINV[[#This Row],[SKU]],TablaINVENTARIO[SKU],TablaINVENTARIO[MEDIDA])</f>
        <v>UND</v>
      </c>
      <c r="H619" s="33" t="str">
        <f>_xlfn.XLOOKUP(TablaSTOCKINV[[#This Row],[SKU]],TablaINVENTARIO[SKU],TablaINVENTARIO[SERIAL])</f>
        <v>N/A</v>
      </c>
      <c r="I619" s="34" t="str">
        <f>_xlfn.XLOOKUP(TablaSTOCKINV[[#This Row],[SKU]],TablaINVENTARIO[SKU],TablaINVENTARIO[ALMACEN])</f>
        <v>ALMACEN PRINCIPAL</v>
      </c>
      <c r="J619" s="34" t="str">
        <f>_xlfn.XLOOKUP(TablaSTOCKINV[[#This Row],[SKU]],TablaINVENTARIO[SKU],TablaINVENTARIO[UBICACION])</f>
        <v>E2-2</v>
      </c>
      <c r="K619" s="34" t="str">
        <f>_xlfn.XLOOKUP(TablaSTOCKINV[[#This Row],[SKU]],TablaINVENTARIO[SKU],TablaINVENTARIO[DPTO RESPONSABLE])</f>
        <v>MANTENIMIENTO</v>
      </c>
      <c r="L619" s="36">
        <f>_xlfn.XLOOKUP(TablaSTOCKINV[[#This Row],[SKU]],TablaINVENTARIO[SKU],TablaINVENTARIO[RANGO MIN])</f>
        <v>0</v>
      </c>
      <c r="M619" s="34" cm="1">
        <f t="array" ref="M619">_xlfn.IFS(TablaSTOCKINV[[#This Row],[CANT. TOTAL]]&lt;=0,1,TablaSTOCKINV[[#This Row],[CANT. TOTAL]]&lt;=TablaSTOCKINV[[#This Row],[MIN]],2,TablaSTOCKINV[[#This Row],[CANT. TOTAL]]&gt;TablaSTOCKINV[[#This Row],[MIN]],3)</f>
        <v>3</v>
      </c>
      <c r="N619" s="34">
        <f>TablaSTOCKINV[[#This Row],[ENTRADAS]]-TablaSTOCKINV[[#This Row],[SALIDAS]]</f>
        <v>72</v>
      </c>
      <c r="O619" s="35">
        <f>SUMIFS(TablaENTRADA[CANT],TablaENTRADA[SKU],TablaSTOCKINV[[#This Row],[SKU]])</f>
        <v>72</v>
      </c>
      <c r="P619" s="35">
        <f>SUMIFS(TablaSALIDA[CANT],TablaSALIDA[SKU],TablaSTOCKINV[[#This Row],[SKU]])</f>
        <v>0</v>
      </c>
      <c r="Q619" s="34">
        <f>_xlfn.XLOOKUP(TablaSTOCKINV[[#This Row],[SKU]],TablaINVENTARIO[SKU],TablaINVENTARIO[PRECIO])</f>
        <v>0</v>
      </c>
      <c r="R619" s="34">
        <f>TablaSTOCKINV[[#This Row],[P.UNITARIO]]*TablaSTOCKINV[[#This Row],[CANT. TOTAL]]</f>
        <v>0</v>
      </c>
      <c r="S619" s="44">
        <f>_xlfn.XLOOKUP(TablaSTOCKINV[[#This Row],[SKU]],TablaINVENTARIO[SKU],TablaINVENTARIO[FECHA INGRESO])</f>
        <v>46023</v>
      </c>
      <c r="T619" s="44">
        <f>_xlfn.XLOOKUP(TablaSTOCKINV[[#This Row],[SKU]],TablaENTRADA[SKU],TablaENTRADA[FECHA],,0,-1)</f>
        <v>46023</v>
      </c>
      <c r="U619" s="46" t="str">
        <f>IFERROR((_xlfn.XLOOKUP(TablaSTOCKINV[[#This Row],[SKU]],TablaSALIDA[SKU],TablaSALIDA[FECHA],,0,-1))," " )</f>
        <v xml:space="preserve"> </v>
      </c>
    </row>
    <row r="620" spans="1:21" x14ac:dyDescent="0.3">
      <c r="A620" s="27" t="s">
        <v>2892</v>
      </c>
      <c r="B620" s="32" t="str">
        <f>_xlfn.XLOOKUP(TablaSTOCKINV[[#This Row],[SKU]],TablaINVENTARIO[SKU],TablaINVENTARIO[DESCRIPCION])</f>
        <v>TORNILLO DRYWALL 1-1/2"</v>
      </c>
      <c r="C620" s="32" t="str">
        <f>_xlfn.XLOOKUP(TablaSTOCKINV[[#This Row],[SKU]],TablaINVENTARIO[SKU],TablaINVENTARIO[MARCA])</f>
        <v>N/A</v>
      </c>
      <c r="D620" s="33" t="str">
        <f>_xlfn.XLOOKUP(TablaSTOCKINV[[#This Row],[SKU]],TablaINVENTARIO[SKU],TablaINVENTARIO[CATEGORIA])</f>
        <v>HERRAMIENTAS_</v>
      </c>
      <c r="E620" s="33" t="str">
        <f>_xlfn.XLOOKUP(TablaSTOCKINV[[#This Row],[SKU]],TablaINVENTARIO[SKU],TablaINVENTARIO[SUBCATEGORIA])</f>
        <v xml:space="preserve">MATERIAL DE REFRIGERACIÓN </v>
      </c>
      <c r="F620" s="33" t="str">
        <f>_xlfn.XLOOKUP(TablaSTOCKINV[[#This Row],[SKU]],TablaINVENTARIO[SKU],TablaINVENTARIO[ESTADO])</f>
        <v xml:space="preserve">NUEVO </v>
      </c>
      <c r="G620" s="33" t="str">
        <f>_xlfn.XLOOKUP(TablaSTOCKINV[[#This Row],[SKU]],TablaINVENTARIO[SKU],TablaINVENTARIO[MEDIDA])</f>
        <v>UND</v>
      </c>
      <c r="H620" s="33" t="str">
        <f>_xlfn.XLOOKUP(TablaSTOCKINV[[#This Row],[SKU]],TablaINVENTARIO[SKU],TablaINVENTARIO[SERIAL])</f>
        <v>N/A</v>
      </c>
      <c r="I620" s="34" t="str">
        <f>_xlfn.XLOOKUP(TablaSTOCKINV[[#This Row],[SKU]],TablaINVENTARIO[SKU],TablaINVENTARIO[ALMACEN])</f>
        <v>ALMACEN PRINCIPAL</v>
      </c>
      <c r="J620" s="34" t="str">
        <f>_xlfn.XLOOKUP(TablaSTOCKINV[[#This Row],[SKU]],TablaINVENTARIO[SKU],TablaINVENTARIO[UBICACION])</f>
        <v>E2-2</v>
      </c>
      <c r="K620" s="34" t="str">
        <f>_xlfn.XLOOKUP(TablaSTOCKINV[[#This Row],[SKU]],TablaINVENTARIO[SKU],TablaINVENTARIO[DPTO RESPONSABLE])</f>
        <v>MANTENIMIENTO</v>
      </c>
      <c r="L620" s="36">
        <f>_xlfn.XLOOKUP(TablaSTOCKINV[[#This Row],[SKU]],TablaINVENTARIO[SKU],TablaINVENTARIO[RANGO MIN])</f>
        <v>0</v>
      </c>
      <c r="M620" s="34" cm="1">
        <f t="array" ref="M620">_xlfn.IFS(TablaSTOCKINV[[#This Row],[CANT. TOTAL]]&lt;=0,1,TablaSTOCKINV[[#This Row],[CANT. TOTAL]]&lt;=TablaSTOCKINV[[#This Row],[MIN]],2,TablaSTOCKINV[[#This Row],[CANT. TOTAL]]&gt;TablaSTOCKINV[[#This Row],[MIN]],3)</f>
        <v>3</v>
      </c>
      <c r="N620" s="34">
        <f>TablaSTOCKINV[[#This Row],[ENTRADAS]]-TablaSTOCKINV[[#This Row],[SALIDAS]]</f>
        <v>21</v>
      </c>
      <c r="O620" s="35">
        <f>SUMIFS(TablaENTRADA[CANT],TablaENTRADA[SKU],TablaSTOCKINV[[#This Row],[SKU]])</f>
        <v>21</v>
      </c>
      <c r="P620" s="35">
        <f>SUMIFS(TablaSALIDA[CANT],TablaSALIDA[SKU],TablaSTOCKINV[[#This Row],[SKU]])</f>
        <v>0</v>
      </c>
      <c r="Q620" s="34">
        <f>_xlfn.XLOOKUP(TablaSTOCKINV[[#This Row],[SKU]],TablaINVENTARIO[SKU],TablaINVENTARIO[PRECIO])</f>
        <v>0</v>
      </c>
      <c r="R620" s="34">
        <f>TablaSTOCKINV[[#This Row],[P.UNITARIO]]*TablaSTOCKINV[[#This Row],[CANT. TOTAL]]</f>
        <v>0</v>
      </c>
      <c r="S620" s="44">
        <f>_xlfn.XLOOKUP(TablaSTOCKINV[[#This Row],[SKU]],TablaINVENTARIO[SKU],TablaINVENTARIO[FECHA INGRESO])</f>
        <v>46023</v>
      </c>
      <c r="T620" s="44">
        <f>_xlfn.XLOOKUP(TablaSTOCKINV[[#This Row],[SKU]],TablaENTRADA[SKU],TablaENTRADA[FECHA],,0,-1)</f>
        <v>46023</v>
      </c>
      <c r="U620" s="46" t="str">
        <f>IFERROR((_xlfn.XLOOKUP(TablaSTOCKINV[[#This Row],[SKU]],TablaSALIDA[SKU],TablaSALIDA[FECHA],,0,-1))," " )</f>
        <v xml:space="preserve"> </v>
      </c>
    </row>
    <row r="621" spans="1:21" x14ac:dyDescent="0.3">
      <c r="A621" s="27" t="s">
        <v>2893</v>
      </c>
      <c r="B621" s="32" t="str">
        <f>_xlfn.XLOOKUP(TablaSTOCKINV[[#This Row],[SKU]],TablaINVENTARIO[SKU],TablaINVENTARIO[DESCRIPCION])</f>
        <v xml:space="preserve">CONEXIÓN PARA COMPRESOR </v>
      </c>
      <c r="C621" s="32" t="str">
        <f>_xlfn.XLOOKUP(TablaSTOCKINV[[#This Row],[SKU]],TablaINVENTARIO[SKU],TablaINVENTARIO[MARCA])</f>
        <v>N/A</v>
      </c>
      <c r="D621" s="33" t="str">
        <f>_xlfn.XLOOKUP(TablaSTOCKINV[[#This Row],[SKU]],TablaINVENTARIO[SKU],TablaINVENTARIO[CATEGORIA])</f>
        <v>HERRAMIENTAS_</v>
      </c>
      <c r="E621" s="33" t="str">
        <f>_xlfn.XLOOKUP(TablaSTOCKINV[[#This Row],[SKU]],TablaINVENTARIO[SKU],TablaINVENTARIO[SUBCATEGORIA])</f>
        <v xml:space="preserve">MATERIAL DE REFRIGERACIÓN </v>
      </c>
      <c r="F621" s="33" t="str">
        <f>_xlfn.XLOOKUP(TablaSTOCKINV[[#This Row],[SKU]],TablaINVENTARIO[SKU],TablaINVENTARIO[ESTADO])</f>
        <v xml:space="preserve">NUEVO </v>
      </c>
      <c r="G621" s="33" t="str">
        <f>_xlfn.XLOOKUP(TablaSTOCKINV[[#This Row],[SKU]],TablaINVENTARIO[SKU],TablaINVENTARIO[MEDIDA])</f>
        <v>UND</v>
      </c>
      <c r="H621" s="33" t="str">
        <f>_xlfn.XLOOKUP(TablaSTOCKINV[[#This Row],[SKU]],TablaINVENTARIO[SKU],TablaINVENTARIO[SERIAL])</f>
        <v>N/A</v>
      </c>
      <c r="I621" s="34" t="str">
        <f>_xlfn.XLOOKUP(TablaSTOCKINV[[#This Row],[SKU]],TablaINVENTARIO[SKU],TablaINVENTARIO[ALMACEN])</f>
        <v>ALMACEN PRINCIPAL</v>
      </c>
      <c r="J621" s="34" t="str">
        <f>_xlfn.XLOOKUP(TablaSTOCKINV[[#This Row],[SKU]],TablaINVENTARIO[SKU],TablaINVENTARIO[UBICACION])</f>
        <v>E2-2</v>
      </c>
      <c r="K621" s="34" t="str">
        <f>_xlfn.XLOOKUP(TablaSTOCKINV[[#This Row],[SKU]],TablaINVENTARIO[SKU],TablaINVENTARIO[DPTO RESPONSABLE])</f>
        <v>MANTENIMIENTO</v>
      </c>
      <c r="L621" s="36">
        <f>_xlfn.XLOOKUP(TablaSTOCKINV[[#This Row],[SKU]],TablaINVENTARIO[SKU],TablaINVENTARIO[RANGO MIN])</f>
        <v>0</v>
      </c>
      <c r="M621" s="34" cm="1">
        <f t="array" ref="M621">_xlfn.IFS(TablaSTOCKINV[[#This Row],[CANT. TOTAL]]&lt;=0,1,TablaSTOCKINV[[#This Row],[CANT. TOTAL]]&lt;=TablaSTOCKINV[[#This Row],[MIN]],2,TablaSTOCKINV[[#This Row],[CANT. TOTAL]]&gt;TablaSTOCKINV[[#This Row],[MIN]],3)</f>
        <v>3</v>
      </c>
      <c r="N621" s="34">
        <f>TablaSTOCKINV[[#This Row],[ENTRADAS]]-TablaSTOCKINV[[#This Row],[SALIDAS]]</f>
        <v>5</v>
      </c>
      <c r="O621" s="35">
        <f>SUMIFS(TablaENTRADA[CANT],TablaENTRADA[SKU],TablaSTOCKINV[[#This Row],[SKU]])</f>
        <v>5</v>
      </c>
      <c r="P621" s="35">
        <f>SUMIFS(TablaSALIDA[CANT],TablaSALIDA[SKU],TablaSTOCKINV[[#This Row],[SKU]])</f>
        <v>0</v>
      </c>
      <c r="Q621" s="34">
        <f>_xlfn.XLOOKUP(TablaSTOCKINV[[#This Row],[SKU]],TablaINVENTARIO[SKU],TablaINVENTARIO[PRECIO])</f>
        <v>0</v>
      </c>
      <c r="R621" s="34">
        <f>TablaSTOCKINV[[#This Row],[P.UNITARIO]]*TablaSTOCKINV[[#This Row],[CANT. TOTAL]]</f>
        <v>0</v>
      </c>
      <c r="S621" s="44">
        <f>_xlfn.XLOOKUP(TablaSTOCKINV[[#This Row],[SKU]],TablaINVENTARIO[SKU],TablaINVENTARIO[FECHA INGRESO])</f>
        <v>46023</v>
      </c>
      <c r="T621" s="44">
        <f>_xlfn.XLOOKUP(TablaSTOCKINV[[#This Row],[SKU]],TablaENTRADA[SKU],TablaENTRADA[FECHA],,0,-1)</f>
        <v>46023</v>
      </c>
      <c r="U621" s="46" t="str">
        <f>IFERROR((_xlfn.XLOOKUP(TablaSTOCKINV[[#This Row],[SKU]],TablaSALIDA[SKU],TablaSALIDA[FECHA],,0,-1))," " )</f>
        <v xml:space="preserve"> </v>
      </c>
    </row>
    <row r="622" spans="1:21" x14ac:dyDescent="0.3">
      <c r="A622" s="27" t="s">
        <v>2895</v>
      </c>
      <c r="B622" s="32" t="str">
        <f>_xlfn.XLOOKUP(TablaSTOCKINV[[#This Row],[SKU]],TablaINVENTARIO[SKU],TablaINVENTARIO[DESCRIPCION])</f>
        <v xml:space="preserve">PINZA DE COBRE PARA SOLDADURA </v>
      </c>
      <c r="C622" s="32" t="str">
        <f>_xlfn.XLOOKUP(TablaSTOCKINV[[#This Row],[SKU]],TablaINVENTARIO[SKU],TablaINVENTARIO[MARCA])</f>
        <v>N/A</v>
      </c>
      <c r="D622" s="33" t="str">
        <f>_xlfn.XLOOKUP(TablaSTOCKINV[[#This Row],[SKU]],TablaINVENTARIO[SKU],TablaINVENTARIO[CATEGORIA])</f>
        <v>HERRAMIENTAS_</v>
      </c>
      <c r="E622" s="33" t="str">
        <f>_xlfn.XLOOKUP(TablaSTOCKINV[[#This Row],[SKU]],TablaINVENTARIO[SKU],TablaINVENTARIO[SUBCATEGORIA])</f>
        <v xml:space="preserve">MATERIAL DE REFRIGERACIÓN </v>
      </c>
      <c r="F622" s="33" t="str">
        <f>_xlfn.XLOOKUP(TablaSTOCKINV[[#This Row],[SKU]],TablaINVENTARIO[SKU],TablaINVENTARIO[ESTADO])</f>
        <v xml:space="preserve">NUEVO </v>
      </c>
      <c r="G622" s="33" t="str">
        <f>_xlfn.XLOOKUP(TablaSTOCKINV[[#This Row],[SKU]],TablaINVENTARIO[SKU],TablaINVENTARIO[MEDIDA])</f>
        <v>UND</v>
      </c>
      <c r="H622" s="33" t="str">
        <f>_xlfn.XLOOKUP(TablaSTOCKINV[[#This Row],[SKU]],TablaINVENTARIO[SKU],TablaINVENTARIO[SERIAL])</f>
        <v>N/A</v>
      </c>
      <c r="I622" s="34" t="str">
        <f>_xlfn.XLOOKUP(TablaSTOCKINV[[#This Row],[SKU]],TablaINVENTARIO[SKU],TablaINVENTARIO[ALMACEN])</f>
        <v>ALMACEN PRINCIPAL</v>
      </c>
      <c r="J622" s="34" t="str">
        <f>_xlfn.XLOOKUP(TablaSTOCKINV[[#This Row],[SKU]],TablaINVENTARIO[SKU],TablaINVENTARIO[UBICACION])</f>
        <v>E2-2</v>
      </c>
      <c r="K622" s="34" t="str">
        <f>_xlfn.XLOOKUP(TablaSTOCKINV[[#This Row],[SKU]],TablaINVENTARIO[SKU],TablaINVENTARIO[DPTO RESPONSABLE])</f>
        <v>MANTENIMIENTO</v>
      </c>
      <c r="L622" s="36">
        <f>_xlfn.XLOOKUP(TablaSTOCKINV[[#This Row],[SKU]],TablaINVENTARIO[SKU],TablaINVENTARIO[RANGO MIN])</f>
        <v>0</v>
      </c>
      <c r="M622" s="34" cm="1">
        <f t="array" ref="M622">_xlfn.IFS(TablaSTOCKINV[[#This Row],[CANT. TOTAL]]&lt;=0,1,TablaSTOCKINV[[#This Row],[CANT. TOTAL]]&lt;=TablaSTOCKINV[[#This Row],[MIN]],2,TablaSTOCKINV[[#This Row],[CANT. TOTAL]]&gt;TablaSTOCKINV[[#This Row],[MIN]],3)</f>
        <v>3</v>
      </c>
      <c r="N622" s="34">
        <f>TablaSTOCKINV[[#This Row],[ENTRADAS]]-TablaSTOCKINV[[#This Row],[SALIDAS]]</f>
        <v>5</v>
      </c>
      <c r="O622" s="35">
        <f>SUMIFS(TablaENTRADA[CANT],TablaENTRADA[SKU],TablaSTOCKINV[[#This Row],[SKU]])</f>
        <v>5</v>
      </c>
      <c r="P622" s="35">
        <f>SUMIFS(TablaSALIDA[CANT],TablaSALIDA[SKU],TablaSTOCKINV[[#This Row],[SKU]])</f>
        <v>0</v>
      </c>
      <c r="Q622" s="34">
        <f>_xlfn.XLOOKUP(TablaSTOCKINV[[#This Row],[SKU]],TablaINVENTARIO[SKU],TablaINVENTARIO[PRECIO])</f>
        <v>0</v>
      </c>
      <c r="R622" s="34">
        <f>TablaSTOCKINV[[#This Row],[P.UNITARIO]]*TablaSTOCKINV[[#This Row],[CANT. TOTAL]]</f>
        <v>0</v>
      </c>
      <c r="S622" s="44">
        <f>_xlfn.XLOOKUP(TablaSTOCKINV[[#This Row],[SKU]],TablaINVENTARIO[SKU],TablaINVENTARIO[FECHA INGRESO])</f>
        <v>46023</v>
      </c>
      <c r="T622" s="44">
        <f>_xlfn.XLOOKUP(TablaSTOCKINV[[#This Row],[SKU]],TablaENTRADA[SKU],TablaENTRADA[FECHA],,0,-1)</f>
        <v>46023</v>
      </c>
      <c r="U622" s="46" t="str">
        <f>IFERROR((_xlfn.XLOOKUP(TablaSTOCKINV[[#This Row],[SKU]],TablaSALIDA[SKU],TablaSALIDA[FECHA],,0,-1))," " )</f>
        <v xml:space="preserve"> </v>
      </c>
    </row>
    <row r="623" spans="1:21" x14ac:dyDescent="0.3">
      <c r="A623" s="27" t="s">
        <v>2897</v>
      </c>
      <c r="B623" s="32" t="str">
        <f>_xlfn.XLOOKUP(TablaSTOCKINV[[#This Row],[SKU]],TablaINVENTARIO[SKU],TablaINVENTARIO[DESCRIPCION])</f>
        <v xml:space="preserve">BOQUILLA DE SOLDADURA </v>
      </c>
      <c r="C623" s="32" t="str">
        <f>_xlfn.XLOOKUP(TablaSTOCKINV[[#This Row],[SKU]],TablaINVENTARIO[SKU],TablaINVENTARIO[MARCA])</f>
        <v>N/A</v>
      </c>
      <c r="D623" s="33" t="str">
        <f>_xlfn.XLOOKUP(TablaSTOCKINV[[#This Row],[SKU]],TablaINVENTARIO[SKU],TablaINVENTARIO[CATEGORIA])</f>
        <v>HERRAMIENTAS_</v>
      </c>
      <c r="E623" s="33" t="str">
        <f>_xlfn.XLOOKUP(TablaSTOCKINV[[#This Row],[SKU]],TablaINVENTARIO[SKU],TablaINVENTARIO[SUBCATEGORIA])</f>
        <v xml:space="preserve">MATERIAL DE REFRIGERACIÓN </v>
      </c>
      <c r="F623" s="33" t="str">
        <f>_xlfn.XLOOKUP(TablaSTOCKINV[[#This Row],[SKU]],TablaINVENTARIO[SKU],TablaINVENTARIO[ESTADO])</f>
        <v>USADO</v>
      </c>
      <c r="G623" s="33" t="str">
        <f>_xlfn.XLOOKUP(TablaSTOCKINV[[#This Row],[SKU]],TablaINVENTARIO[SKU],TablaINVENTARIO[MEDIDA])</f>
        <v>UND</v>
      </c>
      <c r="H623" s="33" t="str">
        <f>_xlfn.XLOOKUP(TablaSTOCKINV[[#This Row],[SKU]],TablaINVENTARIO[SKU],TablaINVENTARIO[SERIAL])</f>
        <v>N/A</v>
      </c>
      <c r="I623" s="34" t="str">
        <f>_xlfn.XLOOKUP(TablaSTOCKINV[[#This Row],[SKU]],TablaINVENTARIO[SKU],TablaINVENTARIO[ALMACEN])</f>
        <v>ALMACEN PRINCIPAL</v>
      </c>
      <c r="J623" s="34" t="str">
        <f>_xlfn.XLOOKUP(TablaSTOCKINV[[#This Row],[SKU]],TablaINVENTARIO[SKU],TablaINVENTARIO[UBICACION])</f>
        <v>E2-2</v>
      </c>
      <c r="K623" s="34" t="str">
        <f>_xlfn.XLOOKUP(TablaSTOCKINV[[#This Row],[SKU]],TablaINVENTARIO[SKU],TablaINVENTARIO[DPTO RESPONSABLE])</f>
        <v>MANTENIMIENTO</v>
      </c>
      <c r="L623" s="36">
        <f>_xlfn.XLOOKUP(TablaSTOCKINV[[#This Row],[SKU]],TablaINVENTARIO[SKU],TablaINVENTARIO[RANGO MIN])</f>
        <v>0</v>
      </c>
      <c r="M623" s="34" cm="1">
        <f t="array" ref="M623">_xlfn.IFS(TablaSTOCKINV[[#This Row],[CANT. TOTAL]]&lt;=0,1,TablaSTOCKINV[[#This Row],[CANT. TOTAL]]&lt;=TablaSTOCKINV[[#This Row],[MIN]],2,TablaSTOCKINV[[#This Row],[CANT. TOTAL]]&gt;TablaSTOCKINV[[#This Row],[MIN]],3)</f>
        <v>3</v>
      </c>
      <c r="N623" s="34">
        <f>TablaSTOCKINV[[#This Row],[ENTRADAS]]-TablaSTOCKINV[[#This Row],[SALIDAS]]</f>
        <v>2</v>
      </c>
      <c r="O623" s="35">
        <f>SUMIFS(TablaENTRADA[CANT],TablaENTRADA[SKU],TablaSTOCKINV[[#This Row],[SKU]])</f>
        <v>2</v>
      </c>
      <c r="P623" s="35">
        <f>SUMIFS(TablaSALIDA[CANT],TablaSALIDA[SKU],TablaSTOCKINV[[#This Row],[SKU]])</f>
        <v>0</v>
      </c>
      <c r="Q623" s="34">
        <f>_xlfn.XLOOKUP(TablaSTOCKINV[[#This Row],[SKU]],TablaINVENTARIO[SKU],TablaINVENTARIO[PRECIO])</f>
        <v>0</v>
      </c>
      <c r="R623" s="34">
        <f>TablaSTOCKINV[[#This Row],[P.UNITARIO]]*TablaSTOCKINV[[#This Row],[CANT. TOTAL]]</f>
        <v>0</v>
      </c>
      <c r="S623" s="44">
        <f>_xlfn.XLOOKUP(TablaSTOCKINV[[#This Row],[SKU]],TablaINVENTARIO[SKU],TablaINVENTARIO[FECHA INGRESO])</f>
        <v>46023</v>
      </c>
      <c r="T623" s="44">
        <f>_xlfn.XLOOKUP(TablaSTOCKINV[[#This Row],[SKU]],TablaENTRADA[SKU],TablaENTRADA[FECHA],,0,-1)</f>
        <v>46023</v>
      </c>
      <c r="U623" s="46" t="str">
        <f>IFERROR((_xlfn.XLOOKUP(TablaSTOCKINV[[#This Row],[SKU]],TablaSALIDA[SKU],TablaSALIDA[FECHA],,0,-1))," " )</f>
        <v xml:space="preserve"> </v>
      </c>
    </row>
    <row r="624" spans="1:21" x14ac:dyDescent="0.3">
      <c r="A624" s="27" t="s">
        <v>2899</v>
      </c>
      <c r="B624" s="32" t="str">
        <f>_xlfn.XLOOKUP(TablaSTOCKINV[[#This Row],[SKU]],TablaINVENTARIO[SKU],TablaINVENTARIO[DESCRIPCION])</f>
        <v xml:space="preserve">VALVULA DE SERVICIO </v>
      </c>
      <c r="C624" s="32" t="str">
        <f>_xlfn.XLOOKUP(TablaSTOCKINV[[#This Row],[SKU]],TablaINVENTARIO[SKU],TablaINVENTARIO[MARCA])</f>
        <v>N/A</v>
      </c>
      <c r="D624" s="33" t="str">
        <f>_xlfn.XLOOKUP(TablaSTOCKINV[[#This Row],[SKU]],TablaINVENTARIO[SKU],TablaINVENTARIO[CATEGORIA])</f>
        <v>HERRAMIENTAS_</v>
      </c>
      <c r="E624" s="33" t="str">
        <f>_xlfn.XLOOKUP(TablaSTOCKINV[[#This Row],[SKU]],TablaINVENTARIO[SKU],TablaINVENTARIO[SUBCATEGORIA])</f>
        <v xml:space="preserve">MATERIAL DE REFRIGERACIÓN </v>
      </c>
      <c r="F624" s="33" t="str">
        <f>_xlfn.XLOOKUP(TablaSTOCKINV[[#This Row],[SKU]],TablaINVENTARIO[SKU],TablaINVENTARIO[ESTADO])</f>
        <v xml:space="preserve">NUEVO </v>
      </c>
      <c r="G624" s="33" t="str">
        <f>_xlfn.XLOOKUP(TablaSTOCKINV[[#This Row],[SKU]],TablaINVENTARIO[SKU],TablaINVENTARIO[MEDIDA])</f>
        <v>UND</v>
      </c>
      <c r="H624" s="33" t="str">
        <f>_xlfn.XLOOKUP(TablaSTOCKINV[[#This Row],[SKU]],TablaINVENTARIO[SKU],TablaINVENTARIO[SERIAL])</f>
        <v>N/A</v>
      </c>
      <c r="I624" s="34" t="str">
        <f>_xlfn.XLOOKUP(TablaSTOCKINV[[#This Row],[SKU]],TablaINVENTARIO[SKU],TablaINVENTARIO[ALMACEN])</f>
        <v>ALMACEN PRINCIPAL</v>
      </c>
      <c r="J624" s="34" t="str">
        <f>_xlfn.XLOOKUP(TablaSTOCKINV[[#This Row],[SKU]],TablaINVENTARIO[SKU],TablaINVENTARIO[UBICACION])</f>
        <v>E2-2</v>
      </c>
      <c r="K624" s="34" t="str">
        <f>_xlfn.XLOOKUP(TablaSTOCKINV[[#This Row],[SKU]],TablaINVENTARIO[SKU],TablaINVENTARIO[DPTO RESPONSABLE])</f>
        <v>MANTENIMIENTO</v>
      </c>
      <c r="L624" s="36">
        <f>_xlfn.XLOOKUP(TablaSTOCKINV[[#This Row],[SKU]],TablaINVENTARIO[SKU],TablaINVENTARIO[RANGO MIN])</f>
        <v>0</v>
      </c>
      <c r="M624" s="34" cm="1">
        <f t="array" ref="M624">_xlfn.IFS(TablaSTOCKINV[[#This Row],[CANT. TOTAL]]&lt;=0,1,TablaSTOCKINV[[#This Row],[CANT. TOTAL]]&lt;=TablaSTOCKINV[[#This Row],[MIN]],2,TablaSTOCKINV[[#This Row],[CANT. TOTAL]]&gt;TablaSTOCKINV[[#This Row],[MIN]],3)</f>
        <v>3</v>
      </c>
      <c r="N624" s="34">
        <f>TablaSTOCKINV[[#This Row],[ENTRADAS]]-TablaSTOCKINV[[#This Row],[SALIDAS]]</f>
        <v>2</v>
      </c>
      <c r="O624" s="35">
        <f>SUMIFS(TablaENTRADA[CANT],TablaENTRADA[SKU],TablaSTOCKINV[[#This Row],[SKU]])</f>
        <v>2</v>
      </c>
      <c r="P624" s="35">
        <f>SUMIFS(TablaSALIDA[CANT],TablaSALIDA[SKU],TablaSTOCKINV[[#This Row],[SKU]])</f>
        <v>0</v>
      </c>
      <c r="Q624" s="34">
        <f>_xlfn.XLOOKUP(TablaSTOCKINV[[#This Row],[SKU]],TablaINVENTARIO[SKU],TablaINVENTARIO[PRECIO])</f>
        <v>0</v>
      </c>
      <c r="R624" s="34">
        <f>TablaSTOCKINV[[#This Row],[P.UNITARIO]]*TablaSTOCKINV[[#This Row],[CANT. TOTAL]]</f>
        <v>0</v>
      </c>
      <c r="S624" s="44">
        <f>_xlfn.XLOOKUP(TablaSTOCKINV[[#This Row],[SKU]],TablaINVENTARIO[SKU],TablaINVENTARIO[FECHA INGRESO])</f>
        <v>46023</v>
      </c>
      <c r="T624" s="44">
        <f>_xlfn.XLOOKUP(TablaSTOCKINV[[#This Row],[SKU]],TablaENTRADA[SKU],TablaENTRADA[FECHA],,0,-1)</f>
        <v>46023</v>
      </c>
      <c r="U624" s="46" t="str">
        <f>IFERROR((_xlfn.XLOOKUP(TablaSTOCKINV[[#This Row],[SKU]],TablaSALIDA[SKU],TablaSALIDA[FECHA],,0,-1))," " )</f>
        <v xml:space="preserve"> </v>
      </c>
    </row>
    <row r="625" spans="1:21" x14ac:dyDescent="0.3">
      <c r="A625" s="27" t="s">
        <v>2901</v>
      </c>
      <c r="B625" s="32" t="str">
        <f>_xlfn.XLOOKUP(TablaSTOCKINV[[#This Row],[SKU]],TablaINVENTARIO[SKU],TablaINVENTARIO[DESCRIPCION])</f>
        <v xml:space="preserve">CODO DE COBRE PARA TUBERIA DE REFRIGERACION </v>
      </c>
      <c r="C625" s="32" t="str">
        <f>_xlfn.XLOOKUP(TablaSTOCKINV[[#This Row],[SKU]],TablaINVENTARIO[SKU],TablaINVENTARIO[MARCA])</f>
        <v>N/A</v>
      </c>
      <c r="D625" s="33" t="str">
        <f>_xlfn.XLOOKUP(TablaSTOCKINV[[#This Row],[SKU]],TablaINVENTARIO[SKU],TablaINVENTARIO[CATEGORIA])</f>
        <v>HERRAMIENTAS_</v>
      </c>
      <c r="E625" s="33" t="str">
        <f>_xlfn.XLOOKUP(TablaSTOCKINV[[#This Row],[SKU]],TablaINVENTARIO[SKU],TablaINVENTARIO[SUBCATEGORIA])</f>
        <v xml:space="preserve">MATERIAL DE REFRIGERACIÓN </v>
      </c>
      <c r="F625" s="33" t="str">
        <f>_xlfn.XLOOKUP(TablaSTOCKINV[[#This Row],[SKU]],TablaINVENTARIO[SKU],TablaINVENTARIO[ESTADO])</f>
        <v xml:space="preserve">NUEVO </v>
      </c>
      <c r="G625" s="33" t="str">
        <f>_xlfn.XLOOKUP(TablaSTOCKINV[[#This Row],[SKU]],TablaINVENTARIO[SKU],TablaINVENTARIO[MEDIDA])</f>
        <v>UND</v>
      </c>
      <c r="H625" s="33" t="str">
        <f>_xlfn.XLOOKUP(TablaSTOCKINV[[#This Row],[SKU]],TablaINVENTARIO[SKU],TablaINVENTARIO[SERIAL])</f>
        <v>N/A</v>
      </c>
      <c r="I625" s="34" t="str">
        <f>_xlfn.XLOOKUP(TablaSTOCKINV[[#This Row],[SKU]],TablaINVENTARIO[SKU],TablaINVENTARIO[ALMACEN])</f>
        <v>ALMACEN PRINCIPAL</v>
      </c>
      <c r="J625" s="34" t="str">
        <f>_xlfn.XLOOKUP(TablaSTOCKINV[[#This Row],[SKU]],TablaINVENTARIO[SKU],TablaINVENTARIO[UBICACION])</f>
        <v>E2-2</v>
      </c>
      <c r="K625" s="34" t="str">
        <f>_xlfn.XLOOKUP(TablaSTOCKINV[[#This Row],[SKU]],TablaINVENTARIO[SKU],TablaINVENTARIO[DPTO RESPONSABLE])</f>
        <v>MANTENIMIENTO</v>
      </c>
      <c r="L625" s="36">
        <f>_xlfn.XLOOKUP(TablaSTOCKINV[[#This Row],[SKU]],TablaINVENTARIO[SKU],TablaINVENTARIO[RANGO MIN])</f>
        <v>0</v>
      </c>
      <c r="M625" s="34" cm="1">
        <f t="array" ref="M625">_xlfn.IFS(TablaSTOCKINV[[#This Row],[CANT. TOTAL]]&lt;=0,1,TablaSTOCKINV[[#This Row],[CANT. TOTAL]]&lt;=TablaSTOCKINV[[#This Row],[MIN]],2,TablaSTOCKINV[[#This Row],[CANT. TOTAL]]&gt;TablaSTOCKINV[[#This Row],[MIN]],3)</f>
        <v>3</v>
      </c>
      <c r="N625" s="34">
        <f>TablaSTOCKINV[[#This Row],[ENTRADAS]]-TablaSTOCKINV[[#This Row],[SALIDAS]]</f>
        <v>12</v>
      </c>
      <c r="O625" s="35">
        <f>SUMIFS(TablaENTRADA[CANT],TablaENTRADA[SKU],TablaSTOCKINV[[#This Row],[SKU]])</f>
        <v>12</v>
      </c>
      <c r="P625" s="35">
        <f>SUMIFS(TablaSALIDA[CANT],TablaSALIDA[SKU],TablaSTOCKINV[[#This Row],[SKU]])</f>
        <v>0</v>
      </c>
      <c r="Q625" s="34">
        <f>_xlfn.XLOOKUP(TablaSTOCKINV[[#This Row],[SKU]],TablaINVENTARIO[SKU],TablaINVENTARIO[PRECIO])</f>
        <v>0</v>
      </c>
      <c r="R625" s="34">
        <f>TablaSTOCKINV[[#This Row],[P.UNITARIO]]*TablaSTOCKINV[[#This Row],[CANT. TOTAL]]</f>
        <v>0</v>
      </c>
      <c r="S625" s="44">
        <f>_xlfn.XLOOKUP(TablaSTOCKINV[[#This Row],[SKU]],TablaINVENTARIO[SKU],TablaINVENTARIO[FECHA INGRESO])</f>
        <v>46023</v>
      </c>
      <c r="T625" s="44">
        <f>_xlfn.XLOOKUP(TablaSTOCKINV[[#This Row],[SKU]],TablaENTRADA[SKU],TablaENTRADA[FECHA],,0,-1)</f>
        <v>46023</v>
      </c>
      <c r="U625" s="46" t="str">
        <f>IFERROR((_xlfn.XLOOKUP(TablaSTOCKINV[[#This Row],[SKU]],TablaSALIDA[SKU],TablaSALIDA[FECHA],,0,-1))," " )</f>
        <v xml:space="preserve"> </v>
      </c>
    </row>
    <row r="626" spans="1:21" x14ac:dyDescent="0.3">
      <c r="A626" s="27" t="s">
        <v>2903</v>
      </c>
      <c r="B626" s="32" t="str">
        <f>_xlfn.XLOOKUP(TablaSTOCKINV[[#This Row],[SKU]],TablaINVENTARIO[SKU],TablaINVENTARIO[DESCRIPCION])</f>
        <v>CAPACITOR 10 µf</v>
      </c>
      <c r="C626" s="32" t="str">
        <f>_xlfn.XLOOKUP(TablaSTOCKINV[[#This Row],[SKU]],TablaINVENTARIO[SKU],TablaINVENTARIO[MARCA])</f>
        <v>MAXWELL</v>
      </c>
      <c r="D626" s="33" t="str">
        <f>_xlfn.XLOOKUP(TablaSTOCKINV[[#This Row],[SKU]],TablaINVENTARIO[SKU],TablaINVENTARIO[CATEGORIA])</f>
        <v>HERRAMIENTAS_</v>
      </c>
      <c r="E626" s="33" t="str">
        <f>_xlfn.XLOOKUP(TablaSTOCKINV[[#This Row],[SKU]],TablaINVENTARIO[SKU],TablaINVENTARIO[SUBCATEGORIA])</f>
        <v xml:space="preserve">MATERIAL DE REFRIGERACIÓN </v>
      </c>
      <c r="F626" s="33" t="str">
        <f>_xlfn.XLOOKUP(TablaSTOCKINV[[#This Row],[SKU]],TablaINVENTARIO[SKU],TablaINVENTARIO[ESTADO])</f>
        <v xml:space="preserve">NUEVO </v>
      </c>
      <c r="G626" s="33" t="str">
        <f>_xlfn.XLOOKUP(TablaSTOCKINV[[#This Row],[SKU]],TablaINVENTARIO[SKU],TablaINVENTARIO[MEDIDA])</f>
        <v>UND</v>
      </c>
      <c r="H626" s="33" t="str">
        <f>_xlfn.XLOOKUP(TablaSTOCKINV[[#This Row],[SKU]],TablaINVENTARIO[SKU],TablaINVENTARIO[SERIAL])</f>
        <v>N/A</v>
      </c>
      <c r="I626" s="34" t="str">
        <f>_xlfn.XLOOKUP(TablaSTOCKINV[[#This Row],[SKU]],TablaINVENTARIO[SKU],TablaINVENTARIO[ALMACEN])</f>
        <v>ALMACEN PRINCIPAL</v>
      </c>
      <c r="J626" s="34" t="str">
        <f>_xlfn.XLOOKUP(TablaSTOCKINV[[#This Row],[SKU]],TablaINVENTARIO[SKU],TablaINVENTARIO[UBICACION])</f>
        <v>E2-2</v>
      </c>
      <c r="K626" s="34" t="str">
        <f>_xlfn.XLOOKUP(TablaSTOCKINV[[#This Row],[SKU]],TablaINVENTARIO[SKU],TablaINVENTARIO[DPTO RESPONSABLE])</f>
        <v>MANTENIMIENTO</v>
      </c>
      <c r="L626" s="36">
        <f>_xlfn.XLOOKUP(TablaSTOCKINV[[#This Row],[SKU]],TablaINVENTARIO[SKU],TablaINVENTARIO[RANGO MIN])</f>
        <v>0</v>
      </c>
      <c r="M626" s="34" cm="1">
        <f t="array" ref="M626">_xlfn.IFS(TablaSTOCKINV[[#This Row],[CANT. TOTAL]]&lt;=0,1,TablaSTOCKINV[[#This Row],[CANT. TOTAL]]&lt;=TablaSTOCKINV[[#This Row],[MIN]],2,TablaSTOCKINV[[#This Row],[CANT. TOTAL]]&gt;TablaSTOCKINV[[#This Row],[MIN]],3)</f>
        <v>3</v>
      </c>
      <c r="N626" s="34">
        <f>TablaSTOCKINV[[#This Row],[ENTRADAS]]-TablaSTOCKINV[[#This Row],[SALIDAS]]</f>
        <v>2</v>
      </c>
      <c r="O626" s="35">
        <f>SUMIFS(TablaENTRADA[CANT],TablaENTRADA[SKU],TablaSTOCKINV[[#This Row],[SKU]])</f>
        <v>2</v>
      </c>
      <c r="P626" s="35">
        <f>SUMIFS(TablaSALIDA[CANT],TablaSALIDA[SKU],TablaSTOCKINV[[#This Row],[SKU]])</f>
        <v>0</v>
      </c>
      <c r="Q626" s="34">
        <f>_xlfn.XLOOKUP(TablaSTOCKINV[[#This Row],[SKU]],TablaINVENTARIO[SKU],TablaINVENTARIO[PRECIO])</f>
        <v>0</v>
      </c>
      <c r="R626" s="34">
        <f>TablaSTOCKINV[[#This Row],[P.UNITARIO]]*TablaSTOCKINV[[#This Row],[CANT. TOTAL]]</f>
        <v>0</v>
      </c>
      <c r="S626" s="44">
        <f>_xlfn.XLOOKUP(TablaSTOCKINV[[#This Row],[SKU]],TablaINVENTARIO[SKU],TablaINVENTARIO[FECHA INGRESO])</f>
        <v>46023</v>
      </c>
      <c r="T626" s="44">
        <f>_xlfn.XLOOKUP(TablaSTOCKINV[[#This Row],[SKU]],TablaENTRADA[SKU],TablaENTRADA[FECHA],,0,-1)</f>
        <v>46023</v>
      </c>
      <c r="U626" s="46" t="str">
        <f>IFERROR((_xlfn.XLOOKUP(TablaSTOCKINV[[#This Row],[SKU]],TablaSALIDA[SKU],TablaSALIDA[FECHA],,0,-1))," " )</f>
        <v xml:space="preserve"> </v>
      </c>
    </row>
    <row r="627" spans="1:21" x14ac:dyDescent="0.3">
      <c r="A627" s="27" t="s">
        <v>2906</v>
      </c>
      <c r="B627" s="32" t="str">
        <f>_xlfn.XLOOKUP(TablaSTOCKINV[[#This Row],[SKU]],TablaINVENTARIO[SKU],TablaINVENTARIO[DESCRIPCION])</f>
        <v>CAPACITOR 10 µf</v>
      </c>
      <c r="C627" s="32" t="str">
        <f>_xlfn.XLOOKUP(TablaSTOCKINV[[#This Row],[SKU]],TablaINVENTARIO[SKU],TablaINVENTARIO[MARCA])</f>
        <v xml:space="preserve">VENE US </v>
      </c>
      <c r="D627" s="33" t="str">
        <f>_xlfn.XLOOKUP(TablaSTOCKINV[[#This Row],[SKU]],TablaINVENTARIO[SKU],TablaINVENTARIO[CATEGORIA])</f>
        <v>HERRAMIENTAS_</v>
      </c>
      <c r="E627" s="33" t="str">
        <f>_xlfn.XLOOKUP(TablaSTOCKINV[[#This Row],[SKU]],TablaINVENTARIO[SKU],TablaINVENTARIO[SUBCATEGORIA])</f>
        <v xml:space="preserve">MATERIAL DE REFRIGERACIÓN </v>
      </c>
      <c r="F627" s="33" t="str">
        <f>_xlfn.XLOOKUP(TablaSTOCKINV[[#This Row],[SKU]],TablaINVENTARIO[SKU],TablaINVENTARIO[ESTADO])</f>
        <v xml:space="preserve">NUEVO </v>
      </c>
      <c r="G627" s="33" t="str">
        <f>_xlfn.XLOOKUP(TablaSTOCKINV[[#This Row],[SKU]],TablaINVENTARIO[SKU],TablaINVENTARIO[MEDIDA])</f>
        <v>UND</v>
      </c>
      <c r="H627" s="33" t="str">
        <f>_xlfn.XLOOKUP(TablaSTOCKINV[[#This Row],[SKU]],TablaINVENTARIO[SKU],TablaINVENTARIO[SERIAL])</f>
        <v>N/A</v>
      </c>
      <c r="I627" s="34" t="str">
        <f>_xlfn.XLOOKUP(TablaSTOCKINV[[#This Row],[SKU]],TablaINVENTARIO[SKU],TablaINVENTARIO[ALMACEN])</f>
        <v>ALMACEN PRINCIPAL</v>
      </c>
      <c r="J627" s="34" t="str">
        <f>_xlfn.XLOOKUP(TablaSTOCKINV[[#This Row],[SKU]],TablaINVENTARIO[SKU],TablaINVENTARIO[UBICACION])</f>
        <v>E2-2</v>
      </c>
      <c r="K627" s="34" t="str">
        <f>_xlfn.XLOOKUP(TablaSTOCKINV[[#This Row],[SKU]],TablaINVENTARIO[SKU],TablaINVENTARIO[DPTO RESPONSABLE])</f>
        <v>MANTENIMIENTO</v>
      </c>
      <c r="L627" s="36">
        <f>_xlfn.XLOOKUP(TablaSTOCKINV[[#This Row],[SKU]],TablaINVENTARIO[SKU],TablaINVENTARIO[RANGO MIN])</f>
        <v>0</v>
      </c>
      <c r="M627" s="34" cm="1">
        <f t="array" ref="M627">_xlfn.IFS(TablaSTOCKINV[[#This Row],[CANT. TOTAL]]&lt;=0,1,TablaSTOCKINV[[#This Row],[CANT. TOTAL]]&lt;=TablaSTOCKINV[[#This Row],[MIN]],2,TablaSTOCKINV[[#This Row],[CANT. TOTAL]]&gt;TablaSTOCKINV[[#This Row],[MIN]],3)</f>
        <v>3</v>
      </c>
      <c r="N627" s="34">
        <f>TablaSTOCKINV[[#This Row],[ENTRADAS]]-TablaSTOCKINV[[#This Row],[SALIDAS]]</f>
        <v>6</v>
      </c>
      <c r="O627" s="35">
        <f>SUMIFS(TablaENTRADA[CANT],TablaENTRADA[SKU],TablaSTOCKINV[[#This Row],[SKU]])</f>
        <v>6</v>
      </c>
      <c r="P627" s="35">
        <f>SUMIFS(TablaSALIDA[CANT],TablaSALIDA[SKU],TablaSTOCKINV[[#This Row],[SKU]])</f>
        <v>0</v>
      </c>
      <c r="Q627" s="34">
        <f>_xlfn.XLOOKUP(TablaSTOCKINV[[#This Row],[SKU]],TablaINVENTARIO[SKU],TablaINVENTARIO[PRECIO])</f>
        <v>0</v>
      </c>
      <c r="R627" s="34">
        <f>TablaSTOCKINV[[#This Row],[P.UNITARIO]]*TablaSTOCKINV[[#This Row],[CANT. TOTAL]]</f>
        <v>0</v>
      </c>
      <c r="S627" s="44">
        <f>_xlfn.XLOOKUP(TablaSTOCKINV[[#This Row],[SKU]],TablaINVENTARIO[SKU],TablaINVENTARIO[FECHA INGRESO])</f>
        <v>46023</v>
      </c>
      <c r="T627" s="44">
        <f>_xlfn.XLOOKUP(TablaSTOCKINV[[#This Row],[SKU]],TablaENTRADA[SKU],TablaENTRADA[FECHA],,0,-1)</f>
        <v>46023</v>
      </c>
      <c r="U627" s="46" t="str">
        <f>IFERROR((_xlfn.XLOOKUP(TablaSTOCKINV[[#This Row],[SKU]],TablaSALIDA[SKU],TablaSALIDA[FECHA],,0,-1))," " )</f>
        <v xml:space="preserve"> </v>
      </c>
    </row>
    <row r="628" spans="1:21" x14ac:dyDescent="0.3">
      <c r="A628" s="27" t="s">
        <v>2908</v>
      </c>
      <c r="B628" s="32" t="str">
        <f>_xlfn.XLOOKUP(TablaSTOCKINV[[#This Row],[SKU]],TablaINVENTARIO[SKU],TablaINVENTARIO[DESCRIPCION])</f>
        <v>CAPACITOR 12.5 µf</v>
      </c>
      <c r="C628" s="32" t="str">
        <f>_xlfn.XLOOKUP(TablaSTOCKINV[[#This Row],[SKU]],TablaINVENTARIO[SKU],TablaINVENTARIO[MARCA])</f>
        <v xml:space="preserve">VENE US </v>
      </c>
      <c r="D628" s="33" t="str">
        <f>_xlfn.XLOOKUP(TablaSTOCKINV[[#This Row],[SKU]],TablaINVENTARIO[SKU],TablaINVENTARIO[CATEGORIA])</f>
        <v>HERRAMIENTAS_</v>
      </c>
      <c r="E628" s="33" t="str">
        <f>_xlfn.XLOOKUP(TablaSTOCKINV[[#This Row],[SKU]],TablaINVENTARIO[SKU],TablaINVENTARIO[SUBCATEGORIA])</f>
        <v xml:space="preserve">MATERIAL DE REFRIGERACIÓN </v>
      </c>
      <c r="F628" s="33" t="str">
        <f>_xlfn.XLOOKUP(TablaSTOCKINV[[#This Row],[SKU]],TablaINVENTARIO[SKU],TablaINVENTARIO[ESTADO])</f>
        <v xml:space="preserve">NUEVO </v>
      </c>
      <c r="G628" s="33" t="str">
        <f>_xlfn.XLOOKUP(TablaSTOCKINV[[#This Row],[SKU]],TablaINVENTARIO[SKU],TablaINVENTARIO[MEDIDA])</f>
        <v>UND</v>
      </c>
      <c r="H628" s="33" t="str">
        <f>_xlfn.XLOOKUP(TablaSTOCKINV[[#This Row],[SKU]],TablaINVENTARIO[SKU],TablaINVENTARIO[SERIAL])</f>
        <v>N/A</v>
      </c>
      <c r="I628" s="34" t="str">
        <f>_xlfn.XLOOKUP(TablaSTOCKINV[[#This Row],[SKU]],TablaINVENTARIO[SKU],TablaINVENTARIO[ALMACEN])</f>
        <v>ALMACEN PRINCIPAL</v>
      </c>
      <c r="J628" s="34" t="str">
        <f>_xlfn.XLOOKUP(TablaSTOCKINV[[#This Row],[SKU]],TablaINVENTARIO[SKU],TablaINVENTARIO[UBICACION])</f>
        <v>E2-2</v>
      </c>
      <c r="K628" s="34" t="str">
        <f>_xlfn.XLOOKUP(TablaSTOCKINV[[#This Row],[SKU]],TablaINVENTARIO[SKU],TablaINVENTARIO[DPTO RESPONSABLE])</f>
        <v>MANTENIMIENTO</v>
      </c>
      <c r="L628" s="36">
        <f>_xlfn.XLOOKUP(TablaSTOCKINV[[#This Row],[SKU]],TablaINVENTARIO[SKU],TablaINVENTARIO[RANGO MIN])</f>
        <v>0</v>
      </c>
      <c r="M628" s="34" cm="1">
        <f t="array" ref="M628">_xlfn.IFS(TablaSTOCKINV[[#This Row],[CANT. TOTAL]]&lt;=0,1,TablaSTOCKINV[[#This Row],[CANT. TOTAL]]&lt;=TablaSTOCKINV[[#This Row],[MIN]],2,TablaSTOCKINV[[#This Row],[CANT. TOTAL]]&gt;TablaSTOCKINV[[#This Row],[MIN]],3)</f>
        <v>3</v>
      </c>
      <c r="N628" s="34">
        <f>TablaSTOCKINV[[#This Row],[ENTRADAS]]-TablaSTOCKINV[[#This Row],[SALIDAS]]</f>
        <v>8</v>
      </c>
      <c r="O628" s="35">
        <f>SUMIFS(TablaENTRADA[CANT],TablaENTRADA[SKU],TablaSTOCKINV[[#This Row],[SKU]])</f>
        <v>8</v>
      </c>
      <c r="P628" s="35">
        <f>SUMIFS(TablaSALIDA[CANT],TablaSALIDA[SKU],TablaSTOCKINV[[#This Row],[SKU]])</f>
        <v>0</v>
      </c>
      <c r="Q628" s="34">
        <f>_xlfn.XLOOKUP(TablaSTOCKINV[[#This Row],[SKU]],TablaINVENTARIO[SKU],TablaINVENTARIO[PRECIO])</f>
        <v>0</v>
      </c>
      <c r="R628" s="34">
        <f>TablaSTOCKINV[[#This Row],[P.UNITARIO]]*TablaSTOCKINV[[#This Row],[CANT. TOTAL]]</f>
        <v>0</v>
      </c>
      <c r="S628" s="44">
        <f>_xlfn.XLOOKUP(TablaSTOCKINV[[#This Row],[SKU]],TablaINVENTARIO[SKU],TablaINVENTARIO[FECHA INGRESO])</f>
        <v>46023</v>
      </c>
      <c r="T628" s="44">
        <f>_xlfn.XLOOKUP(TablaSTOCKINV[[#This Row],[SKU]],TablaENTRADA[SKU],TablaENTRADA[FECHA],,0,-1)</f>
        <v>46023</v>
      </c>
      <c r="U628" s="46" t="str">
        <f>IFERROR((_xlfn.XLOOKUP(TablaSTOCKINV[[#This Row],[SKU]],TablaSALIDA[SKU],TablaSALIDA[FECHA],,0,-1))," " )</f>
        <v xml:space="preserve"> </v>
      </c>
    </row>
    <row r="629" spans="1:21" x14ac:dyDescent="0.3">
      <c r="A629" s="27" t="s">
        <v>2910</v>
      </c>
      <c r="B629" s="32" t="str">
        <f>_xlfn.XLOOKUP(TablaSTOCKINV[[#This Row],[SKU]],TablaINVENTARIO[SKU],TablaINVENTARIO[DESCRIPCION])</f>
        <v>CAPACITOR 10 µf</v>
      </c>
      <c r="C629" s="32" t="str">
        <f>_xlfn.XLOOKUP(TablaSTOCKINV[[#This Row],[SKU]],TablaINVENTARIO[SKU],TablaINVENTARIO[MARCA])</f>
        <v>HKM</v>
      </c>
      <c r="D629" s="33" t="str">
        <f>_xlfn.XLOOKUP(TablaSTOCKINV[[#This Row],[SKU]],TablaINVENTARIO[SKU],TablaINVENTARIO[CATEGORIA])</f>
        <v>HERRAMIENTAS_</v>
      </c>
      <c r="E629" s="33" t="str">
        <f>_xlfn.XLOOKUP(TablaSTOCKINV[[#This Row],[SKU]],TablaINVENTARIO[SKU],TablaINVENTARIO[SUBCATEGORIA])</f>
        <v xml:space="preserve">MATERIAL DE REFRIGERACIÓN </v>
      </c>
      <c r="F629" s="33" t="str">
        <f>_xlfn.XLOOKUP(TablaSTOCKINV[[#This Row],[SKU]],TablaINVENTARIO[SKU],TablaINVENTARIO[ESTADO])</f>
        <v xml:space="preserve">NUEVO </v>
      </c>
      <c r="G629" s="33" t="str">
        <f>_xlfn.XLOOKUP(TablaSTOCKINV[[#This Row],[SKU]],TablaINVENTARIO[SKU],TablaINVENTARIO[MEDIDA])</f>
        <v>UND</v>
      </c>
      <c r="H629" s="33" t="str">
        <f>_xlfn.XLOOKUP(TablaSTOCKINV[[#This Row],[SKU]],TablaINVENTARIO[SKU],TablaINVENTARIO[SERIAL])</f>
        <v>N/A</v>
      </c>
      <c r="I629" s="34" t="str">
        <f>_xlfn.XLOOKUP(TablaSTOCKINV[[#This Row],[SKU]],TablaINVENTARIO[SKU],TablaINVENTARIO[ALMACEN])</f>
        <v>ALMACEN PRINCIPAL</v>
      </c>
      <c r="J629" s="34" t="str">
        <f>_xlfn.XLOOKUP(TablaSTOCKINV[[#This Row],[SKU]],TablaINVENTARIO[SKU],TablaINVENTARIO[UBICACION])</f>
        <v>E2-2</v>
      </c>
      <c r="K629" s="34" t="str">
        <f>_xlfn.XLOOKUP(TablaSTOCKINV[[#This Row],[SKU]],TablaINVENTARIO[SKU],TablaINVENTARIO[DPTO RESPONSABLE])</f>
        <v>MANTENIMIENTO</v>
      </c>
      <c r="L629" s="36">
        <f>_xlfn.XLOOKUP(TablaSTOCKINV[[#This Row],[SKU]],TablaINVENTARIO[SKU],TablaINVENTARIO[RANGO MIN])</f>
        <v>0</v>
      </c>
      <c r="M629" s="34" cm="1">
        <f t="array" ref="M629">_xlfn.IFS(TablaSTOCKINV[[#This Row],[CANT. TOTAL]]&lt;=0,1,TablaSTOCKINV[[#This Row],[CANT. TOTAL]]&lt;=TablaSTOCKINV[[#This Row],[MIN]],2,TablaSTOCKINV[[#This Row],[CANT. TOTAL]]&gt;TablaSTOCKINV[[#This Row],[MIN]],3)</f>
        <v>3</v>
      </c>
      <c r="N629" s="34">
        <f>TablaSTOCKINV[[#This Row],[ENTRADAS]]-TablaSTOCKINV[[#This Row],[SALIDAS]]</f>
        <v>4</v>
      </c>
      <c r="O629" s="35">
        <f>SUMIFS(TablaENTRADA[CANT],TablaENTRADA[SKU],TablaSTOCKINV[[#This Row],[SKU]])</f>
        <v>4</v>
      </c>
      <c r="P629" s="35">
        <f>SUMIFS(TablaSALIDA[CANT],TablaSALIDA[SKU],TablaSTOCKINV[[#This Row],[SKU]])</f>
        <v>0</v>
      </c>
      <c r="Q629" s="34">
        <f>_xlfn.XLOOKUP(TablaSTOCKINV[[#This Row],[SKU]],TablaINVENTARIO[SKU],TablaINVENTARIO[PRECIO])</f>
        <v>0</v>
      </c>
      <c r="R629" s="34">
        <f>TablaSTOCKINV[[#This Row],[P.UNITARIO]]*TablaSTOCKINV[[#This Row],[CANT. TOTAL]]</f>
        <v>0</v>
      </c>
      <c r="S629" s="44">
        <f>_xlfn.XLOOKUP(TablaSTOCKINV[[#This Row],[SKU]],TablaINVENTARIO[SKU],TablaINVENTARIO[FECHA INGRESO])</f>
        <v>46023</v>
      </c>
      <c r="T629" s="44">
        <f>_xlfn.XLOOKUP(TablaSTOCKINV[[#This Row],[SKU]],TablaENTRADA[SKU],TablaENTRADA[FECHA],,0,-1)</f>
        <v>46023</v>
      </c>
      <c r="U629" s="46" t="str">
        <f>IFERROR((_xlfn.XLOOKUP(TablaSTOCKINV[[#This Row],[SKU]],TablaSALIDA[SKU],TablaSALIDA[FECHA],,0,-1))," " )</f>
        <v xml:space="preserve"> </v>
      </c>
    </row>
    <row r="630" spans="1:21" x14ac:dyDescent="0.3">
      <c r="A630" s="27" t="s">
        <v>2912</v>
      </c>
      <c r="B630" s="32" t="str">
        <f>_xlfn.XLOOKUP(TablaSTOCKINV[[#This Row],[SKU]],TablaINVENTARIO[SKU],TablaINVENTARIO[DESCRIPCION])</f>
        <v>CAPACITOR 3.5 µf</v>
      </c>
      <c r="C630" s="32" t="str">
        <f>_xlfn.XLOOKUP(TablaSTOCKINV[[#This Row],[SKU]],TablaINVENTARIO[SKU],TablaINVENTARIO[MARCA])</f>
        <v>ELECTRONIC US</v>
      </c>
      <c r="D630" s="33" t="str">
        <f>_xlfn.XLOOKUP(TablaSTOCKINV[[#This Row],[SKU]],TablaINVENTARIO[SKU],TablaINVENTARIO[CATEGORIA])</f>
        <v>HERRAMIENTAS_</v>
      </c>
      <c r="E630" s="33" t="str">
        <f>_xlfn.XLOOKUP(TablaSTOCKINV[[#This Row],[SKU]],TablaINVENTARIO[SKU],TablaINVENTARIO[SUBCATEGORIA])</f>
        <v xml:space="preserve">MATERIAL DE REFRIGERACIÓN </v>
      </c>
      <c r="F630" s="33" t="str">
        <f>_xlfn.XLOOKUP(TablaSTOCKINV[[#This Row],[SKU]],TablaINVENTARIO[SKU],TablaINVENTARIO[ESTADO])</f>
        <v xml:space="preserve">NUEVO </v>
      </c>
      <c r="G630" s="33" t="str">
        <f>_xlfn.XLOOKUP(TablaSTOCKINV[[#This Row],[SKU]],TablaINVENTARIO[SKU],TablaINVENTARIO[MEDIDA])</f>
        <v>UND</v>
      </c>
      <c r="H630" s="33" t="str">
        <f>_xlfn.XLOOKUP(TablaSTOCKINV[[#This Row],[SKU]],TablaINVENTARIO[SKU],TablaINVENTARIO[SERIAL])</f>
        <v>N/A</v>
      </c>
      <c r="I630" s="34" t="str">
        <f>_xlfn.XLOOKUP(TablaSTOCKINV[[#This Row],[SKU]],TablaINVENTARIO[SKU],TablaINVENTARIO[ALMACEN])</f>
        <v>ALMACEN PRINCIPAL</v>
      </c>
      <c r="J630" s="34" t="str">
        <f>_xlfn.XLOOKUP(TablaSTOCKINV[[#This Row],[SKU]],TablaINVENTARIO[SKU],TablaINVENTARIO[UBICACION])</f>
        <v>E2-2</v>
      </c>
      <c r="K630" s="34" t="str">
        <f>_xlfn.XLOOKUP(TablaSTOCKINV[[#This Row],[SKU]],TablaINVENTARIO[SKU],TablaINVENTARIO[DPTO RESPONSABLE])</f>
        <v>MANTENIMIENTO</v>
      </c>
      <c r="L630" s="36">
        <f>_xlfn.XLOOKUP(TablaSTOCKINV[[#This Row],[SKU]],TablaINVENTARIO[SKU],TablaINVENTARIO[RANGO MIN])</f>
        <v>0</v>
      </c>
      <c r="M630" s="34" cm="1">
        <f t="array" ref="M630">_xlfn.IFS(TablaSTOCKINV[[#This Row],[CANT. TOTAL]]&lt;=0,1,TablaSTOCKINV[[#This Row],[CANT. TOTAL]]&lt;=TablaSTOCKINV[[#This Row],[MIN]],2,TablaSTOCKINV[[#This Row],[CANT. TOTAL]]&gt;TablaSTOCKINV[[#This Row],[MIN]],3)</f>
        <v>3</v>
      </c>
      <c r="N630" s="34">
        <f>TablaSTOCKINV[[#This Row],[ENTRADAS]]-TablaSTOCKINV[[#This Row],[SALIDAS]]</f>
        <v>2</v>
      </c>
      <c r="O630" s="35">
        <f>SUMIFS(TablaENTRADA[CANT],TablaENTRADA[SKU],TablaSTOCKINV[[#This Row],[SKU]])</f>
        <v>2</v>
      </c>
      <c r="P630" s="35">
        <f>SUMIFS(TablaSALIDA[CANT],TablaSALIDA[SKU],TablaSTOCKINV[[#This Row],[SKU]])</f>
        <v>0</v>
      </c>
      <c r="Q630" s="34">
        <f>_xlfn.XLOOKUP(TablaSTOCKINV[[#This Row],[SKU]],TablaINVENTARIO[SKU],TablaINVENTARIO[PRECIO])</f>
        <v>0</v>
      </c>
      <c r="R630" s="34">
        <f>TablaSTOCKINV[[#This Row],[P.UNITARIO]]*TablaSTOCKINV[[#This Row],[CANT. TOTAL]]</f>
        <v>0</v>
      </c>
      <c r="S630" s="44">
        <f>_xlfn.XLOOKUP(TablaSTOCKINV[[#This Row],[SKU]],TablaINVENTARIO[SKU],TablaINVENTARIO[FECHA INGRESO])</f>
        <v>46023</v>
      </c>
      <c r="T630" s="44">
        <f>_xlfn.XLOOKUP(TablaSTOCKINV[[#This Row],[SKU]],TablaENTRADA[SKU],TablaENTRADA[FECHA],,0,-1)</f>
        <v>46023</v>
      </c>
      <c r="U630" s="46" t="str">
        <f>IFERROR((_xlfn.XLOOKUP(TablaSTOCKINV[[#This Row],[SKU]],TablaSALIDA[SKU],TablaSALIDA[FECHA],,0,-1))," " )</f>
        <v xml:space="preserve"> </v>
      </c>
    </row>
    <row r="631" spans="1:21" x14ac:dyDescent="0.3">
      <c r="A631" s="27" t="s">
        <v>2915</v>
      </c>
      <c r="B631" s="32" t="str">
        <f>_xlfn.XLOOKUP(TablaSTOCKINV[[#This Row],[SKU]],TablaINVENTARIO[SKU],TablaINVENTARIO[DESCRIPCION])</f>
        <v>CAPACITOR 2 µf</v>
      </c>
      <c r="C631" s="32" t="str">
        <f>_xlfn.XLOOKUP(TablaSTOCKINV[[#This Row],[SKU]],TablaINVENTARIO[SKU],TablaINVENTARIO[MARCA])</f>
        <v>ELECTRONIC US</v>
      </c>
      <c r="D631" s="33" t="str">
        <f>_xlfn.XLOOKUP(TablaSTOCKINV[[#This Row],[SKU]],TablaINVENTARIO[SKU],TablaINVENTARIO[CATEGORIA])</f>
        <v>HERRAMIENTAS_</v>
      </c>
      <c r="E631" s="33" t="str">
        <f>_xlfn.XLOOKUP(TablaSTOCKINV[[#This Row],[SKU]],TablaINVENTARIO[SKU],TablaINVENTARIO[SUBCATEGORIA])</f>
        <v xml:space="preserve">MATERIAL DE REFRIGERACIÓN </v>
      </c>
      <c r="F631" s="33" t="str">
        <f>_xlfn.XLOOKUP(TablaSTOCKINV[[#This Row],[SKU]],TablaINVENTARIO[SKU],TablaINVENTARIO[ESTADO])</f>
        <v xml:space="preserve">NUEVO </v>
      </c>
      <c r="G631" s="33" t="str">
        <f>_xlfn.XLOOKUP(TablaSTOCKINV[[#This Row],[SKU]],TablaINVENTARIO[SKU],TablaINVENTARIO[MEDIDA])</f>
        <v>UND</v>
      </c>
      <c r="H631" s="33" t="str">
        <f>_xlfn.XLOOKUP(TablaSTOCKINV[[#This Row],[SKU]],TablaINVENTARIO[SKU],TablaINVENTARIO[SERIAL])</f>
        <v>N/A</v>
      </c>
      <c r="I631" s="34" t="str">
        <f>_xlfn.XLOOKUP(TablaSTOCKINV[[#This Row],[SKU]],TablaINVENTARIO[SKU],TablaINVENTARIO[ALMACEN])</f>
        <v>ALMACEN PRINCIPAL</v>
      </c>
      <c r="J631" s="34" t="str">
        <f>_xlfn.XLOOKUP(TablaSTOCKINV[[#This Row],[SKU]],TablaINVENTARIO[SKU],TablaINVENTARIO[UBICACION])</f>
        <v>E2-2</v>
      </c>
      <c r="K631" s="34" t="str">
        <f>_xlfn.XLOOKUP(TablaSTOCKINV[[#This Row],[SKU]],TablaINVENTARIO[SKU],TablaINVENTARIO[DPTO RESPONSABLE])</f>
        <v>MANTENIMIENTO</v>
      </c>
      <c r="L631" s="36">
        <f>_xlfn.XLOOKUP(TablaSTOCKINV[[#This Row],[SKU]],TablaINVENTARIO[SKU],TablaINVENTARIO[RANGO MIN])</f>
        <v>0</v>
      </c>
      <c r="M631" s="34" cm="1">
        <f t="array" ref="M631">_xlfn.IFS(TablaSTOCKINV[[#This Row],[CANT. TOTAL]]&lt;=0,1,TablaSTOCKINV[[#This Row],[CANT. TOTAL]]&lt;=TablaSTOCKINV[[#This Row],[MIN]],2,TablaSTOCKINV[[#This Row],[CANT. TOTAL]]&gt;TablaSTOCKINV[[#This Row],[MIN]],3)</f>
        <v>3</v>
      </c>
      <c r="N631" s="34">
        <f>TablaSTOCKINV[[#This Row],[ENTRADAS]]-TablaSTOCKINV[[#This Row],[SALIDAS]]</f>
        <v>1</v>
      </c>
      <c r="O631" s="35">
        <f>SUMIFS(TablaENTRADA[CANT],TablaENTRADA[SKU],TablaSTOCKINV[[#This Row],[SKU]])</f>
        <v>1</v>
      </c>
      <c r="P631" s="35">
        <f>SUMIFS(TablaSALIDA[CANT],TablaSALIDA[SKU],TablaSTOCKINV[[#This Row],[SKU]])</f>
        <v>0</v>
      </c>
      <c r="Q631" s="34">
        <f>_xlfn.XLOOKUP(TablaSTOCKINV[[#This Row],[SKU]],TablaINVENTARIO[SKU],TablaINVENTARIO[PRECIO])</f>
        <v>0</v>
      </c>
      <c r="R631" s="34">
        <f>TablaSTOCKINV[[#This Row],[P.UNITARIO]]*TablaSTOCKINV[[#This Row],[CANT. TOTAL]]</f>
        <v>0</v>
      </c>
      <c r="S631" s="44">
        <f>_xlfn.XLOOKUP(TablaSTOCKINV[[#This Row],[SKU]],TablaINVENTARIO[SKU],TablaINVENTARIO[FECHA INGRESO])</f>
        <v>46023</v>
      </c>
      <c r="T631" s="44">
        <f>_xlfn.XLOOKUP(TablaSTOCKINV[[#This Row],[SKU]],TablaENTRADA[SKU],TablaENTRADA[FECHA],,0,-1)</f>
        <v>46023</v>
      </c>
      <c r="U631" s="46" t="str">
        <f>IFERROR((_xlfn.XLOOKUP(TablaSTOCKINV[[#This Row],[SKU]],TablaSALIDA[SKU],TablaSALIDA[FECHA],,0,-1))," " )</f>
        <v xml:space="preserve"> </v>
      </c>
    </row>
    <row r="632" spans="1:21" x14ac:dyDescent="0.3">
      <c r="A632" s="27" t="s">
        <v>2917</v>
      </c>
      <c r="B632" s="32" t="str">
        <f>_xlfn.XLOOKUP(TablaSTOCKINV[[#This Row],[SKU]],TablaINVENTARIO[SKU],TablaINVENTARIO[DESCRIPCION])</f>
        <v>CAPACITOR 2 µf</v>
      </c>
      <c r="C632" s="32" t="str">
        <f>_xlfn.XLOOKUP(TablaSTOCKINV[[#This Row],[SKU]],TablaINVENTARIO[SKU],TablaINVENTARIO[MARCA])</f>
        <v>N/A</v>
      </c>
      <c r="D632" s="33" t="str">
        <f>_xlfn.XLOOKUP(TablaSTOCKINV[[#This Row],[SKU]],TablaINVENTARIO[SKU],TablaINVENTARIO[CATEGORIA])</f>
        <v>HERRAMIENTAS_</v>
      </c>
      <c r="E632" s="33" t="str">
        <f>_xlfn.XLOOKUP(TablaSTOCKINV[[#This Row],[SKU]],TablaINVENTARIO[SKU],TablaINVENTARIO[SUBCATEGORIA])</f>
        <v xml:space="preserve">MATERIAL DE REFRIGERACIÓN </v>
      </c>
      <c r="F632" s="33" t="str">
        <f>_xlfn.XLOOKUP(TablaSTOCKINV[[#This Row],[SKU]],TablaINVENTARIO[SKU],TablaINVENTARIO[ESTADO])</f>
        <v xml:space="preserve">NUEVO </v>
      </c>
      <c r="G632" s="33" t="str">
        <f>_xlfn.XLOOKUP(TablaSTOCKINV[[#This Row],[SKU]],TablaINVENTARIO[SKU],TablaINVENTARIO[MEDIDA])</f>
        <v>UND</v>
      </c>
      <c r="H632" s="33" t="str">
        <f>_xlfn.XLOOKUP(TablaSTOCKINV[[#This Row],[SKU]],TablaINVENTARIO[SKU],TablaINVENTARIO[SERIAL])</f>
        <v>N/A</v>
      </c>
      <c r="I632" s="34" t="str">
        <f>_xlfn.XLOOKUP(TablaSTOCKINV[[#This Row],[SKU]],TablaINVENTARIO[SKU],TablaINVENTARIO[ALMACEN])</f>
        <v>ALMACEN PRINCIPAL</v>
      </c>
      <c r="J632" s="34" t="str">
        <f>_xlfn.XLOOKUP(TablaSTOCKINV[[#This Row],[SKU]],TablaINVENTARIO[SKU],TablaINVENTARIO[UBICACION])</f>
        <v>E2-2</v>
      </c>
      <c r="K632" s="34" t="str">
        <f>_xlfn.XLOOKUP(TablaSTOCKINV[[#This Row],[SKU]],TablaINVENTARIO[SKU],TablaINVENTARIO[DPTO RESPONSABLE])</f>
        <v>MANTENIMIENTO</v>
      </c>
      <c r="L632" s="36">
        <f>_xlfn.XLOOKUP(TablaSTOCKINV[[#This Row],[SKU]],TablaINVENTARIO[SKU],TablaINVENTARIO[RANGO MIN])</f>
        <v>0</v>
      </c>
      <c r="M632" s="34" cm="1">
        <f t="array" ref="M632">_xlfn.IFS(TablaSTOCKINV[[#This Row],[CANT. TOTAL]]&lt;=0,1,TablaSTOCKINV[[#This Row],[CANT. TOTAL]]&lt;=TablaSTOCKINV[[#This Row],[MIN]],2,TablaSTOCKINV[[#This Row],[CANT. TOTAL]]&gt;TablaSTOCKINV[[#This Row],[MIN]],3)</f>
        <v>3</v>
      </c>
      <c r="N632" s="34">
        <f>TablaSTOCKINV[[#This Row],[ENTRADAS]]-TablaSTOCKINV[[#This Row],[SALIDAS]]</f>
        <v>1</v>
      </c>
      <c r="O632" s="35">
        <f>SUMIFS(TablaENTRADA[CANT],TablaENTRADA[SKU],TablaSTOCKINV[[#This Row],[SKU]])</f>
        <v>1</v>
      </c>
      <c r="P632" s="35">
        <f>SUMIFS(TablaSALIDA[CANT],TablaSALIDA[SKU],TablaSTOCKINV[[#This Row],[SKU]])</f>
        <v>0</v>
      </c>
      <c r="Q632" s="34">
        <f>_xlfn.XLOOKUP(TablaSTOCKINV[[#This Row],[SKU]],TablaINVENTARIO[SKU],TablaINVENTARIO[PRECIO])</f>
        <v>0</v>
      </c>
      <c r="R632" s="34">
        <f>TablaSTOCKINV[[#This Row],[P.UNITARIO]]*TablaSTOCKINV[[#This Row],[CANT. TOTAL]]</f>
        <v>0</v>
      </c>
      <c r="S632" s="44">
        <f>_xlfn.XLOOKUP(TablaSTOCKINV[[#This Row],[SKU]],TablaINVENTARIO[SKU],TablaINVENTARIO[FECHA INGRESO])</f>
        <v>46023</v>
      </c>
      <c r="T632" s="44">
        <f>_xlfn.XLOOKUP(TablaSTOCKINV[[#This Row],[SKU]],TablaENTRADA[SKU],TablaENTRADA[FECHA],,0,-1)</f>
        <v>46023</v>
      </c>
      <c r="U632" s="46" t="str">
        <f>IFERROR((_xlfn.XLOOKUP(TablaSTOCKINV[[#This Row],[SKU]],TablaSALIDA[SKU],TablaSALIDA[FECHA],,0,-1))," " )</f>
        <v xml:space="preserve"> </v>
      </c>
    </row>
    <row r="633" spans="1:21" x14ac:dyDescent="0.3">
      <c r="A633" s="27" t="s">
        <v>2918</v>
      </c>
      <c r="B633" s="32" t="str">
        <f>_xlfn.XLOOKUP(TablaSTOCKINV[[#This Row],[SKU]],TablaINVENTARIO[SKU],TablaINVENTARIO[DESCRIPCION])</f>
        <v>CAPACITOR 10 µf</v>
      </c>
      <c r="C633" s="32" t="str">
        <f>_xlfn.XLOOKUP(TablaSTOCKINV[[#This Row],[SKU]],TablaINVENTARIO[SKU],TablaINVENTARIO[MARCA])</f>
        <v>EVERWELL</v>
      </c>
      <c r="D633" s="33" t="str">
        <f>_xlfn.XLOOKUP(TablaSTOCKINV[[#This Row],[SKU]],TablaINVENTARIO[SKU],TablaINVENTARIO[CATEGORIA])</f>
        <v>HERRAMIENTAS_</v>
      </c>
      <c r="E633" s="33" t="str">
        <f>_xlfn.XLOOKUP(TablaSTOCKINV[[#This Row],[SKU]],TablaINVENTARIO[SKU],TablaINVENTARIO[SUBCATEGORIA])</f>
        <v xml:space="preserve">MATERIAL DE REFRIGERACIÓN </v>
      </c>
      <c r="F633" s="33" t="str">
        <f>_xlfn.XLOOKUP(TablaSTOCKINV[[#This Row],[SKU]],TablaINVENTARIO[SKU],TablaINVENTARIO[ESTADO])</f>
        <v xml:space="preserve">NUEVO </v>
      </c>
      <c r="G633" s="33" t="str">
        <f>_xlfn.XLOOKUP(TablaSTOCKINV[[#This Row],[SKU]],TablaINVENTARIO[SKU],TablaINVENTARIO[MEDIDA])</f>
        <v>UND</v>
      </c>
      <c r="H633" s="33" t="str">
        <f>_xlfn.XLOOKUP(TablaSTOCKINV[[#This Row],[SKU]],TablaINVENTARIO[SKU],TablaINVENTARIO[SERIAL])</f>
        <v>N/A</v>
      </c>
      <c r="I633" s="34" t="str">
        <f>_xlfn.XLOOKUP(TablaSTOCKINV[[#This Row],[SKU]],TablaINVENTARIO[SKU],TablaINVENTARIO[ALMACEN])</f>
        <v>ALMACEN PRINCIPAL</v>
      </c>
      <c r="J633" s="34" t="str">
        <f>_xlfn.XLOOKUP(TablaSTOCKINV[[#This Row],[SKU]],TablaINVENTARIO[SKU],TablaINVENTARIO[UBICACION])</f>
        <v>E2-2</v>
      </c>
      <c r="K633" s="34" t="str">
        <f>_xlfn.XLOOKUP(TablaSTOCKINV[[#This Row],[SKU]],TablaINVENTARIO[SKU],TablaINVENTARIO[DPTO RESPONSABLE])</f>
        <v>MANTENIMIENTO</v>
      </c>
      <c r="L633" s="36">
        <f>_xlfn.XLOOKUP(TablaSTOCKINV[[#This Row],[SKU]],TablaINVENTARIO[SKU],TablaINVENTARIO[RANGO MIN])</f>
        <v>0</v>
      </c>
      <c r="M633" s="34" cm="1">
        <f t="array" ref="M633">_xlfn.IFS(TablaSTOCKINV[[#This Row],[CANT. TOTAL]]&lt;=0,1,TablaSTOCKINV[[#This Row],[CANT. TOTAL]]&lt;=TablaSTOCKINV[[#This Row],[MIN]],2,TablaSTOCKINV[[#This Row],[CANT. TOTAL]]&gt;TablaSTOCKINV[[#This Row],[MIN]],3)</f>
        <v>3</v>
      </c>
      <c r="N633" s="34">
        <f>TablaSTOCKINV[[#This Row],[ENTRADAS]]-TablaSTOCKINV[[#This Row],[SALIDAS]]</f>
        <v>1</v>
      </c>
      <c r="O633" s="35">
        <f>SUMIFS(TablaENTRADA[CANT],TablaENTRADA[SKU],TablaSTOCKINV[[#This Row],[SKU]])</f>
        <v>1</v>
      </c>
      <c r="P633" s="35">
        <f>SUMIFS(TablaSALIDA[CANT],TablaSALIDA[SKU],TablaSTOCKINV[[#This Row],[SKU]])</f>
        <v>0</v>
      </c>
      <c r="Q633" s="34">
        <f>_xlfn.XLOOKUP(TablaSTOCKINV[[#This Row],[SKU]],TablaINVENTARIO[SKU],TablaINVENTARIO[PRECIO])</f>
        <v>0</v>
      </c>
      <c r="R633" s="34">
        <f>TablaSTOCKINV[[#This Row],[P.UNITARIO]]*TablaSTOCKINV[[#This Row],[CANT. TOTAL]]</f>
        <v>0</v>
      </c>
      <c r="S633" s="44">
        <f>_xlfn.XLOOKUP(TablaSTOCKINV[[#This Row],[SKU]],TablaINVENTARIO[SKU],TablaINVENTARIO[FECHA INGRESO])</f>
        <v>46023</v>
      </c>
      <c r="T633" s="44">
        <f>_xlfn.XLOOKUP(TablaSTOCKINV[[#This Row],[SKU]],TablaENTRADA[SKU],TablaENTRADA[FECHA],,0,-1)</f>
        <v>46023</v>
      </c>
      <c r="U633" s="46" t="str">
        <f>IFERROR((_xlfn.XLOOKUP(TablaSTOCKINV[[#This Row],[SKU]],TablaSALIDA[SKU],TablaSALIDA[FECHA],,0,-1))," " )</f>
        <v xml:space="preserve"> </v>
      </c>
    </row>
    <row r="634" spans="1:21" x14ac:dyDescent="0.3">
      <c r="A634" s="27" t="s">
        <v>2920</v>
      </c>
      <c r="B634" s="32" t="str">
        <f>_xlfn.XLOOKUP(TablaSTOCKINV[[#This Row],[SKU]],TablaINVENTARIO[SKU],TablaINVENTARIO[DESCRIPCION])</f>
        <v xml:space="preserve">ABRAZADERA 32MM </v>
      </c>
      <c r="C634" s="32" t="str">
        <f>_xlfn.XLOOKUP(TablaSTOCKINV[[#This Row],[SKU]],TablaINVENTARIO[SKU],TablaINVENTARIO[MARCA])</f>
        <v>N/A</v>
      </c>
      <c r="D634" s="33" t="str">
        <f>_xlfn.XLOOKUP(TablaSTOCKINV[[#This Row],[SKU]],TablaINVENTARIO[SKU],TablaINVENTARIO[CATEGORIA])</f>
        <v>HERRAMIENTAS_</v>
      </c>
      <c r="E634" s="33" t="str">
        <f>_xlfn.XLOOKUP(TablaSTOCKINV[[#This Row],[SKU]],TablaINVENTARIO[SKU],TablaINVENTARIO[SUBCATEGORIA])</f>
        <v xml:space="preserve">MATERIAL DE CONSTRUCCIÓN </v>
      </c>
      <c r="F634" s="33" t="str">
        <f>_xlfn.XLOOKUP(TablaSTOCKINV[[#This Row],[SKU]],TablaINVENTARIO[SKU],TablaINVENTARIO[ESTADO])</f>
        <v xml:space="preserve">NUEVO </v>
      </c>
      <c r="G634" s="33" t="str">
        <f>_xlfn.XLOOKUP(TablaSTOCKINV[[#This Row],[SKU]],TablaINVENTARIO[SKU],TablaINVENTARIO[MEDIDA])</f>
        <v>UND</v>
      </c>
      <c r="H634" s="33" t="str">
        <f>_xlfn.XLOOKUP(TablaSTOCKINV[[#This Row],[SKU]],TablaINVENTARIO[SKU],TablaINVENTARIO[SERIAL])</f>
        <v>N/A</v>
      </c>
      <c r="I634" s="34" t="str">
        <f>_xlfn.XLOOKUP(TablaSTOCKINV[[#This Row],[SKU]],TablaINVENTARIO[SKU],TablaINVENTARIO[ALMACEN])</f>
        <v>ALMACEN PRINCIPAL</v>
      </c>
      <c r="J634" s="34" t="str">
        <f>_xlfn.XLOOKUP(TablaSTOCKINV[[#This Row],[SKU]],TablaINVENTARIO[SKU],TablaINVENTARIO[UBICACION])</f>
        <v>E2-3</v>
      </c>
      <c r="K634" s="34" t="str">
        <f>_xlfn.XLOOKUP(TablaSTOCKINV[[#This Row],[SKU]],TablaINVENTARIO[SKU],TablaINVENTARIO[DPTO RESPONSABLE])</f>
        <v>MANTENIMIENTO</v>
      </c>
      <c r="L634" s="36">
        <f>_xlfn.XLOOKUP(TablaSTOCKINV[[#This Row],[SKU]],TablaINVENTARIO[SKU],TablaINVENTARIO[RANGO MIN])</f>
        <v>0</v>
      </c>
      <c r="M634" s="34" cm="1">
        <f t="array" ref="M634">_xlfn.IFS(TablaSTOCKINV[[#This Row],[CANT. TOTAL]]&lt;=0,1,TablaSTOCKINV[[#This Row],[CANT. TOTAL]]&lt;=TablaSTOCKINV[[#This Row],[MIN]],2,TablaSTOCKINV[[#This Row],[CANT. TOTAL]]&gt;TablaSTOCKINV[[#This Row],[MIN]],3)</f>
        <v>3</v>
      </c>
      <c r="N634" s="34">
        <f>TablaSTOCKINV[[#This Row],[ENTRADAS]]-TablaSTOCKINV[[#This Row],[SALIDAS]]</f>
        <v>32</v>
      </c>
      <c r="O634" s="35">
        <f>SUMIFS(TablaENTRADA[CANT],TablaENTRADA[SKU],TablaSTOCKINV[[#This Row],[SKU]])</f>
        <v>32</v>
      </c>
      <c r="P634" s="35">
        <f>SUMIFS(TablaSALIDA[CANT],TablaSALIDA[SKU],TablaSTOCKINV[[#This Row],[SKU]])</f>
        <v>0</v>
      </c>
      <c r="Q634" s="34">
        <f>_xlfn.XLOOKUP(TablaSTOCKINV[[#This Row],[SKU]],TablaINVENTARIO[SKU],TablaINVENTARIO[PRECIO])</f>
        <v>0</v>
      </c>
      <c r="R634" s="34">
        <f>TablaSTOCKINV[[#This Row],[P.UNITARIO]]*TablaSTOCKINV[[#This Row],[CANT. TOTAL]]</f>
        <v>0</v>
      </c>
      <c r="S634" s="44">
        <f>_xlfn.XLOOKUP(TablaSTOCKINV[[#This Row],[SKU]],TablaINVENTARIO[SKU],TablaINVENTARIO[FECHA INGRESO])</f>
        <v>46023</v>
      </c>
      <c r="T634" s="44">
        <f>_xlfn.XLOOKUP(TablaSTOCKINV[[#This Row],[SKU]],TablaENTRADA[SKU],TablaENTRADA[FECHA],,0,-1)</f>
        <v>46023</v>
      </c>
      <c r="U634" s="46" t="str">
        <f>IFERROR((_xlfn.XLOOKUP(TablaSTOCKINV[[#This Row],[SKU]],TablaSALIDA[SKU],TablaSALIDA[FECHA],,0,-1))," " )</f>
        <v xml:space="preserve"> </v>
      </c>
    </row>
    <row r="635" spans="1:21" x14ac:dyDescent="0.3">
      <c r="A635" s="27" t="s">
        <v>2922</v>
      </c>
      <c r="B635" s="32" t="str">
        <f>_xlfn.XLOOKUP(TablaSTOCKINV[[#This Row],[SKU]],TablaINVENTARIO[SKU],TablaINVENTARIO[DESCRIPCION])</f>
        <v xml:space="preserve">ABRAZADERA 57MM </v>
      </c>
      <c r="C635" s="32" t="str">
        <f>_xlfn.XLOOKUP(TablaSTOCKINV[[#This Row],[SKU]],TablaINVENTARIO[SKU],TablaINVENTARIO[MARCA])</f>
        <v>N/A</v>
      </c>
      <c r="D635" s="33" t="str">
        <f>_xlfn.XLOOKUP(TablaSTOCKINV[[#This Row],[SKU]],TablaINVENTARIO[SKU],TablaINVENTARIO[CATEGORIA])</f>
        <v>HERRAMIENTAS_</v>
      </c>
      <c r="E635" s="33" t="str">
        <f>_xlfn.XLOOKUP(TablaSTOCKINV[[#This Row],[SKU]],TablaINVENTARIO[SKU],TablaINVENTARIO[SUBCATEGORIA])</f>
        <v xml:space="preserve">MATERIAL DE CONSTRUCCIÓN </v>
      </c>
      <c r="F635" s="33" t="str">
        <f>_xlfn.XLOOKUP(TablaSTOCKINV[[#This Row],[SKU]],TablaINVENTARIO[SKU],TablaINVENTARIO[ESTADO])</f>
        <v xml:space="preserve">NUEVO </v>
      </c>
      <c r="G635" s="33" t="str">
        <f>_xlfn.XLOOKUP(TablaSTOCKINV[[#This Row],[SKU]],TablaINVENTARIO[SKU],TablaINVENTARIO[MEDIDA])</f>
        <v>UND</v>
      </c>
      <c r="H635" s="33" t="str">
        <f>_xlfn.XLOOKUP(TablaSTOCKINV[[#This Row],[SKU]],TablaINVENTARIO[SKU],TablaINVENTARIO[SERIAL])</f>
        <v>N/A</v>
      </c>
      <c r="I635" s="34" t="str">
        <f>_xlfn.XLOOKUP(TablaSTOCKINV[[#This Row],[SKU]],TablaINVENTARIO[SKU],TablaINVENTARIO[ALMACEN])</f>
        <v>ALMACEN PRINCIPAL</v>
      </c>
      <c r="J635" s="34" t="str">
        <f>_xlfn.XLOOKUP(TablaSTOCKINV[[#This Row],[SKU]],TablaINVENTARIO[SKU],TablaINVENTARIO[UBICACION])</f>
        <v>E2-3</v>
      </c>
      <c r="K635" s="34" t="str">
        <f>_xlfn.XLOOKUP(TablaSTOCKINV[[#This Row],[SKU]],TablaINVENTARIO[SKU],TablaINVENTARIO[DPTO RESPONSABLE])</f>
        <v>MANTENIMIENTO</v>
      </c>
      <c r="L635" s="36">
        <f>_xlfn.XLOOKUP(TablaSTOCKINV[[#This Row],[SKU]],TablaINVENTARIO[SKU],TablaINVENTARIO[RANGO MIN])</f>
        <v>0</v>
      </c>
      <c r="M635" s="34" cm="1">
        <f t="array" ref="M635">_xlfn.IFS(TablaSTOCKINV[[#This Row],[CANT. TOTAL]]&lt;=0,1,TablaSTOCKINV[[#This Row],[CANT. TOTAL]]&lt;=TablaSTOCKINV[[#This Row],[MIN]],2,TablaSTOCKINV[[#This Row],[CANT. TOTAL]]&gt;TablaSTOCKINV[[#This Row],[MIN]],3)</f>
        <v>3</v>
      </c>
      <c r="N635" s="34">
        <f>TablaSTOCKINV[[#This Row],[ENTRADAS]]-TablaSTOCKINV[[#This Row],[SALIDAS]]</f>
        <v>43</v>
      </c>
      <c r="O635" s="35">
        <f>SUMIFS(TablaENTRADA[CANT],TablaENTRADA[SKU],TablaSTOCKINV[[#This Row],[SKU]])</f>
        <v>43</v>
      </c>
      <c r="P635" s="35">
        <f>SUMIFS(TablaSALIDA[CANT],TablaSALIDA[SKU],TablaSTOCKINV[[#This Row],[SKU]])</f>
        <v>0</v>
      </c>
      <c r="Q635" s="34">
        <f>_xlfn.XLOOKUP(TablaSTOCKINV[[#This Row],[SKU]],TablaINVENTARIO[SKU],TablaINVENTARIO[PRECIO])</f>
        <v>0</v>
      </c>
      <c r="R635" s="34">
        <f>TablaSTOCKINV[[#This Row],[P.UNITARIO]]*TablaSTOCKINV[[#This Row],[CANT. TOTAL]]</f>
        <v>0</v>
      </c>
      <c r="S635" s="44">
        <f>_xlfn.XLOOKUP(TablaSTOCKINV[[#This Row],[SKU]],TablaINVENTARIO[SKU],TablaINVENTARIO[FECHA INGRESO])</f>
        <v>46023</v>
      </c>
      <c r="T635" s="44">
        <f>_xlfn.XLOOKUP(TablaSTOCKINV[[#This Row],[SKU]],TablaENTRADA[SKU],TablaENTRADA[FECHA],,0,-1)</f>
        <v>46023</v>
      </c>
      <c r="U635" s="46" t="str">
        <f>IFERROR((_xlfn.XLOOKUP(TablaSTOCKINV[[#This Row],[SKU]],TablaSALIDA[SKU],TablaSALIDA[FECHA],,0,-1))," " )</f>
        <v xml:space="preserve"> </v>
      </c>
    </row>
    <row r="636" spans="1:21" x14ac:dyDescent="0.3">
      <c r="A636" s="27" t="s">
        <v>2924</v>
      </c>
      <c r="B636" s="32" t="str">
        <f>_xlfn.XLOOKUP(TablaSTOCKINV[[#This Row],[SKU]],TablaINVENTARIO[SKU],TablaINVENTARIO[DESCRIPCION])</f>
        <v xml:space="preserve">ABRADERA 19MM </v>
      </c>
      <c r="C636" s="32" t="str">
        <f>_xlfn.XLOOKUP(TablaSTOCKINV[[#This Row],[SKU]],TablaINVENTARIO[SKU],TablaINVENTARIO[MARCA])</f>
        <v>N/A</v>
      </c>
      <c r="D636" s="33" t="str">
        <f>_xlfn.XLOOKUP(TablaSTOCKINV[[#This Row],[SKU]],TablaINVENTARIO[SKU],TablaINVENTARIO[CATEGORIA])</f>
        <v>HERRAMIENTAS_</v>
      </c>
      <c r="E636" s="33" t="str">
        <f>_xlfn.XLOOKUP(TablaSTOCKINV[[#This Row],[SKU]],TablaINVENTARIO[SKU],TablaINVENTARIO[SUBCATEGORIA])</f>
        <v xml:space="preserve">MATERIAL DE CONSTRUCCIÓN </v>
      </c>
      <c r="F636" s="33" t="str">
        <f>_xlfn.XLOOKUP(TablaSTOCKINV[[#This Row],[SKU]],TablaINVENTARIO[SKU],TablaINVENTARIO[ESTADO])</f>
        <v xml:space="preserve">NUEVO </v>
      </c>
      <c r="G636" s="33" t="str">
        <f>_xlfn.XLOOKUP(TablaSTOCKINV[[#This Row],[SKU]],TablaINVENTARIO[SKU],TablaINVENTARIO[MEDIDA])</f>
        <v>UND</v>
      </c>
      <c r="H636" s="33" t="str">
        <f>_xlfn.XLOOKUP(TablaSTOCKINV[[#This Row],[SKU]],TablaINVENTARIO[SKU],TablaINVENTARIO[SERIAL])</f>
        <v>N/A</v>
      </c>
      <c r="I636" s="34" t="str">
        <f>_xlfn.XLOOKUP(TablaSTOCKINV[[#This Row],[SKU]],TablaINVENTARIO[SKU],TablaINVENTARIO[ALMACEN])</f>
        <v>ALMACEN PRINCIPAL</v>
      </c>
      <c r="J636" s="34" t="str">
        <f>_xlfn.XLOOKUP(TablaSTOCKINV[[#This Row],[SKU]],TablaINVENTARIO[SKU],TablaINVENTARIO[UBICACION])</f>
        <v>E2-3</v>
      </c>
      <c r="K636" s="34" t="str">
        <f>_xlfn.XLOOKUP(TablaSTOCKINV[[#This Row],[SKU]],TablaINVENTARIO[SKU],TablaINVENTARIO[DPTO RESPONSABLE])</f>
        <v>MANTENIMIENTO</v>
      </c>
      <c r="L636" s="36">
        <f>_xlfn.XLOOKUP(TablaSTOCKINV[[#This Row],[SKU]],TablaINVENTARIO[SKU],TablaINVENTARIO[RANGO MIN])</f>
        <v>0</v>
      </c>
      <c r="M636" s="34" cm="1">
        <f t="array" ref="M636">_xlfn.IFS(TablaSTOCKINV[[#This Row],[CANT. TOTAL]]&lt;=0,1,TablaSTOCKINV[[#This Row],[CANT. TOTAL]]&lt;=TablaSTOCKINV[[#This Row],[MIN]],2,TablaSTOCKINV[[#This Row],[CANT. TOTAL]]&gt;TablaSTOCKINV[[#This Row],[MIN]],3)</f>
        <v>3</v>
      </c>
      <c r="N636" s="34">
        <f>TablaSTOCKINV[[#This Row],[ENTRADAS]]-TablaSTOCKINV[[#This Row],[SALIDAS]]</f>
        <v>3</v>
      </c>
      <c r="O636" s="35">
        <f>SUMIFS(TablaENTRADA[CANT],TablaENTRADA[SKU],TablaSTOCKINV[[#This Row],[SKU]])</f>
        <v>3</v>
      </c>
      <c r="P636" s="35">
        <f>SUMIFS(TablaSALIDA[CANT],TablaSALIDA[SKU],TablaSTOCKINV[[#This Row],[SKU]])</f>
        <v>0</v>
      </c>
      <c r="Q636" s="34">
        <f>_xlfn.XLOOKUP(TablaSTOCKINV[[#This Row],[SKU]],TablaINVENTARIO[SKU],TablaINVENTARIO[PRECIO])</f>
        <v>0</v>
      </c>
      <c r="R636" s="34">
        <f>TablaSTOCKINV[[#This Row],[P.UNITARIO]]*TablaSTOCKINV[[#This Row],[CANT. TOTAL]]</f>
        <v>0</v>
      </c>
      <c r="S636" s="44">
        <f>_xlfn.XLOOKUP(TablaSTOCKINV[[#This Row],[SKU]],TablaINVENTARIO[SKU],TablaINVENTARIO[FECHA INGRESO])</f>
        <v>46023</v>
      </c>
      <c r="T636" s="44">
        <f>_xlfn.XLOOKUP(TablaSTOCKINV[[#This Row],[SKU]],TablaENTRADA[SKU],TablaENTRADA[FECHA],,0,-1)</f>
        <v>46023</v>
      </c>
      <c r="U636" s="46" t="str">
        <f>IFERROR((_xlfn.XLOOKUP(TablaSTOCKINV[[#This Row],[SKU]],TablaSALIDA[SKU],TablaSALIDA[FECHA],,0,-1))," " )</f>
        <v xml:space="preserve"> </v>
      </c>
    </row>
    <row r="637" spans="1:21" x14ac:dyDescent="0.3">
      <c r="A637" s="27" t="s">
        <v>2926</v>
      </c>
      <c r="B637" s="32" t="str">
        <f>_xlfn.XLOOKUP(TablaSTOCKINV[[#This Row],[SKU]],TablaINVENTARIO[SKU],TablaINVENTARIO[DESCRIPCION])</f>
        <v>CLAVO DE ACERO 3,5 X 2"</v>
      </c>
      <c r="C637" s="32" t="str">
        <f>_xlfn.XLOOKUP(TablaSTOCKINV[[#This Row],[SKU]],TablaINVENTARIO[SKU],TablaINVENTARIO[MARCA])</f>
        <v>N/A</v>
      </c>
      <c r="D637" s="33" t="str">
        <f>_xlfn.XLOOKUP(TablaSTOCKINV[[#This Row],[SKU]],TablaINVENTARIO[SKU],TablaINVENTARIO[CATEGORIA])</f>
        <v>HERRAMIENTAS_</v>
      </c>
      <c r="E637" s="33" t="str">
        <f>_xlfn.XLOOKUP(TablaSTOCKINV[[#This Row],[SKU]],TablaINVENTARIO[SKU],TablaINVENTARIO[SUBCATEGORIA])</f>
        <v xml:space="preserve">MATERIAL DE CONSTRUCCIÓN </v>
      </c>
      <c r="F637" s="33" t="str">
        <f>_xlfn.XLOOKUP(TablaSTOCKINV[[#This Row],[SKU]],TablaINVENTARIO[SKU],TablaINVENTARIO[ESTADO])</f>
        <v xml:space="preserve">NUEVO </v>
      </c>
      <c r="G637" s="33" t="str">
        <f>_xlfn.XLOOKUP(TablaSTOCKINV[[#This Row],[SKU]],TablaINVENTARIO[SKU],TablaINVENTARIO[MEDIDA])</f>
        <v>UND</v>
      </c>
      <c r="H637" s="33" t="str">
        <f>_xlfn.XLOOKUP(TablaSTOCKINV[[#This Row],[SKU]],TablaINVENTARIO[SKU],TablaINVENTARIO[SERIAL])</f>
        <v>N/A</v>
      </c>
      <c r="I637" s="34" t="str">
        <f>_xlfn.XLOOKUP(TablaSTOCKINV[[#This Row],[SKU]],TablaINVENTARIO[SKU],TablaINVENTARIO[ALMACEN])</f>
        <v>ALMACEN PRINCIPAL</v>
      </c>
      <c r="J637" s="34" t="str">
        <f>_xlfn.XLOOKUP(TablaSTOCKINV[[#This Row],[SKU]],TablaINVENTARIO[SKU],TablaINVENTARIO[UBICACION])</f>
        <v>E2-3</v>
      </c>
      <c r="K637" s="34" t="str">
        <f>_xlfn.XLOOKUP(TablaSTOCKINV[[#This Row],[SKU]],TablaINVENTARIO[SKU],TablaINVENTARIO[DPTO RESPONSABLE])</f>
        <v xml:space="preserve">MANTENIMIENTO </v>
      </c>
      <c r="L637" s="36">
        <f>_xlfn.XLOOKUP(TablaSTOCKINV[[#This Row],[SKU]],TablaINVENTARIO[SKU],TablaINVENTARIO[RANGO MIN])</f>
        <v>0</v>
      </c>
      <c r="M637" s="34" cm="1">
        <f t="array" ref="M637">_xlfn.IFS(TablaSTOCKINV[[#This Row],[CANT. TOTAL]]&lt;=0,1,TablaSTOCKINV[[#This Row],[CANT. TOTAL]]&lt;=TablaSTOCKINV[[#This Row],[MIN]],2,TablaSTOCKINV[[#This Row],[CANT. TOTAL]]&gt;TablaSTOCKINV[[#This Row],[MIN]],3)</f>
        <v>3</v>
      </c>
      <c r="N637" s="34">
        <f>TablaSTOCKINV[[#This Row],[ENTRADAS]]-TablaSTOCKINV[[#This Row],[SALIDAS]]</f>
        <v>220</v>
      </c>
      <c r="O637" s="35">
        <f>SUMIFS(TablaENTRADA[CANT],TablaENTRADA[SKU],TablaSTOCKINV[[#This Row],[SKU]])</f>
        <v>220</v>
      </c>
      <c r="P637" s="35">
        <f>SUMIFS(TablaSALIDA[CANT],TablaSALIDA[SKU],TablaSTOCKINV[[#This Row],[SKU]])</f>
        <v>0</v>
      </c>
      <c r="Q637" s="34">
        <f>_xlfn.XLOOKUP(TablaSTOCKINV[[#This Row],[SKU]],TablaINVENTARIO[SKU],TablaINVENTARIO[PRECIO])</f>
        <v>0</v>
      </c>
      <c r="R637" s="34">
        <f>TablaSTOCKINV[[#This Row],[P.UNITARIO]]*TablaSTOCKINV[[#This Row],[CANT. TOTAL]]</f>
        <v>0</v>
      </c>
      <c r="S637" s="44">
        <f>_xlfn.XLOOKUP(TablaSTOCKINV[[#This Row],[SKU]],TablaINVENTARIO[SKU],TablaINVENTARIO[FECHA INGRESO])</f>
        <v>46023</v>
      </c>
      <c r="T637" s="44">
        <f>_xlfn.XLOOKUP(TablaSTOCKINV[[#This Row],[SKU]],TablaENTRADA[SKU],TablaENTRADA[FECHA],,0,-1)</f>
        <v>46023</v>
      </c>
      <c r="U637" s="46" t="str">
        <f>IFERROR((_xlfn.XLOOKUP(TablaSTOCKINV[[#This Row],[SKU]],TablaSALIDA[SKU],TablaSALIDA[FECHA],,0,-1))," " )</f>
        <v xml:space="preserve"> </v>
      </c>
    </row>
    <row r="638" spans="1:21" x14ac:dyDescent="0.3">
      <c r="A638" s="27" t="s">
        <v>2928</v>
      </c>
      <c r="B638" s="32" t="str">
        <f>_xlfn.XLOOKUP(TablaSTOCKINV[[#This Row],[SKU]],TablaINVENTARIO[SKU],TablaINVENTARIO[DESCRIPCION])</f>
        <v xml:space="preserve">CLAVO DE PARED 2,0 X 1" </v>
      </c>
      <c r="C638" s="32" t="str">
        <f>_xlfn.XLOOKUP(TablaSTOCKINV[[#This Row],[SKU]],TablaINVENTARIO[SKU],TablaINVENTARIO[MARCA])</f>
        <v>N/A</v>
      </c>
      <c r="D638" s="33" t="str">
        <f>_xlfn.XLOOKUP(TablaSTOCKINV[[#This Row],[SKU]],TablaINVENTARIO[SKU],TablaINVENTARIO[CATEGORIA])</f>
        <v>HERRAMIENTAS_</v>
      </c>
      <c r="E638" s="33" t="str">
        <f>_xlfn.XLOOKUP(TablaSTOCKINV[[#This Row],[SKU]],TablaINVENTARIO[SKU],TablaINVENTARIO[SUBCATEGORIA])</f>
        <v xml:space="preserve">MATERIAL DE CONSTRUCCIÓN </v>
      </c>
      <c r="F638" s="33" t="str">
        <f>_xlfn.XLOOKUP(TablaSTOCKINV[[#This Row],[SKU]],TablaINVENTARIO[SKU],TablaINVENTARIO[ESTADO])</f>
        <v xml:space="preserve">NUEVO </v>
      </c>
      <c r="G638" s="33" t="str">
        <f>_xlfn.XLOOKUP(TablaSTOCKINV[[#This Row],[SKU]],TablaINVENTARIO[SKU],TablaINVENTARIO[MEDIDA])</f>
        <v>UND</v>
      </c>
      <c r="H638" s="33" t="str">
        <f>_xlfn.XLOOKUP(TablaSTOCKINV[[#This Row],[SKU]],TablaINVENTARIO[SKU],TablaINVENTARIO[SERIAL])</f>
        <v>N/A</v>
      </c>
      <c r="I638" s="34" t="str">
        <f>_xlfn.XLOOKUP(TablaSTOCKINV[[#This Row],[SKU]],TablaINVENTARIO[SKU],TablaINVENTARIO[ALMACEN])</f>
        <v>ALMACEN PRINCIPAL</v>
      </c>
      <c r="J638" s="34" t="str">
        <f>_xlfn.XLOOKUP(TablaSTOCKINV[[#This Row],[SKU]],TablaINVENTARIO[SKU],TablaINVENTARIO[UBICACION])</f>
        <v>E2-3</v>
      </c>
      <c r="K638" s="34" t="str">
        <f>_xlfn.XLOOKUP(TablaSTOCKINV[[#This Row],[SKU]],TablaINVENTARIO[SKU],TablaINVENTARIO[DPTO RESPONSABLE])</f>
        <v xml:space="preserve">MANTENIMIENTO </v>
      </c>
      <c r="L638" s="36">
        <f>_xlfn.XLOOKUP(TablaSTOCKINV[[#This Row],[SKU]],TablaINVENTARIO[SKU],TablaINVENTARIO[RANGO MIN])</f>
        <v>0</v>
      </c>
      <c r="M638" s="34" cm="1">
        <f t="array" ref="M638">_xlfn.IFS(TablaSTOCKINV[[#This Row],[CANT. TOTAL]]&lt;=0,1,TablaSTOCKINV[[#This Row],[CANT. TOTAL]]&lt;=TablaSTOCKINV[[#This Row],[MIN]],2,TablaSTOCKINV[[#This Row],[CANT. TOTAL]]&gt;TablaSTOCKINV[[#This Row],[MIN]],3)</f>
        <v>3</v>
      </c>
      <c r="N638" s="34">
        <f>TablaSTOCKINV[[#This Row],[ENTRADAS]]-TablaSTOCKINV[[#This Row],[SALIDAS]]</f>
        <v>127</v>
      </c>
      <c r="O638" s="35">
        <f>SUMIFS(TablaENTRADA[CANT],TablaENTRADA[SKU],TablaSTOCKINV[[#This Row],[SKU]])</f>
        <v>127</v>
      </c>
      <c r="P638" s="35">
        <f>SUMIFS(TablaSALIDA[CANT],TablaSALIDA[SKU],TablaSTOCKINV[[#This Row],[SKU]])</f>
        <v>0</v>
      </c>
      <c r="Q638" s="34">
        <f>_xlfn.XLOOKUP(TablaSTOCKINV[[#This Row],[SKU]],TablaINVENTARIO[SKU],TablaINVENTARIO[PRECIO])</f>
        <v>0</v>
      </c>
      <c r="R638" s="34">
        <f>TablaSTOCKINV[[#This Row],[P.UNITARIO]]*TablaSTOCKINV[[#This Row],[CANT. TOTAL]]</f>
        <v>0</v>
      </c>
      <c r="S638" s="44">
        <f>_xlfn.XLOOKUP(TablaSTOCKINV[[#This Row],[SKU]],TablaINVENTARIO[SKU],TablaINVENTARIO[FECHA INGRESO])</f>
        <v>46023</v>
      </c>
      <c r="T638" s="44">
        <f>_xlfn.XLOOKUP(TablaSTOCKINV[[#This Row],[SKU]],TablaENTRADA[SKU],TablaENTRADA[FECHA],,0,-1)</f>
        <v>46023</v>
      </c>
      <c r="U638" s="46" t="str">
        <f>IFERROR((_xlfn.XLOOKUP(TablaSTOCKINV[[#This Row],[SKU]],TablaSALIDA[SKU],TablaSALIDA[FECHA],,0,-1))," " )</f>
        <v xml:space="preserve"> </v>
      </c>
    </row>
    <row r="639" spans="1:21" x14ac:dyDescent="0.3">
      <c r="A639" s="27" t="s">
        <v>2930</v>
      </c>
      <c r="B639" s="32" t="str">
        <f>_xlfn.XLOOKUP(TablaSTOCKINV[[#This Row],[SKU]],TablaINVENTARIO[SKU],TablaINVENTARIO[DESCRIPCION])</f>
        <v xml:space="preserve">TIZA DE HERRERIA </v>
      </c>
      <c r="C639" s="32" t="str">
        <f>_xlfn.XLOOKUP(TablaSTOCKINV[[#This Row],[SKU]],TablaINVENTARIO[SKU],TablaINVENTARIO[MARCA])</f>
        <v>N/A</v>
      </c>
      <c r="D639" s="33" t="str">
        <f>_xlfn.XLOOKUP(TablaSTOCKINV[[#This Row],[SKU]],TablaINVENTARIO[SKU],TablaINVENTARIO[CATEGORIA])</f>
        <v>HERRAMIENTAS_</v>
      </c>
      <c r="E639" s="33" t="str">
        <f>_xlfn.XLOOKUP(TablaSTOCKINV[[#This Row],[SKU]],TablaINVENTARIO[SKU],TablaINVENTARIO[SUBCATEGORIA])</f>
        <v xml:space="preserve">MATERIAL DE CONSTRUCCIÓN </v>
      </c>
      <c r="F639" s="33" t="str">
        <f>_xlfn.XLOOKUP(TablaSTOCKINV[[#This Row],[SKU]],TablaINVENTARIO[SKU],TablaINVENTARIO[ESTADO])</f>
        <v xml:space="preserve">NUEVO </v>
      </c>
      <c r="G639" s="33" t="str">
        <f>_xlfn.XLOOKUP(TablaSTOCKINV[[#This Row],[SKU]],TablaINVENTARIO[SKU],TablaINVENTARIO[MEDIDA])</f>
        <v>UND</v>
      </c>
      <c r="H639" s="33" t="str">
        <f>_xlfn.XLOOKUP(TablaSTOCKINV[[#This Row],[SKU]],TablaINVENTARIO[SKU],TablaINVENTARIO[SERIAL])</f>
        <v>N/A</v>
      </c>
      <c r="I639" s="34" t="str">
        <f>_xlfn.XLOOKUP(TablaSTOCKINV[[#This Row],[SKU]],TablaINVENTARIO[SKU],TablaINVENTARIO[ALMACEN])</f>
        <v>ALMACEN PRINCIPAL</v>
      </c>
      <c r="J639" s="34" t="str">
        <f>_xlfn.XLOOKUP(TablaSTOCKINV[[#This Row],[SKU]],TablaINVENTARIO[SKU],TablaINVENTARIO[UBICACION])</f>
        <v>E2-3</v>
      </c>
      <c r="K639" s="34" t="str">
        <f>_xlfn.XLOOKUP(TablaSTOCKINV[[#This Row],[SKU]],TablaINVENTARIO[SKU],TablaINVENTARIO[DPTO RESPONSABLE])</f>
        <v xml:space="preserve">MANTENIMIENTO </v>
      </c>
      <c r="L639" s="36">
        <f>_xlfn.XLOOKUP(TablaSTOCKINV[[#This Row],[SKU]],TablaINVENTARIO[SKU],TablaINVENTARIO[RANGO MIN])</f>
        <v>0</v>
      </c>
      <c r="M639" s="34" cm="1">
        <f t="array" ref="M639">_xlfn.IFS(TablaSTOCKINV[[#This Row],[CANT. TOTAL]]&lt;=0,1,TablaSTOCKINV[[#This Row],[CANT. TOTAL]]&lt;=TablaSTOCKINV[[#This Row],[MIN]],2,TablaSTOCKINV[[#This Row],[CANT. TOTAL]]&gt;TablaSTOCKINV[[#This Row],[MIN]],3)</f>
        <v>3</v>
      </c>
      <c r="N639" s="34">
        <f>TablaSTOCKINV[[#This Row],[ENTRADAS]]-TablaSTOCKINV[[#This Row],[SALIDAS]]</f>
        <v>101</v>
      </c>
      <c r="O639" s="35">
        <f>SUMIFS(TablaENTRADA[CANT],TablaENTRADA[SKU],TablaSTOCKINV[[#This Row],[SKU]])</f>
        <v>101</v>
      </c>
      <c r="P639" s="35">
        <f>SUMIFS(TablaSALIDA[CANT],TablaSALIDA[SKU],TablaSTOCKINV[[#This Row],[SKU]])</f>
        <v>0</v>
      </c>
      <c r="Q639" s="34">
        <f>_xlfn.XLOOKUP(TablaSTOCKINV[[#This Row],[SKU]],TablaINVENTARIO[SKU],TablaINVENTARIO[PRECIO])</f>
        <v>0</v>
      </c>
      <c r="R639" s="34">
        <f>TablaSTOCKINV[[#This Row],[P.UNITARIO]]*TablaSTOCKINV[[#This Row],[CANT. TOTAL]]</f>
        <v>0</v>
      </c>
      <c r="S639" s="44">
        <f>_xlfn.XLOOKUP(TablaSTOCKINV[[#This Row],[SKU]],TablaINVENTARIO[SKU],TablaINVENTARIO[FECHA INGRESO])</f>
        <v>46023</v>
      </c>
      <c r="T639" s="44">
        <f>_xlfn.XLOOKUP(TablaSTOCKINV[[#This Row],[SKU]],TablaENTRADA[SKU],TablaENTRADA[FECHA],,0,-1)</f>
        <v>46023</v>
      </c>
      <c r="U639" s="46" t="str">
        <f>IFERROR((_xlfn.XLOOKUP(TablaSTOCKINV[[#This Row],[SKU]],TablaSALIDA[SKU],TablaSALIDA[FECHA],,0,-1))," " )</f>
        <v xml:space="preserve"> </v>
      </c>
    </row>
    <row r="640" spans="1:21" x14ac:dyDescent="0.3">
      <c r="A640" s="27" t="s">
        <v>2932</v>
      </c>
      <c r="B640" s="32" t="str">
        <f>_xlfn.XLOOKUP(TablaSTOCKINV[[#This Row],[SKU]],TablaINVENTARIO[SKU],TablaINVENTARIO[DESCRIPCION])</f>
        <v xml:space="preserve">MACHO DE ROSCAR </v>
      </c>
      <c r="C640" s="32" t="str">
        <f>_xlfn.XLOOKUP(TablaSTOCKINV[[#This Row],[SKU]],TablaINVENTARIO[SKU],TablaINVENTARIO[MARCA])</f>
        <v>N/A</v>
      </c>
      <c r="D640" s="33" t="str">
        <f>_xlfn.XLOOKUP(TablaSTOCKINV[[#This Row],[SKU]],TablaINVENTARIO[SKU],TablaINVENTARIO[CATEGORIA])</f>
        <v>HERRAMIENTAS_</v>
      </c>
      <c r="E640" s="33" t="str">
        <f>_xlfn.XLOOKUP(TablaSTOCKINV[[#This Row],[SKU]],TablaINVENTARIO[SKU],TablaINVENTARIO[SUBCATEGORIA])</f>
        <v xml:space="preserve">MATERIAL DE CONSTRUCCIÓN </v>
      </c>
      <c r="F640" s="33" t="str">
        <f>_xlfn.XLOOKUP(TablaSTOCKINV[[#This Row],[SKU]],TablaINVENTARIO[SKU],TablaINVENTARIO[ESTADO])</f>
        <v xml:space="preserve">NUEVO </v>
      </c>
      <c r="G640" s="33" t="str">
        <f>_xlfn.XLOOKUP(TablaSTOCKINV[[#This Row],[SKU]],TablaINVENTARIO[SKU],TablaINVENTARIO[MEDIDA])</f>
        <v>UND</v>
      </c>
      <c r="H640" s="33" t="str">
        <f>_xlfn.XLOOKUP(TablaSTOCKINV[[#This Row],[SKU]],TablaINVENTARIO[SKU],TablaINVENTARIO[SERIAL])</f>
        <v>N/A</v>
      </c>
      <c r="I640" s="34" t="str">
        <f>_xlfn.XLOOKUP(TablaSTOCKINV[[#This Row],[SKU]],TablaINVENTARIO[SKU],TablaINVENTARIO[ALMACEN])</f>
        <v>ALMACEN PRINCIPAL</v>
      </c>
      <c r="J640" s="34" t="str">
        <f>_xlfn.XLOOKUP(TablaSTOCKINV[[#This Row],[SKU]],TablaINVENTARIO[SKU],TablaINVENTARIO[UBICACION])</f>
        <v>E2-3</v>
      </c>
      <c r="K640" s="34" t="str">
        <f>_xlfn.XLOOKUP(TablaSTOCKINV[[#This Row],[SKU]],TablaINVENTARIO[SKU],TablaINVENTARIO[DPTO RESPONSABLE])</f>
        <v xml:space="preserve">MANTENIMIENTO </v>
      </c>
      <c r="L640" s="36">
        <f>_xlfn.XLOOKUP(TablaSTOCKINV[[#This Row],[SKU]],TablaINVENTARIO[SKU],TablaINVENTARIO[RANGO MIN])</f>
        <v>0</v>
      </c>
      <c r="M640" s="34" cm="1">
        <f t="array" ref="M640">_xlfn.IFS(TablaSTOCKINV[[#This Row],[CANT. TOTAL]]&lt;=0,1,TablaSTOCKINV[[#This Row],[CANT. TOTAL]]&lt;=TablaSTOCKINV[[#This Row],[MIN]],2,TablaSTOCKINV[[#This Row],[CANT. TOTAL]]&gt;TablaSTOCKINV[[#This Row],[MIN]],3)</f>
        <v>3</v>
      </c>
      <c r="N640" s="34">
        <f>TablaSTOCKINV[[#This Row],[ENTRADAS]]-TablaSTOCKINV[[#This Row],[SALIDAS]]</f>
        <v>1</v>
      </c>
      <c r="O640" s="35">
        <f>SUMIFS(TablaENTRADA[CANT],TablaENTRADA[SKU],TablaSTOCKINV[[#This Row],[SKU]])</f>
        <v>1</v>
      </c>
      <c r="P640" s="35">
        <f>SUMIFS(TablaSALIDA[CANT],TablaSALIDA[SKU],TablaSTOCKINV[[#This Row],[SKU]])</f>
        <v>0</v>
      </c>
      <c r="Q640" s="34">
        <f>_xlfn.XLOOKUP(TablaSTOCKINV[[#This Row],[SKU]],TablaINVENTARIO[SKU],TablaINVENTARIO[PRECIO])</f>
        <v>0</v>
      </c>
      <c r="R640" s="34">
        <f>TablaSTOCKINV[[#This Row],[P.UNITARIO]]*TablaSTOCKINV[[#This Row],[CANT. TOTAL]]</f>
        <v>0</v>
      </c>
      <c r="S640" s="44">
        <f>_xlfn.XLOOKUP(TablaSTOCKINV[[#This Row],[SKU]],TablaINVENTARIO[SKU],TablaINVENTARIO[FECHA INGRESO])</f>
        <v>46023</v>
      </c>
      <c r="T640" s="44">
        <f>_xlfn.XLOOKUP(TablaSTOCKINV[[#This Row],[SKU]],TablaENTRADA[SKU],TablaENTRADA[FECHA],,0,-1)</f>
        <v>46023</v>
      </c>
      <c r="U640" s="46" t="str">
        <f>IFERROR((_xlfn.XLOOKUP(TablaSTOCKINV[[#This Row],[SKU]],TablaSALIDA[SKU],TablaSALIDA[FECHA],,0,-1))," " )</f>
        <v xml:space="preserve"> </v>
      </c>
    </row>
    <row r="641" spans="1:21" x14ac:dyDescent="0.3">
      <c r="A641" s="27" t="s">
        <v>2934</v>
      </c>
      <c r="B641" s="32" t="str">
        <f>_xlfn.XLOOKUP(TablaSTOCKINV[[#This Row],[SKU]],TablaINVENTARIO[SKU],TablaINVENTARIO[DESCRIPCION])</f>
        <v xml:space="preserve">PUNTA DE TALADRO </v>
      </c>
      <c r="C641" s="32" t="str">
        <f>_xlfn.XLOOKUP(TablaSTOCKINV[[#This Row],[SKU]],TablaINVENTARIO[SKU],TablaINVENTARIO[MARCA])</f>
        <v xml:space="preserve">WOLFCRAFT </v>
      </c>
      <c r="D641" s="33" t="str">
        <f>_xlfn.XLOOKUP(TablaSTOCKINV[[#This Row],[SKU]],TablaINVENTARIO[SKU],TablaINVENTARIO[CATEGORIA])</f>
        <v>HERRAMIENTAS_</v>
      </c>
      <c r="E641" s="33" t="str">
        <f>_xlfn.XLOOKUP(TablaSTOCKINV[[#This Row],[SKU]],TablaINVENTARIO[SKU],TablaINVENTARIO[SUBCATEGORIA])</f>
        <v xml:space="preserve">MATERIAL DE CONSTRUCCIÓN </v>
      </c>
      <c r="F641" s="33" t="str">
        <f>_xlfn.XLOOKUP(TablaSTOCKINV[[#This Row],[SKU]],TablaINVENTARIO[SKU],TablaINVENTARIO[ESTADO])</f>
        <v xml:space="preserve">NUEVO </v>
      </c>
      <c r="G641" s="33" t="str">
        <f>_xlfn.XLOOKUP(TablaSTOCKINV[[#This Row],[SKU]],TablaINVENTARIO[SKU],TablaINVENTARIO[MEDIDA])</f>
        <v>UND</v>
      </c>
      <c r="H641" s="33" t="str">
        <f>_xlfn.XLOOKUP(TablaSTOCKINV[[#This Row],[SKU]],TablaINVENTARIO[SKU],TablaINVENTARIO[SERIAL])</f>
        <v>N/A</v>
      </c>
      <c r="I641" s="34" t="str">
        <f>_xlfn.XLOOKUP(TablaSTOCKINV[[#This Row],[SKU]],TablaINVENTARIO[SKU],TablaINVENTARIO[ALMACEN])</f>
        <v>ALMACEN PRINCIPAL</v>
      </c>
      <c r="J641" s="34" t="str">
        <f>_xlfn.XLOOKUP(TablaSTOCKINV[[#This Row],[SKU]],TablaINVENTARIO[SKU],TablaINVENTARIO[UBICACION])</f>
        <v>E2-3</v>
      </c>
      <c r="K641" s="34" t="str">
        <f>_xlfn.XLOOKUP(TablaSTOCKINV[[#This Row],[SKU]],TablaINVENTARIO[SKU],TablaINVENTARIO[DPTO RESPONSABLE])</f>
        <v xml:space="preserve">MANTENIMIENTO </v>
      </c>
      <c r="L641" s="36">
        <f>_xlfn.XLOOKUP(TablaSTOCKINV[[#This Row],[SKU]],TablaINVENTARIO[SKU],TablaINVENTARIO[RANGO MIN])</f>
        <v>0</v>
      </c>
      <c r="M641" s="34" cm="1">
        <f t="array" ref="M641">_xlfn.IFS(TablaSTOCKINV[[#This Row],[CANT. TOTAL]]&lt;=0,1,TablaSTOCKINV[[#This Row],[CANT. TOTAL]]&lt;=TablaSTOCKINV[[#This Row],[MIN]],2,TablaSTOCKINV[[#This Row],[CANT. TOTAL]]&gt;TablaSTOCKINV[[#This Row],[MIN]],3)</f>
        <v>3</v>
      </c>
      <c r="N641" s="34">
        <f>TablaSTOCKINV[[#This Row],[ENTRADAS]]-TablaSTOCKINV[[#This Row],[SALIDAS]]</f>
        <v>7</v>
      </c>
      <c r="O641" s="35">
        <f>SUMIFS(TablaENTRADA[CANT],TablaENTRADA[SKU],TablaSTOCKINV[[#This Row],[SKU]])</f>
        <v>7</v>
      </c>
      <c r="P641" s="35">
        <f>SUMIFS(TablaSALIDA[CANT],TablaSALIDA[SKU],TablaSTOCKINV[[#This Row],[SKU]])</f>
        <v>0</v>
      </c>
      <c r="Q641" s="34">
        <f>_xlfn.XLOOKUP(TablaSTOCKINV[[#This Row],[SKU]],TablaINVENTARIO[SKU],TablaINVENTARIO[PRECIO])</f>
        <v>0</v>
      </c>
      <c r="R641" s="34">
        <f>TablaSTOCKINV[[#This Row],[P.UNITARIO]]*TablaSTOCKINV[[#This Row],[CANT. TOTAL]]</f>
        <v>0</v>
      </c>
      <c r="S641" s="44">
        <f>_xlfn.XLOOKUP(TablaSTOCKINV[[#This Row],[SKU]],TablaINVENTARIO[SKU],TablaINVENTARIO[FECHA INGRESO])</f>
        <v>46023</v>
      </c>
      <c r="T641" s="44">
        <f>_xlfn.XLOOKUP(TablaSTOCKINV[[#This Row],[SKU]],TablaENTRADA[SKU],TablaENTRADA[FECHA],,0,-1)</f>
        <v>46023</v>
      </c>
      <c r="U641" s="46" t="str">
        <f>IFERROR((_xlfn.XLOOKUP(TablaSTOCKINV[[#This Row],[SKU]],TablaSALIDA[SKU],TablaSALIDA[FECHA],,0,-1))," " )</f>
        <v xml:space="preserve"> </v>
      </c>
    </row>
    <row r="642" spans="1:21" x14ac:dyDescent="0.3">
      <c r="A642" s="27" t="s">
        <v>2937</v>
      </c>
      <c r="B642" s="32" t="str">
        <f>_xlfn.XLOOKUP(TablaSTOCKINV[[#This Row],[SKU]],TablaINVENTARIO[SKU],TablaINVENTARIO[DESCRIPCION])</f>
        <v>MECHA PARA CONCRETO 3/16</v>
      </c>
      <c r="C642" s="32" t="str">
        <f>_xlfn.XLOOKUP(TablaSTOCKINV[[#This Row],[SKU]],TablaINVENTARIO[SKU],TablaINVENTARIO[MARCA])</f>
        <v>N/A</v>
      </c>
      <c r="D642" s="33" t="str">
        <f>_xlfn.XLOOKUP(TablaSTOCKINV[[#This Row],[SKU]],TablaINVENTARIO[SKU],TablaINVENTARIO[CATEGORIA])</f>
        <v>HERRAMIENTAS_</v>
      </c>
      <c r="E642" s="33" t="str">
        <f>_xlfn.XLOOKUP(TablaSTOCKINV[[#This Row],[SKU]],TablaINVENTARIO[SKU],TablaINVENTARIO[SUBCATEGORIA])</f>
        <v xml:space="preserve">MATERIAL DE CONSTRUCCIÓN </v>
      </c>
      <c r="F642" s="33" t="str">
        <f>_xlfn.XLOOKUP(TablaSTOCKINV[[#This Row],[SKU]],TablaINVENTARIO[SKU],TablaINVENTARIO[ESTADO])</f>
        <v>USADO</v>
      </c>
      <c r="G642" s="33" t="str">
        <f>_xlfn.XLOOKUP(TablaSTOCKINV[[#This Row],[SKU]],TablaINVENTARIO[SKU],TablaINVENTARIO[MEDIDA])</f>
        <v>UND</v>
      </c>
      <c r="H642" s="33" t="str">
        <f>_xlfn.XLOOKUP(TablaSTOCKINV[[#This Row],[SKU]],TablaINVENTARIO[SKU],TablaINVENTARIO[SERIAL])</f>
        <v>N/A</v>
      </c>
      <c r="I642" s="34" t="str">
        <f>_xlfn.XLOOKUP(TablaSTOCKINV[[#This Row],[SKU]],TablaINVENTARIO[SKU],TablaINVENTARIO[ALMACEN])</f>
        <v>ALMACEN PRINCIPAL</v>
      </c>
      <c r="J642" s="34" t="str">
        <f>_xlfn.XLOOKUP(TablaSTOCKINV[[#This Row],[SKU]],TablaINVENTARIO[SKU],TablaINVENTARIO[UBICACION])</f>
        <v>E2-2</v>
      </c>
      <c r="K642" s="34" t="str">
        <f>_xlfn.XLOOKUP(TablaSTOCKINV[[#This Row],[SKU]],TablaINVENTARIO[SKU],TablaINVENTARIO[DPTO RESPONSABLE])</f>
        <v>MANTENIMIENTO</v>
      </c>
      <c r="L642" s="36">
        <f>_xlfn.XLOOKUP(TablaSTOCKINV[[#This Row],[SKU]],TablaINVENTARIO[SKU],TablaINVENTARIO[RANGO MIN])</f>
        <v>0</v>
      </c>
      <c r="M642" s="34" cm="1">
        <f t="array" ref="M642">_xlfn.IFS(TablaSTOCKINV[[#This Row],[CANT. TOTAL]]&lt;=0,1,TablaSTOCKINV[[#This Row],[CANT. TOTAL]]&lt;=TablaSTOCKINV[[#This Row],[MIN]],2,TablaSTOCKINV[[#This Row],[CANT. TOTAL]]&gt;TablaSTOCKINV[[#This Row],[MIN]],3)</f>
        <v>3</v>
      </c>
      <c r="N642" s="34">
        <f>TablaSTOCKINV[[#This Row],[ENTRADAS]]-TablaSTOCKINV[[#This Row],[SALIDAS]]</f>
        <v>1</v>
      </c>
      <c r="O642" s="35">
        <f>SUMIFS(TablaENTRADA[CANT],TablaENTRADA[SKU],TablaSTOCKINV[[#This Row],[SKU]])</f>
        <v>1</v>
      </c>
      <c r="P642" s="35">
        <f>SUMIFS(TablaSALIDA[CANT],TablaSALIDA[SKU],TablaSTOCKINV[[#This Row],[SKU]])</f>
        <v>0</v>
      </c>
      <c r="Q642" s="34">
        <f>_xlfn.XLOOKUP(TablaSTOCKINV[[#This Row],[SKU]],TablaINVENTARIO[SKU],TablaINVENTARIO[PRECIO])</f>
        <v>0</v>
      </c>
      <c r="R642" s="34">
        <f>TablaSTOCKINV[[#This Row],[P.UNITARIO]]*TablaSTOCKINV[[#This Row],[CANT. TOTAL]]</f>
        <v>0</v>
      </c>
      <c r="S642" s="44">
        <f>_xlfn.XLOOKUP(TablaSTOCKINV[[#This Row],[SKU]],TablaINVENTARIO[SKU],TablaINVENTARIO[FECHA INGRESO])</f>
        <v>46023</v>
      </c>
      <c r="T642" s="44">
        <f>_xlfn.XLOOKUP(TablaSTOCKINV[[#This Row],[SKU]],TablaENTRADA[SKU],TablaENTRADA[FECHA],,0,-1)</f>
        <v>46023</v>
      </c>
      <c r="U642" s="46" t="str">
        <f>IFERROR((_xlfn.XLOOKUP(TablaSTOCKINV[[#This Row],[SKU]],TablaSALIDA[SKU],TablaSALIDA[FECHA],,0,-1))," " )</f>
        <v xml:space="preserve"> </v>
      </c>
    </row>
    <row r="643" spans="1:21" x14ac:dyDescent="0.3">
      <c r="A643" s="27" t="s">
        <v>2939</v>
      </c>
      <c r="B643" s="32" t="str">
        <f>_xlfn.XLOOKUP(TablaSTOCKINV[[#This Row],[SKU]],TablaINVENTARIO[SKU],TablaINVENTARIO[DESCRIPCION])</f>
        <v>MECHA PARA CONCRETO 9/32</v>
      </c>
      <c r="C643" s="32" t="str">
        <f>_xlfn.XLOOKUP(TablaSTOCKINV[[#This Row],[SKU]],TablaINVENTARIO[SKU],TablaINVENTARIO[MARCA])</f>
        <v>N/A</v>
      </c>
      <c r="D643" s="33" t="str">
        <f>_xlfn.XLOOKUP(TablaSTOCKINV[[#This Row],[SKU]],TablaINVENTARIO[SKU],TablaINVENTARIO[CATEGORIA])</f>
        <v>HERRAMIENTAS_</v>
      </c>
      <c r="E643" s="33" t="str">
        <f>_xlfn.XLOOKUP(TablaSTOCKINV[[#This Row],[SKU]],TablaINVENTARIO[SKU],TablaINVENTARIO[SUBCATEGORIA])</f>
        <v xml:space="preserve">MATERIAL DE CONSTRUCCIÓN </v>
      </c>
      <c r="F643" s="33" t="str">
        <f>_xlfn.XLOOKUP(TablaSTOCKINV[[#This Row],[SKU]],TablaINVENTARIO[SKU],TablaINVENTARIO[ESTADO])</f>
        <v>USADO</v>
      </c>
      <c r="G643" s="33" t="str">
        <f>_xlfn.XLOOKUP(TablaSTOCKINV[[#This Row],[SKU]],TablaINVENTARIO[SKU],TablaINVENTARIO[MEDIDA])</f>
        <v>UND</v>
      </c>
      <c r="H643" s="33" t="str">
        <f>_xlfn.XLOOKUP(TablaSTOCKINV[[#This Row],[SKU]],TablaINVENTARIO[SKU],TablaINVENTARIO[SERIAL])</f>
        <v>N/A</v>
      </c>
      <c r="I643" s="34" t="str">
        <f>_xlfn.XLOOKUP(TablaSTOCKINV[[#This Row],[SKU]],TablaINVENTARIO[SKU],TablaINVENTARIO[ALMACEN])</f>
        <v>ALMACEN PRINCIPAL</v>
      </c>
      <c r="J643" s="34" t="str">
        <f>_xlfn.XLOOKUP(TablaSTOCKINV[[#This Row],[SKU]],TablaINVENTARIO[SKU],TablaINVENTARIO[UBICACION])</f>
        <v>E2-2</v>
      </c>
      <c r="K643" s="34" t="str">
        <f>_xlfn.XLOOKUP(TablaSTOCKINV[[#This Row],[SKU]],TablaINVENTARIO[SKU],TablaINVENTARIO[DPTO RESPONSABLE])</f>
        <v>MANTENIMIENTO</v>
      </c>
      <c r="L643" s="36">
        <f>_xlfn.XLOOKUP(TablaSTOCKINV[[#This Row],[SKU]],TablaINVENTARIO[SKU],TablaINVENTARIO[RANGO MIN])</f>
        <v>0</v>
      </c>
      <c r="M643" s="34" cm="1">
        <f t="array" ref="M643">_xlfn.IFS(TablaSTOCKINV[[#This Row],[CANT. TOTAL]]&lt;=0,1,TablaSTOCKINV[[#This Row],[CANT. TOTAL]]&lt;=TablaSTOCKINV[[#This Row],[MIN]],2,TablaSTOCKINV[[#This Row],[CANT. TOTAL]]&gt;TablaSTOCKINV[[#This Row],[MIN]],3)</f>
        <v>3</v>
      </c>
      <c r="N643" s="34">
        <f>TablaSTOCKINV[[#This Row],[ENTRADAS]]-TablaSTOCKINV[[#This Row],[SALIDAS]]</f>
        <v>1</v>
      </c>
      <c r="O643" s="35">
        <f>SUMIFS(TablaENTRADA[CANT],TablaENTRADA[SKU],TablaSTOCKINV[[#This Row],[SKU]])</f>
        <v>1</v>
      </c>
      <c r="P643" s="35">
        <f>SUMIFS(TablaSALIDA[CANT],TablaSALIDA[SKU],TablaSTOCKINV[[#This Row],[SKU]])</f>
        <v>0</v>
      </c>
      <c r="Q643" s="34">
        <f>_xlfn.XLOOKUP(TablaSTOCKINV[[#This Row],[SKU]],TablaINVENTARIO[SKU],TablaINVENTARIO[PRECIO])</f>
        <v>0</v>
      </c>
      <c r="R643" s="34">
        <f>TablaSTOCKINV[[#This Row],[P.UNITARIO]]*TablaSTOCKINV[[#This Row],[CANT. TOTAL]]</f>
        <v>0</v>
      </c>
      <c r="S643" s="44">
        <f>_xlfn.XLOOKUP(TablaSTOCKINV[[#This Row],[SKU]],TablaINVENTARIO[SKU],TablaINVENTARIO[FECHA INGRESO])</f>
        <v>46023</v>
      </c>
      <c r="T643" s="44">
        <f>_xlfn.XLOOKUP(TablaSTOCKINV[[#This Row],[SKU]],TablaENTRADA[SKU],TablaENTRADA[FECHA],,0,-1)</f>
        <v>46023</v>
      </c>
      <c r="U643" s="46" t="str">
        <f>IFERROR((_xlfn.XLOOKUP(TablaSTOCKINV[[#This Row],[SKU]],TablaSALIDA[SKU],TablaSALIDA[FECHA],,0,-1))," " )</f>
        <v xml:space="preserve"> </v>
      </c>
    </row>
    <row r="644" spans="1:21" x14ac:dyDescent="0.3">
      <c r="A644" s="27" t="s">
        <v>2941</v>
      </c>
      <c r="B644" s="32" t="str">
        <f>_xlfn.XLOOKUP(TablaSTOCKINV[[#This Row],[SKU]],TablaINVENTARIO[SKU],TablaINVENTARIO[DESCRIPCION])</f>
        <v>MECHA PARA CONCRETO 1/4</v>
      </c>
      <c r="C644" s="32" t="str">
        <f>_xlfn.XLOOKUP(TablaSTOCKINV[[#This Row],[SKU]],TablaINVENTARIO[SKU],TablaINVENTARIO[MARCA])</f>
        <v>N/A</v>
      </c>
      <c r="D644" s="33" t="str">
        <f>_xlfn.XLOOKUP(TablaSTOCKINV[[#This Row],[SKU]],TablaINVENTARIO[SKU],TablaINVENTARIO[CATEGORIA])</f>
        <v>HERRAMIENTAS_</v>
      </c>
      <c r="E644" s="33" t="str">
        <f>_xlfn.XLOOKUP(TablaSTOCKINV[[#This Row],[SKU]],TablaINVENTARIO[SKU],TablaINVENTARIO[SUBCATEGORIA])</f>
        <v xml:space="preserve">MATERIAL DE CONSTRUCCIÓN </v>
      </c>
      <c r="F644" s="33" t="str">
        <f>_xlfn.XLOOKUP(TablaSTOCKINV[[#This Row],[SKU]],TablaINVENTARIO[SKU],TablaINVENTARIO[ESTADO])</f>
        <v>USADO</v>
      </c>
      <c r="G644" s="33" t="str">
        <f>_xlfn.XLOOKUP(TablaSTOCKINV[[#This Row],[SKU]],TablaINVENTARIO[SKU],TablaINVENTARIO[MEDIDA])</f>
        <v>UND</v>
      </c>
      <c r="H644" s="33" t="str">
        <f>_xlfn.XLOOKUP(TablaSTOCKINV[[#This Row],[SKU]],TablaINVENTARIO[SKU],TablaINVENTARIO[SERIAL])</f>
        <v>N/A</v>
      </c>
      <c r="I644" s="34" t="str">
        <f>_xlfn.XLOOKUP(TablaSTOCKINV[[#This Row],[SKU]],TablaINVENTARIO[SKU],TablaINVENTARIO[ALMACEN])</f>
        <v>ALMACEN PRINCIPAL</v>
      </c>
      <c r="J644" s="34" t="str">
        <f>_xlfn.XLOOKUP(TablaSTOCKINV[[#This Row],[SKU]],TablaINVENTARIO[SKU],TablaINVENTARIO[UBICACION])</f>
        <v>E2-2</v>
      </c>
      <c r="K644" s="34" t="str">
        <f>_xlfn.XLOOKUP(TablaSTOCKINV[[#This Row],[SKU]],TablaINVENTARIO[SKU],TablaINVENTARIO[DPTO RESPONSABLE])</f>
        <v>MANTENIMIENTO</v>
      </c>
      <c r="L644" s="36">
        <f>_xlfn.XLOOKUP(TablaSTOCKINV[[#This Row],[SKU]],TablaINVENTARIO[SKU],TablaINVENTARIO[RANGO MIN])</f>
        <v>0</v>
      </c>
      <c r="M644" s="34" cm="1">
        <f t="array" ref="M644">_xlfn.IFS(TablaSTOCKINV[[#This Row],[CANT. TOTAL]]&lt;=0,1,TablaSTOCKINV[[#This Row],[CANT. TOTAL]]&lt;=TablaSTOCKINV[[#This Row],[MIN]],2,TablaSTOCKINV[[#This Row],[CANT. TOTAL]]&gt;TablaSTOCKINV[[#This Row],[MIN]],3)</f>
        <v>3</v>
      </c>
      <c r="N644" s="34">
        <f>TablaSTOCKINV[[#This Row],[ENTRADAS]]-TablaSTOCKINV[[#This Row],[SALIDAS]]</f>
        <v>3</v>
      </c>
      <c r="O644" s="35">
        <f>SUMIFS(TablaENTRADA[CANT],TablaENTRADA[SKU],TablaSTOCKINV[[#This Row],[SKU]])</f>
        <v>3</v>
      </c>
      <c r="P644" s="35">
        <f>SUMIFS(TablaSALIDA[CANT],TablaSALIDA[SKU],TablaSTOCKINV[[#This Row],[SKU]])</f>
        <v>0</v>
      </c>
      <c r="Q644" s="34">
        <f>_xlfn.XLOOKUP(TablaSTOCKINV[[#This Row],[SKU]],TablaINVENTARIO[SKU],TablaINVENTARIO[PRECIO])</f>
        <v>0</v>
      </c>
      <c r="R644" s="34">
        <f>TablaSTOCKINV[[#This Row],[P.UNITARIO]]*TablaSTOCKINV[[#This Row],[CANT. TOTAL]]</f>
        <v>0</v>
      </c>
      <c r="S644" s="44">
        <f>_xlfn.XLOOKUP(TablaSTOCKINV[[#This Row],[SKU]],TablaINVENTARIO[SKU],TablaINVENTARIO[FECHA INGRESO])</f>
        <v>46023</v>
      </c>
      <c r="T644" s="44">
        <f>_xlfn.XLOOKUP(TablaSTOCKINV[[#This Row],[SKU]],TablaENTRADA[SKU],TablaENTRADA[FECHA],,0,-1)</f>
        <v>46023</v>
      </c>
      <c r="U644" s="46" t="str">
        <f>IFERROR((_xlfn.XLOOKUP(TablaSTOCKINV[[#This Row],[SKU]],TablaSALIDA[SKU],TablaSALIDA[FECHA],,0,-1))," " )</f>
        <v xml:space="preserve"> </v>
      </c>
    </row>
    <row r="645" spans="1:21" x14ac:dyDescent="0.3">
      <c r="A645" s="27" t="s">
        <v>2943</v>
      </c>
      <c r="B645" s="32" t="str">
        <f>_xlfn.XLOOKUP(TablaSTOCKINV[[#This Row],[SKU]],TablaINVENTARIO[SKU],TablaINVENTARIO[DESCRIPCION])</f>
        <v>MECHA PARA CONCRETO 5/16</v>
      </c>
      <c r="C645" s="32" t="str">
        <f>_xlfn.XLOOKUP(TablaSTOCKINV[[#This Row],[SKU]],TablaINVENTARIO[SKU],TablaINVENTARIO[MARCA])</f>
        <v>N/A</v>
      </c>
      <c r="D645" s="33" t="str">
        <f>_xlfn.XLOOKUP(TablaSTOCKINV[[#This Row],[SKU]],TablaINVENTARIO[SKU],TablaINVENTARIO[CATEGORIA])</f>
        <v>HERRAMIENTAS_</v>
      </c>
      <c r="E645" s="33" t="str">
        <f>_xlfn.XLOOKUP(TablaSTOCKINV[[#This Row],[SKU]],TablaINVENTARIO[SKU],TablaINVENTARIO[SUBCATEGORIA])</f>
        <v xml:space="preserve">MATERIAL DE CONSTRUCCIÓN </v>
      </c>
      <c r="F645" s="33" t="str">
        <f>_xlfn.XLOOKUP(TablaSTOCKINV[[#This Row],[SKU]],TablaINVENTARIO[SKU],TablaINVENTARIO[ESTADO])</f>
        <v>USADO</v>
      </c>
      <c r="G645" s="33" t="str">
        <f>_xlfn.XLOOKUP(TablaSTOCKINV[[#This Row],[SKU]],TablaINVENTARIO[SKU],TablaINVENTARIO[MEDIDA])</f>
        <v>UND</v>
      </c>
      <c r="H645" s="33" t="str">
        <f>_xlfn.XLOOKUP(TablaSTOCKINV[[#This Row],[SKU]],TablaINVENTARIO[SKU],TablaINVENTARIO[SERIAL])</f>
        <v>N/A</v>
      </c>
      <c r="I645" s="34" t="str">
        <f>_xlfn.XLOOKUP(TablaSTOCKINV[[#This Row],[SKU]],TablaINVENTARIO[SKU],TablaINVENTARIO[ALMACEN])</f>
        <v>ALMACEN PRINCIPAL</v>
      </c>
      <c r="J645" s="34" t="str">
        <f>_xlfn.XLOOKUP(TablaSTOCKINV[[#This Row],[SKU]],TablaINVENTARIO[SKU],TablaINVENTARIO[UBICACION])</f>
        <v>E2-2</v>
      </c>
      <c r="K645" s="34" t="str">
        <f>_xlfn.XLOOKUP(TablaSTOCKINV[[#This Row],[SKU]],TablaINVENTARIO[SKU],TablaINVENTARIO[DPTO RESPONSABLE])</f>
        <v>MANTENIMIENTO</v>
      </c>
      <c r="L645" s="36">
        <f>_xlfn.XLOOKUP(TablaSTOCKINV[[#This Row],[SKU]],TablaINVENTARIO[SKU],TablaINVENTARIO[RANGO MIN])</f>
        <v>0</v>
      </c>
      <c r="M645" s="34" cm="1">
        <f t="array" ref="M645">_xlfn.IFS(TablaSTOCKINV[[#This Row],[CANT. TOTAL]]&lt;=0,1,TablaSTOCKINV[[#This Row],[CANT. TOTAL]]&lt;=TablaSTOCKINV[[#This Row],[MIN]],2,TablaSTOCKINV[[#This Row],[CANT. TOTAL]]&gt;TablaSTOCKINV[[#This Row],[MIN]],3)</f>
        <v>3</v>
      </c>
      <c r="N645" s="34">
        <f>TablaSTOCKINV[[#This Row],[ENTRADAS]]-TablaSTOCKINV[[#This Row],[SALIDAS]]</f>
        <v>3</v>
      </c>
      <c r="O645" s="35">
        <f>SUMIFS(TablaENTRADA[CANT],TablaENTRADA[SKU],TablaSTOCKINV[[#This Row],[SKU]])</f>
        <v>3</v>
      </c>
      <c r="P645" s="35">
        <f>SUMIFS(TablaSALIDA[CANT],TablaSALIDA[SKU],TablaSTOCKINV[[#This Row],[SKU]])</f>
        <v>0</v>
      </c>
      <c r="Q645" s="34">
        <f>_xlfn.XLOOKUP(TablaSTOCKINV[[#This Row],[SKU]],TablaINVENTARIO[SKU],TablaINVENTARIO[PRECIO])</f>
        <v>0</v>
      </c>
      <c r="R645" s="34">
        <f>TablaSTOCKINV[[#This Row],[P.UNITARIO]]*TablaSTOCKINV[[#This Row],[CANT. TOTAL]]</f>
        <v>0</v>
      </c>
      <c r="S645" s="44">
        <f>_xlfn.XLOOKUP(TablaSTOCKINV[[#This Row],[SKU]],TablaINVENTARIO[SKU],TablaINVENTARIO[FECHA INGRESO])</f>
        <v>46023</v>
      </c>
      <c r="T645" s="44">
        <f>_xlfn.XLOOKUP(TablaSTOCKINV[[#This Row],[SKU]],TablaENTRADA[SKU],TablaENTRADA[FECHA],,0,-1)</f>
        <v>46023</v>
      </c>
      <c r="U645" s="46" t="str">
        <f>IFERROR((_xlfn.XLOOKUP(TablaSTOCKINV[[#This Row],[SKU]],TablaSALIDA[SKU],TablaSALIDA[FECHA],,0,-1))," " )</f>
        <v xml:space="preserve"> </v>
      </c>
    </row>
    <row r="646" spans="1:21" x14ac:dyDescent="0.3">
      <c r="A646" s="27" t="s">
        <v>2945</v>
      </c>
      <c r="B646" s="32" t="str">
        <f>_xlfn.XLOOKUP(TablaSTOCKINV[[#This Row],[SKU]],TablaINVENTARIO[SKU],TablaINVENTARIO[DESCRIPCION])</f>
        <v>MECHA PARA CONCRETO 5/8</v>
      </c>
      <c r="C646" s="32" t="str">
        <f>_xlfn.XLOOKUP(TablaSTOCKINV[[#This Row],[SKU]],TablaINVENTARIO[SKU],TablaINVENTARIO[MARCA])</f>
        <v>N/A</v>
      </c>
      <c r="D646" s="33" t="str">
        <f>_xlfn.XLOOKUP(TablaSTOCKINV[[#This Row],[SKU]],TablaINVENTARIO[SKU],TablaINVENTARIO[CATEGORIA])</f>
        <v>HERRAMIENTAS_</v>
      </c>
      <c r="E646" s="33" t="str">
        <f>_xlfn.XLOOKUP(TablaSTOCKINV[[#This Row],[SKU]],TablaINVENTARIO[SKU],TablaINVENTARIO[SUBCATEGORIA])</f>
        <v xml:space="preserve">MATERIAL DE CONSTRUCCIÓN </v>
      </c>
      <c r="F646" s="33" t="str">
        <f>_xlfn.XLOOKUP(TablaSTOCKINV[[#This Row],[SKU]],TablaINVENTARIO[SKU],TablaINVENTARIO[ESTADO])</f>
        <v>USADO</v>
      </c>
      <c r="G646" s="33" t="str">
        <f>_xlfn.XLOOKUP(TablaSTOCKINV[[#This Row],[SKU]],TablaINVENTARIO[SKU],TablaINVENTARIO[MEDIDA])</f>
        <v>UND</v>
      </c>
      <c r="H646" s="33" t="str">
        <f>_xlfn.XLOOKUP(TablaSTOCKINV[[#This Row],[SKU]],TablaINVENTARIO[SKU],TablaINVENTARIO[SERIAL])</f>
        <v>N/A</v>
      </c>
      <c r="I646" s="34" t="str">
        <f>_xlfn.XLOOKUP(TablaSTOCKINV[[#This Row],[SKU]],TablaINVENTARIO[SKU],TablaINVENTARIO[ALMACEN])</f>
        <v>ALMACEN PRINCIPAL</v>
      </c>
      <c r="J646" s="34" t="str">
        <f>_xlfn.XLOOKUP(TablaSTOCKINV[[#This Row],[SKU]],TablaINVENTARIO[SKU],TablaINVENTARIO[UBICACION])</f>
        <v>E2-2</v>
      </c>
      <c r="K646" s="34" t="str">
        <f>_xlfn.XLOOKUP(TablaSTOCKINV[[#This Row],[SKU]],TablaINVENTARIO[SKU],TablaINVENTARIO[DPTO RESPONSABLE])</f>
        <v>MANTENIMIENTO</v>
      </c>
      <c r="L646" s="36">
        <f>_xlfn.XLOOKUP(TablaSTOCKINV[[#This Row],[SKU]],TablaINVENTARIO[SKU],TablaINVENTARIO[RANGO MIN])</f>
        <v>0</v>
      </c>
      <c r="M646" s="34" cm="1">
        <f t="array" ref="M646">_xlfn.IFS(TablaSTOCKINV[[#This Row],[CANT. TOTAL]]&lt;=0,1,TablaSTOCKINV[[#This Row],[CANT. TOTAL]]&lt;=TablaSTOCKINV[[#This Row],[MIN]],2,TablaSTOCKINV[[#This Row],[CANT. TOTAL]]&gt;TablaSTOCKINV[[#This Row],[MIN]],3)</f>
        <v>3</v>
      </c>
      <c r="N646" s="34">
        <f>TablaSTOCKINV[[#This Row],[ENTRADAS]]-TablaSTOCKINV[[#This Row],[SALIDAS]]</f>
        <v>1</v>
      </c>
      <c r="O646" s="35">
        <f>SUMIFS(TablaENTRADA[CANT],TablaENTRADA[SKU],TablaSTOCKINV[[#This Row],[SKU]])</f>
        <v>1</v>
      </c>
      <c r="P646" s="35">
        <f>SUMIFS(TablaSALIDA[CANT],TablaSALIDA[SKU],TablaSTOCKINV[[#This Row],[SKU]])</f>
        <v>0</v>
      </c>
      <c r="Q646" s="34">
        <f>_xlfn.XLOOKUP(TablaSTOCKINV[[#This Row],[SKU]],TablaINVENTARIO[SKU],TablaINVENTARIO[PRECIO])</f>
        <v>0</v>
      </c>
      <c r="R646" s="34">
        <f>TablaSTOCKINV[[#This Row],[P.UNITARIO]]*TablaSTOCKINV[[#This Row],[CANT. TOTAL]]</f>
        <v>0</v>
      </c>
      <c r="S646" s="44">
        <f>_xlfn.XLOOKUP(TablaSTOCKINV[[#This Row],[SKU]],TablaINVENTARIO[SKU],TablaINVENTARIO[FECHA INGRESO])</f>
        <v>46023</v>
      </c>
      <c r="T646" s="44">
        <f>_xlfn.XLOOKUP(TablaSTOCKINV[[#This Row],[SKU]],TablaENTRADA[SKU],TablaENTRADA[FECHA],,0,-1)</f>
        <v>46023</v>
      </c>
      <c r="U646" s="46" t="str">
        <f>IFERROR((_xlfn.XLOOKUP(TablaSTOCKINV[[#This Row],[SKU]],TablaSALIDA[SKU],TablaSALIDA[FECHA],,0,-1))," " )</f>
        <v xml:space="preserve"> </v>
      </c>
    </row>
    <row r="647" spans="1:21" x14ac:dyDescent="0.3">
      <c r="A647" s="27" t="s">
        <v>2947</v>
      </c>
      <c r="B647" s="32" t="str">
        <f>_xlfn.XLOOKUP(TablaSTOCKINV[[#This Row],[SKU]],TablaINVENTARIO[SKU],TablaINVENTARIO[DESCRIPCION])</f>
        <v>MECHA PARA CONCRETO 3/16</v>
      </c>
      <c r="C647" s="32" t="str">
        <f>_xlfn.XLOOKUP(TablaSTOCKINV[[#This Row],[SKU]],TablaINVENTARIO[SKU],TablaINVENTARIO[MARCA])</f>
        <v>N/A</v>
      </c>
      <c r="D647" s="33" t="str">
        <f>_xlfn.XLOOKUP(TablaSTOCKINV[[#This Row],[SKU]],TablaINVENTARIO[SKU],TablaINVENTARIO[CATEGORIA])</f>
        <v>HERRAMIENTAS_</v>
      </c>
      <c r="E647" s="33" t="str">
        <f>_xlfn.XLOOKUP(TablaSTOCKINV[[#This Row],[SKU]],TablaINVENTARIO[SKU],TablaINVENTARIO[SUBCATEGORIA])</f>
        <v xml:space="preserve">MATERIAL DE CONSTRUCCIÓN </v>
      </c>
      <c r="F647" s="33" t="str">
        <f>_xlfn.XLOOKUP(TablaSTOCKINV[[#This Row],[SKU]],TablaINVENTARIO[SKU],TablaINVENTARIO[ESTADO])</f>
        <v>USADO</v>
      </c>
      <c r="G647" s="33" t="str">
        <f>_xlfn.XLOOKUP(TablaSTOCKINV[[#This Row],[SKU]],TablaINVENTARIO[SKU],TablaINVENTARIO[MEDIDA])</f>
        <v>UND</v>
      </c>
      <c r="H647" s="33" t="str">
        <f>_xlfn.XLOOKUP(TablaSTOCKINV[[#This Row],[SKU]],TablaINVENTARIO[SKU],TablaINVENTARIO[SERIAL])</f>
        <v>N/A</v>
      </c>
      <c r="I647" s="34" t="str">
        <f>_xlfn.XLOOKUP(TablaSTOCKINV[[#This Row],[SKU]],TablaINVENTARIO[SKU],TablaINVENTARIO[ALMACEN])</f>
        <v>ALMACEN PRINCIPAL</v>
      </c>
      <c r="J647" s="34" t="str">
        <f>_xlfn.XLOOKUP(TablaSTOCKINV[[#This Row],[SKU]],TablaINVENTARIO[SKU],TablaINVENTARIO[UBICACION])</f>
        <v>E2-2</v>
      </c>
      <c r="K647" s="34" t="str">
        <f>_xlfn.XLOOKUP(TablaSTOCKINV[[#This Row],[SKU]],TablaINVENTARIO[SKU],TablaINVENTARIO[DPTO RESPONSABLE])</f>
        <v>MANTENIMIENTO</v>
      </c>
      <c r="L647" s="36">
        <f>_xlfn.XLOOKUP(TablaSTOCKINV[[#This Row],[SKU]],TablaINVENTARIO[SKU],TablaINVENTARIO[RANGO MIN])</f>
        <v>0</v>
      </c>
      <c r="M647" s="34" cm="1">
        <f t="array" ref="M647">_xlfn.IFS(TablaSTOCKINV[[#This Row],[CANT. TOTAL]]&lt;=0,1,TablaSTOCKINV[[#This Row],[CANT. TOTAL]]&lt;=TablaSTOCKINV[[#This Row],[MIN]],2,TablaSTOCKINV[[#This Row],[CANT. TOTAL]]&gt;TablaSTOCKINV[[#This Row],[MIN]],3)</f>
        <v>3</v>
      </c>
      <c r="N647" s="34">
        <f>TablaSTOCKINV[[#This Row],[ENTRADAS]]-TablaSTOCKINV[[#This Row],[SALIDAS]]</f>
        <v>1</v>
      </c>
      <c r="O647" s="35">
        <f>SUMIFS(TablaENTRADA[CANT],TablaENTRADA[SKU],TablaSTOCKINV[[#This Row],[SKU]])</f>
        <v>1</v>
      </c>
      <c r="P647" s="35">
        <f>SUMIFS(TablaSALIDA[CANT],TablaSALIDA[SKU],TablaSTOCKINV[[#This Row],[SKU]])</f>
        <v>0</v>
      </c>
      <c r="Q647" s="34">
        <f>_xlfn.XLOOKUP(TablaSTOCKINV[[#This Row],[SKU]],TablaINVENTARIO[SKU],TablaINVENTARIO[PRECIO])</f>
        <v>0</v>
      </c>
      <c r="R647" s="34">
        <f>TablaSTOCKINV[[#This Row],[P.UNITARIO]]*TablaSTOCKINV[[#This Row],[CANT. TOTAL]]</f>
        <v>0</v>
      </c>
      <c r="S647" s="44">
        <f>_xlfn.XLOOKUP(TablaSTOCKINV[[#This Row],[SKU]],TablaINVENTARIO[SKU],TablaINVENTARIO[FECHA INGRESO])</f>
        <v>46023</v>
      </c>
      <c r="T647" s="44">
        <f>_xlfn.XLOOKUP(TablaSTOCKINV[[#This Row],[SKU]],TablaENTRADA[SKU],TablaENTRADA[FECHA],,0,-1)</f>
        <v>46023</v>
      </c>
      <c r="U647" s="46" t="str">
        <f>IFERROR((_xlfn.XLOOKUP(TablaSTOCKINV[[#This Row],[SKU]],TablaSALIDA[SKU],TablaSALIDA[FECHA],,0,-1))," " )</f>
        <v xml:space="preserve"> </v>
      </c>
    </row>
    <row r="648" spans="1:21" x14ac:dyDescent="0.3">
      <c r="A648" s="27" t="s">
        <v>2948</v>
      </c>
      <c r="B648" s="32" t="str">
        <f>_xlfn.XLOOKUP(TablaSTOCKINV[[#This Row],[SKU]],TablaINVENTARIO[SKU],TablaINVENTARIO[DESCRIPCION])</f>
        <v>MECHA PARA CONCRETO 3/8</v>
      </c>
      <c r="C648" s="32" t="str">
        <f>_xlfn.XLOOKUP(TablaSTOCKINV[[#This Row],[SKU]],TablaINVENTARIO[SKU],TablaINVENTARIO[MARCA])</f>
        <v>N/A</v>
      </c>
      <c r="D648" s="33" t="str">
        <f>_xlfn.XLOOKUP(TablaSTOCKINV[[#This Row],[SKU]],TablaINVENTARIO[SKU],TablaINVENTARIO[CATEGORIA])</f>
        <v>HERRAMIENTAS_</v>
      </c>
      <c r="E648" s="33" t="str">
        <f>_xlfn.XLOOKUP(TablaSTOCKINV[[#This Row],[SKU]],TablaINVENTARIO[SKU],TablaINVENTARIO[SUBCATEGORIA])</f>
        <v xml:space="preserve">MATERIAL DE CONSTRUCCIÓN </v>
      </c>
      <c r="F648" s="33" t="str">
        <f>_xlfn.XLOOKUP(TablaSTOCKINV[[#This Row],[SKU]],TablaINVENTARIO[SKU],TablaINVENTARIO[ESTADO])</f>
        <v>USADO</v>
      </c>
      <c r="G648" s="33" t="str">
        <f>_xlfn.XLOOKUP(TablaSTOCKINV[[#This Row],[SKU]],TablaINVENTARIO[SKU],TablaINVENTARIO[MEDIDA])</f>
        <v>UND</v>
      </c>
      <c r="H648" s="33" t="str">
        <f>_xlfn.XLOOKUP(TablaSTOCKINV[[#This Row],[SKU]],TablaINVENTARIO[SKU],TablaINVENTARIO[SERIAL])</f>
        <v>N/A</v>
      </c>
      <c r="I648" s="34" t="str">
        <f>_xlfn.XLOOKUP(TablaSTOCKINV[[#This Row],[SKU]],TablaINVENTARIO[SKU],TablaINVENTARIO[ALMACEN])</f>
        <v>ALMACEN PRINCIPAL</v>
      </c>
      <c r="J648" s="34" t="str">
        <f>_xlfn.XLOOKUP(TablaSTOCKINV[[#This Row],[SKU]],TablaINVENTARIO[SKU],TablaINVENTARIO[UBICACION])</f>
        <v>E2-2</v>
      </c>
      <c r="K648" s="34" t="str">
        <f>_xlfn.XLOOKUP(TablaSTOCKINV[[#This Row],[SKU]],TablaINVENTARIO[SKU],TablaINVENTARIO[DPTO RESPONSABLE])</f>
        <v>MANTENIMIENTO</v>
      </c>
      <c r="L648" s="36">
        <f>_xlfn.XLOOKUP(TablaSTOCKINV[[#This Row],[SKU]],TablaINVENTARIO[SKU],TablaINVENTARIO[RANGO MIN])</f>
        <v>0</v>
      </c>
      <c r="M648" s="34" cm="1">
        <f t="array" ref="M648">_xlfn.IFS(TablaSTOCKINV[[#This Row],[CANT. TOTAL]]&lt;=0,1,TablaSTOCKINV[[#This Row],[CANT. TOTAL]]&lt;=TablaSTOCKINV[[#This Row],[MIN]],2,TablaSTOCKINV[[#This Row],[CANT. TOTAL]]&gt;TablaSTOCKINV[[#This Row],[MIN]],3)</f>
        <v>3</v>
      </c>
      <c r="N648" s="34">
        <f>TablaSTOCKINV[[#This Row],[ENTRADAS]]-TablaSTOCKINV[[#This Row],[SALIDAS]]</f>
        <v>1</v>
      </c>
      <c r="O648" s="35">
        <f>SUMIFS(TablaENTRADA[CANT],TablaENTRADA[SKU],TablaSTOCKINV[[#This Row],[SKU]])</f>
        <v>1</v>
      </c>
      <c r="P648" s="35">
        <f>SUMIFS(TablaSALIDA[CANT],TablaSALIDA[SKU],TablaSTOCKINV[[#This Row],[SKU]])</f>
        <v>0</v>
      </c>
      <c r="Q648" s="34">
        <f>_xlfn.XLOOKUP(TablaSTOCKINV[[#This Row],[SKU]],TablaINVENTARIO[SKU],TablaINVENTARIO[PRECIO])</f>
        <v>0</v>
      </c>
      <c r="R648" s="34">
        <f>TablaSTOCKINV[[#This Row],[P.UNITARIO]]*TablaSTOCKINV[[#This Row],[CANT. TOTAL]]</f>
        <v>0</v>
      </c>
      <c r="S648" s="44">
        <f>_xlfn.XLOOKUP(TablaSTOCKINV[[#This Row],[SKU]],TablaINVENTARIO[SKU],TablaINVENTARIO[FECHA INGRESO])</f>
        <v>46023</v>
      </c>
      <c r="T648" s="44">
        <f>_xlfn.XLOOKUP(TablaSTOCKINV[[#This Row],[SKU]],TablaENTRADA[SKU],TablaENTRADA[FECHA],,0,-1)</f>
        <v>46023</v>
      </c>
      <c r="U648" s="46" t="str">
        <f>IFERROR((_xlfn.XLOOKUP(TablaSTOCKINV[[#This Row],[SKU]],TablaSALIDA[SKU],TablaSALIDA[FECHA],,0,-1))," " )</f>
        <v xml:space="preserve"> </v>
      </c>
    </row>
    <row r="649" spans="1:21" x14ac:dyDescent="0.3">
      <c r="A649" s="27" t="s">
        <v>2950</v>
      </c>
      <c r="B649" s="32" t="str">
        <f>_xlfn.XLOOKUP(TablaSTOCKINV[[#This Row],[SKU]],TablaINVENTARIO[SKU],TablaINVENTARIO[DESCRIPCION])</f>
        <v>MECHA PARA CONCRETO 3/8</v>
      </c>
      <c r="C649" s="32" t="str">
        <f>_xlfn.XLOOKUP(TablaSTOCKINV[[#This Row],[SKU]],TablaINVENTARIO[SKU],TablaINVENTARIO[MARCA])</f>
        <v>N/A</v>
      </c>
      <c r="D649" s="33" t="str">
        <f>_xlfn.XLOOKUP(TablaSTOCKINV[[#This Row],[SKU]],TablaINVENTARIO[SKU],TablaINVENTARIO[CATEGORIA])</f>
        <v>HERRAMIENTAS_</v>
      </c>
      <c r="E649" s="33" t="str">
        <f>_xlfn.XLOOKUP(TablaSTOCKINV[[#This Row],[SKU]],TablaINVENTARIO[SKU],TablaINVENTARIO[SUBCATEGORIA])</f>
        <v xml:space="preserve">MATERIAL DE CONSTRUCCIÓN </v>
      </c>
      <c r="F649" s="33" t="str">
        <f>_xlfn.XLOOKUP(TablaSTOCKINV[[#This Row],[SKU]],TablaINVENTARIO[SKU],TablaINVENTARIO[ESTADO])</f>
        <v>USADO</v>
      </c>
      <c r="G649" s="33" t="str">
        <f>_xlfn.XLOOKUP(TablaSTOCKINV[[#This Row],[SKU]],TablaINVENTARIO[SKU],TablaINVENTARIO[MEDIDA])</f>
        <v>UND</v>
      </c>
      <c r="H649" s="33" t="str">
        <f>_xlfn.XLOOKUP(TablaSTOCKINV[[#This Row],[SKU]],TablaINVENTARIO[SKU],TablaINVENTARIO[SERIAL])</f>
        <v>N/A</v>
      </c>
      <c r="I649" s="34" t="str">
        <f>_xlfn.XLOOKUP(TablaSTOCKINV[[#This Row],[SKU]],TablaINVENTARIO[SKU],TablaINVENTARIO[ALMACEN])</f>
        <v>ALMACEN PRINCIPAL</v>
      </c>
      <c r="J649" s="34" t="str">
        <f>_xlfn.XLOOKUP(TablaSTOCKINV[[#This Row],[SKU]],TablaINVENTARIO[SKU],TablaINVENTARIO[UBICACION])</f>
        <v>E2-2</v>
      </c>
      <c r="K649" s="34" t="str">
        <f>_xlfn.XLOOKUP(TablaSTOCKINV[[#This Row],[SKU]],TablaINVENTARIO[SKU],TablaINVENTARIO[DPTO RESPONSABLE])</f>
        <v>MANTENIMIENTO</v>
      </c>
      <c r="L649" s="36">
        <f>_xlfn.XLOOKUP(TablaSTOCKINV[[#This Row],[SKU]],TablaINVENTARIO[SKU],TablaINVENTARIO[RANGO MIN])</f>
        <v>0</v>
      </c>
      <c r="M649" s="34" cm="1">
        <f t="array" ref="M649">_xlfn.IFS(TablaSTOCKINV[[#This Row],[CANT. TOTAL]]&lt;=0,1,TablaSTOCKINV[[#This Row],[CANT. TOTAL]]&lt;=TablaSTOCKINV[[#This Row],[MIN]],2,TablaSTOCKINV[[#This Row],[CANT. TOTAL]]&gt;TablaSTOCKINV[[#This Row],[MIN]],3)</f>
        <v>3</v>
      </c>
      <c r="N649" s="34">
        <f>TablaSTOCKINV[[#This Row],[ENTRADAS]]-TablaSTOCKINV[[#This Row],[SALIDAS]]</f>
        <v>1</v>
      </c>
      <c r="O649" s="35">
        <f>SUMIFS(TablaENTRADA[CANT],TablaENTRADA[SKU],TablaSTOCKINV[[#This Row],[SKU]])</f>
        <v>1</v>
      </c>
      <c r="P649" s="35">
        <f>SUMIFS(TablaSALIDA[CANT],TablaSALIDA[SKU],TablaSTOCKINV[[#This Row],[SKU]])</f>
        <v>0</v>
      </c>
      <c r="Q649" s="34">
        <f>_xlfn.XLOOKUP(TablaSTOCKINV[[#This Row],[SKU]],TablaINVENTARIO[SKU],TablaINVENTARIO[PRECIO])</f>
        <v>0</v>
      </c>
      <c r="R649" s="34">
        <f>TablaSTOCKINV[[#This Row],[P.UNITARIO]]*TablaSTOCKINV[[#This Row],[CANT. TOTAL]]</f>
        <v>0</v>
      </c>
      <c r="S649" s="44">
        <f>_xlfn.XLOOKUP(TablaSTOCKINV[[#This Row],[SKU]],TablaINVENTARIO[SKU],TablaINVENTARIO[FECHA INGRESO])</f>
        <v>46023</v>
      </c>
      <c r="T649" s="44">
        <f>_xlfn.XLOOKUP(TablaSTOCKINV[[#This Row],[SKU]],TablaENTRADA[SKU],TablaENTRADA[FECHA],,0,-1)</f>
        <v>46023</v>
      </c>
      <c r="U649" s="46" t="str">
        <f>IFERROR((_xlfn.XLOOKUP(TablaSTOCKINV[[#This Row],[SKU]],TablaSALIDA[SKU],TablaSALIDA[FECHA],,0,-1))," " )</f>
        <v xml:space="preserve"> </v>
      </c>
    </row>
    <row r="650" spans="1:21" x14ac:dyDescent="0.3">
      <c r="A650" s="27" t="s">
        <v>2951</v>
      </c>
      <c r="B650" s="32" t="str">
        <f>_xlfn.XLOOKUP(TablaSTOCKINV[[#This Row],[SKU]],TablaINVENTARIO[SKU],TablaINVENTARIO[DESCRIPCION])</f>
        <v>MECHA PARA METAL 1/4</v>
      </c>
      <c r="C650" s="32" t="str">
        <f>_xlfn.XLOOKUP(TablaSTOCKINV[[#This Row],[SKU]],TablaINVENTARIO[SKU],TablaINVENTARIO[MARCA])</f>
        <v>N/A</v>
      </c>
      <c r="D650" s="33" t="str">
        <f>_xlfn.XLOOKUP(TablaSTOCKINV[[#This Row],[SKU]],TablaINVENTARIO[SKU],TablaINVENTARIO[CATEGORIA])</f>
        <v>HERRAMIENTAS_</v>
      </c>
      <c r="E650" s="33" t="str">
        <f>_xlfn.XLOOKUP(TablaSTOCKINV[[#This Row],[SKU]],TablaINVENTARIO[SKU],TablaINVENTARIO[SUBCATEGORIA])</f>
        <v xml:space="preserve">MATERIAL DE CONSTRUCCIÓN </v>
      </c>
      <c r="F650" s="33" t="str">
        <f>_xlfn.XLOOKUP(TablaSTOCKINV[[#This Row],[SKU]],TablaINVENTARIO[SKU],TablaINVENTARIO[ESTADO])</f>
        <v>USADO</v>
      </c>
      <c r="G650" s="33" t="str">
        <f>_xlfn.XLOOKUP(TablaSTOCKINV[[#This Row],[SKU]],TablaINVENTARIO[SKU],TablaINVENTARIO[MEDIDA])</f>
        <v>UND</v>
      </c>
      <c r="H650" s="33" t="str">
        <f>_xlfn.XLOOKUP(TablaSTOCKINV[[#This Row],[SKU]],TablaINVENTARIO[SKU],TablaINVENTARIO[SERIAL])</f>
        <v>N/A</v>
      </c>
      <c r="I650" s="34" t="str">
        <f>_xlfn.XLOOKUP(TablaSTOCKINV[[#This Row],[SKU]],TablaINVENTARIO[SKU],TablaINVENTARIO[ALMACEN])</f>
        <v>ALMACEN PRINCIPAL</v>
      </c>
      <c r="J650" s="34" t="str">
        <f>_xlfn.XLOOKUP(TablaSTOCKINV[[#This Row],[SKU]],TablaINVENTARIO[SKU],TablaINVENTARIO[UBICACION])</f>
        <v>E2-2</v>
      </c>
      <c r="K650" s="34" t="str">
        <f>_xlfn.XLOOKUP(TablaSTOCKINV[[#This Row],[SKU]],TablaINVENTARIO[SKU],TablaINVENTARIO[DPTO RESPONSABLE])</f>
        <v>MANTENIMIENTO</v>
      </c>
      <c r="L650" s="36">
        <f>_xlfn.XLOOKUP(TablaSTOCKINV[[#This Row],[SKU]],TablaINVENTARIO[SKU],TablaINVENTARIO[RANGO MIN])</f>
        <v>0</v>
      </c>
      <c r="M650" s="34" cm="1">
        <f t="array" ref="M650">_xlfn.IFS(TablaSTOCKINV[[#This Row],[CANT. TOTAL]]&lt;=0,1,TablaSTOCKINV[[#This Row],[CANT. TOTAL]]&lt;=TablaSTOCKINV[[#This Row],[MIN]],2,TablaSTOCKINV[[#This Row],[CANT. TOTAL]]&gt;TablaSTOCKINV[[#This Row],[MIN]],3)</f>
        <v>3</v>
      </c>
      <c r="N650" s="34">
        <f>TablaSTOCKINV[[#This Row],[ENTRADAS]]-TablaSTOCKINV[[#This Row],[SALIDAS]]</f>
        <v>7</v>
      </c>
      <c r="O650" s="35">
        <f>SUMIFS(TablaENTRADA[CANT],TablaENTRADA[SKU],TablaSTOCKINV[[#This Row],[SKU]])</f>
        <v>7</v>
      </c>
      <c r="P650" s="35">
        <f>SUMIFS(TablaSALIDA[CANT],TablaSALIDA[SKU],TablaSTOCKINV[[#This Row],[SKU]])</f>
        <v>0</v>
      </c>
      <c r="Q650" s="34">
        <f>_xlfn.XLOOKUP(TablaSTOCKINV[[#This Row],[SKU]],TablaINVENTARIO[SKU],TablaINVENTARIO[PRECIO])</f>
        <v>0</v>
      </c>
      <c r="R650" s="34">
        <f>TablaSTOCKINV[[#This Row],[P.UNITARIO]]*TablaSTOCKINV[[#This Row],[CANT. TOTAL]]</f>
        <v>0</v>
      </c>
      <c r="S650" s="44">
        <f>_xlfn.XLOOKUP(TablaSTOCKINV[[#This Row],[SKU]],TablaINVENTARIO[SKU],TablaINVENTARIO[FECHA INGRESO])</f>
        <v>46023</v>
      </c>
      <c r="T650" s="44">
        <f>_xlfn.XLOOKUP(TablaSTOCKINV[[#This Row],[SKU]],TablaENTRADA[SKU],TablaENTRADA[FECHA],,0,-1)</f>
        <v>46023</v>
      </c>
      <c r="U650" s="46" t="str">
        <f>IFERROR((_xlfn.XLOOKUP(TablaSTOCKINV[[#This Row],[SKU]],TablaSALIDA[SKU],TablaSALIDA[FECHA],,0,-1))," " )</f>
        <v xml:space="preserve"> </v>
      </c>
    </row>
    <row r="651" spans="1:21" x14ac:dyDescent="0.3">
      <c r="A651" s="27" t="s">
        <v>2953</v>
      </c>
      <c r="B651" s="32" t="str">
        <f>_xlfn.XLOOKUP(TablaSTOCKINV[[#This Row],[SKU]],TablaINVENTARIO[SKU],TablaINVENTARIO[DESCRIPCION])</f>
        <v>MECHA PARA METAL 5/16</v>
      </c>
      <c r="C651" s="32" t="str">
        <f>_xlfn.XLOOKUP(TablaSTOCKINV[[#This Row],[SKU]],TablaINVENTARIO[SKU],TablaINVENTARIO[MARCA])</f>
        <v>N/A</v>
      </c>
      <c r="D651" s="33" t="str">
        <f>_xlfn.XLOOKUP(TablaSTOCKINV[[#This Row],[SKU]],TablaINVENTARIO[SKU],TablaINVENTARIO[CATEGORIA])</f>
        <v>HERRAMIENTAS_</v>
      </c>
      <c r="E651" s="33" t="str">
        <f>_xlfn.XLOOKUP(TablaSTOCKINV[[#This Row],[SKU]],TablaINVENTARIO[SKU],TablaINVENTARIO[SUBCATEGORIA])</f>
        <v xml:space="preserve">MATERIAL DE CONSTRUCCIÓN </v>
      </c>
      <c r="F651" s="33" t="str">
        <f>_xlfn.XLOOKUP(TablaSTOCKINV[[#This Row],[SKU]],TablaINVENTARIO[SKU],TablaINVENTARIO[ESTADO])</f>
        <v>USADO</v>
      </c>
      <c r="G651" s="33" t="str">
        <f>_xlfn.XLOOKUP(TablaSTOCKINV[[#This Row],[SKU]],TablaINVENTARIO[SKU],TablaINVENTARIO[MEDIDA])</f>
        <v>UND</v>
      </c>
      <c r="H651" s="33" t="str">
        <f>_xlfn.XLOOKUP(TablaSTOCKINV[[#This Row],[SKU]],TablaINVENTARIO[SKU],TablaINVENTARIO[SERIAL])</f>
        <v>N/A</v>
      </c>
      <c r="I651" s="34" t="str">
        <f>_xlfn.XLOOKUP(TablaSTOCKINV[[#This Row],[SKU]],TablaINVENTARIO[SKU],TablaINVENTARIO[ALMACEN])</f>
        <v>ALMACEN PRINCIPAL</v>
      </c>
      <c r="J651" s="34" t="str">
        <f>_xlfn.XLOOKUP(TablaSTOCKINV[[#This Row],[SKU]],TablaINVENTARIO[SKU],TablaINVENTARIO[UBICACION])</f>
        <v>E2-2</v>
      </c>
      <c r="K651" s="34" t="str">
        <f>_xlfn.XLOOKUP(TablaSTOCKINV[[#This Row],[SKU]],TablaINVENTARIO[SKU],TablaINVENTARIO[DPTO RESPONSABLE])</f>
        <v>MANTENIMIENTO</v>
      </c>
      <c r="L651" s="36">
        <f>_xlfn.XLOOKUP(TablaSTOCKINV[[#This Row],[SKU]],TablaINVENTARIO[SKU],TablaINVENTARIO[RANGO MIN])</f>
        <v>0</v>
      </c>
      <c r="M651" s="34" cm="1">
        <f t="array" ref="M651">_xlfn.IFS(TablaSTOCKINV[[#This Row],[CANT. TOTAL]]&lt;=0,1,TablaSTOCKINV[[#This Row],[CANT. TOTAL]]&lt;=TablaSTOCKINV[[#This Row],[MIN]],2,TablaSTOCKINV[[#This Row],[CANT. TOTAL]]&gt;TablaSTOCKINV[[#This Row],[MIN]],3)</f>
        <v>3</v>
      </c>
      <c r="N651" s="34">
        <f>TablaSTOCKINV[[#This Row],[ENTRADAS]]-TablaSTOCKINV[[#This Row],[SALIDAS]]</f>
        <v>2</v>
      </c>
      <c r="O651" s="35">
        <f>SUMIFS(TablaENTRADA[CANT],TablaENTRADA[SKU],TablaSTOCKINV[[#This Row],[SKU]])</f>
        <v>2</v>
      </c>
      <c r="P651" s="35">
        <f>SUMIFS(TablaSALIDA[CANT],TablaSALIDA[SKU],TablaSTOCKINV[[#This Row],[SKU]])</f>
        <v>0</v>
      </c>
      <c r="Q651" s="34">
        <f>_xlfn.XLOOKUP(TablaSTOCKINV[[#This Row],[SKU]],TablaINVENTARIO[SKU],TablaINVENTARIO[PRECIO])</f>
        <v>0</v>
      </c>
      <c r="R651" s="34">
        <f>TablaSTOCKINV[[#This Row],[P.UNITARIO]]*TablaSTOCKINV[[#This Row],[CANT. TOTAL]]</f>
        <v>0</v>
      </c>
      <c r="S651" s="44">
        <f>_xlfn.XLOOKUP(TablaSTOCKINV[[#This Row],[SKU]],TablaINVENTARIO[SKU],TablaINVENTARIO[FECHA INGRESO])</f>
        <v>46023</v>
      </c>
      <c r="T651" s="44">
        <f>_xlfn.XLOOKUP(TablaSTOCKINV[[#This Row],[SKU]],TablaENTRADA[SKU],TablaENTRADA[FECHA],,0,-1)</f>
        <v>46023</v>
      </c>
      <c r="U651" s="46" t="str">
        <f>IFERROR((_xlfn.XLOOKUP(TablaSTOCKINV[[#This Row],[SKU]],TablaSALIDA[SKU],TablaSALIDA[FECHA],,0,-1))," " )</f>
        <v xml:space="preserve"> </v>
      </c>
    </row>
    <row r="652" spans="1:21" x14ac:dyDescent="0.3">
      <c r="A652" s="27" t="s">
        <v>2955</v>
      </c>
      <c r="B652" s="32" t="str">
        <f>_xlfn.XLOOKUP(TablaSTOCKINV[[#This Row],[SKU]],TablaINVENTARIO[SKU],TablaINVENTARIO[DESCRIPCION])</f>
        <v>MECHA PARA METAL 1/2</v>
      </c>
      <c r="C652" s="32" t="str">
        <f>_xlfn.XLOOKUP(TablaSTOCKINV[[#This Row],[SKU]],TablaINVENTARIO[SKU],TablaINVENTARIO[MARCA])</f>
        <v>N/A</v>
      </c>
      <c r="D652" s="33" t="str">
        <f>_xlfn.XLOOKUP(TablaSTOCKINV[[#This Row],[SKU]],TablaINVENTARIO[SKU],TablaINVENTARIO[CATEGORIA])</f>
        <v>HERRAMIENTAS_</v>
      </c>
      <c r="E652" s="33" t="str">
        <f>_xlfn.XLOOKUP(TablaSTOCKINV[[#This Row],[SKU]],TablaINVENTARIO[SKU],TablaINVENTARIO[SUBCATEGORIA])</f>
        <v xml:space="preserve">MATERIAL DE CONSTRUCCIÓN </v>
      </c>
      <c r="F652" s="33" t="str">
        <f>_xlfn.XLOOKUP(TablaSTOCKINV[[#This Row],[SKU]],TablaINVENTARIO[SKU],TablaINVENTARIO[ESTADO])</f>
        <v>USADO</v>
      </c>
      <c r="G652" s="33" t="str">
        <f>_xlfn.XLOOKUP(TablaSTOCKINV[[#This Row],[SKU]],TablaINVENTARIO[SKU],TablaINVENTARIO[MEDIDA])</f>
        <v>UND</v>
      </c>
      <c r="H652" s="33" t="str">
        <f>_xlfn.XLOOKUP(TablaSTOCKINV[[#This Row],[SKU]],TablaINVENTARIO[SKU],TablaINVENTARIO[SERIAL])</f>
        <v>N/A</v>
      </c>
      <c r="I652" s="34" t="str">
        <f>_xlfn.XLOOKUP(TablaSTOCKINV[[#This Row],[SKU]],TablaINVENTARIO[SKU],TablaINVENTARIO[ALMACEN])</f>
        <v>ALMACEN PRINCIPAL</v>
      </c>
      <c r="J652" s="34" t="str">
        <f>_xlfn.XLOOKUP(TablaSTOCKINV[[#This Row],[SKU]],TablaINVENTARIO[SKU],TablaINVENTARIO[UBICACION])</f>
        <v>E2-2</v>
      </c>
      <c r="K652" s="34" t="str">
        <f>_xlfn.XLOOKUP(TablaSTOCKINV[[#This Row],[SKU]],TablaINVENTARIO[SKU],TablaINVENTARIO[DPTO RESPONSABLE])</f>
        <v>MANTENIMIENTO</v>
      </c>
      <c r="L652" s="36">
        <f>_xlfn.XLOOKUP(TablaSTOCKINV[[#This Row],[SKU]],TablaINVENTARIO[SKU],TablaINVENTARIO[RANGO MIN])</f>
        <v>0</v>
      </c>
      <c r="M652" s="34" cm="1">
        <f t="array" ref="M652">_xlfn.IFS(TablaSTOCKINV[[#This Row],[CANT. TOTAL]]&lt;=0,1,TablaSTOCKINV[[#This Row],[CANT. TOTAL]]&lt;=TablaSTOCKINV[[#This Row],[MIN]],2,TablaSTOCKINV[[#This Row],[CANT. TOTAL]]&gt;TablaSTOCKINV[[#This Row],[MIN]],3)</f>
        <v>3</v>
      </c>
      <c r="N652" s="34">
        <f>TablaSTOCKINV[[#This Row],[ENTRADAS]]-TablaSTOCKINV[[#This Row],[SALIDAS]]</f>
        <v>1</v>
      </c>
      <c r="O652" s="35">
        <f>SUMIFS(TablaENTRADA[CANT],TablaENTRADA[SKU],TablaSTOCKINV[[#This Row],[SKU]])</f>
        <v>1</v>
      </c>
      <c r="P652" s="35">
        <f>SUMIFS(TablaSALIDA[CANT],TablaSALIDA[SKU],TablaSTOCKINV[[#This Row],[SKU]])</f>
        <v>0</v>
      </c>
      <c r="Q652" s="34">
        <f>_xlfn.XLOOKUP(TablaSTOCKINV[[#This Row],[SKU]],TablaINVENTARIO[SKU],TablaINVENTARIO[PRECIO])</f>
        <v>0</v>
      </c>
      <c r="R652" s="34">
        <f>TablaSTOCKINV[[#This Row],[P.UNITARIO]]*TablaSTOCKINV[[#This Row],[CANT. TOTAL]]</f>
        <v>0</v>
      </c>
      <c r="S652" s="44">
        <f>_xlfn.XLOOKUP(TablaSTOCKINV[[#This Row],[SKU]],TablaINVENTARIO[SKU],TablaINVENTARIO[FECHA INGRESO])</f>
        <v>46023</v>
      </c>
      <c r="T652" s="44">
        <f>_xlfn.XLOOKUP(TablaSTOCKINV[[#This Row],[SKU]],TablaENTRADA[SKU],TablaENTRADA[FECHA],,0,-1)</f>
        <v>46023</v>
      </c>
      <c r="U652" s="46" t="str">
        <f>IFERROR((_xlfn.XLOOKUP(TablaSTOCKINV[[#This Row],[SKU]],TablaSALIDA[SKU],TablaSALIDA[FECHA],,0,-1))," " )</f>
        <v xml:space="preserve"> </v>
      </c>
    </row>
    <row r="653" spans="1:21" x14ac:dyDescent="0.3">
      <c r="A653" s="27" t="s">
        <v>2957</v>
      </c>
      <c r="B653" s="32" t="str">
        <f>_xlfn.XLOOKUP(TablaSTOCKINV[[#This Row],[SKU]],TablaINVENTARIO[SKU],TablaINVENTARIO[DESCRIPCION])</f>
        <v>MECHA PARA METAL 1/4</v>
      </c>
      <c r="C653" s="32" t="str">
        <f>_xlfn.XLOOKUP(TablaSTOCKINV[[#This Row],[SKU]],TablaINVENTARIO[SKU],TablaINVENTARIO[MARCA])</f>
        <v>N/A</v>
      </c>
      <c r="D653" s="33" t="str">
        <f>_xlfn.XLOOKUP(TablaSTOCKINV[[#This Row],[SKU]],TablaINVENTARIO[SKU],TablaINVENTARIO[CATEGORIA])</f>
        <v>HERRAMIENTAS_</v>
      </c>
      <c r="E653" s="33" t="str">
        <f>_xlfn.XLOOKUP(TablaSTOCKINV[[#This Row],[SKU]],TablaINVENTARIO[SKU],TablaINVENTARIO[SUBCATEGORIA])</f>
        <v xml:space="preserve">MATERIAL DE CONSTRUCCIÓN </v>
      </c>
      <c r="F653" s="33" t="str">
        <f>_xlfn.XLOOKUP(TablaSTOCKINV[[#This Row],[SKU]],TablaINVENTARIO[SKU],TablaINVENTARIO[ESTADO])</f>
        <v>USADO</v>
      </c>
      <c r="G653" s="33" t="str">
        <f>_xlfn.XLOOKUP(TablaSTOCKINV[[#This Row],[SKU]],TablaINVENTARIO[SKU],TablaINVENTARIO[MEDIDA])</f>
        <v>UND</v>
      </c>
      <c r="H653" s="33" t="str">
        <f>_xlfn.XLOOKUP(TablaSTOCKINV[[#This Row],[SKU]],TablaINVENTARIO[SKU],TablaINVENTARIO[SERIAL])</f>
        <v>N/A</v>
      </c>
      <c r="I653" s="34" t="str">
        <f>_xlfn.XLOOKUP(TablaSTOCKINV[[#This Row],[SKU]],TablaINVENTARIO[SKU],TablaINVENTARIO[ALMACEN])</f>
        <v>ALMACEN PRINCIPAL</v>
      </c>
      <c r="J653" s="34" t="str">
        <f>_xlfn.XLOOKUP(TablaSTOCKINV[[#This Row],[SKU]],TablaINVENTARIO[SKU],TablaINVENTARIO[UBICACION])</f>
        <v>E2-2</v>
      </c>
      <c r="K653" s="34" t="str">
        <f>_xlfn.XLOOKUP(TablaSTOCKINV[[#This Row],[SKU]],TablaINVENTARIO[SKU],TablaINVENTARIO[DPTO RESPONSABLE])</f>
        <v>MANTENIMIENTO</v>
      </c>
      <c r="L653" s="36">
        <f>_xlfn.XLOOKUP(TablaSTOCKINV[[#This Row],[SKU]],TablaINVENTARIO[SKU],TablaINVENTARIO[RANGO MIN])</f>
        <v>0</v>
      </c>
      <c r="M653" s="34" cm="1">
        <f t="array" ref="M653">_xlfn.IFS(TablaSTOCKINV[[#This Row],[CANT. TOTAL]]&lt;=0,1,TablaSTOCKINV[[#This Row],[CANT. TOTAL]]&lt;=TablaSTOCKINV[[#This Row],[MIN]],2,TablaSTOCKINV[[#This Row],[CANT. TOTAL]]&gt;TablaSTOCKINV[[#This Row],[MIN]],3)</f>
        <v>3</v>
      </c>
      <c r="N653" s="34">
        <f>TablaSTOCKINV[[#This Row],[ENTRADAS]]-TablaSTOCKINV[[#This Row],[SALIDAS]]</f>
        <v>8</v>
      </c>
      <c r="O653" s="35">
        <f>SUMIFS(TablaENTRADA[CANT],TablaENTRADA[SKU],TablaSTOCKINV[[#This Row],[SKU]])</f>
        <v>8</v>
      </c>
      <c r="P653" s="35">
        <f>SUMIFS(TablaSALIDA[CANT],TablaSALIDA[SKU],TablaSTOCKINV[[#This Row],[SKU]])</f>
        <v>0</v>
      </c>
      <c r="Q653" s="34">
        <f>_xlfn.XLOOKUP(TablaSTOCKINV[[#This Row],[SKU]],TablaINVENTARIO[SKU],TablaINVENTARIO[PRECIO])</f>
        <v>0</v>
      </c>
      <c r="R653" s="34">
        <f>TablaSTOCKINV[[#This Row],[P.UNITARIO]]*TablaSTOCKINV[[#This Row],[CANT. TOTAL]]</f>
        <v>0</v>
      </c>
      <c r="S653" s="44">
        <f>_xlfn.XLOOKUP(TablaSTOCKINV[[#This Row],[SKU]],TablaINVENTARIO[SKU],TablaINVENTARIO[FECHA INGRESO])</f>
        <v>46023</v>
      </c>
      <c r="T653" s="44">
        <f>_xlfn.XLOOKUP(TablaSTOCKINV[[#This Row],[SKU]],TablaENTRADA[SKU],TablaENTRADA[FECHA],,0,-1)</f>
        <v>46023</v>
      </c>
      <c r="U653" s="46" t="str">
        <f>IFERROR((_xlfn.XLOOKUP(TablaSTOCKINV[[#This Row],[SKU]],TablaSALIDA[SKU],TablaSALIDA[FECHA],,0,-1))," " )</f>
        <v xml:space="preserve"> </v>
      </c>
    </row>
    <row r="654" spans="1:21" x14ac:dyDescent="0.3">
      <c r="A654" s="27" t="s">
        <v>2958</v>
      </c>
      <c r="B654" s="32" t="str">
        <f>_xlfn.XLOOKUP(TablaSTOCKINV[[#This Row],[SKU]],TablaINVENTARIO[SKU],TablaINVENTARIO[DESCRIPCION])</f>
        <v>BISAGRA</v>
      </c>
      <c r="C654" s="32" t="str">
        <f>_xlfn.XLOOKUP(TablaSTOCKINV[[#This Row],[SKU]],TablaINVENTARIO[SKU],TablaINVENTARIO[MARCA])</f>
        <v>N/A</v>
      </c>
      <c r="D654" s="33" t="str">
        <f>_xlfn.XLOOKUP(TablaSTOCKINV[[#This Row],[SKU]],TablaINVENTARIO[SKU],TablaINVENTARIO[CATEGORIA])</f>
        <v>HERRAMIENTAS_</v>
      </c>
      <c r="E654" s="33" t="str">
        <f>_xlfn.XLOOKUP(TablaSTOCKINV[[#This Row],[SKU]],TablaINVENTARIO[SKU],TablaINVENTARIO[SUBCATEGORIA])</f>
        <v xml:space="preserve">MATERIAL DE CONSTRUCCIÓN </v>
      </c>
      <c r="F654" s="33" t="str">
        <f>_xlfn.XLOOKUP(TablaSTOCKINV[[#This Row],[SKU]],TablaINVENTARIO[SKU],TablaINVENTARIO[ESTADO])</f>
        <v>USADO</v>
      </c>
      <c r="G654" s="33" t="str">
        <f>_xlfn.XLOOKUP(TablaSTOCKINV[[#This Row],[SKU]],TablaINVENTARIO[SKU],TablaINVENTARIO[MEDIDA])</f>
        <v>UND</v>
      </c>
      <c r="H654" s="33" t="str">
        <f>_xlfn.XLOOKUP(TablaSTOCKINV[[#This Row],[SKU]],TablaINVENTARIO[SKU],TablaINVENTARIO[SERIAL])</f>
        <v>N/A</v>
      </c>
      <c r="I654" s="34" t="str">
        <f>_xlfn.XLOOKUP(TablaSTOCKINV[[#This Row],[SKU]],TablaINVENTARIO[SKU],TablaINVENTARIO[ALMACEN])</f>
        <v>ALMACEN PRINCIPAL</v>
      </c>
      <c r="J654" s="34" t="str">
        <f>_xlfn.XLOOKUP(TablaSTOCKINV[[#This Row],[SKU]],TablaINVENTARIO[SKU],TablaINVENTARIO[UBICACION])</f>
        <v>E1-1</v>
      </c>
      <c r="K654" s="34" t="str">
        <f>_xlfn.XLOOKUP(TablaSTOCKINV[[#This Row],[SKU]],TablaINVENTARIO[SKU],TablaINVENTARIO[DPTO RESPONSABLE])</f>
        <v>MANTENIMIENTO</v>
      </c>
      <c r="L654" s="36">
        <f>_xlfn.XLOOKUP(TablaSTOCKINV[[#This Row],[SKU]],TablaINVENTARIO[SKU],TablaINVENTARIO[RANGO MIN])</f>
        <v>0</v>
      </c>
      <c r="M654" s="34" cm="1">
        <f t="array" ref="M654">_xlfn.IFS(TablaSTOCKINV[[#This Row],[CANT. TOTAL]]&lt;=0,1,TablaSTOCKINV[[#This Row],[CANT. TOTAL]]&lt;=TablaSTOCKINV[[#This Row],[MIN]],2,TablaSTOCKINV[[#This Row],[CANT. TOTAL]]&gt;TablaSTOCKINV[[#This Row],[MIN]],3)</f>
        <v>3</v>
      </c>
      <c r="N654" s="34">
        <f>TablaSTOCKINV[[#This Row],[ENTRADAS]]-TablaSTOCKINV[[#This Row],[SALIDAS]]</f>
        <v>10</v>
      </c>
      <c r="O654" s="35">
        <f>SUMIFS(TablaENTRADA[CANT],TablaENTRADA[SKU],TablaSTOCKINV[[#This Row],[SKU]])</f>
        <v>10</v>
      </c>
      <c r="P654" s="35">
        <f>SUMIFS(TablaSALIDA[CANT],TablaSALIDA[SKU],TablaSTOCKINV[[#This Row],[SKU]])</f>
        <v>0</v>
      </c>
      <c r="Q654" s="34">
        <f>_xlfn.XLOOKUP(TablaSTOCKINV[[#This Row],[SKU]],TablaINVENTARIO[SKU],TablaINVENTARIO[PRECIO])</f>
        <v>0</v>
      </c>
      <c r="R654" s="34">
        <f>TablaSTOCKINV[[#This Row],[P.UNITARIO]]*TablaSTOCKINV[[#This Row],[CANT. TOTAL]]</f>
        <v>0</v>
      </c>
      <c r="S654" s="44">
        <f>_xlfn.XLOOKUP(TablaSTOCKINV[[#This Row],[SKU]],TablaINVENTARIO[SKU],TablaINVENTARIO[FECHA INGRESO])</f>
        <v>46023</v>
      </c>
      <c r="T654" s="44">
        <f>_xlfn.XLOOKUP(TablaSTOCKINV[[#This Row],[SKU]],TablaENTRADA[SKU],TablaENTRADA[FECHA],,0,-1)</f>
        <v>46023</v>
      </c>
      <c r="U654" s="46" t="str">
        <f>IFERROR((_xlfn.XLOOKUP(TablaSTOCKINV[[#This Row],[SKU]],TablaSALIDA[SKU],TablaSALIDA[FECHA],,0,-1))," " )</f>
        <v xml:space="preserve"> </v>
      </c>
    </row>
    <row r="655" spans="1:21" x14ac:dyDescent="0.3">
      <c r="A655" s="27" t="s">
        <v>2960</v>
      </c>
      <c r="B655" s="32" t="str">
        <f>_xlfn.XLOOKUP(TablaSTOCKINV[[#This Row],[SKU]],TablaINVENTARIO[SKU],TablaINVENTARIO[DESCRIPCION])</f>
        <v xml:space="preserve">HEMBRILLA ELECTRICA </v>
      </c>
      <c r="C655" s="32" t="str">
        <f>_xlfn.XLOOKUP(TablaSTOCKINV[[#This Row],[SKU]],TablaINVENTARIO[SKU],TablaINVENTARIO[MARCA])</f>
        <v>CISA</v>
      </c>
      <c r="D655" s="33" t="str">
        <f>_xlfn.XLOOKUP(TablaSTOCKINV[[#This Row],[SKU]],TablaINVENTARIO[SKU],TablaINVENTARIO[CATEGORIA])</f>
        <v>HERRAMIENTAS_</v>
      </c>
      <c r="E655" s="33" t="str">
        <f>_xlfn.XLOOKUP(TablaSTOCKINV[[#This Row],[SKU]],TablaINVENTARIO[SKU],TablaINVENTARIO[SUBCATEGORIA])</f>
        <v xml:space="preserve">MATERIAL DE CONSTRUCCIÓN </v>
      </c>
      <c r="F655" s="33" t="str">
        <f>_xlfn.XLOOKUP(TablaSTOCKINV[[#This Row],[SKU]],TablaINVENTARIO[SKU],TablaINVENTARIO[ESTADO])</f>
        <v>USADO</v>
      </c>
      <c r="G655" s="33" t="str">
        <f>_xlfn.XLOOKUP(TablaSTOCKINV[[#This Row],[SKU]],TablaINVENTARIO[SKU],TablaINVENTARIO[MEDIDA])</f>
        <v>UND</v>
      </c>
      <c r="H655" s="33" t="str">
        <f>_xlfn.XLOOKUP(TablaSTOCKINV[[#This Row],[SKU]],TablaINVENTARIO[SKU],TablaINVENTARIO[SERIAL])</f>
        <v>N/A</v>
      </c>
      <c r="I655" s="34" t="str">
        <f>_xlfn.XLOOKUP(TablaSTOCKINV[[#This Row],[SKU]],TablaINVENTARIO[SKU],TablaINVENTARIO[ALMACEN])</f>
        <v>ALMACEN PRINCIPAL</v>
      </c>
      <c r="J655" s="34" t="str">
        <f>_xlfn.XLOOKUP(TablaSTOCKINV[[#This Row],[SKU]],TablaINVENTARIO[SKU],TablaINVENTARIO[UBICACION])</f>
        <v>E2-2</v>
      </c>
      <c r="K655" s="34" t="str">
        <f>_xlfn.XLOOKUP(TablaSTOCKINV[[#This Row],[SKU]],TablaINVENTARIO[SKU],TablaINVENTARIO[DPTO RESPONSABLE])</f>
        <v>MANTENIMIENTO</v>
      </c>
      <c r="L655" s="36">
        <f>_xlfn.XLOOKUP(TablaSTOCKINV[[#This Row],[SKU]],TablaINVENTARIO[SKU],TablaINVENTARIO[RANGO MIN])</f>
        <v>0</v>
      </c>
      <c r="M655" s="34" cm="1">
        <f t="array" ref="M655">_xlfn.IFS(TablaSTOCKINV[[#This Row],[CANT. TOTAL]]&lt;=0,1,TablaSTOCKINV[[#This Row],[CANT. TOTAL]]&lt;=TablaSTOCKINV[[#This Row],[MIN]],2,TablaSTOCKINV[[#This Row],[CANT. TOTAL]]&gt;TablaSTOCKINV[[#This Row],[MIN]],3)</f>
        <v>3</v>
      </c>
      <c r="N655" s="34">
        <f>TablaSTOCKINV[[#This Row],[ENTRADAS]]-TablaSTOCKINV[[#This Row],[SALIDAS]]</f>
        <v>1</v>
      </c>
      <c r="O655" s="35">
        <f>SUMIFS(TablaENTRADA[CANT],TablaENTRADA[SKU],TablaSTOCKINV[[#This Row],[SKU]])</f>
        <v>1</v>
      </c>
      <c r="P655" s="35">
        <f>SUMIFS(TablaSALIDA[CANT],TablaSALIDA[SKU],TablaSTOCKINV[[#This Row],[SKU]])</f>
        <v>0</v>
      </c>
      <c r="Q655" s="34">
        <f>_xlfn.XLOOKUP(TablaSTOCKINV[[#This Row],[SKU]],TablaINVENTARIO[SKU],TablaINVENTARIO[PRECIO])</f>
        <v>0</v>
      </c>
      <c r="R655" s="34">
        <f>TablaSTOCKINV[[#This Row],[P.UNITARIO]]*TablaSTOCKINV[[#This Row],[CANT. TOTAL]]</f>
        <v>0</v>
      </c>
      <c r="S655" s="44">
        <f>_xlfn.XLOOKUP(TablaSTOCKINV[[#This Row],[SKU]],TablaINVENTARIO[SKU],TablaINVENTARIO[FECHA INGRESO])</f>
        <v>46023</v>
      </c>
      <c r="T655" s="44">
        <f>_xlfn.XLOOKUP(TablaSTOCKINV[[#This Row],[SKU]],TablaENTRADA[SKU],TablaENTRADA[FECHA],,0,-1)</f>
        <v>46023</v>
      </c>
      <c r="U655" s="46" t="str">
        <f>IFERROR((_xlfn.XLOOKUP(TablaSTOCKINV[[#This Row],[SKU]],TablaSALIDA[SKU],TablaSALIDA[FECHA],,0,-1))," " )</f>
        <v xml:space="preserve"> </v>
      </c>
    </row>
    <row r="656" spans="1:21" x14ac:dyDescent="0.3">
      <c r="A656" s="27" t="s">
        <v>2963</v>
      </c>
      <c r="B656" s="32" t="str">
        <f>_xlfn.XLOOKUP(TablaSTOCKINV[[#This Row],[SKU]],TablaINVENTARIO[SKU],TablaINVENTARIO[DESCRIPCION])</f>
        <v>CEMENTO CONTACTO 43 473CM3</v>
      </c>
      <c r="C656" s="32" t="str">
        <f>_xlfn.XLOOKUP(TablaSTOCKINV[[#This Row],[SKU]],TablaINVENTARIO[SKU],TablaINVENTARIO[MARCA])</f>
        <v xml:space="preserve">PEGA SOLD </v>
      </c>
      <c r="D656" s="33" t="str">
        <f>_xlfn.XLOOKUP(TablaSTOCKINV[[#This Row],[SKU]],TablaINVENTARIO[SKU],TablaINVENTARIO[CATEGORIA])</f>
        <v>HERRAMIENTAS_</v>
      </c>
      <c r="E656" s="33" t="str">
        <f>_xlfn.XLOOKUP(TablaSTOCKINV[[#This Row],[SKU]],TablaINVENTARIO[SKU],TablaINVENTARIO[SUBCATEGORIA])</f>
        <v xml:space="preserve">MATERIAL DE CONSTRUCCIÓN </v>
      </c>
      <c r="F656" s="33" t="str">
        <f>_xlfn.XLOOKUP(TablaSTOCKINV[[#This Row],[SKU]],TablaINVENTARIO[SKU],TablaINVENTARIO[ESTADO])</f>
        <v>USADO</v>
      </c>
      <c r="G656" s="33" t="str">
        <f>_xlfn.XLOOKUP(TablaSTOCKINV[[#This Row],[SKU]],TablaINVENTARIO[SKU],TablaINVENTARIO[MEDIDA])</f>
        <v>UND</v>
      </c>
      <c r="H656" s="33" t="str">
        <f>_xlfn.XLOOKUP(TablaSTOCKINV[[#This Row],[SKU]],TablaINVENTARIO[SKU],TablaINVENTARIO[SERIAL])</f>
        <v>N/A</v>
      </c>
      <c r="I656" s="34" t="str">
        <f>_xlfn.XLOOKUP(TablaSTOCKINV[[#This Row],[SKU]],TablaINVENTARIO[SKU],TablaINVENTARIO[ALMACEN])</f>
        <v>ALMACEN PRINCIPAL</v>
      </c>
      <c r="J656" s="34" t="str">
        <f>_xlfn.XLOOKUP(TablaSTOCKINV[[#This Row],[SKU]],TablaINVENTARIO[SKU],TablaINVENTARIO[UBICACION])</f>
        <v>E2-2</v>
      </c>
      <c r="K656" s="34" t="str">
        <f>_xlfn.XLOOKUP(TablaSTOCKINV[[#This Row],[SKU]],TablaINVENTARIO[SKU],TablaINVENTARIO[DPTO RESPONSABLE])</f>
        <v xml:space="preserve">MANTENIMIENTO </v>
      </c>
      <c r="L656" s="36">
        <f>_xlfn.XLOOKUP(TablaSTOCKINV[[#This Row],[SKU]],TablaINVENTARIO[SKU],TablaINVENTARIO[RANGO MIN])</f>
        <v>0</v>
      </c>
      <c r="M656" s="34" cm="1">
        <f t="array" ref="M656">_xlfn.IFS(TablaSTOCKINV[[#This Row],[CANT. TOTAL]]&lt;=0,1,TablaSTOCKINV[[#This Row],[CANT. TOTAL]]&lt;=TablaSTOCKINV[[#This Row],[MIN]],2,TablaSTOCKINV[[#This Row],[CANT. TOTAL]]&gt;TablaSTOCKINV[[#This Row],[MIN]],3)</f>
        <v>3</v>
      </c>
      <c r="N656" s="34">
        <f>TablaSTOCKINV[[#This Row],[ENTRADAS]]-TablaSTOCKINV[[#This Row],[SALIDAS]]</f>
        <v>1</v>
      </c>
      <c r="O656" s="35">
        <f>SUMIFS(TablaENTRADA[CANT],TablaENTRADA[SKU],TablaSTOCKINV[[#This Row],[SKU]])</f>
        <v>1</v>
      </c>
      <c r="P656" s="35">
        <f>SUMIFS(TablaSALIDA[CANT],TablaSALIDA[SKU],TablaSTOCKINV[[#This Row],[SKU]])</f>
        <v>0</v>
      </c>
      <c r="Q656" s="34">
        <f>_xlfn.XLOOKUP(TablaSTOCKINV[[#This Row],[SKU]],TablaINVENTARIO[SKU],TablaINVENTARIO[PRECIO])</f>
        <v>0</v>
      </c>
      <c r="R656" s="34">
        <f>TablaSTOCKINV[[#This Row],[P.UNITARIO]]*TablaSTOCKINV[[#This Row],[CANT. TOTAL]]</f>
        <v>0</v>
      </c>
      <c r="S656" s="44">
        <f>_xlfn.XLOOKUP(TablaSTOCKINV[[#This Row],[SKU]],TablaINVENTARIO[SKU],TablaINVENTARIO[FECHA INGRESO])</f>
        <v>46023</v>
      </c>
      <c r="T656" s="44">
        <f>_xlfn.XLOOKUP(TablaSTOCKINV[[#This Row],[SKU]],TablaENTRADA[SKU],TablaENTRADA[FECHA],,0,-1)</f>
        <v>46023</v>
      </c>
      <c r="U656" s="46" t="str">
        <f>IFERROR((_xlfn.XLOOKUP(TablaSTOCKINV[[#This Row],[SKU]],TablaSALIDA[SKU],TablaSALIDA[FECHA],,0,-1))," " )</f>
        <v xml:space="preserve"> </v>
      </c>
    </row>
    <row r="657" spans="1:21" x14ac:dyDescent="0.3">
      <c r="A657" s="27" t="s">
        <v>2965</v>
      </c>
      <c r="B657" s="32" t="str">
        <f>_xlfn.XLOOKUP(TablaSTOCKINV[[#This Row],[SKU]],TablaINVENTARIO[SKU],TablaINVENTARIO[DESCRIPCION])</f>
        <v>YEE PVC 3"</v>
      </c>
      <c r="C657" s="32" t="str">
        <f>_xlfn.XLOOKUP(TablaSTOCKINV[[#This Row],[SKU]],TablaINVENTARIO[SKU],TablaINVENTARIO[MARCA])</f>
        <v>N/A</v>
      </c>
      <c r="D657" s="33" t="str">
        <f>_xlfn.XLOOKUP(TablaSTOCKINV[[#This Row],[SKU]],TablaINVENTARIO[SKU],TablaINVENTARIO[CATEGORIA])</f>
        <v>HERRAMIENTAS_</v>
      </c>
      <c r="E657" s="33" t="str">
        <f>_xlfn.XLOOKUP(TablaSTOCKINV[[#This Row],[SKU]],TablaINVENTARIO[SKU],TablaINVENTARIO[SUBCATEGORIA])</f>
        <v xml:space="preserve">MATERIAL PVC </v>
      </c>
      <c r="F657" s="33" t="str">
        <f>_xlfn.XLOOKUP(TablaSTOCKINV[[#This Row],[SKU]],TablaINVENTARIO[SKU],TablaINVENTARIO[ESTADO])</f>
        <v>USADO</v>
      </c>
      <c r="G657" s="33" t="str">
        <f>_xlfn.XLOOKUP(TablaSTOCKINV[[#This Row],[SKU]],TablaINVENTARIO[SKU],TablaINVENTARIO[MEDIDA])</f>
        <v>UND</v>
      </c>
      <c r="H657" s="33" t="str">
        <f>_xlfn.XLOOKUP(TablaSTOCKINV[[#This Row],[SKU]],TablaINVENTARIO[SKU],TablaINVENTARIO[SERIAL])</f>
        <v>N/A</v>
      </c>
      <c r="I657" s="34" t="str">
        <f>_xlfn.XLOOKUP(TablaSTOCKINV[[#This Row],[SKU]],TablaINVENTARIO[SKU],TablaINVENTARIO[ALMACEN])</f>
        <v>ALMACEN PRINCIPAL</v>
      </c>
      <c r="J657" s="34" t="str">
        <f>_xlfn.XLOOKUP(TablaSTOCKINV[[#This Row],[SKU]],TablaINVENTARIO[SKU],TablaINVENTARIO[UBICACION])</f>
        <v>E2-2</v>
      </c>
      <c r="K657" s="34" t="str">
        <f>_xlfn.XLOOKUP(TablaSTOCKINV[[#This Row],[SKU]],TablaINVENTARIO[SKU],TablaINVENTARIO[DPTO RESPONSABLE])</f>
        <v xml:space="preserve">MANTENIMIENTO </v>
      </c>
      <c r="L657" s="36">
        <f>_xlfn.XLOOKUP(TablaSTOCKINV[[#This Row],[SKU]],TablaINVENTARIO[SKU],TablaINVENTARIO[RANGO MIN])</f>
        <v>0</v>
      </c>
      <c r="M657" s="34" cm="1">
        <f t="array" ref="M657">_xlfn.IFS(TablaSTOCKINV[[#This Row],[CANT. TOTAL]]&lt;=0,1,TablaSTOCKINV[[#This Row],[CANT. TOTAL]]&lt;=TablaSTOCKINV[[#This Row],[MIN]],2,TablaSTOCKINV[[#This Row],[CANT. TOTAL]]&gt;TablaSTOCKINV[[#This Row],[MIN]],3)</f>
        <v>3</v>
      </c>
      <c r="N657" s="34">
        <f>TablaSTOCKINV[[#This Row],[ENTRADAS]]-TablaSTOCKINV[[#This Row],[SALIDAS]]</f>
        <v>1</v>
      </c>
      <c r="O657" s="35">
        <f>SUMIFS(TablaENTRADA[CANT],TablaENTRADA[SKU],TablaSTOCKINV[[#This Row],[SKU]])</f>
        <v>1</v>
      </c>
      <c r="P657" s="35">
        <f>SUMIFS(TablaSALIDA[CANT],TablaSALIDA[SKU],TablaSTOCKINV[[#This Row],[SKU]])</f>
        <v>0</v>
      </c>
      <c r="Q657" s="34">
        <f>_xlfn.XLOOKUP(TablaSTOCKINV[[#This Row],[SKU]],TablaINVENTARIO[SKU],TablaINVENTARIO[PRECIO])</f>
        <v>0</v>
      </c>
      <c r="R657" s="34">
        <f>TablaSTOCKINV[[#This Row],[P.UNITARIO]]*TablaSTOCKINV[[#This Row],[CANT. TOTAL]]</f>
        <v>0</v>
      </c>
      <c r="S657" s="44">
        <f>_xlfn.XLOOKUP(TablaSTOCKINV[[#This Row],[SKU]],TablaINVENTARIO[SKU],TablaINVENTARIO[FECHA INGRESO])</f>
        <v>46023</v>
      </c>
      <c r="T657" s="44">
        <f>_xlfn.XLOOKUP(TablaSTOCKINV[[#This Row],[SKU]],TablaENTRADA[SKU],TablaENTRADA[FECHA],,0,-1)</f>
        <v>46023</v>
      </c>
      <c r="U657" s="46" t="str">
        <f>IFERROR((_xlfn.XLOOKUP(TablaSTOCKINV[[#This Row],[SKU]],TablaSALIDA[SKU],TablaSALIDA[FECHA],,0,-1))," " )</f>
        <v xml:space="preserve"> </v>
      </c>
    </row>
    <row r="658" spans="1:21" x14ac:dyDescent="0.3">
      <c r="A658" s="27" t="s">
        <v>2967</v>
      </c>
      <c r="B658" s="32" t="str">
        <f>_xlfn.XLOOKUP(TablaSTOCKINV[[#This Row],[SKU]],TablaINVENTARIO[SKU],TablaINVENTARIO[DESCRIPCION])</f>
        <v>YEE PVC 2" X 1-1/2"</v>
      </c>
      <c r="C658" s="32" t="str">
        <f>_xlfn.XLOOKUP(TablaSTOCKINV[[#This Row],[SKU]],TablaINVENTARIO[SKU],TablaINVENTARIO[MARCA])</f>
        <v>N/A</v>
      </c>
      <c r="D658" s="33" t="str">
        <f>_xlfn.XLOOKUP(TablaSTOCKINV[[#This Row],[SKU]],TablaINVENTARIO[SKU],TablaINVENTARIO[CATEGORIA])</f>
        <v>HERRAMIENTAS_</v>
      </c>
      <c r="E658" s="33" t="str">
        <f>_xlfn.XLOOKUP(TablaSTOCKINV[[#This Row],[SKU]],TablaINVENTARIO[SKU],TablaINVENTARIO[SUBCATEGORIA])</f>
        <v xml:space="preserve">MATERIAL PVC </v>
      </c>
      <c r="F658" s="33" t="str">
        <f>_xlfn.XLOOKUP(TablaSTOCKINV[[#This Row],[SKU]],TablaINVENTARIO[SKU],TablaINVENTARIO[ESTADO])</f>
        <v>USADO</v>
      </c>
      <c r="G658" s="33" t="str">
        <f>_xlfn.XLOOKUP(TablaSTOCKINV[[#This Row],[SKU]],TablaINVENTARIO[SKU],TablaINVENTARIO[MEDIDA])</f>
        <v>UND</v>
      </c>
      <c r="H658" s="33" t="str">
        <f>_xlfn.XLOOKUP(TablaSTOCKINV[[#This Row],[SKU]],TablaINVENTARIO[SKU],TablaINVENTARIO[SERIAL])</f>
        <v>N/A</v>
      </c>
      <c r="I658" s="34" t="str">
        <f>_xlfn.XLOOKUP(TablaSTOCKINV[[#This Row],[SKU]],TablaINVENTARIO[SKU],TablaINVENTARIO[ALMACEN])</f>
        <v>ALMACEN PRINCIPAL</v>
      </c>
      <c r="J658" s="34" t="str">
        <f>_xlfn.XLOOKUP(TablaSTOCKINV[[#This Row],[SKU]],TablaINVENTARIO[SKU],TablaINVENTARIO[UBICACION])</f>
        <v>E2-2</v>
      </c>
      <c r="K658" s="34" t="str">
        <f>_xlfn.XLOOKUP(TablaSTOCKINV[[#This Row],[SKU]],TablaINVENTARIO[SKU],TablaINVENTARIO[DPTO RESPONSABLE])</f>
        <v xml:space="preserve">MANTENIMIENTO </v>
      </c>
      <c r="L658" s="36">
        <f>_xlfn.XLOOKUP(TablaSTOCKINV[[#This Row],[SKU]],TablaINVENTARIO[SKU],TablaINVENTARIO[RANGO MIN])</f>
        <v>0</v>
      </c>
      <c r="M658" s="34" cm="1">
        <f t="array" ref="M658">_xlfn.IFS(TablaSTOCKINV[[#This Row],[CANT. TOTAL]]&lt;=0,1,TablaSTOCKINV[[#This Row],[CANT. TOTAL]]&lt;=TablaSTOCKINV[[#This Row],[MIN]],2,TablaSTOCKINV[[#This Row],[CANT. TOTAL]]&gt;TablaSTOCKINV[[#This Row],[MIN]],3)</f>
        <v>3</v>
      </c>
      <c r="N658" s="34">
        <f>TablaSTOCKINV[[#This Row],[ENTRADAS]]-TablaSTOCKINV[[#This Row],[SALIDAS]]</f>
        <v>1</v>
      </c>
      <c r="O658" s="35">
        <f>SUMIFS(TablaENTRADA[CANT],TablaENTRADA[SKU],TablaSTOCKINV[[#This Row],[SKU]])</f>
        <v>1</v>
      </c>
      <c r="P658" s="35">
        <f>SUMIFS(TablaSALIDA[CANT],TablaSALIDA[SKU],TablaSTOCKINV[[#This Row],[SKU]])</f>
        <v>0</v>
      </c>
      <c r="Q658" s="34">
        <f>_xlfn.XLOOKUP(TablaSTOCKINV[[#This Row],[SKU]],TablaINVENTARIO[SKU],TablaINVENTARIO[PRECIO])</f>
        <v>0</v>
      </c>
      <c r="R658" s="34">
        <f>TablaSTOCKINV[[#This Row],[P.UNITARIO]]*TablaSTOCKINV[[#This Row],[CANT. TOTAL]]</f>
        <v>0</v>
      </c>
      <c r="S658" s="44">
        <f>_xlfn.XLOOKUP(TablaSTOCKINV[[#This Row],[SKU]],TablaINVENTARIO[SKU],TablaINVENTARIO[FECHA INGRESO])</f>
        <v>46023</v>
      </c>
      <c r="T658" s="44">
        <f>_xlfn.XLOOKUP(TablaSTOCKINV[[#This Row],[SKU]],TablaENTRADA[SKU],TablaENTRADA[FECHA],,0,-1)</f>
        <v>46023</v>
      </c>
      <c r="U658" s="46" t="str">
        <f>IFERROR((_xlfn.XLOOKUP(TablaSTOCKINV[[#This Row],[SKU]],TablaSALIDA[SKU],TablaSALIDA[FECHA],,0,-1))," " )</f>
        <v xml:space="preserve"> </v>
      </c>
    </row>
    <row r="659" spans="1:21" x14ac:dyDescent="0.3">
      <c r="A659" s="27" t="s">
        <v>2969</v>
      </c>
      <c r="B659" s="32" t="str">
        <f>_xlfn.XLOOKUP(TablaSTOCKINV[[#This Row],[SKU]],TablaINVENTARIO[SKU],TablaINVENTARIO[DESCRIPCION])</f>
        <v>TEE PVC 2"</v>
      </c>
      <c r="C659" s="32" t="str">
        <f>_xlfn.XLOOKUP(TablaSTOCKINV[[#This Row],[SKU]],TablaINVENTARIO[SKU],TablaINVENTARIO[MARCA])</f>
        <v>N/A</v>
      </c>
      <c r="D659" s="33" t="str">
        <f>_xlfn.XLOOKUP(TablaSTOCKINV[[#This Row],[SKU]],TablaINVENTARIO[SKU],TablaINVENTARIO[CATEGORIA])</f>
        <v>HERRAMIENTAS_</v>
      </c>
      <c r="E659" s="33" t="str">
        <f>_xlfn.XLOOKUP(TablaSTOCKINV[[#This Row],[SKU]],TablaINVENTARIO[SKU],TablaINVENTARIO[SUBCATEGORIA])</f>
        <v xml:space="preserve">MATERIAL PVC </v>
      </c>
      <c r="F659" s="33" t="str">
        <f>_xlfn.XLOOKUP(TablaSTOCKINV[[#This Row],[SKU]],TablaINVENTARIO[SKU],TablaINVENTARIO[ESTADO])</f>
        <v>USADO</v>
      </c>
      <c r="G659" s="33" t="str">
        <f>_xlfn.XLOOKUP(TablaSTOCKINV[[#This Row],[SKU]],TablaINVENTARIO[SKU],TablaINVENTARIO[MEDIDA])</f>
        <v>UND</v>
      </c>
      <c r="H659" s="33" t="str">
        <f>_xlfn.XLOOKUP(TablaSTOCKINV[[#This Row],[SKU]],TablaINVENTARIO[SKU],TablaINVENTARIO[SERIAL])</f>
        <v>N/A</v>
      </c>
      <c r="I659" s="34" t="str">
        <f>_xlfn.XLOOKUP(TablaSTOCKINV[[#This Row],[SKU]],TablaINVENTARIO[SKU],TablaINVENTARIO[ALMACEN])</f>
        <v>ALMACEN PRINCIPAL</v>
      </c>
      <c r="J659" s="34" t="str">
        <f>_xlfn.XLOOKUP(TablaSTOCKINV[[#This Row],[SKU]],TablaINVENTARIO[SKU],TablaINVENTARIO[UBICACION])</f>
        <v>E2-2</v>
      </c>
      <c r="K659" s="34" t="str">
        <f>_xlfn.XLOOKUP(TablaSTOCKINV[[#This Row],[SKU]],TablaINVENTARIO[SKU],TablaINVENTARIO[DPTO RESPONSABLE])</f>
        <v xml:space="preserve">MANTENIMIENTO </v>
      </c>
      <c r="L659" s="36">
        <f>_xlfn.XLOOKUP(TablaSTOCKINV[[#This Row],[SKU]],TablaINVENTARIO[SKU],TablaINVENTARIO[RANGO MIN])</f>
        <v>0</v>
      </c>
      <c r="M659" s="34" cm="1">
        <f t="array" ref="M659">_xlfn.IFS(TablaSTOCKINV[[#This Row],[CANT. TOTAL]]&lt;=0,1,TablaSTOCKINV[[#This Row],[CANT. TOTAL]]&lt;=TablaSTOCKINV[[#This Row],[MIN]],2,TablaSTOCKINV[[#This Row],[CANT. TOTAL]]&gt;TablaSTOCKINV[[#This Row],[MIN]],3)</f>
        <v>3</v>
      </c>
      <c r="N659" s="34">
        <f>TablaSTOCKINV[[#This Row],[ENTRADAS]]-TablaSTOCKINV[[#This Row],[SALIDAS]]</f>
        <v>1</v>
      </c>
      <c r="O659" s="35">
        <f>SUMIFS(TablaENTRADA[CANT],TablaENTRADA[SKU],TablaSTOCKINV[[#This Row],[SKU]])</f>
        <v>1</v>
      </c>
      <c r="P659" s="35">
        <f>SUMIFS(TablaSALIDA[CANT],TablaSALIDA[SKU],TablaSTOCKINV[[#This Row],[SKU]])</f>
        <v>0</v>
      </c>
      <c r="Q659" s="34">
        <f>_xlfn.XLOOKUP(TablaSTOCKINV[[#This Row],[SKU]],TablaINVENTARIO[SKU],TablaINVENTARIO[PRECIO])</f>
        <v>0</v>
      </c>
      <c r="R659" s="34">
        <f>TablaSTOCKINV[[#This Row],[P.UNITARIO]]*TablaSTOCKINV[[#This Row],[CANT. TOTAL]]</f>
        <v>0</v>
      </c>
      <c r="S659" s="44">
        <f>_xlfn.XLOOKUP(TablaSTOCKINV[[#This Row],[SKU]],TablaINVENTARIO[SKU],TablaINVENTARIO[FECHA INGRESO])</f>
        <v>46023</v>
      </c>
      <c r="T659" s="44">
        <f>_xlfn.XLOOKUP(TablaSTOCKINV[[#This Row],[SKU]],TablaENTRADA[SKU],TablaENTRADA[FECHA],,0,-1)</f>
        <v>46023</v>
      </c>
      <c r="U659" s="46" t="str">
        <f>IFERROR((_xlfn.XLOOKUP(TablaSTOCKINV[[#This Row],[SKU]],TablaSALIDA[SKU],TablaSALIDA[FECHA],,0,-1))," " )</f>
        <v xml:space="preserve"> </v>
      </c>
    </row>
    <row r="660" spans="1:21" x14ac:dyDescent="0.3">
      <c r="A660" s="27" t="s">
        <v>2971</v>
      </c>
      <c r="B660" s="32" t="str">
        <f>_xlfn.XLOOKUP(TablaSTOCKINV[[#This Row],[SKU]],TablaINVENTARIO[SKU],TablaINVENTARIO[DESCRIPCION])</f>
        <v>REDUCCION PVC 2" A 2-1/2"</v>
      </c>
      <c r="C660" s="32" t="str">
        <f>_xlfn.XLOOKUP(TablaSTOCKINV[[#This Row],[SKU]],TablaINVENTARIO[SKU],TablaINVENTARIO[MARCA])</f>
        <v>N/A</v>
      </c>
      <c r="D660" s="33" t="str">
        <f>_xlfn.XLOOKUP(TablaSTOCKINV[[#This Row],[SKU]],TablaINVENTARIO[SKU],TablaINVENTARIO[CATEGORIA])</f>
        <v>HERRAMIENTAS_</v>
      </c>
      <c r="E660" s="33" t="str">
        <f>_xlfn.XLOOKUP(TablaSTOCKINV[[#This Row],[SKU]],TablaINVENTARIO[SKU],TablaINVENTARIO[SUBCATEGORIA])</f>
        <v xml:space="preserve">MATERIAL PVC </v>
      </c>
      <c r="F660" s="33" t="str">
        <f>_xlfn.XLOOKUP(TablaSTOCKINV[[#This Row],[SKU]],TablaINVENTARIO[SKU],TablaINVENTARIO[ESTADO])</f>
        <v>USADO</v>
      </c>
      <c r="G660" s="33" t="str">
        <f>_xlfn.XLOOKUP(TablaSTOCKINV[[#This Row],[SKU]],TablaINVENTARIO[SKU],TablaINVENTARIO[MEDIDA])</f>
        <v>UND</v>
      </c>
      <c r="H660" s="33" t="str">
        <f>_xlfn.XLOOKUP(TablaSTOCKINV[[#This Row],[SKU]],TablaINVENTARIO[SKU],TablaINVENTARIO[SERIAL])</f>
        <v>N/A</v>
      </c>
      <c r="I660" s="34" t="str">
        <f>_xlfn.XLOOKUP(TablaSTOCKINV[[#This Row],[SKU]],TablaINVENTARIO[SKU],TablaINVENTARIO[ALMACEN])</f>
        <v>ALMACEN PRINCIPAL</v>
      </c>
      <c r="J660" s="34" t="str">
        <f>_xlfn.XLOOKUP(TablaSTOCKINV[[#This Row],[SKU]],TablaINVENTARIO[SKU],TablaINVENTARIO[UBICACION])</f>
        <v>E2-2</v>
      </c>
      <c r="K660" s="34" t="str">
        <f>_xlfn.XLOOKUP(TablaSTOCKINV[[#This Row],[SKU]],TablaINVENTARIO[SKU],TablaINVENTARIO[DPTO RESPONSABLE])</f>
        <v xml:space="preserve">MANTENIMIENTO </v>
      </c>
      <c r="L660" s="36">
        <f>_xlfn.XLOOKUP(TablaSTOCKINV[[#This Row],[SKU]],TablaINVENTARIO[SKU],TablaINVENTARIO[RANGO MIN])</f>
        <v>0</v>
      </c>
      <c r="M660" s="34" cm="1">
        <f t="array" ref="M660">_xlfn.IFS(TablaSTOCKINV[[#This Row],[CANT. TOTAL]]&lt;=0,1,TablaSTOCKINV[[#This Row],[CANT. TOTAL]]&lt;=TablaSTOCKINV[[#This Row],[MIN]],2,TablaSTOCKINV[[#This Row],[CANT. TOTAL]]&gt;TablaSTOCKINV[[#This Row],[MIN]],3)</f>
        <v>3</v>
      </c>
      <c r="N660" s="34">
        <f>TablaSTOCKINV[[#This Row],[ENTRADAS]]-TablaSTOCKINV[[#This Row],[SALIDAS]]</f>
        <v>2</v>
      </c>
      <c r="O660" s="35">
        <f>SUMIFS(TablaENTRADA[CANT],TablaENTRADA[SKU],TablaSTOCKINV[[#This Row],[SKU]])</f>
        <v>2</v>
      </c>
      <c r="P660" s="35">
        <f>SUMIFS(TablaSALIDA[CANT],TablaSALIDA[SKU],TablaSTOCKINV[[#This Row],[SKU]])</f>
        <v>0</v>
      </c>
      <c r="Q660" s="34">
        <f>_xlfn.XLOOKUP(TablaSTOCKINV[[#This Row],[SKU]],TablaINVENTARIO[SKU],TablaINVENTARIO[PRECIO])</f>
        <v>0</v>
      </c>
      <c r="R660" s="34">
        <f>TablaSTOCKINV[[#This Row],[P.UNITARIO]]*TablaSTOCKINV[[#This Row],[CANT. TOTAL]]</f>
        <v>0</v>
      </c>
      <c r="S660" s="44">
        <f>_xlfn.XLOOKUP(TablaSTOCKINV[[#This Row],[SKU]],TablaINVENTARIO[SKU],TablaINVENTARIO[FECHA INGRESO])</f>
        <v>46023</v>
      </c>
      <c r="T660" s="44">
        <f>_xlfn.XLOOKUP(TablaSTOCKINV[[#This Row],[SKU]],TablaENTRADA[SKU],TablaENTRADA[FECHA],,0,-1)</f>
        <v>46023</v>
      </c>
      <c r="U660" s="46" t="str">
        <f>IFERROR((_xlfn.XLOOKUP(TablaSTOCKINV[[#This Row],[SKU]],TablaSALIDA[SKU],TablaSALIDA[FECHA],,0,-1))," " )</f>
        <v xml:space="preserve"> </v>
      </c>
    </row>
    <row r="661" spans="1:21" x14ac:dyDescent="0.3">
      <c r="A661" s="27" t="s">
        <v>2973</v>
      </c>
      <c r="B661" s="32" t="str">
        <f>_xlfn.XLOOKUP(TablaSTOCKINV[[#This Row],[SKU]],TablaINVENTARIO[SKU],TablaINVENTARIO[DESCRIPCION])</f>
        <v>UNION PVC 3"</v>
      </c>
      <c r="C661" s="32" t="str">
        <f>_xlfn.XLOOKUP(TablaSTOCKINV[[#This Row],[SKU]],TablaINVENTARIO[SKU],TablaINVENTARIO[MARCA])</f>
        <v>N/A</v>
      </c>
      <c r="D661" s="33" t="str">
        <f>_xlfn.XLOOKUP(TablaSTOCKINV[[#This Row],[SKU]],TablaINVENTARIO[SKU],TablaINVENTARIO[CATEGORIA])</f>
        <v>HERRAMIENTAS_</v>
      </c>
      <c r="E661" s="33" t="str">
        <f>_xlfn.XLOOKUP(TablaSTOCKINV[[#This Row],[SKU]],TablaINVENTARIO[SKU],TablaINVENTARIO[SUBCATEGORIA])</f>
        <v xml:space="preserve">MATERIAL PVC </v>
      </c>
      <c r="F661" s="33" t="str">
        <f>_xlfn.XLOOKUP(TablaSTOCKINV[[#This Row],[SKU]],TablaINVENTARIO[SKU],TablaINVENTARIO[ESTADO])</f>
        <v>USADO</v>
      </c>
      <c r="G661" s="33" t="str">
        <f>_xlfn.XLOOKUP(TablaSTOCKINV[[#This Row],[SKU]],TablaINVENTARIO[SKU],TablaINVENTARIO[MEDIDA])</f>
        <v>UND</v>
      </c>
      <c r="H661" s="33" t="str">
        <f>_xlfn.XLOOKUP(TablaSTOCKINV[[#This Row],[SKU]],TablaINVENTARIO[SKU],TablaINVENTARIO[SERIAL])</f>
        <v>N/A</v>
      </c>
      <c r="I661" s="34" t="str">
        <f>_xlfn.XLOOKUP(TablaSTOCKINV[[#This Row],[SKU]],TablaINVENTARIO[SKU],TablaINVENTARIO[ALMACEN])</f>
        <v>ALMACEN PRINCIPAL</v>
      </c>
      <c r="J661" s="34" t="str">
        <f>_xlfn.XLOOKUP(TablaSTOCKINV[[#This Row],[SKU]],TablaINVENTARIO[SKU],TablaINVENTARIO[UBICACION])</f>
        <v>E2-2</v>
      </c>
      <c r="K661" s="34" t="str">
        <f>_xlfn.XLOOKUP(TablaSTOCKINV[[#This Row],[SKU]],TablaINVENTARIO[SKU],TablaINVENTARIO[DPTO RESPONSABLE])</f>
        <v xml:space="preserve">MANTENIMIENTO </v>
      </c>
      <c r="L661" s="36">
        <f>_xlfn.XLOOKUP(TablaSTOCKINV[[#This Row],[SKU]],TablaINVENTARIO[SKU],TablaINVENTARIO[RANGO MIN])</f>
        <v>0</v>
      </c>
      <c r="M661" s="34" cm="1">
        <f t="array" ref="M661">_xlfn.IFS(TablaSTOCKINV[[#This Row],[CANT. TOTAL]]&lt;=0,1,TablaSTOCKINV[[#This Row],[CANT. TOTAL]]&lt;=TablaSTOCKINV[[#This Row],[MIN]],2,TablaSTOCKINV[[#This Row],[CANT. TOTAL]]&gt;TablaSTOCKINV[[#This Row],[MIN]],3)</f>
        <v>3</v>
      </c>
      <c r="N661" s="34">
        <f>TablaSTOCKINV[[#This Row],[ENTRADAS]]-TablaSTOCKINV[[#This Row],[SALIDAS]]</f>
        <v>3</v>
      </c>
      <c r="O661" s="35">
        <f>SUMIFS(TablaENTRADA[CANT],TablaENTRADA[SKU],TablaSTOCKINV[[#This Row],[SKU]])</f>
        <v>3</v>
      </c>
      <c r="P661" s="35">
        <f>SUMIFS(TablaSALIDA[CANT],TablaSALIDA[SKU],TablaSTOCKINV[[#This Row],[SKU]])</f>
        <v>0</v>
      </c>
      <c r="Q661" s="34">
        <f>_xlfn.XLOOKUP(TablaSTOCKINV[[#This Row],[SKU]],TablaINVENTARIO[SKU],TablaINVENTARIO[PRECIO])</f>
        <v>0</v>
      </c>
      <c r="R661" s="34">
        <f>TablaSTOCKINV[[#This Row],[P.UNITARIO]]*TablaSTOCKINV[[#This Row],[CANT. TOTAL]]</f>
        <v>0</v>
      </c>
      <c r="S661" s="44">
        <f>_xlfn.XLOOKUP(TablaSTOCKINV[[#This Row],[SKU]],TablaINVENTARIO[SKU],TablaINVENTARIO[FECHA INGRESO])</f>
        <v>46023</v>
      </c>
      <c r="T661" s="44">
        <f>_xlfn.XLOOKUP(TablaSTOCKINV[[#This Row],[SKU]],TablaENTRADA[SKU],TablaENTRADA[FECHA],,0,-1)</f>
        <v>46023</v>
      </c>
      <c r="U661" s="46" t="str">
        <f>IFERROR((_xlfn.XLOOKUP(TablaSTOCKINV[[#This Row],[SKU]],TablaSALIDA[SKU],TablaSALIDA[FECHA],,0,-1))," " )</f>
        <v xml:space="preserve"> </v>
      </c>
    </row>
    <row r="662" spans="1:21" x14ac:dyDescent="0.3">
      <c r="A662" s="27" t="s">
        <v>2975</v>
      </c>
      <c r="B662" s="32" t="str">
        <f>_xlfn.XLOOKUP(TablaSTOCKINV[[#This Row],[SKU]],TablaINVENTARIO[SKU],TablaINVENTARIO[DESCRIPCION])</f>
        <v xml:space="preserve">CODO PVC 50MM </v>
      </c>
      <c r="C662" s="32" t="str">
        <f>_xlfn.XLOOKUP(TablaSTOCKINV[[#This Row],[SKU]],TablaINVENTARIO[SKU],TablaINVENTARIO[MARCA])</f>
        <v>N/A</v>
      </c>
      <c r="D662" s="33" t="str">
        <f>_xlfn.XLOOKUP(TablaSTOCKINV[[#This Row],[SKU]],TablaINVENTARIO[SKU],TablaINVENTARIO[CATEGORIA])</f>
        <v>HERRAMIENTAS_</v>
      </c>
      <c r="E662" s="33" t="str">
        <f>_xlfn.XLOOKUP(TablaSTOCKINV[[#This Row],[SKU]],TablaINVENTARIO[SKU],TablaINVENTARIO[SUBCATEGORIA])</f>
        <v xml:space="preserve">MATERIAL PVC </v>
      </c>
      <c r="F662" s="33" t="str">
        <f>_xlfn.XLOOKUP(TablaSTOCKINV[[#This Row],[SKU]],TablaINVENTARIO[SKU],TablaINVENTARIO[ESTADO])</f>
        <v>USADO</v>
      </c>
      <c r="G662" s="33" t="str">
        <f>_xlfn.XLOOKUP(TablaSTOCKINV[[#This Row],[SKU]],TablaINVENTARIO[SKU],TablaINVENTARIO[MEDIDA])</f>
        <v>UND</v>
      </c>
      <c r="H662" s="33" t="str">
        <f>_xlfn.XLOOKUP(TablaSTOCKINV[[#This Row],[SKU]],TablaINVENTARIO[SKU],TablaINVENTARIO[SERIAL])</f>
        <v>N/A</v>
      </c>
      <c r="I662" s="34" t="str">
        <f>_xlfn.XLOOKUP(TablaSTOCKINV[[#This Row],[SKU]],TablaINVENTARIO[SKU],TablaINVENTARIO[ALMACEN])</f>
        <v>ALMACEN PRINCIPAL</v>
      </c>
      <c r="J662" s="34" t="str">
        <f>_xlfn.XLOOKUP(TablaSTOCKINV[[#This Row],[SKU]],TablaINVENTARIO[SKU],TablaINVENTARIO[UBICACION])</f>
        <v>E2-2</v>
      </c>
      <c r="K662" s="34" t="str">
        <f>_xlfn.XLOOKUP(TablaSTOCKINV[[#This Row],[SKU]],TablaINVENTARIO[SKU],TablaINVENTARIO[DPTO RESPONSABLE])</f>
        <v xml:space="preserve">MANTENIMIENTO </v>
      </c>
      <c r="L662" s="36">
        <f>_xlfn.XLOOKUP(TablaSTOCKINV[[#This Row],[SKU]],TablaINVENTARIO[SKU],TablaINVENTARIO[RANGO MIN])</f>
        <v>0</v>
      </c>
      <c r="M662" s="34" cm="1">
        <f t="array" ref="M662">_xlfn.IFS(TablaSTOCKINV[[#This Row],[CANT. TOTAL]]&lt;=0,1,TablaSTOCKINV[[#This Row],[CANT. TOTAL]]&lt;=TablaSTOCKINV[[#This Row],[MIN]],2,TablaSTOCKINV[[#This Row],[CANT. TOTAL]]&gt;TablaSTOCKINV[[#This Row],[MIN]],3)</f>
        <v>3</v>
      </c>
      <c r="N662" s="34">
        <f>TablaSTOCKINV[[#This Row],[ENTRADAS]]-TablaSTOCKINV[[#This Row],[SALIDAS]]</f>
        <v>3</v>
      </c>
      <c r="O662" s="35">
        <f>SUMIFS(TablaENTRADA[CANT],TablaENTRADA[SKU],TablaSTOCKINV[[#This Row],[SKU]])</f>
        <v>3</v>
      </c>
      <c r="P662" s="35">
        <f>SUMIFS(TablaSALIDA[CANT],TablaSALIDA[SKU],TablaSTOCKINV[[#This Row],[SKU]])</f>
        <v>0</v>
      </c>
      <c r="Q662" s="34">
        <f>_xlfn.XLOOKUP(TablaSTOCKINV[[#This Row],[SKU]],TablaINVENTARIO[SKU],TablaINVENTARIO[PRECIO])</f>
        <v>0</v>
      </c>
      <c r="R662" s="34">
        <f>TablaSTOCKINV[[#This Row],[P.UNITARIO]]*TablaSTOCKINV[[#This Row],[CANT. TOTAL]]</f>
        <v>0</v>
      </c>
      <c r="S662" s="44">
        <f>_xlfn.XLOOKUP(TablaSTOCKINV[[#This Row],[SKU]],TablaINVENTARIO[SKU],TablaINVENTARIO[FECHA INGRESO])</f>
        <v>46023</v>
      </c>
      <c r="T662" s="44">
        <f>_xlfn.XLOOKUP(TablaSTOCKINV[[#This Row],[SKU]],TablaENTRADA[SKU],TablaENTRADA[FECHA],,0,-1)</f>
        <v>46023</v>
      </c>
      <c r="U662" s="46" t="str">
        <f>IFERROR((_xlfn.XLOOKUP(TablaSTOCKINV[[#This Row],[SKU]],TablaSALIDA[SKU],TablaSALIDA[FECHA],,0,-1))," " )</f>
        <v xml:space="preserve"> </v>
      </c>
    </row>
    <row r="663" spans="1:21" x14ac:dyDescent="0.3">
      <c r="A663" s="27" t="s">
        <v>2977</v>
      </c>
      <c r="B663" s="32" t="str">
        <f>_xlfn.XLOOKUP(TablaSTOCKINV[[#This Row],[SKU]],TablaINVENTARIO[SKU],TablaINVENTARIO[DESCRIPCION])</f>
        <v>CODO PVC 1"</v>
      </c>
      <c r="C663" s="32" t="str">
        <f>_xlfn.XLOOKUP(TablaSTOCKINV[[#This Row],[SKU]],TablaINVENTARIO[SKU],TablaINVENTARIO[MARCA])</f>
        <v>N/A</v>
      </c>
      <c r="D663" s="33" t="str">
        <f>_xlfn.XLOOKUP(TablaSTOCKINV[[#This Row],[SKU]],TablaINVENTARIO[SKU],TablaINVENTARIO[CATEGORIA])</f>
        <v>HERRAMIENTAS_</v>
      </c>
      <c r="E663" s="33" t="str">
        <f>_xlfn.XLOOKUP(TablaSTOCKINV[[#This Row],[SKU]],TablaINVENTARIO[SKU],TablaINVENTARIO[SUBCATEGORIA])</f>
        <v xml:space="preserve">MATERIAL PVC </v>
      </c>
      <c r="F663" s="33" t="str">
        <f>_xlfn.XLOOKUP(TablaSTOCKINV[[#This Row],[SKU]],TablaINVENTARIO[SKU],TablaINVENTARIO[ESTADO])</f>
        <v>USADO</v>
      </c>
      <c r="G663" s="33" t="str">
        <f>_xlfn.XLOOKUP(TablaSTOCKINV[[#This Row],[SKU]],TablaINVENTARIO[SKU],TablaINVENTARIO[MEDIDA])</f>
        <v>UND</v>
      </c>
      <c r="H663" s="33" t="str">
        <f>_xlfn.XLOOKUP(TablaSTOCKINV[[#This Row],[SKU]],TablaINVENTARIO[SKU],TablaINVENTARIO[SERIAL])</f>
        <v>N/A</v>
      </c>
      <c r="I663" s="34" t="str">
        <f>_xlfn.XLOOKUP(TablaSTOCKINV[[#This Row],[SKU]],TablaINVENTARIO[SKU],TablaINVENTARIO[ALMACEN])</f>
        <v>ALMACEN PRINCIPAL</v>
      </c>
      <c r="J663" s="34" t="str">
        <f>_xlfn.XLOOKUP(TablaSTOCKINV[[#This Row],[SKU]],TablaINVENTARIO[SKU],TablaINVENTARIO[UBICACION])</f>
        <v>E2-2</v>
      </c>
      <c r="K663" s="34" t="str">
        <f>_xlfn.XLOOKUP(TablaSTOCKINV[[#This Row],[SKU]],TablaINVENTARIO[SKU],TablaINVENTARIO[DPTO RESPONSABLE])</f>
        <v xml:space="preserve">MANTENIMIENTO </v>
      </c>
      <c r="L663" s="36">
        <f>_xlfn.XLOOKUP(TablaSTOCKINV[[#This Row],[SKU]],TablaINVENTARIO[SKU],TablaINVENTARIO[RANGO MIN])</f>
        <v>0</v>
      </c>
      <c r="M663" s="34" cm="1">
        <f t="array" ref="M663">_xlfn.IFS(TablaSTOCKINV[[#This Row],[CANT. TOTAL]]&lt;=0,1,TablaSTOCKINV[[#This Row],[CANT. TOTAL]]&lt;=TablaSTOCKINV[[#This Row],[MIN]],2,TablaSTOCKINV[[#This Row],[CANT. TOTAL]]&gt;TablaSTOCKINV[[#This Row],[MIN]],3)</f>
        <v>3</v>
      </c>
      <c r="N663" s="34">
        <f>TablaSTOCKINV[[#This Row],[ENTRADAS]]-TablaSTOCKINV[[#This Row],[SALIDAS]]</f>
        <v>2</v>
      </c>
      <c r="O663" s="35">
        <f>SUMIFS(TablaENTRADA[CANT],TablaENTRADA[SKU],TablaSTOCKINV[[#This Row],[SKU]])</f>
        <v>2</v>
      </c>
      <c r="P663" s="35">
        <f>SUMIFS(TablaSALIDA[CANT],TablaSALIDA[SKU],TablaSTOCKINV[[#This Row],[SKU]])</f>
        <v>0</v>
      </c>
      <c r="Q663" s="34">
        <f>_xlfn.XLOOKUP(TablaSTOCKINV[[#This Row],[SKU]],TablaINVENTARIO[SKU],TablaINVENTARIO[PRECIO])</f>
        <v>0</v>
      </c>
      <c r="R663" s="34">
        <f>TablaSTOCKINV[[#This Row],[P.UNITARIO]]*TablaSTOCKINV[[#This Row],[CANT. TOTAL]]</f>
        <v>0</v>
      </c>
      <c r="S663" s="44">
        <f>_xlfn.XLOOKUP(TablaSTOCKINV[[#This Row],[SKU]],TablaINVENTARIO[SKU],TablaINVENTARIO[FECHA INGRESO])</f>
        <v>46023</v>
      </c>
      <c r="T663" s="44">
        <f>_xlfn.XLOOKUP(TablaSTOCKINV[[#This Row],[SKU]],TablaENTRADA[SKU],TablaENTRADA[FECHA],,0,-1)</f>
        <v>46023</v>
      </c>
      <c r="U663" s="46" t="str">
        <f>IFERROR((_xlfn.XLOOKUP(TablaSTOCKINV[[#This Row],[SKU]],TablaSALIDA[SKU],TablaSALIDA[FECHA],,0,-1))," " )</f>
        <v xml:space="preserve"> </v>
      </c>
    </row>
    <row r="664" spans="1:21" x14ac:dyDescent="0.3">
      <c r="A664" s="27" t="s">
        <v>2979</v>
      </c>
      <c r="B664" s="32" t="str">
        <f>_xlfn.XLOOKUP(TablaSTOCKINV[[#This Row],[SKU]],TablaINVENTARIO[SKU],TablaINVENTARIO[DESCRIPCION])</f>
        <v>UNION PVC 1"</v>
      </c>
      <c r="C664" s="32" t="str">
        <f>_xlfn.XLOOKUP(TablaSTOCKINV[[#This Row],[SKU]],TablaINVENTARIO[SKU],TablaINVENTARIO[MARCA])</f>
        <v>N/A</v>
      </c>
      <c r="D664" s="33" t="str">
        <f>_xlfn.XLOOKUP(TablaSTOCKINV[[#This Row],[SKU]],TablaINVENTARIO[SKU],TablaINVENTARIO[CATEGORIA])</f>
        <v>HERRAMIENTAS_</v>
      </c>
      <c r="E664" s="33" t="str">
        <f>_xlfn.XLOOKUP(TablaSTOCKINV[[#This Row],[SKU]],TablaINVENTARIO[SKU],TablaINVENTARIO[SUBCATEGORIA])</f>
        <v xml:space="preserve">MATERIAL PVC </v>
      </c>
      <c r="F664" s="33" t="str">
        <f>_xlfn.XLOOKUP(TablaSTOCKINV[[#This Row],[SKU]],TablaINVENTARIO[SKU],TablaINVENTARIO[ESTADO])</f>
        <v xml:space="preserve">NUEVO </v>
      </c>
      <c r="G664" s="33" t="str">
        <f>_xlfn.XLOOKUP(TablaSTOCKINV[[#This Row],[SKU]],TablaINVENTARIO[SKU],TablaINVENTARIO[MEDIDA])</f>
        <v>UND</v>
      </c>
      <c r="H664" s="33" t="str">
        <f>_xlfn.XLOOKUP(TablaSTOCKINV[[#This Row],[SKU]],TablaINVENTARIO[SKU],TablaINVENTARIO[SERIAL])</f>
        <v>N/A</v>
      </c>
      <c r="I664" s="34" t="str">
        <f>_xlfn.XLOOKUP(TablaSTOCKINV[[#This Row],[SKU]],TablaINVENTARIO[SKU],TablaINVENTARIO[ALMACEN])</f>
        <v>ALMACEN PRINCIPAL</v>
      </c>
      <c r="J664" s="34" t="str">
        <f>_xlfn.XLOOKUP(TablaSTOCKINV[[#This Row],[SKU]],TablaINVENTARIO[SKU],TablaINVENTARIO[UBICACION])</f>
        <v>E2-2</v>
      </c>
      <c r="K664" s="34" t="str">
        <f>_xlfn.XLOOKUP(TablaSTOCKINV[[#This Row],[SKU]],TablaINVENTARIO[SKU],TablaINVENTARIO[DPTO RESPONSABLE])</f>
        <v xml:space="preserve">MANTENIMIENTO </v>
      </c>
      <c r="L664" s="36">
        <f>_xlfn.XLOOKUP(TablaSTOCKINV[[#This Row],[SKU]],TablaINVENTARIO[SKU],TablaINVENTARIO[RANGO MIN])</f>
        <v>0</v>
      </c>
      <c r="M664" s="34" cm="1">
        <f t="array" ref="M664">_xlfn.IFS(TablaSTOCKINV[[#This Row],[CANT. TOTAL]]&lt;=0,1,TablaSTOCKINV[[#This Row],[CANT. TOTAL]]&lt;=TablaSTOCKINV[[#This Row],[MIN]],2,TablaSTOCKINV[[#This Row],[CANT. TOTAL]]&gt;TablaSTOCKINV[[#This Row],[MIN]],3)</f>
        <v>3</v>
      </c>
      <c r="N664" s="34">
        <f>TablaSTOCKINV[[#This Row],[ENTRADAS]]-TablaSTOCKINV[[#This Row],[SALIDAS]]</f>
        <v>2</v>
      </c>
      <c r="O664" s="35">
        <f>SUMIFS(TablaENTRADA[CANT],TablaENTRADA[SKU],TablaSTOCKINV[[#This Row],[SKU]])</f>
        <v>2</v>
      </c>
      <c r="P664" s="35">
        <f>SUMIFS(TablaSALIDA[CANT],TablaSALIDA[SKU],TablaSTOCKINV[[#This Row],[SKU]])</f>
        <v>0</v>
      </c>
      <c r="Q664" s="34">
        <f>_xlfn.XLOOKUP(TablaSTOCKINV[[#This Row],[SKU]],TablaINVENTARIO[SKU],TablaINVENTARIO[PRECIO])</f>
        <v>0</v>
      </c>
      <c r="R664" s="34">
        <f>TablaSTOCKINV[[#This Row],[P.UNITARIO]]*TablaSTOCKINV[[#This Row],[CANT. TOTAL]]</f>
        <v>0</v>
      </c>
      <c r="S664" s="44">
        <f>_xlfn.XLOOKUP(TablaSTOCKINV[[#This Row],[SKU]],TablaINVENTARIO[SKU],TablaINVENTARIO[FECHA INGRESO])</f>
        <v>46023</v>
      </c>
      <c r="T664" s="44">
        <f>_xlfn.XLOOKUP(TablaSTOCKINV[[#This Row],[SKU]],TablaENTRADA[SKU],TablaENTRADA[FECHA],,0,-1)</f>
        <v>46023</v>
      </c>
      <c r="U664" s="46" t="str">
        <f>IFERROR((_xlfn.XLOOKUP(TablaSTOCKINV[[#This Row],[SKU]],TablaSALIDA[SKU],TablaSALIDA[FECHA],,0,-1))," " )</f>
        <v xml:space="preserve"> </v>
      </c>
    </row>
    <row r="665" spans="1:21" x14ac:dyDescent="0.3">
      <c r="A665" s="27" t="s">
        <v>2981</v>
      </c>
      <c r="B665" s="32" t="str">
        <f>_xlfn.XLOOKUP(TablaSTOCKINV[[#This Row],[SKU]],TablaINVENTARIO[SKU],TablaINVENTARIO[DESCRIPCION])</f>
        <v>VALVULA DE PASO PVC 1"</v>
      </c>
      <c r="C665" s="32" t="str">
        <f>_xlfn.XLOOKUP(TablaSTOCKINV[[#This Row],[SKU]],TablaINVENTARIO[SKU],TablaINVENTARIO[MARCA])</f>
        <v>N/A</v>
      </c>
      <c r="D665" s="33" t="str">
        <f>_xlfn.XLOOKUP(TablaSTOCKINV[[#This Row],[SKU]],TablaINVENTARIO[SKU],TablaINVENTARIO[CATEGORIA])</f>
        <v>HERRAMIENTAS_</v>
      </c>
      <c r="E665" s="33" t="str">
        <f>_xlfn.XLOOKUP(TablaSTOCKINV[[#This Row],[SKU]],TablaINVENTARIO[SKU],TablaINVENTARIO[SUBCATEGORIA])</f>
        <v xml:space="preserve">MATERIAL PVC </v>
      </c>
      <c r="F665" s="33" t="str">
        <f>_xlfn.XLOOKUP(TablaSTOCKINV[[#This Row],[SKU]],TablaINVENTARIO[SKU],TablaINVENTARIO[ESTADO])</f>
        <v xml:space="preserve">NUEVO </v>
      </c>
      <c r="G665" s="33" t="str">
        <f>_xlfn.XLOOKUP(TablaSTOCKINV[[#This Row],[SKU]],TablaINVENTARIO[SKU],TablaINVENTARIO[MEDIDA])</f>
        <v>UND</v>
      </c>
      <c r="H665" s="33" t="str">
        <f>_xlfn.XLOOKUP(TablaSTOCKINV[[#This Row],[SKU]],TablaINVENTARIO[SKU],TablaINVENTARIO[SERIAL])</f>
        <v>N/A</v>
      </c>
      <c r="I665" s="34" t="str">
        <f>_xlfn.XLOOKUP(TablaSTOCKINV[[#This Row],[SKU]],TablaINVENTARIO[SKU],TablaINVENTARIO[ALMACEN])</f>
        <v>ALMACEN PRINCIPAL</v>
      </c>
      <c r="J665" s="34" t="str">
        <f>_xlfn.XLOOKUP(TablaSTOCKINV[[#This Row],[SKU]],TablaINVENTARIO[SKU],TablaINVENTARIO[UBICACION])</f>
        <v>E2-2</v>
      </c>
      <c r="K665" s="34" t="str">
        <f>_xlfn.XLOOKUP(TablaSTOCKINV[[#This Row],[SKU]],TablaINVENTARIO[SKU],TablaINVENTARIO[DPTO RESPONSABLE])</f>
        <v xml:space="preserve">MANTENIMIENTO </v>
      </c>
      <c r="L665" s="36">
        <f>_xlfn.XLOOKUP(TablaSTOCKINV[[#This Row],[SKU]],TablaINVENTARIO[SKU],TablaINVENTARIO[RANGO MIN])</f>
        <v>0</v>
      </c>
      <c r="M665" s="34" cm="1">
        <f t="array" ref="M665">_xlfn.IFS(TablaSTOCKINV[[#This Row],[CANT. TOTAL]]&lt;=0,1,TablaSTOCKINV[[#This Row],[CANT. TOTAL]]&lt;=TablaSTOCKINV[[#This Row],[MIN]],2,TablaSTOCKINV[[#This Row],[CANT. TOTAL]]&gt;TablaSTOCKINV[[#This Row],[MIN]],3)</f>
        <v>3</v>
      </c>
      <c r="N665" s="34">
        <f>TablaSTOCKINV[[#This Row],[ENTRADAS]]-TablaSTOCKINV[[#This Row],[SALIDAS]]</f>
        <v>2</v>
      </c>
      <c r="O665" s="35">
        <f>SUMIFS(TablaENTRADA[CANT],TablaENTRADA[SKU],TablaSTOCKINV[[#This Row],[SKU]])</f>
        <v>2</v>
      </c>
      <c r="P665" s="35">
        <f>SUMIFS(TablaSALIDA[CANT],TablaSALIDA[SKU],TablaSTOCKINV[[#This Row],[SKU]])</f>
        <v>0</v>
      </c>
      <c r="Q665" s="34">
        <f>_xlfn.XLOOKUP(TablaSTOCKINV[[#This Row],[SKU]],TablaINVENTARIO[SKU],TablaINVENTARIO[PRECIO])</f>
        <v>0</v>
      </c>
      <c r="R665" s="34">
        <f>TablaSTOCKINV[[#This Row],[P.UNITARIO]]*TablaSTOCKINV[[#This Row],[CANT. TOTAL]]</f>
        <v>0</v>
      </c>
      <c r="S665" s="44">
        <f>_xlfn.XLOOKUP(TablaSTOCKINV[[#This Row],[SKU]],TablaINVENTARIO[SKU],TablaINVENTARIO[FECHA INGRESO])</f>
        <v>46023</v>
      </c>
      <c r="T665" s="44">
        <f>_xlfn.XLOOKUP(TablaSTOCKINV[[#This Row],[SKU]],TablaENTRADA[SKU],TablaENTRADA[FECHA],,0,-1)</f>
        <v>46023</v>
      </c>
      <c r="U665" s="46" t="str">
        <f>IFERROR((_xlfn.XLOOKUP(TablaSTOCKINV[[#This Row],[SKU]],TablaSALIDA[SKU],TablaSALIDA[FECHA],,0,-1))," " )</f>
        <v xml:space="preserve"> </v>
      </c>
    </row>
    <row r="666" spans="1:21" x14ac:dyDescent="0.3">
      <c r="A666" s="27" t="s">
        <v>2983</v>
      </c>
      <c r="B666" s="32" t="str">
        <f>_xlfn.XLOOKUP(TablaSTOCKINV[[#This Row],[SKU]],TablaINVENTARIO[SKU],TablaINVENTARIO[DESCRIPCION])</f>
        <v xml:space="preserve">MANGA DE ESPUMA </v>
      </c>
      <c r="C666" s="32" t="str">
        <f>_xlfn.XLOOKUP(TablaSTOCKINV[[#This Row],[SKU]],TablaINVENTARIO[SKU],TablaINVENTARIO[MARCA])</f>
        <v>SHOP.VAC</v>
      </c>
      <c r="D666" s="33" t="str">
        <f>_xlfn.XLOOKUP(TablaSTOCKINV[[#This Row],[SKU]],TablaINVENTARIO[SKU],TablaINVENTARIO[CATEGORIA])</f>
        <v>HERRAMIENTAS_</v>
      </c>
      <c r="E666" s="33" t="str">
        <f>_xlfn.XLOOKUP(TablaSTOCKINV[[#This Row],[SKU]],TablaINVENTARIO[SKU],TablaINVENTARIO[SUBCATEGORIA])</f>
        <v xml:space="preserve">MATERIAL DE CONSTRUCCIÓN </v>
      </c>
      <c r="F666" s="33" t="str">
        <f>_xlfn.XLOOKUP(TablaSTOCKINV[[#This Row],[SKU]],TablaINVENTARIO[SKU],TablaINVENTARIO[ESTADO])</f>
        <v xml:space="preserve">NUEVO </v>
      </c>
      <c r="G666" s="33" t="str">
        <f>_xlfn.XLOOKUP(TablaSTOCKINV[[#This Row],[SKU]],TablaINVENTARIO[SKU],TablaINVENTARIO[MEDIDA])</f>
        <v>UND</v>
      </c>
      <c r="H666" s="33" t="str">
        <f>_xlfn.XLOOKUP(TablaSTOCKINV[[#This Row],[SKU]],TablaINVENTARIO[SKU],TablaINVENTARIO[SERIAL])</f>
        <v>N/A</v>
      </c>
      <c r="I666" s="34" t="str">
        <f>_xlfn.XLOOKUP(TablaSTOCKINV[[#This Row],[SKU]],TablaINVENTARIO[SKU],TablaINVENTARIO[ALMACEN])</f>
        <v>ALMACEN PRINCIPAL</v>
      </c>
      <c r="J666" s="34" t="str">
        <f>_xlfn.XLOOKUP(TablaSTOCKINV[[#This Row],[SKU]],TablaINVENTARIO[SKU],TablaINVENTARIO[UBICACION])</f>
        <v>E2-3</v>
      </c>
      <c r="K666" s="34" t="str">
        <f>_xlfn.XLOOKUP(TablaSTOCKINV[[#This Row],[SKU]],TablaINVENTARIO[SKU],TablaINVENTARIO[DPTO RESPONSABLE])</f>
        <v xml:space="preserve">MANTENIMIENTO </v>
      </c>
      <c r="L666" s="36">
        <f>_xlfn.XLOOKUP(TablaSTOCKINV[[#This Row],[SKU]],TablaINVENTARIO[SKU],TablaINVENTARIO[RANGO MIN])</f>
        <v>0</v>
      </c>
      <c r="M666" s="34" cm="1">
        <f t="array" ref="M666">_xlfn.IFS(TablaSTOCKINV[[#This Row],[CANT. TOTAL]]&lt;=0,1,TablaSTOCKINV[[#This Row],[CANT. TOTAL]]&lt;=TablaSTOCKINV[[#This Row],[MIN]],2,TablaSTOCKINV[[#This Row],[CANT. TOTAL]]&gt;TablaSTOCKINV[[#This Row],[MIN]],3)</f>
        <v>3</v>
      </c>
      <c r="N666" s="34">
        <f>TablaSTOCKINV[[#This Row],[ENTRADAS]]-TablaSTOCKINV[[#This Row],[SALIDAS]]</f>
        <v>2</v>
      </c>
      <c r="O666" s="35">
        <f>SUMIFS(TablaENTRADA[CANT],TablaENTRADA[SKU],TablaSTOCKINV[[#This Row],[SKU]])</f>
        <v>2</v>
      </c>
      <c r="P666" s="35">
        <f>SUMIFS(TablaSALIDA[CANT],TablaSALIDA[SKU],TablaSTOCKINV[[#This Row],[SKU]])</f>
        <v>0</v>
      </c>
      <c r="Q666" s="34">
        <f>_xlfn.XLOOKUP(TablaSTOCKINV[[#This Row],[SKU]],TablaINVENTARIO[SKU],TablaINVENTARIO[PRECIO])</f>
        <v>0</v>
      </c>
      <c r="R666" s="34">
        <f>TablaSTOCKINV[[#This Row],[P.UNITARIO]]*TablaSTOCKINV[[#This Row],[CANT. TOTAL]]</f>
        <v>0</v>
      </c>
      <c r="S666" s="44">
        <f>_xlfn.XLOOKUP(TablaSTOCKINV[[#This Row],[SKU]],TablaINVENTARIO[SKU],TablaINVENTARIO[FECHA INGRESO])</f>
        <v>46023</v>
      </c>
      <c r="T666" s="44">
        <f>_xlfn.XLOOKUP(TablaSTOCKINV[[#This Row],[SKU]],TablaENTRADA[SKU],TablaENTRADA[FECHA],,0,-1)</f>
        <v>46023</v>
      </c>
      <c r="U666" s="46" t="str">
        <f>IFERROR((_xlfn.XLOOKUP(TablaSTOCKINV[[#This Row],[SKU]],TablaSALIDA[SKU],TablaSALIDA[FECHA],,0,-1))," " )</f>
        <v xml:space="preserve"> </v>
      </c>
    </row>
    <row r="667" spans="1:21" x14ac:dyDescent="0.3">
      <c r="A667" s="27" t="s">
        <v>2986</v>
      </c>
      <c r="B667" s="32" t="str">
        <f>_xlfn.XLOOKUP(TablaSTOCKINV[[#This Row],[SKU]],TablaINVENTARIO[SKU],TablaINVENTARIO[DESCRIPCION])</f>
        <v>ACTUADOR ELECTRICO SERIE 92</v>
      </c>
      <c r="C667" s="32" t="str">
        <f>_xlfn.XLOOKUP(TablaSTOCKINV[[#This Row],[SKU]],TablaINVENTARIO[SKU],TablaINVENTARIO[MARCA])</f>
        <v>N/A</v>
      </c>
      <c r="D667" s="33" t="str">
        <f>_xlfn.XLOOKUP(TablaSTOCKINV[[#This Row],[SKU]],TablaINVENTARIO[SKU],TablaINVENTARIO[CATEGORIA])</f>
        <v>HERRAMIENTAS_</v>
      </c>
      <c r="E667" s="33" t="str">
        <f>_xlfn.XLOOKUP(TablaSTOCKINV[[#This Row],[SKU]],TablaINVENTARIO[SKU],TablaINVENTARIO[SUBCATEGORIA])</f>
        <v>MATERIAL ELECTRICO</v>
      </c>
      <c r="F667" s="33" t="str">
        <f>_xlfn.XLOOKUP(TablaSTOCKINV[[#This Row],[SKU]],TablaINVENTARIO[SKU],TablaINVENTARIO[ESTADO])</f>
        <v>USADO</v>
      </c>
      <c r="G667" s="33" t="str">
        <f>_xlfn.XLOOKUP(TablaSTOCKINV[[#This Row],[SKU]],TablaINVENTARIO[SKU],TablaINVENTARIO[MEDIDA])</f>
        <v>UND</v>
      </c>
      <c r="H667" s="33" t="str">
        <f>_xlfn.XLOOKUP(TablaSTOCKINV[[#This Row],[SKU]],TablaINVENTARIO[SKU],TablaINVENTARIO[SERIAL])</f>
        <v>N/A</v>
      </c>
      <c r="I667" s="34" t="str">
        <f>_xlfn.XLOOKUP(TablaSTOCKINV[[#This Row],[SKU]],TablaINVENTARIO[SKU],TablaINVENTARIO[ALMACEN])</f>
        <v>ALMACEN PRINCIPAL</v>
      </c>
      <c r="J667" s="34" t="str">
        <f>_xlfn.XLOOKUP(TablaSTOCKINV[[#This Row],[SKU]],TablaINVENTARIO[SKU],TablaINVENTARIO[UBICACION])</f>
        <v>E1-4</v>
      </c>
      <c r="K667" s="34" t="str">
        <f>_xlfn.XLOOKUP(TablaSTOCKINV[[#This Row],[SKU]],TablaINVENTARIO[SKU],TablaINVENTARIO[DPTO RESPONSABLE])</f>
        <v xml:space="preserve">OPERACIONES </v>
      </c>
      <c r="L667" s="36">
        <f>_xlfn.XLOOKUP(TablaSTOCKINV[[#This Row],[SKU]],TablaINVENTARIO[SKU],TablaINVENTARIO[RANGO MIN])</f>
        <v>0</v>
      </c>
      <c r="M667" s="34" cm="1">
        <f t="array" ref="M667">_xlfn.IFS(TablaSTOCKINV[[#This Row],[CANT. TOTAL]]&lt;=0,1,TablaSTOCKINV[[#This Row],[CANT. TOTAL]]&lt;=TablaSTOCKINV[[#This Row],[MIN]],2,TablaSTOCKINV[[#This Row],[CANT. TOTAL]]&gt;TablaSTOCKINV[[#This Row],[MIN]],3)</f>
        <v>3</v>
      </c>
      <c r="N667" s="34">
        <f>TablaSTOCKINV[[#This Row],[ENTRADAS]]-TablaSTOCKINV[[#This Row],[SALIDAS]]</f>
        <v>1</v>
      </c>
      <c r="O667" s="35">
        <f>SUMIFS(TablaENTRADA[CANT],TablaENTRADA[SKU],TablaSTOCKINV[[#This Row],[SKU]])</f>
        <v>1</v>
      </c>
      <c r="P667" s="35">
        <f>SUMIFS(TablaSALIDA[CANT],TablaSALIDA[SKU],TablaSTOCKINV[[#This Row],[SKU]])</f>
        <v>0</v>
      </c>
      <c r="Q667" s="34">
        <f>_xlfn.XLOOKUP(TablaSTOCKINV[[#This Row],[SKU]],TablaINVENTARIO[SKU],TablaINVENTARIO[PRECIO])</f>
        <v>0</v>
      </c>
      <c r="R667" s="34">
        <f>TablaSTOCKINV[[#This Row],[P.UNITARIO]]*TablaSTOCKINV[[#This Row],[CANT. TOTAL]]</f>
        <v>0</v>
      </c>
      <c r="S667" s="44">
        <f>_xlfn.XLOOKUP(TablaSTOCKINV[[#This Row],[SKU]],TablaINVENTARIO[SKU],TablaINVENTARIO[FECHA INGRESO])</f>
        <v>46023</v>
      </c>
      <c r="T667" s="44">
        <f>_xlfn.XLOOKUP(TablaSTOCKINV[[#This Row],[SKU]],TablaENTRADA[SKU],TablaENTRADA[FECHA],,0,-1)</f>
        <v>46023</v>
      </c>
      <c r="U667" s="46" t="str">
        <f>IFERROR((_xlfn.XLOOKUP(TablaSTOCKINV[[#This Row],[SKU]],TablaSALIDA[SKU],TablaSALIDA[FECHA],,0,-1))," " )</f>
        <v xml:space="preserve"> </v>
      </c>
    </row>
    <row r="668" spans="1:21" x14ac:dyDescent="0.3">
      <c r="A668" s="27" t="s">
        <v>2989</v>
      </c>
      <c r="B668" s="32" t="str">
        <f>_xlfn.XLOOKUP(TablaSTOCKINV[[#This Row],[SKU]],TablaINVENTARIO[SKU],TablaINVENTARIO[DESCRIPCION])</f>
        <v xml:space="preserve">CORREA DE FLEJADO DE CABLE </v>
      </c>
      <c r="C668" s="32" t="str">
        <f>_xlfn.XLOOKUP(TablaSTOCKINV[[#This Row],[SKU]],TablaINVENTARIO[SKU],TablaINVENTARIO[MARCA])</f>
        <v>N/A</v>
      </c>
      <c r="D668" s="33" t="str">
        <f>_xlfn.XLOOKUP(TablaSTOCKINV[[#This Row],[SKU]],TablaINVENTARIO[SKU],TablaINVENTARIO[CATEGORIA])</f>
        <v>HERRAMIENTAS_</v>
      </c>
      <c r="E668" s="33" t="str">
        <f>_xlfn.XLOOKUP(TablaSTOCKINV[[#This Row],[SKU]],TablaINVENTARIO[SKU],TablaINVENTARIO[SUBCATEGORIA])</f>
        <v xml:space="preserve">HERRAMIENTA DE MANO </v>
      </c>
      <c r="F668" s="33" t="str">
        <f>_xlfn.XLOOKUP(TablaSTOCKINV[[#This Row],[SKU]],TablaINVENTARIO[SKU],TablaINVENTARIO[ESTADO])</f>
        <v>USADO</v>
      </c>
      <c r="G668" s="33" t="str">
        <f>_xlfn.XLOOKUP(TablaSTOCKINV[[#This Row],[SKU]],TablaINVENTARIO[SKU],TablaINVENTARIO[MEDIDA])</f>
        <v>UND</v>
      </c>
      <c r="H668" s="33" t="str">
        <f>_xlfn.XLOOKUP(TablaSTOCKINV[[#This Row],[SKU]],TablaINVENTARIO[SKU],TablaINVENTARIO[SERIAL])</f>
        <v>N/A</v>
      </c>
      <c r="I668" s="34" t="str">
        <f>_xlfn.XLOOKUP(TablaSTOCKINV[[#This Row],[SKU]],TablaINVENTARIO[SKU],TablaINVENTARIO[ALMACEN])</f>
        <v>ALMACEN PRINCIPAL</v>
      </c>
      <c r="J668" s="34" t="str">
        <f>_xlfn.XLOOKUP(TablaSTOCKINV[[#This Row],[SKU]],TablaINVENTARIO[SKU],TablaINVENTARIO[UBICACION])</f>
        <v>E4-1</v>
      </c>
      <c r="K668" s="34" t="str">
        <f>_xlfn.XLOOKUP(TablaSTOCKINV[[#This Row],[SKU]],TablaINVENTARIO[SKU],TablaINVENTARIO[DPTO RESPONSABLE])</f>
        <v xml:space="preserve">OPERACIONES </v>
      </c>
      <c r="L668" s="36">
        <f>_xlfn.XLOOKUP(TablaSTOCKINV[[#This Row],[SKU]],TablaINVENTARIO[SKU],TablaINVENTARIO[RANGO MIN])</f>
        <v>0</v>
      </c>
      <c r="M668" s="34" cm="1">
        <f t="array" ref="M668">_xlfn.IFS(TablaSTOCKINV[[#This Row],[CANT. TOTAL]]&lt;=0,1,TablaSTOCKINV[[#This Row],[CANT. TOTAL]]&lt;=TablaSTOCKINV[[#This Row],[MIN]],2,TablaSTOCKINV[[#This Row],[CANT. TOTAL]]&gt;TablaSTOCKINV[[#This Row],[MIN]],3)</f>
        <v>3</v>
      </c>
      <c r="N668" s="34">
        <f>TablaSTOCKINV[[#This Row],[ENTRADAS]]-TablaSTOCKINV[[#This Row],[SALIDAS]]</f>
        <v>3</v>
      </c>
      <c r="O668" s="35">
        <f>SUMIFS(TablaENTRADA[CANT],TablaENTRADA[SKU],TablaSTOCKINV[[#This Row],[SKU]])</f>
        <v>3</v>
      </c>
      <c r="P668" s="35">
        <f>SUMIFS(TablaSALIDA[CANT],TablaSALIDA[SKU],TablaSTOCKINV[[#This Row],[SKU]])</f>
        <v>0</v>
      </c>
      <c r="Q668" s="34">
        <f>_xlfn.XLOOKUP(TablaSTOCKINV[[#This Row],[SKU]],TablaINVENTARIO[SKU],TablaINVENTARIO[PRECIO])</f>
        <v>0</v>
      </c>
      <c r="R668" s="34">
        <f>TablaSTOCKINV[[#This Row],[P.UNITARIO]]*TablaSTOCKINV[[#This Row],[CANT. TOTAL]]</f>
        <v>0</v>
      </c>
      <c r="S668" s="44">
        <f>_xlfn.XLOOKUP(TablaSTOCKINV[[#This Row],[SKU]],TablaINVENTARIO[SKU],TablaINVENTARIO[FECHA INGRESO])</f>
        <v>46023</v>
      </c>
      <c r="T668" s="44">
        <f>_xlfn.XLOOKUP(TablaSTOCKINV[[#This Row],[SKU]],TablaENTRADA[SKU],TablaENTRADA[FECHA],,0,-1)</f>
        <v>46023</v>
      </c>
      <c r="U668" s="46" t="str">
        <f>IFERROR((_xlfn.XLOOKUP(TablaSTOCKINV[[#This Row],[SKU]],TablaSALIDA[SKU],TablaSALIDA[FECHA],,0,-1))," " )</f>
        <v xml:space="preserve"> </v>
      </c>
    </row>
    <row r="669" spans="1:21" x14ac:dyDescent="0.3">
      <c r="A669" s="27" t="s">
        <v>2991</v>
      </c>
      <c r="B669" s="32" t="str">
        <f>_xlfn.XLOOKUP(TablaSTOCKINV[[#This Row],[SKU]],TablaINVENTARIO[SKU],TablaINVENTARIO[DESCRIPCION])</f>
        <v>CATALIZADOR PARA PRODUCTOS DE POLIURETANO</v>
      </c>
      <c r="C669" s="32" t="str">
        <f>_xlfn.XLOOKUP(TablaSTOCKINV[[#This Row],[SKU]],TablaINVENTARIO[SKU],TablaINVENTARIO[MARCA])</f>
        <v>CARBOLINE</v>
      </c>
      <c r="D669" s="33" t="str">
        <f>_xlfn.XLOOKUP(TablaSTOCKINV[[#This Row],[SKU]],TablaINVENTARIO[SKU],TablaINVENTARIO[CATEGORIA])</f>
        <v>HERRAMIENTAS_</v>
      </c>
      <c r="E669" s="33" t="str">
        <f>_xlfn.XLOOKUP(TablaSTOCKINV[[#This Row],[SKU]],TablaINVENTARIO[SKU],TablaINVENTARIO[SUBCATEGORIA])</f>
        <v xml:space="preserve">ACCESORIO PARA PINTURA </v>
      </c>
      <c r="F669" s="33" t="str">
        <f>_xlfn.XLOOKUP(TablaSTOCKINV[[#This Row],[SKU]],TablaINVENTARIO[SKU],TablaINVENTARIO[ESTADO])</f>
        <v xml:space="preserve">NUEVO </v>
      </c>
      <c r="G669" s="33" t="str">
        <f>_xlfn.XLOOKUP(TablaSTOCKINV[[#This Row],[SKU]],TablaINVENTARIO[SKU],TablaINVENTARIO[MEDIDA])</f>
        <v>UND</v>
      </c>
      <c r="H669" s="33" t="str">
        <f>_xlfn.XLOOKUP(TablaSTOCKINV[[#This Row],[SKU]],TablaINVENTARIO[SKU],TablaINVENTARIO[SERIAL])</f>
        <v>N/A</v>
      </c>
      <c r="I669" s="34" t="str">
        <f>_xlfn.XLOOKUP(TablaSTOCKINV[[#This Row],[SKU]],TablaINVENTARIO[SKU],TablaINVENTARIO[ALMACEN])</f>
        <v>ALMACEN PRINCIPAL</v>
      </c>
      <c r="J669" s="34" t="str">
        <f>_xlfn.XLOOKUP(TablaSTOCKINV[[#This Row],[SKU]],TablaINVENTARIO[SKU],TablaINVENTARIO[UBICACION])</f>
        <v>I3-1</v>
      </c>
      <c r="K669" s="34" t="str">
        <f>_xlfn.XLOOKUP(TablaSTOCKINV[[#This Row],[SKU]],TablaINVENTARIO[SKU],TablaINVENTARIO[DPTO RESPONSABLE])</f>
        <v xml:space="preserve">OPERACIONES </v>
      </c>
      <c r="L669" s="36">
        <f>_xlfn.XLOOKUP(TablaSTOCKINV[[#This Row],[SKU]],TablaINVENTARIO[SKU],TablaINVENTARIO[RANGO MIN])</f>
        <v>0</v>
      </c>
      <c r="M669" s="34" cm="1">
        <f t="array" ref="M669">_xlfn.IFS(TablaSTOCKINV[[#This Row],[CANT. TOTAL]]&lt;=0,1,TablaSTOCKINV[[#This Row],[CANT. TOTAL]]&lt;=TablaSTOCKINV[[#This Row],[MIN]],2,TablaSTOCKINV[[#This Row],[CANT. TOTAL]]&gt;TablaSTOCKINV[[#This Row],[MIN]],3)</f>
        <v>3</v>
      </c>
      <c r="N669" s="34">
        <f>TablaSTOCKINV[[#This Row],[ENTRADAS]]-TablaSTOCKINV[[#This Row],[SALIDAS]]</f>
        <v>1</v>
      </c>
      <c r="O669" s="35">
        <f>SUMIFS(TablaENTRADA[CANT],TablaENTRADA[SKU],TablaSTOCKINV[[#This Row],[SKU]])</f>
        <v>1</v>
      </c>
      <c r="P669" s="35">
        <f>SUMIFS(TablaSALIDA[CANT],TablaSALIDA[SKU],TablaSTOCKINV[[#This Row],[SKU]])</f>
        <v>0</v>
      </c>
      <c r="Q669" s="34">
        <f>_xlfn.XLOOKUP(TablaSTOCKINV[[#This Row],[SKU]],TablaINVENTARIO[SKU],TablaINVENTARIO[PRECIO])</f>
        <v>0</v>
      </c>
      <c r="R669" s="34">
        <f>TablaSTOCKINV[[#This Row],[P.UNITARIO]]*TablaSTOCKINV[[#This Row],[CANT. TOTAL]]</f>
        <v>0</v>
      </c>
      <c r="S669" s="44">
        <f>_xlfn.XLOOKUP(TablaSTOCKINV[[#This Row],[SKU]],TablaINVENTARIO[SKU],TablaINVENTARIO[FECHA INGRESO])</f>
        <v>46023</v>
      </c>
      <c r="T669" s="44">
        <f>_xlfn.XLOOKUP(TablaSTOCKINV[[#This Row],[SKU]],TablaENTRADA[SKU],TablaENTRADA[FECHA],,0,-1)</f>
        <v>46023</v>
      </c>
      <c r="U669" s="46" t="str">
        <f>IFERROR((_xlfn.XLOOKUP(TablaSTOCKINV[[#This Row],[SKU]],TablaSALIDA[SKU],TablaSALIDA[FECHA],,0,-1))," " )</f>
        <v xml:space="preserve"> </v>
      </c>
    </row>
    <row r="670" spans="1:21" x14ac:dyDescent="0.3">
      <c r="A670" s="27" t="s">
        <v>2994</v>
      </c>
      <c r="B670" s="32" t="str">
        <f>_xlfn.XLOOKUP(TablaSTOCKINV[[#This Row],[SKU]],TablaINVENTARIO[SKU],TablaINVENTARIO[DESCRIPCION])</f>
        <v>CINTA AISLANTE DE PVC BLANCA</v>
      </c>
      <c r="C670" s="32" t="str">
        <f>_xlfn.XLOOKUP(TablaSTOCKINV[[#This Row],[SKU]],TablaINVENTARIO[SKU],TablaINVENTARIO[MARCA])</f>
        <v>N/A</v>
      </c>
      <c r="D670" s="33" t="str">
        <f>_xlfn.XLOOKUP(TablaSTOCKINV[[#This Row],[SKU]],TablaINVENTARIO[SKU],TablaINVENTARIO[CATEGORIA])</f>
        <v>HERRAMIENTAS_</v>
      </c>
      <c r="E670" s="33" t="str">
        <f>_xlfn.XLOOKUP(TablaSTOCKINV[[#This Row],[SKU]],TablaINVENTARIO[SKU],TablaINVENTARIO[SUBCATEGORIA])</f>
        <v xml:space="preserve">HERRAMIENTA DE MANO </v>
      </c>
      <c r="F670" s="33" t="str">
        <f>_xlfn.XLOOKUP(TablaSTOCKINV[[#This Row],[SKU]],TablaINVENTARIO[SKU],TablaINVENTARIO[ESTADO])</f>
        <v xml:space="preserve">NUEVO </v>
      </c>
      <c r="G670" s="33" t="str">
        <f>_xlfn.XLOOKUP(TablaSTOCKINV[[#This Row],[SKU]],TablaINVENTARIO[SKU],TablaINVENTARIO[MEDIDA])</f>
        <v>UND</v>
      </c>
      <c r="H670" s="33" t="str">
        <f>_xlfn.XLOOKUP(TablaSTOCKINV[[#This Row],[SKU]],TablaINVENTARIO[SKU],TablaINVENTARIO[SERIAL])</f>
        <v>N/A</v>
      </c>
      <c r="I670" s="34" t="str">
        <f>_xlfn.XLOOKUP(TablaSTOCKINV[[#This Row],[SKU]],TablaINVENTARIO[SKU],TablaINVENTARIO[ALMACEN])</f>
        <v>ALMACEN PRINCIPAL</v>
      </c>
      <c r="J670" s="34" t="str">
        <f>_xlfn.XLOOKUP(TablaSTOCKINV[[#This Row],[SKU]],TablaINVENTARIO[SKU],TablaINVENTARIO[UBICACION])</f>
        <v>E1-2</v>
      </c>
      <c r="K670" s="34" t="str">
        <f>_xlfn.XLOOKUP(TablaSTOCKINV[[#This Row],[SKU]],TablaINVENTARIO[SKU],TablaINVENTARIO[DPTO RESPONSABLE])</f>
        <v xml:space="preserve">OPERACIONES / MANTENIMIENTO </v>
      </c>
      <c r="L670" s="36">
        <f>_xlfn.XLOOKUP(TablaSTOCKINV[[#This Row],[SKU]],TablaINVENTARIO[SKU],TablaINVENTARIO[RANGO MIN])</f>
        <v>0</v>
      </c>
      <c r="M670" s="34" cm="1">
        <f t="array" ref="M670">_xlfn.IFS(TablaSTOCKINV[[#This Row],[CANT. TOTAL]]&lt;=0,1,TablaSTOCKINV[[#This Row],[CANT. TOTAL]]&lt;=TablaSTOCKINV[[#This Row],[MIN]],2,TablaSTOCKINV[[#This Row],[CANT. TOTAL]]&gt;TablaSTOCKINV[[#This Row],[MIN]],3)</f>
        <v>3</v>
      </c>
      <c r="N670" s="34">
        <f>TablaSTOCKINV[[#This Row],[ENTRADAS]]-TablaSTOCKINV[[#This Row],[SALIDAS]]</f>
        <v>3</v>
      </c>
      <c r="O670" s="35">
        <f>SUMIFS(TablaENTRADA[CANT],TablaENTRADA[SKU],TablaSTOCKINV[[#This Row],[SKU]])</f>
        <v>3</v>
      </c>
      <c r="P670" s="35">
        <f>SUMIFS(TablaSALIDA[CANT],TablaSALIDA[SKU],TablaSTOCKINV[[#This Row],[SKU]])</f>
        <v>0</v>
      </c>
      <c r="Q670" s="34">
        <f>_xlfn.XLOOKUP(TablaSTOCKINV[[#This Row],[SKU]],TablaINVENTARIO[SKU],TablaINVENTARIO[PRECIO])</f>
        <v>0</v>
      </c>
      <c r="R670" s="34">
        <f>TablaSTOCKINV[[#This Row],[P.UNITARIO]]*TablaSTOCKINV[[#This Row],[CANT. TOTAL]]</f>
        <v>0</v>
      </c>
      <c r="S670" s="44">
        <f>_xlfn.XLOOKUP(TablaSTOCKINV[[#This Row],[SKU]],TablaINVENTARIO[SKU],TablaINVENTARIO[FECHA INGRESO])</f>
        <v>46023</v>
      </c>
      <c r="T670" s="44">
        <f>_xlfn.XLOOKUP(TablaSTOCKINV[[#This Row],[SKU]],TablaENTRADA[SKU],TablaENTRADA[FECHA],,0,-1)</f>
        <v>46023</v>
      </c>
      <c r="U670" s="46" t="str">
        <f>IFERROR((_xlfn.XLOOKUP(TablaSTOCKINV[[#This Row],[SKU]],TablaSALIDA[SKU],TablaSALIDA[FECHA],,0,-1))," " )</f>
        <v xml:space="preserve"> </v>
      </c>
    </row>
    <row r="671" spans="1:21" x14ac:dyDescent="0.3">
      <c r="A671" s="27" t="s">
        <v>2996</v>
      </c>
      <c r="B671" s="32" t="str">
        <f>_xlfn.XLOOKUP(TablaSTOCKINV[[#This Row],[SKU]],TablaINVENTARIO[SKU],TablaINVENTARIO[DESCRIPCION])</f>
        <v>WIDIA</v>
      </c>
      <c r="C671" s="32" t="str">
        <f>_xlfn.XLOOKUP(TablaSTOCKINV[[#This Row],[SKU]],TablaINVENTARIO[SKU],TablaINVENTARIO[MARCA])</f>
        <v>WIDIA</v>
      </c>
      <c r="D671" s="33" t="str">
        <f>_xlfn.XLOOKUP(TablaSTOCKINV[[#This Row],[SKU]],TablaINVENTARIO[SKU],TablaINVENTARIO[CATEGORIA])</f>
        <v>HERRAMIENTAS_</v>
      </c>
      <c r="E671" s="33" t="str">
        <f>_xlfn.XLOOKUP(TablaSTOCKINV[[#This Row],[SKU]],TablaINVENTARIO[SKU],TablaINVENTARIO[SUBCATEGORIA])</f>
        <v xml:space="preserve">HERRAMIENTA DE MANO </v>
      </c>
      <c r="F671" s="33" t="str">
        <f>_xlfn.XLOOKUP(TablaSTOCKINV[[#This Row],[SKU]],TablaINVENTARIO[SKU],TablaINVENTARIO[ESTADO])</f>
        <v>USADO</v>
      </c>
      <c r="G671" s="33" t="str">
        <f>_xlfn.XLOOKUP(TablaSTOCKINV[[#This Row],[SKU]],TablaINVENTARIO[SKU],TablaINVENTARIO[MEDIDA])</f>
        <v>UND</v>
      </c>
      <c r="H671" s="33" t="str">
        <f>_xlfn.XLOOKUP(TablaSTOCKINV[[#This Row],[SKU]],TablaINVENTARIO[SKU],TablaINVENTARIO[SERIAL])</f>
        <v>N/A</v>
      </c>
      <c r="I671" s="34" t="str">
        <f>_xlfn.XLOOKUP(TablaSTOCKINV[[#This Row],[SKU]],TablaINVENTARIO[SKU],TablaINVENTARIO[ALMACEN])</f>
        <v>ALMACEN PRINCIPAL</v>
      </c>
      <c r="J671" s="34" t="str">
        <f>_xlfn.XLOOKUP(TablaSTOCKINV[[#This Row],[SKU]],TablaINVENTARIO[SKU],TablaINVENTARIO[UBICACION])</f>
        <v>E1-2</v>
      </c>
      <c r="K671" s="34" t="str">
        <f>_xlfn.XLOOKUP(TablaSTOCKINV[[#This Row],[SKU]],TablaINVENTARIO[SKU],TablaINVENTARIO[DPTO RESPONSABLE])</f>
        <v xml:space="preserve">MANTENIMIENTO </v>
      </c>
      <c r="L671" s="36">
        <f>_xlfn.XLOOKUP(TablaSTOCKINV[[#This Row],[SKU]],TablaINVENTARIO[SKU],TablaINVENTARIO[RANGO MIN])</f>
        <v>0</v>
      </c>
      <c r="M671" s="34" cm="1">
        <f t="array" ref="M671">_xlfn.IFS(TablaSTOCKINV[[#This Row],[CANT. TOTAL]]&lt;=0,1,TablaSTOCKINV[[#This Row],[CANT. TOTAL]]&lt;=TablaSTOCKINV[[#This Row],[MIN]],2,TablaSTOCKINV[[#This Row],[CANT. TOTAL]]&gt;TablaSTOCKINV[[#This Row],[MIN]],3)</f>
        <v>3</v>
      </c>
      <c r="N671" s="34">
        <f>TablaSTOCKINV[[#This Row],[ENTRADAS]]-TablaSTOCKINV[[#This Row],[SALIDAS]]</f>
        <v>1</v>
      </c>
      <c r="O671" s="35">
        <f>SUMIFS(TablaENTRADA[CANT],TablaENTRADA[SKU],TablaSTOCKINV[[#This Row],[SKU]])</f>
        <v>1</v>
      </c>
      <c r="P671" s="35">
        <f>SUMIFS(TablaSALIDA[CANT],TablaSALIDA[SKU],TablaSTOCKINV[[#This Row],[SKU]])</f>
        <v>0</v>
      </c>
      <c r="Q671" s="34">
        <f>_xlfn.XLOOKUP(TablaSTOCKINV[[#This Row],[SKU]],TablaINVENTARIO[SKU],TablaINVENTARIO[PRECIO])</f>
        <v>0</v>
      </c>
      <c r="R671" s="34">
        <f>TablaSTOCKINV[[#This Row],[P.UNITARIO]]*TablaSTOCKINV[[#This Row],[CANT. TOTAL]]</f>
        <v>0</v>
      </c>
      <c r="S671" s="44">
        <f>_xlfn.XLOOKUP(TablaSTOCKINV[[#This Row],[SKU]],TablaINVENTARIO[SKU],TablaINVENTARIO[FECHA INGRESO])</f>
        <v>46023</v>
      </c>
      <c r="T671" s="44">
        <f>_xlfn.XLOOKUP(TablaSTOCKINV[[#This Row],[SKU]],TablaENTRADA[SKU],TablaENTRADA[FECHA],,0,-1)</f>
        <v>46023</v>
      </c>
      <c r="U671" s="46" t="str">
        <f>IFERROR((_xlfn.XLOOKUP(TablaSTOCKINV[[#This Row],[SKU]],TablaSALIDA[SKU],TablaSALIDA[FECHA],,0,-1))," " )</f>
        <v xml:space="preserve"> </v>
      </c>
    </row>
    <row r="672" spans="1:21" x14ac:dyDescent="0.3">
      <c r="A672" s="27" t="s">
        <v>2998</v>
      </c>
      <c r="B672" s="32" t="str">
        <f>_xlfn.XLOOKUP(TablaSTOCKINV[[#This Row],[SKU]],TablaINVENTARIO[SKU],TablaINVENTARIO[DESCRIPCION])</f>
        <v>TUBO DE AHDESIVO SELLADOR</v>
      </c>
      <c r="C672" s="32" t="str">
        <f>_xlfn.XLOOKUP(TablaSTOCKINV[[#This Row],[SKU]],TablaINVENTARIO[SKU],TablaINVENTARIO[MARCA])</f>
        <v>LAO CHUAN JIANG</v>
      </c>
      <c r="D672" s="33" t="str">
        <f>_xlfn.XLOOKUP(TablaSTOCKINV[[#This Row],[SKU]],TablaINVENTARIO[SKU],TablaINVENTARIO[CATEGORIA])</f>
        <v>HERRAMIENTAS_</v>
      </c>
      <c r="E672" s="33" t="str">
        <f>_xlfn.XLOOKUP(TablaSTOCKINV[[#This Row],[SKU]],TablaINVENTARIO[SKU],TablaINVENTARIO[SUBCATEGORIA])</f>
        <v xml:space="preserve">MATERIAL DE CONSTRUCCIÓN </v>
      </c>
      <c r="F672" s="33" t="str">
        <f>_xlfn.XLOOKUP(TablaSTOCKINV[[#This Row],[SKU]],TablaINVENTARIO[SKU],TablaINVENTARIO[ESTADO])</f>
        <v xml:space="preserve">NUEVO </v>
      </c>
      <c r="G672" s="33" t="str">
        <f>_xlfn.XLOOKUP(TablaSTOCKINV[[#This Row],[SKU]],TablaINVENTARIO[SKU],TablaINVENTARIO[MEDIDA])</f>
        <v>UND</v>
      </c>
      <c r="H672" s="33" t="str">
        <f>_xlfn.XLOOKUP(TablaSTOCKINV[[#This Row],[SKU]],TablaINVENTARIO[SKU],TablaINVENTARIO[SERIAL])</f>
        <v>N/A</v>
      </c>
      <c r="I672" s="34" t="str">
        <f>_xlfn.XLOOKUP(TablaSTOCKINV[[#This Row],[SKU]],TablaINVENTARIO[SKU],TablaINVENTARIO[ALMACEN])</f>
        <v>ALMACEN PRINCIPAL</v>
      </c>
      <c r="J672" s="34" t="str">
        <f>_xlfn.XLOOKUP(TablaSTOCKINV[[#This Row],[SKU]],TablaINVENTARIO[SKU],TablaINVENTARIO[UBICACION])</f>
        <v>E1-2</v>
      </c>
      <c r="K672" s="34" t="str">
        <f>_xlfn.XLOOKUP(TablaSTOCKINV[[#This Row],[SKU]],TablaINVENTARIO[SKU],TablaINVENTARIO[DPTO RESPONSABLE])</f>
        <v xml:space="preserve">MANTENIMIENTO </v>
      </c>
      <c r="L672" s="36">
        <f>_xlfn.XLOOKUP(TablaSTOCKINV[[#This Row],[SKU]],TablaINVENTARIO[SKU],TablaINVENTARIO[RANGO MIN])</f>
        <v>0</v>
      </c>
      <c r="M672" s="34" cm="1">
        <f t="array" ref="M672">_xlfn.IFS(TablaSTOCKINV[[#This Row],[CANT. TOTAL]]&lt;=0,1,TablaSTOCKINV[[#This Row],[CANT. TOTAL]]&lt;=TablaSTOCKINV[[#This Row],[MIN]],2,TablaSTOCKINV[[#This Row],[CANT. TOTAL]]&gt;TablaSTOCKINV[[#This Row],[MIN]],3)</f>
        <v>3</v>
      </c>
      <c r="N672" s="34">
        <f>TablaSTOCKINV[[#This Row],[ENTRADAS]]-TablaSTOCKINV[[#This Row],[SALIDAS]]</f>
        <v>2</v>
      </c>
      <c r="O672" s="35">
        <f>SUMIFS(TablaENTRADA[CANT],TablaENTRADA[SKU],TablaSTOCKINV[[#This Row],[SKU]])</f>
        <v>2</v>
      </c>
      <c r="P672" s="35">
        <f>SUMIFS(TablaSALIDA[CANT],TablaSALIDA[SKU],TablaSTOCKINV[[#This Row],[SKU]])</f>
        <v>0</v>
      </c>
      <c r="Q672" s="34">
        <f>_xlfn.XLOOKUP(TablaSTOCKINV[[#This Row],[SKU]],TablaINVENTARIO[SKU],TablaINVENTARIO[PRECIO])</f>
        <v>0</v>
      </c>
      <c r="R672" s="34">
        <f>TablaSTOCKINV[[#This Row],[P.UNITARIO]]*TablaSTOCKINV[[#This Row],[CANT. TOTAL]]</f>
        <v>0</v>
      </c>
      <c r="S672" s="44">
        <f>_xlfn.XLOOKUP(TablaSTOCKINV[[#This Row],[SKU]],TablaINVENTARIO[SKU],TablaINVENTARIO[FECHA INGRESO])</f>
        <v>46023</v>
      </c>
      <c r="T672" s="44">
        <f>_xlfn.XLOOKUP(TablaSTOCKINV[[#This Row],[SKU]],TablaENTRADA[SKU],TablaENTRADA[FECHA],,0,-1)</f>
        <v>46023</v>
      </c>
      <c r="U672" s="46" t="str">
        <f>IFERROR((_xlfn.XLOOKUP(TablaSTOCKINV[[#This Row],[SKU]],TablaSALIDA[SKU],TablaSALIDA[FECHA],,0,-1))," " )</f>
        <v xml:space="preserve"> </v>
      </c>
    </row>
    <row r="673" spans="1:21" x14ac:dyDescent="0.3">
      <c r="A673" s="27" t="s">
        <v>3001</v>
      </c>
      <c r="B673" s="32" t="str">
        <f>_xlfn.XLOOKUP(TablaSTOCKINV[[#This Row],[SKU]],TablaINVENTARIO[SKU],TablaINVENTARIO[DESCRIPCION])</f>
        <v xml:space="preserve">TUBO SELLADOR DE SILICONA </v>
      </c>
      <c r="C673" s="32" t="str">
        <f>_xlfn.XLOOKUP(TablaSTOCKINV[[#This Row],[SKU]],TablaINVENTARIO[SKU],TablaINVENTARIO[MARCA])</f>
        <v>SAI SHUO</v>
      </c>
      <c r="D673" s="33" t="str">
        <f>_xlfn.XLOOKUP(TablaSTOCKINV[[#This Row],[SKU]],TablaINVENTARIO[SKU],TablaINVENTARIO[CATEGORIA])</f>
        <v>HERRAMIENTAS_</v>
      </c>
      <c r="E673" s="33" t="str">
        <f>_xlfn.XLOOKUP(TablaSTOCKINV[[#This Row],[SKU]],TablaINVENTARIO[SKU],TablaINVENTARIO[SUBCATEGORIA])</f>
        <v xml:space="preserve">MATERIAL DE CONSTRUCCIÓN </v>
      </c>
      <c r="F673" s="33" t="str">
        <f>_xlfn.XLOOKUP(TablaSTOCKINV[[#This Row],[SKU]],TablaINVENTARIO[SKU],TablaINVENTARIO[ESTADO])</f>
        <v xml:space="preserve">NUEVO </v>
      </c>
      <c r="G673" s="33" t="str">
        <f>_xlfn.XLOOKUP(TablaSTOCKINV[[#This Row],[SKU]],TablaINVENTARIO[SKU],TablaINVENTARIO[MEDIDA])</f>
        <v>UND</v>
      </c>
      <c r="H673" s="33" t="str">
        <f>_xlfn.XLOOKUP(TablaSTOCKINV[[#This Row],[SKU]],TablaINVENTARIO[SKU],TablaINVENTARIO[SERIAL])</f>
        <v>N/A</v>
      </c>
      <c r="I673" s="34" t="str">
        <f>_xlfn.XLOOKUP(TablaSTOCKINV[[#This Row],[SKU]],TablaINVENTARIO[SKU],TablaINVENTARIO[ALMACEN])</f>
        <v>ALMACEN PRINCIPAL</v>
      </c>
      <c r="J673" s="34" t="str">
        <f>_xlfn.XLOOKUP(TablaSTOCKINV[[#This Row],[SKU]],TablaINVENTARIO[SKU],TablaINVENTARIO[UBICACION])</f>
        <v>E1-1</v>
      </c>
      <c r="K673" s="34" t="str">
        <f>_xlfn.XLOOKUP(TablaSTOCKINV[[#This Row],[SKU]],TablaINVENTARIO[SKU],TablaINVENTARIO[DPTO RESPONSABLE])</f>
        <v xml:space="preserve">MANTENIMIENTO </v>
      </c>
      <c r="L673" s="36">
        <f>_xlfn.XLOOKUP(TablaSTOCKINV[[#This Row],[SKU]],TablaINVENTARIO[SKU],TablaINVENTARIO[RANGO MIN])</f>
        <v>0</v>
      </c>
      <c r="M673" s="34" cm="1">
        <f t="array" ref="M673">_xlfn.IFS(TablaSTOCKINV[[#This Row],[CANT. TOTAL]]&lt;=0,1,TablaSTOCKINV[[#This Row],[CANT. TOTAL]]&lt;=TablaSTOCKINV[[#This Row],[MIN]],2,TablaSTOCKINV[[#This Row],[CANT. TOTAL]]&gt;TablaSTOCKINV[[#This Row],[MIN]],3)</f>
        <v>3</v>
      </c>
      <c r="N673" s="34">
        <f>TablaSTOCKINV[[#This Row],[ENTRADAS]]-TablaSTOCKINV[[#This Row],[SALIDAS]]</f>
        <v>6</v>
      </c>
      <c r="O673" s="35">
        <f>SUMIFS(TablaENTRADA[CANT],TablaENTRADA[SKU],TablaSTOCKINV[[#This Row],[SKU]])</f>
        <v>6</v>
      </c>
      <c r="P673" s="35">
        <f>SUMIFS(TablaSALIDA[CANT],TablaSALIDA[SKU],TablaSTOCKINV[[#This Row],[SKU]])</f>
        <v>0</v>
      </c>
      <c r="Q673" s="34">
        <f>_xlfn.XLOOKUP(TablaSTOCKINV[[#This Row],[SKU]],TablaINVENTARIO[SKU],TablaINVENTARIO[PRECIO])</f>
        <v>0</v>
      </c>
      <c r="R673" s="34">
        <f>TablaSTOCKINV[[#This Row],[P.UNITARIO]]*TablaSTOCKINV[[#This Row],[CANT. TOTAL]]</f>
        <v>0</v>
      </c>
      <c r="S673" s="44">
        <f>_xlfn.XLOOKUP(TablaSTOCKINV[[#This Row],[SKU]],TablaINVENTARIO[SKU],TablaINVENTARIO[FECHA INGRESO])</f>
        <v>46023</v>
      </c>
      <c r="T673" s="44">
        <f>_xlfn.XLOOKUP(TablaSTOCKINV[[#This Row],[SKU]],TablaENTRADA[SKU],TablaENTRADA[FECHA],,0,-1)</f>
        <v>46023</v>
      </c>
      <c r="U673" s="46" t="str">
        <f>IFERROR((_xlfn.XLOOKUP(TablaSTOCKINV[[#This Row],[SKU]],TablaSALIDA[SKU],TablaSALIDA[FECHA],,0,-1))," " )</f>
        <v xml:space="preserve"> </v>
      </c>
    </row>
    <row r="674" spans="1:21" x14ac:dyDescent="0.3">
      <c r="A674" s="27" t="s">
        <v>3004</v>
      </c>
      <c r="B674" s="32" t="str">
        <f>_xlfn.XLOOKUP(TablaSTOCKINV[[#This Row],[SKU]],TablaINVENTARIO[SKU],TablaINVENTARIO[DESCRIPCION])</f>
        <v>CEPILLO DE COPA TRENZADA 4"</v>
      </c>
      <c r="C674" s="32" t="str">
        <f>_xlfn.XLOOKUP(TablaSTOCKINV[[#This Row],[SKU]],TablaINVENTARIO[SKU],TablaINVENTARIO[MARCA])</f>
        <v>STRUGGER</v>
      </c>
      <c r="D674" s="33" t="str">
        <f>_xlfn.XLOOKUP(TablaSTOCKINV[[#This Row],[SKU]],TablaINVENTARIO[SKU],TablaINVENTARIO[CATEGORIA])</f>
        <v>HERRAMIENTAS_</v>
      </c>
      <c r="E674" s="33" t="str">
        <f>_xlfn.XLOOKUP(TablaSTOCKINV[[#This Row],[SKU]],TablaINVENTARIO[SKU],TablaINVENTARIO[SUBCATEGORIA])</f>
        <v xml:space="preserve">HERRAMIENTA DE ABRASIÓN </v>
      </c>
      <c r="F674" s="33" t="str">
        <f>_xlfn.XLOOKUP(TablaSTOCKINV[[#This Row],[SKU]],TablaINVENTARIO[SKU],TablaINVENTARIO[ESTADO])</f>
        <v xml:space="preserve">NUEVO </v>
      </c>
      <c r="G674" s="33" t="str">
        <f>_xlfn.XLOOKUP(TablaSTOCKINV[[#This Row],[SKU]],TablaINVENTARIO[SKU],TablaINVENTARIO[MEDIDA])</f>
        <v>UND</v>
      </c>
      <c r="H674" s="33" t="str">
        <f>_xlfn.XLOOKUP(TablaSTOCKINV[[#This Row],[SKU]],TablaINVENTARIO[SKU],TablaINVENTARIO[SERIAL])</f>
        <v>N/A</v>
      </c>
      <c r="I674" s="34" t="str">
        <f>_xlfn.XLOOKUP(TablaSTOCKINV[[#This Row],[SKU]],TablaINVENTARIO[SKU],TablaINVENTARIO[ALMACEN])</f>
        <v>ALMACEN PRINCIPAL</v>
      </c>
      <c r="J674" s="34" t="str">
        <f>_xlfn.XLOOKUP(TablaSTOCKINV[[#This Row],[SKU]],TablaINVENTARIO[SKU],TablaINVENTARIO[UBICACION])</f>
        <v>E1-1</v>
      </c>
      <c r="K674" s="34" t="str">
        <f>_xlfn.XLOOKUP(TablaSTOCKINV[[#This Row],[SKU]],TablaINVENTARIO[SKU],TablaINVENTARIO[DPTO RESPONSABLE])</f>
        <v xml:space="preserve">MANTENIMIENTO </v>
      </c>
      <c r="L674" s="36">
        <f>_xlfn.XLOOKUP(TablaSTOCKINV[[#This Row],[SKU]],TablaINVENTARIO[SKU],TablaINVENTARIO[RANGO MIN])</f>
        <v>0</v>
      </c>
      <c r="M674" s="34" cm="1">
        <f t="array" ref="M674">_xlfn.IFS(TablaSTOCKINV[[#This Row],[CANT. TOTAL]]&lt;=0,1,TablaSTOCKINV[[#This Row],[CANT. TOTAL]]&lt;=TablaSTOCKINV[[#This Row],[MIN]],2,TablaSTOCKINV[[#This Row],[CANT. TOTAL]]&gt;TablaSTOCKINV[[#This Row],[MIN]],3)</f>
        <v>3</v>
      </c>
      <c r="N674" s="34">
        <f>TablaSTOCKINV[[#This Row],[ENTRADAS]]-TablaSTOCKINV[[#This Row],[SALIDAS]]</f>
        <v>2</v>
      </c>
      <c r="O674" s="35">
        <f>SUMIFS(TablaENTRADA[CANT],TablaENTRADA[SKU],TablaSTOCKINV[[#This Row],[SKU]])</f>
        <v>2</v>
      </c>
      <c r="P674" s="35">
        <f>SUMIFS(TablaSALIDA[CANT],TablaSALIDA[SKU],TablaSTOCKINV[[#This Row],[SKU]])</f>
        <v>0</v>
      </c>
      <c r="Q674" s="34">
        <f>_xlfn.XLOOKUP(TablaSTOCKINV[[#This Row],[SKU]],TablaINVENTARIO[SKU],TablaINVENTARIO[PRECIO])</f>
        <v>0</v>
      </c>
      <c r="R674" s="34">
        <f>TablaSTOCKINV[[#This Row],[P.UNITARIO]]*TablaSTOCKINV[[#This Row],[CANT. TOTAL]]</f>
        <v>0</v>
      </c>
      <c r="S674" s="44">
        <f>_xlfn.XLOOKUP(TablaSTOCKINV[[#This Row],[SKU]],TablaINVENTARIO[SKU],TablaINVENTARIO[FECHA INGRESO])</f>
        <v>46023</v>
      </c>
      <c r="T674" s="44">
        <f>_xlfn.XLOOKUP(TablaSTOCKINV[[#This Row],[SKU]],TablaENTRADA[SKU],TablaENTRADA[FECHA],,0,-1)</f>
        <v>46023</v>
      </c>
      <c r="U674" s="46" t="str">
        <f>IFERROR((_xlfn.XLOOKUP(TablaSTOCKINV[[#This Row],[SKU]],TablaSALIDA[SKU],TablaSALIDA[FECHA],,0,-1))," " )</f>
        <v xml:space="preserve"> </v>
      </c>
    </row>
    <row r="675" spans="1:21" x14ac:dyDescent="0.3">
      <c r="A675" s="27" t="s">
        <v>3006</v>
      </c>
      <c r="B675" s="32" t="str">
        <f>_xlfn.XLOOKUP(TablaSTOCKINV[[#This Row],[SKU]],TablaINVENTARIO[SKU],TablaINVENTARIO[DESCRIPCION])</f>
        <v>CEPILLO DE COPA TRENZADA 5/8"</v>
      </c>
      <c r="C675" s="32" t="str">
        <f>_xlfn.XLOOKUP(TablaSTOCKINV[[#This Row],[SKU]],TablaINVENTARIO[SKU],TablaINVENTARIO[MARCA])</f>
        <v>STRUGGER</v>
      </c>
      <c r="D675" s="33" t="str">
        <f>_xlfn.XLOOKUP(TablaSTOCKINV[[#This Row],[SKU]],TablaINVENTARIO[SKU],TablaINVENTARIO[CATEGORIA])</f>
        <v>HERRAMIENTAS_</v>
      </c>
      <c r="E675" s="33" t="str">
        <f>_xlfn.XLOOKUP(TablaSTOCKINV[[#This Row],[SKU]],TablaINVENTARIO[SKU],TablaINVENTARIO[SUBCATEGORIA])</f>
        <v xml:space="preserve">HERRAMIENTA DE ABRASIÓN </v>
      </c>
      <c r="F675" s="33" t="str">
        <f>_xlfn.XLOOKUP(TablaSTOCKINV[[#This Row],[SKU]],TablaINVENTARIO[SKU],TablaINVENTARIO[ESTADO])</f>
        <v xml:space="preserve">NUEVO </v>
      </c>
      <c r="G675" s="33" t="str">
        <f>_xlfn.XLOOKUP(TablaSTOCKINV[[#This Row],[SKU]],TablaINVENTARIO[SKU],TablaINVENTARIO[MEDIDA])</f>
        <v>UND</v>
      </c>
      <c r="H675" s="33" t="str">
        <f>_xlfn.XLOOKUP(TablaSTOCKINV[[#This Row],[SKU]],TablaINVENTARIO[SKU],TablaINVENTARIO[SERIAL])</f>
        <v>N/A</v>
      </c>
      <c r="I675" s="34" t="str">
        <f>_xlfn.XLOOKUP(TablaSTOCKINV[[#This Row],[SKU]],TablaINVENTARIO[SKU],TablaINVENTARIO[ALMACEN])</f>
        <v>ALMACEN PRINCIPAL</v>
      </c>
      <c r="J675" s="34" t="str">
        <f>_xlfn.XLOOKUP(TablaSTOCKINV[[#This Row],[SKU]],TablaINVENTARIO[SKU],TablaINVENTARIO[UBICACION])</f>
        <v>E1-1</v>
      </c>
      <c r="K675" s="34" t="str">
        <f>_xlfn.XLOOKUP(TablaSTOCKINV[[#This Row],[SKU]],TablaINVENTARIO[SKU],TablaINVENTARIO[DPTO RESPONSABLE])</f>
        <v xml:space="preserve">MANTENIMIENTO </v>
      </c>
      <c r="L675" s="36">
        <f>_xlfn.XLOOKUP(TablaSTOCKINV[[#This Row],[SKU]],TablaINVENTARIO[SKU],TablaINVENTARIO[RANGO MIN])</f>
        <v>0</v>
      </c>
      <c r="M675" s="34" cm="1">
        <f t="array" ref="M675">_xlfn.IFS(TablaSTOCKINV[[#This Row],[CANT. TOTAL]]&lt;=0,1,TablaSTOCKINV[[#This Row],[CANT. TOTAL]]&lt;=TablaSTOCKINV[[#This Row],[MIN]],2,TablaSTOCKINV[[#This Row],[CANT. TOTAL]]&gt;TablaSTOCKINV[[#This Row],[MIN]],3)</f>
        <v>3</v>
      </c>
      <c r="N675" s="34">
        <f>TablaSTOCKINV[[#This Row],[ENTRADAS]]-TablaSTOCKINV[[#This Row],[SALIDAS]]</f>
        <v>5</v>
      </c>
      <c r="O675" s="35">
        <f>SUMIFS(TablaENTRADA[CANT],TablaENTRADA[SKU],TablaSTOCKINV[[#This Row],[SKU]])</f>
        <v>5</v>
      </c>
      <c r="P675" s="35">
        <f>SUMIFS(TablaSALIDA[CANT],TablaSALIDA[SKU],TablaSTOCKINV[[#This Row],[SKU]])</f>
        <v>0</v>
      </c>
      <c r="Q675" s="34">
        <f>_xlfn.XLOOKUP(TablaSTOCKINV[[#This Row],[SKU]],TablaINVENTARIO[SKU],TablaINVENTARIO[PRECIO])</f>
        <v>0</v>
      </c>
      <c r="R675" s="34">
        <f>TablaSTOCKINV[[#This Row],[P.UNITARIO]]*TablaSTOCKINV[[#This Row],[CANT. TOTAL]]</f>
        <v>0</v>
      </c>
      <c r="S675" s="44">
        <f>_xlfn.XLOOKUP(TablaSTOCKINV[[#This Row],[SKU]],TablaINVENTARIO[SKU],TablaINVENTARIO[FECHA INGRESO])</f>
        <v>46023</v>
      </c>
      <c r="T675" s="44">
        <f>_xlfn.XLOOKUP(TablaSTOCKINV[[#This Row],[SKU]],TablaENTRADA[SKU],TablaENTRADA[FECHA],,0,-1)</f>
        <v>46023</v>
      </c>
      <c r="U675" s="46" t="str">
        <f>IFERROR((_xlfn.XLOOKUP(TablaSTOCKINV[[#This Row],[SKU]],TablaSALIDA[SKU],TablaSALIDA[FECHA],,0,-1))," " )</f>
        <v xml:space="preserve"> </v>
      </c>
    </row>
    <row r="676" spans="1:21" x14ac:dyDescent="0.3">
      <c r="A676" s="27" t="s">
        <v>3008</v>
      </c>
      <c r="B676" s="32" t="str">
        <f>_xlfn.XLOOKUP(TablaSTOCKINV[[#This Row],[SKU]],TablaINVENTARIO[SKU],TablaINVENTARIO[DESCRIPCION])</f>
        <v xml:space="preserve">CAJA DE TRANSPORTE DE 18'' </v>
      </c>
      <c r="C676" s="32" t="str">
        <f>_xlfn.XLOOKUP(TablaSTOCKINV[[#This Row],[SKU]],TablaINVENTARIO[SKU],TablaINVENTARIO[MARCA])</f>
        <v>HOMELITE</v>
      </c>
      <c r="D676" s="33" t="str">
        <f>_xlfn.XLOOKUP(TablaSTOCKINV[[#This Row],[SKU]],TablaINVENTARIO[SKU],TablaINVENTARIO[CATEGORIA])</f>
        <v>HERRAMIENTAS_</v>
      </c>
      <c r="E676" s="33" t="str">
        <f>_xlfn.XLOOKUP(TablaSTOCKINV[[#This Row],[SKU]],TablaINVENTARIO[SKU],TablaINVENTARIO[SUBCATEGORIA])</f>
        <v xml:space="preserve">ALMACENAMIENTO </v>
      </c>
      <c r="F676" s="33" t="str">
        <f>_xlfn.XLOOKUP(TablaSTOCKINV[[#This Row],[SKU]],TablaINVENTARIO[SKU],TablaINVENTARIO[ESTADO])</f>
        <v>USADO</v>
      </c>
      <c r="G676" s="33" t="str">
        <f>_xlfn.XLOOKUP(TablaSTOCKINV[[#This Row],[SKU]],TablaINVENTARIO[SKU],TablaINVENTARIO[MEDIDA])</f>
        <v>UND</v>
      </c>
      <c r="H676" s="33" t="str">
        <f>_xlfn.XLOOKUP(TablaSTOCKINV[[#This Row],[SKU]],TablaINVENTARIO[SKU],TablaINVENTARIO[SERIAL])</f>
        <v>N/A</v>
      </c>
      <c r="I676" s="34" t="str">
        <f>_xlfn.XLOOKUP(TablaSTOCKINV[[#This Row],[SKU]],TablaINVENTARIO[SKU],TablaINVENTARIO[ALMACEN])</f>
        <v>ALMACEN PRINCIPAL</v>
      </c>
      <c r="J676" s="34" t="str">
        <f>_xlfn.XLOOKUP(TablaSTOCKINV[[#This Row],[SKU]],TablaINVENTARIO[SKU],TablaINVENTARIO[UBICACION])</f>
        <v>E1-1</v>
      </c>
      <c r="K676" s="34" t="str">
        <f>_xlfn.XLOOKUP(TablaSTOCKINV[[#This Row],[SKU]],TablaINVENTARIO[SKU],TablaINVENTARIO[DPTO RESPONSABLE])</f>
        <v xml:space="preserve">MANTENIMIENTO </v>
      </c>
      <c r="L676" s="36">
        <f>_xlfn.XLOOKUP(TablaSTOCKINV[[#This Row],[SKU]],TablaINVENTARIO[SKU],TablaINVENTARIO[RANGO MIN])</f>
        <v>0</v>
      </c>
      <c r="M676" s="34" cm="1">
        <f t="array" ref="M676">_xlfn.IFS(TablaSTOCKINV[[#This Row],[CANT. TOTAL]]&lt;=0,1,TablaSTOCKINV[[#This Row],[CANT. TOTAL]]&lt;=TablaSTOCKINV[[#This Row],[MIN]],2,TablaSTOCKINV[[#This Row],[CANT. TOTAL]]&gt;TablaSTOCKINV[[#This Row],[MIN]],3)</f>
        <v>3</v>
      </c>
      <c r="N676" s="34">
        <f>TablaSTOCKINV[[#This Row],[ENTRADAS]]-TablaSTOCKINV[[#This Row],[SALIDAS]]</f>
        <v>1</v>
      </c>
      <c r="O676" s="35">
        <f>SUMIFS(TablaENTRADA[CANT],TablaENTRADA[SKU],TablaSTOCKINV[[#This Row],[SKU]])</f>
        <v>1</v>
      </c>
      <c r="P676" s="35">
        <f>SUMIFS(TablaSALIDA[CANT],TablaSALIDA[SKU],TablaSTOCKINV[[#This Row],[SKU]])</f>
        <v>0</v>
      </c>
      <c r="Q676" s="34">
        <f>_xlfn.XLOOKUP(TablaSTOCKINV[[#This Row],[SKU]],TablaINVENTARIO[SKU],TablaINVENTARIO[PRECIO])</f>
        <v>0</v>
      </c>
      <c r="R676" s="34">
        <f>TablaSTOCKINV[[#This Row],[P.UNITARIO]]*TablaSTOCKINV[[#This Row],[CANT. TOTAL]]</f>
        <v>0</v>
      </c>
      <c r="S676" s="44">
        <f>_xlfn.XLOOKUP(TablaSTOCKINV[[#This Row],[SKU]],TablaINVENTARIO[SKU],TablaINVENTARIO[FECHA INGRESO])</f>
        <v>46023</v>
      </c>
      <c r="T676" s="44">
        <f>_xlfn.XLOOKUP(TablaSTOCKINV[[#This Row],[SKU]],TablaENTRADA[SKU],TablaENTRADA[FECHA],,0,-1)</f>
        <v>46023</v>
      </c>
      <c r="U676" s="46" t="str">
        <f>IFERROR((_xlfn.XLOOKUP(TablaSTOCKINV[[#This Row],[SKU]],TablaSALIDA[SKU],TablaSALIDA[FECHA],,0,-1))," " )</f>
        <v xml:space="preserve"> </v>
      </c>
    </row>
    <row r="677" spans="1:21" x14ac:dyDescent="0.3">
      <c r="A677" s="27" t="s">
        <v>3011</v>
      </c>
      <c r="B677" s="32" t="str">
        <f>_xlfn.XLOOKUP(TablaSTOCKINV[[#This Row],[SKU]],TablaINVENTARIO[SKU],TablaINVENTARIO[DESCRIPCION])</f>
        <v>BALASTRO ELECTRONICO 3X32 W</v>
      </c>
      <c r="C677" s="32" t="str">
        <f>_xlfn.XLOOKUP(TablaSTOCKINV[[#This Row],[SKU]],TablaINVENTARIO[SKU],TablaINVENTARIO[MARCA])</f>
        <v>FERMETAL</v>
      </c>
      <c r="D677" s="33" t="str">
        <f>_xlfn.XLOOKUP(TablaSTOCKINV[[#This Row],[SKU]],TablaINVENTARIO[SKU],TablaINVENTARIO[CATEGORIA])</f>
        <v>HERRAMIENTAS_</v>
      </c>
      <c r="E677" s="33" t="str">
        <f>_xlfn.XLOOKUP(TablaSTOCKINV[[#This Row],[SKU]],TablaINVENTARIO[SKU],TablaINVENTARIO[SUBCATEGORIA])</f>
        <v>MATERIAL ELECTRICO</v>
      </c>
      <c r="F677" s="33" t="str">
        <f>_xlfn.XLOOKUP(TablaSTOCKINV[[#This Row],[SKU]],TablaINVENTARIO[SKU],TablaINVENTARIO[ESTADO])</f>
        <v>USADO</v>
      </c>
      <c r="G677" s="33" t="str">
        <f>_xlfn.XLOOKUP(TablaSTOCKINV[[#This Row],[SKU]],TablaINVENTARIO[SKU],TablaINVENTARIO[MEDIDA])</f>
        <v>UND</v>
      </c>
      <c r="H677" s="33" t="str">
        <f>_xlfn.XLOOKUP(TablaSTOCKINV[[#This Row],[SKU]],TablaINVENTARIO[SKU],TablaINVENTARIO[SERIAL])</f>
        <v>N/A</v>
      </c>
      <c r="I677" s="34" t="str">
        <f>_xlfn.XLOOKUP(TablaSTOCKINV[[#This Row],[SKU]],TablaINVENTARIO[SKU],TablaINVENTARIO[ALMACEN])</f>
        <v>ALMACEN PRINCIPAL</v>
      </c>
      <c r="J677" s="34" t="str">
        <f>_xlfn.XLOOKUP(TablaSTOCKINV[[#This Row],[SKU]],TablaINVENTARIO[SKU],TablaINVENTARIO[UBICACION])</f>
        <v>E1-1</v>
      </c>
      <c r="K677" s="34" t="str">
        <f>_xlfn.XLOOKUP(TablaSTOCKINV[[#This Row],[SKU]],TablaINVENTARIO[SKU],TablaINVENTARIO[DPTO RESPONSABLE])</f>
        <v xml:space="preserve">MANTENIMIENTO </v>
      </c>
      <c r="L677" s="36">
        <f>_xlfn.XLOOKUP(TablaSTOCKINV[[#This Row],[SKU]],TablaINVENTARIO[SKU],TablaINVENTARIO[RANGO MIN])</f>
        <v>0</v>
      </c>
      <c r="M677" s="34" cm="1">
        <f t="array" ref="M677">_xlfn.IFS(TablaSTOCKINV[[#This Row],[CANT. TOTAL]]&lt;=0,1,TablaSTOCKINV[[#This Row],[CANT. TOTAL]]&lt;=TablaSTOCKINV[[#This Row],[MIN]],2,TablaSTOCKINV[[#This Row],[CANT. TOTAL]]&gt;TablaSTOCKINV[[#This Row],[MIN]],3)</f>
        <v>3</v>
      </c>
      <c r="N677" s="34">
        <f>TablaSTOCKINV[[#This Row],[ENTRADAS]]-TablaSTOCKINV[[#This Row],[SALIDAS]]</f>
        <v>1</v>
      </c>
      <c r="O677" s="35">
        <f>SUMIFS(TablaENTRADA[CANT],TablaENTRADA[SKU],TablaSTOCKINV[[#This Row],[SKU]])</f>
        <v>1</v>
      </c>
      <c r="P677" s="35">
        <f>SUMIFS(TablaSALIDA[CANT],TablaSALIDA[SKU],TablaSTOCKINV[[#This Row],[SKU]])</f>
        <v>0</v>
      </c>
      <c r="Q677" s="34">
        <f>_xlfn.XLOOKUP(TablaSTOCKINV[[#This Row],[SKU]],TablaINVENTARIO[SKU],TablaINVENTARIO[PRECIO])</f>
        <v>0</v>
      </c>
      <c r="R677" s="34">
        <f>TablaSTOCKINV[[#This Row],[P.UNITARIO]]*TablaSTOCKINV[[#This Row],[CANT. TOTAL]]</f>
        <v>0</v>
      </c>
      <c r="S677" s="44">
        <f>_xlfn.XLOOKUP(TablaSTOCKINV[[#This Row],[SKU]],TablaINVENTARIO[SKU],TablaINVENTARIO[FECHA INGRESO])</f>
        <v>46023</v>
      </c>
      <c r="T677" s="44">
        <f>_xlfn.XLOOKUP(TablaSTOCKINV[[#This Row],[SKU]],TablaENTRADA[SKU],TablaENTRADA[FECHA],,0,-1)</f>
        <v>46023</v>
      </c>
      <c r="U677" s="46" t="str">
        <f>IFERROR((_xlfn.XLOOKUP(TablaSTOCKINV[[#This Row],[SKU]],TablaSALIDA[SKU],TablaSALIDA[FECHA],,0,-1))," " )</f>
        <v xml:space="preserve"> </v>
      </c>
    </row>
    <row r="678" spans="1:21" x14ac:dyDescent="0.3">
      <c r="A678" s="27" t="s">
        <v>3013</v>
      </c>
      <c r="B678" s="32" t="str">
        <f>_xlfn.XLOOKUP(TablaSTOCKINV[[#This Row],[SKU]],TablaINVENTARIO[SKU],TablaINVENTARIO[DESCRIPCION])</f>
        <v>ESTUCHE DE PLASTICO MOLDEADO MODELO: C1600</v>
      </c>
      <c r="C678" s="32" t="str">
        <f>_xlfn.XLOOKUP(TablaSTOCKINV[[#This Row],[SKU]],TablaINVENTARIO[SKU],TablaINVENTARIO[MARCA])</f>
        <v>FLUKE</v>
      </c>
      <c r="D678" s="33" t="str">
        <f>_xlfn.XLOOKUP(TablaSTOCKINV[[#This Row],[SKU]],TablaINVENTARIO[SKU],TablaINVENTARIO[CATEGORIA])</f>
        <v>HERRAMIENTAS_</v>
      </c>
      <c r="E678" s="33" t="str">
        <f>_xlfn.XLOOKUP(TablaSTOCKINV[[#This Row],[SKU]],TablaINVENTARIO[SKU],TablaINVENTARIO[SUBCATEGORIA])</f>
        <v xml:space="preserve">ALMACENAMIENTO </v>
      </c>
      <c r="F678" s="33" t="str">
        <f>_xlfn.XLOOKUP(TablaSTOCKINV[[#This Row],[SKU]],TablaINVENTARIO[SKU],TablaINVENTARIO[ESTADO])</f>
        <v>USADO</v>
      </c>
      <c r="G678" s="33" t="str">
        <f>_xlfn.XLOOKUP(TablaSTOCKINV[[#This Row],[SKU]],TablaINVENTARIO[SKU],TablaINVENTARIO[MEDIDA])</f>
        <v>UND</v>
      </c>
      <c r="H678" s="33" t="str">
        <f>_xlfn.XLOOKUP(TablaSTOCKINV[[#This Row],[SKU]],TablaINVENTARIO[SKU],TablaINVENTARIO[SERIAL])</f>
        <v>N/A</v>
      </c>
      <c r="I678" s="34" t="str">
        <f>_xlfn.XLOOKUP(TablaSTOCKINV[[#This Row],[SKU]],TablaINVENTARIO[SKU],TablaINVENTARIO[ALMACEN])</f>
        <v>ALMACEN PRINCIPAL</v>
      </c>
      <c r="J678" s="34" t="str">
        <f>_xlfn.XLOOKUP(TablaSTOCKINV[[#This Row],[SKU]],TablaINVENTARIO[SKU],TablaINVENTARIO[UBICACION])</f>
        <v>E1-2</v>
      </c>
      <c r="K678" s="34" t="str">
        <f>_xlfn.XLOOKUP(TablaSTOCKINV[[#This Row],[SKU]],TablaINVENTARIO[SKU],TablaINVENTARIO[DPTO RESPONSABLE])</f>
        <v xml:space="preserve">MANTENIMIENTO </v>
      </c>
      <c r="L678" s="36">
        <f>_xlfn.XLOOKUP(TablaSTOCKINV[[#This Row],[SKU]],TablaINVENTARIO[SKU],TablaINVENTARIO[RANGO MIN])</f>
        <v>0</v>
      </c>
      <c r="M678" s="34" cm="1">
        <f t="array" ref="M678">_xlfn.IFS(TablaSTOCKINV[[#This Row],[CANT. TOTAL]]&lt;=0,1,TablaSTOCKINV[[#This Row],[CANT. TOTAL]]&lt;=TablaSTOCKINV[[#This Row],[MIN]],2,TablaSTOCKINV[[#This Row],[CANT. TOTAL]]&gt;TablaSTOCKINV[[#This Row],[MIN]],3)</f>
        <v>3</v>
      </c>
      <c r="N678" s="34">
        <f>TablaSTOCKINV[[#This Row],[ENTRADAS]]-TablaSTOCKINV[[#This Row],[SALIDAS]]</f>
        <v>1</v>
      </c>
      <c r="O678" s="35">
        <f>SUMIFS(TablaENTRADA[CANT],TablaENTRADA[SKU],TablaSTOCKINV[[#This Row],[SKU]])</f>
        <v>1</v>
      </c>
      <c r="P678" s="35">
        <f>SUMIFS(TablaSALIDA[CANT],TablaSALIDA[SKU],TablaSTOCKINV[[#This Row],[SKU]])</f>
        <v>0</v>
      </c>
      <c r="Q678" s="34">
        <f>_xlfn.XLOOKUP(TablaSTOCKINV[[#This Row],[SKU]],TablaINVENTARIO[SKU],TablaINVENTARIO[PRECIO])</f>
        <v>0</v>
      </c>
      <c r="R678" s="34">
        <f>TablaSTOCKINV[[#This Row],[P.UNITARIO]]*TablaSTOCKINV[[#This Row],[CANT. TOTAL]]</f>
        <v>0</v>
      </c>
      <c r="S678" s="44">
        <f>_xlfn.XLOOKUP(TablaSTOCKINV[[#This Row],[SKU]],TablaINVENTARIO[SKU],TablaINVENTARIO[FECHA INGRESO])</f>
        <v>46023</v>
      </c>
      <c r="T678" s="44">
        <f>_xlfn.XLOOKUP(TablaSTOCKINV[[#This Row],[SKU]],TablaENTRADA[SKU],TablaENTRADA[FECHA],,0,-1)</f>
        <v>46023</v>
      </c>
      <c r="U678" s="46" t="str">
        <f>IFERROR((_xlfn.XLOOKUP(TablaSTOCKINV[[#This Row],[SKU]],TablaSALIDA[SKU],TablaSALIDA[FECHA],,0,-1))," " )</f>
        <v xml:space="preserve"> </v>
      </c>
    </row>
    <row r="679" spans="1:21" x14ac:dyDescent="0.3">
      <c r="A679" s="27" t="s">
        <v>3016</v>
      </c>
      <c r="B679" s="32" t="str">
        <f>_xlfn.XLOOKUP(TablaSTOCKINV[[#This Row],[SKU]],TablaINVENTARIO[SKU],TablaINVENTARIO[DESCRIPCION])</f>
        <v>EXTRACTOR DE AIRE MODELO AQP-21675</v>
      </c>
      <c r="C679" s="32" t="str">
        <f>_xlfn.XLOOKUP(TablaSTOCKINV[[#This Row],[SKU]],TablaINVENTARIO[SKU],TablaINVENTARIO[MARCA])</f>
        <v>V-TEG</v>
      </c>
      <c r="D679" s="33" t="str">
        <f>_xlfn.XLOOKUP(TablaSTOCKINV[[#This Row],[SKU]],TablaINVENTARIO[SKU],TablaINVENTARIO[CATEGORIA])</f>
        <v>HERRAMIENTAS_</v>
      </c>
      <c r="E679" s="33" t="str">
        <f>_xlfn.XLOOKUP(TablaSTOCKINV[[#This Row],[SKU]],TablaINVENTARIO[SKU],TablaINVENTARIO[SUBCATEGORIA])</f>
        <v xml:space="preserve">HERRAMIENTA ELÉCTRICA </v>
      </c>
      <c r="F679" s="33" t="str">
        <f>_xlfn.XLOOKUP(TablaSTOCKINV[[#This Row],[SKU]],TablaINVENTARIO[SKU],TablaINVENTARIO[ESTADO])</f>
        <v xml:space="preserve">NUEVO </v>
      </c>
      <c r="G679" s="33" t="str">
        <f>_xlfn.XLOOKUP(TablaSTOCKINV[[#This Row],[SKU]],TablaINVENTARIO[SKU],TablaINVENTARIO[MEDIDA])</f>
        <v>UND</v>
      </c>
      <c r="H679" s="33" t="str">
        <f>_xlfn.XLOOKUP(TablaSTOCKINV[[#This Row],[SKU]],TablaINVENTARIO[SKU],TablaINVENTARIO[SERIAL])</f>
        <v>N/A</v>
      </c>
      <c r="I679" s="34" t="str">
        <f>_xlfn.XLOOKUP(TablaSTOCKINV[[#This Row],[SKU]],TablaINVENTARIO[SKU],TablaINVENTARIO[ALMACEN])</f>
        <v>ALMACEN PRINCIPAL</v>
      </c>
      <c r="J679" s="34" t="str">
        <f>_xlfn.XLOOKUP(TablaSTOCKINV[[#This Row],[SKU]],TablaINVENTARIO[SKU],TablaINVENTARIO[UBICACION])</f>
        <v>E1-2</v>
      </c>
      <c r="K679" s="34" t="str">
        <f>_xlfn.XLOOKUP(TablaSTOCKINV[[#This Row],[SKU]],TablaINVENTARIO[SKU],TablaINVENTARIO[DPTO RESPONSABLE])</f>
        <v xml:space="preserve">CONSUMO GENERAL </v>
      </c>
      <c r="L679" s="36">
        <f>_xlfn.XLOOKUP(TablaSTOCKINV[[#This Row],[SKU]],TablaINVENTARIO[SKU],TablaINVENTARIO[RANGO MIN])</f>
        <v>0</v>
      </c>
      <c r="M679" s="34" cm="1">
        <f t="array" ref="M679">_xlfn.IFS(TablaSTOCKINV[[#This Row],[CANT. TOTAL]]&lt;=0,1,TablaSTOCKINV[[#This Row],[CANT. TOTAL]]&lt;=TablaSTOCKINV[[#This Row],[MIN]],2,TablaSTOCKINV[[#This Row],[CANT. TOTAL]]&gt;TablaSTOCKINV[[#This Row],[MIN]],3)</f>
        <v>3</v>
      </c>
      <c r="N679" s="34">
        <f>TablaSTOCKINV[[#This Row],[ENTRADAS]]-TablaSTOCKINV[[#This Row],[SALIDAS]]</f>
        <v>1</v>
      </c>
      <c r="O679" s="35">
        <f>SUMIFS(TablaENTRADA[CANT],TablaENTRADA[SKU],TablaSTOCKINV[[#This Row],[SKU]])</f>
        <v>1</v>
      </c>
      <c r="P679" s="35">
        <f>SUMIFS(TablaSALIDA[CANT],TablaSALIDA[SKU],TablaSTOCKINV[[#This Row],[SKU]])</f>
        <v>0</v>
      </c>
      <c r="Q679" s="34">
        <f>_xlfn.XLOOKUP(TablaSTOCKINV[[#This Row],[SKU]],TablaINVENTARIO[SKU],TablaINVENTARIO[PRECIO])</f>
        <v>0</v>
      </c>
      <c r="R679" s="34">
        <f>TablaSTOCKINV[[#This Row],[P.UNITARIO]]*TablaSTOCKINV[[#This Row],[CANT. TOTAL]]</f>
        <v>0</v>
      </c>
      <c r="S679" s="44">
        <f>_xlfn.XLOOKUP(TablaSTOCKINV[[#This Row],[SKU]],TablaINVENTARIO[SKU],TablaINVENTARIO[FECHA INGRESO])</f>
        <v>46023</v>
      </c>
      <c r="T679" s="44">
        <f>_xlfn.XLOOKUP(TablaSTOCKINV[[#This Row],[SKU]],TablaENTRADA[SKU],TablaENTRADA[FECHA],,0,-1)</f>
        <v>46023</v>
      </c>
      <c r="U679" s="46" t="str">
        <f>IFERROR((_xlfn.XLOOKUP(TablaSTOCKINV[[#This Row],[SKU]],TablaSALIDA[SKU],TablaSALIDA[FECHA],,0,-1))," " )</f>
        <v xml:space="preserve"> </v>
      </c>
    </row>
    <row r="680" spans="1:21" x14ac:dyDescent="0.3">
      <c r="A680" s="27" t="s">
        <v>3019</v>
      </c>
      <c r="B680" s="32" t="str">
        <f>_xlfn.XLOOKUP(TablaSTOCKINV[[#This Row],[SKU]],TablaINVENTARIO[SKU],TablaINVENTARIO[DESCRIPCION])</f>
        <v>EXTRACTOR DE AIRE PLASTICO 10'' MODELO: APB25B2</v>
      </c>
      <c r="C680" s="32" t="str">
        <f>_xlfn.XLOOKUP(TablaSTOCKINV[[#This Row],[SKU]],TablaINVENTARIO[SKU],TablaINVENTARIO[MARCA])</f>
        <v>BAYAN LIGHTING</v>
      </c>
      <c r="D680" s="33" t="str">
        <f>_xlfn.XLOOKUP(TablaSTOCKINV[[#This Row],[SKU]],TablaINVENTARIO[SKU],TablaINVENTARIO[CATEGORIA])</f>
        <v>HERRAMIENTAS_</v>
      </c>
      <c r="E680" s="33" t="str">
        <f>_xlfn.XLOOKUP(TablaSTOCKINV[[#This Row],[SKU]],TablaINVENTARIO[SKU],TablaINVENTARIO[SUBCATEGORIA])</f>
        <v xml:space="preserve">HERRAMIENTA ELÉCTRICA </v>
      </c>
      <c r="F680" s="33" t="str">
        <f>_xlfn.XLOOKUP(TablaSTOCKINV[[#This Row],[SKU]],TablaINVENTARIO[SKU],TablaINVENTARIO[ESTADO])</f>
        <v xml:space="preserve">NUEVO </v>
      </c>
      <c r="G680" s="33" t="str">
        <f>_xlfn.XLOOKUP(TablaSTOCKINV[[#This Row],[SKU]],TablaINVENTARIO[SKU],TablaINVENTARIO[MEDIDA])</f>
        <v>UND</v>
      </c>
      <c r="H680" s="33" t="str">
        <f>_xlfn.XLOOKUP(TablaSTOCKINV[[#This Row],[SKU]],TablaINVENTARIO[SKU],TablaINVENTARIO[SERIAL])</f>
        <v>N/A</v>
      </c>
      <c r="I680" s="34" t="str">
        <f>_xlfn.XLOOKUP(TablaSTOCKINV[[#This Row],[SKU]],TablaINVENTARIO[SKU],TablaINVENTARIO[ALMACEN])</f>
        <v>ALMACEN PRINCIPAL</v>
      </c>
      <c r="J680" s="34" t="str">
        <f>_xlfn.XLOOKUP(TablaSTOCKINV[[#This Row],[SKU]],TablaINVENTARIO[SKU],TablaINVENTARIO[UBICACION])</f>
        <v>E1-3</v>
      </c>
      <c r="K680" s="34" t="str">
        <f>_xlfn.XLOOKUP(TablaSTOCKINV[[#This Row],[SKU]],TablaINVENTARIO[SKU],TablaINVENTARIO[DPTO RESPONSABLE])</f>
        <v xml:space="preserve">CONSUMO GENERAL </v>
      </c>
      <c r="L680" s="36">
        <f>_xlfn.XLOOKUP(TablaSTOCKINV[[#This Row],[SKU]],TablaINVENTARIO[SKU],TablaINVENTARIO[RANGO MIN])</f>
        <v>0</v>
      </c>
      <c r="M680" s="34" cm="1">
        <f t="array" ref="M680">_xlfn.IFS(TablaSTOCKINV[[#This Row],[CANT. TOTAL]]&lt;=0,1,TablaSTOCKINV[[#This Row],[CANT. TOTAL]]&lt;=TablaSTOCKINV[[#This Row],[MIN]],2,TablaSTOCKINV[[#This Row],[CANT. TOTAL]]&gt;TablaSTOCKINV[[#This Row],[MIN]],3)</f>
        <v>3</v>
      </c>
      <c r="N680" s="34">
        <f>TablaSTOCKINV[[#This Row],[ENTRADAS]]-TablaSTOCKINV[[#This Row],[SALIDAS]]</f>
        <v>1</v>
      </c>
      <c r="O680" s="35">
        <f>SUMIFS(TablaENTRADA[CANT],TablaENTRADA[SKU],TablaSTOCKINV[[#This Row],[SKU]])</f>
        <v>1</v>
      </c>
      <c r="P680" s="35">
        <f>SUMIFS(TablaSALIDA[CANT],TablaSALIDA[SKU],TablaSTOCKINV[[#This Row],[SKU]])</f>
        <v>0</v>
      </c>
      <c r="Q680" s="34">
        <f>_xlfn.XLOOKUP(TablaSTOCKINV[[#This Row],[SKU]],TablaINVENTARIO[SKU],TablaINVENTARIO[PRECIO])</f>
        <v>0</v>
      </c>
      <c r="R680" s="34">
        <f>TablaSTOCKINV[[#This Row],[P.UNITARIO]]*TablaSTOCKINV[[#This Row],[CANT. TOTAL]]</f>
        <v>0</v>
      </c>
      <c r="S680" s="44">
        <f>_xlfn.XLOOKUP(TablaSTOCKINV[[#This Row],[SKU]],TablaINVENTARIO[SKU],TablaINVENTARIO[FECHA INGRESO])</f>
        <v>46023</v>
      </c>
      <c r="T680" s="44">
        <f>_xlfn.XLOOKUP(TablaSTOCKINV[[#This Row],[SKU]],TablaENTRADA[SKU],TablaENTRADA[FECHA],,0,-1)</f>
        <v>46023</v>
      </c>
      <c r="U680" s="46" t="str">
        <f>IFERROR((_xlfn.XLOOKUP(TablaSTOCKINV[[#This Row],[SKU]],TablaSALIDA[SKU],TablaSALIDA[FECHA],,0,-1))," " )</f>
        <v xml:space="preserve"> </v>
      </c>
    </row>
    <row r="681" spans="1:21" x14ac:dyDescent="0.3">
      <c r="A681" s="27" t="s">
        <v>3023</v>
      </c>
      <c r="B681" s="32" t="str">
        <f>_xlfn.XLOOKUP(TablaSTOCKINV[[#This Row],[SKU]],TablaINVENTARIO[SKU],TablaINVENTARIO[DESCRIPCION])</f>
        <v xml:space="preserve">EXTRACTOR DE AIRE DE PLASTICO 10'' </v>
      </c>
      <c r="C681" s="32" t="str">
        <f>_xlfn.XLOOKUP(TablaSTOCKINV[[#This Row],[SKU]],TablaINVENTARIO[SKU],TablaINVENTARIO[MARCA])</f>
        <v>STAR</v>
      </c>
      <c r="D681" s="33" t="str">
        <f>_xlfn.XLOOKUP(TablaSTOCKINV[[#This Row],[SKU]],TablaINVENTARIO[SKU],TablaINVENTARIO[CATEGORIA])</f>
        <v>HERRAMIENTAS_</v>
      </c>
      <c r="E681" s="33" t="str">
        <f>_xlfn.XLOOKUP(TablaSTOCKINV[[#This Row],[SKU]],TablaINVENTARIO[SKU],TablaINVENTARIO[SUBCATEGORIA])</f>
        <v xml:space="preserve">HERRAMIENTA ELÉCTRICA </v>
      </c>
      <c r="F681" s="33" t="str">
        <f>_xlfn.XLOOKUP(TablaSTOCKINV[[#This Row],[SKU]],TablaINVENTARIO[SKU],TablaINVENTARIO[ESTADO])</f>
        <v xml:space="preserve">NUEVO </v>
      </c>
      <c r="G681" s="33" t="str">
        <f>_xlfn.XLOOKUP(TablaSTOCKINV[[#This Row],[SKU]],TablaINVENTARIO[SKU],TablaINVENTARIO[MEDIDA])</f>
        <v>UND</v>
      </c>
      <c r="H681" s="33" t="str">
        <f>_xlfn.XLOOKUP(TablaSTOCKINV[[#This Row],[SKU]],TablaINVENTARIO[SKU],TablaINVENTARIO[SERIAL])</f>
        <v>N/A</v>
      </c>
      <c r="I681" s="34" t="str">
        <f>_xlfn.XLOOKUP(TablaSTOCKINV[[#This Row],[SKU]],TablaINVENTARIO[SKU],TablaINVENTARIO[ALMACEN])</f>
        <v>ALMACEN PRINCIPAL</v>
      </c>
      <c r="J681" s="34" t="str">
        <f>_xlfn.XLOOKUP(TablaSTOCKINV[[#This Row],[SKU]],TablaINVENTARIO[SKU],TablaINVENTARIO[UBICACION])</f>
        <v>E1-3</v>
      </c>
      <c r="K681" s="34" t="str">
        <f>_xlfn.XLOOKUP(TablaSTOCKINV[[#This Row],[SKU]],TablaINVENTARIO[SKU],TablaINVENTARIO[DPTO RESPONSABLE])</f>
        <v xml:space="preserve">CONSUMO GENERAL </v>
      </c>
      <c r="L681" s="36">
        <f>_xlfn.XLOOKUP(TablaSTOCKINV[[#This Row],[SKU]],TablaINVENTARIO[SKU],TablaINVENTARIO[RANGO MIN])</f>
        <v>0</v>
      </c>
      <c r="M681" s="34" cm="1">
        <f t="array" ref="M681">_xlfn.IFS(TablaSTOCKINV[[#This Row],[CANT. TOTAL]]&lt;=0,1,TablaSTOCKINV[[#This Row],[CANT. TOTAL]]&lt;=TablaSTOCKINV[[#This Row],[MIN]],2,TablaSTOCKINV[[#This Row],[CANT. TOTAL]]&gt;TablaSTOCKINV[[#This Row],[MIN]],3)</f>
        <v>3</v>
      </c>
      <c r="N681" s="34">
        <f>TablaSTOCKINV[[#This Row],[ENTRADAS]]-TablaSTOCKINV[[#This Row],[SALIDAS]]</f>
        <v>1</v>
      </c>
      <c r="O681" s="35">
        <f>SUMIFS(TablaENTRADA[CANT],TablaENTRADA[SKU],TablaSTOCKINV[[#This Row],[SKU]])</f>
        <v>1</v>
      </c>
      <c r="P681" s="35">
        <f>SUMIFS(TablaSALIDA[CANT],TablaSALIDA[SKU],TablaSTOCKINV[[#This Row],[SKU]])</f>
        <v>0</v>
      </c>
      <c r="Q681" s="34">
        <f>_xlfn.XLOOKUP(TablaSTOCKINV[[#This Row],[SKU]],TablaINVENTARIO[SKU],TablaINVENTARIO[PRECIO])</f>
        <v>0</v>
      </c>
      <c r="R681" s="34">
        <f>TablaSTOCKINV[[#This Row],[P.UNITARIO]]*TablaSTOCKINV[[#This Row],[CANT. TOTAL]]</f>
        <v>0</v>
      </c>
      <c r="S681" s="44">
        <f>_xlfn.XLOOKUP(TablaSTOCKINV[[#This Row],[SKU]],TablaINVENTARIO[SKU],TablaINVENTARIO[FECHA INGRESO])</f>
        <v>46023</v>
      </c>
      <c r="T681" s="44">
        <f>_xlfn.XLOOKUP(TablaSTOCKINV[[#This Row],[SKU]],TablaENTRADA[SKU],TablaENTRADA[FECHA],,0,-1)</f>
        <v>46023</v>
      </c>
      <c r="U681" s="46" t="str">
        <f>IFERROR((_xlfn.XLOOKUP(TablaSTOCKINV[[#This Row],[SKU]],TablaSALIDA[SKU],TablaSALIDA[FECHA],,0,-1))," " )</f>
        <v xml:space="preserve"> </v>
      </c>
    </row>
    <row r="682" spans="1:21" x14ac:dyDescent="0.3">
      <c r="A682" s="27" t="s">
        <v>3026</v>
      </c>
      <c r="B682" s="32" t="str">
        <f>_xlfn.XLOOKUP(TablaSTOCKINV[[#This Row],[SKU]],TablaINVENTARIO[SKU],TablaINVENTARIO[DESCRIPCION])</f>
        <v xml:space="preserve">TABLERO DE ELECTRICIDAD BIFASICO 8 CTOS </v>
      </c>
      <c r="C682" s="32" t="str">
        <f>_xlfn.XLOOKUP(TablaSTOCKINV[[#This Row],[SKU]],TablaINVENTARIO[SKU],TablaINVENTARIO[MARCA])</f>
        <v>BTIZINO</v>
      </c>
      <c r="D682" s="33" t="str">
        <f>_xlfn.XLOOKUP(TablaSTOCKINV[[#This Row],[SKU]],TablaINVENTARIO[SKU],TablaINVENTARIO[CATEGORIA])</f>
        <v>HERRAMIENTAS_</v>
      </c>
      <c r="E682" s="33" t="str">
        <f>_xlfn.XLOOKUP(TablaSTOCKINV[[#This Row],[SKU]],TablaINVENTARIO[SKU],TablaINVENTARIO[SUBCATEGORIA])</f>
        <v>MATERIAL ELECTRICO</v>
      </c>
      <c r="F682" s="33" t="str">
        <f>_xlfn.XLOOKUP(TablaSTOCKINV[[#This Row],[SKU]],TablaINVENTARIO[SKU],TablaINVENTARIO[ESTADO])</f>
        <v xml:space="preserve">NUEVO </v>
      </c>
      <c r="G682" s="33" t="str">
        <f>_xlfn.XLOOKUP(TablaSTOCKINV[[#This Row],[SKU]],TablaINVENTARIO[SKU],TablaINVENTARIO[MEDIDA])</f>
        <v>UND</v>
      </c>
      <c r="H682" s="33" t="str">
        <f>_xlfn.XLOOKUP(TablaSTOCKINV[[#This Row],[SKU]],TablaINVENTARIO[SKU],TablaINVENTARIO[SERIAL])</f>
        <v>N/A</v>
      </c>
      <c r="I682" s="34" t="str">
        <f>_xlfn.XLOOKUP(TablaSTOCKINV[[#This Row],[SKU]],TablaINVENTARIO[SKU],TablaINVENTARIO[ALMACEN])</f>
        <v>ALMACEN PRINCIPAL</v>
      </c>
      <c r="J682" s="34" t="str">
        <f>_xlfn.XLOOKUP(TablaSTOCKINV[[#This Row],[SKU]],TablaINVENTARIO[SKU],TablaINVENTARIO[UBICACION])</f>
        <v>E1-3</v>
      </c>
      <c r="K682" s="34" t="str">
        <f>_xlfn.XLOOKUP(TablaSTOCKINV[[#This Row],[SKU]],TablaINVENTARIO[SKU],TablaINVENTARIO[DPTO RESPONSABLE])</f>
        <v xml:space="preserve">CONSUMO GENERAL </v>
      </c>
      <c r="L682" s="36">
        <f>_xlfn.XLOOKUP(TablaSTOCKINV[[#This Row],[SKU]],TablaINVENTARIO[SKU],TablaINVENTARIO[RANGO MIN])</f>
        <v>0</v>
      </c>
      <c r="M682" s="34" cm="1">
        <f t="array" ref="M682">_xlfn.IFS(TablaSTOCKINV[[#This Row],[CANT. TOTAL]]&lt;=0,1,TablaSTOCKINV[[#This Row],[CANT. TOTAL]]&lt;=TablaSTOCKINV[[#This Row],[MIN]],2,TablaSTOCKINV[[#This Row],[CANT. TOTAL]]&gt;TablaSTOCKINV[[#This Row],[MIN]],3)</f>
        <v>3</v>
      </c>
      <c r="N682" s="34">
        <f>TablaSTOCKINV[[#This Row],[ENTRADAS]]-TablaSTOCKINV[[#This Row],[SALIDAS]]</f>
        <v>1</v>
      </c>
      <c r="O682" s="35">
        <f>SUMIFS(TablaENTRADA[CANT],TablaENTRADA[SKU],TablaSTOCKINV[[#This Row],[SKU]])</f>
        <v>1</v>
      </c>
      <c r="P682" s="35">
        <f>SUMIFS(TablaSALIDA[CANT],TablaSALIDA[SKU],TablaSTOCKINV[[#This Row],[SKU]])</f>
        <v>0</v>
      </c>
      <c r="Q682" s="34">
        <f>_xlfn.XLOOKUP(TablaSTOCKINV[[#This Row],[SKU]],TablaINVENTARIO[SKU],TablaINVENTARIO[PRECIO])</f>
        <v>0</v>
      </c>
      <c r="R682" s="34">
        <f>TablaSTOCKINV[[#This Row],[P.UNITARIO]]*TablaSTOCKINV[[#This Row],[CANT. TOTAL]]</f>
        <v>0</v>
      </c>
      <c r="S682" s="44">
        <f>_xlfn.XLOOKUP(TablaSTOCKINV[[#This Row],[SKU]],TablaINVENTARIO[SKU],TablaINVENTARIO[FECHA INGRESO])</f>
        <v>46023</v>
      </c>
      <c r="T682" s="44">
        <f>_xlfn.XLOOKUP(TablaSTOCKINV[[#This Row],[SKU]],TablaENTRADA[SKU],TablaENTRADA[FECHA],,0,-1)</f>
        <v>46023</v>
      </c>
      <c r="U682" s="46" t="str">
        <f>IFERROR((_xlfn.XLOOKUP(TablaSTOCKINV[[#This Row],[SKU]],TablaSALIDA[SKU],TablaSALIDA[FECHA],,0,-1))," " )</f>
        <v xml:space="preserve"> </v>
      </c>
    </row>
    <row r="683" spans="1:21" x14ac:dyDescent="0.3">
      <c r="A683" s="27" t="s">
        <v>3029</v>
      </c>
      <c r="B683" s="32" t="str">
        <f>_xlfn.XLOOKUP(TablaSTOCKINV[[#This Row],[SKU]],TablaINVENTARIO[SKU],TablaINVENTARIO[DESCRIPCION])</f>
        <v xml:space="preserve">PANEL ELECTRICO PRINCIPAL 125 AMP 8 ESPACIOS 16 CIRCUITOS </v>
      </c>
      <c r="C683" s="32" t="str">
        <f>_xlfn.XLOOKUP(TablaSTOCKINV[[#This Row],[SKU]],TablaINVENTARIO[SKU],TablaINVENTARIO[MARCA])</f>
        <v>GENERAL ELECTRIC</v>
      </c>
      <c r="D683" s="33" t="str">
        <f>_xlfn.XLOOKUP(TablaSTOCKINV[[#This Row],[SKU]],TablaINVENTARIO[SKU],TablaINVENTARIO[CATEGORIA])</f>
        <v>HERRAMIENTAS_</v>
      </c>
      <c r="E683" s="33" t="str">
        <f>_xlfn.XLOOKUP(TablaSTOCKINV[[#This Row],[SKU]],TablaINVENTARIO[SKU],TablaINVENTARIO[SUBCATEGORIA])</f>
        <v>MATERIAL ELECTRICO</v>
      </c>
      <c r="F683" s="33" t="str">
        <f>_xlfn.XLOOKUP(TablaSTOCKINV[[#This Row],[SKU]],TablaINVENTARIO[SKU],TablaINVENTARIO[ESTADO])</f>
        <v xml:space="preserve">NUEVO </v>
      </c>
      <c r="G683" s="33" t="str">
        <f>_xlfn.XLOOKUP(TablaSTOCKINV[[#This Row],[SKU]],TablaINVENTARIO[SKU],TablaINVENTARIO[MEDIDA])</f>
        <v>UND</v>
      </c>
      <c r="H683" s="33" t="str">
        <f>_xlfn.XLOOKUP(TablaSTOCKINV[[#This Row],[SKU]],TablaINVENTARIO[SKU],TablaINVENTARIO[SERIAL])</f>
        <v>N/A</v>
      </c>
      <c r="I683" s="34" t="str">
        <f>_xlfn.XLOOKUP(TablaSTOCKINV[[#This Row],[SKU]],TablaINVENTARIO[SKU],TablaINVENTARIO[ALMACEN])</f>
        <v>ALMACEN PRINCIPAL</v>
      </c>
      <c r="J683" s="34" t="str">
        <f>_xlfn.XLOOKUP(TablaSTOCKINV[[#This Row],[SKU]],TablaINVENTARIO[SKU],TablaINVENTARIO[UBICACION])</f>
        <v>E1-3</v>
      </c>
      <c r="K683" s="34" t="str">
        <f>_xlfn.XLOOKUP(TablaSTOCKINV[[#This Row],[SKU]],TablaINVENTARIO[SKU],TablaINVENTARIO[DPTO RESPONSABLE])</f>
        <v xml:space="preserve">CONSUMO GENERAL </v>
      </c>
      <c r="L683" s="36">
        <f>_xlfn.XLOOKUP(TablaSTOCKINV[[#This Row],[SKU]],TablaINVENTARIO[SKU],TablaINVENTARIO[RANGO MIN])</f>
        <v>0</v>
      </c>
      <c r="M683" s="34" cm="1">
        <f t="array" ref="M683">_xlfn.IFS(TablaSTOCKINV[[#This Row],[CANT. TOTAL]]&lt;=0,1,TablaSTOCKINV[[#This Row],[CANT. TOTAL]]&lt;=TablaSTOCKINV[[#This Row],[MIN]],2,TablaSTOCKINV[[#This Row],[CANT. TOTAL]]&gt;TablaSTOCKINV[[#This Row],[MIN]],3)</f>
        <v>3</v>
      </c>
      <c r="N683" s="34">
        <f>TablaSTOCKINV[[#This Row],[ENTRADAS]]-TablaSTOCKINV[[#This Row],[SALIDAS]]</f>
        <v>1</v>
      </c>
      <c r="O683" s="35">
        <f>SUMIFS(TablaENTRADA[CANT],TablaENTRADA[SKU],TablaSTOCKINV[[#This Row],[SKU]])</f>
        <v>1</v>
      </c>
      <c r="P683" s="35">
        <f>SUMIFS(TablaSALIDA[CANT],TablaSALIDA[SKU],TablaSTOCKINV[[#This Row],[SKU]])</f>
        <v>0</v>
      </c>
      <c r="Q683" s="34">
        <f>_xlfn.XLOOKUP(TablaSTOCKINV[[#This Row],[SKU]],TablaINVENTARIO[SKU],TablaINVENTARIO[PRECIO])</f>
        <v>0</v>
      </c>
      <c r="R683" s="34">
        <f>TablaSTOCKINV[[#This Row],[P.UNITARIO]]*TablaSTOCKINV[[#This Row],[CANT. TOTAL]]</f>
        <v>0</v>
      </c>
      <c r="S683" s="44">
        <f>_xlfn.XLOOKUP(TablaSTOCKINV[[#This Row],[SKU]],TablaINVENTARIO[SKU],TablaINVENTARIO[FECHA INGRESO])</f>
        <v>46023</v>
      </c>
      <c r="T683" s="44">
        <f>_xlfn.XLOOKUP(TablaSTOCKINV[[#This Row],[SKU]],TablaENTRADA[SKU],TablaENTRADA[FECHA],,0,-1)</f>
        <v>46023</v>
      </c>
      <c r="U683" s="46" t="str">
        <f>IFERROR((_xlfn.XLOOKUP(TablaSTOCKINV[[#This Row],[SKU]],TablaSALIDA[SKU],TablaSALIDA[FECHA],,0,-1))," " )</f>
        <v xml:space="preserve"> </v>
      </c>
    </row>
    <row r="684" spans="1:21" x14ac:dyDescent="0.3">
      <c r="A684" s="27" t="s">
        <v>3032</v>
      </c>
      <c r="B684" s="32" t="str">
        <f>_xlfn.XLOOKUP(TablaSTOCKINV[[#This Row],[SKU]],TablaINVENTARIO[SKU],TablaINVENTARIO[DESCRIPCION])</f>
        <v>CALENTADOR DE AGUA ELECTRONICO MODELO: CE-11W4</v>
      </c>
      <c r="C684" s="32" t="str">
        <f>_xlfn.XLOOKUP(TablaSTOCKINV[[#This Row],[SKU]],TablaINVENTARIO[SKU],TablaINVENTARIO[MARCA])</f>
        <v>TERMOTRONIC</v>
      </c>
      <c r="D684" s="33" t="str">
        <f>_xlfn.XLOOKUP(TablaSTOCKINV[[#This Row],[SKU]],TablaINVENTARIO[SKU],TablaINVENTARIO[CATEGORIA])</f>
        <v>HERRAMIENTAS_</v>
      </c>
      <c r="E684" s="33" t="str">
        <f>_xlfn.XLOOKUP(TablaSTOCKINV[[#This Row],[SKU]],TablaINVENTARIO[SKU],TablaINVENTARIO[SUBCATEGORIA])</f>
        <v xml:space="preserve">HERRAMIENTA ELÉCTRICA </v>
      </c>
      <c r="F684" s="33" t="str">
        <f>_xlfn.XLOOKUP(TablaSTOCKINV[[#This Row],[SKU]],TablaINVENTARIO[SKU],TablaINVENTARIO[ESTADO])</f>
        <v xml:space="preserve">NUEVO </v>
      </c>
      <c r="G684" s="33" t="str">
        <f>_xlfn.XLOOKUP(TablaSTOCKINV[[#This Row],[SKU]],TablaINVENTARIO[SKU],TablaINVENTARIO[MEDIDA])</f>
        <v>UND</v>
      </c>
      <c r="H684" s="33">
        <f>_xlfn.XLOOKUP(TablaSTOCKINV[[#This Row],[SKU]],TablaINVENTARIO[SKU],TablaINVENTARIO[SERIAL])</f>
        <v>645025</v>
      </c>
      <c r="I684" s="34" t="str">
        <f>_xlfn.XLOOKUP(TablaSTOCKINV[[#This Row],[SKU]],TablaINVENTARIO[SKU],TablaINVENTARIO[ALMACEN])</f>
        <v>ALMACEN PRINCIPAL</v>
      </c>
      <c r="J684" s="34" t="str">
        <f>_xlfn.XLOOKUP(TablaSTOCKINV[[#This Row],[SKU]],TablaINVENTARIO[SKU],TablaINVENTARIO[UBICACION])</f>
        <v>E1-3</v>
      </c>
      <c r="K684" s="34" t="str">
        <f>_xlfn.XLOOKUP(TablaSTOCKINV[[#This Row],[SKU]],TablaINVENTARIO[SKU],TablaINVENTARIO[DPTO RESPONSABLE])</f>
        <v xml:space="preserve">CONSUMO GENERAL </v>
      </c>
      <c r="L684" s="36">
        <f>_xlfn.XLOOKUP(TablaSTOCKINV[[#This Row],[SKU]],TablaINVENTARIO[SKU],TablaINVENTARIO[RANGO MIN])</f>
        <v>0</v>
      </c>
      <c r="M684" s="34" cm="1">
        <f t="array" ref="M684">_xlfn.IFS(TablaSTOCKINV[[#This Row],[CANT. TOTAL]]&lt;=0,1,TablaSTOCKINV[[#This Row],[CANT. TOTAL]]&lt;=TablaSTOCKINV[[#This Row],[MIN]],2,TablaSTOCKINV[[#This Row],[CANT. TOTAL]]&gt;TablaSTOCKINV[[#This Row],[MIN]],3)</f>
        <v>3</v>
      </c>
      <c r="N684" s="34">
        <f>TablaSTOCKINV[[#This Row],[ENTRADAS]]-TablaSTOCKINV[[#This Row],[SALIDAS]]</f>
        <v>1</v>
      </c>
      <c r="O684" s="35">
        <f>SUMIFS(TablaENTRADA[CANT],TablaENTRADA[SKU],TablaSTOCKINV[[#This Row],[SKU]])</f>
        <v>1</v>
      </c>
      <c r="P684" s="35">
        <f>SUMIFS(TablaSALIDA[CANT],TablaSALIDA[SKU],TablaSTOCKINV[[#This Row],[SKU]])</f>
        <v>0</v>
      </c>
      <c r="Q684" s="34">
        <f>_xlfn.XLOOKUP(TablaSTOCKINV[[#This Row],[SKU]],TablaINVENTARIO[SKU],TablaINVENTARIO[PRECIO])</f>
        <v>0</v>
      </c>
      <c r="R684" s="34">
        <f>TablaSTOCKINV[[#This Row],[P.UNITARIO]]*TablaSTOCKINV[[#This Row],[CANT. TOTAL]]</f>
        <v>0</v>
      </c>
      <c r="S684" s="44">
        <f>_xlfn.XLOOKUP(TablaSTOCKINV[[#This Row],[SKU]],TablaINVENTARIO[SKU],TablaINVENTARIO[FECHA INGRESO])</f>
        <v>46023</v>
      </c>
      <c r="T684" s="44">
        <f>_xlfn.XLOOKUP(TablaSTOCKINV[[#This Row],[SKU]],TablaENTRADA[SKU],TablaENTRADA[FECHA],,0,-1)</f>
        <v>46023</v>
      </c>
      <c r="U684" s="46" t="str">
        <f>IFERROR((_xlfn.XLOOKUP(TablaSTOCKINV[[#This Row],[SKU]],TablaSALIDA[SKU],TablaSALIDA[FECHA],,0,-1))," " )</f>
        <v xml:space="preserve"> </v>
      </c>
    </row>
    <row r="685" spans="1:21" x14ac:dyDescent="0.3">
      <c r="A685" s="27" t="s">
        <v>3035</v>
      </c>
      <c r="B685" s="32" t="str">
        <f>_xlfn.XLOOKUP(TablaSTOCKINV[[#This Row],[SKU]],TablaINVENTARIO[SKU],TablaINVENTARIO[DESCRIPCION])</f>
        <v xml:space="preserve">LONA DE TOLDO </v>
      </c>
      <c r="C685" s="32" t="str">
        <f>_xlfn.XLOOKUP(TablaSTOCKINV[[#This Row],[SKU]],TablaINVENTARIO[SKU],TablaINVENTARIO[MARCA])</f>
        <v>N/A</v>
      </c>
      <c r="D685" s="33" t="str">
        <f>_xlfn.XLOOKUP(TablaSTOCKINV[[#This Row],[SKU]],TablaINVENTARIO[SKU],TablaINVENTARIO[CATEGORIA])</f>
        <v>HERRAMIENTAS_</v>
      </c>
      <c r="E685" s="33" t="str">
        <f>_xlfn.XLOOKUP(TablaSTOCKINV[[#This Row],[SKU]],TablaINVENTARIO[SKU],TablaINVENTARIO[SUBCATEGORIA])</f>
        <v xml:space="preserve">MATERIAL DE CONSTRUCCIÓN </v>
      </c>
      <c r="F685" s="33" t="str">
        <f>_xlfn.XLOOKUP(TablaSTOCKINV[[#This Row],[SKU]],TablaINVENTARIO[SKU],TablaINVENTARIO[ESTADO])</f>
        <v>USADO</v>
      </c>
      <c r="G685" s="33" t="str">
        <f>_xlfn.XLOOKUP(TablaSTOCKINV[[#This Row],[SKU]],TablaINVENTARIO[SKU],TablaINVENTARIO[MEDIDA])</f>
        <v>UND</v>
      </c>
      <c r="H685" s="33" t="str">
        <f>_xlfn.XLOOKUP(TablaSTOCKINV[[#This Row],[SKU]],TablaINVENTARIO[SKU],TablaINVENTARIO[SERIAL])</f>
        <v>N/A</v>
      </c>
      <c r="I685" s="34" t="str">
        <f>_xlfn.XLOOKUP(TablaSTOCKINV[[#This Row],[SKU]],TablaINVENTARIO[SKU],TablaINVENTARIO[ALMACEN])</f>
        <v>ALMACEN PRINCIPAL</v>
      </c>
      <c r="J685" s="34" t="str">
        <f>_xlfn.XLOOKUP(TablaSTOCKINV[[#This Row],[SKU]],TablaINVENTARIO[SKU],TablaINVENTARIO[UBICACION])</f>
        <v>F1-2</v>
      </c>
      <c r="K685" s="34" t="str">
        <f>_xlfn.XLOOKUP(TablaSTOCKINV[[#This Row],[SKU]],TablaINVENTARIO[SKU],TablaINVENTARIO[DPTO RESPONSABLE])</f>
        <v xml:space="preserve">CONSUMO GENERAL </v>
      </c>
      <c r="L685" s="36">
        <f>_xlfn.XLOOKUP(TablaSTOCKINV[[#This Row],[SKU]],TablaINVENTARIO[SKU],TablaINVENTARIO[RANGO MIN])</f>
        <v>0</v>
      </c>
      <c r="M685" s="34" cm="1">
        <f t="array" ref="M685">_xlfn.IFS(TablaSTOCKINV[[#This Row],[CANT. TOTAL]]&lt;=0,1,TablaSTOCKINV[[#This Row],[CANT. TOTAL]]&lt;=TablaSTOCKINV[[#This Row],[MIN]],2,TablaSTOCKINV[[#This Row],[CANT. TOTAL]]&gt;TablaSTOCKINV[[#This Row],[MIN]],3)</f>
        <v>3</v>
      </c>
      <c r="N685" s="34">
        <f>TablaSTOCKINV[[#This Row],[ENTRADAS]]-TablaSTOCKINV[[#This Row],[SALIDAS]]</f>
        <v>1</v>
      </c>
      <c r="O685" s="35">
        <f>SUMIFS(TablaENTRADA[CANT],TablaENTRADA[SKU],TablaSTOCKINV[[#This Row],[SKU]])</f>
        <v>1</v>
      </c>
      <c r="P685" s="35">
        <f>SUMIFS(TablaSALIDA[CANT],TablaSALIDA[SKU],TablaSTOCKINV[[#This Row],[SKU]])</f>
        <v>0</v>
      </c>
      <c r="Q685" s="34">
        <f>_xlfn.XLOOKUP(TablaSTOCKINV[[#This Row],[SKU]],TablaINVENTARIO[SKU],TablaINVENTARIO[PRECIO])</f>
        <v>0</v>
      </c>
      <c r="R685" s="34">
        <f>TablaSTOCKINV[[#This Row],[P.UNITARIO]]*TablaSTOCKINV[[#This Row],[CANT. TOTAL]]</f>
        <v>0</v>
      </c>
      <c r="S685" s="44">
        <f>_xlfn.XLOOKUP(TablaSTOCKINV[[#This Row],[SKU]],TablaINVENTARIO[SKU],TablaINVENTARIO[FECHA INGRESO])</f>
        <v>46023</v>
      </c>
      <c r="T685" s="44">
        <f>_xlfn.XLOOKUP(TablaSTOCKINV[[#This Row],[SKU]],TablaENTRADA[SKU],TablaENTRADA[FECHA],,0,-1)</f>
        <v>46023</v>
      </c>
      <c r="U685" s="46" t="str">
        <f>IFERROR((_xlfn.XLOOKUP(TablaSTOCKINV[[#This Row],[SKU]],TablaSALIDA[SKU],TablaSALIDA[FECHA],,0,-1))," " )</f>
        <v xml:space="preserve"> </v>
      </c>
    </row>
    <row r="686" spans="1:21" x14ac:dyDescent="0.3">
      <c r="A686" s="27" t="s">
        <v>3038</v>
      </c>
      <c r="B686" s="32" t="str">
        <f>_xlfn.XLOOKUP(TablaSTOCKINV[[#This Row],[SKU]],TablaINVENTARIO[SKU],TablaINVENTARIO[DESCRIPCION])</f>
        <v>TAPA CIEGA</v>
      </c>
      <c r="C686" s="32" t="str">
        <f>_xlfn.XLOOKUP(TablaSTOCKINV[[#This Row],[SKU]],TablaINVENTARIO[SKU],TablaINVENTARIO[MARCA])</f>
        <v>IGOTO</v>
      </c>
      <c r="D686" s="33" t="str">
        <f>_xlfn.XLOOKUP(TablaSTOCKINV[[#This Row],[SKU]],TablaINVENTARIO[SKU],TablaINVENTARIO[CATEGORIA])</f>
        <v>HERRAMIENTAS_</v>
      </c>
      <c r="E686" s="33" t="str">
        <f>_xlfn.XLOOKUP(TablaSTOCKINV[[#This Row],[SKU]],TablaINVENTARIO[SKU],TablaINVENTARIO[SUBCATEGORIA])</f>
        <v>MATERIAL ELECTRICO</v>
      </c>
      <c r="F686" s="33" t="str">
        <f>_xlfn.XLOOKUP(TablaSTOCKINV[[#This Row],[SKU]],TablaINVENTARIO[SKU],TablaINVENTARIO[ESTADO])</f>
        <v xml:space="preserve">NUEVO </v>
      </c>
      <c r="G686" s="33" t="str">
        <f>_xlfn.XLOOKUP(TablaSTOCKINV[[#This Row],[SKU]],TablaINVENTARIO[SKU],TablaINVENTARIO[MEDIDA])</f>
        <v>UND</v>
      </c>
      <c r="H686" s="33" t="str">
        <f>_xlfn.XLOOKUP(TablaSTOCKINV[[#This Row],[SKU]],TablaINVENTARIO[SKU],TablaINVENTARIO[SERIAL])</f>
        <v>N/A</v>
      </c>
      <c r="I686" s="34" t="str">
        <f>_xlfn.XLOOKUP(TablaSTOCKINV[[#This Row],[SKU]],TablaINVENTARIO[SKU],TablaINVENTARIO[ALMACEN])</f>
        <v>ALMACEN PRINCIPAL</v>
      </c>
      <c r="J686" s="34" t="str">
        <f>_xlfn.XLOOKUP(TablaSTOCKINV[[#This Row],[SKU]],TablaINVENTARIO[SKU],TablaINVENTARIO[UBICACION])</f>
        <v>F1-2</v>
      </c>
      <c r="K686" s="34" t="str">
        <f>_xlfn.XLOOKUP(TablaSTOCKINV[[#This Row],[SKU]],TablaINVENTARIO[SKU],TablaINVENTARIO[DPTO RESPONSABLE])</f>
        <v xml:space="preserve">CONSUMO GENERAL </v>
      </c>
      <c r="L686" s="36">
        <f>_xlfn.XLOOKUP(TablaSTOCKINV[[#This Row],[SKU]],TablaINVENTARIO[SKU],TablaINVENTARIO[RANGO MIN])</f>
        <v>0</v>
      </c>
      <c r="M686" s="34" cm="1">
        <f t="array" ref="M686">_xlfn.IFS(TablaSTOCKINV[[#This Row],[CANT. TOTAL]]&lt;=0,1,TablaSTOCKINV[[#This Row],[CANT. TOTAL]]&lt;=TablaSTOCKINV[[#This Row],[MIN]],2,TablaSTOCKINV[[#This Row],[CANT. TOTAL]]&gt;TablaSTOCKINV[[#This Row],[MIN]],3)</f>
        <v>3</v>
      </c>
      <c r="N686" s="34">
        <f>TablaSTOCKINV[[#This Row],[ENTRADAS]]-TablaSTOCKINV[[#This Row],[SALIDAS]]</f>
        <v>13</v>
      </c>
      <c r="O686" s="35">
        <f>SUMIFS(TablaENTRADA[CANT],TablaENTRADA[SKU],TablaSTOCKINV[[#This Row],[SKU]])</f>
        <v>13</v>
      </c>
      <c r="P686" s="35">
        <f>SUMIFS(TablaSALIDA[CANT],TablaSALIDA[SKU],TablaSTOCKINV[[#This Row],[SKU]])</f>
        <v>0</v>
      </c>
      <c r="Q686" s="34">
        <f>_xlfn.XLOOKUP(TablaSTOCKINV[[#This Row],[SKU]],TablaINVENTARIO[SKU],TablaINVENTARIO[PRECIO])</f>
        <v>0</v>
      </c>
      <c r="R686" s="34">
        <f>TablaSTOCKINV[[#This Row],[P.UNITARIO]]*TablaSTOCKINV[[#This Row],[CANT. TOTAL]]</f>
        <v>0</v>
      </c>
      <c r="S686" s="44">
        <f>_xlfn.XLOOKUP(TablaSTOCKINV[[#This Row],[SKU]],TablaINVENTARIO[SKU],TablaINVENTARIO[FECHA INGRESO])</f>
        <v>46023</v>
      </c>
      <c r="T686" s="44">
        <f>_xlfn.XLOOKUP(TablaSTOCKINV[[#This Row],[SKU]],TablaENTRADA[SKU],TablaENTRADA[FECHA],,0,-1)</f>
        <v>46023</v>
      </c>
      <c r="U686" s="46" t="str">
        <f>IFERROR((_xlfn.XLOOKUP(TablaSTOCKINV[[#This Row],[SKU]],TablaSALIDA[SKU],TablaSALIDA[FECHA],,0,-1))," " )</f>
        <v xml:space="preserve"> </v>
      </c>
    </row>
    <row r="687" spans="1:21" x14ac:dyDescent="0.3">
      <c r="A687" s="27" t="s">
        <v>3041</v>
      </c>
      <c r="B687" s="32" t="str">
        <f>_xlfn.XLOOKUP(TablaSTOCKINV[[#This Row],[SKU]],TablaINVENTARIO[SKU],TablaINVENTARIO[DESCRIPCION])</f>
        <v xml:space="preserve">TOMA CORRIENTE </v>
      </c>
      <c r="C687" s="32" t="str">
        <f>_xlfn.XLOOKUP(TablaSTOCKINV[[#This Row],[SKU]],TablaINVENTARIO[SKU],TablaINVENTARIO[MARCA])</f>
        <v>IGOTO</v>
      </c>
      <c r="D687" s="33" t="str">
        <f>_xlfn.XLOOKUP(TablaSTOCKINV[[#This Row],[SKU]],TablaINVENTARIO[SKU],TablaINVENTARIO[CATEGORIA])</f>
        <v>HERRAMIENTAS_</v>
      </c>
      <c r="E687" s="33" t="str">
        <f>_xlfn.XLOOKUP(TablaSTOCKINV[[#This Row],[SKU]],TablaINVENTARIO[SKU],TablaINVENTARIO[SUBCATEGORIA])</f>
        <v>MATERIAL ELECTRICO</v>
      </c>
      <c r="F687" s="33" t="str">
        <f>_xlfn.XLOOKUP(TablaSTOCKINV[[#This Row],[SKU]],TablaINVENTARIO[SKU],TablaINVENTARIO[ESTADO])</f>
        <v xml:space="preserve">NUEVO </v>
      </c>
      <c r="G687" s="33" t="str">
        <f>_xlfn.XLOOKUP(TablaSTOCKINV[[#This Row],[SKU]],TablaINVENTARIO[SKU],TablaINVENTARIO[MEDIDA])</f>
        <v>UND</v>
      </c>
      <c r="H687" s="33" t="str">
        <f>_xlfn.XLOOKUP(TablaSTOCKINV[[#This Row],[SKU]],TablaINVENTARIO[SKU],TablaINVENTARIO[SERIAL])</f>
        <v>N/A</v>
      </c>
      <c r="I687" s="34" t="str">
        <f>_xlfn.XLOOKUP(TablaSTOCKINV[[#This Row],[SKU]],TablaINVENTARIO[SKU],TablaINVENTARIO[ALMACEN])</f>
        <v>ALMACEN PRINCIPAL</v>
      </c>
      <c r="J687" s="34" t="str">
        <f>_xlfn.XLOOKUP(TablaSTOCKINV[[#This Row],[SKU]],TablaINVENTARIO[SKU],TablaINVENTARIO[UBICACION])</f>
        <v>F1-2</v>
      </c>
      <c r="K687" s="34" t="str">
        <f>_xlfn.XLOOKUP(TablaSTOCKINV[[#This Row],[SKU]],TablaINVENTARIO[SKU],TablaINVENTARIO[DPTO RESPONSABLE])</f>
        <v xml:space="preserve">CONSUMO GENERAL </v>
      </c>
      <c r="L687" s="36">
        <f>_xlfn.XLOOKUP(TablaSTOCKINV[[#This Row],[SKU]],TablaINVENTARIO[SKU],TablaINVENTARIO[RANGO MIN])</f>
        <v>0</v>
      </c>
      <c r="M687" s="34" cm="1">
        <f t="array" ref="M687">_xlfn.IFS(TablaSTOCKINV[[#This Row],[CANT. TOTAL]]&lt;=0,1,TablaSTOCKINV[[#This Row],[CANT. TOTAL]]&lt;=TablaSTOCKINV[[#This Row],[MIN]],2,TablaSTOCKINV[[#This Row],[CANT. TOTAL]]&gt;TablaSTOCKINV[[#This Row],[MIN]],3)</f>
        <v>3</v>
      </c>
      <c r="N687" s="34">
        <f>TablaSTOCKINV[[#This Row],[ENTRADAS]]-TablaSTOCKINV[[#This Row],[SALIDAS]]</f>
        <v>5</v>
      </c>
      <c r="O687" s="35">
        <f>SUMIFS(TablaENTRADA[CANT],TablaENTRADA[SKU],TablaSTOCKINV[[#This Row],[SKU]])</f>
        <v>5</v>
      </c>
      <c r="P687" s="35">
        <f>SUMIFS(TablaSALIDA[CANT],TablaSALIDA[SKU],TablaSTOCKINV[[#This Row],[SKU]])</f>
        <v>0</v>
      </c>
      <c r="Q687" s="34">
        <f>_xlfn.XLOOKUP(TablaSTOCKINV[[#This Row],[SKU]],TablaINVENTARIO[SKU],TablaINVENTARIO[PRECIO])</f>
        <v>0</v>
      </c>
      <c r="R687" s="34">
        <f>TablaSTOCKINV[[#This Row],[P.UNITARIO]]*TablaSTOCKINV[[#This Row],[CANT. TOTAL]]</f>
        <v>0</v>
      </c>
      <c r="S687" s="44">
        <f>_xlfn.XLOOKUP(TablaSTOCKINV[[#This Row],[SKU]],TablaINVENTARIO[SKU],TablaINVENTARIO[FECHA INGRESO])</f>
        <v>46023</v>
      </c>
      <c r="T687" s="44">
        <f>_xlfn.XLOOKUP(TablaSTOCKINV[[#This Row],[SKU]],TablaENTRADA[SKU],TablaENTRADA[FECHA],,0,-1)</f>
        <v>46023</v>
      </c>
      <c r="U687" s="46" t="str">
        <f>IFERROR((_xlfn.XLOOKUP(TablaSTOCKINV[[#This Row],[SKU]],TablaSALIDA[SKU],TablaSALIDA[FECHA],,0,-1))," " )</f>
        <v xml:space="preserve"> </v>
      </c>
    </row>
    <row r="688" spans="1:21" x14ac:dyDescent="0.3">
      <c r="A688" s="27" t="s">
        <v>3043</v>
      </c>
      <c r="B688" s="32" t="str">
        <f>_xlfn.XLOOKUP(TablaSTOCKINV[[#This Row],[SKU]],TablaINVENTARIO[SKU],TablaINVENTARIO[DESCRIPCION])</f>
        <v xml:space="preserve">INTERRUPTOR 2X1  </v>
      </c>
      <c r="C688" s="32" t="str">
        <f>_xlfn.XLOOKUP(TablaSTOCKINV[[#This Row],[SKU]],TablaINVENTARIO[SKU],TablaINVENTARIO[MARCA])</f>
        <v>IGOTO</v>
      </c>
      <c r="D688" s="33" t="str">
        <f>_xlfn.XLOOKUP(TablaSTOCKINV[[#This Row],[SKU]],TablaINVENTARIO[SKU],TablaINVENTARIO[CATEGORIA])</f>
        <v>HERRAMIENTAS_</v>
      </c>
      <c r="E688" s="33" t="str">
        <f>_xlfn.XLOOKUP(TablaSTOCKINV[[#This Row],[SKU]],TablaINVENTARIO[SKU],TablaINVENTARIO[SUBCATEGORIA])</f>
        <v>MATERIAL ELECTRICO</v>
      </c>
      <c r="F688" s="33" t="str">
        <f>_xlfn.XLOOKUP(TablaSTOCKINV[[#This Row],[SKU]],TablaINVENTARIO[SKU],TablaINVENTARIO[ESTADO])</f>
        <v xml:space="preserve">NUEVO </v>
      </c>
      <c r="G688" s="33" t="str">
        <f>_xlfn.XLOOKUP(TablaSTOCKINV[[#This Row],[SKU]],TablaINVENTARIO[SKU],TablaINVENTARIO[MEDIDA])</f>
        <v>UND</v>
      </c>
      <c r="H688" s="33" t="str">
        <f>_xlfn.XLOOKUP(TablaSTOCKINV[[#This Row],[SKU]],TablaINVENTARIO[SKU],TablaINVENTARIO[SERIAL])</f>
        <v>N/A</v>
      </c>
      <c r="I688" s="34" t="str">
        <f>_xlfn.XLOOKUP(TablaSTOCKINV[[#This Row],[SKU]],TablaINVENTARIO[SKU],TablaINVENTARIO[ALMACEN])</f>
        <v>ALMACEN PRINCIPAL</v>
      </c>
      <c r="J688" s="34" t="str">
        <f>_xlfn.XLOOKUP(TablaSTOCKINV[[#This Row],[SKU]],TablaINVENTARIO[SKU],TablaINVENTARIO[UBICACION])</f>
        <v>F1-2</v>
      </c>
      <c r="K688" s="34" t="str">
        <f>_xlfn.XLOOKUP(TablaSTOCKINV[[#This Row],[SKU]],TablaINVENTARIO[SKU],TablaINVENTARIO[DPTO RESPONSABLE])</f>
        <v xml:space="preserve">CONSUMO GENERAL </v>
      </c>
      <c r="L688" s="36">
        <f>_xlfn.XLOOKUP(TablaSTOCKINV[[#This Row],[SKU]],TablaINVENTARIO[SKU],TablaINVENTARIO[RANGO MIN])</f>
        <v>0</v>
      </c>
      <c r="M688" s="34" cm="1">
        <f t="array" ref="M688">_xlfn.IFS(TablaSTOCKINV[[#This Row],[CANT. TOTAL]]&lt;=0,1,TablaSTOCKINV[[#This Row],[CANT. TOTAL]]&lt;=TablaSTOCKINV[[#This Row],[MIN]],2,TablaSTOCKINV[[#This Row],[CANT. TOTAL]]&gt;TablaSTOCKINV[[#This Row],[MIN]],3)</f>
        <v>3</v>
      </c>
      <c r="N688" s="34">
        <f>TablaSTOCKINV[[#This Row],[ENTRADAS]]-TablaSTOCKINV[[#This Row],[SALIDAS]]</f>
        <v>12</v>
      </c>
      <c r="O688" s="35">
        <f>SUMIFS(TablaENTRADA[CANT],TablaENTRADA[SKU],TablaSTOCKINV[[#This Row],[SKU]])</f>
        <v>12</v>
      </c>
      <c r="P688" s="35">
        <f>SUMIFS(TablaSALIDA[CANT],TablaSALIDA[SKU],TablaSTOCKINV[[#This Row],[SKU]])</f>
        <v>0</v>
      </c>
      <c r="Q688" s="34">
        <f>_xlfn.XLOOKUP(TablaSTOCKINV[[#This Row],[SKU]],TablaINVENTARIO[SKU],TablaINVENTARIO[PRECIO])</f>
        <v>0</v>
      </c>
      <c r="R688" s="34">
        <f>TablaSTOCKINV[[#This Row],[P.UNITARIO]]*TablaSTOCKINV[[#This Row],[CANT. TOTAL]]</f>
        <v>0</v>
      </c>
      <c r="S688" s="44">
        <f>_xlfn.XLOOKUP(TablaSTOCKINV[[#This Row],[SKU]],TablaINVENTARIO[SKU],TablaINVENTARIO[FECHA INGRESO])</f>
        <v>46023</v>
      </c>
      <c r="T688" s="44">
        <f>_xlfn.XLOOKUP(TablaSTOCKINV[[#This Row],[SKU]],TablaENTRADA[SKU],TablaENTRADA[FECHA],,0,-1)</f>
        <v>46023</v>
      </c>
      <c r="U688" s="46" t="str">
        <f>IFERROR((_xlfn.XLOOKUP(TablaSTOCKINV[[#This Row],[SKU]],TablaSALIDA[SKU],TablaSALIDA[FECHA],,0,-1))," " )</f>
        <v xml:space="preserve"> </v>
      </c>
    </row>
    <row r="689" spans="1:21" x14ac:dyDescent="0.3">
      <c r="A689" s="27" t="s">
        <v>3045</v>
      </c>
      <c r="B689" s="32" t="str">
        <f>_xlfn.XLOOKUP(TablaSTOCKINV[[#This Row],[SKU]],TablaINVENTARIO[SKU],TablaINVENTARIO[DESCRIPCION])</f>
        <v xml:space="preserve">CAJETIN DE TOMA CORRIENTE SUPERFICIAL </v>
      </c>
      <c r="C689" s="32" t="str">
        <f>_xlfn.XLOOKUP(TablaSTOCKINV[[#This Row],[SKU]],TablaINVENTARIO[SKU],TablaINVENTARIO[MARCA])</f>
        <v>PANDUIT</v>
      </c>
      <c r="D689" s="33" t="str">
        <f>_xlfn.XLOOKUP(TablaSTOCKINV[[#This Row],[SKU]],TablaINVENTARIO[SKU],TablaINVENTARIO[CATEGORIA])</f>
        <v>HERRAMIENTAS_</v>
      </c>
      <c r="E689" s="33" t="str">
        <f>_xlfn.XLOOKUP(TablaSTOCKINV[[#This Row],[SKU]],TablaINVENTARIO[SKU],TablaINVENTARIO[SUBCATEGORIA])</f>
        <v>MATERIAL ELECTRICO</v>
      </c>
      <c r="F689" s="33" t="str">
        <f>_xlfn.XLOOKUP(TablaSTOCKINV[[#This Row],[SKU]],TablaINVENTARIO[SKU],TablaINVENTARIO[ESTADO])</f>
        <v xml:space="preserve">NUEVO </v>
      </c>
      <c r="G689" s="33" t="str">
        <f>_xlfn.XLOOKUP(TablaSTOCKINV[[#This Row],[SKU]],TablaINVENTARIO[SKU],TablaINVENTARIO[MEDIDA])</f>
        <v>UND</v>
      </c>
      <c r="H689" s="33" t="str">
        <f>_xlfn.XLOOKUP(TablaSTOCKINV[[#This Row],[SKU]],TablaINVENTARIO[SKU],TablaINVENTARIO[SERIAL])</f>
        <v>N/A</v>
      </c>
      <c r="I689" s="34" t="str">
        <f>_xlfn.XLOOKUP(TablaSTOCKINV[[#This Row],[SKU]],TablaINVENTARIO[SKU],TablaINVENTARIO[ALMACEN])</f>
        <v>ALMACEN PRINCIPAL</v>
      </c>
      <c r="J689" s="34" t="str">
        <f>_xlfn.XLOOKUP(TablaSTOCKINV[[#This Row],[SKU]],TablaINVENTARIO[SKU],TablaINVENTARIO[UBICACION])</f>
        <v>F1-2</v>
      </c>
      <c r="K689" s="34" t="str">
        <f>_xlfn.XLOOKUP(TablaSTOCKINV[[#This Row],[SKU]],TablaINVENTARIO[SKU],TablaINVENTARIO[DPTO RESPONSABLE])</f>
        <v xml:space="preserve">CONSUMO GENERAL </v>
      </c>
      <c r="L689" s="36">
        <f>_xlfn.XLOOKUP(TablaSTOCKINV[[#This Row],[SKU]],TablaINVENTARIO[SKU],TablaINVENTARIO[RANGO MIN])</f>
        <v>0</v>
      </c>
      <c r="M689" s="34" cm="1">
        <f t="array" ref="M689">_xlfn.IFS(TablaSTOCKINV[[#This Row],[CANT. TOTAL]]&lt;=0,1,TablaSTOCKINV[[#This Row],[CANT. TOTAL]]&lt;=TablaSTOCKINV[[#This Row],[MIN]],2,TablaSTOCKINV[[#This Row],[CANT. TOTAL]]&gt;TablaSTOCKINV[[#This Row],[MIN]],3)</f>
        <v>3</v>
      </c>
      <c r="N689" s="34">
        <f>TablaSTOCKINV[[#This Row],[ENTRADAS]]-TablaSTOCKINV[[#This Row],[SALIDAS]]</f>
        <v>34</v>
      </c>
      <c r="O689" s="35">
        <f>SUMIFS(TablaENTRADA[CANT],TablaENTRADA[SKU],TablaSTOCKINV[[#This Row],[SKU]])</f>
        <v>34</v>
      </c>
      <c r="P689" s="35">
        <f>SUMIFS(TablaSALIDA[CANT],TablaSALIDA[SKU],TablaSTOCKINV[[#This Row],[SKU]])</f>
        <v>0</v>
      </c>
      <c r="Q689" s="34">
        <f>_xlfn.XLOOKUP(TablaSTOCKINV[[#This Row],[SKU]],TablaINVENTARIO[SKU],TablaINVENTARIO[PRECIO])</f>
        <v>0</v>
      </c>
      <c r="R689" s="34">
        <f>TablaSTOCKINV[[#This Row],[P.UNITARIO]]*TablaSTOCKINV[[#This Row],[CANT. TOTAL]]</f>
        <v>0</v>
      </c>
      <c r="S689" s="44">
        <f>_xlfn.XLOOKUP(TablaSTOCKINV[[#This Row],[SKU]],TablaINVENTARIO[SKU],TablaINVENTARIO[FECHA INGRESO])</f>
        <v>46023</v>
      </c>
      <c r="T689" s="44">
        <f>_xlfn.XLOOKUP(TablaSTOCKINV[[#This Row],[SKU]],TablaENTRADA[SKU],TablaENTRADA[FECHA],,0,-1)</f>
        <v>46023</v>
      </c>
      <c r="U689" s="46" t="str">
        <f>IFERROR((_xlfn.XLOOKUP(TablaSTOCKINV[[#This Row],[SKU]],TablaSALIDA[SKU],TablaSALIDA[FECHA],,0,-1))," " )</f>
        <v xml:space="preserve"> </v>
      </c>
    </row>
    <row r="690" spans="1:21" x14ac:dyDescent="0.3">
      <c r="A690" s="27" t="s">
        <v>3048</v>
      </c>
      <c r="B690" s="32" t="str">
        <f>_xlfn.XLOOKUP(TablaSTOCKINV[[#This Row],[SKU]],TablaINVENTARIO[SKU],TablaINVENTARIO[DESCRIPCION])</f>
        <v xml:space="preserve">PANEL DE CONEXIÓN </v>
      </c>
      <c r="C690" s="32" t="str">
        <f>_xlfn.XLOOKUP(TablaSTOCKINV[[#This Row],[SKU]],TablaINVENTARIO[SKU],TablaINVENTARIO[MARCA])</f>
        <v xml:space="preserve">PANDUIT </v>
      </c>
      <c r="D690" s="33" t="str">
        <f>_xlfn.XLOOKUP(TablaSTOCKINV[[#This Row],[SKU]],TablaINVENTARIO[SKU],TablaINVENTARIO[CATEGORIA])</f>
        <v>HERRAMIENTAS_</v>
      </c>
      <c r="E690" s="33" t="str">
        <f>_xlfn.XLOOKUP(TablaSTOCKINV[[#This Row],[SKU]],TablaINVENTARIO[SKU],TablaINVENTARIO[SUBCATEGORIA])</f>
        <v>MATERIAL ELECTRICO</v>
      </c>
      <c r="F690" s="33" t="str">
        <f>_xlfn.XLOOKUP(TablaSTOCKINV[[#This Row],[SKU]],TablaINVENTARIO[SKU],TablaINVENTARIO[ESTADO])</f>
        <v xml:space="preserve">NUEVO </v>
      </c>
      <c r="G690" s="33" t="str">
        <f>_xlfn.XLOOKUP(TablaSTOCKINV[[#This Row],[SKU]],TablaINVENTARIO[SKU],TablaINVENTARIO[MEDIDA])</f>
        <v>UND</v>
      </c>
      <c r="H690" s="33" t="str">
        <f>_xlfn.XLOOKUP(TablaSTOCKINV[[#This Row],[SKU]],TablaINVENTARIO[SKU],TablaINVENTARIO[SERIAL])</f>
        <v>N/A</v>
      </c>
      <c r="I690" s="34" t="str">
        <f>_xlfn.XLOOKUP(TablaSTOCKINV[[#This Row],[SKU]],TablaINVENTARIO[SKU],TablaINVENTARIO[ALMACEN])</f>
        <v>ALMACEN PRINCIPAL</v>
      </c>
      <c r="J690" s="34" t="str">
        <f>_xlfn.XLOOKUP(TablaSTOCKINV[[#This Row],[SKU]],TablaINVENTARIO[SKU],TablaINVENTARIO[UBICACION])</f>
        <v>F1-2</v>
      </c>
      <c r="K690" s="34" t="str">
        <f>_xlfn.XLOOKUP(TablaSTOCKINV[[#This Row],[SKU]],TablaINVENTARIO[SKU],TablaINVENTARIO[DPTO RESPONSABLE])</f>
        <v xml:space="preserve">CONSUMO GENERAL </v>
      </c>
      <c r="L690" s="36">
        <f>_xlfn.XLOOKUP(TablaSTOCKINV[[#This Row],[SKU]],TablaINVENTARIO[SKU],TablaINVENTARIO[RANGO MIN])</f>
        <v>0</v>
      </c>
      <c r="M690" s="34" cm="1">
        <f t="array" ref="M690">_xlfn.IFS(TablaSTOCKINV[[#This Row],[CANT. TOTAL]]&lt;=0,1,TablaSTOCKINV[[#This Row],[CANT. TOTAL]]&lt;=TablaSTOCKINV[[#This Row],[MIN]],2,TablaSTOCKINV[[#This Row],[CANT. TOTAL]]&gt;TablaSTOCKINV[[#This Row],[MIN]],3)</f>
        <v>3</v>
      </c>
      <c r="N690" s="34">
        <f>TablaSTOCKINV[[#This Row],[ENTRADAS]]-TablaSTOCKINV[[#This Row],[SALIDAS]]</f>
        <v>2</v>
      </c>
      <c r="O690" s="35">
        <f>SUMIFS(TablaENTRADA[CANT],TablaENTRADA[SKU],TablaSTOCKINV[[#This Row],[SKU]])</f>
        <v>2</v>
      </c>
      <c r="P690" s="35">
        <f>SUMIFS(TablaSALIDA[CANT],TablaSALIDA[SKU],TablaSTOCKINV[[#This Row],[SKU]])</f>
        <v>0</v>
      </c>
      <c r="Q690" s="34">
        <f>_xlfn.XLOOKUP(TablaSTOCKINV[[#This Row],[SKU]],TablaINVENTARIO[SKU],TablaINVENTARIO[PRECIO])</f>
        <v>0</v>
      </c>
      <c r="R690" s="34">
        <f>TablaSTOCKINV[[#This Row],[P.UNITARIO]]*TablaSTOCKINV[[#This Row],[CANT. TOTAL]]</f>
        <v>0</v>
      </c>
      <c r="S690" s="44">
        <f>_xlfn.XLOOKUP(TablaSTOCKINV[[#This Row],[SKU]],TablaINVENTARIO[SKU],TablaINVENTARIO[FECHA INGRESO])</f>
        <v>46023</v>
      </c>
      <c r="T690" s="44">
        <f>_xlfn.XLOOKUP(TablaSTOCKINV[[#This Row],[SKU]],TablaENTRADA[SKU],TablaENTRADA[FECHA],,0,-1)</f>
        <v>46023</v>
      </c>
      <c r="U690" s="46" t="str">
        <f>IFERROR((_xlfn.XLOOKUP(TablaSTOCKINV[[#This Row],[SKU]],TablaSALIDA[SKU],TablaSALIDA[FECHA],,0,-1))," " )</f>
        <v xml:space="preserve"> </v>
      </c>
    </row>
    <row r="691" spans="1:21" x14ac:dyDescent="0.3">
      <c r="A691" s="27" t="s">
        <v>3051</v>
      </c>
      <c r="B691" s="32" t="str">
        <f>_xlfn.XLOOKUP(TablaSTOCKINV[[#This Row],[SKU]],TablaINVENTARIO[SKU],TablaINVENTARIO[DESCRIPCION])</f>
        <v xml:space="preserve">PLACA DE ITERRUPTOR </v>
      </c>
      <c r="C691" s="32" t="str">
        <f>_xlfn.XLOOKUP(TablaSTOCKINV[[#This Row],[SKU]],TablaINVENTARIO[SKU],TablaINVENTARIO[MARCA])</f>
        <v xml:space="preserve">PANDUIT </v>
      </c>
      <c r="D691" s="33" t="str">
        <f>_xlfn.XLOOKUP(TablaSTOCKINV[[#This Row],[SKU]],TablaINVENTARIO[SKU],TablaINVENTARIO[CATEGORIA])</f>
        <v>HERRAMIENTAS_</v>
      </c>
      <c r="E691" s="33" t="str">
        <f>_xlfn.XLOOKUP(TablaSTOCKINV[[#This Row],[SKU]],TablaINVENTARIO[SKU],TablaINVENTARIO[SUBCATEGORIA])</f>
        <v>MATERIAL ELECTRICO</v>
      </c>
      <c r="F691" s="33" t="str">
        <f>_xlfn.XLOOKUP(TablaSTOCKINV[[#This Row],[SKU]],TablaINVENTARIO[SKU],TablaINVENTARIO[ESTADO])</f>
        <v xml:space="preserve">NUEVO </v>
      </c>
      <c r="G691" s="33" t="str">
        <f>_xlfn.XLOOKUP(TablaSTOCKINV[[#This Row],[SKU]],TablaINVENTARIO[SKU],TablaINVENTARIO[MEDIDA])</f>
        <v>UND</v>
      </c>
      <c r="H691" s="33" t="str">
        <f>_xlfn.XLOOKUP(TablaSTOCKINV[[#This Row],[SKU]],TablaINVENTARIO[SKU],TablaINVENTARIO[SERIAL])</f>
        <v>N/A</v>
      </c>
      <c r="I691" s="34" t="str">
        <f>_xlfn.XLOOKUP(TablaSTOCKINV[[#This Row],[SKU]],TablaINVENTARIO[SKU],TablaINVENTARIO[ALMACEN])</f>
        <v>ALMACEN PRINCIPAL</v>
      </c>
      <c r="J691" s="34" t="str">
        <f>_xlfn.XLOOKUP(TablaSTOCKINV[[#This Row],[SKU]],TablaINVENTARIO[SKU],TablaINVENTARIO[UBICACION])</f>
        <v>F1-2</v>
      </c>
      <c r="K691" s="34" t="str">
        <f>_xlfn.XLOOKUP(TablaSTOCKINV[[#This Row],[SKU]],TablaINVENTARIO[SKU],TablaINVENTARIO[DPTO RESPONSABLE])</f>
        <v xml:space="preserve">CONSUMO GENERAL </v>
      </c>
      <c r="L691" s="36">
        <f>_xlfn.XLOOKUP(TablaSTOCKINV[[#This Row],[SKU]],TablaINVENTARIO[SKU],TablaINVENTARIO[RANGO MIN])</f>
        <v>0</v>
      </c>
      <c r="M691" s="34" cm="1">
        <f t="array" ref="M691">_xlfn.IFS(TablaSTOCKINV[[#This Row],[CANT. TOTAL]]&lt;=0,1,TablaSTOCKINV[[#This Row],[CANT. TOTAL]]&lt;=TablaSTOCKINV[[#This Row],[MIN]],2,TablaSTOCKINV[[#This Row],[CANT. TOTAL]]&gt;TablaSTOCKINV[[#This Row],[MIN]],3)</f>
        <v>3</v>
      </c>
      <c r="N691" s="34">
        <f>TablaSTOCKINV[[#This Row],[ENTRADAS]]-TablaSTOCKINV[[#This Row],[SALIDAS]]</f>
        <v>21</v>
      </c>
      <c r="O691" s="35">
        <f>SUMIFS(TablaENTRADA[CANT],TablaENTRADA[SKU],TablaSTOCKINV[[#This Row],[SKU]])</f>
        <v>21</v>
      </c>
      <c r="P691" s="35">
        <f>SUMIFS(TablaSALIDA[CANT],TablaSALIDA[SKU],TablaSTOCKINV[[#This Row],[SKU]])</f>
        <v>0</v>
      </c>
      <c r="Q691" s="34">
        <f>_xlfn.XLOOKUP(TablaSTOCKINV[[#This Row],[SKU]],TablaINVENTARIO[SKU],TablaINVENTARIO[PRECIO])</f>
        <v>0</v>
      </c>
      <c r="R691" s="34">
        <f>TablaSTOCKINV[[#This Row],[P.UNITARIO]]*TablaSTOCKINV[[#This Row],[CANT. TOTAL]]</f>
        <v>0</v>
      </c>
      <c r="S691" s="44">
        <f>_xlfn.XLOOKUP(TablaSTOCKINV[[#This Row],[SKU]],TablaINVENTARIO[SKU],TablaINVENTARIO[FECHA INGRESO])</f>
        <v>46023</v>
      </c>
      <c r="T691" s="44">
        <f>_xlfn.XLOOKUP(TablaSTOCKINV[[#This Row],[SKU]],TablaENTRADA[SKU],TablaENTRADA[FECHA],,0,-1)</f>
        <v>46023</v>
      </c>
      <c r="U691" s="46" t="str">
        <f>IFERROR((_xlfn.XLOOKUP(TablaSTOCKINV[[#This Row],[SKU]],TablaSALIDA[SKU],TablaSALIDA[FECHA],,0,-1))," " )</f>
        <v xml:space="preserve"> </v>
      </c>
    </row>
    <row r="692" spans="1:21" x14ac:dyDescent="0.3">
      <c r="A692" s="27" t="s">
        <v>3053</v>
      </c>
      <c r="B692" s="32" t="str">
        <f>_xlfn.XLOOKUP(TablaSTOCKINV[[#This Row],[SKU]],TablaINVENTARIO[SKU],TablaINVENTARIO[DESCRIPCION])</f>
        <v xml:space="preserve">PANEL MODULAR </v>
      </c>
      <c r="C692" s="32" t="str">
        <f>_xlfn.XLOOKUP(TablaSTOCKINV[[#This Row],[SKU]],TablaINVENTARIO[SKU],TablaINVENTARIO[MARCA])</f>
        <v xml:space="preserve">PANDUIT </v>
      </c>
      <c r="D692" s="33" t="str">
        <f>_xlfn.XLOOKUP(TablaSTOCKINV[[#This Row],[SKU]],TablaINVENTARIO[SKU],TablaINVENTARIO[CATEGORIA])</f>
        <v>HERRAMIENTAS_</v>
      </c>
      <c r="E692" s="33" t="str">
        <f>_xlfn.XLOOKUP(TablaSTOCKINV[[#This Row],[SKU]],TablaINVENTARIO[SKU],TablaINVENTARIO[SUBCATEGORIA])</f>
        <v>MATERIAL ELECTRICO</v>
      </c>
      <c r="F692" s="33" t="str">
        <f>_xlfn.XLOOKUP(TablaSTOCKINV[[#This Row],[SKU]],TablaINVENTARIO[SKU],TablaINVENTARIO[ESTADO])</f>
        <v xml:space="preserve">NUEVO </v>
      </c>
      <c r="G692" s="33" t="str">
        <f>_xlfn.XLOOKUP(TablaSTOCKINV[[#This Row],[SKU]],TablaINVENTARIO[SKU],TablaINVENTARIO[MEDIDA])</f>
        <v>UND</v>
      </c>
      <c r="H692" s="33" t="str">
        <f>_xlfn.XLOOKUP(TablaSTOCKINV[[#This Row],[SKU]],TablaINVENTARIO[SKU],TablaINVENTARIO[SERIAL])</f>
        <v>N/A</v>
      </c>
      <c r="I692" s="34" t="str">
        <f>_xlfn.XLOOKUP(TablaSTOCKINV[[#This Row],[SKU]],TablaINVENTARIO[SKU],TablaINVENTARIO[ALMACEN])</f>
        <v>ALMACEN PRINCIPAL</v>
      </c>
      <c r="J692" s="34" t="str">
        <f>_xlfn.XLOOKUP(TablaSTOCKINV[[#This Row],[SKU]],TablaINVENTARIO[SKU],TablaINVENTARIO[UBICACION])</f>
        <v>F1-2</v>
      </c>
      <c r="K692" s="34" t="str">
        <f>_xlfn.XLOOKUP(TablaSTOCKINV[[#This Row],[SKU]],TablaINVENTARIO[SKU],TablaINVENTARIO[DPTO RESPONSABLE])</f>
        <v xml:space="preserve">CONSUMO GENERAL </v>
      </c>
      <c r="L692" s="36">
        <f>_xlfn.XLOOKUP(TablaSTOCKINV[[#This Row],[SKU]],TablaINVENTARIO[SKU],TablaINVENTARIO[RANGO MIN])</f>
        <v>0</v>
      </c>
      <c r="M692" s="34" cm="1">
        <f t="array" ref="M692">_xlfn.IFS(TablaSTOCKINV[[#This Row],[CANT. TOTAL]]&lt;=0,1,TablaSTOCKINV[[#This Row],[CANT. TOTAL]]&lt;=TablaSTOCKINV[[#This Row],[MIN]],2,TablaSTOCKINV[[#This Row],[CANT. TOTAL]]&gt;TablaSTOCKINV[[#This Row],[MIN]],3)</f>
        <v>3</v>
      </c>
      <c r="N692" s="34">
        <f>TablaSTOCKINV[[#This Row],[ENTRADAS]]-TablaSTOCKINV[[#This Row],[SALIDAS]]</f>
        <v>2</v>
      </c>
      <c r="O692" s="35">
        <f>SUMIFS(TablaENTRADA[CANT],TablaENTRADA[SKU],TablaSTOCKINV[[#This Row],[SKU]])</f>
        <v>2</v>
      </c>
      <c r="P692" s="35">
        <f>SUMIFS(TablaSALIDA[CANT],TablaSALIDA[SKU],TablaSTOCKINV[[#This Row],[SKU]])</f>
        <v>0</v>
      </c>
      <c r="Q692" s="34">
        <f>_xlfn.XLOOKUP(TablaSTOCKINV[[#This Row],[SKU]],TablaINVENTARIO[SKU],TablaINVENTARIO[PRECIO])</f>
        <v>0</v>
      </c>
      <c r="R692" s="34">
        <f>TablaSTOCKINV[[#This Row],[P.UNITARIO]]*TablaSTOCKINV[[#This Row],[CANT. TOTAL]]</f>
        <v>0</v>
      </c>
      <c r="S692" s="44">
        <f>_xlfn.XLOOKUP(TablaSTOCKINV[[#This Row],[SKU]],TablaINVENTARIO[SKU],TablaINVENTARIO[FECHA INGRESO])</f>
        <v>46023</v>
      </c>
      <c r="T692" s="44">
        <f>_xlfn.XLOOKUP(TablaSTOCKINV[[#This Row],[SKU]],TablaENTRADA[SKU],TablaENTRADA[FECHA],,0,-1)</f>
        <v>46023</v>
      </c>
      <c r="U692" s="46" t="str">
        <f>IFERROR((_xlfn.XLOOKUP(TablaSTOCKINV[[#This Row],[SKU]],TablaSALIDA[SKU],TablaSALIDA[FECHA],,0,-1))," " )</f>
        <v xml:space="preserve"> </v>
      </c>
    </row>
    <row r="693" spans="1:21" x14ac:dyDescent="0.3">
      <c r="A693" s="27" t="s">
        <v>3055</v>
      </c>
      <c r="B693" s="32" t="str">
        <f>_xlfn.XLOOKUP(TablaSTOCKINV[[#This Row],[SKU]],TablaINVENTARIO[SKU],TablaINVENTARIO[DESCRIPCION])</f>
        <v xml:space="preserve">CANALETA 4" PARA TUBERIA PVC </v>
      </c>
      <c r="C693" s="32" t="str">
        <f>_xlfn.XLOOKUP(TablaSTOCKINV[[#This Row],[SKU]],TablaINVENTARIO[SKU],TablaINVENTARIO[MARCA])</f>
        <v>N/A</v>
      </c>
      <c r="D693" s="33" t="str">
        <f>_xlfn.XLOOKUP(TablaSTOCKINV[[#This Row],[SKU]],TablaINVENTARIO[SKU],TablaINVENTARIO[CATEGORIA])</f>
        <v>HERRAMIENTAS_</v>
      </c>
      <c r="E693" s="33" t="str">
        <f>_xlfn.XLOOKUP(TablaSTOCKINV[[#This Row],[SKU]],TablaINVENTARIO[SKU],TablaINVENTARIO[SUBCATEGORIA])</f>
        <v xml:space="preserve">MATERIAL DE CONSTRUCCIÓN </v>
      </c>
      <c r="F693" s="33" t="str">
        <f>_xlfn.XLOOKUP(TablaSTOCKINV[[#This Row],[SKU]],TablaINVENTARIO[SKU],TablaINVENTARIO[ESTADO])</f>
        <v xml:space="preserve">NUEVO </v>
      </c>
      <c r="G693" s="33" t="str">
        <f>_xlfn.XLOOKUP(TablaSTOCKINV[[#This Row],[SKU]],TablaINVENTARIO[SKU],TablaINVENTARIO[MEDIDA])</f>
        <v>UND</v>
      </c>
      <c r="H693" s="33" t="str">
        <f>_xlfn.XLOOKUP(TablaSTOCKINV[[#This Row],[SKU]],TablaINVENTARIO[SKU],TablaINVENTARIO[SERIAL])</f>
        <v>N/A</v>
      </c>
      <c r="I693" s="34" t="str">
        <f>_xlfn.XLOOKUP(TablaSTOCKINV[[#This Row],[SKU]],TablaINVENTARIO[SKU],TablaINVENTARIO[ALMACEN])</f>
        <v>ALMACEN PRINCIPAL</v>
      </c>
      <c r="J693" s="34" t="str">
        <f>_xlfn.XLOOKUP(TablaSTOCKINV[[#This Row],[SKU]],TablaINVENTARIO[SKU],TablaINVENTARIO[UBICACION])</f>
        <v>F1-2</v>
      </c>
      <c r="K693" s="34" t="str">
        <f>_xlfn.XLOOKUP(TablaSTOCKINV[[#This Row],[SKU]],TablaINVENTARIO[SKU],TablaINVENTARIO[DPTO RESPONSABLE])</f>
        <v xml:space="preserve">CONSUMO GENERAL </v>
      </c>
      <c r="L693" s="36">
        <f>_xlfn.XLOOKUP(TablaSTOCKINV[[#This Row],[SKU]],TablaINVENTARIO[SKU],TablaINVENTARIO[RANGO MIN])</f>
        <v>0</v>
      </c>
      <c r="M693" s="34" cm="1">
        <f t="array" ref="M693">_xlfn.IFS(TablaSTOCKINV[[#This Row],[CANT. TOTAL]]&lt;=0,1,TablaSTOCKINV[[#This Row],[CANT. TOTAL]]&lt;=TablaSTOCKINV[[#This Row],[MIN]],2,TablaSTOCKINV[[#This Row],[CANT. TOTAL]]&gt;TablaSTOCKINV[[#This Row],[MIN]],3)</f>
        <v>3</v>
      </c>
      <c r="N693" s="34">
        <f>TablaSTOCKINV[[#This Row],[ENTRADAS]]-TablaSTOCKINV[[#This Row],[SALIDAS]]</f>
        <v>11</v>
      </c>
      <c r="O693" s="35">
        <f>SUMIFS(TablaENTRADA[CANT],TablaENTRADA[SKU],TablaSTOCKINV[[#This Row],[SKU]])</f>
        <v>11</v>
      </c>
      <c r="P693" s="35">
        <f>SUMIFS(TablaSALIDA[CANT],TablaSALIDA[SKU],TablaSTOCKINV[[#This Row],[SKU]])</f>
        <v>0</v>
      </c>
      <c r="Q693" s="34">
        <f>_xlfn.XLOOKUP(TablaSTOCKINV[[#This Row],[SKU]],TablaINVENTARIO[SKU],TablaINVENTARIO[PRECIO])</f>
        <v>0</v>
      </c>
      <c r="R693" s="34">
        <f>TablaSTOCKINV[[#This Row],[P.UNITARIO]]*TablaSTOCKINV[[#This Row],[CANT. TOTAL]]</f>
        <v>0</v>
      </c>
      <c r="S693" s="44">
        <f>_xlfn.XLOOKUP(TablaSTOCKINV[[#This Row],[SKU]],TablaINVENTARIO[SKU],TablaINVENTARIO[FECHA INGRESO])</f>
        <v>46023</v>
      </c>
      <c r="T693" s="44">
        <f>_xlfn.XLOOKUP(TablaSTOCKINV[[#This Row],[SKU]],TablaENTRADA[SKU],TablaENTRADA[FECHA],,0,-1)</f>
        <v>46023</v>
      </c>
      <c r="U693" s="46" t="str">
        <f>IFERROR((_xlfn.XLOOKUP(TablaSTOCKINV[[#This Row],[SKU]],TablaSALIDA[SKU],TablaSALIDA[FECHA],,0,-1))," " )</f>
        <v xml:space="preserve"> </v>
      </c>
    </row>
    <row r="694" spans="1:21" x14ac:dyDescent="0.3">
      <c r="A694" s="27" t="s">
        <v>3057</v>
      </c>
      <c r="B694" s="32" t="str">
        <f>_xlfn.XLOOKUP(TablaSTOCKINV[[#This Row],[SKU]],TablaINVENTARIO[SKU],TablaINVENTARIO[DESCRIPCION])</f>
        <v xml:space="preserve">CANALETA 1" PARA TUBERIA PVC </v>
      </c>
      <c r="C694" s="32" t="str">
        <f>_xlfn.XLOOKUP(TablaSTOCKINV[[#This Row],[SKU]],TablaINVENTARIO[SKU],TablaINVENTARIO[MARCA])</f>
        <v>N/A</v>
      </c>
      <c r="D694" s="33" t="str">
        <f>_xlfn.XLOOKUP(TablaSTOCKINV[[#This Row],[SKU]],TablaINVENTARIO[SKU],TablaINVENTARIO[CATEGORIA])</f>
        <v>HERRAMIENTAS_</v>
      </c>
      <c r="E694" s="33" t="str">
        <f>_xlfn.XLOOKUP(TablaSTOCKINV[[#This Row],[SKU]],TablaINVENTARIO[SKU],TablaINVENTARIO[SUBCATEGORIA])</f>
        <v xml:space="preserve">MATERIAL DE CONSTRUCCIÓN </v>
      </c>
      <c r="F694" s="33" t="str">
        <f>_xlfn.XLOOKUP(TablaSTOCKINV[[#This Row],[SKU]],TablaINVENTARIO[SKU],TablaINVENTARIO[ESTADO])</f>
        <v xml:space="preserve">NUEVO </v>
      </c>
      <c r="G694" s="33" t="str">
        <f>_xlfn.XLOOKUP(TablaSTOCKINV[[#This Row],[SKU]],TablaINVENTARIO[SKU],TablaINVENTARIO[MEDIDA])</f>
        <v>UND</v>
      </c>
      <c r="H694" s="33" t="str">
        <f>_xlfn.XLOOKUP(TablaSTOCKINV[[#This Row],[SKU]],TablaINVENTARIO[SKU],TablaINVENTARIO[SERIAL])</f>
        <v>N/A</v>
      </c>
      <c r="I694" s="34" t="str">
        <f>_xlfn.XLOOKUP(TablaSTOCKINV[[#This Row],[SKU]],TablaINVENTARIO[SKU],TablaINVENTARIO[ALMACEN])</f>
        <v>ALMACEN PRINCIPAL</v>
      </c>
      <c r="J694" s="34" t="str">
        <f>_xlfn.XLOOKUP(TablaSTOCKINV[[#This Row],[SKU]],TablaINVENTARIO[SKU],TablaINVENTARIO[UBICACION])</f>
        <v>F1-2</v>
      </c>
      <c r="K694" s="34" t="str">
        <f>_xlfn.XLOOKUP(TablaSTOCKINV[[#This Row],[SKU]],TablaINVENTARIO[SKU],TablaINVENTARIO[DPTO RESPONSABLE])</f>
        <v xml:space="preserve">CONSUMO GENERAL </v>
      </c>
      <c r="L694" s="36">
        <f>_xlfn.XLOOKUP(TablaSTOCKINV[[#This Row],[SKU]],TablaINVENTARIO[SKU],TablaINVENTARIO[RANGO MIN])</f>
        <v>0</v>
      </c>
      <c r="M694" s="34" cm="1">
        <f t="array" ref="M694">_xlfn.IFS(TablaSTOCKINV[[#This Row],[CANT. TOTAL]]&lt;=0,1,TablaSTOCKINV[[#This Row],[CANT. TOTAL]]&lt;=TablaSTOCKINV[[#This Row],[MIN]],2,TablaSTOCKINV[[#This Row],[CANT. TOTAL]]&gt;TablaSTOCKINV[[#This Row],[MIN]],3)</f>
        <v>3</v>
      </c>
      <c r="N694" s="34">
        <f>TablaSTOCKINV[[#This Row],[ENTRADAS]]-TablaSTOCKINV[[#This Row],[SALIDAS]]</f>
        <v>17</v>
      </c>
      <c r="O694" s="35">
        <f>SUMIFS(TablaENTRADA[CANT],TablaENTRADA[SKU],TablaSTOCKINV[[#This Row],[SKU]])</f>
        <v>17</v>
      </c>
      <c r="P694" s="35">
        <f>SUMIFS(TablaSALIDA[CANT],TablaSALIDA[SKU],TablaSTOCKINV[[#This Row],[SKU]])</f>
        <v>0</v>
      </c>
      <c r="Q694" s="34">
        <f>_xlfn.XLOOKUP(TablaSTOCKINV[[#This Row],[SKU]],TablaINVENTARIO[SKU],TablaINVENTARIO[PRECIO])</f>
        <v>0</v>
      </c>
      <c r="R694" s="34">
        <f>TablaSTOCKINV[[#This Row],[P.UNITARIO]]*TablaSTOCKINV[[#This Row],[CANT. TOTAL]]</f>
        <v>0</v>
      </c>
      <c r="S694" s="44">
        <f>_xlfn.XLOOKUP(TablaSTOCKINV[[#This Row],[SKU]],TablaINVENTARIO[SKU],TablaINVENTARIO[FECHA INGRESO])</f>
        <v>46023</v>
      </c>
      <c r="T694" s="44">
        <f>_xlfn.XLOOKUP(TablaSTOCKINV[[#This Row],[SKU]],TablaENTRADA[SKU],TablaENTRADA[FECHA],,0,-1)</f>
        <v>46023</v>
      </c>
      <c r="U694" s="46" t="str">
        <f>IFERROR((_xlfn.XLOOKUP(TablaSTOCKINV[[#This Row],[SKU]],TablaSALIDA[SKU],TablaSALIDA[FECHA],,0,-1))," " )</f>
        <v xml:space="preserve"> </v>
      </c>
    </row>
    <row r="695" spans="1:21" x14ac:dyDescent="0.3">
      <c r="A695" s="27" t="s">
        <v>3059</v>
      </c>
      <c r="B695" s="32" t="str">
        <f>_xlfn.XLOOKUP(TablaSTOCKINV[[#This Row],[SKU]],TablaINVENTARIO[SKU],TablaINVENTARIO[DESCRIPCION])</f>
        <v>ACTUADOR ELECTRICO MODELO: SM-1020-H-160-X-0-0-0</v>
      </c>
      <c r="C695" s="32" t="str">
        <f>_xlfn.XLOOKUP(TablaSTOCKINV[[#This Row],[SKU]],TablaINVENTARIO[SKU],TablaINVENTARIO[MARCA])</f>
        <v xml:space="preserve">JORDAN </v>
      </c>
      <c r="D695" s="33" t="str">
        <f>_xlfn.XLOOKUP(TablaSTOCKINV[[#This Row],[SKU]],TablaINVENTARIO[SKU],TablaINVENTARIO[CATEGORIA])</f>
        <v>HERRAMIENTAS_</v>
      </c>
      <c r="E695" s="33" t="str">
        <f>_xlfn.XLOOKUP(TablaSTOCKINV[[#This Row],[SKU]],TablaINVENTARIO[SKU],TablaINVENTARIO[SUBCATEGORIA])</f>
        <v xml:space="preserve">HERRAMIENTA ELÉCTRICA </v>
      </c>
      <c r="F695" s="33" t="str">
        <f>_xlfn.XLOOKUP(TablaSTOCKINV[[#This Row],[SKU]],TablaINVENTARIO[SKU],TablaINVENTARIO[ESTADO])</f>
        <v>USADO</v>
      </c>
      <c r="G695" s="33" t="str">
        <f>_xlfn.XLOOKUP(TablaSTOCKINV[[#This Row],[SKU]],TablaINVENTARIO[SKU],TablaINVENTARIO[MEDIDA])</f>
        <v>UND</v>
      </c>
      <c r="H695" s="33" t="str">
        <f>_xlfn.XLOOKUP(TablaSTOCKINV[[#This Row],[SKU]],TablaINVENTARIO[SKU],TablaINVENTARIO[SERIAL])</f>
        <v>54752B07</v>
      </c>
      <c r="I695" s="34" t="str">
        <f>_xlfn.XLOOKUP(TablaSTOCKINV[[#This Row],[SKU]],TablaINVENTARIO[SKU],TablaINVENTARIO[ALMACEN])</f>
        <v>ALMACEN PRINCIPAL</v>
      </c>
      <c r="J695" s="34" t="str">
        <f>_xlfn.XLOOKUP(TablaSTOCKINV[[#This Row],[SKU]],TablaINVENTARIO[SKU],TablaINVENTARIO[UBICACION])</f>
        <v>F1-2</v>
      </c>
      <c r="K695" s="34" t="str">
        <f>_xlfn.XLOOKUP(TablaSTOCKINV[[#This Row],[SKU]],TablaINVENTARIO[SKU],TablaINVENTARIO[DPTO RESPONSABLE])</f>
        <v xml:space="preserve">CONSUMO GENERAL </v>
      </c>
      <c r="L695" s="36">
        <f>_xlfn.XLOOKUP(TablaSTOCKINV[[#This Row],[SKU]],TablaINVENTARIO[SKU],TablaINVENTARIO[RANGO MIN])</f>
        <v>0</v>
      </c>
      <c r="M695" s="34" cm="1">
        <f t="array" ref="M695">_xlfn.IFS(TablaSTOCKINV[[#This Row],[CANT. TOTAL]]&lt;=0,1,TablaSTOCKINV[[#This Row],[CANT. TOTAL]]&lt;=TablaSTOCKINV[[#This Row],[MIN]],2,TablaSTOCKINV[[#This Row],[CANT. TOTAL]]&gt;TablaSTOCKINV[[#This Row],[MIN]],3)</f>
        <v>3</v>
      </c>
      <c r="N695" s="34">
        <f>TablaSTOCKINV[[#This Row],[ENTRADAS]]-TablaSTOCKINV[[#This Row],[SALIDAS]]</f>
        <v>1</v>
      </c>
      <c r="O695" s="35">
        <f>SUMIFS(TablaENTRADA[CANT],TablaENTRADA[SKU],TablaSTOCKINV[[#This Row],[SKU]])</f>
        <v>1</v>
      </c>
      <c r="P695" s="35">
        <f>SUMIFS(TablaSALIDA[CANT],TablaSALIDA[SKU],TablaSTOCKINV[[#This Row],[SKU]])</f>
        <v>0</v>
      </c>
      <c r="Q695" s="34">
        <f>_xlfn.XLOOKUP(TablaSTOCKINV[[#This Row],[SKU]],TablaINVENTARIO[SKU],TablaINVENTARIO[PRECIO])</f>
        <v>0</v>
      </c>
      <c r="R695" s="34">
        <f>TablaSTOCKINV[[#This Row],[P.UNITARIO]]*TablaSTOCKINV[[#This Row],[CANT. TOTAL]]</f>
        <v>0</v>
      </c>
      <c r="S695" s="44">
        <f>_xlfn.XLOOKUP(TablaSTOCKINV[[#This Row],[SKU]],TablaINVENTARIO[SKU],TablaINVENTARIO[FECHA INGRESO])</f>
        <v>46023</v>
      </c>
      <c r="T695" s="44">
        <f>_xlfn.XLOOKUP(TablaSTOCKINV[[#This Row],[SKU]],TablaENTRADA[SKU],TablaENTRADA[FECHA],,0,-1)</f>
        <v>46023</v>
      </c>
      <c r="U695" s="46" t="str">
        <f>IFERROR((_xlfn.XLOOKUP(TablaSTOCKINV[[#This Row],[SKU]],TablaSALIDA[SKU],TablaSALIDA[FECHA],,0,-1))," " )</f>
        <v xml:space="preserve"> </v>
      </c>
    </row>
    <row r="696" spans="1:21" x14ac:dyDescent="0.3">
      <c r="A696" s="27" t="s">
        <v>3063</v>
      </c>
      <c r="B696" s="32" t="str">
        <f>_xlfn.XLOOKUP(TablaSTOCKINV[[#This Row],[SKU]],TablaINVENTARIO[SKU],TablaINVENTARIO[DESCRIPCION])</f>
        <v xml:space="preserve">LLAVE DE CRUZ </v>
      </c>
      <c r="C696" s="32" t="str">
        <f>_xlfn.XLOOKUP(TablaSTOCKINV[[#This Row],[SKU]],TablaINVENTARIO[SKU],TablaINVENTARIO[MARCA])</f>
        <v>N/A</v>
      </c>
      <c r="D696" s="33" t="str">
        <f>_xlfn.XLOOKUP(TablaSTOCKINV[[#This Row],[SKU]],TablaINVENTARIO[SKU],TablaINVENTARIO[CATEGORIA])</f>
        <v>HERRAMIENTAS_</v>
      </c>
      <c r="E696" s="33" t="str">
        <f>_xlfn.XLOOKUP(TablaSTOCKINV[[#This Row],[SKU]],TablaINVENTARIO[SKU],TablaINVENTARIO[SUBCATEGORIA])</f>
        <v xml:space="preserve">HERRAMIENTA DE MANO </v>
      </c>
      <c r="F696" s="33" t="str">
        <f>_xlfn.XLOOKUP(TablaSTOCKINV[[#This Row],[SKU]],TablaINVENTARIO[SKU],TablaINVENTARIO[ESTADO])</f>
        <v>USADO</v>
      </c>
      <c r="G696" s="33" t="str">
        <f>_xlfn.XLOOKUP(TablaSTOCKINV[[#This Row],[SKU]],TablaINVENTARIO[SKU],TablaINVENTARIO[MEDIDA])</f>
        <v>UND</v>
      </c>
      <c r="H696" s="33" t="str">
        <f>_xlfn.XLOOKUP(TablaSTOCKINV[[#This Row],[SKU]],TablaINVENTARIO[SKU],TablaINVENTARIO[SERIAL])</f>
        <v>N/A</v>
      </c>
      <c r="I696" s="34" t="str">
        <f>_xlfn.XLOOKUP(TablaSTOCKINV[[#This Row],[SKU]],TablaINVENTARIO[SKU],TablaINVENTARIO[ALMACEN])</f>
        <v>ALMACEN PRINCIPAL</v>
      </c>
      <c r="J696" s="34" t="str">
        <f>_xlfn.XLOOKUP(TablaSTOCKINV[[#This Row],[SKU]],TablaINVENTARIO[SKU],TablaINVENTARIO[UBICACION])</f>
        <v>F5</v>
      </c>
      <c r="K696" s="34" t="str">
        <f>_xlfn.XLOOKUP(TablaSTOCKINV[[#This Row],[SKU]],TablaINVENTARIO[SKU],TablaINVENTARIO[DPTO RESPONSABLE])</f>
        <v xml:space="preserve">OPERACIONES / MANTENIMIENTO </v>
      </c>
      <c r="L696" s="36">
        <f>_xlfn.XLOOKUP(TablaSTOCKINV[[#This Row],[SKU]],TablaINVENTARIO[SKU],TablaINVENTARIO[RANGO MIN])</f>
        <v>0</v>
      </c>
      <c r="M696" s="34" cm="1">
        <f t="array" ref="M696">_xlfn.IFS(TablaSTOCKINV[[#This Row],[CANT. TOTAL]]&lt;=0,1,TablaSTOCKINV[[#This Row],[CANT. TOTAL]]&lt;=TablaSTOCKINV[[#This Row],[MIN]],2,TablaSTOCKINV[[#This Row],[CANT. TOTAL]]&gt;TablaSTOCKINV[[#This Row],[MIN]],3)</f>
        <v>3</v>
      </c>
      <c r="N696" s="34">
        <f>TablaSTOCKINV[[#This Row],[ENTRADAS]]-TablaSTOCKINV[[#This Row],[SALIDAS]]</f>
        <v>2</v>
      </c>
      <c r="O696" s="35">
        <f>SUMIFS(TablaENTRADA[CANT],TablaENTRADA[SKU],TablaSTOCKINV[[#This Row],[SKU]])</f>
        <v>2</v>
      </c>
      <c r="P696" s="35">
        <f>SUMIFS(TablaSALIDA[CANT],TablaSALIDA[SKU],TablaSTOCKINV[[#This Row],[SKU]])</f>
        <v>0</v>
      </c>
      <c r="Q696" s="34">
        <f>_xlfn.XLOOKUP(TablaSTOCKINV[[#This Row],[SKU]],TablaINVENTARIO[SKU],TablaINVENTARIO[PRECIO])</f>
        <v>0</v>
      </c>
      <c r="R696" s="34">
        <f>TablaSTOCKINV[[#This Row],[P.UNITARIO]]*TablaSTOCKINV[[#This Row],[CANT. TOTAL]]</f>
        <v>0</v>
      </c>
      <c r="S696" s="44">
        <f>_xlfn.XLOOKUP(TablaSTOCKINV[[#This Row],[SKU]],TablaINVENTARIO[SKU],TablaINVENTARIO[FECHA INGRESO])</f>
        <v>46023</v>
      </c>
      <c r="T696" s="44">
        <f>_xlfn.XLOOKUP(TablaSTOCKINV[[#This Row],[SKU]],TablaENTRADA[SKU],TablaENTRADA[FECHA],,0,-1)</f>
        <v>46023</v>
      </c>
      <c r="U696" s="46" t="str">
        <f>IFERROR((_xlfn.XLOOKUP(TablaSTOCKINV[[#This Row],[SKU]],TablaSALIDA[SKU],TablaSALIDA[FECHA],,0,-1))," " )</f>
        <v xml:space="preserve"> </v>
      </c>
    </row>
    <row r="697" spans="1:21" x14ac:dyDescent="0.3">
      <c r="A697" s="27" t="s">
        <v>3066</v>
      </c>
      <c r="B697" s="32" t="str">
        <f>_xlfn.XLOOKUP(TablaSTOCKINV[[#This Row],[SKU]],TablaINVENTARIO[SKU],TablaINVENTARIO[DESCRIPCION])</f>
        <v>CIZALLA</v>
      </c>
      <c r="C697" s="32" t="str">
        <f>_xlfn.XLOOKUP(TablaSTOCKINV[[#This Row],[SKU]],TablaINVENTARIO[SKU],TablaINVENTARIO[MARCA])</f>
        <v>N/A</v>
      </c>
      <c r="D697" s="33" t="str">
        <f>_xlfn.XLOOKUP(TablaSTOCKINV[[#This Row],[SKU]],TablaINVENTARIO[SKU],TablaINVENTARIO[CATEGORIA])</f>
        <v>HERRAMIENTAS_</v>
      </c>
      <c r="E697" s="33" t="str">
        <f>_xlfn.XLOOKUP(TablaSTOCKINV[[#This Row],[SKU]],TablaINVENTARIO[SKU],TablaINVENTARIO[SUBCATEGORIA])</f>
        <v xml:space="preserve">HERRAMIENTA DE MANO </v>
      </c>
      <c r="F697" s="33" t="str">
        <f>_xlfn.XLOOKUP(TablaSTOCKINV[[#This Row],[SKU]],TablaINVENTARIO[SKU],TablaINVENTARIO[ESTADO])</f>
        <v>USADO</v>
      </c>
      <c r="G697" s="33" t="str">
        <f>_xlfn.XLOOKUP(TablaSTOCKINV[[#This Row],[SKU]],TablaINVENTARIO[SKU],TablaINVENTARIO[MEDIDA])</f>
        <v>UND</v>
      </c>
      <c r="H697" s="33" t="str">
        <f>_xlfn.XLOOKUP(TablaSTOCKINV[[#This Row],[SKU]],TablaINVENTARIO[SKU],TablaINVENTARIO[SERIAL])</f>
        <v>N/A</v>
      </c>
      <c r="I697" s="34" t="str">
        <f>_xlfn.XLOOKUP(TablaSTOCKINV[[#This Row],[SKU]],TablaINVENTARIO[SKU],TablaINVENTARIO[ALMACEN])</f>
        <v>ALMACEN PRINCIPAL</v>
      </c>
      <c r="J697" s="34" t="str">
        <f>_xlfn.XLOOKUP(TablaSTOCKINV[[#This Row],[SKU]],TablaINVENTARIO[SKU],TablaINVENTARIO[UBICACION])</f>
        <v>F5</v>
      </c>
      <c r="K697" s="34" t="str">
        <f>_xlfn.XLOOKUP(TablaSTOCKINV[[#This Row],[SKU]],TablaINVENTARIO[SKU],TablaINVENTARIO[DPTO RESPONSABLE])</f>
        <v xml:space="preserve">OPERACIONES / MANTENIMIENTO </v>
      </c>
      <c r="L697" s="36">
        <f>_xlfn.XLOOKUP(TablaSTOCKINV[[#This Row],[SKU]],TablaINVENTARIO[SKU],TablaINVENTARIO[RANGO MIN])</f>
        <v>0</v>
      </c>
      <c r="M697" s="34" cm="1">
        <f t="array" ref="M697">_xlfn.IFS(TablaSTOCKINV[[#This Row],[CANT. TOTAL]]&lt;=0,1,TablaSTOCKINV[[#This Row],[CANT. TOTAL]]&lt;=TablaSTOCKINV[[#This Row],[MIN]],2,TablaSTOCKINV[[#This Row],[CANT. TOTAL]]&gt;TablaSTOCKINV[[#This Row],[MIN]],3)</f>
        <v>3</v>
      </c>
      <c r="N697" s="34">
        <f>TablaSTOCKINV[[#This Row],[ENTRADAS]]-TablaSTOCKINV[[#This Row],[SALIDAS]]</f>
        <v>2</v>
      </c>
      <c r="O697" s="35">
        <f>SUMIFS(TablaENTRADA[CANT],TablaENTRADA[SKU],TablaSTOCKINV[[#This Row],[SKU]])</f>
        <v>2</v>
      </c>
      <c r="P697" s="35">
        <f>SUMIFS(TablaSALIDA[CANT],TablaSALIDA[SKU],TablaSTOCKINV[[#This Row],[SKU]])</f>
        <v>0</v>
      </c>
      <c r="Q697" s="34">
        <f>_xlfn.XLOOKUP(TablaSTOCKINV[[#This Row],[SKU]],TablaINVENTARIO[SKU],TablaINVENTARIO[PRECIO])</f>
        <v>0</v>
      </c>
      <c r="R697" s="34">
        <f>TablaSTOCKINV[[#This Row],[P.UNITARIO]]*TablaSTOCKINV[[#This Row],[CANT. TOTAL]]</f>
        <v>0</v>
      </c>
      <c r="S697" s="44">
        <f>_xlfn.XLOOKUP(TablaSTOCKINV[[#This Row],[SKU]],TablaINVENTARIO[SKU],TablaINVENTARIO[FECHA INGRESO])</f>
        <v>46023</v>
      </c>
      <c r="T697" s="44">
        <f>_xlfn.XLOOKUP(TablaSTOCKINV[[#This Row],[SKU]],TablaENTRADA[SKU],TablaENTRADA[FECHA],,0,-1)</f>
        <v>46023</v>
      </c>
      <c r="U697" s="46" t="str">
        <f>IFERROR((_xlfn.XLOOKUP(TablaSTOCKINV[[#This Row],[SKU]],TablaSALIDA[SKU],TablaSALIDA[FECHA],,0,-1))," " )</f>
        <v xml:space="preserve"> </v>
      </c>
    </row>
    <row r="698" spans="1:21" x14ac:dyDescent="0.3">
      <c r="A698" s="27" t="s">
        <v>3068</v>
      </c>
      <c r="B698" s="32" t="str">
        <f>_xlfn.XLOOKUP(TablaSTOCKINV[[#This Row],[SKU]],TablaINVENTARIO[SKU],TablaINVENTARIO[DESCRIPCION])</f>
        <v>LLAVE DE RUEDAS</v>
      </c>
      <c r="C698" s="32" t="str">
        <f>_xlfn.XLOOKUP(TablaSTOCKINV[[#This Row],[SKU]],TablaINVENTARIO[SKU],TablaINVENTARIO[MARCA])</f>
        <v>N/A</v>
      </c>
      <c r="D698" s="33" t="str">
        <f>_xlfn.XLOOKUP(TablaSTOCKINV[[#This Row],[SKU]],TablaINVENTARIO[SKU],TablaINVENTARIO[CATEGORIA])</f>
        <v>HERRAMIENTAS_</v>
      </c>
      <c r="E698" s="33" t="str">
        <f>_xlfn.XLOOKUP(TablaSTOCKINV[[#This Row],[SKU]],TablaINVENTARIO[SKU],TablaINVENTARIO[SUBCATEGORIA])</f>
        <v xml:space="preserve">HERRAMIENTA DE MANO </v>
      </c>
      <c r="F698" s="33" t="str">
        <f>_xlfn.XLOOKUP(TablaSTOCKINV[[#This Row],[SKU]],TablaINVENTARIO[SKU],TablaINVENTARIO[ESTADO])</f>
        <v>USADO</v>
      </c>
      <c r="G698" s="33" t="str">
        <f>_xlfn.XLOOKUP(TablaSTOCKINV[[#This Row],[SKU]],TablaINVENTARIO[SKU],TablaINVENTARIO[MEDIDA])</f>
        <v>UND</v>
      </c>
      <c r="H698" s="33" t="str">
        <f>_xlfn.XLOOKUP(TablaSTOCKINV[[#This Row],[SKU]],TablaINVENTARIO[SKU],TablaINVENTARIO[SERIAL])</f>
        <v>N/A</v>
      </c>
      <c r="I698" s="34" t="str">
        <f>_xlfn.XLOOKUP(TablaSTOCKINV[[#This Row],[SKU]],TablaINVENTARIO[SKU],TablaINVENTARIO[ALMACEN])</f>
        <v>ALMACEN PRINCIPAL</v>
      </c>
      <c r="J698" s="34" t="str">
        <f>_xlfn.XLOOKUP(TablaSTOCKINV[[#This Row],[SKU]],TablaINVENTARIO[SKU],TablaINVENTARIO[UBICACION])</f>
        <v>F5</v>
      </c>
      <c r="K698" s="34" t="str">
        <f>_xlfn.XLOOKUP(TablaSTOCKINV[[#This Row],[SKU]],TablaINVENTARIO[SKU],TablaINVENTARIO[DPTO RESPONSABLE])</f>
        <v xml:space="preserve">OPERACIONES / MANTENIMIENTO </v>
      </c>
      <c r="L698" s="36">
        <f>_xlfn.XLOOKUP(TablaSTOCKINV[[#This Row],[SKU]],TablaINVENTARIO[SKU],TablaINVENTARIO[RANGO MIN])</f>
        <v>0</v>
      </c>
      <c r="M698" s="34" cm="1">
        <f t="array" ref="M698">_xlfn.IFS(TablaSTOCKINV[[#This Row],[CANT. TOTAL]]&lt;=0,1,TablaSTOCKINV[[#This Row],[CANT. TOTAL]]&lt;=TablaSTOCKINV[[#This Row],[MIN]],2,TablaSTOCKINV[[#This Row],[CANT. TOTAL]]&gt;TablaSTOCKINV[[#This Row],[MIN]],3)</f>
        <v>3</v>
      </c>
      <c r="N698" s="34">
        <f>TablaSTOCKINV[[#This Row],[ENTRADAS]]-TablaSTOCKINV[[#This Row],[SALIDAS]]</f>
        <v>1</v>
      </c>
      <c r="O698" s="35">
        <f>SUMIFS(TablaENTRADA[CANT],TablaENTRADA[SKU],TablaSTOCKINV[[#This Row],[SKU]])</f>
        <v>1</v>
      </c>
      <c r="P698" s="35">
        <f>SUMIFS(TablaSALIDA[CANT],TablaSALIDA[SKU],TablaSTOCKINV[[#This Row],[SKU]])</f>
        <v>0</v>
      </c>
      <c r="Q698" s="34">
        <f>_xlfn.XLOOKUP(TablaSTOCKINV[[#This Row],[SKU]],TablaINVENTARIO[SKU],TablaINVENTARIO[PRECIO])</f>
        <v>0</v>
      </c>
      <c r="R698" s="34">
        <f>TablaSTOCKINV[[#This Row],[P.UNITARIO]]*TablaSTOCKINV[[#This Row],[CANT. TOTAL]]</f>
        <v>0</v>
      </c>
      <c r="S698" s="44">
        <f>_xlfn.XLOOKUP(TablaSTOCKINV[[#This Row],[SKU]],TablaINVENTARIO[SKU],TablaINVENTARIO[FECHA INGRESO])</f>
        <v>46023</v>
      </c>
      <c r="T698" s="44">
        <f>_xlfn.XLOOKUP(TablaSTOCKINV[[#This Row],[SKU]],TablaENTRADA[SKU],TablaENTRADA[FECHA],,0,-1)</f>
        <v>46023</v>
      </c>
      <c r="U698" s="46" t="str">
        <f>IFERROR((_xlfn.XLOOKUP(TablaSTOCKINV[[#This Row],[SKU]],TablaSALIDA[SKU],TablaSALIDA[FECHA],,0,-1))," " )</f>
        <v xml:space="preserve"> </v>
      </c>
    </row>
    <row r="699" spans="1:21" x14ac:dyDescent="0.3">
      <c r="A699" s="27" t="s">
        <v>3070</v>
      </c>
      <c r="B699" s="32" t="str">
        <f>_xlfn.XLOOKUP(TablaSTOCKINV[[#This Row],[SKU]],TablaINVENTARIO[SKU],TablaINVENTARIO[DESCRIPCION])</f>
        <v>PALANCA  DE GATO</v>
      </c>
      <c r="C699" s="32" t="str">
        <f>_xlfn.XLOOKUP(TablaSTOCKINV[[#This Row],[SKU]],TablaINVENTARIO[SKU],TablaINVENTARIO[MARCA])</f>
        <v>N/A</v>
      </c>
      <c r="D699" s="33" t="str">
        <f>_xlfn.XLOOKUP(TablaSTOCKINV[[#This Row],[SKU]],TablaINVENTARIO[SKU],TablaINVENTARIO[CATEGORIA])</f>
        <v>HERRAMIENTAS_</v>
      </c>
      <c r="E699" s="33" t="str">
        <f>_xlfn.XLOOKUP(TablaSTOCKINV[[#This Row],[SKU]],TablaINVENTARIO[SKU],TablaINVENTARIO[SUBCATEGORIA])</f>
        <v xml:space="preserve">HERRAMIENTA DE MANO </v>
      </c>
      <c r="F699" s="33" t="str">
        <f>_xlfn.XLOOKUP(TablaSTOCKINV[[#This Row],[SKU]],TablaINVENTARIO[SKU],TablaINVENTARIO[ESTADO])</f>
        <v>USADO</v>
      </c>
      <c r="G699" s="33" t="str">
        <f>_xlfn.XLOOKUP(TablaSTOCKINV[[#This Row],[SKU]],TablaINVENTARIO[SKU],TablaINVENTARIO[MEDIDA])</f>
        <v>UND</v>
      </c>
      <c r="H699" s="33" t="str">
        <f>_xlfn.XLOOKUP(TablaSTOCKINV[[#This Row],[SKU]],TablaINVENTARIO[SKU],TablaINVENTARIO[SERIAL])</f>
        <v>N/A</v>
      </c>
      <c r="I699" s="34" t="str">
        <f>_xlfn.XLOOKUP(TablaSTOCKINV[[#This Row],[SKU]],TablaINVENTARIO[SKU],TablaINVENTARIO[ALMACEN])</f>
        <v>ALMACEN PRINCIPAL</v>
      </c>
      <c r="J699" s="34" t="str">
        <f>_xlfn.XLOOKUP(TablaSTOCKINV[[#This Row],[SKU]],TablaINVENTARIO[SKU],TablaINVENTARIO[UBICACION])</f>
        <v>F5</v>
      </c>
      <c r="K699" s="34" t="str">
        <f>_xlfn.XLOOKUP(TablaSTOCKINV[[#This Row],[SKU]],TablaINVENTARIO[SKU],TablaINVENTARIO[DPTO RESPONSABLE])</f>
        <v xml:space="preserve">OPERACIONES / MANTENIMIENTO </v>
      </c>
      <c r="L699" s="36">
        <f>_xlfn.XLOOKUP(TablaSTOCKINV[[#This Row],[SKU]],TablaINVENTARIO[SKU],TablaINVENTARIO[RANGO MIN])</f>
        <v>0</v>
      </c>
      <c r="M699" s="34" cm="1">
        <f t="array" ref="M699">_xlfn.IFS(TablaSTOCKINV[[#This Row],[CANT. TOTAL]]&lt;=0,1,TablaSTOCKINV[[#This Row],[CANT. TOTAL]]&lt;=TablaSTOCKINV[[#This Row],[MIN]],2,TablaSTOCKINV[[#This Row],[CANT. TOTAL]]&gt;TablaSTOCKINV[[#This Row],[MIN]],3)</f>
        <v>3</v>
      </c>
      <c r="N699" s="34">
        <f>TablaSTOCKINV[[#This Row],[ENTRADAS]]-TablaSTOCKINV[[#This Row],[SALIDAS]]</f>
        <v>1</v>
      </c>
      <c r="O699" s="35">
        <f>SUMIFS(TablaENTRADA[CANT],TablaENTRADA[SKU],TablaSTOCKINV[[#This Row],[SKU]])</f>
        <v>1</v>
      </c>
      <c r="P699" s="35">
        <f>SUMIFS(TablaSALIDA[CANT],TablaSALIDA[SKU],TablaSTOCKINV[[#This Row],[SKU]])</f>
        <v>0</v>
      </c>
      <c r="Q699" s="34">
        <f>_xlfn.XLOOKUP(TablaSTOCKINV[[#This Row],[SKU]],TablaINVENTARIO[SKU],TablaINVENTARIO[PRECIO])</f>
        <v>0</v>
      </c>
      <c r="R699" s="34">
        <f>TablaSTOCKINV[[#This Row],[P.UNITARIO]]*TablaSTOCKINV[[#This Row],[CANT. TOTAL]]</f>
        <v>0</v>
      </c>
      <c r="S699" s="44">
        <f>_xlfn.XLOOKUP(TablaSTOCKINV[[#This Row],[SKU]],TablaINVENTARIO[SKU],TablaINVENTARIO[FECHA INGRESO])</f>
        <v>46023</v>
      </c>
      <c r="T699" s="44">
        <f>_xlfn.XLOOKUP(TablaSTOCKINV[[#This Row],[SKU]],TablaENTRADA[SKU],TablaENTRADA[FECHA],,0,-1)</f>
        <v>46023</v>
      </c>
      <c r="U699" s="46" t="str">
        <f>IFERROR((_xlfn.XLOOKUP(TablaSTOCKINV[[#This Row],[SKU]],TablaSALIDA[SKU],TablaSALIDA[FECHA],,0,-1))," " )</f>
        <v xml:space="preserve"> </v>
      </c>
    </row>
    <row r="700" spans="1:21" x14ac:dyDescent="0.3">
      <c r="A700" s="27" t="s">
        <v>3072</v>
      </c>
      <c r="B700" s="32" t="str">
        <f>_xlfn.XLOOKUP(TablaSTOCKINV[[#This Row],[SKU]],TablaINVENTARIO[SKU],TablaINVENTARIO[DESCRIPCION])</f>
        <v xml:space="preserve">PALANCA DE VALVULA </v>
      </c>
      <c r="C700" s="32" t="str">
        <f>_xlfn.XLOOKUP(TablaSTOCKINV[[#This Row],[SKU]],TablaINVENTARIO[SKU],TablaINVENTARIO[MARCA])</f>
        <v>N/A</v>
      </c>
      <c r="D700" s="33" t="str">
        <f>_xlfn.XLOOKUP(TablaSTOCKINV[[#This Row],[SKU]],TablaINVENTARIO[SKU],TablaINVENTARIO[CATEGORIA])</f>
        <v>HERRAMIENTAS_</v>
      </c>
      <c r="E700" s="33" t="str">
        <f>_xlfn.XLOOKUP(TablaSTOCKINV[[#This Row],[SKU]],TablaINVENTARIO[SKU],TablaINVENTARIO[SUBCATEGORIA])</f>
        <v xml:space="preserve">HERRAMIENTA DE MANO </v>
      </c>
      <c r="F700" s="33" t="str">
        <f>_xlfn.XLOOKUP(TablaSTOCKINV[[#This Row],[SKU]],TablaINVENTARIO[SKU],TablaINVENTARIO[ESTADO])</f>
        <v>USADO</v>
      </c>
      <c r="G700" s="33" t="str">
        <f>_xlfn.XLOOKUP(TablaSTOCKINV[[#This Row],[SKU]],TablaINVENTARIO[SKU],TablaINVENTARIO[MEDIDA])</f>
        <v>UND</v>
      </c>
      <c r="H700" s="33" t="str">
        <f>_xlfn.XLOOKUP(TablaSTOCKINV[[#This Row],[SKU]],TablaINVENTARIO[SKU],TablaINVENTARIO[SERIAL])</f>
        <v>N/A</v>
      </c>
      <c r="I700" s="34" t="str">
        <f>_xlfn.XLOOKUP(TablaSTOCKINV[[#This Row],[SKU]],TablaINVENTARIO[SKU],TablaINVENTARIO[ALMACEN])</f>
        <v>ALMACEN PRINCIPAL</v>
      </c>
      <c r="J700" s="34" t="str">
        <f>_xlfn.XLOOKUP(TablaSTOCKINV[[#This Row],[SKU]],TablaINVENTARIO[SKU],TablaINVENTARIO[UBICACION])</f>
        <v>F5</v>
      </c>
      <c r="K700" s="34" t="str">
        <f>_xlfn.XLOOKUP(TablaSTOCKINV[[#This Row],[SKU]],TablaINVENTARIO[SKU],TablaINVENTARIO[DPTO RESPONSABLE])</f>
        <v xml:space="preserve">OPERACIONES / MANTENIMIENTO </v>
      </c>
      <c r="L700" s="36">
        <f>_xlfn.XLOOKUP(TablaSTOCKINV[[#This Row],[SKU]],TablaINVENTARIO[SKU],TablaINVENTARIO[RANGO MIN])</f>
        <v>0</v>
      </c>
      <c r="M700" s="34" cm="1">
        <f t="array" ref="M700">_xlfn.IFS(TablaSTOCKINV[[#This Row],[CANT. TOTAL]]&lt;=0,1,TablaSTOCKINV[[#This Row],[CANT. TOTAL]]&lt;=TablaSTOCKINV[[#This Row],[MIN]],2,TablaSTOCKINV[[#This Row],[CANT. TOTAL]]&gt;TablaSTOCKINV[[#This Row],[MIN]],3)</f>
        <v>3</v>
      </c>
      <c r="N700" s="34">
        <f>TablaSTOCKINV[[#This Row],[ENTRADAS]]-TablaSTOCKINV[[#This Row],[SALIDAS]]</f>
        <v>1</v>
      </c>
      <c r="O700" s="35">
        <f>SUMIFS(TablaENTRADA[CANT],TablaENTRADA[SKU],TablaSTOCKINV[[#This Row],[SKU]])</f>
        <v>1</v>
      </c>
      <c r="P700" s="35">
        <f>SUMIFS(TablaSALIDA[CANT],TablaSALIDA[SKU],TablaSTOCKINV[[#This Row],[SKU]])</f>
        <v>0</v>
      </c>
      <c r="Q700" s="34">
        <f>_xlfn.XLOOKUP(TablaSTOCKINV[[#This Row],[SKU]],TablaINVENTARIO[SKU],TablaINVENTARIO[PRECIO])</f>
        <v>0</v>
      </c>
      <c r="R700" s="34">
        <f>TablaSTOCKINV[[#This Row],[P.UNITARIO]]*TablaSTOCKINV[[#This Row],[CANT. TOTAL]]</f>
        <v>0</v>
      </c>
      <c r="S700" s="44">
        <f>_xlfn.XLOOKUP(TablaSTOCKINV[[#This Row],[SKU]],TablaINVENTARIO[SKU],TablaINVENTARIO[FECHA INGRESO])</f>
        <v>46023</v>
      </c>
      <c r="T700" s="44">
        <f>_xlfn.XLOOKUP(TablaSTOCKINV[[#This Row],[SKU]],TablaENTRADA[SKU],TablaENTRADA[FECHA],,0,-1)</f>
        <v>46023</v>
      </c>
      <c r="U700" s="46" t="str">
        <f>IFERROR((_xlfn.XLOOKUP(TablaSTOCKINV[[#This Row],[SKU]],TablaSALIDA[SKU],TablaSALIDA[FECHA],,0,-1))," " )</f>
        <v xml:space="preserve"> </v>
      </c>
    </row>
    <row r="701" spans="1:21" x14ac:dyDescent="0.3">
      <c r="A701" s="27" t="s">
        <v>3074</v>
      </c>
      <c r="B701" s="32" t="str">
        <f>_xlfn.XLOOKUP(TablaSTOCKINV[[#This Row],[SKU]],TablaINVENTARIO[SKU],TablaINVENTARIO[DESCRIPCION])</f>
        <v xml:space="preserve">PALA DE CONSTRUCCION </v>
      </c>
      <c r="C701" s="32" t="str">
        <f>_xlfn.XLOOKUP(TablaSTOCKINV[[#This Row],[SKU]],TablaINVENTARIO[SKU],TablaINVENTARIO[MARCA])</f>
        <v>N/A</v>
      </c>
      <c r="D701" s="33" t="str">
        <f>_xlfn.XLOOKUP(TablaSTOCKINV[[#This Row],[SKU]],TablaINVENTARIO[SKU],TablaINVENTARIO[CATEGORIA])</f>
        <v>HERRAMIENTAS_</v>
      </c>
      <c r="E701" s="33" t="str">
        <f>_xlfn.XLOOKUP(TablaSTOCKINV[[#This Row],[SKU]],TablaINVENTARIO[SKU],TablaINVENTARIO[SUBCATEGORIA])</f>
        <v xml:space="preserve">HERRAMIENTA DE MANO </v>
      </c>
      <c r="F701" s="33" t="str">
        <f>_xlfn.XLOOKUP(TablaSTOCKINV[[#This Row],[SKU]],TablaINVENTARIO[SKU],TablaINVENTARIO[ESTADO])</f>
        <v>USADO</v>
      </c>
      <c r="G701" s="33" t="str">
        <f>_xlfn.XLOOKUP(TablaSTOCKINV[[#This Row],[SKU]],TablaINVENTARIO[SKU],TablaINVENTARIO[MEDIDA])</f>
        <v>UND</v>
      </c>
      <c r="H701" s="33" t="str">
        <f>_xlfn.XLOOKUP(TablaSTOCKINV[[#This Row],[SKU]],TablaINVENTARIO[SKU],TablaINVENTARIO[SERIAL])</f>
        <v>N/A</v>
      </c>
      <c r="I701" s="34" t="str">
        <f>_xlfn.XLOOKUP(TablaSTOCKINV[[#This Row],[SKU]],TablaINVENTARIO[SKU],TablaINVENTARIO[ALMACEN])</f>
        <v>ALMACEN PRINCIPAL</v>
      </c>
      <c r="J701" s="34" t="str">
        <f>_xlfn.XLOOKUP(TablaSTOCKINV[[#This Row],[SKU]],TablaINVENTARIO[SKU],TablaINVENTARIO[UBICACION])</f>
        <v>F5</v>
      </c>
      <c r="K701" s="34" t="str">
        <f>_xlfn.XLOOKUP(TablaSTOCKINV[[#This Row],[SKU]],TablaINVENTARIO[SKU],TablaINVENTARIO[DPTO RESPONSABLE])</f>
        <v xml:space="preserve">OPERACIONES / MANTENIMIENTO </v>
      </c>
      <c r="L701" s="36">
        <f>_xlfn.XLOOKUP(TablaSTOCKINV[[#This Row],[SKU]],TablaINVENTARIO[SKU],TablaINVENTARIO[RANGO MIN])</f>
        <v>0</v>
      </c>
      <c r="M701" s="34" cm="1">
        <f t="array" ref="M701">_xlfn.IFS(TablaSTOCKINV[[#This Row],[CANT. TOTAL]]&lt;=0,1,TablaSTOCKINV[[#This Row],[CANT. TOTAL]]&lt;=TablaSTOCKINV[[#This Row],[MIN]],2,TablaSTOCKINV[[#This Row],[CANT. TOTAL]]&gt;TablaSTOCKINV[[#This Row],[MIN]],3)</f>
        <v>3</v>
      </c>
      <c r="N701" s="34">
        <f>TablaSTOCKINV[[#This Row],[ENTRADAS]]-TablaSTOCKINV[[#This Row],[SALIDAS]]</f>
        <v>3</v>
      </c>
      <c r="O701" s="35">
        <f>SUMIFS(TablaENTRADA[CANT],TablaENTRADA[SKU],TablaSTOCKINV[[#This Row],[SKU]])</f>
        <v>3</v>
      </c>
      <c r="P701" s="35">
        <f>SUMIFS(TablaSALIDA[CANT],TablaSALIDA[SKU],TablaSTOCKINV[[#This Row],[SKU]])</f>
        <v>0</v>
      </c>
      <c r="Q701" s="34">
        <f>_xlfn.XLOOKUP(TablaSTOCKINV[[#This Row],[SKU]],TablaINVENTARIO[SKU],TablaINVENTARIO[PRECIO])</f>
        <v>0</v>
      </c>
      <c r="R701" s="34">
        <f>TablaSTOCKINV[[#This Row],[P.UNITARIO]]*TablaSTOCKINV[[#This Row],[CANT. TOTAL]]</f>
        <v>0</v>
      </c>
      <c r="S701" s="44">
        <f>_xlfn.XLOOKUP(TablaSTOCKINV[[#This Row],[SKU]],TablaINVENTARIO[SKU],TablaINVENTARIO[FECHA INGRESO])</f>
        <v>46023</v>
      </c>
      <c r="T701" s="44">
        <f>_xlfn.XLOOKUP(TablaSTOCKINV[[#This Row],[SKU]],TablaENTRADA[SKU],TablaENTRADA[FECHA],,0,-1)</f>
        <v>46023</v>
      </c>
      <c r="U701" s="46" t="str">
        <f>IFERROR((_xlfn.XLOOKUP(TablaSTOCKINV[[#This Row],[SKU]],TablaSALIDA[SKU],TablaSALIDA[FECHA],,0,-1))," " )</f>
        <v xml:space="preserve"> </v>
      </c>
    </row>
    <row r="702" spans="1:21" x14ac:dyDescent="0.3">
      <c r="A702" s="27" t="s">
        <v>3076</v>
      </c>
      <c r="B702" s="32" t="str">
        <f>_xlfn.XLOOKUP(TablaSTOCKINV[[#This Row],[SKU]],TablaINVENTARIO[SKU],TablaINVENTARIO[DESCRIPCION])</f>
        <v xml:space="preserve">MACHETE </v>
      </c>
      <c r="C702" s="32" t="str">
        <f>_xlfn.XLOOKUP(TablaSTOCKINV[[#This Row],[SKU]],TablaINVENTARIO[SKU],TablaINVENTARIO[MARCA])</f>
        <v>N/A</v>
      </c>
      <c r="D702" s="33" t="str">
        <f>_xlfn.XLOOKUP(TablaSTOCKINV[[#This Row],[SKU]],TablaINVENTARIO[SKU],TablaINVENTARIO[CATEGORIA])</f>
        <v>HERRAMIENTAS_</v>
      </c>
      <c r="E702" s="33" t="str">
        <f>_xlfn.XLOOKUP(TablaSTOCKINV[[#This Row],[SKU]],TablaINVENTARIO[SKU],TablaINVENTARIO[SUBCATEGORIA])</f>
        <v xml:space="preserve">HERRAMIENTA DE MANO </v>
      </c>
      <c r="F702" s="33" t="str">
        <f>_xlfn.XLOOKUP(TablaSTOCKINV[[#This Row],[SKU]],TablaINVENTARIO[SKU],TablaINVENTARIO[ESTADO])</f>
        <v>USADO</v>
      </c>
      <c r="G702" s="33" t="str">
        <f>_xlfn.XLOOKUP(TablaSTOCKINV[[#This Row],[SKU]],TablaINVENTARIO[SKU],TablaINVENTARIO[MEDIDA])</f>
        <v>UND</v>
      </c>
      <c r="H702" s="33" t="str">
        <f>_xlfn.XLOOKUP(TablaSTOCKINV[[#This Row],[SKU]],TablaINVENTARIO[SKU],TablaINVENTARIO[SERIAL])</f>
        <v>N/A</v>
      </c>
      <c r="I702" s="34" t="str">
        <f>_xlfn.XLOOKUP(TablaSTOCKINV[[#This Row],[SKU]],TablaINVENTARIO[SKU],TablaINVENTARIO[ALMACEN])</f>
        <v>ALMACEN PRINCIPAL</v>
      </c>
      <c r="J702" s="34" t="str">
        <f>_xlfn.XLOOKUP(TablaSTOCKINV[[#This Row],[SKU]],TablaINVENTARIO[SKU],TablaINVENTARIO[UBICACION])</f>
        <v>F5</v>
      </c>
      <c r="K702" s="34" t="str">
        <f>_xlfn.XLOOKUP(TablaSTOCKINV[[#This Row],[SKU]],TablaINVENTARIO[SKU],TablaINVENTARIO[DPTO RESPONSABLE])</f>
        <v xml:space="preserve">OPERACIONES / MANTENIMIENTO </v>
      </c>
      <c r="L702" s="36">
        <f>_xlfn.XLOOKUP(TablaSTOCKINV[[#This Row],[SKU]],TablaINVENTARIO[SKU],TablaINVENTARIO[RANGO MIN])</f>
        <v>0</v>
      </c>
      <c r="M702" s="34" cm="1">
        <f t="array" ref="M702">_xlfn.IFS(TablaSTOCKINV[[#This Row],[CANT. TOTAL]]&lt;=0,1,TablaSTOCKINV[[#This Row],[CANT. TOTAL]]&lt;=TablaSTOCKINV[[#This Row],[MIN]],2,TablaSTOCKINV[[#This Row],[CANT. TOTAL]]&gt;TablaSTOCKINV[[#This Row],[MIN]],3)</f>
        <v>3</v>
      </c>
      <c r="N702" s="34">
        <f>TablaSTOCKINV[[#This Row],[ENTRADAS]]-TablaSTOCKINV[[#This Row],[SALIDAS]]</f>
        <v>1</v>
      </c>
      <c r="O702" s="35">
        <f>SUMIFS(TablaENTRADA[CANT],TablaENTRADA[SKU],TablaSTOCKINV[[#This Row],[SKU]])</f>
        <v>1</v>
      </c>
      <c r="P702" s="35">
        <f>SUMIFS(TablaSALIDA[CANT],TablaSALIDA[SKU],TablaSTOCKINV[[#This Row],[SKU]])</f>
        <v>0</v>
      </c>
      <c r="Q702" s="34">
        <f>_xlfn.XLOOKUP(TablaSTOCKINV[[#This Row],[SKU]],TablaINVENTARIO[SKU],TablaINVENTARIO[PRECIO])</f>
        <v>0</v>
      </c>
      <c r="R702" s="34">
        <f>TablaSTOCKINV[[#This Row],[P.UNITARIO]]*TablaSTOCKINV[[#This Row],[CANT. TOTAL]]</f>
        <v>0</v>
      </c>
      <c r="S702" s="44">
        <f>_xlfn.XLOOKUP(TablaSTOCKINV[[#This Row],[SKU]],TablaINVENTARIO[SKU],TablaINVENTARIO[FECHA INGRESO])</f>
        <v>46023</v>
      </c>
      <c r="T702" s="44">
        <f>_xlfn.XLOOKUP(TablaSTOCKINV[[#This Row],[SKU]],TablaENTRADA[SKU],TablaENTRADA[FECHA],,0,-1)</f>
        <v>46023</v>
      </c>
      <c r="U702" s="46" t="str">
        <f>IFERROR((_xlfn.XLOOKUP(TablaSTOCKINV[[#This Row],[SKU]],TablaSALIDA[SKU],TablaSALIDA[FECHA],,0,-1))," " )</f>
        <v xml:space="preserve"> </v>
      </c>
    </row>
    <row r="703" spans="1:21" x14ac:dyDescent="0.3">
      <c r="A703" s="27" t="s">
        <v>3078</v>
      </c>
      <c r="B703" s="32" t="str">
        <f>_xlfn.XLOOKUP(TablaSTOCKINV[[#This Row],[SKU]],TablaINVENTARIO[SKU],TablaINVENTARIO[DESCRIPCION])</f>
        <v>SEÑORITA INDUSTRIAL</v>
      </c>
      <c r="C703" s="32" t="str">
        <f>_xlfn.XLOOKUP(TablaSTOCKINV[[#This Row],[SKU]],TablaINVENTARIO[SKU],TablaINVENTARIO[MARCA])</f>
        <v>N/A</v>
      </c>
      <c r="D703" s="33" t="str">
        <f>_xlfn.XLOOKUP(TablaSTOCKINV[[#This Row],[SKU]],TablaINVENTARIO[SKU],TablaINVENTARIO[CATEGORIA])</f>
        <v>HERRAMIENTAS_</v>
      </c>
      <c r="E703" s="33" t="str">
        <f>_xlfn.XLOOKUP(TablaSTOCKINV[[#This Row],[SKU]],TablaINVENTARIO[SKU],TablaINVENTARIO[SUBCATEGORIA])</f>
        <v xml:space="preserve">HERRAMIENTA MECANICA </v>
      </c>
      <c r="F703" s="33" t="str">
        <f>_xlfn.XLOOKUP(TablaSTOCKINV[[#This Row],[SKU]],TablaINVENTARIO[SKU],TablaINVENTARIO[ESTADO])</f>
        <v>USADO</v>
      </c>
      <c r="G703" s="33" t="str">
        <f>_xlfn.XLOOKUP(TablaSTOCKINV[[#This Row],[SKU]],TablaINVENTARIO[SKU],TablaINVENTARIO[MEDIDA])</f>
        <v>UND</v>
      </c>
      <c r="H703" s="33" t="str">
        <f>_xlfn.XLOOKUP(TablaSTOCKINV[[#This Row],[SKU]],TablaINVENTARIO[SKU],TablaINVENTARIO[SERIAL])</f>
        <v>N/A</v>
      </c>
      <c r="I703" s="34" t="str">
        <f>_xlfn.XLOOKUP(TablaSTOCKINV[[#This Row],[SKU]],TablaINVENTARIO[SKU],TablaINVENTARIO[ALMACEN])</f>
        <v>ALMACEN PRINCIPAL</v>
      </c>
      <c r="J703" s="34" t="str">
        <f>_xlfn.XLOOKUP(TablaSTOCKINV[[#This Row],[SKU]],TablaINVENTARIO[SKU],TablaINVENTARIO[UBICACION])</f>
        <v>F4-2</v>
      </c>
      <c r="K703" s="34" t="str">
        <f>_xlfn.XLOOKUP(TablaSTOCKINV[[#This Row],[SKU]],TablaINVENTARIO[SKU],TablaINVENTARIO[DPTO RESPONSABLE])</f>
        <v xml:space="preserve">OPERACIONES / MANTENIMIENTO </v>
      </c>
      <c r="L703" s="36">
        <f>_xlfn.XLOOKUP(TablaSTOCKINV[[#This Row],[SKU]],TablaINVENTARIO[SKU],TablaINVENTARIO[RANGO MIN])</f>
        <v>0</v>
      </c>
      <c r="M703" s="34" cm="1">
        <f t="array" ref="M703">_xlfn.IFS(TablaSTOCKINV[[#This Row],[CANT. TOTAL]]&lt;=0,1,TablaSTOCKINV[[#This Row],[CANT. TOTAL]]&lt;=TablaSTOCKINV[[#This Row],[MIN]],2,TablaSTOCKINV[[#This Row],[CANT. TOTAL]]&gt;TablaSTOCKINV[[#This Row],[MIN]],3)</f>
        <v>3</v>
      </c>
      <c r="N703" s="34">
        <f>TablaSTOCKINV[[#This Row],[ENTRADAS]]-TablaSTOCKINV[[#This Row],[SALIDAS]]</f>
        <v>1</v>
      </c>
      <c r="O703" s="35">
        <f>SUMIFS(TablaENTRADA[CANT],TablaENTRADA[SKU],TablaSTOCKINV[[#This Row],[SKU]])</f>
        <v>1</v>
      </c>
      <c r="P703" s="35">
        <f>SUMIFS(TablaSALIDA[CANT],TablaSALIDA[SKU],TablaSTOCKINV[[#This Row],[SKU]])</f>
        <v>0</v>
      </c>
      <c r="Q703" s="34">
        <f>_xlfn.XLOOKUP(TablaSTOCKINV[[#This Row],[SKU]],TablaINVENTARIO[SKU],TablaINVENTARIO[PRECIO])</f>
        <v>0</v>
      </c>
      <c r="R703" s="34">
        <f>TablaSTOCKINV[[#This Row],[P.UNITARIO]]*TablaSTOCKINV[[#This Row],[CANT. TOTAL]]</f>
        <v>0</v>
      </c>
      <c r="S703" s="44">
        <f>_xlfn.XLOOKUP(TablaSTOCKINV[[#This Row],[SKU]],TablaINVENTARIO[SKU],TablaINVENTARIO[FECHA INGRESO])</f>
        <v>46023</v>
      </c>
      <c r="T703" s="44">
        <f>_xlfn.XLOOKUP(TablaSTOCKINV[[#This Row],[SKU]],TablaENTRADA[SKU],TablaENTRADA[FECHA],,0,-1)</f>
        <v>46023</v>
      </c>
      <c r="U703" s="46" t="str">
        <f>IFERROR((_xlfn.XLOOKUP(TablaSTOCKINV[[#This Row],[SKU]],TablaSALIDA[SKU],TablaSALIDA[FECHA],,0,-1))," " )</f>
        <v xml:space="preserve"> </v>
      </c>
    </row>
    <row r="704" spans="1:21" x14ac:dyDescent="0.3">
      <c r="A704" s="27" t="s">
        <v>52</v>
      </c>
      <c r="B704" s="32" t="str">
        <f>_xlfn.XLOOKUP(TablaSTOCKINV[[#This Row],[SKU]],TablaINVENTARIO[SKU],TablaINVENTARIO[DESCRIPCION])</f>
        <v xml:space="preserve">KARL FISCHER </v>
      </c>
      <c r="C704" s="32" t="str">
        <f>_xlfn.XLOOKUP(TablaSTOCKINV[[#This Row],[SKU]],TablaINVENTARIO[SKU],TablaINVENTARIO[MARCA])</f>
        <v>N/A</v>
      </c>
      <c r="D704" s="33" t="str">
        <f>_xlfn.XLOOKUP(TablaSTOCKINV[[#This Row],[SKU]],TablaINVENTARIO[SKU],TablaINVENTARIO[CATEGORIA])</f>
        <v>FABRICACION</v>
      </c>
      <c r="E704" s="33" t="str">
        <f>_xlfn.XLOOKUP(TablaSTOCKINV[[#This Row],[SKU]],TablaINVENTARIO[SKU],TablaINVENTARIO[SUBCATEGORIA])</f>
        <v>ARTEFACTO ELETRÓNICO</v>
      </c>
      <c r="F704" s="33" t="str">
        <f>_xlfn.XLOOKUP(TablaSTOCKINV[[#This Row],[SKU]],TablaINVENTARIO[SKU],TablaINVENTARIO[ESTADO])</f>
        <v>DAÑADO</v>
      </c>
      <c r="G704" s="33" t="str">
        <f>_xlfn.XLOOKUP(TablaSTOCKINV[[#This Row],[SKU]],TablaINVENTARIO[SKU],TablaINVENTARIO[MEDIDA])</f>
        <v xml:space="preserve">UND </v>
      </c>
      <c r="H704" s="33" t="str">
        <f>_xlfn.XLOOKUP(TablaSTOCKINV[[#This Row],[SKU]],TablaINVENTARIO[SKU],TablaINVENTARIO[SERIAL])</f>
        <v>MM-06-506</v>
      </c>
      <c r="I704" s="34" t="str">
        <f>_xlfn.XLOOKUP(TablaSTOCKINV[[#This Row],[SKU]],TablaINVENTARIO[SKU],TablaINVENTARIO[ALMACEN])</f>
        <v>ALMACEN PRINCIPAL</v>
      </c>
      <c r="J704" s="34" t="str">
        <f>_xlfn.XLOOKUP(TablaSTOCKINV[[#This Row],[SKU]],TablaINVENTARIO[SKU],TablaINVENTARIO[UBICACION])</f>
        <v>K1</v>
      </c>
      <c r="K704" s="34" t="str">
        <f>_xlfn.XLOOKUP(TablaSTOCKINV[[#This Row],[SKU]],TablaINVENTARIO[SKU],TablaINVENTARIO[DPTO RESPONSABLE])</f>
        <v xml:space="preserve">OPERACIONES </v>
      </c>
      <c r="L704" s="36">
        <f>_xlfn.XLOOKUP(TablaSTOCKINV[[#This Row],[SKU]],TablaINVENTARIO[SKU],TablaINVENTARIO[RANGO MIN])</f>
        <v>0</v>
      </c>
      <c r="M704" s="34" cm="1">
        <f t="array" ref="M704">_xlfn.IFS(TablaSTOCKINV[[#This Row],[CANT. TOTAL]]&lt;=0,1,TablaSTOCKINV[[#This Row],[CANT. TOTAL]]&lt;=TablaSTOCKINV[[#This Row],[MIN]],2,TablaSTOCKINV[[#This Row],[CANT. TOTAL]]&gt;TablaSTOCKINV[[#This Row],[MIN]],3)</f>
        <v>3</v>
      </c>
      <c r="N704" s="34">
        <f>TablaSTOCKINV[[#This Row],[ENTRADAS]]-TablaSTOCKINV[[#This Row],[SALIDAS]]</f>
        <v>1</v>
      </c>
      <c r="O704" s="35">
        <f>SUMIFS(TablaENTRADA[CANT],TablaENTRADA[SKU],TablaSTOCKINV[[#This Row],[SKU]])</f>
        <v>1</v>
      </c>
      <c r="P704" s="35">
        <f>SUMIFS(TablaSALIDA[CANT],TablaSALIDA[SKU],TablaSTOCKINV[[#This Row],[SKU]])</f>
        <v>0</v>
      </c>
      <c r="Q704" s="34">
        <f>_xlfn.XLOOKUP(TablaSTOCKINV[[#This Row],[SKU]],TablaINVENTARIO[SKU],TablaINVENTARIO[PRECIO])</f>
        <v>0</v>
      </c>
      <c r="R704" s="34">
        <f>TablaSTOCKINV[[#This Row],[P.UNITARIO]]*TablaSTOCKINV[[#This Row],[CANT. TOTAL]]</f>
        <v>0</v>
      </c>
      <c r="S704" s="44">
        <f>_xlfn.XLOOKUP(TablaSTOCKINV[[#This Row],[SKU]],TablaINVENTARIO[SKU],TablaINVENTARIO[FECHA INGRESO])</f>
        <v>46023</v>
      </c>
      <c r="T704" s="44">
        <f>_xlfn.XLOOKUP(TablaSTOCKINV[[#This Row],[SKU]],TablaENTRADA[SKU],TablaENTRADA[FECHA],,0,-1)</f>
        <v>46023</v>
      </c>
      <c r="U704" s="46" t="str">
        <f>IFERROR((_xlfn.XLOOKUP(TablaSTOCKINV[[#This Row],[SKU]],TablaSALIDA[SKU],TablaSALIDA[FECHA],,0,-1))," " )</f>
        <v xml:space="preserve"> </v>
      </c>
    </row>
    <row r="705" spans="1:21" x14ac:dyDescent="0.3">
      <c r="A705" s="27" t="s">
        <v>470</v>
      </c>
      <c r="B705" s="32" t="str">
        <f>_xlfn.XLOOKUP(TablaSTOCKINV[[#This Row],[SKU]],TablaINVENTARIO[SKU],TablaINVENTARIO[DESCRIPCION])</f>
        <v xml:space="preserve">KARL FISCHER </v>
      </c>
      <c r="C705" s="32" t="str">
        <f>_xlfn.XLOOKUP(TablaSTOCKINV[[#This Row],[SKU]],TablaINVENTARIO[SKU],TablaINVENTARIO[MARCA])</f>
        <v>N/A</v>
      </c>
      <c r="D705" s="33" t="str">
        <f>_xlfn.XLOOKUP(TablaSTOCKINV[[#This Row],[SKU]],TablaINVENTARIO[SKU],TablaINVENTARIO[CATEGORIA])</f>
        <v>FABRICACION</v>
      </c>
      <c r="E705" s="33" t="str">
        <f>_xlfn.XLOOKUP(TablaSTOCKINV[[#This Row],[SKU]],TablaINVENTARIO[SKU],TablaINVENTARIO[SUBCATEGORIA])</f>
        <v>ARTEFACTO ELETRÓNICO</v>
      </c>
      <c r="F705" s="33" t="str">
        <f>_xlfn.XLOOKUP(TablaSTOCKINV[[#This Row],[SKU]],TablaINVENTARIO[SKU],TablaINVENTARIO[ESTADO])</f>
        <v>USADO</v>
      </c>
      <c r="G705" s="33" t="str">
        <f>_xlfn.XLOOKUP(TablaSTOCKINV[[#This Row],[SKU]],TablaINVENTARIO[SKU],TablaINVENTARIO[MEDIDA])</f>
        <v xml:space="preserve">UND </v>
      </c>
      <c r="H705" s="33" t="str">
        <f>_xlfn.XLOOKUP(TablaSTOCKINV[[#This Row],[SKU]],TablaINVENTARIO[SKU],TablaINVENTARIO[SERIAL])</f>
        <v>MM-2002-399</v>
      </c>
      <c r="I705" s="34" t="str">
        <f>_xlfn.XLOOKUP(TablaSTOCKINV[[#This Row],[SKU]],TablaINVENTARIO[SKU],TablaINVENTARIO[ALMACEN])</f>
        <v>ALMACEN PRINCIPAL</v>
      </c>
      <c r="J705" s="34" t="str">
        <f>_xlfn.XLOOKUP(TablaSTOCKINV[[#This Row],[SKU]],TablaINVENTARIO[SKU],TablaINVENTARIO[UBICACION])</f>
        <v>K1</v>
      </c>
      <c r="K705" s="34" t="str">
        <f>_xlfn.XLOOKUP(TablaSTOCKINV[[#This Row],[SKU]],TablaINVENTARIO[SKU],TablaINVENTARIO[DPTO RESPONSABLE])</f>
        <v xml:space="preserve">OPERACIONES </v>
      </c>
      <c r="L705" s="36">
        <f>_xlfn.XLOOKUP(TablaSTOCKINV[[#This Row],[SKU]],TablaINVENTARIO[SKU],TablaINVENTARIO[RANGO MIN])</f>
        <v>0</v>
      </c>
      <c r="M705" s="34" cm="1">
        <f t="array" ref="M705">_xlfn.IFS(TablaSTOCKINV[[#This Row],[CANT. TOTAL]]&lt;=0,1,TablaSTOCKINV[[#This Row],[CANT. TOTAL]]&lt;=TablaSTOCKINV[[#This Row],[MIN]],2,TablaSTOCKINV[[#This Row],[CANT. TOTAL]]&gt;TablaSTOCKINV[[#This Row],[MIN]],3)</f>
        <v>3</v>
      </c>
      <c r="N705" s="34">
        <f>TablaSTOCKINV[[#This Row],[ENTRADAS]]-TablaSTOCKINV[[#This Row],[SALIDAS]]</f>
        <v>1</v>
      </c>
      <c r="O705" s="35">
        <f>SUMIFS(TablaENTRADA[CANT],TablaENTRADA[SKU],TablaSTOCKINV[[#This Row],[SKU]])</f>
        <v>1</v>
      </c>
      <c r="P705" s="35">
        <f>SUMIFS(TablaSALIDA[CANT],TablaSALIDA[SKU],TablaSTOCKINV[[#This Row],[SKU]])</f>
        <v>0</v>
      </c>
      <c r="Q705" s="34">
        <f>_xlfn.XLOOKUP(TablaSTOCKINV[[#This Row],[SKU]],TablaINVENTARIO[SKU],TablaINVENTARIO[PRECIO])</f>
        <v>0</v>
      </c>
      <c r="R705" s="34">
        <f>TablaSTOCKINV[[#This Row],[P.UNITARIO]]*TablaSTOCKINV[[#This Row],[CANT. TOTAL]]</f>
        <v>0</v>
      </c>
      <c r="S705" s="44">
        <f>_xlfn.XLOOKUP(TablaSTOCKINV[[#This Row],[SKU]],TablaINVENTARIO[SKU],TablaINVENTARIO[FECHA INGRESO])</f>
        <v>46023</v>
      </c>
      <c r="T705" s="44">
        <f>_xlfn.XLOOKUP(TablaSTOCKINV[[#This Row],[SKU]],TablaENTRADA[SKU],TablaENTRADA[FECHA],,0,-1)</f>
        <v>46023</v>
      </c>
      <c r="U705" s="46" t="str">
        <f>IFERROR((_xlfn.XLOOKUP(TablaSTOCKINV[[#This Row],[SKU]],TablaSALIDA[SKU],TablaSALIDA[FECHA],,0,-1))," " )</f>
        <v xml:space="preserve"> </v>
      </c>
    </row>
    <row r="706" spans="1:21" x14ac:dyDescent="0.3">
      <c r="A706" s="27" t="s">
        <v>472</v>
      </c>
      <c r="B706" s="32" t="str">
        <f>_xlfn.XLOOKUP(TablaSTOCKINV[[#This Row],[SKU]],TablaINVENTARIO[SKU],TablaINVENTARIO[DESCRIPCION])</f>
        <v>CONECTOR  1/2" NPT X 3/8" OD CON FERRULE Y TUERCA 3/8"</v>
      </c>
      <c r="C706" s="32" t="str">
        <f>_xlfn.XLOOKUP(TablaSTOCKINV[[#This Row],[SKU]],TablaINVENTARIO[SKU],TablaINVENTARIO[MARCA])</f>
        <v>SWAGELOK</v>
      </c>
      <c r="D706" s="33" t="str">
        <f>_xlfn.XLOOKUP(TablaSTOCKINV[[#This Row],[SKU]],TablaINVENTARIO[SKU],TablaINVENTARIO[CATEGORIA])</f>
        <v>FABRICACION</v>
      </c>
      <c r="E706" s="33" t="str">
        <f>_xlfn.XLOOKUP(TablaSTOCKINV[[#This Row],[SKU]],TablaINVENTARIO[SKU],TablaINVENTARIO[SUBCATEGORIA])</f>
        <v>MATERIAL MECANICO</v>
      </c>
      <c r="F706" s="33" t="str">
        <f>_xlfn.XLOOKUP(TablaSTOCKINV[[#This Row],[SKU]],TablaINVENTARIO[SKU],TablaINVENTARIO[ESTADO])</f>
        <v>NUEVO</v>
      </c>
      <c r="G706" s="33" t="str">
        <f>_xlfn.XLOOKUP(TablaSTOCKINV[[#This Row],[SKU]],TablaINVENTARIO[SKU],TablaINVENTARIO[MEDIDA])</f>
        <v xml:space="preserve">UND </v>
      </c>
      <c r="H706" s="33" t="str">
        <f>_xlfn.XLOOKUP(TablaSTOCKINV[[#This Row],[SKU]],TablaINVENTARIO[SKU],TablaINVENTARIO[SERIAL])</f>
        <v>N/A</v>
      </c>
      <c r="I706" s="34" t="str">
        <f>_xlfn.XLOOKUP(TablaSTOCKINV[[#This Row],[SKU]],TablaINVENTARIO[SKU],TablaINVENTARIO[ALMACEN])</f>
        <v>ALMACEN PRINCIPAL</v>
      </c>
      <c r="J706" s="34" t="str">
        <f>_xlfn.XLOOKUP(TablaSTOCKINV[[#This Row],[SKU]],TablaINVENTARIO[SKU],TablaINVENTARIO[UBICACION])</f>
        <v>K2</v>
      </c>
      <c r="K706" s="34" t="str">
        <f>_xlfn.XLOOKUP(TablaSTOCKINV[[#This Row],[SKU]],TablaINVENTARIO[SKU],TablaINVENTARIO[DPTO RESPONSABLE])</f>
        <v xml:space="preserve">OPERACIONES </v>
      </c>
      <c r="L706" s="36">
        <f>_xlfn.XLOOKUP(TablaSTOCKINV[[#This Row],[SKU]],TablaINVENTARIO[SKU],TablaINVENTARIO[RANGO MIN])</f>
        <v>0</v>
      </c>
      <c r="M706" s="34" cm="1">
        <f t="array" ref="M706">_xlfn.IFS(TablaSTOCKINV[[#This Row],[CANT. TOTAL]]&lt;=0,1,TablaSTOCKINV[[#This Row],[CANT. TOTAL]]&lt;=TablaSTOCKINV[[#This Row],[MIN]],2,TablaSTOCKINV[[#This Row],[CANT. TOTAL]]&gt;TablaSTOCKINV[[#This Row],[MIN]],3)</f>
        <v>3</v>
      </c>
      <c r="N706" s="34">
        <f>TablaSTOCKINV[[#This Row],[ENTRADAS]]-TablaSTOCKINV[[#This Row],[SALIDAS]]</f>
        <v>43</v>
      </c>
      <c r="O706" s="35">
        <f>SUMIFS(TablaENTRADA[CANT],TablaENTRADA[SKU],TablaSTOCKINV[[#This Row],[SKU]])</f>
        <v>43</v>
      </c>
      <c r="P706" s="35">
        <f>SUMIFS(TablaSALIDA[CANT],TablaSALIDA[SKU],TablaSTOCKINV[[#This Row],[SKU]])</f>
        <v>0</v>
      </c>
      <c r="Q706" s="34">
        <f>_xlfn.XLOOKUP(TablaSTOCKINV[[#This Row],[SKU]],TablaINVENTARIO[SKU],TablaINVENTARIO[PRECIO])</f>
        <v>0</v>
      </c>
      <c r="R706" s="34">
        <f>TablaSTOCKINV[[#This Row],[P.UNITARIO]]*TablaSTOCKINV[[#This Row],[CANT. TOTAL]]</f>
        <v>0</v>
      </c>
      <c r="S706" s="44">
        <f>_xlfn.XLOOKUP(TablaSTOCKINV[[#This Row],[SKU]],TablaINVENTARIO[SKU],TablaINVENTARIO[FECHA INGRESO])</f>
        <v>46023</v>
      </c>
      <c r="T706" s="44">
        <f>_xlfn.XLOOKUP(TablaSTOCKINV[[#This Row],[SKU]],TablaENTRADA[SKU],TablaENTRADA[FECHA],,0,-1)</f>
        <v>46023</v>
      </c>
      <c r="U706" s="46" t="str">
        <f>IFERROR((_xlfn.XLOOKUP(TablaSTOCKINV[[#This Row],[SKU]],TablaSALIDA[SKU],TablaSALIDA[FECHA],,0,-1))," " )</f>
        <v xml:space="preserve"> </v>
      </c>
    </row>
    <row r="707" spans="1:21" x14ac:dyDescent="0.3">
      <c r="A707" s="27" t="s">
        <v>477</v>
      </c>
      <c r="B707" s="32" t="str">
        <f>_xlfn.XLOOKUP(TablaSTOCKINV[[#This Row],[SKU]],TablaINVENTARIO[SKU],TablaINVENTARIO[DESCRIPCION])</f>
        <v>VALVULA CHECK 3/8" 25 PSI (HEMBRA)</v>
      </c>
      <c r="C707" s="32" t="str">
        <f>_xlfn.XLOOKUP(TablaSTOCKINV[[#This Row],[SKU]],TablaINVENTARIO[SKU],TablaINVENTARIO[MARCA])</f>
        <v>SWAGELOK</v>
      </c>
      <c r="D707" s="33" t="str">
        <f>_xlfn.XLOOKUP(TablaSTOCKINV[[#This Row],[SKU]],TablaINVENTARIO[SKU],TablaINVENTARIO[CATEGORIA])</f>
        <v>FABRICACION</v>
      </c>
      <c r="E707" s="33" t="str">
        <f>_xlfn.XLOOKUP(TablaSTOCKINV[[#This Row],[SKU]],TablaINVENTARIO[SKU],TablaINVENTARIO[SUBCATEGORIA])</f>
        <v>MATERIAL MECANICO</v>
      </c>
      <c r="F707" s="33" t="str">
        <f>_xlfn.XLOOKUP(TablaSTOCKINV[[#This Row],[SKU]],TablaINVENTARIO[SKU],TablaINVENTARIO[ESTADO])</f>
        <v>NUEVO</v>
      </c>
      <c r="G707" s="33" t="str">
        <f>_xlfn.XLOOKUP(TablaSTOCKINV[[#This Row],[SKU]],TablaINVENTARIO[SKU],TablaINVENTARIO[MEDIDA])</f>
        <v xml:space="preserve">UND </v>
      </c>
      <c r="H707" s="33" t="str">
        <f>_xlfn.XLOOKUP(TablaSTOCKINV[[#This Row],[SKU]],TablaINVENTARIO[SKU],TablaINVENTARIO[SERIAL])</f>
        <v>N/A</v>
      </c>
      <c r="I707" s="34" t="str">
        <f>_xlfn.XLOOKUP(TablaSTOCKINV[[#This Row],[SKU]],TablaINVENTARIO[SKU],TablaINVENTARIO[ALMACEN])</f>
        <v>ALMACEN PRINCIPAL</v>
      </c>
      <c r="J707" s="34" t="str">
        <f>_xlfn.XLOOKUP(TablaSTOCKINV[[#This Row],[SKU]],TablaINVENTARIO[SKU],TablaINVENTARIO[UBICACION])</f>
        <v>K2</v>
      </c>
      <c r="K707" s="34" t="str">
        <f>_xlfn.XLOOKUP(TablaSTOCKINV[[#This Row],[SKU]],TablaINVENTARIO[SKU],TablaINVENTARIO[DPTO RESPONSABLE])</f>
        <v xml:space="preserve">OPERACIONES </v>
      </c>
      <c r="L707" s="36">
        <f>_xlfn.XLOOKUP(TablaSTOCKINV[[#This Row],[SKU]],TablaINVENTARIO[SKU],TablaINVENTARIO[RANGO MIN])</f>
        <v>0</v>
      </c>
      <c r="M707" s="34" cm="1">
        <f t="array" ref="M707">_xlfn.IFS(TablaSTOCKINV[[#This Row],[CANT. TOTAL]]&lt;=0,1,TablaSTOCKINV[[#This Row],[CANT. TOTAL]]&lt;=TablaSTOCKINV[[#This Row],[MIN]],2,TablaSTOCKINV[[#This Row],[CANT. TOTAL]]&gt;TablaSTOCKINV[[#This Row],[MIN]],3)</f>
        <v>3</v>
      </c>
      <c r="N707" s="34">
        <f>TablaSTOCKINV[[#This Row],[ENTRADAS]]-TablaSTOCKINV[[#This Row],[SALIDAS]]</f>
        <v>52</v>
      </c>
      <c r="O707" s="35">
        <f>SUMIFS(TablaENTRADA[CANT],TablaENTRADA[SKU],TablaSTOCKINV[[#This Row],[SKU]])</f>
        <v>52</v>
      </c>
      <c r="P707" s="35">
        <f>SUMIFS(TablaSALIDA[CANT],TablaSALIDA[SKU],TablaSTOCKINV[[#This Row],[SKU]])</f>
        <v>0</v>
      </c>
      <c r="Q707" s="34">
        <f>_xlfn.XLOOKUP(TablaSTOCKINV[[#This Row],[SKU]],TablaINVENTARIO[SKU],TablaINVENTARIO[PRECIO])</f>
        <v>0</v>
      </c>
      <c r="R707" s="34">
        <f>TablaSTOCKINV[[#This Row],[P.UNITARIO]]*TablaSTOCKINV[[#This Row],[CANT. TOTAL]]</f>
        <v>0</v>
      </c>
      <c r="S707" s="44">
        <f>_xlfn.XLOOKUP(TablaSTOCKINV[[#This Row],[SKU]],TablaINVENTARIO[SKU],TablaINVENTARIO[FECHA INGRESO])</f>
        <v>46023</v>
      </c>
      <c r="T707" s="44">
        <f>_xlfn.XLOOKUP(TablaSTOCKINV[[#This Row],[SKU]],TablaENTRADA[SKU],TablaENTRADA[FECHA],,0,-1)</f>
        <v>46023</v>
      </c>
      <c r="U707" s="46" t="str">
        <f>IFERROR((_xlfn.XLOOKUP(TablaSTOCKINV[[#This Row],[SKU]],TablaSALIDA[SKU],TablaSALIDA[FECHA],,0,-1))," " )</f>
        <v xml:space="preserve"> </v>
      </c>
    </row>
    <row r="708" spans="1:21" x14ac:dyDescent="0.3">
      <c r="A708" s="27" t="s">
        <v>479</v>
      </c>
      <c r="B708" s="32" t="str">
        <f>_xlfn.XLOOKUP(TablaSTOCKINV[[#This Row],[SKU]],TablaINVENTARIO[SKU],TablaINVENTARIO[DESCRIPCION])</f>
        <v>VALVULA CHECK 3/8" 1/3 PSI (HEMBRA)</v>
      </c>
      <c r="C708" s="32" t="str">
        <f>_xlfn.XLOOKUP(TablaSTOCKINV[[#This Row],[SKU]],TablaINVENTARIO[SKU],TablaINVENTARIO[MARCA])</f>
        <v>SWAGELOK</v>
      </c>
      <c r="D708" s="33" t="str">
        <f>_xlfn.XLOOKUP(TablaSTOCKINV[[#This Row],[SKU]],TablaINVENTARIO[SKU],TablaINVENTARIO[CATEGORIA])</f>
        <v>FABRICACION</v>
      </c>
      <c r="E708" s="33" t="str">
        <f>_xlfn.XLOOKUP(TablaSTOCKINV[[#This Row],[SKU]],TablaINVENTARIO[SKU],TablaINVENTARIO[SUBCATEGORIA])</f>
        <v>MATERIAL MECANICO</v>
      </c>
      <c r="F708" s="33" t="str">
        <f>_xlfn.XLOOKUP(TablaSTOCKINV[[#This Row],[SKU]],TablaINVENTARIO[SKU],TablaINVENTARIO[ESTADO])</f>
        <v>NUEVO</v>
      </c>
      <c r="G708" s="33" t="str">
        <f>_xlfn.XLOOKUP(TablaSTOCKINV[[#This Row],[SKU]],TablaINVENTARIO[SKU],TablaINVENTARIO[MEDIDA])</f>
        <v xml:space="preserve">UND </v>
      </c>
      <c r="H708" s="33" t="str">
        <f>_xlfn.XLOOKUP(TablaSTOCKINV[[#This Row],[SKU]],TablaINVENTARIO[SKU],TablaINVENTARIO[SERIAL])</f>
        <v>N/A</v>
      </c>
      <c r="I708" s="34" t="str">
        <f>_xlfn.XLOOKUP(TablaSTOCKINV[[#This Row],[SKU]],TablaINVENTARIO[SKU],TablaINVENTARIO[ALMACEN])</f>
        <v>ALMACEN PRINCIPAL</v>
      </c>
      <c r="J708" s="34" t="str">
        <f>_xlfn.XLOOKUP(TablaSTOCKINV[[#This Row],[SKU]],TablaINVENTARIO[SKU],TablaINVENTARIO[UBICACION])</f>
        <v>K2</v>
      </c>
      <c r="K708" s="34" t="str">
        <f>_xlfn.XLOOKUP(TablaSTOCKINV[[#This Row],[SKU]],TablaINVENTARIO[SKU],TablaINVENTARIO[DPTO RESPONSABLE])</f>
        <v xml:space="preserve">OPERACIONES </v>
      </c>
      <c r="L708" s="36">
        <f>_xlfn.XLOOKUP(TablaSTOCKINV[[#This Row],[SKU]],TablaINVENTARIO[SKU],TablaINVENTARIO[RANGO MIN])</f>
        <v>0</v>
      </c>
      <c r="M708" s="34" cm="1">
        <f t="array" ref="M708">_xlfn.IFS(TablaSTOCKINV[[#This Row],[CANT. TOTAL]]&lt;=0,1,TablaSTOCKINV[[#This Row],[CANT. TOTAL]]&lt;=TablaSTOCKINV[[#This Row],[MIN]],2,TablaSTOCKINV[[#This Row],[CANT. TOTAL]]&gt;TablaSTOCKINV[[#This Row],[MIN]],3)</f>
        <v>3</v>
      </c>
      <c r="N708" s="34">
        <f>TablaSTOCKINV[[#This Row],[ENTRADAS]]-TablaSTOCKINV[[#This Row],[SALIDAS]]</f>
        <v>253</v>
      </c>
      <c r="O708" s="35">
        <f>SUMIFS(TablaENTRADA[CANT],TablaENTRADA[SKU],TablaSTOCKINV[[#This Row],[SKU]])</f>
        <v>253</v>
      </c>
      <c r="P708" s="35">
        <f>SUMIFS(TablaSALIDA[CANT],TablaSALIDA[SKU],TablaSTOCKINV[[#This Row],[SKU]])</f>
        <v>0</v>
      </c>
      <c r="Q708" s="34">
        <f>_xlfn.XLOOKUP(TablaSTOCKINV[[#This Row],[SKU]],TablaINVENTARIO[SKU],TablaINVENTARIO[PRECIO])</f>
        <v>0</v>
      </c>
      <c r="R708" s="34">
        <f>TablaSTOCKINV[[#This Row],[P.UNITARIO]]*TablaSTOCKINV[[#This Row],[CANT. TOTAL]]</f>
        <v>0</v>
      </c>
      <c r="S708" s="44">
        <f>_xlfn.XLOOKUP(TablaSTOCKINV[[#This Row],[SKU]],TablaINVENTARIO[SKU],TablaINVENTARIO[FECHA INGRESO])</f>
        <v>46023</v>
      </c>
      <c r="T708" s="44">
        <f>_xlfn.XLOOKUP(TablaSTOCKINV[[#This Row],[SKU]],TablaENTRADA[SKU],TablaENTRADA[FECHA],,0,-1)</f>
        <v>46023</v>
      </c>
      <c r="U708" s="46" t="str">
        <f>IFERROR((_xlfn.XLOOKUP(TablaSTOCKINV[[#This Row],[SKU]],TablaSALIDA[SKU],TablaSALIDA[FECHA],,0,-1))," " )</f>
        <v xml:space="preserve"> </v>
      </c>
    </row>
    <row r="709" spans="1:21" x14ac:dyDescent="0.3">
      <c r="A709" s="27" t="s">
        <v>481</v>
      </c>
      <c r="B709" s="32" t="str">
        <f>_xlfn.XLOOKUP(TablaSTOCKINV[[#This Row],[SKU]],TablaINVENTARIO[SKU],TablaINVENTARIO[DESCRIPCION])</f>
        <v>CONECTOR  1/2" NPT X 3/8" OD SIN FERRULE Y TUERCA</v>
      </c>
      <c r="C709" s="32" t="str">
        <f>_xlfn.XLOOKUP(TablaSTOCKINV[[#This Row],[SKU]],TablaINVENTARIO[SKU],TablaINVENTARIO[MARCA])</f>
        <v>SWAGELOK</v>
      </c>
      <c r="D709" s="33" t="str">
        <f>_xlfn.XLOOKUP(TablaSTOCKINV[[#This Row],[SKU]],TablaINVENTARIO[SKU],TablaINVENTARIO[CATEGORIA])</f>
        <v>FABRICACION</v>
      </c>
      <c r="E709" s="33" t="str">
        <f>_xlfn.XLOOKUP(TablaSTOCKINV[[#This Row],[SKU]],TablaINVENTARIO[SKU],TablaINVENTARIO[SUBCATEGORIA])</f>
        <v>MATERIAL MECANICO</v>
      </c>
      <c r="F709" s="33" t="str">
        <f>_xlfn.XLOOKUP(TablaSTOCKINV[[#This Row],[SKU]],TablaINVENTARIO[SKU],TablaINVENTARIO[ESTADO])</f>
        <v>NUEVO</v>
      </c>
      <c r="G709" s="33" t="str">
        <f>_xlfn.XLOOKUP(TablaSTOCKINV[[#This Row],[SKU]],TablaINVENTARIO[SKU],TablaINVENTARIO[MEDIDA])</f>
        <v xml:space="preserve">UND </v>
      </c>
      <c r="H709" s="33" t="str">
        <f>_xlfn.XLOOKUP(TablaSTOCKINV[[#This Row],[SKU]],TablaINVENTARIO[SKU],TablaINVENTARIO[SERIAL])</f>
        <v>N/A</v>
      </c>
      <c r="I709" s="34" t="str">
        <f>_xlfn.XLOOKUP(TablaSTOCKINV[[#This Row],[SKU]],TablaINVENTARIO[SKU],TablaINVENTARIO[ALMACEN])</f>
        <v>ALMACEN PRINCIPAL</v>
      </c>
      <c r="J709" s="34" t="str">
        <f>_xlfn.XLOOKUP(TablaSTOCKINV[[#This Row],[SKU]],TablaINVENTARIO[SKU],TablaINVENTARIO[UBICACION])</f>
        <v>K2</v>
      </c>
      <c r="K709" s="34" t="str">
        <f>_xlfn.XLOOKUP(TablaSTOCKINV[[#This Row],[SKU]],TablaINVENTARIO[SKU],TablaINVENTARIO[DPTO RESPONSABLE])</f>
        <v xml:space="preserve">OPERACIONES </v>
      </c>
      <c r="L709" s="36">
        <f>_xlfn.XLOOKUP(TablaSTOCKINV[[#This Row],[SKU]],TablaINVENTARIO[SKU],TablaINVENTARIO[RANGO MIN])</f>
        <v>0</v>
      </c>
      <c r="M709" s="34" cm="1">
        <f t="array" ref="M709">_xlfn.IFS(TablaSTOCKINV[[#This Row],[CANT. TOTAL]]&lt;=0,1,TablaSTOCKINV[[#This Row],[CANT. TOTAL]]&lt;=TablaSTOCKINV[[#This Row],[MIN]],2,TablaSTOCKINV[[#This Row],[CANT. TOTAL]]&gt;TablaSTOCKINV[[#This Row],[MIN]],3)</f>
        <v>3</v>
      </c>
      <c r="N709" s="34">
        <f>TablaSTOCKINV[[#This Row],[ENTRADAS]]-TablaSTOCKINV[[#This Row],[SALIDAS]]</f>
        <v>45</v>
      </c>
      <c r="O709" s="35">
        <f>SUMIFS(TablaENTRADA[CANT],TablaENTRADA[SKU],TablaSTOCKINV[[#This Row],[SKU]])</f>
        <v>45</v>
      </c>
      <c r="P709" s="35">
        <f>SUMIFS(TablaSALIDA[CANT],TablaSALIDA[SKU],TablaSTOCKINV[[#This Row],[SKU]])</f>
        <v>0</v>
      </c>
      <c r="Q709" s="34">
        <f>_xlfn.XLOOKUP(TablaSTOCKINV[[#This Row],[SKU]],TablaINVENTARIO[SKU],TablaINVENTARIO[PRECIO])</f>
        <v>0</v>
      </c>
      <c r="R709" s="34">
        <f>TablaSTOCKINV[[#This Row],[P.UNITARIO]]*TablaSTOCKINV[[#This Row],[CANT. TOTAL]]</f>
        <v>0</v>
      </c>
      <c r="S709" s="44">
        <f>_xlfn.XLOOKUP(TablaSTOCKINV[[#This Row],[SKU]],TablaINVENTARIO[SKU],TablaINVENTARIO[FECHA INGRESO])</f>
        <v>46023</v>
      </c>
      <c r="T709" s="44">
        <f>_xlfn.XLOOKUP(TablaSTOCKINV[[#This Row],[SKU]],TablaENTRADA[SKU],TablaENTRADA[FECHA],,0,-1)</f>
        <v>46023</v>
      </c>
      <c r="U709" s="46" t="str">
        <f>IFERROR((_xlfn.XLOOKUP(TablaSTOCKINV[[#This Row],[SKU]],TablaSALIDA[SKU],TablaSALIDA[FECHA],,0,-1))," " )</f>
        <v xml:space="preserve"> </v>
      </c>
    </row>
    <row r="710" spans="1:21" x14ac:dyDescent="0.3">
      <c r="A710" s="27" t="s">
        <v>483</v>
      </c>
      <c r="B710" s="32" t="str">
        <f>_xlfn.XLOOKUP(TablaSTOCKINV[[#This Row],[SKU]],TablaINVENTARIO[SKU],TablaINVENTARIO[DESCRIPCION])</f>
        <v>VALVULA DE PURGA 3/8" NPT MACHO  MODELO: SS-BVM4</v>
      </c>
      <c r="C710" s="32" t="str">
        <f>_xlfn.XLOOKUP(TablaSTOCKINV[[#This Row],[SKU]],TablaINVENTARIO[SKU],TablaINVENTARIO[MARCA])</f>
        <v>SWAGELOK</v>
      </c>
      <c r="D710" s="33" t="str">
        <f>_xlfn.XLOOKUP(TablaSTOCKINV[[#This Row],[SKU]],TablaINVENTARIO[SKU],TablaINVENTARIO[CATEGORIA])</f>
        <v>FABRICACION</v>
      </c>
      <c r="E710" s="33" t="str">
        <f>_xlfn.XLOOKUP(TablaSTOCKINV[[#This Row],[SKU]],TablaINVENTARIO[SKU],TablaINVENTARIO[SUBCATEGORIA])</f>
        <v>MATERIAL MECANICO</v>
      </c>
      <c r="F710" s="33" t="str">
        <f>_xlfn.XLOOKUP(TablaSTOCKINV[[#This Row],[SKU]],TablaINVENTARIO[SKU],TablaINVENTARIO[ESTADO])</f>
        <v>NUEVO</v>
      </c>
      <c r="G710" s="33" t="str">
        <f>_xlfn.XLOOKUP(TablaSTOCKINV[[#This Row],[SKU]],TablaINVENTARIO[SKU],TablaINVENTARIO[MEDIDA])</f>
        <v xml:space="preserve">UND </v>
      </c>
      <c r="H710" s="33" t="str">
        <f>_xlfn.XLOOKUP(TablaSTOCKINV[[#This Row],[SKU]],TablaINVENTARIO[SKU],TablaINVENTARIO[SERIAL])</f>
        <v>N/A</v>
      </c>
      <c r="I710" s="34" t="str">
        <f>_xlfn.XLOOKUP(TablaSTOCKINV[[#This Row],[SKU]],TablaINVENTARIO[SKU],TablaINVENTARIO[ALMACEN])</f>
        <v>ALMACEN PRINCIPAL</v>
      </c>
      <c r="J710" s="34" t="str">
        <f>_xlfn.XLOOKUP(TablaSTOCKINV[[#This Row],[SKU]],TablaINVENTARIO[SKU],TablaINVENTARIO[UBICACION])</f>
        <v>K2</v>
      </c>
      <c r="K710" s="34" t="str">
        <f>_xlfn.XLOOKUP(TablaSTOCKINV[[#This Row],[SKU]],TablaINVENTARIO[SKU],TablaINVENTARIO[DPTO RESPONSABLE])</f>
        <v xml:space="preserve">OPERACIONES </v>
      </c>
      <c r="L710" s="36">
        <f>_xlfn.XLOOKUP(TablaSTOCKINV[[#This Row],[SKU]],TablaINVENTARIO[SKU],TablaINVENTARIO[RANGO MIN])</f>
        <v>0</v>
      </c>
      <c r="M710" s="34" cm="1">
        <f t="array" ref="M710">_xlfn.IFS(TablaSTOCKINV[[#This Row],[CANT. TOTAL]]&lt;=0,1,TablaSTOCKINV[[#This Row],[CANT. TOTAL]]&lt;=TablaSTOCKINV[[#This Row],[MIN]],2,TablaSTOCKINV[[#This Row],[CANT. TOTAL]]&gt;TablaSTOCKINV[[#This Row],[MIN]],3)</f>
        <v>3</v>
      </c>
      <c r="N710" s="34">
        <f>TablaSTOCKINV[[#This Row],[ENTRADAS]]-TablaSTOCKINV[[#This Row],[SALIDAS]]</f>
        <v>146</v>
      </c>
      <c r="O710" s="35">
        <f>SUMIFS(TablaENTRADA[CANT],TablaENTRADA[SKU],TablaSTOCKINV[[#This Row],[SKU]])</f>
        <v>146</v>
      </c>
      <c r="P710" s="35">
        <f>SUMIFS(TablaSALIDA[CANT],TablaSALIDA[SKU],TablaSTOCKINV[[#This Row],[SKU]])</f>
        <v>0</v>
      </c>
      <c r="Q710" s="34">
        <f>_xlfn.XLOOKUP(TablaSTOCKINV[[#This Row],[SKU]],TablaINVENTARIO[SKU],TablaINVENTARIO[PRECIO])</f>
        <v>0</v>
      </c>
      <c r="R710" s="34">
        <f>TablaSTOCKINV[[#This Row],[P.UNITARIO]]*TablaSTOCKINV[[#This Row],[CANT. TOTAL]]</f>
        <v>0</v>
      </c>
      <c r="S710" s="44">
        <f>_xlfn.XLOOKUP(TablaSTOCKINV[[#This Row],[SKU]],TablaINVENTARIO[SKU],TablaINVENTARIO[FECHA INGRESO])</f>
        <v>46023</v>
      </c>
      <c r="T710" s="44">
        <f>_xlfn.XLOOKUP(TablaSTOCKINV[[#This Row],[SKU]],TablaENTRADA[SKU],TablaENTRADA[FECHA],,0,-1)</f>
        <v>46023</v>
      </c>
      <c r="U710" s="46" t="str">
        <f>IFERROR((_xlfn.XLOOKUP(TablaSTOCKINV[[#This Row],[SKU]],TablaSALIDA[SKU],TablaSALIDA[FECHA],,0,-1))," " )</f>
        <v xml:space="preserve"> </v>
      </c>
    </row>
    <row r="711" spans="1:21" x14ac:dyDescent="0.3">
      <c r="A711" s="27" t="s">
        <v>485</v>
      </c>
      <c r="B711" s="32" t="str">
        <f>_xlfn.XLOOKUP(TablaSTOCKINV[[#This Row],[SKU]],TablaINVENTARIO[SKU],TablaINVENTARIO[DESCRIPCION])</f>
        <v>VALVULA DE PURGA 3/8" NPT MACHO  MODELO: SS-BVM4-SH (MARIPOSA)</v>
      </c>
      <c r="C711" s="32" t="str">
        <f>_xlfn.XLOOKUP(TablaSTOCKINV[[#This Row],[SKU]],TablaINVENTARIO[SKU],TablaINVENTARIO[MARCA])</f>
        <v>SWAGELOK</v>
      </c>
      <c r="D711" s="33" t="str">
        <f>_xlfn.XLOOKUP(TablaSTOCKINV[[#This Row],[SKU]],TablaINVENTARIO[SKU],TablaINVENTARIO[CATEGORIA])</f>
        <v>FABRICACION</v>
      </c>
      <c r="E711" s="33" t="str">
        <f>_xlfn.XLOOKUP(TablaSTOCKINV[[#This Row],[SKU]],TablaINVENTARIO[SKU],TablaINVENTARIO[SUBCATEGORIA])</f>
        <v>MATERIAL MECANICO</v>
      </c>
      <c r="F711" s="33" t="str">
        <f>_xlfn.XLOOKUP(TablaSTOCKINV[[#This Row],[SKU]],TablaINVENTARIO[SKU],TablaINVENTARIO[ESTADO])</f>
        <v>NUEVO</v>
      </c>
      <c r="G711" s="33" t="str">
        <f>_xlfn.XLOOKUP(TablaSTOCKINV[[#This Row],[SKU]],TablaINVENTARIO[SKU],TablaINVENTARIO[MEDIDA])</f>
        <v xml:space="preserve">UND </v>
      </c>
      <c r="H711" s="33" t="str">
        <f>_xlfn.XLOOKUP(TablaSTOCKINV[[#This Row],[SKU]],TablaINVENTARIO[SKU],TablaINVENTARIO[SERIAL])</f>
        <v>N/A</v>
      </c>
      <c r="I711" s="34" t="str">
        <f>_xlfn.XLOOKUP(TablaSTOCKINV[[#This Row],[SKU]],TablaINVENTARIO[SKU],TablaINVENTARIO[ALMACEN])</f>
        <v>ALMACEN PRINCIPAL</v>
      </c>
      <c r="J711" s="34" t="str">
        <f>_xlfn.XLOOKUP(TablaSTOCKINV[[#This Row],[SKU]],TablaINVENTARIO[SKU],TablaINVENTARIO[UBICACION])</f>
        <v>K2</v>
      </c>
      <c r="K711" s="34" t="str">
        <f>_xlfn.XLOOKUP(TablaSTOCKINV[[#This Row],[SKU]],TablaINVENTARIO[SKU],TablaINVENTARIO[DPTO RESPONSABLE])</f>
        <v xml:space="preserve">OPERACIONES </v>
      </c>
      <c r="L711" s="36">
        <f>_xlfn.XLOOKUP(TablaSTOCKINV[[#This Row],[SKU]],TablaINVENTARIO[SKU],TablaINVENTARIO[RANGO MIN])</f>
        <v>0</v>
      </c>
      <c r="M711" s="34" cm="1">
        <f t="array" ref="M711">_xlfn.IFS(TablaSTOCKINV[[#This Row],[CANT. TOTAL]]&lt;=0,1,TablaSTOCKINV[[#This Row],[CANT. TOTAL]]&lt;=TablaSTOCKINV[[#This Row],[MIN]],2,TablaSTOCKINV[[#This Row],[CANT. TOTAL]]&gt;TablaSTOCKINV[[#This Row],[MIN]],3)</f>
        <v>3</v>
      </c>
      <c r="N711" s="34">
        <f>TablaSTOCKINV[[#This Row],[ENTRADAS]]-TablaSTOCKINV[[#This Row],[SALIDAS]]</f>
        <v>36</v>
      </c>
      <c r="O711" s="35">
        <f>SUMIFS(TablaENTRADA[CANT],TablaENTRADA[SKU],TablaSTOCKINV[[#This Row],[SKU]])</f>
        <v>36</v>
      </c>
      <c r="P711" s="35">
        <f>SUMIFS(TablaSALIDA[CANT],TablaSALIDA[SKU],TablaSTOCKINV[[#This Row],[SKU]])</f>
        <v>0</v>
      </c>
      <c r="Q711" s="34">
        <f>_xlfn.XLOOKUP(TablaSTOCKINV[[#This Row],[SKU]],TablaINVENTARIO[SKU],TablaINVENTARIO[PRECIO])</f>
        <v>0</v>
      </c>
      <c r="R711" s="34">
        <f>TablaSTOCKINV[[#This Row],[P.UNITARIO]]*TablaSTOCKINV[[#This Row],[CANT. TOTAL]]</f>
        <v>0</v>
      </c>
      <c r="S711" s="44">
        <f>_xlfn.XLOOKUP(TablaSTOCKINV[[#This Row],[SKU]],TablaINVENTARIO[SKU],TablaINVENTARIO[FECHA INGRESO])</f>
        <v>46023</v>
      </c>
      <c r="T711" s="44">
        <f>_xlfn.XLOOKUP(TablaSTOCKINV[[#This Row],[SKU]],TablaENTRADA[SKU],TablaENTRADA[FECHA],,0,-1)</f>
        <v>46023</v>
      </c>
      <c r="U711" s="46" t="str">
        <f>IFERROR((_xlfn.XLOOKUP(TablaSTOCKINV[[#This Row],[SKU]],TablaSALIDA[SKU],TablaSALIDA[FECHA],,0,-1))," " )</f>
        <v xml:space="preserve"> </v>
      </c>
    </row>
    <row r="712" spans="1:21" x14ac:dyDescent="0.3">
      <c r="A712" s="27" t="s">
        <v>487</v>
      </c>
      <c r="B712" s="32" t="str">
        <f>_xlfn.XLOOKUP(TablaSTOCKINV[[#This Row],[SKU]],TablaINVENTARIO[SKU],TablaINVENTARIO[DESCRIPCION])</f>
        <v xml:space="preserve">BUSHING DE ACTUADOR PARA PIN DE VALVULA 2" </v>
      </c>
      <c r="C712" s="32" t="str">
        <f>_xlfn.XLOOKUP(TablaSTOCKINV[[#This Row],[SKU]],TablaINVENTARIO[SKU],TablaINVENTARIO[MARCA])</f>
        <v>N/A</v>
      </c>
      <c r="D712" s="33" t="str">
        <f>_xlfn.XLOOKUP(TablaSTOCKINV[[#This Row],[SKU]],TablaINVENTARIO[SKU],TablaINVENTARIO[CATEGORIA])</f>
        <v>FABRICACION</v>
      </c>
      <c r="E712" s="33" t="str">
        <f>_xlfn.XLOOKUP(TablaSTOCKINV[[#This Row],[SKU]],TablaINVENTARIO[SKU],TablaINVENTARIO[SUBCATEGORIA])</f>
        <v>MATERIAL MECANICO</v>
      </c>
      <c r="F712" s="33" t="str">
        <f>_xlfn.XLOOKUP(TablaSTOCKINV[[#This Row],[SKU]],TablaINVENTARIO[SKU],TablaINVENTARIO[ESTADO])</f>
        <v>NUEVO</v>
      </c>
      <c r="G712" s="33" t="str">
        <f>_xlfn.XLOOKUP(TablaSTOCKINV[[#This Row],[SKU]],TablaINVENTARIO[SKU],TablaINVENTARIO[MEDIDA])</f>
        <v xml:space="preserve">UND </v>
      </c>
      <c r="H712" s="33" t="str">
        <f>_xlfn.XLOOKUP(TablaSTOCKINV[[#This Row],[SKU]],TablaINVENTARIO[SKU],TablaINVENTARIO[SERIAL])</f>
        <v>N/A</v>
      </c>
      <c r="I712" s="34" t="str">
        <f>_xlfn.XLOOKUP(TablaSTOCKINV[[#This Row],[SKU]],TablaINVENTARIO[SKU],TablaINVENTARIO[ALMACEN])</f>
        <v>ALMACEN PRINCIPAL</v>
      </c>
      <c r="J712" s="34" t="str">
        <f>_xlfn.XLOOKUP(TablaSTOCKINV[[#This Row],[SKU]],TablaINVENTARIO[SKU],TablaINVENTARIO[UBICACION])</f>
        <v>K2</v>
      </c>
      <c r="K712" s="34" t="str">
        <f>_xlfn.XLOOKUP(TablaSTOCKINV[[#This Row],[SKU]],TablaINVENTARIO[SKU],TablaINVENTARIO[DPTO RESPONSABLE])</f>
        <v xml:space="preserve">OPERACIONES </v>
      </c>
      <c r="L712" s="36">
        <f>_xlfn.XLOOKUP(TablaSTOCKINV[[#This Row],[SKU]],TablaINVENTARIO[SKU],TablaINVENTARIO[RANGO MIN])</f>
        <v>0</v>
      </c>
      <c r="M712" s="34" cm="1">
        <f t="array" ref="M712">_xlfn.IFS(TablaSTOCKINV[[#This Row],[CANT. TOTAL]]&lt;=0,1,TablaSTOCKINV[[#This Row],[CANT. TOTAL]]&lt;=TablaSTOCKINV[[#This Row],[MIN]],2,TablaSTOCKINV[[#This Row],[CANT. TOTAL]]&gt;TablaSTOCKINV[[#This Row],[MIN]],3)</f>
        <v>3</v>
      </c>
      <c r="N712" s="34">
        <f>TablaSTOCKINV[[#This Row],[ENTRADAS]]-TablaSTOCKINV[[#This Row],[SALIDAS]]</f>
        <v>8</v>
      </c>
      <c r="O712" s="35">
        <f>SUMIFS(TablaENTRADA[CANT],TablaENTRADA[SKU],TablaSTOCKINV[[#This Row],[SKU]])</f>
        <v>8</v>
      </c>
      <c r="P712" s="35">
        <f>SUMIFS(TablaSALIDA[CANT],TablaSALIDA[SKU],TablaSTOCKINV[[#This Row],[SKU]])</f>
        <v>0</v>
      </c>
      <c r="Q712" s="34">
        <f>_xlfn.XLOOKUP(TablaSTOCKINV[[#This Row],[SKU]],TablaINVENTARIO[SKU],TablaINVENTARIO[PRECIO])</f>
        <v>0</v>
      </c>
      <c r="R712" s="34">
        <f>TablaSTOCKINV[[#This Row],[P.UNITARIO]]*TablaSTOCKINV[[#This Row],[CANT. TOTAL]]</f>
        <v>0</v>
      </c>
      <c r="S712" s="44">
        <f>_xlfn.XLOOKUP(TablaSTOCKINV[[#This Row],[SKU]],TablaINVENTARIO[SKU],TablaINVENTARIO[FECHA INGRESO])</f>
        <v>46023</v>
      </c>
      <c r="T712" s="44">
        <f>_xlfn.XLOOKUP(TablaSTOCKINV[[#This Row],[SKU]],TablaENTRADA[SKU],TablaENTRADA[FECHA],,0,-1)</f>
        <v>46023</v>
      </c>
      <c r="U712" s="46" t="str">
        <f>IFERROR((_xlfn.XLOOKUP(TablaSTOCKINV[[#This Row],[SKU]],TablaSALIDA[SKU],TablaSALIDA[FECHA],,0,-1))," " )</f>
        <v xml:space="preserve"> </v>
      </c>
    </row>
    <row r="713" spans="1:21" x14ac:dyDescent="0.3">
      <c r="A713" s="27" t="s">
        <v>489</v>
      </c>
      <c r="B713" s="32" t="str">
        <f>_xlfn.XLOOKUP(TablaSTOCKINV[[#This Row],[SKU]],TablaINVENTARIO[SKU],TablaINVENTARIO[DESCRIPCION])</f>
        <v xml:space="preserve">ARANDELA DE SEGURIDAD DE OVALO DE PDMETER </v>
      </c>
      <c r="C713" s="32" t="str">
        <f>_xlfn.XLOOKUP(TablaSTOCKINV[[#This Row],[SKU]],TablaINVENTARIO[SKU],TablaINVENTARIO[MARCA])</f>
        <v>N/A</v>
      </c>
      <c r="D713" s="33" t="str">
        <f>_xlfn.XLOOKUP(TablaSTOCKINV[[#This Row],[SKU]],TablaINVENTARIO[SKU],TablaINVENTARIO[CATEGORIA])</f>
        <v>FABRICACION</v>
      </c>
      <c r="E713" s="33" t="str">
        <f>_xlfn.XLOOKUP(TablaSTOCKINV[[#This Row],[SKU]],TablaINVENTARIO[SKU],TablaINVENTARIO[SUBCATEGORIA])</f>
        <v>MATERIAL MECANICO</v>
      </c>
      <c r="F713" s="33" t="str">
        <f>_xlfn.XLOOKUP(TablaSTOCKINV[[#This Row],[SKU]],TablaINVENTARIO[SKU],TablaINVENTARIO[ESTADO])</f>
        <v>NUEVO</v>
      </c>
      <c r="G713" s="33" t="str">
        <f>_xlfn.XLOOKUP(TablaSTOCKINV[[#This Row],[SKU]],TablaINVENTARIO[SKU],TablaINVENTARIO[MEDIDA])</f>
        <v xml:space="preserve">UND </v>
      </c>
      <c r="H713" s="33" t="str">
        <f>_xlfn.XLOOKUP(TablaSTOCKINV[[#This Row],[SKU]],TablaINVENTARIO[SKU],TablaINVENTARIO[SERIAL])</f>
        <v>N/A</v>
      </c>
      <c r="I713" s="34" t="str">
        <f>_xlfn.XLOOKUP(TablaSTOCKINV[[#This Row],[SKU]],TablaINVENTARIO[SKU],TablaINVENTARIO[ALMACEN])</f>
        <v>ALMACEN PRINCIPAL</v>
      </c>
      <c r="J713" s="34" t="str">
        <f>_xlfn.XLOOKUP(TablaSTOCKINV[[#This Row],[SKU]],TablaINVENTARIO[SKU],TablaINVENTARIO[UBICACION])</f>
        <v>K2</v>
      </c>
      <c r="K713" s="34" t="str">
        <f>_xlfn.XLOOKUP(TablaSTOCKINV[[#This Row],[SKU]],TablaINVENTARIO[SKU],TablaINVENTARIO[DPTO RESPONSABLE])</f>
        <v xml:space="preserve">OPERACIONES </v>
      </c>
      <c r="L713" s="36">
        <f>_xlfn.XLOOKUP(TablaSTOCKINV[[#This Row],[SKU]],TablaINVENTARIO[SKU],TablaINVENTARIO[RANGO MIN])</f>
        <v>0</v>
      </c>
      <c r="M713" s="34" cm="1">
        <f t="array" ref="M713">_xlfn.IFS(TablaSTOCKINV[[#This Row],[CANT. TOTAL]]&lt;=0,1,TablaSTOCKINV[[#This Row],[CANT. TOTAL]]&lt;=TablaSTOCKINV[[#This Row],[MIN]],2,TablaSTOCKINV[[#This Row],[CANT. TOTAL]]&gt;TablaSTOCKINV[[#This Row],[MIN]],3)</f>
        <v>3</v>
      </c>
      <c r="N713" s="34">
        <f>TablaSTOCKINV[[#This Row],[ENTRADAS]]-TablaSTOCKINV[[#This Row],[SALIDAS]]</f>
        <v>8</v>
      </c>
      <c r="O713" s="35">
        <f>SUMIFS(TablaENTRADA[CANT],TablaENTRADA[SKU],TablaSTOCKINV[[#This Row],[SKU]])</f>
        <v>8</v>
      </c>
      <c r="P713" s="35">
        <f>SUMIFS(TablaSALIDA[CANT],TablaSALIDA[SKU],TablaSTOCKINV[[#This Row],[SKU]])</f>
        <v>0</v>
      </c>
      <c r="Q713" s="34">
        <f>_xlfn.XLOOKUP(TablaSTOCKINV[[#This Row],[SKU]],TablaINVENTARIO[SKU],TablaINVENTARIO[PRECIO])</f>
        <v>0</v>
      </c>
      <c r="R713" s="34">
        <f>TablaSTOCKINV[[#This Row],[P.UNITARIO]]*TablaSTOCKINV[[#This Row],[CANT. TOTAL]]</f>
        <v>0</v>
      </c>
      <c r="S713" s="44">
        <f>_xlfn.XLOOKUP(TablaSTOCKINV[[#This Row],[SKU]],TablaINVENTARIO[SKU],TablaINVENTARIO[FECHA INGRESO])</f>
        <v>46023</v>
      </c>
      <c r="T713" s="44">
        <f>_xlfn.XLOOKUP(TablaSTOCKINV[[#This Row],[SKU]],TablaENTRADA[SKU],TablaENTRADA[FECHA],,0,-1)</f>
        <v>46023</v>
      </c>
      <c r="U713" s="46" t="str">
        <f>IFERROR((_xlfn.XLOOKUP(TablaSTOCKINV[[#This Row],[SKU]],TablaSALIDA[SKU],TablaSALIDA[FECHA],,0,-1))," " )</f>
        <v xml:space="preserve"> </v>
      </c>
    </row>
    <row r="714" spans="1:21" x14ac:dyDescent="0.3">
      <c r="A714" s="27" t="s">
        <v>491</v>
      </c>
      <c r="B714" s="32" t="str">
        <f>_xlfn.XLOOKUP(TablaSTOCKINV[[#This Row],[SKU]],TablaINVENTARIO[SKU],TablaINVENTARIO[DESCRIPCION])</f>
        <v xml:space="preserve">ESPACIADORES DE ACERO INOXIDABLE </v>
      </c>
      <c r="C714" s="32" t="str">
        <f>_xlfn.XLOOKUP(TablaSTOCKINV[[#This Row],[SKU]],TablaINVENTARIO[SKU],TablaINVENTARIO[MARCA])</f>
        <v>N/A</v>
      </c>
      <c r="D714" s="33" t="str">
        <f>_xlfn.XLOOKUP(TablaSTOCKINV[[#This Row],[SKU]],TablaINVENTARIO[SKU],TablaINVENTARIO[CATEGORIA])</f>
        <v>FABRICACION</v>
      </c>
      <c r="E714" s="33" t="str">
        <f>_xlfn.XLOOKUP(TablaSTOCKINV[[#This Row],[SKU]],TablaINVENTARIO[SKU],TablaINVENTARIO[SUBCATEGORIA])</f>
        <v>MATERIAL MECANICO</v>
      </c>
      <c r="F714" s="33" t="str">
        <f>_xlfn.XLOOKUP(TablaSTOCKINV[[#This Row],[SKU]],TablaINVENTARIO[SKU],TablaINVENTARIO[ESTADO])</f>
        <v>NUEVO</v>
      </c>
      <c r="G714" s="33" t="str">
        <f>_xlfn.XLOOKUP(TablaSTOCKINV[[#This Row],[SKU]],TablaINVENTARIO[SKU],TablaINVENTARIO[MEDIDA])</f>
        <v xml:space="preserve">UND </v>
      </c>
      <c r="H714" s="33" t="str">
        <f>_xlfn.XLOOKUP(TablaSTOCKINV[[#This Row],[SKU]],TablaINVENTARIO[SKU],TablaINVENTARIO[SERIAL])</f>
        <v>N/A</v>
      </c>
      <c r="I714" s="34" t="str">
        <f>_xlfn.XLOOKUP(TablaSTOCKINV[[#This Row],[SKU]],TablaINVENTARIO[SKU],TablaINVENTARIO[ALMACEN])</f>
        <v>ALMACEN PRINCIPAL</v>
      </c>
      <c r="J714" s="34" t="str">
        <f>_xlfn.XLOOKUP(TablaSTOCKINV[[#This Row],[SKU]],TablaINVENTARIO[SKU],TablaINVENTARIO[UBICACION])</f>
        <v>K3</v>
      </c>
      <c r="K714" s="34" t="str">
        <f>_xlfn.XLOOKUP(TablaSTOCKINV[[#This Row],[SKU]],TablaINVENTARIO[SKU],TablaINVENTARIO[DPTO RESPONSABLE])</f>
        <v xml:space="preserve">OPERACIONES </v>
      </c>
      <c r="L714" s="36">
        <f>_xlfn.XLOOKUP(TablaSTOCKINV[[#This Row],[SKU]],TablaINVENTARIO[SKU],TablaINVENTARIO[RANGO MIN])</f>
        <v>0</v>
      </c>
      <c r="M714" s="34" cm="1">
        <f t="array" ref="M714">_xlfn.IFS(TablaSTOCKINV[[#This Row],[CANT. TOTAL]]&lt;=0,1,TablaSTOCKINV[[#This Row],[CANT. TOTAL]]&lt;=TablaSTOCKINV[[#This Row],[MIN]],2,TablaSTOCKINV[[#This Row],[CANT. TOTAL]]&gt;TablaSTOCKINV[[#This Row],[MIN]],3)</f>
        <v>3</v>
      </c>
      <c r="N714" s="34">
        <f>TablaSTOCKINV[[#This Row],[ENTRADAS]]-TablaSTOCKINV[[#This Row],[SALIDAS]]</f>
        <v>77</v>
      </c>
      <c r="O714" s="35">
        <f>SUMIFS(TablaENTRADA[CANT],TablaENTRADA[SKU],TablaSTOCKINV[[#This Row],[SKU]])</f>
        <v>77</v>
      </c>
      <c r="P714" s="35">
        <f>SUMIFS(TablaSALIDA[CANT],TablaSALIDA[SKU],TablaSTOCKINV[[#This Row],[SKU]])</f>
        <v>0</v>
      </c>
      <c r="Q714" s="34">
        <f>_xlfn.XLOOKUP(TablaSTOCKINV[[#This Row],[SKU]],TablaINVENTARIO[SKU],TablaINVENTARIO[PRECIO])</f>
        <v>0</v>
      </c>
      <c r="R714" s="34">
        <f>TablaSTOCKINV[[#This Row],[P.UNITARIO]]*TablaSTOCKINV[[#This Row],[CANT. TOTAL]]</f>
        <v>0</v>
      </c>
      <c r="S714" s="44">
        <f>_xlfn.XLOOKUP(TablaSTOCKINV[[#This Row],[SKU]],TablaINVENTARIO[SKU],TablaINVENTARIO[FECHA INGRESO])</f>
        <v>46023</v>
      </c>
      <c r="T714" s="44">
        <f>_xlfn.XLOOKUP(TablaSTOCKINV[[#This Row],[SKU]],TablaENTRADA[SKU],TablaENTRADA[FECHA],,0,-1)</f>
        <v>46023</v>
      </c>
      <c r="U714" s="46" t="str">
        <f>IFERROR((_xlfn.XLOOKUP(TablaSTOCKINV[[#This Row],[SKU]],TablaSALIDA[SKU],TablaSALIDA[FECHA],,0,-1))," " )</f>
        <v xml:space="preserve"> </v>
      </c>
    </row>
    <row r="715" spans="1:21" x14ac:dyDescent="0.3">
      <c r="A715" s="27" t="s">
        <v>494</v>
      </c>
      <c r="B715" s="32" t="str">
        <f>_xlfn.XLOOKUP(TablaSTOCKINV[[#This Row],[SKU]],TablaINVENTARIO[SKU],TablaINVENTARIO[DESCRIPCION])</f>
        <v>FERRULE 3/8"</v>
      </c>
      <c r="C715" s="32" t="str">
        <f>_xlfn.XLOOKUP(TablaSTOCKINV[[#This Row],[SKU]],TablaINVENTARIO[SKU],TablaINVENTARIO[MARCA])</f>
        <v>N/A</v>
      </c>
      <c r="D715" s="33" t="str">
        <f>_xlfn.XLOOKUP(TablaSTOCKINV[[#This Row],[SKU]],TablaINVENTARIO[SKU],TablaINVENTARIO[CATEGORIA])</f>
        <v>FABRICACION</v>
      </c>
      <c r="E715" s="33" t="str">
        <f>_xlfn.XLOOKUP(TablaSTOCKINV[[#This Row],[SKU]],TablaINVENTARIO[SKU],TablaINVENTARIO[SUBCATEGORIA])</f>
        <v>MATERIAL MECANICO</v>
      </c>
      <c r="F715" s="33" t="str">
        <f>_xlfn.XLOOKUP(TablaSTOCKINV[[#This Row],[SKU]],TablaINVENTARIO[SKU],TablaINVENTARIO[ESTADO])</f>
        <v>NUEVO</v>
      </c>
      <c r="G715" s="33" t="str">
        <f>_xlfn.XLOOKUP(TablaSTOCKINV[[#This Row],[SKU]],TablaINVENTARIO[SKU],TablaINVENTARIO[MEDIDA])</f>
        <v xml:space="preserve">UND </v>
      </c>
      <c r="H715" s="33" t="str">
        <f>_xlfn.XLOOKUP(TablaSTOCKINV[[#This Row],[SKU]],TablaINVENTARIO[SKU],TablaINVENTARIO[SERIAL])</f>
        <v>N/A</v>
      </c>
      <c r="I715" s="34" t="str">
        <f>_xlfn.XLOOKUP(TablaSTOCKINV[[#This Row],[SKU]],TablaINVENTARIO[SKU],TablaINVENTARIO[ALMACEN])</f>
        <v>ALMACEN PRINCIPAL</v>
      </c>
      <c r="J715" s="34" t="str">
        <f>_xlfn.XLOOKUP(TablaSTOCKINV[[#This Row],[SKU]],TablaINVENTARIO[SKU],TablaINVENTARIO[UBICACION])</f>
        <v>K3</v>
      </c>
      <c r="K715" s="34" t="str">
        <f>_xlfn.XLOOKUP(TablaSTOCKINV[[#This Row],[SKU]],TablaINVENTARIO[SKU],TablaINVENTARIO[DPTO RESPONSABLE])</f>
        <v xml:space="preserve">OPERACIONES </v>
      </c>
      <c r="L715" s="36">
        <f>_xlfn.XLOOKUP(TablaSTOCKINV[[#This Row],[SKU]],TablaINVENTARIO[SKU],TablaINVENTARIO[RANGO MIN])</f>
        <v>0</v>
      </c>
      <c r="M715" s="34" cm="1">
        <f t="array" ref="M715">_xlfn.IFS(TablaSTOCKINV[[#This Row],[CANT. TOTAL]]&lt;=0,1,TablaSTOCKINV[[#This Row],[CANT. TOTAL]]&lt;=TablaSTOCKINV[[#This Row],[MIN]],2,TablaSTOCKINV[[#This Row],[CANT. TOTAL]]&gt;TablaSTOCKINV[[#This Row],[MIN]],3)</f>
        <v>3</v>
      </c>
      <c r="N715" s="34">
        <f>TablaSTOCKINV[[#This Row],[ENTRADAS]]-TablaSTOCKINV[[#This Row],[SALIDAS]]</f>
        <v>91</v>
      </c>
      <c r="O715" s="35">
        <f>SUMIFS(TablaENTRADA[CANT],TablaENTRADA[SKU],TablaSTOCKINV[[#This Row],[SKU]])</f>
        <v>91</v>
      </c>
      <c r="P715" s="35">
        <f>SUMIFS(TablaSALIDA[CANT],TablaSALIDA[SKU],TablaSTOCKINV[[#This Row],[SKU]])</f>
        <v>0</v>
      </c>
      <c r="Q715" s="34">
        <f>_xlfn.XLOOKUP(TablaSTOCKINV[[#This Row],[SKU]],TablaINVENTARIO[SKU],TablaINVENTARIO[PRECIO])</f>
        <v>0</v>
      </c>
      <c r="R715" s="34">
        <f>TablaSTOCKINV[[#This Row],[P.UNITARIO]]*TablaSTOCKINV[[#This Row],[CANT. TOTAL]]</f>
        <v>0</v>
      </c>
      <c r="S715" s="44">
        <f>_xlfn.XLOOKUP(TablaSTOCKINV[[#This Row],[SKU]],TablaINVENTARIO[SKU],TablaINVENTARIO[FECHA INGRESO])</f>
        <v>46023</v>
      </c>
      <c r="T715" s="44">
        <f>_xlfn.XLOOKUP(TablaSTOCKINV[[#This Row],[SKU]],TablaENTRADA[SKU],TablaENTRADA[FECHA],,0,-1)</f>
        <v>46023</v>
      </c>
      <c r="U715" s="46" t="str">
        <f>IFERROR((_xlfn.XLOOKUP(TablaSTOCKINV[[#This Row],[SKU]],TablaSALIDA[SKU],TablaSALIDA[FECHA],,0,-1))," " )</f>
        <v xml:space="preserve"> </v>
      </c>
    </row>
    <row r="716" spans="1:21" x14ac:dyDescent="0.3">
      <c r="A716" s="27" t="s">
        <v>496</v>
      </c>
      <c r="B716" s="32" t="str">
        <f>_xlfn.XLOOKUP(TablaSTOCKINV[[#This Row],[SKU]],TablaINVENTARIO[SKU],TablaINVENTARIO[DESCRIPCION])</f>
        <v>BACK FERRULE 3/8"</v>
      </c>
      <c r="C716" s="32" t="str">
        <f>_xlfn.XLOOKUP(TablaSTOCKINV[[#This Row],[SKU]],TablaINVENTARIO[SKU],TablaINVENTARIO[MARCA])</f>
        <v>N/A</v>
      </c>
      <c r="D716" s="33" t="str">
        <f>_xlfn.XLOOKUP(TablaSTOCKINV[[#This Row],[SKU]],TablaINVENTARIO[SKU],TablaINVENTARIO[CATEGORIA])</f>
        <v>FABRICACION</v>
      </c>
      <c r="E716" s="33" t="str">
        <f>_xlfn.XLOOKUP(TablaSTOCKINV[[#This Row],[SKU]],TablaINVENTARIO[SKU],TablaINVENTARIO[SUBCATEGORIA])</f>
        <v>MATERIAL MECANICO</v>
      </c>
      <c r="F716" s="33" t="str">
        <f>_xlfn.XLOOKUP(TablaSTOCKINV[[#This Row],[SKU]],TablaINVENTARIO[SKU],TablaINVENTARIO[ESTADO])</f>
        <v>NUEVO</v>
      </c>
      <c r="G716" s="33" t="str">
        <f>_xlfn.XLOOKUP(TablaSTOCKINV[[#This Row],[SKU]],TablaINVENTARIO[SKU],TablaINVENTARIO[MEDIDA])</f>
        <v xml:space="preserve">UND </v>
      </c>
      <c r="H716" s="33" t="str">
        <f>_xlfn.XLOOKUP(TablaSTOCKINV[[#This Row],[SKU]],TablaINVENTARIO[SKU],TablaINVENTARIO[SERIAL])</f>
        <v>N/A</v>
      </c>
      <c r="I716" s="34" t="str">
        <f>_xlfn.XLOOKUP(TablaSTOCKINV[[#This Row],[SKU]],TablaINVENTARIO[SKU],TablaINVENTARIO[ALMACEN])</f>
        <v>ALMACEN PRINCIPAL</v>
      </c>
      <c r="J716" s="34" t="str">
        <f>_xlfn.XLOOKUP(TablaSTOCKINV[[#This Row],[SKU]],TablaINVENTARIO[SKU],TablaINVENTARIO[UBICACION])</f>
        <v>K3</v>
      </c>
      <c r="K716" s="34" t="str">
        <f>_xlfn.XLOOKUP(TablaSTOCKINV[[#This Row],[SKU]],TablaINVENTARIO[SKU],TablaINVENTARIO[DPTO RESPONSABLE])</f>
        <v xml:space="preserve">OPERACIONES </v>
      </c>
      <c r="L716" s="36">
        <f>_xlfn.XLOOKUP(TablaSTOCKINV[[#This Row],[SKU]],TablaINVENTARIO[SKU],TablaINVENTARIO[RANGO MIN])</f>
        <v>0</v>
      </c>
      <c r="M716" s="34" cm="1">
        <f t="array" ref="M716">_xlfn.IFS(TablaSTOCKINV[[#This Row],[CANT. TOTAL]]&lt;=0,1,TablaSTOCKINV[[#This Row],[CANT. TOTAL]]&lt;=TablaSTOCKINV[[#This Row],[MIN]],2,TablaSTOCKINV[[#This Row],[CANT. TOTAL]]&gt;TablaSTOCKINV[[#This Row],[MIN]],3)</f>
        <v>3</v>
      </c>
      <c r="N716" s="34">
        <f>TablaSTOCKINV[[#This Row],[ENTRADAS]]-TablaSTOCKINV[[#This Row],[SALIDAS]]</f>
        <v>73</v>
      </c>
      <c r="O716" s="35">
        <f>SUMIFS(TablaENTRADA[CANT],TablaENTRADA[SKU],TablaSTOCKINV[[#This Row],[SKU]])</f>
        <v>73</v>
      </c>
      <c r="P716" s="35">
        <f>SUMIFS(TablaSALIDA[CANT],TablaSALIDA[SKU],TablaSTOCKINV[[#This Row],[SKU]])</f>
        <v>0</v>
      </c>
      <c r="Q716" s="34">
        <f>_xlfn.XLOOKUP(TablaSTOCKINV[[#This Row],[SKU]],TablaINVENTARIO[SKU],TablaINVENTARIO[PRECIO])</f>
        <v>0</v>
      </c>
      <c r="R716" s="34">
        <f>TablaSTOCKINV[[#This Row],[P.UNITARIO]]*TablaSTOCKINV[[#This Row],[CANT. TOTAL]]</f>
        <v>0</v>
      </c>
      <c r="S716" s="44">
        <f>_xlfn.XLOOKUP(TablaSTOCKINV[[#This Row],[SKU]],TablaINVENTARIO[SKU],TablaINVENTARIO[FECHA INGRESO])</f>
        <v>46023</v>
      </c>
      <c r="T716" s="44">
        <f>_xlfn.XLOOKUP(TablaSTOCKINV[[#This Row],[SKU]],TablaENTRADA[SKU],TablaENTRADA[FECHA],,0,-1)</f>
        <v>46023</v>
      </c>
      <c r="U716" s="46" t="str">
        <f>IFERROR((_xlfn.XLOOKUP(TablaSTOCKINV[[#This Row],[SKU]],TablaSALIDA[SKU],TablaSALIDA[FECHA],,0,-1))," " )</f>
        <v xml:space="preserve"> </v>
      </c>
    </row>
    <row r="717" spans="1:21" x14ac:dyDescent="0.3">
      <c r="A717" s="27" t="s">
        <v>498</v>
      </c>
      <c r="B717" s="32" t="str">
        <f>_xlfn.XLOOKUP(TablaSTOCKINV[[#This Row],[SKU]],TablaINVENTARIO[SKU],TablaINVENTARIO[DESCRIPCION])</f>
        <v>FERRULE 1/4"</v>
      </c>
      <c r="C717" s="32" t="str">
        <f>_xlfn.XLOOKUP(TablaSTOCKINV[[#This Row],[SKU]],TablaINVENTARIO[SKU],TablaINVENTARIO[MARCA])</f>
        <v>N/A</v>
      </c>
      <c r="D717" s="33" t="str">
        <f>_xlfn.XLOOKUP(TablaSTOCKINV[[#This Row],[SKU]],TablaINVENTARIO[SKU],TablaINVENTARIO[CATEGORIA])</f>
        <v>FABRICACION</v>
      </c>
      <c r="E717" s="33" t="str">
        <f>_xlfn.XLOOKUP(TablaSTOCKINV[[#This Row],[SKU]],TablaINVENTARIO[SKU],TablaINVENTARIO[SUBCATEGORIA])</f>
        <v>MATERIAL MECANICO</v>
      </c>
      <c r="F717" s="33" t="str">
        <f>_xlfn.XLOOKUP(TablaSTOCKINV[[#This Row],[SKU]],TablaINVENTARIO[SKU],TablaINVENTARIO[ESTADO])</f>
        <v>NUEVO</v>
      </c>
      <c r="G717" s="33" t="str">
        <f>_xlfn.XLOOKUP(TablaSTOCKINV[[#This Row],[SKU]],TablaINVENTARIO[SKU],TablaINVENTARIO[MEDIDA])</f>
        <v xml:space="preserve">UND </v>
      </c>
      <c r="H717" s="33" t="str">
        <f>_xlfn.XLOOKUP(TablaSTOCKINV[[#This Row],[SKU]],TablaINVENTARIO[SKU],TablaINVENTARIO[SERIAL])</f>
        <v>N/A</v>
      </c>
      <c r="I717" s="34" t="str">
        <f>_xlfn.XLOOKUP(TablaSTOCKINV[[#This Row],[SKU]],TablaINVENTARIO[SKU],TablaINVENTARIO[ALMACEN])</f>
        <v>ALMACEN PRINCIPAL</v>
      </c>
      <c r="J717" s="34" t="str">
        <f>_xlfn.XLOOKUP(TablaSTOCKINV[[#This Row],[SKU]],TablaINVENTARIO[SKU],TablaINVENTARIO[UBICACION])</f>
        <v>K3</v>
      </c>
      <c r="K717" s="34" t="str">
        <f>_xlfn.XLOOKUP(TablaSTOCKINV[[#This Row],[SKU]],TablaINVENTARIO[SKU],TablaINVENTARIO[DPTO RESPONSABLE])</f>
        <v xml:space="preserve">OPERACIONES </v>
      </c>
      <c r="L717" s="36">
        <f>_xlfn.XLOOKUP(TablaSTOCKINV[[#This Row],[SKU]],TablaINVENTARIO[SKU],TablaINVENTARIO[RANGO MIN])</f>
        <v>0</v>
      </c>
      <c r="M717" s="34" cm="1">
        <f t="array" ref="M717">_xlfn.IFS(TablaSTOCKINV[[#This Row],[CANT. TOTAL]]&lt;=0,1,TablaSTOCKINV[[#This Row],[CANT. TOTAL]]&lt;=TablaSTOCKINV[[#This Row],[MIN]],2,TablaSTOCKINV[[#This Row],[CANT. TOTAL]]&gt;TablaSTOCKINV[[#This Row],[MIN]],3)</f>
        <v>3</v>
      </c>
      <c r="N717" s="34">
        <f>TablaSTOCKINV[[#This Row],[ENTRADAS]]-TablaSTOCKINV[[#This Row],[SALIDAS]]</f>
        <v>84</v>
      </c>
      <c r="O717" s="35">
        <f>SUMIFS(TablaENTRADA[CANT],TablaENTRADA[SKU],TablaSTOCKINV[[#This Row],[SKU]])</f>
        <v>84</v>
      </c>
      <c r="P717" s="35">
        <f>SUMIFS(TablaSALIDA[CANT],TablaSALIDA[SKU],TablaSTOCKINV[[#This Row],[SKU]])</f>
        <v>0</v>
      </c>
      <c r="Q717" s="34">
        <f>_xlfn.XLOOKUP(TablaSTOCKINV[[#This Row],[SKU]],TablaINVENTARIO[SKU],TablaINVENTARIO[PRECIO])</f>
        <v>0</v>
      </c>
      <c r="R717" s="34">
        <f>TablaSTOCKINV[[#This Row],[P.UNITARIO]]*TablaSTOCKINV[[#This Row],[CANT. TOTAL]]</f>
        <v>0</v>
      </c>
      <c r="S717" s="44">
        <f>_xlfn.XLOOKUP(TablaSTOCKINV[[#This Row],[SKU]],TablaINVENTARIO[SKU],TablaINVENTARIO[FECHA INGRESO])</f>
        <v>46023</v>
      </c>
      <c r="T717" s="44">
        <f>_xlfn.XLOOKUP(TablaSTOCKINV[[#This Row],[SKU]],TablaENTRADA[SKU],TablaENTRADA[FECHA],,0,-1)</f>
        <v>46023</v>
      </c>
      <c r="U717" s="46" t="str">
        <f>IFERROR((_xlfn.XLOOKUP(TablaSTOCKINV[[#This Row],[SKU]],TablaSALIDA[SKU],TablaSALIDA[FECHA],,0,-1))," " )</f>
        <v xml:space="preserve"> </v>
      </c>
    </row>
    <row r="718" spans="1:21" x14ac:dyDescent="0.3">
      <c r="A718" s="27" t="s">
        <v>500</v>
      </c>
      <c r="B718" s="32" t="str">
        <f>_xlfn.XLOOKUP(TablaSTOCKINV[[#This Row],[SKU]],TablaINVENTARIO[SKU],TablaINVENTARIO[DESCRIPCION])</f>
        <v>BACK FERRULE 1/4"</v>
      </c>
      <c r="C718" s="32" t="str">
        <f>_xlfn.XLOOKUP(TablaSTOCKINV[[#This Row],[SKU]],TablaINVENTARIO[SKU],TablaINVENTARIO[MARCA])</f>
        <v>N/A</v>
      </c>
      <c r="D718" s="33" t="str">
        <f>_xlfn.XLOOKUP(TablaSTOCKINV[[#This Row],[SKU]],TablaINVENTARIO[SKU],TablaINVENTARIO[CATEGORIA])</f>
        <v>FABRICACION</v>
      </c>
      <c r="E718" s="33" t="str">
        <f>_xlfn.XLOOKUP(TablaSTOCKINV[[#This Row],[SKU]],TablaINVENTARIO[SKU],TablaINVENTARIO[SUBCATEGORIA])</f>
        <v>MATERIAL MECANICO</v>
      </c>
      <c r="F718" s="33" t="str">
        <f>_xlfn.XLOOKUP(TablaSTOCKINV[[#This Row],[SKU]],TablaINVENTARIO[SKU],TablaINVENTARIO[ESTADO])</f>
        <v>NUEVO</v>
      </c>
      <c r="G718" s="33" t="str">
        <f>_xlfn.XLOOKUP(TablaSTOCKINV[[#This Row],[SKU]],TablaINVENTARIO[SKU],TablaINVENTARIO[MEDIDA])</f>
        <v xml:space="preserve">UND </v>
      </c>
      <c r="H718" s="33" t="str">
        <f>_xlfn.XLOOKUP(TablaSTOCKINV[[#This Row],[SKU]],TablaINVENTARIO[SKU],TablaINVENTARIO[SERIAL])</f>
        <v>N/A</v>
      </c>
      <c r="I718" s="34" t="str">
        <f>_xlfn.XLOOKUP(TablaSTOCKINV[[#This Row],[SKU]],TablaINVENTARIO[SKU],TablaINVENTARIO[ALMACEN])</f>
        <v>ALMACEN PRINCIPAL</v>
      </c>
      <c r="J718" s="34" t="str">
        <f>_xlfn.XLOOKUP(TablaSTOCKINV[[#This Row],[SKU]],TablaINVENTARIO[SKU],TablaINVENTARIO[UBICACION])</f>
        <v>K3</v>
      </c>
      <c r="K718" s="34" t="str">
        <f>_xlfn.XLOOKUP(TablaSTOCKINV[[#This Row],[SKU]],TablaINVENTARIO[SKU],TablaINVENTARIO[DPTO RESPONSABLE])</f>
        <v xml:space="preserve">OPERACIONES </v>
      </c>
      <c r="L718" s="36">
        <f>_xlfn.XLOOKUP(TablaSTOCKINV[[#This Row],[SKU]],TablaINVENTARIO[SKU],TablaINVENTARIO[RANGO MIN])</f>
        <v>0</v>
      </c>
      <c r="M718" s="34" cm="1">
        <f t="array" ref="M718">_xlfn.IFS(TablaSTOCKINV[[#This Row],[CANT. TOTAL]]&lt;=0,1,TablaSTOCKINV[[#This Row],[CANT. TOTAL]]&lt;=TablaSTOCKINV[[#This Row],[MIN]],2,TablaSTOCKINV[[#This Row],[CANT. TOTAL]]&gt;TablaSTOCKINV[[#This Row],[MIN]],3)</f>
        <v>3</v>
      </c>
      <c r="N718" s="34">
        <f>TablaSTOCKINV[[#This Row],[ENTRADAS]]-TablaSTOCKINV[[#This Row],[SALIDAS]]</f>
        <v>58</v>
      </c>
      <c r="O718" s="35">
        <f>SUMIFS(TablaENTRADA[CANT],TablaENTRADA[SKU],TablaSTOCKINV[[#This Row],[SKU]])</f>
        <v>58</v>
      </c>
      <c r="P718" s="35">
        <f>SUMIFS(TablaSALIDA[CANT],TablaSALIDA[SKU],TablaSTOCKINV[[#This Row],[SKU]])</f>
        <v>0</v>
      </c>
      <c r="Q718" s="34">
        <f>_xlfn.XLOOKUP(TablaSTOCKINV[[#This Row],[SKU]],TablaINVENTARIO[SKU],TablaINVENTARIO[PRECIO])</f>
        <v>0</v>
      </c>
      <c r="R718" s="34">
        <f>TablaSTOCKINV[[#This Row],[P.UNITARIO]]*TablaSTOCKINV[[#This Row],[CANT. TOTAL]]</f>
        <v>0</v>
      </c>
      <c r="S718" s="44">
        <f>_xlfn.XLOOKUP(TablaSTOCKINV[[#This Row],[SKU]],TablaINVENTARIO[SKU],TablaINVENTARIO[FECHA INGRESO])</f>
        <v>46023</v>
      </c>
      <c r="T718" s="44">
        <f>_xlfn.XLOOKUP(TablaSTOCKINV[[#This Row],[SKU]],TablaENTRADA[SKU],TablaENTRADA[FECHA],,0,-1)</f>
        <v>46023</v>
      </c>
      <c r="U718" s="46" t="str">
        <f>IFERROR((_xlfn.XLOOKUP(TablaSTOCKINV[[#This Row],[SKU]],TablaSALIDA[SKU],TablaSALIDA[FECHA],,0,-1))," " )</f>
        <v xml:space="preserve"> </v>
      </c>
    </row>
    <row r="719" spans="1:21" x14ac:dyDescent="0.3">
      <c r="A719" s="27" t="s">
        <v>502</v>
      </c>
      <c r="B719" s="32" t="str">
        <f>_xlfn.XLOOKUP(TablaSTOCKINV[[#This Row],[SKU]],TablaINVENTARIO[SKU],TablaINVENTARIO[DESCRIPCION])</f>
        <v>FERRULE 1/2"</v>
      </c>
      <c r="C719" s="32" t="str">
        <f>_xlfn.XLOOKUP(TablaSTOCKINV[[#This Row],[SKU]],TablaINVENTARIO[SKU],TablaINVENTARIO[MARCA])</f>
        <v>N/A</v>
      </c>
      <c r="D719" s="33" t="str">
        <f>_xlfn.XLOOKUP(TablaSTOCKINV[[#This Row],[SKU]],TablaINVENTARIO[SKU],TablaINVENTARIO[CATEGORIA])</f>
        <v>FABRICACION</v>
      </c>
      <c r="E719" s="33" t="str">
        <f>_xlfn.XLOOKUP(TablaSTOCKINV[[#This Row],[SKU]],TablaINVENTARIO[SKU],TablaINVENTARIO[SUBCATEGORIA])</f>
        <v>MATERIAL MECANICO</v>
      </c>
      <c r="F719" s="33" t="str">
        <f>_xlfn.XLOOKUP(TablaSTOCKINV[[#This Row],[SKU]],TablaINVENTARIO[SKU],TablaINVENTARIO[ESTADO])</f>
        <v>NUEVO</v>
      </c>
      <c r="G719" s="33" t="str">
        <f>_xlfn.XLOOKUP(TablaSTOCKINV[[#This Row],[SKU]],TablaINVENTARIO[SKU],TablaINVENTARIO[MEDIDA])</f>
        <v xml:space="preserve">UND </v>
      </c>
      <c r="H719" s="33" t="str">
        <f>_xlfn.XLOOKUP(TablaSTOCKINV[[#This Row],[SKU]],TablaINVENTARIO[SKU],TablaINVENTARIO[SERIAL])</f>
        <v>N/A</v>
      </c>
      <c r="I719" s="34" t="str">
        <f>_xlfn.XLOOKUP(TablaSTOCKINV[[#This Row],[SKU]],TablaINVENTARIO[SKU],TablaINVENTARIO[ALMACEN])</f>
        <v>ALMACEN PRINCIPAL</v>
      </c>
      <c r="J719" s="34" t="str">
        <f>_xlfn.XLOOKUP(TablaSTOCKINV[[#This Row],[SKU]],TablaINVENTARIO[SKU],TablaINVENTARIO[UBICACION])</f>
        <v>K3</v>
      </c>
      <c r="K719" s="34" t="str">
        <f>_xlfn.XLOOKUP(TablaSTOCKINV[[#This Row],[SKU]],TablaINVENTARIO[SKU],TablaINVENTARIO[DPTO RESPONSABLE])</f>
        <v xml:space="preserve">OPERACIONES </v>
      </c>
      <c r="L719" s="36">
        <f>_xlfn.XLOOKUP(TablaSTOCKINV[[#This Row],[SKU]],TablaINVENTARIO[SKU],TablaINVENTARIO[RANGO MIN])</f>
        <v>0</v>
      </c>
      <c r="M719" s="34" cm="1">
        <f t="array" ref="M719">_xlfn.IFS(TablaSTOCKINV[[#This Row],[CANT. TOTAL]]&lt;=0,1,TablaSTOCKINV[[#This Row],[CANT. TOTAL]]&lt;=TablaSTOCKINV[[#This Row],[MIN]],2,TablaSTOCKINV[[#This Row],[CANT. TOTAL]]&gt;TablaSTOCKINV[[#This Row],[MIN]],3)</f>
        <v>3</v>
      </c>
      <c r="N719" s="34">
        <f>TablaSTOCKINV[[#This Row],[ENTRADAS]]-TablaSTOCKINV[[#This Row],[SALIDAS]]</f>
        <v>31</v>
      </c>
      <c r="O719" s="35">
        <f>SUMIFS(TablaENTRADA[CANT],TablaENTRADA[SKU],TablaSTOCKINV[[#This Row],[SKU]])</f>
        <v>31</v>
      </c>
      <c r="P719" s="35">
        <f>SUMIFS(TablaSALIDA[CANT],TablaSALIDA[SKU],TablaSTOCKINV[[#This Row],[SKU]])</f>
        <v>0</v>
      </c>
      <c r="Q719" s="34">
        <f>_xlfn.XLOOKUP(TablaSTOCKINV[[#This Row],[SKU]],TablaINVENTARIO[SKU],TablaINVENTARIO[PRECIO])</f>
        <v>0</v>
      </c>
      <c r="R719" s="34">
        <f>TablaSTOCKINV[[#This Row],[P.UNITARIO]]*TablaSTOCKINV[[#This Row],[CANT. TOTAL]]</f>
        <v>0</v>
      </c>
      <c r="S719" s="44">
        <f>_xlfn.XLOOKUP(TablaSTOCKINV[[#This Row],[SKU]],TablaINVENTARIO[SKU],TablaINVENTARIO[FECHA INGRESO])</f>
        <v>46023</v>
      </c>
      <c r="T719" s="44">
        <f>_xlfn.XLOOKUP(TablaSTOCKINV[[#This Row],[SKU]],TablaENTRADA[SKU],TablaENTRADA[FECHA],,0,-1)</f>
        <v>46023</v>
      </c>
      <c r="U719" s="46" t="str">
        <f>IFERROR((_xlfn.XLOOKUP(TablaSTOCKINV[[#This Row],[SKU]],TablaSALIDA[SKU],TablaSALIDA[FECHA],,0,-1))," " )</f>
        <v xml:space="preserve"> </v>
      </c>
    </row>
    <row r="720" spans="1:21" x14ac:dyDescent="0.3">
      <c r="A720" s="27" t="s">
        <v>504</v>
      </c>
      <c r="B720" s="32" t="str">
        <f>_xlfn.XLOOKUP(TablaSTOCKINV[[#This Row],[SKU]],TablaINVENTARIO[SKU],TablaINVENTARIO[DESCRIPCION])</f>
        <v>BACK FERRULE 1/2"</v>
      </c>
      <c r="C720" s="32" t="str">
        <f>_xlfn.XLOOKUP(TablaSTOCKINV[[#This Row],[SKU]],TablaINVENTARIO[SKU],TablaINVENTARIO[MARCA])</f>
        <v>N/A</v>
      </c>
      <c r="D720" s="33" t="str">
        <f>_xlfn.XLOOKUP(TablaSTOCKINV[[#This Row],[SKU]],TablaINVENTARIO[SKU],TablaINVENTARIO[CATEGORIA])</f>
        <v>FABRICACION</v>
      </c>
      <c r="E720" s="33" t="str">
        <f>_xlfn.XLOOKUP(TablaSTOCKINV[[#This Row],[SKU]],TablaINVENTARIO[SKU],TablaINVENTARIO[SUBCATEGORIA])</f>
        <v>MATERIAL MECANICO</v>
      </c>
      <c r="F720" s="33" t="str">
        <f>_xlfn.XLOOKUP(TablaSTOCKINV[[#This Row],[SKU]],TablaINVENTARIO[SKU],TablaINVENTARIO[ESTADO])</f>
        <v>NUEVO</v>
      </c>
      <c r="G720" s="33" t="str">
        <f>_xlfn.XLOOKUP(TablaSTOCKINV[[#This Row],[SKU]],TablaINVENTARIO[SKU],TablaINVENTARIO[MEDIDA])</f>
        <v xml:space="preserve">UND </v>
      </c>
      <c r="H720" s="33" t="str">
        <f>_xlfn.XLOOKUP(TablaSTOCKINV[[#This Row],[SKU]],TablaINVENTARIO[SKU],TablaINVENTARIO[SERIAL])</f>
        <v>N/A</v>
      </c>
      <c r="I720" s="34" t="str">
        <f>_xlfn.XLOOKUP(TablaSTOCKINV[[#This Row],[SKU]],TablaINVENTARIO[SKU],TablaINVENTARIO[ALMACEN])</f>
        <v>ALMACEN PRINCIPAL</v>
      </c>
      <c r="J720" s="34" t="str">
        <f>_xlfn.XLOOKUP(TablaSTOCKINV[[#This Row],[SKU]],TablaINVENTARIO[SKU],TablaINVENTARIO[UBICACION])</f>
        <v>K3</v>
      </c>
      <c r="K720" s="34" t="str">
        <f>_xlfn.XLOOKUP(TablaSTOCKINV[[#This Row],[SKU]],TablaINVENTARIO[SKU],TablaINVENTARIO[DPTO RESPONSABLE])</f>
        <v xml:space="preserve">OPERACIONES </v>
      </c>
      <c r="L720" s="36">
        <f>_xlfn.XLOOKUP(TablaSTOCKINV[[#This Row],[SKU]],TablaINVENTARIO[SKU],TablaINVENTARIO[RANGO MIN])</f>
        <v>0</v>
      </c>
      <c r="M720" s="34" cm="1">
        <f t="array" ref="M720">_xlfn.IFS(TablaSTOCKINV[[#This Row],[CANT. TOTAL]]&lt;=0,1,TablaSTOCKINV[[#This Row],[CANT. TOTAL]]&lt;=TablaSTOCKINV[[#This Row],[MIN]],2,TablaSTOCKINV[[#This Row],[CANT. TOTAL]]&gt;TablaSTOCKINV[[#This Row],[MIN]],3)</f>
        <v>3</v>
      </c>
      <c r="N720" s="34">
        <f>TablaSTOCKINV[[#This Row],[ENTRADAS]]-TablaSTOCKINV[[#This Row],[SALIDAS]]</f>
        <v>29</v>
      </c>
      <c r="O720" s="35">
        <f>SUMIFS(TablaENTRADA[CANT],TablaENTRADA[SKU],TablaSTOCKINV[[#This Row],[SKU]])</f>
        <v>29</v>
      </c>
      <c r="P720" s="35">
        <f>SUMIFS(TablaSALIDA[CANT],TablaSALIDA[SKU],TablaSTOCKINV[[#This Row],[SKU]])</f>
        <v>0</v>
      </c>
      <c r="Q720" s="34">
        <f>_xlfn.XLOOKUP(TablaSTOCKINV[[#This Row],[SKU]],TablaINVENTARIO[SKU],TablaINVENTARIO[PRECIO])</f>
        <v>0</v>
      </c>
      <c r="R720" s="34">
        <f>TablaSTOCKINV[[#This Row],[P.UNITARIO]]*TablaSTOCKINV[[#This Row],[CANT. TOTAL]]</f>
        <v>0</v>
      </c>
      <c r="S720" s="44">
        <f>_xlfn.XLOOKUP(TablaSTOCKINV[[#This Row],[SKU]],TablaINVENTARIO[SKU],TablaINVENTARIO[FECHA INGRESO])</f>
        <v>46023</v>
      </c>
      <c r="T720" s="44">
        <f>_xlfn.XLOOKUP(TablaSTOCKINV[[#This Row],[SKU]],TablaENTRADA[SKU],TablaENTRADA[FECHA],,0,-1)</f>
        <v>46023</v>
      </c>
      <c r="U720" s="46" t="str">
        <f>IFERROR((_xlfn.XLOOKUP(TablaSTOCKINV[[#This Row],[SKU]],TablaSALIDA[SKU],TablaSALIDA[FECHA],,0,-1))," " )</f>
        <v xml:space="preserve"> </v>
      </c>
    </row>
    <row r="721" spans="1:21" x14ac:dyDescent="0.3">
      <c r="A721" s="27" t="s">
        <v>506</v>
      </c>
      <c r="B721" s="32" t="str">
        <f>_xlfn.XLOOKUP(TablaSTOCKINV[[#This Row],[SKU]],TablaINVENTARIO[SKU],TablaINVENTARIO[DESCRIPCION])</f>
        <v>ADAPTADOR MACHO RECTO JIC A NPT</v>
      </c>
      <c r="C721" s="32" t="str">
        <f>_xlfn.XLOOKUP(TablaSTOCKINV[[#This Row],[SKU]],TablaINVENTARIO[SKU],TablaINVENTARIO[MARCA])</f>
        <v>N/A</v>
      </c>
      <c r="D721" s="33" t="str">
        <f>_xlfn.XLOOKUP(TablaSTOCKINV[[#This Row],[SKU]],TablaINVENTARIO[SKU],TablaINVENTARIO[CATEGORIA])</f>
        <v>FABRICACION</v>
      </c>
      <c r="E721" s="33" t="str">
        <f>_xlfn.XLOOKUP(TablaSTOCKINV[[#This Row],[SKU]],TablaINVENTARIO[SKU],TablaINVENTARIO[SUBCATEGORIA])</f>
        <v>MATERIAL MECANICO</v>
      </c>
      <c r="F721" s="33" t="str">
        <f>_xlfn.XLOOKUP(TablaSTOCKINV[[#This Row],[SKU]],TablaINVENTARIO[SKU],TablaINVENTARIO[ESTADO])</f>
        <v>NUEVO</v>
      </c>
      <c r="G721" s="33" t="str">
        <f>_xlfn.XLOOKUP(TablaSTOCKINV[[#This Row],[SKU]],TablaINVENTARIO[SKU],TablaINVENTARIO[MEDIDA])</f>
        <v xml:space="preserve">UND </v>
      </c>
      <c r="H721" s="33" t="str">
        <f>_xlfn.XLOOKUP(TablaSTOCKINV[[#This Row],[SKU]],TablaINVENTARIO[SKU],TablaINVENTARIO[SERIAL])</f>
        <v>N/A</v>
      </c>
      <c r="I721" s="34" t="str">
        <f>_xlfn.XLOOKUP(TablaSTOCKINV[[#This Row],[SKU]],TablaINVENTARIO[SKU],TablaINVENTARIO[ALMACEN])</f>
        <v>ALMACEN PRINCIPAL</v>
      </c>
      <c r="J721" s="34" t="str">
        <f>_xlfn.XLOOKUP(TablaSTOCKINV[[#This Row],[SKU]],TablaINVENTARIO[SKU],TablaINVENTARIO[UBICACION])</f>
        <v>K3</v>
      </c>
      <c r="K721" s="34" t="str">
        <f>_xlfn.XLOOKUP(TablaSTOCKINV[[#This Row],[SKU]],TablaINVENTARIO[SKU],TablaINVENTARIO[DPTO RESPONSABLE])</f>
        <v xml:space="preserve">OPERACIONES </v>
      </c>
      <c r="L721" s="36">
        <f>_xlfn.XLOOKUP(TablaSTOCKINV[[#This Row],[SKU]],TablaINVENTARIO[SKU],TablaINVENTARIO[RANGO MIN])</f>
        <v>0</v>
      </c>
      <c r="M721" s="34" cm="1">
        <f t="array" ref="M721">_xlfn.IFS(TablaSTOCKINV[[#This Row],[CANT. TOTAL]]&lt;=0,1,TablaSTOCKINV[[#This Row],[CANT. TOTAL]]&lt;=TablaSTOCKINV[[#This Row],[MIN]],2,TablaSTOCKINV[[#This Row],[CANT. TOTAL]]&gt;TablaSTOCKINV[[#This Row],[MIN]],3)</f>
        <v>3</v>
      </c>
      <c r="N721" s="34">
        <f>TablaSTOCKINV[[#This Row],[ENTRADAS]]-TablaSTOCKINV[[#This Row],[SALIDAS]]</f>
        <v>4</v>
      </c>
      <c r="O721" s="35">
        <f>SUMIFS(TablaENTRADA[CANT],TablaENTRADA[SKU],TablaSTOCKINV[[#This Row],[SKU]])</f>
        <v>4</v>
      </c>
      <c r="P721" s="35">
        <f>SUMIFS(TablaSALIDA[CANT],TablaSALIDA[SKU],TablaSTOCKINV[[#This Row],[SKU]])</f>
        <v>0</v>
      </c>
      <c r="Q721" s="34">
        <f>_xlfn.XLOOKUP(TablaSTOCKINV[[#This Row],[SKU]],TablaINVENTARIO[SKU],TablaINVENTARIO[PRECIO])</f>
        <v>0</v>
      </c>
      <c r="R721" s="34">
        <f>TablaSTOCKINV[[#This Row],[P.UNITARIO]]*TablaSTOCKINV[[#This Row],[CANT. TOTAL]]</f>
        <v>0</v>
      </c>
      <c r="S721" s="44">
        <f>_xlfn.XLOOKUP(TablaSTOCKINV[[#This Row],[SKU]],TablaINVENTARIO[SKU],TablaINVENTARIO[FECHA INGRESO])</f>
        <v>46023</v>
      </c>
      <c r="T721" s="44">
        <f>_xlfn.XLOOKUP(TablaSTOCKINV[[#This Row],[SKU]],TablaENTRADA[SKU],TablaENTRADA[FECHA],,0,-1)</f>
        <v>46023</v>
      </c>
      <c r="U721" s="46" t="str">
        <f>IFERROR((_xlfn.XLOOKUP(TablaSTOCKINV[[#This Row],[SKU]],TablaSALIDA[SKU],TablaSALIDA[FECHA],,0,-1))," " )</f>
        <v xml:space="preserve"> </v>
      </c>
    </row>
    <row r="722" spans="1:21" x14ac:dyDescent="0.3">
      <c r="A722" s="27" t="s">
        <v>508</v>
      </c>
      <c r="B722" s="32" t="str">
        <f>_xlfn.XLOOKUP(TablaSTOCKINV[[#This Row],[SKU]],TablaINVENTARIO[SKU],TablaINVENTARIO[DESCRIPCION])</f>
        <v>VALVULA DE PURGA 3/8" NPT MACHO  MODELO: SS-BVM4</v>
      </c>
      <c r="C722" s="32" t="str">
        <f>_xlfn.XLOOKUP(TablaSTOCKINV[[#This Row],[SKU]],TablaINVENTARIO[SKU],TablaINVENTARIO[MARCA])</f>
        <v>SWAGELOK</v>
      </c>
      <c r="D722" s="33" t="str">
        <f>_xlfn.XLOOKUP(TablaSTOCKINV[[#This Row],[SKU]],TablaINVENTARIO[SKU],TablaINVENTARIO[CATEGORIA])</f>
        <v>FABRICACION</v>
      </c>
      <c r="E722" s="33" t="str">
        <f>_xlfn.XLOOKUP(TablaSTOCKINV[[#This Row],[SKU]],TablaINVENTARIO[SKU],TablaINVENTARIO[SUBCATEGORIA])</f>
        <v>MATERIAL MECANICO</v>
      </c>
      <c r="F722" s="33" t="str">
        <f>_xlfn.XLOOKUP(TablaSTOCKINV[[#This Row],[SKU]],TablaINVENTARIO[SKU],TablaINVENTARIO[ESTADO])</f>
        <v>USADO</v>
      </c>
      <c r="G722" s="33" t="str">
        <f>_xlfn.XLOOKUP(TablaSTOCKINV[[#This Row],[SKU]],TablaINVENTARIO[SKU],TablaINVENTARIO[MEDIDA])</f>
        <v xml:space="preserve">UND </v>
      </c>
      <c r="H722" s="33" t="str">
        <f>_xlfn.XLOOKUP(TablaSTOCKINV[[#This Row],[SKU]],TablaINVENTARIO[SKU],TablaINVENTARIO[SERIAL])</f>
        <v>N/A</v>
      </c>
      <c r="I722" s="34" t="str">
        <f>_xlfn.XLOOKUP(TablaSTOCKINV[[#This Row],[SKU]],TablaINVENTARIO[SKU],TablaINVENTARIO[ALMACEN])</f>
        <v>ALMACEN PRINCIPAL</v>
      </c>
      <c r="J722" s="34" t="str">
        <f>_xlfn.XLOOKUP(TablaSTOCKINV[[#This Row],[SKU]],TablaINVENTARIO[SKU],TablaINVENTARIO[UBICACION])</f>
        <v>K3</v>
      </c>
      <c r="K722" s="34" t="str">
        <f>_xlfn.XLOOKUP(TablaSTOCKINV[[#This Row],[SKU]],TablaINVENTARIO[SKU],TablaINVENTARIO[DPTO RESPONSABLE])</f>
        <v xml:space="preserve">OPERACIONES </v>
      </c>
      <c r="L722" s="36">
        <f>_xlfn.XLOOKUP(TablaSTOCKINV[[#This Row],[SKU]],TablaINVENTARIO[SKU],TablaINVENTARIO[RANGO MIN])</f>
        <v>0</v>
      </c>
      <c r="M722" s="34" cm="1">
        <f t="array" ref="M722">_xlfn.IFS(TablaSTOCKINV[[#This Row],[CANT. TOTAL]]&lt;=0,1,TablaSTOCKINV[[#This Row],[CANT. TOTAL]]&lt;=TablaSTOCKINV[[#This Row],[MIN]],2,TablaSTOCKINV[[#This Row],[CANT. TOTAL]]&gt;TablaSTOCKINV[[#This Row],[MIN]],3)</f>
        <v>3</v>
      </c>
      <c r="N722" s="34">
        <f>TablaSTOCKINV[[#This Row],[ENTRADAS]]-TablaSTOCKINV[[#This Row],[SALIDAS]]</f>
        <v>163</v>
      </c>
      <c r="O722" s="35">
        <f>SUMIFS(TablaENTRADA[CANT],TablaENTRADA[SKU],TablaSTOCKINV[[#This Row],[SKU]])</f>
        <v>163</v>
      </c>
      <c r="P722" s="35">
        <f>SUMIFS(TablaSALIDA[CANT],TablaSALIDA[SKU],TablaSTOCKINV[[#This Row],[SKU]])</f>
        <v>0</v>
      </c>
      <c r="Q722" s="34">
        <f>_xlfn.XLOOKUP(TablaSTOCKINV[[#This Row],[SKU]],TablaINVENTARIO[SKU],TablaINVENTARIO[PRECIO])</f>
        <v>0</v>
      </c>
      <c r="R722" s="34">
        <f>TablaSTOCKINV[[#This Row],[P.UNITARIO]]*TablaSTOCKINV[[#This Row],[CANT. TOTAL]]</f>
        <v>0</v>
      </c>
      <c r="S722" s="44">
        <f>_xlfn.XLOOKUP(TablaSTOCKINV[[#This Row],[SKU]],TablaINVENTARIO[SKU],TablaINVENTARIO[FECHA INGRESO])</f>
        <v>46023</v>
      </c>
      <c r="T722" s="44">
        <f>_xlfn.XLOOKUP(TablaSTOCKINV[[#This Row],[SKU]],TablaENTRADA[SKU],TablaENTRADA[FECHA],,0,-1)</f>
        <v>46023</v>
      </c>
      <c r="U722" s="46" t="str">
        <f>IFERROR((_xlfn.XLOOKUP(TablaSTOCKINV[[#This Row],[SKU]],TablaSALIDA[SKU],TablaSALIDA[FECHA],,0,-1))," " )</f>
        <v xml:space="preserve"> </v>
      </c>
    </row>
    <row r="723" spans="1:21" x14ac:dyDescent="0.3">
      <c r="A723" s="27" t="s">
        <v>509</v>
      </c>
      <c r="B723" s="32" t="str">
        <f>_xlfn.XLOOKUP(TablaSTOCKINV[[#This Row],[SKU]],TablaINVENTARIO[SKU],TablaINVENTARIO[DESCRIPCION])</f>
        <v>VALVULA CHECK 3/8" 1/3 PSI (HEMBRA)</v>
      </c>
      <c r="C723" s="32" t="str">
        <f>_xlfn.XLOOKUP(TablaSTOCKINV[[#This Row],[SKU]],TablaINVENTARIO[SKU],TablaINVENTARIO[MARCA])</f>
        <v>SWAGELOK</v>
      </c>
      <c r="D723" s="33" t="str">
        <f>_xlfn.XLOOKUP(TablaSTOCKINV[[#This Row],[SKU]],TablaINVENTARIO[SKU],TablaINVENTARIO[CATEGORIA])</f>
        <v>FABRICACION</v>
      </c>
      <c r="E723" s="33" t="str">
        <f>_xlfn.XLOOKUP(TablaSTOCKINV[[#This Row],[SKU]],TablaINVENTARIO[SKU],TablaINVENTARIO[SUBCATEGORIA])</f>
        <v>MATERIAL MECANICO</v>
      </c>
      <c r="F723" s="33" t="str">
        <f>_xlfn.XLOOKUP(TablaSTOCKINV[[#This Row],[SKU]],TablaINVENTARIO[SKU],TablaINVENTARIO[ESTADO])</f>
        <v>USADO</v>
      </c>
      <c r="G723" s="33" t="str">
        <f>_xlfn.XLOOKUP(TablaSTOCKINV[[#This Row],[SKU]],TablaINVENTARIO[SKU],TablaINVENTARIO[MEDIDA])</f>
        <v xml:space="preserve">UND </v>
      </c>
      <c r="H723" s="33" t="str">
        <f>_xlfn.XLOOKUP(TablaSTOCKINV[[#This Row],[SKU]],TablaINVENTARIO[SKU],TablaINVENTARIO[SERIAL])</f>
        <v>N/A</v>
      </c>
      <c r="I723" s="34" t="str">
        <f>_xlfn.XLOOKUP(TablaSTOCKINV[[#This Row],[SKU]],TablaINVENTARIO[SKU],TablaINVENTARIO[ALMACEN])</f>
        <v>ALMACEN PRINCIPAL</v>
      </c>
      <c r="J723" s="34" t="str">
        <f>_xlfn.XLOOKUP(TablaSTOCKINV[[#This Row],[SKU]],TablaINVENTARIO[SKU],TablaINVENTARIO[UBICACION])</f>
        <v>K3</v>
      </c>
      <c r="K723" s="34" t="str">
        <f>_xlfn.XLOOKUP(TablaSTOCKINV[[#This Row],[SKU]],TablaINVENTARIO[SKU],TablaINVENTARIO[DPTO RESPONSABLE])</f>
        <v xml:space="preserve">OPERACIONES </v>
      </c>
      <c r="L723" s="36">
        <f>_xlfn.XLOOKUP(TablaSTOCKINV[[#This Row],[SKU]],TablaINVENTARIO[SKU],TablaINVENTARIO[RANGO MIN])</f>
        <v>0</v>
      </c>
      <c r="M723" s="34" cm="1">
        <f t="array" ref="M723">_xlfn.IFS(TablaSTOCKINV[[#This Row],[CANT. TOTAL]]&lt;=0,1,TablaSTOCKINV[[#This Row],[CANT. TOTAL]]&lt;=TablaSTOCKINV[[#This Row],[MIN]],2,TablaSTOCKINV[[#This Row],[CANT. TOTAL]]&gt;TablaSTOCKINV[[#This Row],[MIN]],3)</f>
        <v>3</v>
      </c>
      <c r="N723" s="34">
        <f>TablaSTOCKINV[[#This Row],[ENTRADAS]]-TablaSTOCKINV[[#This Row],[SALIDAS]]</f>
        <v>5</v>
      </c>
      <c r="O723" s="35">
        <f>SUMIFS(TablaENTRADA[CANT],TablaENTRADA[SKU],TablaSTOCKINV[[#This Row],[SKU]])</f>
        <v>5</v>
      </c>
      <c r="P723" s="35">
        <f>SUMIFS(TablaSALIDA[CANT],TablaSALIDA[SKU],TablaSTOCKINV[[#This Row],[SKU]])</f>
        <v>0</v>
      </c>
      <c r="Q723" s="34">
        <f>_xlfn.XLOOKUP(TablaSTOCKINV[[#This Row],[SKU]],TablaINVENTARIO[SKU],TablaINVENTARIO[PRECIO])</f>
        <v>0</v>
      </c>
      <c r="R723" s="34">
        <f>TablaSTOCKINV[[#This Row],[P.UNITARIO]]*TablaSTOCKINV[[#This Row],[CANT. TOTAL]]</f>
        <v>0</v>
      </c>
      <c r="S723" s="44">
        <f>_xlfn.XLOOKUP(TablaSTOCKINV[[#This Row],[SKU]],TablaINVENTARIO[SKU],TablaINVENTARIO[FECHA INGRESO])</f>
        <v>46023</v>
      </c>
      <c r="T723" s="44">
        <f>_xlfn.XLOOKUP(TablaSTOCKINV[[#This Row],[SKU]],TablaENTRADA[SKU],TablaENTRADA[FECHA],,0,-1)</f>
        <v>46023</v>
      </c>
      <c r="U723" s="46" t="str">
        <f>IFERROR((_xlfn.XLOOKUP(TablaSTOCKINV[[#This Row],[SKU]],TablaSALIDA[SKU],TablaSALIDA[FECHA],,0,-1))," " )</f>
        <v xml:space="preserve"> </v>
      </c>
    </row>
    <row r="724" spans="1:21" x14ac:dyDescent="0.3">
      <c r="A724" s="27" t="s">
        <v>510</v>
      </c>
      <c r="B724" s="32" t="str">
        <f>_xlfn.XLOOKUP(TablaSTOCKINV[[#This Row],[SKU]],TablaINVENTARIO[SKU],TablaINVENTARIO[DESCRIPCION])</f>
        <v>VALVULA CHECK 3/8" 25 PSI (HEMBRA)</v>
      </c>
      <c r="C724" s="32" t="str">
        <f>_xlfn.XLOOKUP(TablaSTOCKINV[[#This Row],[SKU]],TablaINVENTARIO[SKU],TablaINVENTARIO[MARCA])</f>
        <v>SWAGELOK</v>
      </c>
      <c r="D724" s="33" t="str">
        <f>_xlfn.XLOOKUP(TablaSTOCKINV[[#This Row],[SKU]],TablaINVENTARIO[SKU],TablaINVENTARIO[CATEGORIA])</f>
        <v>FABRICACION</v>
      </c>
      <c r="E724" s="33" t="str">
        <f>_xlfn.XLOOKUP(TablaSTOCKINV[[#This Row],[SKU]],TablaINVENTARIO[SKU],TablaINVENTARIO[SUBCATEGORIA])</f>
        <v>MATERIAL MECANICO</v>
      </c>
      <c r="F724" s="33" t="str">
        <f>_xlfn.XLOOKUP(TablaSTOCKINV[[#This Row],[SKU]],TablaINVENTARIO[SKU],TablaINVENTARIO[ESTADO])</f>
        <v>USADO</v>
      </c>
      <c r="G724" s="33" t="str">
        <f>_xlfn.XLOOKUP(TablaSTOCKINV[[#This Row],[SKU]],TablaINVENTARIO[SKU],TablaINVENTARIO[MEDIDA])</f>
        <v xml:space="preserve">UND </v>
      </c>
      <c r="H724" s="33" t="str">
        <f>_xlfn.XLOOKUP(TablaSTOCKINV[[#This Row],[SKU]],TablaINVENTARIO[SKU],TablaINVENTARIO[SERIAL])</f>
        <v>N/A</v>
      </c>
      <c r="I724" s="34" t="str">
        <f>_xlfn.XLOOKUP(TablaSTOCKINV[[#This Row],[SKU]],TablaINVENTARIO[SKU],TablaINVENTARIO[ALMACEN])</f>
        <v>ALMACEN PRINCIPAL</v>
      </c>
      <c r="J724" s="34" t="str">
        <f>_xlfn.XLOOKUP(TablaSTOCKINV[[#This Row],[SKU]],TablaINVENTARIO[SKU],TablaINVENTARIO[UBICACION])</f>
        <v>K3</v>
      </c>
      <c r="K724" s="34" t="str">
        <f>_xlfn.XLOOKUP(TablaSTOCKINV[[#This Row],[SKU]],TablaINVENTARIO[SKU],TablaINVENTARIO[DPTO RESPONSABLE])</f>
        <v xml:space="preserve">OPERACIONES </v>
      </c>
      <c r="L724" s="36">
        <f>_xlfn.XLOOKUP(TablaSTOCKINV[[#This Row],[SKU]],TablaINVENTARIO[SKU],TablaINVENTARIO[RANGO MIN])</f>
        <v>0</v>
      </c>
      <c r="M724" s="34" cm="1">
        <f t="array" ref="M724">_xlfn.IFS(TablaSTOCKINV[[#This Row],[CANT. TOTAL]]&lt;=0,1,TablaSTOCKINV[[#This Row],[CANT. TOTAL]]&lt;=TablaSTOCKINV[[#This Row],[MIN]],2,TablaSTOCKINV[[#This Row],[CANT. TOTAL]]&gt;TablaSTOCKINV[[#This Row],[MIN]],3)</f>
        <v>3</v>
      </c>
      <c r="N724" s="34">
        <f>TablaSTOCKINV[[#This Row],[ENTRADAS]]-TablaSTOCKINV[[#This Row],[SALIDAS]]</f>
        <v>10</v>
      </c>
      <c r="O724" s="35">
        <f>SUMIFS(TablaENTRADA[CANT],TablaENTRADA[SKU],TablaSTOCKINV[[#This Row],[SKU]])</f>
        <v>10</v>
      </c>
      <c r="P724" s="35">
        <f>SUMIFS(TablaSALIDA[CANT],TablaSALIDA[SKU],TablaSTOCKINV[[#This Row],[SKU]])</f>
        <v>0</v>
      </c>
      <c r="Q724" s="34">
        <f>_xlfn.XLOOKUP(TablaSTOCKINV[[#This Row],[SKU]],TablaINVENTARIO[SKU],TablaINVENTARIO[PRECIO])</f>
        <v>0</v>
      </c>
      <c r="R724" s="34">
        <f>TablaSTOCKINV[[#This Row],[P.UNITARIO]]*TablaSTOCKINV[[#This Row],[CANT. TOTAL]]</f>
        <v>0</v>
      </c>
      <c r="S724" s="44">
        <f>_xlfn.XLOOKUP(TablaSTOCKINV[[#This Row],[SKU]],TablaINVENTARIO[SKU],TablaINVENTARIO[FECHA INGRESO])</f>
        <v>46023</v>
      </c>
      <c r="T724" s="44">
        <f>_xlfn.XLOOKUP(TablaSTOCKINV[[#This Row],[SKU]],TablaENTRADA[SKU],TablaENTRADA[FECHA],,0,-1)</f>
        <v>46023</v>
      </c>
      <c r="U724" s="46" t="str">
        <f>IFERROR((_xlfn.XLOOKUP(TablaSTOCKINV[[#This Row],[SKU]],TablaSALIDA[SKU],TablaSALIDA[FECHA],,0,-1))," " )</f>
        <v xml:space="preserve"> </v>
      </c>
    </row>
    <row r="725" spans="1:21" x14ac:dyDescent="0.3">
      <c r="A725" s="27" t="s">
        <v>511</v>
      </c>
      <c r="B725" s="32" t="str">
        <f>_xlfn.XLOOKUP(TablaSTOCKINV[[#This Row],[SKU]],TablaINVENTARIO[SKU],TablaINVENTARIO[DESCRIPCION])</f>
        <v>CONECTOR RECTO HEMBRA 1/4" OD X 1/4" NPT CON FERRULE Y TUERCA 1/4"</v>
      </c>
      <c r="C725" s="32" t="str">
        <f>_xlfn.XLOOKUP(TablaSTOCKINV[[#This Row],[SKU]],TablaINVENTARIO[SKU],TablaINVENTARIO[MARCA])</f>
        <v>SWAGELOK</v>
      </c>
      <c r="D725" s="33" t="str">
        <f>_xlfn.XLOOKUP(TablaSTOCKINV[[#This Row],[SKU]],TablaINVENTARIO[SKU],TablaINVENTARIO[CATEGORIA])</f>
        <v>FABRICACION</v>
      </c>
      <c r="E725" s="33" t="str">
        <f>_xlfn.XLOOKUP(TablaSTOCKINV[[#This Row],[SKU]],TablaINVENTARIO[SKU],TablaINVENTARIO[SUBCATEGORIA])</f>
        <v>MATERIAL MECANICO</v>
      </c>
      <c r="F725" s="33" t="str">
        <f>_xlfn.XLOOKUP(TablaSTOCKINV[[#This Row],[SKU]],TablaINVENTARIO[SKU],TablaINVENTARIO[ESTADO])</f>
        <v>NUEVO</v>
      </c>
      <c r="G725" s="33" t="str">
        <f>_xlfn.XLOOKUP(TablaSTOCKINV[[#This Row],[SKU]],TablaINVENTARIO[SKU],TablaINVENTARIO[MEDIDA])</f>
        <v xml:space="preserve">UND </v>
      </c>
      <c r="H725" s="33" t="str">
        <f>_xlfn.XLOOKUP(TablaSTOCKINV[[#This Row],[SKU]],TablaINVENTARIO[SKU],TablaINVENTARIO[SERIAL])</f>
        <v>N/A</v>
      </c>
      <c r="I725" s="34" t="str">
        <f>_xlfn.XLOOKUP(TablaSTOCKINV[[#This Row],[SKU]],TablaINVENTARIO[SKU],TablaINVENTARIO[ALMACEN])</f>
        <v>ALMACEN PRINCIPAL</v>
      </c>
      <c r="J725" s="34" t="str">
        <f>_xlfn.XLOOKUP(TablaSTOCKINV[[#This Row],[SKU]],TablaINVENTARIO[SKU],TablaINVENTARIO[UBICACION])</f>
        <v>K3</v>
      </c>
      <c r="K725" s="34" t="str">
        <f>_xlfn.XLOOKUP(TablaSTOCKINV[[#This Row],[SKU]],TablaINVENTARIO[SKU],TablaINVENTARIO[DPTO RESPONSABLE])</f>
        <v xml:space="preserve">OPERACIONES </v>
      </c>
      <c r="L725" s="36">
        <f>_xlfn.XLOOKUP(TablaSTOCKINV[[#This Row],[SKU]],TablaINVENTARIO[SKU],TablaINVENTARIO[RANGO MIN])</f>
        <v>0</v>
      </c>
      <c r="M725" s="34" cm="1">
        <f t="array" ref="M725">_xlfn.IFS(TablaSTOCKINV[[#This Row],[CANT. TOTAL]]&lt;=0,1,TablaSTOCKINV[[#This Row],[CANT. TOTAL]]&lt;=TablaSTOCKINV[[#This Row],[MIN]],2,TablaSTOCKINV[[#This Row],[CANT. TOTAL]]&gt;TablaSTOCKINV[[#This Row],[MIN]],3)</f>
        <v>3</v>
      </c>
      <c r="N725" s="34">
        <f>TablaSTOCKINV[[#This Row],[ENTRADAS]]-TablaSTOCKINV[[#This Row],[SALIDAS]]</f>
        <v>49</v>
      </c>
      <c r="O725" s="35">
        <f>SUMIFS(TablaENTRADA[CANT],TablaENTRADA[SKU],TablaSTOCKINV[[#This Row],[SKU]])</f>
        <v>49</v>
      </c>
      <c r="P725" s="35">
        <f>SUMIFS(TablaSALIDA[CANT],TablaSALIDA[SKU],TablaSTOCKINV[[#This Row],[SKU]])</f>
        <v>0</v>
      </c>
      <c r="Q725" s="34">
        <f>_xlfn.XLOOKUP(TablaSTOCKINV[[#This Row],[SKU]],TablaINVENTARIO[SKU],TablaINVENTARIO[PRECIO])</f>
        <v>0</v>
      </c>
      <c r="R725" s="34">
        <f>TablaSTOCKINV[[#This Row],[P.UNITARIO]]*TablaSTOCKINV[[#This Row],[CANT. TOTAL]]</f>
        <v>0</v>
      </c>
      <c r="S725" s="44">
        <f>_xlfn.XLOOKUP(TablaSTOCKINV[[#This Row],[SKU]],TablaINVENTARIO[SKU],TablaINVENTARIO[FECHA INGRESO])</f>
        <v>46023</v>
      </c>
      <c r="T725" s="44">
        <f>_xlfn.XLOOKUP(TablaSTOCKINV[[#This Row],[SKU]],TablaENTRADA[SKU],TablaENTRADA[FECHA],,0,-1)</f>
        <v>46023</v>
      </c>
      <c r="U725" s="46" t="str">
        <f>IFERROR((_xlfn.XLOOKUP(TablaSTOCKINV[[#This Row],[SKU]],TablaSALIDA[SKU],TablaSALIDA[FECHA],,0,-1))," " )</f>
        <v xml:space="preserve"> </v>
      </c>
    </row>
    <row r="726" spans="1:21" x14ac:dyDescent="0.3">
      <c r="A726" s="27" t="s">
        <v>513</v>
      </c>
      <c r="B726" s="32" t="str">
        <f>_xlfn.XLOOKUP(TablaSTOCKINV[[#This Row],[SKU]],TablaINVENTARIO[SKU],TablaINVENTARIO[DESCRIPCION])</f>
        <v xml:space="preserve">BUSHING 3/8" NPT X 1/4" OD </v>
      </c>
      <c r="C726" s="32" t="str">
        <f>_xlfn.XLOOKUP(TablaSTOCKINV[[#This Row],[SKU]],TablaINVENTARIO[SKU],TablaINVENTARIO[MARCA])</f>
        <v>SWAGELOK</v>
      </c>
      <c r="D726" s="33" t="str">
        <f>_xlfn.XLOOKUP(TablaSTOCKINV[[#This Row],[SKU]],TablaINVENTARIO[SKU],TablaINVENTARIO[CATEGORIA])</f>
        <v>FABRICACION</v>
      </c>
      <c r="E726" s="33" t="str">
        <f>_xlfn.XLOOKUP(TablaSTOCKINV[[#This Row],[SKU]],TablaINVENTARIO[SKU],TablaINVENTARIO[SUBCATEGORIA])</f>
        <v>MATERIAL MECANICO</v>
      </c>
      <c r="F726" s="33" t="str">
        <f>_xlfn.XLOOKUP(TablaSTOCKINV[[#This Row],[SKU]],TablaINVENTARIO[SKU],TablaINVENTARIO[ESTADO])</f>
        <v>NUEVO</v>
      </c>
      <c r="G726" s="33" t="str">
        <f>_xlfn.XLOOKUP(TablaSTOCKINV[[#This Row],[SKU]],TablaINVENTARIO[SKU],TablaINVENTARIO[MEDIDA])</f>
        <v xml:space="preserve">UND </v>
      </c>
      <c r="H726" s="33" t="str">
        <f>_xlfn.XLOOKUP(TablaSTOCKINV[[#This Row],[SKU]],TablaINVENTARIO[SKU],TablaINVENTARIO[SERIAL])</f>
        <v>N/A</v>
      </c>
      <c r="I726" s="34" t="str">
        <f>_xlfn.XLOOKUP(TablaSTOCKINV[[#This Row],[SKU]],TablaINVENTARIO[SKU],TablaINVENTARIO[ALMACEN])</f>
        <v>ALMACEN PRINCIPAL</v>
      </c>
      <c r="J726" s="34" t="str">
        <f>_xlfn.XLOOKUP(TablaSTOCKINV[[#This Row],[SKU]],TablaINVENTARIO[SKU],TablaINVENTARIO[UBICACION])</f>
        <v>K3</v>
      </c>
      <c r="K726" s="34" t="str">
        <f>_xlfn.XLOOKUP(TablaSTOCKINV[[#This Row],[SKU]],TablaINVENTARIO[SKU],TablaINVENTARIO[DPTO RESPONSABLE])</f>
        <v xml:space="preserve">OPERACIONES </v>
      </c>
      <c r="L726" s="36">
        <f>_xlfn.XLOOKUP(TablaSTOCKINV[[#This Row],[SKU]],TablaINVENTARIO[SKU],TablaINVENTARIO[RANGO MIN])</f>
        <v>0</v>
      </c>
      <c r="M726" s="34" cm="1">
        <f t="array" ref="M726">_xlfn.IFS(TablaSTOCKINV[[#This Row],[CANT. TOTAL]]&lt;=0,1,TablaSTOCKINV[[#This Row],[CANT. TOTAL]]&lt;=TablaSTOCKINV[[#This Row],[MIN]],2,TablaSTOCKINV[[#This Row],[CANT. TOTAL]]&gt;TablaSTOCKINV[[#This Row],[MIN]],3)</f>
        <v>3</v>
      </c>
      <c r="N726" s="34">
        <f>TablaSTOCKINV[[#This Row],[ENTRADAS]]-TablaSTOCKINV[[#This Row],[SALIDAS]]</f>
        <v>81</v>
      </c>
      <c r="O726" s="35">
        <f>SUMIFS(TablaENTRADA[CANT],TablaENTRADA[SKU],TablaSTOCKINV[[#This Row],[SKU]])</f>
        <v>81</v>
      </c>
      <c r="P726" s="35">
        <f>SUMIFS(TablaSALIDA[CANT],TablaSALIDA[SKU],TablaSTOCKINV[[#This Row],[SKU]])</f>
        <v>0</v>
      </c>
      <c r="Q726" s="34">
        <f>_xlfn.XLOOKUP(TablaSTOCKINV[[#This Row],[SKU]],TablaINVENTARIO[SKU],TablaINVENTARIO[PRECIO])</f>
        <v>0</v>
      </c>
      <c r="R726" s="34">
        <f>TablaSTOCKINV[[#This Row],[P.UNITARIO]]*TablaSTOCKINV[[#This Row],[CANT. TOTAL]]</f>
        <v>0</v>
      </c>
      <c r="S726" s="44">
        <f>_xlfn.XLOOKUP(TablaSTOCKINV[[#This Row],[SKU]],TablaINVENTARIO[SKU],TablaINVENTARIO[FECHA INGRESO])</f>
        <v>46023</v>
      </c>
      <c r="T726" s="44">
        <f>_xlfn.XLOOKUP(TablaSTOCKINV[[#This Row],[SKU]],TablaENTRADA[SKU],TablaENTRADA[FECHA],,0,-1)</f>
        <v>46023</v>
      </c>
      <c r="U726" s="46" t="str">
        <f>IFERROR((_xlfn.XLOOKUP(TablaSTOCKINV[[#This Row],[SKU]],TablaSALIDA[SKU],TablaSALIDA[FECHA],,0,-1))," " )</f>
        <v xml:space="preserve"> </v>
      </c>
    </row>
    <row r="727" spans="1:21" x14ac:dyDescent="0.3">
      <c r="A727" s="27" t="s">
        <v>515</v>
      </c>
      <c r="B727" s="32" t="str">
        <f>_xlfn.XLOOKUP(TablaSTOCKINV[[#This Row],[SKU]],TablaINVENTARIO[SKU],TablaINVENTARIO[DESCRIPCION])</f>
        <v xml:space="preserve">TEE DE ALTA PRESION 3/8" NPT </v>
      </c>
      <c r="C727" s="32" t="str">
        <f>_xlfn.XLOOKUP(TablaSTOCKINV[[#This Row],[SKU]],TablaINVENTARIO[SKU],TablaINVENTARIO[MARCA])</f>
        <v>N/A</v>
      </c>
      <c r="D727" s="33" t="str">
        <f>_xlfn.XLOOKUP(TablaSTOCKINV[[#This Row],[SKU]],TablaINVENTARIO[SKU],TablaINVENTARIO[CATEGORIA])</f>
        <v>FABRICACION</v>
      </c>
      <c r="E727" s="33" t="str">
        <f>_xlfn.XLOOKUP(TablaSTOCKINV[[#This Row],[SKU]],TablaINVENTARIO[SKU],TablaINVENTARIO[SUBCATEGORIA])</f>
        <v>MATERIAL MECANICO</v>
      </c>
      <c r="F727" s="33" t="str">
        <f>_xlfn.XLOOKUP(TablaSTOCKINV[[#This Row],[SKU]],TablaINVENTARIO[SKU],TablaINVENTARIO[ESTADO])</f>
        <v>USADO</v>
      </c>
      <c r="G727" s="33" t="str">
        <f>_xlfn.XLOOKUP(TablaSTOCKINV[[#This Row],[SKU]],TablaINVENTARIO[SKU],TablaINVENTARIO[MEDIDA])</f>
        <v xml:space="preserve">UND </v>
      </c>
      <c r="H727" s="33" t="str">
        <f>_xlfn.XLOOKUP(TablaSTOCKINV[[#This Row],[SKU]],TablaINVENTARIO[SKU],TablaINVENTARIO[SERIAL])</f>
        <v>N/A</v>
      </c>
      <c r="I727" s="34" t="str">
        <f>_xlfn.XLOOKUP(TablaSTOCKINV[[#This Row],[SKU]],TablaINVENTARIO[SKU],TablaINVENTARIO[ALMACEN])</f>
        <v>ALMACEN PRINCIPAL</v>
      </c>
      <c r="J727" s="34" t="str">
        <f>_xlfn.XLOOKUP(TablaSTOCKINV[[#This Row],[SKU]],TablaINVENTARIO[SKU],TablaINVENTARIO[UBICACION])</f>
        <v>K3</v>
      </c>
      <c r="K727" s="34" t="str">
        <f>_xlfn.XLOOKUP(TablaSTOCKINV[[#This Row],[SKU]],TablaINVENTARIO[SKU],TablaINVENTARIO[DPTO RESPONSABLE])</f>
        <v xml:space="preserve">OPERACIONES </v>
      </c>
      <c r="L727" s="36">
        <f>_xlfn.XLOOKUP(TablaSTOCKINV[[#This Row],[SKU]],TablaINVENTARIO[SKU],TablaINVENTARIO[RANGO MIN])</f>
        <v>0</v>
      </c>
      <c r="M727" s="34" cm="1">
        <f t="array" ref="M727">_xlfn.IFS(TablaSTOCKINV[[#This Row],[CANT. TOTAL]]&lt;=0,1,TablaSTOCKINV[[#This Row],[CANT. TOTAL]]&lt;=TablaSTOCKINV[[#This Row],[MIN]],2,TablaSTOCKINV[[#This Row],[CANT. TOTAL]]&gt;TablaSTOCKINV[[#This Row],[MIN]],3)</f>
        <v>3</v>
      </c>
      <c r="N727" s="34">
        <f>TablaSTOCKINV[[#This Row],[ENTRADAS]]-TablaSTOCKINV[[#This Row],[SALIDAS]]</f>
        <v>7</v>
      </c>
      <c r="O727" s="35">
        <f>SUMIFS(TablaENTRADA[CANT],TablaENTRADA[SKU],TablaSTOCKINV[[#This Row],[SKU]])</f>
        <v>7</v>
      </c>
      <c r="P727" s="35">
        <f>SUMIFS(TablaSALIDA[CANT],TablaSALIDA[SKU],TablaSTOCKINV[[#This Row],[SKU]])</f>
        <v>0</v>
      </c>
      <c r="Q727" s="34">
        <f>_xlfn.XLOOKUP(TablaSTOCKINV[[#This Row],[SKU]],TablaINVENTARIO[SKU],TablaINVENTARIO[PRECIO])</f>
        <v>0</v>
      </c>
      <c r="R727" s="34">
        <f>TablaSTOCKINV[[#This Row],[P.UNITARIO]]*TablaSTOCKINV[[#This Row],[CANT. TOTAL]]</f>
        <v>0</v>
      </c>
      <c r="S727" s="44">
        <f>_xlfn.XLOOKUP(TablaSTOCKINV[[#This Row],[SKU]],TablaINVENTARIO[SKU],TablaINVENTARIO[FECHA INGRESO])</f>
        <v>46023</v>
      </c>
      <c r="T727" s="44">
        <f>_xlfn.XLOOKUP(TablaSTOCKINV[[#This Row],[SKU]],TablaENTRADA[SKU],TablaENTRADA[FECHA],,0,-1)</f>
        <v>46023</v>
      </c>
      <c r="U727" s="46" t="str">
        <f>IFERROR((_xlfn.XLOOKUP(TablaSTOCKINV[[#This Row],[SKU]],TablaSALIDA[SKU],TablaSALIDA[FECHA],,0,-1))," " )</f>
        <v xml:space="preserve"> </v>
      </c>
    </row>
    <row r="728" spans="1:21" x14ac:dyDescent="0.3">
      <c r="A728" s="27" t="s">
        <v>517</v>
      </c>
      <c r="B728" s="32" t="str">
        <f>_xlfn.XLOOKUP(TablaSTOCKINV[[#This Row],[SKU]],TablaINVENTARIO[SKU],TablaINVENTARIO[DESCRIPCION])</f>
        <v xml:space="preserve">TEE DE ACERO INOXIDABLE HEMBRA 1/4" NPT </v>
      </c>
      <c r="C728" s="32" t="str">
        <f>_xlfn.XLOOKUP(TablaSTOCKINV[[#This Row],[SKU]],TablaINVENTARIO[SKU],TablaINVENTARIO[MARCA])</f>
        <v>SWAGELOK</v>
      </c>
      <c r="D728" s="33" t="str">
        <f>_xlfn.XLOOKUP(TablaSTOCKINV[[#This Row],[SKU]],TablaINVENTARIO[SKU],TablaINVENTARIO[CATEGORIA])</f>
        <v>FABRICACION</v>
      </c>
      <c r="E728" s="33" t="str">
        <f>_xlfn.XLOOKUP(TablaSTOCKINV[[#This Row],[SKU]],TablaINVENTARIO[SKU],TablaINVENTARIO[SUBCATEGORIA])</f>
        <v>MATERIAL MECANICO</v>
      </c>
      <c r="F728" s="33" t="str">
        <f>_xlfn.XLOOKUP(TablaSTOCKINV[[#This Row],[SKU]],TablaINVENTARIO[SKU],TablaINVENTARIO[ESTADO])</f>
        <v>NUEVO</v>
      </c>
      <c r="G728" s="33" t="str">
        <f>_xlfn.XLOOKUP(TablaSTOCKINV[[#This Row],[SKU]],TablaINVENTARIO[SKU],TablaINVENTARIO[MEDIDA])</f>
        <v xml:space="preserve">UND </v>
      </c>
      <c r="H728" s="33" t="str">
        <f>_xlfn.XLOOKUP(TablaSTOCKINV[[#This Row],[SKU]],TablaINVENTARIO[SKU],TablaINVENTARIO[SERIAL])</f>
        <v>N/A</v>
      </c>
      <c r="I728" s="34" t="str">
        <f>_xlfn.XLOOKUP(TablaSTOCKINV[[#This Row],[SKU]],TablaINVENTARIO[SKU],TablaINVENTARIO[ALMACEN])</f>
        <v>ALMACEN PRINCIPAL</v>
      </c>
      <c r="J728" s="34" t="str">
        <f>_xlfn.XLOOKUP(TablaSTOCKINV[[#This Row],[SKU]],TablaINVENTARIO[SKU],TablaINVENTARIO[UBICACION])</f>
        <v>K3</v>
      </c>
      <c r="K728" s="34" t="str">
        <f>_xlfn.XLOOKUP(TablaSTOCKINV[[#This Row],[SKU]],TablaINVENTARIO[SKU],TablaINVENTARIO[DPTO RESPONSABLE])</f>
        <v xml:space="preserve">OPERACIONES </v>
      </c>
      <c r="L728" s="36">
        <f>_xlfn.XLOOKUP(TablaSTOCKINV[[#This Row],[SKU]],TablaINVENTARIO[SKU],TablaINVENTARIO[RANGO MIN])</f>
        <v>0</v>
      </c>
      <c r="M728" s="34" cm="1">
        <f t="array" ref="M728">_xlfn.IFS(TablaSTOCKINV[[#This Row],[CANT. TOTAL]]&lt;=0,1,TablaSTOCKINV[[#This Row],[CANT. TOTAL]]&lt;=TablaSTOCKINV[[#This Row],[MIN]],2,TablaSTOCKINV[[#This Row],[CANT. TOTAL]]&gt;TablaSTOCKINV[[#This Row],[MIN]],3)</f>
        <v>3</v>
      </c>
      <c r="N728" s="34">
        <f>TablaSTOCKINV[[#This Row],[ENTRADAS]]-TablaSTOCKINV[[#This Row],[SALIDAS]]</f>
        <v>144</v>
      </c>
      <c r="O728" s="35">
        <f>SUMIFS(TablaENTRADA[CANT],TablaENTRADA[SKU],TablaSTOCKINV[[#This Row],[SKU]])</f>
        <v>144</v>
      </c>
      <c r="P728" s="35">
        <f>SUMIFS(TablaSALIDA[CANT],TablaSALIDA[SKU],TablaSTOCKINV[[#This Row],[SKU]])</f>
        <v>0</v>
      </c>
      <c r="Q728" s="34">
        <f>_xlfn.XLOOKUP(TablaSTOCKINV[[#This Row],[SKU]],TablaINVENTARIO[SKU],TablaINVENTARIO[PRECIO])</f>
        <v>0</v>
      </c>
      <c r="R728" s="34">
        <f>TablaSTOCKINV[[#This Row],[P.UNITARIO]]*TablaSTOCKINV[[#This Row],[CANT. TOTAL]]</f>
        <v>0</v>
      </c>
      <c r="S728" s="44">
        <f>_xlfn.XLOOKUP(TablaSTOCKINV[[#This Row],[SKU]],TablaINVENTARIO[SKU],TablaINVENTARIO[FECHA INGRESO])</f>
        <v>46023</v>
      </c>
      <c r="T728" s="44">
        <f>_xlfn.XLOOKUP(TablaSTOCKINV[[#This Row],[SKU]],TablaENTRADA[SKU],TablaENTRADA[FECHA],,0,-1)</f>
        <v>46023</v>
      </c>
      <c r="U728" s="46" t="str">
        <f>IFERROR((_xlfn.XLOOKUP(TablaSTOCKINV[[#This Row],[SKU]],TablaSALIDA[SKU],TablaSALIDA[FECHA],,0,-1))," " )</f>
        <v xml:space="preserve"> </v>
      </c>
    </row>
    <row r="729" spans="1:21" x14ac:dyDescent="0.3">
      <c r="A729" s="27" t="s">
        <v>519</v>
      </c>
      <c r="B729" s="32" t="str">
        <f>_xlfn.XLOOKUP(TablaSTOCKINV[[#This Row],[SKU]],TablaINVENTARIO[SKU],TablaINVENTARIO[DESCRIPCION])</f>
        <v xml:space="preserve">TEE DE ACERO INOXIDABLE MACHO 3/8" OD </v>
      </c>
      <c r="C729" s="32" t="str">
        <f>_xlfn.XLOOKUP(TablaSTOCKINV[[#This Row],[SKU]],TablaINVENTARIO[SKU],TablaINVENTARIO[MARCA])</f>
        <v>SWAGELOK</v>
      </c>
      <c r="D729" s="33" t="str">
        <f>_xlfn.XLOOKUP(TablaSTOCKINV[[#This Row],[SKU]],TablaINVENTARIO[SKU],TablaINVENTARIO[CATEGORIA])</f>
        <v>FABRICACION</v>
      </c>
      <c r="E729" s="33" t="str">
        <f>_xlfn.XLOOKUP(TablaSTOCKINV[[#This Row],[SKU]],TablaINVENTARIO[SKU],TablaINVENTARIO[SUBCATEGORIA])</f>
        <v>MATERIAL MECANICO</v>
      </c>
      <c r="F729" s="33" t="str">
        <f>_xlfn.XLOOKUP(TablaSTOCKINV[[#This Row],[SKU]],TablaINVENTARIO[SKU],TablaINVENTARIO[ESTADO])</f>
        <v>NUEVO</v>
      </c>
      <c r="G729" s="33" t="str">
        <f>_xlfn.XLOOKUP(TablaSTOCKINV[[#This Row],[SKU]],TablaINVENTARIO[SKU],TablaINVENTARIO[MEDIDA])</f>
        <v xml:space="preserve">UND </v>
      </c>
      <c r="H729" s="33" t="str">
        <f>_xlfn.XLOOKUP(TablaSTOCKINV[[#This Row],[SKU]],TablaINVENTARIO[SKU],TablaINVENTARIO[SERIAL])</f>
        <v>N/A</v>
      </c>
      <c r="I729" s="34" t="str">
        <f>_xlfn.XLOOKUP(TablaSTOCKINV[[#This Row],[SKU]],TablaINVENTARIO[SKU],TablaINVENTARIO[ALMACEN])</f>
        <v>ALMACEN PRINCIPAL</v>
      </c>
      <c r="J729" s="34" t="str">
        <f>_xlfn.XLOOKUP(TablaSTOCKINV[[#This Row],[SKU]],TablaINVENTARIO[SKU],TablaINVENTARIO[UBICACION])</f>
        <v>K3</v>
      </c>
      <c r="K729" s="34" t="str">
        <f>_xlfn.XLOOKUP(TablaSTOCKINV[[#This Row],[SKU]],TablaINVENTARIO[SKU],TablaINVENTARIO[DPTO RESPONSABLE])</f>
        <v xml:space="preserve">OPERACIONES </v>
      </c>
      <c r="L729" s="36">
        <f>_xlfn.XLOOKUP(TablaSTOCKINV[[#This Row],[SKU]],TablaINVENTARIO[SKU],TablaINVENTARIO[RANGO MIN])</f>
        <v>0</v>
      </c>
      <c r="M729" s="34" cm="1">
        <f t="array" ref="M729">_xlfn.IFS(TablaSTOCKINV[[#This Row],[CANT. TOTAL]]&lt;=0,1,TablaSTOCKINV[[#This Row],[CANT. TOTAL]]&lt;=TablaSTOCKINV[[#This Row],[MIN]],2,TablaSTOCKINV[[#This Row],[CANT. TOTAL]]&gt;TablaSTOCKINV[[#This Row],[MIN]],3)</f>
        <v>3</v>
      </c>
      <c r="N729" s="34">
        <f>TablaSTOCKINV[[#This Row],[ENTRADAS]]-TablaSTOCKINV[[#This Row],[SALIDAS]]</f>
        <v>133</v>
      </c>
      <c r="O729" s="35">
        <f>SUMIFS(TablaENTRADA[CANT],TablaENTRADA[SKU],TablaSTOCKINV[[#This Row],[SKU]])</f>
        <v>133</v>
      </c>
      <c r="P729" s="35">
        <f>SUMIFS(TablaSALIDA[CANT],TablaSALIDA[SKU],TablaSTOCKINV[[#This Row],[SKU]])</f>
        <v>0</v>
      </c>
      <c r="Q729" s="34">
        <f>_xlfn.XLOOKUP(TablaSTOCKINV[[#This Row],[SKU]],TablaINVENTARIO[SKU],TablaINVENTARIO[PRECIO])</f>
        <v>0</v>
      </c>
      <c r="R729" s="34">
        <f>TablaSTOCKINV[[#This Row],[P.UNITARIO]]*TablaSTOCKINV[[#This Row],[CANT. TOTAL]]</f>
        <v>0</v>
      </c>
      <c r="S729" s="44">
        <f>_xlfn.XLOOKUP(TablaSTOCKINV[[#This Row],[SKU]],TablaINVENTARIO[SKU],TablaINVENTARIO[FECHA INGRESO])</f>
        <v>46023</v>
      </c>
      <c r="T729" s="44">
        <f>_xlfn.XLOOKUP(TablaSTOCKINV[[#This Row],[SKU]],TablaENTRADA[SKU],TablaENTRADA[FECHA],,0,-1)</f>
        <v>46023</v>
      </c>
      <c r="U729" s="46" t="str">
        <f>IFERROR((_xlfn.XLOOKUP(TablaSTOCKINV[[#This Row],[SKU]],TablaSALIDA[SKU],TablaSALIDA[FECHA],,0,-1))," " )</f>
        <v xml:space="preserve"> </v>
      </c>
    </row>
    <row r="730" spans="1:21" x14ac:dyDescent="0.3">
      <c r="A730" s="27" t="s">
        <v>521</v>
      </c>
      <c r="B730" s="32" t="str">
        <f>_xlfn.XLOOKUP(TablaSTOCKINV[[#This Row],[SKU]],TablaINVENTARIO[SKU],TablaINVENTARIO[DESCRIPCION])</f>
        <v xml:space="preserve">TEE DE ACERO INOXIDABLLE  3/8" OD MACHO </v>
      </c>
      <c r="C730" s="32" t="str">
        <f>_xlfn.XLOOKUP(TablaSTOCKINV[[#This Row],[SKU]],TablaINVENTARIO[SKU],TablaINVENTARIO[MARCA])</f>
        <v>SWAGELOK</v>
      </c>
      <c r="D730" s="33" t="str">
        <f>_xlfn.XLOOKUP(TablaSTOCKINV[[#This Row],[SKU]],TablaINVENTARIO[SKU],TablaINVENTARIO[CATEGORIA])</f>
        <v>FABRICACION</v>
      </c>
      <c r="E730" s="33" t="str">
        <f>_xlfn.XLOOKUP(TablaSTOCKINV[[#This Row],[SKU]],TablaINVENTARIO[SKU],TablaINVENTARIO[SUBCATEGORIA])</f>
        <v>MATERIAL MECANICO</v>
      </c>
      <c r="F730" s="33" t="str">
        <f>_xlfn.XLOOKUP(TablaSTOCKINV[[#This Row],[SKU]],TablaINVENTARIO[SKU],TablaINVENTARIO[ESTADO])</f>
        <v>USADO</v>
      </c>
      <c r="G730" s="33" t="str">
        <f>_xlfn.XLOOKUP(TablaSTOCKINV[[#This Row],[SKU]],TablaINVENTARIO[SKU],TablaINVENTARIO[MEDIDA])</f>
        <v xml:space="preserve">UND </v>
      </c>
      <c r="H730" s="33" t="str">
        <f>_xlfn.XLOOKUP(TablaSTOCKINV[[#This Row],[SKU]],TablaINVENTARIO[SKU],TablaINVENTARIO[SERIAL])</f>
        <v>N/A</v>
      </c>
      <c r="I730" s="34" t="str">
        <f>_xlfn.XLOOKUP(TablaSTOCKINV[[#This Row],[SKU]],TablaINVENTARIO[SKU],TablaINVENTARIO[ALMACEN])</f>
        <v>ALMACEN PRINCIPAL</v>
      </c>
      <c r="J730" s="34" t="str">
        <f>_xlfn.XLOOKUP(TablaSTOCKINV[[#This Row],[SKU]],TablaINVENTARIO[SKU],TablaINVENTARIO[UBICACION])</f>
        <v>K3</v>
      </c>
      <c r="K730" s="34" t="str">
        <f>_xlfn.XLOOKUP(TablaSTOCKINV[[#This Row],[SKU]],TablaINVENTARIO[SKU],TablaINVENTARIO[DPTO RESPONSABLE])</f>
        <v xml:space="preserve">OPERACIONES </v>
      </c>
      <c r="L730" s="36">
        <f>_xlfn.XLOOKUP(TablaSTOCKINV[[#This Row],[SKU]],TablaINVENTARIO[SKU],TablaINVENTARIO[RANGO MIN])</f>
        <v>0</v>
      </c>
      <c r="M730" s="34" cm="1">
        <f t="array" ref="M730">_xlfn.IFS(TablaSTOCKINV[[#This Row],[CANT. TOTAL]]&lt;=0,1,TablaSTOCKINV[[#This Row],[CANT. TOTAL]]&lt;=TablaSTOCKINV[[#This Row],[MIN]],2,TablaSTOCKINV[[#This Row],[CANT. TOTAL]]&gt;TablaSTOCKINV[[#This Row],[MIN]],3)</f>
        <v>3</v>
      </c>
      <c r="N730" s="34">
        <f>TablaSTOCKINV[[#This Row],[ENTRADAS]]-TablaSTOCKINV[[#This Row],[SALIDAS]]</f>
        <v>1</v>
      </c>
      <c r="O730" s="35">
        <f>SUMIFS(TablaENTRADA[CANT],TablaENTRADA[SKU],TablaSTOCKINV[[#This Row],[SKU]])</f>
        <v>1</v>
      </c>
      <c r="P730" s="35">
        <f>SUMIFS(TablaSALIDA[CANT],TablaSALIDA[SKU],TablaSTOCKINV[[#This Row],[SKU]])</f>
        <v>0</v>
      </c>
      <c r="Q730" s="34">
        <f>_xlfn.XLOOKUP(TablaSTOCKINV[[#This Row],[SKU]],TablaINVENTARIO[SKU],TablaINVENTARIO[PRECIO])</f>
        <v>0</v>
      </c>
      <c r="R730" s="34">
        <f>TablaSTOCKINV[[#This Row],[P.UNITARIO]]*TablaSTOCKINV[[#This Row],[CANT. TOTAL]]</f>
        <v>0</v>
      </c>
      <c r="S730" s="44">
        <f>_xlfn.XLOOKUP(TablaSTOCKINV[[#This Row],[SKU]],TablaINVENTARIO[SKU],TablaINVENTARIO[FECHA INGRESO])</f>
        <v>46023</v>
      </c>
      <c r="T730" s="44">
        <f>_xlfn.XLOOKUP(TablaSTOCKINV[[#This Row],[SKU]],TablaENTRADA[SKU],TablaENTRADA[FECHA],,0,-1)</f>
        <v>46023</v>
      </c>
      <c r="U730" s="46" t="str">
        <f>IFERROR((_xlfn.XLOOKUP(TablaSTOCKINV[[#This Row],[SKU]],TablaSALIDA[SKU],TablaSALIDA[FECHA],,0,-1))," " )</f>
        <v xml:space="preserve"> </v>
      </c>
    </row>
    <row r="731" spans="1:21" x14ac:dyDescent="0.3">
      <c r="A731" s="27" t="s">
        <v>523</v>
      </c>
      <c r="B731" s="32" t="str">
        <f>_xlfn.XLOOKUP(TablaSTOCKINV[[#This Row],[SKU]],TablaINVENTARIO[SKU],TablaINVENTARIO[DESCRIPCION])</f>
        <v>CODO MACHO 1/2" NPT X 3/8" OD</v>
      </c>
      <c r="C731" s="32" t="str">
        <f>_xlfn.XLOOKUP(TablaSTOCKINV[[#This Row],[SKU]],TablaINVENTARIO[SKU],TablaINVENTARIO[MARCA])</f>
        <v>SWAGELOK</v>
      </c>
      <c r="D731" s="33" t="str">
        <f>_xlfn.XLOOKUP(TablaSTOCKINV[[#This Row],[SKU]],TablaINVENTARIO[SKU],TablaINVENTARIO[CATEGORIA])</f>
        <v>FABRICACION</v>
      </c>
      <c r="E731" s="33" t="str">
        <f>_xlfn.XLOOKUP(TablaSTOCKINV[[#This Row],[SKU]],TablaINVENTARIO[SKU],TablaINVENTARIO[SUBCATEGORIA])</f>
        <v>MATERIAL MECANICO</v>
      </c>
      <c r="F731" s="33" t="str">
        <f>_xlfn.XLOOKUP(TablaSTOCKINV[[#This Row],[SKU]],TablaINVENTARIO[SKU],TablaINVENTARIO[ESTADO])</f>
        <v>NUEVO</v>
      </c>
      <c r="G731" s="33" t="str">
        <f>_xlfn.XLOOKUP(TablaSTOCKINV[[#This Row],[SKU]],TablaINVENTARIO[SKU],TablaINVENTARIO[MEDIDA])</f>
        <v xml:space="preserve">UND </v>
      </c>
      <c r="H731" s="33" t="str">
        <f>_xlfn.XLOOKUP(TablaSTOCKINV[[#This Row],[SKU]],TablaINVENTARIO[SKU],TablaINVENTARIO[SERIAL])</f>
        <v>N/A</v>
      </c>
      <c r="I731" s="34" t="str">
        <f>_xlfn.XLOOKUP(TablaSTOCKINV[[#This Row],[SKU]],TablaINVENTARIO[SKU],TablaINVENTARIO[ALMACEN])</f>
        <v>ALMACEN PRINCIPAL</v>
      </c>
      <c r="J731" s="34" t="str">
        <f>_xlfn.XLOOKUP(TablaSTOCKINV[[#This Row],[SKU]],TablaINVENTARIO[SKU],TablaINVENTARIO[UBICACION])</f>
        <v>K3</v>
      </c>
      <c r="K731" s="34" t="str">
        <f>_xlfn.XLOOKUP(TablaSTOCKINV[[#This Row],[SKU]],TablaINVENTARIO[SKU],TablaINVENTARIO[DPTO RESPONSABLE])</f>
        <v xml:space="preserve">OPERACIONES </v>
      </c>
      <c r="L731" s="36">
        <f>_xlfn.XLOOKUP(TablaSTOCKINV[[#This Row],[SKU]],TablaINVENTARIO[SKU],TablaINVENTARIO[RANGO MIN])</f>
        <v>0</v>
      </c>
      <c r="M731" s="34" cm="1">
        <f t="array" ref="M731">_xlfn.IFS(TablaSTOCKINV[[#This Row],[CANT. TOTAL]]&lt;=0,1,TablaSTOCKINV[[#This Row],[CANT. TOTAL]]&lt;=TablaSTOCKINV[[#This Row],[MIN]],2,TablaSTOCKINV[[#This Row],[CANT. TOTAL]]&gt;TablaSTOCKINV[[#This Row],[MIN]],3)</f>
        <v>3</v>
      </c>
      <c r="N731" s="34">
        <f>TablaSTOCKINV[[#This Row],[ENTRADAS]]-TablaSTOCKINV[[#This Row],[SALIDAS]]</f>
        <v>279</v>
      </c>
      <c r="O731" s="35">
        <f>SUMIFS(TablaENTRADA[CANT],TablaENTRADA[SKU],TablaSTOCKINV[[#This Row],[SKU]])</f>
        <v>279</v>
      </c>
      <c r="P731" s="35">
        <f>SUMIFS(TablaSALIDA[CANT],TablaSALIDA[SKU],TablaSTOCKINV[[#This Row],[SKU]])</f>
        <v>0</v>
      </c>
      <c r="Q731" s="34">
        <f>_xlfn.XLOOKUP(TablaSTOCKINV[[#This Row],[SKU]],TablaINVENTARIO[SKU],TablaINVENTARIO[PRECIO])</f>
        <v>0</v>
      </c>
      <c r="R731" s="34">
        <f>TablaSTOCKINV[[#This Row],[P.UNITARIO]]*TablaSTOCKINV[[#This Row],[CANT. TOTAL]]</f>
        <v>0</v>
      </c>
      <c r="S731" s="44">
        <f>_xlfn.XLOOKUP(TablaSTOCKINV[[#This Row],[SKU]],TablaINVENTARIO[SKU],TablaINVENTARIO[FECHA INGRESO])</f>
        <v>46023</v>
      </c>
      <c r="T731" s="44">
        <f>_xlfn.XLOOKUP(TablaSTOCKINV[[#This Row],[SKU]],TablaENTRADA[SKU],TablaENTRADA[FECHA],,0,-1)</f>
        <v>46023</v>
      </c>
      <c r="U731" s="46" t="str">
        <f>IFERROR((_xlfn.XLOOKUP(TablaSTOCKINV[[#This Row],[SKU]],TablaSALIDA[SKU],TablaSALIDA[FECHA],,0,-1))," " )</f>
        <v xml:space="preserve"> </v>
      </c>
    </row>
    <row r="732" spans="1:21" x14ac:dyDescent="0.3">
      <c r="A732" s="27" t="s">
        <v>525</v>
      </c>
      <c r="B732" s="32" t="str">
        <f>_xlfn.XLOOKUP(TablaSTOCKINV[[#This Row],[SKU]],TablaINVENTARIO[SKU],TablaINVENTARIO[DESCRIPCION])</f>
        <v xml:space="preserve">CODO 3/8" NPT X 3/8" NPT </v>
      </c>
      <c r="C732" s="32" t="str">
        <f>_xlfn.XLOOKUP(TablaSTOCKINV[[#This Row],[SKU]],TablaINVENTARIO[SKU],TablaINVENTARIO[MARCA])</f>
        <v>SWAGELOK</v>
      </c>
      <c r="D732" s="33" t="str">
        <f>_xlfn.XLOOKUP(TablaSTOCKINV[[#This Row],[SKU]],TablaINVENTARIO[SKU],TablaINVENTARIO[CATEGORIA])</f>
        <v>FABRICACION</v>
      </c>
      <c r="E732" s="33" t="str">
        <f>_xlfn.XLOOKUP(TablaSTOCKINV[[#This Row],[SKU]],TablaINVENTARIO[SKU],TablaINVENTARIO[SUBCATEGORIA])</f>
        <v>MATERIAL MECANICO</v>
      </c>
      <c r="F732" s="33" t="str">
        <f>_xlfn.XLOOKUP(TablaSTOCKINV[[#This Row],[SKU]],TablaINVENTARIO[SKU],TablaINVENTARIO[ESTADO])</f>
        <v>NUEVO</v>
      </c>
      <c r="G732" s="33" t="str">
        <f>_xlfn.XLOOKUP(TablaSTOCKINV[[#This Row],[SKU]],TablaINVENTARIO[SKU],TablaINVENTARIO[MEDIDA])</f>
        <v xml:space="preserve">UND </v>
      </c>
      <c r="H732" s="33" t="str">
        <f>_xlfn.XLOOKUP(TablaSTOCKINV[[#This Row],[SKU]],TablaINVENTARIO[SKU],TablaINVENTARIO[SERIAL])</f>
        <v>N/A</v>
      </c>
      <c r="I732" s="34" t="str">
        <f>_xlfn.XLOOKUP(TablaSTOCKINV[[#This Row],[SKU]],TablaINVENTARIO[SKU],TablaINVENTARIO[ALMACEN])</f>
        <v>ALMACEN PRINCIPAL</v>
      </c>
      <c r="J732" s="34" t="str">
        <f>_xlfn.XLOOKUP(TablaSTOCKINV[[#This Row],[SKU]],TablaINVENTARIO[SKU],TablaINVENTARIO[UBICACION])</f>
        <v>K3</v>
      </c>
      <c r="K732" s="34" t="str">
        <f>_xlfn.XLOOKUP(TablaSTOCKINV[[#This Row],[SKU]],TablaINVENTARIO[SKU],TablaINVENTARIO[DPTO RESPONSABLE])</f>
        <v xml:space="preserve">OPERACIONES </v>
      </c>
      <c r="L732" s="36">
        <f>_xlfn.XLOOKUP(TablaSTOCKINV[[#This Row],[SKU]],TablaINVENTARIO[SKU],TablaINVENTARIO[RANGO MIN])</f>
        <v>0</v>
      </c>
      <c r="M732" s="34" cm="1">
        <f t="array" ref="M732">_xlfn.IFS(TablaSTOCKINV[[#This Row],[CANT. TOTAL]]&lt;=0,1,TablaSTOCKINV[[#This Row],[CANT. TOTAL]]&lt;=TablaSTOCKINV[[#This Row],[MIN]],2,TablaSTOCKINV[[#This Row],[CANT. TOTAL]]&gt;TablaSTOCKINV[[#This Row],[MIN]],3)</f>
        <v>3</v>
      </c>
      <c r="N732" s="34">
        <f>TablaSTOCKINV[[#This Row],[ENTRADAS]]-TablaSTOCKINV[[#This Row],[SALIDAS]]</f>
        <v>2</v>
      </c>
      <c r="O732" s="35">
        <f>SUMIFS(TablaENTRADA[CANT],TablaENTRADA[SKU],TablaSTOCKINV[[#This Row],[SKU]])</f>
        <v>2</v>
      </c>
      <c r="P732" s="35">
        <f>SUMIFS(TablaSALIDA[CANT],TablaSALIDA[SKU],TablaSTOCKINV[[#This Row],[SKU]])</f>
        <v>0</v>
      </c>
      <c r="Q732" s="34">
        <f>_xlfn.XLOOKUP(TablaSTOCKINV[[#This Row],[SKU]],TablaINVENTARIO[SKU],TablaINVENTARIO[PRECIO])</f>
        <v>0</v>
      </c>
      <c r="R732" s="34">
        <f>TablaSTOCKINV[[#This Row],[P.UNITARIO]]*TablaSTOCKINV[[#This Row],[CANT. TOTAL]]</f>
        <v>0</v>
      </c>
      <c r="S732" s="44">
        <f>_xlfn.XLOOKUP(TablaSTOCKINV[[#This Row],[SKU]],TablaINVENTARIO[SKU],TablaINVENTARIO[FECHA INGRESO])</f>
        <v>46023</v>
      </c>
      <c r="T732" s="44">
        <f>_xlfn.XLOOKUP(TablaSTOCKINV[[#This Row],[SKU]],TablaENTRADA[SKU],TablaENTRADA[FECHA],,0,-1)</f>
        <v>46023</v>
      </c>
      <c r="U732" s="46" t="str">
        <f>IFERROR((_xlfn.XLOOKUP(TablaSTOCKINV[[#This Row],[SKU]],TablaSALIDA[SKU],TablaSALIDA[FECHA],,0,-1))," " )</f>
        <v xml:space="preserve"> </v>
      </c>
    </row>
    <row r="733" spans="1:21" x14ac:dyDescent="0.3">
      <c r="A733" s="27" t="s">
        <v>42</v>
      </c>
      <c r="B733" s="32" t="str">
        <f>_xlfn.XLOOKUP(TablaSTOCKINV[[#This Row],[SKU]],TablaINVENTARIO[SKU],TablaINVENTARIO[DESCRIPCION])</f>
        <v>CODO 1/4" NPT X 3/8" OD</v>
      </c>
      <c r="C733" s="32" t="str">
        <f>_xlfn.XLOOKUP(TablaSTOCKINV[[#This Row],[SKU]],TablaINVENTARIO[SKU],TablaINVENTARIO[MARCA])</f>
        <v>SWAGELOK</v>
      </c>
      <c r="D733" s="33" t="str">
        <f>_xlfn.XLOOKUP(TablaSTOCKINV[[#This Row],[SKU]],TablaINVENTARIO[SKU],TablaINVENTARIO[CATEGORIA])</f>
        <v>FABRICACION</v>
      </c>
      <c r="E733" s="33" t="str">
        <f>_xlfn.XLOOKUP(TablaSTOCKINV[[#This Row],[SKU]],TablaINVENTARIO[SKU],TablaINVENTARIO[SUBCATEGORIA])</f>
        <v>MATERIAL MECANICO</v>
      </c>
      <c r="F733" s="33" t="str">
        <f>_xlfn.XLOOKUP(TablaSTOCKINV[[#This Row],[SKU]],TablaINVENTARIO[SKU],TablaINVENTARIO[ESTADO])</f>
        <v>NUEVO</v>
      </c>
      <c r="G733" s="33" t="str">
        <f>_xlfn.XLOOKUP(TablaSTOCKINV[[#This Row],[SKU]],TablaINVENTARIO[SKU],TablaINVENTARIO[MEDIDA])</f>
        <v xml:space="preserve">UND </v>
      </c>
      <c r="H733" s="33" t="str">
        <f>_xlfn.XLOOKUP(TablaSTOCKINV[[#This Row],[SKU]],TablaINVENTARIO[SKU],TablaINVENTARIO[SERIAL])</f>
        <v>N/A</v>
      </c>
      <c r="I733" s="34" t="str">
        <f>_xlfn.XLOOKUP(TablaSTOCKINV[[#This Row],[SKU]],TablaINVENTARIO[SKU],TablaINVENTARIO[ALMACEN])</f>
        <v>ALMACEN PRINCIPAL</v>
      </c>
      <c r="J733" s="34" t="str">
        <f>_xlfn.XLOOKUP(TablaSTOCKINV[[#This Row],[SKU]],TablaINVENTARIO[SKU],TablaINVENTARIO[UBICACION])</f>
        <v>K3</v>
      </c>
      <c r="K733" s="34" t="str">
        <f>_xlfn.XLOOKUP(TablaSTOCKINV[[#This Row],[SKU]],TablaINVENTARIO[SKU],TablaINVENTARIO[DPTO RESPONSABLE])</f>
        <v xml:space="preserve">OPERACIONES </v>
      </c>
      <c r="L733" s="36">
        <f>_xlfn.XLOOKUP(TablaSTOCKINV[[#This Row],[SKU]],TablaINVENTARIO[SKU],TablaINVENTARIO[RANGO MIN])</f>
        <v>0</v>
      </c>
      <c r="M733" s="34" cm="1">
        <f t="array" ref="M733">_xlfn.IFS(TablaSTOCKINV[[#This Row],[CANT. TOTAL]]&lt;=0,1,TablaSTOCKINV[[#This Row],[CANT. TOTAL]]&lt;=TablaSTOCKINV[[#This Row],[MIN]],2,TablaSTOCKINV[[#This Row],[CANT. TOTAL]]&gt;TablaSTOCKINV[[#This Row],[MIN]],3)</f>
        <v>3</v>
      </c>
      <c r="N733" s="34">
        <f>TablaSTOCKINV[[#This Row],[ENTRADAS]]-TablaSTOCKINV[[#This Row],[SALIDAS]]</f>
        <v>42</v>
      </c>
      <c r="O733" s="35">
        <f>SUMIFS(TablaENTRADA[CANT],TablaENTRADA[SKU],TablaSTOCKINV[[#This Row],[SKU]])</f>
        <v>42</v>
      </c>
      <c r="P733" s="35">
        <f>SUMIFS(TablaSALIDA[CANT],TablaSALIDA[SKU],TablaSTOCKINV[[#This Row],[SKU]])</f>
        <v>0</v>
      </c>
      <c r="Q733" s="34">
        <f>_xlfn.XLOOKUP(TablaSTOCKINV[[#This Row],[SKU]],TablaINVENTARIO[SKU],TablaINVENTARIO[PRECIO])</f>
        <v>0</v>
      </c>
      <c r="R733" s="34">
        <f>TablaSTOCKINV[[#This Row],[P.UNITARIO]]*TablaSTOCKINV[[#This Row],[CANT. TOTAL]]</f>
        <v>0</v>
      </c>
      <c r="S733" s="44">
        <f>_xlfn.XLOOKUP(TablaSTOCKINV[[#This Row],[SKU]],TablaINVENTARIO[SKU],TablaINVENTARIO[FECHA INGRESO])</f>
        <v>46023</v>
      </c>
      <c r="T733" s="44">
        <f>_xlfn.XLOOKUP(TablaSTOCKINV[[#This Row],[SKU]],TablaENTRADA[SKU],TablaENTRADA[FECHA],,0,-1)</f>
        <v>46023</v>
      </c>
      <c r="U733" s="46" t="str">
        <f>IFERROR((_xlfn.XLOOKUP(TablaSTOCKINV[[#This Row],[SKU]],TablaSALIDA[SKU],TablaSALIDA[FECHA],,0,-1))," " )</f>
        <v xml:space="preserve"> </v>
      </c>
    </row>
    <row r="734" spans="1:21" x14ac:dyDescent="0.3">
      <c r="A734" s="27" t="s">
        <v>45</v>
      </c>
      <c r="B734" s="32" t="str">
        <f>_xlfn.XLOOKUP(TablaSTOCKINV[[#This Row],[SKU]],TablaINVENTARIO[SKU],TablaINVENTARIO[DESCRIPCION])</f>
        <v>VALVULA CHECK 25 PSI (MACHO)</v>
      </c>
      <c r="C734" s="32" t="str">
        <f>_xlfn.XLOOKUP(TablaSTOCKINV[[#This Row],[SKU]],TablaINVENTARIO[SKU],TablaINVENTARIO[MARCA])</f>
        <v>SWAGELOK</v>
      </c>
      <c r="D734" s="33" t="str">
        <f>_xlfn.XLOOKUP(TablaSTOCKINV[[#This Row],[SKU]],TablaINVENTARIO[SKU],TablaINVENTARIO[CATEGORIA])</f>
        <v>FABRICACION</v>
      </c>
      <c r="E734" s="33" t="str">
        <f>_xlfn.XLOOKUP(TablaSTOCKINV[[#This Row],[SKU]],TablaINVENTARIO[SKU],TablaINVENTARIO[SUBCATEGORIA])</f>
        <v>MATERIAL MECANICO</v>
      </c>
      <c r="F734" s="33" t="str">
        <f>_xlfn.XLOOKUP(TablaSTOCKINV[[#This Row],[SKU]],TablaINVENTARIO[SKU],TablaINVENTARIO[ESTADO])</f>
        <v>USADO</v>
      </c>
      <c r="G734" s="33" t="str">
        <f>_xlfn.XLOOKUP(TablaSTOCKINV[[#This Row],[SKU]],TablaINVENTARIO[SKU],TablaINVENTARIO[MEDIDA])</f>
        <v xml:space="preserve">UND </v>
      </c>
      <c r="H734" s="33" t="str">
        <f>_xlfn.XLOOKUP(TablaSTOCKINV[[#This Row],[SKU]],TablaINVENTARIO[SKU],TablaINVENTARIO[SERIAL])</f>
        <v>N/A</v>
      </c>
      <c r="I734" s="34" t="str">
        <f>_xlfn.XLOOKUP(TablaSTOCKINV[[#This Row],[SKU]],TablaINVENTARIO[SKU],TablaINVENTARIO[ALMACEN])</f>
        <v>ALMACEN PRINCIPAL</v>
      </c>
      <c r="J734" s="34" t="str">
        <f>_xlfn.XLOOKUP(TablaSTOCKINV[[#This Row],[SKU]],TablaINVENTARIO[SKU],TablaINVENTARIO[UBICACION])</f>
        <v>K3</v>
      </c>
      <c r="K734" s="34" t="str">
        <f>_xlfn.XLOOKUP(TablaSTOCKINV[[#This Row],[SKU]],TablaINVENTARIO[SKU],TablaINVENTARIO[DPTO RESPONSABLE])</f>
        <v xml:space="preserve">OPERACIONES </v>
      </c>
      <c r="L734" s="36">
        <f>_xlfn.XLOOKUP(TablaSTOCKINV[[#This Row],[SKU]],TablaINVENTARIO[SKU],TablaINVENTARIO[RANGO MIN])</f>
        <v>0</v>
      </c>
      <c r="M734" s="34" cm="1">
        <f t="array" ref="M734">_xlfn.IFS(TablaSTOCKINV[[#This Row],[CANT. TOTAL]]&lt;=0,1,TablaSTOCKINV[[#This Row],[CANT. TOTAL]]&lt;=TablaSTOCKINV[[#This Row],[MIN]],2,TablaSTOCKINV[[#This Row],[CANT. TOTAL]]&gt;TablaSTOCKINV[[#This Row],[MIN]],3)</f>
        <v>3</v>
      </c>
      <c r="N734" s="34">
        <f>TablaSTOCKINV[[#This Row],[ENTRADAS]]-TablaSTOCKINV[[#This Row],[SALIDAS]]</f>
        <v>166</v>
      </c>
      <c r="O734" s="35">
        <f>SUMIFS(TablaENTRADA[CANT],TablaENTRADA[SKU],TablaSTOCKINV[[#This Row],[SKU]])</f>
        <v>166</v>
      </c>
      <c r="P734" s="35">
        <f>SUMIFS(TablaSALIDA[CANT],TablaSALIDA[SKU],TablaSTOCKINV[[#This Row],[SKU]])</f>
        <v>0</v>
      </c>
      <c r="Q734" s="34">
        <f>_xlfn.XLOOKUP(TablaSTOCKINV[[#This Row],[SKU]],TablaINVENTARIO[SKU],TablaINVENTARIO[PRECIO])</f>
        <v>0</v>
      </c>
      <c r="R734" s="34">
        <f>TablaSTOCKINV[[#This Row],[P.UNITARIO]]*TablaSTOCKINV[[#This Row],[CANT. TOTAL]]</f>
        <v>0</v>
      </c>
      <c r="S734" s="44">
        <f>_xlfn.XLOOKUP(TablaSTOCKINV[[#This Row],[SKU]],TablaINVENTARIO[SKU],TablaINVENTARIO[FECHA INGRESO])</f>
        <v>46023</v>
      </c>
      <c r="T734" s="44">
        <f>_xlfn.XLOOKUP(TablaSTOCKINV[[#This Row],[SKU]],TablaENTRADA[SKU],TablaENTRADA[FECHA],,0,-1)</f>
        <v>46023</v>
      </c>
      <c r="U734" s="46" t="str">
        <f>IFERROR((_xlfn.XLOOKUP(TablaSTOCKINV[[#This Row],[SKU]],TablaSALIDA[SKU],TablaSALIDA[FECHA],,0,-1))," " )</f>
        <v xml:space="preserve"> </v>
      </c>
    </row>
    <row r="735" spans="1:21" x14ac:dyDescent="0.3">
      <c r="A735" s="27" t="s">
        <v>46</v>
      </c>
      <c r="B735" s="32" t="str">
        <f>_xlfn.XLOOKUP(TablaSTOCKINV[[#This Row],[SKU]],TablaINVENTARIO[SKU],TablaINVENTARIO[DESCRIPCION])</f>
        <v xml:space="preserve">BUSHING 3/8" NPT X 3/8" NPT </v>
      </c>
      <c r="C735" s="32" t="str">
        <f>_xlfn.XLOOKUP(TablaSTOCKINV[[#This Row],[SKU]],TablaINVENTARIO[SKU],TablaINVENTARIO[MARCA])</f>
        <v>SWAGELOK</v>
      </c>
      <c r="D735" s="33" t="str">
        <f>_xlfn.XLOOKUP(TablaSTOCKINV[[#This Row],[SKU]],TablaINVENTARIO[SKU],TablaINVENTARIO[CATEGORIA])</f>
        <v>FABRICACION</v>
      </c>
      <c r="E735" s="33" t="str">
        <f>_xlfn.XLOOKUP(TablaSTOCKINV[[#This Row],[SKU]],TablaINVENTARIO[SKU],TablaINVENTARIO[SUBCATEGORIA])</f>
        <v>MATERIAL MECANICO</v>
      </c>
      <c r="F735" s="33" t="str">
        <f>_xlfn.XLOOKUP(TablaSTOCKINV[[#This Row],[SKU]],TablaINVENTARIO[SKU],TablaINVENTARIO[ESTADO])</f>
        <v>USADO</v>
      </c>
      <c r="G735" s="33" t="str">
        <f>_xlfn.XLOOKUP(TablaSTOCKINV[[#This Row],[SKU]],TablaINVENTARIO[SKU],TablaINVENTARIO[MEDIDA])</f>
        <v xml:space="preserve">UND </v>
      </c>
      <c r="H735" s="33" t="str">
        <f>_xlfn.XLOOKUP(TablaSTOCKINV[[#This Row],[SKU]],TablaINVENTARIO[SKU],TablaINVENTARIO[SERIAL])</f>
        <v>N/A</v>
      </c>
      <c r="I735" s="34" t="str">
        <f>_xlfn.XLOOKUP(TablaSTOCKINV[[#This Row],[SKU]],TablaINVENTARIO[SKU],TablaINVENTARIO[ALMACEN])</f>
        <v>ALMACEN PRINCIPAL</v>
      </c>
      <c r="J735" s="34" t="str">
        <f>_xlfn.XLOOKUP(TablaSTOCKINV[[#This Row],[SKU]],TablaINVENTARIO[SKU],TablaINVENTARIO[UBICACION])</f>
        <v>K3</v>
      </c>
      <c r="K735" s="34" t="str">
        <f>_xlfn.XLOOKUP(TablaSTOCKINV[[#This Row],[SKU]],TablaINVENTARIO[SKU],TablaINVENTARIO[DPTO RESPONSABLE])</f>
        <v xml:space="preserve">OPERACIONES </v>
      </c>
      <c r="L735" s="36">
        <f>_xlfn.XLOOKUP(TablaSTOCKINV[[#This Row],[SKU]],TablaINVENTARIO[SKU],TablaINVENTARIO[RANGO MIN])</f>
        <v>0</v>
      </c>
      <c r="M735" s="34" cm="1">
        <f t="array" ref="M735">_xlfn.IFS(TablaSTOCKINV[[#This Row],[CANT. TOTAL]]&lt;=0,1,TablaSTOCKINV[[#This Row],[CANT. TOTAL]]&lt;=TablaSTOCKINV[[#This Row],[MIN]],2,TablaSTOCKINV[[#This Row],[CANT. TOTAL]]&gt;TablaSTOCKINV[[#This Row],[MIN]],3)</f>
        <v>3</v>
      </c>
      <c r="N735" s="34">
        <f>TablaSTOCKINV[[#This Row],[ENTRADAS]]-TablaSTOCKINV[[#This Row],[SALIDAS]]</f>
        <v>3</v>
      </c>
      <c r="O735" s="35">
        <f>SUMIFS(TablaENTRADA[CANT],TablaENTRADA[SKU],TablaSTOCKINV[[#This Row],[SKU]])</f>
        <v>3</v>
      </c>
      <c r="P735" s="35">
        <f>SUMIFS(TablaSALIDA[CANT],TablaSALIDA[SKU],TablaSTOCKINV[[#This Row],[SKU]])</f>
        <v>0</v>
      </c>
      <c r="Q735" s="34">
        <f>_xlfn.XLOOKUP(TablaSTOCKINV[[#This Row],[SKU]],TablaINVENTARIO[SKU],TablaINVENTARIO[PRECIO])</f>
        <v>0</v>
      </c>
      <c r="R735" s="34">
        <f>TablaSTOCKINV[[#This Row],[P.UNITARIO]]*TablaSTOCKINV[[#This Row],[CANT. TOTAL]]</f>
        <v>0</v>
      </c>
      <c r="S735" s="44">
        <f>_xlfn.XLOOKUP(TablaSTOCKINV[[#This Row],[SKU]],TablaINVENTARIO[SKU],TablaINVENTARIO[FECHA INGRESO])</f>
        <v>46023</v>
      </c>
      <c r="T735" s="44">
        <f>_xlfn.XLOOKUP(TablaSTOCKINV[[#This Row],[SKU]],TablaENTRADA[SKU],TablaENTRADA[FECHA],,0,-1)</f>
        <v>46023</v>
      </c>
      <c r="U735" s="46" t="str">
        <f>IFERROR((_xlfn.XLOOKUP(TablaSTOCKINV[[#This Row],[SKU]],TablaSALIDA[SKU],TablaSALIDA[FECHA],,0,-1))," " )</f>
        <v xml:space="preserve"> </v>
      </c>
    </row>
    <row r="736" spans="1:21" x14ac:dyDescent="0.3">
      <c r="A736" s="27" t="s">
        <v>49</v>
      </c>
      <c r="B736" s="32" t="str">
        <f>_xlfn.XLOOKUP(TablaSTOCKINV[[#This Row],[SKU]],TablaINVENTARIO[SKU],TablaINVENTARIO[DESCRIPCION])</f>
        <v xml:space="preserve">BUSHING 1/2" NPT X 1/2" NPT </v>
      </c>
      <c r="C736" s="32" t="str">
        <f>_xlfn.XLOOKUP(TablaSTOCKINV[[#This Row],[SKU]],TablaINVENTARIO[SKU],TablaINVENTARIO[MARCA])</f>
        <v>REDAPT</v>
      </c>
      <c r="D736" s="33" t="str">
        <f>_xlfn.XLOOKUP(TablaSTOCKINV[[#This Row],[SKU]],TablaINVENTARIO[SKU],TablaINVENTARIO[CATEGORIA])</f>
        <v>FABRICACION</v>
      </c>
      <c r="E736" s="33" t="str">
        <f>_xlfn.XLOOKUP(TablaSTOCKINV[[#This Row],[SKU]],TablaINVENTARIO[SKU],TablaINVENTARIO[SUBCATEGORIA])</f>
        <v>MATERIAL MECANICO</v>
      </c>
      <c r="F736" s="33" t="str">
        <f>_xlfn.XLOOKUP(TablaSTOCKINV[[#This Row],[SKU]],TablaINVENTARIO[SKU],TablaINVENTARIO[ESTADO])</f>
        <v>USADO</v>
      </c>
      <c r="G736" s="33" t="str">
        <f>_xlfn.XLOOKUP(TablaSTOCKINV[[#This Row],[SKU]],TablaINVENTARIO[SKU],TablaINVENTARIO[MEDIDA])</f>
        <v xml:space="preserve">UND </v>
      </c>
      <c r="H736" s="33" t="str">
        <f>_xlfn.XLOOKUP(TablaSTOCKINV[[#This Row],[SKU]],TablaINVENTARIO[SKU],TablaINVENTARIO[SERIAL])</f>
        <v>N/A</v>
      </c>
      <c r="I736" s="34" t="str">
        <f>_xlfn.XLOOKUP(TablaSTOCKINV[[#This Row],[SKU]],TablaINVENTARIO[SKU],TablaINVENTARIO[ALMACEN])</f>
        <v>ALMACEN PRINCIPAL</v>
      </c>
      <c r="J736" s="34" t="str">
        <f>_xlfn.XLOOKUP(TablaSTOCKINV[[#This Row],[SKU]],TablaINVENTARIO[SKU],TablaINVENTARIO[UBICACION])</f>
        <v>K3</v>
      </c>
      <c r="K736" s="34" t="str">
        <f>_xlfn.XLOOKUP(TablaSTOCKINV[[#This Row],[SKU]],TablaINVENTARIO[SKU],TablaINVENTARIO[DPTO RESPONSABLE])</f>
        <v xml:space="preserve">OPERACIONES </v>
      </c>
      <c r="L736" s="36">
        <f>_xlfn.XLOOKUP(TablaSTOCKINV[[#This Row],[SKU]],TablaINVENTARIO[SKU],TablaINVENTARIO[RANGO MIN])</f>
        <v>0</v>
      </c>
      <c r="M736" s="34" cm="1">
        <f t="array" ref="M736">_xlfn.IFS(TablaSTOCKINV[[#This Row],[CANT. TOTAL]]&lt;=0,1,TablaSTOCKINV[[#This Row],[CANT. TOTAL]]&lt;=TablaSTOCKINV[[#This Row],[MIN]],2,TablaSTOCKINV[[#This Row],[CANT. TOTAL]]&gt;TablaSTOCKINV[[#This Row],[MIN]],3)</f>
        <v>3</v>
      </c>
      <c r="N736" s="34">
        <f>TablaSTOCKINV[[#This Row],[ENTRADAS]]-TablaSTOCKINV[[#This Row],[SALIDAS]]</f>
        <v>2</v>
      </c>
      <c r="O736" s="35">
        <f>SUMIFS(TablaENTRADA[CANT],TablaENTRADA[SKU],TablaSTOCKINV[[#This Row],[SKU]])</f>
        <v>2</v>
      </c>
      <c r="P736" s="35">
        <f>SUMIFS(TablaSALIDA[CANT],TablaSALIDA[SKU],TablaSTOCKINV[[#This Row],[SKU]])</f>
        <v>0</v>
      </c>
      <c r="Q736" s="34">
        <f>_xlfn.XLOOKUP(TablaSTOCKINV[[#This Row],[SKU]],TablaINVENTARIO[SKU],TablaINVENTARIO[PRECIO])</f>
        <v>0</v>
      </c>
      <c r="R736" s="34">
        <f>TablaSTOCKINV[[#This Row],[P.UNITARIO]]*TablaSTOCKINV[[#This Row],[CANT. TOTAL]]</f>
        <v>0</v>
      </c>
      <c r="S736" s="44">
        <f>_xlfn.XLOOKUP(TablaSTOCKINV[[#This Row],[SKU]],TablaINVENTARIO[SKU],TablaINVENTARIO[FECHA INGRESO])</f>
        <v>46023</v>
      </c>
      <c r="T736" s="44">
        <f>_xlfn.XLOOKUP(TablaSTOCKINV[[#This Row],[SKU]],TablaENTRADA[SKU],TablaENTRADA[FECHA],,0,-1)</f>
        <v>46023</v>
      </c>
      <c r="U736" s="46" t="str">
        <f>IFERROR((_xlfn.XLOOKUP(TablaSTOCKINV[[#This Row],[SKU]],TablaSALIDA[SKU],TablaSALIDA[FECHA],,0,-1))," " )</f>
        <v xml:space="preserve"> </v>
      </c>
    </row>
    <row r="737" spans="1:21" x14ac:dyDescent="0.3">
      <c r="A737" s="27" t="s">
        <v>50</v>
      </c>
      <c r="B737" s="32" t="str">
        <f>_xlfn.XLOOKUP(TablaSTOCKINV[[#This Row],[SKU]],TablaINVENTARIO[SKU],TablaINVENTARIO[DESCRIPCION])</f>
        <v xml:space="preserve">BUSHING 1/2" NPT X 3/4" NPT </v>
      </c>
      <c r="C737" s="32" t="str">
        <f>_xlfn.XLOOKUP(TablaSTOCKINV[[#This Row],[SKU]],TablaINVENTARIO[SKU],TablaINVENTARIO[MARCA])</f>
        <v>N/A</v>
      </c>
      <c r="D737" s="33" t="str">
        <f>_xlfn.XLOOKUP(TablaSTOCKINV[[#This Row],[SKU]],TablaINVENTARIO[SKU],TablaINVENTARIO[CATEGORIA])</f>
        <v>FABRICACION</v>
      </c>
      <c r="E737" s="33" t="str">
        <f>_xlfn.XLOOKUP(TablaSTOCKINV[[#This Row],[SKU]],TablaINVENTARIO[SKU],TablaINVENTARIO[SUBCATEGORIA])</f>
        <v>MATERIAL MECANICO</v>
      </c>
      <c r="F737" s="33" t="str">
        <f>_xlfn.XLOOKUP(TablaSTOCKINV[[#This Row],[SKU]],TablaINVENTARIO[SKU],TablaINVENTARIO[ESTADO])</f>
        <v>NUEVO</v>
      </c>
      <c r="G737" s="33" t="str">
        <f>_xlfn.XLOOKUP(TablaSTOCKINV[[#This Row],[SKU]],TablaINVENTARIO[SKU],TablaINVENTARIO[MEDIDA])</f>
        <v xml:space="preserve">UND </v>
      </c>
      <c r="H737" s="33" t="str">
        <f>_xlfn.XLOOKUP(TablaSTOCKINV[[#This Row],[SKU]],TablaINVENTARIO[SKU],TablaINVENTARIO[SERIAL])</f>
        <v>N/A</v>
      </c>
      <c r="I737" s="34" t="str">
        <f>_xlfn.XLOOKUP(TablaSTOCKINV[[#This Row],[SKU]],TablaINVENTARIO[SKU],TablaINVENTARIO[ALMACEN])</f>
        <v>ALMACEN PRINCIPAL</v>
      </c>
      <c r="J737" s="34" t="str">
        <f>_xlfn.XLOOKUP(TablaSTOCKINV[[#This Row],[SKU]],TablaINVENTARIO[SKU],TablaINVENTARIO[UBICACION])</f>
        <v>K3</v>
      </c>
      <c r="K737" s="34" t="str">
        <f>_xlfn.XLOOKUP(TablaSTOCKINV[[#This Row],[SKU]],TablaINVENTARIO[SKU],TablaINVENTARIO[DPTO RESPONSABLE])</f>
        <v xml:space="preserve">OPERACIONES </v>
      </c>
      <c r="L737" s="36">
        <f>_xlfn.XLOOKUP(TablaSTOCKINV[[#This Row],[SKU]],TablaINVENTARIO[SKU],TablaINVENTARIO[RANGO MIN])</f>
        <v>0</v>
      </c>
      <c r="M737" s="34" cm="1">
        <f t="array" ref="M737">_xlfn.IFS(TablaSTOCKINV[[#This Row],[CANT. TOTAL]]&lt;=0,1,TablaSTOCKINV[[#This Row],[CANT. TOTAL]]&lt;=TablaSTOCKINV[[#This Row],[MIN]],2,TablaSTOCKINV[[#This Row],[CANT. TOTAL]]&gt;TablaSTOCKINV[[#This Row],[MIN]],3)</f>
        <v>3</v>
      </c>
      <c r="N737" s="34">
        <f>TablaSTOCKINV[[#This Row],[ENTRADAS]]-TablaSTOCKINV[[#This Row],[SALIDAS]]</f>
        <v>8</v>
      </c>
      <c r="O737" s="35">
        <f>SUMIFS(TablaENTRADA[CANT],TablaENTRADA[SKU],TablaSTOCKINV[[#This Row],[SKU]])</f>
        <v>8</v>
      </c>
      <c r="P737" s="35">
        <f>SUMIFS(TablaSALIDA[CANT],TablaSALIDA[SKU],TablaSTOCKINV[[#This Row],[SKU]])</f>
        <v>0</v>
      </c>
      <c r="Q737" s="34">
        <f>_xlfn.XLOOKUP(TablaSTOCKINV[[#This Row],[SKU]],TablaINVENTARIO[SKU],TablaINVENTARIO[PRECIO])</f>
        <v>0</v>
      </c>
      <c r="R737" s="34">
        <f>TablaSTOCKINV[[#This Row],[P.UNITARIO]]*TablaSTOCKINV[[#This Row],[CANT. TOTAL]]</f>
        <v>0</v>
      </c>
      <c r="S737" s="44">
        <f>_xlfn.XLOOKUP(TablaSTOCKINV[[#This Row],[SKU]],TablaINVENTARIO[SKU],TablaINVENTARIO[FECHA INGRESO])</f>
        <v>46023</v>
      </c>
      <c r="T737" s="44">
        <f>_xlfn.XLOOKUP(TablaSTOCKINV[[#This Row],[SKU]],TablaENTRADA[SKU],TablaENTRADA[FECHA],,0,-1)</f>
        <v>46023</v>
      </c>
      <c r="U737" s="46" t="str">
        <f>IFERROR((_xlfn.XLOOKUP(TablaSTOCKINV[[#This Row],[SKU]],TablaSALIDA[SKU],TablaSALIDA[FECHA],,0,-1))," " )</f>
        <v xml:space="preserve"> </v>
      </c>
    </row>
    <row r="738" spans="1:21" x14ac:dyDescent="0.3">
      <c r="A738" s="27" t="s">
        <v>51</v>
      </c>
      <c r="B738" s="32" t="str">
        <f>_xlfn.XLOOKUP(TablaSTOCKINV[[#This Row],[SKU]],TablaINVENTARIO[SKU],TablaINVENTARIO[DESCRIPCION])</f>
        <v xml:space="preserve">TUERCA 1/2" </v>
      </c>
      <c r="C738" s="32" t="str">
        <f>_xlfn.XLOOKUP(TablaSTOCKINV[[#This Row],[SKU]],TablaINVENTARIO[SKU],TablaINVENTARIO[MARCA])</f>
        <v>SWAGELOK</v>
      </c>
      <c r="D738" s="33" t="str">
        <f>_xlfn.XLOOKUP(TablaSTOCKINV[[#This Row],[SKU]],TablaINVENTARIO[SKU],TablaINVENTARIO[CATEGORIA])</f>
        <v>FABRICACION</v>
      </c>
      <c r="E738" s="33" t="str">
        <f>_xlfn.XLOOKUP(TablaSTOCKINV[[#This Row],[SKU]],TablaINVENTARIO[SKU],TablaINVENTARIO[SUBCATEGORIA])</f>
        <v>MATERIAL MECANICO</v>
      </c>
      <c r="F738" s="33" t="str">
        <f>_xlfn.XLOOKUP(TablaSTOCKINV[[#This Row],[SKU]],TablaINVENTARIO[SKU],TablaINVENTARIO[ESTADO])</f>
        <v>NUEVO</v>
      </c>
      <c r="G738" s="33" t="str">
        <f>_xlfn.XLOOKUP(TablaSTOCKINV[[#This Row],[SKU]],TablaINVENTARIO[SKU],TablaINVENTARIO[MEDIDA])</f>
        <v xml:space="preserve">UND </v>
      </c>
      <c r="H738" s="33" t="str">
        <f>_xlfn.XLOOKUP(TablaSTOCKINV[[#This Row],[SKU]],TablaINVENTARIO[SKU],TablaINVENTARIO[SERIAL])</f>
        <v>N/A</v>
      </c>
      <c r="I738" s="34" t="str">
        <f>_xlfn.XLOOKUP(TablaSTOCKINV[[#This Row],[SKU]],TablaINVENTARIO[SKU],TablaINVENTARIO[ALMACEN])</f>
        <v>ALMACEN PRINCIPAL</v>
      </c>
      <c r="J738" s="34" t="str">
        <f>_xlfn.XLOOKUP(TablaSTOCKINV[[#This Row],[SKU]],TablaINVENTARIO[SKU],TablaINVENTARIO[UBICACION])</f>
        <v>K3</v>
      </c>
      <c r="K738" s="34" t="str">
        <f>_xlfn.XLOOKUP(TablaSTOCKINV[[#This Row],[SKU]],TablaINVENTARIO[SKU],TablaINVENTARIO[DPTO RESPONSABLE])</f>
        <v xml:space="preserve">OPERACIONES </v>
      </c>
      <c r="L738" s="36">
        <f>_xlfn.XLOOKUP(TablaSTOCKINV[[#This Row],[SKU]],TablaINVENTARIO[SKU],TablaINVENTARIO[RANGO MIN])</f>
        <v>0</v>
      </c>
      <c r="M738" s="34" cm="1">
        <f t="array" ref="M738">_xlfn.IFS(TablaSTOCKINV[[#This Row],[CANT. TOTAL]]&lt;=0,1,TablaSTOCKINV[[#This Row],[CANT. TOTAL]]&lt;=TablaSTOCKINV[[#This Row],[MIN]],2,TablaSTOCKINV[[#This Row],[CANT. TOTAL]]&gt;TablaSTOCKINV[[#This Row],[MIN]],3)</f>
        <v>3</v>
      </c>
      <c r="N738" s="34">
        <f>TablaSTOCKINV[[#This Row],[ENTRADAS]]-TablaSTOCKINV[[#This Row],[SALIDAS]]</f>
        <v>42</v>
      </c>
      <c r="O738" s="35">
        <f>SUMIFS(TablaENTRADA[CANT],TablaENTRADA[SKU],TablaSTOCKINV[[#This Row],[SKU]])</f>
        <v>42</v>
      </c>
      <c r="P738" s="35">
        <f>SUMIFS(TablaSALIDA[CANT],TablaSALIDA[SKU],TablaSTOCKINV[[#This Row],[SKU]])</f>
        <v>0</v>
      </c>
      <c r="Q738" s="34">
        <f>_xlfn.XLOOKUP(TablaSTOCKINV[[#This Row],[SKU]],TablaINVENTARIO[SKU],TablaINVENTARIO[PRECIO])</f>
        <v>0</v>
      </c>
      <c r="R738" s="34">
        <f>TablaSTOCKINV[[#This Row],[P.UNITARIO]]*TablaSTOCKINV[[#This Row],[CANT. TOTAL]]</f>
        <v>0</v>
      </c>
      <c r="S738" s="44">
        <f>_xlfn.XLOOKUP(TablaSTOCKINV[[#This Row],[SKU]],TablaINVENTARIO[SKU],TablaINVENTARIO[FECHA INGRESO])</f>
        <v>46023</v>
      </c>
      <c r="T738" s="44">
        <f>_xlfn.XLOOKUP(TablaSTOCKINV[[#This Row],[SKU]],TablaENTRADA[SKU],TablaENTRADA[FECHA],,0,-1)</f>
        <v>46023</v>
      </c>
      <c r="U738" s="46" t="str">
        <f>IFERROR((_xlfn.XLOOKUP(TablaSTOCKINV[[#This Row],[SKU]],TablaSALIDA[SKU],TablaSALIDA[FECHA],,0,-1))," " )</f>
        <v xml:space="preserve"> </v>
      </c>
    </row>
    <row r="739" spans="1:21" x14ac:dyDescent="0.3">
      <c r="A739" s="27" t="s">
        <v>534</v>
      </c>
      <c r="B739" s="32" t="str">
        <f>_xlfn.XLOOKUP(TablaSTOCKINV[[#This Row],[SKU]],TablaINVENTARIO[SKU],TablaINVENTARIO[DESCRIPCION])</f>
        <v xml:space="preserve">CONECTOR RECTO MACHO 1/4" NPT X 3/8" OD </v>
      </c>
      <c r="C739" s="32" t="str">
        <f>_xlfn.XLOOKUP(TablaSTOCKINV[[#This Row],[SKU]],TablaINVENTARIO[SKU],TablaINVENTARIO[MARCA])</f>
        <v>SWAGELOK</v>
      </c>
      <c r="D739" s="33" t="str">
        <f>_xlfn.XLOOKUP(TablaSTOCKINV[[#This Row],[SKU]],TablaINVENTARIO[SKU],TablaINVENTARIO[CATEGORIA])</f>
        <v>FABRICACION</v>
      </c>
      <c r="E739" s="33" t="str">
        <f>_xlfn.XLOOKUP(TablaSTOCKINV[[#This Row],[SKU]],TablaINVENTARIO[SKU],TablaINVENTARIO[SUBCATEGORIA])</f>
        <v>MATERIAL MECANICO</v>
      </c>
      <c r="F739" s="33" t="str">
        <f>_xlfn.XLOOKUP(TablaSTOCKINV[[#This Row],[SKU]],TablaINVENTARIO[SKU],TablaINVENTARIO[ESTADO])</f>
        <v>NUEVO</v>
      </c>
      <c r="G739" s="33" t="str">
        <f>_xlfn.XLOOKUP(TablaSTOCKINV[[#This Row],[SKU]],TablaINVENTARIO[SKU],TablaINVENTARIO[MEDIDA])</f>
        <v xml:space="preserve">UND </v>
      </c>
      <c r="H739" s="33" t="str">
        <f>_xlfn.XLOOKUP(TablaSTOCKINV[[#This Row],[SKU]],TablaINVENTARIO[SKU],TablaINVENTARIO[SERIAL])</f>
        <v>N/A</v>
      </c>
      <c r="I739" s="34" t="str">
        <f>_xlfn.XLOOKUP(TablaSTOCKINV[[#This Row],[SKU]],TablaINVENTARIO[SKU],TablaINVENTARIO[ALMACEN])</f>
        <v>ALMACEN PRINCIPAL</v>
      </c>
      <c r="J739" s="34" t="str">
        <f>_xlfn.XLOOKUP(TablaSTOCKINV[[#This Row],[SKU]],TablaINVENTARIO[SKU],TablaINVENTARIO[UBICACION])</f>
        <v>K3</v>
      </c>
      <c r="K739" s="34" t="str">
        <f>_xlfn.XLOOKUP(TablaSTOCKINV[[#This Row],[SKU]],TablaINVENTARIO[SKU],TablaINVENTARIO[DPTO RESPONSABLE])</f>
        <v xml:space="preserve">OPERACIONES </v>
      </c>
      <c r="L739" s="36">
        <f>_xlfn.XLOOKUP(TablaSTOCKINV[[#This Row],[SKU]],TablaINVENTARIO[SKU],TablaINVENTARIO[RANGO MIN])</f>
        <v>0</v>
      </c>
      <c r="M739" s="34" cm="1">
        <f t="array" ref="M739">_xlfn.IFS(TablaSTOCKINV[[#This Row],[CANT. TOTAL]]&lt;=0,1,TablaSTOCKINV[[#This Row],[CANT. TOTAL]]&lt;=TablaSTOCKINV[[#This Row],[MIN]],2,TablaSTOCKINV[[#This Row],[CANT. TOTAL]]&gt;TablaSTOCKINV[[#This Row],[MIN]],3)</f>
        <v>3</v>
      </c>
      <c r="N739" s="34">
        <f>TablaSTOCKINV[[#This Row],[ENTRADAS]]-TablaSTOCKINV[[#This Row],[SALIDAS]]</f>
        <v>146</v>
      </c>
      <c r="O739" s="35">
        <f>SUMIFS(TablaENTRADA[CANT],TablaENTRADA[SKU],TablaSTOCKINV[[#This Row],[SKU]])</f>
        <v>146</v>
      </c>
      <c r="P739" s="35">
        <f>SUMIFS(TablaSALIDA[CANT],TablaSALIDA[SKU],TablaSTOCKINV[[#This Row],[SKU]])</f>
        <v>0</v>
      </c>
      <c r="Q739" s="34">
        <f>_xlfn.XLOOKUP(TablaSTOCKINV[[#This Row],[SKU]],TablaINVENTARIO[SKU],TablaINVENTARIO[PRECIO])</f>
        <v>0</v>
      </c>
      <c r="R739" s="34">
        <f>TablaSTOCKINV[[#This Row],[P.UNITARIO]]*TablaSTOCKINV[[#This Row],[CANT. TOTAL]]</f>
        <v>0</v>
      </c>
      <c r="S739" s="44">
        <f>_xlfn.XLOOKUP(TablaSTOCKINV[[#This Row],[SKU]],TablaINVENTARIO[SKU],TablaINVENTARIO[FECHA INGRESO])</f>
        <v>46023</v>
      </c>
      <c r="T739" s="44">
        <f>_xlfn.XLOOKUP(TablaSTOCKINV[[#This Row],[SKU]],TablaENTRADA[SKU],TablaENTRADA[FECHA],,0,-1)</f>
        <v>46023</v>
      </c>
      <c r="U739" s="46" t="str">
        <f>IFERROR((_xlfn.XLOOKUP(TablaSTOCKINV[[#This Row],[SKU]],TablaSALIDA[SKU],TablaSALIDA[FECHA],,0,-1))," " )</f>
        <v xml:space="preserve"> </v>
      </c>
    </row>
    <row r="740" spans="1:21" x14ac:dyDescent="0.3">
      <c r="A740" s="27" t="s">
        <v>536</v>
      </c>
      <c r="B740" s="32" t="str">
        <f>_xlfn.XLOOKUP(TablaSTOCKINV[[#This Row],[SKU]],TablaINVENTARIO[SKU],TablaINVENTARIO[DESCRIPCION])</f>
        <v xml:space="preserve">CONECTOR RECTO MACHO 3/8" NPT X 3/8" OD </v>
      </c>
      <c r="C740" s="32" t="str">
        <f>_xlfn.XLOOKUP(TablaSTOCKINV[[#This Row],[SKU]],TablaINVENTARIO[SKU],TablaINVENTARIO[MARCA])</f>
        <v>SWAGELOK</v>
      </c>
      <c r="D740" s="33" t="str">
        <f>_xlfn.XLOOKUP(TablaSTOCKINV[[#This Row],[SKU]],TablaINVENTARIO[SKU],TablaINVENTARIO[CATEGORIA])</f>
        <v>FABRICACION</v>
      </c>
      <c r="E740" s="33" t="str">
        <f>_xlfn.XLOOKUP(TablaSTOCKINV[[#This Row],[SKU]],TablaINVENTARIO[SKU],TablaINVENTARIO[SUBCATEGORIA])</f>
        <v>MATERIAL MECANICO</v>
      </c>
      <c r="F740" s="33" t="str">
        <f>_xlfn.XLOOKUP(TablaSTOCKINV[[#This Row],[SKU]],TablaINVENTARIO[SKU],TablaINVENTARIO[ESTADO])</f>
        <v>NUEVO</v>
      </c>
      <c r="G740" s="33" t="str">
        <f>_xlfn.XLOOKUP(TablaSTOCKINV[[#This Row],[SKU]],TablaINVENTARIO[SKU],TablaINVENTARIO[MEDIDA])</f>
        <v xml:space="preserve">UND </v>
      </c>
      <c r="H740" s="33" t="str">
        <f>_xlfn.XLOOKUP(TablaSTOCKINV[[#This Row],[SKU]],TablaINVENTARIO[SKU],TablaINVENTARIO[SERIAL])</f>
        <v>N/A</v>
      </c>
      <c r="I740" s="34" t="str">
        <f>_xlfn.XLOOKUP(TablaSTOCKINV[[#This Row],[SKU]],TablaINVENTARIO[SKU],TablaINVENTARIO[ALMACEN])</f>
        <v>ALMACEN PRINCIPAL</v>
      </c>
      <c r="J740" s="34" t="str">
        <f>_xlfn.XLOOKUP(TablaSTOCKINV[[#This Row],[SKU]],TablaINVENTARIO[SKU],TablaINVENTARIO[UBICACION])</f>
        <v>K3</v>
      </c>
      <c r="K740" s="34" t="str">
        <f>_xlfn.XLOOKUP(TablaSTOCKINV[[#This Row],[SKU]],TablaINVENTARIO[SKU],TablaINVENTARIO[DPTO RESPONSABLE])</f>
        <v xml:space="preserve">OPERACIONES </v>
      </c>
      <c r="L740" s="36">
        <f>_xlfn.XLOOKUP(TablaSTOCKINV[[#This Row],[SKU]],TablaINVENTARIO[SKU],TablaINVENTARIO[RANGO MIN])</f>
        <v>0</v>
      </c>
      <c r="M740" s="34" cm="1">
        <f t="array" ref="M740">_xlfn.IFS(TablaSTOCKINV[[#This Row],[CANT. TOTAL]]&lt;=0,1,TablaSTOCKINV[[#This Row],[CANT. TOTAL]]&lt;=TablaSTOCKINV[[#This Row],[MIN]],2,TablaSTOCKINV[[#This Row],[CANT. TOTAL]]&gt;TablaSTOCKINV[[#This Row],[MIN]],3)</f>
        <v>3</v>
      </c>
      <c r="N740" s="34">
        <f>TablaSTOCKINV[[#This Row],[ENTRADAS]]-TablaSTOCKINV[[#This Row],[SALIDAS]]</f>
        <v>34</v>
      </c>
      <c r="O740" s="35">
        <f>SUMIFS(TablaENTRADA[CANT],TablaENTRADA[SKU],TablaSTOCKINV[[#This Row],[SKU]])</f>
        <v>34</v>
      </c>
      <c r="P740" s="35">
        <f>SUMIFS(TablaSALIDA[CANT],TablaSALIDA[SKU],TablaSTOCKINV[[#This Row],[SKU]])</f>
        <v>0</v>
      </c>
      <c r="Q740" s="34">
        <f>_xlfn.XLOOKUP(TablaSTOCKINV[[#This Row],[SKU]],TablaINVENTARIO[SKU],TablaINVENTARIO[PRECIO])</f>
        <v>0</v>
      </c>
      <c r="R740" s="34">
        <f>TablaSTOCKINV[[#This Row],[P.UNITARIO]]*TablaSTOCKINV[[#This Row],[CANT. TOTAL]]</f>
        <v>0</v>
      </c>
      <c r="S740" s="44">
        <f>_xlfn.XLOOKUP(TablaSTOCKINV[[#This Row],[SKU]],TablaINVENTARIO[SKU],TablaINVENTARIO[FECHA INGRESO])</f>
        <v>46023</v>
      </c>
      <c r="T740" s="44">
        <f>_xlfn.XLOOKUP(TablaSTOCKINV[[#This Row],[SKU]],TablaENTRADA[SKU],TablaENTRADA[FECHA],,0,-1)</f>
        <v>46023</v>
      </c>
      <c r="U740" s="46" t="str">
        <f>IFERROR((_xlfn.XLOOKUP(TablaSTOCKINV[[#This Row],[SKU]],TablaSALIDA[SKU],TablaSALIDA[FECHA],,0,-1))," " )</f>
        <v xml:space="preserve"> </v>
      </c>
    </row>
    <row r="741" spans="1:21" x14ac:dyDescent="0.3">
      <c r="A741" s="27" t="s">
        <v>538</v>
      </c>
      <c r="B741" s="32" t="str">
        <f>_xlfn.XLOOKUP(TablaSTOCKINV[[#This Row],[SKU]],TablaINVENTARIO[SKU],TablaINVENTARIO[DESCRIPCION])</f>
        <v xml:space="preserve">CRUZ DE ACERO INOXIDABLE 3/8" OD </v>
      </c>
      <c r="C741" s="32" t="str">
        <f>_xlfn.XLOOKUP(TablaSTOCKINV[[#This Row],[SKU]],TablaINVENTARIO[SKU],TablaINVENTARIO[MARCA])</f>
        <v>SWAGELOK</v>
      </c>
      <c r="D741" s="33" t="str">
        <f>_xlfn.XLOOKUP(TablaSTOCKINV[[#This Row],[SKU]],TablaINVENTARIO[SKU],TablaINVENTARIO[CATEGORIA])</f>
        <v>FABRICACION</v>
      </c>
      <c r="E741" s="33" t="str">
        <f>_xlfn.XLOOKUP(TablaSTOCKINV[[#This Row],[SKU]],TablaINVENTARIO[SKU],TablaINVENTARIO[SUBCATEGORIA])</f>
        <v>MATERIAL MECANICO</v>
      </c>
      <c r="F741" s="33" t="str">
        <f>_xlfn.XLOOKUP(TablaSTOCKINV[[#This Row],[SKU]],TablaINVENTARIO[SKU],TablaINVENTARIO[ESTADO])</f>
        <v>NUEVO</v>
      </c>
      <c r="G741" s="33" t="str">
        <f>_xlfn.XLOOKUP(TablaSTOCKINV[[#This Row],[SKU]],TablaINVENTARIO[SKU],TablaINVENTARIO[MEDIDA])</f>
        <v xml:space="preserve">UND </v>
      </c>
      <c r="H741" s="33" t="str">
        <f>_xlfn.XLOOKUP(TablaSTOCKINV[[#This Row],[SKU]],TablaINVENTARIO[SKU],TablaINVENTARIO[SERIAL])</f>
        <v>N/A</v>
      </c>
      <c r="I741" s="34" t="str">
        <f>_xlfn.XLOOKUP(TablaSTOCKINV[[#This Row],[SKU]],TablaINVENTARIO[SKU],TablaINVENTARIO[ALMACEN])</f>
        <v>ALMACEN PRINCIPAL</v>
      </c>
      <c r="J741" s="34" t="str">
        <f>_xlfn.XLOOKUP(TablaSTOCKINV[[#This Row],[SKU]],TablaINVENTARIO[SKU],TablaINVENTARIO[UBICACION])</f>
        <v>K3</v>
      </c>
      <c r="K741" s="34" t="str">
        <f>_xlfn.XLOOKUP(TablaSTOCKINV[[#This Row],[SKU]],TablaINVENTARIO[SKU],TablaINVENTARIO[DPTO RESPONSABLE])</f>
        <v xml:space="preserve">OPERACIONES </v>
      </c>
      <c r="L741" s="36">
        <f>_xlfn.XLOOKUP(TablaSTOCKINV[[#This Row],[SKU]],TablaINVENTARIO[SKU],TablaINVENTARIO[RANGO MIN])</f>
        <v>0</v>
      </c>
      <c r="M741" s="34" cm="1">
        <f t="array" ref="M741">_xlfn.IFS(TablaSTOCKINV[[#This Row],[CANT. TOTAL]]&lt;=0,1,TablaSTOCKINV[[#This Row],[CANT. TOTAL]]&lt;=TablaSTOCKINV[[#This Row],[MIN]],2,TablaSTOCKINV[[#This Row],[CANT. TOTAL]]&gt;TablaSTOCKINV[[#This Row],[MIN]],3)</f>
        <v>3</v>
      </c>
      <c r="N741" s="34">
        <f>TablaSTOCKINV[[#This Row],[ENTRADAS]]-TablaSTOCKINV[[#This Row],[SALIDAS]]</f>
        <v>3</v>
      </c>
      <c r="O741" s="35">
        <f>SUMIFS(TablaENTRADA[CANT],TablaENTRADA[SKU],TablaSTOCKINV[[#This Row],[SKU]])</f>
        <v>3</v>
      </c>
      <c r="P741" s="35">
        <f>SUMIFS(TablaSALIDA[CANT],TablaSALIDA[SKU],TablaSTOCKINV[[#This Row],[SKU]])</f>
        <v>0</v>
      </c>
      <c r="Q741" s="34">
        <f>_xlfn.XLOOKUP(TablaSTOCKINV[[#This Row],[SKU]],TablaINVENTARIO[SKU],TablaINVENTARIO[PRECIO])</f>
        <v>0</v>
      </c>
      <c r="R741" s="34">
        <f>TablaSTOCKINV[[#This Row],[P.UNITARIO]]*TablaSTOCKINV[[#This Row],[CANT. TOTAL]]</f>
        <v>0</v>
      </c>
      <c r="S741" s="44">
        <f>_xlfn.XLOOKUP(TablaSTOCKINV[[#This Row],[SKU]],TablaINVENTARIO[SKU],TablaINVENTARIO[FECHA INGRESO])</f>
        <v>46023</v>
      </c>
      <c r="T741" s="44">
        <f>_xlfn.XLOOKUP(TablaSTOCKINV[[#This Row],[SKU]],TablaENTRADA[SKU],TablaENTRADA[FECHA],,0,-1)</f>
        <v>46023</v>
      </c>
      <c r="U741" s="46" t="str">
        <f>IFERROR((_xlfn.XLOOKUP(TablaSTOCKINV[[#This Row],[SKU]],TablaSALIDA[SKU],TablaSALIDA[FECHA],,0,-1))," " )</f>
        <v xml:space="preserve"> </v>
      </c>
    </row>
    <row r="742" spans="1:21" x14ac:dyDescent="0.3">
      <c r="A742" s="27" t="s">
        <v>540</v>
      </c>
      <c r="B742" s="32" t="str">
        <f>_xlfn.XLOOKUP(TablaSTOCKINV[[#This Row],[SKU]],TablaINVENTARIO[SKU],TablaINVENTARIO[DESCRIPCION])</f>
        <v>TUERCA 1/4"</v>
      </c>
      <c r="C742" s="32" t="str">
        <f>_xlfn.XLOOKUP(TablaSTOCKINV[[#This Row],[SKU]],TablaINVENTARIO[SKU],TablaINVENTARIO[MARCA])</f>
        <v>SWAGELOK</v>
      </c>
      <c r="D742" s="33" t="str">
        <f>_xlfn.XLOOKUP(TablaSTOCKINV[[#This Row],[SKU]],TablaINVENTARIO[SKU],TablaINVENTARIO[CATEGORIA])</f>
        <v>FABRICACION</v>
      </c>
      <c r="E742" s="33" t="str">
        <f>_xlfn.XLOOKUP(TablaSTOCKINV[[#This Row],[SKU]],TablaINVENTARIO[SKU],TablaINVENTARIO[SUBCATEGORIA])</f>
        <v>MATERIAL MECANICO</v>
      </c>
      <c r="F742" s="33" t="str">
        <f>_xlfn.XLOOKUP(TablaSTOCKINV[[#This Row],[SKU]],TablaINVENTARIO[SKU],TablaINVENTARIO[ESTADO])</f>
        <v>NUEVO</v>
      </c>
      <c r="G742" s="33" t="str">
        <f>_xlfn.XLOOKUP(TablaSTOCKINV[[#This Row],[SKU]],TablaINVENTARIO[SKU],TablaINVENTARIO[MEDIDA])</f>
        <v xml:space="preserve">UND </v>
      </c>
      <c r="H742" s="33" t="str">
        <f>_xlfn.XLOOKUP(TablaSTOCKINV[[#This Row],[SKU]],TablaINVENTARIO[SKU],TablaINVENTARIO[SERIAL])</f>
        <v>N/A</v>
      </c>
      <c r="I742" s="34" t="str">
        <f>_xlfn.XLOOKUP(TablaSTOCKINV[[#This Row],[SKU]],TablaINVENTARIO[SKU],TablaINVENTARIO[ALMACEN])</f>
        <v>ALMACEN PRINCIPAL</v>
      </c>
      <c r="J742" s="34" t="str">
        <f>_xlfn.XLOOKUP(TablaSTOCKINV[[#This Row],[SKU]],TablaINVENTARIO[SKU],TablaINVENTARIO[UBICACION])</f>
        <v>K3</v>
      </c>
      <c r="K742" s="34" t="str">
        <f>_xlfn.XLOOKUP(TablaSTOCKINV[[#This Row],[SKU]],TablaINVENTARIO[SKU],TablaINVENTARIO[DPTO RESPONSABLE])</f>
        <v xml:space="preserve">OPERACIONES </v>
      </c>
      <c r="L742" s="36">
        <f>_xlfn.XLOOKUP(TablaSTOCKINV[[#This Row],[SKU]],TablaINVENTARIO[SKU],TablaINVENTARIO[RANGO MIN])</f>
        <v>0</v>
      </c>
      <c r="M742" s="34" cm="1">
        <f t="array" ref="M742">_xlfn.IFS(TablaSTOCKINV[[#This Row],[CANT. TOTAL]]&lt;=0,1,TablaSTOCKINV[[#This Row],[CANT. TOTAL]]&lt;=TablaSTOCKINV[[#This Row],[MIN]],2,TablaSTOCKINV[[#This Row],[CANT. TOTAL]]&gt;TablaSTOCKINV[[#This Row],[MIN]],3)</f>
        <v>3</v>
      </c>
      <c r="N742" s="34">
        <f>TablaSTOCKINV[[#This Row],[ENTRADAS]]-TablaSTOCKINV[[#This Row],[SALIDAS]]</f>
        <v>49</v>
      </c>
      <c r="O742" s="35">
        <f>SUMIFS(TablaENTRADA[CANT],TablaENTRADA[SKU],TablaSTOCKINV[[#This Row],[SKU]])</f>
        <v>49</v>
      </c>
      <c r="P742" s="35">
        <f>SUMIFS(TablaSALIDA[CANT],TablaSALIDA[SKU],TablaSTOCKINV[[#This Row],[SKU]])</f>
        <v>0</v>
      </c>
      <c r="Q742" s="34">
        <f>_xlfn.XLOOKUP(TablaSTOCKINV[[#This Row],[SKU]],TablaINVENTARIO[SKU],TablaINVENTARIO[PRECIO])</f>
        <v>0</v>
      </c>
      <c r="R742" s="34">
        <f>TablaSTOCKINV[[#This Row],[P.UNITARIO]]*TablaSTOCKINV[[#This Row],[CANT. TOTAL]]</f>
        <v>0</v>
      </c>
      <c r="S742" s="44">
        <f>_xlfn.XLOOKUP(TablaSTOCKINV[[#This Row],[SKU]],TablaINVENTARIO[SKU],TablaINVENTARIO[FECHA INGRESO])</f>
        <v>46023</v>
      </c>
      <c r="T742" s="44">
        <f>_xlfn.XLOOKUP(TablaSTOCKINV[[#This Row],[SKU]],TablaENTRADA[SKU],TablaENTRADA[FECHA],,0,-1)</f>
        <v>46023</v>
      </c>
      <c r="U742" s="46" t="str">
        <f>IFERROR((_xlfn.XLOOKUP(TablaSTOCKINV[[#This Row],[SKU]],TablaSALIDA[SKU],TablaSALIDA[FECHA],,0,-1))," " )</f>
        <v xml:space="preserve"> </v>
      </c>
    </row>
    <row r="743" spans="1:21" x14ac:dyDescent="0.3">
      <c r="A743" s="27" t="s">
        <v>542</v>
      </c>
      <c r="B743" s="32" t="str">
        <f>_xlfn.XLOOKUP(TablaSTOCKINV[[#This Row],[SKU]],TablaINVENTARIO[SKU],TablaINVENTARIO[DESCRIPCION])</f>
        <v>TUERCA 3/8"</v>
      </c>
      <c r="C743" s="32" t="str">
        <f>_xlfn.XLOOKUP(TablaSTOCKINV[[#This Row],[SKU]],TablaINVENTARIO[SKU],TablaINVENTARIO[MARCA])</f>
        <v>SWAGELOK</v>
      </c>
      <c r="D743" s="33" t="str">
        <f>_xlfn.XLOOKUP(TablaSTOCKINV[[#This Row],[SKU]],TablaINVENTARIO[SKU],TablaINVENTARIO[CATEGORIA])</f>
        <v>FABRICACION</v>
      </c>
      <c r="E743" s="33" t="str">
        <f>_xlfn.XLOOKUP(TablaSTOCKINV[[#This Row],[SKU]],TablaINVENTARIO[SKU],TablaINVENTARIO[SUBCATEGORIA])</f>
        <v>MATERIAL MECANICO</v>
      </c>
      <c r="F743" s="33" t="str">
        <f>_xlfn.XLOOKUP(TablaSTOCKINV[[#This Row],[SKU]],TablaINVENTARIO[SKU],TablaINVENTARIO[ESTADO])</f>
        <v>NUEVO</v>
      </c>
      <c r="G743" s="33" t="str">
        <f>_xlfn.XLOOKUP(TablaSTOCKINV[[#This Row],[SKU]],TablaINVENTARIO[SKU],TablaINVENTARIO[MEDIDA])</f>
        <v xml:space="preserve">UND </v>
      </c>
      <c r="H743" s="33" t="str">
        <f>_xlfn.XLOOKUP(TablaSTOCKINV[[#This Row],[SKU]],TablaINVENTARIO[SKU],TablaINVENTARIO[SERIAL])</f>
        <v>N/A</v>
      </c>
      <c r="I743" s="34" t="str">
        <f>_xlfn.XLOOKUP(TablaSTOCKINV[[#This Row],[SKU]],TablaINVENTARIO[SKU],TablaINVENTARIO[ALMACEN])</f>
        <v>ALMACEN PRINCIPAL</v>
      </c>
      <c r="J743" s="34" t="str">
        <f>_xlfn.XLOOKUP(TablaSTOCKINV[[#This Row],[SKU]],TablaINVENTARIO[SKU],TablaINVENTARIO[UBICACION])</f>
        <v>K3</v>
      </c>
      <c r="K743" s="34" t="str">
        <f>_xlfn.XLOOKUP(TablaSTOCKINV[[#This Row],[SKU]],TablaINVENTARIO[SKU],TablaINVENTARIO[DPTO RESPONSABLE])</f>
        <v xml:space="preserve">OPERACIONES </v>
      </c>
      <c r="L743" s="36">
        <f>_xlfn.XLOOKUP(TablaSTOCKINV[[#This Row],[SKU]],TablaINVENTARIO[SKU],TablaINVENTARIO[RANGO MIN])</f>
        <v>0</v>
      </c>
      <c r="M743" s="34" cm="1">
        <f t="array" ref="M743">_xlfn.IFS(TablaSTOCKINV[[#This Row],[CANT. TOTAL]]&lt;=0,1,TablaSTOCKINV[[#This Row],[CANT. TOTAL]]&lt;=TablaSTOCKINV[[#This Row],[MIN]],2,TablaSTOCKINV[[#This Row],[CANT. TOTAL]]&gt;TablaSTOCKINV[[#This Row],[MIN]],3)</f>
        <v>3</v>
      </c>
      <c r="N743" s="34">
        <f>TablaSTOCKINV[[#This Row],[ENTRADAS]]-TablaSTOCKINV[[#This Row],[SALIDAS]]</f>
        <v>90</v>
      </c>
      <c r="O743" s="35">
        <f>SUMIFS(TablaENTRADA[CANT],TablaENTRADA[SKU],TablaSTOCKINV[[#This Row],[SKU]])</f>
        <v>90</v>
      </c>
      <c r="P743" s="35">
        <f>SUMIFS(TablaSALIDA[CANT],TablaSALIDA[SKU],TablaSTOCKINV[[#This Row],[SKU]])</f>
        <v>0</v>
      </c>
      <c r="Q743" s="34">
        <f>_xlfn.XLOOKUP(TablaSTOCKINV[[#This Row],[SKU]],TablaINVENTARIO[SKU],TablaINVENTARIO[PRECIO])</f>
        <v>0</v>
      </c>
      <c r="R743" s="34">
        <f>TablaSTOCKINV[[#This Row],[P.UNITARIO]]*TablaSTOCKINV[[#This Row],[CANT. TOTAL]]</f>
        <v>0</v>
      </c>
      <c r="S743" s="44">
        <f>_xlfn.XLOOKUP(TablaSTOCKINV[[#This Row],[SKU]],TablaINVENTARIO[SKU],TablaINVENTARIO[FECHA INGRESO])</f>
        <v>46023</v>
      </c>
      <c r="T743" s="44">
        <f>_xlfn.XLOOKUP(TablaSTOCKINV[[#This Row],[SKU]],TablaENTRADA[SKU],TablaENTRADA[FECHA],,0,-1)</f>
        <v>46023</v>
      </c>
      <c r="U743" s="46" t="str">
        <f>IFERROR((_xlfn.XLOOKUP(TablaSTOCKINV[[#This Row],[SKU]],TablaSALIDA[SKU],TablaSALIDA[FECHA],,0,-1))," " )</f>
        <v xml:space="preserve"> </v>
      </c>
    </row>
    <row r="744" spans="1:21" x14ac:dyDescent="0.3">
      <c r="A744" s="27" t="s">
        <v>544</v>
      </c>
      <c r="B744" s="32" t="str">
        <f>_xlfn.XLOOKUP(TablaSTOCKINV[[#This Row],[SKU]],TablaINVENTARIO[SKU],TablaINVENTARIO[DESCRIPCION])</f>
        <v xml:space="preserve">TUERCA 1/2" </v>
      </c>
      <c r="C744" s="32" t="str">
        <f>_xlfn.XLOOKUP(TablaSTOCKINV[[#This Row],[SKU]],TablaINVENTARIO[SKU],TablaINVENTARIO[MARCA])</f>
        <v>SWAGELOK</v>
      </c>
      <c r="D744" s="33" t="str">
        <f>_xlfn.XLOOKUP(TablaSTOCKINV[[#This Row],[SKU]],TablaINVENTARIO[SKU],TablaINVENTARIO[CATEGORIA])</f>
        <v>FABRICACION</v>
      </c>
      <c r="E744" s="33" t="str">
        <f>_xlfn.XLOOKUP(TablaSTOCKINV[[#This Row],[SKU]],TablaINVENTARIO[SKU],TablaINVENTARIO[SUBCATEGORIA])</f>
        <v>MATERIAL MECANICO</v>
      </c>
      <c r="F744" s="33" t="str">
        <f>_xlfn.XLOOKUP(TablaSTOCKINV[[#This Row],[SKU]],TablaINVENTARIO[SKU],TablaINVENTARIO[ESTADO])</f>
        <v>NUEVO</v>
      </c>
      <c r="G744" s="33" t="str">
        <f>_xlfn.XLOOKUP(TablaSTOCKINV[[#This Row],[SKU]],TablaINVENTARIO[SKU],TablaINVENTARIO[MEDIDA])</f>
        <v xml:space="preserve">UND </v>
      </c>
      <c r="H744" s="33" t="str">
        <f>_xlfn.XLOOKUP(TablaSTOCKINV[[#This Row],[SKU]],TablaINVENTARIO[SKU],TablaINVENTARIO[SERIAL])</f>
        <v>N/A</v>
      </c>
      <c r="I744" s="34" t="str">
        <f>_xlfn.XLOOKUP(TablaSTOCKINV[[#This Row],[SKU]],TablaINVENTARIO[SKU],TablaINVENTARIO[ALMACEN])</f>
        <v>ALMACEN PRINCIPAL</v>
      </c>
      <c r="J744" s="34" t="str">
        <f>_xlfn.XLOOKUP(TablaSTOCKINV[[#This Row],[SKU]],TablaINVENTARIO[SKU],TablaINVENTARIO[UBICACION])</f>
        <v>K3</v>
      </c>
      <c r="K744" s="34" t="str">
        <f>_xlfn.XLOOKUP(TablaSTOCKINV[[#This Row],[SKU]],TablaINVENTARIO[SKU],TablaINVENTARIO[DPTO RESPONSABLE])</f>
        <v xml:space="preserve">OPERACIONES </v>
      </c>
      <c r="L744" s="36">
        <f>_xlfn.XLOOKUP(TablaSTOCKINV[[#This Row],[SKU]],TablaINVENTARIO[SKU],TablaINVENTARIO[RANGO MIN])</f>
        <v>0</v>
      </c>
      <c r="M744" s="34" cm="1">
        <f t="array" ref="M744">_xlfn.IFS(TablaSTOCKINV[[#This Row],[CANT. TOTAL]]&lt;=0,1,TablaSTOCKINV[[#This Row],[CANT. TOTAL]]&lt;=TablaSTOCKINV[[#This Row],[MIN]],2,TablaSTOCKINV[[#This Row],[CANT. TOTAL]]&gt;TablaSTOCKINV[[#This Row],[MIN]],3)</f>
        <v>3</v>
      </c>
      <c r="N744" s="34">
        <f>TablaSTOCKINV[[#This Row],[ENTRADAS]]-TablaSTOCKINV[[#This Row],[SALIDAS]]</f>
        <v>5</v>
      </c>
      <c r="O744" s="35">
        <f>SUMIFS(TablaENTRADA[CANT],TablaENTRADA[SKU],TablaSTOCKINV[[#This Row],[SKU]])</f>
        <v>5</v>
      </c>
      <c r="P744" s="35">
        <f>SUMIFS(TablaSALIDA[CANT],TablaSALIDA[SKU],TablaSTOCKINV[[#This Row],[SKU]])</f>
        <v>0</v>
      </c>
      <c r="Q744" s="34">
        <f>_xlfn.XLOOKUP(TablaSTOCKINV[[#This Row],[SKU]],TablaINVENTARIO[SKU],TablaINVENTARIO[PRECIO])</f>
        <v>0</v>
      </c>
      <c r="R744" s="34">
        <f>TablaSTOCKINV[[#This Row],[P.UNITARIO]]*TablaSTOCKINV[[#This Row],[CANT. TOTAL]]</f>
        <v>0</v>
      </c>
      <c r="S744" s="44">
        <f>_xlfn.XLOOKUP(TablaSTOCKINV[[#This Row],[SKU]],TablaINVENTARIO[SKU],TablaINVENTARIO[FECHA INGRESO])</f>
        <v>46023</v>
      </c>
      <c r="T744" s="44">
        <f>_xlfn.XLOOKUP(TablaSTOCKINV[[#This Row],[SKU]],TablaENTRADA[SKU],TablaENTRADA[FECHA],,0,-1)</f>
        <v>46023</v>
      </c>
      <c r="U744" s="46" t="str">
        <f>IFERROR((_xlfn.XLOOKUP(TablaSTOCKINV[[#This Row],[SKU]],TablaSALIDA[SKU],TablaSALIDA[FECHA],,0,-1))," " )</f>
        <v xml:space="preserve"> </v>
      </c>
    </row>
    <row r="745" spans="1:21" x14ac:dyDescent="0.3">
      <c r="A745" s="27" t="s">
        <v>545</v>
      </c>
      <c r="B745" s="32" t="str">
        <f>_xlfn.XLOOKUP(TablaSTOCKINV[[#This Row],[SKU]],TablaINVENTARIO[SKU],TablaINVENTARIO[DESCRIPCION])</f>
        <v>EMPACADURA 2" PARA FIGURAS DE CONEXIÓN HAMMER</v>
      </c>
      <c r="C745" s="32" t="str">
        <f>_xlfn.XLOOKUP(TablaSTOCKINV[[#This Row],[SKU]],TablaINVENTARIO[SKU],TablaINVENTARIO[MARCA])</f>
        <v>N/A</v>
      </c>
      <c r="D745" s="33" t="str">
        <f>_xlfn.XLOOKUP(TablaSTOCKINV[[#This Row],[SKU]],TablaINVENTARIO[SKU],TablaINVENTARIO[CATEGORIA])</f>
        <v>FABRICACION</v>
      </c>
      <c r="E745" s="33" t="str">
        <f>_xlfn.XLOOKUP(TablaSTOCKINV[[#This Row],[SKU]],TablaINVENTARIO[SKU],TablaINVENTARIO[SUBCATEGORIA])</f>
        <v>MATERIAL MECANICO</v>
      </c>
      <c r="F745" s="33" t="str">
        <f>_xlfn.XLOOKUP(TablaSTOCKINV[[#This Row],[SKU]],TablaINVENTARIO[SKU],TablaINVENTARIO[ESTADO])</f>
        <v>NUEVO</v>
      </c>
      <c r="G745" s="33" t="str">
        <f>_xlfn.XLOOKUP(TablaSTOCKINV[[#This Row],[SKU]],TablaINVENTARIO[SKU],TablaINVENTARIO[MEDIDA])</f>
        <v xml:space="preserve">UND </v>
      </c>
      <c r="H745" s="33" t="str">
        <f>_xlfn.XLOOKUP(TablaSTOCKINV[[#This Row],[SKU]],TablaINVENTARIO[SKU],TablaINVENTARIO[SERIAL])</f>
        <v>N/A</v>
      </c>
      <c r="I745" s="34" t="str">
        <f>_xlfn.XLOOKUP(TablaSTOCKINV[[#This Row],[SKU]],TablaINVENTARIO[SKU],TablaINVENTARIO[ALMACEN])</f>
        <v>ALMACEN PRINCIPAL</v>
      </c>
      <c r="J745" s="34" t="str">
        <f>_xlfn.XLOOKUP(TablaSTOCKINV[[#This Row],[SKU]],TablaINVENTARIO[SKU],TablaINVENTARIO[UBICACION])</f>
        <v>K4</v>
      </c>
      <c r="K745" s="34" t="str">
        <f>_xlfn.XLOOKUP(TablaSTOCKINV[[#This Row],[SKU]],TablaINVENTARIO[SKU],TablaINVENTARIO[DPTO RESPONSABLE])</f>
        <v xml:space="preserve">OPERACIONES </v>
      </c>
      <c r="L745" s="36">
        <f>_xlfn.XLOOKUP(TablaSTOCKINV[[#This Row],[SKU]],TablaINVENTARIO[SKU],TablaINVENTARIO[RANGO MIN])</f>
        <v>0</v>
      </c>
      <c r="M745" s="34" cm="1">
        <f t="array" ref="M745">_xlfn.IFS(TablaSTOCKINV[[#This Row],[CANT. TOTAL]]&lt;=0,1,TablaSTOCKINV[[#This Row],[CANT. TOTAL]]&lt;=TablaSTOCKINV[[#This Row],[MIN]],2,TablaSTOCKINV[[#This Row],[CANT. TOTAL]]&gt;TablaSTOCKINV[[#This Row],[MIN]],3)</f>
        <v>3</v>
      </c>
      <c r="N745" s="34">
        <f>TablaSTOCKINV[[#This Row],[ENTRADAS]]-TablaSTOCKINV[[#This Row],[SALIDAS]]</f>
        <v>1</v>
      </c>
      <c r="O745" s="35">
        <f>SUMIFS(TablaENTRADA[CANT],TablaENTRADA[SKU],TablaSTOCKINV[[#This Row],[SKU]])</f>
        <v>1</v>
      </c>
      <c r="P745" s="35">
        <f>SUMIFS(TablaSALIDA[CANT],TablaSALIDA[SKU],TablaSTOCKINV[[#This Row],[SKU]])</f>
        <v>0</v>
      </c>
      <c r="Q745" s="34">
        <f>_xlfn.XLOOKUP(TablaSTOCKINV[[#This Row],[SKU]],TablaINVENTARIO[SKU],TablaINVENTARIO[PRECIO])</f>
        <v>0</v>
      </c>
      <c r="R745" s="34">
        <f>TablaSTOCKINV[[#This Row],[P.UNITARIO]]*TablaSTOCKINV[[#This Row],[CANT. TOTAL]]</f>
        <v>0</v>
      </c>
      <c r="S745" s="44">
        <f>_xlfn.XLOOKUP(TablaSTOCKINV[[#This Row],[SKU]],TablaINVENTARIO[SKU],TablaINVENTARIO[FECHA INGRESO])</f>
        <v>46023</v>
      </c>
      <c r="T745" s="44">
        <f>_xlfn.XLOOKUP(TablaSTOCKINV[[#This Row],[SKU]],TablaENTRADA[SKU],TablaENTRADA[FECHA],,0,-1)</f>
        <v>46023</v>
      </c>
      <c r="U745" s="46" t="str">
        <f>IFERROR((_xlfn.XLOOKUP(TablaSTOCKINV[[#This Row],[SKU]],TablaSALIDA[SKU],TablaSALIDA[FECHA],,0,-1))," " )</f>
        <v xml:space="preserve"> </v>
      </c>
    </row>
    <row r="746" spans="1:21" x14ac:dyDescent="0.3">
      <c r="A746" s="27" t="s">
        <v>548</v>
      </c>
      <c r="B746" s="32" t="str">
        <f>_xlfn.XLOOKUP(TablaSTOCKINV[[#This Row],[SKU]],TablaINVENTARIO[SKU],TablaINVENTARIO[DESCRIPCION])</f>
        <v>EMPACADURA 3" PARA FIGURAS DE CONEXIÓN HAMMER</v>
      </c>
      <c r="C746" s="32" t="str">
        <f>_xlfn.XLOOKUP(TablaSTOCKINV[[#This Row],[SKU]],TablaINVENTARIO[SKU],TablaINVENTARIO[MARCA])</f>
        <v>N/A</v>
      </c>
      <c r="D746" s="33" t="str">
        <f>_xlfn.XLOOKUP(TablaSTOCKINV[[#This Row],[SKU]],TablaINVENTARIO[SKU],TablaINVENTARIO[CATEGORIA])</f>
        <v>FABRICACION</v>
      </c>
      <c r="E746" s="33" t="str">
        <f>_xlfn.XLOOKUP(TablaSTOCKINV[[#This Row],[SKU]],TablaINVENTARIO[SKU],TablaINVENTARIO[SUBCATEGORIA])</f>
        <v>MATERIAL MECANICO</v>
      </c>
      <c r="F746" s="33" t="str">
        <f>_xlfn.XLOOKUP(TablaSTOCKINV[[#This Row],[SKU]],TablaINVENTARIO[SKU],TablaINVENTARIO[ESTADO])</f>
        <v>NUEVO</v>
      </c>
      <c r="G746" s="33" t="str">
        <f>_xlfn.XLOOKUP(TablaSTOCKINV[[#This Row],[SKU]],TablaINVENTARIO[SKU],TablaINVENTARIO[MEDIDA])</f>
        <v xml:space="preserve">UND </v>
      </c>
      <c r="H746" s="33" t="str">
        <f>_xlfn.XLOOKUP(TablaSTOCKINV[[#This Row],[SKU]],TablaINVENTARIO[SKU],TablaINVENTARIO[SERIAL])</f>
        <v>N/A</v>
      </c>
      <c r="I746" s="34" t="str">
        <f>_xlfn.XLOOKUP(TablaSTOCKINV[[#This Row],[SKU]],TablaINVENTARIO[SKU],TablaINVENTARIO[ALMACEN])</f>
        <v>ALMACEN PRINCIPAL</v>
      </c>
      <c r="J746" s="34" t="str">
        <f>_xlfn.XLOOKUP(TablaSTOCKINV[[#This Row],[SKU]],TablaINVENTARIO[SKU],TablaINVENTARIO[UBICACION])</f>
        <v>K4</v>
      </c>
      <c r="K746" s="34" t="str">
        <f>_xlfn.XLOOKUP(TablaSTOCKINV[[#This Row],[SKU]],TablaINVENTARIO[SKU],TablaINVENTARIO[DPTO RESPONSABLE])</f>
        <v xml:space="preserve">OPERACIONES </v>
      </c>
      <c r="L746" s="36">
        <f>_xlfn.XLOOKUP(TablaSTOCKINV[[#This Row],[SKU]],TablaINVENTARIO[SKU],TablaINVENTARIO[RANGO MIN])</f>
        <v>0</v>
      </c>
      <c r="M746" s="34" cm="1">
        <f t="array" ref="M746">_xlfn.IFS(TablaSTOCKINV[[#This Row],[CANT. TOTAL]]&lt;=0,1,TablaSTOCKINV[[#This Row],[CANT. TOTAL]]&lt;=TablaSTOCKINV[[#This Row],[MIN]],2,TablaSTOCKINV[[#This Row],[CANT. TOTAL]]&gt;TablaSTOCKINV[[#This Row],[MIN]],3)</f>
        <v>3</v>
      </c>
      <c r="N746" s="34">
        <f>TablaSTOCKINV[[#This Row],[ENTRADAS]]-TablaSTOCKINV[[#This Row],[SALIDAS]]</f>
        <v>5</v>
      </c>
      <c r="O746" s="35">
        <f>SUMIFS(TablaENTRADA[CANT],TablaENTRADA[SKU],TablaSTOCKINV[[#This Row],[SKU]])</f>
        <v>5</v>
      </c>
      <c r="P746" s="35">
        <f>SUMIFS(TablaSALIDA[CANT],TablaSALIDA[SKU],TablaSTOCKINV[[#This Row],[SKU]])</f>
        <v>0</v>
      </c>
      <c r="Q746" s="34">
        <f>_xlfn.XLOOKUP(TablaSTOCKINV[[#This Row],[SKU]],TablaINVENTARIO[SKU],TablaINVENTARIO[PRECIO])</f>
        <v>0</v>
      </c>
      <c r="R746" s="34">
        <f>TablaSTOCKINV[[#This Row],[P.UNITARIO]]*TablaSTOCKINV[[#This Row],[CANT. TOTAL]]</f>
        <v>0</v>
      </c>
      <c r="S746" s="44">
        <f>_xlfn.XLOOKUP(TablaSTOCKINV[[#This Row],[SKU]],TablaINVENTARIO[SKU],TablaINVENTARIO[FECHA INGRESO])</f>
        <v>46023</v>
      </c>
      <c r="T746" s="44">
        <f>_xlfn.XLOOKUP(TablaSTOCKINV[[#This Row],[SKU]],TablaENTRADA[SKU],TablaENTRADA[FECHA],,0,-1)</f>
        <v>46023</v>
      </c>
      <c r="U746" s="46" t="str">
        <f>IFERROR((_xlfn.XLOOKUP(TablaSTOCKINV[[#This Row],[SKU]],TablaSALIDA[SKU],TablaSALIDA[FECHA],,0,-1))," " )</f>
        <v xml:space="preserve"> </v>
      </c>
    </row>
    <row r="747" spans="1:21" x14ac:dyDescent="0.3">
      <c r="A747" s="27" t="s">
        <v>550</v>
      </c>
      <c r="B747" s="32" t="str">
        <f>_xlfn.XLOOKUP(TablaSTOCKINV[[#This Row],[SKU]],TablaINVENTARIO[SKU],TablaINVENTARIO[DESCRIPCION])</f>
        <v>EMPACADURA 4" PARA FIGURAS DE CONEXIÓN HAMMER</v>
      </c>
      <c r="C747" s="32" t="str">
        <f>_xlfn.XLOOKUP(TablaSTOCKINV[[#This Row],[SKU]],TablaINVENTARIO[SKU],TablaINVENTARIO[MARCA])</f>
        <v>N/A</v>
      </c>
      <c r="D747" s="33" t="str">
        <f>_xlfn.XLOOKUP(TablaSTOCKINV[[#This Row],[SKU]],TablaINVENTARIO[SKU],TablaINVENTARIO[CATEGORIA])</f>
        <v>FABRICACION</v>
      </c>
      <c r="E747" s="33" t="str">
        <f>_xlfn.XLOOKUP(TablaSTOCKINV[[#This Row],[SKU]],TablaINVENTARIO[SKU],TablaINVENTARIO[SUBCATEGORIA])</f>
        <v>MATERIAL MECANICO</v>
      </c>
      <c r="F747" s="33" t="str">
        <f>_xlfn.XLOOKUP(TablaSTOCKINV[[#This Row],[SKU]],TablaINVENTARIO[SKU],TablaINVENTARIO[ESTADO])</f>
        <v>NUEVO</v>
      </c>
      <c r="G747" s="33" t="str">
        <f>_xlfn.XLOOKUP(TablaSTOCKINV[[#This Row],[SKU]],TablaINVENTARIO[SKU],TablaINVENTARIO[MEDIDA])</f>
        <v xml:space="preserve">UND </v>
      </c>
      <c r="H747" s="33" t="str">
        <f>_xlfn.XLOOKUP(TablaSTOCKINV[[#This Row],[SKU]],TablaINVENTARIO[SKU],TablaINVENTARIO[SERIAL])</f>
        <v>N/A</v>
      </c>
      <c r="I747" s="34" t="str">
        <f>_xlfn.XLOOKUP(TablaSTOCKINV[[#This Row],[SKU]],TablaINVENTARIO[SKU],TablaINVENTARIO[ALMACEN])</f>
        <v>ALMACEN PRINCIPAL</v>
      </c>
      <c r="J747" s="34" t="str">
        <f>_xlfn.XLOOKUP(TablaSTOCKINV[[#This Row],[SKU]],TablaINVENTARIO[SKU],TablaINVENTARIO[UBICACION])</f>
        <v>K4</v>
      </c>
      <c r="K747" s="34" t="str">
        <f>_xlfn.XLOOKUP(TablaSTOCKINV[[#This Row],[SKU]],TablaINVENTARIO[SKU],TablaINVENTARIO[DPTO RESPONSABLE])</f>
        <v xml:space="preserve">OPERACIONES </v>
      </c>
      <c r="L747" s="36">
        <f>_xlfn.XLOOKUP(TablaSTOCKINV[[#This Row],[SKU]],TablaINVENTARIO[SKU],TablaINVENTARIO[RANGO MIN])</f>
        <v>0</v>
      </c>
      <c r="M747" s="34" cm="1">
        <f t="array" ref="M747">_xlfn.IFS(TablaSTOCKINV[[#This Row],[CANT. TOTAL]]&lt;=0,1,TablaSTOCKINV[[#This Row],[CANT. TOTAL]]&lt;=TablaSTOCKINV[[#This Row],[MIN]],2,TablaSTOCKINV[[#This Row],[CANT. TOTAL]]&gt;TablaSTOCKINV[[#This Row],[MIN]],3)</f>
        <v>3</v>
      </c>
      <c r="N747" s="34">
        <f>TablaSTOCKINV[[#This Row],[ENTRADAS]]-TablaSTOCKINV[[#This Row],[SALIDAS]]</f>
        <v>15</v>
      </c>
      <c r="O747" s="35">
        <f>SUMIFS(TablaENTRADA[CANT],TablaENTRADA[SKU],TablaSTOCKINV[[#This Row],[SKU]])</f>
        <v>15</v>
      </c>
      <c r="P747" s="35">
        <f>SUMIFS(TablaSALIDA[CANT],TablaSALIDA[SKU],TablaSTOCKINV[[#This Row],[SKU]])</f>
        <v>0</v>
      </c>
      <c r="Q747" s="34">
        <f>_xlfn.XLOOKUP(TablaSTOCKINV[[#This Row],[SKU]],TablaINVENTARIO[SKU],TablaINVENTARIO[PRECIO])</f>
        <v>0</v>
      </c>
      <c r="R747" s="34">
        <f>TablaSTOCKINV[[#This Row],[P.UNITARIO]]*TablaSTOCKINV[[#This Row],[CANT. TOTAL]]</f>
        <v>0</v>
      </c>
      <c r="S747" s="44">
        <f>_xlfn.XLOOKUP(TablaSTOCKINV[[#This Row],[SKU]],TablaINVENTARIO[SKU],TablaINVENTARIO[FECHA INGRESO])</f>
        <v>46023</v>
      </c>
      <c r="T747" s="44">
        <f>_xlfn.XLOOKUP(TablaSTOCKINV[[#This Row],[SKU]],TablaENTRADA[SKU],TablaENTRADA[FECHA],,0,-1)</f>
        <v>46023</v>
      </c>
      <c r="U747" s="46" t="str">
        <f>IFERROR((_xlfn.XLOOKUP(TablaSTOCKINV[[#This Row],[SKU]],TablaSALIDA[SKU],TablaSALIDA[FECHA],,0,-1))," " )</f>
        <v xml:space="preserve"> </v>
      </c>
    </row>
    <row r="748" spans="1:21" x14ac:dyDescent="0.3">
      <c r="A748" s="27" t="s">
        <v>552</v>
      </c>
      <c r="B748" s="32" t="str">
        <f>_xlfn.XLOOKUP(TablaSTOCKINV[[#This Row],[SKU]],TablaINVENTARIO[SKU],TablaINVENTARIO[DESCRIPCION])</f>
        <v xml:space="preserve">TUERCA 1/4" CON FERRULE / BACK FERRULE </v>
      </c>
      <c r="C748" s="32" t="str">
        <f>_xlfn.XLOOKUP(TablaSTOCKINV[[#This Row],[SKU]],TablaINVENTARIO[SKU],TablaINVENTARIO[MARCA])</f>
        <v>SWAGELOK</v>
      </c>
      <c r="D748" s="33" t="str">
        <f>_xlfn.XLOOKUP(TablaSTOCKINV[[#This Row],[SKU]],TablaINVENTARIO[SKU],TablaINVENTARIO[CATEGORIA])</f>
        <v>FABRICACION</v>
      </c>
      <c r="E748" s="33" t="str">
        <f>_xlfn.XLOOKUP(TablaSTOCKINV[[#This Row],[SKU]],TablaINVENTARIO[SKU],TablaINVENTARIO[SUBCATEGORIA])</f>
        <v>MATERIAL MECANICO</v>
      </c>
      <c r="F748" s="33" t="str">
        <f>_xlfn.XLOOKUP(TablaSTOCKINV[[#This Row],[SKU]],TablaINVENTARIO[SKU],TablaINVENTARIO[ESTADO])</f>
        <v>NUEVO</v>
      </c>
      <c r="G748" s="33" t="str">
        <f>_xlfn.XLOOKUP(TablaSTOCKINV[[#This Row],[SKU]],TablaINVENTARIO[SKU],TablaINVENTARIO[MEDIDA])</f>
        <v xml:space="preserve">UND </v>
      </c>
      <c r="H748" s="33" t="str">
        <f>_xlfn.XLOOKUP(TablaSTOCKINV[[#This Row],[SKU]],TablaINVENTARIO[SKU],TablaINVENTARIO[SERIAL])</f>
        <v>N/A</v>
      </c>
      <c r="I748" s="34" t="str">
        <f>_xlfn.XLOOKUP(TablaSTOCKINV[[#This Row],[SKU]],TablaINVENTARIO[SKU],TablaINVENTARIO[ALMACEN])</f>
        <v>ALMACEN PRINCIPAL</v>
      </c>
      <c r="J748" s="34" t="str">
        <f>_xlfn.XLOOKUP(TablaSTOCKINV[[#This Row],[SKU]],TablaINVENTARIO[SKU],TablaINVENTARIO[UBICACION])</f>
        <v>K4</v>
      </c>
      <c r="K748" s="34" t="str">
        <f>_xlfn.XLOOKUP(TablaSTOCKINV[[#This Row],[SKU]],TablaINVENTARIO[SKU],TablaINVENTARIO[DPTO RESPONSABLE])</f>
        <v xml:space="preserve">OPERACIONES </v>
      </c>
      <c r="L748" s="36">
        <f>_xlfn.XLOOKUP(TablaSTOCKINV[[#This Row],[SKU]],TablaINVENTARIO[SKU],TablaINVENTARIO[RANGO MIN])</f>
        <v>0</v>
      </c>
      <c r="M748" s="34" cm="1">
        <f t="array" ref="M748">_xlfn.IFS(TablaSTOCKINV[[#This Row],[CANT. TOTAL]]&lt;=0,1,TablaSTOCKINV[[#This Row],[CANT. TOTAL]]&lt;=TablaSTOCKINV[[#This Row],[MIN]],2,TablaSTOCKINV[[#This Row],[CANT. TOTAL]]&gt;TablaSTOCKINV[[#This Row],[MIN]],3)</f>
        <v>3</v>
      </c>
      <c r="N748" s="34">
        <f>TablaSTOCKINV[[#This Row],[ENTRADAS]]-TablaSTOCKINV[[#This Row],[SALIDAS]]</f>
        <v>123</v>
      </c>
      <c r="O748" s="35">
        <f>SUMIFS(TablaENTRADA[CANT],TablaENTRADA[SKU],TablaSTOCKINV[[#This Row],[SKU]])</f>
        <v>123</v>
      </c>
      <c r="P748" s="35">
        <f>SUMIFS(TablaSALIDA[CANT],TablaSALIDA[SKU],TablaSTOCKINV[[#This Row],[SKU]])</f>
        <v>0</v>
      </c>
      <c r="Q748" s="34">
        <f>_xlfn.XLOOKUP(TablaSTOCKINV[[#This Row],[SKU]],TablaINVENTARIO[SKU],TablaINVENTARIO[PRECIO])</f>
        <v>0</v>
      </c>
      <c r="R748" s="34">
        <f>TablaSTOCKINV[[#This Row],[P.UNITARIO]]*TablaSTOCKINV[[#This Row],[CANT. TOTAL]]</f>
        <v>0</v>
      </c>
      <c r="S748" s="44">
        <f>_xlfn.XLOOKUP(TablaSTOCKINV[[#This Row],[SKU]],TablaINVENTARIO[SKU],TablaINVENTARIO[FECHA INGRESO])</f>
        <v>46023</v>
      </c>
      <c r="T748" s="44">
        <f>_xlfn.XLOOKUP(TablaSTOCKINV[[#This Row],[SKU]],TablaENTRADA[SKU],TablaENTRADA[FECHA],,0,-1)</f>
        <v>46023</v>
      </c>
      <c r="U748" s="46" t="str">
        <f>IFERROR((_xlfn.XLOOKUP(TablaSTOCKINV[[#This Row],[SKU]],TablaSALIDA[SKU],TablaSALIDA[FECHA],,0,-1))," " )</f>
        <v xml:space="preserve"> </v>
      </c>
    </row>
    <row r="749" spans="1:21" x14ac:dyDescent="0.3">
      <c r="A749" s="27" t="s">
        <v>554</v>
      </c>
      <c r="B749" s="32" t="str">
        <f>_xlfn.XLOOKUP(TablaSTOCKINV[[#This Row],[SKU]],TablaINVENTARIO[SKU],TablaINVENTARIO[DESCRIPCION])</f>
        <v>O-RING DE GOMA 2"</v>
      </c>
      <c r="C749" s="32" t="str">
        <f>_xlfn.XLOOKUP(TablaSTOCKINV[[#This Row],[SKU]],TablaINVENTARIO[SKU],TablaINVENTARIO[MARCA])</f>
        <v>N/A</v>
      </c>
      <c r="D749" s="33" t="str">
        <f>_xlfn.XLOOKUP(TablaSTOCKINV[[#This Row],[SKU]],TablaINVENTARIO[SKU],TablaINVENTARIO[CATEGORIA])</f>
        <v>FABRICACION</v>
      </c>
      <c r="E749" s="33" t="str">
        <f>_xlfn.XLOOKUP(TablaSTOCKINV[[#This Row],[SKU]],TablaINVENTARIO[SKU],TablaINVENTARIO[SUBCATEGORIA])</f>
        <v>MATERIAL MECANICO</v>
      </c>
      <c r="F749" s="33" t="str">
        <f>_xlfn.XLOOKUP(TablaSTOCKINV[[#This Row],[SKU]],TablaINVENTARIO[SKU],TablaINVENTARIO[ESTADO])</f>
        <v>NUEVO</v>
      </c>
      <c r="G749" s="33" t="str">
        <f>_xlfn.XLOOKUP(TablaSTOCKINV[[#This Row],[SKU]],TablaINVENTARIO[SKU],TablaINVENTARIO[MEDIDA])</f>
        <v xml:space="preserve">UND </v>
      </c>
      <c r="H749" s="33" t="str">
        <f>_xlfn.XLOOKUP(TablaSTOCKINV[[#This Row],[SKU]],TablaINVENTARIO[SKU],TablaINVENTARIO[SERIAL])</f>
        <v>N/A</v>
      </c>
      <c r="I749" s="34" t="str">
        <f>_xlfn.XLOOKUP(TablaSTOCKINV[[#This Row],[SKU]],TablaINVENTARIO[SKU],TablaINVENTARIO[ALMACEN])</f>
        <v>ALMACEN PRINCIPAL</v>
      </c>
      <c r="J749" s="34" t="str">
        <f>_xlfn.XLOOKUP(TablaSTOCKINV[[#This Row],[SKU]],TablaINVENTARIO[SKU],TablaINVENTARIO[UBICACION])</f>
        <v>K4</v>
      </c>
      <c r="K749" s="34" t="str">
        <f>_xlfn.XLOOKUP(TablaSTOCKINV[[#This Row],[SKU]],TablaINVENTARIO[SKU],TablaINVENTARIO[DPTO RESPONSABLE])</f>
        <v xml:space="preserve">OPERACIONES </v>
      </c>
      <c r="L749" s="36">
        <f>_xlfn.XLOOKUP(TablaSTOCKINV[[#This Row],[SKU]],TablaINVENTARIO[SKU],TablaINVENTARIO[RANGO MIN])</f>
        <v>0</v>
      </c>
      <c r="M749" s="34" cm="1">
        <f t="array" ref="M749">_xlfn.IFS(TablaSTOCKINV[[#This Row],[CANT. TOTAL]]&lt;=0,1,TablaSTOCKINV[[#This Row],[CANT. TOTAL]]&lt;=TablaSTOCKINV[[#This Row],[MIN]],2,TablaSTOCKINV[[#This Row],[CANT. TOTAL]]&gt;TablaSTOCKINV[[#This Row],[MIN]],3)</f>
        <v>3</v>
      </c>
      <c r="N749" s="34">
        <f>TablaSTOCKINV[[#This Row],[ENTRADAS]]-TablaSTOCKINV[[#This Row],[SALIDAS]]</f>
        <v>2</v>
      </c>
      <c r="O749" s="35">
        <f>SUMIFS(TablaENTRADA[CANT],TablaENTRADA[SKU],TablaSTOCKINV[[#This Row],[SKU]])</f>
        <v>2</v>
      </c>
      <c r="P749" s="35">
        <f>SUMIFS(TablaSALIDA[CANT],TablaSALIDA[SKU],TablaSTOCKINV[[#This Row],[SKU]])</f>
        <v>0</v>
      </c>
      <c r="Q749" s="34">
        <f>_xlfn.XLOOKUP(TablaSTOCKINV[[#This Row],[SKU]],TablaINVENTARIO[SKU],TablaINVENTARIO[PRECIO])</f>
        <v>0</v>
      </c>
      <c r="R749" s="34">
        <f>TablaSTOCKINV[[#This Row],[P.UNITARIO]]*TablaSTOCKINV[[#This Row],[CANT. TOTAL]]</f>
        <v>0</v>
      </c>
      <c r="S749" s="44">
        <f>_xlfn.XLOOKUP(TablaSTOCKINV[[#This Row],[SKU]],TablaINVENTARIO[SKU],TablaINVENTARIO[FECHA INGRESO])</f>
        <v>46023</v>
      </c>
      <c r="T749" s="44">
        <f>_xlfn.XLOOKUP(TablaSTOCKINV[[#This Row],[SKU]],TablaENTRADA[SKU],TablaENTRADA[FECHA],,0,-1)</f>
        <v>46023</v>
      </c>
      <c r="U749" s="46" t="str">
        <f>IFERROR((_xlfn.XLOOKUP(TablaSTOCKINV[[#This Row],[SKU]],TablaSALIDA[SKU],TablaSALIDA[FECHA],,0,-1))," " )</f>
        <v xml:space="preserve"> </v>
      </c>
    </row>
    <row r="750" spans="1:21" x14ac:dyDescent="0.3">
      <c r="A750" s="27" t="s">
        <v>556</v>
      </c>
      <c r="B750" s="32" t="str">
        <f>_xlfn.XLOOKUP(TablaSTOCKINV[[#This Row],[SKU]],TablaINVENTARIO[SKU],TablaINVENTARIO[DESCRIPCION])</f>
        <v>O-RING DE GOMA 3"</v>
      </c>
      <c r="C750" s="32" t="str">
        <f>_xlfn.XLOOKUP(TablaSTOCKINV[[#This Row],[SKU]],TablaINVENTARIO[SKU],TablaINVENTARIO[MARCA])</f>
        <v>N/A</v>
      </c>
      <c r="D750" s="33" t="str">
        <f>_xlfn.XLOOKUP(TablaSTOCKINV[[#This Row],[SKU]],TablaINVENTARIO[SKU],TablaINVENTARIO[CATEGORIA])</f>
        <v>FABRICACION</v>
      </c>
      <c r="E750" s="33" t="str">
        <f>_xlfn.XLOOKUP(TablaSTOCKINV[[#This Row],[SKU]],TablaINVENTARIO[SKU],TablaINVENTARIO[SUBCATEGORIA])</f>
        <v>MATERIAL MECANICO</v>
      </c>
      <c r="F750" s="33" t="str">
        <f>_xlfn.XLOOKUP(TablaSTOCKINV[[#This Row],[SKU]],TablaINVENTARIO[SKU],TablaINVENTARIO[ESTADO])</f>
        <v>NUEVO</v>
      </c>
      <c r="G750" s="33" t="str">
        <f>_xlfn.XLOOKUP(TablaSTOCKINV[[#This Row],[SKU]],TablaINVENTARIO[SKU],TablaINVENTARIO[MEDIDA])</f>
        <v xml:space="preserve">UND </v>
      </c>
      <c r="H750" s="33" t="str">
        <f>_xlfn.XLOOKUP(TablaSTOCKINV[[#This Row],[SKU]],TablaINVENTARIO[SKU],TablaINVENTARIO[SERIAL])</f>
        <v>N/A</v>
      </c>
      <c r="I750" s="34" t="str">
        <f>_xlfn.XLOOKUP(TablaSTOCKINV[[#This Row],[SKU]],TablaINVENTARIO[SKU],TablaINVENTARIO[ALMACEN])</f>
        <v>ALMACEN PRINCIPAL</v>
      </c>
      <c r="J750" s="34" t="str">
        <f>_xlfn.XLOOKUP(TablaSTOCKINV[[#This Row],[SKU]],TablaINVENTARIO[SKU],TablaINVENTARIO[UBICACION])</f>
        <v>K4</v>
      </c>
      <c r="K750" s="34" t="str">
        <f>_xlfn.XLOOKUP(TablaSTOCKINV[[#This Row],[SKU]],TablaINVENTARIO[SKU],TablaINVENTARIO[DPTO RESPONSABLE])</f>
        <v xml:space="preserve">OPERACIONES </v>
      </c>
      <c r="L750" s="36">
        <f>_xlfn.XLOOKUP(TablaSTOCKINV[[#This Row],[SKU]],TablaINVENTARIO[SKU],TablaINVENTARIO[RANGO MIN])</f>
        <v>0</v>
      </c>
      <c r="M750" s="34" cm="1">
        <f t="array" ref="M750">_xlfn.IFS(TablaSTOCKINV[[#This Row],[CANT. TOTAL]]&lt;=0,1,TablaSTOCKINV[[#This Row],[CANT. TOTAL]]&lt;=TablaSTOCKINV[[#This Row],[MIN]],2,TablaSTOCKINV[[#This Row],[CANT. TOTAL]]&gt;TablaSTOCKINV[[#This Row],[MIN]],3)</f>
        <v>3</v>
      </c>
      <c r="N750" s="34">
        <f>TablaSTOCKINV[[#This Row],[ENTRADAS]]-TablaSTOCKINV[[#This Row],[SALIDAS]]</f>
        <v>10</v>
      </c>
      <c r="O750" s="35">
        <f>SUMIFS(TablaENTRADA[CANT],TablaENTRADA[SKU],TablaSTOCKINV[[#This Row],[SKU]])</f>
        <v>10</v>
      </c>
      <c r="P750" s="35">
        <f>SUMIFS(TablaSALIDA[CANT],TablaSALIDA[SKU],TablaSTOCKINV[[#This Row],[SKU]])</f>
        <v>0</v>
      </c>
      <c r="Q750" s="34">
        <f>_xlfn.XLOOKUP(TablaSTOCKINV[[#This Row],[SKU]],TablaINVENTARIO[SKU],TablaINVENTARIO[PRECIO])</f>
        <v>0</v>
      </c>
      <c r="R750" s="34">
        <f>TablaSTOCKINV[[#This Row],[P.UNITARIO]]*TablaSTOCKINV[[#This Row],[CANT. TOTAL]]</f>
        <v>0</v>
      </c>
      <c r="S750" s="44">
        <f>_xlfn.XLOOKUP(TablaSTOCKINV[[#This Row],[SKU]],TablaINVENTARIO[SKU],TablaINVENTARIO[FECHA INGRESO])</f>
        <v>46023</v>
      </c>
      <c r="T750" s="44">
        <f>_xlfn.XLOOKUP(TablaSTOCKINV[[#This Row],[SKU]],TablaENTRADA[SKU],TablaENTRADA[FECHA],,0,-1)</f>
        <v>46023</v>
      </c>
      <c r="U750" s="46" t="str">
        <f>IFERROR((_xlfn.XLOOKUP(TablaSTOCKINV[[#This Row],[SKU]],TablaSALIDA[SKU],TablaSALIDA[FECHA],,0,-1))," " )</f>
        <v xml:space="preserve"> </v>
      </c>
    </row>
    <row r="751" spans="1:21" x14ac:dyDescent="0.3">
      <c r="A751" s="27" t="s">
        <v>558</v>
      </c>
      <c r="B751" s="32" t="str">
        <f>_xlfn.XLOOKUP(TablaSTOCKINV[[#This Row],[SKU]],TablaINVENTARIO[SKU],TablaINVENTARIO[DESCRIPCION])</f>
        <v>O-RING DE GOMA 4"</v>
      </c>
      <c r="C751" s="32" t="str">
        <f>_xlfn.XLOOKUP(TablaSTOCKINV[[#This Row],[SKU]],TablaINVENTARIO[SKU],TablaINVENTARIO[MARCA])</f>
        <v>N/A</v>
      </c>
      <c r="D751" s="33" t="str">
        <f>_xlfn.XLOOKUP(TablaSTOCKINV[[#This Row],[SKU]],TablaINVENTARIO[SKU],TablaINVENTARIO[CATEGORIA])</f>
        <v>FABRICACION</v>
      </c>
      <c r="E751" s="33" t="str">
        <f>_xlfn.XLOOKUP(TablaSTOCKINV[[#This Row],[SKU]],TablaINVENTARIO[SKU],TablaINVENTARIO[SUBCATEGORIA])</f>
        <v>MATERIAL MECANICO</v>
      </c>
      <c r="F751" s="33" t="str">
        <f>_xlfn.XLOOKUP(TablaSTOCKINV[[#This Row],[SKU]],TablaINVENTARIO[SKU],TablaINVENTARIO[ESTADO])</f>
        <v>NUEVO</v>
      </c>
      <c r="G751" s="33" t="str">
        <f>_xlfn.XLOOKUP(TablaSTOCKINV[[#This Row],[SKU]],TablaINVENTARIO[SKU],TablaINVENTARIO[MEDIDA])</f>
        <v xml:space="preserve">UND </v>
      </c>
      <c r="H751" s="33" t="str">
        <f>_xlfn.XLOOKUP(TablaSTOCKINV[[#This Row],[SKU]],TablaINVENTARIO[SKU],TablaINVENTARIO[SERIAL])</f>
        <v>N/A</v>
      </c>
      <c r="I751" s="34" t="str">
        <f>_xlfn.XLOOKUP(TablaSTOCKINV[[#This Row],[SKU]],TablaINVENTARIO[SKU],TablaINVENTARIO[ALMACEN])</f>
        <v>ALMACEN PRINCIPAL</v>
      </c>
      <c r="J751" s="34" t="str">
        <f>_xlfn.XLOOKUP(TablaSTOCKINV[[#This Row],[SKU]],TablaINVENTARIO[SKU],TablaINVENTARIO[UBICACION])</f>
        <v>K4</v>
      </c>
      <c r="K751" s="34" t="str">
        <f>_xlfn.XLOOKUP(TablaSTOCKINV[[#This Row],[SKU]],TablaINVENTARIO[SKU],TablaINVENTARIO[DPTO RESPONSABLE])</f>
        <v xml:space="preserve">OPERACIONES </v>
      </c>
      <c r="L751" s="36">
        <f>_xlfn.XLOOKUP(TablaSTOCKINV[[#This Row],[SKU]],TablaINVENTARIO[SKU],TablaINVENTARIO[RANGO MIN])</f>
        <v>0</v>
      </c>
      <c r="M751" s="34" cm="1">
        <f t="array" ref="M751">_xlfn.IFS(TablaSTOCKINV[[#This Row],[CANT. TOTAL]]&lt;=0,1,TablaSTOCKINV[[#This Row],[CANT. TOTAL]]&lt;=TablaSTOCKINV[[#This Row],[MIN]],2,TablaSTOCKINV[[#This Row],[CANT. TOTAL]]&gt;TablaSTOCKINV[[#This Row],[MIN]],3)</f>
        <v>3</v>
      </c>
      <c r="N751" s="34">
        <f>TablaSTOCKINV[[#This Row],[ENTRADAS]]-TablaSTOCKINV[[#This Row],[SALIDAS]]</f>
        <v>11</v>
      </c>
      <c r="O751" s="35">
        <f>SUMIFS(TablaENTRADA[CANT],TablaENTRADA[SKU],TablaSTOCKINV[[#This Row],[SKU]])</f>
        <v>11</v>
      </c>
      <c r="P751" s="35">
        <f>SUMIFS(TablaSALIDA[CANT],TablaSALIDA[SKU],TablaSTOCKINV[[#This Row],[SKU]])</f>
        <v>0</v>
      </c>
      <c r="Q751" s="34">
        <f>_xlfn.XLOOKUP(TablaSTOCKINV[[#This Row],[SKU]],TablaINVENTARIO[SKU],TablaINVENTARIO[PRECIO])</f>
        <v>0</v>
      </c>
      <c r="R751" s="34">
        <f>TablaSTOCKINV[[#This Row],[P.UNITARIO]]*TablaSTOCKINV[[#This Row],[CANT. TOTAL]]</f>
        <v>0</v>
      </c>
      <c r="S751" s="44">
        <f>_xlfn.XLOOKUP(TablaSTOCKINV[[#This Row],[SKU]],TablaINVENTARIO[SKU],TablaINVENTARIO[FECHA INGRESO])</f>
        <v>46023</v>
      </c>
      <c r="T751" s="44">
        <f>_xlfn.XLOOKUP(TablaSTOCKINV[[#This Row],[SKU]],TablaENTRADA[SKU],TablaENTRADA[FECHA],,0,-1)</f>
        <v>46023</v>
      </c>
      <c r="U751" s="46" t="str">
        <f>IFERROR((_xlfn.XLOOKUP(TablaSTOCKINV[[#This Row],[SKU]],TablaSALIDA[SKU],TablaSALIDA[FECHA],,0,-1))," " )</f>
        <v xml:space="preserve"> </v>
      </c>
    </row>
    <row r="752" spans="1:21" x14ac:dyDescent="0.3">
      <c r="A752" s="27" t="s">
        <v>560</v>
      </c>
      <c r="B752" s="32" t="str">
        <f>_xlfn.XLOOKUP(TablaSTOCKINV[[#This Row],[SKU]],TablaINVENTARIO[SKU],TablaINVENTARIO[DESCRIPCION])</f>
        <v>O-RING DE GOMA 12"</v>
      </c>
      <c r="C752" s="32" t="str">
        <f>_xlfn.XLOOKUP(TablaSTOCKINV[[#This Row],[SKU]],TablaINVENTARIO[SKU],TablaINVENTARIO[MARCA])</f>
        <v>N/A</v>
      </c>
      <c r="D752" s="33" t="str">
        <f>_xlfn.XLOOKUP(TablaSTOCKINV[[#This Row],[SKU]],TablaINVENTARIO[SKU],TablaINVENTARIO[CATEGORIA])</f>
        <v>FABRICACION</v>
      </c>
      <c r="E752" s="33" t="str">
        <f>_xlfn.XLOOKUP(TablaSTOCKINV[[#This Row],[SKU]],TablaINVENTARIO[SKU],TablaINVENTARIO[SUBCATEGORIA])</f>
        <v>MATERIAL MECANICO</v>
      </c>
      <c r="F752" s="33" t="str">
        <f>_xlfn.XLOOKUP(TablaSTOCKINV[[#This Row],[SKU]],TablaINVENTARIO[SKU],TablaINVENTARIO[ESTADO])</f>
        <v>NUEVO</v>
      </c>
      <c r="G752" s="33" t="str">
        <f>_xlfn.XLOOKUP(TablaSTOCKINV[[#This Row],[SKU]],TablaINVENTARIO[SKU],TablaINVENTARIO[MEDIDA])</f>
        <v xml:space="preserve">UND </v>
      </c>
      <c r="H752" s="33" t="str">
        <f>_xlfn.XLOOKUP(TablaSTOCKINV[[#This Row],[SKU]],TablaINVENTARIO[SKU],TablaINVENTARIO[SERIAL])</f>
        <v>N/A</v>
      </c>
      <c r="I752" s="34" t="str">
        <f>_xlfn.XLOOKUP(TablaSTOCKINV[[#This Row],[SKU]],TablaINVENTARIO[SKU],TablaINVENTARIO[ALMACEN])</f>
        <v>ALMACEN PRINCIPAL</v>
      </c>
      <c r="J752" s="34" t="str">
        <f>_xlfn.XLOOKUP(TablaSTOCKINV[[#This Row],[SKU]],TablaINVENTARIO[SKU],TablaINVENTARIO[UBICACION])</f>
        <v>K4</v>
      </c>
      <c r="K752" s="34" t="str">
        <f>_xlfn.XLOOKUP(TablaSTOCKINV[[#This Row],[SKU]],TablaINVENTARIO[SKU],TablaINVENTARIO[DPTO RESPONSABLE])</f>
        <v xml:space="preserve">OPERACIONES </v>
      </c>
      <c r="L752" s="36">
        <f>_xlfn.XLOOKUP(TablaSTOCKINV[[#This Row],[SKU]],TablaINVENTARIO[SKU],TablaINVENTARIO[RANGO MIN])</f>
        <v>0</v>
      </c>
      <c r="M752" s="34" cm="1">
        <f t="array" ref="M752">_xlfn.IFS(TablaSTOCKINV[[#This Row],[CANT. TOTAL]]&lt;=0,1,TablaSTOCKINV[[#This Row],[CANT. TOTAL]]&lt;=TablaSTOCKINV[[#This Row],[MIN]],2,TablaSTOCKINV[[#This Row],[CANT. TOTAL]]&gt;TablaSTOCKINV[[#This Row],[MIN]],3)</f>
        <v>3</v>
      </c>
      <c r="N752" s="34">
        <f>TablaSTOCKINV[[#This Row],[ENTRADAS]]-TablaSTOCKINV[[#This Row],[SALIDAS]]</f>
        <v>3</v>
      </c>
      <c r="O752" s="35">
        <f>SUMIFS(TablaENTRADA[CANT],TablaENTRADA[SKU],TablaSTOCKINV[[#This Row],[SKU]])</f>
        <v>3</v>
      </c>
      <c r="P752" s="35">
        <f>SUMIFS(TablaSALIDA[CANT],TablaSALIDA[SKU],TablaSTOCKINV[[#This Row],[SKU]])</f>
        <v>0</v>
      </c>
      <c r="Q752" s="34">
        <f>_xlfn.XLOOKUP(TablaSTOCKINV[[#This Row],[SKU]],TablaINVENTARIO[SKU],TablaINVENTARIO[PRECIO])</f>
        <v>0</v>
      </c>
      <c r="R752" s="34">
        <f>TablaSTOCKINV[[#This Row],[P.UNITARIO]]*TablaSTOCKINV[[#This Row],[CANT. TOTAL]]</f>
        <v>0</v>
      </c>
      <c r="S752" s="44">
        <f>_xlfn.XLOOKUP(TablaSTOCKINV[[#This Row],[SKU]],TablaINVENTARIO[SKU],TablaINVENTARIO[FECHA INGRESO])</f>
        <v>46023</v>
      </c>
      <c r="T752" s="44">
        <f>_xlfn.XLOOKUP(TablaSTOCKINV[[#This Row],[SKU]],TablaENTRADA[SKU],TablaENTRADA[FECHA],,0,-1)</f>
        <v>46023</v>
      </c>
      <c r="U752" s="46" t="str">
        <f>IFERROR((_xlfn.XLOOKUP(TablaSTOCKINV[[#This Row],[SKU]],TablaSALIDA[SKU],TablaSALIDA[FECHA],,0,-1))," " )</f>
        <v xml:space="preserve"> </v>
      </c>
    </row>
    <row r="753" spans="1:21" x14ac:dyDescent="0.3">
      <c r="A753" s="27" t="s">
        <v>562</v>
      </c>
      <c r="B753" s="32" t="str">
        <f>_xlfn.XLOOKUP(TablaSTOCKINV[[#This Row],[SKU]],TablaINVENTARIO[SKU],TablaINVENTARIO[DESCRIPCION])</f>
        <v>O-RING DE GOMA 13"</v>
      </c>
      <c r="C753" s="32" t="str">
        <f>_xlfn.XLOOKUP(TablaSTOCKINV[[#This Row],[SKU]],TablaINVENTARIO[SKU],TablaINVENTARIO[MARCA])</f>
        <v>N/A</v>
      </c>
      <c r="D753" s="33" t="str">
        <f>_xlfn.XLOOKUP(TablaSTOCKINV[[#This Row],[SKU]],TablaINVENTARIO[SKU],TablaINVENTARIO[CATEGORIA])</f>
        <v>FABRICACION</v>
      </c>
      <c r="E753" s="33" t="str">
        <f>_xlfn.XLOOKUP(TablaSTOCKINV[[#This Row],[SKU]],TablaINVENTARIO[SKU],TablaINVENTARIO[SUBCATEGORIA])</f>
        <v>MATERIAL MECANICO</v>
      </c>
      <c r="F753" s="33" t="str">
        <f>_xlfn.XLOOKUP(TablaSTOCKINV[[#This Row],[SKU]],TablaINVENTARIO[SKU],TablaINVENTARIO[ESTADO])</f>
        <v>NUEVO</v>
      </c>
      <c r="G753" s="33" t="str">
        <f>_xlfn.XLOOKUP(TablaSTOCKINV[[#This Row],[SKU]],TablaINVENTARIO[SKU],TablaINVENTARIO[MEDIDA])</f>
        <v xml:space="preserve">UND </v>
      </c>
      <c r="H753" s="33" t="str">
        <f>_xlfn.XLOOKUP(TablaSTOCKINV[[#This Row],[SKU]],TablaINVENTARIO[SKU],TablaINVENTARIO[SERIAL])</f>
        <v>N/A</v>
      </c>
      <c r="I753" s="34" t="str">
        <f>_xlfn.XLOOKUP(TablaSTOCKINV[[#This Row],[SKU]],TablaINVENTARIO[SKU],TablaINVENTARIO[ALMACEN])</f>
        <v>ALMACEN PRINCIPAL</v>
      </c>
      <c r="J753" s="34" t="str">
        <f>_xlfn.XLOOKUP(TablaSTOCKINV[[#This Row],[SKU]],TablaINVENTARIO[SKU],TablaINVENTARIO[UBICACION])</f>
        <v>K4</v>
      </c>
      <c r="K753" s="34" t="str">
        <f>_xlfn.XLOOKUP(TablaSTOCKINV[[#This Row],[SKU]],TablaINVENTARIO[SKU],TablaINVENTARIO[DPTO RESPONSABLE])</f>
        <v xml:space="preserve">OPERACIONES </v>
      </c>
      <c r="L753" s="36">
        <f>_xlfn.XLOOKUP(TablaSTOCKINV[[#This Row],[SKU]],TablaINVENTARIO[SKU],TablaINVENTARIO[RANGO MIN])</f>
        <v>0</v>
      </c>
      <c r="M753" s="34" cm="1">
        <f t="array" ref="M753">_xlfn.IFS(TablaSTOCKINV[[#This Row],[CANT. TOTAL]]&lt;=0,1,TablaSTOCKINV[[#This Row],[CANT. TOTAL]]&lt;=TablaSTOCKINV[[#This Row],[MIN]],2,TablaSTOCKINV[[#This Row],[CANT. TOTAL]]&gt;TablaSTOCKINV[[#This Row],[MIN]],3)</f>
        <v>3</v>
      </c>
      <c r="N753" s="34">
        <f>TablaSTOCKINV[[#This Row],[ENTRADAS]]-TablaSTOCKINV[[#This Row],[SALIDAS]]</f>
        <v>4</v>
      </c>
      <c r="O753" s="35">
        <f>SUMIFS(TablaENTRADA[CANT],TablaENTRADA[SKU],TablaSTOCKINV[[#This Row],[SKU]])</f>
        <v>4</v>
      </c>
      <c r="P753" s="35">
        <f>SUMIFS(TablaSALIDA[CANT],TablaSALIDA[SKU],TablaSTOCKINV[[#This Row],[SKU]])</f>
        <v>0</v>
      </c>
      <c r="Q753" s="34">
        <f>_xlfn.XLOOKUP(TablaSTOCKINV[[#This Row],[SKU]],TablaINVENTARIO[SKU],TablaINVENTARIO[PRECIO])</f>
        <v>0</v>
      </c>
      <c r="R753" s="34">
        <f>TablaSTOCKINV[[#This Row],[P.UNITARIO]]*TablaSTOCKINV[[#This Row],[CANT. TOTAL]]</f>
        <v>0</v>
      </c>
      <c r="S753" s="44">
        <f>_xlfn.XLOOKUP(TablaSTOCKINV[[#This Row],[SKU]],TablaINVENTARIO[SKU],TablaINVENTARIO[FECHA INGRESO])</f>
        <v>46023</v>
      </c>
      <c r="T753" s="44">
        <f>_xlfn.XLOOKUP(TablaSTOCKINV[[#This Row],[SKU]],TablaENTRADA[SKU],TablaENTRADA[FECHA],,0,-1)</f>
        <v>46023</v>
      </c>
      <c r="U753" s="46" t="str">
        <f>IFERROR((_xlfn.XLOOKUP(TablaSTOCKINV[[#This Row],[SKU]],TablaSALIDA[SKU],TablaSALIDA[FECHA],,0,-1))," " )</f>
        <v xml:space="preserve"> </v>
      </c>
    </row>
    <row r="754" spans="1:21" x14ac:dyDescent="0.3">
      <c r="A754" s="27" t="s">
        <v>564</v>
      </c>
      <c r="B754" s="32" t="str">
        <f>_xlfn.XLOOKUP(TablaSTOCKINV[[#This Row],[SKU]],TablaINVENTARIO[SKU],TablaINVENTARIO[DESCRIPCION])</f>
        <v>O-RING DE GOMA 1/2"</v>
      </c>
      <c r="C754" s="32" t="str">
        <f>_xlfn.XLOOKUP(TablaSTOCKINV[[#This Row],[SKU]],TablaINVENTARIO[SKU],TablaINVENTARIO[MARCA])</f>
        <v>N/A</v>
      </c>
      <c r="D754" s="33" t="str">
        <f>_xlfn.XLOOKUP(TablaSTOCKINV[[#This Row],[SKU]],TablaINVENTARIO[SKU],TablaINVENTARIO[CATEGORIA])</f>
        <v>FABRICACION</v>
      </c>
      <c r="E754" s="33" t="str">
        <f>_xlfn.XLOOKUP(TablaSTOCKINV[[#This Row],[SKU]],TablaINVENTARIO[SKU],TablaINVENTARIO[SUBCATEGORIA])</f>
        <v>MATERIAL MECANICO</v>
      </c>
      <c r="F754" s="33" t="str">
        <f>_xlfn.XLOOKUP(TablaSTOCKINV[[#This Row],[SKU]],TablaINVENTARIO[SKU],TablaINVENTARIO[ESTADO])</f>
        <v>NUEVO</v>
      </c>
      <c r="G754" s="33" t="str">
        <f>_xlfn.XLOOKUP(TablaSTOCKINV[[#This Row],[SKU]],TablaINVENTARIO[SKU],TablaINVENTARIO[MEDIDA])</f>
        <v xml:space="preserve">UND </v>
      </c>
      <c r="H754" s="33" t="str">
        <f>_xlfn.XLOOKUP(TablaSTOCKINV[[#This Row],[SKU]],TablaINVENTARIO[SKU],TablaINVENTARIO[SERIAL])</f>
        <v>N/A</v>
      </c>
      <c r="I754" s="34" t="str">
        <f>_xlfn.XLOOKUP(TablaSTOCKINV[[#This Row],[SKU]],TablaINVENTARIO[SKU],TablaINVENTARIO[ALMACEN])</f>
        <v>ALMACEN PRINCIPAL</v>
      </c>
      <c r="J754" s="34" t="str">
        <f>_xlfn.XLOOKUP(TablaSTOCKINV[[#This Row],[SKU]],TablaINVENTARIO[SKU],TablaINVENTARIO[UBICACION])</f>
        <v>K4</v>
      </c>
      <c r="K754" s="34" t="str">
        <f>_xlfn.XLOOKUP(TablaSTOCKINV[[#This Row],[SKU]],TablaINVENTARIO[SKU],TablaINVENTARIO[DPTO RESPONSABLE])</f>
        <v xml:space="preserve">OPERACIONES </v>
      </c>
      <c r="L754" s="36">
        <f>_xlfn.XLOOKUP(TablaSTOCKINV[[#This Row],[SKU]],TablaINVENTARIO[SKU],TablaINVENTARIO[RANGO MIN])</f>
        <v>0</v>
      </c>
      <c r="M754" s="34" cm="1">
        <f t="array" ref="M754">_xlfn.IFS(TablaSTOCKINV[[#This Row],[CANT. TOTAL]]&lt;=0,1,TablaSTOCKINV[[#This Row],[CANT. TOTAL]]&lt;=TablaSTOCKINV[[#This Row],[MIN]],2,TablaSTOCKINV[[#This Row],[CANT. TOTAL]]&gt;TablaSTOCKINV[[#This Row],[MIN]],3)</f>
        <v>3</v>
      </c>
      <c r="N754" s="34">
        <f>TablaSTOCKINV[[#This Row],[ENTRADAS]]-TablaSTOCKINV[[#This Row],[SALIDAS]]</f>
        <v>16</v>
      </c>
      <c r="O754" s="35">
        <f>SUMIFS(TablaENTRADA[CANT],TablaENTRADA[SKU],TablaSTOCKINV[[#This Row],[SKU]])</f>
        <v>16</v>
      </c>
      <c r="P754" s="35">
        <f>SUMIFS(TablaSALIDA[CANT],TablaSALIDA[SKU],TablaSTOCKINV[[#This Row],[SKU]])</f>
        <v>0</v>
      </c>
      <c r="Q754" s="34">
        <f>_xlfn.XLOOKUP(TablaSTOCKINV[[#This Row],[SKU]],TablaINVENTARIO[SKU],TablaINVENTARIO[PRECIO])</f>
        <v>0</v>
      </c>
      <c r="R754" s="34">
        <f>TablaSTOCKINV[[#This Row],[P.UNITARIO]]*TablaSTOCKINV[[#This Row],[CANT. TOTAL]]</f>
        <v>0</v>
      </c>
      <c r="S754" s="44">
        <f>_xlfn.XLOOKUP(TablaSTOCKINV[[#This Row],[SKU]],TablaINVENTARIO[SKU],TablaINVENTARIO[FECHA INGRESO])</f>
        <v>46023</v>
      </c>
      <c r="T754" s="44">
        <f>_xlfn.XLOOKUP(TablaSTOCKINV[[#This Row],[SKU]],TablaENTRADA[SKU],TablaENTRADA[FECHA],,0,-1)</f>
        <v>46023</v>
      </c>
      <c r="U754" s="46" t="str">
        <f>IFERROR((_xlfn.XLOOKUP(TablaSTOCKINV[[#This Row],[SKU]],TablaSALIDA[SKU],TablaSALIDA[FECHA],,0,-1))," " )</f>
        <v xml:space="preserve"> </v>
      </c>
    </row>
    <row r="755" spans="1:21" x14ac:dyDescent="0.3">
      <c r="A755" s="27" t="s">
        <v>566</v>
      </c>
      <c r="B755" s="32" t="str">
        <f>_xlfn.XLOOKUP(TablaSTOCKINV[[#This Row],[SKU]],TablaINVENTARIO[SKU],TablaINVENTARIO[DESCRIPCION])</f>
        <v>MANGUERA DETECTOR DE GASES</v>
      </c>
      <c r="C755" s="32" t="str">
        <f>_xlfn.XLOOKUP(TablaSTOCKINV[[#This Row],[SKU]],TablaINVENTARIO[SKU],TablaINVENTARIO[MARCA])</f>
        <v>N/A</v>
      </c>
      <c r="D755" s="33" t="str">
        <f>_xlfn.XLOOKUP(TablaSTOCKINV[[#This Row],[SKU]],TablaINVENTARIO[SKU],TablaINVENTARIO[CATEGORIA])</f>
        <v>FABRICACION</v>
      </c>
      <c r="E755" s="33" t="str">
        <f>_xlfn.XLOOKUP(TablaSTOCKINV[[#This Row],[SKU]],TablaINVENTARIO[SKU],TablaINVENTARIO[SUBCATEGORIA])</f>
        <v>MATERIAL MECANICO</v>
      </c>
      <c r="F755" s="33" t="str">
        <f>_xlfn.XLOOKUP(TablaSTOCKINV[[#This Row],[SKU]],TablaINVENTARIO[SKU],TablaINVENTARIO[ESTADO])</f>
        <v>USADO</v>
      </c>
      <c r="G755" s="33" t="str">
        <f>_xlfn.XLOOKUP(TablaSTOCKINV[[#This Row],[SKU]],TablaINVENTARIO[SKU],TablaINVENTARIO[MEDIDA])</f>
        <v xml:space="preserve">UND </v>
      </c>
      <c r="H755" s="33" t="str">
        <f>_xlfn.XLOOKUP(TablaSTOCKINV[[#This Row],[SKU]],TablaINVENTARIO[SKU],TablaINVENTARIO[SERIAL])</f>
        <v>N/A</v>
      </c>
      <c r="I755" s="34" t="str">
        <f>_xlfn.XLOOKUP(TablaSTOCKINV[[#This Row],[SKU]],TablaINVENTARIO[SKU],TablaINVENTARIO[ALMACEN])</f>
        <v>ALMACEN PRINCIPAL</v>
      </c>
      <c r="J755" s="34" t="str">
        <f>_xlfn.XLOOKUP(TablaSTOCKINV[[#This Row],[SKU]],TablaINVENTARIO[SKU],TablaINVENTARIO[UBICACION])</f>
        <v>K4</v>
      </c>
      <c r="K755" s="34" t="str">
        <f>_xlfn.XLOOKUP(TablaSTOCKINV[[#This Row],[SKU]],TablaINVENTARIO[SKU],TablaINVENTARIO[DPTO RESPONSABLE])</f>
        <v xml:space="preserve">OPERACIONES </v>
      </c>
      <c r="L755" s="36">
        <f>_xlfn.XLOOKUP(TablaSTOCKINV[[#This Row],[SKU]],TablaINVENTARIO[SKU],TablaINVENTARIO[RANGO MIN])</f>
        <v>0</v>
      </c>
      <c r="M755" s="34" cm="1">
        <f t="array" ref="M755">_xlfn.IFS(TablaSTOCKINV[[#This Row],[CANT. TOTAL]]&lt;=0,1,TablaSTOCKINV[[#This Row],[CANT. TOTAL]]&lt;=TablaSTOCKINV[[#This Row],[MIN]],2,TablaSTOCKINV[[#This Row],[CANT. TOTAL]]&gt;TablaSTOCKINV[[#This Row],[MIN]],3)</f>
        <v>3</v>
      </c>
      <c r="N755" s="34">
        <f>TablaSTOCKINV[[#This Row],[ENTRADAS]]-TablaSTOCKINV[[#This Row],[SALIDAS]]</f>
        <v>1</v>
      </c>
      <c r="O755" s="35">
        <f>SUMIFS(TablaENTRADA[CANT],TablaENTRADA[SKU],TablaSTOCKINV[[#This Row],[SKU]])</f>
        <v>1</v>
      </c>
      <c r="P755" s="35">
        <f>SUMIFS(TablaSALIDA[CANT],TablaSALIDA[SKU],TablaSTOCKINV[[#This Row],[SKU]])</f>
        <v>0</v>
      </c>
      <c r="Q755" s="34">
        <f>_xlfn.XLOOKUP(TablaSTOCKINV[[#This Row],[SKU]],TablaINVENTARIO[SKU],TablaINVENTARIO[PRECIO])</f>
        <v>0</v>
      </c>
      <c r="R755" s="34">
        <f>TablaSTOCKINV[[#This Row],[P.UNITARIO]]*TablaSTOCKINV[[#This Row],[CANT. TOTAL]]</f>
        <v>0</v>
      </c>
      <c r="S755" s="44">
        <f>_xlfn.XLOOKUP(TablaSTOCKINV[[#This Row],[SKU]],TablaINVENTARIO[SKU],TablaINVENTARIO[FECHA INGRESO])</f>
        <v>46023</v>
      </c>
      <c r="T755" s="44">
        <f>_xlfn.XLOOKUP(TablaSTOCKINV[[#This Row],[SKU]],TablaENTRADA[SKU],TablaENTRADA[FECHA],,0,-1)</f>
        <v>46023</v>
      </c>
      <c r="U755" s="46" t="str">
        <f>IFERROR((_xlfn.XLOOKUP(TablaSTOCKINV[[#This Row],[SKU]],TablaSALIDA[SKU],TablaSALIDA[FECHA],,0,-1))," " )</f>
        <v xml:space="preserve"> </v>
      </c>
    </row>
    <row r="756" spans="1:21" x14ac:dyDescent="0.3">
      <c r="A756" s="27" t="s">
        <v>568</v>
      </c>
      <c r="B756" s="32" t="str">
        <f>_xlfn.XLOOKUP(TablaSTOCKINV[[#This Row],[SKU]],TablaINVENTARIO[SKU],TablaINVENTARIO[DESCRIPCION])</f>
        <v>BOCINA</v>
      </c>
      <c r="C756" s="32" t="str">
        <f>_xlfn.XLOOKUP(TablaSTOCKINV[[#This Row],[SKU]],TablaINVENTARIO[SKU],TablaINVENTARIO[MARCA])</f>
        <v>N/A</v>
      </c>
      <c r="D756" s="33" t="str">
        <f>_xlfn.XLOOKUP(TablaSTOCKINV[[#This Row],[SKU]],TablaINVENTARIO[SKU],TablaINVENTARIO[CATEGORIA])</f>
        <v>FABRICACION</v>
      </c>
      <c r="E756" s="33" t="str">
        <f>_xlfn.XLOOKUP(TablaSTOCKINV[[#This Row],[SKU]],TablaINVENTARIO[SKU],TablaINVENTARIO[SUBCATEGORIA])</f>
        <v>MATERIAL MECANICO</v>
      </c>
      <c r="F756" s="33" t="str">
        <f>_xlfn.XLOOKUP(TablaSTOCKINV[[#This Row],[SKU]],TablaINVENTARIO[SKU],TablaINVENTARIO[ESTADO])</f>
        <v>USADO</v>
      </c>
      <c r="G756" s="33" t="str">
        <f>_xlfn.XLOOKUP(TablaSTOCKINV[[#This Row],[SKU]],TablaINVENTARIO[SKU],TablaINVENTARIO[MEDIDA])</f>
        <v xml:space="preserve">UND </v>
      </c>
      <c r="H756" s="33" t="str">
        <f>_xlfn.XLOOKUP(TablaSTOCKINV[[#This Row],[SKU]],TablaINVENTARIO[SKU],TablaINVENTARIO[SERIAL])</f>
        <v>N/A</v>
      </c>
      <c r="I756" s="34" t="str">
        <f>_xlfn.XLOOKUP(TablaSTOCKINV[[#This Row],[SKU]],TablaINVENTARIO[SKU],TablaINVENTARIO[ALMACEN])</f>
        <v>ALMACEN PRINCIPAL</v>
      </c>
      <c r="J756" s="34" t="str">
        <f>_xlfn.XLOOKUP(TablaSTOCKINV[[#This Row],[SKU]],TablaINVENTARIO[SKU],TablaINVENTARIO[UBICACION])</f>
        <v>K4</v>
      </c>
      <c r="K756" s="34" t="str">
        <f>_xlfn.XLOOKUP(TablaSTOCKINV[[#This Row],[SKU]],TablaINVENTARIO[SKU],TablaINVENTARIO[DPTO RESPONSABLE])</f>
        <v xml:space="preserve">OPERACIONES </v>
      </c>
      <c r="L756" s="36">
        <f>_xlfn.XLOOKUP(TablaSTOCKINV[[#This Row],[SKU]],TablaINVENTARIO[SKU],TablaINVENTARIO[RANGO MIN])</f>
        <v>0</v>
      </c>
      <c r="M756" s="34" cm="1">
        <f t="array" ref="M756">_xlfn.IFS(TablaSTOCKINV[[#This Row],[CANT. TOTAL]]&lt;=0,1,TablaSTOCKINV[[#This Row],[CANT. TOTAL]]&lt;=TablaSTOCKINV[[#This Row],[MIN]],2,TablaSTOCKINV[[#This Row],[CANT. TOTAL]]&gt;TablaSTOCKINV[[#This Row],[MIN]],3)</f>
        <v>3</v>
      </c>
      <c r="N756" s="34">
        <f>TablaSTOCKINV[[#This Row],[ENTRADAS]]-TablaSTOCKINV[[#This Row],[SALIDAS]]</f>
        <v>2</v>
      </c>
      <c r="O756" s="35">
        <f>SUMIFS(TablaENTRADA[CANT],TablaENTRADA[SKU],TablaSTOCKINV[[#This Row],[SKU]])</f>
        <v>2</v>
      </c>
      <c r="P756" s="35">
        <f>SUMIFS(TablaSALIDA[CANT],TablaSALIDA[SKU],TablaSTOCKINV[[#This Row],[SKU]])</f>
        <v>0</v>
      </c>
      <c r="Q756" s="34">
        <f>_xlfn.XLOOKUP(TablaSTOCKINV[[#This Row],[SKU]],TablaINVENTARIO[SKU],TablaINVENTARIO[PRECIO])</f>
        <v>0</v>
      </c>
      <c r="R756" s="34">
        <f>TablaSTOCKINV[[#This Row],[P.UNITARIO]]*TablaSTOCKINV[[#This Row],[CANT. TOTAL]]</f>
        <v>0</v>
      </c>
      <c r="S756" s="44">
        <f>_xlfn.XLOOKUP(TablaSTOCKINV[[#This Row],[SKU]],TablaINVENTARIO[SKU],TablaINVENTARIO[FECHA INGRESO])</f>
        <v>46023</v>
      </c>
      <c r="T756" s="44">
        <f>_xlfn.XLOOKUP(TablaSTOCKINV[[#This Row],[SKU]],TablaENTRADA[SKU],TablaENTRADA[FECHA],,0,-1)</f>
        <v>46023</v>
      </c>
      <c r="U756" s="46" t="str">
        <f>IFERROR((_xlfn.XLOOKUP(TablaSTOCKINV[[#This Row],[SKU]],TablaSALIDA[SKU],TablaSALIDA[FECHA],,0,-1))," " )</f>
        <v xml:space="preserve"> </v>
      </c>
    </row>
    <row r="757" spans="1:21" x14ac:dyDescent="0.3">
      <c r="A757" s="27" t="s">
        <v>570</v>
      </c>
      <c r="B757" s="32" t="str">
        <f>_xlfn.XLOOKUP(TablaSTOCKINV[[#This Row],[SKU]],TablaINVENTARIO[SKU],TablaINVENTARIO[DESCRIPCION])</f>
        <v>BUSHING OW-201</v>
      </c>
      <c r="C757" s="32" t="str">
        <f>_xlfn.XLOOKUP(TablaSTOCKINV[[#This Row],[SKU]],TablaINVENTARIO[SKU],TablaINVENTARIO[MARCA])</f>
        <v>N/A</v>
      </c>
      <c r="D757" s="33" t="str">
        <f>_xlfn.XLOOKUP(TablaSTOCKINV[[#This Row],[SKU]],TablaINVENTARIO[SKU],TablaINVENTARIO[CATEGORIA])</f>
        <v>FABRICACION</v>
      </c>
      <c r="E757" s="33" t="str">
        <f>_xlfn.XLOOKUP(TablaSTOCKINV[[#This Row],[SKU]],TablaINVENTARIO[SKU],TablaINVENTARIO[SUBCATEGORIA])</f>
        <v>MATERIAL MECANICO</v>
      </c>
      <c r="F757" s="33" t="str">
        <f>_xlfn.XLOOKUP(TablaSTOCKINV[[#This Row],[SKU]],TablaINVENTARIO[SKU],TablaINVENTARIO[ESTADO])</f>
        <v>NUEVO</v>
      </c>
      <c r="G757" s="33" t="str">
        <f>_xlfn.XLOOKUP(TablaSTOCKINV[[#This Row],[SKU]],TablaINVENTARIO[SKU],TablaINVENTARIO[MEDIDA])</f>
        <v xml:space="preserve">UND </v>
      </c>
      <c r="H757" s="33" t="str">
        <f>_xlfn.XLOOKUP(TablaSTOCKINV[[#This Row],[SKU]],TablaINVENTARIO[SKU],TablaINVENTARIO[SERIAL])</f>
        <v>N/A</v>
      </c>
      <c r="I757" s="34" t="str">
        <f>_xlfn.XLOOKUP(TablaSTOCKINV[[#This Row],[SKU]],TablaINVENTARIO[SKU],TablaINVENTARIO[ALMACEN])</f>
        <v>ALMACEN PRINCIPAL</v>
      </c>
      <c r="J757" s="34" t="str">
        <f>_xlfn.XLOOKUP(TablaSTOCKINV[[#This Row],[SKU]],TablaINVENTARIO[SKU],TablaINVENTARIO[UBICACION])</f>
        <v>K4</v>
      </c>
      <c r="K757" s="34" t="str">
        <f>_xlfn.XLOOKUP(TablaSTOCKINV[[#This Row],[SKU]],TablaINVENTARIO[SKU],TablaINVENTARIO[DPTO RESPONSABLE])</f>
        <v xml:space="preserve">OPERACIONES </v>
      </c>
      <c r="L757" s="36">
        <f>_xlfn.XLOOKUP(TablaSTOCKINV[[#This Row],[SKU]],TablaINVENTARIO[SKU],TablaINVENTARIO[RANGO MIN])</f>
        <v>0</v>
      </c>
      <c r="M757" s="34" cm="1">
        <f t="array" ref="M757">_xlfn.IFS(TablaSTOCKINV[[#This Row],[CANT. TOTAL]]&lt;=0,1,TablaSTOCKINV[[#This Row],[CANT. TOTAL]]&lt;=TablaSTOCKINV[[#This Row],[MIN]],2,TablaSTOCKINV[[#This Row],[CANT. TOTAL]]&gt;TablaSTOCKINV[[#This Row],[MIN]],3)</f>
        <v>3</v>
      </c>
      <c r="N757" s="34">
        <f>TablaSTOCKINV[[#This Row],[ENTRADAS]]-TablaSTOCKINV[[#This Row],[SALIDAS]]</f>
        <v>1</v>
      </c>
      <c r="O757" s="35">
        <f>SUMIFS(TablaENTRADA[CANT],TablaENTRADA[SKU],TablaSTOCKINV[[#This Row],[SKU]])</f>
        <v>1</v>
      </c>
      <c r="P757" s="35">
        <f>SUMIFS(TablaSALIDA[CANT],TablaSALIDA[SKU],TablaSTOCKINV[[#This Row],[SKU]])</f>
        <v>0</v>
      </c>
      <c r="Q757" s="34">
        <f>_xlfn.XLOOKUP(TablaSTOCKINV[[#This Row],[SKU]],TablaINVENTARIO[SKU],TablaINVENTARIO[PRECIO])</f>
        <v>0</v>
      </c>
      <c r="R757" s="34">
        <f>TablaSTOCKINV[[#This Row],[P.UNITARIO]]*TablaSTOCKINV[[#This Row],[CANT. TOTAL]]</f>
        <v>0</v>
      </c>
      <c r="S757" s="44">
        <f>_xlfn.XLOOKUP(TablaSTOCKINV[[#This Row],[SKU]],TablaINVENTARIO[SKU],TablaINVENTARIO[FECHA INGRESO])</f>
        <v>46023</v>
      </c>
      <c r="T757" s="44">
        <f>_xlfn.XLOOKUP(TablaSTOCKINV[[#This Row],[SKU]],TablaENTRADA[SKU],TablaENTRADA[FECHA],,0,-1)</f>
        <v>46023</v>
      </c>
      <c r="U757" s="46" t="str">
        <f>IFERROR((_xlfn.XLOOKUP(TablaSTOCKINV[[#This Row],[SKU]],TablaSALIDA[SKU],TablaSALIDA[FECHA],,0,-1))," " )</f>
        <v xml:space="preserve"> </v>
      </c>
    </row>
    <row r="758" spans="1:21" x14ac:dyDescent="0.3">
      <c r="A758" s="27" t="s">
        <v>572</v>
      </c>
      <c r="B758" s="32" t="str">
        <f>_xlfn.XLOOKUP(TablaSTOCKINV[[#This Row],[SKU]],TablaINVENTARIO[SKU],TablaINVENTARIO[DESCRIPCION])</f>
        <v>SELLO DE TRANSMISOR</v>
      </c>
      <c r="C758" s="32" t="str">
        <f>_xlfn.XLOOKUP(TablaSTOCKINV[[#This Row],[SKU]],TablaINVENTARIO[SKU],TablaINVENTARIO[MARCA])</f>
        <v>N/A</v>
      </c>
      <c r="D758" s="33" t="str">
        <f>_xlfn.XLOOKUP(TablaSTOCKINV[[#This Row],[SKU]],TablaINVENTARIO[SKU],TablaINVENTARIO[CATEGORIA])</f>
        <v>FABRICACION</v>
      </c>
      <c r="E758" s="33" t="str">
        <f>_xlfn.XLOOKUP(TablaSTOCKINV[[#This Row],[SKU]],TablaINVENTARIO[SKU],TablaINVENTARIO[SUBCATEGORIA])</f>
        <v>MATERIAL MECANICO</v>
      </c>
      <c r="F758" s="33" t="str">
        <f>_xlfn.XLOOKUP(TablaSTOCKINV[[#This Row],[SKU]],TablaINVENTARIO[SKU],TablaINVENTARIO[ESTADO])</f>
        <v>NUEVO</v>
      </c>
      <c r="G758" s="33" t="str">
        <f>_xlfn.XLOOKUP(TablaSTOCKINV[[#This Row],[SKU]],TablaINVENTARIO[SKU],TablaINVENTARIO[MEDIDA])</f>
        <v xml:space="preserve">UND </v>
      </c>
      <c r="H758" s="33" t="str">
        <f>_xlfn.XLOOKUP(TablaSTOCKINV[[#This Row],[SKU]],TablaINVENTARIO[SKU],TablaINVENTARIO[SERIAL])</f>
        <v>N/A</v>
      </c>
      <c r="I758" s="34" t="str">
        <f>_xlfn.XLOOKUP(TablaSTOCKINV[[#This Row],[SKU]],TablaINVENTARIO[SKU],TablaINVENTARIO[ALMACEN])</f>
        <v>ALMACEN PRINCIPAL</v>
      </c>
      <c r="J758" s="34" t="str">
        <f>_xlfn.XLOOKUP(TablaSTOCKINV[[#This Row],[SKU]],TablaINVENTARIO[SKU],TablaINVENTARIO[UBICACION])</f>
        <v>K4</v>
      </c>
      <c r="K758" s="34" t="str">
        <f>_xlfn.XLOOKUP(TablaSTOCKINV[[#This Row],[SKU]],TablaINVENTARIO[SKU],TablaINVENTARIO[DPTO RESPONSABLE])</f>
        <v xml:space="preserve">OPERACIONES </v>
      </c>
      <c r="L758" s="36">
        <f>_xlfn.XLOOKUP(TablaSTOCKINV[[#This Row],[SKU]],TablaINVENTARIO[SKU],TablaINVENTARIO[RANGO MIN])</f>
        <v>0</v>
      </c>
      <c r="M758" s="34" cm="1">
        <f t="array" ref="M758">_xlfn.IFS(TablaSTOCKINV[[#This Row],[CANT. TOTAL]]&lt;=0,1,TablaSTOCKINV[[#This Row],[CANT. TOTAL]]&lt;=TablaSTOCKINV[[#This Row],[MIN]],2,TablaSTOCKINV[[#This Row],[CANT. TOTAL]]&gt;TablaSTOCKINV[[#This Row],[MIN]],3)</f>
        <v>3</v>
      </c>
      <c r="N758" s="34">
        <f>TablaSTOCKINV[[#This Row],[ENTRADAS]]-TablaSTOCKINV[[#This Row],[SALIDAS]]</f>
        <v>12</v>
      </c>
      <c r="O758" s="35">
        <f>SUMIFS(TablaENTRADA[CANT],TablaENTRADA[SKU],TablaSTOCKINV[[#This Row],[SKU]])</f>
        <v>12</v>
      </c>
      <c r="P758" s="35">
        <f>SUMIFS(TablaSALIDA[CANT],TablaSALIDA[SKU],TablaSTOCKINV[[#This Row],[SKU]])</f>
        <v>0</v>
      </c>
      <c r="Q758" s="34">
        <f>_xlfn.XLOOKUP(TablaSTOCKINV[[#This Row],[SKU]],TablaINVENTARIO[SKU],TablaINVENTARIO[PRECIO])</f>
        <v>0</v>
      </c>
      <c r="R758" s="34">
        <f>TablaSTOCKINV[[#This Row],[P.UNITARIO]]*TablaSTOCKINV[[#This Row],[CANT. TOTAL]]</f>
        <v>0</v>
      </c>
      <c r="S758" s="44">
        <f>_xlfn.XLOOKUP(TablaSTOCKINV[[#This Row],[SKU]],TablaINVENTARIO[SKU],TablaINVENTARIO[FECHA INGRESO])</f>
        <v>46023</v>
      </c>
      <c r="T758" s="44">
        <f>_xlfn.XLOOKUP(TablaSTOCKINV[[#This Row],[SKU]],TablaENTRADA[SKU],TablaENTRADA[FECHA],,0,-1)</f>
        <v>46023</v>
      </c>
      <c r="U758" s="46" t="str">
        <f>IFERROR((_xlfn.XLOOKUP(TablaSTOCKINV[[#This Row],[SKU]],TablaSALIDA[SKU],TablaSALIDA[FECHA],,0,-1))," " )</f>
        <v xml:space="preserve"> </v>
      </c>
    </row>
    <row r="759" spans="1:21" x14ac:dyDescent="0.3">
      <c r="A759" s="27" t="s">
        <v>574</v>
      </c>
      <c r="B759" s="32" t="str">
        <f>_xlfn.XLOOKUP(TablaSTOCKINV[[#This Row],[SKU]],TablaINVENTARIO[SKU],TablaINVENTARIO[DESCRIPCION])</f>
        <v>ARANDELA PARA PDMETER 3/8"</v>
      </c>
      <c r="C759" s="32" t="str">
        <f>_xlfn.XLOOKUP(TablaSTOCKINV[[#This Row],[SKU]],TablaINVENTARIO[SKU],TablaINVENTARIO[MARCA])</f>
        <v>N/A</v>
      </c>
      <c r="D759" s="33" t="str">
        <f>_xlfn.XLOOKUP(TablaSTOCKINV[[#This Row],[SKU]],TablaINVENTARIO[SKU],TablaINVENTARIO[CATEGORIA])</f>
        <v>FABRICACION</v>
      </c>
      <c r="E759" s="33" t="str">
        <f>_xlfn.XLOOKUP(TablaSTOCKINV[[#This Row],[SKU]],TablaINVENTARIO[SKU],TablaINVENTARIO[SUBCATEGORIA])</f>
        <v>MATERIAL MECANICO</v>
      </c>
      <c r="F759" s="33" t="str">
        <f>_xlfn.XLOOKUP(TablaSTOCKINV[[#This Row],[SKU]],TablaINVENTARIO[SKU],TablaINVENTARIO[ESTADO])</f>
        <v>NUEVO</v>
      </c>
      <c r="G759" s="33" t="str">
        <f>_xlfn.XLOOKUP(TablaSTOCKINV[[#This Row],[SKU]],TablaINVENTARIO[SKU],TablaINVENTARIO[MEDIDA])</f>
        <v xml:space="preserve">UND </v>
      </c>
      <c r="H759" s="33" t="str">
        <f>_xlfn.XLOOKUP(TablaSTOCKINV[[#This Row],[SKU]],TablaINVENTARIO[SKU],TablaINVENTARIO[SERIAL])</f>
        <v>N/A</v>
      </c>
      <c r="I759" s="34" t="str">
        <f>_xlfn.XLOOKUP(TablaSTOCKINV[[#This Row],[SKU]],TablaINVENTARIO[SKU],TablaINVENTARIO[ALMACEN])</f>
        <v>ALMACEN PRINCIPAL</v>
      </c>
      <c r="J759" s="34" t="str">
        <f>_xlfn.XLOOKUP(TablaSTOCKINV[[#This Row],[SKU]],TablaINVENTARIO[SKU],TablaINVENTARIO[UBICACION])</f>
        <v>K4</v>
      </c>
      <c r="K759" s="34" t="str">
        <f>_xlfn.XLOOKUP(TablaSTOCKINV[[#This Row],[SKU]],TablaINVENTARIO[SKU],TablaINVENTARIO[DPTO RESPONSABLE])</f>
        <v xml:space="preserve">OPERACIONES </v>
      </c>
      <c r="L759" s="36">
        <f>_xlfn.XLOOKUP(TablaSTOCKINV[[#This Row],[SKU]],TablaINVENTARIO[SKU],TablaINVENTARIO[RANGO MIN])</f>
        <v>0</v>
      </c>
      <c r="M759" s="34" cm="1">
        <f t="array" ref="M759">_xlfn.IFS(TablaSTOCKINV[[#This Row],[CANT. TOTAL]]&lt;=0,1,TablaSTOCKINV[[#This Row],[CANT. TOTAL]]&lt;=TablaSTOCKINV[[#This Row],[MIN]],2,TablaSTOCKINV[[#This Row],[CANT. TOTAL]]&gt;TablaSTOCKINV[[#This Row],[MIN]],3)</f>
        <v>3</v>
      </c>
      <c r="N759" s="34">
        <f>TablaSTOCKINV[[#This Row],[ENTRADAS]]-TablaSTOCKINV[[#This Row],[SALIDAS]]</f>
        <v>50</v>
      </c>
      <c r="O759" s="35">
        <f>SUMIFS(TablaENTRADA[CANT],TablaENTRADA[SKU],TablaSTOCKINV[[#This Row],[SKU]])</f>
        <v>50</v>
      </c>
      <c r="P759" s="35">
        <f>SUMIFS(TablaSALIDA[CANT],TablaSALIDA[SKU],TablaSTOCKINV[[#This Row],[SKU]])</f>
        <v>0</v>
      </c>
      <c r="Q759" s="34">
        <f>_xlfn.XLOOKUP(TablaSTOCKINV[[#This Row],[SKU]],TablaINVENTARIO[SKU],TablaINVENTARIO[PRECIO])</f>
        <v>0</v>
      </c>
      <c r="R759" s="34">
        <f>TablaSTOCKINV[[#This Row],[P.UNITARIO]]*TablaSTOCKINV[[#This Row],[CANT. TOTAL]]</f>
        <v>0</v>
      </c>
      <c r="S759" s="44">
        <f>_xlfn.XLOOKUP(TablaSTOCKINV[[#This Row],[SKU]],TablaINVENTARIO[SKU],TablaINVENTARIO[FECHA INGRESO])</f>
        <v>46023</v>
      </c>
      <c r="T759" s="44">
        <f>_xlfn.XLOOKUP(TablaSTOCKINV[[#This Row],[SKU]],TablaENTRADA[SKU],TablaENTRADA[FECHA],,0,-1)</f>
        <v>46023</v>
      </c>
      <c r="U759" s="46" t="str">
        <f>IFERROR((_xlfn.XLOOKUP(TablaSTOCKINV[[#This Row],[SKU]],TablaSALIDA[SKU],TablaSALIDA[FECHA],,0,-1))," " )</f>
        <v xml:space="preserve"> </v>
      </c>
    </row>
    <row r="760" spans="1:21" x14ac:dyDescent="0.3">
      <c r="A760" s="27" t="s">
        <v>576</v>
      </c>
      <c r="B760" s="32" t="str">
        <f>_xlfn.XLOOKUP(TablaSTOCKINV[[#This Row],[SKU]],TablaINVENTARIO[SKU],TablaINVENTARIO[DESCRIPCION])</f>
        <v xml:space="preserve">O-RING PARA JUNCTION BOX </v>
      </c>
      <c r="C760" s="32" t="str">
        <f>_xlfn.XLOOKUP(TablaSTOCKINV[[#This Row],[SKU]],TablaINVENTARIO[SKU],TablaINVENTARIO[MARCA])</f>
        <v>N/A</v>
      </c>
      <c r="D760" s="33" t="str">
        <f>_xlfn.XLOOKUP(TablaSTOCKINV[[#This Row],[SKU]],TablaINVENTARIO[SKU],TablaINVENTARIO[CATEGORIA])</f>
        <v>FABRICACION</v>
      </c>
      <c r="E760" s="33" t="str">
        <f>_xlfn.XLOOKUP(TablaSTOCKINV[[#This Row],[SKU]],TablaINVENTARIO[SKU],TablaINVENTARIO[SUBCATEGORIA])</f>
        <v>MATERIAL MECANICO</v>
      </c>
      <c r="F760" s="33" t="str">
        <f>_xlfn.XLOOKUP(TablaSTOCKINV[[#This Row],[SKU]],TablaINVENTARIO[SKU],TablaINVENTARIO[ESTADO])</f>
        <v>NUEVO</v>
      </c>
      <c r="G760" s="33" t="str">
        <f>_xlfn.XLOOKUP(TablaSTOCKINV[[#This Row],[SKU]],TablaINVENTARIO[SKU],TablaINVENTARIO[MEDIDA])</f>
        <v xml:space="preserve">UND </v>
      </c>
      <c r="H760" s="33" t="str">
        <f>_xlfn.XLOOKUP(TablaSTOCKINV[[#This Row],[SKU]],TablaINVENTARIO[SKU],TablaINVENTARIO[SERIAL])</f>
        <v>N/A</v>
      </c>
      <c r="I760" s="34" t="str">
        <f>_xlfn.XLOOKUP(TablaSTOCKINV[[#This Row],[SKU]],TablaINVENTARIO[SKU],TablaINVENTARIO[ALMACEN])</f>
        <v>ALMACEN PRINCIPAL</v>
      </c>
      <c r="J760" s="34" t="str">
        <f>_xlfn.XLOOKUP(TablaSTOCKINV[[#This Row],[SKU]],TablaINVENTARIO[SKU],TablaINVENTARIO[UBICACION])</f>
        <v>K4</v>
      </c>
      <c r="K760" s="34" t="str">
        <f>_xlfn.XLOOKUP(TablaSTOCKINV[[#This Row],[SKU]],TablaINVENTARIO[SKU],TablaINVENTARIO[DPTO RESPONSABLE])</f>
        <v xml:space="preserve">OPERACIONES </v>
      </c>
      <c r="L760" s="36">
        <f>_xlfn.XLOOKUP(TablaSTOCKINV[[#This Row],[SKU]],TablaINVENTARIO[SKU],TablaINVENTARIO[RANGO MIN])</f>
        <v>0</v>
      </c>
      <c r="M760" s="34" cm="1">
        <f t="array" ref="M760">_xlfn.IFS(TablaSTOCKINV[[#This Row],[CANT. TOTAL]]&lt;=0,1,TablaSTOCKINV[[#This Row],[CANT. TOTAL]]&lt;=TablaSTOCKINV[[#This Row],[MIN]],2,TablaSTOCKINV[[#This Row],[CANT. TOTAL]]&gt;TablaSTOCKINV[[#This Row],[MIN]],3)</f>
        <v>3</v>
      </c>
      <c r="N760" s="34">
        <f>TablaSTOCKINV[[#This Row],[ENTRADAS]]-TablaSTOCKINV[[#This Row],[SALIDAS]]</f>
        <v>1</v>
      </c>
      <c r="O760" s="35">
        <f>SUMIFS(TablaENTRADA[CANT],TablaENTRADA[SKU],TablaSTOCKINV[[#This Row],[SKU]])</f>
        <v>1</v>
      </c>
      <c r="P760" s="35">
        <f>SUMIFS(TablaSALIDA[CANT],TablaSALIDA[SKU],TablaSTOCKINV[[#This Row],[SKU]])</f>
        <v>0</v>
      </c>
      <c r="Q760" s="34">
        <f>_xlfn.XLOOKUP(TablaSTOCKINV[[#This Row],[SKU]],TablaINVENTARIO[SKU],TablaINVENTARIO[PRECIO])</f>
        <v>0</v>
      </c>
      <c r="R760" s="34">
        <f>TablaSTOCKINV[[#This Row],[P.UNITARIO]]*TablaSTOCKINV[[#This Row],[CANT. TOTAL]]</f>
        <v>0</v>
      </c>
      <c r="S760" s="44">
        <f>_xlfn.XLOOKUP(TablaSTOCKINV[[#This Row],[SKU]],TablaINVENTARIO[SKU],TablaINVENTARIO[FECHA INGRESO])</f>
        <v>46023</v>
      </c>
      <c r="T760" s="44">
        <f>_xlfn.XLOOKUP(TablaSTOCKINV[[#This Row],[SKU]],TablaENTRADA[SKU],TablaENTRADA[FECHA],,0,-1)</f>
        <v>46023</v>
      </c>
      <c r="U760" s="46" t="str">
        <f>IFERROR((_xlfn.XLOOKUP(TablaSTOCKINV[[#This Row],[SKU]],TablaSALIDA[SKU],TablaSALIDA[FECHA],,0,-1))," " )</f>
        <v xml:space="preserve"> </v>
      </c>
    </row>
    <row r="761" spans="1:21" x14ac:dyDescent="0.3">
      <c r="A761" s="27" t="s">
        <v>578</v>
      </c>
      <c r="B761" s="32" t="str">
        <f>_xlfn.XLOOKUP(TablaSTOCKINV[[#This Row],[SKU]],TablaINVENTARIO[SKU],TablaINVENTARIO[DESCRIPCION])</f>
        <v>VALVULA DE TOMA DE MUESTRAS DE ALTA PRESION 3/8"</v>
      </c>
      <c r="C761" s="32" t="str">
        <f>_xlfn.XLOOKUP(TablaSTOCKINV[[#This Row],[SKU]],TablaINVENTARIO[SKU],TablaINVENTARIO[MARCA])</f>
        <v>SWAGELOK</v>
      </c>
      <c r="D761" s="33" t="str">
        <f>_xlfn.XLOOKUP(TablaSTOCKINV[[#This Row],[SKU]],TablaINVENTARIO[SKU],TablaINVENTARIO[CATEGORIA])</f>
        <v>FABRICACION</v>
      </c>
      <c r="E761" s="33" t="str">
        <f>_xlfn.XLOOKUP(TablaSTOCKINV[[#This Row],[SKU]],TablaINVENTARIO[SKU],TablaINVENTARIO[SUBCATEGORIA])</f>
        <v>MATERIAL MECANICO</v>
      </c>
      <c r="F761" s="33" t="str">
        <f>_xlfn.XLOOKUP(TablaSTOCKINV[[#This Row],[SKU]],TablaINVENTARIO[SKU],TablaINVENTARIO[ESTADO])</f>
        <v>NUEVO</v>
      </c>
      <c r="G761" s="33" t="str">
        <f>_xlfn.XLOOKUP(TablaSTOCKINV[[#This Row],[SKU]],TablaINVENTARIO[SKU],TablaINVENTARIO[MEDIDA])</f>
        <v xml:space="preserve">UND </v>
      </c>
      <c r="H761" s="33" t="str">
        <f>_xlfn.XLOOKUP(TablaSTOCKINV[[#This Row],[SKU]],TablaINVENTARIO[SKU],TablaINVENTARIO[SERIAL])</f>
        <v>N/A</v>
      </c>
      <c r="I761" s="34" t="str">
        <f>_xlfn.XLOOKUP(TablaSTOCKINV[[#This Row],[SKU]],TablaINVENTARIO[SKU],TablaINVENTARIO[ALMACEN])</f>
        <v>ALMACEN PRINCIPAL</v>
      </c>
      <c r="J761" s="34" t="str">
        <f>_xlfn.XLOOKUP(TablaSTOCKINV[[#This Row],[SKU]],TablaINVENTARIO[SKU],TablaINVENTARIO[UBICACION])</f>
        <v>K4</v>
      </c>
      <c r="K761" s="34" t="str">
        <f>_xlfn.XLOOKUP(TablaSTOCKINV[[#This Row],[SKU]],TablaINVENTARIO[SKU],TablaINVENTARIO[DPTO RESPONSABLE])</f>
        <v xml:space="preserve">OPERACIONES </v>
      </c>
      <c r="L761" s="36">
        <f>_xlfn.XLOOKUP(TablaSTOCKINV[[#This Row],[SKU]],TablaINVENTARIO[SKU],TablaINVENTARIO[RANGO MIN])</f>
        <v>0</v>
      </c>
      <c r="M761" s="34" cm="1">
        <f t="array" ref="M761">_xlfn.IFS(TablaSTOCKINV[[#This Row],[CANT. TOTAL]]&lt;=0,1,TablaSTOCKINV[[#This Row],[CANT. TOTAL]]&lt;=TablaSTOCKINV[[#This Row],[MIN]],2,TablaSTOCKINV[[#This Row],[CANT. TOTAL]]&gt;TablaSTOCKINV[[#This Row],[MIN]],3)</f>
        <v>3</v>
      </c>
      <c r="N761" s="34">
        <f>TablaSTOCKINV[[#This Row],[ENTRADAS]]-TablaSTOCKINV[[#This Row],[SALIDAS]]</f>
        <v>5</v>
      </c>
      <c r="O761" s="35">
        <f>SUMIFS(TablaENTRADA[CANT],TablaENTRADA[SKU],TablaSTOCKINV[[#This Row],[SKU]])</f>
        <v>5</v>
      </c>
      <c r="P761" s="35">
        <f>SUMIFS(TablaSALIDA[CANT],TablaSALIDA[SKU],TablaSTOCKINV[[#This Row],[SKU]])</f>
        <v>0</v>
      </c>
      <c r="Q761" s="34">
        <f>_xlfn.XLOOKUP(TablaSTOCKINV[[#This Row],[SKU]],TablaINVENTARIO[SKU],TablaINVENTARIO[PRECIO])</f>
        <v>0</v>
      </c>
      <c r="R761" s="34">
        <f>TablaSTOCKINV[[#This Row],[P.UNITARIO]]*TablaSTOCKINV[[#This Row],[CANT. TOTAL]]</f>
        <v>0</v>
      </c>
      <c r="S761" s="44">
        <f>_xlfn.XLOOKUP(TablaSTOCKINV[[#This Row],[SKU]],TablaINVENTARIO[SKU],TablaINVENTARIO[FECHA INGRESO])</f>
        <v>46023</v>
      </c>
      <c r="T761" s="44">
        <f>_xlfn.XLOOKUP(TablaSTOCKINV[[#This Row],[SKU]],TablaENTRADA[SKU],TablaENTRADA[FECHA],,0,-1)</f>
        <v>46023</v>
      </c>
      <c r="U761" s="46" t="str">
        <f>IFERROR((_xlfn.XLOOKUP(TablaSTOCKINV[[#This Row],[SKU]],TablaSALIDA[SKU],TablaSALIDA[FECHA],,0,-1))," " )</f>
        <v xml:space="preserve"> </v>
      </c>
    </row>
    <row r="762" spans="1:21" x14ac:dyDescent="0.3">
      <c r="A762" s="27" t="s">
        <v>580</v>
      </c>
      <c r="B762" s="32" t="str">
        <f>_xlfn.XLOOKUP(TablaSTOCKINV[[#This Row],[SKU]],TablaINVENTARIO[SKU],TablaINVENTARIO[DESCRIPCION])</f>
        <v>ARANDELA PARA PDMETER 1/4"</v>
      </c>
      <c r="C762" s="32" t="str">
        <f>_xlfn.XLOOKUP(TablaSTOCKINV[[#This Row],[SKU]],TablaINVENTARIO[SKU],TablaINVENTARIO[MARCA])</f>
        <v>N/A</v>
      </c>
      <c r="D762" s="33" t="str">
        <f>_xlfn.XLOOKUP(TablaSTOCKINV[[#This Row],[SKU]],TablaINVENTARIO[SKU],TablaINVENTARIO[CATEGORIA])</f>
        <v>FABRICACION</v>
      </c>
      <c r="E762" s="33" t="str">
        <f>_xlfn.XLOOKUP(TablaSTOCKINV[[#This Row],[SKU]],TablaINVENTARIO[SKU],TablaINVENTARIO[SUBCATEGORIA])</f>
        <v>MATERIAL MECANICO</v>
      </c>
      <c r="F762" s="33" t="str">
        <f>_xlfn.XLOOKUP(TablaSTOCKINV[[#This Row],[SKU]],TablaINVENTARIO[SKU],TablaINVENTARIO[ESTADO])</f>
        <v>NUEVO</v>
      </c>
      <c r="G762" s="33" t="str">
        <f>_xlfn.XLOOKUP(TablaSTOCKINV[[#This Row],[SKU]],TablaINVENTARIO[SKU],TablaINVENTARIO[MEDIDA])</f>
        <v xml:space="preserve">UND </v>
      </c>
      <c r="H762" s="33" t="str">
        <f>_xlfn.XLOOKUP(TablaSTOCKINV[[#This Row],[SKU]],TablaINVENTARIO[SKU],TablaINVENTARIO[SERIAL])</f>
        <v>N/A</v>
      </c>
      <c r="I762" s="34" t="str">
        <f>_xlfn.XLOOKUP(TablaSTOCKINV[[#This Row],[SKU]],TablaINVENTARIO[SKU],TablaINVENTARIO[ALMACEN])</f>
        <v>ALMACEN PRINCIPAL</v>
      </c>
      <c r="J762" s="34" t="str">
        <f>_xlfn.XLOOKUP(TablaSTOCKINV[[#This Row],[SKU]],TablaINVENTARIO[SKU],TablaINVENTARIO[UBICACION])</f>
        <v>K5</v>
      </c>
      <c r="K762" s="34" t="str">
        <f>_xlfn.XLOOKUP(TablaSTOCKINV[[#This Row],[SKU]],TablaINVENTARIO[SKU],TablaINVENTARIO[DPTO RESPONSABLE])</f>
        <v xml:space="preserve">OPERACIONES </v>
      </c>
      <c r="L762" s="36">
        <f>_xlfn.XLOOKUP(TablaSTOCKINV[[#This Row],[SKU]],TablaINVENTARIO[SKU],TablaINVENTARIO[RANGO MIN])</f>
        <v>0</v>
      </c>
      <c r="M762" s="34" cm="1">
        <f t="array" ref="M762">_xlfn.IFS(TablaSTOCKINV[[#This Row],[CANT. TOTAL]]&lt;=0,1,TablaSTOCKINV[[#This Row],[CANT. TOTAL]]&lt;=TablaSTOCKINV[[#This Row],[MIN]],2,TablaSTOCKINV[[#This Row],[CANT. TOTAL]]&gt;TablaSTOCKINV[[#This Row],[MIN]],3)</f>
        <v>3</v>
      </c>
      <c r="N762" s="34">
        <f>TablaSTOCKINV[[#This Row],[ENTRADAS]]-TablaSTOCKINV[[#This Row],[SALIDAS]]</f>
        <v>44</v>
      </c>
      <c r="O762" s="35">
        <f>SUMIFS(TablaENTRADA[CANT],TablaENTRADA[SKU],TablaSTOCKINV[[#This Row],[SKU]])</f>
        <v>44</v>
      </c>
      <c r="P762" s="35">
        <f>SUMIFS(TablaSALIDA[CANT],TablaSALIDA[SKU],TablaSTOCKINV[[#This Row],[SKU]])</f>
        <v>0</v>
      </c>
      <c r="Q762" s="34">
        <f>_xlfn.XLOOKUP(TablaSTOCKINV[[#This Row],[SKU]],TablaINVENTARIO[SKU],TablaINVENTARIO[PRECIO])</f>
        <v>0</v>
      </c>
      <c r="R762" s="34">
        <f>TablaSTOCKINV[[#This Row],[P.UNITARIO]]*TablaSTOCKINV[[#This Row],[CANT. TOTAL]]</f>
        <v>0</v>
      </c>
      <c r="S762" s="44">
        <f>_xlfn.XLOOKUP(TablaSTOCKINV[[#This Row],[SKU]],TablaINVENTARIO[SKU],TablaINVENTARIO[FECHA INGRESO])</f>
        <v>46023</v>
      </c>
      <c r="T762" s="44">
        <f>_xlfn.XLOOKUP(TablaSTOCKINV[[#This Row],[SKU]],TablaENTRADA[SKU],TablaENTRADA[FECHA],,0,-1)</f>
        <v>46023</v>
      </c>
      <c r="U762" s="46" t="str">
        <f>IFERROR((_xlfn.XLOOKUP(TablaSTOCKINV[[#This Row],[SKU]],TablaSALIDA[SKU],TablaSALIDA[FECHA],,0,-1))," " )</f>
        <v xml:space="preserve"> </v>
      </c>
    </row>
    <row r="763" spans="1:21" x14ac:dyDescent="0.3">
      <c r="A763" s="27" t="s">
        <v>583</v>
      </c>
      <c r="B763" s="32" t="str">
        <f>_xlfn.XLOOKUP(TablaSTOCKINV[[#This Row],[SKU]],TablaINVENTARIO[SKU],TablaINVENTARIO[DESCRIPCION])</f>
        <v xml:space="preserve">RETEN PARA ARANDELA DE PDMETER </v>
      </c>
      <c r="C763" s="32" t="str">
        <f>_xlfn.XLOOKUP(TablaSTOCKINV[[#This Row],[SKU]],TablaINVENTARIO[SKU],TablaINVENTARIO[MARCA])</f>
        <v>N/A</v>
      </c>
      <c r="D763" s="33" t="str">
        <f>_xlfn.XLOOKUP(TablaSTOCKINV[[#This Row],[SKU]],TablaINVENTARIO[SKU],TablaINVENTARIO[CATEGORIA])</f>
        <v>FABRICACION</v>
      </c>
      <c r="E763" s="33" t="str">
        <f>_xlfn.XLOOKUP(TablaSTOCKINV[[#This Row],[SKU]],TablaINVENTARIO[SKU],TablaINVENTARIO[SUBCATEGORIA])</f>
        <v>MATERIAL MECANICO</v>
      </c>
      <c r="F763" s="33" t="str">
        <f>_xlfn.XLOOKUP(TablaSTOCKINV[[#This Row],[SKU]],TablaINVENTARIO[SKU],TablaINVENTARIO[ESTADO])</f>
        <v xml:space="preserve">NUEVO </v>
      </c>
      <c r="G763" s="33" t="str">
        <f>_xlfn.XLOOKUP(TablaSTOCKINV[[#This Row],[SKU]],TablaINVENTARIO[SKU],TablaINVENTARIO[MEDIDA])</f>
        <v xml:space="preserve">UND </v>
      </c>
      <c r="H763" s="33" t="str">
        <f>_xlfn.XLOOKUP(TablaSTOCKINV[[#This Row],[SKU]],TablaINVENTARIO[SKU],TablaINVENTARIO[SERIAL])</f>
        <v>N/A</v>
      </c>
      <c r="I763" s="34" t="str">
        <f>_xlfn.XLOOKUP(TablaSTOCKINV[[#This Row],[SKU]],TablaINVENTARIO[SKU],TablaINVENTARIO[ALMACEN])</f>
        <v>ALMACEN PRINCIPAL</v>
      </c>
      <c r="J763" s="34" t="str">
        <f>_xlfn.XLOOKUP(TablaSTOCKINV[[#This Row],[SKU]],TablaINVENTARIO[SKU],TablaINVENTARIO[UBICACION])</f>
        <v>K5</v>
      </c>
      <c r="K763" s="34" t="str">
        <f>_xlfn.XLOOKUP(TablaSTOCKINV[[#This Row],[SKU]],TablaINVENTARIO[SKU],TablaINVENTARIO[DPTO RESPONSABLE])</f>
        <v xml:space="preserve">OPERACIONES </v>
      </c>
      <c r="L763" s="36">
        <f>_xlfn.XLOOKUP(TablaSTOCKINV[[#This Row],[SKU]],TablaINVENTARIO[SKU],TablaINVENTARIO[RANGO MIN])</f>
        <v>0</v>
      </c>
      <c r="M763" s="34" cm="1">
        <f t="array" ref="M763">_xlfn.IFS(TablaSTOCKINV[[#This Row],[CANT. TOTAL]]&lt;=0,1,TablaSTOCKINV[[#This Row],[CANT. TOTAL]]&lt;=TablaSTOCKINV[[#This Row],[MIN]],2,TablaSTOCKINV[[#This Row],[CANT. TOTAL]]&gt;TablaSTOCKINV[[#This Row],[MIN]],3)</f>
        <v>3</v>
      </c>
      <c r="N763" s="34">
        <f>TablaSTOCKINV[[#This Row],[ENTRADAS]]-TablaSTOCKINV[[#This Row],[SALIDAS]]</f>
        <v>18</v>
      </c>
      <c r="O763" s="35">
        <f>SUMIFS(TablaENTRADA[CANT],TablaENTRADA[SKU],TablaSTOCKINV[[#This Row],[SKU]])</f>
        <v>18</v>
      </c>
      <c r="P763" s="35">
        <f>SUMIFS(TablaSALIDA[CANT],TablaSALIDA[SKU],TablaSTOCKINV[[#This Row],[SKU]])</f>
        <v>0</v>
      </c>
      <c r="Q763" s="34">
        <f>_xlfn.XLOOKUP(TablaSTOCKINV[[#This Row],[SKU]],TablaINVENTARIO[SKU],TablaINVENTARIO[PRECIO])</f>
        <v>0</v>
      </c>
      <c r="R763" s="34">
        <f>TablaSTOCKINV[[#This Row],[P.UNITARIO]]*TablaSTOCKINV[[#This Row],[CANT. TOTAL]]</f>
        <v>0</v>
      </c>
      <c r="S763" s="44">
        <f>_xlfn.XLOOKUP(TablaSTOCKINV[[#This Row],[SKU]],TablaINVENTARIO[SKU],TablaINVENTARIO[FECHA INGRESO])</f>
        <v>46023</v>
      </c>
      <c r="T763" s="44">
        <f>_xlfn.XLOOKUP(TablaSTOCKINV[[#This Row],[SKU]],TablaENTRADA[SKU],TablaENTRADA[FECHA],,0,-1)</f>
        <v>46023</v>
      </c>
      <c r="U763" s="46" t="str">
        <f>IFERROR((_xlfn.XLOOKUP(TablaSTOCKINV[[#This Row],[SKU]],TablaSALIDA[SKU],TablaSALIDA[FECHA],,0,-1))," " )</f>
        <v xml:space="preserve"> </v>
      </c>
    </row>
    <row r="764" spans="1:21" x14ac:dyDescent="0.3">
      <c r="A764" s="27" t="s">
        <v>585</v>
      </c>
      <c r="B764" s="32" t="str">
        <f>_xlfn.XLOOKUP(TablaSTOCKINV[[#This Row],[SKU]],TablaINVENTARIO[SKU],TablaINVENTARIO[DESCRIPCION])</f>
        <v>CAJA INDUSTRIAL MONTAJE SUPERFICIAL NEMA 12 850MM X 280MM X 560MM</v>
      </c>
      <c r="C764" s="32" t="str">
        <f>_xlfn.XLOOKUP(TablaSTOCKINV[[#This Row],[SKU]],TablaINVENTARIO[SKU],TablaINVENTARIO[MARCA])</f>
        <v>N/A</v>
      </c>
      <c r="D764" s="33" t="str">
        <f>_xlfn.XLOOKUP(TablaSTOCKINV[[#This Row],[SKU]],TablaINVENTARIO[SKU],TablaINVENTARIO[CATEGORIA])</f>
        <v>FABRICACION</v>
      </c>
      <c r="E764" s="33" t="str">
        <f>_xlfn.XLOOKUP(TablaSTOCKINV[[#This Row],[SKU]],TablaINVENTARIO[SKU],TablaINVENTARIO[SUBCATEGORIA])</f>
        <v>MATERIAL ELECTRICO</v>
      </c>
      <c r="F764" s="33" t="str">
        <f>_xlfn.XLOOKUP(TablaSTOCKINV[[#This Row],[SKU]],TablaINVENTARIO[SKU],TablaINVENTARIO[ESTADO])</f>
        <v>NUEVO</v>
      </c>
      <c r="G764" s="33" t="str">
        <f>_xlfn.XLOOKUP(TablaSTOCKINV[[#This Row],[SKU]],TablaINVENTARIO[SKU],TablaINVENTARIO[MEDIDA])</f>
        <v xml:space="preserve">UND </v>
      </c>
      <c r="H764" s="33" t="str">
        <f>_xlfn.XLOOKUP(TablaSTOCKINV[[#This Row],[SKU]],TablaINVENTARIO[SKU],TablaINVENTARIO[SERIAL])</f>
        <v>N/A</v>
      </c>
      <c r="I764" s="34" t="str">
        <f>_xlfn.XLOOKUP(TablaSTOCKINV[[#This Row],[SKU]],TablaINVENTARIO[SKU],TablaINVENTARIO[ALMACEN])</f>
        <v>ALMACEN PRINCIPAL</v>
      </c>
      <c r="J764" s="34" t="str">
        <f>_xlfn.XLOOKUP(TablaSTOCKINV[[#This Row],[SKU]],TablaINVENTARIO[SKU],TablaINVENTARIO[UBICACION])</f>
        <v xml:space="preserve">CUARTO DE ALMACENAMIENTO </v>
      </c>
      <c r="K764" s="34" t="str">
        <f>_xlfn.XLOOKUP(TablaSTOCKINV[[#This Row],[SKU]],TablaINVENTARIO[SKU],TablaINVENTARIO[DPTO RESPONSABLE])</f>
        <v>OPERACIONES</v>
      </c>
      <c r="L764" s="36">
        <f>_xlfn.XLOOKUP(TablaSTOCKINV[[#This Row],[SKU]],TablaINVENTARIO[SKU],TablaINVENTARIO[RANGO MIN])</f>
        <v>0</v>
      </c>
      <c r="M764" s="34" cm="1">
        <f t="array" ref="M764">_xlfn.IFS(TablaSTOCKINV[[#This Row],[CANT. TOTAL]]&lt;=0,1,TablaSTOCKINV[[#This Row],[CANT. TOTAL]]&lt;=TablaSTOCKINV[[#This Row],[MIN]],2,TablaSTOCKINV[[#This Row],[CANT. TOTAL]]&gt;TablaSTOCKINV[[#This Row],[MIN]],3)</f>
        <v>3</v>
      </c>
      <c r="N764" s="34">
        <f>TablaSTOCKINV[[#This Row],[ENTRADAS]]-TablaSTOCKINV[[#This Row],[SALIDAS]]</f>
        <v>2</v>
      </c>
      <c r="O764" s="35">
        <f>SUMIFS(TablaENTRADA[CANT],TablaENTRADA[SKU],TablaSTOCKINV[[#This Row],[SKU]])</f>
        <v>2</v>
      </c>
      <c r="P764" s="35">
        <f>SUMIFS(TablaSALIDA[CANT],TablaSALIDA[SKU],TablaSTOCKINV[[#This Row],[SKU]])</f>
        <v>0</v>
      </c>
      <c r="Q764" s="34">
        <f>_xlfn.XLOOKUP(TablaSTOCKINV[[#This Row],[SKU]],TablaINVENTARIO[SKU],TablaINVENTARIO[PRECIO])</f>
        <v>0</v>
      </c>
      <c r="R764" s="34">
        <f>TablaSTOCKINV[[#This Row],[P.UNITARIO]]*TablaSTOCKINV[[#This Row],[CANT. TOTAL]]</f>
        <v>0</v>
      </c>
      <c r="S764" s="44">
        <f>_xlfn.XLOOKUP(TablaSTOCKINV[[#This Row],[SKU]],TablaINVENTARIO[SKU],TablaINVENTARIO[FECHA INGRESO])</f>
        <v>46023</v>
      </c>
      <c r="T764" s="44">
        <f>_xlfn.XLOOKUP(TablaSTOCKINV[[#This Row],[SKU]],TablaENTRADA[SKU],TablaENTRADA[FECHA],,0,-1)</f>
        <v>46023</v>
      </c>
      <c r="U764" s="46" t="str">
        <f>IFERROR((_xlfn.XLOOKUP(TablaSTOCKINV[[#This Row],[SKU]],TablaSALIDA[SKU],TablaSALIDA[FECHA],,0,-1))," " )</f>
        <v xml:space="preserve"> </v>
      </c>
    </row>
    <row r="765" spans="1:21" x14ac:dyDescent="0.3">
      <c r="A765" s="27" t="s">
        <v>588</v>
      </c>
      <c r="B765" s="32" t="str">
        <f>_xlfn.XLOOKUP(TablaSTOCKINV[[#This Row],[SKU]],TablaINVENTARIO[SKU],TablaINVENTARIO[DESCRIPCION])</f>
        <v xml:space="preserve">DUCTO VERTICAL RANURADO PARA LA ORGANIZACIÓN DE CABLES DE COBRE Y FIBRA 4" X 5" X 80" COLOR NEGRO </v>
      </c>
      <c r="C765" s="32" t="str">
        <f>_xlfn.XLOOKUP(TablaSTOCKINV[[#This Row],[SKU]],TablaINVENTARIO[SKU],TablaINVENTARIO[MARCA])</f>
        <v xml:space="preserve">LEVITON </v>
      </c>
      <c r="D765" s="33" t="str">
        <f>_xlfn.XLOOKUP(TablaSTOCKINV[[#This Row],[SKU]],TablaINVENTARIO[SKU],TablaINVENTARIO[CATEGORIA])</f>
        <v>FABRICACION</v>
      </c>
      <c r="E765" s="33" t="str">
        <f>_xlfn.XLOOKUP(TablaSTOCKINV[[#This Row],[SKU]],TablaINVENTARIO[SKU],TablaINVENTARIO[SUBCATEGORIA])</f>
        <v>MATERIAL ELECTRICO</v>
      </c>
      <c r="F765" s="33" t="str">
        <f>_xlfn.XLOOKUP(TablaSTOCKINV[[#This Row],[SKU]],TablaINVENTARIO[SKU],TablaINVENTARIO[ESTADO])</f>
        <v>NUEVO</v>
      </c>
      <c r="G765" s="33" t="str">
        <f>_xlfn.XLOOKUP(TablaSTOCKINV[[#This Row],[SKU]],TablaINVENTARIO[SKU],TablaINVENTARIO[MEDIDA])</f>
        <v xml:space="preserve">UND </v>
      </c>
      <c r="H765" s="33" t="str">
        <f>_xlfn.XLOOKUP(TablaSTOCKINV[[#This Row],[SKU]],TablaINVENTARIO[SKU],TablaINVENTARIO[SERIAL])</f>
        <v>N/A</v>
      </c>
      <c r="I765" s="34" t="str">
        <f>_xlfn.XLOOKUP(TablaSTOCKINV[[#This Row],[SKU]],TablaINVENTARIO[SKU],TablaINVENTARIO[ALMACEN])</f>
        <v>ALMACEN PRINCIPAL</v>
      </c>
      <c r="J765" s="34" t="str">
        <f>_xlfn.XLOOKUP(TablaSTOCKINV[[#This Row],[SKU]],TablaINVENTARIO[SKU],TablaINVENTARIO[UBICACION])</f>
        <v xml:space="preserve">CUARTO DE ALMACENAMIENTO </v>
      </c>
      <c r="K765" s="34" t="str">
        <f>_xlfn.XLOOKUP(TablaSTOCKINV[[#This Row],[SKU]],TablaINVENTARIO[SKU],TablaINVENTARIO[DPTO RESPONSABLE])</f>
        <v>OPERACIONES</v>
      </c>
      <c r="L765" s="36">
        <f>_xlfn.XLOOKUP(TablaSTOCKINV[[#This Row],[SKU]],TablaINVENTARIO[SKU],TablaINVENTARIO[RANGO MIN])</f>
        <v>0</v>
      </c>
      <c r="M765" s="34" cm="1">
        <f t="array" ref="M765">_xlfn.IFS(TablaSTOCKINV[[#This Row],[CANT. TOTAL]]&lt;=0,1,TablaSTOCKINV[[#This Row],[CANT. TOTAL]]&lt;=TablaSTOCKINV[[#This Row],[MIN]],2,TablaSTOCKINV[[#This Row],[CANT. TOTAL]]&gt;TablaSTOCKINV[[#This Row],[MIN]],3)</f>
        <v>3</v>
      </c>
      <c r="N765" s="34">
        <f>TablaSTOCKINV[[#This Row],[ENTRADAS]]-TablaSTOCKINV[[#This Row],[SALIDAS]]</f>
        <v>3</v>
      </c>
      <c r="O765" s="35">
        <f>SUMIFS(TablaENTRADA[CANT],TablaENTRADA[SKU],TablaSTOCKINV[[#This Row],[SKU]])</f>
        <v>3</v>
      </c>
      <c r="P765" s="35">
        <f>SUMIFS(TablaSALIDA[CANT],TablaSALIDA[SKU],TablaSTOCKINV[[#This Row],[SKU]])</f>
        <v>0</v>
      </c>
      <c r="Q765" s="34">
        <f>_xlfn.XLOOKUP(TablaSTOCKINV[[#This Row],[SKU]],TablaINVENTARIO[SKU],TablaINVENTARIO[PRECIO])</f>
        <v>0</v>
      </c>
      <c r="R765" s="34">
        <f>TablaSTOCKINV[[#This Row],[P.UNITARIO]]*TablaSTOCKINV[[#This Row],[CANT. TOTAL]]</f>
        <v>0</v>
      </c>
      <c r="S765" s="44">
        <f>_xlfn.XLOOKUP(TablaSTOCKINV[[#This Row],[SKU]],TablaINVENTARIO[SKU],TablaINVENTARIO[FECHA INGRESO])</f>
        <v>46023</v>
      </c>
      <c r="T765" s="44">
        <f>_xlfn.XLOOKUP(TablaSTOCKINV[[#This Row],[SKU]],TablaENTRADA[SKU],TablaENTRADA[FECHA],,0,-1)</f>
        <v>46023</v>
      </c>
      <c r="U765" s="46" t="str">
        <f>IFERROR((_xlfn.XLOOKUP(TablaSTOCKINV[[#This Row],[SKU]],TablaSALIDA[SKU],TablaSALIDA[FECHA],,0,-1))," " )</f>
        <v xml:space="preserve"> </v>
      </c>
    </row>
    <row r="766" spans="1:21" x14ac:dyDescent="0.3">
      <c r="A766" s="27" t="s">
        <v>591</v>
      </c>
      <c r="B766" s="32" t="str">
        <f>_xlfn.XLOOKUP(TablaSTOCKINV[[#This Row],[SKU]],TablaINVENTARIO[SKU],TablaINVENTARIO[DESCRIPCION])</f>
        <v>PERNO 3/4" DE ACERO AL CARBON 153MM (SIN TUERCA)</v>
      </c>
      <c r="C766" s="32" t="str">
        <f>_xlfn.XLOOKUP(TablaSTOCKINV[[#This Row],[SKU]],TablaINVENTARIO[SKU],TablaINVENTARIO[MARCA])</f>
        <v>N/A</v>
      </c>
      <c r="D766" s="33" t="str">
        <f>_xlfn.XLOOKUP(TablaSTOCKINV[[#This Row],[SKU]],TablaINVENTARIO[SKU],TablaINVENTARIO[CATEGORIA])</f>
        <v>FABRICACION</v>
      </c>
      <c r="E766" s="33" t="str">
        <f>_xlfn.XLOOKUP(TablaSTOCKINV[[#This Row],[SKU]],TablaINVENTARIO[SKU],TablaINVENTARIO[SUBCATEGORIA])</f>
        <v>MATERIAL MECANICO</v>
      </c>
      <c r="F766" s="33" t="str">
        <f>_xlfn.XLOOKUP(TablaSTOCKINV[[#This Row],[SKU]],TablaINVENTARIO[SKU],TablaINVENTARIO[ESTADO])</f>
        <v xml:space="preserve">NUEVO </v>
      </c>
      <c r="G766" s="33" t="str">
        <f>_xlfn.XLOOKUP(TablaSTOCKINV[[#This Row],[SKU]],TablaINVENTARIO[SKU],TablaINVENTARIO[MEDIDA])</f>
        <v>UND</v>
      </c>
      <c r="H766" s="33" t="str">
        <f>_xlfn.XLOOKUP(TablaSTOCKINV[[#This Row],[SKU]],TablaINVENTARIO[SKU],TablaINVENTARIO[SERIAL])</f>
        <v>N/A</v>
      </c>
      <c r="I766" s="34" t="str">
        <f>_xlfn.XLOOKUP(TablaSTOCKINV[[#This Row],[SKU]],TablaINVENTARIO[SKU],TablaINVENTARIO[ALMACEN])</f>
        <v>ALMACEN PRINCIPAL</v>
      </c>
      <c r="J766" s="34" t="str">
        <f>_xlfn.XLOOKUP(TablaSTOCKINV[[#This Row],[SKU]],TablaINVENTARIO[SKU],TablaINVENTARIO[UBICACION])</f>
        <v>J4-2</v>
      </c>
      <c r="K766" s="34" t="str">
        <f>_xlfn.XLOOKUP(TablaSTOCKINV[[#This Row],[SKU]],TablaINVENTARIO[SKU],TablaINVENTARIO[DPTO RESPONSABLE])</f>
        <v xml:space="preserve">OPERACIONES </v>
      </c>
      <c r="L766" s="36">
        <f>_xlfn.XLOOKUP(TablaSTOCKINV[[#This Row],[SKU]],TablaINVENTARIO[SKU],TablaINVENTARIO[RANGO MIN])</f>
        <v>0</v>
      </c>
      <c r="M766" s="34" cm="1">
        <f t="array" ref="M766">_xlfn.IFS(TablaSTOCKINV[[#This Row],[CANT. TOTAL]]&lt;=0,1,TablaSTOCKINV[[#This Row],[CANT. TOTAL]]&lt;=TablaSTOCKINV[[#This Row],[MIN]],2,TablaSTOCKINV[[#This Row],[CANT. TOTAL]]&gt;TablaSTOCKINV[[#This Row],[MIN]],3)</f>
        <v>3</v>
      </c>
      <c r="N766" s="34">
        <f>TablaSTOCKINV[[#This Row],[ENTRADAS]]-TablaSTOCKINV[[#This Row],[SALIDAS]]</f>
        <v>32</v>
      </c>
      <c r="O766" s="35">
        <f>SUMIFS(TablaENTRADA[CANT],TablaENTRADA[SKU],TablaSTOCKINV[[#This Row],[SKU]])</f>
        <v>32</v>
      </c>
      <c r="P766" s="35">
        <f>SUMIFS(TablaSALIDA[CANT],TablaSALIDA[SKU],TablaSTOCKINV[[#This Row],[SKU]])</f>
        <v>0</v>
      </c>
      <c r="Q766" s="34">
        <f>_xlfn.XLOOKUP(TablaSTOCKINV[[#This Row],[SKU]],TablaINVENTARIO[SKU],TablaINVENTARIO[PRECIO])</f>
        <v>0</v>
      </c>
      <c r="R766" s="34">
        <f>TablaSTOCKINV[[#This Row],[P.UNITARIO]]*TablaSTOCKINV[[#This Row],[CANT. TOTAL]]</f>
        <v>0</v>
      </c>
      <c r="S766" s="44">
        <f>_xlfn.XLOOKUP(TablaSTOCKINV[[#This Row],[SKU]],TablaINVENTARIO[SKU],TablaINVENTARIO[FECHA INGRESO])</f>
        <v>46023</v>
      </c>
      <c r="T766" s="44">
        <f>_xlfn.XLOOKUP(TablaSTOCKINV[[#This Row],[SKU]],TablaENTRADA[SKU],TablaENTRADA[FECHA],,0,-1)</f>
        <v>46023</v>
      </c>
      <c r="U766" s="46" t="str">
        <f>IFERROR((_xlfn.XLOOKUP(TablaSTOCKINV[[#This Row],[SKU]],TablaSALIDA[SKU],TablaSALIDA[FECHA],,0,-1))," " )</f>
        <v xml:space="preserve"> </v>
      </c>
    </row>
    <row r="767" spans="1:21" x14ac:dyDescent="0.3">
      <c r="A767" s="27" t="s">
        <v>594</v>
      </c>
      <c r="B767" s="32" t="str">
        <f>_xlfn.XLOOKUP(TablaSTOCKINV[[#This Row],[SKU]],TablaINVENTARIO[SKU],TablaINVENTARIO[DESCRIPCION])</f>
        <v>PERNO 1/2" DE ACERO AL CARBON 120MM (SIN TUERCA)</v>
      </c>
      <c r="C767" s="32" t="str">
        <f>_xlfn.XLOOKUP(TablaSTOCKINV[[#This Row],[SKU]],TablaINVENTARIO[SKU],TablaINVENTARIO[MARCA])</f>
        <v>N/A</v>
      </c>
      <c r="D767" s="33" t="str">
        <f>_xlfn.XLOOKUP(TablaSTOCKINV[[#This Row],[SKU]],TablaINVENTARIO[SKU],TablaINVENTARIO[CATEGORIA])</f>
        <v>FABRICACION</v>
      </c>
      <c r="E767" s="33" t="str">
        <f>_xlfn.XLOOKUP(TablaSTOCKINV[[#This Row],[SKU]],TablaINVENTARIO[SKU],TablaINVENTARIO[SUBCATEGORIA])</f>
        <v>MATERIAL MECANICO</v>
      </c>
      <c r="F767" s="33" t="str">
        <f>_xlfn.XLOOKUP(TablaSTOCKINV[[#This Row],[SKU]],TablaINVENTARIO[SKU],TablaINVENTARIO[ESTADO])</f>
        <v xml:space="preserve">NUEVO </v>
      </c>
      <c r="G767" s="33" t="str">
        <f>_xlfn.XLOOKUP(TablaSTOCKINV[[#This Row],[SKU]],TablaINVENTARIO[SKU],TablaINVENTARIO[MEDIDA])</f>
        <v>UND</v>
      </c>
      <c r="H767" s="33" t="str">
        <f>_xlfn.XLOOKUP(TablaSTOCKINV[[#This Row],[SKU]],TablaINVENTARIO[SKU],TablaINVENTARIO[SERIAL])</f>
        <v>N/A</v>
      </c>
      <c r="I767" s="34" t="str">
        <f>_xlfn.XLOOKUP(TablaSTOCKINV[[#This Row],[SKU]],TablaINVENTARIO[SKU],TablaINVENTARIO[ALMACEN])</f>
        <v>ALMACEN PRINCIPAL</v>
      </c>
      <c r="J767" s="34" t="str">
        <f>_xlfn.XLOOKUP(TablaSTOCKINV[[#This Row],[SKU]],TablaINVENTARIO[SKU],TablaINVENTARIO[UBICACION])</f>
        <v>J4-2</v>
      </c>
      <c r="K767" s="34" t="str">
        <f>_xlfn.XLOOKUP(TablaSTOCKINV[[#This Row],[SKU]],TablaINVENTARIO[SKU],TablaINVENTARIO[DPTO RESPONSABLE])</f>
        <v xml:space="preserve">OPERACIONES </v>
      </c>
      <c r="L767" s="36">
        <f>_xlfn.XLOOKUP(TablaSTOCKINV[[#This Row],[SKU]],TablaINVENTARIO[SKU],TablaINVENTARIO[RANGO MIN])</f>
        <v>0</v>
      </c>
      <c r="M767" s="34" cm="1">
        <f t="array" ref="M767">_xlfn.IFS(TablaSTOCKINV[[#This Row],[CANT. TOTAL]]&lt;=0,1,TablaSTOCKINV[[#This Row],[CANT. TOTAL]]&lt;=TablaSTOCKINV[[#This Row],[MIN]],2,TablaSTOCKINV[[#This Row],[CANT. TOTAL]]&gt;TablaSTOCKINV[[#This Row],[MIN]],3)</f>
        <v>3</v>
      </c>
      <c r="N767" s="34">
        <f>TablaSTOCKINV[[#This Row],[ENTRADAS]]-TablaSTOCKINV[[#This Row],[SALIDAS]]</f>
        <v>25</v>
      </c>
      <c r="O767" s="35">
        <f>SUMIFS(TablaENTRADA[CANT],TablaENTRADA[SKU],TablaSTOCKINV[[#This Row],[SKU]])</f>
        <v>25</v>
      </c>
      <c r="P767" s="35">
        <f>SUMIFS(TablaSALIDA[CANT],TablaSALIDA[SKU],TablaSTOCKINV[[#This Row],[SKU]])</f>
        <v>0</v>
      </c>
      <c r="Q767" s="34">
        <f>_xlfn.XLOOKUP(TablaSTOCKINV[[#This Row],[SKU]],TablaINVENTARIO[SKU],TablaINVENTARIO[PRECIO])</f>
        <v>0</v>
      </c>
      <c r="R767" s="34">
        <f>TablaSTOCKINV[[#This Row],[P.UNITARIO]]*TablaSTOCKINV[[#This Row],[CANT. TOTAL]]</f>
        <v>0</v>
      </c>
      <c r="S767" s="44">
        <f>_xlfn.XLOOKUP(TablaSTOCKINV[[#This Row],[SKU]],TablaINVENTARIO[SKU],TablaINVENTARIO[FECHA INGRESO])</f>
        <v>46023</v>
      </c>
      <c r="T767" s="44">
        <f>_xlfn.XLOOKUP(TablaSTOCKINV[[#This Row],[SKU]],TablaENTRADA[SKU],TablaENTRADA[FECHA],,0,-1)</f>
        <v>46023</v>
      </c>
      <c r="U767" s="46" t="str">
        <f>IFERROR((_xlfn.XLOOKUP(TablaSTOCKINV[[#This Row],[SKU]],TablaSALIDA[SKU],TablaSALIDA[FECHA],,0,-1))," " )</f>
        <v xml:space="preserve"> </v>
      </c>
    </row>
    <row r="768" spans="1:21" x14ac:dyDescent="0.3">
      <c r="A768" s="27" t="s">
        <v>596</v>
      </c>
      <c r="B768" s="32" t="str">
        <f>_xlfn.XLOOKUP(TablaSTOCKINV[[#This Row],[SKU]],TablaINVENTARIO[SKU],TablaINVENTARIO[DESCRIPCION])</f>
        <v>PERNO 1/2" DE ACERO INOXIDABLE 120MM (SIN TUERCA)</v>
      </c>
      <c r="C768" s="32" t="str">
        <f>_xlfn.XLOOKUP(TablaSTOCKINV[[#This Row],[SKU]],TablaINVENTARIO[SKU],TablaINVENTARIO[MARCA])</f>
        <v>N/A</v>
      </c>
      <c r="D768" s="33" t="str">
        <f>_xlfn.XLOOKUP(TablaSTOCKINV[[#This Row],[SKU]],TablaINVENTARIO[SKU],TablaINVENTARIO[CATEGORIA])</f>
        <v>FABRICACION</v>
      </c>
      <c r="E768" s="33" t="str">
        <f>_xlfn.XLOOKUP(TablaSTOCKINV[[#This Row],[SKU]],TablaINVENTARIO[SKU],TablaINVENTARIO[SUBCATEGORIA])</f>
        <v>MATERIAL MECANICO</v>
      </c>
      <c r="F768" s="33" t="str">
        <f>_xlfn.XLOOKUP(TablaSTOCKINV[[#This Row],[SKU]],TablaINVENTARIO[SKU],TablaINVENTARIO[ESTADO])</f>
        <v xml:space="preserve">NUEVO </v>
      </c>
      <c r="G768" s="33" t="str">
        <f>_xlfn.XLOOKUP(TablaSTOCKINV[[#This Row],[SKU]],TablaINVENTARIO[SKU],TablaINVENTARIO[MEDIDA])</f>
        <v>UND</v>
      </c>
      <c r="H768" s="33" t="str">
        <f>_xlfn.XLOOKUP(TablaSTOCKINV[[#This Row],[SKU]],TablaINVENTARIO[SKU],TablaINVENTARIO[SERIAL])</f>
        <v>N/A</v>
      </c>
      <c r="I768" s="34" t="str">
        <f>_xlfn.XLOOKUP(TablaSTOCKINV[[#This Row],[SKU]],TablaINVENTARIO[SKU],TablaINVENTARIO[ALMACEN])</f>
        <v>ALMACEN PRINCIPAL</v>
      </c>
      <c r="J768" s="34" t="str">
        <f>_xlfn.XLOOKUP(TablaSTOCKINV[[#This Row],[SKU]],TablaINVENTARIO[SKU],TablaINVENTARIO[UBICACION])</f>
        <v>J4-2</v>
      </c>
      <c r="K768" s="34" t="str">
        <f>_xlfn.XLOOKUP(TablaSTOCKINV[[#This Row],[SKU]],TablaINVENTARIO[SKU],TablaINVENTARIO[DPTO RESPONSABLE])</f>
        <v xml:space="preserve">OPERACIONES </v>
      </c>
      <c r="L768" s="36">
        <f>_xlfn.XLOOKUP(TablaSTOCKINV[[#This Row],[SKU]],TablaINVENTARIO[SKU],TablaINVENTARIO[RANGO MIN])</f>
        <v>0</v>
      </c>
      <c r="M768" s="34" cm="1">
        <f t="array" ref="M768">_xlfn.IFS(TablaSTOCKINV[[#This Row],[CANT. TOTAL]]&lt;=0,1,TablaSTOCKINV[[#This Row],[CANT. TOTAL]]&lt;=TablaSTOCKINV[[#This Row],[MIN]],2,TablaSTOCKINV[[#This Row],[CANT. TOTAL]]&gt;TablaSTOCKINV[[#This Row],[MIN]],3)</f>
        <v>3</v>
      </c>
      <c r="N768" s="34">
        <f>TablaSTOCKINV[[#This Row],[ENTRADAS]]-TablaSTOCKINV[[#This Row],[SALIDAS]]</f>
        <v>105</v>
      </c>
      <c r="O768" s="35">
        <f>SUMIFS(TablaENTRADA[CANT],TablaENTRADA[SKU],TablaSTOCKINV[[#This Row],[SKU]])</f>
        <v>105</v>
      </c>
      <c r="P768" s="35">
        <f>SUMIFS(TablaSALIDA[CANT],TablaSALIDA[SKU],TablaSTOCKINV[[#This Row],[SKU]])</f>
        <v>0</v>
      </c>
      <c r="Q768" s="34">
        <f>_xlfn.XLOOKUP(TablaSTOCKINV[[#This Row],[SKU]],TablaINVENTARIO[SKU],TablaINVENTARIO[PRECIO])</f>
        <v>0</v>
      </c>
      <c r="R768" s="34">
        <f>TablaSTOCKINV[[#This Row],[P.UNITARIO]]*TablaSTOCKINV[[#This Row],[CANT. TOTAL]]</f>
        <v>0</v>
      </c>
      <c r="S768" s="44">
        <f>_xlfn.XLOOKUP(TablaSTOCKINV[[#This Row],[SKU]],TablaINVENTARIO[SKU],TablaINVENTARIO[FECHA INGRESO])</f>
        <v>46023</v>
      </c>
      <c r="T768" s="44">
        <f>_xlfn.XLOOKUP(TablaSTOCKINV[[#This Row],[SKU]],TablaENTRADA[SKU],TablaENTRADA[FECHA],,0,-1)</f>
        <v>46023</v>
      </c>
      <c r="U768" s="46" t="str">
        <f>IFERROR((_xlfn.XLOOKUP(TablaSTOCKINV[[#This Row],[SKU]],TablaSALIDA[SKU],TablaSALIDA[FECHA],,0,-1))," " )</f>
        <v xml:space="preserve"> </v>
      </c>
    </row>
    <row r="769" spans="1:21" x14ac:dyDescent="0.3">
      <c r="A769" s="27" t="s">
        <v>598</v>
      </c>
      <c r="B769" s="32" t="str">
        <f>_xlfn.XLOOKUP(TablaSTOCKINV[[#This Row],[SKU]],TablaINVENTARIO[SKU],TablaINVENTARIO[DESCRIPCION])</f>
        <v>PERNO 3/4" DE ACERO INOXIDABLE 160MM (CON TUERCA)</v>
      </c>
      <c r="C769" s="32" t="str">
        <f>_xlfn.XLOOKUP(TablaSTOCKINV[[#This Row],[SKU]],TablaINVENTARIO[SKU],TablaINVENTARIO[MARCA])</f>
        <v>N/A</v>
      </c>
      <c r="D769" s="33" t="str">
        <f>_xlfn.XLOOKUP(TablaSTOCKINV[[#This Row],[SKU]],TablaINVENTARIO[SKU],TablaINVENTARIO[CATEGORIA])</f>
        <v>FABRICACION</v>
      </c>
      <c r="E769" s="33" t="str">
        <f>_xlfn.XLOOKUP(TablaSTOCKINV[[#This Row],[SKU]],TablaINVENTARIO[SKU],TablaINVENTARIO[SUBCATEGORIA])</f>
        <v>MATERIAL MECANICO</v>
      </c>
      <c r="F769" s="33" t="str">
        <f>_xlfn.XLOOKUP(TablaSTOCKINV[[#This Row],[SKU]],TablaINVENTARIO[SKU],TablaINVENTARIO[ESTADO])</f>
        <v xml:space="preserve">NUEVO </v>
      </c>
      <c r="G769" s="33" t="str">
        <f>_xlfn.XLOOKUP(TablaSTOCKINV[[#This Row],[SKU]],TablaINVENTARIO[SKU],TablaINVENTARIO[MEDIDA])</f>
        <v>UND</v>
      </c>
      <c r="H769" s="33" t="str">
        <f>_xlfn.XLOOKUP(TablaSTOCKINV[[#This Row],[SKU]],TablaINVENTARIO[SKU],TablaINVENTARIO[SERIAL])</f>
        <v>N/A</v>
      </c>
      <c r="I769" s="34" t="str">
        <f>_xlfn.XLOOKUP(TablaSTOCKINV[[#This Row],[SKU]],TablaINVENTARIO[SKU],TablaINVENTARIO[ALMACEN])</f>
        <v>ALMACEN PRINCIPAL</v>
      </c>
      <c r="J769" s="34" t="str">
        <f>_xlfn.XLOOKUP(TablaSTOCKINV[[#This Row],[SKU]],TablaINVENTARIO[SKU],TablaINVENTARIO[UBICACION])</f>
        <v>J4-2</v>
      </c>
      <c r="K769" s="34" t="str">
        <f>_xlfn.XLOOKUP(TablaSTOCKINV[[#This Row],[SKU]],TablaINVENTARIO[SKU],TablaINVENTARIO[DPTO RESPONSABLE])</f>
        <v xml:space="preserve">OPERACIONES </v>
      </c>
      <c r="L769" s="36">
        <f>_xlfn.XLOOKUP(TablaSTOCKINV[[#This Row],[SKU]],TablaINVENTARIO[SKU],TablaINVENTARIO[RANGO MIN])</f>
        <v>0</v>
      </c>
      <c r="M769" s="34" cm="1">
        <f t="array" ref="M769">_xlfn.IFS(TablaSTOCKINV[[#This Row],[CANT. TOTAL]]&lt;=0,1,TablaSTOCKINV[[#This Row],[CANT. TOTAL]]&lt;=TablaSTOCKINV[[#This Row],[MIN]],2,TablaSTOCKINV[[#This Row],[CANT. TOTAL]]&gt;TablaSTOCKINV[[#This Row],[MIN]],3)</f>
        <v>3</v>
      </c>
      <c r="N769" s="34">
        <f>TablaSTOCKINV[[#This Row],[ENTRADAS]]-TablaSTOCKINV[[#This Row],[SALIDAS]]</f>
        <v>17</v>
      </c>
      <c r="O769" s="35">
        <f>SUMIFS(TablaENTRADA[CANT],TablaENTRADA[SKU],TablaSTOCKINV[[#This Row],[SKU]])</f>
        <v>17</v>
      </c>
      <c r="P769" s="35">
        <f>SUMIFS(TablaSALIDA[CANT],TablaSALIDA[SKU],TablaSTOCKINV[[#This Row],[SKU]])</f>
        <v>0</v>
      </c>
      <c r="Q769" s="34">
        <f>_xlfn.XLOOKUP(TablaSTOCKINV[[#This Row],[SKU]],TablaINVENTARIO[SKU],TablaINVENTARIO[PRECIO])</f>
        <v>0</v>
      </c>
      <c r="R769" s="34">
        <f>TablaSTOCKINV[[#This Row],[P.UNITARIO]]*TablaSTOCKINV[[#This Row],[CANT. TOTAL]]</f>
        <v>0</v>
      </c>
      <c r="S769" s="44">
        <f>_xlfn.XLOOKUP(TablaSTOCKINV[[#This Row],[SKU]],TablaINVENTARIO[SKU],TablaINVENTARIO[FECHA INGRESO])</f>
        <v>46023</v>
      </c>
      <c r="T769" s="44">
        <f>_xlfn.XLOOKUP(TablaSTOCKINV[[#This Row],[SKU]],TablaENTRADA[SKU],TablaENTRADA[FECHA],,0,-1)</f>
        <v>46023</v>
      </c>
      <c r="U769" s="46" t="str">
        <f>IFERROR((_xlfn.XLOOKUP(TablaSTOCKINV[[#This Row],[SKU]],TablaSALIDA[SKU],TablaSALIDA[FECHA],,0,-1))," " )</f>
        <v xml:space="preserve"> </v>
      </c>
    </row>
    <row r="770" spans="1:21" x14ac:dyDescent="0.3">
      <c r="A770" s="27" t="s">
        <v>600</v>
      </c>
      <c r="B770" s="32" t="str">
        <f>_xlfn.XLOOKUP(TablaSTOCKINV[[#This Row],[SKU]],TablaINVENTARIO[SKU],TablaINVENTARIO[DESCRIPCION])</f>
        <v>PERNO 1/2" DE ACERO INOXIDABLE 140MM (SIN TUERCA)</v>
      </c>
      <c r="C770" s="32" t="str">
        <f>_xlfn.XLOOKUP(TablaSTOCKINV[[#This Row],[SKU]],TablaINVENTARIO[SKU],TablaINVENTARIO[MARCA])</f>
        <v>N/A</v>
      </c>
      <c r="D770" s="33" t="str">
        <f>_xlfn.XLOOKUP(TablaSTOCKINV[[#This Row],[SKU]],TablaINVENTARIO[SKU],TablaINVENTARIO[CATEGORIA])</f>
        <v>FABRICACION</v>
      </c>
      <c r="E770" s="33" t="str">
        <f>_xlfn.XLOOKUP(TablaSTOCKINV[[#This Row],[SKU]],TablaINVENTARIO[SKU],TablaINVENTARIO[SUBCATEGORIA])</f>
        <v>MATERIAL MECANICO</v>
      </c>
      <c r="F770" s="33" t="str">
        <f>_xlfn.XLOOKUP(TablaSTOCKINV[[#This Row],[SKU]],TablaINVENTARIO[SKU],TablaINVENTARIO[ESTADO])</f>
        <v xml:space="preserve">NUEVO </v>
      </c>
      <c r="G770" s="33" t="str">
        <f>_xlfn.XLOOKUP(TablaSTOCKINV[[#This Row],[SKU]],TablaINVENTARIO[SKU],TablaINVENTARIO[MEDIDA])</f>
        <v>UND</v>
      </c>
      <c r="H770" s="33" t="str">
        <f>_xlfn.XLOOKUP(TablaSTOCKINV[[#This Row],[SKU]],TablaINVENTARIO[SKU],TablaINVENTARIO[SERIAL])</f>
        <v>N/A</v>
      </c>
      <c r="I770" s="34" t="str">
        <f>_xlfn.XLOOKUP(TablaSTOCKINV[[#This Row],[SKU]],TablaINVENTARIO[SKU],TablaINVENTARIO[ALMACEN])</f>
        <v>ALMACEN PRINCIPAL</v>
      </c>
      <c r="J770" s="34" t="str">
        <f>_xlfn.XLOOKUP(TablaSTOCKINV[[#This Row],[SKU]],TablaINVENTARIO[SKU],TablaINVENTARIO[UBICACION])</f>
        <v>J4-2</v>
      </c>
      <c r="K770" s="34" t="str">
        <f>_xlfn.XLOOKUP(TablaSTOCKINV[[#This Row],[SKU]],TablaINVENTARIO[SKU],TablaINVENTARIO[DPTO RESPONSABLE])</f>
        <v xml:space="preserve">OPERACIONES </v>
      </c>
      <c r="L770" s="36">
        <f>_xlfn.XLOOKUP(TablaSTOCKINV[[#This Row],[SKU]],TablaINVENTARIO[SKU],TablaINVENTARIO[RANGO MIN])</f>
        <v>0</v>
      </c>
      <c r="M770" s="34" cm="1">
        <f t="array" ref="M770">_xlfn.IFS(TablaSTOCKINV[[#This Row],[CANT. TOTAL]]&lt;=0,1,TablaSTOCKINV[[#This Row],[CANT. TOTAL]]&lt;=TablaSTOCKINV[[#This Row],[MIN]],2,TablaSTOCKINV[[#This Row],[CANT. TOTAL]]&gt;TablaSTOCKINV[[#This Row],[MIN]],3)</f>
        <v>3</v>
      </c>
      <c r="N770" s="34">
        <f>TablaSTOCKINV[[#This Row],[ENTRADAS]]-TablaSTOCKINV[[#This Row],[SALIDAS]]</f>
        <v>19</v>
      </c>
      <c r="O770" s="35">
        <f>SUMIFS(TablaENTRADA[CANT],TablaENTRADA[SKU],TablaSTOCKINV[[#This Row],[SKU]])</f>
        <v>19</v>
      </c>
      <c r="P770" s="35">
        <f>SUMIFS(TablaSALIDA[CANT],TablaSALIDA[SKU],TablaSTOCKINV[[#This Row],[SKU]])</f>
        <v>0</v>
      </c>
      <c r="Q770" s="34">
        <f>_xlfn.XLOOKUP(TablaSTOCKINV[[#This Row],[SKU]],TablaINVENTARIO[SKU],TablaINVENTARIO[PRECIO])</f>
        <v>0</v>
      </c>
      <c r="R770" s="34">
        <f>TablaSTOCKINV[[#This Row],[P.UNITARIO]]*TablaSTOCKINV[[#This Row],[CANT. TOTAL]]</f>
        <v>0</v>
      </c>
      <c r="S770" s="44">
        <f>_xlfn.XLOOKUP(TablaSTOCKINV[[#This Row],[SKU]],TablaINVENTARIO[SKU],TablaINVENTARIO[FECHA INGRESO])</f>
        <v>46023</v>
      </c>
      <c r="T770" s="44">
        <f>_xlfn.XLOOKUP(TablaSTOCKINV[[#This Row],[SKU]],TablaENTRADA[SKU],TablaENTRADA[FECHA],,0,-1)</f>
        <v>46023</v>
      </c>
      <c r="U770" s="46" t="str">
        <f>IFERROR((_xlfn.XLOOKUP(TablaSTOCKINV[[#This Row],[SKU]],TablaSALIDA[SKU],TablaSALIDA[FECHA],,0,-1))," " )</f>
        <v xml:space="preserve"> </v>
      </c>
    </row>
    <row r="771" spans="1:21" x14ac:dyDescent="0.3">
      <c r="A771" s="27" t="s">
        <v>602</v>
      </c>
      <c r="B771" s="32" t="str">
        <f>_xlfn.XLOOKUP(TablaSTOCKINV[[#This Row],[SKU]],TablaINVENTARIO[SKU],TablaINVENTARIO[DESCRIPCION])</f>
        <v>PERNO 1/2" DE ACERO INOXIDABLE 120MM (SIN TUERCA)</v>
      </c>
      <c r="C771" s="32" t="str">
        <f>_xlfn.XLOOKUP(TablaSTOCKINV[[#This Row],[SKU]],TablaINVENTARIO[SKU],TablaINVENTARIO[MARCA])</f>
        <v>N/A</v>
      </c>
      <c r="D771" s="33" t="str">
        <f>_xlfn.XLOOKUP(TablaSTOCKINV[[#This Row],[SKU]],TablaINVENTARIO[SKU],TablaINVENTARIO[CATEGORIA])</f>
        <v>FABRICACION</v>
      </c>
      <c r="E771" s="33" t="str">
        <f>_xlfn.XLOOKUP(TablaSTOCKINV[[#This Row],[SKU]],TablaINVENTARIO[SKU],TablaINVENTARIO[SUBCATEGORIA])</f>
        <v>MATERIAL MECANICO</v>
      </c>
      <c r="F771" s="33" t="str">
        <f>_xlfn.XLOOKUP(TablaSTOCKINV[[#This Row],[SKU]],TablaINVENTARIO[SKU],TablaINVENTARIO[ESTADO])</f>
        <v xml:space="preserve">NUEVO </v>
      </c>
      <c r="G771" s="33" t="str">
        <f>_xlfn.XLOOKUP(TablaSTOCKINV[[#This Row],[SKU]],TablaINVENTARIO[SKU],TablaINVENTARIO[MEDIDA])</f>
        <v>UND</v>
      </c>
      <c r="H771" s="33" t="str">
        <f>_xlfn.XLOOKUP(TablaSTOCKINV[[#This Row],[SKU]],TablaINVENTARIO[SKU],TablaINVENTARIO[SERIAL])</f>
        <v>N/A</v>
      </c>
      <c r="I771" s="34" t="str">
        <f>_xlfn.XLOOKUP(TablaSTOCKINV[[#This Row],[SKU]],TablaINVENTARIO[SKU],TablaINVENTARIO[ALMACEN])</f>
        <v>ALMACEN PRINCIPAL</v>
      </c>
      <c r="J771" s="34" t="str">
        <f>_xlfn.XLOOKUP(TablaSTOCKINV[[#This Row],[SKU]],TablaINVENTARIO[SKU],TablaINVENTARIO[UBICACION])</f>
        <v>J4-2</v>
      </c>
      <c r="K771" s="34" t="str">
        <f>_xlfn.XLOOKUP(TablaSTOCKINV[[#This Row],[SKU]],TablaINVENTARIO[SKU],TablaINVENTARIO[DPTO RESPONSABLE])</f>
        <v xml:space="preserve">OPERACIONES </v>
      </c>
      <c r="L771" s="36">
        <f>_xlfn.XLOOKUP(TablaSTOCKINV[[#This Row],[SKU]],TablaINVENTARIO[SKU],TablaINVENTARIO[RANGO MIN])</f>
        <v>0</v>
      </c>
      <c r="M771" s="34" cm="1">
        <f t="array" ref="M771">_xlfn.IFS(TablaSTOCKINV[[#This Row],[CANT. TOTAL]]&lt;=0,1,TablaSTOCKINV[[#This Row],[CANT. TOTAL]]&lt;=TablaSTOCKINV[[#This Row],[MIN]],2,TablaSTOCKINV[[#This Row],[CANT. TOTAL]]&gt;TablaSTOCKINV[[#This Row],[MIN]],3)</f>
        <v>3</v>
      </c>
      <c r="N771" s="34">
        <f>TablaSTOCKINV[[#This Row],[ENTRADAS]]-TablaSTOCKINV[[#This Row],[SALIDAS]]</f>
        <v>16</v>
      </c>
      <c r="O771" s="35">
        <f>SUMIFS(TablaENTRADA[CANT],TablaENTRADA[SKU],TablaSTOCKINV[[#This Row],[SKU]])</f>
        <v>16</v>
      </c>
      <c r="P771" s="35">
        <f>SUMIFS(TablaSALIDA[CANT],TablaSALIDA[SKU],TablaSTOCKINV[[#This Row],[SKU]])</f>
        <v>0</v>
      </c>
      <c r="Q771" s="34">
        <f>_xlfn.XLOOKUP(TablaSTOCKINV[[#This Row],[SKU]],TablaINVENTARIO[SKU],TablaINVENTARIO[PRECIO])</f>
        <v>0</v>
      </c>
      <c r="R771" s="34">
        <f>TablaSTOCKINV[[#This Row],[P.UNITARIO]]*TablaSTOCKINV[[#This Row],[CANT. TOTAL]]</f>
        <v>0</v>
      </c>
      <c r="S771" s="44">
        <f>_xlfn.XLOOKUP(TablaSTOCKINV[[#This Row],[SKU]],TablaINVENTARIO[SKU],TablaINVENTARIO[FECHA INGRESO])</f>
        <v>46023</v>
      </c>
      <c r="T771" s="44">
        <f>_xlfn.XLOOKUP(TablaSTOCKINV[[#This Row],[SKU]],TablaENTRADA[SKU],TablaENTRADA[FECHA],,0,-1)</f>
        <v>46023</v>
      </c>
      <c r="U771" s="46" t="str">
        <f>IFERROR((_xlfn.XLOOKUP(TablaSTOCKINV[[#This Row],[SKU]],TablaSALIDA[SKU],TablaSALIDA[FECHA],,0,-1))," " )</f>
        <v xml:space="preserve"> </v>
      </c>
    </row>
    <row r="772" spans="1:21" x14ac:dyDescent="0.3">
      <c r="A772" s="27" t="s">
        <v>603</v>
      </c>
      <c r="B772" s="32" t="str">
        <f>_xlfn.XLOOKUP(TablaSTOCKINV[[#This Row],[SKU]],TablaINVENTARIO[SKU],TablaINVENTARIO[DESCRIPCION])</f>
        <v>PERNO 1/2" DE ACERO AL CARBON 150MM (SIN TUERCA)</v>
      </c>
      <c r="C772" s="32" t="str">
        <f>_xlfn.XLOOKUP(TablaSTOCKINV[[#This Row],[SKU]],TablaINVENTARIO[SKU],TablaINVENTARIO[MARCA])</f>
        <v>N/A</v>
      </c>
      <c r="D772" s="33" t="str">
        <f>_xlfn.XLOOKUP(TablaSTOCKINV[[#This Row],[SKU]],TablaINVENTARIO[SKU],TablaINVENTARIO[CATEGORIA])</f>
        <v>FABRICACION</v>
      </c>
      <c r="E772" s="33" t="str">
        <f>_xlfn.XLOOKUP(TablaSTOCKINV[[#This Row],[SKU]],TablaINVENTARIO[SKU],TablaINVENTARIO[SUBCATEGORIA])</f>
        <v>MATERIAL MECANICO</v>
      </c>
      <c r="F772" s="33" t="str">
        <f>_xlfn.XLOOKUP(TablaSTOCKINV[[#This Row],[SKU]],TablaINVENTARIO[SKU],TablaINVENTARIO[ESTADO])</f>
        <v xml:space="preserve">NUEVO </v>
      </c>
      <c r="G772" s="33" t="str">
        <f>_xlfn.XLOOKUP(TablaSTOCKINV[[#This Row],[SKU]],TablaINVENTARIO[SKU],TablaINVENTARIO[MEDIDA])</f>
        <v>UND</v>
      </c>
      <c r="H772" s="33" t="str">
        <f>_xlfn.XLOOKUP(TablaSTOCKINV[[#This Row],[SKU]],TablaINVENTARIO[SKU],TablaINVENTARIO[SERIAL])</f>
        <v>N/A</v>
      </c>
      <c r="I772" s="34" t="str">
        <f>_xlfn.XLOOKUP(TablaSTOCKINV[[#This Row],[SKU]],TablaINVENTARIO[SKU],TablaINVENTARIO[ALMACEN])</f>
        <v>ALMACEN PRINCIPAL</v>
      </c>
      <c r="J772" s="34" t="str">
        <f>_xlfn.XLOOKUP(TablaSTOCKINV[[#This Row],[SKU]],TablaINVENTARIO[SKU],TablaINVENTARIO[UBICACION])</f>
        <v>J4-2</v>
      </c>
      <c r="K772" s="34" t="str">
        <f>_xlfn.XLOOKUP(TablaSTOCKINV[[#This Row],[SKU]],TablaINVENTARIO[SKU],TablaINVENTARIO[DPTO RESPONSABLE])</f>
        <v xml:space="preserve">OPERACIONES </v>
      </c>
      <c r="L772" s="36">
        <f>_xlfn.XLOOKUP(TablaSTOCKINV[[#This Row],[SKU]],TablaINVENTARIO[SKU],TablaINVENTARIO[RANGO MIN])</f>
        <v>0</v>
      </c>
      <c r="M772" s="34" cm="1">
        <f t="array" ref="M772">_xlfn.IFS(TablaSTOCKINV[[#This Row],[CANT. TOTAL]]&lt;=0,1,TablaSTOCKINV[[#This Row],[CANT. TOTAL]]&lt;=TablaSTOCKINV[[#This Row],[MIN]],2,TablaSTOCKINV[[#This Row],[CANT. TOTAL]]&gt;TablaSTOCKINV[[#This Row],[MIN]],3)</f>
        <v>3</v>
      </c>
      <c r="N772" s="34">
        <f>TablaSTOCKINV[[#This Row],[ENTRADAS]]-TablaSTOCKINV[[#This Row],[SALIDAS]]</f>
        <v>2</v>
      </c>
      <c r="O772" s="35">
        <f>SUMIFS(TablaENTRADA[CANT],TablaENTRADA[SKU],TablaSTOCKINV[[#This Row],[SKU]])</f>
        <v>2</v>
      </c>
      <c r="P772" s="35">
        <f>SUMIFS(TablaSALIDA[CANT],TablaSALIDA[SKU],TablaSTOCKINV[[#This Row],[SKU]])</f>
        <v>0</v>
      </c>
      <c r="Q772" s="34">
        <f>_xlfn.XLOOKUP(TablaSTOCKINV[[#This Row],[SKU]],TablaINVENTARIO[SKU],TablaINVENTARIO[PRECIO])</f>
        <v>0</v>
      </c>
      <c r="R772" s="34">
        <f>TablaSTOCKINV[[#This Row],[P.UNITARIO]]*TablaSTOCKINV[[#This Row],[CANT. TOTAL]]</f>
        <v>0</v>
      </c>
      <c r="S772" s="44">
        <f>_xlfn.XLOOKUP(TablaSTOCKINV[[#This Row],[SKU]],TablaINVENTARIO[SKU],TablaINVENTARIO[FECHA INGRESO])</f>
        <v>46023</v>
      </c>
      <c r="T772" s="44">
        <f>_xlfn.XLOOKUP(TablaSTOCKINV[[#This Row],[SKU]],TablaENTRADA[SKU],TablaENTRADA[FECHA],,0,-1)</f>
        <v>46023</v>
      </c>
      <c r="U772" s="46" t="str">
        <f>IFERROR((_xlfn.XLOOKUP(TablaSTOCKINV[[#This Row],[SKU]],TablaSALIDA[SKU],TablaSALIDA[FECHA],,0,-1))," " )</f>
        <v xml:space="preserve"> </v>
      </c>
    </row>
    <row r="773" spans="1:21" x14ac:dyDescent="0.3">
      <c r="A773" s="27" t="s">
        <v>605</v>
      </c>
      <c r="B773" s="32" t="str">
        <f>_xlfn.XLOOKUP(TablaSTOCKINV[[#This Row],[SKU]],TablaINVENTARIO[SKU],TablaINVENTARIO[DESCRIPCION])</f>
        <v>PERNO 1/2" DE ACERO INOXIDABLE 160MM (SIN TUERCA)</v>
      </c>
      <c r="C773" s="32" t="str">
        <f>_xlfn.XLOOKUP(TablaSTOCKINV[[#This Row],[SKU]],TablaINVENTARIO[SKU],TablaINVENTARIO[MARCA])</f>
        <v>N/A</v>
      </c>
      <c r="D773" s="33" t="str">
        <f>_xlfn.XLOOKUP(TablaSTOCKINV[[#This Row],[SKU]],TablaINVENTARIO[SKU],TablaINVENTARIO[CATEGORIA])</f>
        <v>FABRICACION</v>
      </c>
      <c r="E773" s="33" t="str">
        <f>_xlfn.XLOOKUP(TablaSTOCKINV[[#This Row],[SKU]],TablaINVENTARIO[SKU],TablaINVENTARIO[SUBCATEGORIA])</f>
        <v>MATERIAL MECANICO</v>
      </c>
      <c r="F773" s="33" t="str">
        <f>_xlfn.XLOOKUP(TablaSTOCKINV[[#This Row],[SKU]],TablaINVENTARIO[SKU],TablaINVENTARIO[ESTADO])</f>
        <v xml:space="preserve">NUEVO </v>
      </c>
      <c r="G773" s="33" t="str">
        <f>_xlfn.XLOOKUP(TablaSTOCKINV[[#This Row],[SKU]],TablaINVENTARIO[SKU],TablaINVENTARIO[MEDIDA])</f>
        <v>UND</v>
      </c>
      <c r="H773" s="33" t="str">
        <f>_xlfn.XLOOKUP(TablaSTOCKINV[[#This Row],[SKU]],TablaINVENTARIO[SKU],TablaINVENTARIO[SERIAL])</f>
        <v>N/A</v>
      </c>
      <c r="I773" s="34" t="str">
        <f>_xlfn.XLOOKUP(TablaSTOCKINV[[#This Row],[SKU]],TablaINVENTARIO[SKU],TablaINVENTARIO[ALMACEN])</f>
        <v>ALMACEN PRINCIPAL</v>
      </c>
      <c r="J773" s="34" t="str">
        <f>_xlfn.XLOOKUP(TablaSTOCKINV[[#This Row],[SKU]],TablaINVENTARIO[SKU],TablaINVENTARIO[UBICACION])</f>
        <v>J4-2</v>
      </c>
      <c r="K773" s="34" t="str">
        <f>_xlfn.XLOOKUP(TablaSTOCKINV[[#This Row],[SKU]],TablaINVENTARIO[SKU],TablaINVENTARIO[DPTO RESPONSABLE])</f>
        <v xml:space="preserve">OPERACIONES </v>
      </c>
      <c r="L773" s="36">
        <f>_xlfn.XLOOKUP(TablaSTOCKINV[[#This Row],[SKU]],TablaINVENTARIO[SKU],TablaINVENTARIO[RANGO MIN])</f>
        <v>0</v>
      </c>
      <c r="M773" s="34" cm="1">
        <f t="array" ref="M773">_xlfn.IFS(TablaSTOCKINV[[#This Row],[CANT. TOTAL]]&lt;=0,1,TablaSTOCKINV[[#This Row],[CANT. TOTAL]]&lt;=TablaSTOCKINV[[#This Row],[MIN]],2,TablaSTOCKINV[[#This Row],[CANT. TOTAL]]&gt;TablaSTOCKINV[[#This Row],[MIN]],3)</f>
        <v>3</v>
      </c>
      <c r="N773" s="34">
        <f>TablaSTOCKINV[[#This Row],[ENTRADAS]]-TablaSTOCKINV[[#This Row],[SALIDAS]]</f>
        <v>8</v>
      </c>
      <c r="O773" s="35">
        <f>SUMIFS(TablaENTRADA[CANT],TablaENTRADA[SKU],TablaSTOCKINV[[#This Row],[SKU]])</f>
        <v>8</v>
      </c>
      <c r="P773" s="35">
        <f>SUMIFS(TablaSALIDA[CANT],TablaSALIDA[SKU],TablaSTOCKINV[[#This Row],[SKU]])</f>
        <v>0</v>
      </c>
      <c r="Q773" s="34">
        <f>_xlfn.XLOOKUP(TablaSTOCKINV[[#This Row],[SKU]],TablaINVENTARIO[SKU],TablaINVENTARIO[PRECIO])</f>
        <v>0</v>
      </c>
      <c r="R773" s="34">
        <f>TablaSTOCKINV[[#This Row],[P.UNITARIO]]*TablaSTOCKINV[[#This Row],[CANT. TOTAL]]</f>
        <v>0</v>
      </c>
      <c r="S773" s="44">
        <f>_xlfn.XLOOKUP(TablaSTOCKINV[[#This Row],[SKU]],TablaINVENTARIO[SKU],TablaINVENTARIO[FECHA INGRESO])</f>
        <v>46023</v>
      </c>
      <c r="T773" s="44">
        <f>_xlfn.XLOOKUP(TablaSTOCKINV[[#This Row],[SKU]],TablaENTRADA[SKU],TablaENTRADA[FECHA],,0,-1)</f>
        <v>46023</v>
      </c>
      <c r="U773" s="46" t="str">
        <f>IFERROR((_xlfn.XLOOKUP(TablaSTOCKINV[[#This Row],[SKU]],TablaSALIDA[SKU],TablaSALIDA[FECHA],,0,-1))," " )</f>
        <v xml:space="preserve"> </v>
      </c>
    </row>
    <row r="774" spans="1:21" x14ac:dyDescent="0.3">
      <c r="A774" s="27" t="s">
        <v>607</v>
      </c>
      <c r="B774" s="32" t="str">
        <f>_xlfn.XLOOKUP(TablaSTOCKINV[[#This Row],[SKU]],TablaINVENTARIO[SKU],TablaINVENTARIO[DESCRIPCION])</f>
        <v>PERNO 3/4" DE ACERO INOXIDABLE 153MM (SIN TUERCA)</v>
      </c>
      <c r="C774" s="32" t="str">
        <f>_xlfn.XLOOKUP(TablaSTOCKINV[[#This Row],[SKU]],TablaINVENTARIO[SKU],TablaINVENTARIO[MARCA])</f>
        <v>N/A</v>
      </c>
      <c r="D774" s="33" t="str">
        <f>_xlfn.XLOOKUP(TablaSTOCKINV[[#This Row],[SKU]],TablaINVENTARIO[SKU],TablaINVENTARIO[CATEGORIA])</f>
        <v>FABRICACION</v>
      </c>
      <c r="E774" s="33" t="str">
        <f>_xlfn.XLOOKUP(TablaSTOCKINV[[#This Row],[SKU]],TablaINVENTARIO[SKU],TablaINVENTARIO[SUBCATEGORIA])</f>
        <v>MATERIAL MECANICO</v>
      </c>
      <c r="F774" s="33" t="str">
        <f>_xlfn.XLOOKUP(TablaSTOCKINV[[#This Row],[SKU]],TablaINVENTARIO[SKU],TablaINVENTARIO[ESTADO])</f>
        <v xml:space="preserve">NUEVO </v>
      </c>
      <c r="G774" s="33" t="str">
        <f>_xlfn.XLOOKUP(TablaSTOCKINV[[#This Row],[SKU]],TablaINVENTARIO[SKU],TablaINVENTARIO[MEDIDA])</f>
        <v>UND</v>
      </c>
      <c r="H774" s="33" t="str">
        <f>_xlfn.XLOOKUP(TablaSTOCKINV[[#This Row],[SKU]],TablaINVENTARIO[SKU],TablaINVENTARIO[SERIAL])</f>
        <v>N/A</v>
      </c>
      <c r="I774" s="34" t="str">
        <f>_xlfn.XLOOKUP(TablaSTOCKINV[[#This Row],[SKU]],TablaINVENTARIO[SKU],TablaINVENTARIO[ALMACEN])</f>
        <v>ALMACEN PRINCIPAL</v>
      </c>
      <c r="J774" s="34" t="str">
        <f>_xlfn.XLOOKUP(TablaSTOCKINV[[#This Row],[SKU]],TablaINVENTARIO[SKU],TablaINVENTARIO[UBICACION])</f>
        <v>J4-2</v>
      </c>
      <c r="K774" s="34" t="str">
        <f>_xlfn.XLOOKUP(TablaSTOCKINV[[#This Row],[SKU]],TablaINVENTARIO[SKU],TablaINVENTARIO[DPTO RESPONSABLE])</f>
        <v xml:space="preserve">OPERACIONES </v>
      </c>
      <c r="L774" s="36">
        <f>_xlfn.XLOOKUP(TablaSTOCKINV[[#This Row],[SKU]],TablaINVENTARIO[SKU],TablaINVENTARIO[RANGO MIN])</f>
        <v>0</v>
      </c>
      <c r="M774" s="34" cm="1">
        <f t="array" ref="M774">_xlfn.IFS(TablaSTOCKINV[[#This Row],[CANT. TOTAL]]&lt;=0,1,TablaSTOCKINV[[#This Row],[CANT. TOTAL]]&lt;=TablaSTOCKINV[[#This Row],[MIN]],2,TablaSTOCKINV[[#This Row],[CANT. TOTAL]]&gt;TablaSTOCKINV[[#This Row],[MIN]],3)</f>
        <v>3</v>
      </c>
      <c r="N774" s="34">
        <f>TablaSTOCKINV[[#This Row],[ENTRADAS]]-TablaSTOCKINV[[#This Row],[SALIDAS]]</f>
        <v>385</v>
      </c>
      <c r="O774" s="35">
        <f>SUMIFS(TablaENTRADA[CANT],TablaENTRADA[SKU],TablaSTOCKINV[[#This Row],[SKU]])</f>
        <v>385</v>
      </c>
      <c r="P774" s="35">
        <f>SUMIFS(TablaSALIDA[CANT],TablaSALIDA[SKU],TablaSTOCKINV[[#This Row],[SKU]])</f>
        <v>0</v>
      </c>
      <c r="Q774" s="34">
        <f>_xlfn.XLOOKUP(TablaSTOCKINV[[#This Row],[SKU]],TablaINVENTARIO[SKU],TablaINVENTARIO[PRECIO])</f>
        <v>0</v>
      </c>
      <c r="R774" s="34">
        <f>TablaSTOCKINV[[#This Row],[P.UNITARIO]]*TablaSTOCKINV[[#This Row],[CANT. TOTAL]]</f>
        <v>0</v>
      </c>
      <c r="S774" s="44">
        <f>_xlfn.XLOOKUP(TablaSTOCKINV[[#This Row],[SKU]],TablaINVENTARIO[SKU],TablaINVENTARIO[FECHA INGRESO])</f>
        <v>46023</v>
      </c>
      <c r="T774" s="44">
        <f>_xlfn.XLOOKUP(TablaSTOCKINV[[#This Row],[SKU]],TablaENTRADA[SKU],TablaENTRADA[FECHA],,0,-1)</f>
        <v>46023</v>
      </c>
      <c r="U774" s="46" t="str">
        <f>IFERROR((_xlfn.XLOOKUP(TablaSTOCKINV[[#This Row],[SKU]],TablaSALIDA[SKU],TablaSALIDA[FECHA],,0,-1))," " )</f>
        <v xml:space="preserve"> </v>
      </c>
    </row>
    <row r="775" spans="1:21" x14ac:dyDescent="0.3">
      <c r="A775" s="27" t="s">
        <v>609</v>
      </c>
      <c r="B775" s="32" t="str">
        <f>_xlfn.XLOOKUP(TablaSTOCKINV[[#This Row],[SKU]],TablaINVENTARIO[SKU],TablaINVENTARIO[DESCRIPCION])</f>
        <v>PERNO 1/2" DE ACERO AL CARBON 249MM (SIN TUERCA)</v>
      </c>
      <c r="C775" s="32" t="str">
        <f>_xlfn.XLOOKUP(TablaSTOCKINV[[#This Row],[SKU]],TablaINVENTARIO[SKU],TablaINVENTARIO[MARCA])</f>
        <v>N/A</v>
      </c>
      <c r="D775" s="33" t="str">
        <f>_xlfn.XLOOKUP(TablaSTOCKINV[[#This Row],[SKU]],TablaINVENTARIO[SKU],TablaINVENTARIO[CATEGORIA])</f>
        <v>FABRICACION</v>
      </c>
      <c r="E775" s="33" t="str">
        <f>_xlfn.XLOOKUP(TablaSTOCKINV[[#This Row],[SKU]],TablaINVENTARIO[SKU],TablaINVENTARIO[SUBCATEGORIA])</f>
        <v>MATERIAL MECANICO</v>
      </c>
      <c r="F775" s="33" t="str">
        <f>_xlfn.XLOOKUP(TablaSTOCKINV[[#This Row],[SKU]],TablaINVENTARIO[SKU],TablaINVENTARIO[ESTADO])</f>
        <v xml:space="preserve">NUEVO </v>
      </c>
      <c r="G775" s="33" t="str">
        <f>_xlfn.XLOOKUP(TablaSTOCKINV[[#This Row],[SKU]],TablaINVENTARIO[SKU],TablaINVENTARIO[MEDIDA])</f>
        <v>UND</v>
      </c>
      <c r="H775" s="33" t="str">
        <f>_xlfn.XLOOKUP(TablaSTOCKINV[[#This Row],[SKU]],TablaINVENTARIO[SKU],TablaINVENTARIO[SERIAL])</f>
        <v>N/A</v>
      </c>
      <c r="I775" s="34" t="str">
        <f>_xlfn.XLOOKUP(TablaSTOCKINV[[#This Row],[SKU]],TablaINVENTARIO[SKU],TablaINVENTARIO[ALMACEN])</f>
        <v>ALMACEN PRINCIPAL</v>
      </c>
      <c r="J775" s="34" t="str">
        <f>_xlfn.XLOOKUP(TablaSTOCKINV[[#This Row],[SKU]],TablaINVENTARIO[SKU],TablaINVENTARIO[UBICACION])</f>
        <v>J4-2</v>
      </c>
      <c r="K775" s="34" t="str">
        <f>_xlfn.XLOOKUP(TablaSTOCKINV[[#This Row],[SKU]],TablaINVENTARIO[SKU],TablaINVENTARIO[DPTO RESPONSABLE])</f>
        <v xml:space="preserve">OPERACIONES </v>
      </c>
      <c r="L775" s="36">
        <f>_xlfn.XLOOKUP(TablaSTOCKINV[[#This Row],[SKU]],TablaINVENTARIO[SKU],TablaINVENTARIO[RANGO MIN])</f>
        <v>0</v>
      </c>
      <c r="M775" s="34" cm="1">
        <f t="array" ref="M775">_xlfn.IFS(TablaSTOCKINV[[#This Row],[CANT. TOTAL]]&lt;=0,1,TablaSTOCKINV[[#This Row],[CANT. TOTAL]]&lt;=TablaSTOCKINV[[#This Row],[MIN]],2,TablaSTOCKINV[[#This Row],[CANT. TOTAL]]&gt;TablaSTOCKINV[[#This Row],[MIN]],3)</f>
        <v>3</v>
      </c>
      <c r="N775" s="34">
        <f>TablaSTOCKINV[[#This Row],[ENTRADAS]]-TablaSTOCKINV[[#This Row],[SALIDAS]]</f>
        <v>21</v>
      </c>
      <c r="O775" s="35">
        <f>SUMIFS(TablaENTRADA[CANT],TablaENTRADA[SKU],TablaSTOCKINV[[#This Row],[SKU]])</f>
        <v>21</v>
      </c>
      <c r="P775" s="35">
        <f>SUMIFS(TablaSALIDA[CANT],TablaSALIDA[SKU],TablaSTOCKINV[[#This Row],[SKU]])</f>
        <v>0</v>
      </c>
      <c r="Q775" s="34">
        <f>_xlfn.XLOOKUP(TablaSTOCKINV[[#This Row],[SKU]],TablaINVENTARIO[SKU],TablaINVENTARIO[PRECIO])</f>
        <v>0</v>
      </c>
      <c r="R775" s="34">
        <f>TablaSTOCKINV[[#This Row],[P.UNITARIO]]*TablaSTOCKINV[[#This Row],[CANT. TOTAL]]</f>
        <v>0</v>
      </c>
      <c r="S775" s="44">
        <f>_xlfn.XLOOKUP(TablaSTOCKINV[[#This Row],[SKU]],TablaINVENTARIO[SKU],TablaINVENTARIO[FECHA INGRESO])</f>
        <v>46023</v>
      </c>
      <c r="T775" s="44">
        <f>_xlfn.XLOOKUP(TablaSTOCKINV[[#This Row],[SKU]],TablaENTRADA[SKU],TablaENTRADA[FECHA],,0,-1)</f>
        <v>46023</v>
      </c>
      <c r="U775" s="46" t="str">
        <f>IFERROR((_xlfn.XLOOKUP(TablaSTOCKINV[[#This Row],[SKU]],TablaSALIDA[SKU],TablaSALIDA[FECHA],,0,-1))," " )</f>
        <v xml:space="preserve"> </v>
      </c>
    </row>
    <row r="776" spans="1:21" x14ac:dyDescent="0.3">
      <c r="A776" s="27" t="s">
        <v>611</v>
      </c>
      <c r="B776" s="32" t="str">
        <f>_xlfn.XLOOKUP(TablaSTOCKINV[[#This Row],[SKU]],TablaINVENTARIO[SKU],TablaINVENTARIO[DESCRIPCION])</f>
        <v>PERNO 1/2" DE ACERO INOXIDABLE 140MM (CON TUERCA)</v>
      </c>
      <c r="C776" s="32" t="str">
        <f>_xlfn.XLOOKUP(TablaSTOCKINV[[#This Row],[SKU]],TablaINVENTARIO[SKU],TablaINVENTARIO[MARCA])</f>
        <v>N/A</v>
      </c>
      <c r="D776" s="33" t="str">
        <f>_xlfn.XLOOKUP(TablaSTOCKINV[[#This Row],[SKU]],TablaINVENTARIO[SKU],TablaINVENTARIO[CATEGORIA])</f>
        <v>FABRICACION</v>
      </c>
      <c r="E776" s="33" t="str">
        <f>_xlfn.XLOOKUP(TablaSTOCKINV[[#This Row],[SKU]],TablaINVENTARIO[SKU],TablaINVENTARIO[SUBCATEGORIA])</f>
        <v>MATERIAL MECANICO</v>
      </c>
      <c r="F776" s="33" t="str">
        <f>_xlfn.XLOOKUP(TablaSTOCKINV[[#This Row],[SKU]],TablaINVENTARIO[SKU],TablaINVENTARIO[ESTADO])</f>
        <v xml:space="preserve">NUEVO </v>
      </c>
      <c r="G776" s="33" t="str">
        <f>_xlfn.XLOOKUP(TablaSTOCKINV[[#This Row],[SKU]],TablaINVENTARIO[SKU],TablaINVENTARIO[MEDIDA])</f>
        <v>UND</v>
      </c>
      <c r="H776" s="33" t="str">
        <f>_xlfn.XLOOKUP(TablaSTOCKINV[[#This Row],[SKU]],TablaINVENTARIO[SKU],TablaINVENTARIO[SERIAL])</f>
        <v>N/A</v>
      </c>
      <c r="I776" s="34" t="str">
        <f>_xlfn.XLOOKUP(TablaSTOCKINV[[#This Row],[SKU]],TablaINVENTARIO[SKU],TablaINVENTARIO[ALMACEN])</f>
        <v>ALMACEN PRINCIPAL</v>
      </c>
      <c r="J776" s="34" t="str">
        <f>_xlfn.XLOOKUP(TablaSTOCKINV[[#This Row],[SKU]],TablaINVENTARIO[SKU],TablaINVENTARIO[UBICACION])</f>
        <v>J4-2</v>
      </c>
      <c r="K776" s="34" t="str">
        <f>_xlfn.XLOOKUP(TablaSTOCKINV[[#This Row],[SKU]],TablaINVENTARIO[SKU],TablaINVENTARIO[DPTO RESPONSABLE])</f>
        <v xml:space="preserve">OPERACIONES </v>
      </c>
      <c r="L776" s="36">
        <f>_xlfn.XLOOKUP(TablaSTOCKINV[[#This Row],[SKU]],TablaINVENTARIO[SKU],TablaINVENTARIO[RANGO MIN])</f>
        <v>0</v>
      </c>
      <c r="M776" s="34" cm="1">
        <f t="array" ref="M776">_xlfn.IFS(TablaSTOCKINV[[#This Row],[CANT. TOTAL]]&lt;=0,1,TablaSTOCKINV[[#This Row],[CANT. TOTAL]]&lt;=TablaSTOCKINV[[#This Row],[MIN]],2,TablaSTOCKINV[[#This Row],[CANT. TOTAL]]&gt;TablaSTOCKINV[[#This Row],[MIN]],3)</f>
        <v>3</v>
      </c>
      <c r="N776" s="34">
        <f>TablaSTOCKINV[[#This Row],[ENTRADAS]]-TablaSTOCKINV[[#This Row],[SALIDAS]]</f>
        <v>61</v>
      </c>
      <c r="O776" s="35">
        <f>SUMIFS(TablaENTRADA[CANT],TablaENTRADA[SKU],TablaSTOCKINV[[#This Row],[SKU]])</f>
        <v>61</v>
      </c>
      <c r="P776" s="35">
        <f>SUMIFS(TablaSALIDA[CANT],TablaSALIDA[SKU],TablaSTOCKINV[[#This Row],[SKU]])</f>
        <v>0</v>
      </c>
      <c r="Q776" s="34">
        <f>_xlfn.XLOOKUP(TablaSTOCKINV[[#This Row],[SKU]],TablaINVENTARIO[SKU],TablaINVENTARIO[PRECIO])</f>
        <v>0</v>
      </c>
      <c r="R776" s="34">
        <f>TablaSTOCKINV[[#This Row],[P.UNITARIO]]*TablaSTOCKINV[[#This Row],[CANT. TOTAL]]</f>
        <v>0</v>
      </c>
      <c r="S776" s="44">
        <f>_xlfn.XLOOKUP(TablaSTOCKINV[[#This Row],[SKU]],TablaINVENTARIO[SKU],TablaINVENTARIO[FECHA INGRESO])</f>
        <v>46023</v>
      </c>
      <c r="T776" s="44">
        <f>_xlfn.XLOOKUP(TablaSTOCKINV[[#This Row],[SKU]],TablaENTRADA[SKU],TablaENTRADA[FECHA],,0,-1)</f>
        <v>46023</v>
      </c>
      <c r="U776" s="46" t="str">
        <f>IFERROR((_xlfn.XLOOKUP(TablaSTOCKINV[[#This Row],[SKU]],TablaSALIDA[SKU],TablaSALIDA[FECHA],,0,-1))," " )</f>
        <v xml:space="preserve"> </v>
      </c>
    </row>
    <row r="777" spans="1:21" x14ac:dyDescent="0.3">
      <c r="A777" s="27" t="s">
        <v>613</v>
      </c>
      <c r="B777" s="32" t="str">
        <f>_xlfn.XLOOKUP(TablaSTOCKINV[[#This Row],[SKU]],TablaINVENTARIO[SKU],TablaINVENTARIO[DESCRIPCION])</f>
        <v>PERNO 1/2" DE ACERO INOXIDABLE 180MM (CON TUERCA)</v>
      </c>
      <c r="C777" s="32" t="str">
        <f>_xlfn.XLOOKUP(TablaSTOCKINV[[#This Row],[SKU]],TablaINVENTARIO[SKU],TablaINVENTARIO[MARCA])</f>
        <v>N/A</v>
      </c>
      <c r="D777" s="33" t="str">
        <f>_xlfn.XLOOKUP(TablaSTOCKINV[[#This Row],[SKU]],TablaINVENTARIO[SKU],TablaINVENTARIO[CATEGORIA])</f>
        <v>FABRICACION</v>
      </c>
      <c r="E777" s="33" t="str">
        <f>_xlfn.XLOOKUP(TablaSTOCKINV[[#This Row],[SKU]],TablaINVENTARIO[SKU],TablaINVENTARIO[SUBCATEGORIA])</f>
        <v>MATERIAL MECANICO</v>
      </c>
      <c r="F777" s="33" t="str">
        <f>_xlfn.XLOOKUP(TablaSTOCKINV[[#This Row],[SKU]],TablaINVENTARIO[SKU],TablaINVENTARIO[ESTADO])</f>
        <v xml:space="preserve">NUEVO </v>
      </c>
      <c r="G777" s="33" t="str">
        <f>_xlfn.XLOOKUP(TablaSTOCKINV[[#This Row],[SKU]],TablaINVENTARIO[SKU],TablaINVENTARIO[MEDIDA])</f>
        <v>UND</v>
      </c>
      <c r="H777" s="33" t="str">
        <f>_xlfn.XLOOKUP(TablaSTOCKINV[[#This Row],[SKU]],TablaINVENTARIO[SKU],TablaINVENTARIO[SERIAL])</f>
        <v>N/A</v>
      </c>
      <c r="I777" s="34" t="str">
        <f>_xlfn.XLOOKUP(TablaSTOCKINV[[#This Row],[SKU]],TablaINVENTARIO[SKU],TablaINVENTARIO[ALMACEN])</f>
        <v>ALMACEN PRINCIPAL</v>
      </c>
      <c r="J777" s="34" t="str">
        <f>_xlfn.XLOOKUP(TablaSTOCKINV[[#This Row],[SKU]],TablaINVENTARIO[SKU],TablaINVENTARIO[UBICACION])</f>
        <v>J4-2</v>
      </c>
      <c r="K777" s="34" t="str">
        <f>_xlfn.XLOOKUP(TablaSTOCKINV[[#This Row],[SKU]],TablaINVENTARIO[SKU],TablaINVENTARIO[DPTO RESPONSABLE])</f>
        <v xml:space="preserve">OPERACIONES </v>
      </c>
      <c r="L777" s="36">
        <f>_xlfn.XLOOKUP(TablaSTOCKINV[[#This Row],[SKU]],TablaINVENTARIO[SKU],TablaINVENTARIO[RANGO MIN])</f>
        <v>0</v>
      </c>
      <c r="M777" s="34" cm="1">
        <f t="array" ref="M777">_xlfn.IFS(TablaSTOCKINV[[#This Row],[CANT. TOTAL]]&lt;=0,1,TablaSTOCKINV[[#This Row],[CANT. TOTAL]]&lt;=TablaSTOCKINV[[#This Row],[MIN]],2,TablaSTOCKINV[[#This Row],[CANT. TOTAL]]&gt;TablaSTOCKINV[[#This Row],[MIN]],3)</f>
        <v>3</v>
      </c>
      <c r="N777" s="34">
        <f>TablaSTOCKINV[[#This Row],[ENTRADAS]]-TablaSTOCKINV[[#This Row],[SALIDAS]]</f>
        <v>13</v>
      </c>
      <c r="O777" s="35">
        <f>SUMIFS(TablaENTRADA[CANT],TablaENTRADA[SKU],TablaSTOCKINV[[#This Row],[SKU]])</f>
        <v>13</v>
      </c>
      <c r="P777" s="35">
        <f>SUMIFS(TablaSALIDA[CANT],TablaSALIDA[SKU],TablaSTOCKINV[[#This Row],[SKU]])</f>
        <v>0</v>
      </c>
      <c r="Q777" s="34">
        <f>_xlfn.XLOOKUP(TablaSTOCKINV[[#This Row],[SKU]],TablaINVENTARIO[SKU],TablaINVENTARIO[PRECIO])</f>
        <v>0</v>
      </c>
      <c r="R777" s="34">
        <f>TablaSTOCKINV[[#This Row],[P.UNITARIO]]*TablaSTOCKINV[[#This Row],[CANT. TOTAL]]</f>
        <v>0</v>
      </c>
      <c r="S777" s="44">
        <f>_xlfn.XLOOKUP(TablaSTOCKINV[[#This Row],[SKU]],TablaINVENTARIO[SKU],TablaINVENTARIO[FECHA INGRESO])</f>
        <v>46023</v>
      </c>
      <c r="T777" s="44">
        <f>_xlfn.XLOOKUP(TablaSTOCKINV[[#This Row],[SKU]],TablaENTRADA[SKU],TablaENTRADA[FECHA],,0,-1)</f>
        <v>46023</v>
      </c>
      <c r="U777" s="46" t="str">
        <f>IFERROR((_xlfn.XLOOKUP(TablaSTOCKINV[[#This Row],[SKU]],TablaSALIDA[SKU],TablaSALIDA[FECHA],,0,-1))," " )</f>
        <v xml:space="preserve"> </v>
      </c>
    </row>
    <row r="778" spans="1:21" x14ac:dyDescent="0.3">
      <c r="A778" s="27" t="s">
        <v>615</v>
      </c>
      <c r="B778" s="32" t="str">
        <f>_xlfn.XLOOKUP(TablaSTOCKINV[[#This Row],[SKU]],TablaINVENTARIO[SKU],TablaINVENTARIO[DESCRIPCION])</f>
        <v>PERNO 1/2" DE ACERO INOXIDABLE 110MM (SIN TUERCA)</v>
      </c>
      <c r="C778" s="32" t="str">
        <f>_xlfn.XLOOKUP(TablaSTOCKINV[[#This Row],[SKU]],TablaINVENTARIO[SKU],TablaINVENTARIO[MARCA])</f>
        <v>N/A</v>
      </c>
      <c r="D778" s="33" t="str">
        <f>_xlfn.XLOOKUP(TablaSTOCKINV[[#This Row],[SKU]],TablaINVENTARIO[SKU],TablaINVENTARIO[CATEGORIA])</f>
        <v>FABRICACION</v>
      </c>
      <c r="E778" s="33" t="str">
        <f>_xlfn.XLOOKUP(TablaSTOCKINV[[#This Row],[SKU]],TablaINVENTARIO[SKU],TablaINVENTARIO[SUBCATEGORIA])</f>
        <v>MATERIAL MECANICO</v>
      </c>
      <c r="F778" s="33" t="str">
        <f>_xlfn.XLOOKUP(TablaSTOCKINV[[#This Row],[SKU]],TablaINVENTARIO[SKU],TablaINVENTARIO[ESTADO])</f>
        <v xml:space="preserve">NUEVO </v>
      </c>
      <c r="G778" s="33" t="str">
        <f>_xlfn.XLOOKUP(TablaSTOCKINV[[#This Row],[SKU]],TablaINVENTARIO[SKU],TablaINVENTARIO[MEDIDA])</f>
        <v>UND</v>
      </c>
      <c r="H778" s="33" t="str">
        <f>_xlfn.XLOOKUP(TablaSTOCKINV[[#This Row],[SKU]],TablaINVENTARIO[SKU],TablaINVENTARIO[SERIAL])</f>
        <v>N/A</v>
      </c>
      <c r="I778" s="34" t="str">
        <f>_xlfn.XLOOKUP(TablaSTOCKINV[[#This Row],[SKU]],TablaINVENTARIO[SKU],TablaINVENTARIO[ALMACEN])</f>
        <v>ALMACEN PRINCIPAL</v>
      </c>
      <c r="J778" s="34" t="str">
        <f>_xlfn.XLOOKUP(TablaSTOCKINV[[#This Row],[SKU]],TablaINVENTARIO[SKU],TablaINVENTARIO[UBICACION])</f>
        <v>J4-2</v>
      </c>
      <c r="K778" s="34" t="str">
        <f>_xlfn.XLOOKUP(TablaSTOCKINV[[#This Row],[SKU]],TablaINVENTARIO[SKU],TablaINVENTARIO[DPTO RESPONSABLE])</f>
        <v xml:space="preserve">OPERACIONES </v>
      </c>
      <c r="L778" s="36">
        <f>_xlfn.XLOOKUP(TablaSTOCKINV[[#This Row],[SKU]],TablaINVENTARIO[SKU],TablaINVENTARIO[RANGO MIN])</f>
        <v>0</v>
      </c>
      <c r="M778" s="34" cm="1">
        <f t="array" ref="M778">_xlfn.IFS(TablaSTOCKINV[[#This Row],[CANT. TOTAL]]&lt;=0,1,TablaSTOCKINV[[#This Row],[CANT. TOTAL]]&lt;=TablaSTOCKINV[[#This Row],[MIN]],2,TablaSTOCKINV[[#This Row],[CANT. TOTAL]]&gt;TablaSTOCKINV[[#This Row],[MIN]],3)</f>
        <v>3</v>
      </c>
      <c r="N778" s="34">
        <f>TablaSTOCKINV[[#This Row],[ENTRADAS]]-TablaSTOCKINV[[#This Row],[SALIDAS]]</f>
        <v>21</v>
      </c>
      <c r="O778" s="35">
        <f>SUMIFS(TablaENTRADA[CANT],TablaENTRADA[SKU],TablaSTOCKINV[[#This Row],[SKU]])</f>
        <v>21</v>
      </c>
      <c r="P778" s="35">
        <f>SUMIFS(TablaSALIDA[CANT],TablaSALIDA[SKU],TablaSTOCKINV[[#This Row],[SKU]])</f>
        <v>0</v>
      </c>
      <c r="Q778" s="34">
        <f>_xlfn.XLOOKUP(TablaSTOCKINV[[#This Row],[SKU]],TablaINVENTARIO[SKU],TablaINVENTARIO[PRECIO])</f>
        <v>0</v>
      </c>
      <c r="R778" s="34">
        <f>TablaSTOCKINV[[#This Row],[P.UNITARIO]]*TablaSTOCKINV[[#This Row],[CANT. TOTAL]]</f>
        <v>0</v>
      </c>
      <c r="S778" s="44">
        <f>_xlfn.XLOOKUP(TablaSTOCKINV[[#This Row],[SKU]],TablaINVENTARIO[SKU],TablaINVENTARIO[FECHA INGRESO])</f>
        <v>46023</v>
      </c>
      <c r="T778" s="44">
        <f>_xlfn.XLOOKUP(TablaSTOCKINV[[#This Row],[SKU]],TablaENTRADA[SKU],TablaENTRADA[FECHA],,0,-1)</f>
        <v>46023</v>
      </c>
      <c r="U778" s="46" t="str">
        <f>IFERROR((_xlfn.XLOOKUP(TablaSTOCKINV[[#This Row],[SKU]],TablaSALIDA[SKU],TablaSALIDA[FECHA],,0,-1))," " )</f>
        <v xml:space="preserve"> </v>
      </c>
    </row>
    <row r="779" spans="1:21" x14ac:dyDescent="0.3">
      <c r="A779" s="27" t="s">
        <v>617</v>
      </c>
      <c r="B779" s="32" t="str">
        <f>_xlfn.XLOOKUP(TablaSTOCKINV[[#This Row],[SKU]],TablaINVENTARIO[SKU],TablaINVENTARIO[DESCRIPCION])</f>
        <v>PERNO 1/2" DE ACERO INOXIDABLE 170MM (SIN TUERCA)</v>
      </c>
      <c r="C779" s="32" t="str">
        <f>_xlfn.XLOOKUP(TablaSTOCKINV[[#This Row],[SKU]],TablaINVENTARIO[SKU],TablaINVENTARIO[MARCA])</f>
        <v>N/A</v>
      </c>
      <c r="D779" s="33" t="str">
        <f>_xlfn.XLOOKUP(TablaSTOCKINV[[#This Row],[SKU]],TablaINVENTARIO[SKU],TablaINVENTARIO[CATEGORIA])</f>
        <v>FABRICACION</v>
      </c>
      <c r="E779" s="33" t="str">
        <f>_xlfn.XLOOKUP(TablaSTOCKINV[[#This Row],[SKU]],TablaINVENTARIO[SKU],TablaINVENTARIO[SUBCATEGORIA])</f>
        <v>MATERIAL MECANICO</v>
      </c>
      <c r="F779" s="33" t="str">
        <f>_xlfn.XLOOKUP(TablaSTOCKINV[[#This Row],[SKU]],TablaINVENTARIO[SKU],TablaINVENTARIO[ESTADO])</f>
        <v xml:space="preserve">NUEVO </v>
      </c>
      <c r="G779" s="33" t="str">
        <f>_xlfn.XLOOKUP(TablaSTOCKINV[[#This Row],[SKU]],TablaINVENTARIO[SKU],TablaINVENTARIO[MEDIDA])</f>
        <v>UND</v>
      </c>
      <c r="H779" s="33" t="str">
        <f>_xlfn.XLOOKUP(TablaSTOCKINV[[#This Row],[SKU]],TablaINVENTARIO[SKU],TablaINVENTARIO[SERIAL])</f>
        <v>N/A</v>
      </c>
      <c r="I779" s="34" t="str">
        <f>_xlfn.XLOOKUP(TablaSTOCKINV[[#This Row],[SKU]],TablaINVENTARIO[SKU],TablaINVENTARIO[ALMACEN])</f>
        <v>ALMACEN PRINCIPAL</v>
      </c>
      <c r="J779" s="34" t="str">
        <f>_xlfn.XLOOKUP(TablaSTOCKINV[[#This Row],[SKU]],TablaINVENTARIO[SKU],TablaINVENTARIO[UBICACION])</f>
        <v>J4-2</v>
      </c>
      <c r="K779" s="34" t="str">
        <f>_xlfn.XLOOKUP(TablaSTOCKINV[[#This Row],[SKU]],TablaINVENTARIO[SKU],TablaINVENTARIO[DPTO RESPONSABLE])</f>
        <v xml:space="preserve">OPERACIONES </v>
      </c>
      <c r="L779" s="36">
        <f>_xlfn.XLOOKUP(TablaSTOCKINV[[#This Row],[SKU]],TablaINVENTARIO[SKU],TablaINVENTARIO[RANGO MIN])</f>
        <v>0</v>
      </c>
      <c r="M779" s="34" cm="1">
        <f t="array" ref="M779">_xlfn.IFS(TablaSTOCKINV[[#This Row],[CANT. TOTAL]]&lt;=0,1,TablaSTOCKINV[[#This Row],[CANT. TOTAL]]&lt;=TablaSTOCKINV[[#This Row],[MIN]],2,TablaSTOCKINV[[#This Row],[CANT. TOTAL]]&gt;TablaSTOCKINV[[#This Row],[MIN]],3)</f>
        <v>3</v>
      </c>
      <c r="N779" s="34">
        <f>TablaSTOCKINV[[#This Row],[ENTRADAS]]-TablaSTOCKINV[[#This Row],[SALIDAS]]</f>
        <v>9</v>
      </c>
      <c r="O779" s="35">
        <f>SUMIFS(TablaENTRADA[CANT],TablaENTRADA[SKU],TablaSTOCKINV[[#This Row],[SKU]])</f>
        <v>9</v>
      </c>
      <c r="P779" s="35">
        <f>SUMIFS(TablaSALIDA[CANT],TablaSALIDA[SKU],TablaSTOCKINV[[#This Row],[SKU]])</f>
        <v>0</v>
      </c>
      <c r="Q779" s="34">
        <f>_xlfn.XLOOKUP(TablaSTOCKINV[[#This Row],[SKU]],TablaINVENTARIO[SKU],TablaINVENTARIO[PRECIO])</f>
        <v>0</v>
      </c>
      <c r="R779" s="34">
        <f>TablaSTOCKINV[[#This Row],[P.UNITARIO]]*TablaSTOCKINV[[#This Row],[CANT. TOTAL]]</f>
        <v>0</v>
      </c>
      <c r="S779" s="44">
        <f>_xlfn.XLOOKUP(TablaSTOCKINV[[#This Row],[SKU]],TablaINVENTARIO[SKU],TablaINVENTARIO[FECHA INGRESO])</f>
        <v>46023</v>
      </c>
      <c r="T779" s="44">
        <f>_xlfn.XLOOKUP(TablaSTOCKINV[[#This Row],[SKU]],TablaENTRADA[SKU],TablaENTRADA[FECHA],,0,-1)</f>
        <v>46023</v>
      </c>
      <c r="U779" s="46" t="str">
        <f>IFERROR((_xlfn.XLOOKUP(TablaSTOCKINV[[#This Row],[SKU]],TablaSALIDA[SKU],TablaSALIDA[FECHA],,0,-1))," " )</f>
        <v xml:space="preserve"> </v>
      </c>
    </row>
    <row r="780" spans="1:21" x14ac:dyDescent="0.3">
      <c r="A780" s="27" t="s">
        <v>619</v>
      </c>
      <c r="B780" s="32" t="str">
        <f>_xlfn.XLOOKUP(TablaSTOCKINV[[#This Row],[SKU]],TablaINVENTARIO[SKU],TablaINVENTARIO[DESCRIPCION])</f>
        <v>PERNO 1/4" DE ACERO INOXIDABLE 160MM (CON TUERCA)</v>
      </c>
      <c r="C780" s="32" t="str">
        <f>_xlfn.XLOOKUP(TablaSTOCKINV[[#This Row],[SKU]],TablaINVENTARIO[SKU],TablaINVENTARIO[MARCA])</f>
        <v>N/A</v>
      </c>
      <c r="D780" s="33" t="str">
        <f>_xlfn.XLOOKUP(TablaSTOCKINV[[#This Row],[SKU]],TablaINVENTARIO[SKU],TablaINVENTARIO[CATEGORIA])</f>
        <v>FABRICACION</v>
      </c>
      <c r="E780" s="33" t="str">
        <f>_xlfn.XLOOKUP(TablaSTOCKINV[[#This Row],[SKU]],TablaINVENTARIO[SKU],TablaINVENTARIO[SUBCATEGORIA])</f>
        <v>MATERIAL MECANICO</v>
      </c>
      <c r="F780" s="33" t="str">
        <f>_xlfn.XLOOKUP(TablaSTOCKINV[[#This Row],[SKU]],TablaINVENTARIO[SKU],TablaINVENTARIO[ESTADO])</f>
        <v xml:space="preserve">NUEVO </v>
      </c>
      <c r="G780" s="33" t="str">
        <f>_xlfn.XLOOKUP(TablaSTOCKINV[[#This Row],[SKU]],TablaINVENTARIO[SKU],TablaINVENTARIO[MEDIDA])</f>
        <v>UND</v>
      </c>
      <c r="H780" s="33" t="str">
        <f>_xlfn.XLOOKUP(TablaSTOCKINV[[#This Row],[SKU]],TablaINVENTARIO[SKU],TablaINVENTARIO[SERIAL])</f>
        <v>N/A</v>
      </c>
      <c r="I780" s="34" t="str">
        <f>_xlfn.XLOOKUP(TablaSTOCKINV[[#This Row],[SKU]],TablaINVENTARIO[SKU],TablaINVENTARIO[ALMACEN])</f>
        <v>ALMACEN PRINCIPAL</v>
      </c>
      <c r="J780" s="34" t="str">
        <f>_xlfn.XLOOKUP(TablaSTOCKINV[[#This Row],[SKU]],TablaINVENTARIO[SKU],TablaINVENTARIO[UBICACION])</f>
        <v>J4-2</v>
      </c>
      <c r="K780" s="34" t="str">
        <f>_xlfn.XLOOKUP(TablaSTOCKINV[[#This Row],[SKU]],TablaINVENTARIO[SKU],TablaINVENTARIO[DPTO RESPONSABLE])</f>
        <v xml:space="preserve">OPERACIONES </v>
      </c>
      <c r="L780" s="36">
        <f>_xlfn.XLOOKUP(TablaSTOCKINV[[#This Row],[SKU]],TablaINVENTARIO[SKU],TablaINVENTARIO[RANGO MIN])</f>
        <v>0</v>
      </c>
      <c r="M780" s="34" cm="1">
        <f t="array" ref="M780">_xlfn.IFS(TablaSTOCKINV[[#This Row],[CANT. TOTAL]]&lt;=0,1,TablaSTOCKINV[[#This Row],[CANT. TOTAL]]&lt;=TablaSTOCKINV[[#This Row],[MIN]],2,TablaSTOCKINV[[#This Row],[CANT. TOTAL]]&gt;TablaSTOCKINV[[#This Row],[MIN]],3)</f>
        <v>3</v>
      </c>
      <c r="N780" s="34">
        <f>TablaSTOCKINV[[#This Row],[ENTRADAS]]-TablaSTOCKINV[[#This Row],[SALIDAS]]</f>
        <v>15</v>
      </c>
      <c r="O780" s="35">
        <f>SUMIFS(TablaENTRADA[CANT],TablaENTRADA[SKU],TablaSTOCKINV[[#This Row],[SKU]])</f>
        <v>15</v>
      </c>
      <c r="P780" s="35">
        <f>SUMIFS(TablaSALIDA[CANT],TablaSALIDA[SKU],TablaSTOCKINV[[#This Row],[SKU]])</f>
        <v>0</v>
      </c>
      <c r="Q780" s="34">
        <f>_xlfn.XLOOKUP(TablaSTOCKINV[[#This Row],[SKU]],TablaINVENTARIO[SKU],TablaINVENTARIO[PRECIO])</f>
        <v>0</v>
      </c>
      <c r="R780" s="34">
        <f>TablaSTOCKINV[[#This Row],[P.UNITARIO]]*TablaSTOCKINV[[#This Row],[CANT. TOTAL]]</f>
        <v>0</v>
      </c>
      <c r="S780" s="44">
        <f>_xlfn.XLOOKUP(TablaSTOCKINV[[#This Row],[SKU]],TablaINVENTARIO[SKU],TablaINVENTARIO[FECHA INGRESO])</f>
        <v>46023</v>
      </c>
      <c r="T780" s="44">
        <f>_xlfn.XLOOKUP(TablaSTOCKINV[[#This Row],[SKU]],TablaENTRADA[SKU],TablaENTRADA[FECHA],,0,-1)</f>
        <v>46023</v>
      </c>
      <c r="U780" s="46" t="str">
        <f>IFERROR((_xlfn.XLOOKUP(TablaSTOCKINV[[#This Row],[SKU]],TablaSALIDA[SKU],TablaSALIDA[FECHA],,0,-1))," " )</f>
        <v xml:space="preserve"> </v>
      </c>
    </row>
    <row r="781" spans="1:21" x14ac:dyDescent="0.3">
      <c r="A781" s="27" t="s">
        <v>621</v>
      </c>
      <c r="B781" s="32" t="str">
        <f>_xlfn.XLOOKUP(TablaSTOCKINV[[#This Row],[SKU]],TablaINVENTARIO[SKU],TablaINVENTARIO[DESCRIPCION])</f>
        <v>PERNO 1/4" DE ACERO AL CARBON 160MM (CON TUERCA)</v>
      </c>
      <c r="C781" s="32" t="str">
        <f>_xlfn.XLOOKUP(TablaSTOCKINV[[#This Row],[SKU]],TablaINVENTARIO[SKU],TablaINVENTARIO[MARCA])</f>
        <v>N/A</v>
      </c>
      <c r="D781" s="33" t="str">
        <f>_xlfn.XLOOKUP(TablaSTOCKINV[[#This Row],[SKU]],TablaINVENTARIO[SKU],TablaINVENTARIO[CATEGORIA])</f>
        <v>FABRICACION</v>
      </c>
      <c r="E781" s="33" t="str">
        <f>_xlfn.XLOOKUP(TablaSTOCKINV[[#This Row],[SKU]],TablaINVENTARIO[SKU],TablaINVENTARIO[SUBCATEGORIA])</f>
        <v>MATERIAL MECANICO</v>
      </c>
      <c r="F781" s="33" t="str">
        <f>_xlfn.XLOOKUP(TablaSTOCKINV[[#This Row],[SKU]],TablaINVENTARIO[SKU],TablaINVENTARIO[ESTADO])</f>
        <v xml:space="preserve">NUEVO </v>
      </c>
      <c r="G781" s="33" t="str">
        <f>_xlfn.XLOOKUP(TablaSTOCKINV[[#This Row],[SKU]],TablaINVENTARIO[SKU],TablaINVENTARIO[MEDIDA])</f>
        <v>UND</v>
      </c>
      <c r="H781" s="33" t="str">
        <f>_xlfn.XLOOKUP(TablaSTOCKINV[[#This Row],[SKU]],TablaINVENTARIO[SKU],TablaINVENTARIO[SERIAL])</f>
        <v>N/A</v>
      </c>
      <c r="I781" s="34" t="str">
        <f>_xlfn.XLOOKUP(TablaSTOCKINV[[#This Row],[SKU]],TablaINVENTARIO[SKU],TablaINVENTARIO[ALMACEN])</f>
        <v>ALMACEN PRINCIPAL</v>
      </c>
      <c r="J781" s="34" t="str">
        <f>_xlfn.XLOOKUP(TablaSTOCKINV[[#This Row],[SKU]],TablaINVENTARIO[SKU],TablaINVENTARIO[UBICACION])</f>
        <v>J4-2</v>
      </c>
      <c r="K781" s="34" t="str">
        <f>_xlfn.XLOOKUP(TablaSTOCKINV[[#This Row],[SKU]],TablaINVENTARIO[SKU],TablaINVENTARIO[DPTO RESPONSABLE])</f>
        <v xml:space="preserve">OPERACIONES </v>
      </c>
      <c r="L781" s="36">
        <f>_xlfn.XLOOKUP(TablaSTOCKINV[[#This Row],[SKU]],TablaINVENTARIO[SKU],TablaINVENTARIO[RANGO MIN])</f>
        <v>0</v>
      </c>
      <c r="M781" s="34" cm="1">
        <f t="array" ref="M781">_xlfn.IFS(TablaSTOCKINV[[#This Row],[CANT. TOTAL]]&lt;=0,1,TablaSTOCKINV[[#This Row],[CANT. TOTAL]]&lt;=TablaSTOCKINV[[#This Row],[MIN]],2,TablaSTOCKINV[[#This Row],[CANT. TOTAL]]&gt;TablaSTOCKINV[[#This Row],[MIN]],3)</f>
        <v>3</v>
      </c>
      <c r="N781" s="34">
        <f>TablaSTOCKINV[[#This Row],[ENTRADAS]]-TablaSTOCKINV[[#This Row],[SALIDAS]]</f>
        <v>2</v>
      </c>
      <c r="O781" s="35">
        <f>SUMIFS(TablaENTRADA[CANT],TablaENTRADA[SKU],TablaSTOCKINV[[#This Row],[SKU]])</f>
        <v>2</v>
      </c>
      <c r="P781" s="35">
        <f>SUMIFS(TablaSALIDA[CANT],TablaSALIDA[SKU],TablaSTOCKINV[[#This Row],[SKU]])</f>
        <v>0</v>
      </c>
      <c r="Q781" s="34">
        <f>_xlfn.XLOOKUP(TablaSTOCKINV[[#This Row],[SKU]],TablaINVENTARIO[SKU],TablaINVENTARIO[PRECIO])</f>
        <v>0</v>
      </c>
      <c r="R781" s="34">
        <f>TablaSTOCKINV[[#This Row],[P.UNITARIO]]*TablaSTOCKINV[[#This Row],[CANT. TOTAL]]</f>
        <v>0</v>
      </c>
      <c r="S781" s="44">
        <f>_xlfn.XLOOKUP(TablaSTOCKINV[[#This Row],[SKU]],TablaINVENTARIO[SKU],TablaINVENTARIO[FECHA INGRESO])</f>
        <v>46023</v>
      </c>
      <c r="T781" s="44">
        <f>_xlfn.XLOOKUP(TablaSTOCKINV[[#This Row],[SKU]],TablaENTRADA[SKU],TablaENTRADA[FECHA],,0,-1)</f>
        <v>46023</v>
      </c>
      <c r="U781" s="46" t="str">
        <f>IFERROR((_xlfn.XLOOKUP(TablaSTOCKINV[[#This Row],[SKU]],TablaSALIDA[SKU],TablaSALIDA[FECHA],,0,-1))," " )</f>
        <v xml:space="preserve"> </v>
      </c>
    </row>
    <row r="782" spans="1:21" x14ac:dyDescent="0.3">
      <c r="A782" s="27" t="s">
        <v>623</v>
      </c>
      <c r="B782" s="32" t="str">
        <f>_xlfn.XLOOKUP(TablaSTOCKINV[[#This Row],[SKU]],TablaINVENTARIO[SKU],TablaINVENTARIO[DESCRIPCION])</f>
        <v>PERNO 1/4" DE ACERO AL CARBON 200MM (CON TUERCA)</v>
      </c>
      <c r="C782" s="32" t="str">
        <f>_xlfn.XLOOKUP(TablaSTOCKINV[[#This Row],[SKU]],TablaINVENTARIO[SKU],TablaINVENTARIO[MARCA])</f>
        <v>N/A</v>
      </c>
      <c r="D782" s="33" t="str">
        <f>_xlfn.XLOOKUP(TablaSTOCKINV[[#This Row],[SKU]],TablaINVENTARIO[SKU],TablaINVENTARIO[CATEGORIA])</f>
        <v>FABRICACION</v>
      </c>
      <c r="E782" s="33" t="str">
        <f>_xlfn.XLOOKUP(TablaSTOCKINV[[#This Row],[SKU]],TablaINVENTARIO[SKU],TablaINVENTARIO[SUBCATEGORIA])</f>
        <v>MATERIAL MECANICO</v>
      </c>
      <c r="F782" s="33" t="str">
        <f>_xlfn.XLOOKUP(TablaSTOCKINV[[#This Row],[SKU]],TablaINVENTARIO[SKU],TablaINVENTARIO[ESTADO])</f>
        <v xml:space="preserve">NUEVO </v>
      </c>
      <c r="G782" s="33" t="str">
        <f>_xlfn.XLOOKUP(TablaSTOCKINV[[#This Row],[SKU]],TablaINVENTARIO[SKU],TablaINVENTARIO[MEDIDA])</f>
        <v>UND</v>
      </c>
      <c r="H782" s="33" t="str">
        <f>_xlfn.XLOOKUP(TablaSTOCKINV[[#This Row],[SKU]],TablaINVENTARIO[SKU],TablaINVENTARIO[SERIAL])</f>
        <v>N/A</v>
      </c>
      <c r="I782" s="34" t="str">
        <f>_xlfn.XLOOKUP(TablaSTOCKINV[[#This Row],[SKU]],TablaINVENTARIO[SKU],TablaINVENTARIO[ALMACEN])</f>
        <v>ALMACEN PRINCIPAL</v>
      </c>
      <c r="J782" s="34" t="str">
        <f>_xlfn.XLOOKUP(TablaSTOCKINV[[#This Row],[SKU]],TablaINVENTARIO[SKU],TablaINVENTARIO[UBICACION])</f>
        <v>J4-2</v>
      </c>
      <c r="K782" s="34" t="str">
        <f>_xlfn.XLOOKUP(TablaSTOCKINV[[#This Row],[SKU]],TablaINVENTARIO[SKU],TablaINVENTARIO[DPTO RESPONSABLE])</f>
        <v xml:space="preserve">OPERACIONES </v>
      </c>
      <c r="L782" s="36">
        <f>_xlfn.XLOOKUP(TablaSTOCKINV[[#This Row],[SKU]],TablaINVENTARIO[SKU],TablaINVENTARIO[RANGO MIN])</f>
        <v>0</v>
      </c>
      <c r="M782" s="34" cm="1">
        <f t="array" ref="M782">_xlfn.IFS(TablaSTOCKINV[[#This Row],[CANT. TOTAL]]&lt;=0,1,TablaSTOCKINV[[#This Row],[CANT. TOTAL]]&lt;=TablaSTOCKINV[[#This Row],[MIN]],2,TablaSTOCKINV[[#This Row],[CANT. TOTAL]]&gt;TablaSTOCKINV[[#This Row],[MIN]],3)</f>
        <v>3</v>
      </c>
      <c r="N782" s="34">
        <f>TablaSTOCKINV[[#This Row],[ENTRADAS]]-TablaSTOCKINV[[#This Row],[SALIDAS]]</f>
        <v>128</v>
      </c>
      <c r="O782" s="35">
        <f>SUMIFS(TablaENTRADA[CANT],TablaENTRADA[SKU],TablaSTOCKINV[[#This Row],[SKU]])</f>
        <v>128</v>
      </c>
      <c r="P782" s="35">
        <f>SUMIFS(TablaSALIDA[CANT],TablaSALIDA[SKU],TablaSTOCKINV[[#This Row],[SKU]])</f>
        <v>0</v>
      </c>
      <c r="Q782" s="34">
        <f>_xlfn.XLOOKUP(TablaSTOCKINV[[#This Row],[SKU]],TablaINVENTARIO[SKU],TablaINVENTARIO[PRECIO])</f>
        <v>0</v>
      </c>
      <c r="R782" s="34">
        <f>TablaSTOCKINV[[#This Row],[P.UNITARIO]]*TablaSTOCKINV[[#This Row],[CANT. TOTAL]]</f>
        <v>0</v>
      </c>
      <c r="S782" s="44">
        <f>_xlfn.XLOOKUP(TablaSTOCKINV[[#This Row],[SKU]],TablaINVENTARIO[SKU],TablaINVENTARIO[FECHA INGRESO])</f>
        <v>46023</v>
      </c>
      <c r="T782" s="44">
        <f>_xlfn.XLOOKUP(TablaSTOCKINV[[#This Row],[SKU]],TablaENTRADA[SKU],TablaENTRADA[FECHA],,0,-1)</f>
        <v>46023</v>
      </c>
      <c r="U782" s="46" t="str">
        <f>IFERROR((_xlfn.XLOOKUP(TablaSTOCKINV[[#This Row],[SKU]],TablaSALIDA[SKU],TablaSALIDA[FECHA],,0,-1))," " )</f>
        <v xml:space="preserve"> </v>
      </c>
    </row>
    <row r="783" spans="1:21" x14ac:dyDescent="0.3">
      <c r="A783" s="27" t="s">
        <v>625</v>
      </c>
      <c r="B783" s="32" t="str">
        <f>_xlfn.XLOOKUP(TablaSTOCKINV[[#This Row],[SKU]],TablaINVENTARIO[SKU],TablaINVENTARIO[DESCRIPCION])</f>
        <v>PERNO 1/4" DE ACERO INOXIDABLE 160MM (SIN TUERCA)</v>
      </c>
      <c r="C783" s="32" t="str">
        <f>_xlfn.XLOOKUP(TablaSTOCKINV[[#This Row],[SKU]],TablaINVENTARIO[SKU],TablaINVENTARIO[MARCA])</f>
        <v>N/A</v>
      </c>
      <c r="D783" s="33" t="str">
        <f>_xlfn.XLOOKUP(TablaSTOCKINV[[#This Row],[SKU]],TablaINVENTARIO[SKU],TablaINVENTARIO[CATEGORIA])</f>
        <v>FABRICACION</v>
      </c>
      <c r="E783" s="33" t="str">
        <f>_xlfn.XLOOKUP(TablaSTOCKINV[[#This Row],[SKU]],TablaINVENTARIO[SKU],TablaINVENTARIO[SUBCATEGORIA])</f>
        <v>MATERIAL MECANICO</v>
      </c>
      <c r="F783" s="33" t="str">
        <f>_xlfn.XLOOKUP(TablaSTOCKINV[[#This Row],[SKU]],TablaINVENTARIO[SKU],TablaINVENTARIO[ESTADO])</f>
        <v xml:space="preserve">NUEVO </v>
      </c>
      <c r="G783" s="33" t="str">
        <f>_xlfn.XLOOKUP(TablaSTOCKINV[[#This Row],[SKU]],TablaINVENTARIO[SKU],TablaINVENTARIO[MEDIDA])</f>
        <v>UND</v>
      </c>
      <c r="H783" s="33" t="str">
        <f>_xlfn.XLOOKUP(TablaSTOCKINV[[#This Row],[SKU]],TablaINVENTARIO[SKU],TablaINVENTARIO[SERIAL])</f>
        <v>N/A</v>
      </c>
      <c r="I783" s="34" t="str">
        <f>_xlfn.XLOOKUP(TablaSTOCKINV[[#This Row],[SKU]],TablaINVENTARIO[SKU],TablaINVENTARIO[ALMACEN])</f>
        <v>ALMACEN PRINCIPAL</v>
      </c>
      <c r="J783" s="34" t="str">
        <f>_xlfn.XLOOKUP(TablaSTOCKINV[[#This Row],[SKU]],TablaINVENTARIO[SKU],TablaINVENTARIO[UBICACION])</f>
        <v>J4-2</v>
      </c>
      <c r="K783" s="34" t="str">
        <f>_xlfn.XLOOKUP(TablaSTOCKINV[[#This Row],[SKU]],TablaINVENTARIO[SKU],TablaINVENTARIO[DPTO RESPONSABLE])</f>
        <v xml:space="preserve">OPERACIONES </v>
      </c>
      <c r="L783" s="36">
        <f>_xlfn.XLOOKUP(TablaSTOCKINV[[#This Row],[SKU]],TablaINVENTARIO[SKU],TablaINVENTARIO[RANGO MIN])</f>
        <v>0</v>
      </c>
      <c r="M783" s="34" cm="1">
        <f t="array" ref="M783">_xlfn.IFS(TablaSTOCKINV[[#This Row],[CANT. TOTAL]]&lt;=0,1,TablaSTOCKINV[[#This Row],[CANT. TOTAL]]&lt;=TablaSTOCKINV[[#This Row],[MIN]],2,TablaSTOCKINV[[#This Row],[CANT. TOTAL]]&gt;TablaSTOCKINV[[#This Row],[MIN]],3)</f>
        <v>3</v>
      </c>
      <c r="N783" s="34">
        <f>TablaSTOCKINV[[#This Row],[ENTRADAS]]-TablaSTOCKINV[[#This Row],[SALIDAS]]</f>
        <v>143</v>
      </c>
      <c r="O783" s="35">
        <f>SUMIFS(TablaENTRADA[CANT],TablaENTRADA[SKU],TablaSTOCKINV[[#This Row],[SKU]])</f>
        <v>143</v>
      </c>
      <c r="P783" s="35">
        <f>SUMIFS(TablaSALIDA[CANT],TablaSALIDA[SKU],TablaSTOCKINV[[#This Row],[SKU]])</f>
        <v>0</v>
      </c>
      <c r="Q783" s="34">
        <f>_xlfn.XLOOKUP(TablaSTOCKINV[[#This Row],[SKU]],TablaINVENTARIO[SKU],TablaINVENTARIO[PRECIO])</f>
        <v>0</v>
      </c>
      <c r="R783" s="34">
        <f>TablaSTOCKINV[[#This Row],[P.UNITARIO]]*TablaSTOCKINV[[#This Row],[CANT. TOTAL]]</f>
        <v>0</v>
      </c>
      <c r="S783" s="44">
        <f>_xlfn.XLOOKUP(TablaSTOCKINV[[#This Row],[SKU]],TablaINVENTARIO[SKU],TablaINVENTARIO[FECHA INGRESO])</f>
        <v>46023</v>
      </c>
      <c r="T783" s="44">
        <f>_xlfn.XLOOKUP(TablaSTOCKINV[[#This Row],[SKU]],TablaENTRADA[SKU],TablaENTRADA[FECHA],,0,-1)</f>
        <v>46023</v>
      </c>
      <c r="U783" s="46" t="str">
        <f>IFERROR((_xlfn.XLOOKUP(TablaSTOCKINV[[#This Row],[SKU]],TablaSALIDA[SKU],TablaSALIDA[FECHA],,0,-1))," " )</f>
        <v xml:space="preserve"> </v>
      </c>
    </row>
    <row r="784" spans="1:21" x14ac:dyDescent="0.3">
      <c r="A784" s="27" t="s">
        <v>627</v>
      </c>
      <c r="B784" s="32" t="str">
        <f>_xlfn.XLOOKUP(TablaSTOCKINV[[#This Row],[SKU]],TablaINVENTARIO[SKU],TablaINVENTARIO[DESCRIPCION])</f>
        <v>PERNO 1/2" DE ACERO AL CARBON 240MM (SIN TUERCA)</v>
      </c>
      <c r="C784" s="32" t="str">
        <f>_xlfn.XLOOKUP(TablaSTOCKINV[[#This Row],[SKU]],TablaINVENTARIO[SKU],TablaINVENTARIO[MARCA])</f>
        <v>N/A</v>
      </c>
      <c r="D784" s="33" t="str">
        <f>_xlfn.XLOOKUP(TablaSTOCKINV[[#This Row],[SKU]],TablaINVENTARIO[SKU],TablaINVENTARIO[CATEGORIA])</f>
        <v>FABRICACION</v>
      </c>
      <c r="E784" s="33" t="str">
        <f>_xlfn.XLOOKUP(TablaSTOCKINV[[#This Row],[SKU]],TablaINVENTARIO[SKU],TablaINVENTARIO[SUBCATEGORIA])</f>
        <v>MATERIAL MECANICO</v>
      </c>
      <c r="F784" s="33" t="str">
        <f>_xlfn.XLOOKUP(TablaSTOCKINV[[#This Row],[SKU]],TablaINVENTARIO[SKU],TablaINVENTARIO[ESTADO])</f>
        <v xml:space="preserve">NUEVO </v>
      </c>
      <c r="G784" s="33" t="str">
        <f>_xlfn.XLOOKUP(TablaSTOCKINV[[#This Row],[SKU]],TablaINVENTARIO[SKU],TablaINVENTARIO[MEDIDA])</f>
        <v>UND</v>
      </c>
      <c r="H784" s="33" t="str">
        <f>_xlfn.XLOOKUP(TablaSTOCKINV[[#This Row],[SKU]],TablaINVENTARIO[SKU],TablaINVENTARIO[SERIAL])</f>
        <v>N/A</v>
      </c>
      <c r="I784" s="34" t="str">
        <f>_xlfn.XLOOKUP(TablaSTOCKINV[[#This Row],[SKU]],TablaINVENTARIO[SKU],TablaINVENTARIO[ALMACEN])</f>
        <v>ALMACEN PRINCIPAL</v>
      </c>
      <c r="J784" s="34" t="str">
        <f>_xlfn.XLOOKUP(TablaSTOCKINV[[#This Row],[SKU]],TablaINVENTARIO[SKU],TablaINVENTARIO[UBICACION])</f>
        <v>J4-2</v>
      </c>
      <c r="K784" s="34" t="str">
        <f>_xlfn.XLOOKUP(TablaSTOCKINV[[#This Row],[SKU]],TablaINVENTARIO[SKU],TablaINVENTARIO[DPTO RESPONSABLE])</f>
        <v xml:space="preserve">OPERACIONES </v>
      </c>
      <c r="L784" s="36">
        <f>_xlfn.XLOOKUP(TablaSTOCKINV[[#This Row],[SKU]],TablaINVENTARIO[SKU],TablaINVENTARIO[RANGO MIN])</f>
        <v>0</v>
      </c>
      <c r="M784" s="34" cm="1">
        <f t="array" ref="M784">_xlfn.IFS(TablaSTOCKINV[[#This Row],[CANT. TOTAL]]&lt;=0,1,TablaSTOCKINV[[#This Row],[CANT. TOTAL]]&lt;=TablaSTOCKINV[[#This Row],[MIN]],2,TablaSTOCKINV[[#This Row],[CANT. TOTAL]]&gt;TablaSTOCKINV[[#This Row],[MIN]],3)</f>
        <v>3</v>
      </c>
      <c r="N784" s="34">
        <f>TablaSTOCKINV[[#This Row],[ENTRADAS]]-TablaSTOCKINV[[#This Row],[SALIDAS]]</f>
        <v>23</v>
      </c>
      <c r="O784" s="35">
        <f>SUMIFS(TablaENTRADA[CANT],TablaENTRADA[SKU],TablaSTOCKINV[[#This Row],[SKU]])</f>
        <v>23</v>
      </c>
      <c r="P784" s="35">
        <f>SUMIFS(TablaSALIDA[CANT],TablaSALIDA[SKU],TablaSTOCKINV[[#This Row],[SKU]])</f>
        <v>0</v>
      </c>
      <c r="Q784" s="34">
        <f>_xlfn.XLOOKUP(TablaSTOCKINV[[#This Row],[SKU]],TablaINVENTARIO[SKU],TablaINVENTARIO[PRECIO])</f>
        <v>0</v>
      </c>
      <c r="R784" s="34">
        <f>TablaSTOCKINV[[#This Row],[P.UNITARIO]]*TablaSTOCKINV[[#This Row],[CANT. TOTAL]]</f>
        <v>0</v>
      </c>
      <c r="S784" s="44">
        <f>_xlfn.XLOOKUP(TablaSTOCKINV[[#This Row],[SKU]],TablaINVENTARIO[SKU],TablaINVENTARIO[FECHA INGRESO])</f>
        <v>46023</v>
      </c>
      <c r="T784" s="44">
        <f>_xlfn.XLOOKUP(TablaSTOCKINV[[#This Row],[SKU]],TablaENTRADA[SKU],TablaENTRADA[FECHA],,0,-1)</f>
        <v>46023</v>
      </c>
      <c r="U784" s="46" t="str">
        <f>IFERROR((_xlfn.XLOOKUP(TablaSTOCKINV[[#This Row],[SKU]],TablaSALIDA[SKU],TablaSALIDA[FECHA],,0,-1))," " )</f>
        <v xml:space="preserve"> </v>
      </c>
    </row>
    <row r="785" spans="1:21" x14ac:dyDescent="0.3">
      <c r="A785" s="27" t="s">
        <v>629</v>
      </c>
      <c r="B785" s="32" t="str">
        <f>_xlfn.XLOOKUP(TablaSTOCKINV[[#This Row],[SKU]],TablaINVENTARIO[SKU],TablaINVENTARIO[DESCRIPCION])</f>
        <v xml:space="preserve">TORNILLO 1/2" X 5" ACERO INOXIDABLE </v>
      </c>
      <c r="C785" s="32" t="str">
        <f>_xlfn.XLOOKUP(TablaSTOCKINV[[#This Row],[SKU]],TablaINVENTARIO[SKU],TablaINVENTARIO[MARCA])</f>
        <v>N/A</v>
      </c>
      <c r="D785" s="33" t="str">
        <f>_xlfn.XLOOKUP(TablaSTOCKINV[[#This Row],[SKU]],TablaINVENTARIO[SKU],TablaINVENTARIO[CATEGORIA])</f>
        <v>FABRICACION</v>
      </c>
      <c r="E785" s="33" t="str">
        <f>_xlfn.XLOOKUP(TablaSTOCKINV[[#This Row],[SKU]],TablaINVENTARIO[SKU],TablaINVENTARIO[SUBCATEGORIA])</f>
        <v>MATERIAL MECANICO</v>
      </c>
      <c r="F785" s="33" t="str">
        <f>_xlfn.XLOOKUP(TablaSTOCKINV[[#This Row],[SKU]],TablaINVENTARIO[SKU],TablaINVENTARIO[ESTADO])</f>
        <v>USADO</v>
      </c>
      <c r="G785" s="33" t="str">
        <f>_xlfn.XLOOKUP(TablaSTOCKINV[[#This Row],[SKU]],TablaINVENTARIO[SKU],TablaINVENTARIO[MEDIDA])</f>
        <v>UND</v>
      </c>
      <c r="H785" s="33" t="str">
        <f>_xlfn.XLOOKUP(TablaSTOCKINV[[#This Row],[SKU]],TablaINVENTARIO[SKU],TablaINVENTARIO[SERIAL])</f>
        <v>N/A</v>
      </c>
      <c r="I785" s="34" t="str">
        <f>_xlfn.XLOOKUP(TablaSTOCKINV[[#This Row],[SKU]],TablaINVENTARIO[SKU],TablaINVENTARIO[ALMACEN])</f>
        <v>ALMACEN PRINCIPAL</v>
      </c>
      <c r="J785" s="34" t="str">
        <f>_xlfn.XLOOKUP(TablaSTOCKINV[[#This Row],[SKU]],TablaINVENTARIO[SKU],TablaINVENTARIO[UBICACION])</f>
        <v>J3-1</v>
      </c>
      <c r="K785" s="34" t="str">
        <f>_xlfn.XLOOKUP(TablaSTOCKINV[[#This Row],[SKU]],TablaINVENTARIO[SKU],TablaINVENTARIO[DPTO RESPONSABLE])</f>
        <v xml:space="preserve">OPERACIONES </v>
      </c>
      <c r="L785" s="36">
        <f>_xlfn.XLOOKUP(TablaSTOCKINV[[#This Row],[SKU]],TablaINVENTARIO[SKU],TablaINVENTARIO[RANGO MIN])</f>
        <v>0</v>
      </c>
      <c r="M785" s="34" cm="1">
        <f t="array" ref="M785">_xlfn.IFS(TablaSTOCKINV[[#This Row],[CANT. TOTAL]]&lt;=0,1,TablaSTOCKINV[[#This Row],[CANT. TOTAL]]&lt;=TablaSTOCKINV[[#This Row],[MIN]],2,TablaSTOCKINV[[#This Row],[CANT. TOTAL]]&gt;TablaSTOCKINV[[#This Row],[MIN]],3)</f>
        <v>3</v>
      </c>
      <c r="N785" s="34">
        <f>TablaSTOCKINV[[#This Row],[ENTRADAS]]-TablaSTOCKINV[[#This Row],[SALIDAS]]</f>
        <v>58</v>
      </c>
      <c r="O785" s="35">
        <f>SUMIFS(TablaENTRADA[CANT],TablaENTRADA[SKU],TablaSTOCKINV[[#This Row],[SKU]])</f>
        <v>58</v>
      </c>
      <c r="P785" s="35">
        <f>SUMIFS(TablaSALIDA[CANT],TablaSALIDA[SKU],TablaSTOCKINV[[#This Row],[SKU]])</f>
        <v>0</v>
      </c>
      <c r="Q785" s="34">
        <f>_xlfn.XLOOKUP(TablaSTOCKINV[[#This Row],[SKU]],TablaINVENTARIO[SKU],TablaINVENTARIO[PRECIO])</f>
        <v>0</v>
      </c>
      <c r="R785" s="34">
        <f>TablaSTOCKINV[[#This Row],[P.UNITARIO]]*TablaSTOCKINV[[#This Row],[CANT. TOTAL]]</f>
        <v>0</v>
      </c>
      <c r="S785" s="44">
        <f>_xlfn.XLOOKUP(TablaSTOCKINV[[#This Row],[SKU]],TablaINVENTARIO[SKU],TablaINVENTARIO[FECHA INGRESO])</f>
        <v>46023</v>
      </c>
      <c r="T785" s="44">
        <f>_xlfn.XLOOKUP(TablaSTOCKINV[[#This Row],[SKU]],TablaENTRADA[SKU],TablaENTRADA[FECHA],,0,-1)</f>
        <v>46023</v>
      </c>
      <c r="U785" s="46" t="str">
        <f>IFERROR((_xlfn.XLOOKUP(TablaSTOCKINV[[#This Row],[SKU]],TablaSALIDA[SKU],TablaSALIDA[FECHA],,0,-1))," " )</f>
        <v xml:space="preserve"> </v>
      </c>
    </row>
    <row r="786" spans="1:21" x14ac:dyDescent="0.3">
      <c r="A786" s="27" t="s">
        <v>632</v>
      </c>
      <c r="B786" s="32" t="str">
        <f>_xlfn.XLOOKUP(TablaSTOCKINV[[#This Row],[SKU]],TablaINVENTARIO[SKU],TablaINVENTARIO[DESCRIPCION])</f>
        <v xml:space="preserve">TORNILLO 5/8" X 2" DE ACERO INOXIDABLE </v>
      </c>
      <c r="C786" s="32" t="str">
        <f>_xlfn.XLOOKUP(TablaSTOCKINV[[#This Row],[SKU]],TablaINVENTARIO[SKU],TablaINVENTARIO[MARCA])</f>
        <v>N/A</v>
      </c>
      <c r="D786" s="33" t="str">
        <f>_xlfn.XLOOKUP(TablaSTOCKINV[[#This Row],[SKU]],TablaINVENTARIO[SKU],TablaINVENTARIO[CATEGORIA])</f>
        <v>FABRICACION</v>
      </c>
      <c r="E786" s="33" t="str">
        <f>_xlfn.XLOOKUP(TablaSTOCKINV[[#This Row],[SKU]],TablaINVENTARIO[SKU],TablaINVENTARIO[SUBCATEGORIA])</f>
        <v>MATERIAL MECANICO</v>
      </c>
      <c r="F786" s="33" t="str">
        <f>_xlfn.XLOOKUP(TablaSTOCKINV[[#This Row],[SKU]],TablaINVENTARIO[SKU],TablaINVENTARIO[ESTADO])</f>
        <v>USADO</v>
      </c>
      <c r="G786" s="33" t="str">
        <f>_xlfn.XLOOKUP(TablaSTOCKINV[[#This Row],[SKU]],TablaINVENTARIO[SKU],TablaINVENTARIO[MEDIDA])</f>
        <v>UND</v>
      </c>
      <c r="H786" s="33" t="str">
        <f>_xlfn.XLOOKUP(TablaSTOCKINV[[#This Row],[SKU]],TablaINVENTARIO[SKU],TablaINVENTARIO[SERIAL])</f>
        <v>N/A</v>
      </c>
      <c r="I786" s="34" t="str">
        <f>_xlfn.XLOOKUP(TablaSTOCKINV[[#This Row],[SKU]],TablaINVENTARIO[SKU],TablaINVENTARIO[ALMACEN])</f>
        <v>ALMACEN PRINCIPAL</v>
      </c>
      <c r="J786" s="34" t="str">
        <f>_xlfn.XLOOKUP(TablaSTOCKINV[[#This Row],[SKU]],TablaINVENTARIO[SKU],TablaINVENTARIO[UBICACION])</f>
        <v>J3-1</v>
      </c>
      <c r="K786" s="34" t="str">
        <f>_xlfn.XLOOKUP(TablaSTOCKINV[[#This Row],[SKU]],TablaINVENTARIO[SKU],TablaINVENTARIO[DPTO RESPONSABLE])</f>
        <v xml:space="preserve">OPERACIONES </v>
      </c>
      <c r="L786" s="36">
        <f>_xlfn.XLOOKUP(TablaSTOCKINV[[#This Row],[SKU]],TablaINVENTARIO[SKU],TablaINVENTARIO[RANGO MIN])</f>
        <v>0</v>
      </c>
      <c r="M786" s="34" cm="1">
        <f t="array" ref="M786">_xlfn.IFS(TablaSTOCKINV[[#This Row],[CANT. TOTAL]]&lt;=0,1,TablaSTOCKINV[[#This Row],[CANT. TOTAL]]&lt;=TablaSTOCKINV[[#This Row],[MIN]],2,TablaSTOCKINV[[#This Row],[CANT. TOTAL]]&gt;TablaSTOCKINV[[#This Row],[MIN]],3)</f>
        <v>3</v>
      </c>
      <c r="N786" s="34">
        <f>TablaSTOCKINV[[#This Row],[ENTRADAS]]-TablaSTOCKINV[[#This Row],[SALIDAS]]</f>
        <v>6</v>
      </c>
      <c r="O786" s="35">
        <f>SUMIFS(TablaENTRADA[CANT],TablaENTRADA[SKU],TablaSTOCKINV[[#This Row],[SKU]])</f>
        <v>6</v>
      </c>
      <c r="P786" s="35">
        <f>SUMIFS(TablaSALIDA[CANT],TablaSALIDA[SKU],TablaSTOCKINV[[#This Row],[SKU]])</f>
        <v>0</v>
      </c>
      <c r="Q786" s="34">
        <f>_xlfn.XLOOKUP(TablaSTOCKINV[[#This Row],[SKU]],TablaINVENTARIO[SKU],TablaINVENTARIO[PRECIO])</f>
        <v>0</v>
      </c>
      <c r="R786" s="34">
        <f>TablaSTOCKINV[[#This Row],[P.UNITARIO]]*TablaSTOCKINV[[#This Row],[CANT. TOTAL]]</f>
        <v>0</v>
      </c>
      <c r="S786" s="44">
        <f>_xlfn.XLOOKUP(TablaSTOCKINV[[#This Row],[SKU]],TablaINVENTARIO[SKU],TablaINVENTARIO[FECHA INGRESO])</f>
        <v>46023</v>
      </c>
      <c r="T786" s="44">
        <f>_xlfn.XLOOKUP(TablaSTOCKINV[[#This Row],[SKU]],TablaENTRADA[SKU],TablaENTRADA[FECHA],,0,-1)</f>
        <v>46023</v>
      </c>
      <c r="U786" s="46" t="str">
        <f>IFERROR((_xlfn.XLOOKUP(TablaSTOCKINV[[#This Row],[SKU]],TablaSALIDA[SKU],TablaSALIDA[FECHA],,0,-1))," " )</f>
        <v xml:space="preserve"> </v>
      </c>
    </row>
    <row r="787" spans="1:21" x14ac:dyDescent="0.3">
      <c r="A787" s="27" t="s">
        <v>634</v>
      </c>
      <c r="B787" s="32" t="str">
        <f>_xlfn.XLOOKUP(TablaSTOCKINV[[#This Row],[SKU]],TablaINVENTARIO[SKU],TablaINVENTARIO[DESCRIPCION])</f>
        <v xml:space="preserve">TORNILLO 3/4" X 2" DE ACERO INOXIDABLE </v>
      </c>
      <c r="C787" s="32" t="str">
        <f>_xlfn.XLOOKUP(TablaSTOCKINV[[#This Row],[SKU]],TablaINVENTARIO[SKU],TablaINVENTARIO[MARCA])</f>
        <v>N/A</v>
      </c>
      <c r="D787" s="33" t="str">
        <f>_xlfn.XLOOKUP(TablaSTOCKINV[[#This Row],[SKU]],TablaINVENTARIO[SKU],TablaINVENTARIO[CATEGORIA])</f>
        <v>FABRICACION</v>
      </c>
      <c r="E787" s="33" t="str">
        <f>_xlfn.XLOOKUP(TablaSTOCKINV[[#This Row],[SKU]],TablaINVENTARIO[SKU],TablaINVENTARIO[SUBCATEGORIA])</f>
        <v>MATERIAL MECANICO</v>
      </c>
      <c r="F787" s="33" t="str">
        <f>_xlfn.XLOOKUP(TablaSTOCKINV[[#This Row],[SKU]],TablaINVENTARIO[SKU],TablaINVENTARIO[ESTADO])</f>
        <v>USADO</v>
      </c>
      <c r="G787" s="33" t="str">
        <f>_xlfn.XLOOKUP(TablaSTOCKINV[[#This Row],[SKU]],TablaINVENTARIO[SKU],TablaINVENTARIO[MEDIDA])</f>
        <v>UND</v>
      </c>
      <c r="H787" s="33" t="str">
        <f>_xlfn.XLOOKUP(TablaSTOCKINV[[#This Row],[SKU]],TablaINVENTARIO[SKU],TablaINVENTARIO[SERIAL])</f>
        <v>N/A</v>
      </c>
      <c r="I787" s="34" t="str">
        <f>_xlfn.XLOOKUP(TablaSTOCKINV[[#This Row],[SKU]],TablaINVENTARIO[SKU],TablaINVENTARIO[ALMACEN])</f>
        <v>ALMACEN PRINCIPAL</v>
      </c>
      <c r="J787" s="34" t="str">
        <f>_xlfn.XLOOKUP(TablaSTOCKINV[[#This Row],[SKU]],TablaINVENTARIO[SKU],TablaINVENTARIO[UBICACION])</f>
        <v>J3-1</v>
      </c>
      <c r="K787" s="34" t="str">
        <f>_xlfn.XLOOKUP(TablaSTOCKINV[[#This Row],[SKU]],TablaINVENTARIO[SKU],TablaINVENTARIO[DPTO RESPONSABLE])</f>
        <v xml:space="preserve">OPERACIONES </v>
      </c>
      <c r="L787" s="36">
        <f>_xlfn.XLOOKUP(TablaSTOCKINV[[#This Row],[SKU]],TablaINVENTARIO[SKU],TablaINVENTARIO[RANGO MIN])</f>
        <v>0</v>
      </c>
      <c r="M787" s="34" cm="1">
        <f t="array" ref="M787">_xlfn.IFS(TablaSTOCKINV[[#This Row],[CANT. TOTAL]]&lt;=0,1,TablaSTOCKINV[[#This Row],[CANT. TOTAL]]&lt;=TablaSTOCKINV[[#This Row],[MIN]],2,TablaSTOCKINV[[#This Row],[CANT. TOTAL]]&gt;TablaSTOCKINV[[#This Row],[MIN]],3)</f>
        <v>3</v>
      </c>
      <c r="N787" s="34">
        <f>TablaSTOCKINV[[#This Row],[ENTRADAS]]-TablaSTOCKINV[[#This Row],[SALIDAS]]</f>
        <v>13</v>
      </c>
      <c r="O787" s="35">
        <f>SUMIFS(TablaENTRADA[CANT],TablaENTRADA[SKU],TablaSTOCKINV[[#This Row],[SKU]])</f>
        <v>13</v>
      </c>
      <c r="P787" s="35">
        <f>SUMIFS(TablaSALIDA[CANT],TablaSALIDA[SKU],TablaSTOCKINV[[#This Row],[SKU]])</f>
        <v>0</v>
      </c>
      <c r="Q787" s="34">
        <f>_xlfn.XLOOKUP(TablaSTOCKINV[[#This Row],[SKU]],TablaINVENTARIO[SKU],TablaINVENTARIO[PRECIO])</f>
        <v>0</v>
      </c>
      <c r="R787" s="34">
        <f>TablaSTOCKINV[[#This Row],[P.UNITARIO]]*TablaSTOCKINV[[#This Row],[CANT. TOTAL]]</f>
        <v>0</v>
      </c>
      <c r="S787" s="44">
        <f>_xlfn.XLOOKUP(TablaSTOCKINV[[#This Row],[SKU]],TablaINVENTARIO[SKU],TablaINVENTARIO[FECHA INGRESO])</f>
        <v>46023</v>
      </c>
      <c r="T787" s="44">
        <f>_xlfn.XLOOKUP(TablaSTOCKINV[[#This Row],[SKU]],TablaENTRADA[SKU],TablaENTRADA[FECHA],,0,-1)</f>
        <v>46023</v>
      </c>
      <c r="U787" s="46" t="str">
        <f>IFERROR((_xlfn.XLOOKUP(TablaSTOCKINV[[#This Row],[SKU]],TablaSALIDA[SKU],TablaSALIDA[FECHA],,0,-1))," " )</f>
        <v xml:space="preserve"> </v>
      </c>
    </row>
    <row r="788" spans="1:21" x14ac:dyDescent="0.3">
      <c r="A788" s="27" t="s">
        <v>636</v>
      </c>
      <c r="B788" s="32" t="str">
        <f>_xlfn.XLOOKUP(TablaSTOCKINV[[#This Row],[SKU]],TablaINVENTARIO[SKU],TablaINVENTARIO[DESCRIPCION])</f>
        <v xml:space="preserve">TORNILLO 5/8" X 4" </v>
      </c>
      <c r="C788" s="32" t="str">
        <f>_xlfn.XLOOKUP(TablaSTOCKINV[[#This Row],[SKU]],TablaINVENTARIO[SKU],TablaINVENTARIO[MARCA])</f>
        <v>N/A</v>
      </c>
      <c r="D788" s="33" t="str">
        <f>_xlfn.XLOOKUP(TablaSTOCKINV[[#This Row],[SKU]],TablaINVENTARIO[SKU],TablaINVENTARIO[CATEGORIA])</f>
        <v>FABRICACION</v>
      </c>
      <c r="E788" s="33" t="str">
        <f>_xlfn.XLOOKUP(TablaSTOCKINV[[#This Row],[SKU]],TablaINVENTARIO[SKU],TablaINVENTARIO[SUBCATEGORIA])</f>
        <v>MATERIAL MECANICO</v>
      </c>
      <c r="F788" s="33" t="str">
        <f>_xlfn.XLOOKUP(TablaSTOCKINV[[#This Row],[SKU]],TablaINVENTARIO[SKU],TablaINVENTARIO[ESTADO])</f>
        <v xml:space="preserve">NUEVO </v>
      </c>
      <c r="G788" s="33" t="str">
        <f>_xlfn.XLOOKUP(TablaSTOCKINV[[#This Row],[SKU]],TablaINVENTARIO[SKU],TablaINVENTARIO[MEDIDA])</f>
        <v>UND</v>
      </c>
      <c r="H788" s="33" t="str">
        <f>_xlfn.XLOOKUP(TablaSTOCKINV[[#This Row],[SKU]],TablaINVENTARIO[SKU],TablaINVENTARIO[SERIAL])</f>
        <v>N/A</v>
      </c>
      <c r="I788" s="34" t="str">
        <f>_xlfn.XLOOKUP(TablaSTOCKINV[[#This Row],[SKU]],TablaINVENTARIO[SKU],TablaINVENTARIO[ALMACEN])</f>
        <v>ALMACEN PRINCIPAL</v>
      </c>
      <c r="J788" s="34" t="str">
        <f>_xlfn.XLOOKUP(TablaSTOCKINV[[#This Row],[SKU]],TablaINVENTARIO[SKU],TablaINVENTARIO[UBICACION])</f>
        <v>J3-1</v>
      </c>
      <c r="K788" s="34" t="str">
        <f>_xlfn.XLOOKUP(TablaSTOCKINV[[#This Row],[SKU]],TablaINVENTARIO[SKU],TablaINVENTARIO[DPTO RESPONSABLE])</f>
        <v xml:space="preserve">OPERACIONES </v>
      </c>
      <c r="L788" s="36">
        <f>_xlfn.XLOOKUP(TablaSTOCKINV[[#This Row],[SKU]],TablaINVENTARIO[SKU],TablaINVENTARIO[RANGO MIN])</f>
        <v>0</v>
      </c>
      <c r="M788" s="34" cm="1">
        <f t="array" ref="M788">_xlfn.IFS(TablaSTOCKINV[[#This Row],[CANT. TOTAL]]&lt;=0,1,TablaSTOCKINV[[#This Row],[CANT. TOTAL]]&lt;=TablaSTOCKINV[[#This Row],[MIN]],2,TablaSTOCKINV[[#This Row],[CANT. TOTAL]]&gt;TablaSTOCKINV[[#This Row],[MIN]],3)</f>
        <v>3</v>
      </c>
      <c r="N788" s="34">
        <f>TablaSTOCKINV[[#This Row],[ENTRADAS]]-TablaSTOCKINV[[#This Row],[SALIDAS]]</f>
        <v>23</v>
      </c>
      <c r="O788" s="35">
        <f>SUMIFS(TablaENTRADA[CANT],TablaENTRADA[SKU],TablaSTOCKINV[[#This Row],[SKU]])</f>
        <v>23</v>
      </c>
      <c r="P788" s="35">
        <f>SUMIFS(TablaSALIDA[CANT],TablaSALIDA[SKU],TablaSTOCKINV[[#This Row],[SKU]])</f>
        <v>0</v>
      </c>
      <c r="Q788" s="34">
        <f>_xlfn.XLOOKUP(TablaSTOCKINV[[#This Row],[SKU]],TablaINVENTARIO[SKU],TablaINVENTARIO[PRECIO])</f>
        <v>0</v>
      </c>
      <c r="R788" s="34">
        <f>TablaSTOCKINV[[#This Row],[P.UNITARIO]]*TablaSTOCKINV[[#This Row],[CANT. TOTAL]]</f>
        <v>0</v>
      </c>
      <c r="S788" s="44">
        <f>_xlfn.XLOOKUP(TablaSTOCKINV[[#This Row],[SKU]],TablaINVENTARIO[SKU],TablaINVENTARIO[FECHA INGRESO])</f>
        <v>46023</v>
      </c>
      <c r="T788" s="44">
        <f>_xlfn.XLOOKUP(TablaSTOCKINV[[#This Row],[SKU]],TablaENTRADA[SKU],TablaENTRADA[FECHA],,0,-1)</f>
        <v>46023</v>
      </c>
      <c r="U788" s="46" t="str">
        <f>IFERROR((_xlfn.XLOOKUP(TablaSTOCKINV[[#This Row],[SKU]],TablaSALIDA[SKU],TablaSALIDA[FECHA],,0,-1))," " )</f>
        <v xml:space="preserve"> </v>
      </c>
    </row>
    <row r="789" spans="1:21" x14ac:dyDescent="0.3">
      <c r="A789" s="27" t="s">
        <v>638</v>
      </c>
      <c r="B789" s="32" t="str">
        <f>_xlfn.XLOOKUP(TablaSTOCKINV[[#This Row],[SKU]],TablaINVENTARIO[SKU],TablaINVENTARIO[DESCRIPCION])</f>
        <v xml:space="preserve">TORNILLO 5/8" X 3" </v>
      </c>
      <c r="C789" s="32" t="str">
        <f>_xlfn.XLOOKUP(TablaSTOCKINV[[#This Row],[SKU]],TablaINVENTARIO[SKU],TablaINVENTARIO[MARCA])</f>
        <v>N/A</v>
      </c>
      <c r="D789" s="33" t="str">
        <f>_xlfn.XLOOKUP(TablaSTOCKINV[[#This Row],[SKU]],TablaINVENTARIO[SKU],TablaINVENTARIO[CATEGORIA])</f>
        <v>FABRICACION</v>
      </c>
      <c r="E789" s="33" t="str">
        <f>_xlfn.XLOOKUP(TablaSTOCKINV[[#This Row],[SKU]],TablaINVENTARIO[SKU],TablaINVENTARIO[SUBCATEGORIA])</f>
        <v>MATERIAL MECANICO</v>
      </c>
      <c r="F789" s="33" t="str">
        <f>_xlfn.XLOOKUP(TablaSTOCKINV[[#This Row],[SKU]],TablaINVENTARIO[SKU],TablaINVENTARIO[ESTADO])</f>
        <v xml:space="preserve">NUEVO </v>
      </c>
      <c r="G789" s="33" t="str">
        <f>_xlfn.XLOOKUP(TablaSTOCKINV[[#This Row],[SKU]],TablaINVENTARIO[SKU],TablaINVENTARIO[MEDIDA])</f>
        <v>UND</v>
      </c>
      <c r="H789" s="33" t="str">
        <f>_xlfn.XLOOKUP(TablaSTOCKINV[[#This Row],[SKU]],TablaINVENTARIO[SKU],TablaINVENTARIO[SERIAL])</f>
        <v>N/A</v>
      </c>
      <c r="I789" s="34" t="str">
        <f>_xlfn.XLOOKUP(TablaSTOCKINV[[#This Row],[SKU]],TablaINVENTARIO[SKU],TablaINVENTARIO[ALMACEN])</f>
        <v>ALMACEN PRINCIPAL</v>
      </c>
      <c r="J789" s="34" t="str">
        <f>_xlfn.XLOOKUP(TablaSTOCKINV[[#This Row],[SKU]],TablaINVENTARIO[SKU],TablaINVENTARIO[UBICACION])</f>
        <v>J3-1</v>
      </c>
      <c r="K789" s="34" t="str">
        <f>_xlfn.XLOOKUP(TablaSTOCKINV[[#This Row],[SKU]],TablaINVENTARIO[SKU],TablaINVENTARIO[DPTO RESPONSABLE])</f>
        <v xml:space="preserve">OPERACIONES </v>
      </c>
      <c r="L789" s="36">
        <f>_xlfn.XLOOKUP(TablaSTOCKINV[[#This Row],[SKU]],TablaINVENTARIO[SKU],TablaINVENTARIO[RANGO MIN])</f>
        <v>0</v>
      </c>
      <c r="M789" s="34" cm="1">
        <f t="array" ref="M789">_xlfn.IFS(TablaSTOCKINV[[#This Row],[CANT. TOTAL]]&lt;=0,1,TablaSTOCKINV[[#This Row],[CANT. TOTAL]]&lt;=TablaSTOCKINV[[#This Row],[MIN]],2,TablaSTOCKINV[[#This Row],[CANT. TOTAL]]&gt;TablaSTOCKINV[[#This Row],[MIN]],3)</f>
        <v>3</v>
      </c>
      <c r="N789" s="34">
        <f>TablaSTOCKINV[[#This Row],[ENTRADAS]]-TablaSTOCKINV[[#This Row],[SALIDAS]]</f>
        <v>27</v>
      </c>
      <c r="O789" s="35">
        <f>SUMIFS(TablaENTRADA[CANT],TablaENTRADA[SKU],TablaSTOCKINV[[#This Row],[SKU]])</f>
        <v>27</v>
      </c>
      <c r="P789" s="35">
        <f>SUMIFS(TablaSALIDA[CANT],TablaSALIDA[SKU],TablaSTOCKINV[[#This Row],[SKU]])</f>
        <v>0</v>
      </c>
      <c r="Q789" s="34">
        <f>_xlfn.XLOOKUP(TablaSTOCKINV[[#This Row],[SKU]],TablaINVENTARIO[SKU],TablaINVENTARIO[PRECIO])</f>
        <v>0</v>
      </c>
      <c r="R789" s="34">
        <f>TablaSTOCKINV[[#This Row],[P.UNITARIO]]*TablaSTOCKINV[[#This Row],[CANT. TOTAL]]</f>
        <v>0</v>
      </c>
      <c r="S789" s="44">
        <f>_xlfn.XLOOKUP(TablaSTOCKINV[[#This Row],[SKU]],TablaINVENTARIO[SKU],TablaINVENTARIO[FECHA INGRESO])</f>
        <v>46023</v>
      </c>
      <c r="T789" s="44">
        <f>_xlfn.XLOOKUP(TablaSTOCKINV[[#This Row],[SKU]],TablaENTRADA[SKU],TablaENTRADA[FECHA],,0,-1)</f>
        <v>46023</v>
      </c>
      <c r="U789" s="46" t="str">
        <f>IFERROR((_xlfn.XLOOKUP(TablaSTOCKINV[[#This Row],[SKU]],TablaSALIDA[SKU],TablaSALIDA[FECHA],,0,-1))," " )</f>
        <v xml:space="preserve"> </v>
      </c>
    </row>
    <row r="790" spans="1:21" x14ac:dyDescent="0.3">
      <c r="A790" s="27" t="s">
        <v>640</v>
      </c>
      <c r="B790" s="32" t="str">
        <f>_xlfn.XLOOKUP(TablaSTOCKINV[[#This Row],[SKU]],TablaINVENTARIO[SKU],TablaINVENTARIO[DESCRIPCION])</f>
        <v xml:space="preserve">TORNILLO 1" X 6" </v>
      </c>
      <c r="C790" s="32" t="str">
        <f>_xlfn.XLOOKUP(TablaSTOCKINV[[#This Row],[SKU]],TablaINVENTARIO[SKU],TablaINVENTARIO[MARCA])</f>
        <v>N/A</v>
      </c>
      <c r="D790" s="33" t="str">
        <f>_xlfn.XLOOKUP(TablaSTOCKINV[[#This Row],[SKU]],TablaINVENTARIO[SKU],TablaINVENTARIO[CATEGORIA])</f>
        <v>FABRICACION</v>
      </c>
      <c r="E790" s="33" t="str">
        <f>_xlfn.XLOOKUP(TablaSTOCKINV[[#This Row],[SKU]],TablaINVENTARIO[SKU],TablaINVENTARIO[SUBCATEGORIA])</f>
        <v>MATERIAL MECANICO</v>
      </c>
      <c r="F790" s="33" t="str">
        <f>_xlfn.XLOOKUP(TablaSTOCKINV[[#This Row],[SKU]],TablaINVENTARIO[SKU],TablaINVENTARIO[ESTADO])</f>
        <v xml:space="preserve">NUEVO </v>
      </c>
      <c r="G790" s="33" t="str">
        <f>_xlfn.XLOOKUP(TablaSTOCKINV[[#This Row],[SKU]],TablaINVENTARIO[SKU],TablaINVENTARIO[MEDIDA])</f>
        <v>UND</v>
      </c>
      <c r="H790" s="33" t="str">
        <f>_xlfn.XLOOKUP(TablaSTOCKINV[[#This Row],[SKU]],TablaINVENTARIO[SKU],TablaINVENTARIO[SERIAL])</f>
        <v>N/A</v>
      </c>
      <c r="I790" s="34" t="str">
        <f>_xlfn.XLOOKUP(TablaSTOCKINV[[#This Row],[SKU]],TablaINVENTARIO[SKU],TablaINVENTARIO[ALMACEN])</f>
        <v>ALMACEN PRINCIPAL</v>
      </c>
      <c r="J790" s="34" t="str">
        <f>_xlfn.XLOOKUP(TablaSTOCKINV[[#This Row],[SKU]],TablaINVENTARIO[SKU],TablaINVENTARIO[UBICACION])</f>
        <v>J3-1</v>
      </c>
      <c r="K790" s="34" t="str">
        <f>_xlfn.XLOOKUP(TablaSTOCKINV[[#This Row],[SKU]],TablaINVENTARIO[SKU],TablaINVENTARIO[DPTO RESPONSABLE])</f>
        <v xml:space="preserve">OPERACIONES </v>
      </c>
      <c r="L790" s="36">
        <f>_xlfn.XLOOKUP(TablaSTOCKINV[[#This Row],[SKU]],TablaINVENTARIO[SKU],TablaINVENTARIO[RANGO MIN])</f>
        <v>0</v>
      </c>
      <c r="M790" s="34" cm="1">
        <f t="array" ref="M790">_xlfn.IFS(TablaSTOCKINV[[#This Row],[CANT. TOTAL]]&lt;=0,1,TablaSTOCKINV[[#This Row],[CANT. TOTAL]]&lt;=TablaSTOCKINV[[#This Row],[MIN]],2,TablaSTOCKINV[[#This Row],[CANT. TOTAL]]&gt;TablaSTOCKINV[[#This Row],[MIN]],3)</f>
        <v>3</v>
      </c>
      <c r="N790" s="34">
        <f>TablaSTOCKINV[[#This Row],[ENTRADAS]]-TablaSTOCKINV[[#This Row],[SALIDAS]]</f>
        <v>4</v>
      </c>
      <c r="O790" s="35">
        <f>SUMIFS(TablaENTRADA[CANT],TablaENTRADA[SKU],TablaSTOCKINV[[#This Row],[SKU]])</f>
        <v>4</v>
      </c>
      <c r="P790" s="35">
        <f>SUMIFS(TablaSALIDA[CANT],TablaSALIDA[SKU],TablaSTOCKINV[[#This Row],[SKU]])</f>
        <v>0</v>
      </c>
      <c r="Q790" s="34">
        <f>_xlfn.XLOOKUP(TablaSTOCKINV[[#This Row],[SKU]],TablaINVENTARIO[SKU],TablaINVENTARIO[PRECIO])</f>
        <v>0</v>
      </c>
      <c r="R790" s="34">
        <f>TablaSTOCKINV[[#This Row],[P.UNITARIO]]*TablaSTOCKINV[[#This Row],[CANT. TOTAL]]</f>
        <v>0</v>
      </c>
      <c r="S790" s="44">
        <f>_xlfn.XLOOKUP(TablaSTOCKINV[[#This Row],[SKU]],TablaINVENTARIO[SKU],TablaINVENTARIO[FECHA INGRESO])</f>
        <v>46023</v>
      </c>
      <c r="T790" s="44">
        <f>_xlfn.XLOOKUP(TablaSTOCKINV[[#This Row],[SKU]],TablaENTRADA[SKU],TablaENTRADA[FECHA],,0,-1)</f>
        <v>46023</v>
      </c>
      <c r="U790" s="46" t="str">
        <f>IFERROR((_xlfn.XLOOKUP(TablaSTOCKINV[[#This Row],[SKU]],TablaSALIDA[SKU],TablaSALIDA[FECHA],,0,-1))," " )</f>
        <v xml:space="preserve"> </v>
      </c>
    </row>
    <row r="791" spans="1:21" x14ac:dyDescent="0.3">
      <c r="A791" s="27" t="s">
        <v>642</v>
      </c>
      <c r="B791" s="32" t="str">
        <f>_xlfn.XLOOKUP(TablaSTOCKINV[[#This Row],[SKU]],TablaINVENTARIO[SKU],TablaINVENTARIO[DESCRIPCION])</f>
        <v>EMPACADURA DE CORCHO CON AISLANTE DE CORROCION PARA ESPARRAGO 3/4"</v>
      </c>
      <c r="C791" s="32" t="str">
        <f>_xlfn.XLOOKUP(TablaSTOCKINV[[#This Row],[SKU]],TablaINVENTARIO[SKU],TablaINVENTARIO[MARCA])</f>
        <v>N/A</v>
      </c>
      <c r="D791" s="33" t="str">
        <f>_xlfn.XLOOKUP(TablaSTOCKINV[[#This Row],[SKU]],TablaINVENTARIO[SKU],TablaINVENTARIO[CATEGORIA])</f>
        <v>FABRICACION</v>
      </c>
      <c r="E791" s="33" t="str">
        <f>_xlfn.XLOOKUP(TablaSTOCKINV[[#This Row],[SKU]],TablaINVENTARIO[SKU],TablaINVENTARIO[SUBCATEGORIA])</f>
        <v>MATERIAL MECANICO</v>
      </c>
      <c r="F791" s="33" t="str">
        <f>_xlfn.XLOOKUP(TablaSTOCKINV[[#This Row],[SKU]],TablaINVENTARIO[SKU],TablaINVENTARIO[ESTADO])</f>
        <v xml:space="preserve">NUEVO </v>
      </c>
      <c r="G791" s="33" t="str">
        <f>_xlfn.XLOOKUP(TablaSTOCKINV[[#This Row],[SKU]],TablaINVENTARIO[SKU],TablaINVENTARIO[MEDIDA])</f>
        <v xml:space="preserve">KIT </v>
      </c>
      <c r="H791" s="33" t="str">
        <f>_xlfn.XLOOKUP(TablaSTOCKINV[[#This Row],[SKU]],TablaINVENTARIO[SKU],TablaINVENTARIO[SERIAL])</f>
        <v>N/A</v>
      </c>
      <c r="I791" s="34" t="str">
        <f>_xlfn.XLOOKUP(TablaSTOCKINV[[#This Row],[SKU]],TablaINVENTARIO[SKU],TablaINVENTARIO[ALMACEN])</f>
        <v>ALMACEN PRINCIPAL</v>
      </c>
      <c r="J791" s="34" t="str">
        <f>_xlfn.XLOOKUP(TablaSTOCKINV[[#This Row],[SKU]],TablaINVENTARIO[SKU],TablaINVENTARIO[UBICACION])</f>
        <v>J3-2</v>
      </c>
      <c r="K791" s="34" t="str">
        <f>_xlfn.XLOOKUP(TablaSTOCKINV[[#This Row],[SKU]],TablaINVENTARIO[SKU],TablaINVENTARIO[DPTO RESPONSABLE])</f>
        <v xml:space="preserve">OPERACIONES </v>
      </c>
      <c r="L791" s="36">
        <f>_xlfn.XLOOKUP(TablaSTOCKINV[[#This Row],[SKU]],TablaINVENTARIO[SKU],TablaINVENTARIO[RANGO MIN])</f>
        <v>0</v>
      </c>
      <c r="M791" s="34" cm="1">
        <f t="array" ref="M791">_xlfn.IFS(TablaSTOCKINV[[#This Row],[CANT. TOTAL]]&lt;=0,1,TablaSTOCKINV[[#This Row],[CANT. TOTAL]]&lt;=TablaSTOCKINV[[#This Row],[MIN]],2,TablaSTOCKINV[[#This Row],[CANT. TOTAL]]&gt;TablaSTOCKINV[[#This Row],[MIN]],3)</f>
        <v>3</v>
      </c>
      <c r="N791" s="34">
        <f>TablaSTOCKINV[[#This Row],[ENTRADAS]]-TablaSTOCKINV[[#This Row],[SALIDAS]]</f>
        <v>4</v>
      </c>
      <c r="O791" s="35">
        <f>SUMIFS(TablaENTRADA[CANT],TablaENTRADA[SKU],TablaSTOCKINV[[#This Row],[SKU]])</f>
        <v>4</v>
      </c>
      <c r="P791" s="35">
        <f>SUMIFS(TablaSALIDA[CANT],TablaSALIDA[SKU],TablaSTOCKINV[[#This Row],[SKU]])</f>
        <v>0</v>
      </c>
      <c r="Q791" s="34">
        <f>_xlfn.XLOOKUP(TablaSTOCKINV[[#This Row],[SKU]],TablaINVENTARIO[SKU],TablaINVENTARIO[PRECIO])</f>
        <v>0</v>
      </c>
      <c r="R791" s="34">
        <f>TablaSTOCKINV[[#This Row],[P.UNITARIO]]*TablaSTOCKINV[[#This Row],[CANT. TOTAL]]</f>
        <v>0</v>
      </c>
      <c r="S791" s="44">
        <f>_xlfn.XLOOKUP(TablaSTOCKINV[[#This Row],[SKU]],TablaINVENTARIO[SKU],TablaINVENTARIO[FECHA INGRESO])</f>
        <v>46023</v>
      </c>
      <c r="T791" s="44">
        <f>_xlfn.XLOOKUP(TablaSTOCKINV[[#This Row],[SKU]],TablaENTRADA[SKU],TablaENTRADA[FECHA],,0,-1)</f>
        <v>46023</v>
      </c>
      <c r="U791" s="46" t="str">
        <f>IFERROR((_xlfn.XLOOKUP(TablaSTOCKINV[[#This Row],[SKU]],TablaSALIDA[SKU],TablaSALIDA[FECHA],,0,-1))," " )</f>
        <v xml:space="preserve"> </v>
      </c>
    </row>
    <row r="792" spans="1:21" x14ac:dyDescent="0.3">
      <c r="A792" s="27" t="s">
        <v>646</v>
      </c>
      <c r="B792" s="32" t="str">
        <f>_xlfn.XLOOKUP(TablaSTOCKINV[[#This Row],[SKU]],TablaINVENTARIO[SKU],TablaINVENTARIO[DESCRIPCION])</f>
        <v xml:space="preserve">SELLO DE PRENSA ESTOPA </v>
      </c>
      <c r="C792" s="32" t="str">
        <f>_xlfn.XLOOKUP(TablaSTOCKINV[[#This Row],[SKU]],TablaINVENTARIO[SKU],TablaINVENTARIO[MARCA])</f>
        <v>N/A</v>
      </c>
      <c r="D792" s="33" t="str">
        <f>_xlfn.XLOOKUP(TablaSTOCKINV[[#This Row],[SKU]],TablaINVENTARIO[SKU],TablaINVENTARIO[CATEGORIA])</f>
        <v>FABRICACION</v>
      </c>
      <c r="E792" s="33" t="str">
        <f>_xlfn.XLOOKUP(TablaSTOCKINV[[#This Row],[SKU]],TablaINVENTARIO[SKU],TablaINVENTARIO[SUBCATEGORIA])</f>
        <v>MATERIAL MECANICO</v>
      </c>
      <c r="F792" s="33" t="str">
        <f>_xlfn.XLOOKUP(TablaSTOCKINV[[#This Row],[SKU]],TablaINVENTARIO[SKU],TablaINVENTARIO[ESTADO])</f>
        <v xml:space="preserve">NUEVO </v>
      </c>
      <c r="G792" s="33" t="str">
        <f>_xlfn.XLOOKUP(TablaSTOCKINV[[#This Row],[SKU]],TablaINVENTARIO[SKU],TablaINVENTARIO[MEDIDA])</f>
        <v>UND</v>
      </c>
      <c r="H792" s="33" t="str">
        <f>_xlfn.XLOOKUP(TablaSTOCKINV[[#This Row],[SKU]],TablaINVENTARIO[SKU],TablaINVENTARIO[SERIAL])</f>
        <v>N/A</v>
      </c>
      <c r="I792" s="34" t="str">
        <f>_xlfn.XLOOKUP(TablaSTOCKINV[[#This Row],[SKU]],TablaINVENTARIO[SKU],TablaINVENTARIO[ALMACEN])</f>
        <v>ALMACEN PRINCIPAL</v>
      </c>
      <c r="J792" s="34" t="str">
        <f>_xlfn.XLOOKUP(TablaSTOCKINV[[#This Row],[SKU]],TablaINVENTARIO[SKU],TablaINVENTARIO[UBICACION])</f>
        <v>J3-2</v>
      </c>
      <c r="K792" s="34" t="str">
        <f>_xlfn.XLOOKUP(TablaSTOCKINV[[#This Row],[SKU]],TablaINVENTARIO[SKU],TablaINVENTARIO[DPTO RESPONSABLE])</f>
        <v xml:space="preserve">OPERACIONES </v>
      </c>
      <c r="L792" s="36">
        <f>_xlfn.XLOOKUP(TablaSTOCKINV[[#This Row],[SKU]],TablaINVENTARIO[SKU],TablaINVENTARIO[RANGO MIN])</f>
        <v>0</v>
      </c>
      <c r="M792" s="34" cm="1">
        <f t="array" ref="M792">_xlfn.IFS(TablaSTOCKINV[[#This Row],[CANT. TOTAL]]&lt;=0,1,TablaSTOCKINV[[#This Row],[CANT. TOTAL]]&lt;=TablaSTOCKINV[[#This Row],[MIN]],2,TablaSTOCKINV[[#This Row],[CANT. TOTAL]]&gt;TablaSTOCKINV[[#This Row],[MIN]],3)</f>
        <v>3</v>
      </c>
      <c r="N792" s="34">
        <f>TablaSTOCKINV[[#This Row],[ENTRADAS]]-TablaSTOCKINV[[#This Row],[SALIDAS]]</f>
        <v>273</v>
      </c>
      <c r="O792" s="35">
        <f>SUMIFS(TablaENTRADA[CANT],TablaENTRADA[SKU],TablaSTOCKINV[[#This Row],[SKU]])</f>
        <v>273</v>
      </c>
      <c r="P792" s="35">
        <f>SUMIFS(TablaSALIDA[CANT],TablaSALIDA[SKU],TablaSTOCKINV[[#This Row],[SKU]])</f>
        <v>0</v>
      </c>
      <c r="Q792" s="34">
        <f>_xlfn.XLOOKUP(TablaSTOCKINV[[#This Row],[SKU]],TablaINVENTARIO[SKU],TablaINVENTARIO[PRECIO])</f>
        <v>0</v>
      </c>
      <c r="R792" s="34">
        <f>TablaSTOCKINV[[#This Row],[P.UNITARIO]]*TablaSTOCKINV[[#This Row],[CANT. TOTAL]]</f>
        <v>0</v>
      </c>
      <c r="S792" s="44">
        <f>_xlfn.XLOOKUP(TablaSTOCKINV[[#This Row],[SKU]],TablaINVENTARIO[SKU],TablaINVENTARIO[FECHA INGRESO])</f>
        <v>46023</v>
      </c>
      <c r="T792" s="44">
        <f>_xlfn.XLOOKUP(TablaSTOCKINV[[#This Row],[SKU]],TablaENTRADA[SKU],TablaENTRADA[FECHA],,0,-1)</f>
        <v>46023</v>
      </c>
      <c r="U792" s="46" t="str">
        <f>IFERROR((_xlfn.XLOOKUP(TablaSTOCKINV[[#This Row],[SKU]],TablaSALIDA[SKU],TablaSALIDA[FECHA],,0,-1))," " )</f>
        <v xml:space="preserve"> </v>
      </c>
    </row>
    <row r="793" spans="1:21" x14ac:dyDescent="0.3">
      <c r="A793" s="27" t="s">
        <v>648</v>
      </c>
      <c r="B793" s="32" t="str">
        <f>_xlfn.XLOOKUP(TablaSTOCKINV[[#This Row],[SKU]],TablaINVENTARIO[SKU],TablaINVENTARIO[DESCRIPCION])</f>
        <v xml:space="preserve">CUBIERTA DE TANQUE DE PURGA </v>
      </c>
      <c r="C793" s="32" t="str">
        <f>_xlfn.XLOOKUP(TablaSTOCKINV[[#This Row],[SKU]],TablaINVENTARIO[SKU],TablaINVENTARIO[MARCA])</f>
        <v>N/A</v>
      </c>
      <c r="D793" s="33" t="str">
        <f>_xlfn.XLOOKUP(TablaSTOCKINV[[#This Row],[SKU]],TablaINVENTARIO[SKU],TablaINVENTARIO[CATEGORIA])</f>
        <v>FABRICACION</v>
      </c>
      <c r="E793" s="33" t="str">
        <f>_xlfn.XLOOKUP(TablaSTOCKINV[[#This Row],[SKU]],TablaINVENTARIO[SKU],TablaINVENTARIO[SUBCATEGORIA])</f>
        <v>MATERIAL MECANICO</v>
      </c>
      <c r="F793" s="33" t="str">
        <f>_xlfn.XLOOKUP(TablaSTOCKINV[[#This Row],[SKU]],TablaINVENTARIO[SKU],TablaINVENTARIO[ESTADO])</f>
        <v>USADO</v>
      </c>
      <c r="G793" s="33" t="str">
        <f>_xlfn.XLOOKUP(TablaSTOCKINV[[#This Row],[SKU]],TablaINVENTARIO[SKU],TablaINVENTARIO[MEDIDA])</f>
        <v>JUEGO</v>
      </c>
      <c r="H793" s="33" t="str">
        <f>_xlfn.XLOOKUP(TablaSTOCKINV[[#This Row],[SKU]],TablaINVENTARIO[SKU],TablaINVENTARIO[SERIAL])</f>
        <v>N/A</v>
      </c>
      <c r="I793" s="34" t="str">
        <f>_xlfn.XLOOKUP(TablaSTOCKINV[[#This Row],[SKU]],TablaINVENTARIO[SKU],TablaINVENTARIO[ALMACEN])</f>
        <v>ALMACEN PRINCIPAL</v>
      </c>
      <c r="J793" s="34" t="str">
        <f>_xlfn.XLOOKUP(TablaSTOCKINV[[#This Row],[SKU]],TablaINVENTARIO[SKU],TablaINVENTARIO[UBICACION])</f>
        <v>J3-2</v>
      </c>
      <c r="K793" s="34" t="str">
        <f>_xlfn.XLOOKUP(TablaSTOCKINV[[#This Row],[SKU]],TablaINVENTARIO[SKU],TablaINVENTARIO[DPTO RESPONSABLE])</f>
        <v xml:space="preserve">OPERACIONES </v>
      </c>
      <c r="L793" s="36">
        <f>_xlfn.XLOOKUP(TablaSTOCKINV[[#This Row],[SKU]],TablaINVENTARIO[SKU],TablaINVENTARIO[RANGO MIN])</f>
        <v>0</v>
      </c>
      <c r="M793" s="34" cm="1">
        <f t="array" ref="M793">_xlfn.IFS(TablaSTOCKINV[[#This Row],[CANT. TOTAL]]&lt;=0,1,TablaSTOCKINV[[#This Row],[CANT. TOTAL]]&lt;=TablaSTOCKINV[[#This Row],[MIN]],2,TablaSTOCKINV[[#This Row],[CANT. TOTAL]]&gt;TablaSTOCKINV[[#This Row],[MIN]],3)</f>
        <v>3</v>
      </c>
      <c r="N793" s="34">
        <f>TablaSTOCKINV[[#This Row],[ENTRADAS]]-TablaSTOCKINV[[#This Row],[SALIDAS]]</f>
        <v>1</v>
      </c>
      <c r="O793" s="35">
        <f>SUMIFS(TablaENTRADA[CANT],TablaENTRADA[SKU],TablaSTOCKINV[[#This Row],[SKU]])</f>
        <v>1</v>
      </c>
      <c r="P793" s="35">
        <f>SUMIFS(TablaSALIDA[CANT],TablaSALIDA[SKU],TablaSTOCKINV[[#This Row],[SKU]])</f>
        <v>0</v>
      </c>
      <c r="Q793" s="34">
        <f>_xlfn.XLOOKUP(TablaSTOCKINV[[#This Row],[SKU]],TablaINVENTARIO[SKU],TablaINVENTARIO[PRECIO])</f>
        <v>0</v>
      </c>
      <c r="R793" s="34">
        <f>TablaSTOCKINV[[#This Row],[P.UNITARIO]]*TablaSTOCKINV[[#This Row],[CANT. TOTAL]]</f>
        <v>0</v>
      </c>
      <c r="S793" s="44">
        <f>_xlfn.XLOOKUP(TablaSTOCKINV[[#This Row],[SKU]],TablaINVENTARIO[SKU],TablaINVENTARIO[FECHA INGRESO])</f>
        <v>46023</v>
      </c>
      <c r="T793" s="44">
        <f>_xlfn.XLOOKUP(TablaSTOCKINV[[#This Row],[SKU]],TablaENTRADA[SKU],TablaENTRADA[FECHA],,0,-1)</f>
        <v>46023</v>
      </c>
      <c r="U793" s="46" t="str">
        <f>IFERROR((_xlfn.XLOOKUP(TablaSTOCKINV[[#This Row],[SKU]],TablaSALIDA[SKU],TablaSALIDA[FECHA],,0,-1))," " )</f>
        <v xml:space="preserve"> </v>
      </c>
    </row>
    <row r="794" spans="1:21" x14ac:dyDescent="0.3">
      <c r="A794" s="27" t="s">
        <v>651</v>
      </c>
      <c r="B794" s="32" t="str">
        <f>_xlfn.XLOOKUP(TablaSTOCKINV[[#This Row],[SKU]],TablaINVENTARIO[SKU],TablaINVENTARIO[DESCRIPCION])</f>
        <v>PERNO 1/2" X 2,7" ACERO AL CARBON</v>
      </c>
      <c r="C794" s="32" t="str">
        <f>_xlfn.XLOOKUP(TablaSTOCKINV[[#This Row],[SKU]],TablaINVENTARIO[SKU],TablaINVENTARIO[MARCA])</f>
        <v>N/A</v>
      </c>
      <c r="D794" s="33" t="str">
        <f>_xlfn.XLOOKUP(TablaSTOCKINV[[#This Row],[SKU]],TablaINVENTARIO[SKU],TablaINVENTARIO[CATEGORIA])</f>
        <v>FABRICACION</v>
      </c>
      <c r="E794" s="33" t="str">
        <f>_xlfn.XLOOKUP(TablaSTOCKINV[[#This Row],[SKU]],TablaINVENTARIO[SKU],TablaINVENTARIO[SUBCATEGORIA])</f>
        <v>MATERIAL MECANICO</v>
      </c>
      <c r="F794" s="33" t="str">
        <f>_xlfn.XLOOKUP(TablaSTOCKINV[[#This Row],[SKU]],TablaINVENTARIO[SKU],TablaINVENTARIO[ESTADO])</f>
        <v xml:space="preserve">NUEVO </v>
      </c>
      <c r="G794" s="33" t="str">
        <f>_xlfn.XLOOKUP(TablaSTOCKINV[[#This Row],[SKU]],TablaINVENTARIO[SKU],TablaINVENTARIO[MEDIDA])</f>
        <v>UND</v>
      </c>
      <c r="H794" s="33" t="str">
        <f>_xlfn.XLOOKUP(TablaSTOCKINV[[#This Row],[SKU]],TablaINVENTARIO[SKU],TablaINVENTARIO[SERIAL])</f>
        <v>N/A</v>
      </c>
      <c r="I794" s="34" t="str">
        <f>_xlfn.XLOOKUP(TablaSTOCKINV[[#This Row],[SKU]],TablaINVENTARIO[SKU],TablaINVENTARIO[ALMACEN])</f>
        <v>ALMACEN PRINCIPAL</v>
      </c>
      <c r="J794" s="34" t="str">
        <f>_xlfn.XLOOKUP(TablaSTOCKINV[[#This Row],[SKU]],TablaINVENTARIO[SKU],TablaINVENTARIO[UBICACION])</f>
        <v>J3-2</v>
      </c>
      <c r="K794" s="34" t="str">
        <f>_xlfn.XLOOKUP(TablaSTOCKINV[[#This Row],[SKU]],TablaINVENTARIO[SKU],TablaINVENTARIO[DPTO RESPONSABLE])</f>
        <v xml:space="preserve">OPERACIONES </v>
      </c>
      <c r="L794" s="36">
        <f>_xlfn.XLOOKUP(TablaSTOCKINV[[#This Row],[SKU]],TablaINVENTARIO[SKU],TablaINVENTARIO[RANGO MIN])</f>
        <v>0</v>
      </c>
      <c r="M794" s="34" cm="1">
        <f t="array" ref="M794">_xlfn.IFS(TablaSTOCKINV[[#This Row],[CANT. TOTAL]]&lt;=0,1,TablaSTOCKINV[[#This Row],[CANT. TOTAL]]&lt;=TablaSTOCKINV[[#This Row],[MIN]],2,TablaSTOCKINV[[#This Row],[CANT. TOTAL]]&gt;TablaSTOCKINV[[#This Row],[MIN]],3)</f>
        <v>3</v>
      </c>
      <c r="N794" s="34">
        <f>TablaSTOCKINV[[#This Row],[ENTRADAS]]-TablaSTOCKINV[[#This Row],[SALIDAS]]</f>
        <v>57</v>
      </c>
      <c r="O794" s="35">
        <f>SUMIFS(TablaENTRADA[CANT],TablaENTRADA[SKU],TablaSTOCKINV[[#This Row],[SKU]])</f>
        <v>57</v>
      </c>
      <c r="P794" s="35">
        <f>SUMIFS(TablaSALIDA[CANT],TablaSALIDA[SKU],TablaSTOCKINV[[#This Row],[SKU]])</f>
        <v>0</v>
      </c>
      <c r="Q794" s="34">
        <f>_xlfn.XLOOKUP(TablaSTOCKINV[[#This Row],[SKU]],TablaINVENTARIO[SKU],TablaINVENTARIO[PRECIO])</f>
        <v>0</v>
      </c>
      <c r="R794" s="34">
        <f>TablaSTOCKINV[[#This Row],[P.UNITARIO]]*TablaSTOCKINV[[#This Row],[CANT. TOTAL]]</f>
        <v>0</v>
      </c>
      <c r="S794" s="44">
        <f>_xlfn.XLOOKUP(TablaSTOCKINV[[#This Row],[SKU]],TablaINVENTARIO[SKU],TablaINVENTARIO[FECHA INGRESO])</f>
        <v>46023</v>
      </c>
      <c r="T794" s="44">
        <f>_xlfn.XLOOKUP(TablaSTOCKINV[[#This Row],[SKU]],TablaENTRADA[SKU],TablaENTRADA[FECHA],,0,-1)</f>
        <v>46023</v>
      </c>
      <c r="U794" s="46" t="str">
        <f>IFERROR((_xlfn.XLOOKUP(TablaSTOCKINV[[#This Row],[SKU]],TablaSALIDA[SKU],TablaSALIDA[FECHA],,0,-1))," " )</f>
        <v xml:space="preserve"> </v>
      </c>
    </row>
    <row r="795" spans="1:21" x14ac:dyDescent="0.3">
      <c r="A795" s="27" t="s">
        <v>653</v>
      </c>
      <c r="B795" s="32" t="str">
        <f>_xlfn.XLOOKUP(TablaSTOCKINV[[#This Row],[SKU]],TablaINVENTARIO[SKU],TablaINVENTARIO[DESCRIPCION])</f>
        <v>PERNO 1/2" X 2,7" ACERO INOXIDABLE</v>
      </c>
      <c r="C795" s="32" t="str">
        <f>_xlfn.XLOOKUP(TablaSTOCKINV[[#This Row],[SKU]],TablaINVENTARIO[SKU],TablaINVENTARIO[MARCA])</f>
        <v>N/A</v>
      </c>
      <c r="D795" s="33" t="str">
        <f>_xlfn.XLOOKUP(TablaSTOCKINV[[#This Row],[SKU]],TablaINVENTARIO[SKU],TablaINVENTARIO[CATEGORIA])</f>
        <v>FABRICACION</v>
      </c>
      <c r="E795" s="33" t="str">
        <f>_xlfn.XLOOKUP(TablaSTOCKINV[[#This Row],[SKU]],TablaINVENTARIO[SKU],TablaINVENTARIO[SUBCATEGORIA])</f>
        <v>MATERIAL MECANICO</v>
      </c>
      <c r="F795" s="33" t="str">
        <f>_xlfn.XLOOKUP(TablaSTOCKINV[[#This Row],[SKU]],TablaINVENTARIO[SKU],TablaINVENTARIO[ESTADO])</f>
        <v xml:space="preserve">NUEVO </v>
      </c>
      <c r="G795" s="33" t="str">
        <f>_xlfn.XLOOKUP(TablaSTOCKINV[[#This Row],[SKU]],TablaINVENTARIO[SKU],TablaINVENTARIO[MEDIDA])</f>
        <v>UND</v>
      </c>
      <c r="H795" s="33" t="str">
        <f>_xlfn.XLOOKUP(TablaSTOCKINV[[#This Row],[SKU]],TablaINVENTARIO[SKU],TablaINVENTARIO[SERIAL])</f>
        <v>N/A</v>
      </c>
      <c r="I795" s="34" t="str">
        <f>_xlfn.XLOOKUP(TablaSTOCKINV[[#This Row],[SKU]],TablaINVENTARIO[SKU],TablaINVENTARIO[ALMACEN])</f>
        <v>ALMACEN PRINCIPAL</v>
      </c>
      <c r="J795" s="34" t="str">
        <f>_xlfn.XLOOKUP(TablaSTOCKINV[[#This Row],[SKU]],TablaINVENTARIO[SKU],TablaINVENTARIO[UBICACION])</f>
        <v>J3-2</v>
      </c>
      <c r="K795" s="34" t="str">
        <f>_xlfn.XLOOKUP(TablaSTOCKINV[[#This Row],[SKU]],TablaINVENTARIO[SKU],TablaINVENTARIO[DPTO RESPONSABLE])</f>
        <v xml:space="preserve">OPERACIONES </v>
      </c>
      <c r="L795" s="36">
        <f>_xlfn.XLOOKUP(TablaSTOCKINV[[#This Row],[SKU]],TablaINVENTARIO[SKU],TablaINVENTARIO[RANGO MIN])</f>
        <v>0</v>
      </c>
      <c r="M795" s="34" cm="1">
        <f t="array" ref="M795">_xlfn.IFS(TablaSTOCKINV[[#This Row],[CANT. TOTAL]]&lt;=0,1,TablaSTOCKINV[[#This Row],[CANT. TOTAL]]&lt;=TablaSTOCKINV[[#This Row],[MIN]],2,TablaSTOCKINV[[#This Row],[CANT. TOTAL]]&gt;TablaSTOCKINV[[#This Row],[MIN]],3)</f>
        <v>3</v>
      </c>
      <c r="N795" s="34">
        <f>TablaSTOCKINV[[#This Row],[ENTRADAS]]-TablaSTOCKINV[[#This Row],[SALIDAS]]</f>
        <v>2</v>
      </c>
      <c r="O795" s="35">
        <f>SUMIFS(TablaENTRADA[CANT],TablaENTRADA[SKU],TablaSTOCKINV[[#This Row],[SKU]])</f>
        <v>2</v>
      </c>
      <c r="P795" s="35">
        <f>SUMIFS(TablaSALIDA[CANT],TablaSALIDA[SKU],TablaSTOCKINV[[#This Row],[SKU]])</f>
        <v>0</v>
      </c>
      <c r="Q795" s="34">
        <f>_xlfn.XLOOKUP(TablaSTOCKINV[[#This Row],[SKU]],TablaINVENTARIO[SKU],TablaINVENTARIO[PRECIO])</f>
        <v>0</v>
      </c>
      <c r="R795" s="34">
        <f>TablaSTOCKINV[[#This Row],[P.UNITARIO]]*TablaSTOCKINV[[#This Row],[CANT. TOTAL]]</f>
        <v>0</v>
      </c>
      <c r="S795" s="44">
        <f>_xlfn.XLOOKUP(TablaSTOCKINV[[#This Row],[SKU]],TablaINVENTARIO[SKU],TablaINVENTARIO[FECHA INGRESO])</f>
        <v>46023</v>
      </c>
      <c r="T795" s="44">
        <f>_xlfn.XLOOKUP(TablaSTOCKINV[[#This Row],[SKU]],TablaENTRADA[SKU],TablaENTRADA[FECHA],,0,-1)</f>
        <v>46023</v>
      </c>
      <c r="U795" s="46" t="str">
        <f>IFERROR((_xlfn.XLOOKUP(TablaSTOCKINV[[#This Row],[SKU]],TablaSALIDA[SKU],TablaSALIDA[FECHA],,0,-1))," " )</f>
        <v xml:space="preserve"> </v>
      </c>
    </row>
    <row r="796" spans="1:21" x14ac:dyDescent="0.3">
      <c r="A796" s="27" t="s">
        <v>655</v>
      </c>
      <c r="B796" s="32" t="str">
        <f>_xlfn.XLOOKUP(TablaSTOCKINV[[#This Row],[SKU]],TablaINVENTARIO[SKU],TablaINVENTARIO[DESCRIPCION])</f>
        <v>SOPORTE DE TRANSMISOR (KIT)</v>
      </c>
      <c r="C796" s="32" t="str">
        <f>_xlfn.XLOOKUP(TablaSTOCKINV[[#This Row],[SKU]],TablaINVENTARIO[SKU],TablaINVENTARIO[MARCA])</f>
        <v>N/A</v>
      </c>
      <c r="D796" s="33" t="str">
        <f>_xlfn.XLOOKUP(TablaSTOCKINV[[#This Row],[SKU]],TablaINVENTARIO[SKU],TablaINVENTARIO[CATEGORIA])</f>
        <v>FABRICACION</v>
      </c>
      <c r="E796" s="33" t="str">
        <f>_xlfn.XLOOKUP(TablaSTOCKINV[[#This Row],[SKU]],TablaINVENTARIO[SKU],TablaINVENTARIO[SUBCATEGORIA])</f>
        <v>MATERIAL MECANICO</v>
      </c>
      <c r="F796" s="33" t="str">
        <f>_xlfn.XLOOKUP(TablaSTOCKINV[[#This Row],[SKU]],TablaINVENTARIO[SKU],TablaINVENTARIO[ESTADO])</f>
        <v xml:space="preserve">NUEVO </v>
      </c>
      <c r="G796" s="33" t="str">
        <f>_xlfn.XLOOKUP(TablaSTOCKINV[[#This Row],[SKU]],TablaINVENTARIO[SKU],TablaINVENTARIO[MEDIDA])</f>
        <v xml:space="preserve">KIT </v>
      </c>
      <c r="H796" s="33" t="str">
        <f>_xlfn.XLOOKUP(TablaSTOCKINV[[#This Row],[SKU]],TablaINVENTARIO[SKU],TablaINVENTARIO[SERIAL])</f>
        <v>N/A</v>
      </c>
      <c r="I796" s="34" t="str">
        <f>_xlfn.XLOOKUP(TablaSTOCKINV[[#This Row],[SKU]],TablaINVENTARIO[SKU],TablaINVENTARIO[ALMACEN])</f>
        <v>ALMACEN PRINCIPAL</v>
      </c>
      <c r="J796" s="34" t="str">
        <f>_xlfn.XLOOKUP(TablaSTOCKINV[[#This Row],[SKU]],TablaINVENTARIO[SKU],TablaINVENTARIO[UBICACION])</f>
        <v>J3-2</v>
      </c>
      <c r="K796" s="34" t="str">
        <f>_xlfn.XLOOKUP(TablaSTOCKINV[[#This Row],[SKU]],TablaINVENTARIO[SKU],TablaINVENTARIO[DPTO RESPONSABLE])</f>
        <v xml:space="preserve">OPERACIONES </v>
      </c>
      <c r="L796" s="36">
        <f>_xlfn.XLOOKUP(TablaSTOCKINV[[#This Row],[SKU]],TablaINVENTARIO[SKU],TablaINVENTARIO[RANGO MIN])</f>
        <v>0</v>
      </c>
      <c r="M796" s="34" cm="1">
        <f t="array" ref="M796">_xlfn.IFS(TablaSTOCKINV[[#This Row],[CANT. TOTAL]]&lt;=0,1,TablaSTOCKINV[[#This Row],[CANT. TOTAL]]&lt;=TablaSTOCKINV[[#This Row],[MIN]],2,TablaSTOCKINV[[#This Row],[CANT. TOTAL]]&gt;TablaSTOCKINV[[#This Row],[MIN]],3)</f>
        <v>3</v>
      </c>
      <c r="N796" s="34">
        <f>TablaSTOCKINV[[#This Row],[ENTRADAS]]-TablaSTOCKINV[[#This Row],[SALIDAS]]</f>
        <v>14</v>
      </c>
      <c r="O796" s="35">
        <f>SUMIFS(TablaENTRADA[CANT],TablaENTRADA[SKU],TablaSTOCKINV[[#This Row],[SKU]])</f>
        <v>14</v>
      </c>
      <c r="P796" s="35">
        <f>SUMIFS(TablaSALIDA[CANT],TablaSALIDA[SKU],TablaSTOCKINV[[#This Row],[SKU]])</f>
        <v>0</v>
      </c>
      <c r="Q796" s="34">
        <f>_xlfn.XLOOKUP(TablaSTOCKINV[[#This Row],[SKU]],TablaINVENTARIO[SKU],TablaINVENTARIO[PRECIO])</f>
        <v>0</v>
      </c>
      <c r="R796" s="34">
        <f>TablaSTOCKINV[[#This Row],[P.UNITARIO]]*TablaSTOCKINV[[#This Row],[CANT. TOTAL]]</f>
        <v>0</v>
      </c>
      <c r="S796" s="44">
        <f>_xlfn.XLOOKUP(TablaSTOCKINV[[#This Row],[SKU]],TablaINVENTARIO[SKU],TablaINVENTARIO[FECHA INGRESO])</f>
        <v>46023</v>
      </c>
      <c r="T796" s="44">
        <f>_xlfn.XLOOKUP(TablaSTOCKINV[[#This Row],[SKU]],TablaENTRADA[SKU],TablaENTRADA[FECHA],,0,-1)</f>
        <v>46023</v>
      </c>
      <c r="U796" s="46" t="str">
        <f>IFERROR((_xlfn.XLOOKUP(TablaSTOCKINV[[#This Row],[SKU]],TablaSALIDA[SKU],TablaSALIDA[FECHA],,0,-1))," " )</f>
        <v xml:space="preserve"> </v>
      </c>
    </row>
    <row r="797" spans="1:21" x14ac:dyDescent="0.3">
      <c r="A797" s="27" t="s">
        <v>657</v>
      </c>
      <c r="B797" s="32" t="str">
        <f>_xlfn.XLOOKUP(TablaSTOCKINV[[#This Row],[SKU]],TablaINVENTARIO[SKU],TablaINVENTARIO[DESCRIPCION])</f>
        <v xml:space="preserve">SOPORTE DE TRANSMISOR </v>
      </c>
      <c r="C797" s="32" t="str">
        <f>_xlfn.XLOOKUP(TablaSTOCKINV[[#This Row],[SKU]],TablaINVENTARIO[SKU],TablaINVENTARIO[MARCA])</f>
        <v>N/A</v>
      </c>
      <c r="D797" s="33" t="str">
        <f>_xlfn.XLOOKUP(TablaSTOCKINV[[#This Row],[SKU]],TablaINVENTARIO[SKU],TablaINVENTARIO[CATEGORIA])</f>
        <v>FABRICACION</v>
      </c>
      <c r="E797" s="33" t="str">
        <f>_xlfn.XLOOKUP(TablaSTOCKINV[[#This Row],[SKU]],TablaINVENTARIO[SKU],TablaINVENTARIO[SUBCATEGORIA])</f>
        <v>MATERIAL MECANICO</v>
      </c>
      <c r="F797" s="33" t="str">
        <f>_xlfn.XLOOKUP(TablaSTOCKINV[[#This Row],[SKU]],TablaINVENTARIO[SKU],TablaINVENTARIO[ESTADO])</f>
        <v xml:space="preserve">NUEVO </v>
      </c>
      <c r="G797" s="33" t="str">
        <f>_xlfn.XLOOKUP(TablaSTOCKINV[[#This Row],[SKU]],TablaINVENTARIO[SKU],TablaINVENTARIO[MEDIDA])</f>
        <v xml:space="preserve">UND </v>
      </c>
      <c r="H797" s="33" t="str">
        <f>_xlfn.XLOOKUP(TablaSTOCKINV[[#This Row],[SKU]],TablaINVENTARIO[SKU],TablaINVENTARIO[SERIAL])</f>
        <v>N/A</v>
      </c>
      <c r="I797" s="34" t="str">
        <f>_xlfn.XLOOKUP(TablaSTOCKINV[[#This Row],[SKU]],TablaINVENTARIO[SKU],TablaINVENTARIO[ALMACEN])</f>
        <v>ALMACEN PRINCIPAL</v>
      </c>
      <c r="J797" s="34" t="str">
        <f>_xlfn.XLOOKUP(TablaSTOCKINV[[#This Row],[SKU]],TablaINVENTARIO[SKU],TablaINVENTARIO[UBICACION])</f>
        <v>J3-2</v>
      </c>
      <c r="K797" s="34" t="str">
        <f>_xlfn.XLOOKUP(TablaSTOCKINV[[#This Row],[SKU]],TablaINVENTARIO[SKU],TablaINVENTARIO[DPTO RESPONSABLE])</f>
        <v xml:space="preserve">OPERACIONES </v>
      </c>
      <c r="L797" s="36">
        <f>_xlfn.XLOOKUP(TablaSTOCKINV[[#This Row],[SKU]],TablaINVENTARIO[SKU],TablaINVENTARIO[RANGO MIN])</f>
        <v>0</v>
      </c>
      <c r="M797" s="34" cm="1">
        <f t="array" ref="M797">_xlfn.IFS(TablaSTOCKINV[[#This Row],[CANT. TOTAL]]&lt;=0,1,TablaSTOCKINV[[#This Row],[CANT. TOTAL]]&lt;=TablaSTOCKINV[[#This Row],[MIN]],2,TablaSTOCKINV[[#This Row],[CANT. TOTAL]]&gt;TablaSTOCKINV[[#This Row],[MIN]],3)</f>
        <v>3</v>
      </c>
      <c r="N797" s="34">
        <f>TablaSTOCKINV[[#This Row],[ENTRADAS]]-TablaSTOCKINV[[#This Row],[SALIDAS]]</f>
        <v>12</v>
      </c>
      <c r="O797" s="35">
        <f>SUMIFS(TablaENTRADA[CANT],TablaENTRADA[SKU],TablaSTOCKINV[[#This Row],[SKU]])</f>
        <v>12</v>
      </c>
      <c r="P797" s="35">
        <f>SUMIFS(TablaSALIDA[CANT],TablaSALIDA[SKU],TablaSTOCKINV[[#This Row],[SKU]])</f>
        <v>0</v>
      </c>
      <c r="Q797" s="34">
        <f>_xlfn.XLOOKUP(TablaSTOCKINV[[#This Row],[SKU]],TablaINVENTARIO[SKU],TablaINVENTARIO[PRECIO])</f>
        <v>0</v>
      </c>
      <c r="R797" s="34">
        <f>TablaSTOCKINV[[#This Row],[P.UNITARIO]]*TablaSTOCKINV[[#This Row],[CANT. TOTAL]]</f>
        <v>0</v>
      </c>
      <c r="S797" s="44">
        <f>_xlfn.XLOOKUP(TablaSTOCKINV[[#This Row],[SKU]],TablaINVENTARIO[SKU],TablaINVENTARIO[FECHA INGRESO])</f>
        <v>46023</v>
      </c>
      <c r="T797" s="44">
        <f>_xlfn.XLOOKUP(TablaSTOCKINV[[#This Row],[SKU]],TablaENTRADA[SKU],TablaENTRADA[FECHA],,0,-1)</f>
        <v>46023</v>
      </c>
      <c r="U797" s="46" t="str">
        <f>IFERROR((_xlfn.XLOOKUP(TablaSTOCKINV[[#This Row],[SKU]],TablaSALIDA[SKU],TablaSALIDA[FECHA],,0,-1))," " )</f>
        <v xml:space="preserve"> </v>
      </c>
    </row>
    <row r="798" spans="1:21" x14ac:dyDescent="0.3">
      <c r="A798" s="27" t="s">
        <v>659</v>
      </c>
      <c r="B798" s="32" t="str">
        <f>_xlfn.XLOOKUP(TablaSTOCKINV[[#This Row],[SKU]],TablaINVENTARIO[SKU],TablaINVENTARIO[DESCRIPCION])</f>
        <v>TAPON 2"</v>
      </c>
      <c r="C798" s="32" t="str">
        <f>_xlfn.XLOOKUP(TablaSTOCKINV[[#This Row],[SKU]],TablaINVENTARIO[SKU],TablaINVENTARIO[MARCA])</f>
        <v>N/A</v>
      </c>
      <c r="D798" s="33" t="str">
        <f>_xlfn.XLOOKUP(TablaSTOCKINV[[#This Row],[SKU]],TablaINVENTARIO[SKU],TablaINVENTARIO[CATEGORIA])</f>
        <v>FABRICACION</v>
      </c>
      <c r="E798" s="33" t="str">
        <f>_xlfn.XLOOKUP(TablaSTOCKINV[[#This Row],[SKU]],TablaINVENTARIO[SKU],TablaINVENTARIO[SUBCATEGORIA])</f>
        <v>MATERIAL MECANICO</v>
      </c>
      <c r="F798" s="33" t="str">
        <f>_xlfn.XLOOKUP(TablaSTOCKINV[[#This Row],[SKU]],TablaINVENTARIO[SKU],TablaINVENTARIO[ESTADO])</f>
        <v>USADO</v>
      </c>
      <c r="G798" s="33" t="str">
        <f>_xlfn.XLOOKUP(TablaSTOCKINV[[#This Row],[SKU]],TablaINVENTARIO[SKU],TablaINVENTARIO[MEDIDA])</f>
        <v xml:space="preserve">UND </v>
      </c>
      <c r="H798" s="33" t="str">
        <f>_xlfn.XLOOKUP(TablaSTOCKINV[[#This Row],[SKU]],TablaINVENTARIO[SKU],TablaINVENTARIO[SERIAL])</f>
        <v>N/A</v>
      </c>
      <c r="I798" s="34" t="str">
        <f>_xlfn.XLOOKUP(TablaSTOCKINV[[#This Row],[SKU]],TablaINVENTARIO[SKU],TablaINVENTARIO[ALMACEN])</f>
        <v>ALMACEN PRINCIPAL</v>
      </c>
      <c r="J798" s="34" t="str">
        <f>_xlfn.XLOOKUP(TablaSTOCKINV[[#This Row],[SKU]],TablaINVENTARIO[SKU],TablaINVENTARIO[UBICACION])</f>
        <v>J2-1</v>
      </c>
      <c r="K798" s="34" t="str">
        <f>_xlfn.XLOOKUP(TablaSTOCKINV[[#This Row],[SKU]],TablaINVENTARIO[SKU],TablaINVENTARIO[DPTO RESPONSABLE])</f>
        <v xml:space="preserve">OPERACIONES </v>
      </c>
      <c r="L798" s="36">
        <f>_xlfn.XLOOKUP(TablaSTOCKINV[[#This Row],[SKU]],TablaINVENTARIO[SKU],TablaINVENTARIO[RANGO MIN])</f>
        <v>0</v>
      </c>
      <c r="M798" s="34" cm="1">
        <f t="array" ref="M798">_xlfn.IFS(TablaSTOCKINV[[#This Row],[CANT. TOTAL]]&lt;=0,1,TablaSTOCKINV[[#This Row],[CANT. TOTAL]]&lt;=TablaSTOCKINV[[#This Row],[MIN]],2,TablaSTOCKINV[[#This Row],[CANT. TOTAL]]&gt;TablaSTOCKINV[[#This Row],[MIN]],3)</f>
        <v>3</v>
      </c>
      <c r="N798" s="34">
        <f>TablaSTOCKINV[[#This Row],[ENTRADAS]]-TablaSTOCKINV[[#This Row],[SALIDAS]]</f>
        <v>4</v>
      </c>
      <c r="O798" s="35">
        <f>SUMIFS(TablaENTRADA[CANT],TablaENTRADA[SKU],TablaSTOCKINV[[#This Row],[SKU]])</f>
        <v>4</v>
      </c>
      <c r="P798" s="35">
        <f>SUMIFS(TablaSALIDA[CANT],TablaSALIDA[SKU],TablaSTOCKINV[[#This Row],[SKU]])</f>
        <v>0</v>
      </c>
      <c r="Q798" s="34">
        <f>_xlfn.XLOOKUP(TablaSTOCKINV[[#This Row],[SKU]],TablaINVENTARIO[SKU],TablaINVENTARIO[PRECIO])</f>
        <v>0</v>
      </c>
      <c r="R798" s="34">
        <f>TablaSTOCKINV[[#This Row],[P.UNITARIO]]*TablaSTOCKINV[[#This Row],[CANT. TOTAL]]</f>
        <v>0</v>
      </c>
      <c r="S798" s="44">
        <f>_xlfn.XLOOKUP(TablaSTOCKINV[[#This Row],[SKU]],TablaINVENTARIO[SKU],TablaINVENTARIO[FECHA INGRESO])</f>
        <v>46023</v>
      </c>
      <c r="T798" s="44">
        <f>_xlfn.XLOOKUP(TablaSTOCKINV[[#This Row],[SKU]],TablaENTRADA[SKU],TablaENTRADA[FECHA],,0,-1)</f>
        <v>46023</v>
      </c>
      <c r="U798" s="46" t="str">
        <f>IFERROR((_xlfn.XLOOKUP(TablaSTOCKINV[[#This Row],[SKU]],TablaSALIDA[SKU],TablaSALIDA[FECHA],,0,-1))," " )</f>
        <v xml:space="preserve"> </v>
      </c>
    </row>
    <row r="799" spans="1:21" x14ac:dyDescent="0.3">
      <c r="A799" s="27" t="s">
        <v>662</v>
      </c>
      <c r="B799" s="32" t="str">
        <f>_xlfn.XLOOKUP(TablaSTOCKINV[[#This Row],[SKU]],TablaINVENTARIO[SKU],TablaINVENTARIO[DESCRIPCION])</f>
        <v>TAPON 1-1/2"</v>
      </c>
      <c r="C799" s="32" t="str">
        <f>_xlfn.XLOOKUP(TablaSTOCKINV[[#This Row],[SKU]],TablaINVENTARIO[SKU],TablaINVENTARIO[MARCA])</f>
        <v>N/A</v>
      </c>
      <c r="D799" s="33" t="str">
        <f>_xlfn.XLOOKUP(TablaSTOCKINV[[#This Row],[SKU]],TablaINVENTARIO[SKU],TablaINVENTARIO[CATEGORIA])</f>
        <v>FABRICACION</v>
      </c>
      <c r="E799" s="33" t="str">
        <f>_xlfn.XLOOKUP(TablaSTOCKINV[[#This Row],[SKU]],TablaINVENTARIO[SKU],TablaINVENTARIO[SUBCATEGORIA])</f>
        <v>MATERIAL MECANICO</v>
      </c>
      <c r="F799" s="33" t="str">
        <f>_xlfn.XLOOKUP(TablaSTOCKINV[[#This Row],[SKU]],TablaINVENTARIO[SKU],TablaINVENTARIO[ESTADO])</f>
        <v>USADO</v>
      </c>
      <c r="G799" s="33" t="str">
        <f>_xlfn.XLOOKUP(TablaSTOCKINV[[#This Row],[SKU]],TablaINVENTARIO[SKU],TablaINVENTARIO[MEDIDA])</f>
        <v xml:space="preserve">UND </v>
      </c>
      <c r="H799" s="33" t="str">
        <f>_xlfn.XLOOKUP(TablaSTOCKINV[[#This Row],[SKU]],TablaINVENTARIO[SKU],TablaINVENTARIO[SERIAL])</f>
        <v>N/A</v>
      </c>
      <c r="I799" s="34" t="str">
        <f>_xlfn.XLOOKUP(TablaSTOCKINV[[#This Row],[SKU]],TablaINVENTARIO[SKU],TablaINVENTARIO[ALMACEN])</f>
        <v>ALMACEN PRINCIPAL</v>
      </c>
      <c r="J799" s="34" t="str">
        <f>_xlfn.XLOOKUP(TablaSTOCKINV[[#This Row],[SKU]],TablaINVENTARIO[SKU],TablaINVENTARIO[UBICACION])</f>
        <v>J2-2</v>
      </c>
      <c r="K799" s="34" t="str">
        <f>_xlfn.XLOOKUP(TablaSTOCKINV[[#This Row],[SKU]],TablaINVENTARIO[SKU],TablaINVENTARIO[DPTO RESPONSABLE])</f>
        <v xml:space="preserve">OPERACIONES </v>
      </c>
      <c r="L799" s="36">
        <f>_xlfn.XLOOKUP(TablaSTOCKINV[[#This Row],[SKU]],TablaINVENTARIO[SKU],TablaINVENTARIO[RANGO MIN])</f>
        <v>0</v>
      </c>
      <c r="M799" s="34" cm="1">
        <f t="array" ref="M799">_xlfn.IFS(TablaSTOCKINV[[#This Row],[CANT. TOTAL]]&lt;=0,1,TablaSTOCKINV[[#This Row],[CANT. TOTAL]]&lt;=TablaSTOCKINV[[#This Row],[MIN]],2,TablaSTOCKINV[[#This Row],[CANT. TOTAL]]&gt;TablaSTOCKINV[[#This Row],[MIN]],3)</f>
        <v>3</v>
      </c>
      <c r="N799" s="34">
        <f>TablaSTOCKINV[[#This Row],[ENTRADAS]]-TablaSTOCKINV[[#This Row],[SALIDAS]]</f>
        <v>2</v>
      </c>
      <c r="O799" s="35">
        <f>SUMIFS(TablaENTRADA[CANT],TablaENTRADA[SKU],TablaSTOCKINV[[#This Row],[SKU]])</f>
        <v>2</v>
      </c>
      <c r="P799" s="35">
        <f>SUMIFS(TablaSALIDA[CANT],TablaSALIDA[SKU],TablaSTOCKINV[[#This Row],[SKU]])</f>
        <v>0</v>
      </c>
      <c r="Q799" s="34">
        <f>_xlfn.XLOOKUP(TablaSTOCKINV[[#This Row],[SKU]],TablaINVENTARIO[SKU],TablaINVENTARIO[PRECIO])</f>
        <v>0</v>
      </c>
      <c r="R799" s="34">
        <f>TablaSTOCKINV[[#This Row],[P.UNITARIO]]*TablaSTOCKINV[[#This Row],[CANT. TOTAL]]</f>
        <v>0</v>
      </c>
      <c r="S799" s="44">
        <f>_xlfn.XLOOKUP(TablaSTOCKINV[[#This Row],[SKU]],TablaINVENTARIO[SKU],TablaINVENTARIO[FECHA INGRESO])</f>
        <v>46023</v>
      </c>
      <c r="T799" s="44">
        <f>_xlfn.XLOOKUP(TablaSTOCKINV[[#This Row],[SKU]],TablaENTRADA[SKU],TablaENTRADA[FECHA],,0,-1)</f>
        <v>46023</v>
      </c>
      <c r="U799" s="46" t="str">
        <f>IFERROR((_xlfn.XLOOKUP(TablaSTOCKINV[[#This Row],[SKU]],TablaSALIDA[SKU],TablaSALIDA[FECHA],,0,-1))," " )</f>
        <v xml:space="preserve"> </v>
      </c>
    </row>
    <row r="800" spans="1:21" x14ac:dyDescent="0.3">
      <c r="A800" s="27" t="s">
        <v>665</v>
      </c>
      <c r="B800" s="32" t="str">
        <f>_xlfn.XLOOKUP(TablaSTOCKINV[[#This Row],[SKU]],TablaINVENTARIO[SKU],TablaINVENTARIO[DESCRIPCION])</f>
        <v>TAPON 1-1/4"</v>
      </c>
      <c r="C800" s="32" t="str">
        <f>_xlfn.XLOOKUP(TablaSTOCKINV[[#This Row],[SKU]],TablaINVENTARIO[SKU],TablaINVENTARIO[MARCA])</f>
        <v>N/A</v>
      </c>
      <c r="D800" s="33" t="str">
        <f>_xlfn.XLOOKUP(TablaSTOCKINV[[#This Row],[SKU]],TablaINVENTARIO[SKU],TablaINVENTARIO[CATEGORIA])</f>
        <v>FABRICACION</v>
      </c>
      <c r="E800" s="33" t="str">
        <f>_xlfn.XLOOKUP(TablaSTOCKINV[[#This Row],[SKU]],TablaINVENTARIO[SKU],TablaINVENTARIO[SUBCATEGORIA])</f>
        <v>MATERIAL MECANICO</v>
      </c>
      <c r="F800" s="33" t="str">
        <f>_xlfn.XLOOKUP(TablaSTOCKINV[[#This Row],[SKU]],TablaINVENTARIO[SKU],TablaINVENTARIO[ESTADO])</f>
        <v>USADO</v>
      </c>
      <c r="G800" s="33" t="str">
        <f>_xlfn.XLOOKUP(TablaSTOCKINV[[#This Row],[SKU]],TablaINVENTARIO[SKU],TablaINVENTARIO[MEDIDA])</f>
        <v xml:space="preserve">UND </v>
      </c>
      <c r="H800" s="33" t="str">
        <f>_xlfn.XLOOKUP(TablaSTOCKINV[[#This Row],[SKU]],TablaINVENTARIO[SKU],TablaINVENTARIO[SERIAL])</f>
        <v>N/A</v>
      </c>
      <c r="I800" s="34" t="str">
        <f>_xlfn.XLOOKUP(TablaSTOCKINV[[#This Row],[SKU]],TablaINVENTARIO[SKU],TablaINVENTARIO[ALMACEN])</f>
        <v>ALMACEN PRINCIPAL</v>
      </c>
      <c r="J800" s="34" t="str">
        <f>_xlfn.XLOOKUP(TablaSTOCKINV[[#This Row],[SKU]],TablaINVENTARIO[SKU],TablaINVENTARIO[UBICACION])</f>
        <v>J2-2</v>
      </c>
      <c r="K800" s="34" t="str">
        <f>_xlfn.XLOOKUP(TablaSTOCKINV[[#This Row],[SKU]],TablaINVENTARIO[SKU],TablaINVENTARIO[DPTO RESPONSABLE])</f>
        <v xml:space="preserve">OPERACIONES </v>
      </c>
      <c r="L800" s="36">
        <f>_xlfn.XLOOKUP(TablaSTOCKINV[[#This Row],[SKU]],TablaINVENTARIO[SKU],TablaINVENTARIO[RANGO MIN])</f>
        <v>0</v>
      </c>
      <c r="M800" s="34" cm="1">
        <f t="array" ref="M800">_xlfn.IFS(TablaSTOCKINV[[#This Row],[CANT. TOTAL]]&lt;=0,1,TablaSTOCKINV[[#This Row],[CANT. TOTAL]]&lt;=TablaSTOCKINV[[#This Row],[MIN]],2,TablaSTOCKINV[[#This Row],[CANT. TOTAL]]&gt;TablaSTOCKINV[[#This Row],[MIN]],3)</f>
        <v>3</v>
      </c>
      <c r="N800" s="34">
        <f>TablaSTOCKINV[[#This Row],[ENTRADAS]]-TablaSTOCKINV[[#This Row],[SALIDAS]]</f>
        <v>2</v>
      </c>
      <c r="O800" s="35">
        <f>SUMIFS(TablaENTRADA[CANT],TablaENTRADA[SKU],TablaSTOCKINV[[#This Row],[SKU]])</f>
        <v>2</v>
      </c>
      <c r="P800" s="35">
        <f>SUMIFS(TablaSALIDA[CANT],TablaSALIDA[SKU],TablaSTOCKINV[[#This Row],[SKU]])</f>
        <v>0</v>
      </c>
      <c r="Q800" s="34">
        <f>_xlfn.XLOOKUP(TablaSTOCKINV[[#This Row],[SKU]],TablaINVENTARIO[SKU],TablaINVENTARIO[PRECIO])</f>
        <v>0</v>
      </c>
      <c r="R800" s="34">
        <f>TablaSTOCKINV[[#This Row],[P.UNITARIO]]*TablaSTOCKINV[[#This Row],[CANT. TOTAL]]</f>
        <v>0</v>
      </c>
      <c r="S800" s="44">
        <f>_xlfn.XLOOKUP(TablaSTOCKINV[[#This Row],[SKU]],TablaINVENTARIO[SKU],TablaINVENTARIO[FECHA INGRESO])</f>
        <v>46023</v>
      </c>
      <c r="T800" s="44">
        <f>_xlfn.XLOOKUP(TablaSTOCKINV[[#This Row],[SKU]],TablaENTRADA[SKU],TablaENTRADA[FECHA],,0,-1)</f>
        <v>46023</v>
      </c>
      <c r="U800" s="46" t="str">
        <f>IFERROR((_xlfn.XLOOKUP(TablaSTOCKINV[[#This Row],[SKU]],TablaSALIDA[SKU],TablaSALIDA[FECHA],,0,-1))," " )</f>
        <v xml:space="preserve"> </v>
      </c>
    </row>
    <row r="801" spans="1:21" x14ac:dyDescent="0.3">
      <c r="A801" s="27" t="s">
        <v>667</v>
      </c>
      <c r="B801" s="32" t="str">
        <f>_xlfn.XLOOKUP(TablaSTOCKINV[[#This Row],[SKU]],TablaINVENTARIO[SKU],TablaINVENTARIO[DESCRIPCION])</f>
        <v>TAPON 1"</v>
      </c>
      <c r="C801" s="32" t="str">
        <f>_xlfn.XLOOKUP(TablaSTOCKINV[[#This Row],[SKU]],TablaINVENTARIO[SKU],TablaINVENTARIO[MARCA])</f>
        <v>N/A</v>
      </c>
      <c r="D801" s="33" t="str">
        <f>_xlfn.XLOOKUP(TablaSTOCKINV[[#This Row],[SKU]],TablaINVENTARIO[SKU],TablaINVENTARIO[CATEGORIA])</f>
        <v>FABRICACION</v>
      </c>
      <c r="E801" s="33" t="str">
        <f>_xlfn.XLOOKUP(TablaSTOCKINV[[#This Row],[SKU]],TablaINVENTARIO[SKU],TablaINVENTARIO[SUBCATEGORIA])</f>
        <v>MATERIAL MECANICO</v>
      </c>
      <c r="F801" s="33" t="str">
        <f>_xlfn.XLOOKUP(TablaSTOCKINV[[#This Row],[SKU]],TablaINVENTARIO[SKU],TablaINVENTARIO[ESTADO])</f>
        <v>USADO</v>
      </c>
      <c r="G801" s="33" t="str">
        <f>_xlfn.XLOOKUP(TablaSTOCKINV[[#This Row],[SKU]],TablaINVENTARIO[SKU],TablaINVENTARIO[MEDIDA])</f>
        <v xml:space="preserve">UND </v>
      </c>
      <c r="H801" s="33" t="str">
        <f>_xlfn.XLOOKUP(TablaSTOCKINV[[#This Row],[SKU]],TablaINVENTARIO[SKU],TablaINVENTARIO[SERIAL])</f>
        <v>N/A</v>
      </c>
      <c r="I801" s="34" t="str">
        <f>_xlfn.XLOOKUP(TablaSTOCKINV[[#This Row],[SKU]],TablaINVENTARIO[SKU],TablaINVENTARIO[ALMACEN])</f>
        <v>ALMACEN PRINCIPAL</v>
      </c>
      <c r="J801" s="34" t="str">
        <f>_xlfn.XLOOKUP(TablaSTOCKINV[[#This Row],[SKU]],TablaINVENTARIO[SKU],TablaINVENTARIO[UBICACION])</f>
        <v>J2-2</v>
      </c>
      <c r="K801" s="34" t="str">
        <f>_xlfn.XLOOKUP(TablaSTOCKINV[[#This Row],[SKU]],TablaINVENTARIO[SKU],TablaINVENTARIO[DPTO RESPONSABLE])</f>
        <v xml:space="preserve">OPERACIONES </v>
      </c>
      <c r="L801" s="36">
        <f>_xlfn.XLOOKUP(TablaSTOCKINV[[#This Row],[SKU]],TablaINVENTARIO[SKU],TablaINVENTARIO[RANGO MIN])</f>
        <v>0</v>
      </c>
      <c r="M801" s="34" cm="1">
        <f t="array" ref="M801">_xlfn.IFS(TablaSTOCKINV[[#This Row],[CANT. TOTAL]]&lt;=0,1,TablaSTOCKINV[[#This Row],[CANT. TOTAL]]&lt;=TablaSTOCKINV[[#This Row],[MIN]],2,TablaSTOCKINV[[#This Row],[CANT. TOTAL]]&gt;TablaSTOCKINV[[#This Row],[MIN]],3)</f>
        <v>3</v>
      </c>
      <c r="N801" s="34">
        <f>TablaSTOCKINV[[#This Row],[ENTRADAS]]-TablaSTOCKINV[[#This Row],[SALIDAS]]</f>
        <v>4</v>
      </c>
      <c r="O801" s="35">
        <f>SUMIFS(TablaENTRADA[CANT],TablaENTRADA[SKU],TablaSTOCKINV[[#This Row],[SKU]])</f>
        <v>4</v>
      </c>
      <c r="P801" s="35">
        <f>SUMIFS(TablaSALIDA[CANT],TablaSALIDA[SKU],TablaSTOCKINV[[#This Row],[SKU]])</f>
        <v>0</v>
      </c>
      <c r="Q801" s="34">
        <f>_xlfn.XLOOKUP(TablaSTOCKINV[[#This Row],[SKU]],TablaINVENTARIO[SKU],TablaINVENTARIO[PRECIO])</f>
        <v>0</v>
      </c>
      <c r="R801" s="34">
        <f>TablaSTOCKINV[[#This Row],[P.UNITARIO]]*TablaSTOCKINV[[#This Row],[CANT. TOTAL]]</f>
        <v>0</v>
      </c>
      <c r="S801" s="44">
        <f>_xlfn.XLOOKUP(TablaSTOCKINV[[#This Row],[SKU]],TablaINVENTARIO[SKU],TablaINVENTARIO[FECHA INGRESO])</f>
        <v>46023</v>
      </c>
      <c r="T801" s="44">
        <f>_xlfn.XLOOKUP(TablaSTOCKINV[[#This Row],[SKU]],TablaENTRADA[SKU],TablaENTRADA[FECHA],,0,-1)</f>
        <v>46023</v>
      </c>
      <c r="U801" s="46" t="str">
        <f>IFERROR((_xlfn.XLOOKUP(TablaSTOCKINV[[#This Row],[SKU]],TablaSALIDA[SKU],TablaSALIDA[FECHA],,0,-1))," " )</f>
        <v xml:space="preserve"> </v>
      </c>
    </row>
    <row r="802" spans="1:21" x14ac:dyDescent="0.3">
      <c r="A802" s="27" t="s">
        <v>669</v>
      </c>
      <c r="B802" s="32" t="str">
        <f>_xlfn.XLOOKUP(TablaSTOCKINV[[#This Row],[SKU]],TablaINVENTARIO[SKU],TablaINVENTARIO[DESCRIPCION])</f>
        <v>TAPON 1/2"</v>
      </c>
      <c r="C802" s="32" t="str">
        <f>_xlfn.XLOOKUP(TablaSTOCKINV[[#This Row],[SKU]],TablaINVENTARIO[SKU],TablaINVENTARIO[MARCA])</f>
        <v>N/A</v>
      </c>
      <c r="D802" s="33" t="str">
        <f>_xlfn.XLOOKUP(TablaSTOCKINV[[#This Row],[SKU]],TablaINVENTARIO[SKU],TablaINVENTARIO[CATEGORIA])</f>
        <v>FABRICACION</v>
      </c>
      <c r="E802" s="33" t="str">
        <f>_xlfn.XLOOKUP(TablaSTOCKINV[[#This Row],[SKU]],TablaINVENTARIO[SKU],TablaINVENTARIO[SUBCATEGORIA])</f>
        <v>MATERIAL MECANICO</v>
      </c>
      <c r="F802" s="33" t="str">
        <f>_xlfn.XLOOKUP(TablaSTOCKINV[[#This Row],[SKU]],TablaINVENTARIO[SKU],TablaINVENTARIO[ESTADO])</f>
        <v>USADO</v>
      </c>
      <c r="G802" s="33" t="str">
        <f>_xlfn.XLOOKUP(TablaSTOCKINV[[#This Row],[SKU]],TablaINVENTARIO[SKU],TablaINVENTARIO[MEDIDA])</f>
        <v xml:space="preserve">UND </v>
      </c>
      <c r="H802" s="33" t="str">
        <f>_xlfn.XLOOKUP(TablaSTOCKINV[[#This Row],[SKU]],TablaINVENTARIO[SKU],TablaINVENTARIO[SERIAL])</f>
        <v>N/A</v>
      </c>
      <c r="I802" s="34" t="str">
        <f>_xlfn.XLOOKUP(TablaSTOCKINV[[#This Row],[SKU]],TablaINVENTARIO[SKU],TablaINVENTARIO[ALMACEN])</f>
        <v>ALMACEN PRINCIPAL</v>
      </c>
      <c r="J802" s="34" t="str">
        <f>_xlfn.XLOOKUP(TablaSTOCKINV[[#This Row],[SKU]],TablaINVENTARIO[SKU],TablaINVENTARIO[UBICACION])</f>
        <v>J2-2</v>
      </c>
      <c r="K802" s="34" t="str">
        <f>_xlfn.XLOOKUP(TablaSTOCKINV[[#This Row],[SKU]],TablaINVENTARIO[SKU],TablaINVENTARIO[DPTO RESPONSABLE])</f>
        <v xml:space="preserve">OPERACIONES </v>
      </c>
      <c r="L802" s="36">
        <f>_xlfn.XLOOKUP(TablaSTOCKINV[[#This Row],[SKU]],TablaINVENTARIO[SKU],TablaINVENTARIO[RANGO MIN])</f>
        <v>0</v>
      </c>
      <c r="M802" s="34" cm="1">
        <f t="array" ref="M802">_xlfn.IFS(TablaSTOCKINV[[#This Row],[CANT. TOTAL]]&lt;=0,1,TablaSTOCKINV[[#This Row],[CANT. TOTAL]]&lt;=TablaSTOCKINV[[#This Row],[MIN]],2,TablaSTOCKINV[[#This Row],[CANT. TOTAL]]&gt;TablaSTOCKINV[[#This Row],[MIN]],3)</f>
        <v>3</v>
      </c>
      <c r="N802" s="34">
        <f>TablaSTOCKINV[[#This Row],[ENTRADAS]]-TablaSTOCKINV[[#This Row],[SALIDAS]]</f>
        <v>4</v>
      </c>
      <c r="O802" s="35">
        <f>SUMIFS(TablaENTRADA[CANT],TablaENTRADA[SKU],TablaSTOCKINV[[#This Row],[SKU]])</f>
        <v>4</v>
      </c>
      <c r="P802" s="35">
        <f>SUMIFS(TablaSALIDA[CANT],TablaSALIDA[SKU],TablaSTOCKINV[[#This Row],[SKU]])</f>
        <v>0</v>
      </c>
      <c r="Q802" s="34">
        <f>_xlfn.XLOOKUP(TablaSTOCKINV[[#This Row],[SKU]],TablaINVENTARIO[SKU],TablaINVENTARIO[PRECIO])</f>
        <v>0</v>
      </c>
      <c r="R802" s="34">
        <f>TablaSTOCKINV[[#This Row],[P.UNITARIO]]*TablaSTOCKINV[[#This Row],[CANT. TOTAL]]</f>
        <v>0</v>
      </c>
      <c r="S802" s="44">
        <f>_xlfn.XLOOKUP(TablaSTOCKINV[[#This Row],[SKU]],TablaINVENTARIO[SKU],TablaINVENTARIO[FECHA INGRESO])</f>
        <v>46023</v>
      </c>
      <c r="T802" s="44">
        <f>_xlfn.XLOOKUP(TablaSTOCKINV[[#This Row],[SKU]],TablaENTRADA[SKU],TablaENTRADA[FECHA],,0,-1)</f>
        <v>46023</v>
      </c>
      <c r="U802" s="46" t="str">
        <f>IFERROR((_xlfn.XLOOKUP(TablaSTOCKINV[[#This Row],[SKU]],TablaSALIDA[SKU],TablaSALIDA[FECHA],,0,-1))," " )</f>
        <v xml:space="preserve"> </v>
      </c>
    </row>
    <row r="803" spans="1:21" x14ac:dyDescent="0.3">
      <c r="A803" s="27" t="s">
        <v>671</v>
      </c>
      <c r="B803" s="32" t="str">
        <f>_xlfn.XLOOKUP(TablaSTOCKINV[[#This Row],[SKU]],TablaINVENTARIO[SKU],TablaINVENTARIO[DESCRIPCION])</f>
        <v>BUSHING REDUCTOR 2" X 1"</v>
      </c>
      <c r="C803" s="32" t="str">
        <f>_xlfn.XLOOKUP(TablaSTOCKINV[[#This Row],[SKU]],TablaINVENTARIO[SKU],TablaINVENTARIO[MARCA])</f>
        <v>N/A</v>
      </c>
      <c r="D803" s="33" t="str">
        <f>_xlfn.XLOOKUP(TablaSTOCKINV[[#This Row],[SKU]],TablaINVENTARIO[SKU],TablaINVENTARIO[CATEGORIA])</f>
        <v>FABRICACION</v>
      </c>
      <c r="E803" s="33" t="str">
        <f>_xlfn.XLOOKUP(TablaSTOCKINV[[#This Row],[SKU]],TablaINVENTARIO[SKU],TablaINVENTARIO[SUBCATEGORIA])</f>
        <v>MATERIAL MECANICO</v>
      </c>
      <c r="F803" s="33" t="str">
        <f>_xlfn.XLOOKUP(TablaSTOCKINV[[#This Row],[SKU]],TablaINVENTARIO[SKU],TablaINVENTARIO[ESTADO])</f>
        <v>USADO</v>
      </c>
      <c r="G803" s="33" t="str">
        <f>_xlfn.XLOOKUP(TablaSTOCKINV[[#This Row],[SKU]],TablaINVENTARIO[SKU],TablaINVENTARIO[MEDIDA])</f>
        <v xml:space="preserve">UND </v>
      </c>
      <c r="H803" s="33" t="str">
        <f>_xlfn.XLOOKUP(TablaSTOCKINV[[#This Row],[SKU]],TablaINVENTARIO[SKU],TablaINVENTARIO[SERIAL])</f>
        <v>N/A</v>
      </c>
      <c r="I803" s="34" t="str">
        <f>_xlfn.XLOOKUP(TablaSTOCKINV[[#This Row],[SKU]],TablaINVENTARIO[SKU],TablaINVENTARIO[ALMACEN])</f>
        <v>ALMACEN PRINCIPAL</v>
      </c>
      <c r="J803" s="34" t="str">
        <f>_xlfn.XLOOKUP(TablaSTOCKINV[[#This Row],[SKU]],TablaINVENTARIO[SKU],TablaINVENTARIO[UBICACION])</f>
        <v>J2-2</v>
      </c>
      <c r="K803" s="34" t="str">
        <f>_xlfn.XLOOKUP(TablaSTOCKINV[[#This Row],[SKU]],TablaINVENTARIO[SKU],TablaINVENTARIO[DPTO RESPONSABLE])</f>
        <v xml:space="preserve">OPERACIONES </v>
      </c>
      <c r="L803" s="36">
        <f>_xlfn.XLOOKUP(TablaSTOCKINV[[#This Row],[SKU]],TablaINVENTARIO[SKU],TablaINVENTARIO[RANGO MIN])</f>
        <v>0</v>
      </c>
      <c r="M803" s="34" cm="1">
        <f t="array" ref="M803">_xlfn.IFS(TablaSTOCKINV[[#This Row],[CANT. TOTAL]]&lt;=0,1,TablaSTOCKINV[[#This Row],[CANT. TOTAL]]&lt;=TablaSTOCKINV[[#This Row],[MIN]],2,TablaSTOCKINV[[#This Row],[CANT. TOTAL]]&gt;TablaSTOCKINV[[#This Row],[MIN]],3)</f>
        <v>3</v>
      </c>
      <c r="N803" s="34">
        <f>TablaSTOCKINV[[#This Row],[ENTRADAS]]-TablaSTOCKINV[[#This Row],[SALIDAS]]</f>
        <v>3</v>
      </c>
      <c r="O803" s="35">
        <f>SUMIFS(TablaENTRADA[CANT],TablaENTRADA[SKU],TablaSTOCKINV[[#This Row],[SKU]])</f>
        <v>3</v>
      </c>
      <c r="P803" s="35">
        <f>SUMIFS(TablaSALIDA[CANT],TablaSALIDA[SKU],TablaSTOCKINV[[#This Row],[SKU]])</f>
        <v>0</v>
      </c>
      <c r="Q803" s="34">
        <f>_xlfn.XLOOKUP(TablaSTOCKINV[[#This Row],[SKU]],TablaINVENTARIO[SKU],TablaINVENTARIO[PRECIO])</f>
        <v>0</v>
      </c>
      <c r="R803" s="34">
        <f>TablaSTOCKINV[[#This Row],[P.UNITARIO]]*TablaSTOCKINV[[#This Row],[CANT. TOTAL]]</f>
        <v>0</v>
      </c>
      <c r="S803" s="44">
        <f>_xlfn.XLOOKUP(TablaSTOCKINV[[#This Row],[SKU]],TablaINVENTARIO[SKU],TablaINVENTARIO[FECHA INGRESO])</f>
        <v>46023</v>
      </c>
      <c r="T803" s="44">
        <f>_xlfn.XLOOKUP(TablaSTOCKINV[[#This Row],[SKU]],TablaENTRADA[SKU],TablaENTRADA[FECHA],,0,-1)</f>
        <v>46023</v>
      </c>
      <c r="U803" s="46" t="str">
        <f>IFERROR((_xlfn.XLOOKUP(TablaSTOCKINV[[#This Row],[SKU]],TablaSALIDA[SKU],TablaSALIDA[FECHA],,0,-1))," " )</f>
        <v xml:space="preserve"> </v>
      </c>
    </row>
    <row r="804" spans="1:21" x14ac:dyDescent="0.3">
      <c r="A804" s="27" t="s">
        <v>673</v>
      </c>
      <c r="B804" s="32" t="str">
        <f>_xlfn.XLOOKUP(TablaSTOCKINV[[#This Row],[SKU]],TablaINVENTARIO[SKU],TablaINVENTARIO[DESCRIPCION])</f>
        <v>BUSHING REDUCTOR 1-1/2" X 1"</v>
      </c>
      <c r="C804" s="32" t="str">
        <f>_xlfn.XLOOKUP(TablaSTOCKINV[[#This Row],[SKU]],TablaINVENTARIO[SKU],TablaINVENTARIO[MARCA])</f>
        <v>N/A</v>
      </c>
      <c r="D804" s="33" t="str">
        <f>_xlfn.XLOOKUP(TablaSTOCKINV[[#This Row],[SKU]],TablaINVENTARIO[SKU],TablaINVENTARIO[CATEGORIA])</f>
        <v>FABRICACION</v>
      </c>
      <c r="E804" s="33" t="str">
        <f>_xlfn.XLOOKUP(TablaSTOCKINV[[#This Row],[SKU]],TablaINVENTARIO[SKU],TablaINVENTARIO[SUBCATEGORIA])</f>
        <v>MATERIAL MECANICO</v>
      </c>
      <c r="F804" s="33" t="str">
        <f>_xlfn.XLOOKUP(TablaSTOCKINV[[#This Row],[SKU]],TablaINVENTARIO[SKU],TablaINVENTARIO[ESTADO])</f>
        <v>USADO</v>
      </c>
      <c r="G804" s="33" t="str">
        <f>_xlfn.XLOOKUP(TablaSTOCKINV[[#This Row],[SKU]],TablaINVENTARIO[SKU],TablaINVENTARIO[MEDIDA])</f>
        <v xml:space="preserve">UND </v>
      </c>
      <c r="H804" s="33" t="str">
        <f>_xlfn.XLOOKUP(TablaSTOCKINV[[#This Row],[SKU]],TablaINVENTARIO[SKU],TablaINVENTARIO[SERIAL])</f>
        <v>N/A</v>
      </c>
      <c r="I804" s="34" t="str">
        <f>_xlfn.XLOOKUP(TablaSTOCKINV[[#This Row],[SKU]],TablaINVENTARIO[SKU],TablaINVENTARIO[ALMACEN])</f>
        <v>ALMACEN PRINCIPAL</v>
      </c>
      <c r="J804" s="34" t="str">
        <f>_xlfn.XLOOKUP(TablaSTOCKINV[[#This Row],[SKU]],TablaINVENTARIO[SKU],TablaINVENTARIO[UBICACION])</f>
        <v>J2-2</v>
      </c>
      <c r="K804" s="34" t="str">
        <f>_xlfn.XLOOKUP(TablaSTOCKINV[[#This Row],[SKU]],TablaINVENTARIO[SKU],TablaINVENTARIO[DPTO RESPONSABLE])</f>
        <v xml:space="preserve">OPERACIONES </v>
      </c>
      <c r="L804" s="36">
        <f>_xlfn.XLOOKUP(TablaSTOCKINV[[#This Row],[SKU]],TablaINVENTARIO[SKU],TablaINVENTARIO[RANGO MIN])</f>
        <v>0</v>
      </c>
      <c r="M804" s="34" cm="1">
        <f t="array" ref="M804">_xlfn.IFS(TablaSTOCKINV[[#This Row],[CANT. TOTAL]]&lt;=0,1,TablaSTOCKINV[[#This Row],[CANT. TOTAL]]&lt;=TablaSTOCKINV[[#This Row],[MIN]],2,TablaSTOCKINV[[#This Row],[CANT. TOTAL]]&gt;TablaSTOCKINV[[#This Row],[MIN]],3)</f>
        <v>3</v>
      </c>
      <c r="N804" s="34">
        <f>TablaSTOCKINV[[#This Row],[ENTRADAS]]-TablaSTOCKINV[[#This Row],[SALIDAS]]</f>
        <v>5</v>
      </c>
      <c r="O804" s="35">
        <f>SUMIFS(TablaENTRADA[CANT],TablaENTRADA[SKU],TablaSTOCKINV[[#This Row],[SKU]])</f>
        <v>5</v>
      </c>
      <c r="P804" s="35">
        <f>SUMIFS(TablaSALIDA[CANT],TablaSALIDA[SKU],TablaSTOCKINV[[#This Row],[SKU]])</f>
        <v>0</v>
      </c>
      <c r="Q804" s="34">
        <f>_xlfn.XLOOKUP(TablaSTOCKINV[[#This Row],[SKU]],TablaINVENTARIO[SKU],TablaINVENTARIO[PRECIO])</f>
        <v>0</v>
      </c>
      <c r="R804" s="34">
        <f>TablaSTOCKINV[[#This Row],[P.UNITARIO]]*TablaSTOCKINV[[#This Row],[CANT. TOTAL]]</f>
        <v>0</v>
      </c>
      <c r="S804" s="44">
        <f>_xlfn.XLOOKUP(TablaSTOCKINV[[#This Row],[SKU]],TablaINVENTARIO[SKU],TablaINVENTARIO[FECHA INGRESO])</f>
        <v>46023</v>
      </c>
      <c r="T804" s="44">
        <f>_xlfn.XLOOKUP(TablaSTOCKINV[[#This Row],[SKU]],TablaENTRADA[SKU],TablaENTRADA[FECHA],,0,-1)</f>
        <v>46023</v>
      </c>
      <c r="U804" s="46" t="str">
        <f>IFERROR((_xlfn.XLOOKUP(TablaSTOCKINV[[#This Row],[SKU]],TablaSALIDA[SKU],TablaSALIDA[FECHA],,0,-1))," " )</f>
        <v xml:space="preserve"> </v>
      </c>
    </row>
    <row r="805" spans="1:21" x14ac:dyDescent="0.3">
      <c r="A805" s="27" t="s">
        <v>675</v>
      </c>
      <c r="B805" s="32" t="str">
        <f>_xlfn.XLOOKUP(TablaSTOCKINV[[#This Row],[SKU]],TablaINVENTARIO[SKU],TablaINVENTARIO[DESCRIPCION])</f>
        <v>BUSHING REDUCTOR 1-1/2" X 3/4"</v>
      </c>
      <c r="C805" s="32" t="str">
        <f>_xlfn.XLOOKUP(TablaSTOCKINV[[#This Row],[SKU]],TablaINVENTARIO[SKU],TablaINVENTARIO[MARCA])</f>
        <v>N/A</v>
      </c>
      <c r="D805" s="33" t="str">
        <f>_xlfn.XLOOKUP(TablaSTOCKINV[[#This Row],[SKU]],TablaINVENTARIO[SKU],TablaINVENTARIO[CATEGORIA])</f>
        <v>FABRICACION</v>
      </c>
      <c r="E805" s="33" t="str">
        <f>_xlfn.XLOOKUP(TablaSTOCKINV[[#This Row],[SKU]],TablaINVENTARIO[SKU],TablaINVENTARIO[SUBCATEGORIA])</f>
        <v>MATERIAL MECANICO</v>
      </c>
      <c r="F805" s="33" t="str">
        <f>_xlfn.XLOOKUP(TablaSTOCKINV[[#This Row],[SKU]],TablaINVENTARIO[SKU],TablaINVENTARIO[ESTADO])</f>
        <v>USADO</v>
      </c>
      <c r="G805" s="33" t="str">
        <f>_xlfn.XLOOKUP(TablaSTOCKINV[[#This Row],[SKU]],TablaINVENTARIO[SKU],TablaINVENTARIO[MEDIDA])</f>
        <v xml:space="preserve">UND </v>
      </c>
      <c r="H805" s="33" t="str">
        <f>_xlfn.XLOOKUP(TablaSTOCKINV[[#This Row],[SKU]],TablaINVENTARIO[SKU],TablaINVENTARIO[SERIAL])</f>
        <v>N/A</v>
      </c>
      <c r="I805" s="34" t="str">
        <f>_xlfn.XLOOKUP(TablaSTOCKINV[[#This Row],[SKU]],TablaINVENTARIO[SKU],TablaINVENTARIO[ALMACEN])</f>
        <v>ALMACEN PRINCIPAL</v>
      </c>
      <c r="J805" s="34" t="str">
        <f>_xlfn.XLOOKUP(TablaSTOCKINV[[#This Row],[SKU]],TablaINVENTARIO[SKU],TablaINVENTARIO[UBICACION])</f>
        <v>J2-2</v>
      </c>
      <c r="K805" s="34" t="str">
        <f>_xlfn.XLOOKUP(TablaSTOCKINV[[#This Row],[SKU]],TablaINVENTARIO[SKU],TablaINVENTARIO[DPTO RESPONSABLE])</f>
        <v xml:space="preserve">OPERACIONES </v>
      </c>
      <c r="L805" s="36">
        <f>_xlfn.XLOOKUP(TablaSTOCKINV[[#This Row],[SKU]],TablaINVENTARIO[SKU],TablaINVENTARIO[RANGO MIN])</f>
        <v>0</v>
      </c>
      <c r="M805" s="34" cm="1">
        <f t="array" ref="M805">_xlfn.IFS(TablaSTOCKINV[[#This Row],[CANT. TOTAL]]&lt;=0,1,TablaSTOCKINV[[#This Row],[CANT. TOTAL]]&lt;=TablaSTOCKINV[[#This Row],[MIN]],2,TablaSTOCKINV[[#This Row],[CANT. TOTAL]]&gt;TablaSTOCKINV[[#This Row],[MIN]],3)</f>
        <v>3</v>
      </c>
      <c r="N805" s="34">
        <f>TablaSTOCKINV[[#This Row],[ENTRADAS]]-TablaSTOCKINV[[#This Row],[SALIDAS]]</f>
        <v>1</v>
      </c>
      <c r="O805" s="35">
        <f>SUMIFS(TablaENTRADA[CANT],TablaENTRADA[SKU],TablaSTOCKINV[[#This Row],[SKU]])</f>
        <v>1</v>
      </c>
      <c r="P805" s="35">
        <f>SUMIFS(TablaSALIDA[CANT],TablaSALIDA[SKU],TablaSTOCKINV[[#This Row],[SKU]])</f>
        <v>0</v>
      </c>
      <c r="Q805" s="34">
        <f>_xlfn.XLOOKUP(TablaSTOCKINV[[#This Row],[SKU]],TablaINVENTARIO[SKU],TablaINVENTARIO[PRECIO])</f>
        <v>0</v>
      </c>
      <c r="R805" s="34">
        <f>TablaSTOCKINV[[#This Row],[P.UNITARIO]]*TablaSTOCKINV[[#This Row],[CANT. TOTAL]]</f>
        <v>0</v>
      </c>
      <c r="S805" s="44">
        <f>_xlfn.XLOOKUP(TablaSTOCKINV[[#This Row],[SKU]],TablaINVENTARIO[SKU],TablaINVENTARIO[FECHA INGRESO])</f>
        <v>46023</v>
      </c>
      <c r="T805" s="44">
        <f>_xlfn.XLOOKUP(TablaSTOCKINV[[#This Row],[SKU]],TablaENTRADA[SKU],TablaENTRADA[FECHA],,0,-1)</f>
        <v>46023</v>
      </c>
      <c r="U805" s="46" t="str">
        <f>IFERROR((_xlfn.XLOOKUP(TablaSTOCKINV[[#This Row],[SKU]],TablaSALIDA[SKU],TablaSALIDA[FECHA],,0,-1))," " )</f>
        <v xml:space="preserve"> </v>
      </c>
    </row>
    <row r="806" spans="1:21" x14ac:dyDescent="0.3">
      <c r="A806" s="27" t="s">
        <v>677</v>
      </c>
      <c r="B806" s="32" t="str">
        <f>_xlfn.XLOOKUP(TablaSTOCKINV[[#This Row],[SKU]],TablaINVENTARIO[SKU],TablaINVENTARIO[DESCRIPCION])</f>
        <v>BUSHING REDUCTOR 2" X 1-1/2"</v>
      </c>
      <c r="C806" s="32" t="str">
        <f>_xlfn.XLOOKUP(TablaSTOCKINV[[#This Row],[SKU]],TablaINVENTARIO[SKU],TablaINVENTARIO[MARCA])</f>
        <v>N/A</v>
      </c>
      <c r="D806" s="33" t="str">
        <f>_xlfn.XLOOKUP(TablaSTOCKINV[[#This Row],[SKU]],TablaINVENTARIO[SKU],TablaINVENTARIO[CATEGORIA])</f>
        <v>FABRICACION</v>
      </c>
      <c r="E806" s="33" t="str">
        <f>_xlfn.XLOOKUP(TablaSTOCKINV[[#This Row],[SKU]],TablaINVENTARIO[SKU],TablaINVENTARIO[SUBCATEGORIA])</f>
        <v>MATERIAL MECANICO</v>
      </c>
      <c r="F806" s="33" t="str">
        <f>_xlfn.XLOOKUP(TablaSTOCKINV[[#This Row],[SKU]],TablaINVENTARIO[SKU],TablaINVENTARIO[ESTADO])</f>
        <v>USADO</v>
      </c>
      <c r="G806" s="33" t="str">
        <f>_xlfn.XLOOKUP(TablaSTOCKINV[[#This Row],[SKU]],TablaINVENTARIO[SKU],TablaINVENTARIO[MEDIDA])</f>
        <v xml:space="preserve">UND </v>
      </c>
      <c r="H806" s="33" t="str">
        <f>_xlfn.XLOOKUP(TablaSTOCKINV[[#This Row],[SKU]],TablaINVENTARIO[SKU],TablaINVENTARIO[SERIAL])</f>
        <v>N/A</v>
      </c>
      <c r="I806" s="34" t="str">
        <f>_xlfn.XLOOKUP(TablaSTOCKINV[[#This Row],[SKU]],TablaINVENTARIO[SKU],TablaINVENTARIO[ALMACEN])</f>
        <v>ALMACEN PRINCIPAL</v>
      </c>
      <c r="J806" s="34" t="str">
        <f>_xlfn.XLOOKUP(TablaSTOCKINV[[#This Row],[SKU]],TablaINVENTARIO[SKU],TablaINVENTARIO[UBICACION])</f>
        <v>J2-2</v>
      </c>
      <c r="K806" s="34" t="str">
        <f>_xlfn.XLOOKUP(TablaSTOCKINV[[#This Row],[SKU]],TablaINVENTARIO[SKU],TablaINVENTARIO[DPTO RESPONSABLE])</f>
        <v xml:space="preserve">OPERACIONES </v>
      </c>
      <c r="L806" s="36">
        <f>_xlfn.XLOOKUP(TablaSTOCKINV[[#This Row],[SKU]],TablaINVENTARIO[SKU],TablaINVENTARIO[RANGO MIN])</f>
        <v>0</v>
      </c>
      <c r="M806" s="34" cm="1">
        <f t="array" ref="M806">_xlfn.IFS(TablaSTOCKINV[[#This Row],[CANT. TOTAL]]&lt;=0,1,TablaSTOCKINV[[#This Row],[CANT. TOTAL]]&lt;=TablaSTOCKINV[[#This Row],[MIN]],2,TablaSTOCKINV[[#This Row],[CANT. TOTAL]]&gt;TablaSTOCKINV[[#This Row],[MIN]],3)</f>
        <v>3</v>
      </c>
      <c r="N806" s="34">
        <f>TablaSTOCKINV[[#This Row],[ENTRADAS]]-TablaSTOCKINV[[#This Row],[SALIDAS]]</f>
        <v>1</v>
      </c>
      <c r="O806" s="35">
        <f>SUMIFS(TablaENTRADA[CANT],TablaENTRADA[SKU],TablaSTOCKINV[[#This Row],[SKU]])</f>
        <v>1</v>
      </c>
      <c r="P806" s="35">
        <f>SUMIFS(TablaSALIDA[CANT],TablaSALIDA[SKU],TablaSTOCKINV[[#This Row],[SKU]])</f>
        <v>0</v>
      </c>
      <c r="Q806" s="34">
        <f>_xlfn.XLOOKUP(TablaSTOCKINV[[#This Row],[SKU]],TablaINVENTARIO[SKU],TablaINVENTARIO[PRECIO])</f>
        <v>0</v>
      </c>
      <c r="R806" s="34">
        <f>TablaSTOCKINV[[#This Row],[P.UNITARIO]]*TablaSTOCKINV[[#This Row],[CANT. TOTAL]]</f>
        <v>0</v>
      </c>
      <c r="S806" s="44">
        <f>_xlfn.XLOOKUP(TablaSTOCKINV[[#This Row],[SKU]],TablaINVENTARIO[SKU],TablaINVENTARIO[FECHA INGRESO])</f>
        <v>46023</v>
      </c>
      <c r="T806" s="44">
        <f>_xlfn.XLOOKUP(TablaSTOCKINV[[#This Row],[SKU]],TablaENTRADA[SKU],TablaENTRADA[FECHA],,0,-1)</f>
        <v>46023</v>
      </c>
      <c r="U806" s="46" t="str">
        <f>IFERROR((_xlfn.XLOOKUP(TablaSTOCKINV[[#This Row],[SKU]],TablaSALIDA[SKU],TablaSALIDA[FECHA],,0,-1))," " )</f>
        <v xml:space="preserve"> </v>
      </c>
    </row>
    <row r="807" spans="1:21" x14ac:dyDescent="0.3">
      <c r="A807" s="27" t="s">
        <v>679</v>
      </c>
      <c r="B807" s="32" t="str">
        <f>_xlfn.XLOOKUP(TablaSTOCKINV[[#This Row],[SKU]],TablaINVENTARIO[SKU],TablaINVENTARIO[DESCRIPCION])</f>
        <v>CODO DE HIERRO 2" 3000PSI</v>
      </c>
      <c r="C807" s="32" t="str">
        <f>_xlfn.XLOOKUP(TablaSTOCKINV[[#This Row],[SKU]],TablaINVENTARIO[SKU],TablaINVENTARIO[MARCA])</f>
        <v>N/A</v>
      </c>
      <c r="D807" s="33" t="str">
        <f>_xlfn.XLOOKUP(TablaSTOCKINV[[#This Row],[SKU]],TablaINVENTARIO[SKU],TablaINVENTARIO[CATEGORIA])</f>
        <v>FABRICACION</v>
      </c>
      <c r="E807" s="33" t="str">
        <f>_xlfn.XLOOKUP(TablaSTOCKINV[[#This Row],[SKU]],TablaINVENTARIO[SKU],TablaINVENTARIO[SUBCATEGORIA])</f>
        <v>MATERIAL MECANICO</v>
      </c>
      <c r="F807" s="33" t="str">
        <f>_xlfn.XLOOKUP(TablaSTOCKINV[[#This Row],[SKU]],TablaINVENTARIO[SKU],TablaINVENTARIO[ESTADO])</f>
        <v>USADO</v>
      </c>
      <c r="G807" s="33" t="str">
        <f>_xlfn.XLOOKUP(TablaSTOCKINV[[#This Row],[SKU]],TablaINVENTARIO[SKU],TablaINVENTARIO[MEDIDA])</f>
        <v xml:space="preserve">UND </v>
      </c>
      <c r="H807" s="33" t="str">
        <f>_xlfn.XLOOKUP(TablaSTOCKINV[[#This Row],[SKU]],TablaINVENTARIO[SKU],TablaINVENTARIO[SERIAL])</f>
        <v>N/A</v>
      </c>
      <c r="I807" s="34" t="str">
        <f>_xlfn.XLOOKUP(TablaSTOCKINV[[#This Row],[SKU]],TablaINVENTARIO[SKU],TablaINVENTARIO[ALMACEN])</f>
        <v>ALMACEN PRINCIPAL</v>
      </c>
      <c r="J807" s="34" t="str">
        <f>_xlfn.XLOOKUP(TablaSTOCKINV[[#This Row],[SKU]],TablaINVENTARIO[SKU],TablaINVENTARIO[UBICACION])</f>
        <v>J2-2</v>
      </c>
      <c r="K807" s="34" t="str">
        <f>_xlfn.XLOOKUP(TablaSTOCKINV[[#This Row],[SKU]],TablaINVENTARIO[SKU],TablaINVENTARIO[DPTO RESPONSABLE])</f>
        <v xml:space="preserve">OPERACIONES </v>
      </c>
      <c r="L807" s="36">
        <f>_xlfn.XLOOKUP(TablaSTOCKINV[[#This Row],[SKU]],TablaINVENTARIO[SKU],TablaINVENTARIO[RANGO MIN])</f>
        <v>0</v>
      </c>
      <c r="M807" s="34" cm="1">
        <f t="array" ref="M807">_xlfn.IFS(TablaSTOCKINV[[#This Row],[CANT. TOTAL]]&lt;=0,1,TablaSTOCKINV[[#This Row],[CANT. TOTAL]]&lt;=TablaSTOCKINV[[#This Row],[MIN]],2,TablaSTOCKINV[[#This Row],[CANT. TOTAL]]&gt;TablaSTOCKINV[[#This Row],[MIN]],3)</f>
        <v>3</v>
      </c>
      <c r="N807" s="34">
        <f>TablaSTOCKINV[[#This Row],[ENTRADAS]]-TablaSTOCKINV[[#This Row],[SALIDAS]]</f>
        <v>2</v>
      </c>
      <c r="O807" s="35">
        <f>SUMIFS(TablaENTRADA[CANT],TablaENTRADA[SKU],TablaSTOCKINV[[#This Row],[SKU]])</f>
        <v>2</v>
      </c>
      <c r="P807" s="35">
        <f>SUMIFS(TablaSALIDA[CANT],TablaSALIDA[SKU],TablaSTOCKINV[[#This Row],[SKU]])</f>
        <v>0</v>
      </c>
      <c r="Q807" s="34">
        <f>_xlfn.XLOOKUP(TablaSTOCKINV[[#This Row],[SKU]],TablaINVENTARIO[SKU],TablaINVENTARIO[PRECIO])</f>
        <v>0</v>
      </c>
      <c r="R807" s="34">
        <f>TablaSTOCKINV[[#This Row],[P.UNITARIO]]*TablaSTOCKINV[[#This Row],[CANT. TOTAL]]</f>
        <v>0</v>
      </c>
      <c r="S807" s="44">
        <f>_xlfn.XLOOKUP(TablaSTOCKINV[[#This Row],[SKU]],TablaINVENTARIO[SKU],TablaINVENTARIO[FECHA INGRESO])</f>
        <v>46023</v>
      </c>
      <c r="T807" s="44">
        <f>_xlfn.XLOOKUP(TablaSTOCKINV[[#This Row],[SKU]],TablaENTRADA[SKU],TablaENTRADA[FECHA],,0,-1)</f>
        <v>46023</v>
      </c>
      <c r="U807" s="46" t="str">
        <f>IFERROR((_xlfn.XLOOKUP(TablaSTOCKINV[[#This Row],[SKU]],TablaSALIDA[SKU],TablaSALIDA[FECHA],,0,-1))," " )</f>
        <v xml:space="preserve"> </v>
      </c>
    </row>
    <row r="808" spans="1:21" x14ac:dyDescent="0.3">
      <c r="A808" s="27" t="s">
        <v>681</v>
      </c>
      <c r="B808" s="32" t="str">
        <f>_xlfn.XLOOKUP(TablaSTOCKINV[[#This Row],[SKU]],TablaINVENTARIO[SKU],TablaINVENTARIO[DESCRIPCION])</f>
        <v>TEE DE HIERRO 2"</v>
      </c>
      <c r="C808" s="32" t="str">
        <f>_xlfn.XLOOKUP(TablaSTOCKINV[[#This Row],[SKU]],TablaINVENTARIO[SKU],TablaINVENTARIO[MARCA])</f>
        <v>N/A</v>
      </c>
      <c r="D808" s="33" t="str">
        <f>_xlfn.XLOOKUP(TablaSTOCKINV[[#This Row],[SKU]],TablaINVENTARIO[SKU],TablaINVENTARIO[CATEGORIA])</f>
        <v>FABRICACION</v>
      </c>
      <c r="E808" s="33" t="str">
        <f>_xlfn.XLOOKUP(TablaSTOCKINV[[#This Row],[SKU]],TablaINVENTARIO[SKU],TablaINVENTARIO[SUBCATEGORIA])</f>
        <v>MATERIAL MECANICO</v>
      </c>
      <c r="F808" s="33" t="str">
        <f>_xlfn.XLOOKUP(TablaSTOCKINV[[#This Row],[SKU]],TablaINVENTARIO[SKU],TablaINVENTARIO[ESTADO])</f>
        <v>USADO</v>
      </c>
      <c r="G808" s="33" t="str">
        <f>_xlfn.XLOOKUP(TablaSTOCKINV[[#This Row],[SKU]],TablaINVENTARIO[SKU],TablaINVENTARIO[MEDIDA])</f>
        <v xml:space="preserve">UND </v>
      </c>
      <c r="H808" s="33" t="str">
        <f>_xlfn.XLOOKUP(TablaSTOCKINV[[#This Row],[SKU]],TablaINVENTARIO[SKU],TablaINVENTARIO[SERIAL])</f>
        <v>N/A</v>
      </c>
      <c r="I808" s="34" t="str">
        <f>_xlfn.XLOOKUP(TablaSTOCKINV[[#This Row],[SKU]],TablaINVENTARIO[SKU],TablaINVENTARIO[ALMACEN])</f>
        <v>ALMACEN PRINCIPAL</v>
      </c>
      <c r="J808" s="34" t="str">
        <f>_xlfn.XLOOKUP(TablaSTOCKINV[[#This Row],[SKU]],TablaINVENTARIO[SKU],TablaINVENTARIO[UBICACION])</f>
        <v>J2-2</v>
      </c>
      <c r="K808" s="34" t="str">
        <f>_xlfn.XLOOKUP(TablaSTOCKINV[[#This Row],[SKU]],TablaINVENTARIO[SKU],TablaINVENTARIO[DPTO RESPONSABLE])</f>
        <v xml:space="preserve">OPERACIONES </v>
      </c>
      <c r="L808" s="36">
        <f>_xlfn.XLOOKUP(TablaSTOCKINV[[#This Row],[SKU]],TablaINVENTARIO[SKU],TablaINVENTARIO[RANGO MIN])</f>
        <v>0</v>
      </c>
      <c r="M808" s="34" cm="1">
        <f t="array" ref="M808">_xlfn.IFS(TablaSTOCKINV[[#This Row],[CANT. TOTAL]]&lt;=0,1,TablaSTOCKINV[[#This Row],[CANT. TOTAL]]&lt;=TablaSTOCKINV[[#This Row],[MIN]],2,TablaSTOCKINV[[#This Row],[CANT. TOTAL]]&gt;TablaSTOCKINV[[#This Row],[MIN]],3)</f>
        <v>3</v>
      </c>
      <c r="N808" s="34">
        <f>TablaSTOCKINV[[#This Row],[ENTRADAS]]-TablaSTOCKINV[[#This Row],[SALIDAS]]</f>
        <v>1</v>
      </c>
      <c r="O808" s="35">
        <f>SUMIFS(TablaENTRADA[CANT],TablaENTRADA[SKU],TablaSTOCKINV[[#This Row],[SKU]])</f>
        <v>1</v>
      </c>
      <c r="P808" s="35">
        <f>SUMIFS(TablaSALIDA[CANT],TablaSALIDA[SKU],TablaSTOCKINV[[#This Row],[SKU]])</f>
        <v>0</v>
      </c>
      <c r="Q808" s="34">
        <f>_xlfn.XLOOKUP(TablaSTOCKINV[[#This Row],[SKU]],TablaINVENTARIO[SKU],TablaINVENTARIO[PRECIO])</f>
        <v>0</v>
      </c>
      <c r="R808" s="34">
        <f>TablaSTOCKINV[[#This Row],[P.UNITARIO]]*TablaSTOCKINV[[#This Row],[CANT. TOTAL]]</f>
        <v>0</v>
      </c>
      <c r="S808" s="44">
        <f>_xlfn.XLOOKUP(TablaSTOCKINV[[#This Row],[SKU]],TablaINVENTARIO[SKU],TablaINVENTARIO[FECHA INGRESO])</f>
        <v>46023</v>
      </c>
      <c r="T808" s="44">
        <f>_xlfn.XLOOKUP(TablaSTOCKINV[[#This Row],[SKU]],TablaENTRADA[SKU],TablaENTRADA[FECHA],,0,-1)</f>
        <v>46023</v>
      </c>
      <c r="U808" s="46" t="str">
        <f>IFERROR((_xlfn.XLOOKUP(TablaSTOCKINV[[#This Row],[SKU]],TablaSALIDA[SKU],TablaSALIDA[FECHA],,0,-1))," " )</f>
        <v xml:space="preserve"> </v>
      </c>
    </row>
    <row r="809" spans="1:21" x14ac:dyDescent="0.3">
      <c r="A809" s="27" t="s">
        <v>683</v>
      </c>
      <c r="B809" s="32" t="str">
        <f>_xlfn.XLOOKUP(TablaSTOCKINV[[#This Row],[SKU]],TablaINVENTARIO[SKU],TablaINVENTARIO[DESCRIPCION])</f>
        <v>CODO DE HIERRO 1" 3000PSI</v>
      </c>
      <c r="C809" s="32" t="str">
        <f>_xlfn.XLOOKUP(TablaSTOCKINV[[#This Row],[SKU]],TablaINVENTARIO[SKU],TablaINVENTARIO[MARCA])</f>
        <v>N/A</v>
      </c>
      <c r="D809" s="33" t="str">
        <f>_xlfn.XLOOKUP(TablaSTOCKINV[[#This Row],[SKU]],TablaINVENTARIO[SKU],TablaINVENTARIO[CATEGORIA])</f>
        <v>FABRICACION</v>
      </c>
      <c r="E809" s="33" t="str">
        <f>_xlfn.XLOOKUP(TablaSTOCKINV[[#This Row],[SKU]],TablaINVENTARIO[SKU],TablaINVENTARIO[SUBCATEGORIA])</f>
        <v>MATERIAL MECANICO</v>
      </c>
      <c r="F809" s="33" t="str">
        <f>_xlfn.XLOOKUP(TablaSTOCKINV[[#This Row],[SKU]],TablaINVENTARIO[SKU],TablaINVENTARIO[ESTADO])</f>
        <v>USADO</v>
      </c>
      <c r="G809" s="33" t="str">
        <f>_xlfn.XLOOKUP(TablaSTOCKINV[[#This Row],[SKU]],TablaINVENTARIO[SKU],TablaINVENTARIO[MEDIDA])</f>
        <v xml:space="preserve">UND </v>
      </c>
      <c r="H809" s="33" t="str">
        <f>_xlfn.XLOOKUP(TablaSTOCKINV[[#This Row],[SKU]],TablaINVENTARIO[SKU],TablaINVENTARIO[SERIAL])</f>
        <v>N/A</v>
      </c>
      <c r="I809" s="34" t="str">
        <f>_xlfn.XLOOKUP(TablaSTOCKINV[[#This Row],[SKU]],TablaINVENTARIO[SKU],TablaINVENTARIO[ALMACEN])</f>
        <v>ALMACEN PRINCIPAL</v>
      </c>
      <c r="J809" s="34" t="str">
        <f>_xlfn.XLOOKUP(TablaSTOCKINV[[#This Row],[SKU]],TablaINVENTARIO[SKU],TablaINVENTARIO[UBICACION])</f>
        <v>J2-2</v>
      </c>
      <c r="K809" s="34" t="str">
        <f>_xlfn.XLOOKUP(TablaSTOCKINV[[#This Row],[SKU]],TablaINVENTARIO[SKU],TablaINVENTARIO[DPTO RESPONSABLE])</f>
        <v xml:space="preserve">OPERACIONES </v>
      </c>
      <c r="L809" s="36">
        <f>_xlfn.XLOOKUP(TablaSTOCKINV[[#This Row],[SKU]],TablaINVENTARIO[SKU],TablaINVENTARIO[RANGO MIN])</f>
        <v>0</v>
      </c>
      <c r="M809" s="34" cm="1">
        <f t="array" ref="M809">_xlfn.IFS(TablaSTOCKINV[[#This Row],[CANT. TOTAL]]&lt;=0,1,TablaSTOCKINV[[#This Row],[CANT. TOTAL]]&lt;=TablaSTOCKINV[[#This Row],[MIN]],2,TablaSTOCKINV[[#This Row],[CANT. TOTAL]]&gt;TablaSTOCKINV[[#This Row],[MIN]],3)</f>
        <v>3</v>
      </c>
      <c r="N809" s="34">
        <f>TablaSTOCKINV[[#This Row],[ENTRADAS]]-TablaSTOCKINV[[#This Row],[SALIDAS]]</f>
        <v>2</v>
      </c>
      <c r="O809" s="35">
        <f>SUMIFS(TablaENTRADA[CANT],TablaENTRADA[SKU],TablaSTOCKINV[[#This Row],[SKU]])</f>
        <v>2</v>
      </c>
      <c r="P809" s="35">
        <f>SUMIFS(TablaSALIDA[CANT],TablaSALIDA[SKU],TablaSTOCKINV[[#This Row],[SKU]])</f>
        <v>0</v>
      </c>
      <c r="Q809" s="34">
        <f>_xlfn.XLOOKUP(TablaSTOCKINV[[#This Row],[SKU]],TablaINVENTARIO[SKU],TablaINVENTARIO[PRECIO])</f>
        <v>0</v>
      </c>
      <c r="R809" s="34">
        <f>TablaSTOCKINV[[#This Row],[P.UNITARIO]]*TablaSTOCKINV[[#This Row],[CANT. TOTAL]]</f>
        <v>0</v>
      </c>
      <c r="S809" s="44">
        <f>_xlfn.XLOOKUP(TablaSTOCKINV[[#This Row],[SKU]],TablaINVENTARIO[SKU],TablaINVENTARIO[FECHA INGRESO])</f>
        <v>46023</v>
      </c>
      <c r="T809" s="44">
        <f>_xlfn.XLOOKUP(TablaSTOCKINV[[#This Row],[SKU]],TablaENTRADA[SKU],TablaENTRADA[FECHA],,0,-1)</f>
        <v>46023</v>
      </c>
      <c r="U809" s="46" t="str">
        <f>IFERROR((_xlfn.XLOOKUP(TablaSTOCKINV[[#This Row],[SKU]],TablaSALIDA[SKU],TablaSALIDA[FECHA],,0,-1))," " )</f>
        <v xml:space="preserve"> </v>
      </c>
    </row>
    <row r="810" spans="1:21" x14ac:dyDescent="0.3">
      <c r="A810" s="27" t="s">
        <v>685</v>
      </c>
      <c r="B810" s="32" t="str">
        <f>_xlfn.XLOOKUP(TablaSTOCKINV[[#This Row],[SKU]],TablaINVENTARIO[SKU],TablaINVENTARIO[DESCRIPCION])</f>
        <v xml:space="preserve">CONECTOR DE CHUPON PARA TRAILER </v>
      </c>
      <c r="C810" s="32" t="str">
        <f>_xlfn.XLOOKUP(TablaSTOCKINV[[#This Row],[SKU]],TablaINVENTARIO[SKU],TablaINVENTARIO[MARCA])</f>
        <v>N/A</v>
      </c>
      <c r="D810" s="33" t="str">
        <f>_xlfn.XLOOKUP(TablaSTOCKINV[[#This Row],[SKU]],TablaINVENTARIO[SKU],TablaINVENTARIO[CATEGORIA])</f>
        <v>FABRICACION</v>
      </c>
      <c r="E810" s="33" t="str">
        <f>_xlfn.XLOOKUP(TablaSTOCKINV[[#This Row],[SKU]],TablaINVENTARIO[SKU],TablaINVENTARIO[SUBCATEGORIA])</f>
        <v>ARTEFACTO ELECTRICO</v>
      </c>
      <c r="F810" s="33" t="str">
        <f>_xlfn.XLOOKUP(TablaSTOCKINV[[#This Row],[SKU]],TablaINVENTARIO[SKU],TablaINVENTARIO[ESTADO])</f>
        <v>USADO</v>
      </c>
      <c r="G810" s="33" t="str">
        <f>_xlfn.XLOOKUP(TablaSTOCKINV[[#This Row],[SKU]],TablaINVENTARIO[SKU],TablaINVENTARIO[MEDIDA])</f>
        <v xml:space="preserve">UND </v>
      </c>
      <c r="H810" s="33" t="str">
        <f>_xlfn.XLOOKUP(TablaSTOCKINV[[#This Row],[SKU]],TablaINVENTARIO[SKU],TablaINVENTARIO[SERIAL])</f>
        <v>N/A</v>
      </c>
      <c r="I810" s="34" t="str">
        <f>_xlfn.XLOOKUP(TablaSTOCKINV[[#This Row],[SKU]],TablaINVENTARIO[SKU],TablaINVENTARIO[ALMACEN])</f>
        <v>ALMACEN PRINCIPAL</v>
      </c>
      <c r="J810" s="34" t="str">
        <f>_xlfn.XLOOKUP(TablaSTOCKINV[[#This Row],[SKU]],TablaINVENTARIO[SKU],TablaINVENTARIO[UBICACION])</f>
        <v>J2-2</v>
      </c>
      <c r="K810" s="34" t="str">
        <f>_xlfn.XLOOKUP(TablaSTOCKINV[[#This Row],[SKU]],TablaINVENTARIO[SKU],TablaINVENTARIO[DPTO RESPONSABLE])</f>
        <v xml:space="preserve">OPERACIONES </v>
      </c>
      <c r="L810" s="36">
        <f>_xlfn.XLOOKUP(TablaSTOCKINV[[#This Row],[SKU]],TablaINVENTARIO[SKU],TablaINVENTARIO[RANGO MIN])</f>
        <v>0</v>
      </c>
      <c r="M810" s="34" cm="1">
        <f t="array" ref="M810">_xlfn.IFS(TablaSTOCKINV[[#This Row],[CANT. TOTAL]]&lt;=0,1,TablaSTOCKINV[[#This Row],[CANT. TOTAL]]&lt;=TablaSTOCKINV[[#This Row],[MIN]],2,TablaSTOCKINV[[#This Row],[CANT. TOTAL]]&gt;TablaSTOCKINV[[#This Row],[MIN]],3)</f>
        <v>3</v>
      </c>
      <c r="N810" s="34">
        <f>TablaSTOCKINV[[#This Row],[ENTRADAS]]-TablaSTOCKINV[[#This Row],[SALIDAS]]</f>
        <v>1</v>
      </c>
      <c r="O810" s="35">
        <f>SUMIFS(TablaENTRADA[CANT],TablaENTRADA[SKU],TablaSTOCKINV[[#This Row],[SKU]])</f>
        <v>1</v>
      </c>
      <c r="P810" s="35">
        <f>SUMIFS(TablaSALIDA[CANT],TablaSALIDA[SKU],TablaSTOCKINV[[#This Row],[SKU]])</f>
        <v>0</v>
      </c>
      <c r="Q810" s="34">
        <f>_xlfn.XLOOKUP(TablaSTOCKINV[[#This Row],[SKU]],TablaINVENTARIO[SKU],TablaINVENTARIO[PRECIO])</f>
        <v>0</v>
      </c>
      <c r="R810" s="34">
        <f>TablaSTOCKINV[[#This Row],[P.UNITARIO]]*TablaSTOCKINV[[#This Row],[CANT. TOTAL]]</f>
        <v>0</v>
      </c>
      <c r="S810" s="44">
        <f>_xlfn.XLOOKUP(TablaSTOCKINV[[#This Row],[SKU]],TablaINVENTARIO[SKU],TablaINVENTARIO[FECHA INGRESO])</f>
        <v>46023</v>
      </c>
      <c r="T810" s="44">
        <f>_xlfn.XLOOKUP(TablaSTOCKINV[[#This Row],[SKU]],TablaENTRADA[SKU],TablaENTRADA[FECHA],,0,-1)</f>
        <v>46023</v>
      </c>
      <c r="U810" s="46" t="str">
        <f>IFERROR((_xlfn.XLOOKUP(TablaSTOCKINV[[#This Row],[SKU]],TablaSALIDA[SKU],TablaSALIDA[FECHA],,0,-1))," " )</f>
        <v xml:space="preserve"> </v>
      </c>
    </row>
    <row r="811" spans="1:21" x14ac:dyDescent="0.3">
      <c r="A811" s="27" t="s">
        <v>688</v>
      </c>
      <c r="B811" s="32" t="str">
        <f>_xlfn.XLOOKUP(TablaSTOCKINV[[#This Row],[SKU]],TablaINVENTARIO[SKU],TablaINVENTARIO[DESCRIPCION])</f>
        <v xml:space="preserve">BUSHING REDUCTOR 1-1/2" X 3/4" </v>
      </c>
      <c r="C811" s="32" t="str">
        <f>_xlfn.XLOOKUP(TablaSTOCKINV[[#This Row],[SKU]],TablaINVENTARIO[SKU],TablaINVENTARIO[MARCA])</f>
        <v>N/A</v>
      </c>
      <c r="D811" s="33" t="str">
        <f>_xlfn.XLOOKUP(TablaSTOCKINV[[#This Row],[SKU]],TablaINVENTARIO[SKU],TablaINVENTARIO[CATEGORIA])</f>
        <v>FABRICACION</v>
      </c>
      <c r="E811" s="33" t="str">
        <f>_xlfn.XLOOKUP(TablaSTOCKINV[[#This Row],[SKU]],TablaINVENTARIO[SKU],TablaINVENTARIO[SUBCATEGORIA])</f>
        <v>MATERIAL MECANICO</v>
      </c>
      <c r="F811" s="33" t="str">
        <f>_xlfn.XLOOKUP(TablaSTOCKINV[[#This Row],[SKU]],TablaINVENTARIO[SKU],TablaINVENTARIO[ESTADO])</f>
        <v>USADO</v>
      </c>
      <c r="G811" s="33" t="str">
        <f>_xlfn.XLOOKUP(TablaSTOCKINV[[#This Row],[SKU]],TablaINVENTARIO[SKU],TablaINVENTARIO[MEDIDA])</f>
        <v xml:space="preserve">UND </v>
      </c>
      <c r="H811" s="33" t="str">
        <f>_xlfn.XLOOKUP(TablaSTOCKINV[[#This Row],[SKU]],TablaINVENTARIO[SKU],TablaINVENTARIO[SERIAL])</f>
        <v>N/A</v>
      </c>
      <c r="I811" s="34" t="str">
        <f>_xlfn.XLOOKUP(TablaSTOCKINV[[#This Row],[SKU]],TablaINVENTARIO[SKU],TablaINVENTARIO[ALMACEN])</f>
        <v>ALMACEN PRINCIPAL</v>
      </c>
      <c r="J811" s="34" t="str">
        <f>_xlfn.XLOOKUP(TablaSTOCKINV[[#This Row],[SKU]],TablaINVENTARIO[SKU],TablaINVENTARIO[UBICACION])</f>
        <v>J2-1</v>
      </c>
      <c r="K811" s="34" t="str">
        <f>_xlfn.XLOOKUP(TablaSTOCKINV[[#This Row],[SKU]],TablaINVENTARIO[SKU],TablaINVENTARIO[DPTO RESPONSABLE])</f>
        <v xml:space="preserve">OPERACIONES </v>
      </c>
      <c r="L811" s="36">
        <f>_xlfn.XLOOKUP(TablaSTOCKINV[[#This Row],[SKU]],TablaINVENTARIO[SKU],TablaINVENTARIO[RANGO MIN])</f>
        <v>0</v>
      </c>
      <c r="M811" s="34" cm="1">
        <f t="array" ref="M811">_xlfn.IFS(TablaSTOCKINV[[#This Row],[CANT. TOTAL]]&lt;=0,1,TablaSTOCKINV[[#This Row],[CANT. TOTAL]]&lt;=TablaSTOCKINV[[#This Row],[MIN]],2,TablaSTOCKINV[[#This Row],[CANT. TOTAL]]&gt;TablaSTOCKINV[[#This Row],[MIN]],3)</f>
        <v>3</v>
      </c>
      <c r="N811" s="34">
        <f>TablaSTOCKINV[[#This Row],[ENTRADAS]]-TablaSTOCKINV[[#This Row],[SALIDAS]]</f>
        <v>9</v>
      </c>
      <c r="O811" s="35">
        <f>SUMIFS(TablaENTRADA[CANT],TablaENTRADA[SKU],TablaSTOCKINV[[#This Row],[SKU]])</f>
        <v>9</v>
      </c>
      <c r="P811" s="35">
        <f>SUMIFS(TablaSALIDA[CANT],TablaSALIDA[SKU],TablaSTOCKINV[[#This Row],[SKU]])</f>
        <v>0</v>
      </c>
      <c r="Q811" s="34">
        <f>_xlfn.XLOOKUP(TablaSTOCKINV[[#This Row],[SKU]],TablaINVENTARIO[SKU],TablaINVENTARIO[PRECIO])</f>
        <v>0</v>
      </c>
      <c r="R811" s="34">
        <f>TablaSTOCKINV[[#This Row],[P.UNITARIO]]*TablaSTOCKINV[[#This Row],[CANT. TOTAL]]</f>
        <v>0</v>
      </c>
      <c r="S811" s="44">
        <f>_xlfn.XLOOKUP(TablaSTOCKINV[[#This Row],[SKU]],TablaINVENTARIO[SKU],TablaINVENTARIO[FECHA INGRESO])</f>
        <v>46023</v>
      </c>
      <c r="T811" s="44">
        <f>_xlfn.XLOOKUP(TablaSTOCKINV[[#This Row],[SKU]],TablaENTRADA[SKU],TablaENTRADA[FECHA],,0,-1)</f>
        <v>46023</v>
      </c>
      <c r="U811" s="46" t="str">
        <f>IFERROR((_xlfn.XLOOKUP(TablaSTOCKINV[[#This Row],[SKU]],TablaSALIDA[SKU],TablaSALIDA[FECHA],,0,-1))," " )</f>
        <v xml:space="preserve"> </v>
      </c>
    </row>
    <row r="812" spans="1:21" x14ac:dyDescent="0.3">
      <c r="A812" s="27" t="s">
        <v>690</v>
      </c>
      <c r="B812" s="32" t="str">
        <f>_xlfn.XLOOKUP(TablaSTOCKINV[[#This Row],[SKU]],TablaINVENTARIO[SKU],TablaINVENTARIO[DESCRIPCION])</f>
        <v xml:space="preserve">BUSHING REDUCTOR 2" X 3/4" </v>
      </c>
      <c r="C812" s="32" t="str">
        <f>_xlfn.XLOOKUP(TablaSTOCKINV[[#This Row],[SKU]],TablaINVENTARIO[SKU],TablaINVENTARIO[MARCA])</f>
        <v>N/A</v>
      </c>
      <c r="D812" s="33" t="str">
        <f>_xlfn.XLOOKUP(TablaSTOCKINV[[#This Row],[SKU]],TablaINVENTARIO[SKU],TablaINVENTARIO[CATEGORIA])</f>
        <v>FABRICACION</v>
      </c>
      <c r="E812" s="33" t="str">
        <f>_xlfn.XLOOKUP(TablaSTOCKINV[[#This Row],[SKU]],TablaINVENTARIO[SKU],TablaINVENTARIO[SUBCATEGORIA])</f>
        <v>MATERIAL MECANICO</v>
      </c>
      <c r="F812" s="33" t="str">
        <f>_xlfn.XLOOKUP(TablaSTOCKINV[[#This Row],[SKU]],TablaINVENTARIO[SKU],TablaINVENTARIO[ESTADO])</f>
        <v>USADO</v>
      </c>
      <c r="G812" s="33" t="str">
        <f>_xlfn.XLOOKUP(TablaSTOCKINV[[#This Row],[SKU]],TablaINVENTARIO[SKU],TablaINVENTARIO[MEDIDA])</f>
        <v xml:space="preserve">UND </v>
      </c>
      <c r="H812" s="33" t="str">
        <f>_xlfn.XLOOKUP(TablaSTOCKINV[[#This Row],[SKU]],TablaINVENTARIO[SKU],TablaINVENTARIO[SERIAL])</f>
        <v>N/A</v>
      </c>
      <c r="I812" s="34" t="str">
        <f>_xlfn.XLOOKUP(TablaSTOCKINV[[#This Row],[SKU]],TablaINVENTARIO[SKU],TablaINVENTARIO[ALMACEN])</f>
        <v>ALMACEN PRINCIPAL</v>
      </c>
      <c r="J812" s="34" t="str">
        <f>_xlfn.XLOOKUP(TablaSTOCKINV[[#This Row],[SKU]],TablaINVENTARIO[SKU],TablaINVENTARIO[UBICACION])</f>
        <v>J2-1</v>
      </c>
      <c r="K812" s="34" t="str">
        <f>_xlfn.XLOOKUP(TablaSTOCKINV[[#This Row],[SKU]],TablaINVENTARIO[SKU],TablaINVENTARIO[DPTO RESPONSABLE])</f>
        <v xml:space="preserve">OPERACIONES </v>
      </c>
      <c r="L812" s="36">
        <f>_xlfn.XLOOKUP(TablaSTOCKINV[[#This Row],[SKU]],TablaINVENTARIO[SKU],TablaINVENTARIO[RANGO MIN])</f>
        <v>0</v>
      </c>
      <c r="M812" s="34" cm="1">
        <f t="array" ref="M812">_xlfn.IFS(TablaSTOCKINV[[#This Row],[CANT. TOTAL]]&lt;=0,1,TablaSTOCKINV[[#This Row],[CANT. TOTAL]]&lt;=TablaSTOCKINV[[#This Row],[MIN]],2,TablaSTOCKINV[[#This Row],[CANT. TOTAL]]&gt;TablaSTOCKINV[[#This Row],[MIN]],3)</f>
        <v>3</v>
      </c>
      <c r="N812" s="34">
        <f>TablaSTOCKINV[[#This Row],[ENTRADAS]]-TablaSTOCKINV[[#This Row],[SALIDAS]]</f>
        <v>15</v>
      </c>
      <c r="O812" s="35">
        <f>SUMIFS(TablaENTRADA[CANT],TablaENTRADA[SKU],TablaSTOCKINV[[#This Row],[SKU]])</f>
        <v>15</v>
      </c>
      <c r="P812" s="35">
        <f>SUMIFS(TablaSALIDA[CANT],TablaSALIDA[SKU],TablaSTOCKINV[[#This Row],[SKU]])</f>
        <v>0</v>
      </c>
      <c r="Q812" s="34">
        <f>_xlfn.XLOOKUP(TablaSTOCKINV[[#This Row],[SKU]],TablaINVENTARIO[SKU],TablaINVENTARIO[PRECIO])</f>
        <v>0</v>
      </c>
      <c r="R812" s="34">
        <f>TablaSTOCKINV[[#This Row],[P.UNITARIO]]*TablaSTOCKINV[[#This Row],[CANT. TOTAL]]</f>
        <v>0</v>
      </c>
      <c r="S812" s="44">
        <f>_xlfn.XLOOKUP(TablaSTOCKINV[[#This Row],[SKU]],TablaINVENTARIO[SKU],TablaINVENTARIO[FECHA INGRESO])</f>
        <v>46023</v>
      </c>
      <c r="T812" s="44">
        <f>_xlfn.XLOOKUP(TablaSTOCKINV[[#This Row],[SKU]],TablaENTRADA[SKU],TablaENTRADA[FECHA],,0,-1)</f>
        <v>46023</v>
      </c>
      <c r="U812" s="46" t="str">
        <f>IFERROR((_xlfn.XLOOKUP(TablaSTOCKINV[[#This Row],[SKU]],TablaSALIDA[SKU],TablaSALIDA[FECHA],,0,-1))," " )</f>
        <v xml:space="preserve"> </v>
      </c>
    </row>
    <row r="813" spans="1:21" x14ac:dyDescent="0.3">
      <c r="A813" s="27" t="s">
        <v>692</v>
      </c>
      <c r="B813" s="32" t="str">
        <f>_xlfn.XLOOKUP(TablaSTOCKINV[[#This Row],[SKU]],TablaINVENTARIO[SKU],TablaINVENTARIO[DESCRIPCION])</f>
        <v xml:space="preserve">BUSHING REDUCTOR 2" X 1/2" </v>
      </c>
      <c r="C813" s="32" t="str">
        <f>_xlfn.XLOOKUP(TablaSTOCKINV[[#This Row],[SKU]],TablaINVENTARIO[SKU],TablaINVENTARIO[MARCA])</f>
        <v>N/A</v>
      </c>
      <c r="D813" s="33" t="str">
        <f>_xlfn.XLOOKUP(TablaSTOCKINV[[#This Row],[SKU]],TablaINVENTARIO[SKU],TablaINVENTARIO[CATEGORIA])</f>
        <v>FABRICACION</v>
      </c>
      <c r="E813" s="33" t="str">
        <f>_xlfn.XLOOKUP(TablaSTOCKINV[[#This Row],[SKU]],TablaINVENTARIO[SKU],TablaINVENTARIO[SUBCATEGORIA])</f>
        <v>MATERIAL MECANICO</v>
      </c>
      <c r="F813" s="33" t="str">
        <f>_xlfn.XLOOKUP(TablaSTOCKINV[[#This Row],[SKU]],TablaINVENTARIO[SKU],TablaINVENTARIO[ESTADO])</f>
        <v>USADO</v>
      </c>
      <c r="G813" s="33" t="str">
        <f>_xlfn.XLOOKUP(TablaSTOCKINV[[#This Row],[SKU]],TablaINVENTARIO[SKU],TablaINVENTARIO[MEDIDA])</f>
        <v xml:space="preserve">UND </v>
      </c>
      <c r="H813" s="33" t="str">
        <f>_xlfn.XLOOKUP(TablaSTOCKINV[[#This Row],[SKU]],TablaINVENTARIO[SKU],TablaINVENTARIO[SERIAL])</f>
        <v>N/A</v>
      </c>
      <c r="I813" s="34" t="str">
        <f>_xlfn.XLOOKUP(TablaSTOCKINV[[#This Row],[SKU]],TablaINVENTARIO[SKU],TablaINVENTARIO[ALMACEN])</f>
        <v>ALMACEN PRINCIPAL</v>
      </c>
      <c r="J813" s="34" t="str">
        <f>_xlfn.XLOOKUP(TablaSTOCKINV[[#This Row],[SKU]],TablaINVENTARIO[SKU],TablaINVENTARIO[UBICACION])</f>
        <v>J2-1</v>
      </c>
      <c r="K813" s="34" t="str">
        <f>_xlfn.XLOOKUP(TablaSTOCKINV[[#This Row],[SKU]],TablaINVENTARIO[SKU],TablaINVENTARIO[DPTO RESPONSABLE])</f>
        <v xml:space="preserve">OPERACIONES </v>
      </c>
      <c r="L813" s="36">
        <f>_xlfn.XLOOKUP(TablaSTOCKINV[[#This Row],[SKU]],TablaINVENTARIO[SKU],TablaINVENTARIO[RANGO MIN])</f>
        <v>0</v>
      </c>
      <c r="M813" s="34" cm="1">
        <f t="array" ref="M813">_xlfn.IFS(TablaSTOCKINV[[#This Row],[CANT. TOTAL]]&lt;=0,1,TablaSTOCKINV[[#This Row],[CANT. TOTAL]]&lt;=TablaSTOCKINV[[#This Row],[MIN]],2,TablaSTOCKINV[[#This Row],[CANT. TOTAL]]&gt;TablaSTOCKINV[[#This Row],[MIN]],3)</f>
        <v>3</v>
      </c>
      <c r="N813" s="34">
        <f>TablaSTOCKINV[[#This Row],[ENTRADAS]]-TablaSTOCKINV[[#This Row],[SALIDAS]]</f>
        <v>1</v>
      </c>
      <c r="O813" s="35">
        <f>SUMIFS(TablaENTRADA[CANT],TablaENTRADA[SKU],TablaSTOCKINV[[#This Row],[SKU]])</f>
        <v>1</v>
      </c>
      <c r="P813" s="35">
        <f>SUMIFS(TablaSALIDA[CANT],TablaSALIDA[SKU],TablaSTOCKINV[[#This Row],[SKU]])</f>
        <v>0</v>
      </c>
      <c r="Q813" s="34">
        <f>_xlfn.XLOOKUP(TablaSTOCKINV[[#This Row],[SKU]],TablaINVENTARIO[SKU],TablaINVENTARIO[PRECIO])</f>
        <v>0</v>
      </c>
      <c r="R813" s="34">
        <f>TablaSTOCKINV[[#This Row],[P.UNITARIO]]*TablaSTOCKINV[[#This Row],[CANT. TOTAL]]</f>
        <v>0</v>
      </c>
      <c r="S813" s="44">
        <f>_xlfn.XLOOKUP(TablaSTOCKINV[[#This Row],[SKU]],TablaINVENTARIO[SKU],TablaINVENTARIO[FECHA INGRESO])</f>
        <v>46023</v>
      </c>
      <c r="T813" s="44">
        <f>_xlfn.XLOOKUP(TablaSTOCKINV[[#This Row],[SKU]],TablaENTRADA[SKU],TablaENTRADA[FECHA],,0,-1)</f>
        <v>46023</v>
      </c>
      <c r="U813" s="46" t="str">
        <f>IFERROR((_xlfn.XLOOKUP(TablaSTOCKINV[[#This Row],[SKU]],TablaSALIDA[SKU],TablaSALIDA[FECHA],,0,-1))," " )</f>
        <v xml:space="preserve"> </v>
      </c>
    </row>
    <row r="814" spans="1:21" x14ac:dyDescent="0.3">
      <c r="A814" s="27" t="s">
        <v>694</v>
      </c>
      <c r="B814" s="32" t="str">
        <f>_xlfn.XLOOKUP(TablaSTOCKINV[[#This Row],[SKU]],TablaINVENTARIO[SKU],TablaINVENTARIO[DESCRIPCION])</f>
        <v>NIPLE ROSCADO GALVANIZADO 1"</v>
      </c>
      <c r="C814" s="32" t="str">
        <f>_xlfn.XLOOKUP(TablaSTOCKINV[[#This Row],[SKU]],TablaINVENTARIO[SKU],TablaINVENTARIO[MARCA])</f>
        <v>N/A</v>
      </c>
      <c r="D814" s="33" t="str">
        <f>_xlfn.XLOOKUP(TablaSTOCKINV[[#This Row],[SKU]],TablaINVENTARIO[SKU],TablaINVENTARIO[CATEGORIA])</f>
        <v>FABRICACION</v>
      </c>
      <c r="E814" s="33" t="str">
        <f>_xlfn.XLOOKUP(TablaSTOCKINV[[#This Row],[SKU]],TablaINVENTARIO[SKU],TablaINVENTARIO[SUBCATEGORIA])</f>
        <v>MATERIAL MECANICO</v>
      </c>
      <c r="F814" s="33" t="str">
        <f>_xlfn.XLOOKUP(TablaSTOCKINV[[#This Row],[SKU]],TablaINVENTARIO[SKU],TablaINVENTARIO[ESTADO])</f>
        <v xml:space="preserve">NUEVO </v>
      </c>
      <c r="G814" s="33" t="str">
        <f>_xlfn.XLOOKUP(TablaSTOCKINV[[#This Row],[SKU]],TablaINVENTARIO[SKU],TablaINVENTARIO[MEDIDA])</f>
        <v xml:space="preserve">UND </v>
      </c>
      <c r="H814" s="33" t="str">
        <f>_xlfn.XLOOKUP(TablaSTOCKINV[[#This Row],[SKU]],TablaINVENTARIO[SKU],TablaINVENTARIO[SERIAL])</f>
        <v>N/A</v>
      </c>
      <c r="I814" s="34" t="str">
        <f>_xlfn.XLOOKUP(TablaSTOCKINV[[#This Row],[SKU]],TablaINVENTARIO[SKU],TablaINVENTARIO[ALMACEN])</f>
        <v>ALMACEN PRINCIPAL</v>
      </c>
      <c r="J814" s="34" t="str">
        <f>_xlfn.XLOOKUP(TablaSTOCKINV[[#This Row],[SKU]],TablaINVENTARIO[SKU],TablaINVENTARIO[UBICACION])</f>
        <v>J2-1</v>
      </c>
      <c r="K814" s="34" t="str">
        <f>_xlfn.XLOOKUP(TablaSTOCKINV[[#This Row],[SKU]],TablaINVENTARIO[SKU],TablaINVENTARIO[DPTO RESPONSABLE])</f>
        <v xml:space="preserve">OPERACIONES </v>
      </c>
      <c r="L814" s="36">
        <f>_xlfn.XLOOKUP(TablaSTOCKINV[[#This Row],[SKU]],TablaINVENTARIO[SKU],TablaINVENTARIO[RANGO MIN])</f>
        <v>0</v>
      </c>
      <c r="M814" s="34" cm="1">
        <f t="array" ref="M814">_xlfn.IFS(TablaSTOCKINV[[#This Row],[CANT. TOTAL]]&lt;=0,1,TablaSTOCKINV[[#This Row],[CANT. TOTAL]]&lt;=TablaSTOCKINV[[#This Row],[MIN]],2,TablaSTOCKINV[[#This Row],[CANT. TOTAL]]&gt;TablaSTOCKINV[[#This Row],[MIN]],3)</f>
        <v>3</v>
      </c>
      <c r="N814" s="34">
        <f>TablaSTOCKINV[[#This Row],[ENTRADAS]]-TablaSTOCKINV[[#This Row],[SALIDAS]]</f>
        <v>15</v>
      </c>
      <c r="O814" s="35">
        <f>SUMIFS(TablaENTRADA[CANT],TablaENTRADA[SKU],TablaSTOCKINV[[#This Row],[SKU]])</f>
        <v>15</v>
      </c>
      <c r="P814" s="35">
        <f>SUMIFS(TablaSALIDA[CANT],TablaSALIDA[SKU],TablaSTOCKINV[[#This Row],[SKU]])</f>
        <v>0</v>
      </c>
      <c r="Q814" s="34">
        <f>_xlfn.XLOOKUP(TablaSTOCKINV[[#This Row],[SKU]],TablaINVENTARIO[SKU],TablaINVENTARIO[PRECIO])</f>
        <v>0</v>
      </c>
      <c r="R814" s="34">
        <f>TablaSTOCKINV[[#This Row],[P.UNITARIO]]*TablaSTOCKINV[[#This Row],[CANT. TOTAL]]</f>
        <v>0</v>
      </c>
      <c r="S814" s="44">
        <f>_xlfn.XLOOKUP(TablaSTOCKINV[[#This Row],[SKU]],TablaINVENTARIO[SKU],TablaINVENTARIO[FECHA INGRESO])</f>
        <v>46023</v>
      </c>
      <c r="T814" s="44">
        <f>_xlfn.XLOOKUP(TablaSTOCKINV[[#This Row],[SKU]],TablaENTRADA[SKU],TablaENTRADA[FECHA],,0,-1)</f>
        <v>46023</v>
      </c>
      <c r="U814" s="46" t="str">
        <f>IFERROR((_xlfn.XLOOKUP(TablaSTOCKINV[[#This Row],[SKU]],TablaSALIDA[SKU],TablaSALIDA[FECHA],,0,-1))," " )</f>
        <v xml:space="preserve"> </v>
      </c>
    </row>
    <row r="815" spans="1:21" x14ac:dyDescent="0.3">
      <c r="A815" s="27" t="s">
        <v>696</v>
      </c>
      <c r="B815" s="32" t="str">
        <f>_xlfn.XLOOKUP(TablaSTOCKINV[[#This Row],[SKU]],TablaINVENTARIO[SKU],TablaINVENTARIO[DESCRIPCION])</f>
        <v>NIPLE 1/2"</v>
      </c>
      <c r="C815" s="32" t="str">
        <f>_xlfn.XLOOKUP(TablaSTOCKINV[[#This Row],[SKU]],TablaINVENTARIO[SKU],TablaINVENTARIO[MARCA])</f>
        <v>N/A</v>
      </c>
      <c r="D815" s="33" t="str">
        <f>_xlfn.XLOOKUP(TablaSTOCKINV[[#This Row],[SKU]],TablaINVENTARIO[SKU],TablaINVENTARIO[CATEGORIA])</f>
        <v>FABRICACION</v>
      </c>
      <c r="E815" s="33" t="str">
        <f>_xlfn.XLOOKUP(TablaSTOCKINV[[#This Row],[SKU]],TablaINVENTARIO[SKU],TablaINVENTARIO[SUBCATEGORIA])</f>
        <v>MATERIAL MECANICO</v>
      </c>
      <c r="F815" s="33" t="str">
        <f>_xlfn.XLOOKUP(TablaSTOCKINV[[#This Row],[SKU]],TablaINVENTARIO[SKU],TablaINVENTARIO[ESTADO])</f>
        <v xml:space="preserve">NUEVO </v>
      </c>
      <c r="G815" s="33" t="str">
        <f>_xlfn.XLOOKUP(TablaSTOCKINV[[#This Row],[SKU]],TablaINVENTARIO[SKU],TablaINVENTARIO[MEDIDA])</f>
        <v xml:space="preserve">UND </v>
      </c>
      <c r="H815" s="33" t="str">
        <f>_xlfn.XLOOKUP(TablaSTOCKINV[[#This Row],[SKU]],TablaINVENTARIO[SKU],TablaINVENTARIO[SERIAL])</f>
        <v>N/A</v>
      </c>
      <c r="I815" s="34" t="str">
        <f>_xlfn.XLOOKUP(TablaSTOCKINV[[#This Row],[SKU]],TablaINVENTARIO[SKU],TablaINVENTARIO[ALMACEN])</f>
        <v>ALMACEN PRINCIPAL</v>
      </c>
      <c r="J815" s="34" t="str">
        <f>_xlfn.XLOOKUP(TablaSTOCKINV[[#This Row],[SKU]],TablaINVENTARIO[SKU],TablaINVENTARIO[UBICACION])</f>
        <v>J2-1</v>
      </c>
      <c r="K815" s="34" t="str">
        <f>_xlfn.XLOOKUP(TablaSTOCKINV[[#This Row],[SKU]],TablaINVENTARIO[SKU],TablaINVENTARIO[DPTO RESPONSABLE])</f>
        <v xml:space="preserve">OPERACIONES </v>
      </c>
      <c r="L815" s="36">
        <f>_xlfn.XLOOKUP(TablaSTOCKINV[[#This Row],[SKU]],TablaINVENTARIO[SKU],TablaINVENTARIO[RANGO MIN])</f>
        <v>0</v>
      </c>
      <c r="M815" s="34" cm="1">
        <f t="array" ref="M815">_xlfn.IFS(TablaSTOCKINV[[#This Row],[CANT. TOTAL]]&lt;=0,1,TablaSTOCKINV[[#This Row],[CANT. TOTAL]]&lt;=TablaSTOCKINV[[#This Row],[MIN]],2,TablaSTOCKINV[[#This Row],[CANT. TOTAL]]&gt;TablaSTOCKINV[[#This Row],[MIN]],3)</f>
        <v>3</v>
      </c>
      <c r="N815" s="34">
        <f>TablaSTOCKINV[[#This Row],[ENTRADAS]]-TablaSTOCKINV[[#This Row],[SALIDAS]]</f>
        <v>7</v>
      </c>
      <c r="O815" s="35">
        <f>SUMIFS(TablaENTRADA[CANT],TablaENTRADA[SKU],TablaSTOCKINV[[#This Row],[SKU]])</f>
        <v>7</v>
      </c>
      <c r="P815" s="35">
        <f>SUMIFS(TablaSALIDA[CANT],TablaSALIDA[SKU],TablaSTOCKINV[[#This Row],[SKU]])</f>
        <v>0</v>
      </c>
      <c r="Q815" s="34">
        <f>_xlfn.XLOOKUP(TablaSTOCKINV[[#This Row],[SKU]],TablaINVENTARIO[SKU],TablaINVENTARIO[PRECIO])</f>
        <v>0</v>
      </c>
      <c r="R815" s="34">
        <f>TablaSTOCKINV[[#This Row],[P.UNITARIO]]*TablaSTOCKINV[[#This Row],[CANT. TOTAL]]</f>
        <v>0</v>
      </c>
      <c r="S815" s="44">
        <f>_xlfn.XLOOKUP(TablaSTOCKINV[[#This Row],[SKU]],TablaINVENTARIO[SKU],TablaINVENTARIO[FECHA INGRESO])</f>
        <v>46023</v>
      </c>
      <c r="T815" s="44">
        <f>_xlfn.XLOOKUP(TablaSTOCKINV[[#This Row],[SKU]],TablaENTRADA[SKU],TablaENTRADA[FECHA],,0,-1)</f>
        <v>46023</v>
      </c>
      <c r="U815" s="46" t="str">
        <f>IFERROR((_xlfn.XLOOKUP(TablaSTOCKINV[[#This Row],[SKU]],TablaSALIDA[SKU],TablaSALIDA[FECHA],,0,-1))," " )</f>
        <v xml:space="preserve"> </v>
      </c>
    </row>
    <row r="816" spans="1:21" x14ac:dyDescent="0.3">
      <c r="A816" s="27" t="s">
        <v>698</v>
      </c>
      <c r="B816" s="32" t="str">
        <f>_xlfn.XLOOKUP(TablaSTOCKINV[[#This Row],[SKU]],TablaINVENTARIO[SKU],TablaINVENTARIO[DESCRIPCION])</f>
        <v>NIPLE 3/4"</v>
      </c>
      <c r="C816" s="32" t="str">
        <f>_xlfn.XLOOKUP(TablaSTOCKINV[[#This Row],[SKU]],TablaINVENTARIO[SKU],TablaINVENTARIO[MARCA])</f>
        <v>N/A</v>
      </c>
      <c r="D816" s="33" t="str">
        <f>_xlfn.XLOOKUP(TablaSTOCKINV[[#This Row],[SKU]],TablaINVENTARIO[SKU],TablaINVENTARIO[CATEGORIA])</f>
        <v>FABRICACION</v>
      </c>
      <c r="E816" s="33" t="str">
        <f>_xlfn.XLOOKUP(TablaSTOCKINV[[#This Row],[SKU]],TablaINVENTARIO[SKU],TablaINVENTARIO[SUBCATEGORIA])</f>
        <v>MATERIAL MECANICO</v>
      </c>
      <c r="F816" s="33" t="str">
        <f>_xlfn.XLOOKUP(TablaSTOCKINV[[#This Row],[SKU]],TablaINVENTARIO[SKU],TablaINVENTARIO[ESTADO])</f>
        <v xml:space="preserve">NUEVO </v>
      </c>
      <c r="G816" s="33" t="str">
        <f>_xlfn.XLOOKUP(TablaSTOCKINV[[#This Row],[SKU]],TablaINVENTARIO[SKU],TablaINVENTARIO[MEDIDA])</f>
        <v xml:space="preserve">UND </v>
      </c>
      <c r="H816" s="33" t="str">
        <f>_xlfn.XLOOKUP(TablaSTOCKINV[[#This Row],[SKU]],TablaINVENTARIO[SKU],TablaINVENTARIO[SERIAL])</f>
        <v>N/A</v>
      </c>
      <c r="I816" s="34" t="str">
        <f>_xlfn.XLOOKUP(TablaSTOCKINV[[#This Row],[SKU]],TablaINVENTARIO[SKU],TablaINVENTARIO[ALMACEN])</f>
        <v>ALMACEN PRINCIPAL</v>
      </c>
      <c r="J816" s="34" t="str">
        <f>_xlfn.XLOOKUP(TablaSTOCKINV[[#This Row],[SKU]],TablaINVENTARIO[SKU],TablaINVENTARIO[UBICACION])</f>
        <v>J2-1</v>
      </c>
      <c r="K816" s="34" t="str">
        <f>_xlfn.XLOOKUP(TablaSTOCKINV[[#This Row],[SKU]],TablaINVENTARIO[SKU],TablaINVENTARIO[DPTO RESPONSABLE])</f>
        <v xml:space="preserve">OPERACIONES </v>
      </c>
      <c r="L816" s="36">
        <f>_xlfn.XLOOKUP(TablaSTOCKINV[[#This Row],[SKU]],TablaINVENTARIO[SKU],TablaINVENTARIO[RANGO MIN])</f>
        <v>0</v>
      </c>
      <c r="M816" s="34" cm="1">
        <f t="array" ref="M816">_xlfn.IFS(TablaSTOCKINV[[#This Row],[CANT. TOTAL]]&lt;=0,1,TablaSTOCKINV[[#This Row],[CANT. TOTAL]]&lt;=TablaSTOCKINV[[#This Row],[MIN]],2,TablaSTOCKINV[[#This Row],[CANT. TOTAL]]&gt;TablaSTOCKINV[[#This Row],[MIN]],3)</f>
        <v>3</v>
      </c>
      <c r="N816" s="34">
        <f>TablaSTOCKINV[[#This Row],[ENTRADAS]]-TablaSTOCKINV[[#This Row],[SALIDAS]]</f>
        <v>1</v>
      </c>
      <c r="O816" s="35">
        <f>SUMIFS(TablaENTRADA[CANT],TablaENTRADA[SKU],TablaSTOCKINV[[#This Row],[SKU]])</f>
        <v>1</v>
      </c>
      <c r="P816" s="35">
        <f>SUMIFS(TablaSALIDA[CANT],TablaSALIDA[SKU],TablaSTOCKINV[[#This Row],[SKU]])</f>
        <v>0</v>
      </c>
      <c r="Q816" s="34">
        <f>_xlfn.XLOOKUP(TablaSTOCKINV[[#This Row],[SKU]],TablaINVENTARIO[SKU],TablaINVENTARIO[PRECIO])</f>
        <v>0</v>
      </c>
      <c r="R816" s="34">
        <f>TablaSTOCKINV[[#This Row],[P.UNITARIO]]*TablaSTOCKINV[[#This Row],[CANT. TOTAL]]</f>
        <v>0</v>
      </c>
      <c r="S816" s="44">
        <f>_xlfn.XLOOKUP(TablaSTOCKINV[[#This Row],[SKU]],TablaINVENTARIO[SKU],TablaINVENTARIO[FECHA INGRESO])</f>
        <v>46023</v>
      </c>
      <c r="T816" s="44">
        <f>_xlfn.XLOOKUP(TablaSTOCKINV[[#This Row],[SKU]],TablaENTRADA[SKU],TablaENTRADA[FECHA],,0,-1)</f>
        <v>46023</v>
      </c>
      <c r="U816" s="46" t="str">
        <f>IFERROR((_xlfn.XLOOKUP(TablaSTOCKINV[[#This Row],[SKU]],TablaSALIDA[SKU],TablaSALIDA[FECHA],,0,-1))," " )</f>
        <v xml:space="preserve"> </v>
      </c>
    </row>
    <row r="817" spans="1:21" x14ac:dyDescent="0.3">
      <c r="A817" s="27" t="s">
        <v>700</v>
      </c>
      <c r="B817" s="32" t="str">
        <f>_xlfn.XLOOKUP(TablaSTOCKINV[[#This Row],[SKU]],TablaINVENTARIO[SKU],TablaINVENTARIO[DESCRIPCION])</f>
        <v>CODO DE HIERRO 3/4"</v>
      </c>
      <c r="C817" s="32" t="str">
        <f>_xlfn.XLOOKUP(TablaSTOCKINV[[#This Row],[SKU]],TablaINVENTARIO[SKU],TablaINVENTARIO[MARCA])</f>
        <v>N/A</v>
      </c>
      <c r="D817" s="33" t="str">
        <f>_xlfn.XLOOKUP(TablaSTOCKINV[[#This Row],[SKU]],TablaINVENTARIO[SKU],TablaINVENTARIO[CATEGORIA])</f>
        <v>FABRICACION</v>
      </c>
      <c r="E817" s="33" t="str">
        <f>_xlfn.XLOOKUP(TablaSTOCKINV[[#This Row],[SKU]],TablaINVENTARIO[SKU],TablaINVENTARIO[SUBCATEGORIA])</f>
        <v>MATERIAL MECANICO</v>
      </c>
      <c r="F817" s="33" t="str">
        <f>_xlfn.XLOOKUP(TablaSTOCKINV[[#This Row],[SKU]],TablaINVENTARIO[SKU],TablaINVENTARIO[ESTADO])</f>
        <v>USADO</v>
      </c>
      <c r="G817" s="33" t="str">
        <f>_xlfn.XLOOKUP(TablaSTOCKINV[[#This Row],[SKU]],TablaINVENTARIO[SKU],TablaINVENTARIO[MEDIDA])</f>
        <v xml:space="preserve">UND </v>
      </c>
      <c r="H817" s="33" t="str">
        <f>_xlfn.XLOOKUP(TablaSTOCKINV[[#This Row],[SKU]],TablaINVENTARIO[SKU],TablaINVENTARIO[SERIAL])</f>
        <v>N/A</v>
      </c>
      <c r="I817" s="34" t="str">
        <f>_xlfn.XLOOKUP(TablaSTOCKINV[[#This Row],[SKU]],TablaINVENTARIO[SKU],TablaINVENTARIO[ALMACEN])</f>
        <v>ALMACEN PRINCIPAL</v>
      </c>
      <c r="J817" s="34" t="str">
        <f>_xlfn.XLOOKUP(TablaSTOCKINV[[#This Row],[SKU]],TablaINVENTARIO[SKU],TablaINVENTARIO[UBICACION])</f>
        <v>J2-2</v>
      </c>
      <c r="K817" s="34" t="str">
        <f>_xlfn.XLOOKUP(TablaSTOCKINV[[#This Row],[SKU]],TablaINVENTARIO[SKU],TablaINVENTARIO[DPTO RESPONSABLE])</f>
        <v xml:space="preserve">OPERACIONES </v>
      </c>
      <c r="L817" s="36">
        <f>_xlfn.XLOOKUP(TablaSTOCKINV[[#This Row],[SKU]],TablaINVENTARIO[SKU],TablaINVENTARIO[RANGO MIN])</f>
        <v>0</v>
      </c>
      <c r="M817" s="34" cm="1">
        <f t="array" ref="M817">_xlfn.IFS(TablaSTOCKINV[[#This Row],[CANT. TOTAL]]&lt;=0,1,TablaSTOCKINV[[#This Row],[CANT. TOTAL]]&lt;=TablaSTOCKINV[[#This Row],[MIN]],2,TablaSTOCKINV[[#This Row],[CANT. TOTAL]]&gt;TablaSTOCKINV[[#This Row],[MIN]],3)</f>
        <v>3</v>
      </c>
      <c r="N817" s="34">
        <f>TablaSTOCKINV[[#This Row],[ENTRADAS]]-TablaSTOCKINV[[#This Row],[SALIDAS]]</f>
        <v>2</v>
      </c>
      <c r="O817" s="35">
        <f>SUMIFS(TablaENTRADA[CANT],TablaENTRADA[SKU],TablaSTOCKINV[[#This Row],[SKU]])</f>
        <v>2</v>
      </c>
      <c r="P817" s="35">
        <f>SUMIFS(TablaSALIDA[CANT],TablaSALIDA[SKU],TablaSTOCKINV[[#This Row],[SKU]])</f>
        <v>0</v>
      </c>
      <c r="Q817" s="34">
        <f>_xlfn.XLOOKUP(TablaSTOCKINV[[#This Row],[SKU]],TablaINVENTARIO[SKU],TablaINVENTARIO[PRECIO])</f>
        <v>0</v>
      </c>
      <c r="R817" s="34">
        <f>TablaSTOCKINV[[#This Row],[P.UNITARIO]]*TablaSTOCKINV[[#This Row],[CANT. TOTAL]]</f>
        <v>0</v>
      </c>
      <c r="S817" s="44">
        <f>_xlfn.XLOOKUP(TablaSTOCKINV[[#This Row],[SKU]],TablaINVENTARIO[SKU],TablaINVENTARIO[FECHA INGRESO])</f>
        <v>46023</v>
      </c>
      <c r="T817" s="44">
        <f>_xlfn.XLOOKUP(TablaSTOCKINV[[#This Row],[SKU]],TablaENTRADA[SKU],TablaENTRADA[FECHA],,0,-1)</f>
        <v>46023</v>
      </c>
      <c r="U817" s="46" t="str">
        <f>IFERROR((_xlfn.XLOOKUP(TablaSTOCKINV[[#This Row],[SKU]],TablaSALIDA[SKU],TablaSALIDA[FECHA],,0,-1))," " )</f>
        <v xml:space="preserve"> </v>
      </c>
    </row>
    <row r="818" spans="1:21" x14ac:dyDescent="0.3">
      <c r="A818" s="27" t="s">
        <v>702</v>
      </c>
      <c r="B818" s="32" t="str">
        <f>_xlfn.XLOOKUP(TablaSTOCKINV[[#This Row],[SKU]],TablaINVENTARIO[SKU],TablaINVENTARIO[DESCRIPCION])</f>
        <v>CONDUCTO ELECTRICO FLEXIBLE LIQUID-TIGHT</v>
      </c>
      <c r="C818" s="32" t="str">
        <f>_xlfn.XLOOKUP(TablaSTOCKINV[[#This Row],[SKU]],TablaINVENTARIO[SKU],TablaINVENTARIO[MARCA])</f>
        <v>N/A</v>
      </c>
      <c r="D818" s="33" t="str">
        <f>_xlfn.XLOOKUP(TablaSTOCKINV[[#This Row],[SKU]],TablaINVENTARIO[SKU],TablaINVENTARIO[CATEGORIA])</f>
        <v>FABRICACION</v>
      </c>
      <c r="E818" s="33" t="str">
        <f>_xlfn.XLOOKUP(TablaSTOCKINV[[#This Row],[SKU]],TablaINVENTARIO[SKU],TablaINVENTARIO[SUBCATEGORIA])</f>
        <v>MATERIAL ELECTRICO</v>
      </c>
      <c r="F818" s="33" t="str">
        <f>_xlfn.XLOOKUP(TablaSTOCKINV[[#This Row],[SKU]],TablaINVENTARIO[SKU],TablaINVENTARIO[ESTADO])</f>
        <v xml:space="preserve">NUEVO </v>
      </c>
      <c r="G818" s="33" t="str">
        <f>_xlfn.XLOOKUP(TablaSTOCKINV[[#This Row],[SKU]],TablaINVENTARIO[SKU],TablaINVENTARIO[MEDIDA])</f>
        <v>ROLLO</v>
      </c>
      <c r="H818" s="33" t="str">
        <f>_xlfn.XLOOKUP(TablaSTOCKINV[[#This Row],[SKU]],TablaINVENTARIO[SKU],TablaINVENTARIO[SERIAL])</f>
        <v>N/A</v>
      </c>
      <c r="I818" s="34" t="str">
        <f>_xlfn.XLOOKUP(TablaSTOCKINV[[#This Row],[SKU]],TablaINVENTARIO[SKU],TablaINVENTARIO[ALMACEN])</f>
        <v>ALMACEN PRINCIPAL</v>
      </c>
      <c r="J818" s="34" t="str">
        <f>_xlfn.XLOOKUP(TablaSTOCKINV[[#This Row],[SKU]],TablaINVENTARIO[SKU],TablaINVENTARIO[UBICACION])</f>
        <v>J1-2</v>
      </c>
      <c r="K818" s="34" t="str">
        <f>_xlfn.XLOOKUP(TablaSTOCKINV[[#This Row],[SKU]],TablaINVENTARIO[SKU],TablaINVENTARIO[DPTO RESPONSABLE])</f>
        <v xml:space="preserve">OPERACIONES </v>
      </c>
      <c r="L818" s="36">
        <f>_xlfn.XLOOKUP(TablaSTOCKINV[[#This Row],[SKU]],TablaINVENTARIO[SKU],TablaINVENTARIO[RANGO MIN])</f>
        <v>0</v>
      </c>
      <c r="M818" s="34" cm="1">
        <f t="array" ref="M818">_xlfn.IFS(TablaSTOCKINV[[#This Row],[CANT. TOTAL]]&lt;=0,1,TablaSTOCKINV[[#This Row],[CANT. TOTAL]]&lt;=TablaSTOCKINV[[#This Row],[MIN]],2,TablaSTOCKINV[[#This Row],[CANT. TOTAL]]&gt;TablaSTOCKINV[[#This Row],[MIN]],3)</f>
        <v>3</v>
      </c>
      <c r="N818" s="34">
        <f>TablaSTOCKINV[[#This Row],[ENTRADAS]]-TablaSTOCKINV[[#This Row],[SALIDAS]]</f>
        <v>3</v>
      </c>
      <c r="O818" s="35">
        <f>SUMIFS(TablaENTRADA[CANT],TablaENTRADA[SKU],TablaSTOCKINV[[#This Row],[SKU]])</f>
        <v>3</v>
      </c>
      <c r="P818" s="35">
        <f>SUMIFS(TablaSALIDA[CANT],TablaSALIDA[SKU],TablaSTOCKINV[[#This Row],[SKU]])</f>
        <v>0</v>
      </c>
      <c r="Q818" s="34">
        <f>_xlfn.XLOOKUP(TablaSTOCKINV[[#This Row],[SKU]],TablaINVENTARIO[SKU],TablaINVENTARIO[PRECIO])</f>
        <v>0</v>
      </c>
      <c r="R818" s="34">
        <f>TablaSTOCKINV[[#This Row],[P.UNITARIO]]*TablaSTOCKINV[[#This Row],[CANT. TOTAL]]</f>
        <v>0</v>
      </c>
      <c r="S818" s="44">
        <f>_xlfn.XLOOKUP(TablaSTOCKINV[[#This Row],[SKU]],TablaINVENTARIO[SKU],TablaINVENTARIO[FECHA INGRESO])</f>
        <v>46023</v>
      </c>
      <c r="T818" s="44">
        <f>_xlfn.XLOOKUP(TablaSTOCKINV[[#This Row],[SKU]],TablaENTRADA[SKU],TablaENTRADA[FECHA],,0,-1)</f>
        <v>46023</v>
      </c>
      <c r="U818" s="46" t="str">
        <f>IFERROR((_xlfn.XLOOKUP(TablaSTOCKINV[[#This Row],[SKU]],TablaSALIDA[SKU],TablaSALIDA[FECHA],,0,-1))," " )</f>
        <v xml:space="preserve"> </v>
      </c>
    </row>
    <row r="819" spans="1:21" x14ac:dyDescent="0.3">
      <c r="A819" s="27" t="s">
        <v>705</v>
      </c>
      <c r="B819" s="32" t="str">
        <f>_xlfn.XLOOKUP(TablaSTOCKINV[[#This Row],[SKU]],TablaINVENTARIO[SKU],TablaINVENTARIO[DESCRIPCION])</f>
        <v xml:space="preserve">PERFIL 9-1/2" DE ACERO GALVANIZADO </v>
      </c>
      <c r="C819" s="32" t="str">
        <f>_xlfn.XLOOKUP(TablaSTOCKINV[[#This Row],[SKU]],TablaINVENTARIO[SKU],TablaINVENTARIO[MARCA])</f>
        <v>N/A</v>
      </c>
      <c r="D819" s="33" t="str">
        <f>_xlfn.XLOOKUP(TablaSTOCKINV[[#This Row],[SKU]],TablaINVENTARIO[SKU],TablaINVENTARIO[CATEGORIA])</f>
        <v>FABRICACION</v>
      </c>
      <c r="E819" s="33" t="str">
        <f>_xlfn.XLOOKUP(TablaSTOCKINV[[#This Row],[SKU]],TablaINVENTARIO[SKU],TablaINVENTARIO[SUBCATEGORIA])</f>
        <v>MATERIAL MECANICO</v>
      </c>
      <c r="F819" s="33" t="str">
        <f>_xlfn.XLOOKUP(TablaSTOCKINV[[#This Row],[SKU]],TablaINVENTARIO[SKU],TablaINVENTARIO[ESTADO])</f>
        <v xml:space="preserve">NUEVO </v>
      </c>
      <c r="G819" s="33" t="str">
        <f>_xlfn.XLOOKUP(TablaSTOCKINV[[#This Row],[SKU]],TablaINVENTARIO[SKU],TablaINVENTARIO[MEDIDA])</f>
        <v xml:space="preserve">UND </v>
      </c>
      <c r="H819" s="33" t="str">
        <f>_xlfn.XLOOKUP(TablaSTOCKINV[[#This Row],[SKU]],TablaINVENTARIO[SKU],TablaINVENTARIO[SERIAL])</f>
        <v>N/A</v>
      </c>
      <c r="I819" s="34" t="str">
        <f>_xlfn.XLOOKUP(TablaSTOCKINV[[#This Row],[SKU]],TablaINVENTARIO[SKU],TablaINVENTARIO[ALMACEN])</f>
        <v>ALMACEN PRINCIPAL</v>
      </c>
      <c r="J819" s="34" t="str">
        <f>_xlfn.XLOOKUP(TablaSTOCKINV[[#This Row],[SKU]],TablaINVENTARIO[SKU],TablaINVENTARIO[UBICACION])</f>
        <v>J2-1</v>
      </c>
      <c r="K819" s="34" t="str">
        <f>_xlfn.XLOOKUP(TablaSTOCKINV[[#This Row],[SKU]],TablaINVENTARIO[SKU],TablaINVENTARIO[DPTO RESPONSABLE])</f>
        <v xml:space="preserve">OPERACIONES </v>
      </c>
      <c r="L819" s="36">
        <f>_xlfn.XLOOKUP(TablaSTOCKINV[[#This Row],[SKU]],TablaINVENTARIO[SKU],TablaINVENTARIO[RANGO MIN])</f>
        <v>0</v>
      </c>
      <c r="M819" s="34" cm="1">
        <f t="array" ref="M819">_xlfn.IFS(TablaSTOCKINV[[#This Row],[CANT. TOTAL]]&lt;=0,1,TablaSTOCKINV[[#This Row],[CANT. TOTAL]]&lt;=TablaSTOCKINV[[#This Row],[MIN]],2,TablaSTOCKINV[[#This Row],[CANT. TOTAL]]&gt;TablaSTOCKINV[[#This Row],[MIN]],3)</f>
        <v>3</v>
      </c>
      <c r="N819" s="34">
        <f>TablaSTOCKINV[[#This Row],[ENTRADAS]]-TablaSTOCKINV[[#This Row],[SALIDAS]]</f>
        <v>8</v>
      </c>
      <c r="O819" s="35">
        <f>SUMIFS(TablaENTRADA[CANT],TablaENTRADA[SKU],TablaSTOCKINV[[#This Row],[SKU]])</f>
        <v>8</v>
      </c>
      <c r="P819" s="35">
        <f>SUMIFS(TablaSALIDA[CANT],TablaSALIDA[SKU],TablaSTOCKINV[[#This Row],[SKU]])</f>
        <v>0</v>
      </c>
      <c r="Q819" s="34">
        <f>_xlfn.XLOOKUP(TablaSTOCKINV[[#This Row],[SKU]],TablaINVENTARIO[SKU],TablaINVENTARIO[PRECIO])</f>
        <v>0</v>
      </c>
      <c r="R819" s="34">
        <f>TablaSTOCKINV[[#This Row],[P.UNITARIO]]*TablaSTOCKINV[[#This Row],[CANT. TOTAL]]</f>
        <v>0</v>
      </c>
      <c r="S819" s="44">
        <f>_xlfn.XLOOKUP(TablaSTOCKINV[[#This Row],[SKU]],TablaINVENTARIO[SKU],TablaINVENTARIO[FECHA INGRESO])</f>
        <v>46023</v>
      </c>
      <c r="T819" s="44">
        <f>_xlfn.XLOOKUP(TablaSTOCKINV[[#This Row],[SKU]],TablaENTRADA[SKU],TablaENTRADA[FECHA],,0,-1)</f>
        <v>46023</v>
      </c>
      <c r="U819" s="46" t="str">
        <f>IFERROR((_xlfn.XLOOKUP(TablaSTOCKINV[[#This Row],[SKU]],TablaSALIDA[SKU],TablaSALIDA[FECHA],,0,-1))," " )</f>
        <v xml:space="preserve"> </v>
      </c>
    </row>
    <row r="820" spans="1:21" x14ac:dyDescent="0.3">
      <c r="A820" s="27" t="s">
        <v>707</v>
      </c>
      <c r="B820" s="32" t="str">
        <f>_xlfn.XLOOKUP(TablaSTOCKINV[[#This Row],[SKU]],TablaINVENTARIO[SKU],TablaINVENTARIO[DESCRIPCION])</f>
        <v>THREADOLET (OLET ROSCADO) 8A105 SP-97 3M 1X 1 1/2" - 36 ACERO AL CARBON</v>
      </c>
      <c r="C820" s="32" t="str">
        <f>_xlfn.XLOOKUP(TablaSTOCKINV[[#This Row],[SKU]],TablaINVENTARIO[SKU],TablaINVENTARIO[MARCA])</f>
        <v>N/A</v>
      </c>
      <c r="D820" s="33" t="str">
        <f>_xlfn.XLOOKUP(TablaSTOCKINV[[#This Row],[SKU]],TablaINVENTARIO[SKU],TablaINVENTARIO[CATEGORIA])</f>
        <v>FABRICACION</v>
      </c>
      <c r="E820" s="33" t="str">
        <f>_xlfn.XLOOKUP(TablaSTOCKINV[[#This Row],[SKU]],TablaINVENTARIO[SKU],TablaINVENTARIO[SUBCATEGORIA])</f>
        <v>MATERIAL MECANICO</v>
      </c>
      <c r="F820" s="33" t="str">
        <f>_xlfn.XLOOKUP(TablaSTOCKINV[[#This Row],[SKU]],TablaINVENTARIO[SKU],TablaINVENTARIO[ESTADO])</f>
        <v xml:space="preserve">NUEVO </v>
      </c>
      <c r="G820" s="33" t="str">
        <f>_xlfn.XLOOKUP(TablaSTOCKINV[[#This Row],[SKU]],TablaINVENTARIO[SKU],TablaINVENTARIO[MEDIDA])</f>
        <v>UND</v>
      </c>
      <c r="H820" s="33" t="str">
        <f>_xlfn.XLOOKUP(TablaSTOCKINV[[#This Row],[SKU]],TablaINVENTARIO[SKU],TablaINVENTARIO[SERIAL])</f>
        <v>N/A</v>
      </c>
      <c r="I820" s="34" t="str">
        <f>_xlfn.XLOOKUP(TablaSTOCKINV[[#This Row],[SKU]],TablaINVENTARIO[SKU],TablaINVENTARIO[ALMACEN])</f>
        <v>ALMACEN PRINCIPAL</v>
      </c>
      <c r="J820" s="34" t="str">
        <f>_xlfn.XLOOKUP(TablaSTOCKINV[[#This Row],[SKU]],TablaINVENTARIO[SKU],TablaINVENTARIO[UBICACION])</f>
        <v>I4-1</v>
      </c>
      <c r="K820" s="34" t="str">
        <f>_xlfn.XLOOKUP(TablaSTOCKINV[[#This Row],[SKU]],TablaINVENTARIO[SKU],TablaINVENTARIO[DPTO RESPONSABLE])</f>
        <v>OPERACIONES</v>
      </c>
      <c r="L820" s="36">
        <f>_xlfn.XLOOKUP(TablaSTOCKINV[[#This Row],[SKU]],TablaINVENTARIO[SKU],TablaINVENTARIO[RANGO MIN])</f>
        <v>0</v>
      </c>
      <c r="M820" s="34" cm="1">
        <f t="array" ref="M820">_xlfn.IFS(TablaSTOCKINV[[#This Row],[CANT. TOTAL]]&lt;=0,1,TablaSTOCKINV[[#This Row],[CANT. TOTAL]]&lt;=TablaSTOCKINV[[#This Row],[MIN]],2,TablaSTOCKINV[[#This Row],[CANT. TOTAL]]&gt;TablaSTOCKINV[[#This Row],[MIN]],3)</f>
        <v>3</v>
      </c>
      <c r="N820" s="34">
        <f>TablaSTOCKINV[[#This Row],[ENTRADAS]]-TablaSTOCKINV[[#This Row],[SALIDAS]]</f>
        <v>19</v>
      </c>
      <c r="O820" s="35">
        <f>SUMIFS(TablaENTRADA[CANT],TablaENTRADA[SKU],TablaSTOCKINV[[#This Row],[SKU]])</f>
        <v>19</v>
      </c>
      <c r="P820" s="35">
        <f>SUMIFS(TablaSALIDA[CANT],TablaSALIDA[SKU],TablaSTOCKINV[[#This Row],[SKU]])</f>
        <v>0</v>
      </c>
      <c r="Q820" s="34">
        <f>_xlfn.XLOOKUP(TablaSTOCKINV[[#This Row],[SKU]],TablaINVENTARIO[SKU],TablaINVENTARIO[PRECIO])</f>
        <v>0</v>
      </c>
      <c r="R820" s="34">
        <f>TablaSTOCKINV[[#This Row],[P.UNITARIO]]*TablaSTOCKINV[[#This Row],[CANT. TOTAL]]</f>
        <v>0</v>
      </c>
      <c r="S820" s="44">
        <f>_xlfn.XLOOKUP(TablaSTOCKINV[[#This Row],[SKU]],TablaINVENTARIO[SKU],TablaINVENTARIO[FECHA INGRESO])</f>
        <v>46023</v>
      </c>
      <c r="T820" s="44">
        <f>_xlfn.XLOOKUP(TablaSTOCKINV[[#This Row],[SKU]],TablaENTRADA[SKU],TablaENTRADA[FECHA],,0,-1)</f>
        <v>46023</v>
      </c>
      <c r="U820" s="46" t="str">
        <f>IFERROR((_xlfn.XLOOKUP(TablaSTOCKINV[[#This Row],[SKU]],TablaSALIDA[SKU],TablaSALIDA[FECHA],,0,-1))," " )</f>
        <v xml:space="preserve"> </v>
      </c>
    </row>
    <row r="821" spans="1:21" x14ac:dyDescent="0.3">
      <c r="A821" s="27" t="s">
        <v>710</v>
      </c>
      <c r="B821" s="32" t="str">
        <f>_xlfn.XLOOKUP(TablaSTOCKINV[[#This Row],[SKU]],TablaINVENTARIO[SKU],TablaINVENTARIO[DESCRIPCION])</f>
        <v>WELDOLET 1X4 1" 6000 A/SA 105N ACERO AL CARBON</v>
      </c>
      <c r="C821" s="32" t="str">
        <f>_xlfn.XLOOKUP(TablaSTOCKINV[[#This Row],[SKU]],TablaINVENTARIO[SKU],TablaINVENTARIO[MARCA])</f>
        <v>N/A</v>
      </c>
      <c r="D821" s="33" t="str">
        <f>_xlfn.XLOOKUP(TablaSTOCKINV[[#This Row],[SKU]],TablaINVENTARIO[SKU],TablaINVENTARIO[CATEGORIA])</f>
        <v>FABRICACION</v>
      </c>
      <c r="E821" s="33" t="str">
        <f>_xlfn.XLOOKUP(TablaSTOCKINV[[#This Row],[SKU]],TablaINVENTARIO[SKU],TablaINVENTARIO[SUBCATEGORIA])</f>
        <v>MATERIAL MECANICO</v>
      </c>
      <c r="F821" s="33" t="str">
        <f>_xlfn.XLOOKUP(TablaSTOCKINV[[#This Row],[SKU]],TablaINVENTARIO[SKU],TablaINVENTARIO[ESTADO])</f>
        <v xml:space="preserve">NUEVO </v>
      </c>
      <c r="G821" s="33" t="str">
        <f>_xlfn.XLOOKUP(TablaSTOCKINV[[#This Row],[SKU]],TablaINVENTARIO[SKU],TablaINVENTARIO[MEDIDA])</f>
        <v>UND</v>
      </c>
      <c r="H821" s="33" t="str">
        <f>_xlfn.XLOOKUP(TablaSTOCKINV[[#This Row],[SKU]],TablaINVENTARIO[SKU],TablaINVENTARIO[SERIAL])</f>
        <v>N/A</v>
      </c>
      <c r="I821" s="34" t="str">
        <f>_xlfn.XLOOKUP(TablaSTOCKINV[[#This Row],[SKU]],TablaINVENTARIO[SKU],TablaINVENTARIO[ALMACEN])</f>
        <v>ALMACEN PRINCIPAL</v>
      </c>
      <c r="J821" s="34" t="str">
        <f>_xlfn.XLOOKUP(TablaSTOCKINV[[#This Row],[SKU]],TablaINVENTARIO[SKU],TablaINVENTARIO[UBICACION])</f>
        <v>I4-1</v>
      </c>
      <c r="K821" s="34" t="str">
        <f>_xlfn.XLOOKUP(TablaSTOCKINV[[#This Row],[SKU]],TablaINVENTARIO[SKU],TablaINVENTARIO[DPTO RESPONSABLE])</f>
        <v>OPERACIONES</v>
      </c>
      <c r="L821" s="36">
        <f>_xlfn.XLOOKUP(TablaSTOCKINV[[#This Row],[SKU]],TablaINVENTARIO[SKU],TablaINVENTARIO[RANGO MIN])</f>
        <v>0</v>
      </c>
      <c r="M821" s="34" cm="1">
        <f t="array" ref="M821">_xlfn.IFS(TablaSTOCKINV[[#This Row],[CANT. TOTAL]]&lt;=0,1,TablaSTOCKINV[[#This Row],[CANT. TOTAL]]&lt;=TablaSTOCKINV[[#This Row],[MIN]],2,TablaSTOCKINV[[#This Row],[CANT. TOTAL]]&gt;TablaSTOCKINV[[#This Row],[MIN]],3)</f>
        <v>3</v>
      </c>
      <c r="N821" s="34">
        <f>TablaSTOCKINV[[#This Row],[ENTRADAS]]-TablaSTOCKINV[[#This Row],[SALIDAS]]</f>
        <v>1</v>
      </c>
      <c r="O821" s="35">
        <f>SUMIFS(TablaENTRADA[CANT],TablaENTRADA[SKU],TablaSTOCKINV[[#This Row],[SKU]])</f>
        <v>1</v>
      </c>
      <c r="P821" s="35">
        <f>SUMIFS(TablaSALIDA[CANT],TablaSALIDA[SKU],TablaSTOCKINV[[#This Row],[SKU]])</f>
        <v>0</v>
      </c>
      <c r="Q821" s="34">
        <f>_xlfn.XLOOKUP(TablaSTOCKINV[[#This Row],[SKU]],TablaINVENTARIO[SKU],TablaINVENTARIO[PRECIO])</f>
        <v>0</v>
      </c>
      <c r="R821" s="34">
        <f>TablaSTOCKINV[[#This Row],[P.UNITARIO]]*TablaSTOCKINV[[#This Row],[CANT. TOTAL]]</f>
        <v>0</v>
      </c>
      <c r="S821" s="44">
        <f>_xlfn.XLOOKUP(TablaSTOCKINV[[#This Row],[SKU]],TablaINVENTARIO[SKU],TablaINVENTARIO[FECHA INGRESO])</f>
        <v>46023</v>
      </c>
      <c r="T821" s="44">
        <f>_xlfn.XLOOKUP(TablaSTOCKINV[[#This Row],[SKU]],TablaENTRADA[SKU],TablaENTRADA[FECHA],,0,-1)</f>
        <v>46023</v>
      </c>
      <c r="U821" s="46" t="str">
        <f>IFERROR((_xlfn.XLOOKUP(TablaSTOCKINV[[#This Row],[SKU]],TablaSALIDA[SKU],TablaSALIDA[FECHA],,0,-1))," " )</f>
        <v xml:space="preserve"> </v>
      </c>
    </row>
    <row r="822" spans="1:21" x14ac:dyDescent="0.3">
      <c r="A822" s="27" t="s">
        <v>712</v>
      </c>
      <c r="B822" s="32" t="str">
        <f>_xlfn.XLOOKUP(TablaSTOCKINV[[#This Row],[SKU]],TablaINVENTARIO[SKU],TablaINVENTARIO[DESCRIPCION])</f>
        <v>WELDOLET 4-8 X 1-1/2" 3000- A-105 ACERO AL CARBON</v>
      </c>
      <c r="C822" s="32" t="str">
        <f>_xlfn.XLOOKUP(TablaSTOCKINV[[#This Row],[SKU]],TablaINVENTARIO[SKU],TablaINVENTARIO[MARCA])</f>
        <v>N/A</v>
      </c>
      <c r="D822" s="33" t="str">
        <f>_xlfn.XLOOKUP(TablaSTOCKINV[[#This Row],[SKU]],TablaINVENTARIO[SKU],TablaINVENTARIO[CATEGORIA])</f>
        <v>FABRICACION</v>
      </c>
      <c r="E822" s="33" t="str">
        <f>_xlfn.XLOOKUP(TablaSTOCKINV[[#This Row],[SKU]],TablaINVENTARIO[SKU],TablaINVENTARIO[SUBCATEGORIA])</f>
        <v>MATERIAL MECANICO</v>
      </c>
      <c r="F822" s="33" t="str">
        <f>_xlfn.XLOOKUP(TablaSTOCKINV[[#This Row],[SKU]],TablaINVENTARIO[SKU],TablaINVENTARIO[ESTADO])</f>
        <v xml:space="preserve">NUEVO </v>
      </c>
      <c r="G822" s="33" t="str">
        <f>_xlfn.XLOOKUP(TablaSTOCKINV[[#This Row],[SKU]],TablaINVENTARIO[SKU],TablaINVENTARIO[MEDIDA])</f>
        <v>UND</v>
      </c>
      <c r="H822" s="33" t="str">
        <f>_xlfn.XLOOKUP(TablaSTOCKINV[[#This Row],[SKU]],TablaINVENTARIO[SKU],TablaINVENTARIO[SERIAL])</f>
        <v>N/A</v>
      </c>
      <c r="I822" s="34" t="str">
        <f>_xlfn.XLOOKUP(TablaSTOCKINV[[#This Row],[SKU]],TablaINVENTARIO[SKU],TablaINVENTARIO[ALMACEN])</f>
        <v>ALMACEN PRINCIPAL</v>
      </c>
      <c r="J822" s="34" t="str">
        <f>_xlfn.XLOOKUP(TablaSTOCKINV[[#This Row],[SKU]],TablaINVENTARIO[SKU],TablaINVENTARIO[UBICACION])</f>
        <v>I4-1</v>
      </c>
      <c r="K822" s="34" t="str">
        <f>_xlfn.XLOOKUP(TablaSTOCKINV[[#This Row],[SKU]],TablaINVENTARIO[SKU],TablaINVENTARIO[DPTO RESPONSABLE])</f>
        <v>OPERACIONES</v>
      </c>
      <c r="L822" s="36">
        <f>_xlfn.XLOOKUP(TablaSTOCKINV[[#This Row],[SKU]],TablaINVENTARIO[SKU],TablaINVENTARIO[RANGO MIN])</f>
        <v>0</v>
      </c>
      <c r="M822" s="34" cm="1">
        <f t="array" ref="M822">_xlfn.IFS(TablaSTOCKINV[[#This Row],[CANT. TOTAL]]&lt;=0,1,TablaSTOCKINV[[#This Row],[CANT. TOTAL]]&lt;=TablaSTOCKINV[[#This Row],[MIN]],2,TablaSTOCKINV[[#This Row],[CANT. TOTAL]]&gt;TablaSTOCKINV[[#This Row],[MIN]],3)</f>
        <v>3</v>
      </c>
      <c r="N822" s="34">
        <f>TablaSTOCKINV[[#This Row],[ENTRADAS]]-TablaSTOCKINV[[#This Row],[SALIDAS]]</f>
        <v>3</v>
      </c>
      <c r="O822" s="35">
        <f>SUMIFS(TablaENTRADA[CANT],TablaENTRADA[SKU],TablaSTOCKINV[[#This Row],[SKU]])</f>
        <v>3</v>
      </c>
      <c r="P822" s="35">
        <f>SUMIFS(TablaSALIDA[CANT],TablaSALIDA[SKU],TablaSTOCKINV[[#This Row],[SKU]])</f>
        <v>0</v>
      </c>
      <c r="Q822" s="34">
        <f>_xlfn.XLOOKUP(TablaSTOCKINV[[#This Row],[SKU]],TablaINVENTARIO[SKU],TablaINVENTARIO[PRECIO])</f>
        <v>0</v>
      </c>
      <c r="R822" s="34">
        <f>TablaSTOCKINV[[#This Row],[P.UNITARIO]]*TablaSTOCKINV[[#This Row],[CANT. TOTAL]]</f>
        <v>0</v>
      </c>
      <c r="S822" s="44">
        <f>_xlfn.XLOOKUP(TablaSTOCKINV[[#This Row],[SKU]],TablaINVENTARIO[SKU],TablaINVENTARIO[FECHA INGRESO])</f>
        <v>46023</v>
      </c>
      <c r="T822" s="44">
        <f>_xlfn.XLOOKUP(TablaSTOCKINV[[#This Row],[SKU]],TablaENTRADA[SKU],TablaENTRADA[FECHA],,0,-1)</f>
        <v>46023</v>
      </c>
      <c r="U822" s="46" t="str">
        <f>IFERROR((_xlfn.XLOOKUP(TablaSTOCKINV[[#This Row],[SKU]],TablaSALIDA[SKU],TablaSALIDA[FECHA],,0,-1))," " )</f>
        <v xml:space="preserve"> </v>
      </c>
    </row>
    <row r="823" spans="1:21" x14ac:dyDescent="0.3">
      <c r="A823" s="27" t="s">
        <v>714</v>
      </c>
      <c r="B823" s="32" t="str">
        <f>_xlfn.XLOOKUP(TablaSTOCKINV[[#This Row],[SKU]],TablaINVENTARIO[SKU],TablaINVENTARIO[DESCRIPCION])</f>
        <v>CODO 2" 45° ACERO AL CARBON</v>
      </c>
      <c r="C823" s="32" t="str">
        <f>_xlfn.XLOOKUP(TablaSTOCKINV[[#This Row],[SKU]],TablaINVENTARIO[SKU],TablaINVENTARIO[MARCA])</f>
        <v>N/A</v>
      </c>
      <c r="D823" s="33" t="str">
        <f>_xlfn.XLOOKUP(TablaSTOCKINV[[#This Row],[SKU]],TablaINVENTARIO[SKU],TablaINVENTARIO[CATEGORIA])</f>
        <v>FABRICACION</v>
      </c>
      <c r="E823" s="33" t="str">
        <f>_xlfn.XLOOKUP(TablaSTOCKINV[[#This Row],[SKU]],TablaINVENTARIO[SKU],TablaINVENTARIO[SUBCATEGORIA])</f>
        <v>MATERIAL MECANICO</v>
      </c>
      <c r="F823" s="33" t="str">
        <f>_xlfn.XLOOKUP(TablaSTOCKINV[[#This Row],[SKU]],TablaINVENTARIO[SKU],TablaINVENTARIO[ESTADO])</f>
        <v xml:space="preserve">NUEVO </v>
      </c>
      <c r="G823" s="33" t="str">
        <f>_xlfn.XLOOKUP(TablaSTOCKINV[[#This Row],[SKU]],TablaINVENTARIO[SKU],TablaINVENTARIO[MEDIDA])</f>
        <v>UND</v>
      </c>
      <c r="H823" s="33" t="str">
        <f>_xlfn.XLOOKUP(TablaSTOCKINV[[#This Row],[SKU]],TablaINVENTARIO[SKU],TablaINVENTARIO[SERIAL])</f>
        <v>N/A</v>
      </c>
      <c r="I823" s="34" t="str">
        <f>_xlfn.XLOOKUP(TablaSTOCKINV[[#This Row],[SKU]],TablaINVENTARIO[SKU],TablaINVENTARIO[ALMACEN])</f>
        <v>ALMACEN PRINCIPAL</v>
      </c>
      <c r="J823" s="34" t="str">
        <f>_xlfn.XLOOKUP(TablaSTOCKINV[[#This Row],[SKU]],TablaINVENTARIO[SKU],TablaINVENTARIO[UBICACION])</f>
        <v>I4-1</v>
      </c>
      <c r="K823" s="34" t="str">
        <f>_xlfn.XLOOKUP(TablaSTOCKINV[[#This Row],[SKU]],TablaINVENTARIO[SKU],TablaINVENTARIO[DPTO RESPONSABLE])</f>
        <v>OPERACIONES</v>
      </c>
      <c r="L823" s="36">
        <f>_xlfn.XLOOKUP(TablaSTOCKINV[[#This Row],[SKU]],TablaINVENTARIO[SKU],TablaINVENTARIO[RANGO MIN])</f>
        <v>0</v>
      </c>
      <c r="M823" s="34" cm="1">
        <f t="array" ref="M823">_xlfn.IFS(TablaSTOCKINV[[#This Row],[CANT. TOTAL]]&lt;=0,1,TablaSTOCKINV[[#This Row],[CANT. TOTAL]]&lt;=TablaSTOCKINV[[#This Row],[MIN]],2,TablaSTOCKINV[[#This Row],[CANT. TOTAL]]&gt;TablaSTOCKINV[[#This Row],[MIN]],3)</f>
        <v>3</v>
      </c>
      <c r="N823" s="34">
        <f>TablaSTOCKINV[[#This Row],[ENTRADAS]]-TablaSTOCKINV[[#This Row],[SALIDAS]]</f>
        <v>12</v>
      </c>
      <c r="O823" s="35">
        <f>SUMIFS(TablaENTRADA[CANT],TablaENTRADA[SKU],TablaSTOCKINV[[#This Row],[SKU]])</f>
        <v>12</v>
      </c>
      <c r="P823" s="35">
        <f>SUMIFS(TablaSALIDA[CANT],TablaSALIDA[SKU],TablaSTOCKINV[[#This Row],[SKU]])</f>
        <v>0</v>
      </c>
      <c r="Q823" s="34">
        <f>_xlfn.XLOOKUP(TablaSTOCKINV[[#This Row],[SKU]],TablaINVENTARIO[SKU],TablaINVENTARIO[PRECIO])</f>
        <v>0</v>
      </c>
      <c r="R823" s="34">
        <f>TablaSTOCKINV[[#This Row],[P.UNITARIO]]*TablaSTOCKINV[[#This Row],[CANT. TOTAL]]</f>
        <v>0</v>
      </c>
      <c r="S823" s="44">
        <f>_xlfn.XLOOKUP(TablaSTOCKINV[[#This Row],[SKU]],TablaINVENTARIO[SKU],TablaINVENTARIO[FECHA INGRESO])</f>
        <v>46023</v>
      </c>
      <c r="T823" s="44">
        <f>_xlfn.XLOOKUP(TablaSTOCKINV[[#This Row],[SKU]],TablaENTRADA[SKU],TablaENTRADA[FECHA],,0,-1)</f>
        <v>46023</v>
      </c>
      <c r="U823" s="46" t="str">
        <f>IFERROR((_xlfn.XLOOKUP(TablaSTOCKINV[[#This Row],[SKU]],TablaSALIDA[SKU],TablaSALIDA[FECHA],,0,-1))," " )</f>
        <v xml:space="preserve"> </v>
      </c>
    </row>
    <row r="824" spans="1:21" x14ac:dyDescent="0.3">
      <c r="A824" s="27" t="s">
        <v>716</v>
      </c>
      <c r="B824" s="32" t="str">
        <f>_xlfn.XLOOKUP(TablaSTOCKINV[[#This Row],[SKU]],TablaINVENTARIO[SKU],TablaINVENTARIO[DESCRIPCION])</f>
        <v>TAPA DE EXTREMO DE TUBERIA UV A/SA 234 WPB 2X5 ACERO AL CARBON</v>
      </c>
      <c r="C824" s="32" t="str">
        <f>_xlfn.XLOOKUP(TablaSTOCKINV[[#This Row],[SKU]],TablaINVENTARIO[SKU],TablaINVENTARIO[MARCA])</f>
        <v>N/A</v>
      </c>
      <c r="D824" s="33" t="str">
        <f>_xlfn.XLOOKUP(TablaSTOCKINV[[#This Row],[SKU]],TablaINVENTARIO[SKU],TablaINVENTARIO[CATEGORIA])</f>
        <v>FABRICACION</v>
      </c>
      <c r="E824" s="33" t="str">
        <f>_xlfn.XLOOKUP(TablaSTOCKINV[[#This Row],[SKU]],TablaINVENTARIO[SKU],TablaINVENTARIO[SUBCATEGORIA])</f>
        <v>MATERIAL MECANICO</v>
      </c>
      <c r="F824" s="33" t="str">
        <f>_xlfn.XLOOKUP(TablaSTOCKINV[[#This Row],[SKU]],TablaINVENTARIO[SKU],TablaINVENTARIO[ESTADO])</f>
        <v xml:space="preserve">NUEVO </v>
      </c>
      <c r="G824" s="33" t="str">
        <f>_xlfn.XLOOKUP(TablaSTOCKINV[[#This Row],[SKU]],TablaINVENTARIO[SKU],TablaINVENTARIO[MEDIDA])</f>
        <v>UND</v>
      </c>
      <c r="H824" s="33" t="str">
        <f>_xlfn.XLOOKUP(TablaSTOCKINV[[#This Row],[SKU]],TablaINVENTARIO[SKU],TablaINVENTARIO[SERIAL])</f>
        <v>N/A</v>
      </c>
      <c r="I824" s="34" t="str">
        <f>_xlfn.XLOOKUP(TablaSTOCKINV[[#This Row],[SKU]],TablaINVENTARIO[SKU],TablaINVENTARIO[ALMACEN])</f>
        <v>ALMACEN PRINCIPAL</v>
      </c>
      <c r="J824" s="34" t="str">
        <f>_xlfn.XLOOKUP(TablaSTOCKINV[[#This Row],[SKU]],TablaINVENTARIO[SKU],TablaINVENTARIO[UBICACION])</f>
        <v>I4-1</v>
      </c>
      <c r="K824" s="34" t="str">
        <f>_xlfn.XLOOKUP(TablaSTOCKINV[[#This Row],[SKU]],TablaINVENTARIO[SKU],TablaINVENTARIO[DPTO RESPONSABLE])</f>
        <v>OPERACIONES</v>
      </c>
      <c r="L824" s="36">
        <f>_xlfn.XLOOKUP(TablaSTOCKINV[[#This Row],[SKU]],TablaINVENTARIO[SKU],TablaINVENTARIO[RANGO MIN])</f>
        <v>0</v>
      </c>
      <c r="M824" s="34" cm="1">
        <f t="array" ref="M824">_xlfn.IFS(TablaSTOCKINV[[#This Row],[CANT. TOTAL]]&lt;=0,1,TablaSTOCKINV[[#This Row],[CANT. TOTAL]]&lt;=TablaSTOCKINV[[#This Row],[MIN]],2,TablaSTOCKINV[[#This Row],[CANT. TOTAL]]&gt;TablaSTOCKINV[[#This Row],[MIN]],3)</f>
        <v>3</v>
      </c>
      <c r="N824" s="34">
        <f>TablaSTOCKINV[[#This Row],[ENTRADAS]]-TablaSTOCKINV[[#This Row],[SALIDAS]]</f>
        <v>8</v>
      </c>
      <c r="O824" s="35">
        <f>SUMIFS(TablaENTRADA[CANT],TablaENTRADA[SKU],TablaSTOCKINV[[#This Row],[SKU]])</f>
        <v>8</v>
      </c>
      <c r="P824" s="35">
        <f>SUMIFS(TablaSALIDA[CANT],TablaSALIDA[SKU],TablaSTOCKINV[[#This Row],[SKU]])</f>
        <v>0</v>
      </c>
      <c r="Q824" s="34">
        <f>_xlfn.XLOOKUP(TablaSTOCKINV[[#This Row],[SKU]],TablaINVENTARIO[SKU],TablaINVENTARIO[PRECIO])</f>
        <v>0</v>
      </c>
      <c r="R824" s="34">
        <f>TablaSTOCKINV[[#This Row],[P.UNITARIO]]*TablaSTOCKINV[[#This Row],[CANT. TOTAL]]</f>
        <v>0</v>
      </c>
      <c r="S824" s="44">
        <f>_xlfn.XLOOKUP(TablaSTOCKINV[[#This Row],[SKU]],TablaINVENTARIO[SKU],TablaINVENTARIO[FECHA INGRESO])</f>
        <v>46023</v>
      </c>
      <c r="T824" s="44">
        <f>_xlfn.XLOOKUP(TablaSTOCKINV[[#This Row],[SKU]],TablaENTRADA[SKU],TablaENTRADA[FECHA],,0,-1)</f>
        <v>46023</v>
      </c>
      <c r="U824" s="46" t="str">
        <f>IFERROR((_xlfn.XLOOKUP(TablaSTOCKINV[[#This Row],[SKU]],TablaSALIDA[SKU],TablaSALIDA[FECHA],,0,-1))," " )</f>
        <v xml:space="preserve"> </v>
      </c>
    </row>
    <row r="825" spans="1:21" x14ac:dyDescent="0.3">
      <c r="A825" s="27" t="s">
        <v>718</v>
      </c>
      <c r="B825" s="32" t="str">
        <f>_xlfn.XLOOKUP(TablaSTOCKINV[[#This Row],[SKU]],TablaINVENTARIO[SKU],TablaINVENTARIO[DESCRIPCION])</f>
        <v>SOCKOLET 36-4 X 1 1/2 3M A105N MSS SP-97 0219 ACERO AL CARBON</v>
      </c>
      <c r="C825" s="32" t="str">
        <f>_xlfn.XLOOKUP(TablaSTOCKINV[[#This Row],[SKU]],TablaINVENTARIO[SKU],TablaINVENTARIO[MARCA])</f>
        <v>N/A</v>
      </c>
      <c r="D825" s="33" t="str">
        <f>_xlfn.XLOOKUP(TablaSTOCKINV[[#This Row],[SKU]],TablaINVENTARIO[SKU],TablaINVENTARIO[CATEGORIA])</f>
        <v>FABRICACION</v>
      </c>
      <c r="E825" s="33" t="str">
        <f>_xlfn.XLOOKUP(TablaSTOCKINV[[#This Row],[SKU]],TablaINVENTARIO[SKU],TablaINVENTARIO[SUBCATEGORIA])</f>
        <v>MATERIAL MECANICO</v>
      </c>
      <c r="F825" s="33" t="str">
        <f>_xlfn.XLOOKUP(TablaSTOCKINV[[#This Row],[SKU]],TablaINVENTARIO[SKU],TablaINVENTARIO[ESTADO])</f>
        <v xml:space="preserve">NUEVO </v>
      </c>
      <c r="G825" s="33" t="str">
        <f>_xlfn.XLOOKUP(TablaSTOCKINV[[#This Row],[SKU]],TablaINVENTARIO[SKU],TablaINVENTARIO[MEDIDA])</f>
        <v>UND</v>
      </c>
      <c r="H825" s="33" t="str">
        <f>_xlfn.XLOOKUP(TablaSTOCKINV[[#This Row],[SKU]],TablaINVENTARIO[SKU],TablaINVENTARIO[SERIAL])</f>
        <v>N/A</v>
      </c>
      <c r="I825" s="34" t="str">
        <f>_xlfn.XLOOKUP(TablaSTOCKINV[[#This Row],[SKU]],TablaINVENTARIO[SKU],TablaINVENTARIO[ALMACEN])</f>
        <v>ALMACEN PRINCIPAL</v>
      </c>
      <c r="J825" s="34" t="str">
        <f>_xlfn.XLOOKUP(TablaSTOCKINV[[#This Row],[SKU]],TablaINVENTARIO[SKU],TablaINVENTARIO[UBICACION])</f>
        <v>I4-1</v>
      </c>
      <c r="K825" s="34" t="str">
        <f>_xlfn.XLOOKUP(TablaSTOCKINV[[#This Row],[SKU]],TablaINVENTARIO[SKU],TablaINVENTARIO[DPTO RESPONSABLE])</f>
        <v>OPERACIONES</v>
      </c>
      <c r="L825" s="36">
        <f>_xlfn.XLOOKUP(TablaSTOCKINV[[#This Row],[SKU]],TablaINVENTARIO[SKU],TablaINVENTARIO[RANGO MIN])</f>
        <v>0</v>
      </c>
      <c r="M825" s="34" cm="1">
        <f t="array" ref="M825">_xlfn.IFS(TablaSTOCKINV[[#This Row],[CANT. TOTAL]]&lt;=0,1,TablaSTOCKINV[[#This Row],[CANT. TOTAL]]&lt;=TablaSTOCKINV[[#This Row],[MIN]],2,TablaSTOCKINV[[#This Row],[CANT. TOTAL]]&gt;TablaSTOCKINV[[#This Row],[MIN]],3)</f>
        <v>3</v>
      </c>
      <c r="N825" s="34">
        <f>TablaSTOCKINV[[#This Row],[ENTRADAS]]-TablaSTOCKINV[[#This Row],[SALIDAS]]</f>
        <v>5</v>
      </c>
      <c r="O825" s="35">
        <f>SUMIFS(TablaENTRADA[CANT],TablaENTRADA[SKU],TablaSTOCKINV[[#This Row],[SKU]])</f>
        <v>5</v>
      </c>
      <c r="P825" s="35">
        <f>SUMIFS(TablaSALIDA[CANT],TablaSALIDA[SKU],TablaSTOCKINV[[#This Row],[SKU]])</f>
        <v>0</v>
      </c>
      <c r="Q825" s="34">
        <f>_xlfn.XLOOKUP(TablaSTOCKINV[[#This Row],[SKU]],TablaINVENTARIO[SKU],TablaINVENTARIO[PRECIO])</f>
        <v>0</v>
      </c>
      <c r="R825" s="34">
        <f>TablaSTOCKINV[[#This Row],[P.UNITARIO]]*TablaSTOCKINV[[#This Row],[CANT. TOTAL]]</f>
        <v>0</v>
      </c>
      <c r="S825" s="44">
        <f>_xlfn.XLOOKUP(TablaSTOCKINV[[#This Row],[SKU]],TablaINVENTARIO[SKU],TablaINVENTARIO[FECHA INGRESO])</f>
        <v>46023</v>
      </c>
      <c r="T825" s="44">
        <f>_xlfn.XLOOKUP(TablaSTOCKINV[[#This Row],[SKU]],TablaENTRADA[SKU],TablaENTRADA[FECHA],,0,-1)</f>
        <v>46023</v>
      </c>
      <c r="U825" s="46" t="str">
        <f>IFERROR((_xlfn.XLOOKUP(TablaSTOCKINV[[#This Row],[SKU]],TablaSALIDA[SKU],TablaSALIDA[FECHA],,0,-1))," " )</f>
        <v xml:space="preserve"> </v>
      </c>
    </row>
    <row r="826" spans="1:21" x14ac:dyDescent="0.3">
      <c r="A826" s="27" t="s">
        <v>720</v>
      </c>
      <c r="B826" s="32" t="str">
        <f>_xlfn.XLOOKUP(TablaSTOCKINV[[#This Row],[SKU]],TablaINVENTARIO[SKU],TablaINVENTARIO[DESCRIPCION])</f>
        <v>THREADOLET 3/4" X 2 - 1/2" - 2" 3000 A 105N MSS SP-97 0219 ACERO AL CARBON</v>
      </c>
      <c r="C826" s="32" t="str">
        <f>_xlfn.XLOOKUP(TablaSTOCKINV[[#This Row],[SKU]],TablaINVENTARIO[SKU],TablaINVENTARIO[MARCA])</f>
        <v>N/A</v>
      </c>
      <c r="D826" s="33" t="str">
        <f>_xlfn.XLOOKUP(TablaSTOCKINV[[#This Row],[SKU]],TablaINVENTARIO[SKU],TablaINVENTARIO[CATEGORIA])</f>
        <v>FABRICACION</v>
      </c>
      <c r="E826" s="33" t="str">
        <f>_xlfn.XLOOKUP(TablaSTOCKINV[[#This Row],[SKU]],TablaINVENTARIO[SKU],TablaINVENTARIO[SUBCATEGORIA])</f>
        <v>MATERIAL MECANICO</v>
      </c>
      <c r="F826" s="33" t="str">
        <f>_xlfn.XLOOKUP(TablaSTOCKINV[[#This Row],[SKU]],TablaINVENTARIO[SKU],TablaINVENTARIO[ESTADO])</f>
        <v xml:space="preserve">NUEVO </v>
      </c>
      <c r="G826" s="33" t="str">
        <f>_xlfn.XLOOKUP(TablaSTOCKINV[[#This Row],[SKU]],TablaINVENTARIO[SKU],TablaINVENTARIO[MEDIDA])</f>
        <v>UND</v>
      </c>
      <c r="H826" s="33" t="str">
        <f>_xlfn.XLOOKUP(TablaSTOCKINV[[#This Row],[SKU]],TablaINVENTARIO[SKU],TablaINVENTARIO[SERIAL])</f>
        <v>N/A</v>
      </c>
      <c r="I826" s="34" t="str">
        <f>_xlfn.XLOOKUP(TablaSTOCKINV[[#This Row],[SKU]],TablaINVENTARIO[SKU],TablaINVENTARIO[ALMACEN])</f>
        <v>ALMACEN PRINCIPAL</v>
      </c>
      <c r="J826" s="34" t="str">
        <f>_xlfn.XLOOKUP(TablaSTOCKINV[[#This Row],[SKU]],TablaINVENTARIO[SKU],TablaINVENTARIO[UBICACION])</f>
        <v>I4-1</v>
      </c>
      <c r="K826" s="34" t="str">
        <f>_xlfn.XLOOKUP(TablaSTOCKINV[[#This Row],[SKU]],TablaINVENTARIO[SKU],TablaINVENTARIO[DPTO RESPONSABLE])</f>
        <v>OPERACIONES</v>
      </c>
      <c r="L826" s="36">
        <f>_xlfn.XLOOKUP(TablaSTOCKINV[[#This Row],[SKU]],TablaINVENTARIO[SKU],TablaINVENTARIO[RANGO MIN])</f>
        <v>0</v>
      </c>
      <c r="M826" s="34" cm="1">
        <f t="array" ref="M826">_xlfn.IFS(TablaSTOCKINV[[#This Row],[CANT. TOTAL]]&lt;=0,1,TablaSTOCKINV[[#This Row],[CANT. TOTAL]]&lt;=TablaSTOCKINV[[#This Row],[MIN]],2,TablaSTOCKINV[[#This Row],[CANT. TOTAL]]&gt;TablaSTOCKINV[[#This Row],[MIN]],3)</f>
        <v>3</v>
      </c>
      <c r="N826" s="34">
        <f>TablaSTOCKINV[[#This Row],[ENTRADAS]]-TablaSTOCKINV[[#This Row],[SALIDAS]]</f>
        <v>1</v>
      </c>
      <c r="O826" s="35">
        <f>SUMIFS(TablaENTRADA[CANT],TablaENTRADA[SKU],TablaSTOCKINV[[#This Row],[SKU]])</f>
        <v>1</v>
      </c>
      <c r="P826" s="35">
        <f>SUMIFS(TablaSALIDA[CANT],TablaSALIDA[SKU],TablaSTOCKINV[[#This Row],[SKU]])</f>
        <v>0</v>
      </c>
      <c r="Q826" s="34">
        <f>_xlfn.XLOOKUP(TablaSTOCKINV[[#This Row],[SKU]],TablaINVENTARIO[SKU],TablaINVENTARIO[PRECIO])</f>
        <v>0</v>
      </c>
      <c r="R826" s="34">
        <f>TablaSTOCKINV[[#This Row],[P.UNITARIO]]*TablaSTOCKINV[[#This Row],[CANT. TOTAL]]</f>
        <v>0</v>
      </c>
      <c r="S826" s="44">
        <f>_xlfn.XLOOKUP(TablaSTOCKINV[[#This Row],[SKU]],TablaINVENTARIO[SKU],TablaINVENTARIO[FECHA INGRESO])</f>
        <v>46023</v>
      </c>
      <c r="T826" s="44">
        <f>_xlfn.XLOOKUP(TablaSTOCKINV[[#This Row],[SKU]],TablaENTRADA[SKU],TablaENTRADA[FECHA],,0,-1)</f>
        <v>46023</v>
      </c>
      <c r="U826" s="46" t="str">
        <f>IFERROR((_xlfn.XLOOKUP(TablaSTOCKINV[[#This Row],[SKU]],TablaSALIDA[SKU],TablaSALIDA[FECHA],,0,-1))," " )</f>
        <v xml:space="preserve"> </v>
      </c>
    </row>
    <row r="827" spans="1:21" x14ac:dyDescent="0.3">
      <c r="A827" s="27" t="s">
        <v>722</v>
      </c>
      <c r="B827" s="32" t="str">
        <f>_xlfn.XLOOKUP(TablaSTOCKINV[[#This Row],[SKU]],TablaINVENTARIO[SKU],TablaINVENTARIO[DESCRIPCION])</f>
        <v xml:space="preserve">WELDOLET  1 1/2" 6000 PSI ACERO AL CARBON </v>
      </c>
      <c r="C827" s="32" t="str">
        <f>_xlfn.XLOOKUP(TablaSTOCKINV[[#This Row],[SKU]],TablaINVENTARIO[SKU],TablaINVENTARIO[MARCA])</f>
        <v>N/A</v>
      </c>
      <c r="D827" s="33" t="str">
        <f>_xlfn.XLOOKUP(TablaSTOCKINV[[#This Row],[SKU]],TablaINVENTARIO[SKU],TablaINVENTARIO[CATEGORIA])</f>
        <v>FABRICACION</v>
      </c>
      <c r="E827" s="33" t="str">
        <f>_xlfn.XLOOKUP(TablaSTOCKINV[[#This Row],[SKU]],TablaINVENTARIO[SKU],TablaINVENTARIO[SUBCATEGORIA])</f>
        <v>MATERIAL MECANICO</v>
      </c>
      <c r="F827" s="33" t="str">
        <f>_xlfn.XLOOKUP(TablaSTOCKINV[[#This Row],[SKU]],TablaINVENTARIO[SKU],TablaINVENTARIO[ESTADO])</f>
        <v xml:space="preserve">NUEVO </v>
      </c>
      <c r="G827" s="33" t="str">
        <f>_xlfn.XLOOKUP(TablaSTOCKINV[[#This Row],[SKU]],TablaINVENTARIO[SKU],TablaINVENTARIO[MEDIDA])</f>
        <v>UND</v>
      </c>
      <c r="H827" s="33" t="str">
        <f>_xlfn.XLOOKUP(TablaSTOCKINV[[#This Row],[SKU]],TablaINVENTARIO[SKU],TablaINVENTARIO[SERIAL])</f>
        <v>N/A</v>
      </c>
      <c r="I827" s="34" t="str">
        <f>_xlfn.XLOOKUP(TablaSTOCKINV[[#This Row],[SKU]],TablaINVENTARIO[SKU],TablaINVENTARIO[ALMACEN])</f>
        <v>ALMACEN PRINCIPAL</v>
      </c>
      <c r="J827" s="34" t="str">
        <f>_xlfn.XLOOKUP(TablaSTOCKINV[[#This Row],[SKU]],TablaINVENTARIO[SKU],TablaINVENTARIO[UBICACION])</f>
        <v>I4-1</v>
      </c>
      <c r="K827" s="34" t="str">
        <f>_xlfn.XLOOKUP(TablaSTOCKINV[[#This Row],[SKU]],TablaINVENTARIO[SKU],TablaINVENTARIO[DPTO RESPONSABLE])</f>
        <v>OPERACIONES</v>
      </c>
      <c r="L827" s="36">
        <f>_xlfn.XLOOKUP(TablaSTOCKINV[[#This Row],[SKU]],TablaINVENTARIO[SKU],TablaINVENTARIO[RANGO MIN])</f>
        <v>0</v>
      </c>
      <c r="M827" s="34" cm="1">
        <f t="array" ref="M827">_xlfn.IFS(TablaSTOCKINV[[#This Row],[CANT. TOTAL]]&lt;=0,1,TablaSTOCKINV[[#This Row],[CANT. TOTAL]]&lt;=TablaSTOCKINV[[#This Row],[MIN]],2,TablaSTOCKINV[[#This Row],[CANT. TOTAL]]&gt;TablaSTOCKINV[[#This Row],[MIN]],3)</f>
        <v>3</v>
      </c>
      <c r="N827" s="34">
        <f>TablaSTOCKINV[[#This Row],[ENTRADAS]]-TablaSTOCKINV[[#This Row],[SALIDAS]]</f>
        <v>2</v>
      </c>
      <c r="O827" s="35">
        <f>SUMIFS(TablaENTRADA[CANT],TablaENTRADA[SKU],TablaSTOCKINV[[#This Row],[SKU]])</f>
        <v>2</v>
      </c>
      <c r="P827" s="35">
        <f>SUMIFS(TablaSALIDA[CANT],TablaSALIDA[SKU],TablaSTOCKINV[[#This Row],[SKU]])</f>
        <v>0</v>
      </c>
      <c r="Q827" s="34">
        <f>_xlfn.XLOOKUP(TablaSTOCKINV[[#This Row],[SKU]],TablaINVENTARIO[SKU],TablaINVENTARIO[PRECIO])</f>
        <v>0</v>
      </c>
      <c r="R827" s="34">
        <f>TablaSTOCKINV[[#This Row],[P.UNITARIO]]*TablaSTOCKINV[[#This Row],[CANT. TOTAL]]</f>
        <v>0</v>
      </c>
      <c r="S827" s="44">
        <f>_xlfn.XLOOKUP(TablaSTOCKINV[[#This Row],[SKU]],TablaINVENTARIO[SKU],TablaINVENTARIO[FECHA INGRESO])</f>
        <v>46023</v>
      </c>
      <c r="T827" s="44">
        <f>_xlfn.XLOOKUP(TablaSTOCKINV[[#This Row],[SKU]],TablaENTRADA[SKU],TablaENTRADA[FECHA],,0,-1)</f>
        <v>46023</v>
      </c>
      <c r="U827" s="46" t="str">
        <f>IFERROR((_xlfn.XLOOKUP(TablaSTOCKINV[[#This Row],[SKU]],TablaSALIDA[SKU],TablaSALIDA[FECHA],,0,-1))," " )</f>
        <v xml:space="preserve"> </v>
      </c>
    </row>
    <row r="828" spans="1:21" x14ac:dyDescent="0.3">
      <c r="A828" s="27" t="s">
        <v>724</v>
      </c>
      <c r="B828" s="32" t="str">
        <f>_xlfn.XLOOKUP(TablaSTOCKINV[[#This Row],[SKU]],TablaINVENTARIO[SKU],TablaINVENTARIO[DESCRIPCION])</f>
        <v xml:space="preserve">THREADOLET DE ROSCA NPT 36-6 X 1 6000 A 105 ACERO AL CARBON </v>
      </c>
      <c r="C828" s="32" t="str">
        <f>_xlfn.XLOOKUP(TablaSTOCKINV[[#This Row],[SKU]],TablaINVENTARIO[SKU],TablaINVENTARIO[MARCA])</f>
        <v>N/A</v>
      </c>
      <c r="D828" s="33" t="str">
        <f>_xlfn.XLOOKUP(TablaSTOCKINV[[#This Row],[SKU]],TablaINVENTARIO[SKU],TablaINVENTARIO[CATEGORIA])</f>
        <v>FABRICACION</v>
      </c>
      <c r="E828" s="33" t="str">
        <f>_xlfn.XLOOKUP(TablaSTOCKINV[[#This Row],[SKU]],TablaINVENTARIO[SKU],TablaINVENTARIO[SUBCATEGORIA])</f>
        <v>MATERIAL MECANICO</v>
      </c>
      <c r="F828" s="33" t="str">
        <f>_xlfn.XLOOKUP(TablaSTOCKINV[[#This Row],[SKU]],TablaINVENTARIO[SKU],TablaINVENTARIO[ESTADO])</f>
        <v xml:space="preserve">NUEVO </v>
      </c>
      <c r="G828" s="33" t="str">
        <f>_xlfn.XLOOKUP(TablaSTOCKINV[[#This Row],[SKU]],TablaINVENTARIO[SKU],TablaINVENTARIO[MEDIDA])</f>
        <v>UND</v>
      </c>
      <c r="H828" s="33" t="str">
        <f>_xlfn.XLOOKUP(TablaSTOCKINV[[#This Row],[SKU]],TablaINVENTARIO[SKU],TablaINVENTARIO[SERIAL])</f>
        <v>N/A</v>
      </c>
      <c r="I828" s="34" t="str">
        <f>_xlfn.XLOOKUP(TablaSTOCKINV[[#This Row],[SKU]],TablaINVENTARIO[SKU],TablaINVENTARIO[ALMACEN])</f>
        <v>ALMACEN PRINCIPAL</v>
      </c>
      <c r="J828" s="34" t="str">
        <f>_xlfn.XLOOKUP(TablaSTOCKINV[[#This Row],[SKU]],TablaINVENTARIO[SKU],TablaINVENTARIO[UBICACION])</f>
        <v>I4-1</v>
      </c>
      <c r="K828" s="34" t="str">
        <f>_xlfn.XLOOKUP(TablaSTOCKINV[[#This Row],[SKU]],TablaINVENTARIO[SKU],TablaINVENTARIO[DPTO RESPONSABLE])</f>
        <v>OPERACIONES</v>
      </c>
      <c r="L828" s="36">
        <f>_xlfn.XLOOKUP(TablaSTOCKINV[[#This Row],[SKU]],TablaINVENTARIO[SKU],TablaINVENTARIO[RANGO MIN])</f>
        <v>0</v>
      </c>
      <c r="M828" s="34" cm="1">
        <f t="array" ref="M828">_xlfn.IFS(TablaSTOCKINV[[#This Row],[CANT. TOTAL]]&lt;=0,1,TablaSTOCKINV[[#This Row],[CANT. TOTAL]]&lt;=TablaSTOCKINV[[#This Row],[MIN]],2,TablaSTOCKINV[[#This Row],[CANT. TOTAL]]&gt;TablaSTOCKINV[[#This Row],[MIN]],3)</f>
        <v>3</v>
      </c>
      <c r="N828" s="34">
        <f>TablaSTOCKINV[[#This Row],[ENTRADAS]]-TablaSTOCKINV[[#This Row],[SALIDAS]]</f>
        <v>5</v>
      </c>
      <c r="O828" s="35">
        <f>SUMIFS(TablaENTRADA[CANT],TablaENTRADA[SKU],TablaSTOCKINV[[#This Row],[SKU]])</f>
        <v>5</v>
      </c>
      <c r="P828" s="35">
        <f>SUMIFS(TablaSALIDA[CANT],TablaSALIDA[SKU],TablaSTOCKINV[[#This Row],[SKU]])</f>
        <v>0</v>
      </c>
      <c r="Q828" s="34">
        <f>_xlfn.XLOOKUP(TablaSTOCKINV[[#This Row],[SKU]],TablaINVENTARIO[SKU],TablaINVENTARIO[PRECIO])</f>
        <v>0</v>
      </c>
      <c r="R828" s="34">
        <f>TablaSTOCKINV[[#This Row],[P.UNITARIO]]*TablaSTOCKINV[[#This Row],[CANT. TOTAL]]</f>
        <v>0</v>
      </c>
      <c r="S828" s="44">
        <f>_xlfn.XLOOKUP(TablaSTOCKINV[[#This Row],[SKU]],TablaINVENTARIO[SKU],TablaINVENTARIO[FECHA INGRESO])</f>
        <v>46023</v>
      </c>
      <c r="T828" s="44">
        <f>_xlfn.XLOOKUP(TablaSTOCKINV[[#This Row],[SKU]],TablaENTRADA[SKU],TablaENTRADA[FECHA],,0,-1)</f>
        <v>46023</v>
      </c>
      <c r="U828" s="46" t="str">
        <f>IFERROR((_xlfn.XLOOKUP(TablaSTOCKINV[[#This Row],[SKU]],TablaSALIDA[SKU],TablaSALIDA[FECHA],,0,-1))," " )</f>
        <v xml:space="preserve"> </v>
      </c>
    </row>
    <row r="829" spans="1:21" x14ac:dyDescent="0.3">
      <c r="A829" s="27" t="s">
        <v>726</v>
      </c>
      <c r="B829" s="32" t="str">
        <f>_xlfn.XLOOKUP(TablaSTOCKINV[[#This Row],[SKU]],TablaINVENTARIO[SKU],TablaINVENTARIO[DESCRIPCION])</f>
        <v xml:space="preserve">CODO 90° 1 1/2" 3000 PSI ACERO AL CARBON </v>
      </c>
      <c r="C829" s="32" t="str">
        <f>_xlfn.XLOOKUP(TablaSTOCKINV[[#This Row],[SKU]],TablaINVENTARIO[SKU],TablaINVENTARIO[MARCA])</f>
        <v>N/A</v>
      </c>
      <c r="D829" s="33" t="str">
        <f>_xlfn.XLOOKUP(TablaSTOCKINV[[#This Row],[SKU]],TablaINVENTARIO[SKU],TablaINVENTARIO[CATEGORIA])</f>
        <v>FABRICACION</v>
      </c>
      <c r="E829" s="33" t="str">
        <f>_xlfn.XLOOKUP(TablaSTOCKINV[[#This Row],[SKU]],TablaINVENTARIO[SKU],TablaINVENTARIO[SUBCATEGORIA])</f>
        <v>MATERIAL MECANICO</v>
      </c>
      <c r="F829" s="33" t="str">
        <f>_xlfn.XLOOKUP(TablaSTOCKINV[[#This Row],[SKU]],TablaINVENTARIO[SKU],TablaINVENTARIO[ESTADO])</f>
        <v xml:space="preserve">NUEVO </v>
      </c>
      <c r="G829" s="33" t="str">
        <f>_xlfn.XLOOKUP(TablaSTOCKINV[[#This Row],[SKU]],TablaINVENTARIO[SKU],TablaINVENTARIO[MEDIDA])</f>
        <v>UND</v>
      </c>
      <c r="H829" s="33" t="str">
        <f>_xlfn.XLOOKUP(TablaSTOCKINV[[#This Row],[SKU]],TablaINVENTARIO[SKU],TablaINVENTARIO[SERIAL])</f>
        <v>N/A</v>
      </c>
      <c r="I829" s="34" t="str">
        <f>_xlfn.XLOOKUP(TablaSTOCKINV[[#This Row],[SKU]],TablaINVENTARIO[SKU],TablaINVENTARIO[ALMACEN])</f>
        <v>ALMACEN PRINCIPAL</v>
      </c>
      <c r="J829" s="34" t="str">
        <f>_xlfn.XLOOKUP(TablaSTOCKINV[[#This Row],[SKU]],TablaINVENTARIO[SKU],TablaINVENTARIO[UBICACION])</f>
        <v>I4-1</v>
      </c>
      <c r="K829" s="34" t="str">
        <f>_xlfn.XLOOKUP(TablaSTOCKINV[[#This Row],[SKU]],TablaINVENTARIO[SKU],TablaINVENTARIO[DPTO RESPONSABLE])</f>
        <v>OPERACIONES</v>
      </c>
      <c r="L829" s="36">
        <f>_xlfn.XLOOKUP(TablaSTOCKINV[[#This Row],[SKU]],TablaINVENTARIO[SKU],TablaINVENTARIO[RANGO MIN])</f>
        <v>0</v>
      </c>
      <c r="M829" s="34" cm="1">
        <f t="array" ref="M829">_xlfn.IFS(TablaSTOCKINV[[#This Row],[CANT. TOTAL]]&lt;=0,1,TablaSTOCKINV[[#This Row],[CANT. TOTAL]]&lt;=TablaSTOCKINV[[#This Row],[MIN]],2,TablaSTOCKINV[[#This Row],[CANT. TOTAL]]&gt;TablaSTOCKINV[[#This Row],[MIN]],3)</f>
        <v>3</v>
      </c>
      <c r="N829" s="34">
        <f>TablaSTOCKINV[[#This Row],[ENTRADAS]]-TablaSTOCKINV[[#This Row],[SALIDAS]]</f>
        <v>14</v>
      </c>
      <c r="O829" s="35">
        <f>SUMIFS(TablaENTRADA[CANT],TablaENTRADA[SKU],TablaSTOCKINV[[#This Row],[SKU]])</f>
        <v>14</v>
      </c>
      <c r="P829" s="35">
        <f>SUMIFS(TablaSALIDA[CANT],TablaSALIDA[SKU],TablaSTOCKINV[[#This Row],[SKU]])</f>
        <v>0</v>
      </c>
      <c r="Q829" s="34">
        <f>_xlfn.XLOOKUP(TablaSTOCKINV[[#This Row],[SKU]],TablaINVENTARIO[SKU],TablaINVENTARIO[PRECIO])</f>
        <v>0</v>
      </c>
      <c r="R829" s="34">
        <f>TablaSTOCKINV[[#This Row],[P.UNITARIO]]*TablaSTOCKINV[[#This Row],[CANT. TOTAL]]</f>
        <v>0</v>
      </c>
      <c r="S829" s="44">
        <f>_xlfn.XLOOKUP(TablaSTOCKINV[[#This Row],[SKU]],TablaINVENTARIO[SKU],TablaINVENTARIO[FECHA INGRESO])</f>
        <v>46023</v>
      </c>
      <c r="T829" s="44">
        <f>_xlfn.XLOOKUP(TablaSTOCKINV[[#This Row],[SKU]],TablaENTRADA[SKU],TablaENTRADA[FECHA],,0,-1)</f>
        <v>46023</v>
      </c>
      <c r="U829" s="46" t="str">
        <f>IFERROR((_xlfn.XLOOKUP(TablaSTOCKINV[[#This Row],[SKU]],TablaSALIDA[SKU],TablaSALIDA[FECHA],,0,-1))," " )</f>
        <v xml:space="preserve"> </v>
      </c>
    </row>
    <row r="830" spans="1:21" x14ac:dyDescent="0.3">
      <c r="A830" s="27" t="s">
        <v>728</v>
      </c>
      <c r="B830" s="32" t="str">
        <f>_xlfn.XLOOKUP(TablaSTOCKINV[[#This Row],[SKU]],TablaINVENTARIO[SKU],TablaINVENTARIO[DESCRIPCION])</f>
        <v xml:space="preserve">CODO 90° 1 1/2" 3M SA/A 105 ACERO AL CARBON </v>
      </c>
      <c r="C830" s="32" t="str">
        <f>_xlfn.XLOOKUP(TablaSTOCKINV[[#This Row],[SKU]],TablaINVENTARIO[SKU],TablaINVENTARIO[MARCA])</f>
        <v>N/A</v>
      </c>
      <c r="D830" s="33" t="str">
        <f>_xlfn.XLOOKUP(TablaSTOCKINV[[#This Row],[SKU]],TablaINVENTARIO[SKU],TablaINVENTARIO[CATEGORIA])</f>
        <v>FABRICACION</v>
      </c>
      <c r="E830" s="33" t="str">
        <f>_xlfn.XLOOKUP(TablaSTOCKINV[[#This Row],[SKU]],TablaINVENTARIO[SKU],TablaINVENTARIO[SUBCATEGORIA])</f>
        <v>MATERIAL MECANICO</v>
      </c>
      <c r="F830" s="33" t="str">
        <f>_xlfn.XLOOKUP(TablaSTOCKINV[[#This Row],[SKU]],TablaINVENTARIO[SKU],TablaINVENTARIO[ESTADO])</f>
        <v xml:space="preserve">NUEVO </v>
      </c>
      <c r="G830" s="33" t="str">
        <f>_xlfn.XLOOKUP(TablaSTOCKINV[[#This Row],[SKU]],TablaINVENTARIO[SKU],TablaINVENTARIO[MEDIDA])</f>
        <v>UND</v>
      </c>
      <c r="H830" s="33" t="str">
        <f>_xlfn.XLOOKUP(TablaSTOCKINV[[#This Row],[SKU]],TablaINVENTARIO[SKU],TablaINVENTARIO[SERIAL])</f>
        <v>N/A</v>
      </c>
      <c r="I830" s="34" t="str">
        <f>_xlfn.XLOOKUP(TablaSTOCKINV[[#This Row],[SKU]],TablaINVENTARIO[SKU],TablaINVENTARIO[ALMACEN])</f>
        <v>ALMACEN PRINCIPAL</v>
      </c>
      <c r="J830" s="34" t="str">
        <f>_xlfn.XLOOKUP(TablaSTOCKINV[[#This Row],[SKU]],TablaINVENTARIO[SKU],TablaINVENTARIO[UBICACION])</f>
        <v>I4-1</v>
      </c>
      <c r="K830" s="34" t="str">
        <f>_xlfn.XLOOKUP(TablaSTOCKINV[[#This Row],[SKU]],TablaINVENTARIO[SKU],TablaINVENTARIO[DPTO RESPONSABLE])</f>
        <v>OPERACIONES</v>
      </c>
      <c r="L830" s="36">
        <f>_xlfn.XLOOKUP(TablaSTOCKINV[[#This Row],[SKU]],TablaINVENTARIO[SKU],TablaINVENTARIO[RANGO MIN])</f>
        <v>0</v>
      </c>
      <c r="M830" s="34" cm="1">
        <f t="array" ref="M830">_xlfn.IFS(TablaSTOCKINV[[#This Row],[CANT. TOTAL]]&lt;=0,1,TablaSTOCKINV[[#This Row],[CANT. TOTAL]]&lt;=TablaSTOCKINV[[#This Row],[MIN]],2,TablaSTOCKINV[[#This Row],[CANT. TOTAL]]&gt;TablaSTOCKINV[[#This Row],[MIN]],3)</f>
        <v>3</v>
      </c>
      <c r="N830" s="34">
        <f>TablaSTOCKINV[[#This Row],[ENTRADAS]]-TablaSTOCKINV[[#This Row],[SALIDAS]]</f>
        <v>1</v>
      </c>
      <c r="O830" s="35">
        <f>SUMIFS(TablaENTRADA[CANT],TablaENTRADA[SKU],TablaSTOCKINV[[#This Row],[SKU]])</f>
        <v>1</v>
      </c>
      <c r="P830" s="35">
        <f>SUMIFS(TablaSALIDA[CANT],TablaSALIDA[SKU],TablaSTOCKINV[[#This Row],[SKU]])</f>
        <v>0</v>
      </c>
      <c r="Q830" s="34">
        <f>_xlfn.XLOOKUP(TablaSTOCKINV[[#This Row],[SKU]],TablaINVENTARIO[SKU],TablaINVENTARIO[PRECIO])</f>
        <v>0</v>
      </c>
      <c r="R830" s="34">
        <f>TablaSTOCKINV[[#This Row],[P.UNITARIO]]*TablaSTOCKINV[[#This Row],[CANT. TOTAL]]</f>
        <v>0</v>
      </c>
      <c r="S830" s="44">
        <f>_xlfn.XLOOKUP(TablaSTOCKINV[[#This Row],[SKU]],TablaINVENTARIO[SKU],TablaINVENTARIO[FECHA INGRESO])</f>
        <v>46023</v>
      </c>
      <c r="T830" s="44">
        <f>_xlfn.XLOOKUP(TablaSTOCKINV[[#This Row],[SKU]],TablaENTRADA[SKU],TablaENTRADA[FECHA],,0,-1)</f>
        <v>46023</v>
      </c>
      <c r="U830" s="46" t="str">
        <f>IFERROR((_xlfn.XLOOKUP(TablaSTOCKINV[[#This Row],[SKU]],TablaSALIDA[SKU],TablaSALIDA[FECHA],,0,-1))," " )</f>
        <v xml:space="preserve"> </v>
      </c>
    </row>
    <row r="831" spans="1:21" x14ac:dyDescent="0.3">
      <c r="A831" s="27" t="s">
        <v>730</v>
      </c>
      <c r="B831" s="32" t="str">
        <f>_xlfn.XLOOKUP(TablaSTOCKINV[[#This Row],[SKU]],TablaINVENTARIO[SKU],TablaINVENTARIO[DESCRIPCION])</f>
        <v xml:space="preserve">CODO 90° 1 1/2" 6000 A 105 ACERO AL CARBON </v>
      </c>
      <c r="C831" s="32" t="str">
        <f>_xlfn.XLOOKUP(TablaSTOCKINV[[#This Row],[SKU]],TablaINVENTARIO[SKU],TablaINVENTARIO[MARCA])</f>
        <v>N/A</v>
      </c>
      <c r="D831" s="33" t="str">
        <f>_xlfn.XLOOKUP(TablaSTOCKINV[[#This Row],[SKU]],TablaINVENTARIO[SKU],TablaINVENTARIO[CATEGORIA])</f>
        <v>FABRICACION</v>
      </c>
      <c r="E831" s="33" t="str">
        <f>_xlfn.XLOOKUP(TablaSTOCKINV[[#This Row],[SKU]],TablaINVENTARIO[SKU],TablaINVENTARIO[SUBCATEGORIA])</f>
        <v>MATERIAL MECANICO</v>
      </c>
      <c r="F831" s="33" t="str">
        <f>_xlfn.XLOOKUP(TablaSTOCKINV[[#This Row],[SKU]],TablaINVENTARIO[SKU],TablaINVENTARIO[ESTADO])</f>
        <v xml:space="preserve">NUEVO </v>
      </c>
      <c r="G831" s="33" t="str">
        <f>_xlfn.XLOOKUP(TablaSTOCKINV[[#This Row],[SKU]],TablaINVENTARIO[SKU],TablaINVENTARIO[MEDIDA])</f>
        <v>UND</v>
      </c>
      <c r="H831" s="33" t="str">
        <f>_xlfn.XLOOKUP(TablaSTOCKINV[[#This Row],[SKU]],TablaINVENTARIO[SKU],TablaINVENTARIO[SERIAL])</f>
        <v>N/A</v>
      </c>
      <c r="I831" s="34" t="str">
        <f>_xlfn.XLOOKUP(TablaSTOCKINV[[#This Row],[SKU]],TablaINVENTARIO[SKU],TablaINVENTARIO[ALMACEN])</f>
        <v>ALMACEN PRINCIPAL</v>
      </c>
      <c r="J831" s="34" t="str">
        <f>_xlfn.XLOOKUP(TablaSTOCKINV[[#This Row],[SKU]],TablaINVENTARIO[SKU],TablaINVENTARIO[UBICACION])</f>
        <v>I4-1</v>
      </c>
      <c r="K831" s="34" t="str">
        <f>_xlfn.XLOOKUP(TablaSTOCKINV[[#This Row],[SKU]],TablaINVENTARIO[SKU],TablaINVENTARIO[DPTO RESPONSABLE])</f>
        <v>OPERACIONES</v>
      </c>
      <c r="L831" s="36">
        <f>_xlfn.XLOOKUP(TablaSTOCKINV[[#This Row],[SKU]],TablaINVENTARIO[SKU],TablaINVENTARIO[RANGO MIN])</f>
        <v>0</v>
      </c>
      <c r="M831" s="34" cm="1">
        <f t="array" ref="M831">_xlfn.IFS(TablaSTOCKINV[[#This Row],[CANT. TOTAL]]&lt;=0,1,TablaSTOCKINV[[#This Row],[CANT. TOTAL]]&lt;=TablaSTOCKINV[[#This Row],[MIN]],2,TablaSTOCKINV[[#This Row],[CANT. TOTAL]]&gt;TablaSTOCKINV[[#This Row],[MIN]],3)</f>
        <v>3</v>
      </c>
      <c r="N831" s="34">
        <f>TablaSTOCKINV[[#This Row],[ENTRADAS]]-TablaSTOCKINV[[#This Row],[SALIDAS]]</f>
        <v>1</v>
      </c>
      <c r="O831" s="35">
        <f>SUMIFS(TablaENTRADA[CANT],TablaENTRADA[SKU],TablaSTOCKINV[[#This Row],[SKU]])</f>
        <v>1</v>
      </c>
      <c r="P831" s="35">
        <f>SUMIFS(TablaSALIDA[CANT],TablaSALIDA[SKU],TablaSTOCKINV[[#This Row],[SKU]])</f>
        <v>0</v>
      </c>
      <c r="Q831" s="34">
        <f>_xlfn.XLOOKUP(TablaSTOCKINV[[#This Row],[SKU]],TablaINVENTARIO[SKU],TablaINVENTARIO[PRECIO])</f>
        <v>0</v>
      </c>
      <c r="R831" s="34">
        <f>TablaSTOCKINV[[#This Row],[P.UNITARIO]]*TablaSTOCKINV[[#This Row],[CANT. TOTAL]]</f>
        <v>0</v>
      </c>
      <c r="S831" s="44">
        <f>_xlfn.XLOOKUP(TablaSTOCKINV[[#This Row],[SKU]],TablaINVENTARIO[SKU],TablaINVENTARIO[FECHA INGRESO])</f>
        <v>46023</v>
      </c>
      <c r="T831" s="44">
        <f>_xlfn.XLOOKUP(TablaSTOCKINV[[#This Row],[SKU]],TablaENTRADA[SKU],TablaENTRADA[FECHA],,0,-1)</f>
        <v>46023</v>
      </c>
      <c r="U831" s="46" t="str">
        <f>IFERROR((_xlfn.XLOOKUP(TablaSTOCKINV[[#This Row],[SKU]],TablaSALIDA[SKU],TablaSALIDA[FECHA],,0,-1))," " )</f>
        <v xml:space="preserve"> </v>
      </c>
    </row>
    <row r="832" spans="1:21" x14ac:dyDescent="0.3">
      <c r="A832" s="27" t="s">
        <v>732</v>
      </c>
      <c r="B832" s="32" t="str">
        <f>_xlfn.XLOOKUP(TablaSTOCKINV[[#This Row],[SKU]],TablaINVENTARIO[SKU],TablaINVENTARIO[DESCRIPCION])</f>
        <v xml:space="preserve">CODO 90° 2 1/2" ACERO AL CARBON </v>
      </c>
      <c r="C832" s="32" t="str">
        <f>_xlfn.XLOOKUP(TablaSTOCKINV[[#This Row],[SKU]],TablaINVENTARIO[SKU],TablaINVENTARIO[MARCA])</f>
        <v>N/A</v>
      </c>
      <c r="D832" s="33" t="str">
        <f>_xlfn.XLOOKUP(TablaSTOCKINV[[#This Row],[SKU]],TablaINVENTARIO[SKU],TablaINVENTARIO[CATEGORIA])</f>
        <v>FABRICACION</v>
      </c>
      <c r="E832" s="33" t="str">
        <f>_xlfn.XLOOKUP(TablaSTOCKINV[[#This Row],[SKU]],TablaINVENTARIO[SKU],TablaINVENTARIO[SUBCATEGORIA])</f>
        <v>MATERIAL MECANICO</v>
      </c>
      <c r="F832" s="33" t="str">
        <f>_xlfn.XLOOKUP(TablaSTOCKINV[[#This Row],[SKU]],TablaINVENTARIO[SKU],TablaINVENTARIO[ESTADO])</f>
        <v xml:space="preserve">NUEVO </v>
      </c>
      <c r="G832" s="33" t="str">
        <f>_xlfn.XLOOKUP(TablaSTOCKINV[[#This Row],[SKU]],TablaINVENTARIO[SKU],TablaINVENTARIO[MEDIDA])</f>
        <v>UND</v>
      </c>
      <c r="H832" s="33" t="str">
        <f>_xlfn.XLOOKUP(TablaSTOCKINV[[#This Row],[SKU]],TablaINVENTARIO[SKU],TablaINVENTARIO[SERIAL])</f>
        <v>N/A</v>
      </c>
      <c r="I832" s="34" t="str">
        <f>_xlfn.XLOOKUP(TablaSTOCKINV[[#This Row],[SKU]],TablaINVENTARIO[SKU],TablaINVENTARIO[ALMACEN])</f>
        <v>ALMACEN PRINCIPAL</v>
      </c>
      <c r="J832" s="34" t="str">
        <f>_xlfn.XLOOKUP(TablaSTOCKINV[[#This Row],[SKU]],TablaINVENTARIO[SKU],TablaINVENTARIO[UBICACION])</f>
        <v>I4-2</v>
      </c>
      <c r="K832" s="34" t="str">
        <f>_xlfn.XLOOKUP(TablaSTOCKINV[[#This Row],[SKU]],TablaINVENTARIO[SKU],TablaINVENTARIO[DPTO RESPONSABLE])</f>
        <v>OPERACIONES</v>
      </c>
      <c r="L832" s="36">
        <f>_xlfn.XLOOKUP(TablaSTOCKINV[[#This Row],[SKU]],TablaINVENTARIO[SKU],TablaINVENTARIO[RANGO MIN])</f>
        <v>0</v>
      </c>
      <c r="M832" s="34" cm="1">
        <f t="array" ref="M832">_xlfn.IFS(TablaSTOCKINV[[#This Row],[CANT. TOTAL]]&lt;=0,1,TablaSTOCKINV[[#This Row],[CANT. TOTAL]]&lt;=TablaSTOCKINV[[#This Row],[MIN]],2,TablaSTOCKINV[[#This Row],[CANT. TOTAL]]&gt;TablaSTOCKINV[[#This Row],[MIN]],3)</f>
        <v>3</v>
      </c>
      <c r="N832" s="34">
        <f>TablaSTOCKINV[[#This Row],[ENTRADAS]]-TablaSTOCKINV[[#This Row],[SALIDAS]]</f>
        <v>20</v>
      </c>
      <c r="O832" s="35">
        <f>SUMIFS(TablaENTRADA[CANT],TablaENTRADA[SKU],TablaSTOCKINV[[#This Row],[SKU]])</f>
        <v>20</v>
      </c>
      <c r="P832" s="35">
        <f>SUMIFS(TablaSALIDA[CANT],TablaSALIDA[SKU],TablaSTOCKINV[[#This Row],[SKU]])</f>
        <v>0</v>
      </c>
      <c r="Q832" s="34">
        <f>_xlfn.XLOOKUP(TablaSTOCKINV[[#This Row],[SKU]],TablaINVENTARIO[SKU],TablaINVENTARIO[PRECIO])</f>
        <v>0</v>
      </c>
      <c r="R832" s="34">
        <f>TablaSTOCKINV[[#This Row],[P.UNITARIO]]*TablaSTOCKINV[[#This Row],[CANT. TOTAL]]</f>
        <v>0</v>
      </c>
      <c r="S832" s="44">
        <f>_xlfn.XLOOKUP(TablaSTOCKINV[[#This Row],[SKU]],TablaINVENTARIO[SKU],TablaINVENTARIO[FECHA INGRESO])</f>
        <v>46023</v>
      </c>
      <c r="T832" s="44">
        <f>_xlfn.XLOOKUP(TablaSTOCKINV[[#This Row],[SKU]],TablaENTRADA[SKU],TablaENTRADA[FECHA],,0,-1)</f>
        <v>46023</v>
      </c>
      <c r="U832" s="46" t="str">
        <f>IFERROR((_xlfn.XLOOKUP(TablaSTOCKINV[[#This Row],[SKU]],TablaSALIDA[SKU],TablaSALIDA[FECHA],,0,-1))," " )</f>
        <v xml:space="preserve"> </v>
      </c>
    </row>
    <row r="833" spans="1:21" x14ac:dyDescent="0.3">
      <c r="A833" s="27" t="s">
        <v>735</v>
      </c>
      <c r="B833" s="32" t="str">
        <f>_xlfn.XLOOKUP(TablaSTOCKINV[[#This Row],[SKU]],TablaINVENTARIO[SKU],TablaINVENTARIO[DESCRIPCION])</f>
        <v xml:space="preserve">CODO 45° A 105 1/2 ACERO AL CARBON </v>
      </c>
      <c r="C833" s="32" t="str">
        <f>_xlfn.XLOOKUP(TablaSTOCKINV[[#This Row],[SKU]],TablaINVENTARIO[SKU],TablaINVENTARIO[MARCA])</f>
        <v>N/A</v>
      </c>
      <c r="D833" s="33" t="str">
        <f>_xlfn.XLOOKUP(TablaSTOCKINV[[#This Row],[SKU]],TablaINVENTARIO[SKU],TablaINVENTARIO[CATEGORIA])</f>
        <v>FABRICACION</v>
      </c>
      <c r="E833" s="33" t="str">
        <f>_xlfn.XLOOKUP(TablaSTOCKINV[[#This Row],[SKU]],TablaINVENTARIO[SKU],TablaINVENTARIO[SUBCATEGORIA])</f>
        <v>MATERIAL MECANICO</v>
      </c>
      <c r="F833" s="33" t="str">
        <f>_xlfn.XLOOKUP(TablaSTOCKINV[[#This Row],[SKU]],TablaINVENTARIO[SKU],TablaINVENTARIO[ESTADO])</f>
        <v xml:space="preserve">NUEVO </v>
      </c>
      <c r="G833" s="33" t="str">
        <f>_xlfn.XLOOKUP(TablaSTOCKINV[[#This Row],[SKU]],TablaINVENTARIO[SKU],TablaINVENTARIO[MEDIDA])</f>
        <v>UND</v>
      </c>
      <c r="H833" s="33" t="str">
        <f>_xlfn.XLOOKUP(TablaSTOCKINV[[#This Row],[SKU]],TablaINVENTARIO[SKU],TablaINVENTARIO[SERIAL])</f>
        <v>N/A</v>
      </c>
      <c r="I833" s="34" t="str">
        <f>_xlfn.XLOOKUP(TablaSTOCKINV[[#This Row],[SKU]],TablaINVENTARIO[SKU],TablaINVENTARIO[ALMACEN])</f>
        <v>ALMACEN PRINCIPAL</v>
      </c>
      <c r="J833" s="34" t="str">
        <f>_xlfn.XLOOKUP(TablaSTOCKINV[[#This Row],[SKU]],TablaINVENTARIO[SKU],TablaINVENTARIO[UBICACION])</f>
        <v>I4-2</v>
      </c>
      <c r="K833" s="34" t="str">
        <f>_xlfn.XLOOKUP(TablaSTOCKINV[[#This Row],[SKU]],TablaINVENTARIO[SKU],TablaINVENTARIO[DPTO RESPONSABLE])</f>
        <v>OPERACIONES</v>
      </c>
      <c r="L833" s="36">
        <f>_xlfn.XLOOKUP(TablaSTOCKINV[[#This Row],[SKU]],TablaINVENTARIO[SKU],TablaINVENTARIO[RANGO MIN])</f>
        <v>0</v>
      </c>
      <c r="M833" s="34" cm="1">
        <f t="array" ref="M833">_xlfn.IFS(TablaSTOCKINV[[#This Row],[CANT. TOTAL]]&lt;=0,1,TablaSTOCKINV[[#This Row],[CANT. TOTAL]]&lt;=TablaSTOCKINV[[#This Row],[MIN]],2,TablaSTOCKINV[[#This Row],[CANT. TOTAL]]&gt;TablaSTOCKINV[[#This Row],[MIN]],3)</f>
        <v>3</v>
      </c>
      <c r="N833" s="34">
        <f>TablaSTOCKINV[[#This Row],[ENTRADAS]]-TablaSTOCKINV[[#This Row],[SALIDAS]]</f>
        <v>1</v>
      </c>
      <c r="O833" s="35">
        <f>SUMIFS(TablaENTRADA[CANT],TablaENTRADA[SKU],TablaSTOCKINV[[#This Row],[SKU]])</f>
        <v>1</v>
      </c>
      <c r="P833" s="35">
        <f>SUMIFS(TablaSALIDA[CANT],TablaSALIDA[SKU],TablaSTOCKINV[[#This Row],[SKU]])</f>
        <v>0</v>
      </c>
      <c r="Q833" s="34">
        <f>_xlfn.XLOOKUP(TablaSTOCKINV[[#This Row],[SKU]],TablaINVENTARIO[SKU],TablaINVENTARIO[PRECIO])</f>
        <v>0</v>
      </c>
      <c r="R833" s="34">
        <f>TablaSTOCKINV[[#This Row],[P.UNITARIO]]*TablaSTOCKINV[[#This Row],[CANT. TOTAL]]</f>
        <v>0</v>
      </c>
      <c r="S833" s="44">
        <f>_xlfn.XLOOKUP(TablaSTOCKINV[[#This Row],[SKU]],TablaINVENTARIO[SKU],TablaINVENTARIO[FECHA INGRESO])</f>
        <v>46023</v>
      </c>
      <c r="T833" s="44">
        <f>_xlfn.XLOOKUP(TablaSTOCKINV[[#This Row],[SKU]],TablaENTRADA[SKU],TablaENTRADA[FECHA],,0,-1)</f>
        <v>46023</v>
      </c>
      <c r="U833" s="46" t="str">
        <f>IFERROR((_xlfn.XLOOKUP(TablaSTOCKINV[[#This Row],[SKU]],TablaSALIDA[SKU],TablaSALIDA[FECHA],,0,-1))," " )</f>
        <v xml:space="preserve"> </v>
      </c>
    </row>
    <row r="834" spans="1:21" x14ac:dyDescent="0.3">
      <c r="A834" s="27" t="s">
        <v>737</v>
      </c>
      <c r="B834" s="32" t="str">
        <f>_xlfn.XLOOKUP(TablaSTOCKINV[[#This Row],[SKU]],TablaINVENTARIO[SKU],TablaINVENTARIO[DESCRIPCION])</f>
        <v>TROQUEL PARA DOBLADORA DE TUBO HIDRAULICA 3/4</v>
      </c>
      <c r="C834" s="32" t="str">
        <f>_xlfn.XLOOKUP(TablaSTOCKINV[[#This Row],[SKU]],TablaINVENTARIO[SKU],TablaINVENTARIO[MARCA])</f>
        <v>N/A</v>
      </c>
      <c r="D834" s="33" t="str">
        <f>_xlfn.XLOOKUP(TablaSTOCKINV[[#This Row],[SKU]],TablaINVENTARIO[SKU],TablaINVENTARIO[CATEGORIA])</f>
        <v>FABRICACION</v>
      </c>
      <c r="E834" s="33" t="str">
        <f>_xlfn.XLOOKUP(TablaSTOCKINV[[#This Row],[SKU]],TablaINVENTARIO[SKU],TablaINVENTARIO[SUBCATEGORIA])</f>
        <v>MATERIAL MECANICO</v>
      </c>
      <c r="F834" s="33" t="str">
        <f>_xlfn.XLOOKUP(TablaSTOCKINV[[#This Row],[SKU]],TablaINVENTARIO[SKU],TablaINVENTARIO[ESTADO])</f>
        <v xml:space="preserve">NUEVO </v>
      </c>
      <c r="G834" s="33" t="str">
        <f>_xlfn.XLOOKUP(TablaSTOCKINV[[#This Row],[SKU]],TablaINVENTARIO[SKU],TablaINVENTARIO[MEDIDA])</f>
        <v>UND</v>
      </c>
      <c r="H834" s="33" t="str">
        <f>_xlfn.XLOOKUP(TablaSTOCKINV[[#This Row],[SKU]],TablaINVENTARIO[SKU],TablaINVENTARIO[SERIAL])</f>
        <v>N/A</v>
      </c>
      <c r="I834" s="34" t="str">
        <f>_xlfn.XLOOKUP(TablaSTOCKINV[[#This Row],[SKU]],TablaINVENTARIO[SKU],TablaINVENTARIO[ALMACEN])</f>
        <v>ALMACEN PRINCIPAL</v>
      </c>
      <c r="J834" s="34" t="str">
        <f>_xlfn.XLOOKUP(TablaSTOCKINV[[#This Row],[SKU]],TablaINVENTARIO[SKU],TablaINVENTARIO[UBICACION])</f>
        <v>I4-2</v>
      </c>
      <c r="K834" s="34" t="str">
        <f>_xlfn.XLOOKUP(TablaSTOCKINV[[#This Row],[SKU]],TablaINVENTARIO[SKU],TablaINVENTARIO[DPTO RESPONSABLE])</f>
        <v>OPERACIONES</v>
      </c>
      <c r="L834" s="36">
        <f>_xlfn.XLOOKUP(TablaSTOCKINV[[#This Row],[SKU]],TablaINVENTARIO[SKU],TablaINVENTARIO[RANGO MIN])</f>
        <v>0</v>
      </c>
      <c r="M834" s="34" cm="1">
        <f t="array" ref="M834">_xlfn.IFS(TablaSTOCKINV[[#This Row],[CANT. TOTAL]]&lt;=0,1,TablaSTOCKINV[[#This Row],[CANT. TOTAL]]&lt;=TablaSTOCKINV[[#This Row],[MIN]],2,TablaSTOCKINV[[#This Row],[CANT. TOTAL]]&gt;TablaSTOCKINV[[#This Row],[MIN]],3)</f>
        <v>3</v>
      </c>
      <c r="N834" s="34">
        <f>TablaSTOCKINV[[#This Row],[ENTRADAS]]-TablaSTOCKINV[[#This Row],[SALIDAS]]</f>
        <v>1</v>
      </c>
      <c r="O834" s="35">
        <f>SUMIFS(TablaENTRADA[CANT],TablaENTRADA[SKU],TablaSTOCKINV[[#This Row],[SKU]])</f>
        <v>1</v>
      </c>
      <c r="P834" s="35">
        <f>SUMIFS(TablaSALIDA[CANT],TablaSALIDA[SKU],TablaSTOCKINV[[#This Row],[SKU]])</f>
        <v>0</v>
      </c>
      <c r="Q834" s="34">
        <f>_xlfn.XLOOKUP(TablaSTOCKINV[[#This Row],[SKU]],TablaINVENTARIO[SKU],TablaINVENTARIO[PRECIO])</f>
        <v>0</v>
      </c>
      <c r="R834" s="34">
        <f>TablaSTOCKINV[[#This Row],[P.UNITARIO]]*TablaSTOCKINV[[#This Row],[CANT. TOTAL]]</f>
        <v>0</v>
      </c>
      <c r="S834" s="44">
        <f>_xlfn.XLOOKUP(TablaSTOCKINV[[#This Row],[SKU]],TablaINVENTARIO[SKU],TablaINVENTARIO[FECHA INGRESO])</f>
        <v>46023</v>
      </c>
      <c r="T834" s="44">
        <f>_xlfn.XLOOKUP(TablaSTOCKINV[[#This Row],[SKU]],TablaENTRADA[SKU],TablaENTRADA[FECHA],,0,-1)</f>
        <v>46023</v>
      </c>
      <c r="U834" s="46" t="str">
        <f>IFERROR((_xlfn.XLOOKUP(TablaSTOCKINV[[#This Row],[SKU]],TablaSALIDA[SKU],TablaSALIDA[FECHA],,0,-1))," " )</f>
        <v xml:space="preserve"> </v>
      </c>
    </row>
    <row r="835" spans="1:21" x14ac:dyDescent="0.3">
      <c r="A835" s="27" t="s">
        <v>739</v>
      </c>
      <c r="B835" s="32" t="str">
        <f>_xlfn.XLOOKUP(TablaSTOCKINV[[#This Row],[SKU]],TablaINVENTARIO[SKU],TablaINVENTARIO[DESCRIPCION])</f>
        <v>TROQUEL PARA DOBLADORA DE TUBO HIDRAULICA 1</v>
      </c>
      <c r="C835" s="32" t="str">
        <f>_xlfn.XLOOKUP(TablaSTOCKINV[[#This Row],[SKU]],TablaINVENTARIO[SKU],TablaINVENTARIO[MARCA])</f>
        <v>N/A</v>
      </c>
      <c r="D835" s="33" t="str">
        <f>_xlfn.XLOOKUP(TablaSTOCKINV[[#This Row],[SKU]],TablaINVENTARIO[SKU],TablaINVENTARIO[CATEGORIA])</f>
        <v>FABRICACION</v>
      </c>
      <c r="E835" s="33" t="str">
        <f>_xlfn.XLOOKUP(TablaSTOCKINV[[#This Row],[SKU]],TablaINVENTARIO[SKU],TablaINVENTARIO[SUBCATEGORIA])</f>
        <v>MATERIAL MECANICO</v>
      </c>
      <c r="F835" s="33" t="str">
        <f>_xlfn.XLOOKUP(TablaSTOCKINV[[#This Row],[SKU]],TablaINVENTARIO[SKU],TablaINVENTARIO[ESTADO])</f>
        <v xml:space="preserve">NUEVO </v>
      </c>
      <c r="G835" s="33" t="str">
        <f>_xlfn.XLOOKUP(TablaSTOCKINV[[#This Row],[SKU]],TablaINVENTARIO[SKU],TablaINVENTARIO[MEDIDA])</f>
        <v>UND</v>
      </c>
      <c r="H835" s="33" t="str">
        <f>_xlfn.XLOOKUP(TablaSTOCKINV[[#This Row],[SKU]],TablaINVENTARIO[SKU],TablaINVENTARIO[SERIAL])</f>
        <v>N/A</v>
      </c>
      <c r="I835" s="34" t="str">
        <f>_xlfn.XLOOKUP(TablaSTOCKINV[[#This Row],[SKU]],TablaINVENTARIO[SKU],TablaINVENTARIO[ALMACEN])</f>
        <v>ALMACEN PRINCIPAL</v>
      </c>
      <c r="J835" s="34" t="str">
        <f>_xlfn.XLOOKUP(TablaSTOCKINV[[#This Row],[SKU]],TablaINVENTARIO[SKU],TablaINVENTARIO[UBICACION])</f>
        <v>I4-2</v>
      </c>
      <c r="K835" s="34" t="str">
        <f>_xlfn.XLOOKUP(TablaSTOCKINV[[#This Row],[SKU]],TablaINVENTARIO[SKU],TablaINVENTARIO[DPTO RESPONSABLE])</f>
        <v>OPERACIONES</v>
      </c>
      <c r="L835" s="36">
        <f>_xlfn.XLOOKUP(TablaSTOCKINV[[#This Row],[SKU]],TablaINVENTARIO[SKU],TablaINVENTARIO[RANGO MIN])</f>
        <v>0</v>
      </c>
      <c r="M835" s="34" cm="1">
        <f t="array" ref="M835">_xlfn.IFS(TablaSTOCKINV[[#This Row],[CANT. TOTAL]]&lt;=0,1,TablaSTOCKINV[[#This Row],[CANT. TOTAL]]&lt;=TablaSTOCKINV[[#This Row],[MIN]],2,TablaSTOCKINV[[#This Row],[CANT. TOTAL]]&gt;TablaSTOCKINV[[#This Row],[MIN]],3)</f>
        <v>3</v>
      </c>
      <c r="N835" s="34">
        <f>TablaSTOCKINV[[#This Row],[ENTRADAS]]-TablaSTOCKINV[[#This Row],[SALIDAS]]</f>
        <v>1</v>
      </c>
      <c r="O835" s="35">
        <f>SUMIFS(TablaENTRADA[CANT],TablaENTRADA[SKU],TablaSTOCKINV[[#This Row],[SKU]])</f>
        <v>1</v>
      </c>
      <c r="P835" s="35">
        <f>SUMIFS(TablaSALIDA[CANT],TablaSALIDA[SKU],TablaSTOCKINV[[#This Row],[SKU]])</f>
        <v>0</v>
      </c>
      <c r="Q835" s="34">
        <f>_xlfn.XLOOKUP(TablaSTOCKINV[[#This Row],[SKU]],TablaINVENTARIO[SKU],TablaINVENTARIO[PRECIO])</f>
        <v>0</v>
      </c>
      <c r="R835" s="34">
        <f>TablaSTOCKINV[[#This Row],[P.UNITARIO]]*TablaSTOCKINV[[#This Row],[CANT. TOTAL]]</f>
        <v>0</v>
      </c>
      <c r="S835" s="44">
        <f>_xlfn.XLOOKUP(TablaSTOCKINV[[#This Row],[SKU]],TablaINVENTARIO[SKU],TablaINVENTARIO[FECHA INGRESO])</f>
        <v>46023</v>
      </c>
      <c r="T835" s="44">
        <f>_xlfn.XLOOKUP(TablaSTOCKINV[[#This Row],[SKU]],TablaENTRADA[SKU],TablaENTRADA[FECHA],,0,-1)</f>
        <v>46023</v>
      </c>
      <c r="U835" s="46" t="str">
        <f>IFERROR((_xlfn.XLOOKUP(TablaSTOCKINV[[#This Row],[SKU]],TablaSALIDA[SKU],TablaSALIDA[FECHA],,0,-1))," " )</f>
        <v xml:space="preserve"> </v>
      </c>
    </row>
    <row r="836" spans="1:21" x14ac:dyDescent="0.3">
      <c r="A836" s="27" t="s">
        <v>741</v>
      </c>
      <c r="B836" s="32" t="str">
        <f>_xlfn.XLOOKUP(TablaSTOCKINV[[#This Row],[SKU]],TablaINVENTARIO[SKU],TablaINVENTARIO[DESCRIPCION])</f>
        <v>TROQUEL PARA DOBLADORA DE TUBO HIDRAULICA 32</v>
      </c>
      <c r="C836" s="32" t="str">
        <f>_xlfn.XLOOKUP(TablaSTOCKINV[[#This Row],[SKU]],TablaINVENTARIO[SKU],TablaINVENTARIO[MARCA])</f>
        <v>N/A</v>
      </c>
      <c r="D836" s="33" t="str">
        <f>_xlfn.XLOOKUP(TablaSTOCKINV[[#This Row],[SKU]],TablaINVENTARIO[SKU],TablaINVENTARIO[CATEGORIA])</f>
        <v>FABRICACION</v>
      </c>
      <c r="E836" s="33" t="str">
        <f>_xlfn.XLOOKUP(TablaSTOCKINV[[#This Row],[SKU]],TablaINVENTARIO[SKU],TablaINVENTARIO[SUBCATEGORIA])</f>
        <v>MATERIAL MECANICO</v>
      </c>
      <c r="F836" s="33" t="str">
        <f>_xlfn.XLOOKUP(TablaSTOCKINV[[#This Row],[SKU]],TablaINVENTARIO[SKU],TablaINVENTARIO[ESTADO])</f>
        <v xml:space="preserve">NUEVO </v>
      </c>
      <c r="G836" s="33" t="str">
        <f>_xlfn.XLOOKUP(TablaSTOCKINV[[#This Row],[SKU]],TablaINVENTARIO[SKU],TablaINVENTARIO[MEDIDA])</f>
        <v>UND</v>
      </c>
      <c r="H836" s="33" t="str">
        <f>_xlfn.XLOOKUP(TablaSTOCKINV[[#This Row],[SKU]],TablaINVENTARIO[SKU],TablaINVENTARIO[SERIAL])</f>
        <v>N/A</v>
      </c>
      <c r="I836" s="34" t="str">
        <f>_xlfn.XLOOKUP(TablaSTOCKINV[[#This Row],[SKU]],TablaINVENTARIO[SKU],TablaINVENTARIO[ALMACEN])</f>
        <v>ALMACEN PRINCIPAL</v>
      </c>
      <c r="J836" s="34" t="str">
        <f>_xlfn.XLOOKUP(TablaSTOCKINV[[#This Row],[SKU]],TablaINVENTARIO[SKU],TablaINVENTARIO[UBICACION])</f>
        <v>I4-2</v>
      </c>
      <c r="K836" s="34" t="str">
        <f>_xlfn.XLOOKUP(TablaSTOCKINV[[#This Row],[SKU]],TablaINVENTARIO[SKU],TablaINVENTARIO[DPTO RESPONSABLE])</f>
        <v>OPERACIONES</v>
      </c>
      <c r="L836" s="36">
        <f>_xlfn.XLOOKUP(TablaSTOCKINV[[#This Row],[SKU]],TablaINVENTARIO[SKU],TablaINVENTARIO[RANGO MIN])</f>
        <v>0</v>
      </c>
      <c r="M836" s="34" cm="1">
        <f t="array" ref="M836">_xlfn.IFS(TablaSTOCKINV[[#This Row],[CANT. TOTAL]]&lt;=0,1,TablaSTOCKINV[[#This Row],[CANT. TOTAL]]&lt;=TablaSTOCKINV[[#This Row],[MIN]],2,TablaSTOCKINV[[#This Row],[CANT. TOTAL]]&gt;TablaSTOCKINV[[#This Row],[MIN]],3)</f>
        <v>3</v>
      </c>
      <c r="N836" s="34">
        <f>TablaSTOCKINV[[#This Row],[ENTRADAS]]-TablaSTOCKINV[[#This Row],[SALIDAS]]</f>
        <v>1</v>
      </c>
      <c r="O836" s="35">
        <f>SUMIFS(TablaENTRADA[CANT],TablaENTRADA[SKU],TablaSTOCKINV[[#This Row],[SKU]])</f>
        <v>1</v>
      </c>
      <c r="P836" s="35">
        <f>SUMIFS(TablaSALIDA[CANT],TablaSALIDA[SKU],TablaSTOCKINV[[#This Row],[SKU]])</f>
        <v>0</v>
      </c>
      <c r="Q836" s="34">
        <f>_xlfn.XLOOKUP(TablaSTOCKINV[[#This Row],[SKU]],TablaINVENTARIO[SKU],TablaINVENTARIO[PRECIO])</f>
        <v>0</v>
      </c>
      <c r="R836" s="34">
        <f>TablaSTOCKINV[[#This Row],[P.UNITARIO]]*TablaSTOCKINV[[#This Row],[CANT. TOTAL]]</f>
        <v>0</v>
      </c>
      <c r="S836" s="44">
        <f>_xlfn.XLOOKUP(TablaSTOCKINV[[#This Row],[SKU]],TablaINVENTARIO[SKU],TablaINVENTARIO[FECHA INGRESO])</f>
        <v>46023</v>
      </c>
      <c r="T836" s="44">
        <f>_xlfn.XLOOKUP(TablaSTOCKINV[[#This Row],[SKU]],TablaENTRADA[SKU],TablaENTRADA[FECHA],,0,-1)</f>
        <v>46023</v>
      </c>
      <c r="U836" s="46" t="str">
        <f>IFERROR((_xlfn.XLOOKUP(TablaSTOCKINV[[#This Row],[SKU]],TablaSALIDA[SKU],TablaSALIDA[FECHA],,0,-1))," " )</f>
        <v xml:space="preserve"> </v>
      </c>
    </row>
    <row r="837" spans="1:21" x14ac:dyDescent="0.3">
      <c r="A837" s="27" t="s">
        <v>743</v>
      </c>
      <c r="B837" s="32" t="str">
        <f>_xlfn.XLOOKUP(TablaSTOCKINV[[#This Row],[SKU]],TablaINVENTARIO[SKU],TablaINVENTARIO[DESCRIPCION])</f>
        <v>TROQUEL PARA DOBLADORA DE TUBO HIDRAULICA 1 1/2</v>
      </c>
      <c r="C837" s="32" t="str">
        <f>_xlfn.XLOOKUP(TablaSTOCKINV[[#This Row],[SKU]],TablaINVENTARIO[SKU],TablaINVENTARIO[MARCA])</f>
        <v>N/A</v>
      </c>
      <c r="D837" s="33" t="str">
        <f>_xlfn.XLOOKUP(TablaSTOCKINV[[#This Row],[SKU]],TablaINVENTARIO[SKU],TablaINVENTARIO[CATEGORIA])</f>
        <v>FABRICACION</v>
      </c>
      <c r="E837" s="33" t="str">
        <f>_xlfn.XLOOKUP(TablaSTOCKINV[[#This Row],[SKU]],TablaINVENTARIO[SKU],TablaINVENTARIO[SUBCATEGORIA])</f>
        <v>MATERIAL MECANICO</v>
      </c>
      <c r="F837" s="33" t="str">
        <f>_xlfn.XLOOKUP(TablaSTOCKINV[[#This Row],[SKU]],TablaINVENTARIO[SKU],TablaINVENTARIO[ESTADO])</f>
        <v xml:space="preserve">NUEVO </v>
      </c>
      <c r="G837" s="33" t="str">
        <f>_xlfn.XLOOKUP(TablaSTOCKINV[[#This Row],[SKU]],TablaINVENTARIO[SKU],TablaINVENTARIO[MEDIDA])</f>
        <v>UND</v>
      </c>
      <c r="H837" s="33" t="str">
        <f>_xlfn.XLOOKUP(TablaSTOCKINV[[#This Row],[SKU]],TablaINVENTARIO[SKU],TablaINVENTARIO[SERIAL])</f>
        <v>N/A</v>
      </c>
      <c r="I837" s="34" t="str">
        <f>_xlfn.XLOOKUP(TablaSTOCKINV[[#This Row],[SKU]],TablaINVENTARIO[SKU],TablaINVENTARIO[ALMACEN])</f>
        <v>ALMACEN PRINCIPAL</v>
      </c>
      <c r="J837" s="34" t="str">
        <f>_xlfn.XLOOKUP(TablaSTOCKINV[[#This Row],[SKU]],TablaINVENTARIO[SKU],TablaINVENTARIO[UBICACION])</f>
        <v>I4-2</v>
      </c>
      <c r="K837" s="34" t="str">
        <f>_xlfn.XLOOKUP(TablaSTOCKINV[[#This Row],[SKU]],TablaINVENTARIO[SKU],TablaINVENTARIO[DPTO RESPONSABLE])</f>
        <v>OPERACIONES</v>
      </c>
      <c r="L837" s="36">
        <f>_xlfn.XLOOKUP(TablaSTOCKINV[[#This Row],[SKU]],TablaINVENTARIO[SKU],TablaINVENTARIO[RANGO MIN])</f>
        <v>0</v>
      </c>
      <c r="M837" s="34" cm="1">
        <f t="array" ref="M837">_xlfn.IFS(TablaSTOCKINV[[#This Row],[CANT. TOTAL]]&lt;=0,1,TablaSTOCKINV[[#This Row],[CANT. TOTAL]]&lt;=TablaSTOCKINV[[#This Row],[MIN]],2,TablaSTOCKINV[[#This Row],[CANT. TOTAL]]&gt;TablaSTOCKINV[[#This Row],[MIN]],3)</f>
        <v>3</v>
      </c>
      <c r="N837" s="34">
        <f>TablaSTOCKINV[[#This Row],[ENTRADAS]]-TablaSTOCKINV[[#This Row],[SALIDAS]]</f>
        <v>1</v>
      </c>
      <c r="O837" s="35">
        <f>SUMIFS(TablaENTRADA[CANT],TablaENTRADA[SKU],TablaSTOCKINV[[#This Row],[SKU]])</f>
        <v>1</v>
      </c>
      <c r="P837" s="35">
        <f>SUMIFS(TablaSALIDA[CANT],TablaSALIDA[SKU],TablaSTOCKINV[[#This Row],[SKU]])</f>
        <v>0</v>
      </c>
      <c r="Q837" s="34">
        <f>_xlfn.XLOOKUP(TablaSTOCKINV[[#This Row],[SKU]],TablaINVENTARIO[SKU],TablaINVENTARIO[PRECIO])</f>
        <v>0</v>
      </c>
      <c r="R837" s="34">
        <f>TablaSTOCKINV[[#This Row],[P.UNITARIO]]*TablaSTOCKINV[[#This Row],[CANT. TOTAL]]</f>
        <v>0</v>
      </c>
      <c r="S837" s="44">
        <f>_xlfn.XLOOKUP(TablaSTOCKINV[[#This Row],[SKU]],TablaINVENTARIO[SKU],TablaINVENTARIO[FECHA INGRESO])</f>
        <v>46023</v>
      </c>
      <c r="T837" s="44">
        <f>_xlfn.XLOOKUP(TablaSTOCKINV[[#This Row],[SKU]],TablaENTRADA[SKU],TablaENTRADA[FECHA],,0,-1)</f>
        <v>46023</v>
      </c>
      <c r="U837" s="46" t="str">
        <f>IFERROR((_xlfn.XLOOKUP(TablaSTOCKINV[[#This Row],[SKU]],TablaSALIDA[SKU],TablaSALIDA[FECHA],,0,-1))," " )</f>
        <v xml:space="preserve"> </v>
      </c>
    </row>
    <row r="838" spans="1:21" x14ac:dyDescent="0.3">
      <c r="A838" s="27" t="s">
        <v>745</v>
      </c>
      <c r="B838" s="32" t="str">
        <f>_xlfn.XLOOKUP(TablaSTOCKINV[[#This Row],[SKU]],TablaINVENTARIO[SKU],TablaINVENTARIO[DESCRIPCION])</f>
        <v>TROQUEL PARA DOBLADORA DE TUBO HIDRAULICA 50</v>
      </c>
      <c r="C838" s="32" t="str">
        <f>_xlfn.XLOOKUP(TablaSTOCKINV[[#This Row],[SKU]],TablaINVENTARIO[SKU],TablaINVENTARIO[MARCA])</f>
        <v>N/A</v>
      </c>
      <c r="D838" s="33" t="str">
        <f>_xlfn.XLOOKUP(TablaSTOCKINV[[#This Row],[SKU]],TablaINVENTARIO[SKU],TablaINVENTARIO[CATEGORIA])</f>
        <v>FABRICACION</v>
      </c>
      <c r="E838" s="33" t="str">
        <f>_xlfn.XLOOKUP(TablaSTOCKINV[[#This Row],[SKU]],TablaINVENTARIO[SKU],TablaINVENTARIO[SUBCATEGORIA])</f>
        <v>MATERIAL MECANICO</v>
      </c>
      <c r="F838" s="33" t="str">
        <f>_xlfn.XLOOKUP(TablaSTOCKINV[[#This Row],[SKU]],TablaINVENTARIO[SKU],TablaINVENTARIO[ESTADO])</f>
        <v xml:space="preserve">NUEVO </v>
      </c>
      <c r="G838" s="33" t="str">
        <f>_xlfn.XLOOKUP(TablaSTOCKINV[[#This Row],[SKU]],TablaINVENTARIO[SKU],TablaINVENTARIO[MEDIDA])</f>
        <v>UND</v>
      </c>
      <c r="H838" s="33" t="str">
        <f>_xlfn.XLOOKUP(TablaSTOCKINV[[#This Row],[SKU]],TablaINVENTARIO[SKU],TablaINVENTARIO[SERIAL])</f>
        <v>N/A</v>
      </c>
      <c r="I838" s="34" t="str">
        <f>_xlfn.XLOOKUP(TablaSTOCKINV[[#This Row],[SKU]],TablaINVENTARIO[SKU],TablaINVENTARIO[ALMACEN])</f>
        <v>ALMACEN PRINCIPAL</v>
      </c>
      <c r="J838" s="34" t="str">
        <f>_xlfn.XLOOKUP(TablaSTOCKINV[[#This Row],[SKU]],TablaINVENTARIO[SKU],TablaINVENTARIO[UBICACION])</f>
        <v>I4-2</v>
      </c>
      <c r="K838" s="34" t="str">
        <f>_xlfn.XLOOKUP(TablaSTOCKINV[[#This Row],[SKU]],TablaINVENTARIO[SKU],TablaINVENTARIO[DPTO RESPONSABLE])</f>
        <v>OPERACIONES</v>
      </c>
      <c r="L838" s="36">
        <f>_xlfn.XLOOKUP(TablaSTOCKINV[[#This Row],[SKU]],TablaINVENTARIO[SKU],TablaINVENTARIO[RANGO MIN])</f>
        <v>0</v>
      </c>
      <c r="M838" s="34" cm="1">
        <f t="array" ref="M838">_xlfn.IFS(TablaSTOCKINV[[#This Row],[CANT. TOTAL]]&lt;=0,1,TablaSTOCKINV[[#This Row],[CANT. TOTAL]]&lt;=TablaSTOCKINV[[#This Row],[MIN]],2,TablaSTOCKINV[[#This Row],[CANT. TOTAL]]&gt;TablaSTOCKINV[[#This Row],[MIN]],3)</f>
        <v>3</v>
      </c>
      <c r="N838" s="34">
        <f>TablaSTOCKINV[[#This Row],[ENTRADAS]]-TablaSTOCKINV[[#This Row],[SALIDAS]]</f>
        <v>1</v>
      </c>
      <c r="O838" s="35">
        <f>SUMIFS(TablaENTRADA[CANT],TablaENTRADA[SKU],TablaSTOCKINV[[#This Row],[SKU]])</f>
        <v>1</v>
      </c>
      <c r="P838" s="35">
        <f>SUMIFS(TablaSALIDA[CANT],TablaSALIDA[SKU],TablaSTOCKINV[[#This Row],[SKU]])</f>
        <v>0</v>
      </c>
      <c r="Q838" s="34">
        <f>_xlfn.XLOOKUP(TablaSTOCKINV[[#This Row],[SKU]],TablaINVENTARIO[SKU],TablaINVENTARIO[PRECIO])</f>
        <v>0</v>
      </c>
      <c r="R838" s="34">
        <f>TablaSTOCKINV[[#This Row],[P.UNITARIO]]*TablaSTOCKINV[[#This Row],[CANT. TOTAL]]</f>
        <v>0</v>
      </c>
      <c r="S838" s="44">
        <f>_xlfn.XLOOKUP(TablaSTOCKINV[[#This Row],[SKU]],TablaINVENTARIO[SKU],TablaINVENTARIO[FECHA INGRESO])</f>
        <v>46023</v>
      </c>
      <c r="T838" s="44">
        <f>_xlfn.XLOOKUP(TablaSTOCKINV[[#This Row],[SKU]],TablaENTRADA[SKU],TablaENTRADA[FECHA],,0,-1)</f>
        <v>46023</v>
      </c>
      <c r="U838" s="46" t="str">
        <f>IFERROR((_xlfn.XLOOKUP(TablaSTOCKINV[[#This Row],[SKU]],TablaSALIDA[SKU],TablaSALIDA[FECHA],,0,-1))," " )</f>
        <v xml:space="preserve"> </v>
      </c>
    </row>
    <row r="839" spans="1:21" x14ac:dyDescent="0.3">
      <c r="A839" s="27" t="s">
        <v>747</v>
      </c>
      <c r="B839" s="32" t="str">
        <f>_xlfn.XLOOKUP(TablaSTOCKINV[[#This Row],[SKU]],TablaINVENTARIO[SKU],TablaINVENTARIO[DESCRIPCION])</f>
        <v xml:space="preserve">MANIFOLD DE INSTRUMENTACION DE 5 VALVULAS </v>
      </c>
      <c r="C839" s="32" t="str">
        <f>_xlfn.XLOOKUP(TablaSTOCKINV[[#This Row],[SKU]],TablaINVENTARIO[SKU],TablaINVENTARIO[MARCA])</f>
        <v xml:space="preserve">ROSEMOUNT </v>
      </c>
      <c r="D839" s="33" t="str">
        <f>_xlfn.XLOOKUP(TablaSTOCKINV[[#This Row],[SKU]],TablaINVENTARIO[SKU],TablaINVENTARIO[CATEGORIA])</f>
        <v>FABRICACION</v>
      </c>
      <c r="E839" s="33" t="str">
        <f>_xlfn.XLOOKUP(TablaSTOCKINV[[#This Row],[SKU]],TablaINVENTARIO[SKU],TablaINVENTARIO[SUBCATEGORIA])</f>
        <v>MATERIAL MECANICO</v>
      </c>
      <c r="F839" s="33" t="str">
        <f>_xlfn.XLOOKUP(TablaSTOCKINV[[#This Row],[SKU]],TablaINVENTARIO[SKU],TablaINVENTARIO[ESTADO])</f>
        <v xml:space="preserve">NUEVO </v>
      </c>
      <c r="G839" s="33" t="str">
        <f>_xlfn.XLOOKUP(TablaSTOCKINV[[#This Row],[SKU]],TablaINVENTARIO[SKU],TablaINVENTARIO[MEDIDA])</f>
        <v>UND</v>
      </c>
      <c r="H839" s="33" t="str">
        <f>_xlfn.XLOOKUP(TablaSTOCKINV[[#This Row],[SKU]],TablaINVENTARIO[SKU],TablaINVENTARIO[SERIAL])</f>
        <v>N/A</v>
      </c>
      <c r="I839" s="34" t="str">
        <f>_xlfn.XLOOKUP(TablaSTOCKINV[[#This Row],[SKU]],TablaINVENTARIO[SKU],TablaINVENTARIO[ALMACEN])</f>
        <v>ALMACEN PRINCIPAL</v>
      </c>
      <c r="J839" s="34" t="str">
        <f>_xlfn.XLOOKUP(TablaSTOCKINV[[#This Row],[SKU]],TablaINVENTARIO[SKU],TablaINVENTARIO[UBICACION])</f>
        <v>I4-2</v>
      </c>
      <c r="K839" s="34" t="str">
        <f>_xlfn.XLOOKUP(TablaSTOCKINV[[#This Row],[SKU]],TablaINVENTARIO[SKU],TablaINVENTARIO[DPTO RESPONSABLE])</f>
        <v>OPERACIONES</v>
      </c>
      <c r="L839" s="36">
        <f>_xlfn.XLOOKUP(TablaSTOCKINV[[#This Row],[SKU]],TablaINVENTARIO[SKU],TablaINVENTARIO[RANGO MIN])</f>
        <v>0</v>
      </c>
      <c r="M839" s="34" cm="1">
        <f t="array" ref="M839">_xlfn.IFS(TablaSTOCKINV[[#This Row],[CANT. TOTAL]]&lt;=0,1,TablaSTOCKINV[[#This Row],[CANT. TOTAL]]&lt;=TablaSTOCKINV[[#This Row],[MIN]],2,TablaSTOCKINV[[#This Row],[CANT. TOTAL]]&gt;TablaSTOCKINV[[#This Row],[MIN]],3)</f>
        <v>3</v>
      </c>
      <c r="N839" s="34">
        <f>TablaSTOCKINV[[#This Row],[ENTRADAS]]-TablaSTOCKINV[[#This Row],[SALIDAS]]</f>
        <v>20</v>
      </c>
      <c r="O839" s="35">
        <f>SUMIFS(TablaENTRADA[CANT],TablaENTRADA[SKU],TablaSTOCKINV[[#This Row],[SKU]])</f>
        <v>20</v>
      </c>
      <c r="P839" s="35">
        <f>SUMIFS(TablaSALIDA[CANT],TablaSALIDA[SKU],TablaSTOCKINV[[#This Row],[SKU]])</f>
        <v>0</v>
      </c>
      <c r="Q839" s="34">
        <f>_xlfn.XLOOKUP(TablaSTOCKINV[[#This Row],[SKU]],TablaINVENTARIO[SKU],TablaINVENTARIO[PRECIO])</f>
        <v>0</v>
      </c>
      <c r="R839" s="34">
        <f>TablaSTOCKINV[[#This Row],[P.UNITARIO]]*TablaSTOCKINV[[#This Row],[CANT. TOTAL]]</f>
        <v>0</v>
      </c>
      <c r="S839" s="44">
        <f>_xlfn.XLOOKUP(TablaSTOCKINV[[#This Row],[SKU]],TablaINVENTARIO[SKU],TablaINVENTARIO[FECHA INGRESO])</f>
        <v>46023</v>
      </c>
      <c r="T839" s="44">
        <f>_xlfn.XLOOKUP(TablaSTOCKINV[[#This Row],[SKU]],TablaENTRADA[SKU],TablaENTRADA[FECHA],,0,-1)</f>
        <v>46023</v>
      </c>
      <c r="U839" s="46" t="str">
        <f>IFERROR((_xlfn.XLOOKUP(TablaSTOCKINV[[#This Row],[SKU]],TablaSALIDA[SKU],TablaSALIDA[FECHA],,0,-1))," " )</f>
        <v xml:space="preserve"> </v>
      </c>
    </row>
    <row r="840" spans="1:21" x14ac:dyDescent="0.3">
      <c r="A840" s="27" t="s">
        <v>750</v>
      </c>
      <c r="B840" s="32" t="str">
        <f>_xlfn.XLOOKUP(TablaSTOCKINV[[#This Row],[SKU]],TablaINVENTARIO[SKU],TablaINVENTARIO[DESCRIPCION])</f>
        <v>OVALO DE PD METER 4"</v>
      </c>
      <c r="C840" s="32" t="str">
        <f>_xlfn.XLOOKUP(TablaSTOCKINV[[#This Row],[SKU]],TablaINVENTARIO[SKU],TablaINVENTARIO[MARCA])</f>
        <v>N/A</v>
      </c>
      <c r="D840" s="33" t="str">
        <f>_xlfn.XLOOKUP(TablaSTOCKINV[[#This Row],[SKU]],TablaINVENTARIO[SKU],TablaINVENTARIO[CATEGORIA])</f>
        <v>FABRICACION</v>
      </c>
      <c r="E840" s="33" t="str">
        <f>_xlfn.XLOOKUP(TablaSTOCKINV[[#This Row],[SKU]],TablaINVENTARIO[SKU],TablaINVENTARIO[SUBCATEGORIA])</f>
        <v>MATERIAL MECANICO</v>
      </c>
      <c r="F840" s="33" t="str">
        <f>_xlfn.XLOOKUP(TablaSTOCKINV[[#This Row],[SKU]],TablaINVENTARIO[SKU],TablaINVENTARIO[ESTADO])</f>
        <v xml:space="preserve">NUEVO </v>
      </c>
      <c r="G840" s="33" t="str">
        <f>_xlfn.XLOOKUP(TablaSTOCKINV[[#This Row],[SKU]],TablaINVENTARIO[SKU],TablaINVENTARIO[MEDIDA])</f>
        <v>UND</v>
      </c>
      <c r="H840" s="33" t="str">
        <f>_xlfn.XLOOKUP(TablaSTOCKINV[[#This Row],[SKU]],TablaINVENTARIO[SKU],TablaINVENTARIO[SERIAL])</f>
        <v>N/A</v>
      </c>
      <c r="I840" s="34" t="str">
        <f>_xlfn.XLOOKUP(TablaSTOCKINV[[#This Row],[SKU]],TablaINVENTARIO[SKU],TablaINVENTARIO[ALMACEN])</f>
        <v>ALMACEN PRINCIPAL</v>
      </c>
      <c r="J840" s="34" t="str">
        <f>_xlfn.XLOOKUP(TablaSTOCKINV[[#This Row],[SKU]],TablaINVENTARIO[SKU],TablaINVENTARIO[UBICACION])</f>
        <v>I4-2</v>
      </c>
      <c r="K840" s="34" t="str">
        <f>_xlfn.XLOOKUP(TablaSTOCKINV[[#This Row],[SKU]],TablaINVENTARIO[SKU],TablaINVENTARIO[DPTO RESPONSABLE])</f>
        <v>OPERACIONES</v>
      </c>
      <c r="L840" s="36">
        <f>_xlfn.XLOOKUP(TablaSTOCKINV[[#This Row],[SKU]],TablaINVENTARIO[SKU],TablaINVENTARIO[RANGO MIN])</f>
        <v>0</v>
      </c>
      <c r="M840" s="34" cm="1">
        <f t="array" ref="M840">_xlfn.IFS(TablaSTOCKINV[[#This Row],[CANT. TOTAL]]&lt;=0,1,TablaSTOCKINV[[#This Row],[CANT. TOTAL]]&lt;=TablaSTOCKINV[[#This Row],[MIN]],2,TablaSTOCKINV[[#This Row],[CANT. TOTAL]]&gt;TablaSTOCKINV[[#This Row],[MIN]],3)</f>
        <v>3</v>
      </c>
      <c r="N840" s="34">
        <f>TablaSTOCKINV[[#This Row],[ENTRADAS]]-TablaSTOCKINV[[#This Row],[SALIDAS]]</f>
        <v>2</v>
      </c>
      <c r="O840" s="35">
        <f>SUMIFS(TablaENTRADA[CANT],TablaENTRADA[SKU],TablaSTOCKINV[[#This Row],[SKU]])</f>
        <v>2</v>
      </c>
      <c r="P840" s="35">
        <f>SUMIFS(TablaSALIDA[CANT],TablaSALIDA[SKU],TablaSTOCKINV[[#This Row],[SKU]])</f>
        <v>0</v>
      </c>
      <c r="Q840" s="34">
        <f>_xlfn.XLOOKUP(TablaSTOCKINV[[#This Row],[SKU]],TablaINVENTARIO[SKU],TablaINVENTARIO[PRECIO])</f>
        <v>0</v>
      </c>
      <c r="R840" s="34">
        <f>TablaSTOCKINV[[#This Row],[P.UNITARIO]]*TablaSTOCKINV[[#This Row],[CANT. TOTAL]]</f>
        <v>0</v>
      </c>
      <c r="S840" s="44">
        <f>_xlfn.XLOOKUP(TablaSTOCKINV[[#This Row],[SKU]],TablaINVENTARIO[SKU],TablaINVENTARIO[FECHA INGRESO])</f>
        <v>46023</v>
      </c>
      <c r="T840" s="44">
        <f>_xlfn.XLOOKUP(TablaSTOCKINV[[#This Row],[SKU]],TablaENTRADA[SKU],TablaENTRADA[FECHA],,0,-1)</f>
        <v>46023</v>
      </c>
      <c r="U840" s="46" t="str">
        <f>IFERROR((_xlfn.XLOOKUP(TablaSTOCKINV[[#This Row],[SKU]],TablaSALIDA[SKU],TablaSALIDA[FECHA],,0,-1))," " )</f>
        <v xml:space="preserve"> </v>
      </c>
    </row>
    <row r="841" spans="1:21" x14ac:dyDescent="0.3">
      <c r="A841" s="27" t="s">
        <v>752</v>
      </c>
      <c r="B841" s="32" t="str">
        <f>_xlfn.XLOOKUP(TablaSTOCKINV[[#This Row],[SKU]],TablaINVENTARIO[SKU],TablaINVENTARIO[DESCRIPCION])</f>
        <v>TRANSFORMADOR DE CONTROL ENCAPSULADO 750VA MODELO:  PH750MQMJ</v>
      </c>
      <c r="C841" s="32" t="str">
        <f>_xlfn.XLOOKUP(TablaSTOCKINV[[#This Row],[SKU]],TablaINVENTARIO[SKU],TablaINVENTARIO[MARCA])</f>
        <v xml:space="preserve">HAMMOND POWER SOLUCION </v>
      </c>
      <c r="D841" s="33" t="str">
        <f>_xlfn.XLOOKUP(TablaSTOCKINV[[#This Row],[SKU]],TablaINVENTARIO[SKU],TablaINVENTARIO[CATEGORIA])</f>
        <v>FABRICACION</v>
      </c>
      <c r="E841" s="33" t="str">
        <f>_xlfn.XLOOKUP(TablaSTOCKINV[[#This Row],[SKU]],TablaINVENTARIO[SKU],TablaINVENTARIO[SUBCATEGORIA])</f>
        <v>ARTEFACTO ELECTRICO</v>
      </c>
      <c r="F841" s="33" t="str">
        <f>_xlfn.XLOOKUP(TablaSTOCKINV[[#This Row],[SKU]],TablaINVENTARIO[SKU],TablaINVENTARIO[ESTADO])</f>
        <v>USADO</v>
      </c>
      <c r="G841" s="33" t="str">
        <f>_xlfn.XLOOKUP(TablaSTOCKINV[[#This Row],[SKU]],TablaINVENTARIO[SKU],TablaINVENTARIO[MEDIDA])</f>
        <v>UND</v>
      </c>
      <c r="H841" s="33" t="str">
        <f>_xlfn.XLOOKUP(TablaSTOCKINV[[#This Row],[SKU]],TablaINVENTARIO[SKU],TablaINVENTARIO[SERIAL])</f>
        <v>N/A</v>
      </c>
      <c r="I841" s="34" t="str">
        <f>_xlfn.XLOOKUP(TablaSTOCKINV[[#This Row],[SKU]],TablaINVENTARIO[SKU],TablaINVENTARIO[ALMACEN])</f>
        <v>ALMACEN PRINCIPAL</v>
      </c>
      <c r="J841" s="34" t="str">
        <f>_xlfn.XLOOKUP(TablaSTOCKINV[[#This Row],[SKU]],TablaINVENTARIO[SKU],TablaINVENTARIO[UBICACION])</f>
        <v>I3-2</v>
      </c>
      <c r="K841" s="34" t="str">
        <f>_xlfn.XLOOKUP(TablaSTOCKINV[[#This Row],[SKU]],TablaINVENTARIO[SKU],TablaINVENTARIO[DPTO RESPONSABLE])</f>
        <v>OPERACIONES</v>
      </c>
      <c r="L841" s="36">
        <f>_xlfn.XLOOKUP(TablaSTOCKINV[[#This Row],[SKU]],TablaINVENTARIO[SKU],TablaINVENTARIO[RANGO MIN])</f>
        <v>0</v>
      </c>
      <c r="M841" s="34" cm="1">
        <f t="array" ref="M841">_xlfn.IFS(TablaSTOCKINV[[#This Row],[CANT. TOTAL]]&lt;=0,1,TablaSTOCKINV[[#This Row],[CANT. TOTAL]]&lt;=TablaSTOCKINV[[#This Row],[MIN]],2,TablaSTOCKINV[[#This Row],[CANT. TOTAL]]&gt;TablaSTOCKINV[[#This Row],[MIN]],3)</f>
        <v>3</v>
      </c>
      <c r="N841" s="34">
        <f>TablaSTOCKINV[[#This Row],[ENTRADAS]]-TablaSTOCKINV[[#This Row],[SALIDAS]]</f>
        <v>6</v>
      </c>
      <c r="O841" s="35">
        <f>SUMIFS(TablaENTRADA[CANT],TablaENTRADA[SKU],TablaSTOCKINV[[#This Row],[SKU]])</f>
        <v>6</v>
      </c>
      <c r="P841" s="35">
        <f>SUMIFS(TablaSALIDA[CANT],TablaSALIDA[SKU],TablaSTOCKINV[[#This Row],[SKU]])</f>
        <v>0</v>
      </c>
      <c r="Q841" s="34">
        <f>_xlfn.XLOOKUP(TablaSTOCKINV[[#This Row],[SKU]],TablaINVENTARIO[SKU],TablaINVENTARIO[PRECIO])</f>
        <v>0</v>
      </c>
      <c r="R841" s="34">
        <f>TablaSTOCKINV[[#This Row],[P.UNITARIO]]*TablaSTOCKINV[[#This Row],[CANT. TOTAL]]</f>
        <v>0</v>
      </c>
      <c r="S841" s="44">
        <f>_xlfn.XLOOKUP(TablaSTOCKINV[[#This Row],[SKU]],TablaINVENTARIO[SKU],TablaINVENTARIO[FECHA INGRESO])</f>
        <v>46023</v>
      </c>
      <c r="T841" s="44">
        <f>_xlfn.XLOOKUP(TablaSTOCKINV[[#This Row],[SKU]],TablaENTRADA[SKU],TablaENTRADA[FECHA],,0,-1)</f>
        <v>46023</v>
      </c>
      <c r="U841" s="46" t="str">
        <f>IFERROR((_xlfn.XLOOKUP(TablaSTOCKINV[[#This Row],[SKU]],TablaSALIDA[SKU],TablaSALIDA[FECHA],,0,-1))," " )</f>
        <v xml:space="preserve"> </v>
      </c>
    </row>
    <row r="842" spans="1:21" x14ac:dyDescent="0.3">
      <c r="A842" s="27" t="s">
        <v>755</v>
      </c>
      <c r="B842" s="32" t="str">
        <f>_xlfn.XLOOKUP(TablaSTOCKINV[[#This Row],[SKU]],TablaINVENTARIO[SKU],TablaINVENTARIO[DESCRIPCION])</f>
        <v xml:space="preserve">PERNO HEXAGONAL 1/2" X 3" ACERO INOXIDABLE </v>
      </c>
      <c r="C842" s="32" t="str">
        <f>_xlfn.XLOOKUP(TablaSTOCKINV[[#This Row],[SKU]],TablaINVENTARIO[SKU],TablaINVENTARIO[MARCA])</f>
        <v>N/A</v>
      </c>
      <c r="D842" s="33" t="str">
        <f>_xlfn.XLOOKUP(TablaSTOCKINV[[#This Row],[SKU]],TablaINVENTARIO[SKU],TablaINVENTARIO[CATEGORIA])</f>
        <v>FABRICACION</v>
      </c>
      <c r="E842" s="33" t="str">
        <f>_xlfn.XLOOKUP(TablaSTOCKINV[[#This Row],[SKU]],TablaINVENTARIO[SKU],TablaINVENTARIO[SUBCATEGORIA])</f>
        <v>MATERIAL MECANICO</v>
      </c>
      <c r="F842" s="33" t="str">
        <f>_xlfn.XLOOKUP(TablaSTOCKINV[[#This Row],[SKU]],TablaINVENTARIO[SKU],TablaINVENTARIO[ESTADO])</f>
        <v xml:space="preserve">NUEVO </v>
      </c>
      <c r="G842" s="33" t="str">
        <f>_xlfn.XLOOKUP(TablaSTOCKINV[[#This Row],[SKU]],TablaINVENTARIO[SKU],TablaINVENTARIO[MEDIDA])</f>
        <v>UND</v>
      </c>
      <c r="H842" s="33" t="str">
        <f>_xlfn.XLOOKUP(TablaSTOCKINV[[#This Row],[SKU]],TablaINVENTARIO[SKU],TablaINVENTARIO[SERIAL])</f>
        <v>N/A</v>
      </c>
      <c r="I842" s="34" t="str">
        <f>_xlfn.XLOOKUP(TablaSTOCKINV[[#This Row],[SKU]],TablaINVENTARIO[SKU],TablaINVENTARIO[ALMACEN])</f>
        <v>ALMACEN PRINCIPAL</v>
      </c>
      <c r="J842" s="34" t="str">
        <f>_xlfn.XLOOKUP(TablaSTOCKINV[[#This Row],[SKU]],TablaINVENTARIO[SKU],TablaINVENTARIO[UBICACION])</f>
        <v>I3-1</v>
      </c>
      <c r="K842" s="34" t="str">
        <f>_xlfn.XLOOKUP(TablaSTOCKINV[[#This Row],[SKU]],TablaINVENTARIO[SKU],TablaINVENTARIO[DPTO RESPONSABLE])</f>
        <v>OPERACIONES</v>
      </c>
      <c r="L842" s="36">
        <f>_xlfn.XLOOKUP(TablaSTOCKINV[[#This Row],[SKU]],TablaINVENTARIO[SKU],TablaINVENTARIO[RANGO MIN])</f>
        <v>0</v>
      </c>
      <c r="M842" s="34" cm="1">
        <f t="array" ref="M842">_xlfn.IFS(TablaSTOCKINV[[#This Row],[CANT. TOTAL]]&lt;=0,1,TablaSTOCKINV[[#This Row],[CANT. TOTAL]]&lt;=TablaSTOCKINV[[#This Row],[MIN]],2,TablaSTOCKINV[[#This Row],[CANT. TOTAL]]&gt;TablaSTOCKINV[[#This Row],[MIN]],3)</f>
        <v>3</v>
      </c>
      <c r="N842" s="34">
        <f>TablaSTOCKINV[[#This Row],[ENTRADAS]]-TablaSTOCKINV[[#This Row],[SALIDAS]]</f>
        <v>41</v>
      </c>
      <c r="O842" s="35">
        <f>SUMIFS(TablaENTRADA[CANT],TablaENTRADA[SKU],TablaSTOCKINV[[#This Row],[SKU]])</f>
        <v>41</v>
      </c>
      <c r="P842" s="35">
        <f>SUMIFS(TablaSALIDA[CANT],TablaSALIDA[SKU],TablaSTOCKINV[[#This Row],[SKU]])</f>
        <v>0</v>
      </c>
      <c r="Q842" s="34">
        <f>_xlfn.XLOOKUP(TablaSTOCKINV[[#This Row],[SKU]],TablaINVENTARIO[SKU],TablaINVENTARIO[PRECIO])</f>
        <v>0</v>
      </c>
      <c r="R842" s="34">
        <f>TablaSTOCKINV[[#This Row],[P.UNITARIO]]*TablaSTOCKINV[[#This Row],[CANT. TOTAL]]</f>
        <v>0</v>
      </c>
      <c r="S842" s="44">
        <f>_xlfn.XLOOKUP(TablaSTOCKINV[[#This Row],[SKU]],TablaINVENTARIO[SKU],TablaINVENTARIO[FECHA INGRESO])</f>
        <v>46023</v>
      </c>
      <c r="T842" s="44">
        <f>_xlfn.XLOOKUP(TablaSTOCKINV[[#This Row],[SKU]],TablaENTRADA[SKU],TablaENTRADA[FECHA],,0,-1)</f>
        <v>46023</v>
      </c>
      <c r="U842" s="46" t="str">
        <f>IFERROR((_xlfn.XLOOKUP(TablaSTOCKINV[[#This Row],[SKU]],TablaSALIDA[SKU],TablaSALIDA[FECHA],,0,-1))," " )</f>
        <v xml:space="preserve"> </v>
      </c>
    </row>
    <row r="843" spans="1:21" x14ac:dyDescent="0.3">
      <c r="A843" s="27" t="s">
        <v>758</v>
      </c>
      <c r="B843" s="32" t="str">
        <f>_xlfn.XLOOKUP(TablaSTOCKINV[[#This Row],[SKU]],TablaINVENTARIO[SKU],TablaINVENTARIO[DESCRIPCION])</f>
        <v>PERNO HEXAGONAL GALVANIZADO 5/16" X 3</v>
      </c>
      <c r="C843" s="32" t="str">
        <f>_xlfn.XLOOKUP(TablaSTOCKINV[[#This Row],[SKU]],TablaINVENTARIO[SKU],TablaINVENTARIO[MARCA])</f>
        <v>N/A</v>
      </c>
      <c r="D843" s="33" t="str">
        <f>_xlfn.XLOOKUP(TablaSTOCKINV[[#This Row],[SKU]],TablaINVENTARIO[SKU],TablaINVENTARIO[CATEGORIA])</f>
        <v>FABRICACION</v>
      </c>
      <c r="E843" s="33" t="str">
        <f>_xlfn.XLOOKUP(TablaSTOCKINV[[#This Row],[SKU]],TablaINVENTARIO[SKU],TablaINVENTARIO[SUBCATEGORIA])</f>
        <v>MATERIAL MECANICO</v>
      </c>
      <c r="F843" s="33" t="str">
        <f>_xlfn.XLOOKUP(TablaSTOCKINV[[#This Row],[SKU]],TablaINVENTARIO[SKU],TablaINVENTARIO[ESTADO])</f>
        <v xml:space="preserve">NUEVO </v>
      </c>
      <c r="G843" s="33" t="str">
        <f>_xlfn.XLOOKUP(TablaSTOCKINV[[#This Row],[SKU]],TablaINVENTARIO[SKU],TablaINVENTARIO[MEDIDA])</f>
        <v>UND</v>
      </c>
      <c r="H843" s="33" t="str">
        <f>_xlfn.XLOOKUP(TablaSTOCKINV[[#This Row],[SKU]],TablaINVENTARIO[SKU],TablaINVENTARIO[SERIAL])</f>
        <v>N/A</v>
      </c>
      <c r="I843" s="34" t="str">
        <f>_xlfn.XLOOKUP(TablaSTOCKINV[[#This Row],[SKU]],TablaINVENTARIO[SKU],TablaINVENTARIO[ALMACEN])</f>
        <v>ALMACEN PRINCIPAL</v>
      </c>
      <c r="J843" s="34" t="str">
        <f>_xlfn.XLOOKUP(TablaSTOCKINV[[#This Row],[SKU]],TablaINVENTARIO[SKU],TablaINVENTARIO[UBICACION])</f>
        <v>I3-1</v>
      </c>
      <c r="K843" s="34" t="str">
        <f>_xlfn.XLOOKUP(TablaSTOCKINV[[#This Row],[SKU]],TablaINVENTARIO[SKU],TablaINVENTARIO[DPTO RESPONSABLE])</f>
        <v>OPERACIONES</v>
      </c>
      <c r="L843" s="36">
        <f>_xlfn.XLOOKUP(TablaSTOCKINV[[#This Row],[SKU]],TablaINVENTARIO[SKU],TablaINVENTARIO[RANGO MIN])</f>
        <v>0</v>
      </c>
      <c r="M843" s="34" cm="1">
        <f t="array" ref="M843">_xlfn.IFS(TablaSTOCKINV[[#This Row],[CANT. TOTAL]]&lt;=0,1,TablaSTOCKINV[[#This Row],[CANT. TOTAL]]&lt;=TablaSTOCKINV[[#This Row],[MIN]],2,TablaSTOCKINV[[#This Row],[CANT. TOTAL]]&gt;TablaSTOCKINV[[#This Row],[MIN]],3)</f>
        <v>3</v>
      </c>
      <c r="N843" s="34">
        <f>TablaSTOCKINV[[#This Row],[ENTRADAS]]-TablaSTOCKINV[[#This Row],[SALIDAS]]</f>
        <v>5</v>
      </c>
      <c r="O843" s="35">
        <f>SUMIFS(TablaENTRADA[CANT],TablaENTRADA[SKU],TablaSTOCKINV[[#This Row],[SKU]])</f>
        <v>5</v>
      </c>
      <c r="P843" s="35">
        <f>SUMIFS(TablaSALIDA[CANT],TablaSALIDA[SKU],TablaSTOCKINV[[#This Row],[SKU]])</f>
        <v>0</v>
      </c>
      <c r="Q843" s="34">
        <f>_xlfn.XLOOKUP(TablaSTOCKINV[[#This Row],[SKU]],TablaINVENTARIO[SKU],TablaINVENTARIO[PRECIO])</f>
        <v>0</v>
      </c>
      <c r="R843" s="34">
        <f>TablaSTOCKINV[[#This Row],[P.UNITARIO]]*TablaSTOCKINV[[#This Row],[CANT. TOTAL]]</f>
        <v>0</v>
      </c>
      <c r="S843" s="44">
        <f>_xlfn.XLOOKUP(TablaSTOCKINV[[#This Row],[SKU]],TablaINVENTARIO[SKU],TablaINVENTARIO[FECHA INGRESO])</f>
        <v>46023</v>
      </c>
      <c r="T843" s="44">
        <f>_xlfn.XLOOKUP(TablaSTOCKINV[[#This Row],[SKU]],TablaENTRADA[SKU],TablaENTRADA[FECHA],,0,-1)</f>
        <v>46023</v>
      </c>
      <c r="U843" s="46" t="str">
        <f>IFERROR((_xlfn.XLOOKUP(TablaSTOCKINV[[#This Row],[SKU]],TablaSALIDA[SKU],TablaSALIDA[FECHA],,0,-1))," " )</f>
        <v xml:space="preserve"> </v>
      </c>
    </row>
    <row r="844" spans="1:21" x14ac:dyDescent="0.3">
      <c r="A844" s="27" t="s">
        <v>760</v>
      </c>
      <c r="B844" s="32" t="str">
        <f>_xlfn.XLOOKUP(TablaSTOCKINV[[#This Row],[SKU]],TablaINVENTARIO[SKU],TablaINVENTARIO[DESCRIPCION])</f>
        <v>PERNO HEXAGONAL DE ACERO INOXIDABLE 3/4" X 4</v>
      </c>
      <c r="C844" s="32" t="str">
        <f>_xlfn.XLOOKUP(TablaSTOCKINV[[#This Row],[SKU]],TablaINVENTARIO[SKU],TablaINVENTARIO[MARCA])</f>
        <v>N/A</v>
      </c>
      <c r="D844" s="33" t="str">
        <f>_xlfn.XLOOKUP(TablaSTOCKINV[[#This Row],[SKU]],TablaINVENTARIO[SKU],TablaINVENTARIO[CATEGORIA])</f>
        <v>FABRICACION</v>
      </c>
      <c r="E844" s="33" t="str">
        <f>_xlfn.XLOOKUP(TablaSTOCKINV[[#This Row],[SKU]],TablaINVENTARIO[SKU],TablaINVENTARIO[SUBCATEGORIA])</f>
        <v>MATERIAL MECANICO</v>
      </c>
      <c r="F844" s="33" t="str">
        <f>_xlfn.XLOOKUP(TablaSTOCKINV[[#This Row],[SKU]],TablaINVENTARIO[SKU],TablaINVENTARIO[ESTADO])</f>
        <v xml:space="preserve">NUEVO </v>
      </c>
      <c r="G844" s="33" t="str">
        <f>_xlfn.XLOOKUP(TablaSTOCKINV[[#This Row],[SKU]],TablaINVENTARIO[SKU],TablaINVENTARIO[MEDIDA])</f>
        <v>UND</v>
      </c>
      <c r="H844" s="33" t="str">
        <f>_xlfn.XLOOKUP(TablaSTOCKINV[[#This Row],[SKU]],TablaINVENTARIO[SKU],TablaINVENTARIO[SERIAL])</f>
        <v>N/A</v>
      </c>
      <c r="I844" s="34" t="str">
        <f>_xlfn.XLOOKUP(TablaSTOCKINV[[#This Row],[SKU]],TablaINVENTARIO[SKU],TablaINVENTARIO[ALMACEN])</f>
        <v>ALMACEN PRINCIPAL</v>
      </c>
      <c r="J844" s="34" t="str">
        <f>_xlfn.XLOOKUP(TablaSTOCKINV[[#This Row],[SKU]],TablaINVENTARIO[SKU],TablaINVENTARIO[UBICACION])</f>
        <v>I3-1</v>
      </c>
      <c r="K844" s="34" t="str">
        <f>_xlfn.XLOOKUP(TablaSTOCKINV[[#This Row],[SKU]],TablaINVENTARIO[SKU],TablaINVENTARIO[DPTO RESPONSABLE])</f>
        <v>OPERACIONES</v>
      </c>
      <c r="L844" s="36">
        <f>_xlfn.XLOOKUP(TablaSTOCKINV[[#This Row],[SKU]],TablaINVENTARIO[SKU],TablaINVENTARIO[RANGO MIN])</f>
        <v>0</v>
      </c>
      <c r="M844" s="34" cm="1">
        <f t="array" ref="M844">_xlfn.IFS(TablaSTOCKINV[[#This Row],[CANT. TOTAL]]&lt;=0,1,TablaSTOCKINV[[#This Row],[CANT. TOTAL]]&lt;=TablaSTOCKINV[[#This Row],[MIN]],2,TablaSTOCKINV[[#This Row],[CANT. TOTAL]]&gt;TablaSTOCKINV[[#This Row],[MIN]],3)</f>
        <v>3</v>
      </c>
      <c r="N844" s="34">
        <f>TablaSTOCKINV[[#This Row],[ENTRADAS]]-TablaSTOCKINV[[#This Row],[SALIDAS]]</f>
        <v>29</v>
      </c>
      <c r="O844" s="35">
        <f>SUMIFS(TablaENTRADA[CANT],TablaENTRADA[SKU],TablaSTOCKINV[[#This Row],[SKU]])</f>
        <v>29</v>
      </c>
      <c r="P844" s="35">
        <f>SUMIFS(TablaSALIDA[CANT],TablaSALIDA[SKU],TablaSTOCKINV[[#This Row],[SKU]])</f>
        <v>0</v>
      </c>
      <c r="Q844" s="34">
        <f>_xlfn.XLOOKUP(TablaSTOCKINV[[#This Row],[SKU]],TablaINVENTARIO[SKU],TablaINVENTARIO[PRECIO])</f>
        <v>0</v>
      </c>
      <c r="R844" s="34">
        <f>TablaSTOCKINV[[#This Row],[P.UNITARIO]]*TablaSTOCKINV[[#This Row],[CANT. TOTAL]]</f>
        <v>0</v>
      </c>
      <c r="S844" s="44">
        <f>_xlfn.XLOOKUP(TablaSTOCKINV[[#This Row],[SKU]],TablaINVENTARIO[SKU],TablaINVENTARIO[FECHA INGRESO])</f>
        <v>46023</v>
      </c>
      <c r="T844" s="44">
        <f>_xlfn.XLOOKUP(TablaSTOCKINV[[#This Row],[SKU]],TablaENTRADA[SKU],TablaENTRADA[FECHA],,0,-1)</f>
        <v>46023</v>
      </c>
      <c r="U844" s="46" t="str">
        <f>IFERROR((_xlfn.XLOOKUP(TablaSTOCKINV[[#This Row],[SKU]],TablaSALIDA[SKU],TablaSALIDA[FECHA],,0,-1))," " )</f>
        <v xml:space="preserve"> </v>
      </c>
    </row>
    <row r="845" spans="1:21" x14ac:dyDescent="0.3">
      <c r="A845" s="27" t="s">
        <v>762</v>
      </c>
      <c r="B845" s="32" t="str">
        <f>_xlfn.XLOOKUP(TablaSTOCKINV[[#This Row],[SKU]],TablaINVENTARIO[SKU],TablaINVENTARIO[DESCRIPCION])</f>
        <v>PERNO DE ACERO INOXIDABLE CABEZA HEXAGONAL CON TUERCA 3/8 - 16 X 5/8"</v>
      </c>
      <c r="C845" s="32" t="str">
        <f>_xlfn.XLOOKUP(TablaSTOCKINV[[#This Row],[SKU]],TablaINVENTARIO[SKU],TablaINVENTARIO[MARCA])</f>
        <v>N/A</v>
      </c>
      <c r="D845" s="33" t="str">
        <f>_xlfn.XLOOKUP(TablaSTOCKINV[[#This Row],[SKU]],TablaINVENTARIO[SKU],TablaINVENTARIO[CATEGORIA])</f>
        <v>FABRICACION</v>
      </c>
      <c r="E845" s="33" t="str">
        <f>_xlfn.XLOOKUP(TablaSTOCKINV[[#This Row],[SKU]],TablaINVENTARIO[SKU],TablaINVENTARIO[SUBCATEGORIA])</f>
        <v>MATERIAL MECANICO</v>
      </c>
      <c r="F845" s="33" t="str">
        <f>_xlfn.XLOOKUP(TablaSTOCKINV[[#This Row],[SKU]],TablaINVENTARIO[SKU],TablaINVENTARIO[ESTADO])</f>
        <v xml:space="preserve">NUEVO </v>
      </c>
      <c r="G845" s="33" t="str">
        <f>_xlfn.XLOOKUP(TablaSTOCKINV[[#This Row],[SKU]],TablaINVENTARIO[SKU],TablaINVENTARIO[MEDIDA])</f>
        <v>UND</v>
      </c>
      <c r="H845" s="33" t="str">
        <f>_xlfn.XLOOKUP(TablaSTOCKINV[[#This Row],[SKU]],TablaINVENTARIO[SKU],TablaINVENTARIO[SERIAL])</f>
        <v>N/A</v>
      </c>
      <c r="I845" s="34" t="str">
        <f>_xlfn.XLOOKUP(TablaSTOCKINV[[#This Row],[SKU]],TablaINVENTARIO[SKU],TablaINVENTARIO[ALMACEN])</f>
        <v>ALMACEN PRINCIPAL</v>
      </c>
      <c r="J845" s="34" t="str">
        <f>_xlfn.XLOOKUP(TablaSTOCKINV[[#This Row],[SKU]],TablaINVENTARIO[SKU],TablaINVENTARIO[UBICACION])</f>
        <v>I3-1</v>
      </c>
      <c r="K845" s="34" t="str">
        <f>_xlfn.XLOOKUP(TablaSTOCKINV[[#This Row],[SKU]],TablaINVENTARIO[SKU],TablaINVENTARIO[DPTO RESPONSABLE])</f>
        <v>OPERACIONES</v>
      </c>
      <c r="L845" s="36">
        <f>_xlfn.XLOOKUP(TablaSTOCKINV[[#This Row],[SKU]],TablaINVENTARIO[SKU],TablaINVENTARIO[RANGO MIN])</f>
        <v>0</v>
      </c>
      <c r="M845" s="34" cm="1">
        <f t="array" ref="M845">_xlfn.IFS(TablaSTOCKINV[[#This Row],[CANT. TOTAL]]&lt;=0,1,TablaSTOCKINV[[#This Row],[CANT. TOTAL]]&lt;=TablaSTOCKINV[[#This Row],[MIN]],2,TablaSTOCKINV[[#This Row],[CANT. TOTAL]]&gt;TablaSTOCKINV[[#This Row],[MIN]],3)</f>
        <v>3</v>
      </c>
      <c r="N845" s="34">
        <f>TablaSTOCKINV[[#This Row],[ENTRADAS]]-TablaSTOCKINV[[#This Row],[SALIDAS]]</f>
        <v>8</v>
      </c>
      <c r="O845" s="35">
        <f>SUMIFS(TablaENTRADA[CANT],TablaENTRADA[SKU],TablaSTOCKINV[[#This Row],[SKU]])</f>
        <v>8</v>
      </c>
      <c r="P845" s="35">
        <f>SUMIFS(TablaSALIDA[CANT],TablaSALIDA[SKU],TablaSTOCKINV[[#This Row],[SKU]])</f>
        <v>0</v>
      </c>
      <c r="Q845" s="34">
        <f>_xlfn.XLOOKUP(TablaSTOCKINV[[#This Row],[SKU]],TablaINVENTARIO[SKU],TablaINVENTARIO[PRECIO])</f>
        <v>0</v>
      </c>
      <c r="R845" s="34">
        <f>TablaSTOCKINV[[#This Row],[P.UNITARIO]]*TablaSTOCKINV[[#This Row],[CANT. TOTAL]]</f>
        <v>0</v>
      </c>
      <c r="S845" s="44">
        <f>_xlfn.XLOOKUP(TablaSTOCKINV[[#This Row],[SKU]],TablaINVENTARIO[SKU],TablaINVENTARIO[FECHA INGRESO])</f>
        <v>46023</v>
      </c>
      <c r="T845" s="44">
        <f>_xlfn.XLOOKUP(TablaSTOCKINV[[#This Row],[SKU]],TablaENTRADA[SKU],TablaENTRADA[FECHA],,0,-1)</f>
        <v>46023</v>
      </c>
      <c r="U845" s="46" t="str">
        <f>IFERROR((_xlfn.XLOOKUP(TablaSTOCKINV[[#This Row],[SKU]],TablaSALIDA[SKU],TablaSALIDA[FECHA],,0,-1))," " )</f>
        <v xml:space="preserve"> </v>
      </c>
    </row>
    <row r="846" spans="1:21" x14ac:dyDescent="0.3">
      <c r="A846" s="27" t="s">
        <v>764</v>
      </c>
      <c r="B846" s="32" t="str">
        <f>_xlfn.XLOOKUP(TablaSTOCKINV[[#This Row],[SKU]],TablaINVENTARIO[SKU],TablaINVENTARIO[DESCRIPCION])</f>
        <v>TAPON ELECTRICO ROSCADO DE ALUMIIO 3/4"</v>
      </c>
      <c r="C846" s="32" t="str">
        <f>_xlfn.XLOOKUP(TablaSTOCKINV[[#This Row],[SKU]],TablaINVENTARIO[SKU],TablaINVENTARIO[MARCA])</f>
        <v>N/A</v>
      </c>
      <c r="D846" s="33" t="str">
        <f>_xlfn.XLOOKUP(TablaSTOCKINV[[#This Row],[SKU]],TablaINVENTARIO[SKU],TablaINVENTARIO[CATEGORIA])</f>
        <v>FABRICACION</v>
      </c>
      <c r="E846" s="33" t="str">
        <f>_xlfn.XLOOKUP(TablaSTOCKINV[[#This Row],[SKU]],TablaINVENTARIO[SKU],TablaINVENTARIO[SUBCATEGORIA])</f>
        <v>MATERIAL MECANICO</v>
      </c>
      <c r="F846" s="33" t="str">
        <f>_xlfn.XLOOKUP(TablaSTOCKINV[[#This Row],[SKU]],TablaINVENTARIO[SKU],TablaINVENTARIO[ESTADO])</f>
        <v>USADO</v>
      </c>
      <c r="G846" s="33" t="str">
        <f>_xlfn.XLOOKUP(TablaSTOCKINV[[#This Row],[SKU]],TablaINVENTARIO[SKU],TablaINVENTARIO[MEDIDA])</f>
        <v>UND</v>
      </c>
      <c r="H846" s="33" t="str">
        <f>_xlfn.XLOOKUP(TablaSTOCKINV[[#This Row],[SKU]],TablaINVENTARIO[SKU],TablaINVENTARIO[SERIAL])</f>
        <v>N/A</v>
      </c>
      <c r="I846" s="34" t="str">
        <f>_xlfn.XLOOKUP(TablaSTOCKINV[[#This Row],[SKU]],TablaINVENTARIO[SKU],TablaINVENTARIO[ALMACEN])</f>
        <v>ALMACEN PRINCIPAL</v>
      </c>
      <c r="J846" s="34" t="str">
        <f>_xlfn.XLOOKUP(TablaSTOCKINV[[#This Row],[SKU]],TablaINVENTARIO[SKU],TablaINVENTARIO[UBICACION])</f>
        <v>I3-1</v>
      </c>
      <c r="K846" s="34" t="str">
        <f>_xlfn.XLOOKUP(TablaSTOCKINV[[#This Row],[SKU]],TablaINVENTARIO[SKU],TablaINVENTARIO[DPTO RESPONSABLE])</f>
        <v>OPERACIONES</v>
      </c>
      <c r="L846" s="36">
        <f>_xlfn.XLOOKUP(TablaSTOCKINV[[#This Row],[SKU]],TablaINVENTARIO[SKU],TablaINVENTARIO[RANGO MIN])</f>
        <v>0</v>
      </c>
      <c r="M846" s="34" cm="1">
        <f t="array" ref="M846">_xlfn.IFS(TablaSTOCKINV[[#This Row],[CANT. TOTAL]]&lt;=0,1,TablaSTOCKINV[[#This Row],[CANT. TOTAL]]&lt;=TablaSTOCKINV[[#This Row],[MIN]],2,TablaSTOCKINV[[#This Row],[CANT. TOTAL]]&gt;TablaSTOCKINV[[#This Row],[MIN]],3)</f>
        <v>3</v>
      </c>
      <c r="N846" s="34">
        <f>TablaSTOCKINV[[#This Row],[ENTRADAS]]-TablaSTOCKINV[[#This Row],[SALIDAS]]</f>
        <v>24</v>
      </c>
      <c r="O846" s="35">
        <f>SUMIFS(TablaENTRADA[CANT],TablaENTRADA[SKU],TablaSTOCKINV[[#This Row],[SKU]])</f>
        <v>24</v>
      </c>
      <c r="P846" s="35">
        <f>SUMIFS(TablaSALIDA[CANT],TablaSALIDA[SKU],TablaSTOCKINV[[#This Row],[SKU]])</f>
        <v>0</v>
      </c>
      <c r="Q846" s="34">
        <f>_xlfn.XLOOKUP(TablaSTOCKINV[[#This Row],[SKU]],TablaINVENTARIO[SKU],TablaINVENTARIO[PRECIO])</f>
        <v>0</v>
      </c>
      <c r="R846" s="34">
        <f>TablaSTOCKINV[[#This Row],[P.UNITARIO]]*TablaSTOCKINV[[#This Row],[CANT. TOTAL]]</f>
        <v>0</v>
      </c>
      <c r="S846" s="44">
        <f>_xlfn.XLOOKUP(TablaSTOCKINV[[#This Row],[SKU]],TablaINVENTARIO[SKU],TablaINVENTARIO[FECHA INGRESO])</f>
        <v>46023</v>
      </c>
      <c r="T846" s="44">
        <f>_xlfn.XLOOKUP(TablaSTOCKINV[[#This Row],[SKU]],TablaENTRADA[SKU],TablaENTRADA[FECHA],,0,-1)</f>
        <v>46023</v>
      </c>
      <c r="U846" s="46" t="str">
        <f>IFERROR((_xlfn.XLOOKUP(TablaSTOCKINV[[#This Row],[SKU]],TablaSALIDA[SKU],TablaSALIDA[FECHA],,0,-1))," " )</f>
        <v xml:space="preserve"> </v>
      </c>
    </row>
    <row r="847" spans="1:21" x14ac:dyDescent="0.3">
      <c r="A847" s="27" t="s">
        <v>766</v>
      </c>
      <c r="B847" s="32" t="str">
        <f>_xlfn.XLOOKUP(TablaSTOCKINV[[#This Row],[SKU]],TablaINVENTARIO[SKU],TablaINVENTARIO[DESCRIPCION])</f>
        <v>TAPON ROCADO HEXAGONAL DE ACERO INOXIDABLE 3/4"</v>
      </c>
      <c r="C847" s="32" t="str">
        <f>_xlfn.XLOOKUP(TablaSTOCKINV[[#This Row],[SKU]],TablaINVENTARIO[SKU],TablaINVENTARIO[MARCA])</f>
        <v>N/A</v>
      </c>
      <c r="D847" s="33" t="str">
        <f>_xlfn.XLOOKUP(TablaSTOCKINV[[#This Row],[SKU]],TablaINVENTARIO[SKU],TablaINVENTARIO[CATEGORIA])</f>
        <v>FABRICACION</v>
      </c>
      <c r="E847" s="33" t="str">
        <f>_xlfn.XLOOKUP(TablaSTOCKINV[[#This Row],[SKU]],TablaINVENTARIO[SKU],TablaINVENTARIO[SUBCATEGORIA])</f>
        <v>MATERIAL MECANICO</v>
      </c>
      <c r="F847" s="33" t="str">
        <f>_xlfn.XLOOKUP(TablaSTOCKINV[[#This Row],[SKU]],TablaINVENTARIO[SKU],TablaINVENTARIO[ESTADO])</f>
        <v>USADO</v>
      </c>
      <c r="G847" s="33" t="str">
        <f>_xlfn.XLOOKUP(TablaSTOCKINV[[#This Row],[SKU]],TablaINVENTARIO[SKU],TablaINVENTARIO[MEDIDA])</f>
        <v>UND</v>
      </c>
      <c r="H847" s="33" t="str">
        <f>_xlfn.XLOOKUP(TablaSTOCKINV[[#This Row],[SKU]],TablaINVENTARIO[SKU],TablaINVENTARIO[SERIAL])</f>
        <v>N/A</v>
      </c>
      <c r="I847" s="34" t="str">
        <f>_xlfn.XLOOKUP(TablaSTOCKINV[[#This Row],[SKU]],TablaINVENTARIO[SKU],TablaINVENTARIO[ALMACEN])</f>
        <v>ALMACEN PRINCIPAL</v>
      </c>
      <c r="J847" s="34" t="str">
        <f>_xlfn.XLOOKUP(TablaSTOCKINV[[#This Row],[SKU]],TablaINVENTARIO[SKU],TablaINVENTARIO[UBICACION])</f>
        <v>I3-1</v>
      </c>
      <c r="K847" s="34" t="str">
        <f>_xlfn.XLOOKUP(TablaSTOCKINV[[#This Row],[SKU]],TablaINVENTARIO[SKU],TablaINVENTARIO[DPTO RESPONSABLE])</f>
        <v>OPERACIONES</v>
      </c>
      <c r="L847" s="36">
        <f>_xlfn.XLOOKUP(TablaSTOCKINV[[#This Row],[SKU]],TablaINVENTARIO[SKU],TablaINVENTARIO[RANGO MIN])</f>
        <v>0</v>
      </c>
      <c r="M847" s="34" cm="1">
        <f t="array" ref="M847">_xlfn.IFS(TablaSTOCKINV[[#This Row],[CANT. TOTAL]]&lt;=0,1,TablaSTOCKINV[[#This Row],[CANT. TOTAL]]&lt;=TablaSTOCKINV[[#This Row],[MIN]],2,TablaSTOCKINV[[#This Row],[CANT. TOTAL]]&gt;TablaSTOCKINV[[#This Row],[MIN]],3)</f>
        <v>3</v>
      </c>
      <c r="N847" s="34">
        <f>TablaSTOCKINV[[#This Row],[ENTRADAS]]-TablaSTOCKINV[[#This Row],[SALIDAS]]</f>
        <v>28</v>
      </c>
      <c r="O847" s="35">
        <f>SUMIFS(TablaENTRADA[CANT],TablaENTRADA[SKU],TablaSTOCKINV[[#This Row],[SKU]])</f>
        <v>28</v>
      </c>
      <c r="P847" s="35">
        <f>SUMIFS(TablaSALIDA[CANT],TablaSALIDA[SKU],TablaSTOCKINV[[#This Row],[SKU]])</f>
        <v>0</v>
      </c>
      <c r="Q847" s="34">
        <f>_xlfn.XLOOKUP(TablaSTOCKINV[[#This Row],[SKU]],TablaINVENTARIO[SKU],TablaINVENTARIO[PRECIO])</f>
        <v>0</v>
      </c>
      <c r="R847" s="34">
        <f>TablaSTOCKINV[[#This Row],[P.UNITARIO]]*TablaSTOCKINV[[#This Row],[CANT. TOTAL]]</f>
        <v>0</v>
      </c>
      <c r="S847" s="44">
        <f>_xlfn.XLOOKUP(TablaSTOCKINV[[#This Row],[SKU]],TablaINVENTARIO[SKU],TablaINVENTARIO[FECHA INGRESO])</f>
        <v>46023</v>
      </c>
      <c r="T847" s="44">
        <f>_xlfn.XLOOKUP(TablaSTOCKINV[[#This Row],[SKU]],TablaENTRADA[SKU],TablaENTRADA[FECHA],,0,-1)</f>
        <v>46023</v>
      </c>
      <c r="U847" s="46" t="str">
        <f>IFERROR((_xlfn.XLOOKUP(TablaSTOCKINV[[#This Row],[SKU]],TablaSALIDA[SKU],TablaSALIDA[FECHA],,0,-1))," " )</f>
        <v xml:space="preserve"> </v>
      </c>
    </row>
    <row r="848" spans="1:21" x14ac:dyDescent="0.3">
      <c r="A848" s="27" t="s">
        <v>768</v>
      </c>
      <c r="B848" s="32" t="str">
        <f>_xlfn.XLOOKUP(TablaSTOCKINV[[#This Row],[SKU]],TablaINVENTARIO[SKU],TablaINVENTARIO[DESCRIPCION])</f>
        <v>TAPON ROSCADO HEXAGONAL DE BRONCE 3/4"</v>
      </c>
      <c r="C848" s="32" t="str">
        <f>_xlfn.XLOOKUP(TablaSTOCKINV[[#This Row],[SKU]],TablaINVENTARIO[SKU],TablaINVENTARIO[MARCA])</f>
        <v>N/A</v>
      </c>
      <c r="D848" s="33" t="str">
        <f>_xlfn.XLOOKUP(TablaSTOCKINV[[#This Row],[SKU]],TablaINVENTARIO[SKU],TablaINVENTARIO[CATEGORIA])</f>
        <v>FABRICACION</v>
      </c>
      <c r="E848" s="33" t="str">
        <f>_xlfn.XLOOKUP(TablaSTOCKINV[[#This Row],[SKU]],TablaINVENTARIO[SKU],TablaINVENTARIO[SUBCATEGORIA])</f>
        <v>MATERIAL MECANICO</v>
      </c>
      <c r="F848" s="33" t="str">
        <f>_xlfn.XLOOKUP(TablaSTOCKINV[[#This Row],[SKU]],TablaINVENTARIO[SKU],TablaINVENTARIO[ESTADO])</f>
        <v>USADO</v>
      </c>
      <c r="G848" s="33" t="str">
        <f>_xlfn.XLOOKUP(TablaSTOCKINV[[#This Row],[SKU]],TablaINVENTARIO[SKU],TablaINVENTARIO[MEDIDA])</f>
        <v>UND</v>
      </c>
      <c r="H848" s="33" t="str">
        <f>_xlfn.XLOOKUP(TablaSTOCKINV[[#This Row],[SKU]],TablaINVENTARIO[SKU],TablaINVENTARIO[SERIAL])</f>
        <v>N/A</v>
      </c>
      <c r="I848" s="34" t="str">
        <f>_xlfn.XLOOKUP(TablaSTOCKINV[[#This Row],[SKU]],TablaINVENTARIO[SKU],TablaINVENTARIO[ALMACEN])</f>
        <v>ALMACEN PRINCIPAL</v>
      </c>
      <c r="J848" s="34" t="str">
        <f>_xlfn.XLOOKUP(TablaSTOCKINV[[#This Row],[SKU]],TablaINVENTARIO[SKU],TablaINVENTARIO[UBICACION])</f>
        <v>I3-1</v>
      </c>
      <c r="K848" s="34" t="str">
        <f>_xlfn.XLOOKUP(TablaSTOCKINV[[#This Row],[SKU]],TablaINVENTARIO[SKU],TablaINVENTARIO[DPTO RESPONSABLE])</f>
        <v>OPERACIONES</v>
      </c>
      <c r="L848" s="36">
        <f>_xlfn.XLOOKUP(TablaSTOCKINV[[#This Row],[SKU]],TablaINVENTARIO[SKU],TablaINVENTARIO[RANGO MIN])</f>
        <v>0</v>
      </c>
      <c r="M848" s="34" cm="1">
        <f t="array" ref="M848">_xlfn.IFS(TablaSTOCKINV[[#This Row],[CANT. TOTAL]]&lt;=0,1,TablaSTOCKINV[[#This Row],[CANT. TOTAL]]&lt;=TablaSTOCKINV[[#This Row],[MIN]],2,TablaSTOCKINV[[#This Row],[CANT. TOTAL]]&gt;TablaSTOCKINV[[#This Row],[MIN]],3)</f>
        <v>3</v>
      </c>
      <c r="N848" s="34">
        <f>TablaSTOCKINV[[#This Row],[ENTRADAS]]-TablaSTOCKINV[[#This Row],[SALIDAS]]</f>
        <v>2</v>
      </c>
      <c r="O848" s="35">
        <f>SUMIFS(TablaENTRADA[CANT],TablaENTRADA[SKU],TablaSTOCKINV[[#This Row],[SKU]])</f>
        <v>2</v>
      </c>
      <c r="P848" s="35">
        <f>SUMIFS(TablaSALIDA[CANT],TablaSALIDA[SKU],TablaSTOCKINV[[#This Row],[SKU]])</f>
        <v>0</v>
      </c>
      <c r="Q848" s="34">
        <f>_xlfn.XLOOKUP(TablaSTOCKINV[[#This Row],[SKU]],TablaINVENTARIO[SKU],TablaINVENTARIO[PRECIO])</f>
        <v>0</v>
      </c>
      <c r="R848" s="34">
        <f>TablaSTOCKINV[[#This Row],[P.UNITARIO]]*TablaSTOCKINV[[#This Row],[CANT. TOTAL]]</f>
        <v>0</v>
      </c>
      <c r="S848" s="44">
        <f>_xlfn.XLOOKUP(TablaSTOCKINV[[#This Row],[SKU]],TablaINVENTARIO[SKU],TablaINVENTARIO[FECHA INGRESO])</f>
        <v>46023</v>
      </c>
      <c r="T848" s="44">
        <f>_xlfn.XLOOKUP(TablaSTOCKINV[[#This Row],[SKU]],TablaENTRADA[SKU],TablaENTRADA[FECHA],,0,-1)</f>
        <v>46023</v>
      </c>
      <c r="U848" s="46" t="str">
        <f>IFERROR((_xlfn.XLOOKUP(TablaSTOCKINV[[#This Row],[SKU]],TablaSALIDA[SKU],TablaSALIDA[FECHA],,0,-1))," " )</f>
        <v xml:space="preserve"> </v>
      </c>
    </row>
    <row r="849" spans="1:21" x14ac:dyDescent="0.3">
      <c r="A849" s="27" t="s">
        <v>770</v>
      </c>
      <c r="B849" s="32" t="str">
        <f>_xlfn.XLOOKUP(TablaSTOCKINV[[#This Row],[SKU]],TablaINVENTARIO[SKU],TablaINVENTARIO[DESCRIPCION])</f>
        <v>TAPON HEXAGONAL 3/4" DE HIERRO</v>
      </c>
      <c r="C849" s="32" t="str">
        <f>_xlfn.XLOOKUP(TablaSTOCKINV[[#This Row],[SKU]],TablaINVENTARIO[SKU],TablaINVENTARIO[MARCA])</f>
        <v>N/A</v>
      </c>
      <c r="D849" s="33" t="str">
        <f>_xlfn.XLOOKUP(TablaSTOCKINV[[#This Row],[SKU]],TablaINVENTARIO[SKU],TablaINVENTARIO[CATEGORIA])</f>
        <v>FABRICACION</v>
      </c>
      <c r="E849" s="33" t="str">
        <f>_xlfn.XLOOKUP(TablaSTOCKINV[[#This Row],[SKU]],TablaINVENTARIO[SKU],TablaINVENTARIO[SUBCATEGORIA])</f>
        <v>MATERIAL MECANICO</v>
      </c>
      <c r="F849" s="33" t="str">
        <f>_xlfn.XLOOKUP(TablaSTOCKINV[[#This Row],[SKU]],TablaINVENTARIO[SKU],TablaINVENTARIO[ESTADO])</f>
        <v>USADO</v>
      </c>
      <c r="G849" s="33" t="str">
        <f>_xlfn.XLOOKUP(TablaSTOCKINV[[#This Row],[SKU]],TablaINVENTARIO[SKU],TablaINVENTARIO[MEDIDA])</f>
        <v>UND</v>
      </c>
      <c r="H849" s="33" t="str">
        <f>_xlfn.XLOOKUP(TablaSTOCKINV[[#This Row],[SKU]],TablaINVENTARIO[SKU],TablaINVENTARIO[SERIAL])</f>
        <v>N/A</v>
      </c>
      <c r="I849" s="34" t="str">
        <f>_xlfn.XLOOKUP(TablaSTOCKINV[[#This Row],[SKU]],TablaINVENTARIO[SKU],TablaINVENTARIO[ALMACEN])</f>
        <v>ALMACEN PRINCIPAL</v>
      </c>
      <c r="J849" s="34" t="str">
        <f>_xlfn.XLOOKUP(TablaSTOCKINV[[#This Row],[SKU]],TablaINVENTARIO[SKU],TablaINVENTARIO[UBICACION])</f>
        <v>I3-1</v>
      </c>
      <c r="K849" s="34" t="str">
        <f>_xlfn.XLOOKUP(TablaSTOCKINV[[#This Row],[SKU]],TablaINVENTARIO[SKU],TablaINVENTARIO[DPTO RESPONSABLE])</f>
        <v>OPERACIONES</v>
      </c>
      <c r="L849" s="36">
        <f>_xlfn.XLOOKUP(TablaSTOCKINV[[#This Row],[SKU]],TablaINVENTARIO[SKU],TablaINVENTARIO[RANGO MIN])</f>
        <v>0</v>
      </c>
      <c r="M849" s="34" cm="1">
        <f t="array" ref="M849">_xlfn.IFS(TablaSTOCKINV[[#This Row],[CANT. TOTAL]]&lt;=0,1,TablaSTOCKINV[[#This Row],[CANT. TOTAL]]&lt;=TablaSTOCKINV[[#This Row],[MIN]],2,TablaSTOCKINV[[#This Row],[CANT. TOTAL]]&gt;TablaSTOCKINV[[#This Row],[MIN]],3)</f>
        <v>3</v>
      </c>
      <c r="N849" s="34">
        <f>TablaSTOCKINV[[#This Row],[ENTRADAS]]-TablaSTOCKINV[[#This Row],[SALIDAS]]</f>
        <v>11</v>
      </c>
      <c r="O849" s="35">
        <f>SUMIFS(TablaENTRADA[CANT],TablaENTRADA[SKU],TablaSTOCKINV[[#This Row],[SKU]])</f>
        <v>11</v>
      </c>
      <c r="P849" s="35">
        <f>SUMIFS(TablaSALIDA[CANT],TablaSALIDA[SKU],TablaSTOCKINV[[#This Row],[SKU]])</f>
        <v>0</v>
      </c>
      <c r="Q849" s="34">
        <f>_xlfn.XLOOKUP(TablaSTOCKINV[[#This Row],[SKU]],TablaINVENTARIO[SKU],TablaINVENTARIO[PRECIO])</f>
        <v>0</v>
      </c>
      <c r="R849" s="34">
        <f>TablaSTOCKINV[[#This Row],[P.UNITARIO]]*TablaSTOCKINV[[#This Row],[CANT. TOTAL]]</f>
        <v>0</v>
      </c>
      <c r="S849" s="44">
        <f>_xlfn.XLOOKUP(TablaSTOCKINV[[#This Row],[SKU]],TablaINVENTARIO[SKU],TablaINVENTARIO[FECHA INGRESO])</f>
        <v>46023</v>
      </c>
      <c r="T849" s="44">
        <f>_xlfn.XLOOKUP(TablaSTOCKINV[[#This Row],[SKU]],TablaENTRADA[SKU],TablaENTRADA[FECHA],,0,-1)</f>
        <v>46023</v>
      </c>
      <c r="U849" s="46" t="str">
        <f>IFERROR((_xlfn.XLOOKUP(TablaSTOCKINV[[#This Row],[SKU]],TablaSALIDA[SKU],TablaSALIDA[FECHA],,0,-1))," " )</f>
        <v xml:space="preserve"> </v>
      </c>
    </row>
    <row r="850" spans="1:21" x14ac:dyDescent="0.3">
      <c r="A850" s="27" t="s">
        <v>772</v>
      </c>
      <c r="B850" s="32" t="str">
        <f>_xlfn.XLOOKUP(TablaSTOCKINV[[#This Row],[SKU]],TablaINVENTARIO[SKU],TablaINVENTARIO[DESCRIPCION])</f>
        <v xml:space="preserve">TAPON ROSCADO HEXAGONAL 1/2" DE HIERRO COLADO </v>
      </c>
      <c r="C850" s="32" t="str">
        <f>_xlfn.XLOOKUP(TablaSTOCKINV[[#This Row],[SKU]],TablaINVENTARIO[SKU],TablaINVENTARIO[MARCA])</f>
        <v>N/A</v>
      </c>
      <c r="D850" s="33" t="str">
        <f>_xlfn.XLOOKUP(TablaSTOCKINV[[#This Row],[SKU]],TablaINVENTARIO[SKU],TablaINVENTARIO[CATEGORIA])</f>
        <v>FABRICACION</v>
      </c>
      <c r="E850" s="33" t="str">
        <f>_xlfn.XLOOKUP(TablaSTOCKINV[[#This Row],[SKU]],TablaINVENTARIO[SKU],TablaINVENTARIO[SUBCATEGORIA])</f>
        <v>MATERIAL MECANICO</v>
      </c>
      <c r="F850" s="33" t="str">
        <f>_xlfn.XLOOKUP(TablaSTOCKINV[[#This Row],[SKU]],TablaINVENTARIO[SKU],TablaINVENTARIO[ESTADO])</f>
        <v>USADO</v>
      </c>
      <c r="G850" s="33" t="str">
        <f>_xlfn.XLOOKUP(TablaSTOCKINV[[#This Row],[SKU]],TablaINVENTARIO[SKU],TablaINVENTARIO[MEDIDA])</f>
        <v>UND</v>
      </c>
      <c r="H850" s="33" t="str">
        <f>_xlfn.XLOOKUP(TablaSTOCKINV[[#This Row],[SKU]],TablaINVENTARIO[SKU],TablaINVENTARIO[SERIAL])</f>
        <v>N/A</v>
      </c>
      <c r="I850" s="34" t="str">
        <f>_xlfn.XLOOKUP(TablaSTOCKINV[[#This Row],[SKU]],TablaINVENTARIO[SKU],TablaINVENTARIO[ALMACEN])</f>
        <v>ALMACEN PRINCIPAL</v>
      </c>
      <c r="J850" s="34" t="str">
        <f>_xlfn.XLOOKUP(TablaSTOCKINV[[#This Row],[SKU]],TablaINVENTARIO[SKU],TablaINVENTARIO[UBICACION])</f>
        <v>I3-1</v>
      </c>
      <c r="K850" s="34" t="str">
        <f>_xlfn.XLOOKUP(TablaSTOCKINV[[#This Row],[SKU]],TablaINVENTARIO[SKU],TablaINVENTARIO[DPTO RESPONSABLE])</f>
        <v>OPERACIONES</v>
      </c>
      <c r="L850" s="36">
        <f>_xlfn.XLOOKUP(TablaSTOCKINV[[#This Row],[SKU]],TablaINVENTARIO[SKU],TablaINVENTARIO[RANGO MIN])</f>
        <v>0</v>
      </c>
      <c r="M850" s="34" cm="1">
        <f t="array" ref="M850">_xlfn.IFS(TablaSTOCKINV[[#This Row],[CANT. TOTAL]]&lt;=0,1,TablaSTOCKINV[[#This Row],[CANT. TOTAL]]&lt;=TablaSTOCKINV[[#This Row],[MIN]],2,TablaSTOCKINV[[#This Row],[CANT. TOTAL]]&gt;TablaSTOCKINV[[#This Row],[MIN]],3)</f>
        <v>3</v>
      </c>
      <c r="N850" s="34">
        <f>TablaSTOCKINV[[#This Row],[ENTRADAS]]-TablaSTOCKINV[[#This Row],[SALIDAS]]</f>
        <v>24</v>
      </c>
      <c r="O850" s="35">
        <f>SUMIFS(TablaENTRADA[CANT],TablaENTRADA[SKU],TablaSTOCKINV[[#This Row],[SKU]])</f>
        <v>24</v>
      </c>
      <c r="P850" s="35">
        <f>SUMIFS(TablaSALIDA[CANT],TablaSALIDA[SKU],TablaSTOCKINV[[#This Row],[SKU]])</f>
        <v>0</v>
      </c>
      <c r="Q850" s="34">
        <f>_xlfn.XLOOKUP(TablaSTOCKINV[[#This Row],[SKU]],TablaINVENTARIO[SKU],TablaINVENTARIO[PRECIO])</f>
        <v>0</v>
      </c>
      <c r="R850" s="34">
        <f>TablaSTOCKINV[[#This Row],[P.UNITARIO]]*TablaSTOCKINV[[#This Row],[CANT. TOTAL]]</f>
        <v>0</v>
      </c>
      <c r="S850" s="44">
        <f>_xlfn.XLOOKUP(TablaSTOCKINV[[#This Row],[SKU]],TablaINVENTARIO[SKU],TablaINVENTARIO[FECHA INGRESO])</f>
        <v>46023</v>
      </c>
      <c r="T850" s="44">
        <f>_xlfn.XLOOKUP(TablaSTOCKINV[[#This Row],[SKU]],TablaENTRADA[SKU],TablaENTRADA[FECHA],,0,-1)</f>
        <v>46023</v>
      </c>
      <c r="U850" s="46" t="str">
        <f>IFERROR((_xlfn.XLOOKUP(TablaSTOCKINV[[#This Row],[SKU]],TablaSALIDA[SKU],TablaSALIDA[FECHA],,0,-1))," " )</f>
        <v xml:space="preserve"> </v>
      </c>
    </row>
    <row r="851" spans="1:21" x14ac:dyDescent="0.3">
      <c r="A851" s="27" t="s">
        <v>774</v>
      </c>
      <c r="B851" s="32" t="str">
        <f>_xlfn.XLOOKUP(TablaSTOCKINV[[#This Row],[SKU]],TablaINVENTARIO[SKU],TablaINVENTARIO[DESCRIPCION])</f>
        <v>TAPON ROSCADO HEXAGONAL 1/2" DE ACERO INOXIDABLE</v>
      </c>
      <c r="C851" s="32" t="str">
        <f>_xlfn.XLOOKUP(TablaSTOCKINV[[#This Row],[SKU]],TablaINVENTARIO[SKU],TablaINVENTARIO[MARCA])</f>
        <v>N/A</v>
      </c>
      <c r="D851" s="33" t="str">
        <f>_xlfn.XLOOKUP(TablaSTOCKINV[[#This Row],[SKU]],TablaINVENTARIO[SKU],TablaINVENTARIO[CATEGORIA])</f>
        <v>FABRICACION</v>
      </c>
      <c r="E851" s="33" t="str">
        <f>_xlfn.XLOOKUP(TablaSTOCKINV[[#This Row],[SKU]],TablaINVENTARIO[SKU],TablaINVENTARIO[SUBCATEGORIA])</f>
        <v>MATERIAL MECANICO</v>
      </c>
      <c r="F851" s="33" t="str">
        <f>_xlfn.XLOOKUP(TablaSTOCKINV[[#This Row],[SKU]],TablaINVENTARIO[SKU],TablaINVENTARIO[ESTADO])</f>
        <v>USADO</v>
      </c>
      <c r="G851" s="33" t="str">
        <f>_xlfn.XLOOKUP(TablaSTOCKINV[[#This Row],[SKU]],TablaINVENTARIO[SKU],TablaINVENTARIO[MEDIDA])</f>
        <v>UND</v>
      </c>
      <c r="H851" s="33" t="str">
        <f>_xlfn.XLOOKUP(TablaSTOCKINV[[#This Row],[SKU]],TablaINVENTARIO[SKU],TablaINVENTARIO[SERIAL])</f>
        <v>N/A</v>
      </c>
      <c r="I851" s="34" t="str">
        <f>_xlfn.XLOOKUP(TablaSTOCKINV[[#This Row],[SKU]],TablaINVENTARIO[SKU],TablaINVENTARIO[ALMACEN])</f>
        <v>ALMACEN PRINCIPAL</v>
      </c>
      <c r="J851" s="34" t="str">
        <f>_xlfn.XLOOKUP(TablaSTOCKINV[[#This Row],[SKU]],TablaINVENTARIO[SKU],TablaINVENTARIO[UBICACION])</f>
        <v>I3-1</v>
      </c>
      <c r="K851" s="34" t="str">
        <f>_xlfn.XLOOKUP(TablaSTOCKINV[[#This Row],[SKU]],TablaINVENTARIO[SKU],TablaINVENTARIO[DPTO RESPONSABLE])</f>
        <v>OPERACIONES</v>
      </c>
      <c r="L851" s="36">
        <f>_xlfn.XLOOKUP(TablaSTOCKINV[[#This Row],[SKU]],TablaINVENTARIO[SKU],TablaINVENTARIO[RANGO MIN])</f>
        <v>0</v>
      </c>
      <c r="M851" s="34" cm="1">
        <f t="array" ref="M851">_xlfn.IFS(TablaSTOCKINV[[#This Row],[CANT. TOTAL]]&lt;=0,1,TablaSTOCKINV[[#This Row],[CANT. TOTAL]]&lt;=TablaSTOCKINV[[#This Row],[MIN]],2,TablaSTOCKINV[[#This Row],[CANT. TOTAL]]&gt;TablaSTOCKINV[[#This Row],[MIN]],3)</f>
        <v>3</v>
      </c>
      <c r="N851" s="34">
        <f>TablaSTOCKINV[[#This Row],[ENTRADAS]]-TablaSTOCKINV[[#This Row],[SALIDAS]]</f>
        <v>11</v>
      </c>
      <c r="O851" s="35">
        <f>SUMIFS(TablaENTRADA[CANT],TablaENTRADA[SKU],TablaSTOCKINV[[#This Row],[SKU]])</f>
        <v>11</v>
      </c>
      <c r="P851" s="35">
        <f>SUMIFS(TablaSALIDA[CANT],TablaSALIDA[SKU],TablaSTOCKINV[[#This Row],[SKU]])</f>
        <v>0</v>
      </c>
      <c r="Q851" s="34">
        <f>_xlfn.XLOOKUP(TablaSTOCKINV[[#This Row],[SKU]],TablaINVENTARIO[SKU],TablaINVENTARIO[PRECIO])</f>
        <v>0</v>
      </c>
      <c r="R851" s="34">
        <f>TablaSTOCKINV[[#This Row],[P.UNITARIO]]*TablaSTOCKINV[[#This Row],[CANT. TOTAL]]</f>
        <v>0</v>
      </c>
      <c r="S851" s="44">
        <f>_xlfn.XLOOKUP(TablaSTOCKINV[[#This Row],[SKU]],TablaINVENTARIO[SKU],TablaINVENTARIO[FECHA INGRESO])</f>
        <v>46023</v>
      </c>
      <c r="T851" s="44">
        <f>_xlfn.XLOOKUP(TablaSTOCKINV[[#This Row],[SKU]],TablaENTRADA[SKU],TablaENTRADA[FECHA],,0,-1)</f>
        <v>46023</v>
      </c>
      <c r="U851" s="46" t="str">
        <f>IFERROR((_xlfn.XLOOKUP(TablaSTOCKINV[[#This Row],[SKU]],TablaSALIDA[SKU],TablaSALIDA[FECHA],,0,-1))," " )</f>
        <v xml:space="preserve"> </v>
      </c>
    </row>
    <row r="852" spans="1:21" x14ac:dyDescent="0.3">
      <c r="A852" s="27" t="s">
        <v>776</v>
      </c>
      <c r="B852" s="32" t="str">
        <f>_xlfn.XLOOKUP(TablaSTOCKINV[[#This Row],[SKU]],TablaINVENTARIO[SKU],TablaINVENTARIO[DESCRIPCION])</f>
        <v>TAPON ROSCADO HEXAGONAL 1/2" PARA TRANSMISORES DE ACERO INOXIDABLE</v>
      </c>
      <c r="C852" s="32" t="str">
        <f>_xlfn.XLOOKUP(TablaSTOCKINV[[#This Row],[SKU]],TablaINVENTARIO[SKU],TablaINVENTARIO[MARCA])</f>
        <v>N/A</v>
      </c>
      <c r="D852" s="33" t="str">
        <f>_xlfn.XLOOKUP(TablaSTOCKINV[[#This Row],[SKU]],TablaINVENTARIO[SKU],TablaINVENTARIO[CATEGORIA])</f>
        <v>FABRICACION</v>
      </c>
      <c r="E852" s="33" t="str">
        <f>_xlfn.XLOOKUP(TablaSTOCKINV[[#This Row],[SKU]],TablaINVENTARIO[SKU],TablaINVENTARIO[SUBCATEGORIA])</f>
        <v>MATERIAL MECANICO</v>
      </c>
      <c r="F852" s="33" t="str">
        <f>_xlfn.XLOOKUP(TablaSTOCKINV[[#This Row],[SKU]],TablaINVENTARIO[SKU],TablaINVENTARIO[ESTADO])</f>
        <v>USADO</v>
      </c>
      <c r="G852" s="33" t="str">
        <f>_xlfn.XLOOKUP(TablaSTOCKINV[[#This Row],[SKU]],TablaINVENTARIO[SKU],TablaINVENTARIO[MEDIDA])</f>
        <v>UND</v>
      </c>
      <c r="H852" s="33" t="str">
        <f>_xlfn.XLOOKUP(TablaSTOCKINV[[#This Row],[SKU]],TablaINVENTARIO[SKU],TablaINVENTARIO[SERIAL])</f>
        <v>N/A</v>
      </c>
      <c r="I852" s="34" t="str">
        <f>_xlfn.XLOOKUP(TablaSTOCKINV[[#This Row],[SKU]],TablaINVENTARIO[SKU],TablaINVENTARIO[ALMACEN])</f>
        <v>ALMACEN PRINCIPAL</v>
      </c>
      <c r="J852" s="34" t="str">
        <f>_xlfn.XLOOKUP(TablaSTOCKINV[[#This Row],[SKU]],TablaINVENTARIO[SKU],TablaINVENTARIO[UBICACION])</f>
        <v>I3-1</v>
      </c>
      <c r="K852" s="34" t="str">
        <f>_xlfn.XLOOKUP(TablaSTOCKINV[[#This Row],[SKU]],TablaINVENTARIO[SKU],TablaINVENTARIO[DPTO RESPONSABLE])</f>
        <v>OPERACIONES</v>
      </c>
      <c r="L852" s="36">
        <f>_xlfn.XLOOKUP(TablaSTOCKINV[[#This Row],[SKU]],TablaINVENTARIO[SKU],TablaINVENTARIO[RANGO MIN])</f>
        <v>0</v>
      </c>
      <c r="M852" s="34" cm="1">
        <f t="array" ref="M852">_xlfn.IFS(TablaSTOCKINV[[#This Row],[CANT. TOTAL]]&lt;=0,1,TablaSTOCKINV[[#This Row],[CANT. TOTAL]]&lt;=TablaSTOCKINV[[#This Row],[MIN]],2,TablaSTOCKINV[[#This Row],[CANT. TOTAL]]&gt;TablaSTOCKINV[[#This Row],[MIN]],3)</f>
        <v>3</v>
      </c>
      <c r="N852" s="34">
        <f>TablaSTOCKINV[[#This Row],[ENTRADAS]]-TablaSTOCKINV[[#This Row],[SALIDAS]]</f>
        <v>15</v>
      </c>
      <c r="O852" s="35">
        <f>SUMIFS(TablaENTRADA[CANT],TablaENTRADA[SKU],TablaSTOCKINV[[#This Row],[SKU]])</f>
        <v>15</v>
      </c>
      <c r="P852" s="35">
        <f>SUMIFS(TablaSALIDA[CANT],TablaSALIDA[SKU],TablaSTOCKINV[[#This Row],[SKU]])</f>
        <v>0</v>
      </c>
      <c r="Q852" s="34">
        <f>_xlfn.XLOOKUP(TablaSTOCKINV[[#This Row],[SKU]],TablaINVENTARIO[SKU],TablaINVENTARIO[PRECIO])</f>
        <v>0</v>
      </c>
      <c r="R852" s="34">
        <f>TablaSTOCKINV[[#This Row],[P.UNITARIO]]*TablaSTOCKINV[[#This Row],[CANT. TOTAL]]</f>
        <v>0</v>
      </c>
      <c r="S852" s="44">
        <f>_xlfn.XLOOKUP(TablaSTOCKINV[[#This Row],[SKU]],TablaINVENTARIO[SKU],TablaINVENTARIO[FECHA INGRESO])</f>
        <v>46023</v>
      </c>
      <c r="T852" s="44">
        <f>_xlfn.XLOOKUP(TablaSTOCKINV[[#This Row],[SKU]],TablaENTRADA[SKU],TablaENTRADA[FECHA],,0,-1)</f>
        <v>46023</v>
      </c>
      <c r="U852" s="46" t="str">
        <f>IFERROR((_xlfn.XLOOKUP(TablaSTOCKINV[[#This Row],[SKU]],TablaSALIDA[SKU],TablaSALIDA[FECHA],,0,-1))," " )</f>
        <v xml:space="preserve"> </v>
      </c>
    </row>
    <row r="853" spans="1:21" x14ac:dyDescent="0.3">
      <c r="A853" s="27" t="s">
        <v>778</v>
      </c>
      <c r="B853" s="32" t="str">
        <f>_xlfn.XLOOKUP(TablaSTOCKINV[[#This Row],[SKU]],TablaINVENTARIO[SKU],TablaINVENTARIO[DESCRIPCION])</f>
        <v>TAPON MACHO GALVANIZADO 3/4"</v>
      </c>
      <c r="C853" s="32" t="str">
        <f>_xlfn.XLOOKUP(TablaSTOCKINV[[#This Row],[SKU]],TablaINVENTARIO[SKU],TablaINVENTARIO[MARCA])</f>
        <v>N/A</v>
      </c>
      <c r="D853" s="33" t="str">
        <f>_xlfn.XLOOKUP(TablaSTOCKINV[[#This Row],[SKU]],TablaINVENTARIO[SKU],TablaINVENTARIO[CATEGORIA])</f>
        <v>FABRICACION</v>
      </c>
      <c r="E853" s="33" t="str">
        <f>_xlfn.XLOOKUP(TablaSTOCKINV[[#This Row],[SKU]],TablaINVENTARIO[SKU],TablaINVENTARIO[SUBCATEGORIA])</f>
        <v>MATERIAL MECANICO</v>
      </c>
      <c r="F853" s="33" t="str">
        <f>_xlfn.XLOOKUP(TablaSTOCKINV[[#This Row],[SKU]],TablaINVENTARIO[SKU],TablaINVENTARIO[ESTADO])</f>
        <v>USADO</v>
      </c>
      <c r="G853" s="33" t="str">
        <f>_xlfn.XLOOKUP(TablaSTOCKINV[[#This Row],[SKU]],TablaINVENTARIO[SKU],TablaINVENTARIO[MEDIDA])</f>
        <v>UND</v>
      </c>
      <c r="H853" s="33" t="str">
        <f>_xlfn.XLOOKUP(TablaSTOCKINV[[#This Row],[SKU]],TablaINVENTARIO[SKU],TablaINVENTARIO[SERIAL])</f>
        <v>N/A</v>
      </c>
      <c r="I853" s="34" t="str">
        <f>_xlfn.XLOOKUP(TablaSTOCKINV[[#This Row],[SKU]],TablaINVENTARIO[SKU],TablaINVENTARIO[ALMACEN])</f>
        <v>ALMACEN PRINCIPAL</v>
      </c>
      <c r="J853" s="34" t="str">
        <f>_xlfn.XLOOKUP(TablaSTOCKINV[[#This Row],[SKU]],TablaINVENTARIO[SKU],TablaINVENTARIO[UBICACION])</f>
        <v>I3-1</v>
      </c>
      <c r="K853" s="34" t="str">
        <f>_xlfn.XLOOKUP(TablaSTOCKINV[[#This Row],[SKU]],TablaINVENTARIO[SKU],TablaINVENTARIO[DPTO RESPONSABLE])</f>
        <v>OPERACIONES</v>
      </c>
      <c r="L853" s="36">
        <f>_xlfn.XLOOKUP(TablaSTOCKINV[[#This Row],[SKU]],TablaINVENTARIO[SKU],TablaINVENTARIO[RANGO MIN])</f>
        <v>0</v>
      </c>
      <c r="M853" s="34" cm="1">
        <f t="array" ref="M853">_xlfn.IFS(TablaSTOCKINV[[#This Row],[CANT. TOTAL]]&lt;=0,1,TablaSTOCKINV[[#This Row],[CANT. TOTAL]]&lt;=TablaSTOCKINV[[#This Row],[MIN]],2,TablaSTOCKINV[[#This Row],[CANT. TOTAL]]&gt;TablaSTOCKINV[[#This Row],[MIN]],3)</f>
        <v>3</v>
      </c>
      <c r="N853" s="34">
        <f>TablaSTOCKINV[[#This Row],[ENTRADAS]]-TablaSTOCKINV[[#This Row],[SALIDAS]]</f>
        <v>20</v>
      </c>
      <c r="O853" s="35">
        <f>SUMIFS(TablaENTRADA[CANT],TablaENTRADA[SKU],TablaSTOCKINV[[#This Row],[SKU]])</f>
        <v>20</v>
      </c>
      <c r="P853" s="35">
        <f>SUMIFS(TablaSALIDA[CANT],TablaSALIDA[SKU],TablaSTOCKINV[[#This Row],[SKU]])</f>
        <v>0</v>
      </c>
      <c r="Q853" s="34">
        <f>_xlfn.XLOOKUP(TablaSTOCKINV[[#This Row],[SKU]],TablaINVENTARIO[SKU],TablaINVENTARIO[PRECIO])</f>
        <v>0</v>
      </c>
      <c r="R853" s="34">
        <f>TablaSTOCKINV[[#This Row],[P.UNITARIO]]*TablaSTOCKINV[[#This Row],[CANT. TOTAL]]</f>
        <v>0</v>
      </c>
      <c r="S853" s="44">
        <f>_xlfn.XLOOKUP(TablaSTOCKINV[[#This Row],[SKU]],TablaINVENTARIO[SKU],TablaINVENTARIO[FECHA INGRESO])</f>
        <v>46023</v>
      </c>
      <c r="T853" s="44">
        <f>_xlfn.XLOOKUP(TablaSTOCKINV[[#This Row],[SKU]],TablaENTRADA[SKU],TablaENTRADA[FECHA],,0,-1)</f>
        <v>46023</v>
      </c>
      <c r="U853" s="46" t="str">
        <f>IFERROR((_xlfn.XLOOKUP(TablaSTOCKINV[[#This Row],[SKU]],TablaSALIDA[SKU],TablaSALIDA[FECHA],,0,-1))," " )</f>
        <v xml:space="preserve"> </v>
      </c>
    </row>
    <row r="854" spans="1:21" x14ac:dyDescent="0.3">
      <c r="A854" s="27" t="s">
        <v>780</v>
      </c>
      <c r="B854" s="32" t="str">
        <f>_xlfn.XLOOKUP(TablaSTOCKINV[[#This Row],[SKU]],TablaINVENTARIO[SKU],TablaINVENTARIO[DESCRIPCION])</f>
        <v>TAPON MACHO DE HIERRO 3/4"</v>
      </c>
      <c r="C854" s="32" t="str">
        <f>_xlfn.XLOOKUP(TablaSTOCKINV[[#This Row],[SKU]],TablaINVENTARIO[SKU],TablaINVENTARIO[MARCA])</f>
        <v>N/A</v>
      </c>
      <c r="D854" s="33" t="str">
        <f>_xlfn.XLOOKUP(TablaSTOCKINV[[#This Row],[SKU]],TablaINVENTARIO[SKU],TablaINVENTARIO[CATEGORIA])</f>
        <v>FABRICACION</v>
      </c>
      <c r="E854" s="33" t="str">
        <f>_xlfn.XLOOKUP(TablaSTOCKINV[[#This Row],[SKU]],TablaINVENTARIO[SKU],TablaINVENTARIO[SUBCATEGORIA])</f>
        <v>MATERIAL MECANICO</v>
      </c>
      <c r="F854" s="33" t="str">
        <f>_xlfn.XLOOKUP(TablaSTOCKINV[[#This Row],[SKU]],TablaINVENTARIO[SKU],TablaINVENTARIO[ESTADO])</f>
        <v>USADO</v>
      </c>
      <c r="G854" s="33" t="str">
        <f>_xlfn.XLOOKUP(TablaSTOCKINV[[#This Row],[SKU]],TablaINVENTARIO[SKU],TablaINVENTARIO[MEDIDA])</f>
        <v>UND</v>
      </c>
      <c r="H854" s="33" t="str">
        <f>_xlfn.XLOOKUP(TablaSTOCKINV[[#This Row],[SKU]],TablaINVENTARIO[SKU],TablaINVENTARIO[SERIAL])</f>
        <v>N/A</v>
      </c>
      <c r="I854" s="34" t="str">
        <f>_xlfn.XLOOKUP(TablaSTOCKINV[[#This Row],[SKU]],TablaINVENTARIO[SKU],TablaINVENTARIO[ALMACEN])</f>
        <v>ALMACEN PRINCIPAL</v>
      </c>
      <c r="J854" s="34" t="str">
        <f>_xlfn.XLOOKUP(TablaSTOCKINV[[#This Row],[SKU]],TablaINVENTARIO[SKU],TablaINVENTARIO[UBICACION])</f>
        <v>I3-1</v>
      </c>
      <c r="K854" s="34" t="str">
        <f>_xlfn.XLOOKUP(TablaSTOCKINV[[#This Row],[SKU]],TablaINVENTARIO[SKU],TablaINVENTARIO[DPTO RESPONSABLE])</f>
        <v>OPERACIONES</v>
      </c>
      <c r="L854" s="36">
        <f>_xlfn.XLOOKUP(TablaSTOCKINV[[#This Row],[SKU]],TablaINVENTARIO[SKU],TablaINVENTARIO[RANGO MIN])</f>
        <v>0</v>
      </c>
      <c r="M854" s="34" cm="1">
        <f t="array" ref="M854">_xlfn.IFS(TablaSTOCKINV[[#This Row],[CANT. TOTAL]]&lt;=0,1,TablaSTOCKINV[[#This Row],[CANT. TOTAL]]&lt;=TablaSTOCKINV[[#This Row],[MIN]],2,TablaSTOCKINV[[#This Row],[CANT. TOTAL]]&gt;TablaSTOCKINV[[#This Row],[MIN]],3)</f>
        <v>3</v>
      </c>
      <c r="N854" s="34">
        <f>TablaSTOCKINV[[#This Row],[ENTRADAS]]-TablaSTOCKINV[[#This Row],[SALIDAS]]</f>
        <v>5</v>
      </c>
      <c r="O854" s="35">
        <f>SUMIFS(TablaENTRADA[CANT],TablaENTRADA[SKU],TablaSTOCKINV[[#This Row],[SKU]])</f>
        <v>5</v>
      </c>
      <c r="P854" s="35">
        <f>SUMIFS(TablaSALIDA[CANT],TablaSALIDA[SKU],TablaSTOCKINV[[#This Row],[SKU]])</f>
        <v>0</v>
      </c>
      <c r="Q854" s="34">
        <f>_xlfn.XLOOKUP(TablaSTOCKINV[[#This Row],[SKU]],TablaINVENTARIO[SKU],TablaINVENTARIO[PRECIO])</f>
        <v>0</v>
      </c>
      <c r="R854" s="34">
        <f>TablaSTOCKINV[[#This Row],[P.UNITARIO]]*TablaSTOCKINV[[#This Row],[CANT. TOTAL]]</f>
        <v>0</v>
      </c>
      <c r="S854" s="44">
        <f>_xlfn.XLOOKUP(TablaSTOCKINV[[#This Row],[SKU]],TablaINVENTARIO[SKU],TablaINVENTARIO[FECHA INGRESO])</f>
        <v>46023</v>
      </c>
      <c r="T854" s="44">
        <f>_xlfn.XLOOKUP(TablaSTOCKINV[[#This Row],[SKU]],TablaENTRADA[SKU],TablaENTRADA[FECHA],,0,-1)</f>
        <v>46023</v>
      </c>
      <c r="U854" s="46" t="str">
        <f>IFERROR((_xlfn.XLOOKUP(TablaSTOCKINV[[#This Row],[SKU]],TablaSALIDA[SKU],TablaSALIDA[FECHA],,0,-1))," " )</f>
        <v xml:space="preserve"> </v>
      </c>
    </row>
    <row r="855" spans="1:21" x14ac:dyDescent="0.3">
      <c r="A855" s="27" t="s">
        <v>782</v>
      </c>
      <c r="B855" s="32" t="str">
        <f>_xlfn.XLOOKUP(TablaSTOCKINV[[#This Row],[SKU]],TablaINVENTARIO[SKU],TablaINVENTARIO[DESCRIPCION])</f>
        <v>TAPON DE HIERRO DE ALTA PRESION 3/4"</v>
      </c>
      <c r="C855" s="32" t="str">
        <f>_xlfn.XLOOKUP(TablaSTOCKINV[[#This Row],[SKU]],TablaINVENTARIO[SKU],TablaINVENTARIO[MARCA])</f>
        <v>N/A</v>
      </c>
      <c r="D855" s="33" t="str">
        <f>_xlfn.XLOOKUP(TablaSTOCKINV[[#This Row],[SKU]],TablaINVENTARIO[SKU],TablaINVENTARIO[CATEGORIA])</f>
        <v>FABRICACION</v>
      </c>
      <c r="E855" s="33" t="str">
        <f>_xlfn.XLOOKUP(TablaSTOCKINV[[#This Row],[SKU]],TablaINVENTARIO[SKU],TablaINVENTARIO[SUBCATEGORIA])</f>
        <v>MATERIAL MECANICO</v>
      </c>
      <c r="F855" s="33" t="str">
        <f>_xlfn.XLOOKUP(TablaSTOCKINV[[#This Row],[SKU]],TablaINVENTARIO[SKU],TablaINVENTARIO[ESTADO])</f>
        <v>USADO</v>
      </c>
      <c r="G855" s="33" t="str">
        <f>_xlfn.XLOOKUP(TablaSTOCKINV[[#This Row],[SKU]],TablaINVENTARIO[SKU],TablaINVENTARIO[MEDIDA])</f>
        <v>UND</v>
      </c>
      <c r="H855" s="33" t="str">
        <f>_xlfn.XLOOKUP(TablaSTOCKINV[[#This Row],[SKU]],TablaINVENTARIO[SKU],TablaINVENTARIO[SERIAL])</f>
        <v>N/A</v>
      </c>
      <c r="I855" s="34" t="str">
        <f>_xlfn.XLOOKUP(TablaSTOCKINV[[#This Row],[SKU]],TablaINVENTARIO[SKU],TablaINVENTARIO[ALMACEN])</f>
        <v>ALMACEN PRINCIPAL</v>
      </c>
      <c r="J855" s="34" t="str">
        <f>_xlfn.XLOOKUP(TablaSTOCKINV[[#This Row],[SKU]],TablaINVENTARIO[SKU],TablaINVENTARIO[UBICACION])</f>
        <v>I3-1</v>
      </c>
      <c r="K855" s="34" t="str">
        <f>_xlfn.XLOOKUP(TablaSTOCKINV[[#This Row],[SKU]],TablaINVENTARIO[SKU],TablaINVENTARIO[DPTO RESPONSABLE])</f>
        <v>OPERACIONES</v>
      </c>
      <c r="L855" s="36">
        <f>_xlfn.XLOOKUP(TablaSTOCKINV[[#This Row],[SKU]],TablaINVENTARIO[SKU],TablaINVENTARIO[RANGO MIN])</f>
        <v>0</v>
      </c>
      <c r="M855" s="34" cm="1">
        <f t="array" ref="M855">_xlfn.IFS(TablaSTOCKINV[[#This Row],[CANT. TOTAL]]&lt;=0,1,TablaSTOCKINV[[#This Row],[CANT. TOTAL]]&lt;=TablaSTOCKINV[[#This Row],[MIN]],2,TablaSTOCKINV[[#This Row],[CANT. TOTAL]]&gt;TablaSTOCKINV[[#This Row],[MIN]],3)</f>
        <v>3</v>
      </c>
      <c r="N855" s="34">
        <f>TablaSTOCKINV[[#This Row],[ENTRADAS]]-TablaSTOCKINV[[#This Row],[SALIDAS]]</f>
        <v>2</v>
      </c>
      <c r="O855" s="35">
        <f>SUMIFS(TablaENTRADA[CANT],TablaENTRADA[SKU],TablaSTOCKINV[[#This Row],[SKU]])</f>
        <v>2</v>
      </c>
      <c r="P855" s="35">
        <f>SUMIFS(TablaSALIDA[CANT],TablaSALIDA[SKU],TablaSTOCKINV[[#This Row],[SKU]])</f>
        <v>0</v>
      </c>
      <c r="Q855" s="34">
        <f>_xlfn.XLOOKUP(TablaSTOCKINV[[#This Row],[SKU]],TablaINVENTARIO[SKU],TablaINVENTARIO[PRECIO])</f>
        <v>0</v>
      </c>
      <c r="R855" s="34">
        <f>TablaSTOCKINV[[#This Row],[P.UNITARIO]]*TablaSTOCKINV[[#This Row],[CANT. TOTAL]]</f>
        <v>0</v>
      </c>
      <c r="S855" s="44">
        <f>_xlfn.XLOOKUP(TablaSTOCKINV[[#This Row],[SKU]],TablaINVENTARIO[SKU],TablaINVENTARIO[FECHA INGRESO])</f>
        <v>46023</v>
      </c>
      <c r="T855" s="44">
        <f>_xlfn.XLOOKUP(TablaSTOCKINV[[#This Row],[SKU]],TablaENTRADA[SKU],TablaENTRADA[FECHA],,0,-1)</f>
        <v>46023</v>
      </c>
      <c r="U855" s="46" t="str">
        <f>IFERROR((_xlfn.XLOOKUP(TablaSTOCKINV[[#This Row],[SKU]],TablaSALIDA[SKU],TablaSALIDA[FECHA],,0,-1))," " )</f>
        <v xml:space="preserve"> </v>
      </c>
    </row>
    <row r="856" spans="1:21" x14ac:dyDescent="0.3">
      <c r="A856" s="27" t="s">
        <v>784</v>
      </c>
      <c r="B856" s="32" t="str">
        <f>_xlfn.XLOOKUP(TablaSTOCKINV[[#This Row],[SKU]],TablaINVENTARIO[SKU],TablaINVENTARIO[DESCRIPCION])</f>
        <v>TAPON DE HIERRO DE ALTA PRESION 1/2"</v>
      </c>
      <c r="C856" s="32" t="str">
        <f>_xlfn.XLOOKUP(TablaSTOCKINV[[#This Row],[SKU]],TablaINVENTARIO[SKU],TablaINVENTARIO[MARCA])</f>
        <v>N/A</v>
      </c>
      <c r="D856" s="33" t="str">
        <f>_xlfn.XLOOKUP(TablaSTOCKINV[[#This Row],[SKU]],TablaINVENTARIO[SKU],TablaINVENTARIO[CATEGORIA])</f>
        <v>FABRICACION</v>
      </c>
      <c r="E856" s="33" t="str">
        <f>_xlfn.XLOOKUP(TablaSTOCKINV[[#This Row],[SKU]],TablaINVENTARIO[SKU],TablaINVENTARIO[SUBCATEGORIA])</f>
        <v>MATERIAL MECANICO</v>
      </c>
      <c r="F856" s="33" t="str">
        <f>_xlfn.XLOOKUP(TablaSTOCKINV[[#This Row],[SKU]],TablaINVENTARIO[SKU],TablaINVENTARIO[ESTADO])</f>
        <v>USADO</v>
      </c>
      <c r="G856" s="33" t="str">
        <f>_xlfn.XLOOKUP(TablaSTOCKINV[[#This Row],[SKU]],TablaINVENTARIO[SKU],TablaINVENTARIO[MEDIDA])</f>
        <v>UND</v>
      </c>
      <c r="H856" s="33" t="str">
        <f>_xlfn.XLOOKUP(TablaSTOCKINV[[#This Row],[SKU]],TablaINVENTARIO[SKU],TablaINVENTARIO[SERIAL])</f>
        <v>N/A</v>
      </c>
      <c r="I856" s="34" t="str">
        <f>_xlfn.XLOOKUP(TablaSTOCKINV[[#This Row],[SKU]],TablaINVENTARIO[SKU],TablaINVENTARIO[ALMACEN])</f>
        <v>ALMACEN PRINCIPAL</v>
      </c>
      <c r="J856" s="34" t="str">
        <f>_xlfn.XLOOKUP(TablaSTOCKINV[[#This Row],[SKU]],TablaINVENTARIO[SKU],TablaINVENTARIO[UBICACION])</f>
        <v>I3-1</v>
      </c>
      <c r="K856" s="34" t="str">
        <f>_xlfn.XLOOKUP(TablaSTOCKINV[[#This Row],[SKU]],TablaINVENTARIO[SKU],TablaINVENTARIO[DPTO RESPONSABLE])</f>
        <v>OPERACIONES</v>
      </c>
      <c r="L856" s="36">
        <f>_xlfn.XLOOKUP(TablaSTOCKINV[[#This Row],[SKU]],TablaINVENTARIO[SKU],TablaINVENTARIO[RANGO MIN])</f>
        <v>0</v>
      </c>
      <c r="M856" s="34" cm="1">
        <f t="array" ref="M856">_xlfn.IFS(TablaSTOCKINV[[#This Row],[CANT. TOTAL]]&lt;=0,1,TablaSTOCKINV[[#This Row],[CANT. TOTAL]]&lt;=TablaSTOCKINV[[#This Row],[MIN]],2,TablaSTOCKINV[[#This Row],[CANT. TOTAL]]&gt;TablaSTOCKINV[[#This Row],[MIN]],3)</f>
        <v>3</v>
      </c>
      <c r="N856" s="34">
        <f>TablaSTOCKINV[[#This Row],[ENTRADAS]]-TablaSTOCKINV[[#This Row],[SALIDAS]]</f>
        <v>2</v>
      </c>
      <c r="O856" s="35">
        <f>SUMIFS(TablaENTRADA[CANT],TablaENTRADA[SKU],TablaSTOCKINV[[#This Row],[SKU]])</f>
        <v>2</v>
      </c>
      <c r="P856" s="35">
        <f>SUMIFS(TablaSALIDA[CANT],TablaSALIDA[SKU],TablaSTOCKINV[[#This Row],[SKU]])</f>
        <v>0</v>
      </c>
      <c r="Q856" s="34">
        <f>_xlfn.XLOOKUP(TablaSTOCKINV[[#This Row],[SKU]],TablaINVENTARIO[SKU],TablaINVENTARIO[PRECIO])</f>
        <v>0</v>
      </c>
      <c r="R856" s="34">
        <f>TablaSTOCKINV[[#This Row],[P.UNITARIO]]*TablaSTOCKINV[[#This Row],[CANT. TOTAL]]</f>
        <v>0</v>
      </c>
      <c r="S856" s="44">
        <f>_xlfn.XLOOKUP(TablaSTOCKINV[[#This Row],[SKU]],TablaINVENTARIO[SKU],TablaINVENTARIO[FECHA INGRESO])</f>
        <v>46023</v>
      </c>
      <c r="T856" s="44">
        <f>_xlfn.XLOOKUP(TablaSTOCKINV[[#This Row],[SKU]],TablaENTRADA[SKU],TablaENTRADA[FECHA],,0,-1)</f>
        <v>46023</v>
      </c>
      <c r="U856" s="46" t="str">
        <f>IFERROR((_xlfn.XLOOKUP(TablaSTOCKINV[[#This Row],[SKU]],TablaSALIDA[SKU],TablaSALIDA[FECHA],,0,-1))," " )</f>
        <v xml:space="preserve"> </v>
      </c>
    </row>
    <row r="857" spans="1:21" x14ac:dyDescent="0.3">
      <c r="A857" s="27" t="s">
        <v>786</v>
      </c>
      <c r="B857" s="32" t="str">
        <f>_xlfn.XLOOKUP(TablaSTOCKINV[[#This Row],[SKU]],TablaINVENTARIO[SKU],TablaINVENTARIO[DESCRIPCION])</f>
        <v>TAPON DE ACERO INOXIDABLE 1/2"</v>
      </c>
      <c r="C857" s="32" t="str">
        <f>_xlfn.XLOOKUP(TablaSTOCKINV[[#This Row],[SKU]],TablaINVENTARIO[SKU],TablaINVENTARIO[MARCA])</f>
        <v>N/A</v>
      </c>
      <c r="D857" s="33" t="str">
        <f>_xlfn.XLOOKUP(TablaSTOCKINV[[#This Row],[SKU]],TablaINVENTARIO[SKU],TablaINVENTARIO[CATEGORIA])</f>
        <v>FABRICACION</v>
      </c>
      <c r="E857" s="33" t="str">
        <f>_xlfn.XLOOKUP(TablaSTOCKINV[[#This Row],[SKU]],TablaINVENTARIO[SKU],TablaINVENTARIO[SUBCATEGORIA])</f>
        <v>MATERIAL MECANICO</v>
      </c>
      <c r="F857" s="33" t="str">
        <f>_xlfn.XLOOKUP(TablaSTOCKINV[[#This Row],[SKU]],TablaINVENTARIO[SKU],TablaINVENTARIO[ESTADO])</f>
        <v>USADO</v>
      </c>
      <c r="G857" s="33" t="str">
        <f>_xlfn.XLOOKUP(TablaSTOCKINV[[#This Row],[SKU]],TablaINVENTARIO[SKU],TablaINVENTARIO[MEDIDA])</f>
        <v>UND</v>
      </c>
      <c r="H857" s="33" t="str">
        <f>_xlfn.XLOOKUP(TablaSTOCKINV[[#This Row],[SKU]],TablaINVENTARIO[SKU],TablaINVENTARIO[SERIAL])</f>
        <v>N/A</v>
      </c>
      <c r="I857" s="34" t="str">
        <f>_xlfn.XLOOKUP(TablaSTOCKINV[[#This Row],[SKU]],TablaINVENTARIO[SKU],TablaINVENTARIO[ALMACEN])</f>
        <v>ALMACEN PRINCIPAL</v>
      </c>
      <c r="J857" s="34" t="str">
        <f>_xlfn.XLOOKUP(TablaSTOCKINV[[#This Row],[SKU]],TablaINVENTARIO[SKU],TablaINVENTARIO[UBICACION])</f>
        <v>I3-1</v>
      </c>
      <c r="K857" s="34" t="str">
        <f>_xlfn.XLOOKUP(TablaSTOCKINV[[#This Row],[SKU]],TablaINVENTARIO[SKU],TablaINVENTARIO[DPTO RESPONSABLE])</f>
        <v>OPERACIONES</v>
      </c>
      <c r="L857" s="36">
        <f>_xlfn.XLOOKUP(TablaSTOCKINV[[#This Row],[SKU]],TablaINVENTARIO[SKU],TablaINVENTARIO[RANGO MIN])</f>
        <v>0</v>
      </c>
      <c r="M857" s="34" cm="1">
        <f t="array" ref="M857">_xlfn.IFS(TablaSTOCKINV[[#This Row],[CANT. TOTAL]]&lt;=0,1,TablaSTOCKINV[[#This Row],[CANT. TOTAL]]&lt;=TablaSTOCKINV[[#This Row],[MIN]],2,TablaSTOCKINV[[#This Row],[CANT. TOTAL]]&gt;TablaSTOCKINV[[#This Row],[MIN]],3)</f>
        <v>3</v>
      </c>
      <c r="N857" s="34">
        <f>TablaSTOCKINV[[#This Row],[ENTRADAS]]-TablaSTOCKINV[[#This Row],[SALIDAS]]</f>
        <v>1</v>
      </c>
      <c r="O857" s="35">
        <f>SUMIFS(TablaENTRADA[CANT],TablaENTRADA[SKU],TablaSTOCKINV[[#This Row],[SKU]])</f>
        <v>1</v>
      </c>
      <c r="P857" s="35">
        <f>SUMIFS(TablaSALIDA[CANT],TablaSALIDA[SKU],TablaSTOCKINV[[#This Row],[SKU]])</f>
        <v>0</v>
      </c>
      <c r="Q857" s="34">
        <f>_xlfn.XLOOKUP(TablaSTOCKINV[[#This Row],[SKU]],TablaINVENTARIO[SKU],TablaINVENTARIO[PRECIO])</f>
        <v>0</v>
      </c>
      <c r="R857" s="34">
        <f>TablaSTOCKINV[[#This Row],[P.UNITARIO]]*TablaSTOCKINV[[#This Row],[CANT. TOTAL]]</f>
        <v>0</v>
      </c>
      <c r="S857" s="44">
        <f>_xlfn.XLOOKUP(TablaSTOCKINV[[#This Row],[SKU]],TablaINVENTARIO[SKU],TablaINVENTARIO[FECHA INGRESO])</f>
        <v>46023</v>
      </c>
      <c r="T857" s="44">
        <f>_xlfn.XLOOKUP(TablaSTOCKINV[[#This Row],[SKU]],TablaENTRADA[SKU],TablaENTRADA[FECHA],,0,-1)</f>
        <v>46023</v>
      </c>
      <c r="U857" s="46" t="str">
        <f>IFERROR((_xlfn.XLOOKUP(TablaSTOCKINV[[#This Row],[SKU]],TablaSALIDA[SKU],TablaSALIDA[FECHA],,0,-1))," " )</f>
        <v xml:space="preserve"> </v>
      </c>
    </row>
    <row r="858" spans="1:21" x14ac:dyDescent="0.3">
      <c r="A858" s="27" t="s">
        <v>788</v>
      </c>
      <c r="B858" s="32" t="str">
        <f>_xlfn.XLOOKUP(TablaSTOCKINV[[#This Row],[SKU]],TablaINVENTARIO[SKU],TablaINVENTARIO[DESCRIPCION])</f>
        <v>TAPON MACHO DE HIERRO 1"</v>
      </c>
      <c r="C858" s="32" t="str">
        <f>_xlfn.XLOOKUP(TablaSTOCKINV[[#This Row],[SKU]],TablaINVENTARIO[SKU],TablaINVENTARIO[MARCA])</f>
        <v>N/A</v>
      </c>
      <c r="D858" s="33" t="str">
        <f>_xlfn.XLOOKUP(TablaSTOCKINV[[#This Row],[SKU]],TablaINVENTARIO[SKU],TablaINVENTARIO[CATEGORIA])</f>
        <v>FABRICACION</v>
      </c>
      <c r="E858" s="33" t="str">
        <f>_xlfn.XLOOKUP(TablaSTOCKINV[[#This Row],[SKU]],TablaINVENTARIO[SKU],TablaINVENTARIO[SUBCATEGORIA])</f>
        <v>MATERIAL MECANICO</v>
      </c>
      <c r="F858" s="33" t="str">
        <f>_xlfn.XLOOKUP(TablaSTOCKINV[[#This Row],[SKU]],TablaINVENTARIO[SKU],TablaINVENTARIO[ESTADO])</f>
        <v>USADO</v>
      </c>
      <c r="G858" s="33" t="str">
        <f>_xlfn.XLOOKUP(TablaSTOCKINV[[#This Row],[SKU]],TablaINVENTARIO[SKU],TablaINVENTARIO[MEDIDA])</f>
        <v>UND</v>
      </c>
      <c r="H858" s="33" t="str">
        <f>_xlfn.XLOOKUP(TablaSTOCKINV[[#This Row],[SKU]],TablaINVENTARIO[SKU],TablaINVENTARIO[SERIAL])</f>
        <v>N/A</v>
      </c>
      <c r="I858" s="34" t="str">
        <f>_xlfn.XLOOKUP(TablaSTOCKINV[[#This Row],[SKU]],TablaINVENTARIO[SKU],TablaINVENTARIO[ALMACEN])</f>
        <v>ALMACEN PRINCIPAL</v>
      </c>
      <c r="J858" s="34" t="str">
        <f>_xlfn.XLOOKUP(TablaSTOCKINV[[#This Row],[SKU]],TablaINVENTARIO[SKU],TablaINVENTARIO[UBICACION])</f>
        <v>I3-1</v>
      </c>
      <c r="K858" s="34" t="str">
        <f>_xlfn.XLOOKUP(TablaSTOCKINV[[#This Row],[SKU]],TablaINVENTARIO[SKU],TablaINVENTARIO[DPTO RESPONSABLE])</f>
        <v>OPERACIONES</v>
      </c>
      <c r="L858" s="36">
        <f>_xlfn.XLOOKUP(TablaSTOCKINV[[#This Row],[SKU]],TablaINVENTARIO[SKU],TablaINVENTARIO[RANGO MIN])</f>
        <v>0</v>
      </c>
      <c r="M858" s="34" cm="1">
        <f t="array" ref="M858">_xlfn.IFS(TablaSTOCKINV[[#This Row],[CANT. TOTAL]]&lt;=0,1,TablaSTOCKINV[[#This Row],[CANT. TOTAL]]&lt;=TablaSTOCKINV[[#This Row],[MIN]],2,TablaSTOCKINV[[#This Row],[CANT. TOTAL]]&gt;TablaSTOCKINV[[#This Row],[MIN]],3)</f>
        <v>3</v>
      </c>
      <c r="N858" s="34">
        <f>TablaSTOCKINV[[#This Row],[ENTRADAS]]-TablaSTOCKINV[[#This Row],[SALIDAS]]</f>
        <v>1</v>
      </c>
      <c r="O858" s="35">
        <f>SUMIFS(TablaENTRADA[CANT],TablaENTRADA[SKU],TablaSTOCKINV[[#This Row],[SKU]])</f>
        <v>1</v>
      </c>
      <c r="P858" s="35">
        <f>SUMIFS(TablaSALIDA[CANT],TablaSALIDA[SKU],TablaSTOCKINV[[#This Row],[SKU]])</f>
        <v>0</v>
      </c>
      <c r="Q858" s="34">
        <f>_xlfn.XLOOKUP(TablaSTOCKINV[[#This Row],[SKU]],TablaINVENTARIO[SKU],TablaINVENTARIO[PRECIO])</f>
        <v>0</v>
      </c>
      <c r="R858" s="34">
        <f>TablaSTOCKINV[[#This Row],[P.UNITARIO]]*TablaSTOCKINV[[#This Row],[CANT. TOTAL]]</f>
        <v>0</v>
      </c>
      <c r="S858" s="44">
        <f>_xlfn.XLOOKUP(TablaSTOCKINV[[#This Row],[SKU]],TablaINVENTARIO[SKU],TablaINVENTARIO[FECHA INGRESO])</f>
        <v>46023</v>
      </c>
      <c r="T858" s="44">
        <f>_xlfn.XLOOKUP(TablaSTOCKINV[[#This Row],[SKU]],TablaENTRADA[SKU],TablaENTRADA[FECHA],,0,-1)</f>
        <v>46023</v>
      </c>
      <c r="U858" s="46" t="str">
        <f>IFERROR((_xlfn.XLOOKUP(TablaSTOCKINV[[#This Row],[SKU]],TablaSALIDA[SKU],TablaSALIDA[FECHA],,0,-1))," " )</f>
        <v xml:space="preserve"> </v>
      </c>
    </row>
    <row r="859" spans="1:21" x14ac:dyDescent="0.3">
      <c r="A859" s="27" t="s">
        <v>790</v>
      </c>
      <c r="B859" s="32" t="str">
        <f>_xlfn.XLOOKUP(TablaSTOCKINV[[#This Row],[SKU]],TablaINVENTARIO[SKU],TablaINVENTARIO[DESCRIPCION])</f>
        <v>TAPON DE HIERRO 1 1/2"</v>
      </c>
      <c r="C859" s="32" t="str">
        <f>_xlfn.XLOOKUP(TablaSTOCKINV[[#This Row],[SKU]],TablaINVENTARIO[SKU],TablaINVENTARIO[MARCA])</f>
        <v>N/A</v>
      </c>
      <c r="D859" s="33" t="str">
        <f>_xlfn.XLOOKUP(TablaSTOCKINV[[#This Row],[SKU]],TablaINVENTARIO[SKU],TablaINVENTARIO[CATEGORIA])</f>
        <v>FABRICACION</v>
      </c>
      <c r="E859" s="33" t="str">
        <f>_xlfn.XLOOKUP(TablaSTOCKINV[[#This Row],[SKU]],TablaINVENTARIO[SKU],TablaINVENTARIO[SUBCATEGORIA])</f>
        <v>MATERIAL MECANICO</v>
      </c>
      <c r="F859" s="33" t="str">
        <f>_xlfn.XLOOKUP(TablaSTOCKINV[[#This Row],[SKU]],TablaINVENTARIO[SKU],TablaINVENTARIO[ESTADO])</f>
        <v>USADO</v>
      </c>
      <c r="G859" s="33" t="str">
        <f>_xlfn.XLOOKUP(TablaSTOCKINV[[#This Row],[SKU]],TablaINVENTARIO[SKU],TablaINVENTARIO[MEDIDA])</f>
        <v>UND</v>
      </c>
      <c r="H859" s="33" t="str">
        <f>_xlfn.XLOOKUP(TablaSTOCKINV[[#This Row],[SKU]],TablaINVENTARIO[SKU],TablaINVENTARIO[SERIAL])</f>
        <v>N/A</v>
      </c>
      <c r="I859" s="34" t="str">
        <f>_xlfn.XLOOKUP(TablaSTOCKINV[[#This Row],[SKU]],TablaINVENTARIO[SKU],TablaINVENTARIO[ALMACEN])</f>
        <v>ALMACEN PRINCIPAL</v>
      </c>
      <c r="J859" s="34" t="str">
        <f>_xlfn.XLOOKUP(TablaSTOCKINV[[#This Row],[SKU]],TablaINVENTARIO[SKU],TablaINVENTARIO[UBICACION])</f>
        <v>I3-1</v>
      </c>
      <c r="K859" s="34" t="str">
        <f>_xlfn.XLOOKUP(TablaSTOCKINV[[#This Row],[SKU]],TablaINVENTARIO[SKU],TablaINVENTARIO[DPTO RESPONSABLE])</f>
        <v>OPERACIONES</v>
      </c>
      <c r="L859" s="36">
        <f>_xlfn.XLOOKUP(TablaSTOCKINV[[#This Row],[SKU]],TablaINVENTARIO[SKU],TablaINVENTARIO[RANGO MIN])</f>
        <v>0</v>
      </c>
      <c r="M859" s="34" cm="1">
        <f t="array" ref="M859">_xlfn.IFS(TablaSTOCKINV[[#This Row],[CANT. TOTAL]]&lt;=0,1,TablaSTOCKINV[[#This Row],[CANT. TOTAL]]&lt;=TablaSTOCKINV[[#This Row],[MIN]],2,TablaSTOCKINV[[#This Row],[CANT. TOTAL]]&gt;TablaSTOCKINV[[#This Row],[MIN]],3)</f>
        <v>3</v>
      </c>
      <c r="N859" s="34">
        <f>TablaSTOCKINV[[#This Row],[ENTRADAS]]-TablaSTOCKINV[[#This Row],[SALIDAS]]</f>
        <v>1</v>
      </c>
      <c r="O859" s="35">
        <f>SUMIFS(TablaENTRADA[CANT],TablaENTRADA[SKU],TablaSTOCKINV[[#This Row],[SKU]])</f>
        <v>1</v>
      </c>
      <c r="P859" s="35">
        <f>SUMIFS(TablaSALIDA[CANT],TablaSALIDA[SKU],TablaSTOCKINV[[#This Row],[SKU]])</f>
        <v>0</v>
      </c>
      <c r="Q859" s="34">
        <f>_xlfn.XLOOKUP(TablaSTOCKINV[[#This Row],[SKU]],TablaINVENTARIO[SKU],TablaINVENTARIO[PRECIO])</f>
        <v>0</v>
      </c>
      <c r="R859" s="34">
        <f>TablaSTOCKINV[[#This Row],[P.UNITARIO]]*TablaSTOCKINV[[#This Row],[CANT. TOTAL]]</f>
        <v>0</v>
      </c>
      <c r="S859" s="44">
        <f>_xlfn.XLOOKUP(TablaSTOCKINV[[#This Row],[SKU]],TablaINVENTARIO[SKU],TablaINVENTARIO[FECHA INGRESO])</f>
        <v>46023</v>
      </c>
      <c r="T859" s="44">
        <f>_xlfn.XLOOKUP(TablaSTOCKINV[[#This Row],[SKU]],TablaENTRADA[SKU],TablaENTRADA[FECHA],,0,-1)</f>
        <v>46023</v>
      </c>
      <c r="U859" s="46" t="str">
        <f>IFERROR((_xlfn.XLOOKUP(TablaSTOCKINV[[#This Row],[SKU]],TablaSALIDA[SKU],TablaSALIDA[FECHA],,0,-1))," " )</f>
        <v xml:space="preserve"> </v>
      </c>
    </row>
    <row r="860" spans="1:21" x14ac:dyDescent="0.3">
      <c r="A860" s="27" t="s">
        <v>792</v>
      </c>
      <c r="B860" s="32" t="str">
        <f>_xlfn.XLOOKUP(TablaSTOCKINV[[#This Row],[SKU]],TablaINVENTARIO[SKU],TablaINVENTARIO[DESCRIPCION])</f>
        <v>TAPON DE ALUMINIO 1/2"</v>
      </c>
      <c r="C860" s="32" t="str">
        <f>_xlfn.XLOOKUP(TablaSTOCKINV[[#This Row],[SKU]],TablaINVENTARIO[SKU],TablaINVENTARIO[MARCA])</f>
        <v>N/A</v>
      </c>
      <c r="D860" s="33" t="str">
        <f>_xlfn.XLOOKUP(TablaSTOCKINV[[#This Row],[SKU]],TablaINVENTARIO[SKU],TablaINVENTARIO[CATEGORIA])</f>
        <v>FABRICACION</v>
      </c>
      <c r="E860" s="33" t="str">
        <f>_xlfn.XLOOKUP(TablaSTOCKINV[[#This Row],[SKU]],TablaINVENTARIO[SKU],TablaINVENTARIO[SUBCATEGORIA])</f>
        <v>MATERIAL MECANICO</v>
      </c>
      <c r="F860" s="33" t="str">
        <f>_xlfn.XLOOKUP(TablaSTOCKINV[[#This Row],[SKU]],TablaINVENTARIO[SKU],TablaINVENTARIO[ESTADO])</f>
        <v>USADO</v>
      </c>
      <c r="G860" s="33" t="str">
        <f>_xlfn.XLOOKUP(TablaSTOCKINV[[#This Row],[SKU]],TablaINVENTARIO[SKU],TablaINVENTARIO[MEDIDA])</f>
        <v>UND</v>
      </c>
      <c r="H860" s="33" t="str">
        <f>_xlfn.XLOOKUP(TablaSTOCKINV[[#This Row],[SKU]],TablaINVENTARIO[SKU],TablaINVENTARIO[SERIAL])</f>
        <v>N/A</v>
      </c>
      <c r="I860" s="34" t="str">
        <f>_xlfn.XLOOKUP(TablaSTOCKINV[[#This Row],[SKU]],TablaINVENTARIO[SKU],TablaINVENTARIO[ALMACEN])</f>
        <v>ALMACEN PRINCIPAL</v>
      </c>
      <c r="J860" s="34" t="str">
        <f>_xlfn.XLOOKUP(TablaSTOCKINV[[#This Row],[SKU]],TablaINVENTARIO[SKU],TablaINVENTARIO[UBICACION])</f>
        <v>I3-1</v>
      </c>
      <c r="K860" s="34" t="str">
        <f>_xlfn.XLOOKUP(TablaSTOCKINV[[#This Row],[SKU]],TablaINVENTARIO[SKU],TablaINVENTARIO[DPTO RESPONSABLE])</f>
        <v>OPERACIONES</v>
      </c>
      <c r="L860" s="36">
        <f>_xlfn.XLOOKUP(TablaSTOCKINV[[#This Row],[SKU]],TablaINVENTARIO[SKU],TablaINVENTARIO[RANGO MIN])</f>
        <v>0</v>
      </c>
      <c r="M860" s="34" cm="1">
        <f t="array" ref="M860">_xlfn.IFS(TablaSTOCKINV[[#This Row],[CANT. TOTAL]]&lt;=0,1,TablaSTOCKINV[[#This Row],[CANT. TOTAL]]&lt;=TablaSTOCKINV[[#This Row],[MIN]],2,TablaSTOCKINV[[#This Row],[CANT. TOTAL]]&gt;TablaSTOCKINV[[#This Row],[MIN]],3)</f>
        <v>3</v>
      </c>
      <c r="N860" s="34">
        <f>TablaSTOCKINV[[#This Row],[ENTRADAS]]-TablaSTOCKINV[[#This Row],[SALIDAS]]</f>
        <v>2</v>
      </c>
      <c r="O860" s="35">
        <f>SUMIFS(TablaENTRADA[CANT],TablaENTRADA[SKU],TablaSTOCKINV[[#This Row],[SKU]])</f>
        <v>2</v>
      </c>
      <c r="P860" s="35">
        <f>SUMIFS(TablaSALIDA[CANT],TablaSALIDA[SKU],TablaSTOCKINV[[#This Row],[SKU]])</f>
        <v>0</v>
      </c>
      <c r="Q860" s="34">
        <f>_xlfn.XLOOKUP(TablaSTOCKINV[[#This Row],[SKU]],TablaINVENTARIO[SKU],TablaINVENTARIO[PRECIO])</f>
        <v>0</v>
      </c>
      <c r="R860" s="34">
        <f>TablaSTOCKINV[[#This Row],[P.UNITARIO]]*TablaSTOCKINV[[#This Row],[CANT. TOTAL]]</f>
        <v>0</v>
      </c>
      <c r="S860" s="44">
        <f>_xlfn.XLOOKUP(TablaSTOCKINV[[#This Row],[SKU]],TablaINVENTARIO[SKU],TablaINVENTARIO[FECHA INGRESO])</f>
        <v>46023</v>
      </c>
      <c r="T860" s="44">
        <f>_xlfn.XLOOKUP(TablaSTOCKINV[[#This Row],[SKU]],TablaENTRADA[SKU],TablaENTRADA[FECHA],,0,-1)</f>
        <v>46023</v>
      </c>
      <c r="U860" s="46" t="str">
        <f>IFERROR((_xlfn.XLOOKUP(TablaSTOCKINV[[#This Row],[SKU]],TablaSALIDA[SKU],TablaSALIDA[FECHA],,0,-1))," " )</f>
        <v xml:space="preserve"> </v>
      </c>
    </row>
    <row r="861" spans="1:21" x14ac:dyDescent="0.3">
      <c r="A861" s="27" t="s">
        <v>794</v>
      </c>
      <c r="B861" s="32" t="str">
        <f>_xlfn.XLOOKUP(TablaSTOCKINV[[#This Row],[SKU]],TablaINVENTARIO[SKU],TablaINVENTARIO[DESCRIPCION])</f>
        <v>TAPON DE ACERO INOXIDABLE DE ALTA PRESION 1/5"</v>
      </c>
      <c r="C861" s="32" t="str">
        <f>_xlfn.XLOOKUP(TablaSTOCKINV[[#This Row],[SKU]],TablaINVENTARIO[SKU],TablaINVENTARIO[MARCA])</f>
        <v>N/A</v>
      </c>
      <c r="D861" s="33" t="str">
        <f>_xlfn.XLOOKUP(TablaSTOCKINV[[#This Row],[SKU]],TablaINVENTARIO[SKU],TablaINVENTARIO[CATEGORIA])</f>
        <v>FABRICACION</v>
      </c>
      <c r="E861" s="33" t="str">
        <f>_xlfn.XLOOKUP(TablaSTOCKINV[[#This Row],[SKU]],TablaINVENTARIO[SKU],TablaINVENTARIO[SUBCATEGORIA])</f>
        <v>MATERIAL MECANICO</v>
      </c>
      <c r="F861" s="33" t="str">
        <f>_xlfn.XLOOKUP(TablaSTOCKINV[[#This Row],[SKU]],TablaINVENTARIO[SKU],TablaINVENTARIO[ESTADO])</f>
        <v>USADO</v>
      </c>
      <c r="G861" s="33" t="str">
        <f>_xlfn.XLOOKUP(TablaSTOCKINV[[#This Row],[SKU]],TablaINVENTARIO[SKU],TablaINVENTARIO[MEDIDA])</f>
        <v>UND</v>
      </c>
      <c r="H861" s="33" t="str">
        <f>_xlfn.XLOOKUP(TablaSTOCKINV[[#This Row],[SKU]],TablaINVENTARIO[SKU],TablaINVENTARIO[SERIAL])</f>
        <v>N/A</v>
      </c>
      <c r="I861" s="34" t="str">
        <f>_xlfn.XLOOKUP(TablaSTOCKINV[[#This Row],[SKU]],TablaINVENTARIO[SKU],TablaINVENTARIO[ALMACEN])</f>
        <v>ALMACEN PRINCIPAL</v>
      </c>
      <c r="J861" s="34" t="str">
        <f>_xlfn.XLOOKUP(TablaSTOCKINV[[#This Row],[SKU]],TablaINVENTARIO[SKU],TablaINVENTARIO[UBICACION])</f>
        <v>I3-1</v>
      </c>
      <c r="K861" s="34" t="str">
        <f>_xlfn.XLOOKUP(TablaSTOCKINV[[#This Row],[SKU]],TablaINVENTARIO[SKU],TablaINVENTARIO[DPTO RESPONSABLE])</f>
        <v>OPERACIONES</v>
      </c>
      <c r="L861" s="36">
        <f>_xlfn.XLOOKUP(TablaSTOCKINV[[#This Row],[SKU]],TablaINVENTARIO[SKU],TablaINVENTARIO[RANGO MIN])</f>
        <v>0</v>
      </c>
      <c r="M861" s="34" cm="1">
        <f t="array" ref="M861">_xlfn.IFS(TablaSTOCKINV[[#This Row],[CANT. TOTAL]]&lt;=0,1,TablaSTOCKINV[[#This Row],[CANT. TOTAL]]&lt;=TablaSTOCKINV[[#This Row],[MIN]],2,TablaSTOCKINV[[#This Row],[CANT. TOTAL]]&gt;TablaSTOCKINV[[#This Row],[MIN]],3)</f>
        <v>3</v>
      </c>
      <c r="N861" s="34">
        <f>TablaSTOCKINV[[#This Row],[ENTRADAS]]-TablaSTOCKINV[[#This Row],[SALIDAS]]</f>
        <v>5</v>
      </c>
      <c r="O861" s="35">
        <f>SUMIFS(TablaENTRADA[CANT],TablaENTRADA[SKU],TablaSTOCKINV[[#This Row],[SKU]])</f>
        <v>5</v>
      </c>
      <c r="P861" s="35">
        <f>SUMIFS(TablaSALIDA[CANT],TablaSALIDA[SKU],TablaSTOCKINV[[#This Row],[SKU]])</f>
        <v>0</v>
      </c>
      <c r="Q861" s="34">
        <f>_xlfn.XLOOKUP(TablaSTOCKINV[[#This Row],[SKU]],TablaINVENTARIO[SKU],TablaINVENTARIO[PRECIO])</f>
        <v>0</v>
      </c>
      <c r="R861" s="34">
        <f>TablaSTOCKINV[[#This Row],[P.UNITARIO]]*TablaSTOCKINV[[#This Row],[CANT. TOTAL]]</f>
        <v>0</v>
      </c>
      <c r="S861" s="44">
        <f>_xlfn.XLOOKUP(TablaSTOCKINV[[#This Row],[SKU]],TablaINVENTARIO[SKU],TablaINVENTARIO[FECHA INGRESO])</f>
        <v>46023</v>
      </c>
      <c r="T861" s="44">
        <f>_xlfn.XLOOKUP(TablaSTOCKINV[[#This Row],[SKU]],TablaENTRADA[SKU],TablaENTRADA[FECHA],,0,-1)</f>
        <v>46023</v>
      </c>
      <c r="U861" s="46" t="str">
        <f>IFERROR((_xlfn.XLOOKUP(TablaSTOCKINV[[#This Row],[SKU]],TablaSALIDA[SKU],TablaSALIDA[FECHA],,0,-1))," " )</f>
        <v xml:space="preserve"> </v>
      </c>
    </row>
    <row r="862" spans="1:21" x14ac:dyDescent="0.3">
      <c r="A862" s="27" t="s">
        <v>796</v>
      </c>
      <c r="B862" s="32" t="str">
        <f>_xlfn.XLOOKUP(TablaSTOCKINV[[#This Row],[SKU]],TablaINVENTARIO[SKU],TablaINVENTARIO[DESCRIPCION])</f>
        <v>TAPON PARA TRANSMISOR 1/5"</v>
      </c>
      <c r="C862" s="32" t="str">
        <f>_xlfn.XLOOKUP(TablaSTOCKINV[[#This Row],[SKU]],TablaINVENTARIO[SKU],TablaINVENTARIO[MARCA])</f>
        <v>N/A</v>
      </c>
      <c r="D862" s="33" t="str">
        <f>_xlfn.XLOOKUP(TablaSTOCKINV[[#This Row],[SKU]],TablaINVENTARIO[SKU],TablaINVENTARIO[CATEGORIA])</f>
        <v>FABRICACION</v>
      </c>
      <c r="E862" s="33" t="str">
        <f>_xlfn.XLOOKUP(TablaSTOCKINV[[#This Row],[SKU]],TablaINVENTARIO[SKU],TablaINVENTARIO[SUBCATEGORIA])</f>
        <v>MATERIAL MECANICO</v>
      </c>
      <c r="F862" s="33" t="str">
        <f>_xlfn.XLOOKUP(TablaSTOCKINV[[#This Row],[SKU]],TablaINVENTARIO[SKU],TablaINVENTARIO[ESTADO])</f>
        <v>USADO</v>
      </c>
      <c r="G862" s="33" t="str">
        <f>_xlfn.XLOOKUP(TablaSTOCKINV[[#This Row],[SKU]],TablaINVENTARIO[SKU],TablaINVENTARIO[MEDIDA])</f>
        <v>UND</v>
      </c>
      <c r="H862" s="33" t="str">
        <f>_xlfn.XLOOKUP(TablaSTOCKINV[[#This Row],[SKU]],TablaINVENTARIO[SKU],TablaINVENTARIO[SERIAL])</f>
        <v>N/A</v>
      </c>
      <c r="I862" s="34" t="str">
        <f>_xlfn.XLOOKUP(TablaSTOCKINV[[#This Row],[SKU]],TablaINVENTARIO[SKU],TablaINVENTARIO[ALMACEN])</f>
        <v>ALMACEN PRINCIPAL</v>
      </c>
      <c r="J862" s="34" t="str">
        <f>_xlfn.XLOOKUP(TablaSTOCKINV[[#This Row],[SKU]],TablaINVENTARIO[SKU],TablaINVENTARIO[UBICACION])</f>
        <v>I3-1</v>
      </c>
      <c r="K862" s="34" t="str">
        <f>_xlfn.XLOOKUP(TablaSTOCKINV[[#This Row],[SKU]],TablaINVENTARIO[SKU],TablaINVENTARIO[DPTO RESPONSABLE])</f>
        <v>OPERACIONES</v>
      </c>
      <c r="L862" s="36">
        <f>_xlfn.XLOOKUP(TablaSTOCKINV[[#This Row],[SKU]],TablaINVENTARIO[SKU],TablaINVENTARIO[RANGO MIN])</f>
        <v>0</v>
      </c>
      <c r="M862" s="34" cm="1">
        <f t="array" ref="M862">_xlfn.IFS(TablaSTOCKINV[[#This Row],[CANT. TOTAL]]&lt;=0,1,TablaSTOCKINV[[#This Row],[CANT. TOTAL]]&lt;=TablaSTOCKINV[[#This Row],[MIN]],2,TablaSTOCKINV[[#This Row],[CANT. TOTAL]]&gt;TablaSTOCKINV[[#This Row],[MIN]],3)</f>
        <v>3</v>
      </c>
      <c r="N862" s="34">
        <f>TablaSTOCKINV[[#This Row],[ENTRADAS]]-TablaSTOCKINV[[#This Row],[SALIDAS]]</f>
        <v>2</v>
      </c>
      <c r="O862" s="35">
        <f>SUMIFS(TablaENTRADA[CANT],TablaENTRADA[SKU],TablaSTOCKINV[[#This Row],[SKU]])</f>
        <v>2</v>
      </c>
      <c r="P862" s="35">
        <f>SUMIFS(TablaSALIDA[CANT],TablaSALIDA[SKU],TablaSTOCKINV[[#This Row],[SKU]])</f>
        <v>0</v>
      </c>
      <c r="Q862" s="34">
        <f>_xlfn.XLOOKUP(TablaSTOCKINV[[#This Row],[SKU]],TablaINVENTARIO[SKU],TablaINVENTARIO[PRECIO])</f>
        <v>0</v>
      </c>
      <c r="R862" s="34">
        <f>TablaSTOCKINV[[#This Row],[P.UNITARIO]]*TablaSTOCKINV[[#This Row],[CANT. TOTAL]]</f>
        <v>0</v>
      </c>
      <c r="S862" s="44">
        <f>_xlfn.XLOOKUP(TablaSTOCKINV[[#This Row],[SKU]],TablaINVENTARIO[SKU],TablaINVENTARIO[FECHA INGRESO])</f>
        <v>46023</v>
      </c>
      <c r="T862" s="44">
        <f>_xlfn.XLOOKUP(TablaSTOCKINV[[#This Row],[SKU]],TablaENTRADA[SKU],TablaENTRADA[FECHA],,0,-1)</f>
        <v>46023</v>
      </c>
      <c r="U862" s="46" t="str">
        <f>IFERROR((_xlfn.XLOOKUP(TablaSTOCKINV[[#This Row],[SKU]],TablaSALIDA[SKU],TablaSALIDA[FECHA],,0,-1))," " )</f>
        <v xml:space="preserve"> </v>
      </c>
    </row>
    <row r="863" spans="1:21" x14ac:dyDescent="0.3">
      <c r="A863" s="27" t="s">
        <v>798</v>
      </c>
      <c r="B863" s="32" t="str">
        <f>_xlfn.XLOOKUP(TablaSTOCKINV[[#This Row],[SKU]],TablaINVENTARIO[SKU],TablaINVENTARIO[DESCRIPCION])</f>
        <v>COLLAR DE EJE TIPO ABRAZADERA</v>
      </c>
      <c r="C863" s="32" t="str">
        <f>_xlfn.XLOOKUP(TablaSTOCKINV[[#This Row],[SKU]],TablaINVENTARIO[SKU],TablaINVENTARIO[MARCA])</f>
        <v>N/A</v>
      </c>
      <c r="D863" s="33" t="str">
        <f>_xlfn.XLOOKUP(TablaSTOCKINV[[#This Row],[SKU]],TablaINVENTARIO[SKU],TablaINVENTARIO[CATEGORIA])</f>
        <v>FABRICACION</v>
      </c>
      <c r="E863" s="33" t="str">
        <f>_xlfn.XLOOKUP(TablaSTOCKINV[[#This Row],[SKU]],TablaINVENTARIO[SKU],TablaINVENTARIO[SUBCATEGORIA])</f>
        <v>MATERIAL MECANICO</v>
      </c>
      <c r="F863" s="33" t="str">
        <f>_xlfn.XLOOKUP(TablaSTOCKINV[[#This Row],[SKU]],TablaINVENTARIO[SKU],TablaINVENTARIO[ESTADO])</f>
        <v>USADO</v>
      </c>
      <c r="G863" s="33" t="str">
        <f>_xlfn.XLOOKUP(TablaSTOCKINV[[#This Row],[SKU]],TablaINVENTARIO[SKU],TablaINVENTARIO[MEDIDA])</f>
        <v>UND</v>
      </c>
      <c r="H863" s="33" t="str">
        <f>_xlfn.XLOOKUP(TablaSTOCKINV[[#This Row],[SKU]],TablaINVENTARIO[SKU],TablaINVENTARIO[SERIAL])</f>
        <v>N/A</v>
      </c>
      <c r="I863" s="34" t="str">
        <f>_xlfn.XLOOKUP(TablaSTOCKINV[[#This Row],[SKU]],TablaINVENTARIO[SKU],TablaINVENTARIO[ALMACEN])</f>
        <v>ALMACEN PRINCIPAL</v>
      </c>
      <c r="J863" s="34" t="str">
        <f>_xlfn.XLOOKUP(TablaSTOCKINV[[#This Row],[SKU]],TablaINVENTARIO[SKU],TablaINVENTARIO[UBICACION])</f>
        <v>I3-1</v>
      </c>
      <c r="K863" s="34" t="str">
        <f>_xlfn.XLOOKUP(TablaSTOCKINV[[#This Row],[SKU]],TablaINVENTARIO[SKU],TablaINVENTARIO[DPTO RESPONSABLE])</f>
        <v>OPERACIONES</v>
      </c>
      <c r="L863" s="36">
        <f>_xlfn.XLOOKUP(TablaSTOCKINV[[#This Row],[SKU]],TablaINVENTARIO[SKU],TablaINVENTARIO[RANGO MIN])</f>
        <v>0</v>
      </c>
      <c r="M863" s="34" cm="1">
        <f t="array" ref="M863">_xlfn.IFS(TablaSTOCKINV[[#This Row],[CANT. TOTAL]]&lt;=0,1,TablaSTOCKINV[[#This Row],[CANT. TOTAL]]&lt;=TablaSTOCKINV[[#This Row],[MIN]],2,TablaSTOCKINV[[#This Row],[CANT. TOTAL]]&gt;TablaSTOCKINV[[#This Row],[MIN]],3)</f>
        <v>3</v>
      </c>
      <c r="N863" s="34">
        <f>TablaSTOCKINV[[#This Row],[ENTRADAS]]-TablaSTOCKINV[[#This Row],[SALIDAS]]</f>
        <v>8</v>
      </c>
      <c r="O863" s="35">
        <f>SUMIFS(TablaENTRADA[CANT],TablaENTRADA[SKU],TablaSTOCKINV[[#This Row],[SKU]])</f>
        <v>8</v>
      </c>
      <c r="P863" s="35">
        <f>SUMIFS(TablaSALIDA[CANT],TablaSALIDA[SKU],TablaSTOCKINV[[#This Row],[SKU]])</f>
        <v>0</v>
      </c>
      <c r="Q863" s="34">
        <f>_xlfn.XLOOKUP(TablaSTOCKINV[[#This Row],[SKU]],TablaINVENTARIO[SKU],TablaINVENTARIO[PRECIO])</f>
        <v>0</v>
      </c>
      <c r="R863" s="34">
        <f>TablaSTOCKINV[[#This Row],[P.UNITARIO]]*TablaSTOCKINV[[#This Row],[CANT. TOTAL]]</f>
        <v>0</v>
      </c>
      <c r="S863" s="44">
        <f>_xlfn.XLOOKUP(TablaSTOCKINV[[#This Row],[SKU]],TablaINVENTARIO[SKU],TablaINVENTARIO[FECHA INGRESO])</f>
        <v>46023</v>
      </c>
      <c r="T863" s="44">
        <f>_xlfn.XLOOKUP(TablaSTOCKINV[[#This Row],[SKU]],TablaENTRADA[SKU],TablaENTRADA[FECHA],,0,-1)</f>
        <v>46023</v>
      </c>
      <c r="U863" s="46" t="str">
        <f>IFERROR((_xlfn.XLOOKUP(TablaSTOCKINV[[#This Row],[SKU]],TablaSALIDA[SKU],TablaSALIDA[FECHA],,0,-1))," " )</f>
        <v xml:space="preserve"> </v>
      </c>
    </row>
    <row r="864" spans="1:21" x14ac:dyDescent="0.3">
      <c r="A864" s="27" t="s">
        <v>800</v>
      </c>
      <c r="B864" s="32" t="str">
        <f>_xlfn.XLOOKUP(TablaSTOCKINV[[#This Row],[SKU]],TablaINVENTARIO[SKU],TablaINVENTARIO[DESCRIPCION])</f>
        <v xml:space="preserve">TUERCA HEXAGONAL DE PRESION DE ACERO </v>
      </c>
      <c r="C864" s="32" t="str">
        <f>_xlfn.XLOOKUP(TablaSTOCKINV[[#This Row],[SKU]],TablaINVENTARIO[SKU],TablaINVENTARIO[MARCA])</f>
        <v>N/A</v>
      </c>
      <c r="D864" s="33" t="str">
        <f>_xlfn.XLOOKUP(TablaSTOCKINV[[#This Row],[SKU]],TablaINVENTARIO[SKU],TablaINVENTARIO[CATEGORIA])</f>
        <v>FABRICACION</v>
      </c>
      <c r="E864" s="33" t="str">
        <f>_xlfn.XLOOKUP(TablaSTOCKINV[[#This Row],[SKU]],TablaINVENTARIO[SKU],TablaINVENTARIO[SUBCATEGORIA])</f>
        <v>MATERIAL MECANICO</v>
      </c>
      <c r="F864" s="33" t="str">
        <f>_xlfn.XLOOKUP(TablaSTOCKINV[[#This Row],[SKU]],TablaINVENTARIO[SKU],TablaINVENTARIO[ESTADO])</f>
        <v>USADO</v>
      </c>
      <c r="G864" s="33" t="str">
        <f>_xlfn.XLOOKUP(TablaSTOCKINV[[#This Row],[SKU]],TablaINVENTARIO[SKU],TablaINVENTARIO[MEDIDA])</f>
        <v>UND</v>
      </c>
      <c r="H864" s="33" t="str">
        <f>_xlfn.XLOOKUP(TablaSTOCKINV[[#This Row],[SKU]],TablaINVENTARIO[SKU],TablaINVENTARIO[SERIAL])</f>
        <v>N/A</v>
      </c>
      <c r="I864" s="34" t="str">
        <f>_xlfn.XLOOKUP(TablaSTOCKINV[[#This Row],[SKU]],TablaINVENTARIO[SKU],TablaINVENTARIO[ALMACEN])</f>
        <v>ALMACEN PRINCIPAL</v>
      </c>
      <c r="J864" s="34" t="str">
        <f>_xlfn.XLOOKUP(TablaSTOCKINV[[#This Row],[SKU]],TablaINVENTARIO[SKU],TablaINVENTARIO[UBICACION])</f>
        <v>I3-1</v>
      </c>
      <c r="K864" s="34" t="str">
        <f>_xlfn.XLOOKUP(TablaSTOCKINV[[#This Row],[SKU]],TablaINVENTARIO[SKU],TablaINVENTARIO[DPTO RESPONSABLE])</f>
        <v>OPERACIONES</v>
      </c>
      <c r="L864" s="36">
        <f>_xlfn.XLOOKUP(TablaSTOCKINV[[#This Row],[SKU]],TablaINVENTARIO[SKU],TablaINVENTARIO[RANGO MIN])</f>
        <v>0</v>
      </c>
      <c r="M864" s="34" cm="1">
        <f t="array" ref="M864">_xlfn.IFS(TablaSTOCKINV[[#This Row],[CANT. TOTAL]]&lt;=0,1,TablaSTOCKINV[[#This Row],[CANT. TOTAL]]&lt;=TablaSTOCKINV[[#This Row],[MIN]],2,TablaSTOCKINV[[#This Row],[CANT. TOTAL]]&gt;TablaSTOCKINV[[#This Row],[MIN]],3)</f>
        <v>3</v>
      </c>
      <c r="N864" s="34">
        <f>TablaSTOCKINV[[#This Row],[ENTRADAS]]-TablaSTOCKINV[[#This Row],[SALIDAS]]</f>
        <v>4</v>
      </c>
      <c r="O864" s="35">
        <f>SUMIFS(TablaENTRADA[CANT],TablaENTRADA[SKU],TablaSTOCKINV[[#This Row],[SKU]])</f>
        <v>4</v>
      </c>
      <c r="P864" s="35">
        <f>SUMIFS(TablaSALIDA[CANT],TablaSALIDA[SKU],TablaSTOCKINV[[#This Row],[SKU]])</f>
        <v>0</v>
      </c>
      <c r="Q864" s="34">
        <f>_xlfn.XLOOKUP(TablaSTOCKINV[[#This Row],[SKU]],TablaINVENTARIO[SKU],TablaINVENTARIO[PRECIO])</f>
        <v>0</v>
      </c>
      <c r="R864" s="34">
        <f>TablaSTOCKINV[[#This Row],[P.UNITARIO]]*TablaSTOCKINV[[#This Row],[CANT. TOTAL]]</f>
        <v>0</v>
      </c>
      <c r="S864" s="44">
        <f>_xlfn.XLOOKUP(TablaSTOCKINV[[#This Row],[SKU]],TablaINVENTARIO[SKU],TablaINVENTARIO[FECHA INGRESO])</f>
        <v>46023</v>
      </c>
      <c r="T864" s="44">
        <f>_xlfn.XLOOKUP(TablaSTOCKINV[[#This Row],[SKU]],TablaENTRADA[SKU],TablaENTRADA[FECHA],,0,-1)</f>
        <v>46023</v>
      </c>
      <c r="U864" s="46" t="str">
        <f>IFERROR((_xlfn.XLOOKUP(TablaSTOCKINV[[#This Row],[SKU]],TablaSALIDA[SKU],TablaSALIDA[FECHA],,0,-1))," " )</f>
        <v xml:space="preserve"> </v>
      </c>
    </row>
    <row r="865" spans="1:21" x14ac:dyDescent="0.3">
      <c r="A865" s="27" t="s">
        <v>802</v>
      </c>
      <c r="B865" s="32" t="str">
        <f>_xlfn.XLOOKUP(TablaSTOCKINV[[#This Row],[SKU]],TablaINVENTARIO[SKU],TablaINVENTARIO[DESCRIPCION])</f>
        <v>TUERCA DE SEGRIDAD HEGAGONAL DE ACERO INOXIDABLE 3/16"</v>
      </c>
      <c r="C865" s="32" t="str">
        <f>_xlfn.XLOOKUP(TablaSTOCKINV[[#This Row],[SKU]],TablaINVENTARIO[SKU],TablaINVENTARIO[MARCA])</f>
        <v>N/A</v>
      </c>
      <c r="D865" s="33" t="str">
        <f>_xlfn.XLOOKUP(TablaSTOCKINV[[#This Row],[SKU]],TablaINVENTARIO[SKU],TablaINVENTARIO[CATEGORIA])</f>
        <v>FABRICACION</v>
      </c>
      <c r="E865" s="33" t="str">
        <f>_xlfn.XLOOKUP(TablaSTOCKINV[[#This Row],[SKU]],TablaINVENTARIO[SKU],TablaINVENTARIO[SUBCATEGORIA])</f>
        <v>MATERIAL MECANICO</v>
      </c>
      <c r="F865" s="33" t="str">
        <f>_xlfn.XLOOKUP(TablaSTOCKINV[[#This Row],[SKU]],TablaINVENTARIO[SKU],TablaINVENTARIO[ESTADO])</f>
        <v>USADO</v>
      </c>
      <c r="G865" s="33" t="str">
        <f>_xlfn.XLOOKUP(TablaSTOCKINV[[#This Row],[SKU]],TablaINVENTARIO[SKU],TablaINVENTARIO[MEDIDA])</f>
        <v>UND</v>
      </c>
      <c r="H865" s="33" t="str">
        <f>_xlfn.XLOOKUP(TablaSTOCKINV[[#This Row],[SKU]],TablaINVENTARIO[SKU],TablaINVENTARIO[SERIAL])</f>
        <v>N/A</v>
      </c>
      <c r="I865" s="34" t="str">
        <f>_xlfn.XLOOKUP(TablaSTOCKINV[[#This Row],[SKU]],TablaINVENTARIO[SKU],TablaINVENTARIO[ALMACEN])</f>
        <v>ALMACEN PRINCIPAL</v>
      </c>
      <c r="J865" s="34" t="str">
        <f>_xlfn.XLOOKUP(TablaSTOCKINV[[#This Row],[SKU]],TablaINVENTARIO[SKU],TablaINVENTARIO[UBICACION])</f>
        <v>I3-1</v>
      </c>
      <c r="K865" s="34" t="str">
        <f>_xlfn.XLOOKUP(TablaSTOCKINV[[#This Row],[SKU]],TablaINVENTARIO[SKU],TablaINVENTARIO[DPTO RESPONSABLE])</f>
        <v>OPERACIONES</v>
      </c>
      <c r="L865" s="36">
        <f>_xlfn.XLOOKUP(TablaSTOCKINV[[#This Row],[SKU]],TablaINVENTARIO[SKU],TablaINVENTARIO[RANGO MIN])</f>
        <v>0</v>
      </c>
      <c r="M865" s="34" cm="1">
        <f t="array" ref="M865">_xlfn.IFS(TablaSTOCKINV[[#This Row],[CANT. TOTAL]]&lt;=0,1,TablaSTOCKINV[[#This Row],[CANT. TOTAL]]&lt;=TablaSTOCKINV[[#This Row],[MIN]],2,TablaSTOCKINV[[#This Row],[CANT. TOTAL]]&gt;TablaSTOCKINV[[#This Row],[MIN]],3)</f>
        <v>3</v>
      </c>
      <c r="N865" s="34">
        <f>TablaSTOCKINV[[#This Row],[ENTRADAS]]-TablaSTOCKINV[[#This Row],[SALIDAS]]</f>
        <v>2</v>
      </c>
      <c r="O865" s="35">
        <f>SUMIFS(TablaENTRADA[CANT],TablaENTRADA[SKU],TablaSTOCKINV[[#This Row],[SKU]])</f>
        <v>2</v>
      </c>
      <c r="P865" s="35">
        <f>SUMIFS(TablaSALIDA[CANT],TablaSALIDA[SKU],TablaSTOCKINV[[#This Row],[SKU]])</f>
        <v>0</v>
      </c>
      <c r="Q865" s="34">
        <f>_xlfn.XLOOKUP(TablaSTOCKINV[[#This Row],[SKU]],TablaINVENTARIO[SKU],TablaINVENTARIO[PRECIO])</f>
        <v>0</v>
      </c>
      <c r="R865" s="34">
        <f>TablaSTOCKINV[[#This Row],[P.UNITARIO]]*TablaSTOCKINV[[#This Row],[CANT. TOTAL]]</f>
        <v>0</v>
      </c>
      <c r="S865" s="44">
        <f>_xlfn.XLOOKUP(TablaSTOCKINV[[#This Row],[SKU]],TablaINVENTARIO[SKU],TablaINVENTARIO[FECHA INGRESO])</f>
        <v>46023</v>
      </c>
      <c r="T865" s="44">
        <f>_xlfn.XLOOKUP(TablaSTOCKINV[[#This Row],[SKU]],TablaENTRADA[SKU],TablaENTRADA[FECHA],,0,-1)</f>
        <v>46023</v>
      </c>
      <c r="U865" s="46" t="str">
        <f>IFERROR((_xlfn.XLOOKUP(TablaSTOCKINV[[#This Row],[SKU]],TablaSALIDA[SKU],TablaSALIDA[FECHA],,0,-1))," " )</f>
        <v xml:space="preserve"> </v>
      </c>
    </row>
    <row r="866" spans="1:21" x14ac:dyDescent="0.3">
      <c r="A866" s="27" t="s">
        <v>804</v>
      </c>
      <c r="B866" s="32" t="str">
        <f>_xlfn.XLOOKUP(TablaSTOCKINV[[#This Row],[SKU]],TablaINVENTARIO[SKU],TablaINVENTARIO[DESCRIPCION])</f>
        <v>TUERCA HEXAGONAL DE ROSCA INTERNA 1"</v>
      </c>
      <c r="C866" s="32" t="str">
        <f>_xlfn.XLOOKUP(TablaSTOCKINV[[#This Row],[SKU]],TablaINVENTARIO[SKU],TablaINVENTARIO[MARCA])</f>
        <v>N/A</v>
      </c>
      <c r="D866" s="33" t="str">
        <f>_xlfn.XLOOKUP(TablaSTOCKINV[[#This Row],[SKU]],TablaINVENTARIO[SKU],TablaINVENTARIO[CATEGORIA])</f>
        <v>FABRICACION</v>
      </c>
      <c r="E866" s="33" t="str">
        <f>_xlfn.XLOOKUP(TablaSTOCKINV[[#This Row],[SKU]],TablaINVENTARIO[SKU],TablaINVENTARIO[SUBCATEGORIA])</f>
        <v>MATERIAL MECANICO</v>
      </c>
      <c r="F866" s="33" t="str">
        <f>_xlfn.XLOOKUP(TablaSTOCKINV[[#This Row],[SKU]],TablaINVENTARIO[SKU],TablaINVENTARIO[ESTADO])</f>
        <v>USADO</v>
      </c>
      <c r="G866" s="33" t="str">
        <f>_xlfn.XLOOKUP(TablaSTOCKINV[[#This Row],[SKU]],TablaINVENTARIO[SKU],TablaINVENTARIO[MEDIDA])</f>
        <v>UND</v>
      </c>
      <c r="H866" s="33" t="str">
        <f>_xlfn.XLOOKUP(TablaSTOCKINV[[#This Row],[SKU]],TablaINVENTARIO[SKU],TablaINVENTARIO[SERIAL])</f>
        <v>N/A</v>
      </c>
      <c r="I866" s="34" t="str">
        <f>_xlfn.XLOOKUP(TablaSTOCKINV[[#This Row],[SKU]],TablaINVENTARIO[SKU],TablaINVENTARIO[ALMACEN])</f>
        <v>ALMACEN PRINCIPAL</v>
      </c>
      <c r="J866" s="34" t="str">
        <f>_xlfn.XLOOKUP(TablaSTOCKINV[[#This Row],[SKU]],TablaINVENTARIO[SKU],TablaINVENTARIO[UBICACION])</f>
        <v>I3-1</v>
      </c>
      <c r="K866" s="34" t="str">
        <f>_xlfn.XLOOKUP(TablaSTOCKINV[[#This Row],[SKU]],TablaINVENTARIO[SKU],TablaINVENTARIO[DPTO RESPONSABLE])</f>
        <v>OPERACIONES</v>
      </c>
      <c r="L866" s="36">
        <f>_xlfn.XLOOKUP(TablaSTOCKINV[[#This Row],[SKU]],TablaINVENTARIO[SKU],TablaINVENTARIO[RANGO MIN])</f>
        <v>0</v>
      </c>
      <c r="M866" s="34" cm="1">
        <f t="array" ref="M866">_xlfn.IFS(TablaSTOCKINV[[#This Row],[CANT. TOTAL]]&lt;=0,1,TablaSTOCKINV[[#This Row],[CANT. TOTAL]]&lt;=TablaSTOCKINV[[#This Row],[MIN]],2,TablaSTOCKINV[[#This Row],[CANT. TOTAL]]&gt;TablaSTOCKINV[[#This Row],[MIN]],3)</f>
        <v>3</v>
      </c>
      <c r="N866" s="34">
        <f>TablaSTOCKINV[[#This Row],[ENTRADAS]]-TablaSTOCKINV[[#This Row],[SALIDAS]]</f>
        <v>1</v>
      </c>
      <c r="O866" s="35">
        <f>SUMIFS(TablaENTRADA[CANT],TablaENTRADA[SKU],TablaSTOCKINV[[#This Row],[SKU]])</f>
        <v>1</v>
      </c>
      <c r="P866" s="35">
        <f>SUMIFS(TablaSALIDA[CANT],TablaSALIDA[SKU],TablaSTOCKINV[[#This Row],[SKU]])</f>
        <v>0</v>
      </c>
      <c r="Q866" s="34">
        <f>_xlfn.XLOOKUP(TablaSTOCKINV[[#This Row],[SKU]],TablaINVENTARIO[SKU],TablaINVENTARIO[PRECIO])</f>
        <v>0</v>
      </c>
      <c r="R866" s="34">
        <f>TablaSTOCKINV[[#This Row],[P.UNITARIO]]*TablaSTOCKINV[[#This Row],[CANT. TOTAL]]</f>
        <v>0</v>
      </c>
      <c r="S866" s="44">
        <f>_xlfn.XLOOKUP(TablaSTOCKINV[[#This Row],[SKU]],TablaINVENTARIO[SKU],TablaINVENTARIO[FECHA INGRESO])</f>
        <v>46023</v>
      </c>
      <c r="T866" s="44">
        <f>_xlfn.XLOOKUP(TablaSTOCKINV[[#This Row],[SKU]],TablaENTRADA[SKU],TablaENTRADA[FECHA],,0,-1)</f>
        <v>46023</v>
      </c>
      <c r="U866" s="46" t="str">
        <f>IFERROR((_xlfn.XLOOKUP(TablaSTOCKINV[[#This Row],[SKU]],TablaSALIDA[SKU],TablaSALIDA[FECHA],,0,-1))," " )</f>
        <v xml:space="preserve"> </v>
      </c>
    </row>
    <row r="867" spans="1:21" x14ac:dyDescent="0.3">
      <c r="A867" s="27" t="s">
        <v>806</v>
      </c>
      <c r="B867" s="32" t="str">
        <f>_xlfn.XLOOKUP(TablaSTOCKINV[[#This Row],[SKU]],TablaINVENTARIO[SKU],TablaINVENTARIO[DESCRIPCION])</f>
        <v>TUERCA HEXAGONAL DE ROSCA INTERNA 3/4"</v>
      </c>
      <c r="C867" s="32" t="str">
        <f>_xlfn.XLOOKUP(TablaSTOCKINV[[#This Row],[SKU]],TablaINVENTARIO[SKU],TablaINVENTARIO[MARCA])</f>
        <v>N/A</v>
      </c>
      <c r="D867" s="33" t="str">
        <f>_xlfn.XLOOKUP(TablaSTOCKINV[[#This Row],[SKU]],TablaINVENTARIO[SKU],TablaINVENTARIO[CATEGORIA])</f>
        <v>FABRICACION</v>
      </c>
      <c r="E867" s="33" t="str">
        <f>_xlfn.XLOOKUP(TablaSTOCKINV[[#This Row],[SKU]],TablaINVENTARIO[SKU],TablaINVENTARIO[SUBCATEGORIA])</f>
        <v>MATERIAL MECANICO</v>
      </c>
      <c r="F867" s="33" t="str">
        <f>_xlfn.XLOOKUP(TablaSTOCKINV[[#This Row],[SKU]],TablaINVENTARIO[SKU],TablaINVENTARIO[ESTADO])</f>
        <v>USADO</v>
      </c>
      <c r="G867" s="33" t="str">
        <f>_xlfn.XLOOKUP(TablaSTOCKINV[[#This Row],[SKU]],TablaINVENTARIO[SKU],TablaINVENTARIO[MEDIDA])</f>
        <v>UND</v>
      </c>
      <c r="H867" s="33" t="str">
        <f>_xlfn.XLOOKUP(TablaSTOCKINV[[#This Row],[SKU]],TablaINVENTARIO[SKU],TablaINVENTARIO[SERIAL])</f>
        <v>N/A</v>
      </c>
      <c r="I867" s="34" t="str">
        <f>_xlfn.XLOOKUP(TablaSTOCKINV[[#This Row],[SKU]],TablaINVENTARIO[SKU],TablaINVENTARIO[ALMACEN])</f>
        <v>ALMACEN PRINCIPAL</v>
      </c>
      <c r="J867" s="34" t="str">
        <f>_xlfn.XLOOKUP(TablaSTOCKINV[[#This Row],[SKU]],TablaINVENTARIO[SKU],TablaINVENTARIO[UBICACION])</f>
        <v>I3-1</v>
      </c>
      <c r="K867" s="34" t="str">
        <f>_xlfn.XLOOKUP(TablaSTOCKINV[[#This Row],[SKU]],TablaINVENTARIO[SKU],TablaINVENTARIO[DPTO RESPONSABLE])</f>
        <v>OPERACIONES</v>
      </c>
      <c r="L867" s="36">
        <f>_xlfn.XLOOKUP(TablaSTOCKINV[[#This Row],[SKU]],TablaINVENTARIO[SKU],TablaINVENTARIO[RANGO MIN])</f>
        <v>0</v>
      </c>
      <c r="M867" s="34" cm="1">
        <f t="array" ref="M867">_xlfn.IFS(TablaSTOCKINV[[#This Row],[CANT. TOTAL]]&lt;=0,1,TablaSTOCKINV[[#This Row],[CANT. TOTAL]]&lt;=TablaSTOCKINV[[#This Row],[MIN]],2,TablaSTOCKINV[[#This Row],[CANT. TOTAL]]&gt;TablaSTOCKINV[[#This Row],[MIN]],3)</f>
        <v>3</v>
      </c>
      <c r="N867" s="34">
        <f>TablaSTOCKINV[[#This Row],[ENTRADAS]]-TablaSTOCKINV[[#This Row],[SALIDAS]]</f>
        <v>1</v>
      </c>
      <c r="O867" s="35">
        <f>SUMIFS(TablaENTRADA[CANT],TablaENTRADA[SKU],TablaSTOCKINV[[#This Row],[SKU]])</f>
        <v>1</v>
      </c>
      <c r="P867" s="35">
        <f>SUMIFS(TablaSALIDA[CANT],TablaSALIDA[SKU],TablaSTOCKINV[[#This Row],[SKU]])</f>
        <v>0</v>
      </c>
      <c r="Q867" s="34">
        <f>_xlfn.XLOOKUP(TablaSTOCKINV[[#This Row],[SKU]],TablaINVENTARIO[SKU],TablaINVENTARIO[PRECIO])</f>
        <v>0</v>
      </c>
      <c r="R867" s="34">
        <f>TablaSTOCKINV[[#This Row],[P.UNITARIO]]*TablaSTOCKINV[[#This Row],[CANT. TOTAL]]</f>
        <v>0</v>
      </c>
      <c r="S867" s="44">
        <f>_xlfn.XLOOKUP(TablaSTOCKINV[[#This Row],[SKU]],TablaINVENTARIO[SKU],TablaINVENTARIO[FECHA INGRESO])</f>
        <v>46023</v>
      </c>
      <c r="T867" s="44">
        <f>_xlfn.XLOOKUP(TablaSTOCKINV[[#This Row],[SKU]],TablaENTRADA[SKU],TablaENTRADA[FECHA],,0,-1)</f>
        <v>46023</v>
      </c>
      <c r="U867" s="46" t="str">
        <f>IFERROR((_xlfn.XLOOKUP(TablaSTOCKINV[[#This Row],[SKU]],TablaSALIDA[SKU],TablaSALIDA[FECHA],,0,-1))," " )</f>
        <v xml:space="preserve"> </v>
      </c>
    </row>
    <row r="868" spans="1:21" x14ac:dyDescent="0.3">
      <c r="A868" s="27" t="s">
        <v>808</v>
      </c>
      <c r="B868" s="32" t="str">
        <f>_xlfn.XLOOKUP(TablaSTOCKINV[[#This Row],[SKU]],TablaINVENTARIO[SKU],TablaINVENTARIO[DESCRIPCION])</f>
        <v>TUERCA HEXAGONAL DE ROSCA INTERNA 1/2"</v>
      </c>
      <c r="C868" s="32" t="str">
        <f>_xlfn.XLOOKUP(TablaSTOCKINV[[#This Row],[SKU]],TablaINVENTARIO[SKU],TablaINVENTARIO[MARCA])</f>
        <v>N/A</v>
      </c>
      <c r="D868" s="33" t="str">
        <f>_xlfn.XLOOKUP(TablaSTOCKINV[[#This Row],[SKU]],TablaINVENTARIO[SKU],TablaINVENTARIO[CATEGORIA])</f>
        <v>FABRICACION</v>
      </c>
      <c r="E868" s="33" t="str">
        <f>_xlfn.XLOOKUP(TablaSTOCKINV[[#This Row],[SKU]],TablaINVENTARIO[SKU],TablaINVENTARIO[SUBCATEGORIA])</f>
        <v>MATERIAL MECANICO</v>
      </c>
      <c r="F868" s="33" t="str">
        <f>_xlfn.XLOOKUP(TablaSTOCKINV[[#This Row],[SKU]],TablaINVENTARIO[SKU],TablaINVENTARIO[ESTADO])</f>
        <v>USADO</v>
      </c>
      <c r="G868" s="33" t="str">
        <f>_xlfn.XLOOKUP(TablaSTOCKINV[[#This Row],[SKU]],TablaINVENTARIO[SKU],TablaINVENTARIO[MEDIDA])</f>
        <v>UND</v>
      </c>
      <c r="H868" s="33" t="str">
        <f>_xlfn.XLOOKUP(TablaSTOCKINV[[#This Row],[SKU]],TablaINVENTARIO[SKU],TablaINVENTARIO[SERIAL])</f>
        <v>N/A</v>
      </c>
      <c r="I868" s="34" t="str">
        <f>_xlfn.XLOOKUP(TablaSTOCKINV[[#This Row],[SKU]],TablaINVENTARIO[SKU],TablaINVENTARIO[ALMACEN])</f>
        <v>ALMACEN PRINCIPAL</v>
      </c>
      <c r="J868" s="34" t="str">
        <f>_xlfn.XLOOKUP(TablaSTOCKINV[[#This Row],[SKU]],TablaINVENTARIO[SKU],TablaINVENTARIO[UBICACION])</f>
        <v>I3-1</v>
      </c>
      <c r="K868" s="34" t="str">
        <f>_xlfn.XLOOKUP(TablaSTOCKINV[[#This Row],[SKU]],TablaINVENTARIO[SKU],TablaINVENTARIO[DPTO RESPONSABLE])</f>
        <v>OPERACIONES</v>
      </c>
      <c r="L868" s="36">
        <f>_xlfn.XLOOKUP(TablaSTOCKINV[[#This Row],[SKU]],TablaINVENTARIO[SKU],TablaINVENTARIO[RANGO MIN])</f>
        <v>0</v>
      </c>
      <c r="M868" s="34" cm="1">
        <f t="array" ref="M868">_xlfn.IFS(TablaSTOCKINV[[#This Row],[CANT. TOTAL]]&lt;=0,1,TablaSTOCKINV[[#This Row],[CANT. TOTAL]]&lt;=TablaSTOCKINV[[#This Row],[MIN]],2,TablaSTOCKINV[[#This Row],[CANT. TOTAL]]&gt;TablaSTOCKINV[[#This Row],[MIN]],3)</f>
        <v>3</v>
      </c>
      <c r="N868" s="34">
        <f>TablaSTOCKINV[[#This Row],[ENTRADAS]]-TablaSTOCKINV[[#This Row],[SALIDAS]]</f>
        <v>1</v>
      </c>
      <c r="O868" s="35">
        <f>SUMIFS(TablaENTRADA[CANT],TablaENTRADA[SKU],TablaSTOCKINV[[#This Row],[SKU]])</f>
        <v>1</v>
      </c>
      <c r="P868" s="35">
        <f>SUMIFS(TablaSALIDA[CANT],TablaSALIDA[SKU],TablaSTOCKINV[[#This Row],[SKU]])</f>
        <v>0</v>
      </c>
      <c r="Q868" s="34">
        <f>_xlfn.XLOOKUP(TablaSTOCKINV[[#This Row],[SKU]],TablaINVENTARIO[SKU],TablaINVENTARIO[PRECIO])</f>
        <v>0</v>
      </c>
      <c r="R868" s="34">
        <f>TablaSTOCKINV[[#This Row],[P.UNITARIO]]*TablaSTOCKINV[[#This Row],[CANT. TOTAL]]</f>
        <v>0</v>
      </c>
      <c r="S868" s="44">
        <f>_xlfn.XLOOKUP(TablaSTOCKINV[[#This Row],[SKU]],TablaINVENTARIO[SKU],TablaINVENTARIO[FECHA INGRESO])</f>
        <v>46023</v>
      </c>
      <c r="T868" s="44">
        <f>_xlfn.XLOOKUP(TablaSTOCKINV[[#This Row],[SKU]],TablaENTRADA[SKU],TablaENTRADA[FECHA],,0,-1)</f>
        <v>46023</v>
      </c>
      <c r="U868" s="46" t="str">
        <f>IFERROR((_xlfn.XLOOKUP(TablaSTOCKINV[[#This Row],[SKU]],TablaSALIDA[SKU],TablaSALIDA[FECHA],,0,-1))," " )</f>
        <v xml:space="preserve"> </v>
      </c>
    </row>
    <row r="869" spans="1:21" x14ac:dyDescent="0.3">
      <c r="A869" s="27" t="s">
        <v>810</v>
      </c>
      <c r="B869" s="32" t="str">
        <f>_xlfn.XLOOKUP(TablaSTOCKINV[[#This Row],[SKU]],TablaINVENTARIO[SKU],TablaINVENTARIO[DESCRIPCION])</f>
        <v xml:space="preserve">TUERCA HEXAGONAL DE ROSCA DE ALUMINIO </v>
      </c>
      <c r="C869" s="32" t="str">
        <f>_xlfn.XLOOKUP(TablaSTOCKINV[[#This Row],[SKU]],TablaINVENTARIO[SKU],TablaINVENTARIO[MARCA])</f>
        <v>N/A</v>
      </c>
      <c r="D869" s="33" t="str">
        <f>_xlfn.XLOOKUP(TablaSTOCKINV[[#This Row],[SKU]],TablaINVENTARIO[SKU],TablaINVENTARIO[CATEGORIA])</f>
        <v>FABRICACION</v>
      </c>
      <c r="E869" s="33" t="str">
        <f>_xlfn.XLOOKUP(TablaSTOCKINV[[#This Row],[SKU]],TablaINVENTARIO[SKU],TablaINVENTARIO[SUBCATEGORIA])</f>
        <v>MATERIAL MECANICO</v>
      </c>
      <c r="F869" s="33" t="str">
        <f>_xlfn.XLOOKUP(TablaSTOCKINV[[#This Row],[SKU]],TablaINVENTARIO[SKU],TablaINVENTARIO[ESTADO])</f>
        <v>USADO</v>
      </c>
      <c r="G869" s="33" t="str">
        <f>_xlfn.XLOOKUP(TablaSTOCKINV[[#This Row],[SKU]],TablaINVENTARIO[SKU],TablaINVENTARIO[MEDIDA])</f>
        <v>UND</v>
      </c>
      <c r="H869" s="33" t="str">
        <f>_xlfn.XLOOKUP(TablaSTOCKINV[[#This Row],[SKU]],TablaINVENTARIO[SKU],TablaINVENTARIO[SERIAL])</f>
        <v>N/A</v>
      </c>
      <c r="I869" s="34" t="str">
        <f>_xlfn.XLOOKUP(TablaSTOCKINV[[#This Row],[SKU]],TablaINVENTARIO[SKU],TablaINVENTARIO[ALMACEN])</f>
        <v>ALMACEN PRINCIPAL</v>
      </c>
      <c r="J869" s="34" t="str">
        <f>_xlfn.XLOOKUP(TablaSTOCKINV[[#This Row],[SKU]],TablaINVENTARIO[SKU],TablaINVENTARIO[UBICACION])</f>
        <v>I3-1</v>
      </c>
      <c r="K869" s="34" t="str">
        <f>_xlfn.XLOOKUP(TablaSTOCKINV[[#This Row],[SKU]],TablaINVENTARIO[SKU],TablaINVENTARIO[DPTO RESPONSABLE])</f>
        <v>OPERACIONES</v>
      </c>
      <c r="L869" s="36">
        <f>_xlfn.XLOOKUP(TablaSTOCKINV[[#This Row],[SKU]],TablaINVENTARIO[SKU],TablaINVENTARIO[RANGO MIN])</f>
        <v>0</v>
      </c>
      <c r="M869" s="34" cm="1">
        <f t="array" ref="M869">_xlfn.IFS(TablaSTOCKINV[[#This Row],[CANT. TOTAL]]&lt;=0,1,TablaSTOCKINV[[#This Row],[CANT. TOTAL]]&lt;=TablaSTOCKINV[[#This Row],[MIN]],2,TablaSTOCKINV[[#This Row],[CANT. TOTAL]]&gt;TablaSTOCKINV[[#This Row],[MIN]],3)</f>
        <v>3</v>
      </c>
      <c r="N869" s="34">
        <f>TablaSTOCKINV[[#This Row],[ENTRADAS]]-TablaSTOCKINV[[#This Row],[SALIDAS]]</f>
        <v>2</v>
      </c>
      <c r="O869" s="35">
        <f>SUMIFS(TablaENTRADA[CANT],TablaENTRADA[SKU],TablaSTOCKINV[[#This Row],[SKU]])</f>
        <v>2</v>
      </c>
      <c r="P869" s="35">
        <f>SUMIFS(TablaSALIDA[CANT],TablaSALIDA[SKU],TablaSTOCKINV[[#This Row],[SKU]])</f>
        <v>0</v>
      </c>
      <c r="Q869" s="34">
        <f>_xlfn.XLOOKUP(TablaSTOCKINV[[#This Row],[SKU]],TablaINVENTARIO[SKU],TablaINVENTARIO[PRECIO])</f>
        <v>0</v>
      </c>
      <c r="R869" s="34">
        <f>TablaSTOCKINV[[#This Row],[P.UNITARIO]]*TablaSTOCKINV[[#This Row],[CANT. TOTAL]]</f>
        <v>0</v>
      </c>
      <c r="S869" s="44">
        <f>_xlfn.XLOOKUP(TablaSTOCKINV[[#This Row],[SKU]],TablaINVENTARIO[SKU],TablaINVENTARIO[FECHA INGRESO])</f>
        <v>46023</v>
      </c>
      <c r="T869" s="44">
        <f>_xlfn.XLOOKUP(TablaSTOCKINV[[#This Row],[SKU]],TablaENTRADA[SKU],TablaENTRADA[FECHA],,0,-1)</f>
        <v>46023</v>
      </c>
      <c r="U869" s="46" t="str">
        <f>IFERROR((_xlfn.XLOOKUP(TablaSTOCKINV[[#This Row],[SKU]],TablaSALIDA[SKU],TablaSALIDA[FECHA],,0,-1))," " )</f>
        <v xml:space="preserve"> </v>
      </c>
    </row>
    <row r="870" spans="1:21" x14ac:dyDescent="0.3">
      <c r="A870" s="27" t="s">
        <v>812</v>
      </c>
      <c r="B870" s="32" t="str">
        <f>_xlfn.XLOOKUP(TablaSTOCKINV[[#This Row],[SKU]],TablaINVENTARIO[SKU],TablaINVENTARIO[DESCRIPCION])</f>
        <v xml:space="preserve">TUERCA DE PRESION </v>
      </c>
      <c r="C870" s="32" t="str">
        <f>_xlfn.XLOOKUP(TablaSTOCKINV[[#This Row],[SKU]],TablaINVENTARIO[SKU],TablaINVENTARIO[MARCA])</f>
        <v>N/A</v>
      </c>
      <c r="D870" s="33" t="str">
        <f>_xlfn.XLOOKUP(TablaSTOCKINV[[#This Row],[SKU]],TablaINVENTARIO[SKU],TablaINVENTARIO[CATEGORIA])</f>
        <v>FABRICACION</v>
      </c>
      <c r="E870" s="33" t="str">
        <f>_xlfn.XLOOKUP(TablaSTOCKINV[[#This Row],[SKU]],TablaINVENTARIO[SKU],TablaINVENTARIO[SUBCATEGORIA])</f>
        <v>MATERIAL MECANICO</v>
      </c>
      <c r="F870" s="33" t="str">
        <f>_xlfn.XLOOKUP(TablaSTOCKINV[[#This Row],[SKU]],TablaINVENTARIO[SKU],TablaINVENTARIO[ESTADO])</f>
        <v>USADO</v>
      </c>
      <c r="G870" s="33" t="str">
        <f>_xlfn.XLOOKUP(TablaSTOCKINV[[#This Row],[SKU]],TablaINVENTARIO[SKU],TablaINVENTARIO[MEDIDA])</f>
        <v>UND</v>
      </c>
      <c r="H870" s="33" t="str">
        <f>_xlfn.XLOOKUP(TablaSTOCKINV[[#This Row],[SKU]],TablaINVENTARIO[SKU],TablaINVENTARIO[SERIAL])</f>
        <v>N/A</v>
      </c>
      <c r="I870" s="34" t="str">
        <f>_xlfn.XLOOKUP(TablaSTOCKINV[[#This Row],[SKU]],TablaINVENTARIO[SKU],TablaINVENTARIO[ALMACEN])</f>
        <v>ALMACEN PRINCIPAL</v>
      </c>
      <c r="J870" s="34" t="str">
        <f>_xlfn.XLOOKUP(TablaSTOCKINV[[#This Row],[SKU]],TablaINVENTARIO[SKU],TablaINVENTARIO[UBICACION])</f>
        <v>I3-1</v>
      </c>
      <c r="K870" s="34" t="str">
        <f>_xlfn.XLOOKUP(TablaSTOCKINV[[#This Row],[SKU]],TablaINVENTARIO[SKU],TablaINVENTARIO[DPTO RESPONSABLE])</f>
        <v>OPERACIONES</v>
      </c>
      <c r="L870" s="36">
        <f>_xlfn.XLOOKUP(TablaSTOCKINV[[#This Row],[SKU]],TablaINVENTARIO[SKU],TablaINVENTARIO[RANGO MIN])</f>
        <v>0</v>
      </c>
      <c r="M870" s="34" cm="1">
        <f t="array" ref="M870">_xlfn.IFS(TablaSTOCKINV[[#This Row],[CANT. TOTAL]]&lt;=0,1,TablaSTOCKINV[[#This Row],[CANT. TOTAL]]&lt;=TablaSTOCKINV[[#This Row],[MIN]],2,TablaSTOCKINV[[#This Row],[CANT. TOTAL]]&gt;TablaSTOCKINV[[#This Row],[MIN]],3)</f>
        <v>3</v>
      </c>
      <c r="N870" s="34">
        <f>TablaSTOCKINV[[#This Row],[ENTRADAS]]-TablaSTOCKINV[[#This Row],[SALIDAS]]</f>
        <v>12</v>
      </c>
      <c r="O870" s="35">
        <f>SUMIFS(TablaENTRADA[CANT],TablaENTRADA[SKU],TablaSTOCKINV[[#This Row],[SKU]])</f>
        <v>12</v>
      </c>
      <c r="P870" s="35">
        <f>SUMIFS(TablaSALIDA[CANT],TablaSALIDA[SKU],TablaSTOCKINV[[#This Row],[SKU]])</f>
        <v>0</v>
      </c>
      <c r="Q870" s="34">
        <f>_xlfn.XLOOKUP(TablaSTOCKINV[[#This Row],[SKU]],TablaINVENTARIO[SKU],TablaINVENTARIO[PRECIO])</f>
        <v>0</v>
      </c>
      <c r="R870" s="34">
        <f>TablaSTOCKINV[[#This Row],[P.UNITARIO]]*TablaSTOCKINV[[#This Row],[CANT. TOTAL]]</f>
        <v>0</v>
      </c>
      <c r="S870" s="44">
        <f>_xlfn.XLOOKUP(TablaSTOCKINV[[#This Row],[SKU]],TablaINVENTARIO[SKU],TablaINVENTARIO[FECHA INGRESO])</f>
        <v>46023</v>
      </c>
      <c r="T870" s="44">
        <f>_xlfn.XLOOKUP(TablaSTOCKINV[[#This Row],[SKU]],TablaENTRADA[SKU],TablaENTRADA[FECHA],,0,-1)</f>
        <v>46023</v>
      </c>
      <c r="U870" s="46" t="str">
        <f>IFERROR((_xlfn.XLOOKUP(TablaSTOCKINV[[#This Row],[SKU]],TablaSALIDA[SKU],TablaSALIDA[FECHA],,0,-1))," " )</f>
        <v xml:space="preserve"> </v>
      </c>
    </row>
    <row r="871" spans="1:21" x14ac:dyDescent="0.3">
      <c r="A871" s="27" t="s">
        <v>814</v>
      </c>
      <c r="B871" s="32" t="str">
        <f>_xlfn.XLOOKUP(TablaSTOCKINV[[#This Row],[SKU]],TablaINVENTARIO[SKU],TablaINVENTARIO[DESCRIPCION])</f>
        <v xml:space="preserve">TUERCA DE SEGURIDAD DE BRONCA </v>
      </c>
      <c r="C871" s="32" t="str">
        <f>_xlfn.XLOOKUP(TablaSTOCKINV[[#This Row],[SKU]],TablaINVENTARIO[SKU],TablaINVENTARIO[MARCA])</f>
        <v>N/A</v>
      </c>
      <c r="D871" s="33" t="str">
        <f>_xlfn.XLOOKUP(TablaSTOCKINV[[#This Row],[SKU]],TablaINVENTARIO[SKU],TablaINVENTARIO[CATEGORIA])</f>
        <v>FABRICACION</v>
      </c>
      <c r="E871" s="33" t="str">
        <f>_xlfn.XLOOKUP(TablaSTOCKINV[[#This Row],[SKU]],TablaINVENTARIO[SKU],TablaINVENTARIO[SUBCATEGORIA])</f>
        <v>MATERIAL MECANICO</v>
      </c>
      <c r="F871" s="33" t="str">
        <f>_xlfn.XLOOKUP(TablaSTOCKINV[[#This Row],[SKU]],TablaINVENTARIO[SKU],TablaINVENTARIO[ESTADO])</f>
        <v>USADO</v>
      </c>
      <c r="G871" s="33" t="str">
        <f>_xlfn.XLOOKUP(TablaSTOCKINV[[#This Row],[SKU]],TablaINVENTARIO[SKU],TablaINVENTARIO[MEDIDA])</f>
        <v>UND</v>
      </c>
      <c r="H871" s="33" t="str">
        <f>_xlfn.XLOOKUP(TablaSTOCKINV[[#This Row],[SKU]],TablaINVENTARIO[SKU],TablaINVENTARIO[SERIAL])</f>
        <v>N/A</v>
      </c>
      <c r="I871" s="34" t="str">
        <f>_xlfn.XLOOKUP(TablaSTOCKINV[[#This Row],[SKU]],TablaINVENTARIO[SKU],TablaINVENTARIO[ALMACEN])</f>
        <v>ALMACEN PRINCIPAL</v>
      </c>
      <c r="J871" s="34" t="str">
        <f>_xlfn.XLOOKUP(TablaSTOCKINV[[#This Row],[SKU]],TablaINVENTARIO[SKU],TablaINVENTARIO[UBICACION])</f>
        <v>I3-1</v>
      </c>
      <c r="K871" s="34" t="str">
        <f>_xlfn.XLOOKUP(TablaSTOCKINV[[#This Row],[SKU]],TablaINVENTARIO[SKU],TablaINVENTARIO[DPTO RESPONSABLE])</f>
        <v>OPERACIONES</v>
      </c>
      <c r="L871" s="36">
        <f>_xlfn.XLOOKUP(TablaSTOCKINV[[#This Row],[SKU]],TablaINVENTARIO[SKU],TablaINVENTARIO[RANGO MIN])</f>
        <v>0</v>
      </c>
      <c r="M871" s="34" cm="1">
        <f t="array" ref="M871">_xlfn.IFS(TablaSTOCKINV[[#This Row],[CANT. TOTAL]]&lt;=0,1,TablaSTOCKINV[[#This Row],[CANT. TOTAL]]&lt;=TablaSTOCKINV[[#This Row],[MIN]],2,TablaSTOCKINV[[#This Row],[CANT. TOTAL]]&gt;TablaSTOCKINV[[#This Row],[MIN]],3)</f>
        <v>3</v>
      </c>
      <c r="N871" s="34">
        <f>TablaSTOCKINV[[#This Row],[ENTRADAS]]-TablaSTOCKINV[[#This Row],[SALIDAS]]</f>
        <v>1</v>
      </c>
      <c r="O871" s="35">
        <f>SUMIFS(TablaENTRADA[CANT],TablaENTRADA[SKU],TablaSTOCKINV[[#This Row],[SKU]])</f>
        <v>1</v>
      </c>
      <c r="P871" s="35">
        <f>SUMIFS(TablaSALIDA[CANT],TablaSALIDA[SKU],TablaSTOCKINV[[#This Row],[SKU]])</f>
        <v>0</v>
      </c>
      <c r="Q871" s="34">
        <f>_xlfn.XLOOKUP(TablaSTOCKINV[[#This Row],[SKU]],TablaINVENTARIO[SKU],TablaINVENTARIO[PRECIO])</f>
        <v>0</v>
      </c>
      <c r="R871" s="34">
        <f>TablaSTOCKINV[[#This Row],[P.UNITARIO]]*TablaSTOCKINV[[#This Row],[CANT. TOTAL]]</f>
        <v>0</v>
      </c>
      <c r="S871" s="44">
        <f>_xlfn.XLOOKUP(TablaSTOCKINV[[#This Row],[SKU]],TablaINVENTARIO[SKU],TablaINVENTARIO[FECHA INGRESO])</f>
        <v>46023</v>
      </c>
      <c r="T871" s="44">
        <f>_xlfn.XLOOKUP(TablaSTOCKINV[[#This Row],[SKU]],TablaENTRADA[SKU],TablaENTRADA[FECHA],,0,-1)</f>
        <v>46023</v>
      </c>
      <c r="U871" s="46" t="str">
        <f>IFERROR((_xlfn.XLOOKUP(TablaSTOCKINV[[#This Row],[SKU]],TablaSALIDA[SKU],TablaSALIDA[FECHA],,0,-1))," " )</f>
        <v xml:space="preserve"> </v>
      </c>
    </row>
    <row r="872" spans="1:21" x14ac:dyDescent="0.3">
      <c r="A872" s="27" t="s">
        <v>816</v>
      </c>
      <c r="B872" s="32" t="str">
        <f>_xlfn.XLOOKUP(TablaSTOCKINV[[#This Row],[SKU]],TablaINVENTARIO[SKU],TablaINVENTARIO[DESCRIPCION])</f>
        <v xml:space="preserve">TAPON DE ACERO DE PRESION </v>
      </c>
      <c r="C872" s="32" t="str">
        <f>_xlfn.XLOOKUP(TablaSTOCKINV[[#This Row],[SKU]],TablaINVENTARIO[SKU],TablaINVENTARIO[MARCA])</f>
        <v>N/A</v>
      </c>
      <c r="D872" s="33" t="str">
        <f>_xlfn.XLOOKUP(TablaSTOCKINV[[#This Row],[SKU]],TablaINVENTARIO[SKU],TablaINVENTARIO[CATEGORIA])</f>
        <v>FABRICACION</v>
      </c>
      <c r="E872" s="33" t="str">
        <f>_xlfn.XLOOKUP(TablaSTOCKINV[[#This Row],[SKU]],TablaINVENTARIO[SKU],TablaINVENTARIO[SUBCATEGORIA])</f>
        <v>MATERIAL MECANICO</v>
      </c>
      <c r="F872" s="33" t="str">
        <f>_xlfn.XLOOKUP(TablaSTOCKINV[[#This Row],[SKU]],TablaINVENTARIO[SKU],TablaINVENTARIO[ESTADO])</f>
        <v>USADO</v>
      </c>
      <c r="G872" s="33" t="str">
        <f>_xlfn.XLOOKUP(TablaSTOCKINV[[#This Row],[SKU]],TablaINVENTARIO[SKU],TablaINVENTARIO[MEDIDA])</f>
        <v>UND</v>
      </c>
      <c r="H872" s="33" t="str">
        <f>_xlfn.XLOOKUP(TablaSTOCKINV[[#This Row],[SKU]],TablaINVENTARIO[SKU],TablaINVENTARIO[SERIAL])</f>
        <v>N/A</v>
      </c>
      <c r="I872" s="34" t="str">
        <f>_xlfn.XLOOKUP(TablaSTOCKINV[[#This Row],[SKU]],TablaINVENTARIO[SKU],TablaINVENTARIO[ALMACEN])</f>
        <v>ALMACEN PRINCIPAL</v>
      </c>
      <c r="J872" s="34" t="str">
        <f>_xlfn.XLOOKUP(TablaSTOCKINV[[#This Row],[SKU]],TablaINVENTARIO[SKU],TablaINVENTARIO[UBICACION])</f>
        <v>I3-1</v>
      </c>
      <c r="K872" s="34" t="str">
        <f>_xlfn.XLOOKUP(TablaSTOCKINV[[#This Row],[SKU]],TablaINVENTARIO[SKU],TablaINVENTARIO[DPTO RESPONSABLE])</f>
        <v>OPERACIONES</v>
      </c>
      <c r="L872" s="36">
        <f>_xlfn.XLOOKUP(TablaSTOCKINV[[#This Row],[SKU]],TablaINVENTARIO[SKU],TablaINVENTARIO[RANGO MIN])</f>
        <v>0</v>
      </c>
      <c r="M872" s="34" cm="1">
        <f t="array" ref="M872">_xlfn.IFS(TablaSTOCKINV[[#This Row],[CANT. TOTAL]]&lt;=0,1,TablaSTOCKINV[[#This Row],[CANT. TOTAL]]&lt;=TablaSTOCKINV[[#This Row],[MIN]],2,TablaSTOCKINV[[#This Row],[CANT. TOTAL]]&gt;TablaSTOCKINV[[#This Row],[MIN]],3)</f>
        <v>3</v>
      </c>
      <c r="N872" s="34">
        <f>TablaSTOCKINV[[#This Row],[ENTRADAS]]-TablaSTOCKINV[[#This Row],[SALIDAS]]</f>
        <v>1</v>
      </c>
      <c r="O872" s="35">
        <f>SUMIFS(TablaENTRADA[CANT],TablaENTRADA[SKU],TablaSTOCKINV[[#This Row],[SKU]])</f>
        <v>1</v>
      </c>
      <c r="P872" s="35">
        <f>SUMIFS(TablaSALIDA[CANT],TablaSALIDA[SKU],TablaSTOCKINV[[#This Row],[SKU]])</f>
        <v>0</v>
      </c>
      <c r="Q872" s="34">
        <f>_xlfn.XLOOKUP(TablaSTOCKINV[[#This Row],[SKU]],TablaINVENTARIO[SKU],TablaINVENTARIO[PRECIO])</f>
        <v>0</v>
      </c>
      <c r="R872" s="34">
        <f>TablaSTOCKINV[[#This Row],[P.UNITARIO]]*TablaSTOCKINV[[#This Row],[CANT. TOTAL]]</f>
        <v>0</v>
      </c>
      <c r="S872" s="44">
        <f>_xlfn.XLOOKUP(TablaSTOCKINV[[#This Row],[SKU]],TablaINVENTARIO[SKU],TablaINVENTARIO[FECHA INGRESO])</f>
        <v>46023</v>
      </c>
      <c r="T872" s="44">
        <f>_xlfn.XLOOKUP(TablaSTOCKINV[[#This Row],[SKU]],TablaENTRADA[SKU],TablaENTRADA[FECHA],,0,-1)</f>
        <v>46023</v>
      </c>
      <c r="U872" s="46" t="str">
        <f>IFERROR((_xlfn.XLOOKUP(TablaSTOCKINV[[#This Row],[SKU]],TablaSALIDA[SKU],TablaSALIDA[FECHA],,0,-1))," " )</f>
        <v xml:space="preserve"> </v>
      </c>
    </row>
    <row r="873" spans="1:21" x14ac:dyDescent="0.3">
      <c r="A873" s="27" t="s">
        <v>818</v>
      </c>
      <c r="B873" s="32" t="str">
        <f>_xlfn.XLOOKUP(TablaSTOCKINV[[#This Row],[SKU]],TablaINVENTARIO[SKU],TablaINVENTARIO[DESCRIPCION])</f>
        <v>TRANSMISOR DE PRESION DIFERENCIAL MODELO: EJX110B</v>
      </c>
      <c r="C873" s="32" t="str">
        <f>_xlfn.XLOOKUP(TablaSTOCKINV[[#This Row],[SKU]],TablaINVENTARIO[SKU],TablaINVENTARIO[MARCA])</f>
        <v>YOKOGAWA</v>
      </c>
      <c r="D873" s="33" t="str">
        <f>_xlfn.XLOOKUP(TablaSTOCKINV[[#This Row],[SKU]],TablaINVENTARIO[SKU],TablaINVENTARIO[CATEGORIA])</f>
        <v>FABRICACION</v>
      </c>
      <c r="E873" s="33">
        <f>_xlfn.XLOOKUP(TablaSTOCKINV[[#This Row],[SKU]],TablaINVENTARIO[SKU],TablaINVENTARIO[SUBCATEGORIA])</f>
        <v>0</v>
      </c>
      <c r="F873" s="33" t="str">
        <f>_xlfn.XLOOKUP(TablaSTOCKINV[[#This Row],[SKU]],TablaINVENTARIO[SKU],TablaINVENTARIO[ESTADO])</f>
        <v>USADO</v>
      </c>
      <c r="G873" s="33" t="str">
        <f>_xlfn.XLOOKUP(TablaSTOCKINV[[#This Row],[SKU]],TablaINVENTARIO[SKU],TablaINVENTARIO[MEDIDA])</f>
        <v>UND</v>
      </c>
      <c r="H873" s="33" t="str">
        <f>_xlfn.XLOOKUP(TablaSTOCKINV[[#This Row],[SKU]],TablaINVENTARIO[SKU],TablaINVENTARIO[SERIAL])</f>
        <v>N/A</v>
      </c>
      <c r="I873" s="34" t="str">
        <f>_xlfn.XLOOKUP(TablaSTOCKINV[[#This Row],[SKU]],TablaINVENTARIO[SKU],TablaINVENTARIO[ALMACEN])</f>
        <v>ALMACEN PRINCIPAL</v>
      </c>
      <c r="J873" s="34" t="str">
        <f>_xlfn.XLOOKUP(TablaSTOCKINV[[#This Row],[SKU]],TablaINVENTARIO[SKU],TablaINVENTARIO[UBICACION])</f>
        <v>I3-1</v>
      </c>
      <c r="K873" s="34" t="str">
        <f>_xlfn.XLOOKUP(TablaSTOCKINV[[#This Row],[SKU]],TablaINVENTARIO[SKU],TablaINVENTARIO[DPTO RESPONSABLE])</f>
        <v>OPERACIONES</v>
      </c>
      <c r="L873" s="36">
        <f>_xlfn.XLOOKUP(TablaSTOCKINV[[#This Row],[SKU]],TablaINVENTARIO[SKU],TablaINVENTARIO[RANGO MIN])</f>
        <v>0</v>
      </c>
      <c r="M873" s="34" cm="1">
        <f t="array" ref="M873">_xlfn.IFS(TablaSTOCKINV[[#This Row],[CANT. TOTAL]]&lt;=0,1,TablaSTOCKINV[[#This Row],[CANT. TOTAL]]&lt;=TablaSTOCKINV[[#This Row],[MIN]],2,TablaSTOCKINV[[#This Row],[CANT. TOTAL]]&gt;TablaSTOCKINV[[#This Row],[MIN]],3)</f>
        <v>3</v>
      </c>
      <c r="N873" s="34">
        <f>TablaSTOCKINV[[#This Row],[ENTRADAS]]-TablaSTOCKINV[[#This Row],[SALIDAS]]</f>
        <v>3</v>
      </c>
      <c r="O873" s="35">
        <f>SUMIFS(TablaENTRADA[CANT],TablaENTRADA[SKU],TablaSTOCKINV[[#This Row],[SKU]])</f>
        <v>3</v>
      </c>
      <c r="P873" s="35">
        <f>SUMIFS(TablaSALIDA[CANT],TablaSALIDA[SKU],TablaSTOCKINV[[#This Row],[SKU]])</f>
        <v>0</v>
      </c>
      <c r="Q873" s="34">
        <f>_xlfn.XLOOKUP(TablaSTOCKINV[[#This Row],[SKU]],TablaINVENTARIO[SKU],TablaINVENTARIO[PRECIO])</f>
        <v>0</v>
      </c>
      <c r="R873" s="34">
        <f>TablaSTOCKINV[[#This Row],[P.UNITARIO]]*TablaSTOCKINV[[#This Row],[CANT. TOTAL]]</f>
        <v>0</v>
      </c>
      <c r="S873" s="44">
        <f>_xlfn.XLOOKUP(TablaSTOCKINV[[#This Row],[SKU]],TablaINVENTARIO[SKU],TablaINVENTARIO[FECHA INGRESO])</f>
        <v>46023</v>
      </c>
      <c r="T873" s="44">
        <f>_xlfn.XLOOKUP(TablaSTOCKINV[[#This Row],[SKU]],TablaENTRADA[SKU],TablaENTRADA[FECHA],,0,-1)</f>
        <v>46023</v>
      </c>
      <c r="U873" s="46" t="str">
        <f>IFERROR((_xlfn.XLOOKUP(TablaSTOCKINV[[#This Row],[SKU]],TablaSALIDA[SKU],TablaSALIDA[FECHA],,0,-1))," " )</f>
        <v xml:space="preserve"> </v>
      </c>
    </row>
    <row r="874" spans="1:21" x14ac:dyDescent="0.3">
      <c r="A874" s="27" t="s">
        <v>821</v>
      </c>
      <c r="B874" s="32" t="str">
        <f>_xlfn.XLOOKUP(TablaSTOCKINV[[#This Row],[SKU]],TablaINVENTARIO[SKU],TablaINVENTARIO[DESCRIPCION])</f>
        <v xml:space="preserve">ACOPLE DE PD METER </v>
      </c>
      <c r="C874" s="32" t="str">
        <f>_xlfn.XLOOKUP(TablaSTOCKINV[[#This Row],[SKU]],TablaINVENTARIO[SKU],TablaINVENTARIO[MARCA])</f>
        <v>N/A</v>
      </c>
      <c r="D874" s="33" t="str">
        <f>_xlfn.XLOOKUP(TablaSTOCKINV[[#This Row],[SKU]],TablaINVENTARIO[SKU],TablaINVENTARIO[CATEGORIA])</f>
        <v>FABRICACION</v>
      </c>
      <c r="E874" s="33" t="str">
        <f>_xlfn.XLOOKUP(TablaSTOCKINV[[#This Row],[SKU]],TablaINVENTARIO[SKU],TablaINVENTARIO[SUBCATEGORIA])</f>
        <v>MATERIAL MECANICO</v>
      </c>
      <c r="F874" s="33" t="str">
        <f>_xlfn.XLOOKUP(TablaSTOCKINV[[#This Row],[SKU]],TablaINVENTARIO[SKU],TablaINVENTARIO[ESTADO])</f>
        <v>USADO</v>
      </c>
      <c r="G874" s="33" t="str">
        <f>_xlfn.XLOOKUP(TablaSTOCKINV[[#This Row],[SKU]],TablaINVENTARIO[SKU],TablaINVENTARIO[MEDIDA])</f>
        <v>UND</v>
      </c>
      <c r="H874" s="33" t="str">
        <f>_xlfn.XLOOKUP(TablaSTOCKINV[[#This Row],[SKU]],TablaINVENTARIO[SKU],TablaINVENTARIO[SERIAL])</f>
        <v>N/A</v>
      </c>
      <c r="I874" s="34" t="str">
        <f>_xlfn.XLOOKUP(TablaSTOCKINV[[#This Row],[SKU]],TablaINVENTARIO[SKU],TablaINVENTARIO[ALMACEN])</f>
        <v>ALMACEN PRINCIPAL</v>
      </c>
      <c r="J874" s="34" t="str">
        <f>_xlfn.XLOOKUP(TablaSTOCKINV[[#This Row],[SKU]],TablaINVENTARIO[SKU],TablaINVENTARIO[UBICACION])</f>
        <v>I3-1</v>
      </c>
      <c r="K874" s="34" t="str">
        <f>_xlfn.XLOOKUP(TablaSTOCKINV[[#This Row],[SKU]],TablaINVENTARIO[SKU],TablaINVENTARIO[DPTO RESPONSABLE])</f>
        <v>OPERACIONES</v>
      </c>
      <c r="L874" s="36">
        <f>_xlfn.XLOOKUP(TablaSTOCKINV[[#This Row],[SKU]],TablaINVENTARIO[SKU],TablaINVENTARIO[RANGO MIN])</f>
        <v>0</v>
      </c>
      <c r="M874" s="34" cm="1">
        <f t="array" ref="M874">_xlfn.IFS(TablaSTOCKINV[[#This Row],[CANT. TOTAL]]&lt;=0,1,TablaSTOCKINV[[#This Row],[CANT. TOTAL]]&lt;=TablaSTOCKINV[[#This Row],[MIN]],2,TablaSTOCKINV[[#This Row],[CANT. TOTAL]]&gt;TablaSTOCKINV[[#This Row],[MIN]],3)</f>
        <v>3</v>
      </c>
      <c r="N874" s="34">
        <f>TablaSTOCKINV[[#This Row],[ENTRADAS]]-TablaSTOCKINV[[#This Row],[SALIDAS]]</f>
        <v>1</v>
      </c>
      <c r="O874" s="35">
        <f>SUMIFS(TablaENTRADA[CANT],TablaENTRADA[SKU],TablaSTOCKINV[[#This Row],[SKU]])</f>
        <v>1</v>
      </c>
      <c r="P874" s="35">
        <f>SUMIFS(TablaSALIDA[CANT],TablaSALIDA[SKU],TablaSTOCKINV[[#This Row],[SKU]])</f>
        <v>0</v>
      </c>
      <c r="Q874" s="34">
        <f>_xlfn.XLOOKUP(TablaSTOCKINV[[#This Row],[SKU]],TablaINVENTARIO[SKU],TablaINVENTARIO[PRECIO])</f>
        <v>0</v>
      </c>
      <c r="R874" s="34">
        <f>TablaSTOCKINV[[#This Row],[P.UNITARIO]]*TablaSTOCKINV[[#This Row],[CANT. TOTAL]]</f>
        <v>0</v>
      </c>
      <c r="S874" s="44">
        <f>_xlfn.XLOOKUP(TablaSTOCKINV[[#This Row],[SKU]],TablaINVENTARIO[SKU],TablaINVENTARIO[FECHA INGRESO])</f>
        <v>46023</v>
      </c>
      <c r="T874" s="44">
        <f>_xlfn.XLOOKUP(TablaSTOCKINV[[#This Row],[SKU]],TablaENTRADA[SKU],TablaENTRADA[FECHA],,0,-1)</f>
        <v>46023</v>
      </c>
      <c r="U874" s="46" t="str">
        <f>IFERROR((_xlfn.XLOOKUP(TablaSTOCKINV[[#This Row],[SKU]],TablaSALIDA[SKU],TablaSALIDA[FECHA],,0,-1))," " )</f>
        <v xml:space="preserve"> </v>
      </c>
    </row>
    <row r="875" spans="1:21" x14ac:dyDescent="0.3">
      <c r="A875" s="27" t="s">
        <v>823</v>
      </c>
      <c r="B875" s="32" t="str">
        <f>_xlfn.XLOOKUP(TablaSTOCKINV[[#This Row],[SKU]],TablaINVENTARIO[SKU],TablaINVENTARIO[DESCRIPCION])</f>
        <v>TORNILLO DOBLE ROSCA INTERNA 1"</v>
      </c>
      <c r="C875" s="32" t="str">
        <f>_xlfn.XLOOKUP(TablaSTOCKINV[[#This Row],[SKU]],TablaINVENTARIO[SKU],TablaINVENTARIO[MARCA])</f>
        <v>N/A</v>
      </c>
      <c r="D875" s="33" t="str">
        <f>_xlfn.XLOOKUP(TablaSTOCKINV[[#This Row],[SKU]],TablaINVENTARIO[SKU],TablaINVENTARIO[CATEGORIA])</f>
        <v>FABRICACION</v>
      </c>
      <c r="E875" s="33" t="str">
        <f>_xlfn.XLOOKUP(TablaSTOCKINV[[#This Row],[SKU]],TablaINVENTARIO[SKU],TablaINVENTARIO[SUBCATEGORIA])</f>
        <v>MATERIAL MECANICO</v>
      </c>
      <c r="F875" s="33" t="str">
        <f>_xlfn.XLOOKUP(TablaSTOCKINV[[#This Row],[SKU]],TablaINVENTARIO[SKU],TablaINVENTARIO[ESTADO])</f>
        <v>USADO</v>
      </c>
      <c r="G875" s="33" t="str">
        <f>_xlfn.XLOOKUP(TablaSTOCKINV[[#This Row],[SKU]],TablaINVENTARIO[SKU],TablaINVENTARIO[MEDIDA])</f>
        <v>UND</v>
      </c>
      <c r="H875" s="33" t="str">
        <f>_xlfn.XLOOKUP(TablaSTOCKINV[[#This Row],[SKU]],TablaINVENTARIO[SKU],TablaINVENTARIO[SERIAL])</f>
        <v>N/A</v>
      </c>
      <c r="I875" s="34" t="str">
        <f>_xlfn.XLOOKUP(TablaSTOCKINV[[#This Row],[SKU]],TablaINVENTARIO[SKU],TablaINVENTARIO[ALMACEN])</f>
        <v>ALMACEN PRINCIPAL</v>
      </c>
      <c r="J875" s="34" t="str">
        <f>_xlfn.XLOOKUP(TablaSTOCKINV[[#This Row],[SKU]],TablaINVENTARIO[SKU],TablaINVENTARIO[UBICACION])</f>
        <v>I3-1</v>
      </c>
      <c r="K875" s="34" t="str">
        <f>_xlfn.XLOOKUP(TablaSTOCKINV[[#This Row],[SKU]],TablaINVENTARIO[SKU],TablaINVENTARIO[DPTO RESPONSABLE])</f>
        <v>OPERACIONES</v>
      </c>
      <c r="L875" s="36">
        <f>_xlfn.XLOOKUP(TablaSTOCKINV[[#This Row],[SKU]],TablaINVENTARIO[SKU],TablaINVENTARIO[RANGO MIN])</f>
        <v>0</v>
      </c>
      <c r="M875" s="34" cm="1">
        <f t="array" ref="M875">_xlfn.IFS(TablaSTOCKINV[[#This Row],[CANT. TOTAL]]&lt;=0,1,TablaSTOCKINV[[#This Row],[CANT. TOTAL]]&lt;=TablaSTOCKINV[[#This Row],[MIN]],2,TablaSTOCKINV[[#This Row],[CANT. TOTAL]]&gt;TablaSTOCKINV[[#This Row],[MIN]],3)</f>
        <v>3</v>
      </c>
      <c r="N875" s="34">
        <f>TablaSTOCKINV[[#This Row],[ENTRADAS]]-TablaSTOCKINV[[#This Row],[SALIDAS]]</f>
        <v>10</v>
      </c>
      <c r="O875" s="35">
        <f>SUMIFS(TablaENTRADA[CANT],TablaENTRADA[SKU],TablaSTOCKINV[[#This Row],[SKU]])</f>
        <v>10</v>
      </c>
      <c r="P875" s="35">
        <f>SUMIFS(TablaSALIDA[CANT],TablaSALIDA[SKU],TablaSTOCKINV[[#This Row],[SKU]])</f>
        <v>0</v>
      </c>
      <c r="Q875" s="34">
        <f>_xlfn.XLOOKUP(TablaSTOCKINV[[#This Row],[SKU]],TablaINVENTARIO[SKU],TablaINVENTARIO[PRECIO])</f>
        <v>0</v>
      </c>
      <c r="R875" s="34">
        <f>TablaSTOCKINV[[#This Row],[P.UNITARIO]]*TablaSTOCKINV[[#This Row],[CANT. TOTAL]]</f>
        <v>0</v>
      </c>
      <c r="S875" s="44">
        <f>_xlfn.XLOOKUP(TablaSTOCKINV[[#This Row],[SKU]],TablaINVENTARIO[SKU],TablaINVENTARIO[FECHA INGRESO])</f>
        <v>46023</v>
      </c>
      <c r="T875" s="44">
        <f>_xlfn.XLOOKUP(TablaSTOCKINV[[#This Row],[SKU]],TablaENTRADA[SKU],TablaENTRADA[FECHA],,0,-1)</f>
        <v>46023</v>
      </c>
      <c r="U875" s="46" t="str">
        <f>IFERROR((_xlfn.XLOOKUP(TablaSTOCKINV[[#This Row],[SKU]],TablaSALIDA[SKU],TablaSALIDA[FECHA],,0,-1))," " )</f>
        <v xml:space="preserve"> </v>
      </c>
    </row>
    <row r="876" spans="1:21" x14ac:dyDescent="0.3">
      <c r="A876" s="27" t="s">
        <v>825</v>
      </c>
      <c r="B876" s="32" t="str">
        <f>_xlfn.XLOOKUP(TablaSTOCKINV[[#This Row],[SKU]],TablaINVENTARIO[SKU],TablaINVENTARIO[DESCRIPCION])</f>
        <v xml:space="preserve">TORNILLO DE ACERO CON ARANDELA PARA SOPORTE DE TRANSMISOR </v>
      </c>
      <c r="C876" s="32" t="str">
        <f>_xlfn.XLOOKUP(TablaSTOCKINV[[#This Row],[SKU]],TablaINVENTARIO[SKU],TablaINVENTARIO[MARCA])</f>
        <v>N/A</v>
      </c>
      <c r="D876" s="33" t="str">
        <f>_xlfn.XLOOKUP(TablaSTOCKINV[[#This Row],[SKU]],TablaINVENTARIO[SKU],TablaINVENTARIO[CATEGORIA])</f>
        <v>FABRICACION</v>
      </c>
      <c r="E876" s="33" t="str">
        <f>_xlfn.XLOOKUP(TablaSTOCKINV[[#This Row],[SKU]],TablaINVENTARIO[SKU],TablaINVENTARIO[SUBCATEGORIA])</f>
        <v>MATERIAL MECANICO</v>
      </c>
      <c r="F876" s="33" t="str">
        <f>_xlfn.XLOOKUP(TablaSTOCKINV[[#This Row],[SKU]],TablaINVENTARIO[SKU],TablaINVENTARIO[ESTADO])</f>
        <v>USADO</v>
      </c>
      <c r="G876" s="33" t="str">
        <f>_xlfn.XLOOKUP(TablaSTOCKINV[[#This Row],[SKU]],TablaINVENTARIO[SKU],TablaINVENTARIO[MEDIDA])</f>
        <v>UND</v>
      </c>
      <c r="H876" s="33" t="str">
        <f>_xlfn.XLOOKUP(TablaSTOCKINV[[#This Row],[SKU]],TablaINVENTARIO[SKU],TablaINVENTARIO[SERIAL])</f>
        <v>N/A</v>
      </c>
      <c r="I876" s="34" t="str">
        <f>_xlfn.XLOOKUP(TablaSTOCKINV[[#This Row],[SKU]],TablaINVENTARIO[SKU],TablaINVENTARIO[ALMACEN])</f>
        <v>ALMACEN PRINCIPAL</v>
      </c>
      <c r="J876" s="34" t="str">
        <f>_xlfn.XLOOKUP(TablaSTOCKINV[[#This Row],[SKU]],TablaINVENTARIO[SKU],TablaINVENTARIO[UBICACION])</f>
        <v>I3-1</v>
      </c>
      <c r="K876" s="34" t="str">
        <f>_xlfn.XLOOKUP(TablaSTOCKINV[[#This Row],[SKU]],TablaINVENTARIO[SKU],TablaINVENTARIO[DPTO RESPONSABLE])</f>
        <v>OPERACIONES</v>
      </c>
      <c r="L876" s="36">
        <f>_xlfn.XLOOKUP(TablaSTOCKINV[[#This Row],[SKU]],TablaINVENTARIO[SKU],TablaINVENTARIO[RANGO MIN])</f>
        <v>0</v>
      </c>
      <c r="M876" s="34" cm="1">
        <f t="array" ref="M876">_xlfn.IFS(TablaSTOCKINV[[#This Row],[CANT. TOTAL]]&lt;=0,1,TablaSTOCKINV[[#This Row],[CANT. TOTAL]]&lt;=TablaSTOCKINV[[#This Row],[MIN]],2,TablaSTOCKINV[[#This Row],[CANT. TOTAL]]&gt;TablaSTOCKINV[[#This Row],[MIN]],3)</f>
        <v>3</v>
      </c>
      <c r="N876" s="34">
        <f>TablaSTOCKINV[[#This Row],[ENTRADAS]]-TablaSTOCKINV[[#This Row],[SALIDAS]]</f>
        <v>2</v>
      </c>
      <c r="O876" s="35">
        <f>SUMIFS(TablaENTRADA[CANT],TablaENTRADA[SKU],TablaSTOCKINV[[#This Row],[SKU]])</f>
        <v>2</v>
      </c>
      <c r="P876" s="35">
        <f>SUMIFS(TablaSALIDA[CANT],TablaSALIDA[SKU],TablaSTOCKINV[[#This Row],[SKU]])</f>
        <v>0</v>
      </c>
      <c r="Q876" s="34">
        <f>_xlfn.XLOOKUP(TablaSTOCKINV[[#This Row],[SKU]],TablaINVENTARIO[SKU],TablaINVENTARIO[PRECIO])</f>
        <v>0</v>
      </c>
      <c r="R876" s="34">
        <f>TablaSTOCKINV[[#This Row],[P.UNITARIO]]*TablaSTOCKINV[[#This Row],[CANT. TOTAL]]</f>
        <v>0</v>
      </c>
      <c r="S876" s="44">
        <f>_xlfn.XLOOKUP(TablaSTOCKINV[[#This Row],[SKU]],TablaINVENTARIO[SKU],TablaINVENTARIO[FECHA INGRESO])</f>
        <v>46023</v>
      </c>
      <c r="T876" s="44">
        <f>_xlfn.XLOOKUP(TablaSTOCKINV[[#This Row],[SKU]],TablaENTRADA[SKU],TablaENTRADA[FECHA],,0,-1)</f>
        <v>46023</v>
      </c>
      <c r="U876" s="46" t="str">
        <f>IFERROR((_xlfn.XLOOKUP(TablaSTOCKINV[[#This Row],[SKU]],TablaSALIDA[SKU],TablaSALIDA[FECHA],,0,-1))," " )</f>
        <v xml:space="preserve"> </v>
      </c>
    </row>
    <row r="877" spans="1:21" x14ac:dyDescent="0.3">
      <c r="A877" s="27" t="s">
        <v>827</v>
      </c>
      <c r="B877" s="32" t="str">
        <f>_xlfn.XLOOKUP(TablaSTOCKINV[[#This Row],[SKU]],TablaINVENTARIO[SKU],TablaINVENTARIO[DESCRIPCION])</f>
        <v>TORNILLO DE ACERO AL CARBON 3/4</v>
      </c>
      <c r="C877" s="32" t="str">
        <f>_xlfn.XLOOKUP(TablaSTOCKINV[[#This Row],[SKU]],TablaINVENTARIO[SKU],TablaINVENTARIO[MARCA])</f>
        <v>N/A</v>
      </c>
      <c r="D877" s="33" t="str">
        <f>_xlfn.XLOOKUP(TablaSTOCKINV[[#This Row],[SKU]],TablaINVENTARIO[SKU],TablaINVENTARIO[CATEGORIA])</f>
        <v>FABRICACION</v>
      </c>
      <c r="E877" s="33" t="str">
        <f>_xlfn.XLOOKUP(TablaSTOCKINV[[#This Row],[SKU]],TablaINVENTARIO[SKU],TablaINVENTARIO[SUBCATEGORIA])</f>
        <v>MATERIAL MECANICO</v>
      </c>
      <c r="F877" s="33" t="str">
        <f>_xlfn.XLOOKUP(TablaSTOCKINV[[#This Row],[SKU]],TablaINVENTARIO[SKU],TablaINVENTARIO[ESTADO])</f>
        <v>USADO</v>
      </c>
      <c r="G877" s="33" t="str">
        <f>_xlfn.XLOOKUP(TablaSTOCKINV[[#This Row],[SKU]],TablaINVENTARIO[SKU],TablaINVENTARIO[MEDIDA])</f>
        <v>UND</v>
      </c>
      <c r="H877" s="33" t="str">
        <f>_xlfn.XLOOKUP(TablaSTOCKINV[[#This Row],[SKU]],TablaINVENTARIO[SKU],TablaINVENTARIO[SERIAL])</f>
        <v>N/A</v>
      </c>
      <c r="I877" s="34" t="str">
        <f>_xlfn.XLOOKUP(TablaSTOCKINV[[#This Row],[SKU]],TablaINVENTARIO[SKU],TablaINVENTARIO[ALMACEN])</f>
        <v>ALMACEN PRINCIPAL</v>
      </c>
      <c r="J877" s="34" t="str">
        <f>_xlfn.XLOOKUP(TablaSTOCKINV[[#This Row],[SKU]],TablaINVENTARIO[SKU],TablaINVENTARIO[UBICACION])</f>
        <v>I3-2</v>
      </c>
      <c r="K877" s="34" t="str">
        <f>_xlfn.XLOOKUP(TablaSTOCKINV[[#This Row],[SKU]],TablaINVENTARIO[SKU],TablaINVENTARIO[DPTO RESPONSABLE])</f>
        <v>OPERACIONES</v>
      </c>
      <c r="L877" s="36">
        <f>_xlfn.XLOOKUP(TablaSTOCKINV[[#This Row],[SKU]],TablaINVENTARIO[SKU],TablaINVENTARIO[RANGO MIN])</f>
        <v>0</v>
      </c>
      <c r="M877" s="34" cm="1">
        <f t="array" ref="M877">_xlfn.IFS(TablaSTOCKINV[[#This Row],[CANT. TOTAL]]&lt;=0,1,TablaSTOCKINV[[#This Row],[CANT. TOTAL]]&lt;=TablaSTOCKINV[[#This Row],[MIN]],2,TablaSTOCKINV[[#This Row],[CANT. TOTAL]]&gt;TablaSTOCKINV[[#This Row],[MIN]],3)</f>
        <v>3</v>
      </c>
      <c r="N877" s="34">
        <f>TablaSTOCKINV[[#This Row],[ENTRADAS]]-TablaSTOCKINV[[#This Row],[SALIDAS]]</f>
        <v>3</v>
      </c>
      <c r="O877" s="35">
        <f>SUMIFS(TablaENTRADA[CANT],TablaENTRADA[SKU],TablaSTOCKINV[[#This Row],[SKU]])</f>
        <v>3</v>
      </c>
      <c r="P877" s="35">
        <f>SUMIFS(TablaSALIDA[CANT],TablaSALIDA[SKU],TablaSTOCKINV[[#This Row],[SKU]])</f>
        <v>0</v>
      </c>
      <c r="Q877" s="34">
        <f>_xlfn.XLOOKUP(TablaSTOCKINV[[#This Row],[SKU]],TablaINVENTARIO[SKU],TablaINVENTARIO[PRECIO])</f>
        <v>0</v>
      </c>
      <c r="R877" s="34">
        <f>TablaSTOCKINV[[#This Row],[P.UNITARIO]]*TablaSTOCKINV[[#This Row],[CANT. TOTAL]]</f>
        <v>0</v>
      </c>
      <c r="S877" s="44">
        <f>_xlfn.XLOOKUP(TablaSTOCKINV[[#This Row],[SKU]],TablaINVENTARIO[SKU],TablaINVENTARIO[FECHA INGRESO])</f>
        <v>46023</v>
      </c>
      <c r="T877" s="44">
        <f>_xlfn.XLOOKUP(TablaSTOCKINV[[#This Row],[SKU]],TablaENTRADA[SKU],TablaENTRADA[FECHA],,0,-1)</f>
        <v>46023</v>
      </c>
      <c r="U877" s="46" t="str">
        <f>IFERROR((_xlfn.XLOOKUP(TablaSTOCKINV[[#This Row],[SKU]],TablaSALIDA[SKU],TablaSALIDA[FECHA],,0,-1))," " )</f>
        <v xml:space="preserve"> </v>
      </c>
    </row>
    <row r="878" spans="1:21" x14ac:dyDescent="0.3">
      <c r="A878" s="27" t="s">
        <v>829</v>
      </c>
      <c r="B878" s="32" t="str">
        <f>_xlfn.XLOOKUP(TablaSTOCKINV[[#This Row],[SKU]],TablaINVENTARIO[SKU],TablaINVENTARIO[DESCRIPCION])</f>
        <v xml:space="preserve">LAMINA DE IDENTIFICACION DE ACERO INOXIDABLE </v>
      </c>
      <c r="C878" s="32" t="str">
        <f>_xlfn.XLOOKUP(TablaSTOCKINV[[#This Row],[SKU]],TablaINVENTARIO[SKU],TablaINVENTARIO[MARCA])</f>
        <v>N/A</v>
      </c>
      <c r="D878" s="33" t="str">
        <f>_xlfn.XLOOKUP(TablaSTOCKINV[[#This Row],[SKU]],TablaINVENTARIO[SKU],TablaINVENTARIO[CATEGORIA])</f>
        <v>FABRICACION</v>
      </c>
      <c r="E878" s="33" t="str">
        <f>_xlfn.XLOOKUP(TablaSTOCKINV[[#This Row],[SKU]],TablaINVENTARIO[SKU],TablaINVENTARIO[SUBCATEGORIA])</f>
        <v>MATERIAL MECANICO</v>
      </c>
      <c r="F878" s="33" t="str">
        <f>_xlfn.XLOOKUP(TablaSTOCKINV[[#This Row],[SKU]],TablaINVENTARIO[SKU],TablaINVENTARIO[ESTADO])</f>
        <v>USADO</v>
      </c>
      <c r="G878" s="33" t="str">
        <f>_xlfn.XLOOKUP(TablaSTOCKINV[[#This Row],[SKU]],TablaINVENTARIO[SKU],TablaINVENTARIO[MEDIDA])</f>
        <v>UND</v>
      </c>
      <c r="H878" s="33" t="str">
        <f>_xlfn.XLOOKUP(TablaSTOCKINV[[#This Row],[SKU]],TablaINVENTARIO[SKU],TablaINVENTARIO[SERIAL])</f>
        <v>N/A</v>
      </c>
      <c r="I878" s="34" t="str">
        <f>_xlfn.XLOOKUP(TablaSTOCKINV[[#This Row],[SKU]],TablaINVENTARIO[SKU],TablaINVENTARIO[ALMACEN])</f>
        <v>ALMACEN PRINCIPAL</v>
      </c>
      <c r="J878" s="34" t="str">
        <f>_xlfn.XLOOKUP(TablaSTOCKINV[[#This Row],[SKU]],TablaINVENTARIO[SKU],TablaINVENTARIO[UBICACION])</f>
        <v>I3-2</v>
      </c>
      <c r="K878" s="34" t="str">
        <f>_xlfn.XLOOKUP(TablaSTOCKINV[[#This Row],[SKU]],TablaINVENTARIO[SKU],TablaINVENTARIO[DPTO RESPONSABLE])</f>
        <v>OPERACIONES</v>
      </c>
      <c r="L878" s="36">
        <f>_xlfn.XLOOKUP(TablaSTOCKINV[[#This Row],[SKU]],TablaINVENTARIO[SKU],TablaINVENTARIO[RANGO MIN])</f>
        <v>0</v>
      </c>
      <c r="M878" s="34" cm="1">
        <f t="array" ref="M878">_xlfn.IFS(TablaSTOCKINV[[#This Row],[CANT. TOTAL]]&lt;=0,1,TablaSTOCKINV[[#This Row],[CANT. TOTAL]]&lt;=TablaSTOCKINV[[#This Row],[MIN]],2,TablaSTOCKINV[[#This Row],[CANT. TOTAL]]&gt;TablaSTOCKINV[[#This Row],[MIN]],3)</f>
        <v>3</v>
      </c>
      <c r="N878" s="34">
        <f>TablaSTOCKINV[[#This Row],[ENTRADAS]]-TablaSTOCKINV[[#This Row],[SALIDAS]]</f>
        <v>5</v>
      </c>
      <c r="O878" s="35">
        <f>SUMIFS(TablaENTRADA[CANT],TablaENTRADA[SKU],TablaSTOCKINV[[#This Row],[SKU]])</f>
        <v>5</v>
      </c>
      <c r="P878" s="35">
        <f>SUMIFS(TablaSALIDA[CANT],TablaSALIDA[SKU],TablaSTOCKINV[[#This Row],[SKU]])</f>
        <v>0</v>
      </c>
      <c r="Q878" s="34">
        <f>_xlfn.XLOOKUP(TablaSTOCKINV[[#This Row],[SKU]],TablaINVENTARIO[SKU],TablaINVENTARIO[PRECIO])</f>
        <v>0</v>
      </c>
      <c r="R878" s="34">
        <f>TablaSTOCKINV[[#This Row],[P.UNITARIO]]*TablaSTOCKINV[[#This Row],[CANT. TOTAL]]</f>
        <v>0</v>
      </c>
      <c r="S878" s="44">
        <f>_xlfn.XLOOKUP(TablaSTOCKINV[[#This Row],[SKU]],TablaINVENTARIO[SKU],TablaINVENTARIO[FECHA INGRESO])</f>
        <v>46023</v>
      </c>
      <c r="T878" s="44">
        <f>_xlfn.XLOOKUP(TablaSTOCKINV[[#This Row],[SKU]],TablaENTRADA[SKU],TablaENTRADA[FECHA],,0,-1)</f>
        <v>46023</v>
      </c>
      <c r="U878" s="46" t="str">
        <f>IFERROR((_xlfn.XLOOKUP(TablaSTOCKINV[[#This Row],[SKU]],TablaSALIDA[SKU],TablaSALIDA[FECHA],,0,-1))," " )</f>
        <v xml:space="preserve"> </v>
      </c>
    </row>
    <row r="879" spans="1:21" x14ac:dyDescent="0.3">
      <c r="A879" s="27" t="s">
        <v>831</v>
      </c>
      <c r="B879" s="32" t="str">
        <f>_xlfn.XLOOKUP(TablaSTOCKINV[[#This Row],[SKU]],TablaINVENTARIO[SKU],TablaINVENTARIO[DESCRIPCION])</f>
        <v>LAMINA PARA SUJETAR BRAZO DE TRANSMISOR</v>
      </c>
      <c r="C879" s="32" t="str">
        <f>_xlfn.XLOOKUP(TablaSTOCKINV[[#This Row],[SKU]],TablaINVENTARIO[SKU],TablaINVENTARIO[MARCA])</f>
        <v>N/A</v>
      </c>
      <c r="D879" s="33" t="str">
        <f>_xlfn.XLOOKUP(TablaSTOCKINV[[#This Row],[SKU]],TablaINVENTARIO[SKU],TablaINVENTARIO[CATEGORIA])</f>
        <v>FABRICACION</v>
      </c>
      <c r="E879" s="33" t="str">
        <f>_xlfn.XLOOKUP(TablaSTOCKINV[[#This Row],[SKU]],TablaINVENTARIO[SKU],TablaINVENTARIO[SUBCATEGORIA])</f>
        <v>MATERIAL MECANICO</v>
      </c>
      <c r="F879" s="33" t="str">
        <f>_xlfn.XLOOKUP(TablaSTOCKINV[[#This Row],[SKU]],TablaINVENTARIO[SKU],TablaINVENTARIO[ESTADO])</f>
        <v>USADO</v>
      </c>
      <c r="G879" s="33" t="str">
        <f>_xlfn.XLOOKUP(TablaSTOCKINV[[#This Row],[SKU]],TablaINVENTARIO[SKU],TablaINVENTARIO[MEDIDA])</f>
        <v>UND</v>
      </c>
      <c r="H879" s="33" t="str">
        <f>_xlfn.XLOOKUP(TablaSTOCKINV[[#This Row],[SKU]],TablaINVENTARIO[SKU],TablaINVENTARIO[SERIAL])</f>
        <v>N/A</v>
      </c>
      <c r="I879" s="34" t="str">
        <f>_xlfn.XLOOKUP(TablaSTOCKINV[[#This Row],[SKU]],TablaINVENTARIO[SKU],TablaINVENTARIO[ALMACEN])</f>
        <v>ALMACEN PRINCIPAL</v>
      </c>
      <c r="J879" s="34" t="str">
        <f>_xlfn.XLOOKUP(TablaSTOCKINV[[#This Row],[SKU]],TablaINVENTARIO[SKU],TablaINVENTARIO[UBICACION])</f>
        <v>I3-2</v>
      </c>
      <c r="K879" s="34" t="str">
        <f>_xlfn.XLOOKUP(TablaSTOCKINV[[#This Row],[SKU]],TablaINVENTARIO[SKU],TablaINVENTARIO[DPTO RESPONSABLE])</f>
        <v>OPERACIONES</v>
      </c>
      <c r="L879" s="36">
        <f>_xlfn.XLOOKUP(TablaSTOCKINV[[#This Row],[SKU]],TablaINVENTARIO[SKU],TablaINVENTARIO[RANGO MIN])</f>
        <v>0</v>
      </c>
      <c r="M879" s="34" cm="1">
        <f t="array" ref="M879">_xlfn.IFS(TablaSTOCKINV[[#This Row],[CANT. TOTAL]]&lt;=0,1,TablaSTOCKINV[[#This Row],[CANT. TOTAL]]&lt;=TablaSTOCKINV[[#This Row],[MIN]],2,TablaSTOCKINV[[#This Row],[CANT. TOTAL]]&gt;TablaSTOCKINV[[#This Row],[MIN]],3)</f>
        <v>3</v>
      </c>
      <c r="N879" s="34">
        <f>TablaSTOCKINV[[#This Row],[ENTRADAS]]-TablaSTOCKINV[[#This Row],[SALIDAS]]</f>
        <v>9</v>
      </c>
      <c r="O879" s="35">
        <f>SUMIFS(TablaENTRADA[CANT],TablaENTRADA[SKU],TablaSTOCKINV[[#This Row],[SKU]])</f>
        <v>9</v>
      </c>
      <c r="P879" s="35">
        <f>SUMIFS(TablaSALIDA[CANT],TablaSALIDA[SKU],TablaSTOCKINV[[#This Row],[SKU]])</f>
        <v>0</v>
      </c>
      <c r="Q879" s="34">
        <f>_xlfn.XLOOKUP(TablaSTOCKINV[[#This Row],[SKU]],TablaINVENTARIO[SKU],TablaINVENTARIO[PRECIO])</f>
        <v>0</v>
      </c>
      <c r="R879" s="34">
        <f>TablaSTOCKINV[[#This Row],[P.UNITARIO]]*TablaSTOCKINV[[#This Row],[CANT. TOTAL]]</f>
        <v>0</v>
      </c>
      <c r="S879" s="44">
        <f>_xlfn.XLOOKUP(TablaSTOCKINV[[#This Row],[SKU]],TablaINVENTARIO[SKU],TablaINVENTARIO[FECHA INGRESO])</f>
        <v>46023</v>
      </c>
      <c r="T879" s="44">
        <f>_xlfn.XLOOKUP(TablaSTOCKINV[[#This Row],[SKU]],TablaENTRADA[SKU],TablaENTRADA[FECHA],,0,-1)</f>
        <v>46023</v>
      </c>
      <c r="U879" s="46" t="str">
        <f>IFERROR((_xlfn.XLOOKUP(TablaSTOCKINV[[#This Row],[SKU]],TablaSALIDA[SKU],TablaSALIDA[FECHA],,0,-1))," " )</f>
        <v xml:space="preserve"> </v>
      </c>
    </row>
    <row r="880" spans="1:21" x14ac:dyDescent="0.3">
      <c r="A880" s="27" t="s">
        <v>833</v>
      </c>
      <c r="B880" s="32" t="str">
        <f>_xlfn.XLOOKUP(TablaSTOCKINV[[#This Row],[SKU]],TablaINVENTARIO[SKU],TablaINVENTARIO[DESCRIPCION])</f>
        <v>LAMINA PARA SUJETAR TUBING DE 1/4"</v>
      </c>
      <c r="C880" s="32" t="str">
        <f>_xlfn.XLOOKUP(TablaSTOCKINV[[#This Row],[SKU]],TablaINVENTARIO[SKU],TablaINVENTARIO[MARCA])</f>
        <v>N/A</v>
      </c>
      <c r="D880" s="33" t="str">
        <f>_xlfn.XLOOKUP(TablaSTOCKINV[[#This Row],[SKU]],TablaINVENTARIO[SKU],TablaINVENTARIO[CATEGORIA])</f>
        <v>FABRICACION</v>
      </c>
      <c r="E880" s="33" t="str">
        <f>_xlfn.XLOOKUP(TablaSTOCKINV[[#This Row],[SKU]],TablaINVENTARIO[SKU],TablaINVENTARIO[SUBCATEGORIA])</f>
        <v>MATERIAL MECANICO</v>
      </c>
      <c r="F880" s="33" t="str">
        <f>_xlfn.XLOOKUP(TablaSTOCKINV[[#This Row],[SKU]],TablaINVENTARIO[SKU],TablaINVENTARIO[ESTADO])</f>
        <v>USADO</v>
      </c>
      <c r="G880" s="33" t="str">
        <f>_xlfn.XLOOKUP(TablaSTOCKINV[[#This Row],[SKU]],TablaINVENTARIO[SKU],TablaINVENTARIO[MEDIDA])</f>
        <v>UND</v>
      </c>
      <c r="H880" s="33" t="str">
        <f>_xlfn.XLOOKUP(TablaSTOCKINV[[#This Row],[SKU]],TablaINVENTARIO[SKU],TablaINVENTARIO[SERIAL])</f>
        <v>N/A</v>
      </c>
      <c r="I880" s="34" t="str">
        <f>_xlfn.XLOOKUP(TablaSTOCKINV[[#This Row],[SKU]],TablaINVENTARIO[SKU],TablaINVENTARIO[ALMACEN])</f>
        <v>ALMACEN PRINCIPAL</v>
      </c>
      <c r="J880" s="34" t="str">
        <f>_xlfn.XLOOKUP(TablaSTOCKINV[[#This Row],[SKU]],TablaINVENTARIO[SKU],TablaINVENTARIO[UBICACION])</f>
        <v>I3-2</v>
      </c>
      <c r="K880" s="34" t="str">
        <f>_xlfn.XLOOKUP(TablaSTOCKINV[[#This Row],[SKU]],TablaINVENTARIO[SKU],TablaINVENTARIO[DPTO RESPONSABLE])</f>
        <v>OPERACIONES</v>
      </c>
      <c r="L880" s="36">
        <f>_xlfn.XLOOKUP(TablaSTOCKINV[[#This Row],[SKU]],TablaINVENTARIO[SKU],TablaINVENTARIO[RANGO MIN])</f>
        <v>0</v>
      </c>
      <c r="M880" s="34" cm="1">
        <f t="array" ref="M880">_xlfn.IFS(TablaSTOCKINV[[#This Row],[CANT. TOTAL]]&lt;=0,1,TablaSTOCKINV[[#This Row],[CANT. TOTAL]]&lt;=TablaSTOCKINV[[#This Row],[MIN]],2,TablaSTOCKINV[[#This Row],[CANT. TOTAL]]&gt;TablaSTOCKINV[[#This Row],[MIN]],3)</f>
        <v>3</v>
      </c>
      <c r="N880" s="34">
        <f>TablaSTOCKINV[[#This Row],[ENTRADAS]]-TablaSTOCKINV[[#This Row],[SALIDAS]]</f>
        <v>5</v>
      </c>
      <c r="O880" s="35">
        <f>SUMIFS(TablaENTRADA[CANT],TablaENTRADA[SKU],TablaSTOCKINV[[#This Row],[SKU]])</f>
        <v>5</v>
      </c>
      <c r="P880" s="35">
        <f>SUMIFS(TablaSALIDA[CANT],TablaSALIDA[SKU],TablaSTOCKINV[[#This Row],[SKU]])</f>
        <v>0</v>
      </c>
      <c r="Q880" s="34">
        <f>_xlfn.XLOOKUP(TablaSTOCKINV[[#This Row],[SKU]],TablaINVENTARIO[SKU],TablaINVENTARIO[PRECIO])</f>
        <v>0</v>
      </c>
      <c r="R880" s="34">
        <f>TablaSTOCKINV[[#This Row],[P.UNITARIO]]*TablaSTOCKINV[[#This Row],[CANT. TOTAL]]</f>
        <v>0</v>
      </c>
      <c r="S880" s="44">
        <f>_xlfn.XLOOKUP(TablaSTOCKINV[[#This Row],[SKU]],TablaINVENTARIO[SKU],TablaINVENTARIO[FECHA INGRESO])</f>
        <v>46023</v>
      </c>
      <c r="T880" s="44">
        <f>_xlfn.XLOOKUP(TablaSTOCKINV[[#This Row],[SKU]],TablaENTRADA[SKU],TablaENTRADA[FECHA],,0,-1)</f>
        <v>46023</v>
      </c>
      <c r="U880" s="46" t="str">
        <f>IFERROR((_xlfn.XLOOKUP(TablaSTOCKINV[[#This Row],[SKU]],TablaSALIDA[SKU],TablaSALIDA[FECHA],,0,-1))," " )</f>
        <v xml:space="preserve"> </v>
      </c>
    </row>
    <row r="881" spans="1:21" x14ac:dyDescent="0.3">
      <c r="A881" s="27" t="s">
        <v>835</v>
      </c>
      <c r="B881" s="32" t="str">
        <f>_xlfn.XLOOKUP(TablaSTOCKINV[[#This Row],[SKU]],TablaINVENTARIO[SKU],TablaINVENTARIO[DESCRIPCION])</f>
        <v>LAMINA TIPO C PARA SUJETAR - MULTIUSOS</v>
      </c>
      <c r="C881" s="32" t="str">
        <f>_xlfn.XLOOKUP(TablaSTOCKINV[[#This Row],[SKU]],TablaINVENTARIO[SKU],TablaINVENTARIO[MARCA])</f>
        <v>N/A</v>
      </c>
      <c r="D881" s="33" t="str">
        <f>_xlfn.XLOOKUP(TablaSTOCKINV[[#This Row],[SKU]],TablaINVENTARIO[SKU],TablaINVENTARIO[CATEGORIA])</f>
        <v>FABRICACION</v>
      </c>
      <c r="E881" s="33" t="str">
        <f>_xlfn.XLOOKUP(TablaSTOCKINV[[#This Row],[SKU]],TablaINVENTARIO[SKU],TablaINVENTARIO[SUBCATEGORIA])</f>
        <v>MATERIAL MECANICO</v>
      </c>
      <c r="F881" s="33" t="str">
        <f>_xlfn.XLOOKUP(TablaSTOCKINV[[#This Row],[SKU]],TablaINVENTARIO[SKU],TablaINVENTARIO[ESTADO])</f>
        <v>USADO</v>
      </c>
      <c r="G881" s="33" t="str">
        <f>_xlfn.XLOOKUP(TablaSTOCKINV[[#This Row],[SKU]],TablaINVENTARIO[SKU],TablaINVENTARIO[MEDIDA])</f>
        <v>UND</v>
      </c>
      <c r="H881" s="33" t="str">
        <f>_xlfn.XLOOKUP(TablaSTOCKINV[[#This Row],[SKU]],TablaINVENTARIO[SKU],TablaINVENTARIO[SERIAL])</f>
        <v>N/A</v>
      </c>
      <c r="I881" s="34" t="str">
        <f>_xlfn.XLOOKUP(TablaSTOCKINV[[#This Row],[SKU]],TablaINVENTARIO[SKU],TablaINVENTARIO[ALMACEN])</f>
        <v>ALMACEN PRINCIPAL</v>
      </c>
      <c r="J881" s="34" t="str">
        <f>_xlfn.XLOOKUP(TablaSTOCKINV[[#This Row],[SKU]],TablaINVENTARIO[SKU],TablaINVENTARIO[UBICACION])</f>
        <v>I3-2</v>
      </c>
      <c r="K881" s="34" t="str">
        <f>_xlfn.XLOOKUP(TablaSTOCKINV[[#This Row],[SKU]],TablaINVENTARIO[SKU],TablaINVENTARIO[DPTO RESPONSABLE])</f>
        <v>OPERACIONES</v>
      </c>
      <c r="L881" s="36">
        <f>_xlfn.XLOOKUP(TablaSTOCKINV[[#This Row],[SKU]],TablaINVENTARIO[SKU],TablaINVENTARIO[RANGO MIN])</f>
        <v>0</v>
      </c>
      <c r="M881" s="34" cm="1">
        <f t="array" ref="M881">_xlfn.IFS(TablaSTOCKINV[[#This Row],[CANT. TOTAL]]&lt;=0,1,TablaSTOCKINV[[#This Row],[CANT. TOTAL]]&lt;=TablaSTOCKINV[[#This Row],[MIN]],2,TablaSTOCKINV[[#This Row],[CANT. TOTAL]]&gt;TablaSTOCKINV[[#This Row],[MIN]],3)</f>
        <v>3</v>
      </c>
      <c r="N881" s="34">
        <f>TablaSTOCKINV[[#This Row],[ENTRADAS]]-TablaSTOCKINV[[#This Row],[SALIDAS]]</f>
        <v>4</v>
      </c>
      <c r="O881" s="35">
        <f>SUMIFS(TablaENTRADA[CANT],TablaENTRADA[SKU],TablaSTOCKINV[[#This Row],[SKU]])</f>
        <v>4</v>
      </c>
      <c r="P881" s="35">
        <f>SUMIFS(TablaSALIDA[CANT],TablaSALIDA[SKU],TablaSTOCKINV[[#This Row],[SKU]])</f>
        <v>0</v>
      </c>
      <c r="Q881" s="34">
        <f>_xlfn.XLOOKUP(TablaSTOCKINV[[#This Row],[SKU]],TablaINVENTARIO[SKU],TablaINVENTARIO[PRECIO])</f>
        <v>0</v>
      </c>
      <c r="R881" s="34">
        <f>TablaSTOCKINV[[#This Row],[P.UNITARIO]]*TablaSTOCKINV[[#This Row],[CANT. TOTAL]]</f>
        <v>0</v>
      </c>
      <c r="S881" s="44">
        <f>_xlfn.XLOOKUP(TablaSTOCKINV[[#This Row],[SKU]],TablaINVENTARIO[SKU],TablaINVENTARIO[FECHA INGRESO])</f>
        <v>46023</v>
      </c>
      <c r="T881" s="44">
        <f>_xlfn.XLOOKUP(TablaSTOCKINV[[#This Row],[SKU]],TablaENTRADA[SKU],TablaENTRADA[FECHA],,0,-1)</f>
        <v>46023</v>
      </c>
      <c r="U881" s="46" t="str">
        <f>IFERROR((_xlfn.XLOOKUP(TablaSTOCKINV[[#This Row],[SKU]],TablaSALIDA[SKU],TablaSALIDA[FECHA],,0,-1))," " )</f>
        <v xml:space="preserve"> </v>
      </c>
    </row>
    <row r="882" spans="1:21" x14ac:dyDescent="0.3">
      <c r="A882" s="27" t="s">
        <v>837</v>
      </c>
      <c r="B882" s="32" t="str">
        <f>_xlfn.XLOOKUP(TablaSTOCKINV[[#This Row],[SKU]],TablaINVENTARIO[SKU],TablaINVENTARIO[DESCRIPCION])</f>
        <v xml:space="preserve">LAMINILLA PERFORADA PARA MULTIUSOS </v>
      </c>
      <c r="C882" s="32" t="str">
        <f>_xlfn.XLOOKUP(TablaSTOCKINV[[#This Row],[SKU]],TablaINVENTARIO[SKU],TablaINVENTARIO[MARCA])</f>
        <v>N/A</v>
      </c>
      <c r="D882" s="33" t="str">
        <f>_xlfn.XLOOKUP(TablaSTOCKINV[[#This Row],[SKU]],TablaINVENTARIO[SKU],TablaINVENTARIO[CATEGORIA])</f>
        <v>FABRICACION</v>
      </c>
      <c r="E882" s="33" t="str">
        <f>_xlfn.XLOOKUP(TablaSTOCKINV[[#This Row],[SKU]],TablaINVENTARIO[SKU],TablaINVENTARIO[SUBCATEGORIA])</f>
        <v>MATERIAL MECANICO</v>
      </c>
      <c r="F882" s="33" t="str">
        <f>_xlfn.XLOOKUP(TablaSTOCKINV[[#This Row],[SKU]],TablaINVENTARIO[SKU],TablaINVENTARIO[ESTADO])</f>
        <v>USADO</v>
      </c>
      <c r="G882" s="33" t="str">
        <f>_xlfn.XLOOKUP(TablaSTOCKINV[[#This Row],[SKU]],TablaINVENTARIO[SKU],TablaINVENTARIO[MEDIDA])</f>
        <v>UND</v>
      </c>
      <c r="H882" s="33" t="str">
        <f>_xlfn.XLOOKUP(TablaSTOCKINV[[#This Row],[SKU]],TablaINVENTARIO[SKU],TablaINVENTARIO[SERIAL])</f>
        <v>N/A</v>
      </c>
      <c r="I882" s="34" t="str">
        <f>_xlfn.XLOOKUP(TablaSTOCKINV[[#This Row],[SKU]],TablaINVENTARIO[SKU],TablaINVENTARIO[ALMACEN])</f>
        <v>ALMACEN PRINCIPAL</v>
      </c>
      <c r="J882" s="34" t="str">
        <f>_xlfn.XLOOKUP(TablaSTOCKINV[[#This Row],[SKU]],TablaINVENTARIO[SKU],TablaINVENTARIO[UBICACION])</f>
        <v>I3-2</v>
      </c>
      <c r="K882" s="34" t="str">
        <f>_xlfn.XLOOKUP(TablaSTOCKINV[[#This Row],[SKU]],TablaINVENTARIO[SKU],TablaINVENTARIO[DPTO RESPONSABLE])</f>
        <v>OPERACIONES</v>
      </c>
      <c r="L882" s="36">
        <f>_xlfn.XLOOKUP(TablaSTOCKINV[[#This Row],[SKU]],TablaINVENTARIO[SKU],TablaINVENTARIO[RANGO MIN])</f>
        <v>0</v>
      </c>
      <c r="M882" s="34" cm="1">
        <f t="array" ref="M882">_xlfn.IFS(TablaSTOCKINV[[#This Row],[CANT. TOTAL]]&lt;=0,1,TablaSTOCKINV[[#This Row],[CANT. TOTAL]]&lt;=TablaSTOCKINV[[#This Row],[MIN]],2,TablaSTOCKINV[[#This Row],[CANT. TOTAL]]&gt;TablaSTOCKINV[[#This Row],[MIN]],3)</f>
        <v>3</v>
      </c>
      <c r="N882" s="34">
        <f>TablaSTOCKINV[[#This Row],[ENTRADAS]]-TablaSTOCKINV[[#This Row],[SALIDAS]]</f>
        <v>6</v>
      </c>
      <c r="O882" s="35">
        <f>SUMIFS(TablaENTRADA[CANT],TablaENTRADA[SKU],TablaSTOCKINV[[#This Row],[SKU]])</f>
        <v>6</v>
      </c>
      <c r="P882" s="35">
        <f>SUMIFS(TablaSALIDA[CANT],TablaSALIDA[SKU],TablaSTOCKINV[[#This Row],[SKU]])</f>
        <v>0</v>
      </c>
      <c r="Q882" s="34">
        <f>_xlfn.XLOOKUP(TablaSTOCKINV[[#This Row],[SKU]],TablaINVENTARIO[SKU],TablaINVENTARIO[PRECIO])</f>
        <v>0</v>
      </c>
      <c r="R882" s="34">
        <f>TablaSTOCKINV[[#This Row],[P.UNITARIO]]*TablaSTOCKINV[[#This Row],[CANT. TOTAL]]</f>
        <v>0</v>
      </c>
      <c r="S882" s="44">
        <f>_xlfn.XLOOKUP(TablaSTOCKINV[[#This Row],[SKU]],TablaINVENTARIO[SKU],TablaINVENTARIO[FECHA INGRESO])</f>
        <v>46023</v>
      </c>
      <c r="T882" s="44">
        <f>_xlfn.XLOOKUP(TablaSTOCKINV[[#This Row],[SKU]],TablaENTRADA[SKU],TablaENTRADA[FECHA],,0,-1)</f>
        <v>46023</v>
      </c>
      <c r="U882" s="46" t="str">
        <f>IFERROR((_xlfn.XLOOKUP(TablaSTOCKINV[[#This Row],[SKU]],TablaSALIDA[SKU],TablaSALIDA[FECHA],,0,-1))," " )</f>
        <v xml:space="preserve"> </v>
      </c>
    </row>
    <row r="883" spans="1:21" x14ac:dyDescent="0.3">
      <c r="A883" s="27" t="s">
        <v>839</v>
      </c>
      <c r="B883" s="32" t="str">
        <f>_xlfn.XLOOKUP(TablaSTOCKINV[[#This Row],[SKU]],TablaINVENTARIO[SKU],TablaINVENTARIO[DESCRIPCION])</f>
        <v>LAMINA SUJETADOR DE PING DE OVALO</v>
      </c>
      <c r="C883" s="32" t="str">
        <f>_xlfn.XLOOKUP(TablaSTOCKINV[[#This Row],[SKU]],TablaINVENTARIO[SKU],TablaINVENTARIO[MARCA])</f>
        <v>N/A</v>
      </c>
      <c r="D883" s="33" t="str">
        <f>_xlfn.XLOOKUP(TablaSTOCKINV[[#This Row],[SKU]],TablaINVENTARIO[SKU],TablaINVENTARIO[CATEGORIA])</f>
        <v>FABRICACION</v>
      </c>
      <c r="E883" s="33" t="str">
        <f>_xlfn.XLOOKUP(TablaSTOCKINV[[#This Row],[SKU]],TablaINVENTARIO[SKU],TablaINVENTARIO[SUBCATEGORIA])</f>
        <v>MATERIAL MECANICO</v>
      </c>
      <c r="F883" s="33" t="str">
        <f>_xlfn.XLOOKUP(TablaSTOCKINV[[#This Row],[SKU]],TablaINVENTARIO[SKU],TablaINVENTARIO[ESTADO])</f>
        <v>USADO</v>
      </c>
      <c r="G883" s="33" t="str">
        <f>_xlfn.XLOOKUP(TablaSTOCKINV[[#This Row],[SKU]],TablaINVENTARIO[SKU],TablaINVENTARIO[MEDIDA])</f>
        <v>UND</v>
      </c>
      <c r="H883" s="33" t="str">
        <f>_xlfn.XLOOKUP(TablaSTOCKINV[[#This Row],[SKU]],TablaINVENTARIO[SKU],TablaINVENTARIO[SERIAL])</f>
        <v>N/A</v>
      </c>
      <c r="I883" s="34" t="str">
        <f>_xlfn.XLOOKUP(TablaSTOCKINV[[#This Row],[SKU]],TablaINVENTARIO[SKU],TablaINVENTARIO[ALMACEN])</f>
        <v>ALMACEN PRINCIPAL</v>
      </c>
      <c r="J883" s="34" t="str">
        <f>_xlfn.XLOOKUP(TablaSTOCKINV[[#This Row],[SKU]],TablaINVENTARIO[SKU],TablaINVENTARIO[UBICACION])</f>
        <v>I3-2</v>
      </c>
      <c r="K883" s="34" t="str">
        <f>_xlfn.XLOOKUP(TablaSTOCKINV[[#This Row],[SKU]],TablaINVENTARIO[SKU],TablaINVENTARIO[DPTO RESPONSABLE])</f>
        <v>OPERACIONES</v>
      </c>
      <c r="L883" s="36">
        <f>_xlfn.XLOOKUP(TablaSTOCKINV[[#This Row],[SKU]],TablaINVENTARIO[SKU],TablaINVENTARIO[RANGO MIN])</f>
        <v>0</v>
      </c>
      <c r="M883" s="34" cm="1">
        <f t="array" ref="M883">_xlfn.IFS(TablaSTOCKINV[[#This Row],[CANT. TOTAL]]&lt;=0,1,TablaSTOCKINV[[#This Row],[CANT. TOTAL]]&lt;=TablaSTOCKINV[[#This Row],[MIN]],2,TablaSTOCKINV[[#This Row],[CANT. TOTAL]]&gt;TablaSTOCKINV[[#This Row],[MIN]],3)</f>
        <v>3</v>
      </c>
      <c r="N883" s="34">
        <f>TablaSTOCKINV[[#This Row],[ENTRADAS]]-TablaSTOCKINV[[#This Row],[SALIDAS]]</f>
        <v>1</v>
      </c>
      <c r="O883" s="35">
        <f>SUMIFS(TablaENTRADA[CANT],TablaENTRADA[SKU],TablaSTOCKINV[[#This Row],[SKU]])</f>
        <v>1</v>
      </c>
      <c r="P883" s="35">
        <f>SUMIFS(TablaSALIDA[CANT],TablaSALIDA[SKU],TablaSTOCKINV[[#This Row],[SKU]])</f>
        <v>0</v>
      </c>
      <c r="Q883" s="34">
        <f>_xlfn.XLOOKUP(TablaSTOCKINV[[#This Row],[SKU]],TablaINVENTARIO[SKU],TablaINVENTARIO[PRECIO])</f>
        <v>0</v>
      </c>
      <c r="R883" s="34">
        <f>TablaSTOCKINV[[#This Row],[P.UNITARIO]]*TablaSTOCKINV[[#This Row],[CANT. TOTAL]]</f>
        <v>0</v>
      </c>
      <c r="S883" s="44">
        <f>_xlfn.XLOOKUP(TablaSTOCKINV[[#This Row],[SKU]],TablaINVENTARIO[SKU],TablaINVENTARIO[FECHA INGRESO])</f>
        <v>46023</v>
      </c>
      <c r="T883" s="44">
        <f>_xlfn.XLOOKUP(TablaSTOCKINV[[#This Row],[SKU]],TablaENTRADA[SKU],TablaENTRADA[FECHA],,0,-1)</f>
        <v>46023</v>
      </c>
      <c r="U883" s="46" t="str">
        <f>IFERROR((_xlfn.XLOOKUP(TablaSTOCKINV[[#This Row],[SKU]],TablaSALIDA[SKU],TablaSALIDA[FECHA],,0,-1))," " )</f>
        <v xml:space="preserve"> </v>
      </c>
    </row>
    <row r="884" spans="1:21" x14ac:dyDescent="0.3">
      <c r="A884" s="27" t="s">
        <v>841</v>
      </c>
      <c r="B884" s="32" t="str">
        <f>_xlfn.XLOOKUP(TablaSTOCKINV[[#This Row],[SKU]],TablaINVENTARIO[SKU],TablaINVENTARIO[DESCRIPCION])</f>
        <v xml:space="preserve">LAMINILLA DE BRONCE PARA CAJETIN ELECTRICO </v>
      </c>
      <c r="C884" s="32" t="str">
        <f>_xlfn.XLOOKUP(TablaSTOCKINV[[#This Row],[SKU]],TablaINVENTARIO[SKU],TablaINVENTARIO[MARCA])</f>
        <v>N/A</v>
      </c>
      <c r="D884" s="33" t="str">
        <f>_xlfn.XLOOKUP(TablaSTOCKINV[[#This Row],[SKU]],TablaINVENTARIO[SKU],TablaINVENTARIO[CATEGORIA])</f>
        <v>FABRICACION</v>
      </c>
      <c r="E884" s="33" t="str">
        <f>_xlfn.XLOOKUP(TablaSTOCKINV[[#This Row],[SKU]],TablaINVENTARIO[SKU],TablaINVENTARIO[SUBCATEGORIA])</f>
        <v>MATERIAL MECANICO</v>
      </c>
      <c r="F884" s="33" t="str">
        <f>_xlfn.XLOOKUP(TablaSTOCKINV[[#This Row],[SKU]],TablaINVENTARIO[SKU],TablaINVENTARIO[ESTADO])</f>
        <v>USADO</v>
      </c>
      <c r="G884" s="33" t="str">
        <f>_xlfn.XLOOKUP(TablaSTOCKINV[[#This Row],[SKU]],TablaINVENTARIO[SKU],TablaINVENTARIO[MEDIDA])</f>
        <v>UND</v>
      </c>
      <c r="H884" s="33" t="str">
        <f>_xlfn.XLOOKUP(TablaSTOCKINV[[#This Row],[SKU]],TablaINVENTARIO[SKU],TablaINVENTARIO[SERIAL])</f>
        <v>N/A</v>
      </c>
      <c r="I884" s="34" t="str">
        <f>_xlfn.XLOOKUP(TablaSTOCKINV[[#This Row],[SKU]],TablaINVENTARIO[SKU],TablaINVENTARIO[ALMACEN])</f>
        <v>ALMACEN PRINCIPAL</v>
      </c>
      <c r="J884" s="34" t="str">
        <f>_xlfn.XLOOKUP(TablaSTOCKINV[[#This Row],[SKU]],TablaINVENTARIO[SKU],TablaINVENTARIO[UBICACION])</f>
        <v>I3-2</v>
      </c>
      <c r="K884" s="34" t="str">
        <f>_xlfn.XLOOKUP(TablaSTOCKINV[[#This Row],[SKU]],TablaINVENTARIO[SKU],TablaINVENTARIO[DPTO RESPONSABLE])</f>
        <v>OPERACIONES</v>
      </c>
      <c r="L884" s="36">
        <f>_xlfn.XLOOKUP(TablaSTOCKINV[[#This Row],[SKU]],TablaINVENTARIO[SKU],TablaINVENTARIO[RANGO MIN])</f>
        <v>0</v>
      </c>
      <c r="M884" s="34" cm="1">
        <f t="array" ref="M884">_xlfn.IFS(TablaSTOCKINV[[#This Row],[CANT. TOTAL]]&lt;=0,1,TablaSTOCKINV[[#This Row],[CANT. TOTAL]]&lt;=TablaSTOCKINV[[#This Row],[MIN]],2,TablaSTOCKINV[[#This Row],[CANT. TOTAL]]&gt;TablaSTOCKINV[[#This Row],[MIN]],3)</f>
        <v>3</v>
      </c>
      <c r="N884" s="34">
        <f>TablaSTOCKINV[[#This Row],[ENTRADAS]]-TablaSTOCKINV[[#This Row],[SALIDAS]]</f>
        <v>3</v>
      </c>
      <c r="O884" s="35">
        <f>SUMIFS(TablaENTRADA[CANT],TablaENTRADA[SKU],TablaSTOCKINV[[#This Row],[SKU]])</f>
        <v>3</v>
      </c>
      <c r="P884" s="35">
        <f>SUMIFS(TablaSALIDA[CANT],TablaSALIDA[SKU],TablaSTOCKINV[[#This Row],[SKU]])</f>
        <v>0</v>
      </c>
      <c r="Q884" s="34">
        <f>_xlfn.XLOOKUP(TablaSTOCKINV[[#This Row],[SKU]],TablaINVENTARIO[SKU],TablaINVENTARIO[PRECIO])</f>
        <v>0</v>
      </c>
      <c r="R884" s="34">
        <f>TablaSTOCKINV[[#This Row],[P.UNITARIO]]*TablaSTOCKINV[[#This Row],[CANT. TOTAL]]</f>
        <v>0</v>
      </c>
      <c r="S884" s="44">
        <f>_xlfn.XLOOKUP(TablaSTOCKINV[[#This Row],[SKU]],TablaINVENTARIO[SKU],TablaINVENTARIO[FECHA INGRESO])</f>
        <v>46023</v>
      </c>
      <c r="T884" s="44">
        <f>_xlfn.XLOOKUP(TablaSTOCKINV[[#This Row],[SKU]],TablaENTRADA[SKU],TablaENTRADA[FECHA],,0,-1)</f>
        <v>46023</v>
      </c>
      <c r="U884" s="46" t="str">
        <f>IFERROR((_xlfn.XLOOKUP(TablaSTOCKINV[[#This Row],[SKU]],TablaSALIDA[SKU],TablaSALIDA[FECHA],,0,-1))," " )</f>
        <v xml:space="preserve"> </v>
      </c>
    </row>
    <row r="885" spans="1:21" x14ac:dyDescent="0.3">
      <c r="A885" s="27" t="s">
        <v>843</v>
      </c>
      <c r="B885" s="32" t="str">
        <f>_xlfn.XLOOKUP(TablaSTOCKINV[[#This Row],[SKU]],TablaINVENTARIO[SKU],TablaINVENTARIO[DESCRIPCION])</f>
        <v xml:space="preserve">COPILLA DE VALVULA DE PRESION </v>
      </c>
      <c r="C885" s="32" t="str">
        <f>_xlfn.XLOOKUP(TablaSTOCKINV[[#This Row],[SKU]],TablaINVENTARIO[SKU],TablaINVENTARIO[MARCA])</f>
        <v>N/A</v>
      </c>
      <c r="D885" s="33" t="str">
        <f>_xlfn.XLOOKUP(TablaSTOCKINV[[#This Row],[SKU]],TablaINVENTARIO[SKU],TablaINVENTARIO[CATEGORIA])</f>
        <v>FABRICACION</v>
      </c>
      <c r="E885" s="33" t="str">
        <f>_xlfn.XLOOKUP(TablaSTOCKINV[[#This Row],[SKU]],TablaINVENTARIO[SKU],TablaINVENTARIO[SUBCATEGORIA])</f>
        <v>MATERIAL MECANICO</v>
      </c>
      <c r="F885" s="33" t="str">
        <f>_xlfn.XLOOKUP(TablaSTOCKINV[[#This Row],[SKU]],TablaINVENTARIO[SKU],TablaINVENTARIO[ESTADO])</f>
        <v>USADO</v>
      </c>
      <c r="G885" s="33" t="str">
        <f>_xlfn.XLOOKUP(TablaSTOCKINV[[#This Row],[SKU]],TablaINVENTARIO[SKU],TablaINVENTARIO[MEDIDA])</f>
        <v>UND</v>
      </c>
      <c r="H885" s="33" t="str">
        <f>_xlfn.XLOOKUP(TablaSTOCKINV[[#This Row],[SKU]],TablaINVENTARIO[SKU],TablaINVENTARIO[SERIAL])</f>
        <v>N/A</v>
      </c>
      <c r="I885" s="34" t="str">
        <f>_xlfn.XLOOKUP(TablaSTOCKINV[[#This Row],[SKU]],TablaINVENTARIO[SKU],TablaINVENTARIO[ALMACEN])</f>
        <v>ALMACEN PRINCIPAL</v>
      </c>
      <c r="J885" s="34" t="str">
        <f>_xlfn.XLOOKUP(TablaSTOCKINV[[#This Row],[SKU]],TablaINVENTARIO[SKU],TablaINVENTARIO[UBICACION])</f>
        <v>I3-2</v>
      </c>
      <c r="K885" s="34" t="str">
        <f>_xlfn.XLOOKUP(TablaSTOCKINV[[#This Row],[SKU]],TablaINVENTARIO[SKU],TablaINVENTARIO[DPTO RESPONSABLE])</f>
        <v>OPERACIONES</v>
      </c>
      <c r="L885" s="36">
        <f>_xlfn.XLOOKUP(TablaSTOCKINV[[#This Row],[SKU]],TablaINVENTARIO[SKU],TablaINVENTARIO[RANGO MIN])</f>
        <v>0</v>
      </c>
      <c r="M885" s="34" cm="1">
        <f t="array" ref="M885">_xlfn.IFS(TablaSTOCKINV[[#This Row],[CANT. TOTAL]]&lt;=0,1,TablaSTOCKINV[[#This Row],[CANT. TOTAL]]&lt;=TablaSTOCKINV[[#This Row],[MIN]],2,TablaSTOCKINV[[#This Row],[CANT. TOTAL]]&gt;TablaSTOCKINV[[#This Row],[MIN]],3)</f>
        <v>3</v>
      </c>
      <c r="N885" s="34">
        <f>TablaSTOCKINV[[#This Row],[ENTRADAS]]-TablaSTOCKINV[[#This Row],[SALIDAS]]</f>
        <v>1</v>
      </c>
      <c r="O885" s="35">
        <f>SUMIFS(TablaENTRADA[CANT],TablaENTRADA[SKU],TablaSTOCKINV[[#This Row],[SKU]])</f>
        <v>1</v>
      </c>
      <c r="P885" s="35">
        <f>SUMIFS(TablaSALIDA[CANT],TablaSALIDA[SKU],TablaSTOCKINV[[#This Row],[SKU]])</f>
        <v>0</v>
      </c>
      <c r="Q885" s="34">
        <f>_xlfn.XLOOKUP(TablaSTOCKINV[[#This Row],[SKU]],TablaINVENTARIO[SKU],TablaINVENTARIO[PRECIO])</f>
        <v>0</v>
      </c>
      <c r="R885" s="34">
        <f>TablaSTOCKINV[[#This Row],[P.UNITARIO]]*TablaSTOCKINV[[#This Row],[CANT. TOTAL]]</f>
        <v>0</v>
      </c>
      <c r="S885" s="44">
        <f>_xlfn.XLOOKUP(TablaSTOCKINV[[#This Row],[SKU]],TablaINVENTARIO[SKU],TablaINVENTARIO[FECHA INGRESO])</f>
        <v>46023</v>
      </c>
      <c r="T885" s="44">
        <f>_xlfn.XLOOKUP(TablaSTOCKINV[[#This Row],[SKU]],TablaENTRADA[SKU],TablaENTRADA[FECHA],,0,-1)</f>
        <v>46023</v>
      </c>
      <c r="U885" s="46" t="str">
        <f>IFERROR((_xlfn.XLOOKUP(TablaSTOCKINV[[#This Row],[SKU]],TablaSALIDA[SKU],TablaSALIDA[FECHA],,0,-1))," " )</f>
        <v xml:space="preserve"> </v>
      </c>
    </row>
    <row r="886" spans="1:21" x14ac:dyDescent="0.3">
      <c r="A886" s="27" t="s">
        <v>845</v>
      </c>
      <c r="B886" s="32" t="str">
        <f>_xlfn.XLOOKUP(TablaSTOCKINV[[#This Row],[SKU]],TablaINVENTARIO[SKU],TablaINVENTARIO[DESCRIPCION])</f>
        <v xml:space="preserve">LAMINILLA PARA SUJETAR CABLES ELECTRICOS </v>
      </c>
      <c r="C886" s="32" t="str">
        <f>_xlfn.XLOOKUP(TablaSTOCKINV[[#This Row],[SKU]],TablaINVENTARIO[SKU],TablaINVENTARIO[MARCA])</f>
        <v>N/A</v>
      </c>
      <c r="D886" s="33" t="str">
        <f>_xlfn.XLOOKUP(TablaSTOCKINV[[#This Row],[SKU]],TablaINVENTARIO[SKU],TablaINVENTARIO[CATEGORIA])</f>
        <v>FABRICACION</v>
      </c>
      <c r="E886" s="33" t="str">
        <f>_xlfn.XLOOKUP(TablaSTOCKINV[[#This Row],[SKU]],TablaINVENTARIO[SKU],TablaINVENTARIO[SUBCATEGORIA])</f>
        <v>MATERIAL MECANICO</v>
      </c>
      <c r="F886" s="33" t="str">
        <f>_xlfn.XLOOKUP(TablaSTOCKINV[[#This Row],[SKU]],TablaINVENTARIO[SKU],TablaINVENTARIO[ESTADO])</f>
        <v>USADO</v>
      </c>
      <c r="G886" s="33" t="str">
        <f>_xlfn.XLOOKUP(TablaSTOCKINV[[#This Row],[SKU]],TablaINVENTARIO[SKU],TablaINVENTARIO[MEDIDA])</f>
        <v>UND</v>
      </c>
      <c r="H886" s="33" t="str">
        <f>_xlfn.XLOOKUP(TablaSTOCKINV[[#This Row],[SKU]],TablaINVENTARIO[SKU],TablaINVENTARIO[SERIAL])</f>
        <v>N/A</v>
      </c>
      <c r="I886" s="34" t="str">
        <f>_xlfn.XLOOKUP(TablaSTOCKINV[[#This Row],[SKU]],TablaINVENTARIO[SKU],TablaINVENTARIO[ALMACEN])</f>
        <v>ALMACEN PRINCIPAL</v>
      </c>
      <c r="J886" s="34" t="str">
        <f>_xlfn.XLOOKUP(TablaSTOCKINV[[#This Row],[SKU]],TablaINVENTARIO[SKU],TablaINVENTARIO[UBICACION])</f>
        <v>I3-2</v>
      </c>
      <c r="K886" s="34" t="str">
        <f>_xlfn.XLOOKUP(TablaSTOCKINV[[#This Row],[SKU]],TablaINVENTARIO[SKU],TablaINVENTARIO[DPTO RESPONSABLE])</f>
        <v>OPERACIONES</v>
      </c>
      <c r="L886" s="36">
        <f>_xlfn.XLOOKUP(TablaSTOCKINV[[#This Row],[SKU]],TablaINVENTARIO[SKU],TablaINVENTARIO[RANGO MIN])</f>
        <v>0</v>
      </c>
      <c r="M886" s="34" cm="1">
        <f t="array" ref="M886">_xlfn.IFS(TablaSTOCKINV[[#This Row],[CANT. TOTAL]]&lt;=0,1,TablaSTOCKINV[[#This Row],[CANT. TOTAL]]&lt;=TablaSTOCKINV[[#This Row],[MIN]],2,TablaSTOCKINV[[#This Row],[CANT. TOTAL]]&gt;TablaSTOCKINV[[#This Row],[MIN]],3)</f>
        <v>3</v>
      </c>
      <c r="N886" s="34">
        <f>TablaSTOCKINV[[#This Row],[ENTRADAS]]-TablaSTOCKINV[[#This Row],[SALIDAS]]</f>
        <v>6</v>
      </c>
      <c r="O886" s="35">
        <f>SUMIFS(TablaENTRADA[CANT],TablaENTRADA[SKU],TablaSTOCKINV[[#This Row],[SKU]])</f>
        <v>6</v>
      </c>
      <c r="P886" s="35">
        <f>SUMIFS(TablaSALIDA[CANT],TablaSALIDA[SKU],TablaSTOCKINV[[#This Row],[SKU]])</f>
        <v>0</v>
      </c>
      <c r="Q886" s="34">
        <f>_xlfn.XLOOKUP(TablaSTOCKINV[[#This Row],[SKU]],TablaINVENTARIO[SKU],TablaINVENTARIO[PRECIO])</f>
        <v>0</v>
      </c>
      <c r="R886" s="34">
        <f>TablaSTOCKINV[[#This Row],[P.UNITARIO]]*TablaSTOCKINV[[#This Row],[CANT. TOTAL]]</f>
        <v>0</v>
      </c>
      <c r="S886" s="44">
        <f>_xlfn.XLOOKUP(TablaSTOCKINV[[#This Row],[SKU]],TablaINVENTARIO[SKU],TablaINVENTARIO[FECHA INGRESO])</f>
        <v>46023</v>
      </c>
      <c r="T886" s="44">
        <f>_xlfn.XLOOKUP(TablaSTOCKINV[[#This Row],[SKU]],TablaENTRADA[SKU],TablaENTRADA[FECHA],,0,-1)</f>
        <v>46023</v>
      </c>
      <c r="U886" s="46" t="str">
        <f>IFERROR((_xlfn.XLOOKUP(TablaSTOCKINV[[#This Row],[SKU]],TablaSALIDA[SKU],TablaSALIDA[FECHA],,0,-1))," " )</f>
        <v xml:space="preserve"> </v>
      </c>
    </row>
    <row r="887" spans="1:21" x14ac:dyDescent="0.3">
      <c r="A887" s="27" t="s">
        <v>847</v>
      </c>
      <c r="B887" s="32" t="str">
        <f>_xlfn.XLOOKUP(TablaSTOCKINV[[#This Row],[SKU]],TablaINVENTARIO[SKU],TablaINVENTARIO[DESCRIPCION])</f>
        <v xml:space="preserve">ACOPLE MECANICO ACTUADOR </v>
      </c>
      <c r="C887" s="32" t="str">
        <f>_xlfn.XLOOKUP(TablaSTOCKINV[[#This Row],[SKU]],TablaINVENTARIO[SKU],TablaINVENTARIO[MARCA])</f>
        <v>N/A</v>
      </c>
      <c r="D887" s="33" t="str">
        <f>_xlfn.XLOOKUP(TablaSTOCKINV[[#This Row],[SKU]],TablaINVENTARIO[SKU],TablaINVENTARIO[CATEGORIA])</f>
        <v>FABRICACION</v>
      </c>
      <c r="E887" s="33" t="str">
        <f>_xlfn.XLOOKUP(TablaSTOCKINV[[#This Row],[SKU]],TablaINVENTARIO[SKU],TablaINVENTARIO[SUBCATEGORIA])</f>
        <v>MATERIAL MECANICO</v>
      </c>
      <c r="F887" s="33" t="str">
        <f>_xlfn.XLOOKUP(TablaSTOCKINV[[#This Row],[SKU]],TablaINVENTARIO[SKU],TablaINVENTARIO[ESTADO])</f>
        <v>USADO</v>
      </c>
      <c r="G887" s="33" t="str">
        <f>_xlfn.XLOOKUP(TablaSTOCKINV[[#This Row],[SKU]],TablaINVENTARIO[SKU],TablaINVENTARIO[MEDIDA])</f>
        <v>UND</v>
      </c>
      <c r="H887" s="33" t="str">
        <f>_xlfn.XLOOKUP(TablaSTOCKINV[[#This Row],[SKU]],TablaINVENTARIO[SKU],TablaINVENTARIO[SERIAL])</f>
        <v>N/A</v>
      </c>
      <c r="I887" s="34" t="str">
        <f>_xlfn.XLOOKUP(TablaSTOCKINV[[#This Row],[SKU]],TablaINVENTARIO[SKU],TablaINVENTARIO[ALMACEN])</f>
        <v>ALMACEN PRINCIPAL</v>
      </c>
      <c r="J887" s="34" t="str">
        <f>_xlfn.XLOOKUP(TablaSTOCKINV[[#This Row],[SKU]],TablaINVENTARIO[SKU],TablaINVENTARIO[UBICACION])</f>
        <v>I3-2</v>
      </c>
      <c r="K887" s="34" t="str">
        <f>_xlfn.XLOOKUP(TablaSTOCKINV[[#This Row],[SKU]],TablaINVENTARIO[SKU],TablaINVENTARIO[DPTO RESPONSABLE])</f>
        <v>OPERACIONES</v>
      </c>
      <c r="L887" s="36">
        <f>_xlfn.XLOOKUP(TablaSTOCKINV[[#This Row],[SKU]],TablaINVENTARIO[SKU],TablaINVENTARIO[RANGO MIN])</f>
        <v>0</v>
      </c>
      <c r="M887" s="34" cm="1">
        <f t="array" ref="M887">_xlfn.IFS(TablaSTOCKINV[[#This Row],[CANT. TOTAL]]&lt;=0,1,TablaSTOCKINV[[#This Row],[CANT. TOTAL]]&lt;=TablaSTOCKINV[[#This Row],[MIN]],2,TablaSTOCKINV[[#This Row],[CANT. TOTAL]]&gt;TablaSTOCKINV[[#This Row],[MIN]],3)</f>
        <v>3</v>
      </c>
      <c r="N887" s="34">
        <f>TablaSTOCKINV[[#This Row],[ENTRADAS]]-TablaSTOCKINV[[#This Row],[SALIDAS]]</f>
        <v>2</v>
      </c>
      <c r="O887" s="35">
        <f>SUMIFS(TablaENTRADA[CANT],TablaENTRADA[SKU],TablaSTOCKINV[[#This Row],[SKU]])</f>
        <v>2</v>
      </c>
      <c r="P887" s="35">
        <f>SUMIFS(TablaSALIDA[CANT],TablaSALIDA[SKU],TablaSTOCKINV[[#This Row],[SKU]])</f>
        <v>0</v>
      </c>
      <c r="Q887" s="34">
        <f>_xlfn.XLOOKUP(TablaSTOCKINV[[#This Row],[SKU]],TablaINVENTARIO[SKU],TablaINVENTARIO[PRECIO])</f>
        <v>0</v>
      </c>
      <c r="R887" s="34">
        <f>TablaSTOCKINV[[#This Row],[P.UNITARIO]]*TablaSTOCKINV[[#This Row],[CANT. TOTAL]]</f>
        <v>0</v>
      </c>
      <c r="S887" s="44">
        <f>_xlfn.XLOOKUP(TablaSTOCKINV[[#This Row],[SKU]],TablaINVENTARIO[SKU],TablaINVENTARIO[FECHA INGRESO])</f>
        <v>46023</v>
      </c>
      <c r="T887" s="44">
        <f>_xlfn.XLOOKUP(TablaSTOCKINV[[#This Row],[SKU]],TablaENTRADA[SKU],TablaENTRADA[FECHA],,0,-1)</f>
        <v>46023</v>
      </c>
      <c r="U887" s="46" t="str">
        <f>IFERROR((_xlfn.XLOOKUP(TablaSTOCKINV[[#This Row],[SKU]],TablaSALIDA[SKU],TablaSALIDA[FECHA],,0,-1))," " )</f>
        <v xml:space="preserve"> </v>
      </c>
    </row>
    <row r="888" spans="1:21" x14ac:dyDescent="0.3">
      <c r="A888" s="27" t="s">
        <v>849</v>
      </c>
      <c r="B888" s="32" t="str">
        <f>_xlfn.XLOOKUP(TablaSTOCKINV[[#This Row],[SKU]],TablaINVENTARIO[SKU],TablaINVENTARIO[DESCRIPCION])</f>
        <v>TUERCA HEXAGONAL NEGRA DE GRADO 1 5/16"</v>
      </c>
      <c r="C888" s="32" t="str">
        <f>_xlfn.XLOOKUP(TablaSTOCKINV[[#This Row],[SKU]],TablaINVENTARIO[SKU],TablaINVENTARIO[MARCA])</f>
        <v>N/A</v>
      </c>
      <c r="D888" s="33" t="str">
        <f>_xlfn.XLOOKUP(TablaSTOCKINV[[#This Row],[SKU]],TablaINVENTARIO[SKU],TablaINVENTARIO[CATEGORIA])</f>
        <v>FABRICACION</v>
      </c>
      <c r="E888" s="33" t="str">
        <f>_xlfn.XLOOKUP(TablaSTOCKINV[[#This Row],[SKU]],TablaINVENTARIO[SKU],TablaINVENTARIO[SUBCATEGORIA])</f>
        <v>MATERIAL MECANICO</v>
      </c>
      <c r="F888" s="33" t="str">
        <f>_xlfn.XLOOKUP(TablaSTOCKINV[[#This Row],[SKU]],TablaINVENTARIO[SKU],TablaINVENTARIO[ESTADO])</f>
        <v xml:space="preserve">NUEVO </v>
      </c>
      <c r="G888" s="33" t="str">
        <f>_xlfn.XLOOKUP(TablaSTOCKINV[[#This Row],[SKU]],TablaINVENTARIO[SKU],TablaINVENTARIO[MEDIDA])</f>
        <v>UND</v>
      </c>
      <c r="H888" s="33" t="str">
        <f>_xlfn.XLOOKUP(TablaSTOCKINV[[#This Row],[SKU]],TablaINVENTARIO[SKU],TablaINVENTARIO[SERIAL])</f>
        <v>N/A</v>
      </c>
      <c r="I888" s="34" t="str">
        <f>_xlfn.XLOOKUP(TablaSTOCKINV[[#This Row],[SKU]],TablaINVENTARIO[SKU],TablaINVENTARIO[ALMACEN])</f>
        <v>ALMACEN PRINCIPAL</v>
      </c>
      <c r="J888" s="34" t="str">
        <f>_xlfn.XLOOKUP(TablaSTOCKINV[[#This Row],[SKU]],TablaINVENTARIO[SKU],TablaINVENTARIO[UBICACION])</f>
        <v>I2-1</v>
      </c>
      <c r="K888" s="34" t="str">
        <f>_xlfn.XLOOKUP(TablaSTOCKINV[[#This Row],[SKU]],TablaINVENTARIO[SKU],TablaINVENTARIO[DPTO RESPONSABLE])</f>
        <v>OPERACIONES</v>
      </c>
      <c r="L888" s="36">
        <f>_xlfn.XLOOKUP(TablaSTOCKINV[[#This Row],[SKU]],TablaINVENTARIO[SKU],TablaINVENTARIO[RANGO MIN])</f>
        <v>0</v>
      </c>
      <c r="M888" s="34" cm="1">
        <f t="array" ref="M888">_xlfn.IFS(TablaSTOCKINV[[#This Row],[CANT. TOTAL]]&lt;=0,1,TablaSTOCKINV[[#This Row],[CANT. TOTAL]]&lt;=TablaSTOCKINV[[#This Row],[MIN]],2,TablaSTOCKINV[[#This Row],[CANT. TOTAL]]&gt;TablaSTOCKINV[[#This Row],[MIN]],3)</f>
        <v>3</v>
      </c>
      <c r="N888" s="34">
        <f>TablaSTOCKINV[[#This Row],[ENTRADAS]]-TablaSTOCKINV[[#This Row],[SALIDAS]]</f>
        <v>75</v>
      </c>
      <c r="O888" s="35">
        <f>SUMIFS(TablaENTRADA[CANT],TablaENTRADA[SKU],TablaSTOCKINV[[#This Row],[SKU]])</f>
        <v>75</v>
      </c>
      <c r="P888" s="35">
        <f>SUMIFS(TablaSALIDA[CANT],TablaSALIDA[SKU],TablaSTOCKINV[[#This Row],[SKU]])</f>
        <v>0</v>
      </c>
      <c r="Q888" s="34">
        <f>_xlfn.XLOOKUP(TablaSTOCKINV[[#This Row],[SKU]],TablaINVENTARIO[SKU],TablaINVENTARIO[PRECIO])</f>
        <v>0</v>
      </c>
      <c r="R888" s="34">
        <f>TablaSTOCKINV[[#This Row],[P.UNITARIO]]*TablaSTOCKINV[[#This Row],[CANT. TOTAL]]</f>
        <v>0</v>
      </c>
      <c r="S888" s="44">
        <f>_xlfn.XLOOKUP(TablaSTOCKINV[[#This Row],[SKU]],TablaINVENTARIO[SKU],TablaINVENTARIO[FECHA INGRESO])</f>
        <v>46023</v>
      </c>
      <c r="T888" s="44">
        <f>_xlfn.XLOOKUP(TablaSTOCKINV[[#This Row],[SKU]],TablaENTRADA[SKU],TablaENTRADA[FECHA],,0,-1)</f>
        <v>46023</v>
      </c>
      <c r="U888" s="46" t="str">
        <f>IFERROR((_xlfn.XLOOKUP(TablaSTOCKINV[[#This Row],[SKU]],TablaSALIDA[SKU],TablaSALIDA[FECHA],,0,-1))," " )</f>
        <v xml:space="preserve"> </v>
      </c>
    </row>
    <row r="889" spans="1:21" x14ac:dyDescent="0.3">
      <c r="A889" s="27" t="s">
        <v>852</v>
      </c>
      <c r="B889" s="32" t="str">
        <f>_xlfn.XLOOKUP(TablaSTOCKINV[[#This Row],[SKU]],TablaINVENTARIO[SKU],TablaINVENTARIO[DESCRIPCION])</f>
        <v>TUERCA HEXAGONAL DE HIERRO 32,30MM X 19,48MM</v>
      </c>
      <c r="C889" s="32" t="str">
        <f>_xlfn.XLOOKUP(TablaSTOCKINV[[#This Row],[SKU]],TablaINVENTARIO[SKU],TablaINVENTARIO[MARCA])</f>
        <v>N/A</v>
      </c>
      <c r="D889" s="33" t="str">
        <f>_xlfn.XLOOKUP(TablaSTOCKINV[[#This Row],[SKU]],TablaINVENTARIO[SKU],TablaINVENTARIO[CATEGORIA])</f>
        <v>FABRICACION</v>
      </c>
      <c r="E889" s="33" t="str">
        <f>_xlfn.XLOOKUP(TablaSTOCKINV[[#This Row],[SKU]],TablaINVENTARIO[SKU],TablaINVENTARIO[SUBCATEGORIA])</f>
        <v>MATERIAL MECANICO</v>
      </c>
      <c r="F889" s="33" t="str">
        <f>_xlfn.XLOOKUP(TablaSTOCKINV[[#This Row],[SKU]],TablaINVENTARIO[SKU],TablaINVENTARIO[ESTADO])</f>
        <v xml:space="preserve">NUEVO </v>
      </c>
      <c r="G889" s="33" t="str">
        <f>_xlfn.XLOOKUP(TablaSTOCKINV[[#This Row],[SKU]],TablaINVENTARIO[SKU],TablaINVENTARIO[MEDIDA])</f>
        <v>UND</v>
      </c>
      <c r="H889" s="33" t="str">
        <f>_xlfn.XLOOKUP(TablaSTOCKINV[[#This Row],[SKU]],TablaINVENTARIO[SKU],TablaINVENTARIO[SERIAL])</f>
        <v>N/A</v>
      </c>
      <c r="I889" s="34" t="str">
        <f>_xlfn.XLOOKUP(TablaSTOCKINV[[#This Row],[SKU]],TablaINVENTARIO[SKU],TablaINVENTARIO[ALMACEN])</f>
        <v>ALMACEN PRINCIPAL</v>
      </c>
      <c r="J889" s="34" t="str">
        <f>_xlfn.XLOOKUP(TablaSTOCKINV[[#This Row],[SKU]],TablaINVENTARIO[SKU],TablaINVENTARIO[UBICACION])</f>
        <v>I2-1</v>
      </c>
      <c r="K889" s="34" t="str">
        <f>_xlfn.XLOOKUP(TablaSTOCKINV[[#This Row],[SKU]],TablaINVENTARIO[SKU],TablaINVENTARIO[DPTO RESPONSABLE])</f>
        <v>OPERACIONES</v>
      </c>
      <c r="L889" s="36">
        <f>_xlfn.XLOOKUP(TablaSTOCKINV[[#This Row],[SKU]],TablaINVENTARIO[SKU],TablaINVENTARIO[RANGO MIN])</f>
        <v>0</v>
      </c>
      <c r="M889" s="34" cm="1">
        <f t="array" ref="M889">_xlfn.IFS(TablaSTOCKINV[[#This Row],[CANT. TOTAL]]&lt;=0,1,TablaSTOCKINV[[#This Row],[CANT. TOTAL]]&lt;=TablaSTOCKINV[[#This Row],[MIN]],2,TablaSTOCKINV[[#This Row],[CANT. TOTAL]]&gt;TablaSTOCKINV[[#This Row],[MIN]],3)</f>
        <v>3</v>
      </c>
      <c r="N889" s="34">
        <f>TablaSTOCKINV[[#This Row],[ENTRADAS]]-TablaSTOCKINV[[#This Row],[SALIDAS]]</f>
        <v>14</v>
      </c>
      <c r="O889" s="35">
        <f>SUMIFS(TablaENTRADA[CANT],TablaENTRADA[SKU],TablaSTOCKINV[[#This Row],[SKU]])</f>
        <v>14</v>
      </c>
      <c r="P889" s="35">
        <f>SUMIFS(TablaSALIDA[CANT],TablaSALIDA[SKU],TablaSTOCKINV[[#This Row],[SKU]])</f>
        <v>0</v>
      </c>
      <c r="Q889" s="34">
        <f>_xlfn.XLOOKUP(TablaSTOCKINV[[#This Row],[SKU]],TablaINVENTARIO[SKU],TablaINVENTARIO[PRECIO])</f>
        <v>0</v>
      </c>
      <c r="R889" s="34">
        <f>TablaSTOCKINV[[#This Row],[P.UNITARIO]]*TablaSTOCKINV[[#This Row],[CANT. TOTAL]]</f>
        <v>0</v>
      </c>
      <c r="S889" s="44">
        <f>_xlfn.XLOOKUP(TablaSTOCKINV[[#This Row],[SKU]],TablaINVENTARIO[SKU],TablaINVENTARIO[FECHA INGRESO])</f>
        <v>46023</v>
      </c>
      <c r="T889" s="44">
        <f>_xlfn.XLOOKUP(TablaSTOCKINV[[#This Row],[SKU]],TablaENTRADA[SKU],TablaENTRADA[FECHA],,0,-1)</f>
        <v>46023</v>
      </c>
      <c r="U889" s="46" t="str">
        <f>IFERROR((_xlfn.XLOOKUP(TablaSTOCKINV[[#This Row],[SKU]],TablaSALIDA[SKU],TablaSALIDA[FECHA],,0,-1))," " )</f>
        <v xml:space="preserve"> </v>
      </c>
    </row>
    <row r="890" spans="1:21" x14ac:dyDescent="0.3">
      <c r="A890" s="27" t="s">
        <v>854</v>
      </c>
      <c r="B890" s="32" t="str">
        <f>_xlfn.XLOOKUP(TablaSTOCKINV[[#This Row],[SKU]],TablaINVENTARIO[SKU],TablaINVENTARIO[DESCRIPCION])</f>
        <v>TUERCA HEXAGONAL DE ACERO AL CARBONO 30,91MM X 16,57MM</v>
      </c>
      <c r="C890" s="32" t="str">
        <f>_xlfn.XLOOKUP(TablaSTOCKINV[[#This Row],[SKU]],TablaINVENTARIO[SKU],TablaINVENTARIO[MARCA])</f>
        <v>N/A</v>
      </c>
      <c r="D890" s="33" t="str">
        <f>_xlfn.XLOOKUP(TablaSTOCKINV[[#This Row],[SKU]],TablaINVENTARIO[SKU],TablaINVENTARIO[CATEGORIA])</f>
        <v>FABRICACION</v>
      </c>
      <c r="E890" s="33" t="str">
        <f>_xlfn.XLOOKUP(TablaSTOCKINV[[#This Row],[SKU]],TablaINVENTARIO[SKU],TablaINVENTARIO[SUBCATEGORIA])</f>
        <v>MATERIAL MECANICO</v>
      </c>
      <c r="F890" s="33" t="str">
        <f>_xlfn.XLOOKUP(TablaSTOCKINV[[#This Row],[SKU]],TablaINVENTARIO[SKU],TablaINVENTARIO[ESTADO])</f>
        <v xml:space="preserve">NUEVO </v>
      </c>
      <c r="G890" s="33" t="str">
        <f>_xlfn.XLOOKUP(TablaSTOCKINV[[#This Row],[SKU]],TablaINVENTARIO[SKU],TablaINVENTARIO[MEDIDA])</f>
        <v>UND</v>
      </c>
      <c r="H890" s="33" t="str">
        <f>_xlfn.XLOOKUP(TablaSTOCKINV[[#This Row],[SKU]],TablaINVENTARIO[SKU],TablaINVENTARIO[SERIAL])</f>
        <v>N/A</v>
      </c>
      <c r="I890" s="34" t="str">
        <f>_xlfn.XLOOKUP(TablaSTOCKINV[[#This Row],[SKU]],TablaINVENTARIO[SKU],TablaINVENTARIO[ALMACEN])</f>
        <v>ALMACEN PRINCIPAL</v>
      </c>
      <c r="J890" s="34" t="str">
        <f>_xlfn.XLOOKUP(TablaSTOCKINV[[#This Row],[SKU]],TablaINVENTARIO[SKU],TablaINVENTARIO[UBICACION])</f>
        <v>I2-1</v>
      </c>
      <c r="K890" s="34" t="str">
        <f>_xlfn.XLOOKUP(TablaSTOCKINV[[#This Row],[SKU]],TablaINVENTARIO[SKU],TablaINVENTARIO[DPTO RESPONSABLE])</f>
        <v>OPERACIONES</v>
      </c>
      <c r="L890" s="36">
        <f>_xlfn.XLOOKUP(TablaSTOCKINV[[#This Row],[SKU]],TablaINVENTARIO[SKU],TablaINVENTARIO[RANGO MIN])</f>
        <v>0</v>
      </c>
      <c r="M890" s="34" cm="1">
        <f t="array" ref="M890">_xlfn.IFS(TablaSTOCKINV[[#This Row],[CANT. TOTAL]]&lt;=0,1,TablaSTOCKINV[[#This Row],[CANT. TOTAL]]&lt;=TablaSTOCKINV[[#This Row],[MIN]],2,TablaSTOCKINV[[#This Row],[CANT. TOTAL]]&gt;TablaSTOCKINV[[#This Row],[MIN]],3)</f>
        <v>3</v>
      </c>
      <c r="N890" s="34">
        <f>TablaSTOCKINV[[#This Row],[ENTRADAS]]-TablaSTOCKINV[[#This Row],[SALIDAS]]</f>
        <v>15</v>
      </c>
      <c r="O890" s="35">
        <f>SUMIFS(TablaENTRADA[CANT],TablaENTRADA[SKU],TablaSTOCKINV[[#This Row],[SKU]])</f>
        <v>15</v>
      </c>
      <c r="P890" s="35">
        <f>SUMIFS(TablaSALIDA[CANT],TablaSALIDA[SKU],TablaSTOCKINV[[#This Row],[SKU]])</f>
        <v>0</v>
      </c>
      <c r="Q890" s="34">
        <f>_xlfn.XLOOKUP(TablaSTOCKINV[[#This Row],[SKU]],TablaINVENTARIO[SKU],TablaINVENTARIO[PRECIO])</f>
        <v>0</v>
      </c>
      <c r="R890" s="34">
        <f>TablaSTOCKINV[[#This Row],[P.UNITARIO]]*TablaSTOCKINV[[#This Row],[CANT. TOTAL]]</f>
        <v>0</v>
      </c>
      <c r="S890" s="44">
        <f>_xlfn.XLOOKUP(TablaSTOCKINV[[#This Row],[SKU]],TablaINVENTARIO[SKU],TablaINVENTARIO[FECHA INGRESO])</f>
        <v>46023</v>
      </c>
      <c r="T890" s="44">
        <f>_xlfn.XLOOKUP(TablaSTOCKINV[[#This Row],[SKU]],TablaENTRADA[SKU],TablaENTRADA[FECHA],,0,-1)</f>
        <v>46023</v>
      </c>
      <c r="U890" s="46" t="str">
        <f>IFERROR((_xlfn.XLOOKUP(TablaSTOCKINV[[#This Row],[SKU]],TablaSALIDA[SKU],TablaSALIDA[FECHA],,0,-1))," " )</f>
        <v xml:space="preserve"> </v>
      </c>
    </row>
    <row r="891" spans="1:21" x14ac:dyDescent="0.3">
      <c r="A891" s="27" t="s">
        <v>856</v>
      </c>
      <c r="B891" s="32" t="str">
        <f>_xlfn.XLOOKUP(TablaSTOCKINV[[#This Row],[SKU]],TablaINVENTARIO[SKU],TablaINVENTARIO[DESCRIPCION])</f>
        <v>TUERCA HEXAGONAL DE ACERO AL CARBONO 26,30MM X 13,31MM</v>
      </c>
      <c r="C891" s="32" t="str">
        <f>_xlfn.XLOOKUP(TablaSTOCKINV[[#This Row],[SKU]],TablaINVENTARIO[SKU],TablaINVENTARIO[MARCA])</f>
        <v>N/A</v>
      </c>
      <c r="D891" s="33" t="str">
        <f>_xlfn.XLOOKUP(TablaSTOCKINV[[#This Row],[SKU]],TablaINVENTARIO[SKU],TablaINVENTARIO[CATEGORIA])</f>
        <v>FABRICACION</v>
      </c>
      <c r="E891" s="33" t="str">
        <f>_xlfn.XLOOKUP(TablaSTOCKINV[[#This Row],[SKU]],TablaINVENTARIO[SKU],TablaINVENTARIO[SUBCATEGORIA])</f>
        <v>MATERIAL MECANICO</v>
      </c>
      <c r="F891" s="33" t="str">
        <f>_xlfn.XLOOKUP(TablaSTOCKINV[[#This Row],[SKU]],TablaINVENTARIO[SKU],TablaINVENTARIO[ESTADO])</f>
        <v xml:space="preserve">NUEVO </v>
      </c>
      <c r="G891" s="33" t="str">
        <f>_xlfn.XLOOKUP(TablaSTOCKINV[[#This Row],[SKU]],TablaINVENTARIO[SKU],TablaINVENTARIO[MEDIDA])</f>
        <v>UND</v>
      </c>
      <c r="H891" s="33" t="str">
        <f>_xlfn.XLOOKUP(TablaSTOCKINV[[#This Row],[SKU]],TablaINVENTARIO[SKU],TablaINVENTARIO[SERIAL])</f>
        <v>N/A</v>
      </c>
      <c r="I891" s="34" t="str">
        <f>_xlfn.XLOOKUP(TablaSTOCKINV[[#This Row],[SKU]],TablaINVENTARIO[SKU],TablaINVENTARIO[ALMACEN])</f>
        <v>ALMACEN PRINCIPAL</v>
      </c>
      <c r="J891" s="34" t="str">
        <f>_xlfn.XLOOKUP(TablaSTOCKINV[[#This Row],[SKU]],TablaINVENTARIO[SKU],TablaINVENTARIO[UBICACION])</f>
        <v>I2-1</v>
      </c>
      <c r="K891" s="34" t="str">
        <f>_xlfn.XLOOKUP(TablaSTOCKINV[[#This Row],[SKU]],TablaINVENTARIO[SKU],TablaINVENTARIO[DPTO RESPONSABLE])</f>
        <v>OPERACIONES</v>
      </c>
      <c r="L891" s="36">
        <f>_xlfn.XLOOKUP(TablaSTOCKINV[[#This Row],[SKU]],TablaINVENTARIO[SKU],TablaINVENTARIO[RANGO MIN])</f>
        <v>0</v>
      </c>
      <c r="M891" s="34" cm="1">
        <f t="array" ref="M891">_xlfn.IFS(TablaSTOCKINV[[#This Row],[CANT. TOTAL]]&lt;=0,1,TablaSTOCKINV[[#This Row],[CANT. TOTAL]]&lt;=TablaSTOCKINV[[#This Row],[MIN]],2,TablaSTOCKINV[[#This Row],[CANT. TOTAL]]&gt;TablaSTOCKINV[[#This Row],[MIN]],3)</f>
        <v>3</v>
      </c>
      <c r="N891" s="34">
        <f>TablaSTOCKINV[[#This Row],[ENTRADAS]]-TablaSTOCKINV[[#This Row],[SALIDAS]]</f>
        <v>3</v>
      </c>
      <c r="O891" s="35">
        <f>SUMIFS(TablaENTRADA[CANT],TablaENTRADA[SKU],TablaSTOCKINV[[#This Row],[SKU]])</f>
        <v>3</v>
      </c>
      <c r="P891" s="35">
        <f>SUMIFS(TablaSALIDA[CANT],TablaSALIDA[SKU],TablaSTOCKINV[[#This Row],[SKU]])</f>
        <v>0</v>
      </c>
      <c r="Q891" s="34">
        <f>_xlfn.XLOOKUP(TablaSTOCKINV[[#This Row],[SKU]],TablaINVENTARIO[SKU],TablaINVENTARIO[PRECIO])</f>
        <v>0</v>
      </c>
      <c r="R891" s="34">
        <f>TablaSTOCKINV[[#This Row],[P.UNITARIO]]*TablaSTOCKINV[[#This Row],[CANT. TOTAL]]</f>
        <v>0</v>
      </c>
      <c r="S891" s="44">
        <f>_xlfn.XLOOKUP(TablaSTOCKINV[[#This Row],[SKU]],TablaINVENTARIO[SKU],TablaINVENTARIO[FECHA INGRESO])</f>
        <v>46023</v>
      </c>
      <c r="T891" s="44">
        <f>_xlfn.XLOOKUP(TablaSTOCKINV[[#This Row],[SKU]],TablaENTRADA[SKU],TablaENTRADA[FECHA],,0,-1)</f>
        <v>46023</v>
      </c>
      <c r="U891" s="46" t="str">
        <f>IFERROR((_xlfn.XLOOKUP(TablaSTOCKINV[[#This Row],[SKU]],TablaSALIDA[SKU],TablaSALIDA[FECHA],,0,-1))," " )</f>
        <v xml:space="preserve"> </v>
      </c>
    </row>
    <row r="892" spans="1:21" x14ac:dyDescent="0.3">
      <c r="A892" s="27" t="s">
        <v>858</v>
      </c>
      <c r="B892" s="32" t="str">
        <f>_xlfn.XLOOKUP(TablaSTOCKINV[[#This Row],[SKU]],TablaINVENTARIO[SKU],TablaINVENTARIO[DESCRIPCION])</f>
        <v>TUERCA HEXAGONAL DE ACERO  AL CARBONO 23,64MM X 13,44MM</v>
      </c>
      <c r="C892" s="32" t="str">
        <f>_xlfn.XLOOKUP(TablaSTOCKINV[[#This Row],[SKU]],TablaINVENTARIO[SKU],TablaINVENTARIO[MARCA])</f>
        <v>N/A</v>
      </c>
      <c r="D892" s="33" t="str">
        <f>_xlfn.XLOOKUP(TablaSTOCKINV[[#This Row],[SKU]],TablaINVENTARIO[SKU],TablaINVENTARIO[CATEGORIA])</f>
        <v>FABRICACION</v>
      </c>
      <c r="E892" s="33" t="str">
        <f>_xlfn.XLOOKUP(TablaSTOCKINV[[#This Row],[SKU]],TablaINVENTARIO[SKU],TablaINVENTARIO[SUBCATEGORIA])</f>
        <v>MATERIAL MECANICO</v>
      </c>
      <c r="F892" s="33" t="str">
        <f>_xlfn.XLOOKUP(TablaSTOCKINV[[#This Row],[SKU]],TablaINVENTARIO[SKU],TablaINVENTARIO[ESTADO])</f>
        <v xml:space="preserve">NUEVO </v>
      </c>
      <c r="G892" s="33" t="str">
        <f>_xlfn.XLOOKUP(TablaSTOCKINV[[#This Row],[SKU]],TablaINVENTARIO[SKU],TablaINVENTARIO[MEDIDA])</f>
        <v>UND</v>
      </c>
      <c r="H892" s="33" t="str">
        <f>_xlfn.XLOOKUP(TablaSTOCKINV[[#This Row],[SKU]],TablaINVENTARIO[SKU],TablaINVENTARIO[SERIAL])</f>
        <v>N/A</v>
      </c>
      <c r="I892" s="34" t="str">
        <f>_xlfn.XLOOKUP(TablaSTOCKINV[[#This Row],[SKU]],TablaINVENTARIO[SKU],TablaINVENTARIO[ALMACEN])</f>
        <v>ALMACEN PRINCIPAL</v>
      </c>
      <c r="J892" s="34" t="str">
        <f>_xlfn.XLOOKUP(TablaSTOCKINV[[#This Row],[SKU]],TablaINVENTARIO[SKU],TablaINVENTARIO[UBICACION])</f>
        <v>I2-1</v>
      </c>
      <c r="K892" s="34" t="str">
        <f>_xlfn.XLOOKUP(TablaSTOCKINV[[#This Row],[SKU]],TablaINVENTARIO[SKU],TablaINVENTARIO[DPTO RESPONSABLE])</f>
        <v>OPERACIONES</v>
      </c>
      <c r="L892" s="36">
        <f>_xlfn.XLOOKUP(TablaSTOCKINV[[#This Row],[SKU]],TablaINVENTARIO[SKU],TablaINVENTARIO[RANGO MIN])</f>
        <v>0</v>
      </c>
      <c r="M892" s="34" cm="1">
        <f t="array" ref="M892">_xlfn.IFS(TablaSTOCKINV[[#This Row],[CANT. TOTAL]]&lt;=0,1,TablaSTOCKINV[[#This Row],[CANT. TOTAL]]&lt;=TablaSTOCKINV[[#This Row],[MIN]],2,TablaSTOCKINV[[#This Row],[CANT. TOTAL]]&gt;TablaSTOCKINV[[#This Row],[MIN]],3)</f>
        <v>3</v>
      </c>
      <c r="N892" s="34">
        <f>TablaSTOCKINV[[#This Row],[ENTRADAS]]-TablaSTOCKINV[[#This Row],[SALIDAS]]</f>
        <v>2</v>
      </c>
      <c r="O892" s="35">
        <f>SUMIFS(TablaENTRADA[CANT],TablaENTRADA[SKU],TablaSTOCKINV[[#This Row],[SKU]])</f>
        <v>2</v>
      </c>
      <c r="P892" s="35">
        <f>SUMIFS(TablaSALIDA[CANT],TablaSALIDA[SKU],TablaSTOCKINV[[#This Row],[SKU]])</f>
        <v>0</v>
      </c>
      <c r="Q892" s="34">
        <f>_xlfn.XLOOKUP(TablaSTOCKINV[[#This Row],[SKU]],TablaINVENTARIO[SKU],TablaINVENTARIO[PRECIO])</f>
        <v>0</v>
      </c>
      <c r="R892" s="34">
        <f>TablaSTOCKINV[[#This Row],[P.UNITARIO]]*TablaSTOCKINV[[#This Row],[CANT. TOTAL]]</f>
        <v>0</v>
      </c>
      <c r="S892" s="44">
        <f>_xlfn.XLOOKUP(TablaSTOCKINV[[#This Row],[SKU]],TablaINVENTARIO[SKU],TablaINVENTARIO[FECHA INGRESO])</f>
        <v>46023</v>
      </c>
      <c r="T892" s="44">
        <f>_xlfn.XLOOKUP(TablaSTOCKINV[[#This Row],[SKU]],TablaENTRADA[SKU],TablaENTRADA[FECHA],,0,-1)</f>
        <v>46023</v>
      </c>
      <c r="U892" s="46" t="str">
        <f>IFERROR((_xlfn.XLOOKUP(TablaSTOCKINV[[#This Row],[SKU]],TablaSALIDA[SKU],TablaSALIDA[FECHA],,0,-1))," " )</f>
        <v xml:space="preserve"> </v>
      </c>
    </row>
    <row r="893" spans="1:21" x14ac:dyDescent="0.3">
      <c r="A893" s="27" t="s">
        <v>860</v>
      </c>
      <c r="B893" s="32" t="str">
        <f>_xlfn.XLOOKUP(TablaSTOCKINV[[#This Row],[SKU]],TablaINVENTARIO[SKU],TablaINVENTARIO[DESCRIPCION])</f>
        <v xml:space="preserve">TUERCA HEXAGONAL DE ACERO AL CARBONO 40,36MM X 22,31MM </v>
      </c>
      <c r="C893" s="32" t="str">
        <f>_xlfn.XLOOKUP(TablaSTOCKINV[[#This Row],[SKU]],TablaINVENTARIO[SKU],TablaINVENTARIO[MARCA])</f>
        <v>N/A</v>
      </c>
      <c r="D893" s="33" t="str">
        <f>_xlfn.XLOOKUP(TablaSTOCKINV[[#This Row],[SKU]],TablaINVENTARIO[SKU],TablaINVENTARIO[CATEGORIA])</f>
        <v>FABRICACION</v>
      </c>
      <c r="E893" s="33" t="str">
        <f>_xlfn.XLOOKUP(TablaSTOCKINV[[#This Row],[SKU]],TablaINVENTARIO[SKU],TablaINVENTARIO[SUBCATEGORIA])</f>
        <v>MATERIAL MECANICO</v>
      </c>
      <c r="F893" s="33" t="str">
        <f>_xlfn.XLOOKUP(TablaSTOCKINV[[#This Row],[SKU]],TablaINVENTARIO[SKU],TablaINVENTARIO[ESTADO])</f>
        <v xml:space="preserve">NUEVO </v>
      </c>
      <c r="G893" s="33" t="str">
        <f>_xlfn.XLOOKUP(TablaSTOCKINV[[#This Row],[SKU]],TablaINVENTARIO[SKU],TablaINVENTARIO[MEDIDA])</f>
        <v>UND</v>
      </c>
      <c r="H893" s="33" t="str">
        <f>_xlfn.XLOOKUP(TablaSTOCKINV[[#This Row],[SKU]],TablaINVENTARIO[SKU],TablaINVENTARIO[SERIAL])</f>
        <v>N/A</v>
      </c>
      <c r="I893" s="34" t="str">
        <f>_xlfn.XLOOKUP(TablaSTOCKINV[[#This Row],[SKU]],TablaINVENTARIO[SKU],TablaINVENTARIO[ALMACEN])</f>
        <v>ALMACEN PRINCIPAL</v>
      </c>
      <c r="J893" s="34" t="str">
        <f>_xlfn.XLOOKUP(TablaSTOCKINV[[#This Row],[SKU]],TablaINVENTARIO[SKU],TablaINVENTARIO[UBICACION])</f>
        <v>I2-1</v>
      </c>
      <c r="K893" s="34" t="str">
        <f>_xlfn.XLOOKUP(TablaSTOCKINV[[#This Row],[SKU]],TablaINVENTARIO[SKU],TablaINVENTARIO[DPTO RESPONSABLE])</f>
        <v>OPERACIONES</v>
      </c>
      <c r="L893" s="36">
        <f>_xlfn.XLOOKUP(TablaSTOCKINV[[#This Row],[SKU]],TablaINVENTARIO[SKU],TablaINVENTARIO[RANGO MIN])</f>
        <v>0</v>
      </c>
      <c r="M893" s="34" cm="1">
        <f t="array" ref="M893">_xlfn.IFS(TablaSTOCKINV[[#This Row],[CANT. TOTAL]]&lt;=0,1,TablaSTOCKINV[[#This Row],[CANT. TOTAL]]&lt;=TablaSTOCKINV[[#This Row],[MIN]],2,TablaSTOCKINV[[#This Row],[CANT. TOTAL]]&gt;TablaSTOCKINV[[#This Row],[MIN]],3)</f>
        <v>3</v>
      </c>
      <c r="N893" s="34">
        <f>TablaSTOCKINV[[#This Row],[ENTRADAS]]-TablaSTOCKINV[[#This Row],[SALIDAS]]</f>
        <v>4</v>
      </c>
      <c r="O893" s="35">
        <f>SUMIFS(TablaENTRADA[CANT],TablaENTRADA[SKU],TablaSTOCKINV[[#This Row],[SKU]])</f>
        <v>4</v>
      </c>
      <c r="P893" s="35">
        <f>SUMIFS(TablaSALIDA[CANT],TablaSALIDA[SKU],TablaSTOCKINV[[#This Row],[SKU]])</f>
        <v>0</v>
      </c>
      <c r="Q893" s="34">
        <f>_xlfn.XLOOKUP(TablaSTOCKINV[[#This Row],[SKU]],TablaINVENTARIO[SKU],TablaINVENTARIO[PRECIO])</f>
        <v>0</v>
      </c>
      <c r="R893" s="34">
        <f>TablaSTOCKINV[[#This Row],[P.UNITARIO]]*TablaSTOCKINV[[#This Row],[CANT. TOTAL]]</f>
        <v>0</v>
      </c>
      <c r="S893" s="44">
        <f>_xlfn.XLOOKUP(TablaSTOCKINV[[#This Row],[SKU]],TablaINVENTARIO[SKU],TablaINVENTARIO[FECHA INGRESO])</f>
        <v>46023</v>
      </c>
      <c r="T893" s="44">
        <f>_xlfn.XLOOKUP(TablaSTOCKINV[[#This Row],[SKU]],TablaENTRADA[SKU],TablaENTRADA[FECHA],,0,-1)</f>
        <v>46023</v>
      </c>
      <c r="U893" s="46" t="str">
        <f>IFERROR((_xlfn.XLOOKUP(TablaSTOCKINV[[#This Row],[SKU]],TablaSALIDA[SKU],TablaSALIDA[FECHA],,0,-1))," " )</f>
        <v xml:space="preserve"> </v>
      </c>
    </row>
    <row r="894" spans="1:21" x14ac:dyDescent="0.3">
      <c r="A894" s="27" t="s">
        <v>862</v>
      </c>
      <c r="B894" s="32" t="str">
        <f>_xlfn.XLOOKUP(TablaSTOCKINV[[#This Row],[SKU]],TablaINVENTARIO[SKU],TablaINVENTARIO[DESCRIPCION])</f>
        <v>TUERCA HEXAGONAL DE ACERO AL CARBONO 44,91MM X 25,19MM</v>
      </c>
      <c r="C894" s="32" t="str">
        <f>_xlfn.XLOOKUP(TablaSTOCKINV[[#This Row],[SKU]],TablaINVENTARIO[SKU],TablaINVENTARIO[MARCA])</f>
        <v>N/A</v>
      </c>
      <c r="D894" s="33" t="str">
        <f>_xlfn.XLOOKUP(TablaSTOCKINV[[#This Row],[SKU]],TablaINVENTARIO[SKU],TablaINVENTARIO[CATEGORIA])</f>
        <v>FABRICACION</v>
      </c>
      <c r="E894" s="33" t="str">
        <f>_xlfn.XLOOKUP(TablaSTOCKINV[[#This Row],[SKU]],TablaINVENTARIO[SKU],TablaINVENTARIO[SUBCATEGORIA])</f>
        <v>MATERIAL MECANICO</v>
      </c>
      <c r="F894" s="33" t="str">
        <f>_xlfn.XLOOKUP(TablaSTOCKINV[[#This Row],[SKU]],TablaINVENTARIO[SKU],TablaINVENTARIO[ESTADO])</f>
        <v xml:space="preserve">NUEVO </v>
      </c>
      <c r="G894" s="33" t="str">
        <f>_xlfn.XLOOKUP(TablaSTOCKINV[[#This Row],[SKU]],TablaINVENTARIO[SKU],TablaINVENTARIO[MEDIDA])</f>
        <v>UND</v>
      </c>
      <c r="H894" s="33" t="str">
        <f>_xlfn.XLOOKUP(TablaSTOCKINV[[#This Row],[SKU]],TablaINVENTARIO[SKU],TablaINVENTARIO[SERIAL])</f>
        <v>N/A</v>
      </c>
      <c r="I894" s="34" t="str">
        <f>_xlfn.XLOOKUP(TablaSTOCKINV[[#This Row],[SKU]],TablaINVENTARIO[SKU],TablaINVENTARIO[ALMACEN])</f>
        <v>ALMACEN PRINCIPAL</v>
      </c>
      <c r="J894" s="34" t="str">
        <f>_xlfn.XLOOKUP(TablaSTOCKINV[[#This Row],[SKU]],TablaINVENTARIO[SKU],TablaINVENTARIO[UBICACION])</f>
        <v>I2-1</v>
      </c>
      <c r="K894" s="34" t="str">
        <f>_xlfn.XLOOKUP(TablaSTOCKINV[[#This Row],[SKU]],TablaINVENTARIO[SKU],TablaINVENTARIO[DPTO RESPONSABLE])</f>
        <v>OPERACIONES</v>
      </c>
      <c r="L894" s="36">
        <f>_xlfn.XLOOKUP(TablaSTOCKINV[[#This Row],[SKU]],TablaINVENTARIO[SKU],TablaINVENTARIO[RANGO MIN])</f>
        <v>0</v>
      </c>
      <c r="M894" s="34" cm="1">
        <f t="array" ref="M894">_xlfn.IFS(TablaSTOCKINV[[#This Row],[CANT. TOTAL]]&lt;=0,1,TablaSTOCKINV[[#This Row],[CANT. TOTAL]]&lt;=TablaSTOCKINV[[#This Row],[MIN]],2,TablaSTOCKINV[[#This Row],[CANT. TOTAL]]&gt;TablaSTOCKINV[[#This Row],[MIN]],3)</f>
        <v>3</v>
      </c>
      <c r="N894" s="34">
        <f>TablaSTOCKINV[[#This Row],[ENTRADAS]]-TablaSTOCKINV[[#This Row],[SALIDAS]]</f>
        <v>1</v>
      </c>
      <c r="O894" s="35">
        <f>SUMIFS(TablaENTRADA[CANT],TablaENTRADA[SKU],TablaSTOCKINV[[#This Row],[SKU]])</f>
        <v>1</v>
      </c>
      <c r="P894" s="35">
        <f>SUMIFS(TablaSALIDA[CANT],TablaSALIDA[SKU],TablaSTOCKINV[[#This Row],[SKU]])</f>
        <v>0</v>
      </c>
      <c r="Q894" s="34">
        <f>_xlfn.XLOOKUP(TablaSTOCKINV[[#This Row],[SKU]],TablaINVENTARIO[SKU],TablaINVENTARIO[PRECIO])</f>
        <v>0</v>
      </c>
      <c r="R894" s="34">
        <f>TablaSTOCKINV[[#This Row],[P.UNITARIO]]*TablaSTOCKINV[[#This Row],[CANT. TOTAL]]</f>
        <v>0</v>
      </c>
      <c r="S894" s="44">
        <f>_xlfn.XLOOKUP(TablaSTOCKINV[[#This Row],[SKU]],TablaINVENTARIO[SKU],TablaINVENTARIO[FECHA INGRESO])</f>
        <v>46023</v>
      </c>
      <c r="T894" s="44">
        <f>_xlfn.XLOOKUP(TablaSTOCKINV[[#This Row],[SKU]],TablaENTRADA[SKU],TablaENTRADA[FECHA],,0,-1)</f>
        <v>46023</v>
      </c>
      <c r="U894" s="46" t="str">
        <f>IFERROR((_xlfn.XLOOKUP(TablaSTOCKINV[[#This Row],[SKU]],TablaSALIDA[SKU],TablaSALIDA[FECHA],,0,-1))," " )</f>
        <v xml:space="preserve"> </v>
      </c>
    </row>
    <row r="895" spans="1:21" x14ac:dyDescent="0.3">
      <c r="A895" s="27" t="s">
        <v>864</v>
      </c>
      <c r="B895" s="32" t="str">
        <f>_xlfn.XLOOKUP(TablaSTOCKINV[[#This Row],[SKU]],TablaINVENTARIO[SKU],TablaINVENTARIO[DESCRIPCION])</f>
        <v xml:space="preserve">TUERCA HEXAGONAL DE ACERO INOXIDABLE 30,90MM X 16,50MM </v>
      </c>
      <c r="C895" s="32" t="str">
        <f>_xlfn.XLOOKUP(TablaSTOCKINV[[#This Row],[SKU]],TablaINVENTARIO[SKU],TablaINVENTARIO[MARCA])</f>
        <v>N/A</v>
      </c>
      <c r="D895" s="33" t="str">
        <f>_xlfn.XLOOKUP(TablaSTOCKINV[[#This Row],[SKU]],TablaINVENTARIO[SKU],TablaINVENTARIO[CATEGORIA])</f>
        <v>FABRICACION</v>
      </c>
      <c r="E895" s="33" t="str">
        <f>_xlfn.XLOOKUP(TablaSTOCKINV[[#This Row],[SKU]],TablaINVENTARIO[SKU],TablaINVENTARIO[SUBCATEGORIA])</f>
        <v>MATERIAL MECANICO</v>
      </c>
      <c r="F895" s="33" t="str">
        <f>_xlfn.XLOOKUP(TablaSTOCKINV[[#This Row],[SKU]],TablaINVENTARIO[SKU],TablaINVENTARIO[ESTADO])</f>
        <v xml:space="preserve">NUEVO </v>
      </c>
      <c r="G895" s="33" t="str">
        <f>_xlfn.XLOOKUP(TablaSTOCKINV[[#This Row],[SKU]],TablaINVENTARIO[SKU],TablaINVENTARIO[MEDIDA])</f>
        <v>UND</v>
      </c>
      <c r="H895" s="33" t="str">
        <f>_xlfn.XLOOKUP(TablaSTOCKINV[[#This Row],[SKU]],TablaINVENTARIO[SKU],TablaINVENTARIO[SERIAL])</f>
        <v>N/A</v>
      </c>
      <c r="I895" s="34" t="str">
        <f>_xlfn.XLOOKUP(TablaSTOCKINV[[#This Row],[SKU]],TablaINVENTARIO[SKU],TablaINVENTARIO[ALMACEN])</f>
        <v>ALMACEN PRINCIPAL</v>
      </c>
      <c r="J895" s="34" t="str">
        <f>_xlfn.XLOOKUP(TablaSTOCKINV[[#This Row],[SKU]],TablaINVENTARIO[SKU],TablaINVENTARIO[UBICACION])</f>
        <v>I2-1</v>
      </c>
      <c r="K895" s="34" t="str">
        <f>_xlfn.XLOOKUP(TablaSTOCKINV[[#This Row],[SKU]],TablaINVENTARIO[SKU],TablaINVENTARIO[DPTO RESPONSABLE])</f>
        <v>OPERACIONES</v>
      </c>
      <c r="L895" s="36">
        <f>_xlfn.XLOOKUP(TablaSTOCKINV[[#This Row],[SKU]],TablaINVENTARIO[SKU],TablaINVENTARIO[RANGO MIN])</f>
        <v>0</v>
      </c>
      <c r="M895" s="34" cm="1">
        <f t="array" ref="M895">_xlfn.IFS(TablaSTOCKINV[[#This Row],[CANT. TOTAL]]&lt;=0,1,TablaSTOCKINV[[#This Row],[CANT. TOTAL]]&lt;=TablaSTOCKINV[[#This Row],[MIN]],2,TablaSTOCKINV[[#This Row],[CANT. TOTAL]]&gt;TablaSTOCKINV[[#This Row],[MIN]],3)</f>
        <v>3</v>
      </c>
      <c r="N895" s="34">
        <f>TablaSTOCKINV[[#This Row],[ENTRADAS]]-TablaSTOCKINV[[#This Row],[SALIDAS]]</f>
        <v>6</v>
      </c>
      <c r="O895" s="35">
        <f>SUMIFS(TablaENTRADA[CANT],TablaENTRADA[SKU],TablaSTOCKINV[[#This Row],[SKU]])</f>
        <v>6</v>
      </c>
      <c r="P895" s="35">
        <f>SUMIFS(TablaSALIDA[CANT],TablaSALIDA[SKU],TablaSTOCKINV[[#This Row],[SKU]])</f>
        <v>0</v>
      </c>
      <c r="Q895" s="34">
        <f>_xlfn.XLOOKUP(TablaSTOCKINV[[#This Row],[SKU]],TablaINVENTARIO[SKU],TablaINVENTARIO[PRECIO])</f>
        <v>0</v>
      </c>
      <c r="R895" s="34">
        <f>TablaSTOCKINV[[#This Row],[P.UNITARIO]]*TablaSTOCKINV[[#This Row],[CANT. TOTAL]]</f>
        <v>0</v>
      </c>
      <c r="S895" s="44">
        <f>_xlfn.XLOOKUP(TablaSTOCKINV[[#This Row],[SKU]],TablaINVENTARIO[SKU],TablaINVENTARIO[FECHA INGRESO])</f>
        <v>46023</v>
      </c>
      <c r="T895" s="44">
        <f>_xlfn.XLOOKUP(TablaSTOCKINV[[#This Row],[SKU]],TablaENTRADA[SKU],TablaENTRADA[FECHA],,0,-1)</f>
        <v>46023</v>
      </c>
      <c r="U895" s="46" t="str">
        <f>IFERROR((_xlfn.XLOOKUP(TablaSTOCKINV[[#This Row],[SKU]],TablaSALIDA[SKU],TablaSALIDA[FECHA],,0,-1))," " )</f>
        <v xml:space="preserve"> </v>
      </c>
    </row>
    <row r="896" spans="1:21" x14ac:dyDescent="0.3">
      <c r="A896" s="27" t="s">
        <v>866</v>
      </c>
      <c r="B896" s="32" t="str">
        <f>_xlfn.XLOOKUP(TablaSTOCKINV[[#This Row],[SKU]],TablaINVENTARIO[SKU],TablaINVENTARIO[DESCRIPCION])</f>
        <v>TUERCA HEXAGONAL DE ACERO INOXIDABLE 27,80MM X 16,64MM</v>
      </c>
      <c r="C896" s="32" t="str">
        <f>_xlfn.XLOOKUP(TablaSTOCKINV[[#This Row],[SKU]],TablaINVENTARIO[SKU],TablaINVENTARIO[MARCA])</f>
        <v>N/A</v>
      </c>
      <c r="D896" s="33" t="str">
        <f>_xlfn.XLOOKUP(TablaSTOCKINV[[#This Row],[SKU]],TablaINVENTARIO[SKU],TablaINVENTARIO[CATEGORIA])</f>
        <v>FABRICACION</v>
      </c>
      <c r="E896" s="33" t="str">
        <f>_xlfn.XLOOKUP(TablaSTOCKINV[[#This Row],[SKU]],TablaINVENTARIO[SKU],TablaINVENTARIO[SUBCATEGORIA])</f>
        <v>MATERIAL MECANICO</v>
      </c>
      <c r="F896" s="33" t="str">
        <f>_xlfn.XLOOKUP(TablaSTOCKINV[[#This Row],[SKU]],TablaINVENTARIO[SKU],TablaINVENTARIO[ESTADO])</f>
        <v xml:space="preserve">NUEVO </v>
      </c>
      <c r="G896" s="33" t="str">
        <f>_xlfn.XLOOKUP(TablaSTOCKINV[[#This Row],[SKU]],TablaINVENTARIO[SKU],TablaINVENTARIO[MEDIDA])</f>
        <v>UND</v>
      </c>
      <c r="H896" s="33" t="str">
        <f>_xlfn.XLOOKUP(TablaSTOCKINV[[#This Row],[SKU]],TablaINVENTARIO[SKU],TablaINVENTARIO[SERIAL])</f>
        <v>N/A</v>
      </c>
      <c r="I896" s="34" t="str">
        <f>_xlfn.XLOOKUP(TablaSTOCKINV[[#This Row],[SKU]],TablaINVENTARIO[SKU],TablaINVENTARIO[ALMACEN])</f>
        <v>ALMACEN PRINCIPAL</v>
      </c>
      <c r="J896" s="34" t="str">
        <f>_xlfn.XLOOKUP(TablaSTOCKINV[[#This Row],[SKU]],TablaINVENTARIO[SKU],TablaINVENTARIO[UBICACION])</f>
        <v>I2-1</v>
      </c>
      <c r="K896" s="34" t="str">
        <f>_xlfn.XLOOKUP(TablaSTOCKINV[[#This Row],[SKU]],TablaINVENTARIO[SKU],TablaINVENTARIO[DPTO RESPONSABLE])</f>
        <v>OPERACIONES</v>
      </c>
      <c r="L896" s="36">
        <f>_xlfn.XLOOKUP(TablaSTOCKINV[[#This Row],[SKU]],TablaINVENTARIO[SKU],TablaINVENTARIO[RANGO MIN])</f>
        <v>0</v>
      </c>
      <c r="M896" s="34" cm="1">
        <f t="array" ref="M896">_xlfn.IFS(TablaSTOCKINV[[#This Row],[CANT. TOTAL]]&lt;=0,1,TablaSTOCKINV[[#This Row],[CANT. TOTAL]]&lt;=TablaSTOCKINV[[#This Row],[MIN]],2,TablaSTOCKINV[[#This Row],[CANT. TOTAL]]&gt;TablaSTOCKINV[[#This Row],[MIN]],3)</f>
        <v>3</v>
      </c>
      <c r="N896" s="34">
        <f>TablaSTOCKINV[[#This Row],[ENTRADAS]]-TablaSTOCKINV[[#This Row],[SALIDAS]]</f>
        <v>4</v>
      </c>
      <c r="O896" s="35">
        <f>SUMIFS(TablaENTRADA[CANT],TablaENTRADA[SKU],TablaSTOCKINV[[#This Row],[SKU]])</f>
        <v>4</v>
      </c>
      <c r="P896" s="35">
        <f>SUMIFS(TablaSALIDA[CANT],TablaSALIDA[SKU],TablaSTOCKINV[[#This Row],[SKU]])</f>
        <v>0</v>
      </c>
      <c r="Q896" s="34">
        <f>_xlfn.XLOOKUP(TablaSTOCKINV[[#This Row],[SKU]],TablaINVENTARIO[SKU],TablaINVENTARIO[PRECIO])</f>
        <v>0</v>
      </c>
      <c r="R896" s="34">
        <f>TablaSTOCKINV[[#This Row],[P.UNITARIO]]*TablaSTOCKINV[[#This Row],[CANT. TOTAL]]</f>
        <v>0</v>
      </c>
      <c r="S896" s="44">
        <f>_xlfn.XLOOKUP(TablaSTOCKINV[[#This Row],[SKU]],TablaINVENTARIO[SKU],TablaINVENTARIO[FECHA INGRESO])</f>
        <v>46023</v>
      </c>
      <c r="T896" s="44">
        <f>_xlfn.XLOOKUP(TablaSTOCKINV[[#This Row],[SKU]],TablaENTRADA[SKU],TablaENTRADA[FECHA],,0,-1)</f>
        <v>46023</v>
      </c>
      <c r="U896" s="46" t="str">
        <f>IFERROR((_xlfn.XLOOKUP(TablaSTOCKINV[[#This Row],[SKU]],TablaSALIDA[SKU],TablaSALIDA[FECHA],,0,-1))," " )</f>
        <v xml:space="preserve"> </v>
      </c>
    </row>
    <row r="897" spans="1:21" x14ac:dyDescent="0.3">
      <c r="A897" s="27" t="s">
        <v>868</v>
      </c>
      <c r="B897" s="32" t="str">
        <f>_xlfn.XLOOKUP(TablaSTOCKINV[[#This Row],[SKU]],TablaINVENTARIO[SKU],TablaINVENTARIO[DESCRIPCION])</f>
        <v>TUERCA HEXAGONAL DE ACERO INOXIDABLE 35,66MM X 19,27MM</v>
      </c>
      <c r="C897" s="32" t="str">
        <f>_xlfn.XLOOKUP(TablaSTOCKINV[[#This Row],[SKU]],TablaINVENTARIO[SKU],TablaINVENTARIO[MARCA])</f>
        <v>N/A</v>
      </c>
      <c r="D897" s="33" t="str">
        <f>_xlfn.XLOOKUP(TablaSTOCKINV[[#This Row],[SKU]],TablaINVENTARIO[SKU],TablaINVENTARIO[CATEGORIA])</f>
        <v>FABRICACION</v>
      </c>
      <c r="E897" s="33" t="str">
        <f>_xlfn.XLOOKUP(TablaSTOCKINV[[#This Row],[SKU]],TablaINVENTARIO[SKU],TablaINVENTARIO[SUBCATEGORIA])</f>
        <v>MATERIAL MECANICO</v>
      </c>
      <c r="F897" s="33" t="str">
        <f>_xlfn.XLOOKUP(TablaSTOCKINV[[#This Row],[SKU]],TablaINVENTARIO[SKU],TablaINVENTARIO[ESTADO])</f>
        <v xml:space="preserve">NUEVO </v>
      </c>
      <c r="G897" s="33" t="str">
        <f>_xlfn.XLOOKUP(TablaSTOCKINV[[#This Row],[SKU]],TablaINVENTARIO[SKU],TablaINVENTARIO[MEDIDA])</f>
        <v>UND</v>
      </c>
      <c r="H897" s="33" t="str">
        <f>_xlfn.XLOOKUP(TablaSTOCKINV[[#This Row],[SKU]],TablaINVENTARIO[SKU],TablaINVENTARIO[SERIAL])</f>
        <v>N/A</v>
      </c>
      <c r="I897" s="34" t="str">
        <f>_xlfn.XLOOKUP(TablaSTOCKINV[[#This Row],[SKU]],TablaINVENTARIO[SKU],TablaINVENTARIO[ALMACEN])</f>
        <v>ALMACEN PRINCIPAL</v>
      </c>
      <c r="J897" s="34" t="str">
        <f>_xlfn.XLOOKUP(TablaSTOCKINV[[#This Row],[SKU]],TablaINVENTARIO[SKU],TablaINVENTARIO[UBICACION])</f>
        <v>I2-1</v>
      </c>
      <c r="K897" s="34" t="str">
        <f>_xlfn.XLOOKUP(TablaSTOCKINV[[#This Row],[SKU]],TablaINVENTARIO[SKU],TablaINVENTARIO[DPTO RESPONSABLE])</f>
        <v>OPERACIONES</v>
      </c>
      <c r="L897" s="36">
        <f>_xlfn.XLOOKUP(TablaSTOCKINV[[#This Row],[SKU]],TablaINVENTARIO[SKU],TablaINVENTARIO[RANGO MIN])</f>
        <v>0</v>
      </c>
      <c r="M897" s="34" cm="1">
        <f t="array" ref="M897">_xlfn.IFS(TablaSTOCKINV[[#This Row],[CANT. TOTAL]]&lt;=0,1,TablaSTOCKINV[[#This Row],[CANT. TOTAL]]&lt;=TablaSTOCKINV[[#This Row],[MIN]],2,TablaSTOCKINV[[#This Row],[CANT. TOTAL]]&gt;TablaSTOCKINV[[#This Row],[MIN]],3)</f>
        <v>3</v>
      </c>
      <c r="N897" s="34">
        <f>TablaSTOCKINV[[#This Row],[ENTRADAS]]-TablaSTOCKINV[[#This Row],[SALIDAS]]</f>
        <v>2</v>
      </c>
      <c r="O897" s="35">
        <f>SUMIFS(TablaENTRADA[CANT],TablaENTRADA[SKU],TablaSTOCKINV[[#This Row],[SKU]])</f>
        <v>2</v>
      </c>
      <c r="P897" s="35">
        <f>SUMIFS(TablaSALIDA[CANT],TablaSALIDA[SKU],TablaSTOCKINV[[#This Row],[SKU]])</f>
        <v>0</v>
      </c>
      <c r="Q897" s="34">
        <f>_xlfn.XLOOKUP(TablaSTOCKINV[[#This Row],[SKU]],TablaINVENTARIO[SKU],TablaINVENTARIO[PRECIO])</f>
        <v>0</v>
      </c>
      <c r="R897" s="34">
        <f>TablaSTOCKINV[[#This Row],[P.UNITARIO]]*TablaSTOCKINV[[#This Row],[CANT. TOTAL]]</f>
        <v>0</v>
      </c>
      <c r="S897" s="44">
        <f>_xlfn.XLOOKUP(TablaSTOCKINV[[#This Row],[SKU]],TablaINVENTARIO[SKU],TablaINVENTARIO[FECHA INGRESO])</f>
        <v>46023</v>
      </c>
      <c r="T897" s="44">
        <f>_xlfn.XLOOKUP(TablaSTOCKINV[[#This Row],[SKU]],TablaENTRADA[SKU],TablaENTRADA[FECHA],,0,-1)</f>
        <v>46023</v>
      </c>
      <c r="U897" s="46" t="str">
        <f>IFERROR((_xlfn.XLOOKUP(TablaSTOCKINV[[#This Row],[SKU]],TablaSALIDA[SKU],TablaSALIDA[FECHA],,0,-1))," " )</f>
        <v xml:space="preserve"> </v>
      </c>
    </row>
    <row r="898" spans="1:21" x14ac:dyDescent="0.3">
      <c r="A898" s="27" t="s">
        <v>870</v>
      </c>
      <c r="B898" s="32" t="str">
        <f>_xlfn.XLOOKUP(TablaSTOCKINV[[#This Row],[SKU]],TablaINVENTARIO[SKU],TablaINVENTARIO[DESCRIPCION])</f>
        <v xml:space="preserve">TUERCA HEXAGONAL DE ACERO INOXIDABLE 37,60MM X 22,29MM </v>
      </c>
      <c r="C898" s="32" t="str">
        <f>_xlfn.XLOOKUP(TablaSTOCKINV[[#This Row],[SKU]],TablaINVENTARIO[SKU],TablaINVENTARIO[MARCA])</f>
        <v>N/A</v>
      </c>
      <c r="D898" s="33" t="str">
        <f>_xlfn.XLOOKUP(TablaSTOCKINV[[#This Row],[SKU]],TablaINVENTARIO[SKU],TablaINVENTARIO[CATEGORIA])</f>
        <v>FABRICACION</v>
      </c>
      <c r="E898" s="33" t="str">
        <f>_xlfn.XLOOKUP(TablaSTOCKINV[[#This Row],[SKU]],TablaINVENTARIO[SKU],TablaINVENTARIO[SUBCATEGORIA])</f>
        <v>MATERIAL MECANICO</v>
      </c>
      <c r="F898" s="33" t="str">
        <f>_xlfn.XLOOKUP(TablaSTOCKINV[[#This Row],[SKU]],TablaINVENTARIO[SKU],TablaINVENTARIO[ESTADO])</f>
        <v xml:space="preserve">NUEVO </v>
      </c>
      <c r="G898" s="33" t="str">
        <f>_xlfn.XLOOKUP(TablaSTOCKINV[[#This Row],[SKU]],TablaINVENTARIO[SKU],TablaINVENTARIO[MEDIDA])</f>
        <v>UND</v>
      </c>
      <c r="H898" s="33" t="str">
        <f>_xlfn.XLOOKUP(TablaSTOCKINV[[#This Row],[SKU]],TablaINVENTARIO[SKU],TablaINVENTARIO[SERIAL])</f>
        <v>N/A</v>
      </c>
      <c r="I898" s="34" t="str">
        <f>_xlfn.XLOOKUP(TablaSTOCKINV[[#This Row],[SKU]],TablaINVENTARIO[SKU],TablaINVENTARIO[ALMACEN])</f>
        <v>ALMACEN PRINCIPAL</v>
      </c>
      <c r="J898" s="34" t="str">
        <f>_xlfn.XLOOKUP(TablaSTOCKINV[[#This Row],[SKU]],TablaINVENTARIO[SKU],TablaINVENTARIO[UBICACION])</f>
        <v>I2-1</v>
      </c>
      <c r="K898" s="34" t="str">
        <f>_xlfn.XLOOKUP(TablaSTOCKINV[[#This Row],[SKU]],TablaINVENTARIO[SKU],TablaINVENTARIO[DPTO RESPONSABLE])</f>
        <v>OPERACIONES</v>
      </c>
      <c r="L898" s="36">
        <f>_xlfn.XLOOKUP(TablaSTOCKINV[[#This Row],[SKU]],TablaINVENTARIO[SKU],TablaINVENTARIO[RANGO MIN])</f>
        <v>0</v>
      </c>
      <c r="M898" s="34" cm="1">
        <f t="array" ref="M898">_xlfn.IFS(TablaSTOCKINV[[#This Row],[CANT. TOTAL]]&lt;=0,1,TablaSTOCKINV[[#This Row],[CANT. TOTAL]]&lt;=TablaSTOCKINV[[#This Row],[MIN]],2,TablaSTOCKINV[[#This Row],[CANT. TOTAL]]&gt;TablaSTOCKINV[[#This Row],[MIN]],3)</f>
        <v>3</v>
      </c>
      <c r="N898" s="34">
        <f>TablaSTOCKINV[[#This Row],[ENTRADAS]]-TablaSTOCKINV[[#This Row],[SALIDAS]]</f>
        <v>2</v>
      </c>
      <c r="O898" s="35">
        <f>SUMIFS(TablaENTRADA[CANT],TablaENTRADA[SKU],TablaSTOCKINV[[#This Row],[SKU]])</f>
        <v>2</v>
      </c>
      <c r="P898" s="35">
        <f>SUMIFS(TablaSALIDA[CANT],TablaSALIDA[SKU],TablaSTOCKINV[[#This Row],[SKU]])</f>
        <v>0</v>
      </c>
      <c r="Q898" s="34">
        <f>_xlfn.XLOOKUP(TablaSTOCKINV[[#This Row],[SKU]],TablaINVENTARIO[SKU],TablaINVENTARIO[PRECIO])</f>
        <v>0</v>
      </c>
      <c r="R898" s="34">
        <f>TablaSTOCKINV[[#This Row],[P.UNITARIO]]*TablaSTOCKINV[[#This Row],[CANT. TOTAL]]</f>
        <v>0</v>
      </c>
      <c r="S898" s="44">
        <f>_xlfn.XLOOKUP(TablaSTOCKINV[[#This Row],[SKU]],TablaINVENTARIO[SKU],TablaINVENTARIO[FECHA INGRESO])</f>
        <v>46023</v>
      </c>
      <c r="T898" s="44">
        <f>_xlfn.XLOOKUP(TablaSTOCKINV[[#This Row],[SKU]],TablaENTRADA[SKU],TablaENTRADA[FECHA],,0,-1)</f>
        <v>46023</v>
      </c>
      <c r="U898" s="46" t="str">
        <f>IFERROR((_xlfn.XLOOKUP(TablaSTOCKINV[[#This Row],[SKU]],TablaSALIDA[SKU],TablaSALIDA[FECHA],,0,-1))," " )</f>
        <v xml:space="preserve"> </v>
      </c>
    </row>
    <row r="899" spans="1:21" x14ac:dyDescent="0.3">
      <c r="A899" s="27" t="s">
        <v>872</v>
      </c>
      <c r="B899" s="32" t="str">
        <f>_xlfn.XLOOKUP(TablaSTOCKINV[[#This Row],[SKU]],TablaINVENTARIO[SKU],TablaINVENTARIO[DESCRIPCION])</f>
        <v>TUERCA HEXAGONAL DE ACERO INOXIDABLE 44,63MM X 25,07MM</v>
      </c>
      <c r="C899" s="32" t="str">
        <f>_xlfn.XLOOKUP(TablaSTOCKINV[[#This Row],[SKU]],TablaINVENTARIO[SKU],TablaINVENTARIO[MARCA])</f>
        <v>N/A</v>
      </c>
      <c r="D899" s="33" t="str">
        <f>_xlfn.XLOOKUP(TablaSTOCKINV[[#This Row],[SKU]],TablaINVENTARIO[SKU],TablaINVENTARIO[CATEGORIA])</f>
        <v>FABRICACION</v>
      </c>
      <c r="E899" s="33" t="str">
        <f>_xlfn.XLOOKUP(TablaSTOCKINV[[#This Row],[SKU]],TablaINVENTARIO[SKU],TablaINVENTARIO[SUBCATEGORIA])</f>
        <v>MATERIAL MECANICO</v>
      </c>
      <c r="F899" s="33" t="str">
        <f>_xlfn.XLOOKUP(TablaSTOCKINV[[#This Row],[SKU]],TablaINVENTARIO[SKU],TablaINVENTARIO[ESTADO])</f>
        <v xml:space="preserve">NUEVO </v>
      </c>
      <c r="G899" s="33" t="str">
        <f>_xlfn.XLOOKUP(TablaSTOCKINV[[#This Row],[SKU]],TablaINVENTARIO[SKU],TablaINVENTARIO[MEDIDA])</f>
        <v>UND</v>
      </c>
      <c r="H899" s="33" t="str">
        <f>_xlfn.XLOOKUP(TablaSTOCKINV[[#This Row],[SKU]],TablaINVENTARIO[SKU],TablaINVENTARIO[SERIAL])</f>
        <v>N/A</v>
      </c>
      <c r="I899" s="34" t="str">
        <f>_xlfn.XLOOKUP(TablaSTOCKINV[[#This Row],[SKU]],TablaINVENTARIO[SKU],TablaINVENTARIO[ALMACEN])</f>
        <v>ALMACEN PRINCIPAL</v>
      </c>
      <c r="J899" s="34" t="str">
        <f>_xlfn.XLOOKUP(TablaSTOCKINV[[#This Row],[SKU]],TablaINVENTARIO[SKU],TablaINVENTARIO[UBICACION])</f>
        <v>I2-1</v>
      </c>
      <c r="K899" s="34" t="str">
        <f>_xlfn.XLOOKUP(TablaSTOCKINV[[#This Row],[SKU]],TablaINVENTARIO[SKU],TablaINVENTARIO[DPTO RESPONSABLE])</f>
        <v>OPERACIONES</v>
      </c>
      <c r="L899" s="36">
        <f>_xlfn.XLOOKUP(TablaSTOCKINV[[#This Row],[SKU]],TablaINVENTARIO[SKU],TablaINVENTARIO[RANGO MIN])</f>
        <v>0</v>
      </c>
      <c r="M899" s="34" cm="1">
        <f t="array" ref="M899">_xlfn.IFS(TablaSTOCKINV[[#This Row],[CANT. TOTAL]]&lt;=0,1,TablaSTOCKINV[[#This Row],[CANT. TOTAL]]&lt;=TablaSTOCKINV[[#This Row],[MIN]],2,TablaSTOCKINV[[#This Row],[CANT. TOTAL]]&gt;TablaSTOCKINV[[#This Row],[MIN]],3)</f>
        <v>3</v>
      </c>
      <c r="N899" s="34">
        <f>TablaSTOCKINV[[#This Row],[ENTRADAS]]-TablaSTOCKINV[[#This Row],[SALIDAS]]</f>
        <v>1</v>
      </c>
      <c r="O899" s="35">
        <f>SUMIFS(TablaENTRADA[CANT],TablaENTRADA[SKU],TablaSTOCKINV[[#This Row],[SKU]])</f>
        <v>1</v>
      </c>
      <c r="P899" s="35">
        <f>SUMIFS(TablaSALIDA[CANT],TablaSALIDA[SKU],TablaSTOCKINV[[#This Row],[SKU]])</f>
        <v>0</v>
      </c>
      <c r="Q899" s="34">
        <f>_xlfn.XLOOKUP(TablaSTOCKINV[[#This Row],[SKU]],TablaINVENTARIO[SKU],TablaINVENTARIO[PRECIO])</f>
        <v>0</v>
      </c>
      <c r="R899" s="34">
        <f>TablaSTOCKINV[[#This Row],[P.UNITARIO]]*TablaSTOCKINV[[#This Row],[CANT. TOTAL]]</f>
        <v>0</v>
      </c>
      <c r="S899" s="44">
        <f>_xlfn.XLOOKUP(TablaSTOCKINV[[#This Row],[SKU]],TablaINVENTARIO[SKU],TablaINVENTARIO[FECHA INGRESO])</f>
        <v>46023</v>
      </c>
      <c r="T899" s="44">
        <f>_xlfn.XLOOKUP(TablaSTOCKINV[[#This Row],[SKU]],TablaENTRADA[SKU],TablaENTRADA[FECHA],,0,-1)</f>
        <v>46023</v>
      </c>
      <c r="U899" s="46" t="str">
        <f>IFERROR((_xlfn.XLOOKUP(TablaSTOCKINV[[#This Row],[SKU]],TablaSALIDA[SKU],TablaSALIDA[FECHA],,0,-1))," " )</f>
        <v xml:space="preserve"> </v>
      </c>
    </row>
    <row r="900" spans="1:21" x14ac:dyDescent="0.3">
      <c r="A900" s="27" t="s">
        <v>874</v>
      </c>
      <c r="B900" s="32" t="str">
        <f>_xlfn.XLOOKUP(TablaSTOCKINV[[#This Row],[SKU]],TablaINVENTARIO[SKU],TablaINVENTARIO[DESCRIPCION])</f>
        <v xml:space="preserve">TUERCA HEXAGONAL DE ACERO INOXIDABLE 40,63MM X 22MM </v>
      </c>
      <c r="C900" s="32" t="str">
        <f>_xlfn.XLOOKUP(TablaSTOCKINV[[#This Row],[SKU]],TablaINVENTARIO[SKU],TablaINVENTARIO[MARCA])</f>
        <v>N/A</v>
      </c>
      <c r="D900" s="33" t="str">
        <f>_xlfn.XLOOKUP(TablaSTOCKINV[[#This Row],[SKU]],TablaINVENTARIO[SKU],TablaINVENTARIO[CATEGORIA])</f>
        <v>FABRICACION</v>
      </c>
      <c r="E900" s="33" t="str">
        <f>_xlfn.XLOOKUP(TablaSTOCKINV[[#This Row],[SKU]],TablaINVENTARIO[SKU],TablaINVENTARIO[SUBCATEGORIA])</f>
        <v>MATERIAL MECANICO</v>
      </c>
      <c r="F900" s="33" t="str">
        <f>_xlfn.XLOOKUP(TablaSTOCKINV[[#This Row],[SKU]],TablaINVENTARIO[SKU],TablaINVENTARIO[ESTADO])</f>
        <v xml:space="preserve">NUEVO </v>
      </c>
      <c r="G900" s="33" t="str">
        <f>_xlfn.XLOOKUP(TablaSTOCKINV[[#This Row],[SKU]],TablaINVENTARIO[SKU],TablaINVENTARIO[MEDIDA])</f>
        <v>UND</v>
      </c>
      <c r="H900" s="33" t="str">
        <f>_xlfn.XLOOKUP(TablaSTOCKINV[[#This Row],[SKU]],TablaINVENTARIO[SKU],TablaINVENTARIO[SERIAL])</f>
        <v>N/A</v>
      </c>
      <c r="I900" s="34" t="str">
        <f>_xlfn.XLOOKUP(TablaSTOCKINV[[#This Row],[SKU]],TablaINVENTARIO[SKU],TablaINVENTARIO[ALMACEN])</f>
        <v>ALMACEN PRINCIPAL</v>
      </c>
      <c r="J900" s="34" t="str">
        <f>_xlfn.XLOOKUP(TablaSTOCKINV[[#This Row],[SKU]],TablaINVENTARIO[SKU],TablaINVENTARIO[UBICACION])</f>
        <v>I2-1</v>
      </c>
      <c r="K900" s="34" t="str">
        <f>_xlfn.XLOOKUP(TablaSTOCKINV[[#This Row],[SKU]],TablaINVENTARIO[SKU],TablaINVENTARIO[DPTO RESPONSABLE])</f>
        <v>OPERACIONES</v>
      </c>
      <c r="L900" s="36">
        <f>_xlfn.XLOOKUP(TablaSTOCKINV[[#This Row],[SKU]],TablaINVENTARIO[SKU],TablaINVENTARIO[RANGO MIN])</f>
        <v>0</v>
      </c>
      <c r="M900" s="34" cm="1">
        <f t="array" ref="M900">_xlfn.IFS(TablaSTOCKINV[[#This Row],[CANT. TOTAL]]&lt;=0,1,TablaSTOCKINV[[#This Row],[CANT. TOTAL]]&lt;=TablaSTOCKINV[[#This Row],[MIN]],2,TablaSTOCKINV[[#This Row],[CANT. TOTAL]]&gt;TablaSTOCKINV[[#This Row],[MIN]],3)</f>
        <v>3</v>
      </c>
      <c r="N900" s="34">
        <f>TablaSTOCKINV[[#This Row],[ENTRADAS]]-TablaSTOCKINV[[#This Row],[SALIDAS]]</f>
        <v>2</v>
      </c>
      <c r="O900" s="35">
        <f>SUMIFS(TablaENTRADA[CANT],TablaENTRADA[SKU],TablaSTOCKINV[[#This Row],[SKU]])</f>
        <v>2</v>
      </c>
      <c r="P900" s="35">
        <f>SUMIFS(TablaSALIDA[CANT],TablaSALIDA[SKU],TablaSTOCKINV[[#This Row],[SKU]])</f>
        <v>0</v>
      </c>
      <c r="Q900" s="34">
        <f>_xlfn.XLOOKUP(TablaSTOCKINV[[#This Row],[SKU]],TablaINVENTARIO[SKU],TablaINVENTARIO[PRECIO])</f>
        <v>0</v>
      </c>
      <c r="R900" s="34">
        <f>TablaSTOCKINV[[#This Row],[P.UNITARIO]]*TablaSTOCKINV[[#This Row],[CANT. TOTAL]]</f>
        <v>0</v>
      </c>
      <c r="S900" s="44">
        <f>_xlfn.XLOOKUP(TablaSTOCKINV[[#This Row],[SKU]],TablaINVENTARIO[SKU],TablaINVENTARIO[FECHA INGRESO])</f>
        <v>46023</v>
      </c>
      <c r="T900" s="44">
        <f>_xlfn.XLOOKUP(TablaSTOCKINV[[#This Row],[SKU]],TablaENTRADA[SKU],TablaENTRADA[FECHA],,0,-1)</f>
        <v>46023</v>
      </c>
      <c r="U900" s="46" t="str">
        <f>IFERROR((_xlfn.XLOOKUP(TablaSTOCKINV[[#This Row],[SKU]],TablaSALIDA[SKU],TablaSALIDA[FECHA],,0,-1))," " )</f>
        <v xml:space="preserve"> </v>
      </c>
    </row>
    <row r="901" spans="1:21" x14ac:dyDescent="0.3">
      <c r="A901" s="27" t="s">
        <v>876</v>
      </c>
      <c r="B901" s="32" t="str">
        <f>_xlfn.XLOOKUP(TablaSTOCKINV[[#This Row],[SKU]],TablaINVENTARIO[SKU],TablaINVENTARIO[DESCRIPCION])</f>
        <v>ARANDELA DE PRESION DE ACERO AL CARBON 31,26MM X 19,50MM</v>
      </c>
      <c r="C901" s="32" t="str">
        <f>_xlfn.XLOOKUP(TablaSTOCKINV[[#This Row],[SKU]],TablaINVENTARIO[SKU],TablaINVENTARIO[MARCA])</f>
        <v>N/A</v>
      </c>
      <c r="D901" s="33" t="str">
        <f>_xlfn.XLOOKUP(TablaSTOCKINV[[#This Row],[SKU]],TablaINVENTARIO[SKU],TablaINVENTARIO[CATEGORIA])</f>
        <v>FABRICACION</v>
      </c>
      <c r="E901" s="33" t="str">
        <f>_xlfn.XLOOKUP(TablaSTOCKINV[[#This Row],[SKU]],TablaINVENTARIO[SKU],TablaINVENTARIO[SUBCATEGORIA])</f>
        <v>MATERIAL MECANICO</v>
      </c>
      <c r="F901" s="33" t="str">
        <f>_xlfn.XLOOKUP(TablaSTOCKINV[[#This Row],[SKU]],TablaINVENTARIO[SKU],TablaINVENTARIO[ESTADO])</f>
        <v>USADO</v>
      </c>
      <c r="G901" s="33" t="str">
        <f>_xlfn.XLOOKUP(TablaSTOCKINV[[#This Row],[SKU]],TablaINVENTARIO[SKU],TablaINVENTARIO[MEDIDA])</f>
        <v>UND</v>
      </c>
      <c r="H901" s="33" t="str">
        <f>_xlfn.XLOOKUP(TablaSTOCKINV[[#This Row],[SKU]],TablaINVENTARIO[SKU],TablaINVENTARIO[SERIAL])</f>
        <v>N/A</v>
      </c>
      <c r="I901" s="34" t="str">
        <f>_xlfn.XLOOKUP(TablaSTOCKINV[[#This Row],[SKU]],TablaINVENTARIO[SKU],TablaINVENTARIO[ALMACEN])</f>
        <v>ALMACEN PRINCIPAL</v>
      </c>
      <c r="J901" s="34" t="str">
        <f>_xlfn.XLOOKUP(TablaSTOCKINV[[#This Row],[SKU]],TablaINVENTARIO[SKU],TablaINVENTARIO[UBICACION])</f>
        <v>I2-1</v>
      </c>
      <c r="K901" s="34" t="str">
        <f>_xlfn.XLOOKUP(TablaSTOCKINV[[#This Row],[SKU]],TablaINVENTARIO[SKU],TablaINVENTARIO[DPTO RESPONSABLE])</f>
        <v>OPERACIONES</v>
      </c>
      <c r="L901" s="36">
        <f>_xlfn.XLOOKUP(TablaSTOCKINV[[#This Row],[SKU]],TablaINVENTARIO[SKU],TablaINVENTARIO[RANGO MIN])</f>
        <v>0</v>
      </c>
      <c r="M901" s="34" cm="1">
        <f t="array" ref="M901">_xlfn.IFS(TablaSTOCKINV[[#This Row],[CANT. TOTAL]]&lt;=0,1,TablaSTOCKINV[[#This Row],[CANT. TOTAL]]&lt;=TablaSTOCKINV[[#This Row],[MIN]],2,TablaSTOCKINV[[#This Row],[CANT. TOTAL]]&gt;TablaSTOCKINV[[#This Row],[MIN]],3)</f>
        <v>3</v>
      </c>
      <c r="N901" s="34">
        <f>TablaSTOCKINV[[#This Row],[ENTRADAS]]-TablaSTOCKINV[[#This Row],[SALIDAS]]</f>
        <v>17</v>
      </c>
      <c r="O901" s="35">
        <f>SUMIFS(TablaENTRADA[CANT],TablaENTRADA[SKU],TablaSTOCKINV[[#This Row],[SKU]])</f>
        <v>17</v>
      </c>
      <c r="P901" s="35">
        <f>SUMIFS(TablaSALIDA[CANT],TablaSALIDA[SKU],TablaSTOCKINV[[#This Row],[SKU]])</f>
        <v>0</v>
      </c>
      <c r="Q901" s="34">
        <f>_xlfn.XLOOKUP(TablaSTOCKINV[[#This Row],[SKU]],TablaINVENTARIO[SKU],TablaINVENTARIO[PRECIO])</f>
        <v>0</v>
      </c>
      <c r="R901" s="34">
        <f>TablaSTOCKINV[[#This Row],[P.UNITARIO]]*TablaSTOCKINV[[#This Row],[CANT. TOTAL]]</f>
        <v>0</v>
      </c>
      <c r="S901" s="44">
        <f>_xlfn.XLOOKUP(TablaSTOCKINV[[#This Row],[SKU]],TablaINVENTARIO[SKU],TablaINVENTARIO[FECHA INGRESO])</f>
        <v>46023</v>
      </c>
      <c r="T901" s="44">
        <f>_xlfn.XLOOKUP(TablaSTOCKINV[[#This Row],[SKU]],TablaENTRADA[SKU],TablaENTRADA[FECHA],,0,-1)</f>
        <v>46023</v>
      </c>
      <c r="U901" s="46" t="str">
        <f>IFERROR((_xlfn.XLOOKUP(TablaSTOCKINV[[#This Row],[SKU]],TablaSALIDA[SKU],TablaSALIDA[FECHA],,0,-1))," " )</f>
        <v xml:space="preserve"> </v>
      </c>
    </row>
    <row r="902" spans="1:21" x14ac:dyDescent="0.3">
      <c r="A902" s="27" t="s">
        <v>878</v>
      </c>
      <c r="B902" s="32" t="str">
        <f>_xlfn.XLOOKUP(TablaSTOCKINV[[#This Row],[SKU]],TablaINVENTARIO[SKU],TablaINVENTARIO[DESCRIPCION])</f>
        <v>ARANDELA DE ACERO AL CARBON 36,28MM X 21,10MM</v>
      </c>
      <c r="C902" s="32" t="str">
        <f>_xlfn.XLOOKUP(TablaSTOCKINV[[#This Row],[SKU]],TablaINVENTARIO[SKU],TablaINVENTARIO[MARCA])</f>
        <v>N/A</v>
      </c>
      <c r="D902" s="33" t="str">
        <f>_xlfn.XLOOKUP(TablaSTOCKINV[[#This Row],[SKU]],TablaINVENTARIO[SKU],TablaINVENTARIO[CATEGORIA])</f>
        <v>FABRICACION</v>
      </c>
      <c r="E902" s="33" t="str">
        <f>_xlfn.XLOOKUP(TablaSTOCKINV[[#This Row],[SKU]],TablaINVENTARIO[SKU],TablaINVENTARIO[SUBCATEGORIA])</f>
        <v>MATERIAL MECANICO</v>
      </c>
      <c r="F902" s="33" t="str">
        <f>_xlfn.XLOOKUP(TablaSTOCKINV[[#This Row],[SKU]],TablaINVENTARIO[SKU],TablaINVENTARIO[ESTADO])</f>
        <v>USADO</v>
      </c>
      <c r="G902" s="33" t="str">
        <f>_xlfn.XLOOKUP(TablaSTOCKINV[[#This Row],[SKU]],TablaINVENTARIO[SKU],TablaINVENTARIO[MEDIDA])</f>
        <v>UND</v>
      </c>
      <c r="H902" s="33" t="str">
        <f>_xlfn.XLOOKUP(TablaSTOCKINV[[#This Row],[SKU]],TablaINVENTARIO[SKU],TablaINVENTARIO[SERIAL])</f>
        <v>N/A</v>
      </c>
      <c r="I902" s="34" t="str">
        <f>_xlfn.XLOOKUP(TablaSTOCKINV[[#This Row],[SKU]],TablaINVENTARIO[SKU],TablaINVENTARIO[ALMACEN])</f>
        <v>ALMACEN PRINCIPAL</v>
      </c>
      <c r="J902" s="34" t="str">
        <f>_xlfn.XLOOKUP(TablaSTOCKINV[[#This Row],[SKU]],TablaINVENTARIO[SKU],TablaINVENTARIO[UBICACION])</f>
        <v>I2-1</v>
      </c>
      <c r="K902" s="34" t="str">
        <f>_xlfn.XLOOKUP(TablaSTOCKINV[[#This Row],[SKU]],TablaINVENTARIO[SKU],TablaINVENTARIO[DPTO RESPONSABLE])</f>
        <v>OPERACIONES</v>
      </c>
      <c r="L902" s="36">
        <f>_xlfn.XLOOKUP(TablaSTOCKINV[[#This Row],[SKU]],TablaINVENTARIO[SKU],TablaINVENTARIO[RANGO MIN])</f>
        <v>0</v>
      </c>
      <c r="M902" s="34" cm="1">
        <f t="array" ref="M902">_xlfn.IFS(TablaSTOCKINV[[#This Row],[CANT. TOTAL]]&lt;=0,1,TablaSTOCKINV[[#This Row],[CANT. TOTAL]]&lt;=TablaSTOCKINV[[#This Row],[MIN]],2,TablaSTOCKINV[[#This Row],[CANT. TOTAL]]&gt;TablaSTOCKINV[[#This Row],[MIN]],3)</f>
        <v>3</v>
      </c>
      <c r="N902" s="34">
        <f>TablaSTOCKINV[[#This Row],[ENTRADAS]]-TablaSTOCKINV[[#This Row],[SALIDAS]]</f>
        <v>51</v>
      </c>
      <c r="O902" s="35">
        <f>SUMIFS(TablaENTRADA[CANT],TablaENTRADA[SKU],TablaSTOCKINV[[#This Row],[SKU]])</f>
        <v>51</v>
      </c>
      <c r="P902" s="35">
        <f>SUMIFS(TablaSALIDA[CANT],TablaSALIDA[SKU],TablaSTOCKINV[[#This Row],[SKU]])</f>
        <v>0</v>
      </c>
      <c r="Q902" s="34">
        <f>_xlfn.XLOOKUP(TablaSTOCKINV[[#This Row],[SKU]],TablaINVENTARIO[SKU],TablaINVENTARIO[PRECIO])</f>
        <v>0</v>
      </c>
      <c r="R902" s="34">
        <f>TablaSTOCKINV[[#This Row],[P.UNITARIO]]*TablaSTOCKINV[[#This Row],[CANT. TOTAL]]</f>
        <v>0</v>
      </c>
      <c r="S902" s="44">
        <f>_xlfn.XLOOKUP(TablaSTOCKINV[[#This Row],[SKU]],TablaINVENTARIO[SKU],TablaINVENTARIO[FECHA INGRESO])</f>
        <v>46023</v>
      </c>
      <c r="T902" s="44">
        <f>_xlfn.XLOOKUP(TablaSTOCKINV[[#This Row],[SKU]],TablaENTRADA[SKU],TablaENTRADA[FECHA],,0,-1)</f>
        <v>46023</v>
      </c>
      <c r="U902" s="46" t="str">
        <f>IFERROR((_xlfn.XLOOKUP(TablaSTOCKINV[[#This Row],[SKU]],TablaSALIDA[SKU],TablaSALIDA[FECHA],,0,-1))," " )</f>
        <v xml:space="preserve"> </v>
      </c>
    </row>
    <row r="903" spans="1:21" x14ac:dyDescent="0.3">
      <c r="A903" s="27" t="s">
        <v>880</v>
      </c>
      <c r="B903" s="32" t="str">
        <f>_xlfn.XLOOKUP(TablaSTOCKINV[[#This Row],[SKU]],TablaINVENTARIO[SKU],TablaINVENTARIO[DESCRIPCION])</f>
        <v xml:space="preserve">ARANDELA DE ACERO INOXIDABLE 50,54MM X 20,63MM </v>
      </c>
      <c r="C903" s="32" t="str">
        <f>_xlfn.XLOOKUP(TablaSTOCKINV[[#This Row],[SKU]],TablaINVENTARIO[SKU],TablaINVENTARIO[MARCA])</f>
        <v>N/A</v>
      </c>
      <c r="D903" s="33" t="str">
        <f>_xlfn.XLOOKUP(TablaSTOCKINV[[#This Row],[SKU]],TablaINVENTARIO[SKU],TablaINVENTARIO[CATEGORIA])</f>
        <v>FABRICACION</v>
      </c>
      <c r="E903" s="33" t="str">
        <f>_xlfn.XLOOKUP(TablaSTOCKINV[[#This Row],[SKU]],TablaINVENTARIO[SKU],TablaINVENTARIO[SUBCATEGORIA])</f>
        <v>MATERIAL MECANICO</v>
      </c>
      <c r="F903" s="33" t="str">
        <f>_xlfn.XLOOKUP(TablaSTOCKINV[[#This Row],[SKU]],TablaINVENTARIO[SKU],TablaINVENTARIO[ESTADO])</f>
        <v>USADO</v>
      </c>
      <c r="G903" s="33" t="str">
        <f>_xlfn.XLOOKUP(TablaSTOCKINV[[#This Row],[SKU]],TablaINVENTARIO[SKU],TablaINVENTARIO[MEDIDA])</f>
        <v>UND</v>
      </c>
      <c r="H903" s="33" t="str">
        <f>_xlfn.XLOOKUP(TablaSTOCKINV[[#This Row],[SKU]],TablaINVENTARIO[SKU],TablaINVENTARIO[SERIAL])</f>
        <v>N/A</v>
      </c>
      <c r="I903" s="34" t="str">
        <f>_xlfn.XLOOKUP(TablaSTOCKINV[[#This Row],[SKU]],TablaINVENTARIO[SKU],TablaINVENTARIO[ALMACEN])</f>
        <v>ALMACEN PRINCIPAL</v>
      </c>
      <c r="J903" s="34" t="str">
        <f>_xlfn.XLOOKUP(TablaSTOCKINV[[#This Row],[SKU]],TablaINVENTARIO[SKU],TablaINVENTARIO[UBICACION])</f>
        <v>I2-1</v>
      </c>
      <c r="K903" s="34" t="str">
        <f>_xlfn.XLOOKUP(TablaSTOCKINV[[#This Row],[SKU]],TablaINVENTARIO[SKU],TablaINVENTARIO[DPTO RESPONSABLE])</f>
        <v>OPERACIONES</v>
      </c>
      <c r="L903" s="36">
        <f>_xlfn.XLOOKUP(TablaSTOCKINV[[#This Row],[SKU]],TablaINVENTARIO[SKU],TablaINVENTARIO[RANGO MIN])</f>
        <v>0</v>
      </c>
      <c r="M903" s="34" cm="1">
        <f t="array" ref="M903">_xlfn.IFS(TablaSTOCKINV[[#This Row],[CANT. TOTAL]]&lt;=0,1,TablaSTOCKINV[[#This Row],[CANT. TOTAL]]&lt;=TablaSTOCKINV[[#This Row],[MIN]],2,TablaSTOCKINV[[#This Row],[CANT. TOTAL]]&gt;TablaSTOCKINV[[#This Row],[MIN]],3)</f>
        <v>3</v>
      </c>
      <c r="N903" s="34">
        <f>TablaSTOCKINV[[#This Row],[ENTRADAS]]-TablaSTOCKINV[[#This Row],[SALIDAS]]</f>
        <v>4</v>
      </c>
      <c r="O903" s="35">
        <f>SUMIFS(TablaENTRADA[CANT],TablaENTRADA[SKU],TablaSTOCKINV[[#This Row],[SKU]])</f>
        <v>4</v>
      </c>
      <c r="P903" s="35">
        <f>SUMIFS(TablaSALIDA[CANT],TablaSALIDA[SKU],TablaSTOCKINV[[#This Row],[SKU]])</f>
        <v>0</v>
      </c>
      <c r="Q903" s="34">
        <f>_xlfn.XLOOKUP(TablaSTOCKINV[[#This Row],[SKU]],TablaINVENTARIO[SKU],TablaINVENTARIO[PRECIO])</f>
        <v>0</v>
      </c>
      <c r="R903" s="34">
        <f>TablaSTOCKINV[[#This Row],[P.UNITARIO]]*TablaSTOCKINV[[#This Row],[CANT. TOTAL]]</f>
        <v>0</v>
      </c>
      <c r="S903" s="44">
        <f>_xlfn.XLOOKUP(TablaSTOCKINV[[#This Row],[SKU]],TablaINVENTARIO[SKU],TablaINVENTARIO[FECHA INGRESO])</f>
        <v>46023</v>
      </c>
      <c r="T903" s="44">
        <f>_xlfn.XLOOKUP(TablaSTOCKINV[[#This Row],[SKU]],TablaENTRADA[SKU],TablaENTRADA[FECHA],,0,-1)</f>
        <v>46023</v>
      </c>
      <c r="U903" s="46" t="str">
        <f>IFERROR((_xlfn.XLOOKUP(TablaSTOCKINV[[#This Row],[SKU]],TablaSALIDA[SKU],TablaSALIDA[FECHA],,0,-1))," " )</f>
        <v xml:space="preserve"> </v>
      </c>
    </row>
    <row r="904" spans="1:21" x14ac:dyDescent="0.3">
      <c r="A904" s="27" t="s">
        <v>882</v>
      </c>
      <c r="B904" s="32" t="str">
        <f>_xlfn.XLOOKUP(TablaSTOCKINV[[#This Row],[SKU]],TablaINVENTARIO[SKU],TablaINVENTARIO[DESCRIPCION])</f>
        <v xml:space="preserve">ARANDELA DE ACERO AL CARBON 50,85MM X 20,34MM </v>
      </c>
      <c r="C904" s="32" t="str">
        <f>_xlfn.XLOOKUP(TablaSTOCKINV[[#This Row],[SKU]],TablaINVENTARIO[SKU],TablaINVENTARIO[MARCA])</f>
        <v>N/A</v>
      </c>
      <c r="D904" s="33" t="str">
        <f>_xlfn.XLOOKUP(TablaSTOCKINV[[#This Row],[SKU]],TablaINVENTARIO[SKU],TablaINVENTARIO[CATEGORIA])</f>
        <v>FABRICACION</v>
      </c>
      <c r="E904" s="33" t="str">
        <f>_xlfn.XLOOKUP(TablaSTOCKINV[[#This Row],[SKU]],TablaINVENTARIO[SKU],TablaINVENTARIO[SUBCATEGORIA])</f>
        <v>MATERIAL MECANICO</v>
      </c>
      <c r="F904" s="33" t="str">
        <f>_xlfn.XLOOKUP(TablaSTOCKINV[[#This Row],[SKU]],TablaINVENTARIO[SKU],TablaINVENTARIO[ESTADO])</f>
        <v>USADO</v>
      </c>
      <c r="G904" s="33" t="str">
        <f>_xlfn.XLOOKUP(TablaSTOCKINV[[#This Row],[SKU]],TablaINVENTARIO[SKU],TablaINVENTARIO[MEDIDA])</f>
        <v>UND</v>
      </c>
      <c r="H904" s="33" t="str">
        <f>_xlfn.XLOOKUP(TablaSTOCKINV[[#This Row],[SKU]],TablaINVENTARIO[SKU],TablaINVENTARIO[SERIAL])</f>
        <v>N/A</v>
      </c>
      <c r="I904" s="34" t="str">
        <f>_xlfn.XLOOKUP(TablaSTOCKINV[[#This Row],[SKU]],TablaINVENTARIO[SKU],TablaINVENTARIO[ALMACEN])</f>
        <v>ALMACEN PRINCIPAL</v>
      </c>
      <c r="J904" s="34" t="str">
        <f>_xlfn.XLOOKUP(TablaSTOCKINV[[#This Row],[SKU]],TablaINVENTARIO[SKU],TablaINVENTARIO[UBICACION])</f>
        <v>I2-1</v>
      </c>
      <c r="K904" s="34" t="str">
        <f>_xlfn.XLOOKUP(TablaSTOCKINV[[#This Row],[SKU]],TablaINVENTARIO[SKU],TablaINVENTARIO[DPTO RESPONSABLE])</f>
        <v>OPERACIONES</v>
      </c>
      <c r="L904" s="36">
        <f>_xlfn.XLOOKUP(TablaSTOCKINV[[#This Row],[SKU]],TablaINVENTARIO[SKU],TablaINVENTARIO[RANGO MIN])</f>
        <v>0</v>
      </c>
      <c r="M904" s="34" cm="1">
        <f t="array" ref="M904">_xlfn.IFS(TablaSTOCKINV[[#This Row],[CANT. TOTAL]]&lt;=0,1,TablaSTOCKINV[[#This Row],[CANT. TOTAL]]&lt;=TablaSTOCKINV[[#This Row],[MIN]],2,TablaSTOCKINV[[#This Row],[CANT. TOTAL]]&gt;TablaSTOCKINV[[#This Row],[MIN]],3)</f>
        <v>3</v>
      </c>
      <c r="N904" s="34">
        <f>TablaSTOCKINV[[#This Row],[ENTRADAS]]-TablaSTOCKINV[[#This Row],[SALIDAS]]</f>
        <v>30</v>
      </c>
      <c r="O904" s="35">
        <f>SUMIFS(TablaENTRADA[CANT],TablaENTRADA[SKU],TablaSTOCKINV[[#This Row],[SKU]])</f>
        <v>30</v>
      </c>
      <c r="P904" s="35">
        <f>SUMIFS(TablaSALIDA[CANT],TablaSALIDA[SKU],TablaSTOCKINV[[#This Row],[SKU]])</f>
        <v>0</v>
      </c>
      <c r="Q904" s="34">
        <f>_xlfn.XLOOKUP(TablaSTOCKINV[[#This Row],[SKU]],TablaINVENTARIO[SKU],TablaINVENTARIO[PRECIO])</f>
        <v>0</v>
      </c>
      <c r="R904" s="34">
        <f>TablaSTOCKINV[[#This Row],[P.UNITARIO]]*TablaSTOCKINV[[#This Row],[CANT. TOTAL]]</f>
        <v>0</v>
      </c>
      <c r="S904" s="44">
        <f>_xlfn.XLOOKUP(TablaSTOCKINV[[#This Row],[SKU]],TablaINVENTARIO[SKU],TablaINVENTARIO[FECHA INGRESO])</f>
        <v>46023</v>
      </c>
      <c r="T904" s="44">
        <f>_xlfn.XLOOKUP(TablaSTOCKINV[[#This Row],[SKU]],TablaENTRADA[SKU],TablaENTRADA[FECHA],,0,-1)</f>
        <v>46023</v>
      </c>
      <c r="U904" s="46" t="str">
        <f>IFERROR((_xlfn.XLOOKUP(TablaSTOCKINV[[#This Row],[SKU]],TablaSALIDA[SKU],TablaSALIDA[FECHA],,0,-1))," " )</f>
        <v xml:space="preserve"> </v>
      </c>
    </row>
    <row r="905" spans="1:21" x14ac:dyDescent="0.3">
      <c r="A905" s="27" t="s">
        <v>884</v>
      </c>
      <c r="B905" s="32" t="str">
        <f>_xlfn.XLOOKUP(TablaSTOCKINV[[#This Row],[SKU]],TablaINVENTARIO[SKU],TablaINVENTARIO[DESCRIPCION])</f>
        <v>ESPACIADOR HEXAGONAL MACHO-HEMBRA 6.4 X 38.2MM</v>
      </c>
      <c r="C905" s="32" t="str">
        <f>_xlfn.XLOOKUP(TablaSTOCKINV[[#This Row],[SKU]],TablaINVENTARIO[SKU],TablaINVENTARIO[MARCA])</f>
        <v>N/A</v>
      </c>
      <c r="D905" s="33" t="str">
        <f>_xlfn.XLOOKUP(TablaSTOCKINV[[#This Row],[SKU]],TablaINVENTARIO[SKU],TablaINVENTARIO[CATEGORIA])</f>
        <v>FABRICACION</v>
      </c>
      <c r="E905" s="33" t="str">
        <f>_xlfn.XLOOKUP(TablaSTOCKINV[[#This Row],[SKU]],TablaINVENTARIO[SKU],TablaINVENTARIO[SUBCATEGORIA])</f>
        <v>MATERIAL MECANICO</v>
      </c>
      <c r="F905" s="33" t="str">
        <f>_xlfn.XLOOKUP(TablaSTOCKINV[[#This Row],[SKU]],TablaINVENTARIO[SKU],TablaINVENTARIO[ESTADO])</f>
        <v>USADO</v>
      </c>
      <c r="G905" s="33" t="str">
        <f>_xlfn.XLOOKUP(TablaSTOCKINV[[#This Row],[SKU]],TablaINVENTARIO[SKU],TablaINVENTARIO[MEDIDA])</f>
        <v>UND</v>
      </c>
      <c r="H905" s="33" t="str">
        <f>_xlfn.XLOOKUP(TablaSTOCKINV[[#This Row],[SKU]],TablaINVENTARIO[SKU],TablaINVENTARIO[SERIAL])</f>
        <v>N/A</v>
      </c>
      <c r="I905" s="34" t="str">
        <f>_xlfn.XLOOKUP(TablaSTOCKINV[[#This Row],[SKU]],TablaINVENTARIO[SKU],TablaINVENTARIO[ALMACEN])</f>
        <v>ALMACEN PRINCIPAL</v>
      </c>
      <c r="J905" s="34" t="str">
        <f>_xlfn.XLOOKUP(TablaSTOCKINV[[#This Row],[SKU]],TablaINVENTARIO[SKU],TablaINVENTARIO[UBICACION])</f>
        <v>VER</v>
      </c>
      <c r="K905" s="34" t="str">
        <f>_xlfn.XLOOKUP(TablaSTOCKINV[[#This Row],[SKU]],TablaINVENTARIO[SKU],TablaINVENTARIO[DPTO RESPONSABLE])</f>
        <v>OPERACIONES</v>
      </c>
      <c r="L905" s="36">
        <f>_xlfn.XLOOKUP(TablaSTOCKINV[[#This Row],[SKU]],TablaINVENTARIO[SKU],TablaINVENTARIO[RANGO MIN])</f>
        <v>0</v>
      </c>
      <c r="M905" s="34" cm="1">
        <f t="array" ref="M905">_xlfn.IFS(TablaSTOCKINV[[#This Row],[CANT. TOTAL]]&lt;=0,1,TablaSTOCKINV[[#This Row],[CANT. TOTAL]]&lt;=TablaSTOCKINV[[#This Row],[MIN]],2,TablaSTOCKINV[[#This Row],[CANT. TOTAL]]&gt;TablaSTOCKINV[[#This Row],[MIN]],3)</f>
        <v>3</v>
      </c>
      <c r="N905" s="34">
        <f>TablaSTOCKINV[[#This Row],[ENTRADAS]]-TablaSTOCKINV[[#This Row],[SALIDAS]]</f>
        <v>17</v>
      </c>
      <c r="O905" s="35">
        <f>SUMIFS(TablaENTRADA[CANT],TablaENTRADA[SKU],TablaSTOCKINV[[#This Row],[SKU]])</f>
        <v>17</v>
      </c>
      <c r="P905" s="35">
        <f>SUMIFS(TablaSALIDA[CANT],TablaSALIDA[SKU],TablaSTOCKINV[[#This Row],[SKU]])</f>
        <v>0</v>
      </c>
      <c r="Q905" s="34">
        <f>_xlfn.XLOOKUP(TablaSTOCKINV[[#This Row],[SKU]],TablaINVENTARIO[SKU],TablaINVENTARIO[PRECIO])</f>
        <v>0</v>
      </c>
      <c r="R905" s="34">
        <f>TablaSTOCKINV[[#This Row],[P.UNITARIO]]*TablaSTOCKINV[[#This Row],[CANT. TOTAL]]</f>
        <v>0</v>
      </c>
      <c r="S905" s="44">
        <f>_xlfn.XLOOKUP(TablaSTOCKINV[[#This Row],[SKU]],TablaINVENTARIO[SKU],TablaINVENTARIO[FECHA INGRESO])</f>
        <v>46023</v>
      </c>
      <c r="T905" s="44">
        <f>_xlfn.XLOOKUP(TablaSTOCKINV[[#This Row],[SKU]],TablaENTRADA[SKU],TablaENTRADA[FECHA],,0,-1)</f>
        <v>46023</v>
      </c>
      <c r="U905" s="46" t="str">
        <f>IFERROR((_xlfn.XLOOKUP(TablaSTOCKINV[[#This Row],[SKU]],TablaSALIDA[SKU],TablaSALIDA[FECHA],,0,-1))," " )</f>
        <v xml:space="preserve"> </v>
      </c>
    </row>
    <row r="906" spans="1:21" x14ac:dyDescent="0.3">
      <c r="A906" s="27" t="s">
        <v>887</v>
      </c>
      <c r="B906" s="32" t="str">
        <f>_xlfn.XLOOKUP(TablaSTOCKINV[[#This Row],[SKU]],TablaINVENTARIO[SKU],TablaINVENTARIO[DESCRIPCION])</f>
        <v>ESPACIADOR HEXAGONAL MACHO-HEMBRA 6.3 X 31.8MM</v>
      </c>
      <c r="C906" s="32" t="str">
        <f>_xlfn.XLOOKUP(TablaSTOCKINV[[#This Row],[SKU]],TablaINVENTARIO[SKU],TablaINVENTARIO[MARCA])</f>
        <v>N/A</v>
      </c>
      <c r="D906" s="33" t="str">
        <f>_xlfn.XLOOKUP(TablaSTOCKINV[[#This Row],[SKU]],TablaINVENTARIO[SKU],TablaINVENTARIO[CATEGORIA])</f>
        <v>FABRICACION</v>
      </c>
      <c r="E906" s="33" t="str">
        <f>_xlfn.XLOOKUP(TablaSTOCKINV[[#This Row],[SKU]],TablaINVENTARIO[SKU],TablaINVENTARIO[SUBCATEGORIA])</f>
        <v>MATERIAL MECANICO</v>
      </c>
      <c r="F906" s="33" t="str">
        <f>_xlfn.XLOOKUP(TablaSTOCKINV[[#This Row],[SKU]],TablaINVENTARIO[SKU],TablaINVENTARIO[ESTADO])</f>
        <v>USADO</v>
      </c>
      <c r="G906" s="33" t="str">
        <f>_xlfn.XLOOKUP(TablaSTOCKINV[[#This Row],[SKU]],TablaINVENTARIO[SKU],TablaINVENTARIO[MEDIDA])</f>
        <v>UND</v>
      </c>
      <c r="H906" s="33" t="str">
        <f>_xlfn.XLOOKUP(TablaSTOCKINV[[#This Row],[SKU]],TablaINVENTARIO[SKU],TablaINVENTARIO[SERIAL])</f>
        <v>N/A</v>
      </c>
      <c r="I906" s="34" t="str">
        <f>_xlfn.XLOOKUP(TablaSTOCKINV[[#This Row],[SKU]],TablaINVENTARIO[SKU],TablaINVENTARIO[ALMACEN])</f>
        <v>ALMACEN PRINCIPAL</v>
      </c>
      <c r="J906" s="34" t="str">
        <f>_xlfn.XLOOKUP(TablaSTOCKINV[[#This Row],[SKU]],TablaINVENTARIO[SKU],TablaINVENTARIO[UBICACION])</f>
        <v>VER</v>
      </c>
      <c r="K906" s="34" t="str">
        <f>_xlfn.XLOOKUP(TablaSTOCKINV[[#This Row],[SKU]],TablaINVENTARIO[SKU],TablaINVENTARIO[DPTO RESPONSABLE])</f>
        <v>OPERACIONES</v>
      </c>
      <c r="L906" s="36">
        <f>_xlfn.XLOOKUP(TablaSTOCKINV[[#This Row],[SKU]],TablaINVENTARIO[SKU],TablaINVENTARIO[RANGO MIN])</f>
        <v>0</v>
      </c>
      <c r="M906" s="34" cm="1">
        <f t="array" ref="M906">_xlfn.IFS(TablaSTOCKINV[[#This Row],[CANT. TOTAL]]&lt;=0,1,TablaSTOCKINV[[#This Row],[CANT. TOTAL]]&lt;=TablaSTOCKINV[[#This Row],[MIN]],2,TablaSTOCKINV[[#This Row],[CANT. TOTAL]]&gt;TablaSTOCKINV[[#This Row],[MIN]],3)</f>
        <v>3</v>
      </c>
      <c r="N906" s="34">
        <f>TablaSTOCKINV[[#This Row],[ENTRADAS]]-TablaSTOCKINV[[#This Row],[SALIDAS]]</f>
        <v>8</v>
      </c>
      <c r="O906" s="35">
        <f>SUMIFS(TablaENTRADA[CANT],TablaENTRADA[SKU],TablaSTOCKINV[[#This Row],[SKU]])</f>
        <v>8</v>
      </c>
      <c r="P906" s="35">
        <f>SUMIFS(TablaSALIDA[CANT],TablaSALIDA[SKU],TablaSTOCKINV[[#This Row],[SKU]])</f>
        <v>0</v>
      </c>
      <c r="Q906" s="34">
        <f>_xlfn.XLOOKUP(TablaSTOCKINV[[#This Row],[SKU]],TablaINVENTARIO[SKU],TablaINVENTARIO[PRECIO])</f>
        <v>0</v>
      </c>
      <c r="R906" s="34">
        <f>TablaSTOCKINV[[#This Row],[P.UNITARIO]]*TablaSTOCKINV[[#This Row],[CANT. TOTAL]]</f>
        <v>0</v>
      </c>
      <c r="S906" s="44">
        <f>_xlfn.XLOOKUP(TablaSTOCKINV[[#This Row],[SKU]],TablaINVENTARIO[SKU],TablaINVENTARIO[FECHA INGRESO])</f>
        <v>46023</v>
      </c>
      <c r="T906" s="44">
        <f>_xlfn.XLOOKUP(TablaSTOCKINV[[#This Row],[SKU]],TablaENTRADA[SKU],TablaENTRADA[FECHA],,0,-1)</f>
        <v>46023</v>
      </c>
      <c r="U906" s="46" t="str">
        <f>IFERROR((_xlfn.XLOOKUP(TablaSTOCKINV[[#This Row],[SKU]],TablaSALIDA[SKU],TablaSALIDA[FECHA],,0,-1))," " )</f>
        <v xml:space="preserve"> </v>
      </c>
    </row>
    <row r="907" spans="1:21" x14ac:dyDescent="0.3">
      <c r="A907" s="27" t="s">
        <v>889</v>
      </c>
      <c r="B907" s="32" t="str">
        <f>_xlfn.XLOOKUP(TablaSTOCKINV[[#This Row],[SKU]],TablaINVENTARIO[SKU],TablaINVENTARIO[DESCRIPCION])</f>
        <v>ESPACIADOR HEXAGONAL MACHO-HEMBRA 6.3 X 50.6MM</v>
      </c>
      <c r="C907" s="32" t="str">
        <f>_xlfn.XLOOKUP(TablaSTOCKINV[[#This Row],[SKU]],TablaINVENTARIO[SKU],TablaINVENTARIO[MARCA])</f>
        <v>N/A</v>
      </c>
      <c r="D907" s="33" t="str">
        <f>_xlfn.XLOOKUP(TablaSTOCKINV[[#This Row],[SKU]],TablaINVENTARIO[SKU],TablaINVENTARIO[CATEGORIA])</f>
        <v>FABRICACION</v>
      </c>
      <c r="E907" s="33" t="str">
        <f>_xlfn.XLOOKUP(TablaSTOCKINV[[#This Row],[SKU]],TablaINVENTARIO[SKU],TablaINVENTARIO[SUBCATEGORIA])</f>
        <v>MATERIAL MECANICO</v>
      </c>
      <c r="F907" s="33" t="str">
        <f>_xlfn.XLOOKUP(TablaSTOCKINV[[#This Row],[SKU]],TablaINVENTARIO[SKU],TablaINVENTARIO[ESTADO])</f>
        <v>USADO</v>
      </c>
      <c r="G907" s="33" t="str">
        <f>_xlfn.XLOOKUP(TablaSTOCKINV[[#This Row],[SKU]],TablaINVENTARIO[SKU],TablaINVENTARIO[MEDIDA])</f>
        <v>UND</v>
      </c>
      <c r="H907" s="33" t="str">
        <f>_xlfn.XLOOKUP(TablaSTOCKINV[[#This Row],[SKU]],TablaINVENTARIO[SKU],TablaINVENTARIO[SERIAL])</f>
        <v>N/A</v>
      </c>
      <c r="I907" s="34" t="str">
        <f>_xlfn.XLOOKUP(TablaSTOCKINV[[#This Row],[SKU]],TablaINVENTARIO[SKU],TablaINVENTARIO[ALMACEN])</f>
        <v>ALMACEN PRINCIPAL</v>
      </c>
      <c r="J907" s="34" t="str">
        <f>_xlfn.XLOOKUP(TablaSTOCKINV[[#This Row],[SKU]],TablaINVENTARIO[SKU],TablaINVENTARIO[UBICACION])</f>
        <v>VER</v>
      </c>
      <c r="K907" s="34" t="str">
        <f>_xlfn.XLOOKUP(TablaSTOCKINV[[#This Row],[SKU]],TablaINVENTARIO[SKU],TablaINVENTARIO[DPTO RESPONSABLE])</f>
        <v>OPERACIONES</v>
      </c>
      <c r="L907" s="36">
        <f>_xlfn.XLOOKUP(TablaSTOCKINV[[#This Row],[SKU]],TablaINVENTARIO[SKU],TablaINVENTARIO[RANGO MIN])</f>
        <v>0</v>
      </c>
      <c r="M907" s="34" cm="1">
        <f t="array" ref="M907">_xlfn.IFS(TablaSTOCKINV[[#This Row],[CANT. TOTAL]]&lt;=0,1,TablaSTOCKINV[[#This Row],[CANT. TOTAL]]&lt;=TablaSTOCKINV[[#This Row],[MIN]],2,TablaSTOCKINV[[#This Row],[CANT. TOTAL]]&gt;TablaSTOCKINV[[#This Row],[MIN]],3)</f>
        <v>3</v>
      </c>
      <c r="N907" s="34">
        <f>TablaSTOCKINV[[#This Row],[ENTRADAS]]-TablaSTOCKINV[[#This Row],[SALIDAS]]</f>
        <v>15</v>
      </c>
      <c r="O907" s="35">
        <f>SUMIFS(TablaENTRADA[CANT],TablaENTRADA[SKU],TablaSTOCKINV[[#This Row],[SKU]])</f>
        <v>15</v>
      </c>
      <c r="P907" s="35">
        <f>SUMIFS(TablaSALIDA[CANT],TablaSALIDA[SKU],TablaSTOCKINV[[#This Row],[SKU]])</f>
        <v>0</v>
      </c>
      <c r="Q907" s="34">
        <f>_xlfn.XLOOKUP(TablaSTOCKINV[[#This Row],[SKU]],TablaINVENTARIO[SKU],TablaINVENTARIO[PRECIO])</f>
        <v>0</v>
      </c>
      <c r="R907" s="34">
        <f>TablaSTOCKINV[[#This Row],[P.UNITARIO]]*TablaSTOCKINV[[#This Row],[CANT. TOTAL]]</f>
        <v>0</v>
      </c>
      <c r="S907" s="44">
        <f>_xlfn.XLOOKUP(TablaSTOCKINV[[#This Row],[SKU]],TablaINVENTARIO[SKU],TablaINVENTARIO[FECHA INGRESO])</f>
        <v>46023</v>
      </c>
      <c r="T907" s="44">
        <f>_xlfn.XLOOKUP(TablaSTOCKINV[[#This Row],[SKU]],TablaENTRADA[SKU],TablaENTRADA[FECHA],,0,-1)</f>
        <v>46023</v>
      </c>
      <c r="U907" s="46" t="str">
        <f>IFERROR((_xlfn.XLOOKUP(TablaSTOCKINV[[#This Row],[SKU]],TablaSALIDA[SKU],TablaSALIDA[FECHA],,0,-1))," " )</f>
        <v xml:space="preserve"> </v>
      </c>
    </row>
    <row r="908" spans="1:21" x14ac:dyDescent="0.3">
      <c r="A908" s="27" t="s">
        <v>891</v>
      </c>
      <c r="B908" s="32" t="str">
        <f>_xlfn.XLOOKUP(TablaSTOCKINV[[#This Row],[SKU]],TablaINVENTARIO[SKU],TablaINVENTARIO[DESCRIPCION])</f>
        <v>ESPACIADOR HEXAGONAL MACHO-HEMBRA 6.4 X 25.6MM</v>
      </c>
      <c r="C908" s="32" t="str">
        <f>_xlfn.XLOOKUP(TablaSTOCKINV[[#This Row],[SKU]],TablaINVENTARIO[SKU],TablaINVENTARIO[MARCA])</f>
        <v>N/A</v>
      </c>
      <c r="D908" s="33" t="str">
        <f>_xlfn.XLOOKUP(TablaSTOCKINV[[#This Row],[SKU]],TablaINVENTARIO[SKU],TablaINVENTARIO[CATEGORIA])</f>
        <v>FABRICACION</v>
      </c>
      <c r="E908" s="33" t="str">
        <f>_xlfn.XLOOKUP(TablaSTOCKINV[[#This Row],[SKU]],TablaINVENTARIO[SKU],TablaINVENTARIO[SUBCATEGORIA])</f>
        <v>MATERIAL MECANICO</v>
      </c>
      <c r="F908" s="33" t="str">
        <f>_xlfn.XLOOKUP(TablaSTOCKINV[[#This Row],[SKU]],TablaINVENTARIO[SKU],TablaINVENTARIO[ESTADO])</f>
        <v>USADO</v>
      </c>
      <c r="G908" s="33" t="str">
        <f>_xlfn.XLOOKUP(TablaSTOCKINV[[#This Row],[SKU]],TablaINVENTARIO[SKU],TablaINVENTARIO[MEDIDA])</f>
        <v>UND</v>
      </c>
      <c r="H908" s="33" t="str">
        <f>_xlfn.XLOOKUP(TablaSTOCKINV[[#This Row],[SKU]],TablaINVENTARIO[SKU],TablaINVENTARIO[SERIAL])</f>
        <v>N/A</v>
      </c>
      <c r="I908" s="34" t="str">
        <f>_xlfn.XLOOKUP(TablaSTOCKINV[[#This Row],[SKU]],TablaINVENTARIO[SKU],TablaINVENTARIO[ALMACEN])</f>
        <v>ALMACEN PRINCIPAL</v>
      </c>
      <c r="J908" s="34" t="str">
        <f>_xlfn.XLOOKUP(TablaSTOCKINV[[#This Row],[SKU]],TablaINVENTARIO[SKU],TablaINVENTARIO[UBICACION])</f>
        <v>VER</v>
      </c>
      <c r="K908" s="34" t="str">
        <f>_xlfn.XLOOKUP(TablaSTOCKINV[[#This Row],[SKU]],TablaINVENTARIO[SKU],TablaINVENTARIO[DPTO RESPONSABLE])</f>
        <v>OPERACIONES</v>
      </c>
      <c r="L908" s="36">
        <f>_xlfn.XLOOKUP(TablaSTOCKINV[[#This Row],[SKU]],TablaINVENTARIO[SKU],TablaINVENTARIO[RANGO MIN])</f>
        <v>0</v>
      </c>
      <c r="M908" s="34" cm="1">
        <f t="array" ref="M908">_xlfn.IFS(TablaSTOCKINV[[#This Row],[CANT. TOTAL]]&lt;=0,1,TablaSTOCKINV[[#This Row],[CANT. TOTAL]]&lt;=TablaSTOCKINV[[#This Row],[MIN]],2,TablaSTOCKINV[[#This Row],[CANT. TOTAL]]&gt;TablaSTOCKINV[[#This Row],[MIN]],3)</f>
        <v>3</v>
      </c>
      <c r="N908" s="34">
        <f>TablaSTOCKINV[[#This Row],[ENTRADAS]]-TablaSTOCKINV[[#This Row],[SALIDAS]]</f>
        <v>13</v>
      </c>
      <c r="O908" s="35">
        <f>SUMIFS(TablaENTRADA[CANT],TablaENTRADA[SKU],TablaSTOCKINV[[#This Row],[SKU]])</f>
        <v>13</v>
      </c>
      <c r="P908" s="35">
        <f>SUMIFS(TablaSALIDA[CANT],TablaSALIDA[SKU],TablaSTOCKINV[[#This Row],[SKU]])</f>
        <v>0</v>
      </c>
      <c r="Q908" s="34">
        <f>_xlfn.XLOOKUP(TablaSTOCKINV[[#This Row],[SKU]],TablaINVENTARIO[SKU],TablaINVENTARIO[PRECIO])</f>
        <v>0</v>
      </c>
      <c r="R908" s="34">
        <f>TablaSTOCKINV[[#This Row],[P.UNITARIO]]*TablaSTOCKINV[[#This Row],[CANT. TOTAL]]</f>
        <v>0</v>
      </c>
      <c r="S908" s="44">
        <f>_xlfn.XLOOKUP(TablaSTOCKINV[[#This Row],[SKU]],TablaINVENTARIO[SKU],TablaINVENTARIO[FECHA INGRESO])</f>
        <v>46023</v>
      </c>
      <c r="T908" s="44">
        <f>_xlfn.XLOOKUP(TablaSTOCKINV[[#This Row],[SKU]],TablaENTRADA[SKU],TablaENTRADA[FECHA],,0,-1)</f>
        <v>46023</v>
      </c>
      <c r="U908" s="46" t="str">
        <f>IFERROR((_xlfn.XLOOKUP(TablaSTOCKINV[[#This Row],[SKU]],TablaSALIDA[SKU],TablaSALIDA[FECHA],,0,-1))," " )</f>
        <v xml:space="preserve"> </v>
      </c>
    </row>
    <row r="909" spans="1:21" x14ac:dyDescent="0.3">
      <c r="A909" s="27" t="s">
        <v>893</v>
      </c>
      <c r="B909" s="32" t="str">
        <f>_xlfn.XLOOKUP(TablaSTOCKINV[[#This Row],[SKU]],TablaINVENTARIO[SKU],TablaINVENTARIO[DESCRIPCION])</f>
        <v>ESPACIADOR HEXAGONAL MACHO-HEMBRA 6.4 X 41.4MM</v>
      </c>
      <c r="C909" s="32" t="str">
        <f>_xlfn.XLOOKUP(TablaSTOCKINV[[#This Row],[SKU]],TablaINVENTARIO[SKU],TablaINVENTARIO[MARCA])</f>
        <v>N/A</v>
      </c>
      <c r="D909" s="33" t="str">
        <f>_xlfn.XLOOKUP(TablaSTOCKINV[[#This Row],[SKU]],TablaINVENTARIO[SKU],TablaINVENTARIO[CATEGORIA])</f>
        <v>FABRICACION</v>
      </c>
      <c r="E909" s="33" t="str">
        <f>_xlfn.XLOOKUP(TablaSTOCKINV[[#This Row],[SKU]],TablaINVENTARIO[SKU],TablaINVENTARIO[SUBCATEGORIA])</f>
        <v>MATERIAL MECANICO</v>
      </c>
      <c r="F909" s="33" t="str">
        <f>_xlfn.XLOOKUP(TablaSTOCKINV[[#This Row],[SKU]],TablaINVENTARIO[SKU],TablaINVENTARIO[ESTADO])</f>
        <v>USADO</v>
      </c>
      <c r="G909" s="33" t="str">
        <f>_xlfn.XLOOKUP(TablaSTOCKINV[[#This Row],[SKU]],TablaINVENTARIO[SKU],TablaINVENTARIO[MEDIDA])</f>
        <v>UND</v>
      </c>
      <c r="H909" s="33" t="str">
        <f>_xlfn.XLOOKUP(TablaSTOCKINV[[#This Row],[SKU]],TablaINVENTARIO[SKU],TablaINVENTARIO[SERIAL])</f>
        <v>N/A</v>
      </c>
      <c r="I909" s="34" t="str">
        <f>_xlfn.XLOOKUP(TablaSTOCKINV[[#This Row],[SKU]],TablaINVENTARIO[SKU],TablaINVENTARIO[ALMACEN])</f>
        <v>ALMACEN PRINCIPAL</v>
      </c>
      <c r="J909" s="34" t="str">
        <f>_xlfn.XLOOKUP(TablaSTOCKINV[[#This Row],[SKU]],TablaINVENTARIO[SKU],TablaINVENTARIO[UBICACION])</f>
        <v>VER</v>
      </c>
      <c r="K909" s="34" t="str">
        <f>_xlfn.XLOOKUP(TablaSTOCKINV[[#This Row],[SKU]],TablaINVENTARIO[SKU],TablaINVENTARIO[DPTO RESPONSABLE])</f>
        <v>OPERACIONES</v>
      </c>
      <c r="L909" s="36">
        <f>_xlfn.XLOOKUP(TablaSTOCKINV[[#This Row],[SKU]],TablaINVENTARIO[SKU],TablaINVENTARIO[RANGO MIN])</f>
        <v>0</v>
      </c>
      <c r="M909" s="34" cm="1">
        <f t="array" ref="M909">_xlfn.IFS(TablaSTOCKINV[[#This Row],[CANT. TOTAL]]&lt;=0,1,TablaSTOCKINV[[#This Row],[CANT. TOTAL]]&lt;=TablaSTOCKINV[[#This Row],[MIN]],2,TablaSTOCKINV[[#This Row],[CANT. TOTAL]]&gt;TablaSTOCKINV[[#This Row],[MIN]],3)</f>
        <v>3</v>
      </c>
      <c r="N909" s="34">
        <f>TablaSTOCKINV[[#This Row],[ENTRADAS]]-TablaSTOCKINV[[#This Row],[SALIDAS]]</f>
        <v>6</v>
      </c>
      <c r="O909" s="35">
        <f>SUMIFS(TablaENTRADA[CANT],TablaENTRADA[SKU],TablaSTOCKINV[[#This Row],[SKU]])</f>
        <v>6</v>
      </c>
      <c r="P909" s="35">
        <f>SUMIFS(TablaSALIDA[CANT],TablaSALIDA[SKU],TablaSTOCKINV[[#This Row],[SKU]])</f>
        <v>0</v>
      </c>
      <c r="Q909" s="34">
        <f>_xlfn.XLOOKUP(TablaSTOCKINV[[#This Row],[SKU]],TablaINVENTARIO[SKU],TablaINVENTARIO[PRECIO])</f>
        <v>0</v>
      </c>
      <c r="R909" s="34">
        <f>TablaSTOCKINV[[#This Row],[P.UNITARIO]]*TablaSTOCKINV[[#This Row],[CANT. TOTAL]]</f>
        <v>0</v>
      </c>
      <c r="S909" s="44">
        <f>_xlfn.XLOOKUP(TablaSTOCKINV[[#This Row],[SKU]],TablaINVENTARIO[SKU],TablaINVENTARIO[FECHA INGRESO])</f>
        <v>46023</v>
      </c>
      <c r="T909" s="44">
        <f>_xlfn.XLOOKUP(TablaSTOCKINV[[#This Row],[SKU]],TablaENTRADA[SKU],TablaENTRADA[FECHA],,0,-1)</f>
        <v>46023</v>
      </c>
      <c r="U909" s="46" t="str">
        <f>IFERROR((_xlfn.XLOOKUP(TablaSTOCKINV[[#This Row],[SKU]],TablaSALIDA[SKU],TablaSALIDA[FECHA],,0,-1))," " )</f>
        <v xml:space="preserve"> </v>
      </c>
    </row>
    <row r="910" spans="1:21" x14ac:dyDescent="0.3">
      <c r="A910" s="27" t="s">
        <v>895</v>
      </c>
      <c r="B910" s="32" t="str">
        <f>_xlfn.XLOOKUP(TablaSTOCKINV[[#This Row],[SKU]],TablaINVENTARIO[SKU],TablaINVENTARIO[DESCRIPCION])</f>
        <v>ESPACIADOR HEXAGONAL MACHO-HEMBRA 9.5 X 63.7MM</v>
      </c>
      <c r="C910" s="32" t="str">
        <f>_xlfn.XLOOKUP(TablaSTOCKINV[[#This Row],[SKU]],TablaINVENTARIO[SKU],TablaINVENTARIO[MARCA])</f>
        <v>N/A</v>
      </c>
      <c r="D910" s="33" t="str">
        <f>_xlfn.XLOOKUP(TablaSTOCKINV[[#This Row],[SKU]],TablaINVENTARIO[SKU],TablaINVENTARIO[CATEGORIA])</f>
        <v>FABRICACION</v>
      </c>
      <c r="E910" s="33" t="str">
        <f>_xlfn.XLOOKUP(TablaSTOCKINV[[#This Row],[SKU]],TablaINVENTARIO[SKU],TablaINVENTARIO[SUBCATEGORIA])</f>
        <v>MATERIAL MECANICO</v>
      </c>
      <c r="F910" s="33" t="str">
        <f>_xlfn.XLOOKUP(TablaSTOCKINV[[#This Row],[SKU]],TablaINVENTARIO[SKU],TablaINVENTARIO[ESTADO])</f>
        <v>USADO</v>
      </c>
      <c r="G910" s="33" t="str">
        <f>_xlfn.XLOOKUP(TablaSTOCKINV[[#This Row],[SKU]],TablaINVENTARIO[SKU],TablaINVENTARIO[MEDIDA])</f>
        <v>UND</v>
      </c>
      <c r="H910" s="33" t="str">
        <f>_xlfn.XLOOKUP(TablaSTOCKINV[[#This Row],[SKU]],TablaINVENTARIO[SKU],TablaINVENTARIO[SERIAL])</f>
        <v>N/A</v>
      </c>
      <c r="I910" s="34" t="str">
        <f>_xlfn.XLOOKUP(TablaSTOCKINV[[#This Row],[SKU]],TablaINVENTARIO[SKU],TablaINVENTARIO[ALMACEN])</f>
        <v>ALMACEN PRINCIPAL</v>
      </c>
      <c r="J910" s="34" t="str">
        <f>_xlfn.XLOOKUP(TablaSTOCKINV[[#This Row],[SKU]],TablaINVENTARIO[SKU],TablaINVENTARIO[UBICACION])</f>
        <v>VER</v>
      </c>
      <c r="K910" s="34" t="str">
        <f>_xlfn.XLOOKUP(TablaSTOCKINV[[#This Row],[SKU]],TablaINVENTARIO[SKU],TablaINVENTARIO[DPTO RESPONSABLE])</f>
        <v>OPERACIONES</v>
      </c>
      <c r="L910" s="36">
        <f>_xlfn.XLOOKUP(TablaSTOCKINV[[#This Row],[SKU]],TablaINVENTARIO[SKU],TablaINVENTARIO[RANGO MIN])</f>
        <v>0</v>
      </c>
      <c r="M910" s="34" cm="1">
        <f t="array" ref="M910">_xlfn.IFS(TablaSTOCKINV[[#This Row],[CANT. TOTAL]]&lt;=0,1,TablaSTOCKINV[[#This Row],[CANT. TOTAL]]&lt;=TablaSTOCKINV[[#This Row],[MIN]],2,TablaSTOCKINV[[#This Row],[CANT. TOTAL]]&gt;TablaSTOCKINV[[#This Row],[MIN]],3)</f>
        <v>3</v>
      </c>
      <c r="N910" s="34">
        <f>TablaSTOCKINV[[#This Row],[ENTRADAS]]-TablaSTOCKINV[[#This Row],[SALIDAS]]</f>
        <v>5</v>
      </c>
      <c r="O910" s="35">
        <f>SUMIFS(TablaENTRADA[CANT],TablaENTRADA[SKU],TablaSTOCKINV[[#This Row],[SKU]])</f>
        <v>5</v>
      </c>
      <c r="P910" s="35">
        <f>SUMIFS(TablaSALIDA[CANT],TablaSALIDA[SKU],TablaSTOCKINV[[#This Row],[SKU]])</f>
        <v>0</v>
      </c>
      <c r="Q910" s="34">
        <f>_xlfn.XLOOKUP(TablaSTOCKINV[[#This Row],[SKU]],TablaINVENTARIO[SKU],TablaINVENTARIO[PRECIO])</f>
        <v>0</v>
      </c>
      <c r="R910" s="34">
        <f>TablaSTOCKINV[[#This Row],[P.UNITARIO]]*TablaSTOCKINV[[#This Row],[CANT. TOTAL]]</f>
        <v>0</v>
      </c>
      <c r="S910" s="44">
        <f>_xlfn.XLOOKUP(TablaSTOCKINV[[#This Row],[SKU]],TablaINVENTARIO[SKU],TablaINVENTARIO[FECHA INGRESO])</f>
        <v>46023</v>
      </c>
      <c r="T910" s="44">
        <f>_xlfn.XLOOKUP(TablaSTOCKINV[[#This Row],[SKU]],TablaENTRADA[SKU],TablaENTRADA[FECHA],,0,-1)</f>
        <v>46023</v>
      </c>
      <c r="U910" s="46" t="str">
        <f>IFERROR((_xlfn.XLOOKUP(TablaSTOCKINV[[#This Row],[SKU]],TablaSALIDA[SKU],TablaSALIDA[FECHA],,0,-1))," " )</f>
        <v xml:space="preserve"> </v>
      </c>
    </row>
    <row r="911" spans="1:21" x14ac:dyDescent="0.3">
      <c r="A911" s="27" t="s">
        <v>897</v>
      </c>
      <c r="B911" s="32" t="str">
        <f>_xlfn.XLOOKUP(TablaSTOCKINV[[#This Row],[SKU]],TablaINVENTARIO[SKU],TablaINVENTARIO[DESCRIPCION])</f>
        <v>ESPACIADOR HEXAGONAL MACHO-HEMBRA 15.9 X 61.9MM</v>
      </c>
      <c r="C911" s="32" t="str">
        <f>_xlfn.XLOOKUP(TablaSTOCKINV[[#This Row],[SKU]],TablaINVENTARIO[SKU],TablaINVENTARIO[MARCA])</f>
        <v>N/A</v>
      </c>
      <c r="D911" s="33" t="str">
        <f>_xlfn.XLOOKUP(TablaSTOCKINV[[#This Row],[SKU]],TablaINVENTARIO[SKU],TablaINVENTARIO[CATEGORIA])</f>
        <v>FABRICACION</v>
      </c>
      <c r="E911" s="33" t="str">
        <f>_xlfn.XLOOKUP(TablaSTOCKINV[[#This Row],[SKU]],TablaINVENTARIO[SKU],TablaINVENTARIO[SUBCATEGORIA])</f>
        <v>MATERIAL MECANICO</v>
      </c>
      <c r="F911" s="33" t="str">
        <f>_xlfn.XLOOKUP(TablaSTOCKINV[[#This Row],[SKU]],TablaINVENTARIO[SKU],TablaINVENTARIO[ESTADO])</f>
        <v>USADO</v>
      </c>
      <c r="G911" s="33" t="str">
        <f>_xlfn.XLOOKUP(TablaSTOCKINV[[#This Row],[SKU]],TablaINVENTARIO[SKU],TablaINVENTARIO[MEDIDA])</f>
        <v>UND</v>
      </c>
      <c r="H911" s="33" t="str">
        <f>_xlfn.XLOOKUP(TablaSTOCKINV[[#This Row],[SKU]],TablaINVENTARIO[SKU],TablaINVENTARIO[SERIAL])</f>
        <v>N/A</v>
      </c>
      <c r="I911" s="34" t="str">
        <f>_xlfn.XLOOKUP(TablaSTOCKINV[[#This Row],[SKU]],TablaINVENTARIO[SKU],TablaINVENTARIO[ALMACEN])</f>
        <v>ALMACEN PRINCIPAL</v>
      </c>
      <c r="J911" s="34" t="str">
        <f>_xlfn.XLOOKUP(TablaSTOCKINV[[#This Row],[SKU]],TablaINVENTARIO[SKU],TablaINVENTARIO[UBICACION])</f>
        <v>VER</v>
      </c>
      <c r="K911" s="34" t="str">
        <f>_xlfn.XLOOKUP(TablaSTOCKINV[[#This Row],[SKU]],TablaINVENTARIO[SKU],TablaINVENTARIO[DPTO RESPONSABLE])</f>
        <v>OPERACIONES</v>
      </c>
      <c r="L911" s="36">
        <f>_xlfn.XLOOKUP(TablaSTOCKINV[[#This Row],[SKU]],TablaINVENTARIO[SKU],TablaINVENTARIO[RANGO MIN])</f>
        <v>0</v>
      </c>
      <c r="M911" s="34" cm="1">
        <f t="array" ref="M911">_xlfn.IFS(TablaSTOCKINV[[#This Row],[CANT. TOTAL]]&lt;=0,1,TablaSTOCKINV[[#This Row],[CANT. TOTAL]]&lt;=TablaSTOCKINV[[#This Row],[MIN]],2,TablaSTOCKINV[[#This Row],[CANT. TOTAL]]&gt;TablaSTOCKINV[[#This Row],[MIN]],3)</f>
        <v>3</v>
      </c>
      <c r="N911" s="34">
        <f>TablaSTOCKINV[[#This Row],[ENTRADAS]]-TablaSTOCKINV[[#This Row],[SALIDAS]]</f>
        <v>8</v>
      </c>
      <c r="O911" s="35">
        <f>SUMIFS(TablaENTRADA[CANT],TablaENTRADA[SKU],TablaSTOCKINV[[#This Row],[SKU]])</f>
        <v>8</v>
      </c>
      <c r="P911" s="35">
        <f>SUMIFS(TablaSALIDA[CANT],TablaSALIDA[SKU],TablaSTOCKINV[[#This Row],[SKU]])</f>
        <v>0</v>
      </c>
      <c r="Q911" s="34">
        <f>_xlfn.XLOOKUP(TablaSTOCKINV[[#This Row],[SKU]],TablaINVENTARIO[SKU],TablaINVENTARIO[PRECIO])</f>
        <v>0</v>
      </c>
      <c r="R911" s="34">
        <f>TablaSTOCKINV[[#This Row],[P.UNITARIO]]*TablaSTOCKINV[[#This Row],[CANT. TOTAL]]</f>
        <v>0</v>
      </c>
      <c r="S911" s="44">
        <f>_xlfn.XLOOKUP(TablaSTOCKINV[[#This Row],[SKU]],TablaINVENTARIO[SKU],TablaINVENTARIO[FECHA INGRESO])</f>
        <v>46023</v>
      </c>
      <c r="T911" s="44">
        <f>_xlfn.XLOOKUP(TablaSTOCKINV[[#This Row],[SKU]],TablaENTRADA[SKU],TablaENTRADA[FECHA],,0,-1)</f>
        <v>46023</v>
      </c>
      <c r="U911" s="46" t="str">
        <f>IFERROR((_xlfn.XLOOKUP(TablaSTOCKINV[[#This Row],[SKU]],TablaSALIDA[SKU],TablaSALIDA[FECHA],,0,-1))," " )</f>
        <v xml:space="preserve"> </v>
      </c>
    </row>
    <row r="912" spans="1:21" x14ac:dyDescent="0.3">
      <c r="A912" s="27" t="s">
        <v>899</v>
      </c>
      <c r="B912" s="32" t="str">
        <f>_xlfn.XLOOKUP(TablaSTOCKINV[[#This Row],[SKU]],TablaINVENTARIO[SKU],TablaINVENTARIO[DESCRIPCION])</f>
        <v>ESPACIADOR HEXAGONAL MACHO-HEMBRA 6.4 X 15.9MM</v>
      </c>
      <c r="C912" s="32" t="str">
        <f>_xlfn.XLOOKUP(TablaSTOCKINV[[#This Row],[SKU]],TablaINVENTARIO[SKU],TablaINVENTARIO[MARCA])</f>
        <v>N/A</v>
      </c>
      <c r="D912" s="33" t="str">
        <f>_xlfn.XLOOKUP(TablaSTOCKINV[[#This Row],[SKU]],TablaINVENTARIO[SKU],TablaINVENTARIO[CATEGORIA])</f>
        <v>FABRICACION</v>
      </c>
      <c r="E912" s="33" t="str">
        <f>_xlfn.XLOOKUP(TablaSTOCKINV[[#This Row],[SKU]],TablaINVENTARIO[SKU],TablaINVENTARIO[SUBCATEGORIA])</f>
        <v>MATERIAL MECANICO</v>
      </c>
      <c r="F912" s="33" t="str">
        <f>_xlfn.XLOOKUP(TablaSTOCKINV[[#This Row],[SKU]],TablaINVENTARIO[SKU],TablaINVENTARIO[ESTADO])</f>
        <v>USADO</v>
      </c>
      <c r="G912" s="33" t="str">
        <f>_xlfn.XLOOKUP(TablaSTOCKINV[[#This Row],[SKU]],TablaINVENTARIO[SKU],TablaINVENTARIO[MEDIDA])</f>
        <v>UND</v>
      </c>
      <c r="H912" s="33" t="str">
        <f>_xlfn.XLOOKUP(TablaSTOCKINV[[#This Row],[SKU]],TablaINVENTARIO[SKU],TablaINVENTARIO[SERIAL])</f>
        <v>N/A</v>
      </c>
      <c r="I912" s="34" t="str">
        <f>_xlfn.XLOOKUP(TablaSTOCKINV[[#This Row],[SKU]],TablaINVENTARIO[SKU],TablaINVENTARIO[ALMACEN])</f>
        <v>ALMACEN PRINCIPAL</v>
      </c>
      <c r="J912" s="34" t="str">
        <f>_xlfn.XLOOKUP(TablaSTOCKINV[[#This Row],[SKU]],TablaINVENTARIO[SKU],TablaINVENTARIO[UBICACION])</f>
        <v>VER</v>
      </c>
      <c r="K912" s="34" t="str">
        <f>_xlfn.XLOOKUP(TablaSTOCKINV[[#This Row],[SKU]],TablaINVENTARIO[SKU],TablaINVENTARIO[DPTO RESPONSABLE])</f>
        <v>OPERACIONES</v>
      </c>
      <c r="L912" s="36">
        <f>_xlfn.XLOOKUP(TablaSTOCKINV[[#This Row],[SKU]],TablaINVENTARIO[SKU],TablaINVENTARIO[RANGO MIN])</f>
        <v>0</v>
      </c>
      <c r="M912" s="34" cm="1">
        <f t="array" ref="M912">_xlfn.IFS(TablaSTOCKINV[[#This Row],[CANT. TOTAL]]&lt;=0,1,TablaSTOCKINV[[#This Row],[CANT. TOTAL]]&lt;=TablaSTOCKINV[[#This Row],[MIN]],2,TablaSTOCKINV[[#This Row],[CANT. TOTAL]]&gt;TablaSTOCKINV[[#This Row],[MIN]],3)</f>
        <v>3</v>
      </c>
      <c r="N912" s="34">
        <f>TablaSTOCKINV[[#This Row],[ENTRADAS]]-TablaSTOCKINV[[#This Row],[SALIDAS]]</f>
        <v>4</v>
      </c>
      <c r="O912" s="35">
        <f>SUMIFS(TablaENTRADA[CANT],TablaENTRADA[SKU],TablaSTOCKINV[[#This Row],[SKU]])</f>
        <v>4</v>
      </c>
      <c r="P912" s="35">
        <f>SUMIFS(TablaSALIDA[CANT],TablaSALIDA[SKU],TablaSTOCKINV[[#This Row],[SKU]])</f>
        <v>0</v>
      </c>
      <c r="Q912" s="34">
        <f>_xlfn.XLOOKUP(TablaSTOCKINV[[#This Row],[SKU]],TablaINVENTARIO[SKU],TablaINVENTARIO[PRECIO])</f>
        <v>0</v>
      </c>
      <c r="R912" s="34">
        <f>TablaSTOCKINV[[#This Row],[P.UNITARIO]]*TablaSTOCKINV[[#This Row],[CANT. TOTAL]]</f>
        <v>0</v>
      </c>
      <c r="S912" s="44">
        <f>_xlfn.XLOOKUP(TablaSTOCKINV[[#This Row],[SKU]],TablaINVENTARIO[SKU],TablaINVENTARIO[FECHA INGRESO])</f>
        <v>46023</v>
      </c>
      <c r="T912" s="44">
        <f>_xlfn.XLOOKUP(TablaSTOCKINV[[#This Row],[SKU]],TablaENTRADA[SKU],TablaENTRADA[FECHA],,0,-1)</f>
        <v>46023</v>
      </c>
      <c r="U912" s="46" t="str">
        <f>IFERROR((_xlfn.XLOOKUP(TablaSTOCKINV[[#This Row],[SKU]],TablaSALIDA[SKU],TablaSALIDA[FECHA],,0,-1))," " )</f>
        <v xml:space="preserve"> </v>
      </c>
    </row>
    <row r="913" spans="1:21" x14ac:dyDescent="0.3">
      <c r="A913" s="27" t="s">
        <v>901</v>
      </c>
      <c r="B913" s="32" t="str">
        <f>_xlfn.XLOOKUP(TablaSTOCKINV[[#This Row],[SKU]],TablaINVENTARIO[SKU],TablaINVENTARIO[DESCRIPCION])</f>
        <v>ESPACIADOR HEXAGONAL MACHO-HEMBRA 6.4 X 38MM</v>
      </c>
      <c r="C913" s="32" t="str">
        <f>_xlfn.XLOOKUP(TablaSTOCKINV[[#This Row],[SKU]],TablaINVENTARIO[SKU],TablaINVENTARIO[MARCA])</f>
        <v>N/A</v>
      </c>
      <c r="D913" s="33" t="str">
        <f>_xlfn.XLOOKUP(TablaSTOCKINV[[#This Row],[SKU]],TablaINVENTARIO[SKU],TablaINVENTARIO[CATEGORIA])</f>
        <v>FABRICACION</v>
      </c>
      <c r="E913" s="33" t="str">
        <f>_xlfn.XLOOKUP(TablaSTOCKINV[[#This Row],[SKU]],TablaINVENTARIO[SKU],TablaINVENTARIO[SUBCATEGORIA])</f>
        <v>MATERIAL MECANICO</v>
      </c>
      <c r="F913" s="33" t="str">
        <f>_xlfn.XLOOKUP(TablaSTOCKINV[[#This Row],[SKU]],TablaINVENTARIO[SKU],TablaINVENTARIO[ESTADO])</f>
        <v>USADO</v>
      </c>
      <c r="G913" s="33" t="str">
        <f>_xlfn.XLOOKUP(TablaSTOCKINV[[#This Row],[SKU]],TablaINVENTARIO[SKU],TablaINVENTARIO[MEDIDA])</f>
        <v>UND</v>
      </c>
      <c r="H913" s="33" t="str">
        <f>_xlfn.XLOOKUP(TablaSTOCKINV[[#This Row],[SKU]],TablaINVENTARIO[SKU],TablaINVENTARIO[SERIAL])</f>
        <v>N/A</v>
      </c>
      <c r="I913" s="34" t="str">
        <f>_xlfn.XLOOKUP(TablaSTOCKINV[[#This Row],[SKU]],TablaINVENTARIO[SKU],TablaINVENTARIO[ALMACEN])</f>
        <v>ALMACEN PRINCIPAL</v>
      </c>
      <c r="J913" s="34" t="str">
        <f>_xlfn.XLOOKUP(TablaSTOCKINV[[#This Row],[SKU]],TablaINVENTARIO[SKU],TablaINVENTARIO[UBICACION])</f>
        <v>VER</v>
      </c>
      <c r="K913" s="34" t="str">
        <f>_xlfn.XLOOKUP(TablaSTOCKINV[[#This Row],[SKU]],TablaINVENTARIO[SKU],TablaINVENTARIO[DPTO RESPONSABLE])</f>
        <v>OPERACIONES</v>
      </c>
      <c r="L913" s="36">
        <f>_xlfn.XLOOKUP(TablaSTOCKINV[[#This Row],[SKU]],TablaINVENTARIO[SKU],TablaINVENTARIO[RANGO MIN])</f>
        <v>0</v>
      </c>
      <c r="M913" s="34" cm="1">
        <f t="array" ref="M913">_xlfn.IFS(TablaSTOCKINV[[#This Row],[CANT. TOTAL]]&lt;=0,1,TablaSTOCKINV[[#This Row],[CANT. TOTAL]]&lt;=TablaSTOCKINV[[#This Row],[MIN]],2,TablaSTOCKINV[[#This Row],[CANT. TOTAL]]&gt;TablaSTOCKINV[[#This Row],[MIN]],3)</f>
        <v>3</v>
      </c>
      <c r="N913" s="34">
        <f>TablaSTOCKINV[[#This Row],[ENTRADAS]]-TablaSTOCKINV[[#This Row],[SALIDAS]]</f>
        <v>3</v>
      </c>
      <c r="O913" s="35">
        <f>SUMIFS(TablaENTRADA[CANT],TablaENTRADA[SKU],TablaSTOCKINV[[#This Row],[SKU]])</f>
        <v>3</v>
      </c>
      <c r="P913" s="35">
        <f>SUMIFS(TablaSALIDA[CANT],TablaSALIDA[SKU],TablaSTOCKINV[[#This Row],[SKU]])</f>
        <v>0</v>
      </c>
      <c r="Q913" s="34">
        <f>_xlfn.XLOOKUP(TablaSTOCKINV[[#This Row],[SKU]],TablaINVENTARIO[SKU],TablaINVENTARIO[PRECIO])</f>
        <v>0</v>
      </c>
      <c r="R913" s="34">
        <f>TablaSTOCKINV[[#This Row],[P.UNITARIO]]*TablaSTOCKINV[[#This Row],[CANT. TOTAL]]</f>
        <v>0</v>
      </c>
      <c r="S913" s="44">
        <f>_xlfn.XLOOKUP(TablaSTOCKINV[[#This Row],[SKU]],TablaINVENTARIO[SKU],TablaINVENTARIO[FECHA INGRESO])</f>
        <v>46023</v>
      </c>
      <c r="T913" s="44">
        <f>_xlfn.XLOOKUP(TablaSTOCKINV[[#This Row],[SKU]],TablaENTRADA[SKU],TablaENTRADA[FECHA],,0,-1)</f>
        <v>46023</v>
      </c>
      <c r="U913" s="46" t="str">
        <f>IFERROR((_xlfn.XLOOKUP(TablaSTOCKINV[[#This Row],[SKU]],TablaSALIDA[SKU],TablaSALIDA[FECHA],,0,-1))," " )</f>
        <v xml:space="preserve"> </v>
      </c>
    </row>
    <row r="914" spans="1:21" x14ac:dyDescent="0.3">
      <c r="A914" s="27" t="s">
        <v>903</v>
      </c>
      <c r="B914" s="32" t="str">
        <f>_xlfn.XLOOKUP(TablaSTOCKINV[[#This Row],[SKU]],TablaINVENTARIO[SKU],TablaINVENTARIO[DESCRIPCION])</f>
        <v>ESPACIADOR HEXAGONAL MACHO-HEMBRA 6.4 X 60.4MM</v>
      </c>
      <c r="C914" s="32" t="str">
        <f>_xlfn.XLOOKUP(TablaSTOCKINV[[#This Row],[SKU]],TablaINVENTARIO[SKU],TablaINVENTARIO[MARCA])</f>
        <v>N/A</v>
      </c>
      <c r="D914" s="33" t="str">
        <f>_xlfn.XLOOKUP(TablaSTOCKINV[[#This Row],[SKU]],TablaINVENTARIO[SKU],TablaINVENTARIO[CATEGORIA])</f>
        <v>FABRICACION</v>
      </c>
      <c r="E914" s="33" t="str">
        <f>_xlfn.XLOOKUP(TablaSTOCKINV[[#This Row],[SKU]],TablaINVENTARIO[SKU],TablaINVENTARIO[SUBCATEGORIA])</f>
        <v>MATERIAL MECANICO</v>
      </c>
      <c r="F914" s="33" t="str">
        <f>_xlfn.XLOOKUP(TablaSTOCKINV[[#This Row],[SKU]],TablaINVENTARIO[SKU],TablaINVENTARIO[ESTADO])</f>
        <v>USADO</v>
      </c>
      <c r="G914" s="33" t="str">
        <f>_xlfn.XLOOKUP(TablaSTOCKINV[[#This Row],[SKU]],TablaINVENTARIO[SKU],TablaINVENTARIO[MEDIDA])</f>
        <v>UND</v>
      </c>
      <c r="H914" s="33" t="str">
        <f>_xlfn.XLOOKUP(TablaSTOCKINV[[#This Row],[SKU]],TablaINVENTARIO[SKU],TablaINVENTARIO[SERIAL])</f>
        <v>N/A</v>
      </c>
      <c r="I914" s="34" t="str">
        <f>_xlfn.XLOOKUP(TablaSTOCKINV[[#This Row],[SKU]],TablaINVENTARIO[SKU],TablaINVENTARIO[ALMACEN])</f>
        <v>ALMACEN PRINCIPAL</v>
      </c>
      <c r="J914" s="34" t="str">
        <f>_xlfn.XLOOKUP(TablaSTOCKINV[[#This Row],[SKU]],TablaINVENTARIO[SKU],TablaINVENTARIO[UBICACION])</f>
        <v>VER</v>
      </c>
      <c r="K914" s="34" t="str">
        <f>_xlfn.XLOOKUP(TablaSTOCKINV[[#This Row],[SKU]],TablaINVENTARIO[SKU],TablaINVENTARIO[DPTO RESPONSABLE])</f>
        <v>OPERACIONES</v>
      </c>
      <c r="L914" s="36">
        <f>_xlfn.XLOOKUP(TablaSTOCKINV[[#This Row],[SKU]],TablaINVENTARIO[SKU],TablaINVENTARIO[RANGO MIN])</f>
        <v>0</v>
      </c>
      <c r="M914" s="34" cm="1">
        <f t="array" ref="M914">_xlfn.IFS(TablaSTOCKINV[[#This Row],[CANT. TOTAL]]&lt;=0,1,TablaSTOCKINV[[#This Row],[CANT. TOTAL]]&lt;=TablaSTOCKINV[[#This Row],[MIN]],2,TablaSTOCKINV[[#This Row],[CANT. TOTAL]]&gt;TablaSTOCKINV[[#This Row],[MIN]],3)</f>
        <v>3</v>
      </c>
      <c r="N914" s="34">
        <f>TablaSTOCKINV[[#This Row],[ENTRADAS]]-TablaSTOCKINV[[#This Row],[SALIDAS]]</f>
        <v>1</v>
      </c>
      <c r="O914" s="35">
        <f>SUMIFS(TablaENTRADA[CANT],TablaENTRADA[SKU],TablaSTOCKINV[[#This Row],[SKU]])</f>
        <v>1</v>
      </c>
      <c r="P914" s="35">
        <f>SUMIFS(TablaSALIDA[CANT],TablaSALIDA[SKU],TablaSTOCKINV[[#This Row],[SKU]])</f>
        <v>0</v>
      </c>
      <c r="Q914" s="34">
        <f>_xlfn.XLOOKUP(TablaSTOCKINV[[#This Row],[SKU]],TablaINVENTARIO[SKU],TablaINVENTARIO[PRECIO])</f>
        <v>0</v>
      </c>
      <c r="R914" s="34">
        <f>TablaSTOCKINV[[#This Row],[P.UNITARIO]]*TablaSTOCKINV[[#This Row],[CANT. TOTAL]]</f>
        <v>0</v>
      </c>
      <c r="S914" s="44">
        <f>_xlfn.XLOOKUP(TablaSTOCKINV[[#This Row],[SKU]],TablaINVENTARIO[SKU],TablaINVENTARIO[FECHA INGRESO])</f>
        <v>46023</v>
      </c>
      <c r="T914" s="44">
        <f>_xlfn.XLOOKUP(TablaSTOCKINV[[#This Row],[SKU]],TablaENTRADA[SKU],TablaENTRADA[FECHA],,0,-1)</f>
        <v>46023</v>
      </c>
      <c r="U914" s="46" t="str">
        <f>IFERROR((_xlfn.XLOOKUP(TablaSTOCKINV[[#This Row],[SKU]],TablaSALIDA[SKU],TablaSALIDA[FECHA],,0,-1))," " )</f>
        <v xml:space="preserve"> </v>
      </c>
    </row>
    <row r="915" spans="1:21" x14ac:dyDescent="0.3">
      <c r="A915" s="27" t="s">
        <v>905</v>
      </c>
      <c r="B915" s="32" t="str">
        <f>_xlfn.XLOOKUP(TablaSTOCKINV[[#This Row],[SKU]],TablaINVENTARIO[SKU],TablaINVENTARIO[DESCRIPCION])</f>
        <v xml:space="preserve">ESPACIADOR HEXAGONAL MACHO-HEMBRA 6.3 X 7.8MM </v>
      </c>
      <c r="C915" s="32" t="str">
        <f>_xlfn.XLOOKUP(TablaSTOCKINV[[#This Row],[SKU]],TablaINVENTARIO[SKU],TablaINVENTARIO[MARCA])</f>
        <v>N/A</v>
      </c>
      <c r="D915" s="33" t="str">
        <f>_xlfn.XLOOKUP(TablaSTOCKINV[[#This Row],[SKU]],TablaINVENTARIO[SKU],TablaINVENTARIO[CATEGORIA])</f>
        <v>FABRICACION</v>
      </c>
      <c r="E915" s="33" t="str">
        <f>_xlfn.XLOOKUP(TablaSTOCKINV[[#This Row],[SKU]],TablaINVENTARIO[SKU],TablaINVENTARIO[SUBCATEGORIA])</f>
        <v>MATERIAL MECANICO</v>
      </c>
      <c r="F915" s="33" t="str">
        <f>_xlfn.XLOOKUP(TablaSTOCKINV[[#This Row],[SKU]],TablaINVENTARIO[SKU],TablaINVENTARIO[ESTADO])</f>
        <v>USADO</v>
      </c>
      <c r="G915" s="33" t="str">
        <f>_xlfn.XLOOKUP(TablaSTOCKINV[[#This Row],[SKU]],TablaINVENTARIO[SKU],TablaINVENTARIO[MEDIDA])</f>
        <v>UND</v>
      </c>
      <c r="H915" s="33" t="str">
        <f>_xlfn.XLOOKUP(TablaSTOCKINV[[#This Row],[SKU]],TablaINVENTARIO[SKU],TablaINVENTARIO[SERIAL])</f>
        <v>N/A</v>
      </c>
      <c r="I915" s="34" t="str">
        <f>_xlfn.XLOOKUP(TablaSTOCKINV[[#This Row],[SKU]],TablaINVENTARIO[SKU],TablaINVENTARIO[ALMACEN])</f>
        <v>ALMACEN PRINCIPAL</v>
      </c>
      <c r="J915" s="34" t="str">
        <f>_xlfn.XLOOKUP(TablaSTOCKINV[[#This Row],[SKU]],TablaINVENTARIO[SKU],TablaINVENTARIO[UBICACION])</f>
        <v>VER</v>
      </c>
      <c r="K915" s="34" t="str">
        <f>_xlfn.XLOOKUP(TablaSTOCKINV[[#This Row],[SKU]],TablaINVENTARIO[SKU],TablaINVENTARIO[DPTO RESPONSABLE])</f>
        <v>OPERACIONES</v>
      </c>
      <c r="L915" s="36">
        <f>_xlfn.XLOOKUP(TablaSTOCKINV[[#This Row],[SKU]],TablaINVENTARIO[SKU],TablaINVENTARIO[RANGO MIN])</f>
        <v>0</v>
      </c>
      <c r="M915" s="34" cm="1">
        <f t="array" ref="M915">_xlfn.IFS(TablaSTOCKINV[[#This Row],[CANT. TOTAL]]&lt;=0,1,TablaSTOCKINV[[#This Row],[CANT. TOTAL]]&lt;=TablaSTOCKINV[[#This Row],[MIN]],2,TablaSTOCKINV[[#This Row],[CANT. TOTAL]]&gt;TablaSTOCKINV[[#This Row],[MIN]],3)</f>
        <v>3</v>
      </c>
      <c r="N915" s="34">
        <f>TablaSTOCKINV[[#This Row],[ENTRADAS]]-TablaSTOCKINV[[#This Row],[SALIDAS]]</f>
        <v>2</v>
      </c>
      <c r="O915" s="35">
        <f>SUMIFS(TablaENTRADA[CANT],TablaENTRADA[SKU],TablaSTOCKINV[[#This Row],[SKU]])</f>
        <v>2</v>
      </c>
      <c r="P915" s="35">
        <f>SUMIFS(TablaSALIDA[CANT],TablaSALIDA[SKU],TablaSTOCKINV[[#This Row],[SKU]])</f>
        <v>0</v>
      </c>
      <c r="Q915" s="34">
        <f>_xlfn.XLOOKUP(TablaSTOCKINV[[#This Row],[SKU]],TablaINVENTARIO[SKU],TablaINVENTARIO[PRECIO])</f>
        <v>0</v>
      </c>
      <c r="R915" s="34">
        <f>TablaSTOCKINV[[#This Row],[P.UNITARIO]]*TablaSTOCKINV[[#This Row],[CANT. TOTAL]]</f>
        <v>0</v>
      </c>
      <c r="S915" s="44">
        <f>_xlfn.XLOOKUP(TablaSTOCKINV[[#This Row],[SKU]],TablaINVENTARIO[SKU],TablaINVENTARIO[FECHA INGRESO])</f>
        <v>46023</v>
      </c>
      <c r="T915" s="44">
        <f>_xlfn.XLOOKUP(TablaSTOCKINV[[#This Row],[SKU]],TablaENTRADA[SKU],TablaENTRADA[FECHA],,0,-1)</f>
        <v>46023</v>
      </c>
      <c r="U915" s="46" t="str">
        <f>IFERROR((_xlfn.XLOOKUP(TablaSTOCKINV[[#This Row],[SKU]],TablaSALIDA[SKU],TablaSALIDA[FECHA],,0,-1))," " )</f>
        <v xml:space="preserve"> </v>
      </c>
    </row>
    <row r="916" spans="1:21" x14ac:dyDescent="0.3">
      <c r="A916" s="27" t="s">
        <v>907</v>
      </c>
      <c r="B916" s="32" t="str">
        <f>_xlfn.XLOOKUP(TablaSTOCKINV[[#This Row],[SKU]],TablaINVENTARIO[SKU],TablaINVENTARIO[DESCRIPCION])</f>
        <v xml:space="preserve">ESPACIADOR HEXAGONAL HEMBRA-MACHO 6.3 X 16MM </v>
      </c>
      <c r="C916" s="32" t="str">
        <f>_xlfn.XLOOKUP(TablaSTOCKINV[[#This Row],[SKU]],TablaINVENTARIO[SKU],TablaINVENTARIO[MARCA])</f>
        <v>N/A</v>
      </c>
      <c r="D916" s="33" t="str">
        <f>_xlfn.XLOOKUP(TablaSTOCKINV[[#This Row],[SKU]],TablaINVENTARIO[SKU],TablaINVENTARIO[CATEGORIA])</f>
        <v>FABRICACION</v>
      </c>
      <c r="E916" s="33" t="str">
        <f>_xlfn.XLOOKUP(TablaSTOCKINV[[#This Row],[SKU]],TablaINVENTARIO[SKU],TablaINVENTARIO[SUBCATEGORIA])</f>
        <v>MATERIAL MECANICO</v>
      </c>
      <c r="F916" s="33" t="str">
        <f>_xlfn.XLOOKUP(TablaSTOCKINV[[#This Row],[SKU]],TablaINVENTARIO[SKU],TablaINVENTARIO[ESTADO])</f>
        <v>USADO</v>
      </c>
      <c r="G916" s="33" t="str">
        <f>_xlfn.XLOOKUP(TablaSTOCKINV[[#This Row],[SKU]],TablaINVENTARIO[SKU],TablaINVENTARIO[MEDIDA])</f>
        <v>UND</v>
      </c>
      <c r="H916" s="33" t="str">
        <f>_xlfn.XLOOKUP(TablaSTOCKINV[[#This Row],[SKU]],TablaINVENTARIO[SKU],TablaINVENTARIO[SERIAL])</f>
        <v>N/A</v>
      </c>
      <c r="I916" s="34" t="str">
        <f>_xlfn.XLOOKUP(TablaSTOCKINV[[#This Row],[SKU]],TablaINVENTARIO[SKU],TablaINVENTARIO[ALMACEN])</f>
        <v>ALMACEN PRINCIPAL</v>
      </c>
      <c r="J916" s="34" t="str">
        <f>_xlfn.XLOOKUP(TablaSTOCKINV[[#This Row],[SKU]],TablaINVENTARIO[SKU],TablaINVENTARIO[UBICACION])</f>
        <v>VER</v>
      </c>
      <c r="K916" s="34" t="str">
        <f>_xlfn.XLOOKUP(TablaSTOCKINV[[#This Row],[SKU]],TablaINVENTARIO[SKU],TablaINVENTARIO[DPTO RESPONSABLE])</f>
        <v>OPERACIONES</v>
      </c>
      <c r="L916" s="36">
        <f>_xlfn.XLOOKUP(TablaSTOCKINV[[#This Row],[SKU]],TablaINVENTARIO[SKU],TablaINVENTARIO[RANGO MIN])</f>
        <v>0</v>
      </c>
      <c r="M916" s="34" cm="1">
        <f t="array" ref="M916">_xlfn.IFS(TablaSTOCKINV[[#This Row],[CANT. TOTAL]]&lt;=0,1,TablaSTOCKINV[[#This Row],[CANT. TOTAL]]&lt;=TablaSTOCKINV[[#This Row],[MIN]],2,TablaSTOCKINV[[#This Row],[CANT. TOTAL]]&gt;TablaSTOCKINV[[#This Row],[MIN]],3)</f>
        <v>3</v>
      </c>
      <c r="N916" s="34">
        <f>TablaSTOCKINV[[#This Row],[ENTRADAS]]-TablaSTOCKINV[[#This Row],[SALIDAS]]</f>
        <v>5</v>
      </c>
      <c r="O916" s="35">
        <f>SUMIFS(TablaENTRADA[CANT],TablaENTRADA[SKU],TablaSTOCKINV[[#This Row],[SKU]])</f>
        <v>5</v>
      </c>
      <c r="P916" s="35">
        <f>SUMIFS(TablaSALIDA[CANT],TablaSALIDA[SKU],TablaSTOCKINV[[#This Row],[SKU]])</f>
        <v>0</v>
      </c>
      <c r="Q916" s="34">
        <f>_xlfn.XLOOKUP(TablaSTOCKINV[[#This Row],[SKU]],TablaINVENTARIO[SKU],TablaINVENTARIO[PRECIO])</f>
        <v>0</v>
      </c>
      <c r="R916" s="34">
        <f>TablaSTOCKINV[[#This Row],[P.UNITARIO]]*TablaSTOCKINV[[#This Row],[CANT. TOTAL]]</f>
        <v>0</v>
      </c>
      <c r="S916" s="44">
        <f>_xlfn.XLOOKUP(TablaSTOCKINV[[#This Row],[SKU]],TablaINVENTARIO[SKU],TablaINVENTARIO[FECHA INGRESO])</f>
        <v>46023</v>
      </c>
      <c r="T916" s="44">
        <f>_xlfn.XLOOKUP(TablaSTOCKINV[[#This Row],[SKU]],TablaENTRADA[SKU],TablaENTRADA[FECHA],,0,-1)</f>
        <v>46023</v>
      </c>
      <c r="U916" s="46" t="str">
        <f>IFERROR((_xlfn.XLOOKUP(TablaSTOCKINV[[#This Row],[SKU]],TablaSALIDA[SKU],TablaSALIDA[FECHA],,0,-1))," " )</f>
        <v xml:space="preserve"> </v>
      </c>
    </row>
    <row r="917" spans="1:21" x14ac:dyDescent="0.3">
      <c r="A917" s="27" t="s">
        <v>909</v>
      </c>
      <c r="B917" s="32" t="str">
        <f>_xlfn.XLOOKUP(TablaSTOCKINV[[#This Row],[SKU]],TablaINVENTARIO[SKU],TablaINVENTARIO[DESCRIPCION])</f>
        <v>ESPACIADOR HEXAGONAL HEMBRA-MACHO 6.4 X 35MM</v>
      </c>
      <c r="C917" s="32" t="str">
        <f>_xlfn.XLOOKUP(TablaSTOCKINV[[#This Row],[SKU]],TablaINVENTARIO[SKU],TablaINVENTARIO[MARCA])</f>
        <v>N/A</v>
      </c>
      <c r="D917" s="33" t="str">
        <f>_xlfn.XLOOKUP(TablaSTOCKINV[[#This Row],[SKU]],TablaINVENTARIO[SKU],TablaINVENTARIO[CATEGORIA])</f>
        <v>FABRICACION</v>
      </c>
      <c r="E917" s="33" t="str">
        <f>_xlfn.XLOOKUP(TablaSTOCKINV[[#This Row],[SKU]],TablaINVENTARIO[SKU],TablaINVENTARIO[SUBCATEGORIA])</f>
        <v>MATERIAL MECANICO</v>
      </c>
      <c r="F917" s="33" t="str">
        <f>_xlfn.XLOOKUP(TablaSTOCKINV[[#This Row],[SKU]],TablaINVENTARIO[SKU],TablaINVENTARIO[ESTADO])</f>
        <v>USADO</v>
      </c>
      <c r="G917" s="33" t="str">
        <f>_xlfn.XLOOKUP(TablaSTOCKINV[[#This Row],[SKU]],TablaINVENTARIO[SKU],TablaINVENTARIO[MEDIDA])</f>
        <v>UND</v>
      </c>
      <c r="H917" s="33" t="str">
        <f>_xlfn.XLOOKUP(TablaSTOCKINV[[#This Row],[SKU]],TablaINVENTARIO[SKU],TablaINVENTARIO[SERIAL])</f>
        <v>N/A</v>
      </c>
      <c r="I917" s="34" t="str">
        <f>_xlfn.XLOOKUP(TablaSTOCKINV[[#This Row],[SKU]],TablaINVENTARIO[SKU],TablaINVENTARIO[ALMACEN])</f>
        <v>ALMACEN PRINCIPAL</v>
      </c>
      <c r="J917" s="34" t="str">
        <f>_xlfn.XLOOKUP(TablaSTOCKINV[[#This Row],[SKU]],TablaINVENTARIO[SKU],TablaINVENTARIO[UBICACION])</f>
        <v>VER</v>
      </c>
      <c r="K917" s="34" t="str">
        <f>_xlfn.XLOOKUP(TablaSTOCKINV[[#This Row],[SKU]],TablaINVENTARIO[SKU],TablaINVENTARIO[DPTO RESPONSABLE])</f>
        <v>OPERACIONES</v>
      </c>
      <c r="L917" s="36">
        <f>_xlfn.XLOOKUP(TablaSTOCKINV[[#This Row],[SKU]],TablaINVENTARIO[SKU],TablaINVENTARIO[RANGO MIN])</f>
        <v>0</v>
      </c>
      <c r="M917" s="34" cm="1">
        <f t="array" ref="M917">_xlfn.IFS(TablaSTOCKINV[[#This Row],[CANT. TOTAL]]&lt;=0,1,TablaSTOCKINV[[#This Row],[CANT. TOTAL]]&lt;=TablaSTOCKINV[[#This Row],[MIN]],2,TablaSTOCKINV[[#This Row],[CANT. TOTAL]]&gt;TablaSTOCKINV[[#This Row],[MIN]],3)</f>
        <v>3</v>
      </c>
      <c r="N917" s="34">
        <f>TablaSTOCKINV[[#This Row],[ENTRADAS]]-TablaSTOCKINV[[#This Row],[SALIDAS]]</f>
        <v>2</v>
      </c>
      <c r="O917" s="35">
        <f>SUMIFS(TablaENTRADA[CANT],TablaENTRADA[SKU],TablaSTOCKINV[[#This Row],[SKU]])</f>
        <v>2</v>
      </c>
      <c r="P917" s="35">
        <f>SUMIFS(TablaSALIDA[CANT],TablaSALIDA[SKU],TablaSTOCKINV[[#This Row],[SKU]])</f>
        <v>0</v>
      </c>
      <c r="Q917" s="34">
        <f>_xlfn.XLOOKUP(TablaSTOCKINV[[#This Row],[SKU]],TablaINVENTARIO[SKU],TablaINVENTARIO[PRECIO])</f>
        <v>0</v>
      </c>
      <c r="R917" s="34">
        <f>TablaSTOCKINV[[#This Row],[P.UNITARIO]]*TablaSTOCKINV[[#This Row],[CANT. TOTAL]]</f>
        <v>0</v>
      </c>
      <c r="S917" s="44">
        <f>_xlfn.XLOOKUP(TablaSTOCKINV[[#This Row],[SKU]],TablaINVENTARIO[SKU],TablaINVENTARIO[FECHA INGRESO])</f>
        <v>46023</v>
      </c>
      <c r="T917" s="44">
        <f>_xlfn.XLOOKUP(TablaSTOCKINV[[#This Row],[SKU]],TablaENTRADA[SKU],TablaENTRADA[FECHA],,0,-1)</f>
        <v>46023</v>
      </c>
      <c r="U917" s="46" t="str">
        <f>IFERROR((_xlfn.XLOOKUP(TablaSTOCKINV[[#This Row],[SKU]],TablaSALIDA[SKU],TablaSALIDA[FECHA],,0,-1))," " )</f>
        <v xml:space="preserve"> </v>
      </c>
    </row>
    <row r="918" spans="1:21" x14ac:dyDescent="0.3">
      <c r="A918" s="27" t="s">
        <v>911</v>
      </c>
      <c r="B918" s="32" t="str">
        <f>_xlfn.XLOOKUP(TablaSTOCKINV[[#This Row],[SKU]],TablaINVENTARIO[SKU],TablaINVENTARIO[DESCRIPCION])</f>
        <v>ESPACIADOR HEXAGONAL HEMBRA-MACHO 6.4 X 51MM</v>
      </c>
      <c r="C918" s="32" t="str">
        <f>_xlfn.XLOOKUP(TablaSTOCKINV[[#This Row],[SKU]],TablaINVENTARIO[SKU],TablaINVENTARIO[MARCA])</f>
        <v>N/A</v>
      </c>
      <c r="D918" s="33" t="str">
        <f>_xlfn.XLOOKUP(TablaSTOCKINV[[#This Row],[SKU]],TablaINVENTARIO[SKU],TablaINVENTARIO[CATEGORIA])</f>
        <v>FABRICACION</v>
      </c>
      <c r="E918" s="33" t="str">
        <f>_xlfn.XLOOKUP(TablaSTOCKINV[[#This Row],[SKU]],TablaINVENTARIO[SKU],TablaINVENTARIO[SUBCATEGORIA])</f>
        <v>MATERIAL MECANICO</v>
      </c>
      <c r="F918" s="33" t="str">
        <f>_xlfn.XLOOKUP(TablaSTOCKINV[[#This Row],[SKU]],TablaINVENTARIO[SKU],TablaINVENTARIO[ESTADO])</f>
        <v>USADO</v>
      </c>
      <c r="G918" s="33" t="str">
        <f>_xlfn.XLOOKUP(TablaSTOCKINV[[#This Row],[SKU]],TablaINVENTARIO[SKU],TablaINVENTARIO[MEDIDA])</f>
        <v>UND</v>
      </c>
      <c r="H918" s="33" t="str">
        <f>_xlfn.XLOOKUP(TablaSTOCKINV[[#This Row],[SKU]],TablaINVENTARIO[SKU],TablaINVENTARIO[SERIAL])</f>
        <v>N/A</v>
      </c>
      <c r="I918" s="34" t="str">
        <f>_xlfn.XLOOKUP(TablaSTOCKINV[[#This Row],[SKU]],TablaINVENTARIO[SKU],TablaINVENTARIO[ALMACEN])</f>
        <v>ALMACEN PRINCIPAL</v>
      </c>
      <c r="J918" s="34" t="str">
        <f>_xlfn.XLOOKUP(TablaSTOCKINV[[#This Row],[SKU]],TablaINVENTARIO[SKU],TablaINVENTARIO[UBICACION])</f>
        <v>VER</v>
      </c>
      <c r="K918" s="34" t="str">
        <f>_xlfn.XLOOKUP(TablaSTOCKINV[[#This Row],[SKU]],TablaINVENTARIO[SKU],TablaINVENTARIO[DPTO RESPONSABLE])</f>
        <v>OPERACIONES</v>
      </c>
      <c r="L918" s="36">
        <f>_xlfn.XLOOKUP(TablaSTOCKINV[[#This Row],[SKU]],TablaINVENTARIO[SKU],TablaINVENTARIO[RANGO MIN])</f>
        <v>0</v>
      </c>
      <c r="M918" s="34" cm="1">
        <f t="array" ref="M918">_xlfn.IFS(TablaSTOCKINV[[#This Row],[CANT. TOTAL]]&lt;=0,1,TablaSTOCKINV[[#This Row],[CANT. TOTAL]]&lt;=TablaSTOCKINV[[#This Row],[MIN]],2,TablaSTOCKINV[[#This Row],[CANT. TOTAL]]&gt;TablaSTOCKINV[[#This Row],[MIN]],3)</f>
        <v>3</v>
      </c>
      <c r="N918" s="34">
        <f>TablaSTOCKINV[[#This Row],[ENTRADAS]]-TablaSTOCKINV[[#This Row],[SALIDAS]]</f>
        <v>2</v>
      </c>
      <c r="O918" s="35">
        <f>SUMIFS(TablaENTRADA[CANT],TablaENTRADA[SKU],TablaSTOCKINV[[#This Row],[SKU]])</f>
        <v>2</v>
      </c>
      <c r="P918" s="35">
        <f>SUMIFS(TablaSALIDA[CANT],TablaSALIDA[SKU],TablaSTOCKINV[[#This Row],[SKU]])</f>
        <v>0</v>
      </c>
      <c r="Q918" s="34">
        <f>_xlfn.XLOOKUP(TablaSTOCKINV[[#This Row],[SKU]],TablaINVENTARIO[SKU],TablaINVENTARIO[PRECIO])</f>
        <v>0</v>
      </c>
      <c r="R918" s="34">
        <f>TablaSTOCKINV[[#This Row],[P.UNITARIO]]*TablaSTOCKINV[[#This Row],[CANT. TOTAL]]</f>
        <v>0</v>
      </c>
      <c r="S918" s="44">
        <f>_xlfn.XLOOKUP(TablaSTOCKINV[[#This Row],[SKU]],TablaINVENTARIO[SKU],TablaINVENTARIO[FECHA INGRESO])</f>
        <v>46023</v>
      </c>
      <c r="T918" s="44">
        <f>_xlfn.XLOOKUP(TablaSTOCKINV[[#This Row],[SKU]],TablaENTRADA[SKU],TablaENTRADA[FECHA],,0,-1)</f>
        <v>46023</v>
      </c>
      <c r="U918" s="46" t="str">
        <f>IFERROR((_xlfn.XLOOKUP(TablaSTOCKINV[[#This Row],[SKU]],TablaSALIDA[SKU],TablaSALIDA[FECHA],,0,-1))," " )</f>
        <v xml:space="preserve"> </v>
      </c>
    </row>
    <row r="919" spans="1:21" x14ac:dyDescent="0.3">
      <c r="A919" s="27" t="s">
        <v>913</v>
      </c>
      <c r="B919" s="32" t="str">
        <f>_xlfn.XLOOKUP(TablaSTOCKINV[[#This Row],[SKU]],TablaINVENTARIO[SKU],TablaINVENTARIO[DESCRIPCION])</f>
        <v>ESPACIADOR HEXAGONAL HEMBRA-MACHO 6.4 X 28.7MM</v>
      </c>
      <c r="C919" s="32" t="str">
        <f>_xlfn.XLOOKUP(TablaSTOCKINV[[#This Row],[SKU]],TablaINVENTARIO[SKU],TablaINVENTARIO[MARCA])</f>
        <v>N/A</v>
      </c>
      <c r="D919" s="33" t="str">
        <f>_xlfn.XLOOKUP(TablaSTOCKINV[[#This Row],[SKU]],TablaINVENTARIO[SKU],TablaINVENTARIO[CATEGORIA])</f>
        <v>FABRICACION</v>
      </c>
      <c r="E919" s="33" t="str">
        <f>_xlfn.XLOOKUP(TablaSTOCKINV[[#This Row],[SKU]],TablaINVENTARIO[SKU],TablaINVENTARIO[SUBCATEGORIA])</f>
        <v>MATERIAL MECANICO</v>
      </c>
      <c r="F919" s="33" t="str">
        <f>_xlfn.XLOOKUP(TablaSTOCKINV[[#This Row],[SKU]],TablaINVENTARIO[SKU],TablaINVENTARIO[ESTADO])</f>
        <v>USADO</v>
      </c>
      <c r="G919" s="33" t="str">
        <f>_xlfn.XLOOKUP(TablaSTOCKINV[[#This Row],[SKU]],TablaINVENTARIO[SKU],TablaINVENTARIO[MEDIDA])</f>
        <v>UND</v>
      </c>
      <c r="H919" s="33" t="str">
        <f>_xlfn.XLOOKUP(TablaSTOCKINV[[#This Row],[SKU]],TablaINVENTARIO[SKU],TablaINVENTARIO[SERIAL])</f>
        <v>N/A</v>
      </c>
      <c r="I919" s="34" t="str">
        <f>_xlfn.XLOOKUP(TablaSTOCKINV[[#This Row],[SKU]],TablaINVENTARIO[SKU],TablaINVENTARIO[ALMACEN])</f>
        <v>ALMACEN PRINCIPAL</v>
      </c>
      <c r="J919" s="34" t="str">
        <f>_xlfn.XLOOKUP(TablaSTOCKINV[[#This Row],[SKU]],TablaINVENTARIO[SKU],TablaINVENTARIO[UBICACION])</f>
        <v>VER</v>
      </c>
      <c r="K919" s="34" t="str">
        <f>_xlfn.XLOOKUP(TablaSTOCKINV[[#This Row],[SKU]],TablaINVENTARIO[SKU],TablaINVENTARIO[DPTO RESPONSABLE])</f>
        <v>OPERACIONES</v>
      </c>
      <c r="L919" s="36">
        <f>_xlfn.XLOOKUP(TablaSTOCKINV[[#This Row],[SKU]],TablaINVENTARIO[SKU],TablaINVENTARIO[RANGO MIN])</f>
        <v>0</v>
      </c>
      <c r="M919" s="34" cm="1">
        <f t="array" ref="M919">_xlfn.IFS(TablaSTOCKINV[[#This Row],[CANT. TOTAL]]&lt;=0,1,TablaSTOCKINV[[#This Row],[CANT. TOTAL]]&lt;=TablaSTOCKINV[[#This Row],[MIN]],2,TablaSTOCKINV[[#This Row],[CANT. TOTAL]]&gt;TablaSTOCKINV[[#This Row],[MIN]],3)</f>
        <v>3</v>
      </c>
      <c r="N919" s="34">
        <f>TablaSTOCKINV[[#This Row],[ENTRADAS]]-TablaSTOCKINV[[#This Row],[SALIDAS]]</f>
        <v>10</v>
      </c>
      <c r="O919" s="35">
        <f>SUMIFS(TablaENTRADA[CANT],TablaENTRADA[SKU],TablaSTOCKINV[[#This Row],[SKU]])</f>
        <v>10</v>
      </c>
      <c r="P919" s="35">
        <f>SUMIFS(TablaSALIDA[CANT],TablaSALIDA[SKU],TablaSTOCKINV[[#This Row],[SKU]])</f>
        <v>0</v>
      </c>
      <c r="Q919" s="34">
        <f>_xlfn.XLOOKUP(TablaSTOCKINV[[#This Row],[SKU]],TablaINVENTARIO[SKU],TablaINVENTARIO[PRECIO])</f>
        <v>0</v>
      </c>
      <c r="R919" s="34">
        <f>TablaSTOCKINV[[#This Row],[P.UNITARIO]]*TablaSTOCKINV[[#This Row],[CANT. TOTAL]]</f>
        <v>0</v>
      </c>
      <c r="S919" s="44">
        <f>_xlfn.XLOOKUP(TablaSTOCKINV[[#This Row],[SKU]],TablaINVENTARIO[SKU],TablaINVENTARIO[FECHA INGRESO])</f>
        <v>46023</v>
      </c>
      <c r="T919" s="44">
        <f>_xlfn.XLOOKUP(TablaSTOCKINV[[#This Row],[SKU]],TablaENTRADA[SKU],TablaENTRADA[FECHA],,0,-1)</f>
        <v>46023</v>
      </c>
      <c r="U919" s="46" t="str">
        <f>IFERROR((_xlfn.XLOOKUP(TablaSTOCKINV[[#This Row],[SKU]],TablaSALIDA[SKU],TablaSALIDA[FECHA],,0,-1))," " )</f>
        <v xml:space="preserve"> </v>
      </c>
    </row>
    <row r="920" spans="1:21" x14ac:dyDescent="0.3">
      <c r="A920" s="27" t="s">
        <v>915</v>
      </c>
      <c r="B920" s="32" t="str">
        <f>_xlfn.XLOOKUP(TablaSTOCKINV[[#This Row],[SKU]],TablaINVENTARIO[SKU],TablaINVENTARIO[DESCRIPCION])</f>
        <v>ESPACIADOR HEXAGONAL HEMBRA-MACHO 9.5 X 114.4MM</v>
      </c>
      <c r="C920" s="32" t="str">
        <f>_xlfn.XLOOKUP(TablaSTOCKINV[[#This Row],[SKU]],TablaINVENTARIO[SKU],TablaINVENTARIO[MARCA])</f>
        <v>N/A</v>
      </c>
      <c r="D920" s="33" t="str">
        <f>_xlfn.XLOOKUP(TablaSTOCKINV[[#This Row],[SKU]],TablaINVENTARIO[SKU],TablaINVENTARIO[CATEGORIA])</f>
        <v>FABRICACION</v>
      </c>
      <c r="E920" s="33" t="str">
        <f>_xlfn.XLOOKUP(TablaSTOCKINV[[#This Row],[SKU]],TablaINVENTARIO[SKU],TablaINVENTARIO[SUBCATEGORIA])</f>
        <v>MATERIAL MECANICO</v>
      </c>
      <c r="F920" s="33" t="str">
        <f>_xlfn.XLOOKUP(TablaSTOCKINV[[#This Row],[SKU]],TablaINVENTARIO[SKU],TablaINVENTARIO[ESTADO])</f>
        <v>USADO</v>
      </c>
      <c r="G920" s="33" t="str">
        <f>_xlfn.XLOOKUP(TablaSTOCKINV[[#This Row],[SKU]],TablaINVENTARIO[SKU],TablaINVENTARIO[MEDIDA])</f>
        <v>UND</v>
      </c>
      <c r="H920" s="33" t="str">
        <f>_xlfn.XLOOKUP(TablaSTOCKINV[[#This Row],[SKU]],TablaINVENTARIO[SKU],TablaINVENTARIO[SERIAL])</f>
        <v>N/A</v>
      </c>
      <c r="I920" s="34" t="str">
        <f>_xlfn.XLOOKUP(TablaSTOCKINV[[#This Row],[SKU]],TablaINVENTARIO[SKU],TablaINVENTARIO[ALMACEN])</f>
        <v>ALMACEN PRINCIPAL</v>
      </c>
      <c r="J920" s="34" t="str">
        <f>_xlfn.XLOOKUP(TablaSTOCKINV[[#This Row],[SKU]],TablaINVENTARIO[SKU],TablaINVENTARIO[UBICACION])</f>
        <v>VER</v>
      </c>
      <c r="K920" s="34" t="str">
        <f>_xlfn.XLOOKUP(TablaSTOCKINV[[#This Row],[SKU]],TablaINVENTARIO[SKU],TablaINVENTARIO[DPTO RESPONSABLE])</f>
        <v>OPERACIONES</v>
      </c>
      <c r="L920" s="36">
        <f>_xlfn.XLOOKUP(TablaSTOCKINV[[#This Row],[SKU]],TablaINVENTARIO[SKU],TablaINVENTARIO[RANGO MIN])</f>
        <v>0</v>
      </c>
      <c r="M920" s="34" cm="1">
        <f t="array" ref="M920">_xlfn.IFS(TablaSTOCKINV[[#This Row],[CANT. TOTAL]]&lt;=0,1,TablaSTOCKINV[[#This Row],[CANT. TOTAL]]&lt;=TablaSTOCKINV[[#This Row],[MIN]],2,TablaSTOCKINV[[#This Row],[CANT. TOTAL]]&gt;TablaSTOCKINV[[#This Row],[MIN]],3)</f>
        <v>3</v>
      </c>
      <c r="N920" s="34">
        <f>TablaSTOCKINV[[#This Row],[ENTRADAS]]-TablaSTOCKINV[[#This Row],[SALIDAS]]</f>
        <v>29</v>
      </c>
      <c r="O920" s="35">
        <f>SUMIFS(TablaENTRADA[CANT],TablaENTRADA[SKU],TablaSTOCKINV[[#This Row],[SKU]])</f>
        <v>29</v>
      </c>
      <c r="P920" s="35">
        <f>SUMIFS(TablaSALIDA[CANT],TablaSALIDA[SKU],TablaSTOCKINV[[#This Row],[SKU]])</f>
        <v>0</v>
      </c>
      <c r="Q920" s="34">
        <f>_xlfn.XLOOKUP(TablaSTOCKINV[[#This Row],[SKU]],TablaINVENTARIO[SKU],TablaINVENTARIO[PRECIO])</f>
        <v>0</v>
      </c>
      <c r="R920" s="34">
        <f>TablaSTOCKINV[[#This Row],[P.UNITARIO]]*TablaSTOCKINV[[#This Row],[CANT. TOTAL]]</f>
        <v>0</v>
      </c>
      <c r="S920" s="44">
        <f>_xlfn.XLOOKUP(TablaSTOCKINV[[#This Row],[SKU]],TablaINVENTARIO[SKU],TablaINVENTARIO[FECHA INGRESO])</f>
        <v>46023</v>
      </c>
      <c r="T920" s="44">
        <f>_xlfn.XLOOKUP(TablaSTOCKINV[[#This Row],[SKU]],TablaENTRADA[SKU],TablaENTRADA[FECHA],,0,-1)</f>
        <v>46023</v>
      </c>
      <c r="U920" s="46" t="str">
        <f>IFERROR((_xlfn.XLOOKUP(TablaSTOCKINV[[#This Row],[SKU]],TablaSALIDA[SKU],TablaSALIDA[FECHA],,0,-1))," " )</f>
        <v xml:space="preserve"> </v>
      </c>
    </row>
    <row r="921" spans="1:21" x14ac:dyDescent="0.3">
      <c r="A921" s="27" t="s">
        <v>917</v>
      </c>
      <c r="B921" s="32" t="str">
        <f>_xlfn.XLOOKUP(TablaSTOCKINV[[#This Row],[SKU]],TablaINVENTARIO[SKU],TablaINVENTARIO[DESCRIPCION])</f>
        <v>ESPACIADOR HEXAGONAL HEMBRA-MACHO 9.4 X 82.7MM</v>
      </c>
      <c r="C921" s="32" t="str">
        <f>_xlfn.XLOOKUP(TablaSTOCKINV[[#This Row],[SKU]],TablaINVENTARIO[SKU],TablaINVENTARIO[MARCA])</f>
        <v>N/A</v>
      </c>
      <c r="D921" s="33" t="str">
        <f>_xlfn.XLOOKUP(TablaSTOCKINV[[#This Row],[SKU]],TablaINVENTARIO[SKU],TablaINVENTARIO[CATEGORIA])</f>
        <v>FABRICACION</v>
      </c>
      <c r="E921" s="33" t="str">
        <f>_xlfn.XLOOKUP(TablaSTOCKINV[[#This Row],[SKU]],TablaINVENTARIO[SKU],TablaINVENTARIO[SUBCATEGORIA])</f>
        <v>MATERIAL MECANICO</v>
      </c>
      <c r="F921" s="33" t="str">
        <f>_xlfn.XLOOKUP(TablaSTOCKINV[[#This Row],[SKU]],TablaINVENTARIO[SKU],TablaINVENTARIO[ESTADO])</f>
        <v>USADO</v>
      </c>
      <c r="G921" s="33" t="str">
        <f>_xlfn.XLOOKUP(TablaSTOCKINV[[#This Row],[SKU]],TablaINVENTARIO[SKU],TablaINVENTARIO[MEDIDA])</f>
        <v>UND</v>
      </c>
      <c r="H921" s="33" t="str">
        <f>_xlfn.XLOOKUP(TablaSTOCKINV[[#This Row],[SKU]],TablaINVENTARIO[SKU],TablaINVENTARIO[SERIAL])</f>
        <v>N/A</v>
      </c>
      <c r="I921" s="34" t="str">
        <f>_xlfn.XLOOKUP(TablaSTOCKINV[[#This Row],[SKU]],TablaINVENTARIO[SKU],TablaINVENTARIO[ALMACEN])</f>
        <v>ALMACEN PRINCIPAL</v>
      </c>
      <c r="J921" s="34" t="str">
        <f>_xlfn.XLOOKUP(TablaSTOCKINV[[#This Row],[SKU]],TablaINVENTARIO[SKU],TablaINVENTARIO[UBICACION])</f>
        <v>VER</v>
      </c>
      <c r="K921" s="34" t="str">
        <f>_xlfn.XLOOKUP(TablaSTOCKINV[[#This Row],[SKU]],TablaINVENTARIO[SKU],TablaINVENTARIO[DPTO RESPONSABLE])</f>
        <v>OPERACIONES</v>
      </c>
      <c r="L921" s="36">
        <f>_xlfn.XLOOKUP(TablaSTOCKINV[[#This Row],[SKU]],TablaINVENTARIO[SKU],TablaINVENTARIO[RANGO MIN])</f>
        <v>0</v>
      </c>
      <c r="M921" s="34" cm="1">
        <f t="array" ref="M921">_xlfn.IFS(TablaSTOCKINV[[#This Row],[CANT. TOTAL]]&lt;=0,1,TablaSTOCKINV[[#This Row],[CANT. TOTAL]]&lt;=TablaSTOCKINV[[#This Row],[MIN]],2,TablaSTOCKINV[[#This Row],[CANT. TOTAL]]&gt;TablaSTOCKINV[[#This Row],[MIN]],3)</f>
        <v>3</v>
      </c>
      <c r="N921" s="34">
        <f>TablaSTOCKINV[[#This Row],[ENTRADAS]]-TablaSTOCKINV[[#This Row],[SALIDAS]]</f>
        <v>1</v>
      </c>
      <c r="O921" s="35">
        <f>SUMIFS(TablaENTRADA[CANT],TablaENTRADA[SKU],TablaSTOCKINV[[#This Row],[SKU]])</f>
        <v>1</v>
      </c>
      <c r="P921" s="35">
        <f>SUMIFS(TablaSALIDA[CANT],TablaSALIDA[SKU],TablaSTOCKINV[[#This Row],[SKU]])</f>
        <v>0</v>
      </c>
      <c r="Q921" s="34">
        <f>_xlfn.XLOOKUP(TablaSTOCKINV[[#This Row],[SKU]],TablaINVENTARIO[SKU],TablaINVENTARIO[PRECIO])</f>
        <v>0</v>
      </c>
      <c r="R921" s="34">
        <f>TablaSTOCKINV[[#This Row],[P.UNITARIO]]*TablaSTOCKINV[[#This Row],[CANT. TOTAL]]</f>
        <v>0</v>
      </c>
      <c r="S921" s="44">
        <f>_xlfn.XLOOKUP(TablaSTOCKINV[[#This Row],[SKU]],TablaINVENTARIO[SKU],TablaINVENTARIO[FECHA INGRESO])</f>
        <v>46023</v>
      </c>
      <c r="T921" s="44">
        <f>_xlfn.XLOOKUP(TablaSTOCKINV[[#This Row],[SKU]],TablaENTRADA[SKU],TablaENTRADA[FECHA],,0,-1)</f>
        <v>46023</v>
      </c>
      <c r="U921" s="46" t="str">
        <f>IFERROR((_xlfn.XLOOKUP(TablaSTOCKINV[[#This Row],[SKU]],TablaSALIDA[SKU],TablaSALIDA[FECHA],,0,-1))," " )</f>
        <v xml:space="preserve"> </v>
      </c>
    </row>
    <row r="922" spans="1:21" x14ac:dyDescent="0.3">
      <c r="A922" s="27" t="s">
        <v>919</v>
      </c>
      <c r="B922" s="32" t="str">
        <f>_xlfn.XLOOKUP(TablaSTOCKINV[[#This Row],[SKU]],TablaINVENTARIO[SKU],TablaINVENTARIO[DESCRIPCION])</f>
        <v>ESPACIADOR HEXAGONAL HEMBRA-MACHO 6.4 X 6.5MM</v>
      </c>
      <c r="C922" s="32" t="str">
        <f>_xlfn.XLOOKUP(TablaSTOCKINV[[#This Row],[SKU]],TablaINVENTARIO[SKU],TablaINVENTARIO[MARCA])</f>
        <v>N/A</v>
      </c>
      <c r="D922" s="33" t="str">
        <f>_xlfn.XLOOKUP(TablaSTOCKINV[[#This Row],[SKU]],TablaINVENTARIO[SKU],TablaINVENTARIO[CATEGORIA])</f>
        <v>FABRICACION</v>
      </c>
      <c r="E922" s="33" t="str">
        <f>_xlfn.XLOOKUP(TablaSTOCKINV[[#This Row],[SKU]],TablaINVENTARIO[SKU],TablaINVENTARIO[SUBCATEGORIA])</f>
        <v>MATERIAL MECANICO</v>
      </c>
      <c r="F922" s="33" t="str">
        <f>_xlfn.XLOOKUP(TablaSTOCKINV[[#This Row],[SKU]],TablaINVENTARIO[SKU],TablaINVENTARIO[ESTADO])</f>
        <v>USADO</v>
      </c>
      <c r="G922" s="33" t="str">
        <f>_xlfn.XLOOKUP(TablaSTOCKINV[[#This Row],[SKU]],TablaINVENTARIO[SKU],TablaINVENTARIO[MEDIDA])</f>
        <v>UND</v>
      </c>
      <c r="H922" s="33" t="str">
        <f>_xlfn.XLOOKUP(TablaSTOCKINV[[#This Row],[SKU]],TablaINVENTARIO[SKU],TablaINVENTARIO[SERIAL])</f>
        <v>N/A</v>
      </c>
      <c r="I922" s="34" t="str">
        <f>_xlfn.XLOOKUP(TablaSTOCKINV[[#This Row],[SKU]],TablaINVENTARIO[SKU],TablaINVENTARIO[ALMACEN])</f>
        <v>ALMACEN PRINCIPAL</v>
      </c>
      <c r="J922" s="34" t="str">
        <f>_xlfn.XLOOKUP(TablaSTOCKINV[[#This Row],[SKU]],TablaINVENTARIO[SKU],TablaINVENTARIO[UBICACION])</f>
        <v>VER</v>
      </c>
      <c r="K922" s="34" t="str">
        <f>_xlfn.XLOOKUP(TablaSTOCKINV[[#This Row],[SKU]],TablaINVENTARIO[SKU],TablaINVENTARIO[DPTO RESPONSABLE])</f>
        <v>OPERACIONES</v>
      </c>
      <c r="L922" s="36">
        <f>_xlfn.XLOOKUP(TablaSTOCKINV[[#This Row],[SKU]],TablaINVENTARIO[SKU],TablaINVENTARIO[RANGO MIN])</f>
        <v>0</v>
      </c>
      <c r="M922" s="34" cm="1">
        <f t="array" ref="M922">_xlfn.IFS(TablaSTOCKINV[[#This Row],[CANT. TOTAL]]&lt;=0,1,TablaSTOCKINV[[#This Row],[CANT. TOTAL]]&lt;=TablaSTOCKINV[[#This Row],[MIN]],2,TablaSTOCKINV[[#This Row],[CANT. TOTAL]]&gt;TablaSTOCKINV[[#This Row],[MIN]],3)</f>
        <v>3</v>
      </c>
      <c r="N922" s="34">
        <f>TablaSTOCKINV[[#This Row],[ENTRADAS]]-TablaSTOCKINV[[#This Row],[SALIDAS]]</f>
        <v>15</v>
      </c>
      <c r="O922" s="35">
        <f>SUMIFS(TablaENTRADA[CANT],TablaENTRADA[SKU],TablaSTOCKINV[[#This Row],[SKU]])</f>
        <v>15</v>
      </c>
      <c r="P922" s="35">
        <f>SUMIFS(TablaSALIDA[CANT],TablaSALIDA[SKU],TablaSTOCKINV[[#This Row],[SKU]])</f>
        <v>0</v>
      </c>
      <c r="Q922" s="34">
        <f>_xlfn.XLOOKUP(TablaSTOCKINV[[#This Row],[SKU]],TablaINVENTARIO[SKU],TablaINVENTARIO[PRECIO])</f>
        <v>0</v>
      </c>
      <c r="R922" s="34">
        <f>TablaSTOCKINV[[#This Row],[P.UNITARIO]]*TablaSTOCKINV[[#This Row],[CANT. TOTAL]]</f>
        <v>0</v>
      </c>
      <c r="S922" s="44">
        <f>_xlfn.XLOOKUP(TablaSTOCKINV[[#This Row],[SKU]],TablaINVENTARIO[SKU],TablaINVENTARIO[FECHA INGRESO])</f>
        <v>46023</v>
      </c>
      <c r="T922" s="44">
        <f>_xlfn.XLOOKUP(TablaSTOCKINV[[#This Row],[SKU]],TablaENTRADA[SKU],TablaENTRADA[FECHA],,0,-1)</f>
        <v>46023</v>
      </c>
      <c r="U922" s="46" t="str">
        <f>IFERROR((_xlfn.XLOOKUP(TablaSTOCKINV[[#This Row],[SKU]],TablaSALIDA[SKU],TablaSALIDA[FECHA],,0,-1))," " )</f>
        <v xml:space="preserve"> </v>
      </c>
    </row>
    <row r="923" spans="1:21" x14ac:dyDescent="0.3">
      <c r="A923" s="27" t="s">
        <v>921</v>
      </c>
      <c r="B923" s="32" t="str">
        <f>_xlfn.XLOOKUP(TablaSTOCKINV[[#This Row],[SKU]],TablaINVENTARIO[SKU],TablaINVENTARIO[DESCRIPCION])</f>
        <v>ESPACIADOR HEXAGONAL HEMBRA-MACHO 6.4 X 9.7MM</v>
      </c>
      <c r="C923" s="32" t="str">
        <f>_xlfn.XLOOKUP(TablaSTOCKINV[[#This Row],[SKU]],TablaINVENTARIO[SKU],TablaINVENTARIO[MARCA])</f>
        <v>N/A</v>
      </c>
      <c r="D923" s="33" t="str">
        <f>_xlfn.XLOOKUP(TablaSTOCKINV[[#This Row],[SKU]],TablaINVENTARIO[SKU],TablaINVENTARIO[CATEGORIA])</f>
        <v>FABRICACION</v>
      </c>
      <c r="E923" s="33" t="str">
        <f>_xlfn.XLOOKUP(TablaSTOCKINV[[#This Row],[SKU]],TablaINVENTARIO[SKU],TablaINVENTARIO[SUBCATEGORIA])</f>
        <v>MATERIAL MECANICO</v>
      </c>
      <c r="F923" s="33" t="str">
        <f>_xlfn.XLOOKUP(TablaSTOCKINV[[#This Row],[SKU]],TablaINVENTARIO[SKU],TablaINVENTARIO[ESTADO])</f>
        <v>USADO</v>
      </c>
      <c r="G923" s="33" t="str">
        <f>_xlfn.XLOOKUP(TablaSTOCKINV[[#This Row],[SKU]],TablaINVENTARIO[SKU],TablaINVENTARIO[MEDIDA])</f>
        <v>UND</v>
      </c>
      <c r="H923" s="33" t="str">
        <f>_xlfn.XLOOKUP(TablaSTOCKINV[[#This Row],[SKU]],TablaINVENTARIO[SKU],TablaINVENTARIO[SERIAL])</f>
        <v>N/A</v>
      </c>
      <c r="I923" s="34" t="str">
        <f>_xlfn.XLOOKUP(TablaSTOCKINV[[#This Row],[SKU]],TablaINVENTARIO[SKU],TablaINVENTARIO[ALMACEN])</f>
        <v>ALMACEN PRINCIPAL</v>
      </c>
      <c r="J923" s="34" t="str">
        <f>_xlfn.XLOOKUP(TablaSTOCKINV[[#This Row],[SKU]],TablaINVENTARIO[SKU],TablaINVENTARIO[UBICACION])</f>
        <v>VER</v>
      </c>
      <c r="K923" s="34" t="str">
        <f>_xlfn.XLOOKUP(TablaSTOCKINV[[#This Row],[SKU]],TablaINVENTARIO[SKU],TablaINVENTARIO[DPTO RESPONSABLE])</f>
        <v>OPERACIONES</v>
      </c>
      <c r="L923" s="36">
        <f>_xlfn.XLOOKUP(TablaSTOCKINV[[#This Row],[SKU]],TablaINVENTARIO[SKU],TablaINVENTARIO[RANGO MIN])</f>
        <v>0</v>
      </c>
      <c r="M923" s="34" cm="1">
        <f t="array" ref="M923">_xlfn.IFS(TablaSTOCKINV[[#This Row],[CANT. TOTAL]]&lt;=0,1,TablaSTOCKINV[[#This Row],[CANT. TOTAL]]&lt;=TablaSTOCKINV[[#This Row],[MIN]],2,TablaSTOCKINV[[#This Row],[CANT. TOTAL]]&gt;TablaSTOCKINV[[#This Row],[MIN]],3)</f>
        <v>3</v>
      </c>
      <c r="N923" s="34">
        <f>TablaSTOCKINV[[#This Row],[ENTRADAS]]-TablaSTOCKINV[[#This Row],[SALIDAS]]</f>
        <v>4</v>
      </c>
      <c r="O923" s="35">
        <f>SUMIFS(TablaENTRADA[CANT],TablaENTRADA[SKU],TablaSTOCKINV[[#This Row],[SKU]])</f>
        <v>4</v>
      </c>
      <c r="P923" s="35">
        <f>SUMIFS(TablaSALIDA[CANT],TablaSALIDA[SKU],TablaSTOCKINV[[#This Row],[SKU]])</f>
        <v>0</v>
      </c>
      <c r="Q923" s="34">
        <f>_xlfn.XLOOKUP(TablaSTOCKINV[[#This Row],[SKU]],TablaINVENTARIO[SKU],TablaINVENTARIO[PRECIO])</f>
        <v>0</v>
      </c>
      <c r="R923" s="34">
        <f>TablaSTOCKINV[[#This Row],[P.UNITARIO]]*TablaSTOCKINV[[#This Row],[CANT. TOTAL]]</f>
        <v>0</v>
      </c>
      <c r="S923" s="44">
        <f>_xlfn.XLOOKUP(TablaSTOCKINV[[#This Row],[SKU]],TablaINVENTARIO[SKU],TablaINVENTARIO[FECHA INGRESO])</f>
        <v>46023</v>
      </c>
      <c r="T923" s="44">
        <f>_xlfn.XLOOKUP(TablaSTOCKINV[[#This Row],[SKU]],TablaENTRADA[SKU],TablaENTRADA[FECHA],,0,-1)</f>
        <v>46023</v>
      </c>
      <c r="U923" s="46" t="str">
        <f>IFERROR((_xlfn.XLOOKUP(TablaSTOCKINV[[#This Row],[SKU]],TablaSALIDA[SKU],TablaSALIDA[FECHA],,0,-1))," " )</f>
        <v xml:space="preserve"> </v>
      </c>
    </row>
    <row r="924" spans="1:21" x14ac:dyDescent="0.3">
      <c r="A924" s="27" t="s">
        <v>923</v>
      </c>
      <c r="B924" s="32" t="str">
        <f>_xlfn.XLOOKUP(TablaSTOCKINV[[#This Row],[SKU]],TablaINVENTARIO[SKU],TablaINVENTARIO[DESCRIPCION])</f>
        <v>ESPACIADOR HEXAGONAL HEMBRA-MACHO 6.4 X 12.8MM</v>
      </c>
      <c r="C924" s="32" t="str">
        <f>_xlfn.XLOOKUP(TablaSTOCKINV[[#This Row],[SKU]],TablaINVENTARIO[SKU],TablaINVENTARIO[MARCA])</f>
        <v>N/A</v>
      </c>
      <c r="D924" s="33" t="str">
        <f>_xlfn.XLOOKUP(TablaSTOCKINV[[#This Row],[SKU]],TablaINVENTARIO[SKU],TablaINVENTARIO[CATEGORIA])</f>
        <v>FABRICACION</v>
      </c>
      <c r="E924" s="33" t="str">
        <f>_xlfn.XLOOKUP(TablaSTOCKINV[[#This Row],[SKU]],TablaINVENTARIO[SKU],TablaINVENTARIO[SUBCATEGORIA])</f>
        <v>MATERIAL MECANICO</v>
      </c>
      <c r="F924" s="33" t="str">
        <f>_xlfn.XLOOKUP(TablaSTOCKINV[[#This Row],[SKU]],TablaINVENTARIO[SKU],TablaINVENTARIO[ESTADO])</f>
        <v>USADO</v>
      </c>
      <c r="G924" s="33" t="str">
        <f>_xlfn.XLOOKUP(TablaSTOCKINV[[#This Row],[SKU]],TablaINVENTARIO[SKU],TablaINVENTARIO[MEDIDA])</f>
        <v>UND</v>
      </c>
      <c r="H924" s="33" t="str">
        <f>_xlfn.XLOOKUP(TablaSTOCKINV[[#This Row],[SKU]],TablaINVENTARIO[SKU],TablaINVENTARIO[SERIAL])</f>
        <v>N/A</v>
      </c>
      <c r="I924" s="34" t="str">
        <f>_xlfn.XLOOKUP(TablaSTOCKINV[[#This Row],[SKU]],TablaINVENTARIO[SKU],TablaINVENTARIO[ALMACEN])</f>
        <v>ALMACEN PRINCIPAL</v>
      </c>
      <c r="J924" s="34" t="str">
        <f>_xlfn.XLOOKUP(TablaSTOCKINV[[#This Row],[SKU]],TablaINVENTARIO[SKU],TablaINVENTARIO[UBICACION])</f>
        <v>VER</v>
      </c>
      <c r="K924" s="34" t="str">
        <f>_xlfn.XLOOKUP(TablaSTOCKINV[[#This Row],[SKU]],TablaINVENTARIO[SKU],TablaINVENTARIO[DPTO RESPONSABLE])</f>
        <v>OPERACIONES</v>
      </c>
      <c r="L924" s="36">
        <f>_xlfn.XLOOKUP(TablaSTOCKINV[[#This Row],[SKU]],TablaINVENTARIO[SKU],TablaINVENTARIO[RANGO MIN])</f>
        <v>0</v>
      </c>
      <c r="M924" s="34" cm="1">
        <f t="array" ref="M924">_xlfn.IFS(TablaSTOCKINV[[#This Row],[CANT. TOTAL]]&lt;=0,1,TablaSTOCKINV[[#This Row],[CANT. TOTAL]]&lt;=TablaSTOCKINV[[#This Row],[MIN]],2,TablaSTOCKINV[[#This Row],[CANT. TOTAL]]&gt;TablaSTOCKINV[[#This Row],[MIN]],3)</f>
        <v>3</v>
      </c>
      <c r="N924" s="34">
        <f>TablaSTOCKINV[[#This Row],[ENTRADAS]]-TablaSTOCKINV[[#This Row],[SALIDAS]]</f>
        <v>4</v>
      </c>
      <c r="O924" s="35">
        <f>SUMIFS(TablaENTRADA[CANT],TablaENTRADA[SKU],TablaSTOCKINV[[#This Row],[SKU]])</f>
        <v>4</v>
      </c>
      <c r="P924" s="35">
        <f>SUMIFS(TablaSALIDA[CANT],TablaSALIDA[SKU],TablaSTOCKINV[[#This Row],[SKU]])</f>
        <v>0</v>
      </c>
      <c r="Q924" s="34">
        <f>_xlfn.XLOOKUP(TablaSTOCKINV[[#This Row],[SKU]],TablaINVENTARIO[SKU],TablaINVENTARIO[PRECIO])</f>
        <v>0</v>
      </c>
      <c r="R924" s="34">
        <f>TablaSTOCKINV[[#This Row],[P.UNITARIO]]*TablaSTOCKINV[[#This Row],[CANT. TOTAL]]</f>
        <v>0</v>
      </c>
      <c r="S924" s="44">
        <f>_xlfn.XLOOKUP(TablaSTOCKINV[[#This Row],[SKU]],TablaINVENTARIO[SKU],TablaINVENTARIO[FECHA INGRESO])</f>
        <v>46023</v>
      </c>
      <c r="T924" s="44">
        <f>_xlfn.XLOOKUP(TablaSTOCKINV[[#This Row],[SKU]],TablaENTRADA[SKU],TablaENTRADA[FECHA],,0,-1)</f>
        <v>46023</v>
      </c>
      <c r="U924" s="46" t="str">
        <f>IFERROR((_xlfn.XLOOKUP(TablaSTOCKINV[[#This Row],[SKU]],TablaSALIDA[SKU],TablaSALIDA[FECHA],,0,-1))," " )</f>
        <v xml:space="preserve"> </v>
      </c>
    </row>
    <row r="925" spans="1:21" x14ac:dyDescent="0.3">
      <c r="A925" s="27" t="s">
        <v>925</v>
      </c>
      <c r="B925" s="32" t="str">
        <f>_xlfn.XLOOKUP(TablaSTOCKINV[[#This Row],[SKU]],TablaINVENTARIO[SKU],TablaINVENTARIO[DESCRIPCION])</f>
        <v>ESPACIADOR HEXAGONAL HEMBRA-MACHO 6.4 X 19MM</v>
      </c>
      <c r="C925" s="32" t="str">
        <f>_xlfn.XLOOKUP(TablaSTOCKINV[[#This Row],[SKU]],TablaINVENTARIO[SKU],TablaINVENTARIO[MARCA])</f>
        <v>N/A</v>
      </c>
      <c r="D925" s="33" t="str">
        <f>_xlfn.XLOOKUP(TablaSTOCKINV[[#This Row],[SKU]],TablaINVENTARIO[SKU],TablaINVENTARIO[CATEGORIA])</f>
        <v>FABRICACION</v>
      </c>
      <c r="E925" s="33" t="str">
        <f>_xlfn.XLOOKUP(TablaSTOCKINV[[#This Row],[SKU]],TablaINVENTARIO[SKU],TablaINVENTARIO[SUBCATEGORIA])</f>
        <v>MATERIAL MECANICO</v>
      </c>
      <c r="F925" s="33" t="str">
        <f>_xlfn.XLOOKUP(TablaSTOCKINV[[#This Row],[SKU]],TablaINVENTARIO[SKU],TablaINVENTARIO[ESTADO])</f>
        <v>USADO</v>
      </c>
      <c r="G925" s="33" t="str">
        <f>_xlfn.XLOOKUP(TablaSTOCKINV[[#This Row],[SKU]],TablaINVENTARIO[SKU],TablaINVENTARIO[MEDIDA])</f>
        <v>UND</v>
      </c>
      <c r="H925" s="33" t="str">
        <f>_xlfn.XLOOKUP(TablaSTOCKINV[[#This Row],[SKU]],TablaINVENTARIO[SKU],TablaINVENTARIO[SERIAL])</f>
        <v>N/A</v>
      </c>
      <c r="I925" s="34" t="str">
        <f>_xlfn.XLOOKUP(TablaSTOCKINV[[#This Row],[SKU]],TablaINVENTARIO[SKU],TablaINVENTARIO[ALMACEN])</f>
        <v>ALMACEN PRINCIPAL</v>
      </c>
      <c r="J925" s="34" t="str">
        <f>_xlfn.XLOOKUP(TablaSTOCKINV[[#This Row],[SKU]],TablaINVENTARIO[SKU],TablaINVENTARIO[UBICACION])</f>
        <v>VER</v>
      </c>
      <c r="K925" s="34" t="str">
        <f>_xlfn.XLOOKUP(TablaSTOCKINV[[#This Row],[SKU]],TablaINVENTARIO[SKU],TablaINVENTARIO[DPTO RESPONSABLE])</f>
        <v>OPERACIONES</v>
      </c>
      <c r="L925" s="36">
        <f>_xlfn.XLOOKUP(TablaSTOCKINV[[#This Row],[SKU]],TablaINVENTARIO[SKU],TablaINVENTARIO[RANGO MIN])</f>
        <v>0</v>
      </c>
      <c r="M925" s="34" cm="1">
        <f t="array" ref="M925">_xlfn.IFS(TablaSTOCKINV[[#This Row],[CANT. TOTAL]]&lt;=0,1,TablaSTOCKINV[[#This Row],[CANT. TOTAL]]&lt;=TablaSTOCKINV[[#This Row],[MIN]],2,TablaSTOCKINV[[#This Row],[CANT. TOTAL]]&gt;TablaSTOCKINV[[#This Row],[MIN]],3)</f>
        <v>3</v>
      </c>
      <c r="N925" s="34">
        <f>TablaSTOCKINV[[#This Row],[ENTRADAS]]-TablaSTOCKINV[[#This Row],[SALIDAS]]</f>
        <v>3</v>
      </c>
      <c r="O925" s="35">
        <f>SUMIFS(TablaENTRADA[CANT],TablaENTRADA[SKU],TablaSTOCKINV[[#This Row],[SKU]])</f>
        <v>3</v>
      </c>
      <c r="P925" s="35">
        <f>SUMIFS(TablaSALIDA[CANT],TablaSALIDA[SKU],TablaSTOCKINV[[#This Row],[SKU]])</f>
        <v>0</v>
      </c>
      <c r="Q925" s="34">
        <f>_xlfn.XLOOKUP(TablaSTOCKINV[[#This Row],[SKU]],TablaINVENTARIO[SKU],TablaINVENTARIO[PRECIO])</f>
        <v>0</v>
      </c>
      <c r="R925" s="34">
        <f>TablaSTOCKINV[[#This Row],[P.UNITARIO]]*TablaSTOCKINV[[#This Row],[CANT. TOTAL]]</f>
        <v>0</v>
      </c>
      <c r="S925" s="44">
        <f>_xlfn.XLOOKUP(TablaSTOCKINV[[#This Row],[SKU]],TablaINVENTARIO[SKU],TablaINVENTARIO[FECHA INGRESO])</f>
        <v>46023</v>
      </c>
      <c r="T925" s="44">
        <f>_xlfn.XLOOKUP(TablaSTOCKINV[[#This Row],[SKU]],TablaENTRADA[SKU],TablaENTRADA[FECHA],,0,-1)</f>
        <v>46023</v>
      </c>
      <c r="U925" s="46" t="str">
        <f>IFERROR((_xlfn.XLOOKUP(TablaSTOCKINV[[#This Row],[SKU]],TablaSALIDA[SKU],TablaSALIDA[FECHA],,0,-1))," " )</f>
        <v xml:space="preserve"> </v>
      </c>
    </row>
    <row r="926" spans="1:21" x14ac:dyDescent="0.3">
      <c r="A926" s="27" t="s">
        <v>927</v>
      </c>
      <c r="B926" s="32" t="str">
        <f>_xlfn.XLOOKUP(TablaSTOCKINV[[#This Row],[SKU]],TablaINVENTARIO[SKU],TablaINVENTARIO[DESCRIPCION])</f>
        <v>ESPACIADOR HEXAGONAL HEMBRA-MACHO 4.8 X 22.3MM</v>
      </c>
      <c r="C926" s="32" t="str">
        <f>_xlfn.XLOOKUP(TablaSTOCKINV[[#This Row],[SKU]],TablaINVENTARIO[SKU],TablaINVENTARIO[MARCA])</f>
        <v>N/A</v>
      </c>
      <c r="D926" s="33" t="str">
        <f>_xlfn.XLOOKUP(TablaSTOCKINV[[#This Row],[SKU]],TablaINVENTARIO[SKU],TablaINVENTARIO[CATEGORIA])</f>
        <v>FABRICACION</v>
      </c>
      <c r="E926" s="33" t="str">
        <f>_xlfn.XLOOKUP(TablaSTOCKINV[[#This Row],[SKU]],TablaINVENTARIO[SKU],TablaINVENTARIO[SUBCATEGORIA])</f>
        <v>MATERIAL MECANICO</v>
      </c>
      <c r="F926" s="33" t="str">
        <f>_xlfn.XLOOKUP(TablaSTOCKINV[[#This Row],[SKU]],TablaINVENTARIO[SKU],TablaINVENTARIO[ESTADO])</f>
        <v>USADO</v>
      </c>
      <c r="G926" s="33" t="str">
        <f>_xlfn.XLOOKUP(TablaSTOCKINV[[#This Row],[SKU]],TablaINVENTARIO[SKU],TablaINVENTARIO[MEDIDA])</f>
        <v>UND</v>
      </c>
      <c r="H926" s="33" t="str">
        <f>_xlfn.XLOOKUP(TablaSTOCKINV[[#This Row],[SKU]],TablaINVENTARIO[SKU],TablaINVENTARIO[SERIAL])</f>
        <v>N/A</v>
      </c>
      <c r="I926" s="34" t="str">
        <f>_xlfn.XLOOKUP(TablaSTOCKINV[[#This Row],[SKU]],TablaINVENTARIO[SKU],TablaINVENTARIO[ALMACEN])</f>
        <v>ALMACEN PRINCIPAL</v>
      </c>
      <c r="J926" s="34" t="str">
        <f>_xlfn.XLOOKUP(TablaSTOCKINV[[#This Row],[SKU]],TablaINVENTARIO[SKU],TablaINVENTARIO[UBICACION])</f>
        <v>VER</v>
      </c>
      <c r="K926" s="34" t="str">
        <f>_xlfn.XLOOKUP(TablaSTOCKINV[[#This Row],[SKU]],TablaINVENTARIO[SKU],TablaINVENTARIO[DPTO RESPONSABLE])</f>
        <v>OPERACIONES</v>
      </c>
      <c r="L926" s="36">
        <f>_xlfn.XLOOKUP(TablaSTOCKINV[[#This Row],[SKU]],TablaINVENTARIO[SKU],TablaINVENTARIO[RANGO MIN])</f>
        <v>0</v>
      </c>
      <c r="M926" s="34" cm="1">
        <f t="array" ref="M926">_xlfn.IFS(TablaSTOCKINV[[#This Row],[CANT. TOTAL]]&lt;=0,1,TablaSTOCKINV[[#This Row],[CANT. TOTAL]]&lt;=TablaSTOCKINV[[#This Row],[MIN]],2,TablaSTOCKINV[[#This Row],[CANT. TOTAL]]&gt;TablaSTOCKINV[[#This Row],[MIN]],3)</f>
        <v>3</v>
      </c>
      <c r="N926" s="34">
        <f>TablaSTOCKINV[[#This Row],[ENTRADAS]]-TablaSTOCKINV[[#This Row],[SALIDAS]]</f>
        <v>6</v>
      </c>
      <c r="O926" s="35">
        <f>SUMIFS(TablaENTRADA[CANT],TablaENTRADA[SKU],TablaSTOCKINV[[#This Row],[SKU]])</f>
        <v>6</v>
      </c>
      <c r="P926" s="35">
        <f>SUMIFS(TablaSALIDA[CANT],TablaSALIDA[SKU],TablaSTOCKINV[[#This Row],[SKU]])</f>
        <v>0</v>
      </c>
      <c r="Q926" s="34">
        <f>_xlfn.XLOOKUP(TablaSTOCKINV[[#This Row],[SKU]],TablaINVENTARIO[SKU],TablaINVENTARIO[PRECIO])</f>
        <v>0</v>
      </c>
      <c r="R926" s="34">
        <f>TablaSTOCKINV[[#This Row],[P.UNITARIO]]*TablaSTOCKINV[[#This Row],[CANT. TOTAL]]</f>
        <v>0</v>
      </c>
      <c r="S926" s="44">
        <f>_xlfn.XLOOKUP(TablaSTOCKINV[[#This Row],[SKU]],TablaINVENTARIO[SKU],TablaINVENTARIO[FECHA INGRESO])</f>
        <v>46023</v>
      </c>
      <c r="T926" s="44">
        <f>_xlfn.XLOOKUP(TablaSTOCKINV[[#This Row],[SKU]],TablaENTRADA[SKU],TablaENTRADA[FECHA],,0,-1)</f>
        <v>46023</v>
      </c>
      <c r="U926" s="46" t="str">
        <f>IFERROR((_xlfn.XLOOKUP(TablaSTOCKINV[[#This Row],[SKU]],TablaSALIDA[SKU],TablaSALIDA[FECHA],,0,-1))," " )</f>
        <v xml:space="preserve"> </v>
      </c>
    </row>
    <row r="927" spans="1:21" x14ac:dyDescent="0.3">
      <c r="A927" s="27" t="s">
        <v>929</v>
      </c>
      <c r="B927" s="32" t="str">
        <f>_xlfn.XLOOKUP(TablaSTOCKINV[[#This Row],[SKU]],TablaINVENTARIO[SKU],TablaINVENTARIO[DESCRIPCION])</f>
        <v>ESPACIADOR HEXAGONAL HEMBRA-MACHO 4.7 X  4.8MM</v>
      </c>
      <c r="C927" s="32" t="str">
        <f>_xlfn.XLOOKUP(TablaSTOCKINV[[#This Row],[SKU]],TablaINVENTARIO[SKU],TablaINVENTARIO[MARCA])</f>
        <v>N/A</v>
      </c>
      <c r="D927" s="33" t="str">
        <f>_xlfn.XLOOKUP(TablaSTOCKINV[[#This Row],[SKU]],TablaINVENTARIO[SKU],TablaINVENTARIO[CATEGORIA])</f>
        <v>FABRICACION</v>
      </c>
      <c r="E927" s="33" t="str">
        <f>_xlfn.XLOOKUP(TablaSTOCKINV[[#This Row],[SKU]],TablaINVENTARIO[SKU],TablaINVENTARIO[SUBCATEGORIA])</f>
        <v>MATERIAL MECANICO</v>
      </c>
      <c r="F927" s="33" t="str">
        <f>_xlfn.XLOOKUP(TablaSTOCKINV[[#This Row],[SKU]],TablaINVENTARIO[SKU],TablaINVENTARIO[ESTADO])</f>
        <v>USADO</v>
      </c>
      <c r="G927" s="33" t="str">
        <f>_xlfn.XLOOKUP(TablaSTOCKINV[[#This Row],[SKU]],TablaINVENTARIO[SKU],TablaINVENTARIO[MEDIDA])</f>
        <v>UND</v>
      </c>
      <c r="H927" s="33" t="str">
        <f>_xlfn.XLOOKUP(TablaSTOCKINV[[#This Row],[SKU]],TablaINVENTARIO[SKU],TablaINVENTARIO[SERIAL])</f>
        <v>N/A</v>
      </c>
      <c r="I927" s="34" t="str">
        <f>_xlfn.XLOOKUP(TablaSTOCKINV[[#This Row],[SKU]],TablaINVENTARIO[SKU],TablaINVENTARIO[ALMACEN])</f>
        <v>ALMACEN PRINCIPAL</v>
      </c>
      <c r="J927" s="34" t="str">
        <f>_xlfn.XLOOKUP(TablaSTOCKINV[[#This Row],[SKU]],TablaINVENTARIO[SKU],TablaINVENTARIO[UBICACION])</f>
        <v>VER</v>
      </c>
      <c r="K927" s="34" t="str">
        <f>_xlfn.XLOOKUP(TablaSTOCKINV[[#This Row],[SKU]],TablaINVENTARIO[SKU],TablaINVENTARIO[DPTO RESPONSABLE])</f>
        <v>OPERACIONES</v>
      </c>
      <c r="L927" s="36">
        <f>_xlfn.XLOOKUP(TablaSTOCKINV[[#This Row],[SKU]],TablaINVENTARIO[SKU],TablaINVENTARIO[RANGO MIN])</f>
        <v>0</v>
      </c>
      <c r="M927" s="34" cm="1">
        <f t="array" ref="M927">_xlfn.IFS(TablaSTOCKINV[[#This Row],[CANT. TOTAL]]&lt;=0,1,TablaSTOCKINV[[#This Row],[CANT. TOTAL]]&lt;=TablaSTOCKINV[[#This Row],[MIN]],2,TablaSTOCKINV[[#This Row],[CANT. TOTAL]]&gt;TablaSTOCKINV[[#This Row],[MIN]],3)</f>
        <v>3</v>
      </c>
      <c r="N927" s="34">
        <f>TablaSTOCKINV[[#This Row],[ENTRADAS]]-TablaSTOCKINV[[#This Row],[SALIDAS]]</f>
        <v>2</v>
      </c>
      <c r="O927" s="35">
        <f>SUMIFS(TablaENTRADA[CANT],TablaENTRADA[SKU],TablaSTOCKINV[[#This Row],[SKU]])</f>
        <v>2</v>
      </c>
      <c r="P927" s="35">
        <f>SUMIFS(TablaSALIDA[CANT],TablaSALIDA[SKU],TablaSTOCKINV[[#This Row],[SKU]])</f>
        <v>0</v>
      </c>
      <c r="Q927" s="34">
        <f>_xlfn.XLOOKUP(TablaSTOCKINV[[#This Row],[SKU]],TablaINVENTARIO[SKU],TablaINVENTARIO[PRECIO])</f>
        <v>0</v>
      </c>
      <c r="R927" s="34">
        <f>TablaSTOCKINV[[#This Row],[P.UNITARIO]]*TablaSTOCKINV[[#This Row],[CANT. TOTAL]]</f>
        <v>0</v>
      </c>
      <c r="S927" s="44">
        <f>_xlfn.XLOOKUP(TablaSTOCKINV[[#This Row],[SKU]],TablaINVENTARIO[SKU],TablaINVENTARIO[FECHA INGRESO])</f>
        <v>46023</v>
      </c>
      <c r="T927" s="44">
        <f>_xlfn.XLOOKUP(TablaSTOCKINV[[#This Row],[SKU]],TablaENTRADA[SKU],TablaENTRADA[FECHA],,0,-1)</f>
        <v>46023</v>
      </c>
      <c r="U927" s="46" t="str">
        <f>IFERROR((_xlfn.XLOOKUP(TablaSTOCKINV[[#This Row],[SKU]],TablaSALIDA[SKU],TablaSALIDA[FECHA],,0,-1))," " )</f>
        <v xml:space="preserve"> </v>
      </c>
    </row>
    <row r="928" spans="1:21" x14ac:dyDescent="0.3">
      <c r="A928" s="27" t="s">
        <v>931</v>
      </c>
      <c r="B928" s="32" t="str">
        <f>_xlfn.XLOOKUP(TablaSTOCKINV[[#This Row],[SKU]],TablaINVENTARIO[SKU],TablaINVENTARIO[DESCRIPCION])</f>
        <v>ESPACIADOR HEXAGONAL HEMBRA-MACHO 4.8 X 6.3MM</v>
      </c>
      <c r="C928" s="32" t="str">
        <f>_xlfn.XLOOKUP(TablaSTOCKINV[[#This Row],[SKU]],TablaINVENTARIO[SKU],TablaINVENTARIO[MARCA])</f>
        <v>N/A</v>
      </c>
      <c r="D928" s="33" t="str">
        <f>_xlfn.XLOOKUP(TablaSTOCKINV[[#This Row],[SKU]],TablaINVENTARIO[SKU],TablaINVENTARIO[CATEGORIA])</f>
        <v>FABRICACION</v>
      </c>
      <c r="E928" s="33" t="str">
        <f>_xlfn.XLOOKUP(TablaSTOCKINV[[#This Row],[SKU]],TablaINVENTARIO[SKU],TablaINVENTARIO[SUBCATEGORIA])</f>
        <v>MATERIAL MECANICO</v>
      </c>
      <c r="F928" s="33" t="str">
        <f>_xlfn.XLOOKUP(TablaSTOCKINV[[#This Row],[SKU]],TablaINVENTARIO[SKU],TablaINVENTARIO[ESTADO])</f>
        <v>USADO</v>
      </c>
      <c r="G928" s="33" t="str">
        <f>_xlfn.XLOOKUP(TablaSTOCKINV[[#This Row],[SKU]],TablaINVENTARIO[SKU],TablaINVENTARIO[MEDIDA])</f>
        <v>UND</v>
      </c>
      <c r="H928" s="33" t="str">
        <f>_xlfn.XLOOKUP(TablaSTOCKINV[[#This Row],[SKU]],TablaINVENTARIO[SKU],TablaINVENTARIO[SERIAL])</f>
        <v>N/A</v>
      </c>
      <c r="I928" s="34" t="str">
        <f>_xlfn.XLOOKUP(TablaSTOCKINV[[#This Row],[SKU]],TablaINVENTARIO[SKU],TablaINVENTARIO[ALMACEN])</f>
        <v>ALMACEN PRINCIPAL</v>
      </c>
      <c r="J928" s="34" t="str">
        <f>_xlfn.XLOOKUP(TablaSTOCKINV[[#This Row],[SKU]],TablaINVENTARIO[SKU],TablaINVENTARIO[UBICACION])</f>
        <v>VER</v>
      </c>
      <c r="K928" s="34" t="str">
        <f>_xlfn.XLOOKUP(TablaSTOCKINV[[#This Row],[SKU]],TablaINVENTARIO[SKU],TablaINVENTARIO[DPTO RESPONSABLE])</f>
        <v>OPERACIONES</v>
      </c>
      <c r="L928" s="36">
        <f>_xlfn.XLOOKUP(TablaSTOCKINV[[#This Row],[SKU]],TablaINVENTARIO[SKU],TablaINVENTARIO[RANGO MIN])</f>
        <v>0</v>
      </c>
      <c r="M928" s="34" cm="1">
        <f t="array" ref="M928">_xlfn.IFS(TablaSTOCKINV[[#This Row],[CANT. TOTAL]]&lt;=0,1,TablaSTOCKINV[[#This Row],[CANT. TOTAL]]&lt;=TablaSTOCKINV[[#This Row],[MIN]],2,TablaSTOCKINV[[#This Row],[CANT. TOTAL]]&gt;TablaSTOCKINV[[#This Row],[MIN]],3)</f>
        <v>3</v>
      </c>
      <c r="N928" s="34">
        <f>TablaSTOCKINV[[#This Row],[ENTRADAS]]-TablaSTOCKINV[[#This Row],[SALIDAS]]</f>
        <v>2</v>
      </c>
      <c r="O928" s="35">
        <f>SUMIFS(TablaENTRADA[CANT],TablaENTRADA[SKU],TablaSTOCKINV[[#This Row],[SKU]])</f>
        <v>2</v>
      </c>
      <c r="P928" s="35">
        <f>SUMIFS(TablaSALIDA[CANT],TablaSALIDA[SKU],TablaSTOCKINV[[#This Row],[SKU]])</f>
        <v>0</v>
      </c>
      <c r="Q928" s="34">
        <f>_xlfn.XLOOKUP(TablaSTOCKINV[[#This Row],[SKU]],TablaINVENTARIO[SKU],TablaINVENTARIO[PRECIO])</f>
        <v>0</v>
      </c>
      <c r="R928" s="34">
        <f>TablaSTOCKINV[[#This Row],[P.UNITARIO]]*TablaSTOCKINV[[#This Row],[CANT. TOTAL]]</f>
        <v>0</v>
      </c>
      <c r="S928" s="44">
        <f>_xlfn.XLOOKUP(TablaSTOCKINV[[#This Row],[SKU]],TablaINVENTARIO[SKU],TablaINVENTARIO[FECHA INGRESO])</f>
        <v>46023</v>
      </c>
      <c r="T928" s="44">
        <f>_xlfn.XLOOKUP(TablaSTOCKINV[[#This Row],[SKU]],TablaENTRADA[SKU],TablaENTRADA[FECHA],,0,-1)</f>
        <v>46023</v>
      </c>
      <c r="U928" s="46" t="str">
        <f>IFERROR((_xlfn.XLOOKUP(TablaSTOCKINV[[#This Row],[SKU]],TablaSALIDA[SKU],TablaSALIDA[FECHA],,0,-1))," " )</f>
        <v xml:space="preserve"> </v>
      </c>
    </row>
    <row r="929" spans="1:21" x14ac:dyDescent="0.3">
      <c r="A929" s="27" t="s">
        <v>933</v>
      </c>
      <c r="B929" s="32" t="str">
        <f>_xlfn.XLOOKUP(TablaSTOCKINV[[#This Row],[SKU]],TablaINVENTARIO[SKU],TablaINVENTARIO[DESCRIPCION])</f>
        <v>ESPACIADOR HEXAGONAL HEMBRA-MACHO 6.4 X 22.3MM</v>
      </c>
      <c r="C929" s="32" t="str">
        <f>_xlfn.XLOOKUP(TablaSTOCKINV[[#This Row],[SKU]],TablaINVENTARIO[SKU],TablaINVENTARIO[MARCA])</f>
        <v>N/A</v>
      </c>
      <c r="D929" s="33" t="str">
        <f>_xlfn.XLOOKUP(TablaSTOCKINV[[#This Row],[SKU]],TablaINVENTARIO[SKU],TablaINVENTARIO[CATEGORIA])</f>
        <v>FABRICACION</v>
      </c>
      <c r="E929" s="33" t="str">
        <f>_xlfn.XLOOKUP(TablaSTOCKINV[[#This Row],[SKU]],TablaINVENTARIO[SKU],TablaINVENTARIO[SUBCATEGORIA])</f>
        <v>MATERIAL MECANICO</v>
      </c>
      <c r="F929" s="33" t="str">
        <f>_xlfn.XLOOKUP(TablaSTOCKINV[[#This Row],[SKU]],TablaINVENTARIO[SKU],TablaINVENTARIO[ESTADO])</f>
        <v>USADO</v>
      </c>
      <c r="G929" s="33" t="str">
        <f>_xlfn.XLOOKUP(TablaSTOCKINV[[#This Row],[SKU]],TablaINVENTARIO[SKU],TablaINVENTARIO[MEDIDA])</f>
        <v>UND</v>
      </c>
      <c r="H929" s="33" t="str">
        <f>_xlfn.XLOOKUP(TablaSTOCKINV[[#This Row],[SKU]],TablaINVENTARIO[SKU],TablaINVENTARIO[SERIAL])</f>
        <v>N/A</v>
      </c>
      <c r="I929" s="34" t="str">
        <f>_xlfn.XLOOKUP(TablaSTOCKINV[[#This Row],[SKU]],TablaINVENTARIO[SKU],TablaINVENTARIO[ALMACEN])</f>
        <v>ALMACEN PRINCIPAL</v>
      </c>
      <c r="J929" s="34" t="str">
        <f>_xlfn.XLOOKUP(TablaSTOCKINV[[#This Row],[SKU]],TablaINVENTARIO[SKU],TablaINVENTARIO[UBICACION])</f>
        <v>VER</v>
      </c>
      <c r="K929" s="34" t="str">
        <f>_xlfn.XLOOKUP(TablaSTOCKINV[[#This Row],[SKU]],TablaINVENTARIO[SKU],TablaINVENTARIO[DPTO RESPONSABLE])</f>
        <v>OPERACIONES</v>
      </c>
      <c r="L929" s="36">
        <f>_xlfn.XLOOKUP(TablaSTOCKINV[[#This Row],[SKU]],TablaINVENTARIO[SKU],TablaINVENTARIO[RANGO MIN])</f>
        <v>0</v>
      </c>
      <c r="M929" s="34" cm="1">
        <f t="array" ref="M929">_xlfn.IFS(TablaSTOCKINV[[#This Row],[CANT. TOTAL]]&lt;=0,1,TablaSTOCKINV[[#This Row],[CANT. TOTAL]]&lt;=TablaSTOCKINV[[#This Row],[MIN]],2,TablaSTOCKINV[[#This Row],[CANT. TOTAL]]&gt;TablaSTOCKINV[[#This Row],[MIN]],3)</f>
        <v>3</v>
      </c>
      <c r="N929" s="34">
        <f>TablaSTOCKINV[[#This Row],[ENTRADAS]]-TablaSTOCKINV[[#This Row],[SALIDAS]]</f>
        <v>1</v>
      </c>
      <c r="O929" s="35">
        <f>SUMIFS(TablaENTRADA[CANT],TablaENTRADA[SKU],TablaSTOCKINV[[#This Row],[SKU]])</f>
        <v>1</v>
      </c>
      <c r="P929" s="35">
        <f>SUMIFS(TablaSALIDA[CANT],TablaSALIDA[SKU],TablaSTOCKINV[[#This Row],[SKU]])</f>
        <v>0</v>
      </c>
      <c r="Q929" s="34">
        <f>_xlfn.XLOOKUP(TablaSTOCKINV[[#This Row],[SKU]],TablaINVENTARIO[SKU],TablaINVENTARIO[PRECIO])</f>
        <v>0</v>
      </c>
      <c r="R929" s="34">
        <f>TablaSTOCKINV[[#This Row],[P.UNITARIO]]*TablaSTOCKINV[[#This Row],[CANT. TOTAL]]</f>
        <v>0</v>
      </c>
      <c r="S929" s="44">
        <f>_xlfn.XLOOKUP(TablaSTOCKINV[[#This Row],[SKU]],TablaINVENTARIO[SKU],TablaINVENTARIO[FECHA INGRESO])</f>
        <v>46023</v>
      </c>
      <c r="T929" s="44">
        <f>_xlfn.XLOOKUP(TablaSTOCKINV[[#This Row],[SKU]],TablaENTRADA[SKU],TablaENTRADA[FECHA],,0,-1)</f>
        <v>46023</v>
      </c>
      <c r="U929" s="46" t="str">
        <f>IFERROR((_xlfn.XLOOKUP(TablaSTOCKINV[[#This Row],[SKU]],TablaSALIDA[SKU],TablaSALIDA[FECHA],,0,-1))," " )</f>
        <v xml:space="preserve"> </v>
      </c>
    </row>
    <row r="930" spans="1:21" x14ac:dyDescent="0.3">
      <c r="A930" s="27" t="s">
        <v>935</v>
      </c>
      <c r="B930" s="32" t="str">
        <f>_xlfn.XLOOKUP(TablaSTOCKINV[[#This Row],[SKU]],TablaINVENTARIO[SKU],TablaINVENTARIO[DESCRIPCION])</f>
        <v>ESPACIADOR HEXAGONAL HEMBRA-MACHO 4.8 X 22.3MM</v>
      </c>
      <c r="C930" s="32" t="str">
        <f>_xlfn.XLOOKUP(TablaSTOCKINV[[#This Row],[SKU]],TablaINVENTARIO[SKU],TablaINVENTARIO[MARCA])</f>
        <v>N/A</v>
      </c>
      <c r="D930" s="33" t="str">
        <f>_xlfn.XLOOKUP(TablaSTOCKINV[[#This Row],[SKU]],TablaINVENTARIO[SKU],TablaINVENTARIO[CATEGORIA])</f>
        <v>FABRICACION</v>
      </c>
      <c r="E930" s="33" t="str">
        <f>_xlfn.XLOOKUP(TablaSTOCKINV[[#This Row],[SKU]],TablaINVENTARIO[SKU],TablaINVENTARIO[SUBCATEGORIA])</f>
        <v>MATERIAL MECANICO</v>
      </c>
      <c r="F930" s="33" t="str">
        <f>_xlfn.XLOOKUP(TablaSTOCKINV[[#This Row],[SKU]],TablaINVENTARIO[SKU],TablaINVENTARIO[ESTADO])</f>
        <v>USADO</v>
      </c>
      <c r="G930" s="33" t="str">
        <f>_xlfn.XLOOKUP(TablaSTOCKINV[[#This Row],[SKU]],TablaINVENTARIO[SKU],TablaINVENTARIO[MEDIDA])</f>
        <v>UND</v>
      </c>
      <c r="H930" s="33" t="str">
        <f>_xlfn.XLOOKUP(TablaSTOCKINV[[#This Row],[SKU]],TablaINVENTARIO[SKU],TablaINVENTARIO[SERIAL])</f>
        <v>N/A</v>
      </c>
      <c r="I930" s="34" t="str">
        <f>_xlfn.XLOOKUP(TablaSTOCKINV[[#This Row],[SKU]],TablaINVENTARIO[SKU],TablaINVENTARIO[ALMACEN])</f>
        <v>ALMACEN PRINCIPAL</v>
      </c>
      <c r="J930" s="34" t="str">
        <f>_xlfn.XLOOKUP(TablaSTOCKINV[[#This Row],[SKU]],TablaINVENTARIO[SKU],TablaINVENTARIO[UBICACION])</f>
        <v>VER</v>
      </c>
      <c r="K930" s="34" t="str">
        <f>_xlfn.XLOOKUP(TablaSTOCKINV[[#This Row],[SKU]],TablaINVENTARIO[SKU],TablaINVENTARIO[DPTO RESPONSABLE])</f>
        <v>OPERACIONES</v>
      </c>
      <c r="L930" s="36">
        <f>_xlfn.XLOOKUP(TablaSTOCKINV[[#This Row],[SKU]],TablaINVENTARIO[SKU],TablaINVENTARIO[RANGO MIN])</f>
        <v>0</v>
      </c>
      <c r="M930" s="34" cm="1">
        <f t="array" ref="M930">_xlfn.IFS(TablaSTOCKINV[[#This Row],[CANT. TOTAL]]&lt;=0,1,TablaSTOCKINV[[#This Row],[CANT. TOTAL]]&lt;=TablaSTOCKINV[[#This Row],[MIN]],2,TablaSTOCKINV[[#This Row],[CANT. TOTAL]]&gt;TablaSTOCKINV[[#This Row],[MIN]],3)</f>
        <v>3</v>
      </c>
      <c r="N930" s="34">
        <f>TablaSTOCKINV[[#This Row],[ENTRADAS]]-TablaSTOCKINV[[#This Row],[SALIDAS]]</f>
        <v>1</v>
      </c>
      <c r="O930" s="35">
        <f>SUMIFS(TablaENTRADA[CANT],TablaENTRADA[SKU],TablaSTOCKINV[[#This Row],[SKU]])</f>
        <v>1</v>
      </c>
      <c r="P930" s="35">
        <f>SUMIFS(TablaSALIDA[CANT],TablaSALIDA[SKU],TablaSTOCKINV[[#This Row],[SKU]])</f>
        <v>0</v>
      </c>
      <c r="Q930" s="34">
        <f>_xlfn.XLOOKUP(TablaSTOCKINV[[#This Row],[SKU]],TablaINVENTARIO[SKU],TablaINVENTARIO[PRECIO])</f>
        <v>0</v>
      </c>
      <c r="R930" s="34">
        <f>TablaSTOCKINV[[#This Row],[P.UNITARIO]]*TablaSTOCKINV[[#This Row],[CANT. TOTAL]]</f>
        <v>0</v>
      </c>
      <c r="S930" s="44">
        <f>_xlfn.XLOOKUP(TablaSTOCKINV[[#This Row],[SKU]],TablaINVENTARIO[SKU],TablaINVENTARIO[FECHA INGRESO])</f>
        <v>46023</v>
      </c>
      <c r="T930" s="44">
        <f>_xlfn.XLOOKUP(TablaSTOCKINV[[#This Row],[SKU]],TablaENTRADA[SKU],TablaENTRADA[FECHA],,0,-1)</f>
        <v>46023</v>
      </c>
      <c r="U930" s="46" t="str">
        <f>IFERROR((_xlfn.XLOOKUP(TablaSTOCKINV[[#This Row],[SKU]],TablaSALIDA[SKU],TablaSALIDA[FECHA],,0,-1))," " )</f>
        <v xml:space="preserve"> </v>
      </c>
    </row>
    <row r="931" spans="1:21" x14ac:dyDescent="0.3">
      <c r="A931" s="27" t="s">
        <v>936</v>
      </c>
      <c r="B931" s="32" t="str">
        <f>_xlfn.XLOOKUP(TablaSTOCKINV[[#This Row],[SKU]],TablaINVENTARIO[SKU],TablaINVENTARIO[DESCRIPCION])</f>
        <v>ESPACIADOR HEXAGONAL HEMBRA-HEMBRA 6.4 X 25.4MM</v>
      </c>
      <c r="C931" s="32" t="str">
        <f>_xlfn.XLOOKUP(TablaSTOCKINV[[#This Row],[SKU]],TablaINVENTARIO[SKU],TablaINVENTARIO[MARCA])</f>
        <v>N/A</v>
      </c>
      <c r="D931" s="33" t="str">
        <f>_xlfn.XLOOKUP(TablaSTOCKINV[[#This Row],[SKU]],TablaINVENTARIO[SKU],TablaINVENTARIO[CATEGORIA])</f>
        <v>FABRICACION</v>
      </c>
      <c r="E931" s="33" t="str">
        <f>_xlfn.XLOOKUP(TablaSTOCKINV[[#This Row],[SKU]],TablaINVENTARIO[SKU],TablaINVENTARIO[SUBCATEGORIA])</f>
        <v>MATERIAL MECANICO</v>
      </c>
      <c r="F931" s="33" t="str">
        <f>_xlfn.XLOOKUP(TablaSTOCKINV[[#This Row],[SKU]],TablaINVENTARIO[SKU],TablaINVENTARIO[ESTADO])</f>
        <v>USADO</v>
      </c>
      <c r="G931" s="33" t="str">
        <f>_xlfn.XLOOKUP(TablaSTOCKINV[[#This Row],[SKU]],TablaINVENTARIO[SKU],TablaINVENTARIO[MEDIDA])</f>
        <v>UND</v>
      </c>
      <c r="H931" s="33" t="str">
        <f>_xlfn.XLOOKUP(TablaSTOCKINV[[#This Row],[SKU]],TablaINVENTARIO[SKU],TablaINVENTARIO[SERIAL])</f>
        <v>N/A</v>
      </c>
      <c r="I931" s="34" t="str">
        <f>_xlfn.XLOOKUP(TablaSTOCKINV[[#This Row],[SKU]],TablaINVENTARIO[SKU],TablaINVENTARIO[ALMACEN])</f>
        <v>ALMACEN PRINCIPAL</v>
      </c>
      <c r="J931" s="34" t="str">
        <f>_xlfn.XLOOKUP(TablaSTOCKINV[[#This Row],[SKU]],TablaINVENTARIO[SKU],TablaINVENTARIO[UBICACION])</f>
        <v>VER</v>
      </c>
      <c r="K931" s="34" t="str">
        <f>_xlfn.XLOOKUP(TablaSTOCKINV[[#This Row],[SKU]],TablaINVENTARIO[SKU],TablaINVENTARIO[DPTO RESPONSABLE])</f>
        <v>OPERACIONES</v>
      </c>
      <c r="L931" s="36">
        <f>_xlfn.XLOOKUP(TablaSTOCKINV[[#This Row],[SKU]],TablaINVENTARIO[SKU],TablaINVENTARIO[RANGO MIN])</f>
        <v>0</v>
      </c>
      <c r="M931" s="34" cm="1">
        <f t="array" ref="M931">_xlfn.IFS(TablaSTOCKINV[[#This Row],[CANT. TOTAL]]&lt;=0,1,TablaSTOCKINV[[#This Row],[CANT. TOTAL]]&lt;=TablaSTOCKINV[[#This Row],[MIN]],2,TablaSTOCKINV[[#This Row],[CANT. TOTAL]]&gt;TablaSTOCKINV[[#This Row],[MIN]],3)</f>
        <v>3</v>
      </c>
      <c r="N931" s="34">
        <f>TablaSTOCKINV[[#This Row],[ENTRADAS]]-TablaSTOCKINV[[#This Row],[SALIDAS]]</f>
        <v>5</v>
      </c>
      <c r="O931" s="35">
        <f>SUMIFS(TablaENTRADA[CANT],TablaENTRADA[SKU],TablaSTOCKINV[[#This Row],[SKU]])</f>
        <v>5</v>
      </c>
      <c r="P931" s="35">
        <f>SUMIFS(TablaSALIDA[CANT],TablaSALIDA[SKU],TablaSTOCKINV[[#This Row],[SKU]])</f>
        <v>0</v>
      </c>
      <c r="Q931" s="34">
        <f>_xlfn.XLOOKUP(TablaSTOCKINV[[#This Row],[SKU]],TablaINVENTARIO[SKU],TablaINVENTARIO[PRECIO])</f>
        <v>0</v>
      </c>
      <c r="R931" s="34">
        <f>TablaSTOCKINV[[#This Row],[P.UNITARIO]]*TablaSTOCKINV[[#This Row],[CANT. TOTAL]]</f>
        <v>0</v>
      </c>
      <c r="S931" s="44">
        <f>_xlfn.XLOOKUP(TablaSTOCKINV[[#This Row],[SKU]],TablaINVENTARIO[SKU],TablaINVENTARIO[FECHA INGRESO])</f>
        <v>46023</v>
      </c>
      <c r="T931" s="44">
        <f>_xlfn.XLOOKUP(TablaSTOCKINV[[#This Row],[SKU]],TablaENTRADA[SKU],TablaENTRADA[FECHA],,0,-1)</f>
        <v>46023</v>
      </c>
      <c r="U931" s="46" t="str">
        <f>IFERROR((_xlfn.XLOOKUP(TablaSTOCKINV[[#This Row],[SKU]],TablaSALIDA[SKU],TablaSALIDA[FECHA],,0,-1))," " )</f>
        <v xml:space="preserve"> </v>
      </c>
    </row>
    <row r="932" spans="1:21" x14ac:dyDescent="0.3">
      <c r="A932" s="27" t="s">
        <v>938</v>
      </c>
      <c r="B932" s="32" t="str">
        <f>_xlfn.XLOOKUP(TablaSTOCKINV[[#This Row],[SKU]],TablaINVENTARIO[SKU],TablaINVENTARIO[DESCRIPCION])</f>
        <v>ESPACIADOR HEXAGONAL HEMBRA-HEMBRA 6.4 X 31.2MM</v>
      </c>
      <c r="C932" s="32" t="str">
        <f>_xlfn.XLOOKUP(TablaSTOCKINV[[#This Row],[SKU]],TablaINVENTARIO[SKU],TablaINVENTARIO[MARCA])</f>
        <v>N/A</v>
      </c>
      <c r="D932" s="33" t="str">
        <f>_xlfn.XLOOKUP(TablaSTOCKINV[[#This Row],[SKU]],TablaINVENTARIO[SKU],TablaINVENTARIO[CATEGORIA])</f>
        <v>FABRICACION</v>
      </c>
      <c r="E932" s="33" t="str">
        <f>_xlfn.XLOOKUP(TablaSTOCKINV[[#This Row],[SKU]],TablaINVENTARIO[SKU],TablaINVENTARIO[SUBCATEGORIA])</f>
        <v>MATERIAL MECANICO</v>
      </c>
      <c r="F932" s="33" t="str">
        <f>_xlfn.XLOOKUP(TablaSTOCKINV[[#This Row],[SKU]],TablaINVENTARIO[SKU],TablaINVENTARIO[ESTADO])</f>
        <v>USADO</v>
      </c>
      <c r="G932" s="33" t="str">
        <f>_xlfn.XLOOKUP(TablaSTOCKINV[[#This Row],[SKU]],TablaINVENTARIO[SKU],TablaINVENTARIO[MEDIDA])</f>
        <v>UND</v>
      </c>
      <c r="H932" s="33" t="str">
        <f>_xlfn.XLOOKUP(TablaSTOCKINV[[#This Row],[SKU]],TablaINVENTARIO[SKU],TablaINVENTARIO[SERIAL])</f>
        <v>N/A</v>
      </c>
      <c r="I932" s="34" t="str">
        <f>_xlfn.XLOOKUP(TablaSTOCKINV[[#This Row],[SKU]],TablaINVENTARIO[SKU],TablaINVENTARIO[ALMACEN])</f>
        <v>ALMACEN PRINCIPAL</v>
      </c>
      <c r="J932" s="34" t="str">
        <f>_xlfn.XLOOKUP(TablaSTOCKINV[[#This Row],[SKU]],TablaINVENTARIO[SKU],TablaINVENTARIO[UBICACION])</f>
        <v>VER</v>
      </c>
      <c r="K932" s="34" t="str">
        <f>_xlfn.XLOOKUP(TablaSTOCKINV[[#This Row],[SKU]],TablaINVENTARIO[SKU],TablaINVENTARIO[DPTO RESPONSABLE])</f>
        <v>OPERACIONES</v>
      </c>
      <c r="L932" s="36">
        <f>_xlfn.XLOOKUP(TablaSTOCKINV[[#This Row],[SKU]],TablaINVENTARIO[SKU],TablaINVENTARIO[RANGO MIN])</f>
        <v>0</v>
      </c>
      <c r="M932" s="34" cm="1">
        <f t="array" ref="M932">_xlfn.IFS(TablaSTOCKINV[[#This Row],[CANT. TOTAL]]&lt;=0,1,TablaSTOCKINV[[#This Row],[CANT. TOTAL]]&lt;=TablaSTOCKINV[[#This Row],[MIN]],2,TablaSTOCKINV[[#This Row],[CANT. TOTAL]]&gt;TablaSTOCKINV[[#This Row],[MIN]],3)</f>
        <v>3</v>
      </c>
      <c r="N932" s="34">
        <f>TablaSTOCKINV[[#This Row],[ENTRADAS]]-TablaSTOCKINV[[#This Row],[SALIDAS]]</f>
        <v>4</v>
      </c>
      <c r="O932" s="35">
        <f>SUMIFS(TablaENTRADA[CANT],TablaENTRADA[SKU],TablaSTOCKINV[[#This Row],[SKU]])</f>
        <v>4</v>
      </c>
      <c r="P932" s="35">
        <f>SUMIFS(TablaSALIDA[CANT],TablaSALIDA[SKU],TablaSTOCKINV[[#This Row],[SKU]])</f>
        <v>0</v>
      </c>
      <c r="Q932" s="34">
        <f>_xlfn.XLOOKUP(TablaSTOCKINV[[#This Row],[SKU]],TablaINVENTARIO[SKU],TablaINVENTARIO[PRECIO])</f>
        <v>0</v>
      </c>
      <c r="R932" s="34">
        <f>TablaSTOCKINV[[#This Row],[P.UNITARIO]]*TablaSTOCKINV[[#This Row],[CANT. TOTAL]]</f>
        <v>0</v>
      </c>
      <c r="S932" s="44">
        <f>_xlfn.XLOOKUP(TablaSTOCKINV[[#This Row],[SKU]],TablaINVENTARIO[SKU],TablaINVENTARIO[FECHA INGRESO])</f>
        <v>46023</v>
      </c>
      <c r="T932" s="44">
        <f>_xlfn.XLOOKUP(TablaSTOCKINV[[#This Row],[SKU]],TablaENTRADA[SKU],TablaENTRADA[FECHA],,0,-1)</f>
        <v>46023</v>
      </c>
      <c r="U932" s="46" t="str">
        <f>IFERROR((_xlfn.XLOOKUP(TablaSTOCKINV[[#This Row],[SKU]],TablaSALIDA[SKU],TablaSALIDA[FECHA],,0,-1))," " )</f>
        <v xml:space="preserve"> </v>
      </c>
    </row>
    <row r="933" spans="1:21" x14ac:dyDescent="0.3">
      <c r="A933" s="27" t="s">
        <v>940</v>
      </c>
      <c r="B933" s="32" t="str">
        <f>_xlfn.XLOOKUP(TablaSTOCKINV[[#This Row],[SKU]],TablaINVENTARIO[SKU],TablaINVENTARIO[DESCRIPCION])</f>
        <v>ESPACIADOR HEXAGONAL HEMBRA-HEMBRA 6.4 X 12.7MM</v>
      </c>
      <c r="C933" s="32" t="str">
        <f>_xlfn.XLOOKUP(TablaSTOCKINV[[#This Row],[SKU]],TablaINVENTARIO[SKU],TablaINVENTARIO[MARCA])</f>
        <v>N/A</v>
      </c>
      <c r="D933" s="33" t="str">
        <f>_xlfn.XLOOKUP(TablaSTOCKINV[[#This Row],[SKU]],TablaINVENTARIO[SKU],TablaINVENTARIO[CATEGORIA])</f>
        <v>FABRICACION</v>
      </c>
      <c r="E933" s="33" t="str">
        <f>_xlfn.XLOOKUP(TablaSTOCKINV[[#This Row],[SKU]],TablaINVENTARIO[SKU],TablaINVENTARIO[SUBCATEGORIA])</f>
        <v>MATERIAL MECANICO</v>
      </c>
      <c r="F933" s="33" t="str">
        <f>_xlfn.XLOOKUP(TablaSTOCKINV[[#This Row],[SKU]],TablaINVENTARIO[SKU],TablaINVENTARIO[ESTADO])</f>
        <v>USADO</v>
      </c>
      <c r="G933" s="33" t="str">
        <f>_xlfn.XLOOKUP(TablaSTOCKINV[[#This Row],[SKU]],TablaINVENTARIO[SKU],TablaINVENTARIO[MEDIDA])</f>
        <v>UND</v>
      </c>
      <c r="H933" s="33" t="str">
        <f>_xlfn.XLOOKUP(TablaSTOCKINV[[#This Row],[SKU]],TablaINVENTARIO[SKU],TablaINVENTARIO[SERIAL])</f>
        <v>N/A</v>
      </c>
      <c r="I933" s="34" t="str">
        <f>_xlfn.XLOOKUP(TablaSTOCKINV[[#This Row],[SKU]],TablaINVENTARIO[SKU],TablaINVENTARIO[ALMACEN])</f>
        <v>ALMACEN PRINCIPAL</v>
      </c>
      <c r="J933" s="34" t="str">
        <f>_xlfn.XLOOKUP(TablaSTOCKINV[[#This Row],[SKU]],TablaINVENTARIO[SKU],TablaINVENTARIO[UBICACION])</f>
        <v>VER</v>
      </c>
      <c r="K933" s="34" t="str">
        <f>_xlfn.XLOOKUP(TablaSTOCKINV[[#This Row],[SKU]],TablaINVENTARIO[SKU],TablaINVENTARIO[DPTO RESPONSABLE])</f>
        <v>OPERACIONES</v>
      </c>
      <c r="L933" s="36">
        <f>_xlfn.XLOOKUP(TablaSTOCKINV[[#This Row],[SKU]],TablaINVENTARIO[SKU],TablaINVENTARIO[RANGO MIN])</f>
        <v>0</v>
      </c>
      <c r="M933" s="34" cm="1">
        <f t="array" ref="M933">_xlfn.IFS(TablaSTOCKINV[[#This Row],[CANT. TOTAL]]&lt;=0,1,TablaSTOCKINV[[#This Row],[CANT. TOTAL]]&lt;=TablaSTOCKINV[[#This Row],[MIN]],2,TablaSTOCKINV[[#This Row],[CANT. TOTAL]]&gt;TablaSTOCKINV[[#This Row],[MIN]],3)</f>
        <v>3</v>
      </c>
      <c r="N933" s="34">
        <f>TablaSTOCKINV[[#This Row],[ENTRADAS]]-TablaSTOCKINV[[#This Row],[SALIDAS]]</f>
        <v>1</v>
      </c>
      <c r="O933" s="35">
        <f>SUMIFS(TablaENTRADA[CANT],TablaENTRADA[SKU],TablaSTOCKINV[[#This Row],[SKU]])</f>
        <v>1</v>
      </c>
      <c r="P933" s="35">
        <f>SUMIFS(TablaSALIDA[CANT],TablaSALIDA[SKU],TablaSTOCKINV[[#This Row],[SKU]])</f>
        <v>0</v>
      </c>
      <c r="Q933" s="34">
        <f>_xlfn.XLOOKUP(TablaSTOCKINV[[#This Row],[SKU]],TablaINVENTARIO[SKU],TablaINVENTARIO[PRECIO])</f>
        <v>0</v>
      </c>
      <c r="R933" s="34">
        <f>TablaSTOCKINV[[#This Row],[P.UNITARIO]]*TablaSTOCKINV[[#This Row],[CANT. TOTAL]]</f>
        <v>0</v>
      </c>
      <c r="S933" s="44">
        <f>_xlfn.XLOOKUP(TablaSTOCKINV[[#This Row],[SKU]],TablaINVENTARIO[SKU],TablaINVENTARIO[FECHA INGRESO])</f>
        <v>46023</v>
      </c>
      <c r="T933" s="44">
        <f>_xlfn.XLOOKUP(TablaSTOCKINV[[#This Row],[SKU]],TablaENTRADA[SKU],TablaENTRADA[FECHA],,0,-1)</f>
        <v>46023</v>
      </c>
      <c r="U933" s="46" t="str">
        <f>IFERROR((_xlfn.XLOOKUP(TablaSTOCKINV[[#This Row],[SKU]],TablaSALIDA[SKU],TablaSALIDA[FECHA],,0,-1))," " )</f>
        <v xml:space="preserve"> </v>
      </c>
    </row>
    <row r="934" spans="1:21" x14ac:dyDescent="0.3">
      <c r="A934" s="27" t="s">
        <v>942</v>
      </c>
      <c r="B934" s="32" t="str">
        <f>_xlfn.XLOOKUP(TablaSTOCKINV[[#This Row],[SKU]],TablaINVENTARIO[SKU],TablaINVENTARIO[DESCRIPCION])</f>
        <v>ESPACIADOR HEXAGONAL HEMBRA-HEMBRA 6.4 X 19MM</v>
      </c>
      <c r="C934" s="32" t="str">
        <f>_xlfn.XLOOKUP(TablaSTOCKINV[[#This Row],[SKU]],TablaINVENTARIO[SKU],TablaINVENTARIO[MARCA])</f>
        <v>N/A</v>
      </c>
      <c r="D934" s="33" t="str">
        <f>_xlfn.XLOOKUP(TablaSTOCKINV[[#This Row],[SKU]],TablaINVENTARIO[SKU],TablaINVENTARIO[CATEGORIA])</f>
        <v>FABRICACION</v>
      </c>
      <c r="E934" s="33" t="str">
        <f>_xlfn.XLOOKUP(TablaSTOCKINV[[#This Row],[SKU]],TablaINVENTARIO[SKU],TablaINVENTARIO[SUBCATEGORIA])</f>
        <v>MATERIAL MECANICO</v>
      </c>
      <c r="F934" s="33" t="str">
        <f>_xlfn.XLOOKUP(TablaSTOCKINV[[#This Row],[SKU]],TablaINVENTARIO[SKU],TablaINVENTARIO[ESTADO])</f>
        <v>USADO</v>
      </c>
      <c r="G934" s="33" t="str">
        <f>_xlfn.XLOOKUP(TablaSTOCKINV[[#This Row],[SKU]],TablaINVENTARIO[SKU],TablaINVENTARIO[MEDIDA])</f>
        <v>UND</v>
      </c>
      <c r="H934" s="33" t="str">
        <f>_xlfn.XLOOKUP(TablaSTOCKINV[[#This Row],[SKU]],TablaINVENTARIO[SKU],TablaINVENTARIO[SERIAL])</f>
        <v>N/A</v>
      </c>
      <c r="I934" s="34" t="str">
        <f>_xlfn.XLOOKUP(TablaSTOCKINV[[#This Row],[SKU]],TablaINVENTARIO[SKU],TablaINVENTARIO[ALMACEN])</f>
        <v>ALMACEN PRINCIPAL</v>
      </c>
      <c r="J934" s="34" t="str">
        <f>_xlfn.XLOOKUP(TablaSTOCKINV[[#This Row],[SKU]],TablaINVENTARIO[SKU],TablaINVENTARIO[UBICACION])</f>
        <v>VER</v>
      </c>
      <c r="K934" s="34" t="str">
        <f>_xlfn.XLOOKUP(TablaSTOCKINV[[#This Row],[SKU]],TablaINVENTARIO[SKU],TablaINVENTARIO[DPTO RESPONSABLE])</f>
        <v>OPERACIONES</v>
      </c>
      <c r="L934" s="36">
        <f>_xlfn.XLOOKUP(TablaSTOCKINV[[#This Row],[SKU]],TablaINVENTARIO[SKU],TablaINVENTARIO[RANGO MIN])</f>
        <v>0</v>
      </c>
      <c r="M934" s="34" cm="1">
        <f t="array" ref="M934">_xlfn.IFS(TablaSTOCKINV[[#This Row],[CANT. TOTAL]]&lt;=0,1,TablaSTOCKINV[[#This Row],[CANT. TOTAL]]&lt;=TablaSTOCKINV[[#This Row],[MIN]],2,TablaSTOCKINV[[#This Row],[CANT. TOTAL]]&gt;TablaSTOCKINV[[#This Row],[MIN]],3)</f>
        <v>3</v>
      </c>
      <c r="N934" s="34">
        <f>TablaSTOCKINV[[#This Row],[ENTRADAS]]-TablaSTOCKINV[[#This Row],[SALIDAS]]</f>
        <v>6</v>
      </c>
      <c r="O934" s="35">
        <f>SUMIFS(TablaENTRADA[CANT],TablaENTRADA[SKU],TablaSTOCKINV[[#This Row],[SKU]])</f>
        <v>6</v>
      </c>
      <c r="P934" s="35">
        <f>SUMIFS(TablaSALIDA[CANT],TablaSALIDA[SKU],TablaSTOCKINV[[#This Row],[SKU]])</f>
        <v>0</v>
      </c>
      <c r="Q934" s="34">
        <f>_xlfn.XLOOKUP(TablaSTOCKINV[[#This Row],[SKU]],TablaINVENTARIO[SKU],TablaINVENTARIO[PRECIO])</f>
        <v>0</v>
      </c>
      <c r="R934" s="34">
        <f>TablaSTOCKINV[[#This Row],[P.UNITARIO]]*TablaSTOCKINV[[#This Row],[CANT. TOTAL]]</f>
        <v>0</v>
      </c>
      <c r="S934" s="44">
        <f>_xlfn.XLOOKUP(TablaSTOCKINV[[#This Row],[SKU]],TablaINVENTARIO[SKU],TablaINVENTARIO[FECHA INGRESO])</f>
        <v>46023</v>
      </c>
      <c r="T934" s="44">
        <f>_xlfn.XLOOKUP(TablaSTOCKINV[[#This Row],[SKU]],TablaENTRADA[SKU],TablaENTRADA[FECHA],,0,-1)</f>
        <v>46023</v>
      </c>
      <c r="U934" s="46" t="str">
        <f>IFERROR((_xlfn.XLOOKUP(TablaSTOCKINV[[#This Row],[SKU]],TablaSALIDA[SKU],TablaSALIDA[FECHA],,0,-1))," " )</f>
        <v xml:space="preserve"> </v>
      </c>
    </row>
    <row r="935" spans="1:21" x14ac:dyDescent="0.3">
      <c r="A935" s="27" t="s">
        <v>944</v>
      </c>
      <c r="B935" s="32" t="str">
        <f>_xlfn.XLOOKUP(TablaSTOCKINV[[#This Row],[SKU]],TablaINVENTARIO[SKU],TablaINVENTARIO[DESCRIPCION])</f>
        <v>ESPACIADOR HEXAGONAL HEMBRA-HEMBRA 6.4 X 63.5MM</v>
      </c>
      <c r="C935" s="32" t="str">
        <f>_xlfn.XLOOKUP(TablaSTOCKINV[[#This Row],[SKU]],TablaINVENTARIO[SKU],TablaINVENTARIO[MARCA])</f>
        <v>N/A</v>
      </c>
      <c r="D935" s="33" t="str">
        <f>_xlfn.XLOOKUP(TablaSTOCKINV[[#This Row],[SKU]],TablaINVENTARIO[SKU],TablaINVENTARIO[CATEGORIA])</f>
        <v>FABRICACION</v>
      </c>
      <c r="E935" s="33" t="str">
        <f>_xlfn.XLOOKUP(TablaSTOCKINV[[#This Row],[SKU]],TablaINVENTARIO[SKU],TablaINVENTARIO[SUBCATEGORIA])</f>
        <v>MATERIAL MECANICO</v>
      </c>
      <c r="F935" s="33" t="str">
        <f>_xlfn.XLOOKUP(TablaSTOCKINV[[#This Row],[SKU]],TablaINVENTARIO[SKU],TablaINVENTARIO[ESTADO])</f>
        <v>USADO</v>
      </c>
      <c r="G935" s="33" t="str">
        <f>_xlfn.XLOOKUP(TablaSTOCKINV[[#This Row],[SKU]],TablaINVENTARIO[SKU],TablaINVENTARIO[MEDIDA])</f>
        <v>UND</v>
      </c>
      <c r="H935" s="33" t="str">
        <f>_xlfn.XLOOKUP(TablaSTOCKINV[[#This Row],[SKU]],TablaINVENTARIO[SKU],TablaINVENTARIO[SERIAL])</f>
        <v>N/A</v>
      </c>
      <c r="I935" s="34" t="str">
        <f>_xlfn.XLOOKUP(TablaSTOCKINV[[#This Row],[SKU]],TablaINVENTARIO[SKU],TablaINVENTARIO[ALMACEN])</f>
        <v>ALMACEN PRINCIPAL</v>
      </c>
      <c r="J935" s="34" t="str">
        <f>_xlfn.XLOOKUP(TablaSTOCKINV[[#This Row],[SKU]],TablaINVENTARIO[SKU],TablaINVENTARIO[UBICACION])</f>
        <v>VER</v>
      </c>
      <c r="K935" s="34" t="str">
        <f>_xlfn.XLOOKUP(TablaSTOCKINV[[#This Row],[SKU]],TablaINVENTARIO[SKU],TablaINVENTARIO[DPTO RESPONSABLE])</f>
        <v>OPERACIONES</v>
      </c>
      <c r="L935" s="36">
        <f>_xlfn.XLOOKUP(TablaSTOCKINV[[#This Row],[SKU]],TablaINVENTARIO[SKU],TablaINVENTARIO[RANGO MIN])</f>
        <v>0</v>
      </c>
      <c r="M935" s="34" cm="1">
        <f t="array" ref="M935">_xlfn.IFS(TablaSTOCKINV[[#This Row],[CANT. TOTAL]]&lt;=0,1,TablaSTOCKINV[[#This Row],[CANT. TOTAL]]&lt;=TablaSTOCKINV[[#This Row],[MIN]],2,TablaSTOCKINV[[#This Row],[CANT. TOTAL]]&gt;TablaSTOCKINV[[#This Row],[MIN]],3)</f>
        <v>3</v>
      </c>
      <c r="N935" s="34">
        <f>TablaSTOCKINV[[#This Row],[ENTRADAS]]-TablaSTOCKINV[[#This Row],[SALIDAS]]</f>
        <v>3</v>
      </c>
      <c r="O935" s="35">
        <f>SUMIFS(TablaENTRADA[CANT],TablaENTRADA[SKU],TablaSTOCKINV[[#This Row],[SKU]])</f>
        <v>3</v>
      </c>
      <c r="P935" s="35">
        <f>SUMIFS(TablaSALIDA[CANT],TablaSALIDA[SKU],TablaSTOCKINV[[#This Row],[SKU]])</f>
        <v>0</v>
      </c>
      <c r="Q935" s="34">
        <f>_xlfn.XLOOKUP(TablaSTOCKINV[[#This Row],[SKU]],TablaINVENTARIO[SKU],TablaINVENTARIO[PRECIO])</f>
        <v>0</v>
      </c>
      <c r="R935" s="34">
        <f>TablaSTOCKINV[[#This Row],[P.UNITARIO]]*TablaSTOCKINV[[#This Row],[CANT. TOTAL]]</f>
        <v>0</v>
      </c>
      <c r="S935" s="44">
        <f>_xlfn.XLOOKUP(TablaSTOCKINV[[#This Row],[SKU]],TablaINVENTARIO[SKU],TablaINVENTARIO[FECHA INGRESO])</f>
        <v>46023</v>
      </c>
      <c r="T935" s="44">
        <f>_xlfn.XLOOKUP(TablaSTOCKINV[[#This Row],[SKU]],TablaENTRADA[SKU],TablaENTRADA[FECHA],,0,-1)</f>
        <v>46023</v>
      </c>
      <c r="U935" s="46" t="str">
        <f>IFERROR((_xlfn.XLOOKUP(TablaSTOCKINV[[#This Row],[SKU]],TablaSALIDA[SKU],TablaSALIDA[FECHA],,0,-1))," " )</f>
        <v xml:space="preserve"> </v>
      </c>
    </row>
    <row r="936" spans="1:21" x14ac:dyDescent="0.3">
      <c r="A936" s="27" t="s">
        <v>946</v>
      </c>
      <c r="B936" s="32" t="str">
        <f>_xlfn.XLOOKUP(TablaSTOCKINV[[#This Row],[SKU]],TablaINVENTARIO[SKU],TablaINVENTARIO[DESCRIPCION])</f>
        <v xml:space="preserve">ESPACIADOR HEXAGONAL HEMBRA-HEMBRA 6.4 X 25.5MM </v>
      </c>
      <c r="C936" s="32" t="str">
        <f>_xlfn.XLOOKUP(TablaSTOCKINV[[#This Row],[SKU]],TablaINVENTARIO[SKU],TablaINVENTARIO[MARCA])</f>
        <v>N/A</v>
      </c>
      <c r="D936" s="33" t="str">
        <f>_xlfn.XLOOKUP(TablaSTOCKINV[[#This Row],[SKU]],TablaINVENTARIO[SKU],TablaINVENTARIO[CATEGORIA])</f>
        <v>FABRICACION</v>
      </c>
      <c r="E936" s="33" t="str">
        <f>_xlfn.XLOOKUP(TablaSTOCKINV[[#This Row],[SKU]],TablaINVENTARIO[SKU],TablaINVENTARIO[SUBCATEGORIA])</f>
        <v>MATERIAL MECANICO</v>
      </c>
      <c r="F936" s="33" t="str">
        <f>_xlfn.XLOOKUP(TablaSTOCKINV[[#This Row],[SKU]],TablaINVENTARIO[SKU],TablaINVENTARIO[ESTADO])</f>
        <v>USADO</v>
      </c>
      <c r="G936" s="33" t="str">
        <f>_xlfn.XLOOKUP(TablaSTOCKINV[[#This Row],[SKU]],TablaINVENTARIO[SKU],TablaINVENTARIO[MEDIDA])</f>
        <v>UND</v>
      </c>
      <c r="H936" s="33" t="str">
        <f>_xlfn.XLOOKUP(TablaSTOCKINV[[#This Row],[SKU]],TablaINVENTARIO[SKU],TablaINVENTARIO[SERIAL])</f>
        <v>N/A</v>
      </c>
      <c r="I936" s="34">
        <f>_xlfn.XLOOKUP(TablaSTOCKINV[[#This Row],[SKU]],TablaINVENTARIO[SKU],TablaINVENTARIO[ALMACEN])</f>
        <v>0</v>
      </c>
      <c r="J936" s="34" t="str">
        <f>_xlfn.XLOOKUP(TablaSTOCKINV[[#This Row],[SKU]],TablaINVENTARIO[SKU],TablaINVENTARIO[UBICACION])</f>
        <v>VER</v>
      </c>
      <c r="K936" s="34" t="str">
        <f>_xlfn.XLOOKUP(TablaSTOCKINV[[#This Row],[SKU]],TablaINVENTARIO[SKU],TablaINVENTARIO[DPTO RESPONSABLE])</f>
        <v>OPERACIONES</v>
      </c>
      <c r="L936" s="53">
        <f>_xlfn.XLOOKUP(TablaSTOCKINV[[#This Row],[SKU]],TablaINVENTARIO[SKU],TablaINVENTARIO[RANGO MIN])</f>
        <v>0</v>
      </c>
      <c r="M936" s="34" cm="1">
        <f t="array" ref="M936">_xlfn.IFS(TablaSTOCKINV[[#This Row],[CANT. TOTAL]]&lt;=0,1,TablaSTOCKINV[[#This Row],[CANT. TOTAL]]&lt;=TablaSTOCKINV[[#This Row],[MIN]],2,TablaSTOCKINV[[#This Row],[CANT. TOTAL]]&gt;TablaSTOCKINV[[#This Row],[MIN]],3)</f>
        <v>3</v>
      </c>
      <c r="N936" s="34">
        <f>TablaSTOCKINV[[#This Row],[ENTRADAS]]-TablaSTOCKINV[[#This Row],[SALIDAS]]</f>
        <v>10</v>
      </c>
      <c r="O936" s="35">
        <f>SUMIFS(TablaENTRADA[CANT],TablaENTRADA[SKU],TablaSTOCKINV[[#This Row],[SKU]])</f>
        <v>10</v>
      </c>
      <c r="P936" s="35">
        <f>SUMIFS(TablaSALIDA[CANT],TablaSALIDA[SKU],TablaSTOCKINV[[#This Row],[SKU]])</f>
        <v>0</v>
      </c>
      <c r="Q936" s="34">
        <f>_xlfn.XLOOKUP(TablaSTOCKINV[[#This Row],[SKU]],TablaINVENTARIO[SKU],TablaINVENTARIO[PRECIO])</f>
        <v>0</v>
      </c>
      <c r="R936" s="34">
        <f>TablaSTOCKINV[[#This Row],[P.UNITARIO]]*TablaSTOCKINV[[#This Row],[CANT. TOTAL]]</f>
        <v>0</v>
      </c>
      <c r="S936" s="44">
        <f>_xlfn.XLOOKUP(TablaSTOCKINV[[#This Row],[SKU]],TablaINVENTARIO[SKU],TablaINVENTARIO[FECHA INGRESO])</f>
        <v>46023</v>
      </c>
      <c r="T936" s="44">
        <f>_xlfn.XLOOKUP(TablaSTOCKINV[[#This Row],[SKU]],TablaENTRADA[SKU],TablaENTRADA[FECHA],,0,-1)</f>
        <v>46023</v>
      </c>
      <c r="U936" s="46" t="str">
        <f>IFERROR((_xlfn.XLOOKUP(TablaSTOCKINV[[#This Row],[SKU]],TablaSALIDA[SKU],TablaSALIDA[FECHA],,0,-1))," " )</f>
        <v xml:space="preserve"> </v>
      </c>
    </row>
    <row r="937" spans="1:21" x14ac:dyDescent="0.3">
      <c r="A937" s="27" t="s">
        <v>948</v>
      </c>
      <c r="B937" s="32" t="str">
        <f>_xlfn.XLOOKUP(TablaSTOCKINV[[#This Row],[SKU]],TablaINVENTARIO[SKU],TablaINVENTARIO[DESCRIPCION])</f>
        <v>ESPACIADOR HEXAGONAL HEMBRA-HEMBRA 6.4 X 38.2MM</v>
      </c>
      <c r="C937" s="32" t="str">
        <f>_xlfn.XLOOKUP(TablaSTOCKINV[[#This Row],[SKU]],TablaINVENTARIO[SKU],TablaINVENTARIO[MARCA])</f>
        <v>N/A</v>
      </c>
      <c r="D937" s="33" t="str">
        <f>_xlfn.XLOOKUP(TablaSTOCKINV[[#This Row],[SKU]],TablaINVENTARIO[SKU],TablaINVENTARIO[CATEGORIA])</f>
        <v>FABRICACION</v>
      </c>
      <c r="E937" s="33" t="str">
        <f>_xlfn.XLOOKUP(TablaSTOCKINV[[#This Row],[SKU]],TablaINVENTARIO[SKU],TablaINVENTARIO[SUBCATEGORIA])</f>
        <v>MATERIAL MECANICO</v>
      </c>
      <c r="F937" s="33" t="str">
        <f>_xlfn.XLOOKUP(TablaSTOCKINV[[#This Row],[SKU]],TablaINVENTARIO[SKU],TablaINVENTARIO[ESTADO])</f>
        <v>USADO</v>
      </c>
      <c r="G937" s="33" t="str">
        <f>_xlfn.XLOOKUP(TablaSTOCKINV[[#This Row],[SKU]],TablaINVENTARIO[SKU],TablaINVENTARIO[MEDIDA])</f>
        <v>UND</v>
      </c>
      <c r="H937" s="33" t="str">
        <f>_xlfn.XLOOKUP(TablaSTOCKINV[[#This Row],[SKU]],TablaINVENTARIO[SKU],TablaINVENTARIO[SERIAL])</f>
        <v>N/A</v>
      </c>
      <c r="I937" s="34">
        <f>_xlfn.XLOOKUP(TablaSTOCKINV[[#This Row],[SKU]],TablaINVENTARIO[SKU],TablaINVENTARIO[ALMACEN])</f>
        <v>0</v>
      </c>
      <c r="J937" s="34" t="str">
        <f>_xlfn.XLOOKUP(TablaSTOCKINV[[#This Row],[SKU]],TablaINVENTARIO[SKU],TablaINVENTARIO[UBICACION])</f>
        <v>VER</v>
      </c>
      <c r="K937" s="34" t="str">
        <f>_xlfn.XLOOKUP(TablaSTOCKINV[[#This Row],[SKU]],TablaINVENTARIO[SKU],TablaINVENTARIO[DPTO RESPONSABLE])</f>
        <v>OPERACIONES</v>
      </c>
      <c r="L937" s="53">
        <f>_xlfn.XLOOKUP(TablaSTOCKINV[[#This Row],[SKU]],TablaINVENTARIO[SKU],TablaINVENTARIO[RANGO MIN])</f>
        <v>0</v>
      </c>
      <c r="M937" s="34" cm="1">
        <f t="array" ref="M937">_xlfn.IFS(TablaSTOCKINV[[#This Row],[CANT. TOTAL]]&lt;=0,1,TablaSTOCKINV[[#This Row],[CANT. TOTAL]]&lt;=TablaSTOCKINV[[#This Row],[MIN]],2,TablaSTOCKINV[[#This Row],[CANT. TOTAL]]&gt;TablaSTOCKINV[[#This Row],[MIN]],3)</f>
        <v>3</v>
      </c>
      <c r="N937" s="34">
        <f>TablaSTOCKINV[[#This Row],[ENTRADAS]]-TablaSTOCKINV[[#This Row],[SALIDAS]]</f>
        <v>2</v>
      </c>
      <c r="O937" s="35">
        <f>SUMIFS(TablaENTRADA[CANT],TablaENTRADA[SKU],TablaSTOCKINV[[#This Row],[SKU]])</f>
        <v>2</v>
      </c>
      <c r="P937" s="35">
        <f>SUMIFS(TablaSALIDA[CANT],TablaSALIDA[SKU],TablaSTOCKINV[[#This Row],[SKU]])</f>
        <v>0</v>
      </c>
      <c r="Q937" s="34">
        <f>_xlfn.XLOOKUP(TablaSTOCKINV[[#This Row],[SKU]],TablaINVENTARIO[SKU],TablaINVENTARIO[PRECIO])</f>
        <v>0</v>
      </c>
      <c r="R937" s="34">
        <f>TablaSTOCKINV[[#This Row],[P.UNITARIO]]*TablaSTOCKINV[[#This Row],[CANT. TOTAL]]</f>
        <v>0</v>
      </c>
      <c r="S937" s="44">
        <f>_xlfn.XLOOKUP(TablaSTOCKINV[[#This Row],[SKU]],TablaINVENTARIO[SKU],TablaINVENTARIO[FECHA INGRESO])</f>
        <v>46023</v>
      </c>
      <c r="T937" s="44">
        <f>_xlfn.XLOOKUP(TablaSTOCKINV[[#This Row],[SKU]],TablaENTRADA[SKU],TablaENTRADA[FECHA],,0,-1)</f>
        <v>46023</v>
      </c>
      <c r="U937" s="46" t="str">
        <f>IFERROR((_xlfn.XLOOKUP(TablaSTOCKINV[[#This Row],[SKU]],TablaSALIDA[SKU],TablaSALIDA[FECHA],,0,-1))," " )</f>
        <v xml:space="preserve"> </v>
      </c>
    </row>
    <row r="938" spans="1:21" x14ac:dyDescent="0.3">
      <c r="A938" s="27" t="s">
        <v>950</v>
      </c>
      <c r="B938" s="32" t="str">
        <f>_xlfn.XLOOKUP(TablaSTOCKINV[[#This Row],[SKU]],TablaINVENTARIO[SKU],TablaINVENTARIO[DESCRIPCION])</f>
        <v>ESPACIADOR HEXAGONAL HEMBRA-HEMBRA 6.4 X 114.4MM</v>
      </c>
      <c r="C938" s="32" t="str">
        <f>_xlfn.XLOOKUP(TablaSTOCKINV[[#This Row],[SKU]],TablaINVENTARIO[SKU],TablaINVENTARIO[MARCA])</f>
        <v>N/A</v>
      </c>
      <c r="D938" s="33" t="str">
        <f>_xlfn.XLOOKUP(TablaSTOCKINV[[#This Row],[SKU]],TablaINVENTARIO[SKU],TablaINVENTARIO[CATEGORIA])</f>
        <v>FABRICACION</v>
      </c>
      <c r="E938" s="33" t="str">
        <f>_xlfn.XLOOKUP(TablaSTOCKINV[[#This Row],[SKU]],TablaINVENTARIO[SKU],TablaINVENTARIO[SUBCATEGORIA])</f>
        <v>MATERIAL MECANICO</v>
      </c>
      <c r="F938" s="33" t="str">
        <f>_xlfn.XLOOKUP(TablaSTOCKINV[[#This Row],[SKU]],TablaINVENTARIO[SKU],TablaINVENTARIO[ESTADO])</f>
        <v>USADO</v>
      </c>
      <c r="G938" s="33" t="str">
        <f>_xlfn.XLOOKUP(TablaSTOCKINV[[#This Row],[SKU]],TablaINVENTARIO[SKU],TablaINVENTARIO[MEDIDA])</f>
        <v>UND</v>
      </c>
      <c r="H938" s="33" t="str">
        <f>_xlfn.XLOOKUP(TablaSTOCKINV[[#This Row],[SKU]],TablaINVENTARIO[SKU],TablaINVENTARIO[SERIAL])</f>
        <v>N/A</v>
      </c>
      <c r="I938" s="34">
        <f>_xlfn.XLOOKUP(TablaSTOCKINV[[#This Row],[SKU]],TablaINVENTARIO[SKU],TablaINVENTARIO[ALMACEN])</f>
        <v>0</v>
      </c>
      <c r="J938" s="34" t="str">
        <f>_xlfn.XLOOKUP(TablaSTOCKINV[[#This Row],[SKU]],TablaINVENTARIO[SKU],TablaINVENTARIO[UBICACION])</f>
        <v>VER</v>
      </c>
      <c r="K938" s="34" t="str">
        <f>_xlfn.XLOOKUP(TablaSTOCKINV[[#This Row],[SKU]],TablaINVENTARIO[SKU],TablaINVENTARIO[DPTO RESPONSABLE])</f>
        <v>OPERACIONES</v>
      </c>
      <c r="L938" s="53">
        <f>_xlfn.XLOOKUP(TablaSTOCKINV[[#This Row],[SKU]],TablaINVENTARIO[SKU],TablaINVENTARIO[RANGO MIN])</f>
        <v>0</v>
      </c>
      <c r="M938" s="34" cm="1">
        <f t="array" ref="M938">_xlfn.IFS(TablaSTOCKINV[[#This Row],[CANT. TOTAL]]&lt;=0,1,TablaSTOCKINV[[#This Row],[CANT. TOTAL]]&lt;=TablaSTOCKINV[[#This Row],[MIN]],2,TablaSTOCKINV[[#This Row],[CANT. TOTAL]]&gt;TablaSTOCKINV[[#This Row],[MIN]],3)</f>
        <v>3</v>
      </c>
      <c r="N938" s="34">
        <f>TablaSTOCKINV[[#This Row],[ENTRADAS]]-TablaSTOCKINV[[#This Row],[SALIDAS]]</f>
        <v>8</v>
      </c>
      <c r="O938" s="35">
        <f>SUMIFS(TablaENTRADA[CANT],TablaENTRADA[SKU],TablaSTOCKINV[[#This Row],[SKU]])</f>
        <v>8</v>
      </c>
      <c r="P938" s="35">
        <f>SUMIFS(TablaSALIDA[CANT],TablaSALIDA[SKU],TablaSTOCKINV[[#This Row],[SKU]])</f>
        <v>0</v>
      </c>
      <c r="Q938" s="34">
        <f>_xlfn.XLOOKUP(TablaSTOCKINV[[#This Row],[SKU]],TablaINVENTARIO[SKU],TablaINVENTARIO[PRECIO])</f>
        <v>0</v>
      </c>
      <c r="R938" s="34">
        <f>TablaSTOCKINV[[#This Row],[P.UNITARIO]]*TablaSTOCKINV[[#This Row],[CANT. TOTAL]]</f>
        <v>0</v>
      </c>
      <c r="S938" s="44">
        <f>_xlfn.XLOOKUP(TablaSTOCKINV[[#This Row],[SKU]],TablaINVENTARIO[SKU],TablaINVENTARIO[FECHA INGRESO])</f>
        <v>46023</v>
      </c>
      <c r="T938" s="44">
        <f>_xlfn.XLOOKUP(TablaSTOCKINV[[#This Row],[SKU]],TablaENTRADA[SKU],TablaENTRADA[FECHA],,0,-1)</f>
        <v>46023</v>
      </c>
      <c r="U938" s="46" t="str">
        <f>IFERROR((_xlfn.XLOOKUP(TablaSTOCKINV[[#This Row],[SKU]],TablaSALIDA[SKU],TablaSALIDA[FECHA],,0,-1))," " )</f>
        <v xml:space="preserve"> </v>
      </c>
    </row>
    <row r="939" spans="1:21" x14ac:dyDescent="0.3">
      <c r="A939" s="27" t="s">
        <v>952</v>
      </c>
      <c r="B939" s="32" t="str">
        <f>_xlfn.XLOOKUP(TablaSTOCKINV[[#This Row],[SKU]],TablaINVENTARIO[SKU],TablaINVENTARIO[DESCRIPCION])</f>
        <v xml:space="preserve">ESPACIADOR HEXAGONAL HEMBRA-HEMBRA 19 X 44.7MM </v>
      </c>
      <c r="C939" s="32" t="str">
        <f>_xlfn.XLOOKUP(TablaSTOCKINV[[#This Row],[SKU]],TablaINVENTARIO[SKU],TablaINVENTARIO[MARCA])</f>
        <v>N/A</v>
      </c>
      <c r="D939" s="33" t="str">
        <f>_xlfn.XLOOKUP(TablaSTOCKINV[[#This Row],[SKU]],TablaINVENTARIO[SKU],TablaINVENTARIO[CATEGORIA])</f>
        <v>FABRICACION</v>
      </c>
      <c r="E939" s="33" t="str">
        <f>_xlfn.XLOOKUP(TablaSTOCKINV[[#This Row],[SKU]],TablaINVENTARIO[SKU],TablaINVENTARIO[SUBCATEGORIA])</f>
        <v>MATERIAL MECANICO</v>
      </c>
      <c r="F939" s="33" t="str">
        <f>_xlfn.XLOOKUP(TablaSTOCKINV[[#This Row],[SKU]],TablaINVENTARIO[SKU],TablaINVENTARIO[ESTADO])</f>
        <v>USADO</v>
      </c>
      <c r="G939" s="33" t="str">
        <f>_xlfn.XLOOKUP(TablaSTOCKINV[[#This Row],[SKU]],TablaINVENTARIO[SKU],TablaINVENTARIO[MEDIDA])</f>
        <v>UND</v>
      </c>
      <c r="H939" s="33" t="str">
        <f>_xlfn.XLOOKUP(TablaSTOCKINV[[#This Row],[SKU]],TablaINVENTARIO[SKU],TablaINVENTARIO[SERIAL])</f>
        <v>N/A</v>
      </c>
      <c r="I939" s="34">
        <f>_xlfn.XLOOKUP(TablaSTOCKINV[[#This Row],[SKU]],TablaINVENTARIO[SKU],TablaINVENTARIO[ALMACEN])</f>
        <v>0</v>
      </c>
      <c r="J939" s="34" t="str">
        <f>_xlfn.XLOOKUP(TablaSTOCKINV[[#This Row],[SKU]],TablaINVENTARIO[SKU],TablaINVENTARIO[UBICACION])</f>
        <v>VER</v>
      </c>
      <c r="K939" s="34" t="str">
        <f>_xlfn.XLOOKUP(TablaSTOCKINV[[#This Row],[SKU]],TablaINVENTARIO[SKU],TablaINVENTARIO[DPTO RESPONSABLE])</f>
        <v>OPERACIONES</v>
      </c>
      <c r="L939" s="53">
        <f>_xlfn.XLOOKUP(TablaSTOCKINV[[#This Row],[SKU]],TablaINVENTARIO[SKU],TablaINVENTARIO[RANGO MIN])</f>
        <v>0</v>
      </c>
      <c r="M939" s="34" cm="1">
        <f t="array" ref="M939">_xlfn.IFS(TablaSTOCKINV[[#This Row],[CANT. TOTAL]]&lt;=0,1,TablaSTOCKINV[[#This Row],[CANT. TOTAL]]&lt;=TablaSTOCKINV[[#This Row],[MIN]],2,TablaSTOCKINV[[#This Row],[CANT. TOTAL]]&gt;TablaSTOCKINV[[#This Row],[MIN]],3)</f>
        <v>3</v>
      </c>
      <c r="N939" s="34">
        <f>TablaSTOCKINV[[#This Row],[ENTRADAS]]-TablaSTOCKINV[[#This Row],[SALIDAS]]</f>
        <v>1</v>
      </c>
      <c r="O939" s="35">
        <f>SUMIFS(TablaENTRADA[CANT],TablaENTRADA[SKU],TablaSTOCKINV[[#This Row],[SKU]])</f>
        <v>1</v>
      </c>
      <c r="P939" s="35">
        <f>SUMIFS(TablaSALIDA[CANT],TablaSALIDA[SKU],TablaSTOCKINV[[#This Row],[SKU]])</f>
        <v>0</v>
      </c>
      <c r="Q939" s="34">
        <f>_xlfn.XLOOKUP(TablaSTOCKINV[[#This Row],[SKU]],TablaINVENTARIO[SKU],TablaINVENTARIO[PRECIO])</f>
        <v>0</v>
      </c>
      <c r="R939" s="34">
        <f>TablaSTOCKINV[[#This Row],[P.UNITARIO]]*TablaSTOCKINV[[#This Row],[CANT. TOTAL]]</f>
        <v>0</v>
      </c>
      <c r="S939" s="44">
        <f>_xlfn.XLOOKUP(TablaSTOCKINV[[#This Row],[SKU]],TablaINVENTARIO[SKU],TablaINVENTARIO[FECHA INGRESO])</f>
        <v>46023</v>
      </c>
      <c r="T939" s="44">
        <f>_xlfn.XLOOKUP(TablaSTOCKINV[[#This Row],[SKU]],TablaENTRADA[SKU],TablaENTRADA[FECHA],,0,-1)</f>
        <v>46023</v>
      </c>
      <c r="U939" s="46" t="str">
        <f>IFERROR((_xlfn.XLOOKUP(TablaSTOCKINV[[#This Row],[SKU]],TablaSALIDA[SKU],TablaSALIDA[FECHA],,0,-1))," " )</f>
        <v xml:space="preserve"> </v>
      </c>
    </row>
    <row r="940" spans="1:21" x14ac:dyDescent="0.3">
      <c r="A940" s="27" t="s">
        <v>954</v>
      </c>
      <c r="B940" s="32" t="str">
        <f>_xlfn.XLOOKUP(TablaSTOCKINV[[#This Row],[SKU]],TablaINVENTARIO[SKU],TablaINVENTARIO[DESCRIPCION])</f>
        <v>ESPACIADOR HEXAGONAL HEMBRA-HEMBRA 4.8 X 4.9MM</v>
      </c>
      <c r="C940" s="32" t="str">
        <f>_xlfn.XLOOKUP(TablaSTOCKINV[[#This Row],[SKU]],TablaINVENTARIO[SKU],TablaINVENTARIO[MARCA])</f>
        <v>N/A</v>
      </c>
      <c r="D940" s="33" t="str">
        <f>_xlfn.XLOOKUP(TablaSTOCKINV[[#This Row],[SKU]],TablaINVENTARIO[SKU],TablaINVENTARIO[CATEGORIA])</f>
        <v>FABRICACION</v>
      </c>
      <c r="E940" s="33" t="str">
        <f>_xlfn.XLOOKUP(TablaSTOCKINV[[#This Row],[SKU]],TablaINVENTARIO[SKU],TablaINVENTARIO[SUBCATEGORIA])</f>
        <v>MATERIAL MECANICO</v>
      </c>
      <c r="F940" s="33" t="str">
        <f>_xlfn.XLOOKUP(TablaSTOCKINV[[#This Row],[SKU]],TablaINVENTARIO[SKU],TablaINVENTARIO[ESTADO])</f>
        <v>USADO</v>
      </c>
      <c r="G940" s="33" t="str">
        <f>_xlfn.XLOOKUP(TablaSTOCKINV[[#This Row],[SKU]],TablaINVENTARIO[SKU],TablaINVENTARIO[MEDIDA])</f>
        <v>UND</v>
      </c>
      <c r="H940" s="33" t="str">
        <f>_xlfn.XLOOKUP(TablaSTOCKINV[[#This Row],[SKU]],TablaINVENTARIO[SKU],TablaINVENTARIO[SERIAL])</f>
        <v>N/A</v>
      </c>
      <c r="I940" s="34">
        <f>_xlfn.XLOOKUP(TablaSTOCKINV[[#This Row],[SKU]],TablaINVENTARIO[SKU],TablaINVENTARIO[ALMACEN])</f>
        <v>0</v>
      </c>
      <c r="J940" s="34" t="str">
        <f>_xlfn.XLOOKUP(TablaSTOCKINV[[#This Row],[SKU]],TablaINVENTARIO[SKU],TablaINVENTARIO[UBICACION])</f>
        <v>VER</v>
      </c>
      <c r="K940" s="34" t="str">
        <f>_xlfn.XLOOKUP(TablaSTOCKINV[[#This Row],[SKU]],TablaINVENTARIO[SKU],TablaINVENTARIO[DPTO RESPONSABLE])</f>
        <v>OPERACIONES</v>
      </c>
      <c r="L940" s="53">
        <f>_xlfn.XLOOKUP(TablaSTOCKINV[[#This Row],[SKU]],TablaINVENTARIO[SKU],TablaINVENTARIO[RANGO MIN])</f>
        <v>0</v>
      </c>
      <c r="M940" s="34" cm="1">
        <f t="array" ref="M940">_xlfn.IFS(TablaSTOCKINV[[#This Row],[CANT. TOTAL]]&lt;=0,1,TablaSTOCKINV[[#This Row],[CANT. TOTAL]]&lt;=TablaSTOCKINV[[#This Row],[MIN]],2,TablaSTOCKINV[[#This Row],[CANT. TOTAL]]&gt;TablaSTOCKINV[[#This Row],[MIN]],3)</f>
        <v>3</v>
      </c>
      <c r="N940" s="34">
        <f>TablaSTOCKINV[[#This Row],[ENTRADAS]]-TablaSTOCKINV[[#This Row],[SALIDAS]]</f>
        <v>5</v>
      </c>
      <c r="O940" s="35">
        <f>SUMIFS(TablaENTRADA[CANT],TablaENTRADA[SKU],TablaSTOCKINV[[#This Row],[SKU]])</f>
        <v>5</v>
      </c>
      <c r="P940" s="35">
        <f>SUMIFS(TablaSALIDA[CANT],TablaSALIDA[SKU],TablaSTOCKINV[[#This Row],[SKU]])</f>
        <v>0</v>
      </c>
      <c r="Q940" s="34">
        <f>_xlfn.XLOOKUP(TablaSTOCKINV[[#This Row],[SKU]],TablaINVENTARIO[SKU],TablaINVENTARIO[PRECIO])</f>
        <v>0</v>
      </c>
      <c r="R940" s="34">
        <f>TablaSTOCKINV[[#This Row],[P.UNITARIO]]*TablaSTOCKINV[[#This Row],[CANT. TOTAL]]</f>
        <v>0</v>
      </c>
      <c r="S940" s="44">
        <f>_xlfn.XLOOKUP(TablaSTOCKINV[[#This Row],[SKU]],TablaINVENTARIO[SKU],TablaINVENTARIO[FECHA INGRESO])</f>
        <v>46023</v>
      </c>
      <c r="T940" s="44">
        <f>_xlfn.XLOOKUP(TablaSTOCKINV[[#This Row],[SKU]],TablaENTRADA[SKU],TablaENTRADA[FECHA],,0,-1)</f>
        <v>46023</v>
      </c>
      <c r="U940" s="46" t="str">
        <f>IFERROR((_xlfn.XLOOKUP(TablaSTOCKINV[[#This Row],[SKU]],TablaSALIDA[SKU],TablaSALIDA[FECHA],,0,-1))," " )</f>
        <v xml:space="preserve"> </v>
      </c>
    </row>
    <row r="941" spans="1:21" x14ac:dyDescent="0.3">
      <c r="A941" s="27" t="s">
        <v>956</v>
      </c>
      <c r="B941" s="32" t="str">
        <f>_xlfn.XLOOKUP(TablaSTOCKINV[[#This Row],[SKU]],TablaINVENTARIO[SKU],TablaINVENTARIO[DESCRIPCION])</f>
        <v xml:space="preserve">TUBING ROSCADO PDMETER </v>
      </c>
      <c r="C941" s="32" t="str">
        <f>_xlfn.XLOOKUP(TablaSTOCKINV[[#This Row],[SKU]],TablaINVENTARIO[SKU],TablaINVENTARIO[MARCA])</f>
        <v>N/A</v>
      </c>
      <c r="D941" s="33" t="str">
        <f>_xlfn.XLOOKUP(TablaSTOCKINV[[#This Row],[SKU]],TablaINVENTARIO[SKU],TablaINVENTARIO[CATEGORIA])</f>
        <v>FABRICACION</v>
      </c>
      <c r="E941" s="33" t="str">
        <f>_xlfn.XLOOKUP(TablaSTOCKINV[[#This Row],[SKU]],TablaINVENTARIO[SKU],TablaINVENTARIO[SUBCATEGORIA])</f>
        <v>MATERIAL MECANICO</v>
      </c>
      <c r="F941" s="33" t="str">
        <f>_xlfn.XLOOKUP(TablaSTOCKINV[[#This Row],[SKU]],TablaINVENTARIO[SKU],TablaINVENTARIO[ESTADO])</f>
        <v>USADO</v>
      </c>
      <c r="G941" s="33" t="str">
        <f>_xlfn.XLOOKUP(TablaSTOCKINV[[#This Row],[SKU]],TablaINVENTARIO[SKU],TablaINVENTARIO[MEDIDA])</f>
        <v>UND</v>
      </c>
      <c r="H941" s="33" t="str">
        <f>_xlfn.XLOOKUP(TablaSTOCKINV[[#This Row],[SKU]],TablaINVENTARIO[SKU],TablaINVENTARIO[SERIAL])</f>
        <v>N/A</v>
      </c>
      <c r="I941" s="34">
        <f>_xlfn.XLOOKUP(TablaSTOCKINV[[#This Row],[SKU]],TablaINVENTARIO[SKU],TablaINVENTARIO[ALMACEN])</f>
        <v>0</v>
      </c>
      <c r="J941" s="34" t="str">
        <f>_xlfn.XLOOKUP(TablaSTOCKINV[[#This Row],[SKU]],TablaINVENTARIO[SKU],TablaINVENTARIO[UBICACION])</f>
        <v>VER</v>
      </c>
      <c r="K941" s="34" t="str">
        <f>_xlfn.XLOOKUP(TablaSTOCKINV[[#This Row],[SKU]],TablaINVENTARIO[SKU],TablaINVENTARIO[DPTO RESPONSABLE])</f>
        <v>OPERACIONES</v>
      </c>
      <c r="L941" s="53">
        <f>_xlfn.XLOOKUP(TablaSTOCKINV[[#This Row],[SKU]],TablaINVENTARIO[SKU],TablaINVENTARIO[RANGO MIN])</f>
        <v>0</v>
      </c>
      <c r="M941" s="34" cm="1">
        <f t="array" ref="M941">_xlfn.IFS(TablaSTOCKINV[[#This Row],[CANT. TOTAL]]&lt;=0,1,TablaSTOCKINV[[#This Row],[CANT. TOTAL]]&lt;=TablaSTOCKINV[[#This Row],[MIN]],2,TablaSTOCKINV[[#This Row],[CANT. TOTAL]]&gt;TablaSTOCKINV[[#This Row],[MIN]],3)</f>
        <v>3</v>
      </c>
      <c r="N941" s="34">
        <f>TablaSTOCKINV[[#This Row],[ENTRADAS]]-TablaSTOCKINV[[#This Row],[SALIDAS]]</f>
        <v>2</v>
      </c>
      <c r="O941" s="35">
        <f>SUMIFS(TablaENTRADA[CANT],TablaENTRADA[SKU],TablaSTOCKINV[[#This Row],[SKU]])</f>
        <v>2</v>
      </c>
      <c r="P941" s="35">
        <f>SUMIFS(TablaSALIDA[CANT],TablaSALIDA[SKU],TablaSTOCKINV[[#This Row],[SKU]])</f>
        <v>0</v>
      </c>
      <c r="Q941" s="34">
        <f>_xlfn.XLOOKUP(TablaSTOCKINV[[#This Row],[SKU]],TablaINVENTARIO[SKU],TablaINVENTARIO[PRECIO])</f>
        <v>0</v>
      </c>
      <c r="R941" s="34">
        <f>TablaSTOCKINV[[#This Row],[P.UNITARIO]]*TablaSTOCKINV[[#This Row],[CANT. TOTAL]]</f>
        <v>0</v>
      </c>
      <c r="S941" s="44">
        <f>_xlfn.XLOOKUP(TablaSTOCKINV[[#This Row],[SKU]],TablaINVENTARIO[SKU],TablaINVENTARIO[FECHA INGRESO])</f>
        <v>46023</v>
      </c>
      <c r="T941" s="44">
        <f>_xlfn.XLOOKUP(TablaSTOCKINV[[#This Row],[SKU]],TablaENTRADA[SKU],TablaENTRADA[FECHA],,0,-1)</f>
        <v>46023</v>
      </c>
      <c r="U941" s="46" t="str">
        <f>IFERROR((_xlfn.XLOOKUP(TablaSTOCKINV[[#This Row],[SKU]],TablaSALIDA[SKU],TablaSALIDA[FECHA],,0,-1))," " )</f>
        <v xml:space="preserve"> </v>
      </c>
    </row>
    <row r="942" spans="1:21" x14ac:dyDescent="0.3">
      <c r="A942" s="27" t="s">
        <v>958</v>
      </c>
      <c r="B942" s="32" t="str">
        <f>_xlfn.XLOOKUP(TablaSTOCKINV[[#This Row],[SKU]],TablaINVENTARIO[SKU],TablaINVENTARIO[DESCRIPCION])</f>
        <v xml:space="preserve">ESPACIADOR EXAGONAL 9.5 X 12.8MM </v>
      </c>
      <c r="C942" s="32" t="str">
        <f>_xlfn.XLOOKUP(TablaSTOCKINV[[#This Row],[SKU]],TablaINVENTARIO[SKU],TablaINVENTARIO[MARCA])</f>
        <v>N/A</v>
      </c>
      <c r="D942" s="33" t="str">
        <f>_xlfn.XLOOKUP(TablaSTOCKINV[[#This Row],[SKU]],TablaINVENTARIO[SKU],TablaINVENTARIO[CATEGORIA])</f>
        <v>FABRICACION</v>
      </c>
      <c r="E942" s="33" t="str">
        <f>_xlfn.XLOOKUP(TablaSTOCKINV[[#This Row],[SKU]],TablaINVENTARIO[SKU],TablaINVENTARIO[SUBCATEGORIA])</f>
        <v>MATERIAL MECANICO</v>
      </c>
      <c r="F942" s="33" t="str">
        <f>_xlfn.XLOOKUP(TablaSTOCKINV[[#This Row],[SKU]],TablaINVENTARIO[SKU],TablaINVENTARIO[ESTADO])</f>
        <v>USADO</v>
      </c>
      <c r="G942" s="33" t="str">
        <f>_xlfn.XLOOKUP(TablaSTOCKINV[[#This Row],[SKU]],TablaINVENTARIO[SKU],TablaINVENTARIO[MEDIDA])</f>
        <v>UND</v>
      </c>
      <c r="H942" s="33" t="str">
        <f>_xlfn.XLOOKUP(TablaSTOCKINV[[#This Row],[SKU]],TablaINVENTARIO[SKU],TablaINVENTARIO[SERIAL])</f>
        <v>N/A</v>
      </c>
      <c r="I942" s="34">
        <f>_xlfn.XLOOKUP(TablaSTOCKINV[[#This Row],[SKU]],TablaINVENTARIO[SKU],TablaINVENTARIO[ALMACEN])</f>
        <v>0</v>
      </c>
      <c r="J942" s="34" t="str">
        <f>_xlfn.XLOOKUP(TablaSTOCKINV[[#This Row],[SKU]],TablaINVENTARIO[SKU],TablaINVENTARIO[UBICACION])</f>
        <v>VER</v>
      </c>
      <c r="K942" s="34" t="str">
        <f>_xlfn.XLOOKUP(TablaSTOCKINV[[#This Row],[SKU]],TablaINVENTARIO[SKU],TablaINVENTARIO[DPTO RESPONSABLE])</f>
        <v>OPERACIONES</v>
      </c>
      <c r="L942" s="53">
        <f>_xlfn.XLOOKUP(TablaSTOCKINV[[#This Row],[SKU]],TablaINVENTARIO[SKU],TablaINVENTARIO[RANGO MIN])</f>
        <v>0</v>
      </c>
      <c r="M942" s="34" cm="1">
        <f t="array" ref="M942">_xlfn.IFS(TablaSTOCKINV[[#This Row],[CANT. TOTAL]]&lt;=0,1,TablaSTOCKINV[[#This Row],[CANT. TOTAL]]&lt;=TablaSTOCKINV[[#This Row],[MIN]],2,TablaSTOCKINV[[#This Row],[CANT. TOTAL]]&gt;TablaSTOCKINV[[#This Row],[MIN]],3)</f>
        <v>3</v>
      </c>
      <c r="N942" s="34">
        <f>TablaSTOCKINV[[#This Row],[ENTRADAS]]-TablaSTOCKINV[[#This Row],[SALIDAS]]</f>
        <v>2</v>
      </c>
      <c r="O942" s="35">
        <f>SUMIFS(TablaENTRADA[CANT],TablaENTRADA[SKU],TablaSTOCKINV[[#This Row],[SKU]])</f>
        <v>2</v>
      </c>
      <c r="P942" s="35">
        <f>SUMIFS(TablaSALIDA[CANT],TablaSALIDA[SKU],TablaSTOCKINV[[#This Row],[SKU]])</f>
        <v>0</v>
      </c>
      <c r="Q942" s="34">
        <f>_xlfn.XLOOKUP(TablaSTOCKINV[[#This Row],[SKU]],TablaINVENTARIO[SKU],TablaINVENTARIO[PRECIO])</f>
        <v>0</v>
      </c>
      <c r="R942" s="34">
        <f>TablaSTOCKINV[[#This Row],[P.UNITARIO]]*TablaSTOCKINV[[#This Row],[CANT. TOTAL]]</f>
        <v>0</v>
      </c>
      <c r="S942" s="44">
        <f>_xlfn.XLOOKUP(TablaSTOCKINV[[#This Row],[SKU]],TablaINVENTARIO[SKU],TablaINVENTARIO[FECHA INGRESO])</f>
        <v>46023</v>
      </c>
      <c r="T942" s="44">
        <f>_xlfn.XLOOKUP(TablaSTOCKINV[[#This Row],[SKU]],TablaENTRADA[SKU],TablaENTRADA[FECHA],,0,-1)</f>
        <v>46023</v>
      </c>
      <c r="U942" s="46" t="str">
        <f>IFERROR((_xlfn.XLOOKUP(TablaSTOCKINV[[#This Row],[SKU]],TablaSALIDA[SKU],TablaSALIDA[FECHA],,0,-1))," " )</f>
        <v xml:space="preserve"> </v>
      </c>
    </row>
    <row r="943" spans="1:21" x14ac:dyDescent="0.3">
      <c r="A943" s="27" t="s">
        <v>960</v>
      </c>
      <c r="B943" s="32" t="str">
        <f>_xlfn.XLOOKUP(TablaSTOCKINV[[#This Row],[SKU]],TablaINVENTARIO[SKU],TablaINVENTARIO[DESCRIPCION])</f>
        <v>TEE (REVISAR)</v>
      </c>
      <c r="C943" s="32" t="str">
        <f>_xlfn.XLOOKUP(TablaSTOCKINV[[#This Row],[SKU]],TablaINVENTARIO[SKU],TablaINVENTARIO[MARCA])</f>
        <v>N/A</v>
      </c>
      <c r="D943" s="33" t="str">
        <f>_xlfn.XLOOKUP(TablaSTOCKINV[[#This Row],[SKU]],TablaINVENTARIO[SKU],TablaINVENTARIO[CATEGORIA])</f>
        <v>FABRICACION</v>
      </c>
      <c r="E943" s="33" t="str">
        <f>_xlfn.XLOOKUP(TablaSTOCKINV[[#This Row],[SKU]],TablaINVENTARIO[SKU],TablaINVENTARIO[SUBCATEGORIA])</f>
        <v>MATERIAL MECANICO</v>
      </c>
      <c r="F943" s="33" t="str">
        <f>_xlfn.XLOOKUP(TablaSTOCKINV[[#This Row],[SKU]],TablaINVENTARIO[SKU],TablaINVENTARIO[ESTADO])</f>
        <v>USADO</v>
      </c>
      <c r="G943" s="33" t="str">
        <f>_xlfn.XLOOKUP(TablaSTOCKINV[[#This Row],[SKU]],TablaINVENTARIO[SKU],TablaINVENTARIO[MEDIDA])</f>
        <v>UND</v>
      </c>
      <c r="H943" s="33" t="str">
        <f>_xlfn.XLOOKUP(TablaSTOCKINV[[#This Row],[SKU]],TablaINVENTARIO[SKU],TablaINVENTARIO[SERIAL])</f>
        <v>N/A</v>
      </c>
      <c r="I943" s="34">
        <f>_xlfn.XLOOKUP(TablaSTOCKINV[[#This Row],[SKU]],TablaINVENTARIO[SKU],TablaINVENTARIO[ALMACEN])</f>
        <v>0</v>
      </c>
      <c r="J943" s="34" t="str">
        <f>_xlfn.XLOOKUP(TablaSTOCKINV[[#This Row],[SKU]],TablaINVENTARIO[SKU],TablaINVENTARIO[UBICACION])</f>
        <v>VER</v>
      </c>
      <c r="K943" s="34" t="str">
        <f>_xlfn.XLOOKUP(TablaSTOCKINV[[#This Row],[SKU]],TablaINVENTARIO[SKU],TablaINVENTARIO[DPTO RESPONSABLE])</f>
        <v>OPERACIONES</v>
      </c>
      <c r="L943" s="53">
        <f>_xlfn.XLOOKUP(TablaSTOCKINV[[#This Row],[SKU]],TablaINVENTARIO[SKU],TablaINVENTARIO[RANGO MIN])</f>
        <v>0</v>
      </c>
      <c r="M943" s="34" cm="1">
        <f t="array" ref="M943">_xlfn.IFS(TablaSTOCKINV[[#This Row],[CANT. TOTAL]]&lt;=0,1,TablaSTOCKINV[[#This Row],[CANT. TOTAL]]&lt;=TablaSTOCKINV[[#This Row],[MIN]],2,TablaSTOCKINV[[#This Row],[CANT. TOTAL]]&gt;TablaSTOCKINV[[#This Row],[MIN]],3)</f>
        <v>3</v>
      </c>
      <c r="N943" s="34">
        <f>TablaSTOCKINV[[#This Row],[ENTRADAS]]-TablaSTOCKINV[[#This Row],[SALIDAS]]</f>
        <v>7</v>
      </c>
      <c r="O943" s="35">
        <f>SUMIFS(TablaENTRADA[CANT],TablaENTRADA[SKU],TablaSTOCKINV[[#This Row],[SKU]])</f>
        <v>7</v>
      </c>
      <c r="P943" s="35">
        <f>SUMIFS(TablaSALIDA[CANT],TablaSALIDA[SKU],TablaSTOCKINV[[#This Row],[SKU]])</f>
        <v>0</v>
      </c>
      <c r="Q943" s="34">
        <f>_xlfn.XLOOKUP(TablaSTOCKINV[[#This Row],[SKU]],TablaINVENTARIO[SKU],TablaINVENTARIO[PRECIO])</f>
        <v>0</v>
      </c>
      <c r="R943" s="34">
        <f>TablaSTOCKINV[[#This Row],[P.UNITARIO]]*TablaSTOCKINV[[#This Row],[CANT. TOTAL]]</f>
        <v>0</v>
      </c>
      <c r="S943" s="44">
        <f>_xlfn.XLOOKUP(TablaSTOCKINV[[#This Row],[SKU]],TablaINVENTARIO[SKU],TablaINVENTARIO[FECHA INGRESO])</f>
        <v>46023</v>
      </c>
      <c r="T943" s="44">
        <f>_xlfn.XLOOKUP(TablaSTOCKINV[[#This Row],[SKU]],TablaENTRADA[SKU],TablaENTRADA[FECHA],,0,-1)</f>
        <v>46023</v>
      </c>
      <c r="U943" s="46" t="str">
        <f>IFERROR((_xlfn.XLOOKUP(TablaSTOCKINV[[#This Row],[SKU]],TablaSALIDA[SKU],TablaSALIDA[FECHA],,0,-1))," " )</f>
        <v xml:space="preserve"> </v>
      </c>
    </row>
    <row r="944" spans="1:21" x14ac:dyDescent="0.3">
      <c r="A944" s="27" t="s">
        <v>962</v>
      </c>
      <c r="B944" s="32" t="str">
        <f>_xlfn.XLOOKUP(TablaSTOCKINV[[#This Row],[SKU]],TablaINVENTARIO[SKU],TablaINVENTARIO[DESCRIPCION])</f>
        <v xml:space="preserve">TUERCA DE INSERCION DE BACK PLAY </v>
      </c>
      <c r="C944" s="32" t="str">
        <f>_xlfn.XLOOKUP(TablaSTOCKINV[[#This Row],[SKU]],TablaINVENTARIO[SKU],TablaINVENTARIO[MARCA])</f>
        <v>N/A</v>
      </c>
      <c r="D944" s="33" t="str">
        <f>_xlfn.XLOOKUP(TablaSTOCKINV[[#This Row],[SKU]],TablaINVENTARIO[SKU],TablaINVENTARIO[CATEGORIA])</f>
        <v>FABRICACION</v>
      </c>
      <c r="E944" s="33" t="str">
        <f>_xlfn.XLOOKUP(TablaSTOCKINV[[#This Row],[SKU]],TablaINVENTARIO[SKU],TablaINVENTARIO[SUBCATEGORIA])</f>
        <v>MATERIAL MECANICO</v>
      </c>
      <c r="F944" s="33" t="str">
        <f>_xlfn.XLOOKUP(TablaSTOCKINV[[#This Row],[SKU]],TablaINVENTARIO[SKU],TablaINVENTARIO[ESTADO])</f>
        <v>USADO</v>
      </c>
      <c r="G944" s="33" t="str">
        <f>_xlfn.XLOOKUP(TablaSTOCKINV[[#This Row],[SKU]],TablaINVENTARIO[SKU],TablaINVENTARIO[MEDIDA])</f>
        <v>UND</v>
      </c>
      <c r="H944" s="33" t="str">
        <f>_xlfn.XLOOKUP(TablaSTOCKINV[[#This Row],[SKU]],TablaINVENTARIO[SKU],TablaINVENTARIO[SERIAL])</f>
        <v>N/A</v>
      </c>
      <c r="I944" s="34">
        <f>_xlfn.XLOOKUP(TablaSTOCKINV[[#This Row],[SKU]],TablaINVENTARIO[SKU],TablaINVENTARIO[ALMACEN])</f>
        <v>0</v>
      </c>
      <c r="J944" s="34" t="str">
        <f>_xlfn.XLOOKUP(TablaSTOCKINV[[#This Row],[SKU]],TablaINVENTARIO[SKU],TablaINVENTARIO[UBICACION])</f>
        <v>VER</v>
      </c>
      <c r="K944" s="34" t="str">
        <f>_xlfn.XLOOKUP(TablaSTOCKINV[[#This Row],[SKU]],TablaINVENTARIO[SKU],TablaINVENTARIO[DPTO RESPONSABLE])</f>
        <v>OPERACIONES</v>
      </c>
      <c r="L944" s="53">
        <f>_xlfn.XLOOKUP(TablaSTOCKINV[[#This Row],[SKU]],TablaINVENTARIO[SKU],TablaINVENTARIO[RANGO MIN])</f>
        <v>0</v>
      </c>
      <c r="M944" s="34" cm="1">
        <f t="array" ref="M944">_xlfn.IFS(TablaSTOCKINV[[#This Row],[CANT. TOTAL]]&lt;=0,1,TablaSTOCKINV[[#This Row],[CANT. TOTAL]]&lt;=TablaSTOCKINV[[#This Row],[MIN]],2,TablaSTOCKINV[[#This Row],[CANT. TOTAL]]&gt;TablaSTOCKINV[[#This Row],[MIN]],3)</f>
        <v>3</v>
      </c>
      <c r="N944" s="34">
        <f>TablaSTOCKINV[[#This Row],[ENTRADAS]]-TablaSTOCKINV[[#This Row],[SALIDAS]]</f>
        <v>7</v>
      </c>
      <c r="O944" s="35">
        <f>SUMIFS(TablaENTRADA[CANT],TablaENTRADA[SKU],TablaSTOCKINV[[#This Row],[SKU]])</f>
        <v>7</v>
      </c>
      <c r="P944" s="35">
        <f>SUMIFS(TablaSALIDA[CANT],TablaSALIDA[SKU],TablaSTOCKINV[[#This Row],[SKU]])</f>
        <v>0</v>
      </c>
      <c r="Q944" s="34">
        <f>_xlfn.XLOOKUP(TablaSTOCKINV[[#This Row],[SKU]],TablaINVENTARIO[SKU],TablaINVENTARIO[PRECIO])</f>
        <v>0</v>
      </c>
      <c r="R944" s="34">
        <f>TablaSTOCKINV[[#This Row],[P.UNITARIO]]*TablaSTOCKINV[[#This Row],[CANT. TOTAL]]</f>
        <v>0</v>
      </c>
      <c r="S944" s="44">
        <f>_xlfn.XLOOKUP(TablaSTOCKINV[[#This Row],[SKU]],TablaINVENTARIO[SKU],TablaINVENTARIO[FECHA INGRESO])</f>
        <v>46023</v>
      </c>
      <c r="T944" s="44">
        <f>_xlfn.XLOOKUP(TablaSTOCKINV[[#This Row],[SKU]],TablaENTRADA[SKU],TablaENTRADA[FECHA],,0,-1)</f>
        <v>46023</v>
      </c>
      <c r="U944" s="46" t="str">
        <f>IFERROR((_xlfn.XLOOKUP(TablaSTOCKINV[[#This Row],[SKU]],TablaSALIDA[SKU],TablaSALIDA[FECHA],,0,-1))," " )</f>
        <v xml:space="preserve"> </v>
      </c>
    </row>
    <row r="945" spans="1:21" x14ac:dyDescent="0.3">
      <c r="A945" s="27" t="s">
        <v>964</v>
      </c>
      <c r="B945" s="32" t="str">
        <f>_xlfn.XLOOKUP(TablaSTOCKINV[[#This Row],[SKU]],TablaINVENTARIO[SKU],TablaINVENTARIO[DESCRIPCION])</f>
        <v xml:space="preserve">TUERCA PARA TUBERIA CONDUIT 1" </v>
      </c>
      <c r="C945" s="32" t="str">
        <f>_xlfn.XLOOKUP(TablaSTOCKINV[[#This Row],[SKU]],TablaINVENTARIO[SKU],TablaINVENTARIO[MARCA])</f>
        <v>N/A</v>
      </c>
      <c r="D945" s="33" t="str">
        <f>_xlfn.XLOOKUP(TablaSTOCKINV[[#This Row],[SKU]],TablaINVENTARIO[SKU],TablaINVENTARIO[CATEGORIA])</f>
        <v>FABRICACION</v>
      </c>
      <c r="E945" s="33" t="str">
        <f>_xlfn.XLOOKUP(TablaSTOCKINV[[#This Row],[SKU]],TablaINVENTARIO[SKU],TablaINVENTARIO[SUBCATEGORIA])</f>
        <v>MATERIAL MECANICO</v>
      </c>
      <c r="F945" s="33" t="str">
        <f>_xlfn.XLOOKUP(TablaSTOCKINV[[#This Row],[SKU]],TablaINVENTARIO[SKU],TablaINVENTARIO[ESTADO])</f>
        <v>USADO</v>
      </c>
      <c r="G945" s="33" t="str">
        <f>_xlfn.XLOOKUP(TablaSTOCKINV[[#This Row],[SKU]],TablaINVENTARIO[SKU],TablaINVENTARIO[MEDIDA])</f>
        <v>UND</v>
      </c>
      <c r="H945" s="33" t="str">
        <f>_xlfn.XLOOKUP(TablaSTOCKINV[[#This Row],[SKU]],TablaINVENTARIO[SKU],TablaINVENTARIO[SERIAL])</f>
        <v>N/A</v>
      </c>
      <c r="I945" s="34">
        <f>_xlfn.XLOOKUP(TablaSTOCKINV[[#This Row],[SKU]],TablaINVENTARIO[SKU],TablaINVENTARIO[ALMACEN])</f>
        <v>0</v>
      </c>
      <c r="J945" s="34" t="str">
        <f>_xlfn.XLOOKUP(TablaSTOCKINV[[#This Row],[SKU]],TablaINVENTARIO[SKU],TablaINVENTARIO[UBICACION])</f>
        <v>VER</v>
      </c>
      <c r="K945" s="34" t="str">
        <f>_xlfn.XLOOKUP(TablaSTOCKINV[[#This Row],[SKU]],TablaINVENTARIO[SKU],TablaINVENTARIO[DPTO RESPONSABLE])</f>
        <v>OPERACIONES</v>
      </c>
      <c r="L945" s="53">
        <f>_xlfn.XLOOKUP(TablaSTOCKINV[[#This Row],[SKU]],TablaINVENTARIO[SKU],TablaINVENTARIO[RANGO MIN])</f>
        <v>0</v>
      </c>
      <c r="M945" s="34" cm="1">
        <f t="array" ref="M945">_xlfn.IFS(TablaSTOCKINV[[#This Row],[CANT. TOTAL]]&lt;=0,1,TablaSTOCKINV[[#This Row],[CANT. TOTAL]]&lt;=TablaSTOCKINV[[#This Row],[MIN]],2,TablaSTOCKINV[[#This Row],[CANT. TOTAL]]&gt;TablaSTOCKINV[[#This Row],[MIN]],3)</f>
        <v>3</v>
      </c>
      <c r="N945" s="34">
        <f>TablaSTOCKINV[[#This Row],[ENTRADAS]]-TablaSTOCKINV[[#This Row],[SALIDAS]]</f>
        <v>55</v>
      </c>
      <c r="O945" s="35">
        <f>SUMIFS(TablaENTRADA[CANT],TablaENTRADA[SKU],TablaSTOCKINV[[#This Row],[SKU]])</f>
        <v>55</v>
      </c>
      <c r="P945" s="35">
        <f>SUMIFS(TablaSALIDA[CANT],TablaSALIDA[SKU],TablaSTOCKINV[[#This Row],[SKU]])</f>
        <v>0</v>
      </c>
      <c r="Q945" s="34">
        <f>_xlfn.XLOOKUP(TablaSTOCKINV[[#This Row],[SKU]],TablaINVENTARIO[SKU],TablaINVENTARIO[PRECIO])</f>
        <v>0</v>
      </c>
      <c r="R945" s="34">
        <f>TablaSTOCKINV[[#This Row],[P.UNITARIO]]*TablaSTOCKINV[[#This Row],[CANT. TOTAL]]</f>
        <v>0</v>
      </c>
      <c r="S945" s="44">
        <f>_xlfn.XLOOKUP(TablaSTOCKINV[[#This Row],[SKU]],TablaINVENTARIO[SKU],TablaINVENTARIO[FECHA INGRESO])</f>
        <v>46023</v>
      </c>
      <c r="T945" s="44">
        <f>_xlfn.XLOOKUP(TablaSTOCKINV[[#This Row],[SKU]],TablaENTRADA[SKU],TablaENTRADA[FECHA],,0,-1)</f>
        <v>46023</v>
      </c>
      <c r="U945" s="46" t="str">
        <f>IFERROR((_xlfn.XLOOKUP(TablaSTOCKINV[[#This Row],[SKU]],TablaSALIDA[SKU],TablaSALIDA[FECHA],,0,-1))," " )</f>
        <v xml:space="preserve"> </v>
      </c>
    </row>
    <row r="946" spans="1:21" x14ac:dyDescent="0.3">
      <c r="A946" s="27" t="s">
        <v>966</v>
      </c>
      <c r="B946" s="32" t="str">
        <f>_xlfn.XLOOKUP(TablaSTOCKINV[[#This Row],[SKU]],TablaINVENTARIO[SKU],TablaINVENTARIO[DESCRIPCION])</f>
        <v xml:space="preserve">TUERCA PARA TUBERIA CONDUIT 1-3/16" </v>
      </c>
      <c r="C946" s="32" t="str">
        <f>_xlfn.XLOOKUP(TablaSTOCKINV[[#This Row],[SKU]],TablaINVENTARIO[SKU],TablaINVENTARIO[MARCA])</f>
        <v>N/A</v>
      </c>
      <c r="D946" s="33" t="str">
        <f>_xlfn.XLOOKUP(TablaSTOCKINV[[#This Row],[SKU]],TablaINVENTARIO[SKU],TablaINVENTARIO[CATEGORIA])</f>
        <v>FABRICACION</v>
      </c>
      <c r="E946" s="33" t="str">
        <f>_xlfn.XLOOKUP(TablaSTOCKINV[[#This Row],[SKU]],TablaINVENTARIO[SKU],TablaINVENTARIO[SUBCATEGORIA])</f>
        <v>MATERIAL MECANICO</v>
      </c>
      <c r="F946" s="33" t="str">
        <f>_xlfn.XLOOKUP(TablaSTOCKINV[[#This Row],[SKU]],TablaINVENTARIO[SKU],TablaINVENTARIO[ESTADO])</f>
        <v>USADO</v>
      </c>
      <c r="G946" s="33" t="str">
        <f>_xlfn.XLOOKUP(TablaSTOCKINV[[#This Row],[SKU]],TablaINVENTARIO[SKU],TablaINVENTARIO[MEDIDA])</f>
        <v>UND</v>
      </c>
      <c r="H946" s="33" t="str">
        <f>_xlfn.XLOOKUP(TablaSTOCKINV[[#This Row],[SKU]],TablaINVENTARIO[SKU],TablaINVENTARIO[SERIAL])</f>
        <v>N/A</v>
      </c>
      <c r="I946" s="34">
        <f>_xlfn.XLOOKUP(TablaSTOCKINV[[#This Row],[SKU]],TablaINVENTARIO[SKU],TablaINVENTARIO[ALMACEN])</f>
        <v>0</v>
      </c>
      <c r="J946" s="34" t="str">
        <f>_xlfn.XLOOKUP(TablaSTOCKINV[[#This Row],[SKU]],TablaINVENTARIO[SKU],TablaINVENTARIO[UBICACION])</f>
        <v>VER</v>
      </c>
      <c r="K946" s="34" t="str">
        <f>_xlfn.XLOOKUP(TablaSTOCKINV[[#This Row],[SKU]],TablaINVENTARIO[SKU],TablaINVENTARIO[DPTO RESPONSABLE])</f>
        <v>OPERACIONES</v>
      </c>
      <c r="L946" s="53">
        <f>_xlfn.XLOOKUP(TablaSTOCKINV[[#This Row],[SKU]],TablaINVENTARIO[SKU],TablaINVENTARIO[RANGO MIN])</f>
        <v>0</v>
      </c>
      <c r="M946" s="34" cm="1">
        <f t="array" ref="M946">_xlfn.IFS(TablaSTOCKINV[[#This Row],[CANT. TOTAL]]&lt;=0,1,TablaSTOCKINV[[#This Row],[CANT. TOTAL]]&lt;=TablaSTOCKINV[[#This Row],[MIN]],2,TablaSTOCKINV[[#This Row],[CANT. TOTAL]]&gt;TablaSTOCKINV[[#This Row],[MIN]],3)</f>
        <v>3</v>
      </c>
      <c r="N946" s="34">
        <f>TablaSTOCKINV[[#This Row],[ENTRADAS]]-TablaSTOCKINV[[#This Row],[SALIDAS]]</f>
        <v>20</v>
      </c>
      <c r="O946" s="35">
        <f>SUMIFS(TablaENTRADA[CANT],TablaENTRADA[SKU],TablaSTOCKINV[[#This Row],[SKU]])</f>
        <v>20</v>
      </c>
      <c r="P946" s="35">
        <f>SUMIFS(TablaSALIDA[CANT],TablaSALIDA[SKU],TablaSTOCKINV[[#This Row],[SKU]])</f>
        <v>0</v>
      </c>
      <c r="Q946" s="34">
        <f>_xlfn.XLOOKUP(TablaSTOCKINV[[#This Row],[SKU]],TablaINVENTARIO[SKU],TablaINVENTARIO[PRECIO])</f>
        <v>0</v>
      </c>
      <c r="R946" s="34">
        <f>TablaSTOCKINV[[#This Row],[P.UNITARIO]]*TablaSTOCKINV[[#This Row],[CANT. TOTAL]]</f>
        <v>0</v>
      </c>
      <c r="S946" s="44">
        <f>_xlfn.XLOOKUP(TablaSTOCKINV[[#This Row],[SKU]],TablaINVENTARIO[SKU],TablaINVENTARIO[FECHA INGRESO])</f>
        <v>46023</v>
      </c>
      <c r="T946" s="44">
        <f>_xlfn.XLOOKUP(TablaSTOCKINV[[#This Row],[SKU]],TablaENTRADA[SKU],TablaENTRADA[FECHA],,0,-1)</f>
        <v>46023</v>
      </c>
      <c r="U946" s="46" t="str">
        <f>IFERROR((_xlfn.XLOOKUP(TablaSTOCKINV[[#This Row],[SKU]],TablaSALIDA[SKU],TablaSALIDA[FECHA],,0,-1))," " )</f>
        <v xml:space="preserve"> </v>
      </c>
    </row>
    <row r="947" spans="1:21" x14ac:dyDescent="0.3">
      <c r="A947" s="27" t="s">
        <v>968</v>
      </c>
      <c r="B947" s="32" t="str">
        <f>_xlfn.XLOOKUP(TablaSTOCKINV[[#This Row],[SKU]],TablaINVENTARIO[SKU],TablaINVENTARIO[DESCRIPCION])</f>
        <v xml:space="preserve">TUERCA PARA TUBERIA CONDUIT 3/4" </v>
      </c>
      <c r="C947" s="32" t="str">
        <f>_xlfn.XLOOKUP(TablaSTOCKINV[[#This Row],[SKU]],TablaINVENTARIO[SKU],TablaINVENTARIO[MARCA])</f>
        <v>N/A</v>
      </c>
      <c r="D947" s="33" t="str">
        <f>_xlfn.XLOOKUP(TablaSTOCKINV[[#This Row],[SKU]],TablaINVENTARIO[SKU],TablaINVENTARIO[CATEGORIA])</f>
        <v>FABRICACION</v>
      </c>
      <c r="E947" s="33" t="str">
        <f>_xlfn.XLOOKUP(TablaSTOCKINV[[#This Row],[SKU]],TablaINVENTARIO[SKU],TablaINVENTARIO[SUBCATEGORIA])</f>
        <v>MATERIAL MECANICO</v>
      </c>
      <c r="F947" s="33" t="str">
        <f>_xlfn.XLOOKUP(TablaSTOCKINV[[#This Row],[SKU]],TablaINVENTARIO[SKU],TablaINVENTARIO[ESTADO])</f>
        <v>USADO</v>
      </c>
      <c r="G947" s="33" t="str">
        <f>_xlfn.XLOOKUP(TablaSTOCKINV[[#This Row],[SKU]],TablaINVENTARIO[SKU],TablaINVENTARIO[MEDIDA])</f>
        <v>UND</v>
      </c>
      <c r="H947" s="33" t="str">
        <f>_xlfn.XLOOKUP(TablaSTOCKINV[[#This Row],[SKU]],TablaINVENTARIO[SKU],TablaINVENTARIO[SERIAL])</f>
        <v>N/A</v>
      </c>
      <c r="I947" s="34">
        <f>_xlfn.XLOOKUP(TablaSTOCKINV[[#This Row],[SKU]],TablaINVENTARIO[SKU],TablaINVENTARIO[ALMACEN])</f>
        <v>0</v>
      </c>
      <c r="J947" s="34" t="str">
        <f>_xlfn.XLOOKUP(TablaSTOCKINV[[#This Row],[SKU]],TablaINVENTARIO[SKU],TablaINVENTARIO[UBICACION])</f>
        <v>VER</v>
      </c>
      <c r="K947" s="34" t="str">
        <f>_xlfn.XLOOKUP(TablaSTOCKINV[[#This Row],[SKU]],TablaINVENTARIO[SKU],TablaINVENTARIO[DPTO RESPONSABLE])</f>
        <v>OPERACIONES</v>
      </c>
      <c r="L947" s="53">
        <f>_xlfn.XLOOKUP(TablaSTOCKINV[[#This Row],[SKU]],TablaINVENTARIO[SKU],TablaINVENTARIO[RANGO MIN])</f>
        <v>0</v>
      </c>
      <c r="M947" s="34" cm="1">
        <f t="array" ref="M947">_xlfn.IFS(TablaSTOCKINV[[#This Row],[CANT. TOTAL]]&lt;=0,1,TablaSTOCKINV[[#This Row],[CANT. TOTAL]]&lt;=TablaSTOCKINV[[#This Row],[MIN]],2,TablaSTOCKINV[[#This Row],[CANT. TOTAL]]&gt;TablaSTOCKINV[[#This Row],[MIN]],3)</f>
        <v>3</v>
      </c>
      <c r="N947" s="34">
        <f>TablaSTOCKINV[[#This Row],[ENTRADAS]]-TablaSTOCKINV[[#This Row],[SALIDAS]]</f>
        <v>48</v>
      </c>
      <c r="O947" s="35">
        <f>SUMIFS(TablaENTRADA[CANT],TablaENTRADA[SKU],TablaSTOCKINV[[#This Row],[SKU]])</f>
        <v>48</v>
      </c>
      <c r="P947" s="35">
        <f>SUMIFS(TablaSALIDA[CANT],TablaSALIDA[SKU],TablaSTOCKINV[[#This Row],[SKU]])</f>
        <v>0</v>
      </c>
      <c r="Q947" s="34">
        <f>_xlfn.XLOOKUP(TablaSTOCKINV[[#This Row],[SKU]],TablaINVENTARIO[SKU],TablaINVENTARIO[PRECIO])</f>
        <v>0</v>
      </c>
      <c r="R947" s="34">
        <f>TablaSTOCKINV[[#This Row],[P.UNITARIO]]*TablaSTOCKINV[[#This Row],[CANT. TOTAL]]</f>
        <v>0</v>
      </c>
      <c r="S947" s="44">
        <f>_xlfn.XLOOKUP(TablaSTOCKINV[[#This Row],[SKU]],TablaINVENTARIO[SKU],TablaINVENTARIO[FECHA INGRESO])</f>
        <v>46023</v>
      </c>
      <c r="T947" s="44">
        <f>_xlfn.XLOOKUP(TablaSTOCKINV[[#This Row],[SKU]],TablaENTRADA[SKU],TablaENTRADA[FECHA],,0,-1)</f>
        <v>46023</v>
      </c>
      <c r="U947" s="46" t="str">
        <f>IFERROR((_xlfn.XLOOKUP(TablaSTOCKINV[[#This Row],[SKU]],TablaSALIDA[SKU],TablaSALIDA[FECHA],,0,-1))," " )</f>
        <v xml:space="preserve"> </v>
      </c>
    </row>
    <row r="948" spans="1:21" x14ac:dyDescent="0.3">
      <c r="A948" s="27" t="s">
        <v>970</v>
      </c>
      <c r="B948" s="32" t="str">
        <f>_xlfn.XLOOKUP(TablaSTOCKINV[[#This Row],[SKU]],TablaINVENTARIO[SKU],TablaINVENTARIO[DESCRIPCION])</f>
        <v xml:space="preserve">TUERCA PARA TUBERIA CONDUIT 2-1/4" </v>
      </c>
      <c r="C948" s="32" t="str">
        <f>_xlfn.XLOOKUP(TablaSTOCKINV[[#This Row],[SKU]],TablaINVENTARIO[SKU],TablaINVENTARIO[MARCA])</f>
        <v>N/A</v>
      </c>
      <c r="D948" s="33" t="str">
        <f>_xlfn.XLOOKUP(TablaSTOCKINV[[#This Row],[SKU]],TablaINVENTARIO[SKU],TablaINVENTARIO[CATEGORIA])</f>
        <v>FABRICACION</v>
      </c>
      <c r="E948" s="33" t="str">
        <f>_xlfn.XLOOKUP(TablaSTOCKINV[[#This Row],[SKU]],TablaINVENTARIO[SKU],TablaINVENTARIO[SUBCATEGORIA])</f>
        <v>MATERIAL MECANICO</v>
      </c>
      <c r="F948" s="33" t="str">
        <f>_xlfn.XLOOKUP(TablaSTOCKINV[[#This Row],[SKU]],TablaINVENTARIO[SKU],TablaINVENTARIO[ESTADO])</f>
        <v>USADO</v>
      </c>
      <c r="G948" s="33" t="str">
        <f>_xlfn.XLOOKUP(TablaSTOCKINV[[#This Row],[SKU]],TablaINVENTARIO[SKU],TablaINVENTARIO[MEDIDA])</f>
        <v>UND</v>
      </c>
      <c r="H948" s="33" t="str">
        <f>_xlfn.XLOOKUP(TablaSTOCKINV[[#This Row],[SKU]],TablaINVENTARIO[SKU],TablaINVENTARIO[SERIAL])</f>
        <v>N/A</v>
      </c>
      <c r="I948" s="34">
        <f>_xlfn.XLOOKUP(TablaSTOCKINV[[#This Row],[SKU]],TablaINVENTARIO[SKU],TablaINVENTARIO[ALMACEN])</f>
        <v>0</v>
      </c>
      <c r="J948" s="34" t="str">
        <f>_xlfn.XLOOKUP(TablaSTOCKINV[[#This Row],[SKU]],TablaINVENTARIO[SKU],TablaINVENTARIO[UBICACION])</f>
        <v>VER</v>
      </c>
      <c r="K948" s="34" t="str">
        <f>_xlfn.XLOOKUP(TablaSTOCKINV[[#This Row],[SKU]],TablaINVENTARIO[SKU],TablaINVENTARIO[DPTO RESPONSABLE])</f>
        <v>OPERACIONES</v>
      </c>
      <c r="L948" s="53">
        <f>_xlfn.XLOOKUP(TablaSTOCKINV[[#This Row],[SKU]],TablaINVENTARIO[SKU],TablaINVENTARIO[RANGO MIN])</f>
        <v>0</v>
      </c>
      <c r="M948" s="34" cm="1">
        <f t="array" ref="M948">_xlfn.IFS(TablaSTOCKINV[[#This Row],[CANT. TOTAL]]&lt;=0,1,TablaSTOCKINV[[#This Row],[CANT. TOTAL]]&lt;=TablaSTOCKINV[[#This Row],[MIN]],2,TablaSTOCKINV[[#This Row],[CANT. TOTAL]]&gt;TablaSTOCKINV[[#This Row],[MIN]],3)</f>
        <v>3</v>
      </c>
      <c r="N948" s="34">
        <f>TablaSTOCKINV[[#This Row],[ENTRADAS]]-TablaSTOCKINV[[#This Row],[SALIDAS]]</f>
        <v>1</v>
      </c>
      <c r="O948" s="35">
        <f>SUMIFS(TablaENTRADA[CANT],TablaENTRADA[SKU],TablaSTOCKINV[[#This Row],[SKU]])</f>
        <v>1</v>
      </c>
      <c r="P948" s="35">
        <f>SUMIFS(TablaSALIDA[CANT],TablaSALIDA[SKU],TablaSTOCKINV[[#This Row],[SKU]])</f>
        <v>0</v>
      </c>
      <c r="Q948" s="34">
        <f>_xlfn.XLOOKUP(TablaSTOCKINV[[#This Row],[SKU]],TablaINVENTARIO[SKU],TablaINVENTARIO[PRECIO])</f>
        <v>0</v>
      </c>
      <c r="R948" s="34">
        <f>TablaSTOCKINV[[#This Row],[P.UNITARIO]]*TablaSTOCKINV[[#This Row],[CANT. TOTAL]]</f>
        <v>0</v>
      </c>
      <c r="S948" s="44">
        <f>_xlfn.XLOOKUP(TablaSTOCKINV[[#This Row],[SKU]],TablaINVENTARIO[SKU],TablaINVENTARIO[FECHA INGRESO])</f>
        <v>46023</v>
      </c>
      <c r="T948" s="44">
        <f>_xlfn.XLOOKUP(TablaSTOCKINV[[#This Row],[SKU]],TablaENTRADA[SKU],TablaENTRADA[FECHA],,0,-1)</f>
        <v>46023</v>
      </c>
      <c r="U948" s="46" t="str">
        <f>IFERROR((_xlfn.XLOOKUP(TablaSTOCKINV[[#This Row],[SKU]],TablaSALIDA[SKU],TablaSALIDA[FECHA],,0,-1))," " )</f>
        <v xml:space="preserve"> </v>
      </c>
    </row>
    <row r="949" spans="1:21" x14ac:dyDescent="0.3">
      <c r="A949" s="27" t="s">
        <v>972</v>
      </c>
      <c r="B949" s="32" t="str">
        <f>_xlfn.XLOOKUP(TablaSTOCKINV[[#This Row],[SKU]],TablaINVENTARIO[SKU],TablaINVENTARIO[DESCRIPCION])</f>
        <v xml:space="preserve">TUERCA PARA TUBERIA CONDUIT 1-3/4" </v>
      </c>
      <c r="C949" s="32" t="str">
        <f>_xlfn.XLOOKUP(TablaSTOCKINV[[#This Row],[SKU]],TablaINVENTARIO[SKU],TablaINVENTARIO[MARCA])</f>
        <v>N/A</v>
      </c>
      <c r="D949" s="33" t="str">
        <f>_xlfn.XLOOKUP(TablaSTOCKINV[[#This Row],[SKU]],TablaINVENTARIO[SKU],TablaINVENTARIO[CATEGORIA])</f>
        <v>FABRICACION</v>
      </c>
      <c r="E949" s="33" t="str">
        <f>_xlfn.XLOOKUP(TablaSTOCKINV[[#This Row],[SKU]],TablaINVENTARIO[SKU],TablaINVENTARIO[SUBCATEGORIA])</f>
        <v>MATERIAL MECANICO</v>
      </c>
      <c r="F949" s="33" t="str">
        <f>_xlfn.XLOOKUP(TablaSTOCKINV[[#This Row],[SKU]],TablaINVENTARIO[SKU],TablaINVENTARIO[ESTADO])</f>
        <v>USADO</v>
      </c>
      <c r="G949" s="33" t="str">
        <f>_xlfn.XLOOKUP(TablaSTOCKINV[[#This Row],[SKU]],TablaINVENTARIO[SKU],TablaINVENTARIO[MEDIDA])</f>
        <v>UND</v>
      </c>
      <c r="H949" s="33" t="str">
        <f>_xlfn.XLOOKUP(TablaSTOCKINV[[#This Row],[SKU]],TablaINVENTARIO[SKU],TablaINVENTARIO[SERIAL])</f>
        <v>N/A</v>
      </c>
      <c r="I949" s="34">
        <f>_xlfn.XLOOKUP(TablaSTOCKINV[[#This Row],[SKU]],TablaINVENTARIO[SKU],TablaINVENTARIO[ALMACEN])</f>
        <v>0</v>
      </c>
      <c r="J949" s="34" t="str">
        <f>_xlfn.XLOOKUP(TablaSTOCKINV[[#This Row],[SKU]],TablaINVENTARIO[SKU],TablaINVENTARIO[UBICACION])</f>
        <v>VER</v>
      </c>
      <c r="K949" s="34" t="str">
        <f>_xlfn.XLOOKUP(TablaSTOCKINV[[#This Row],[SKU]],TablaINVENTARIO[SKU],TablaINVENTARIO[DPTO RESPONSABLE])</f>
        <v>OPERACIONES</v>
      </c>
      <c r="L949" s="53">
        <f>_xlfn.XLOOKUP(TablaSTOCKINV[[#This Row],[SKU]],TablaINVENTARIO[SKU],TablaINVENTARIO[RANGO MIN])</f>
        <v>0</v>
      </c>
      <c r="M949" s="34" cm="1">
        <f t="array" ref="M949">_xlfn.IFS(TablaSTOCKINV[[#This Row],[CANT. TOTAL]]&lt;=0,1,TablaSTOCKINV[[#This Row],[CANT. TOTAL]]&lt;=TablaSTOCKINV[[#This Row],[MIN]],2,TablaSTOCKINV[[#This Row],[CANT. TOTAL]]&gt;TablaSTOCKINV[[#This Row],[MIN]],3)</f>
        <v>3</v>
      </c>
      <c r="N949" s="34">
        <f>TablaSTOCKINV[[#This Row],[ENTRADAS]]-TablaSTOCKINV[[#This Row],[SALIDAS]]</f>
        <v>2</v>
      </c>
      <c r="O949" s="35">
        <f>SUMIFS(TablaENTRADA[CANT],TablaENTRADA[SKU],TablaSTOCKINV[[#This Row],[SKU]])</f>
        <v>2</v>
      </c>
      <c r="P949" s="35">
        <f>SUMIFS(TablaSALIDA[CANT],TablaSALIDA[SKU],TablaSTOCKINV[[#This Row],[SKU]])</f>
        <v>0</v>
      </c>
      <c r="Q949" s="34">
        <f>_xlfn.XLOOKUP(TablaSTOCKINV[[#This Row],[SKU]],TablaINVENTARIO[SKU],TablaINVENTARIO[PRECIO])</f>
        <v>0</v>
      </c>
      <c r="R949" s="34">
        <f>TablaSTOCKINV[[#This Row],[P.UNITARIO]]*TablaSTOCKINV[[#This Row],[CANT. TOTAL]]</f>
        <v>0</v>
      </c>
      <c r="S949" s="44">
        <f>_xlfn.XLOOKUP(TablaSTOCKINV[[#This Row],[SKU]],TablaINVENTARIO[SKU],TablaINVENTARIO[FECHA INGRESO])</f>
        <v>46023</v>
      </c>
      <c r="T949" s="44">
        <f>_xlfn.XLOOKUP(TablaSTOCKINV[[#This Row],[SKU]],TablaENTRADA[SKU],TablaENTRADA[FECHA],,0,-1)</f>
        <v>46023</v>
      </c>
      <c r="U949" s="46" t="str">
        <f>IFERROR((_xlfn.XLOOKUP(TablaSTOCKINV[[#This Row],[SKU]],TablaSALIDA[SKU],TablaSALIDA[FECHA],,0,-1))," " )</f>
        <v xml:space="preserve"> </v>
      </c>
    </row>
    <row r="950" spans="1:21" x14ac:dyDescent="0.3">
      <c r="A950" s="27" t="s">
        <v>974</v>
      </c>
      <c r="B950" s="32" t="str">
        <f>_xlfn.XLOOKUP(TablaSTOCKINV[[#This Row],[SKU]],TablaINVENTARIO[SKU],TablaINVENTARIO[DESCRIPCION])</f>
        <v>CODO GALVANIZADO 90° X 1/2"</v>
      </c>
      <c r="C950" s="32" t="str">
        <f>_xlfn.XLOOKUP(TablaSTOCKINV[[#This Row],[SKU]],TablaINVENTARIO[SKU],TablaINVENTARIO[MARCA])</f>
        <v>N/A</v>
      </c>
      <c r="D950" s="33" t="str">
        <f>_xlfn.XLOOKUP(TablaSTOCKINV[[#This Row],[SKU]],TablaINVENTARIO[SKU],TablaINVENTARIO[CATEGORIA])</f>
        <v>FABRICACION</v>
      </c>
      <c r="E950" s="33" t="str">
        <f>_xlfn.XLOOKUP(TablaSTOCKINV[[#This Row],[SKU]],TablaINVENTARIO[SKU],TablaINVENTARIO[SUBCATEGORIA])</f>
        <v>MATERIAL MECANICO</v>
      </c>
      <c r="F950" s="33" t="str">
        <f>_xlfn.XLOOKUP(TablaSTOCKINV[[#This Row],[SKU]],TablaINVENTARIO[SKU],TablaINVENTARIO[ESTADO])</f>
        <v xml:space="preserve">NUEVO </v>
      </c>
      <c r="G950" s="33" t="str">
        <f>_xlfn.XLOOKUP(TablaSTOCKINV[[#This Row],[SKU]],TablaINVENTARIO[SKU],TablaINVENTARIO[MEDIDA])</f>
        <v>UND</v>
      </c>
      <c r="H950" s="33" t="str">
        <f>_xlfn.XLOOKUP(TablaSTOCKINV[[#This Row],[SKU]],TablaINVENTARIO[SKU],TablaINVENTARIO[SERIAL])</f>
        <v>N/A</v>
      </c>
      <c r="I950" s="34">
        <f>_xlfn.XLOOKUP(TablaSTOCKINV[[#This Row],[SKU]],TablaINVENTARIO[SKU],TablaINVENTARIO[ALMACEN])</f>
        <v>0</v>
      </c>
      <c r="J950" s="34" t="str">
        <f>_xlfn.XLOOKUP(TablaSTOCKINV[[#This Row],[SKU]],TablaINVENTARIO[SKU],TablaINVENTARIO[UBICACION])</f>
        <v>VER</v>
      </c>
      <c r="K950" s="34" t="str">
        <f>_xlfn.XLOOKUP(TablaSTOCKINV[[#This Row],[SKU]],TablaINVENTARIO[SKU],TablaINVENTARIO[DPTO RESPONSABLE])</f>
        <v>OPERACIONES</v>
      </c>
      <c r="L950" s="53">
        <f>_xlfn.XLOOKUP(TablaSTOCKINV[[#This Row],[SKU]],TablaINVENTARIO[SKU],TablaINVENTARIO[RANGO MIN])</f>
        <v>0</v>
      </c>
      <c r="M950" s="34" cm="1">
        <f t="array" ref="M950">_xlfn.IFS(TablaSTOCKINV[[#This Row],[CANT. TOTAL]]&lt;=0,1,TablaSTOCKINV[[#This Row],[CANT. TOTAL]]&lt;=TablaSTOCKINV[[#This Row],[MIN]],2,TablaSTOCKINV[[#This Row],[CANT. TOTAL]]&gt;TablaSTOCKINV[[#This Row],[MIN]],3)</f>
        <v>3</v>
      </c>
      <c r="N950" s="34">
        <f>TablaSTOCKINV[[#This Row],[ENTRADAS]]-TablaSTOCKINV[[#This Row],[SALIDAS]]</f>
        <v>12</v>
      </c>
      <c r="O950" s="35">
        <f>SUMIFS(TablaENTRADA[CANT],TablaENTRADA[SKU],TablaSTOCKINV[[#This Row],[SKU]])</f>
        <v>12</v>
      </c>
      <c r="P950" s="35">
        <f>SUMIFS(TablaSALIDA[CANT],TablaSALIDA[SKU],TablaSTOCKINV[[#This Row],[SKU]])</f>
        <v>0</v>
      </c>
      <c r="Q950" s="34">
        <f>_xlfn.XLOOKUP(TablaSTOCKINV[[#This Row],[SKU]],TablaINVENTARIO[SKU],TablaINVENTARIO[PRECIO])</f>
        <v>0</v>
      </c>
      <c r="R950" s="34">
        <f>TablaSTOCKINV[[#This Row],[P.UNITARIO]]*TablaSTOCKINV[[#This Row],[CANT. TOTAL]]</f>
        <v>0</v>
      </c>
      <c r="S950" s="44">
        <f>_xlfn.XLOOKUP(TablaSTOCKINV[[#This Row],[SKU]],TablaINVENTARIO[SKU],TablaINVENTARIO[FECHA INGRESO])</f>
        <v>46023</v>
      </c>
      <c r="T950" s="44">
        <f>_xlfn.XLOOKUP(TablaSTOCKINV[[#This Row],[SKU]],TablaENTRADA[SKU],TablaENTRADA[FECHA],,0,-1)</f>
        <v>46023</v>
      </c>
      <c r="U950" s="46" t="str">
        <f>IFERROR((_xlfn.XLOOKUP(TablaSTOCKINV[[#This Row],[SKU]],TablaSALIDA[SKU],TablaSALIDA[FECHA],,0,-1))," " )</f>
        <v xml:space="preserve"> </v>
      </c>
    </row>
    <row r="951" spans="1:21" x14ac:dyDescent="0.3">
      <c r="A951" s="27" t="s">
        <v>976</v>
      </c>
      <c r="B951" s="32" t="str">
        <f>_xlfn.XLOOKUP(TablaSTOCKINV[[#This Row],[SKU]],TablaINVENTARIO[SKU],TablaINVENTARIO[DESCRIPCION])</f>
        <v>CODO GALVANIZADO 90° X 3/4"</v>
      </c>
      <c r="C951" s="32" t="str">
        <f>_xlfn.XLOOKUP(TablaSTOCKINV[[#This Row],[SKU]],TablaINVENTARIO[SKU],TablaINVENTARIO[MARCA])</f>
        <v>N/A</v>
      </c>
      <c r="D951" s="33" t="str">
        <f>_xlfn.XLOOKUP(TablaSTOCKINV[[#This Row],[SKU]],TablaINVENTARIO[SKU],TablaINVENTARIO[CATEGORIA])</f>
        <v>FABRICACION</v>
      </c>
      <c r="E951" s="33" t="str">
        <f>_xlfn.XLOOKUP(TablaSTOCKINV[[#This Row],[SKU]],TablaINVENTARIO[SKU],TablaINVENTARIO[SUBCATEGORIA])</f>
        <v>MATERIAL MECANICO</v>
      </c>
      <c r="F951" s="33" t="str">
        <f>_xlfn.XLOOKUP(TablaSTOCKINV[[#This Row],[SKU]],TablaINVENTARIO[SKU],TablaINVENTARIO[ESTADO])</f>
        <v xml:space="preserve">NUEVO </v>
      </c>
      <c r="G951" s="33" t="str">
        <f>_xlfn.XLOOKUP(TablaSTOCKINV[[#This Row],[SKU]],TablaINVENTARIO[SKU],TablaINVENTARIO[MEDIDA])</f>
        <v>UND</v>
      </c>
      <c r="H951" s="33" t="str">
        <f>_xlfn.XLOOKUP(TablaSTOCKINV[[#This Row],[SKU]],TablaINVENTARIO[SKU],TablaINVENTARIO[SERIAL])</f>
        <v>N/A</v>
      </c>
      <c r="I951" s="34">
        <f>_xlfn.XLOOKUP(TablaSTOCKINV[[#This Row],[SKU]],TablaINVENTARIO[SKU],TablaINVENTARIO[ALMACEN])</f>
        <v>0</v>
      </c>
      <c r="J951" s="34" t="str">
        <f>_xlfn.XLOOKUP(TablaSTOCKINV[[#This Row],[SKU]],TablaINVENTARIO[SKU],TablaINVENTARIO[UBICACION])</f>
        <v>VER</v>
      </c>
      <c r="K951" s="34" t="str">
        <f>_xlfn.XLOOKUP(TablaSTOCKINV[[#This Row],[SKU]],TablaINVENTARIO[SKU],TablaINVENTARIO[DPTO RESPONSABLE])</f>
        <v>OPERACIONES</v>
      </c>
      <c r="L951" s="53">
        <f>_xlfn.XLOOKUP(TablaSTOCKINV[[#This Row],[SKU]],TablaINVENTARIO[SKU],TablaINVENTARIO[RANGO MIN])</f>
        <v>0</v>
      </c>
      <c r="M951" s="34" cm="1">
        <f t="array" ref="M951">_xlfn.IFS(TablaSTOCKINV[[#This Row],[CANT. TOTAL]]&lt;=0,1,TablaSTOCKINV[[#This Row],[CANT. TOTAL]]&lt;=TablaSTOCKINV[[#This Row],[MIN]],2,TablaSTOCKINV[[#This Row],[CANT. TOTAL]]&gt;TablaSTOCKINV[[#This Row],[MIN]],3)</f>
        <v>3</v>
      </c>
      <c r="N951" s="34">
        <f>TablaSTOCKINV[[#This Row],[ENTRADAS]]-TablaSTOCKINV[[#This Row],[SALIDAS]]</f>
        <v>14</v>
      </c>
      <c r="O951" s="35">
        <f>SUMIFS(TablaENTRADA[CANT],TablaENTRADA[SKU],TablaSTOCKINV[[#This Row],[SKU]])</f>
        <v>14</v>
      </c>
      <c r="P951" s="35">
        <f>SUMIFS(TablaSALIDA[CANT],TablaSALIDA[SKU],TablaSTOCKINV[[#This Row],[SKU]])</f>
        <v>0</v>
      </c>
      <c r="Q951" s="34">
        <f>_xlfn.XLOOKUP(TablaSTOCKINV[[#This Row],[SKU]],TablaINVENTARIO[SKU],TablaINVENTARIO[PRECIO])</f>
        <v>0</v>
      </c>
      <c r="R951" s="34">
        <f>TablaSTOCKINV[[#This Row],[P.UNITARIO]]*TablaSTOCKINV[[#This Row],[CANT. TOTAL]]</f>
        <v>0</v>
      </c>
      <c r="S951" s="44">
        <f>_xlfn.XLOOKUP(TablaSTOCKINV[[#This Row],[SKU]],TablaINVENTARIO[SKU],TablaINVENTARIO[FECHA INGRESO])</f>
        <v>46023</v>
      </c>
      <c r="T951" s="44">
        <f>_xlfn.XLOOKUP(TablaSTOCKINV[[#This Row],[SKU]],TablaENTRADA[SKU],TablaENTRADA[FECHA],,0,-1)</f>
        <v>46023</v>
      </c>
      <c r="U951" s="46" t="str">
        <f>IFERROR((_xlfn.XLOOKUP(TablaSTOCKINV[[#This Row],[SKU]],TablaSALIDA[SKU],TablaSALIDA[FECHA],,0,-1))," " )</f>
        <v xml:space="preserve"> </v>
      </c>
    </row>
    <row r="952" spans="1:21" x14ac:dyDescent="0.3">
      <c r="A952" s="27" t="s">
        <v>978</v>
      </c>
      <c r="B952" s="32" t="str">
        <f>_xlfn.XLOOKUP(TablaSTOCKINV[[#This Row],[SKU]],TablaINVENTARIO[SKU],TablaINVENTARIO[DESCRIPCION])</f>
        <v xml:space="preserve">CONECTOR RECTO 1" </v>
      </c>
      <c r="C952" s="32" t="str">
        <f>_xlfn.XLOOKUP(TablaSTOCKINV[[#This Row],[SKU]],TablaINVENTARIO[SKU],TablaINVENTARIO[MARCA])</f>
        <v>N/A</v>
      </c>
      <c r="D952" s="33" t="str">
        <f>_xlfn.XLOOKUP(TablaSTOCKINV[[#This Row],[SKU]],TablaINVENTARIO[SKU],TablaINVENTARIO[CATEGORIA])</f>
        <v>FABRICACION</v>
      </c>
      <c r="E952" s="33" t="str">
        <f>_xlfn.XLOOKUP(TablaSTOCKINV[[#This Row],[SKU]],TablaINVENTARIO[SKU],TablaINVENTARIO[SUBCATEGORIA])</f>
        <v>MATERIAL MECANICO</v>
      </c>
      <c r="F952" s="33" t="str">
        <f>_xlfn.XLOOKUP(TablaSTOCKINV[[#This Row],[SKU]],TablaINVENTARIO[SKU],TablaINVENTARIO[ESTADO])</f>
        <v>USADO</v>
      </c>
      <c r="G952" s="33" t="str">
        <f>_xlfn.XLOOKUP(TablaSTOCKINV[[#This Row],[SKU]],TablaINVENTARIO[SKU],TablaINVENTARIO[MEDIDA])</f>
        <v>UND</v>
      </c>
      <c r="H952" s="33" t="str">
        <f>_xlfn.XLOOKUP(TablaSTOCKINV[[#This Row],[SKU]],TablaINVENTARIO[SKU],TablaINVENTARIO[SERIAL])</f>
        <v>N/A</v>
      </c>
      <c r="I952" s="34">
        <f>_xlfn.XLOOKUP(TablaSTOCKINV[[#This Row],[SKU]],TablaINVENTARIO[SKU],TablaINVENTARIO[ALMACEN])</f>
        <v>0</v>
      </c>
      <c r="J952" s="34" t="str">
        <f>_xlfn.XLOOKUP(TablaSTOCKINV[[#This Row],[SKU]],TablaINVENTARIO[SKU],TablaINVENTARIO[UBICACION])</f>
        <v>VER</v>
      </c>
      <c r="K952" s="34" t="str">
        <f>_xlfn.XLOOKUP(TablaSTOCKINV[[#This Row],[SKU]],TablaINVENTARIO[SKU],TablaINVENTARIO[DPTO RESPONSABLE])</f>
        <v>OPERACIONES</v>
      </c>
      <c r="L952" s="53">
        <f>_xlfn.XLOOKUP(TablaSTOCKINV[[#This Row],[SKU]],TablaINVENTARIO[SKU],TablaINVENTARIO[RANGO MIN])</f>
        <v>0</v>
      </c>
      <c r="M952" s="34" cm="1">
        <f t="array" ref="M952">_xlfn.IFS(TablaSTOCKINV[[#This Row],[CANT. TOTAL]]&lt;=0,1,TablaSTOCKINV[[#This Row],[CANT. TOTAL]]&lt;=TablaSTOCKINV[[#This Row],[MIN]],2,TablaSTOCKINV[[#This Row],[CANT. TOTAL]]&gt;TablaSTOCKINV[[#This Row],[MIN]],3)</f>
        <v>3</v>
      </c>
      <c r="N952" s="34">
        <f>TablaSTOCKINV[[#This Row],[ENTRADAS]]-TablaSTOCKINV[[#This Row],[SALIDAS]]</f>
        <v>5</v>
      </c>
      <c r="O952" s="35">
        <f>SUMIFS(TablaENTRADA[CANT],TablaENTRADA[SKU],TablaSTOCKINV[[#This Row],[SKU]])</f>
        <v>5</v>
      </c>
      <c r="P952" s="35">
        <f>SUMIFS(TablaSALIDA[CANT],TablaSALIDA[SKU],TablaSTOCKINV[[#This Row],[SKU]])</f>
        <v>0</v>
      </c>
      <c r="Q952" s="34">
        <f>_xlfn.XLOOKUP(TablaSTOCKINV[[#This Row],[SKU]],TablaINVENTARIO[SKU],TablaINVENTARIO[PRECIO])</f>
        <v>0</v>
      </c>
      <c r="R952" s="34">
        <f>TablaSTOCKINV[[#This Row],[P.UNITARIO]]*TablaSTOCKINV[[#This Row],[CANT. TOTAL]]</f>
        <v>0</v>
      </c>
      <c r="S952" s="44">
        <f>_xlfn.XLOOKUP(TablaSTOCKINV[[#This Row],[SKU]],TablaINVENTARIO[SKU],TablaINVENTARIO[FECHA INGRESO])</f>
        <v>46023</v>
      </c>
      <c r="T952" s="44">
        <f>_xlfn.XLOOKUP(TablaSTOCKINV[[#This Row],[SKU]],TablaENTRADA[SKU],TablaENTRADA[FECHA],,0,-1)</f>
        <v>46023</v>
      </c>
      <c r="U952" s="46" t="str">
        <f>IFERROR((_xlfn.XLOOKUP(TablaSTOCKINV[[#This Row],[SKU]],TablaSALIDA[SKU],TablaSALIDA[FECHA],,0,-1))," " )</f>
        <v xml:space="preserve"> </v>
      </c>
    </row>
    <row r="953" spans="1:21" x14ac:dyDescent="0.3">
      <c r="A953" s="27" t="s">
        <v>980</v>
      </c>
      <c r="B953" s="32" t="str">
        <f>_xlfn.XLOOKUP(TablaSTOCKINV[[#This Row],[SKU]],TablaINVENTARIO[SKU],TablaINVENTARIO[DESCRIPCION])</f>
        <v>LIGUID TIGHT 1/2"</v>
      </c>
      <c r="C953" s="32" t="str">
        <f>_xlfn.XLOOKUP(TablaSTOCKINV[[#This Row],[SKU]],TablaINVENTARIO[SKU],TablaINVENTARIO[MARCA])</f>
        <v>N/A</v>
      </c>
      <c r="D953" s="33" t="str">
        <f>_xlfn.XLOOKUP(TablaSTOCKINV[[#This Row],[SKU]],TablaINVENTARIO[SKU],TablaINVENTARIO[CATEGORIA])</f>
        <v>FABRICACION</v>
      </c>
      <c r="E953" s="33" t="str">
        <f>_xlfn.XLOOKUP(TablaSTOCKINV[[#This Row],[SKU]],TablaINVENTARIO[SKU],TablaINVENTARIO[SUBCATEGORIA])</f>
        <v>MATERIAL MECANICO</v>
      </c>
      <c r="F953" s="33" t="str">
        <f>_xlfn.XLOOKUP(TablaSTOCKINV[[#This Row],[SKU]],TablaINVENTARIO[SKU],TablaINVENTARIO[ESTADO])</f>
        <v>USADO</v>
      </c>
      <c r="G953" s="33" t="str">
        <f>_xlfn.XLOOKUP(TablaSTOCKINV[[#This Row],[SKU]],TablaINVENTARIO[SKU],TablaINVENTARIO[MEDIDA])</f>
        <v>UND</v>
      </c>
      <c r="H953" s="33" t="str">
        <f>_xlfn.XLOOKUP(TablaSTOCKINV[[#This Row],[SKU]],TablaINVENTARIO[SKU],TablaINVENTARIO[SERIAL])</f>
        <v>N/A</v>
      </c>
      <c r="I953" s="34">
        <f>_xlfn.XLOOKUP(TablaSTOCKINV[[#This Row],[SKU]],TablaINVENTARIO[SKU],TablaINVENTARIO[ALMACEN])</f>
        <v>0</v>
      </c>
      <c r="J953" s="34" t="str">
        <f>_xlfn.XLOOKUP(TablaSTOCKINV[[#This Row],[SKU]],TablaINVENTARIO[SKU],TablaINVENTARIO[UBICACION])</f>
        <v>VER</v>
      </c>
      <c r="K953" s="34" t="str">
        <f>_xlfn.XLOOKUP(TablaSTOCKINV[[#This Row],[SKU]],TablaINVENTARIO[SKU],TablaINVENTARIO[DPTO RESPONSABLE])</f>
        <v>OPERACIONES</v>
      </c>
      <c r="L953" s="53">
        <f>_xlfn.XLOOKUP(TablaSTOCKINV[[#This Row],[SKU]],TablaINVENTARIO[SKU],TablaINVENTARIO[RANGO MIN])</f>
        <v>0</v>
      </c>
      <c r="M953" s="34" cm="1">
        <f t="array" ref="M953">_xlfn.IFS(TablaSTOCKINV[[#This Row],[CANT. TOTAL]]&lt;=0,1,TablaSTOCKINV[[#This Row],[CANT. TOTAL]]&lt;=TablaSTOCKINV[[#This Row],[MIN]],2,TablaSTOCKINV[[#This Row],[CANT. TOTAL]]&gt;TablaSTOCKINV[[#This Row],[MIN]],3)</f>
        <v>3</v>
      </c>
      <c r="N953" s="34">
        <f>TablaSTOCKINV[[#This Row],[ENTRADAS]]-TablaSTOCKINV[[#This Row],[SALIDAS]]</f>
        <v>2</v>
      </c>
      <c r="O953" s="35">
        <f>SUMIFS(TablaENTRADA[CANT],TablaENTRADA[SKU],TablaSTOCKINV[[#This Row],[SKU]])</f>
        <v>2</v>
      </c>
      <c r="P953" s="35">
        <f>SUMIFS(TablaSALIDA[CANT],TablaSALIDA[SKU],TablaSTOCKINV[[#This Row],[SKU]])</f>
        <v>0</v>
      </c>
      <c r="Q953" s="34">
        <f>_xlfn.XLOOKUP(TablaSTOCKINV[[#This Row],[SKU]],TablaINVENTARIO[SKU],TablaINVENTARIO[PRECIO])</f>
        <v>0</v>
      </c>
      <c r="R953" s="34">
        <f>TablaSTOCKINV[[#This Row],[P.UNITARIO]]*TablaSTOCKINV[[#This Row],[CANT. TOTAL]]</f>
        <v>0</v>
      </c>
      <c r="S953" s="44">
        <f>_xlfn.XLOOKUP(TablaSTOCKINV[[#This Row],[SKU]],TablaINVENTARIO[SKU],TablaINVENTARIO[FECHA INGRESO])</f>
        <v>46023</v>
      </c>
      <c r="T953" s="44">
        <f>_xlfn.XLOOKUP(TablaSTOCKINV[[#This Row],[SKU]],TablaENTRADA[SKU],TablaENTRADA[FECHA],,0,-1)</f>
        <v>46023</v>
      </c>
      <c r="U953" s="46" t="str">
        <f>IFERROR((_xlfn.XLOOKUP(TablaSTOCKINV[[#This Row],[SKU]],TablaSALIDA[SKU],TablaSALIDA[FECHA],,0,-1))," " )</f>
        <v xml:space="preserve"> </v>
      </c>
    </row>
    <row r="954" spans="1:21" x14ac:dyDescent="0.3">
      <c r="A954" s="27" t="s">
        <v>982</v>
      </c>
      <c r="B954" s="32" t="str">
        <f>_xlfn.XLOOKUP(TablaSTOCKINV[[#This Row],[SKU]],TablaINVENTARIO[SKU],TablaINVENTARIO[DESCRIPCION])</f>
        <v>CONECTOR DE TUBO CON TORNILLO OPRESOR 1"</v>
      </c>
      <c r="C954" s="32" t="str">
        <f>_xlfn.XLOOKUP(TablaSTOCKINV[[#This Row],[SKU]],TablaINVENTARIO[SKU],TablaINVENTARIO[MARCA])</f>
        <v>N/A</v>
      </c>
      <c r="D954" s="33" t="str">
        <f>_xlfn.XLOOKUP(TablaSTOCKINV[[#This Row],[SKU]],TablaINVENTARIO[SKU],TablaINVENTARIO[CATEGORIA])</f>
        <v>FABRICACION</v>
      </c>
      <c r="E954" s="33" t="str">
        <f>_xlfn.XLOOKUP(TablaSTOCKINV[[#This Row],[SKU]],TablaINVENTARIO[SKU],TablaINVENTARIO[SUBCATEGORIA])</f>
        <v>MATERIAL MECANICO</v>
      </c>
      <c r="F954" s="33" t="str">
        <f>_xlfn.XLOOKUP(TablaSTOCKINV[[#This Row],[SKU]],TablaINVENTARIO[SKU],TablaINVENTARIO[ESTADO])</f>
        <v>USADO</v>
      </c>
      <c r="G954" s="33" t="str">
        <f>_xlfn.XLOOKUP(TablaSTOCKINV[[#This Row],[SKU]],TablaINVENTARIO[SKU],TablaINVENTARIO[MEDIDA])</f>
        <v>UND</v>
      </c>
      <c r="H954" s="33" t="str">
        <f>_xlfn.XLOOKUP(TablaSTOCKINV[[#This Row],[SKU]],TablaINVENTARIO[SKU],TablaINVENTARIO[SERIAL])</f>
        <v>N/A</v>
      </c>
      <c r="I954" s="34">
        <f>_xlfn.XLOOKUP(TablaSTOCKINV[[#This Row],[SKU]],TablaINVENTARIO[SKU],TablaINVENTARIO[ALMACEN])</f>
        <v>0</v>
      </c>
      <c r="J954" s="34" t="str">
        <f>_xlfn.XLOOKUP(TablaSTOCKINV[[#This Row],[SKU]],TablaINVENTARIO[SKU],TablaINVENTARIO[UBICACION])</f>
        <v>VER</v>
      </c>
      <c r="K954" s="34" t="str">
        <f>_xlfn.XLOOKUP(TablaSTOCKINV[[#This Row],[SKU]],TablaINVENTARIO[SKU],TablaINVENTARIO[DPTO RESPONSABLE])</f>
        <v>OPERACIONES</v>
      </c>
      <c r="L954" s="53">
        <f>_xlfn.XLOOKUP(TablaSTOCKINV[[#This Row],[SKU]],TablaINVENTARIO[SKU],TablaINVENTARIO[RANGO MIN])</f>
        <v>0</v>
      </c>
      <c r="M954" s="34" cm="1">
        <f t="array" ref="M954">_xlfn.IFS(TablaSTOCKINV[[#This Row],[CANT. TOTAL]]&lt;=0,1,TablaSTOCKINV[[#This Row],[CANT. TOTAL]]&lt;=TablaSTOCKINV[[#This Row],[MIN]],2,TablaSTOCKINV[[#This Row],[CANT. TOTAL]]&gt;TablaSTOCKINV[[#This Row],[MIN]],3)</f>
        <v>3</v>
      </c>
      <c r="N954" s="34">
        <f>TablaSTOCKINV[[#This Row],[ENTRADAS]]-TablaSTOCKINV[[#This Row],[SALIDAS]]</f>
        <v>1</v>
      </c>
      <c r="O954" s="35">
        <f>SUMIFS(TablaENTRADA[CANT],TablaENTRADA[SKU],TablaSTOCKINV[[#This Row],[SKU]])</f>
        <v>1</v>
      </c>
      <c r="P954" s="35">
        <f>SUMIFS(TablaSALIDA[CANT],TablaSALIDA[SKU],TablaSTOCKINV[[#This Row],[SKU]])</f>
        <v>0</v>
      </c>
      <c r="Q954" s="34">
        <f>_xlfn.XLOOKUP(TablaSTOCKINV[[#This Row],[SKU]],TablaINVENTARIO[SKU],TablaINVENTARIO[PRECIO])</f>
        <v>0</v>
      </c>
      <c r="R954" s="34">
        <f>TablaSTOCKINV[[#This Row],[P.UNITARIO]]*TablaSTOCKINV[[#This Row],[CANT. TOTAL]]</f>
        <v>0</v>
      </c>
      <c r="S954" s="44">
        <f>_xlfn.XLOOKUP(TablaSTOCKINV[[#This Row],[SKU]],TablaINVENTARIO[SKU],TablaINVENTARIO[FECHA INGRESO])</f>
        <v>46023</v>
      </c>
      <c r="T954" s="44">
        <f>_xlfn.XLOOKUP(TablaSTOCKINV[[#This Row],[SKU]],TablaENTRADA[SKU],TablaENTRADA[FECHA],,0,-1)</f>
        <v>46023</v>
      </c>
      <c r="U954" s="46" t="str">
        <f>IFERROR((_xlfn.XLOOKUP(TablaSTOCKINV[[#This Row],[SKU]],TablaSALIDA[SKU],TablaSALIDA[FECHA],,0,-1))," " )</f>
        <v xml:space="preserve"> </v>
      </c>
    </row>
    <row r="955" spans="1:21" x14ac:dyDescent="0.3">
      <c r="A955" s="27" t="s">
        <v>984</v>
      </c>
      <c r="B955" s="32" t="str">
        <f>_xlfn.XLOOKUP(TablaSTOCKINV[[#This Row],[SKU]],TablaINVENTARIO[SKU],TablaINVENTARIO[DESCRIPCION])</f>
        <v>CODO DE ACERO INOXIDABLE 1" (SOLDABLE)</v>
      </c>
      <c r="C955" s="32" t="str">
        <f>_xlfn.XLOOKUP(TablaSTOCKINV[[#This Row],[SKU]],TablaINVENTARIO[SKU],TablaINVENTARIO[MARCA])</f>
        <v>N/A</v>
      </c>
      <c r="D955" s="33" t="str">
        <f>_xlfn.XLOOKUP(TablaSTOCKINV[[#This Row],[SKU]],TablaINVENTARIO[SKU],TablaINVENTARIO[CATEGORIA])</f>
        <v>FABRICACION</v>
      </c>
      <c r="E955" s="33" t="str">
        <f>_xlfn.XLOOKUP(TablaSTOCKINV[[#This Row],[SKU]],TablaINVENTARIO[SKU],TablaINVENTARIO[SUBCATEGORIA])</f>
        <v>MATERIAL MECANICO</v>
      </c>
      <c r="F955" s="33" t="str">
        <f>_xlfn.XLOOKUP(TablaSTOCKINV[[#This Row],[SKU]],TablaINVENTARIO[SKU],TablaINVENTARIO[ESTADO])</f>
        <v xml:space="preserve">NUEVO </v>
      </c>
      <c r="G955" s="33" t="str">
        <f>_xlfn.XLOOKUP(TablaSTOCKINV[[#This Row],[SKU]],TablaINVENTARIO[SKU],TablaINVENTARIO[MEDIDA])</f>
        <v>UND</v>
      </c>
      <c r="H955" s="33" t="str">
        <f>_xlfn.XLOOKUP(TablaSTOCKINV[[#This Row],[SKU]],TablaINVENTARIO[SKU],TablaINVENTARIO[SERIAL])</f>
        <v>N/A</v>
      </c>
      <c r="I955" s="34">
        <f>_xlfn.XLOOKUP(TablaSTOCKINV[[#This Row],[SKU]],TablaINVENTARIO[SKU],TablaINVENTARIO[ALMACEN])</f>
        <v>0</v>
      </c>
      <c r="J955" s="34" t="str">
        <f>_xlfn.XLOOKUP(TablaSTOCKINV[[#This Row],[SKU]],TablaINVENTARIO[SKU],TablaINVENTARIO[UBICACION])</f>
        <v>VER</v>
      </c>
      <c r="K955" s="34" t="str">
        <f>_xlfn.XLOOKUP(TablaSTOCKINV[[#This Row],[SKU]],TablaINVENTARIO[SKU],TablaINVENTARIO[DPTO RESPONSABLE])</f>
        <v>OPERACIONES</v>
      </c>
      <c r="L955" s="53">
        <f>_xlfn.XLOOKUP(TablaSTOCKINV[[#This Row],[SKU]],TablaINVENTARIO[SKU],TablaINVENTARIO[RANGO MIN])</f>
        <v>0</v>
      </c>
      <c r="M955" s="34" cm="1">
        <f t="array" ref="M955">_xlfn.IFS(TablaSTOCKINV[[#This Row],[CANT. TOTAL]]&lt;=0,1,TablaSTOCKINV[[#This Row],[CANT. TOTAL]]&lt;=TablaSTOCKINV[[#This Row],[MIN]],2,TablaSTOCKINV[[#This Row],[CANT. TOTAL]]&gt;TablaSTOCKINV[[#This Row],[MIN]],3)</f>
        <v>3</v>
      </c>
      <c r="N955" s="34">
        <f>TablaSTOCKINV[[#This Row],[ENTRADAS]]-TablaSTOCKINV[[#This Row],[SALIDAS]]</f>
        <v>12</v>
      </c>
      <c r="O955" s="35">
        <f>SUMIFS(TablaENTRADA[CANT],TablaENTRADA[SKU],TablaSTOCKINV[[#This Row],[SKU]])</f>
        <v>12</v>
      </c>
      <c r="P955" s="35">
        <f>SUMIFS(TablaSALIDA[CANT],TablaSALIDA[SKU],TablaSTOCKINV[[#This Row],[SKU]])</f>
        <v>0</v>
      </c>
      <c r="Q955" s="34">
        <f>_xlfn.XLOOKUP(TablaSTOCKINV[[#This Row],[SKU]],TablaINVENTARIO[SKU],TablaINVENTARIO[PRECIO])</f>
        <v>0</v>
      </c>
      <c r="R955" s="34">
        <f>TablaSTOCKINV[[#This Row],[P.UNITARIO]]*TablaSTOCKINV[[#This Row],[CANT. TOTAL]]</f>
        <v>0</v>
      </c>
      <c r="S955" s="44">
        <f>_xlfn.XLOOKUP(TablaSTOCKINV[[#This Row],[SKU]],TablaINVENTARIO[SKU],TablaINVENTARIO[FECHA INGRESO])</f>
        <v>46023</v>
      </c>
      <c r="T955" s="44">
        <f>_xlfn.XLOOKUP(TablaSTOCKINV[[#This Row],[SKU]],TablaENTRADA[SKU],TablaENTRADA[FECHA],,0,-1)</f>
        <v>46023</v>
      </c>
      <c r="U955" s="46" t="str">
        <f>IFERROR((_xlfn.XLOOKUP(TablaSTOCKINV[[#This Row],[SKU]],TablaSALIDA[SKU],TablaSALIDA[FECHA],,0,-1))," " )</f>
        <v xml:space="preserve"> </v>
      </c>
    </row>
    <row r="956" spans="1:21" x14ac:dyDescent="0.3">
      <c r="A956" s="27" t="s">
        <v>986</v>
      </c>
      <c r="B956" s="32" t="str">
        <f>_xlfn.XLOOKUP(TablaSTOCKINV[[#This Row],[SKU]],TablaINVENTARIO[SKU],TablaINVENTARIO[DESCRIPCION])</f>
        <v>SOCOLECK DE ACERO INOXIDABLE 3/4"</v>
      </c>
      <c r="C956" s="32" t="str">
        <f>_xlfn.XLOOKUP(TablaSTOCKINV[[#This Row],[SKU]],TablaINVENTARIO[SKU],TablaINVENTARIO[MARCA])</f>
        <v>N/A</v>
      </c>
      <c r="D956" s="33" t="str">
        <f>_xlfn.XLOOKUP(TablaSTOCKINV[[#This Row],[SKU]],TablaINVENTARIO[SKU],TablaINVENTARIO[CATEGORIA])</f>
        <v>FABRICACION</v>
      </c>
      <c r="E956" s="33" t="str">
        <f>_xlfn.XLOOKUP(TablaSTOCKINV[[#This Row],[SKU]],TablaINVENTARIO[SKU],TablaINVENTARIO[SUBCATEGORIA])</f>
        <v>MATERIAL MECANICO</v>
      </c>
      <c r="F956" s="33" t="str">
        <f>_xlfn.XLOOKUP(TablaSTOCKINV[[#This Row],[SKU]],TablaINVENTARIO[SKU],TablaINVENTARIO[ESTADO])</f>
        <v xml:space="preserve">NUEVO </v>
      </c>
      <c r="G956" s="33" t="str">
        <f>_xlfn.XLOOKUP(TablaSTOCKINV[[#This Row],[SKU]],TablaINVENTARIO[SKU],TablaINVENTARIO[MEDIDA])</f>
        <v>UND</v>
      </c>
      <c r="H956" s="33" t="str">
        <f>_xlfn.XLOOKUP(TablaSTOCKINV[[#This Row],[SKU]],TablaINVENTARIO[SKU],TablaINVENTARIO[SERIAL])</f>
        <v>N/A</v>
      </c>
      <c r="I956" s="34">
        <f>_xlfn.XLOOKUP(TablaSTOCKINV[[#This Row],[SKU]],TablaINVENTARIO[SKU],TablaINVENTARIO[ALMACEN])</f>
        <v>0</v>
      </c>
      <c r="J956" s="34" t="str">
        <f>_xlfn.XLOOKUP(TablaSTOCKINV[[#This Row],[SKU]],TablaINVENTARIO[SKU],TablaINVENTARIO[UBICACION])</f>
        <v>VER</v>
      </c>
      <c r="K956" s="34" t="str">
        <f>_xlfn.XLOOKUP(TablaSTOCKINV[[#This Row],[SKU]],TablaINVENTARIO[SKU],TablaINVENTARIO[DPTO RESPONSABLE])</f>
        <v>OPERACIONES</v>
      </c>
      <c r="L956" s="53">
        <f>_xlfn.XLOOKUP(TablaSTOCKINV[[#This Row],[SKU]],TablaINVENTARIO[SKU],TablaINVENTARIO[RANGO MIN])</f>
        <v>0</v>
      </c>
      <c r="M956" s="34" cm="1">
        <f t="array" ref="M956">_xlfn.IFS(TablaSTOCKINV[[#This Row],[CANT. TOTAL]]&lt;=0,1,TablaSTOCKINV[[#This Row],[CANT. TOTAL]]&lt;=TablaSTOCKINV[[#This Row],[MIN]],2,TablaSTOCKINV[[#This Row],[CANT. TOTAL]]&gt;TablaSTOCKINV[[#This Row],[MIN]],3)</f>
        <v>3</v>
      </c>
      <c r="N956" s="34">
        <f>TablaSTOCKINV[[#This Row],[ENTRADAS]]-TablaSTOCKINV[[#This Row],[SALIDAS]]</f>
        <v>8</v>
      </c>
      <c r="O956" s="35">
        <f>SUMIFS(TablaENTRADA[CANT],TablaENTRADA[SKU],TablaSTOCKINV[[#This Row],[SKU]])</f>
        <v>8</v>
      </c>
      <c r="P956" s="35">
        <f>SUMIFS(TablaSALIDA[CANT],TablaSALIDA[SKU],TablaSTOCKINV[[#This Row],[SKU]])</f>
        <v>0</v>
      </c>
      <c r="Q956" s="34">
        <f>_xlfn.XLOOKUP(TablaSTOCKINV[[#This Row],[SKU]],TablaINVENTARIO[SKU],TablaINVENTARIO[PRECIO])</f>
        <v>0</v>
      </c>
      <c r="R956" s="34">
        <f>TablaSTOCKINV[[#This Row],[P.UNITARIO]]*TablaSTOCKINV[[#This Row],[CANT. TOTAL]]</f>
        <v>0</v>
      </c>
      <c r="S956" s="44">
        <f>_xlfn.XLOOKUP(TablaSTOCKINV[[#This Row],[SKU]],TablaINVENTARIO[SKU],TablaINVENTARIO[FECHA INGRESO])</f>
        <v>46023</v>
      </c>
      <c r="T956" s="44">
        <f>_xlfn.XLOOKUP(TablaSTOCKINV[[#This Row],[SKU]],TablaENTRADA[SKU],TablaENTRADA[FECHA],,0,-1)</f>
        <v>46023</v>
      </c>
      <c r="U956" s="46" t="str">
        <f>IFERROR((_xlfn.XLOOKUP(TablaSTOCKINV[[#This Row],[SKU]],TablaSALIDA[SKU],TablaSALIDA[FECHA],,0,-1))," " )</f>
        <v xml:space="preserve"> </v>
      </c>
    </row>
    <row r="957" spans="1:21" x14ac:dyDescent="0.3">
      <c r="A957" s="27" t="s">
        <v>988</v>
      </c>
      <c r="B957" s="32" t="str">
        <f>_xlfn.XLOOKUP(TablaSTOCKINV[[#This Row],[SKU]],TablaINVENTARIO[SKU],TablaINVENTARIO[DESCRIPCION])</f>
        <v>SOCOLECK DE ACERO INOXIDABLE 1/2"</v>
      </c>
      <c r="C957" s="32" t="str">
        <f>_xlfn.XLOOKUP(TablaSTOCKINV[[#This Row],[SKU]],TablaINVENTARIO[SKU],TablaINVENTARIO[MARCA])</f>
        <v>N/A</v>
      </c>
      <c r="D957" s="33" t="str">
        <f>_xlfn.XLOOKUP(TablaSTOCKINV[[#This Row],[SKU]],TablaINVENTARIO[SKU],TablaINVENTARIO[CATEGORIA])</f>
        <v>FABRICACION</v>
      </c>
      <c r="E957" s="33" t="str">
        <f>_xlfn.XLOOKUP(TablaSTOCKINV[[#This Row],[SKU]],TablaINVENTARIO[SKU],TablaINVENTARIO[SUBCATEGORIA])</f>
        <v>MATERIAL MECANICO</v>
      </c>
      <c r="F957" s="33" t="str">
        <f>_xlfn.XLOOKUP(TablaSTOCKINV[[#This Row],[SKU]],TablaINVENTARIO[SKU],TablaINVENTARIO[ESTADO])</f>
        <v xml:space="preserve">NUEVO </v>
      </c>
      <c r="G957" s="33" t="str">
        <f>_xlfn.XLOOKUP(TablaSTOCKINV[[#This Row],[SKU]],TablaINVENTARIO[SKU],TablaINVENTARIO[MEDIDA])</f>
        <v>UND</v>
      </c>
      <c r="H957" s="33" t="str">
        <f>_xlfn.XLOOKUP(TablaSTOCKINV[[#This Row],[SKU]],TablaINVENTARIO[SKU],TablaINVENTARIO[SERIAL])</f>
        <v>N/A</v>
      </c>
      <c r="I957" s="34">
        <f>_xlfn.XLOOKUP(TablaSTOCKINV[[#This Row],[SKU]],TablaINVENTARIO[SKU],TablaINVENTARIO[ALMACEN])</f>
        <v>0</v>
      </c>
      <c r="J957" s="34" t="str">
        <f>_xlfn.XLOOKUP(TablaSTOCKINV[[#This Row],[SKU]],TablaINVENTARIO[SKU],TablaINVENTARIO[UBICACION])</f>
        <v>VER</v>
      </c>
      <c r="K957" s="34" t="str">
        <f>_xlfn.XLOOKUP(TablaSTOCKINV[[#This Row],[SKU]],TablaINVENTARIO[SKU],TablaINVENTARIO[DPTO RESPONSABLE])</f>
        <v>OPERACIONES</v>
      </c>
      <c r="L957" s="53">
        <f>_xlfn.XLOOKUP(TablaSTOCKINV[[#This Row],[SKU]],TablaINVENTARIO[SKU],TablaINVENTARIO[RANGO MIN])</f>
        <v>0</v>
      </c>
      <c r="M957" s="34" cm="1">
        <f t="array" ref="M957">_xlfn.IFS(TablaSTOCKINV[[#This Row],[CANT. TOTAL]]&lt;=0,1,TablaSTOCKINV[[#This Row],[CANT. TOTAL]]&lt;=TablaSTOCKINV[[#This Row],[MIN]],2,TablaSTOCKINV[[#This Row],[CANT. TOTAL]]&gt;TablaSTOCKINV[[#This Row],[MIN]],3)</f>
        <v>3</v>
      </c>
      <c r="N957" s="34">
        <f>TablaSTOCKINV[[#This Row],[ENTRADAS]]-TablaSTOCKINV[[#This Row],[SALIDAS]]</f>
        <v>6</v>
      </c>
      <c r="O957" s="35">
        <f>SUMIFS(TablaENTRADA[CANT],TablaENTRADA[SKU],TablaSTOCKINV[[#This Row],[SKU]])</f>
        <v>6</v>
      </c>
      <c r="P957" s="35">
        <f>SUMIFS(TablaSALIDA[CANT],TablaSALIDA[SKU],TablaSTOCKINV[[#This Row],[SKU]])</f>
        <v>0</v>
      </c>
      <c r="Q957" s="34">
        <f>_xlfn.XLOOKUP(TablaSTOCKINV[[#This Row],[SKU]],TablaINVENTARIO[SKU],TablaINVENTARIO[PRECIO])</f>
        <v>0</v>
      </c>
      <c r="R957" s="34">
        <f>TablaSTOCKINV[[#This Row],[P.UNITARIO]]*TablaSTOCKINV[[#This Row],[CANT. TOTAL]]</f>
        <v>0</v>
      </c>
      <c r="S957" s="44">
        <f>_xlfn.XLOOKUP(TablaSTOCKINV[[#This Row],[SKU]],TablaINVENTARIO[SKU],TablaINVENTARIO[FECHA INGRESO])</f>
        <v>46023</v>
      </c>
      <c r="T957" s="44">
        <f>_xlfn.XLOOKUP(TablaSTOCKINV[[#This Row],[SKU]],TablaENTRADA[SKU],TablaENTRADA[FECHA],,0,-1)</f>
        <v>46023</v>
      </c>
      <c r="U957" s="46" t="str">
        <f>IFERROR((_xlfn.XLOOKUP(TablaSTOCKINV[[#This Row],[SKU]],TablaSALIDA[SKU],TablaSALIDA[FECHA],,0,-1))," " )</f>
        <v xml:space="preserve"> </v>
      </c>
    </row>
    <row r="958" spans="1:21" x14ac:dyDescent="0.3">
      <c r="A958" s="27" t="s">
        <v>990</v>
      </c>
      <c r="B958" s="32" t="str">
        <f>_xlfn.XLOOKUP(TablaSTOCKINV[[#This Row],[SKU]],TablaINVENTARIO[SKU],TablaINVENTARIO[DESCRIPCION])</f>
        <v>THEADOLET DE ACERO AL CARBON 1"</v>
      </c>
      <c r="C958" s="32" t="str">
        <f>_xlfn.XLOOKUP(TablaSTOCKINV[[#This Row],[SKU]],TablaINVENTARIO[SKU],TablaINVENTARIO[MARCA])</f>
        <v>N/A</v>
      </c>
      <c r="D958" s="33" t="str">
        <f>_xlfn.XLOOKUP(TablaSTOCKINV[[#This Row],[SKU]],TablaINVENTARIO[SKU],TablaINVENTARIO[CATEGORIA])</f>
        <v>FABRICACION</v>
      </c>
      <c r="E958" s="33" t="str">
        <f>_xlfn.XLOOKUP(TablaSTOCKINV[[#This Row],[SKU]],TablaINVENTARIO[SKU],TablaINVENTARIO[SUBCATEGORIA])</f>
        <v>MATERIAL MECANICO</v>
      </c>
      <c r="F958" s="33" t="str">
        <f>_xlfn.XLOOKUP(TablaSTOCKINV[[#This Row],[SKU]],TablaINVENTARIO[SKU],TablaINVENTARIO[ESTADO])</f>
        <v xml:space="preserve">NUEVO </v>
      </c>
      <c r="G958" s="33" t="str">
        <f>_xlfn.XLOOKUP(TablaSTOCKINV[[#This Row],[SKU]],TablaINVENTARIO[SKU],TablaINVENTARIO[MEDIDA])</f>
        <v>UND</v>
      </c>
      <c r="H958" s="33" t="str">
        <f>_xlfn.XLOOKUP(TablaSTOCKINV[[#This Row],[SKU]],TablaINVENTARIO[SKU],TablaINVENTARIO[SERIAL])</f>
        <v>N/A</v>
      </c>
      <c r="I958" s="34">
        <f>_xlfn.XLOOKUP(TablaSTOCKINV[[#This Row],[SKU]],TablaINVENTARIO[SKU],TablaINVENTARIO[ALMACEN])</f>
        <v>0</v>
      </c>
      <c r="J958" s="34" t="str">
        <f>_xlfn.XLOOKUP(TablaSTOCKINV[[#This Row],[SKU]],TablaINVENTARIO[SKU],TablaINVENTARIO[UBICACION])</f>
        <v>VER</v>
      </c>
      <c r="K958" s="34" t="str">
        <f>_xlfn.XLOOKUP(TablaSTOCKINV[[#This Row],[SKU]],TablaINVENTARIO[SKU],TablaINVENTARIO[DPTO RESPONSABLE])</f>
        <v>OPERACIONES</v>
      </c>
      <c r="L958" s="53">
        <f>_xlfn.XLOOKUP(TablaSTOCKINV[[#This Row],[SKU]],TablaINVENTARIO[SKU],TablaINVENTARIO[RANGO MIN])</f>
        <v>0</v>
      </c>
      <c r="M958" s="34" cm="1">
        <f t="array" ref="M958">_xlfn.IFS(TablaSTOCKINV[[#This Row],[CANT. TOTAL]]&lt;=0,1,TablaSTOCKINV[[#This Row],[CANT. TOTAL]]&lt;=TablaSTOCKINV[[#This Row],[MIN]],2,TablaSTOCKINV[[#This Row],[CANT. TOTAL]]&gt;TablaSTOCKINV[[#This Row],[MIN]],3)</f>
        <v>3</v>
      </c>
      <c r="N958" s="34">
        <f>TablaSTOCKINV[[#This Row],[ENTRADAS]]-TablaSTOCKINV[[#This Row],[SALIDAS]]</f>
        <v>1</v>
      </c>
      <c r="O958" s="35">
        <f>SUMIFS(TablaENTRADA[CANT],TablaENTRADA[SKU],TablaSTOCKINV[[#This Row],[SKU]])</f>
        <v>1</v>
      </c>
      <c r="P958" s="35">
        <f>SUMIFS(TablaSALIDA[CANT],TablaSALIDA[SKU],TablaSTOCKINV[[#This Row],[SKU]])</f>
        <v>0</v>
      </c>
      <c r="Q958" s="34">
        <f>_xlfn.XLOOKUP(TablaSTOCKINV[[#This Row],[SKU]],TablaINVENTARIO[SKU],TablaINVENTARIO[PRECIO])</f>
        <v>0</v>
      </c>
      <c r="R958" s="34">
        <f>TablaSTOCKINV[[#This Row],[P.UNITARIO]]*TablaSTOCKINV[[#This Row],[CANT. TOTAL]]</f>
        <v>0</v>
      </c>
      <c r="S958" s="44">
        <f>_xlfn.XLOOKUP(TablaSTOCKINV[[#This Row],[SKU]],TablaINVENTARIO[SKU],TablaINVENTARIO[FECHA INGRESO])</f>
        <v>46023</v>
      </c>
      <c r="T958" s="44">
        <f>_xlfn.XLOOKUP(TablaSTOCKINV[[#This Row],[SKU]],TablaENTRADA[SKU],TablaENTRADA[FECHA],,0,-1)</f>
        <v>46023</v>
      </c>
      <c r="U958" s="46" t="str">
        <f>IFERROR((_xlfn.XLOOKUP(TablaSTOCKINV[[#This Row],[SKU]],TablaSALIDA[SKU],TablaSALIDA[FECHA],,0,-1))," " )</f>
        <v xml:space="preserve"> </v>
      </c>
    </row>
    <row r="959" spans="1:21" x14ac:dyDescent="0.3">
      <c r="A959" s="27" t="s">
        <v>992</v>
      </c>
      <c r="B959" s="32" t="str">
        <f>_xlfn.XLOOKUP(TablaSTOCKINV[[#This Row],[SKU]],TablaINVENTARIO[SKU],TablaINVENTARIO[DESCRIPCION])</f>
        <v>WHELDOLET DE ACERO AL CARBON 1/2"</v>
      </c>
      <c r="C959" s="32" t="str">
        <f>_xlfn.XLOOKUP(TablaSTOCKINV[[#This Row],[SKU]],TablaINVENTARIO[SKU],TablaINVENTARIO[MARCA])</f>
        <v>N/A</v>
      </c>
      <c r="D959" s="33" t="str">
        <f>_xlfn.XLOOKUP(TablaSTOCKINV[[#This Row],[SKU]],TablaINVENTARIO[SKU],TablaINVENTARIO[CATEGORIA])</f>
        <v>FABRICACION</v>
      </c>
      <c r="E959" s="33" t="str">
        <f>_xlfn.XLOOKUP(TablaSTOCKINV[[#This Row],[SKU]],TablaINVENTARIO[SKU],TablaINVENTARIO[SUBCATEGORIA])</f>
        <v>MATERIAL MECANICO</v>
      </c>
      <c r="F959" s="33" t="str">
        <f>_xlfn.XLOOKUP(TablaSTOCKINV[[#This Row],[SKU]],TablaINVENTARIO[SKU],TablaINVENTARIO[ESTADO])</f>
        <v xml:space="preserve">NUEVO </v>
      </c>
      <c r="G959" s="33" t="str">
        <f>_xlfn.XLOOKUP(TablaSTOCKINV[[#This Row],[SKU]],TablaINVENTARIO[SKU],TablaINVENTARIO[MEDIDA])</f>
        <v>UND</v>
      </c>
      <c r="H959" s="33" t="str">
        <f>_xlfn.XLOOKUP(TablaSTOCKINV[[#This Row],[SKU]],TablaINVENTARIO[SKU],TablaINVENTARIO[SERIAL])</f>
        <v>N/A</v>
      </c>
      <c r="I959" s="34">
        <f>_xlfn.XLOOKUP(TablaSTOCKINV[[#This Row],[SKU]],TablaINVENTARIO[SKU],TablaINVENTARIO[ALMACEN])</f>
        <v>0</v>
      </c>
      <c r="J959" s="34" t="str">
        <f>_xlfn.XLOOKUP(TablaSTOCKINV[[#This Row],[SKU]],TablaINVENTARIO[SKU],TablaINVENTARIO[UBICACION])</f>
        <v>VER</v>
      </c>
      <c r="K959" s="34" t="str">
        <f>_xlfn.XLOOKUP(TablaSTOCKINV[[#This Row],[SKU]],TablaINVENTARIO[SKU],TablaINVENTARIO[DPTO RESPONSABLE])</f>
        <v>OPERACIONES</v>
      </c>
      <c r="L959" s="53">
        <f>_xlfn.XLOOKUP(TablaSTOCKINV[[#This Row],[SKU]],TablaINVENTARIO[SKU],TablaINVENTARIO[RANGO MIN])</f>
        <v>0</v>
      </c>
      <c r="M959" s="34" cm="1">
        <f t="array" ref="M959">_xlfn.IFS(TablaSTOCKINV[[#This Row],[CANT. TOTAL]]&lt;=0,1,TablaSTOCKINV[[#This Row],[CANT. TOTAL]]&lt;=TablaSTOCKINV[[#This Row],[MIN]],2,TablaSTOCKINV[[#This Row],[CANT. TOTAL]]&gt;TablaSTOCKINV[[#This Row],[MIN]],3)</f>
        <v>3</v>
      </c>
      <c r="N959" s="34">
        <f>TablaSTOCKINV[[#This Row],[ENTRADAS]]-TablaSTOCKINV[[#This Row],[SALIDAS]]</f>
        <v>3</v>
      </c>
      <c r="O959" s="35">
        <f>SUMIFS(TablaENTRADA[CANT],TablaENTRADA[SKU],TablaSTOCKINV[[#This Row],[SKU]])</f>
        <v>3</v>
      </c>
      <c r="P959" s="35">
        <f>SUMIFS(TablaSALIDA[CANT],TablaSALIDA[SKU],TablaSTOCKINV[[#This Row],[SKU]])</f>
        <v>0</v>
      </c>
      <c r="Q959" s="34">
        <f>_xlfn.XLOOKUP(TablaSTOCKINV[[#This Row],[SKU]],TablaINVENTARIO[SKU],TablaINVENTARIO[PRECIO])</f>
        <v>0</v>
      </c>
      <c r="R959" s="34">
        <f>TablaSTOCKINV[[#This Row],[P.UNITARIO]]*TablaSTOCKINV[[#This Row],[CANT. TOTAL]]</f>
        <v>0</v>
      </c>
      <c r="S959" s="44">
        <f>_xlfn.XLOOKUP(TablaSTOCKINV[[#This Row],[SKU]],TablaINVENTARIO[SKU],TablaINVENTARIO[FECHA INGRESO])</f>
        <v>46023</v>
      </c>
      <c r="T959" s="44">
        <f>_xlfn.XLOOKUP(TablaSTOCKINV[[#This Row],[SKU]],TablaENTRADA[SKU],TablaENTRADA[FECHA],,0,-1)</f>
        <v>46023</v>
      </c>
      <c r="U959" s="46" t="str">
        <f>IFERROR((_xlfn.XLOOKUP(TablaSTOCKINV[[#This Row],[SKU]],TablaSALIDA[SKU],TablaSALIDA[FECHA],,0,-1))," " )</f>
        <v xml:space="preserve"> </v>
      </c>
    </row>
    <row r="960" spans="1:21" x14ac:dyDescent="0.3">
      <c r="A960" s="27" t="s">
        <v>994</v>
      </c>
      <c r="B960" s="32" t="str">
        <f>_xlfn.XLOOKUP(TablaSTOCKINV[[#This Row],[SKU]],TablaINVENTARIO[SKU],TablaINVENTARIO[DESCRIPCION])</f>
        <v>WHELDOLET DE ACERO AL CARBON 1"</v>
      </c>
      <c r="C960" s="32" t="str">
        <f>_xlfn.XLOOKUP(TablaSTOCKINV[[#This Row],[SKU]],TablaINVENTARIO[SKU],TablaINVENTARIO[MARCA])</f>
        <v>N/A</v>
      </c>
      <c r="D960" s="33" t="str">
        <f>_xlfn.XLOOKUP(TablaSTOCKINV[[#This Row],[SKU]],TablaINVENTARIO[SKU],TablaINVENTARIO[CATEGORIA])</f>
        <v>FABRICACION</v>
      </c>
      <c r="E960" s="33" t="str">
        <f>_xlfn.XLOOKUP(TablaSTOCKINV[[#This Row],[SKU]],TablaINVENTARIO[SKU],TablaINVENTARIO[SUBCATEGORIA])</f>
        <v>MATERIAL MECANICO</v>
      </c>
      <c r="F960" s="33" t="str">
        <f>_xlfn.XLOOKUP(TablaSTOCKINV[[#This Row],[SKU]],TablaINVENTARIO[SKU],TablaINVENTARIO[ESTADO])</f>
        <v xml:space="preserve">NUEVO </v>
      </c>
      <c r="G960" s="33" t="str">
        <f>_xlfn.XLOOKUP(TablaSTOCKINV[[#This Row],[SKU]],TablaINVENTARIO[SKU],TablaINVENTARIO[MEDIDA])</f>
        <v>UND</v>
      </c>
      <c r="H960" s="33" t="str">
        <f>_xlfn.XLOOKUP(TablaSTOCKINV[[#This Row],[SKU]],TablaINVENTARIO[SKU],TablaINVENTARIO[SERIAL])</f>
        <v>N/A</v>
      </c>
      <c r="I960" s="34">
        <f>_xlfn.XLOOKUP(TablaSTOCKINV[[#This Row],[SKU]],TablaINVENTARIO[SKU],TablaINVENTARIO[ALMACEN])</f>
        <v>0</v>
      </c>
      <c r="J960" s="34" t="str">
        <f>_xlfn.XLOOKUP(TablaSTOCKINV[[#This Row],[SKU]],TablaINVENTARIO[SKU],TablaINVENTARIO[UBICACION])</f>
        <v>VER</v>
      </c>
      <c r="K960" s="34" t="str">
        <f>_xlfn.XLOOKUP(TablaSTOCKINV[[#This Row],[SKU]],TablaINVENTARIO[SKU],TablaINVENTARIO[DPTO RESPONSABLE])</f>
        <v>OPERACIONES</v>
      </c>
      <c r="L960" s="53">
        <f>_xlfn.XLOOKUP(TablaSTOCKINV[[#This Row],[SKU]],TablaINVENTARIO[SKU],TablaINVENTARIO[RANGO MIN])</f>
        <v>0</v>
      </c>
      <c r="M960" s="34" cm="1">
        <f t="array" ref="M960">_xlfn.IFS(TablaSTOCKINV[[#This Row],[CANT. TOTAL]]&lt;=0,1,TablaSTOCKINV[[#This Row],[CANT. TOTAL]]&lt;=TablaSTOCKINV[[#This Row],[MIN]],2,TablaSTOCKINV[[#This Row],[CANT. TOTAL]]&gt;TablaSTOCKINV[[#This Row],[MIN]],3)</f>
        <v>3</v>
      </c>
      <c r="N960" s="34">
        <f>TablaSTOCKINV[[#This Row],[ENTRADAS]]-TablaSTOCKINV[[#This Row],[SALIDAS]]</f>
        <v>26</v>
      </c>
      <c r="O960" s="35">
        <f>SUMIFS(TablaENTRADA[CANT],TablaENTRADA[SKU],TablaSTOCKINV[[#This Row],[SKU]])</f>
        <v>26</v>
      </c>
      <c r="P960" s="35">
        <f>SUMIFS(TablaSALIDA[CANT],TablaSALIDA[SKU],TablaSTOCKINV[[#This Row],[SKU]])</f>
        <v>0</v>
      </c>
      <c r="Q960" s="34">
        <f>_xlfn.XLOOKUP(TablaSTOCKINV[[#This Row],[SKU]],TablaINVENTARIO[SKU],TablaINVENTARIO[PRECIO])</f>
        <v>0</v>
      </c>
      <c r="R960" s="34">
        <f>TablaSTOCKINV[[#This Row],[P.UNITARIO]]*TablaSTOCKINV[[#This Row],[CANT. TOTAL]]</f>
        <v>0</v>
      </c>
      <c r="S960" s="44">
        <f>_xlfn.XLOOKUP(TablaSTOCKINV[[#This Row],[SKU]],TablaINVENTARIO[SKU],TablaINVENTARIO[FECHA INGRESO])</f>
        <v>46023</v>
      </c>
      <c r="T960" s="44">
        <f>_xlfn.XLOOKUP(TablaSTOCKINV[[#This Row],[SKU]],TablaENTRADA[SKU],TablaENTRADA[FECHA],,0,-1)</f>
        <v>46023</v>
      </c>
      <c r="U960" s="46" t="str">
        <f>IFERROR((_xlfn.XLOOKUP(TablaSTOCKINV[[#This Row],[SKU]],TablaSALIDA[SKU],TablaSALIDA[FECHA],,0,-1))," " )</f>
        <v xml:space="preserve"> </v>
      </c>
    </row>
    <row r="961" spans="1:21" x14ac:dyDescent="0.3">
      <c r="A961" s="27" t="s">
        <v>996</v>
      </c>
      <c r="B961" s="32" t="str">
        <f>_xlfn.XLOOKUP(TablaSTOCKINV[[#This Row],[SKU]],TablaINVENTARIO[SKU],TablaINVENTARIO[DESCRIPCION])</f>
        <v xml:space="preserve">CODO 45° PARA  TUBERIA DE ALTA PRESION 1/2" </v>
      </c>
      <c r="C961" s="32" t="str">
        <f>_xlfn.XLOOKUP(TablaSTOCKINV[[#This Row],[SKU]],TablaINVENTARIO[SKU],TablaINVENTARIO[MARCA])</f>
        <v>N/A</v>
      </c>
      <c r="D961" s="33" t="str">
        <f>_xlfn.XLOOKUP(TablaSTOCKINV[[#This Row],[SKU]],TablaINVENTARIO[SKU],TablaINVENTARIO[CATEGORIA])</f>
        <v>FABRICACION</v>
      </c>
      <c r="E961" s="33" t="str">
        <f>_xlfn.XLOOKUP(TablaSTOCKINV[[#This Row],[SKU]],TablaINVENTARIO[SKU],TablaINVENTARIO[SUBCATEGORIA])</f>
        <v>MATERIAL MECANICO</v>
      </c>
      <c r="F961" s="33" t="str">
        <f>_xlfn.XLOOKUP(TablaSTOCKINV[[#This Row],[SKU]],TablaINVENTARIO[SKU],TablaINVENTARIO[ESTADO])</f>
        <v xml:space="preserve">NUEVO </v>
      </c>
      <c r="G961" s="33" t="str">
        <f>_xlfn.XLOOKUP(TablaSTOCKINV[[#This Row],[SKU]],TablaINVENTARIO[SKU],TablaINVENTARIO[MEDIDA])</f>
        <v>UND</v>
      </c>
      <c r="H961" s="33" t="str">
        <f>_xlfn.XLOOKUP(TablaSTOCKINV[[#This Row],[SKU]],TablaINVENTARIO[SKU],TablaINVENTARIO[SERIAL])</f>
        <v>N/A</v>
      </c>
      <c r="I961" s="34">
        <f>_xlfn.XLOOKUP(TablaSTOCKINV[[#This Row],[SKU]],TablaINVENTARIO[SKU],TablaINVENTARIO[ALMACEN])</f>
        <v>0</v>
      </c>
      <c r="J961" s="34" t="str">
        <f>_xlfn.XLOOKUP(TablaSTOCKINV[[#This Row],[SKU]],TablaINVENTARIO[SKU],TablaINVENTARIO[UBICACION])</f>
        <v>VER</v>
      </c>
      <c r="K961" s="34" t="str">
        <f>_xlfn.XLOOKUP(TablaSTOCKINV[[#This Row],[SKU]],TablaINVENTARIO[SKU],TablaINVENTARIO[DPTO RESPONSABLE])</f>
        <v>OPERACIONES</v>
      </c>
      <c r="L961" s="53">
        <f>_xlfn.XLOOKUP(TablaSTOCKINV[[#This Row],[SKU]],TablaINVENTARIO[SKU],TablaINVENTARIO[RANGO MIN])</f>
        <v>0</v>
      </c>
      <c r="M961" s="34" cm="1">
        <f t="array" ref="M961">_xlfn.IFS(TablaSTOCKINV[[#This Row],[CANT. TOTAL]]&lt;=0,1,TablaSTOCKINV[[#This Row],[CANT. TOTAL]]&lt;=TablaSTOCKINV[[#This Row],[MIN]],2,TablaSTOCKINV[[#This Row],[CANT. TOTAL]]&gt;TablaSTOCKINV[[#This Row],[MIN]],3)</f>
        <v>3</v>
      </c>
      <c r="N961" s="34">
        <f>TablaSTOCKINV[[#This Row],[ENTRADAS]]-TablaSTOCKINV[[#This Row],[SALIDAS]]</f>
        <v>12</v>
      </c>
      <c r="O961" s="35">
        <f>SUMIFS(TablaENTRADA[CANT],TablaENTRADA[SKU],TablaSTOCKINV[[#This Row],[SKU]])</f>
        <v>12</v>
      </c>
      <c r="P961" s="35">
        <f>SUMIFS(TablaSALIDA[CANT],TablaSALIDA[SKU],TablaSTOCKINV[[#This Row],[SKU]])</f>
        <v>0</v>
      </c>
      <c r="Q961" s="34">
        <f>_xlfn.XLOOKUP(TablaSTOCKINV[[#This Row],[SKU]],TablaINVENTARIO[SKU],TablaINVENTARIO[PRECIO])</f>
        <v>0</v>
      </c>
      <c r="R961" s="34">
        <f>TablaSTOCKINV[[#This Row],[P.UNITARIO]]*TablaSTOCKINV[[#This Row],[CANT. TOTAL]]</f>
        <v>0</v>
      </c>
      <c r="S961" s="44">
        <f>_xlfn.XLOOKUP(TablaSTOCKINV[[#This Row],[SKU]],TablaINVENTARIO[SKU],TablaINVENTARIO[FECHA INGRESO])</f>
        <v>46023</v>
      </c>
      <c r="T961" s="44">
        <f>_xlfn.XLOOKUP(TablaSTOCKINV[[#This Row],[SKU]],TablaENTRADA[SKU],TablaENTRADA[FECHA],,0,-1)</f>
        <v>46023</v>
      </c>
      <c r="U961" s="46" t="str">
        <f>IFERROR((_xlfn.XLOOKUP(TablaSTOCKINV[[#This Row],[SKU]],TablaSALIDA[SKU],TablaSALIDA[FECHA],,0,-1))," " )</f>
        <v xml:space="preserve"> </v>
      </c>
    </row>
    <row r="962" spans="1:21" x14ac:dyDescent="0.3">
      <c r="A962" s="27" t="s">
        <v>998</v>
      </c>
      <c r="B962" s="32" t="str">
        <f>_xlfn.XLOOKUP(TablaSTOCKINV[[#This Row],[SKU]],TablaINVENTARIO[SKU],TablaINVENTARIO[DESCRIPCION])</f>
        <v>SOCKETWELD ACERO INOXIDABLE 3/4"</v>
      </c>
      <c r="C962" s="32" t="str">
        <f>_xlfn.XLOOKUP(TablaSTOCKINV[[#This Row],[SKU]],TablaINVENTARIO[SKU],TablaINVENTARIO[MARCA])</f>
        <v>N/A</v>
      </c>
      <c r="D962" s="33" t="str">
        <f>_xlfn.XLOOKUP(TablaSTOCKINV[[#This Row],[SKU]],TablaINVENTARIO[SKU],TablaINVENTARIO[CATEGORIA])</f>
        <v>FABRICACION</v>
      </c>
      <c r="E962" s="33" t="str">
        <f>_xlfn.XLOOKUP(TablaSTOCKINV[[#This Row],[SKU]],TablaINVENTARIO[SKU],TablaINVENTARIO[SUBCATEGORIA])</f>
        <v>MATERIAL MECANICO</v>
      </c>
      <c r="F962" s="33" t="str">
        <f>_xlfn.XLOOKUP(TablaSTOCKINV[[#This Row],[SKU]],TablaINVENTARIO[SKU],TablaINVENTARIO[ESTADO])</f>
        <v xml:space="preserve">NUEVO </v>
      </c>
      <c r="G962" s="33" t="str">
        <f>_xlfn.XLOOKUP(TablaSTOCKINV[[#This Row],[SKU]],TablaINVENTARIO[SKU],TablaINVENTARIO[MEDIDA])</f>
        <v>UND</v>
      </c>
      <c r="H962" s="33" t="str">
        <f>_xlfn.XLOOKUP(TablaSTOCKINV[[#This Row],[SKU]],TablaINVENTARIO[SKU],TablaINVENTARIO[SERIAL])</f>
        <v>N/A</v>
      </c>
      <c r="I962" s="34">
        <f>_xlfn.XLOOKUP(TablaSTOCKINV[[#This Row],[SKU]],TablaINVENTARIO[SKU],TablaINVENTARIO[ALMACEN])</f>
        <v>0</v>
      </c>
      <c r="J962" s="34" t="str">
        <f>_xlfn.XLOOKUP(TablaSTOCKINV[[#This Row],[SKU]],TablaINVENTARIO[SKU],TablaINVENTARIO[UBICACION])</f>
        <v>VER</v>
      </c>
      <c r="K962" s="34" t="str">
        <f>_xlfn.XLOOKUP(TablaSTOCKINV[[#This Row],[SKU]],TablaINVENTARIO[SKU],TablaINVENTARIO[DPTO RESPONSABLE])</f>
        <v>OPERACIONES</v>
      </c>
      <c r="L962" s="53">
        <f>_xlfn.XLOOKUP(TablaSTOCKINV[[#This Row],[SKU]],TablaINVENTARIO[SKU],TablaINVENTARIO[RANGO MIN])</f>
        <v>0</v>
      </c>
      <c r="M962" s="34" cm="1">
        <f t="array" ref="M962">_xlfn.IFS(TablaSTOCKINV[[#This Row],[CANT. TOTAL]]&lt;=0,1,TablaSTOCKINV[[#This Row],[CANT. TOTAL]]&lt;=TablaSTOCKINV[[#This Row],[MIN]],2,TablaSTOCKINV[[#This Row],[CANT. TOTAL]]&gt;TablaSTOCKINV[[#This Row],[MIN]],3)</f>
        <v>3</v>
      </c>
      <c r="N962" s="34">
        <f>TablaSTOCKINV[[#This Row],[ENTRADAS]]-TablaSTOCKINV[[#This Row],[SALIDAS]]</f>
        <v>4</v>
      </c>
      <c r="O962" s="35">
        <f>SUMIFS(TablaENTRADA[CANT],TablaENTRADA[SKU],TablaSTOCKINV[[#This Row],[SKU]])</f>
        <v>4</v>
      </c>
      <c r="P962" s="35">
        <f>SUMIFS(TablaSALIDA[CANT],TablaSALIDA[SKU],TablaSTOCKINV[[#This Row],[SKU]])</f>
        <v>0</v>
      </c>
      <c r="Q962" s="34">
        <f>_xlfn.XLOOKUP(TablaSTOCKINV[[#This Row],[SKU]],TablaINVENTARIO[SKU],TablaINVENTARIO[PRECIO])</f>
        <v>0</v>
      </c>
      <c r="R962" s="34">
        <f>TablaSTOCKINV[[#This Row],[P.UNITARIO]]*TablaSTOCKINV[[#This Row],[CANT. TOTAL]]</f>
        <v>0</v>
      </c>
      <c r="S962" s="44">
        <f>_xlfn.XLOOKUP(TablaSTOCKINV[[#This Row],[SKU]],TablaINVENTARIO[SKU],TablaINVENTARIO[FECHA INGRESO])</f>
        <v>46023</v>
      </c>
      <c r="T962" s="44">
        <f>_xlfn.XLOOKUP(TablaSTOCKINV[[#This Row],[SKU]],TablaENTRADA[SKU],TablaENTRADA[FECHA],,0,-1)</f>
        <v>46023</v>
      </c>
      <c r="U962" s="46" t="str">
        <f>IFERROR((_xlfn.XLOOKUP(TablaSTOCKINV[[#This Row],[SKU]],TablaSALIDA[SKU],TablaSALIDA[FECHA],,0,-1))," " )</f>
        <v xml:space="preserve"> </v>
      </c>
    </row>
    <row r="963" spans="1:21" x14ac:dyDescent="0.3">
      <c r="A963" s="27" t="s">
        <v>1000</v>
      </c>
      <c r="B963" s="32" t="str">
        <f>_xlfn.XLOOKUP(TablaSTOCKINV[[#This Row],[SKU]],TablaINVENTARIO[SKU],TablaINVENTARIO[DESCRIPCION])</f>
        <v>SOCKETWELD ACERO INOXIDABLE 1/2"</v>
      </c>
      <c r="C963" s="32" t="str">
        <f>_xlfn.XLOOKUP(TablaSTOCKINV[[#This Row],[SKU]],TablaINVENTARIO[SKU],TablaINVENTARIO[MARCA])</f>
        <v>N/A</v>
      </c>
      <c r="D963" s="33" t="str">
        <f>_xlfn.XLOOKUP(TablaSTOCKINV[[#This Row],[SKU]],TablaINVENTARIO[SKU],TablaINVENTARIO[CATEGORIA])</f>
        <v>FABRICACION</v>
      </c>
      <c r="E963" s="33" t="str">
        <f>_xlfn.XLOOKUP(TablaSTOCKINV[[#This Row],[SKU]],TablaINVENTARIO[SKU],TablaINVENTARIO[SUBCATEGORIA])</f>
        <v>MATERIAL MECANICO</v>
      </c>
      <c r="F963" s="33" t="str">
        <f>_xlfn.XLOOKUP(TablaSTOCKINV[[#This Row],[SKU]],TablaINVENTARIO[SKU],TablaINVENTARIO[ESTADO])</f>
        <v xml:space="preserve">NUEVO </v>
      </c>
      <c r="G963" s="33" t="str">
        <f>_xlfn.XLOOKUP(TablaSTOCKINV[[#This Row],[SKU]],TablaINVENTARIO[SKU],TablaINVENTARIO[MEDIDA])</f>
        <v>UND</v>
      </c>
      <c r="H963" s="33" t="str">
        <f>_xlfn.XLOOKUP(TablaSTOCKINV[[#This Row],[SKU]],TablaINVENTARIO[SKU],TablaINVENTARIO[SERIAL])</f>
        <v>N/A</v>
      </c>
      <c r="I963" s="34">
        <f>_xlfn.XLOOKUP(TablaSTOCKINV[[#This Row],[SKU]],TablaINVENTARIO[SKU],TablaINVENTARIO[ALMACEN])</f>
        <v>0</v>
      </c>
      <c r="J963" s="34" t="str">
        <f>_xlfn.XLOOKUP(TablaSTOCKINV[[#This Row],[SKU]],TablaINVENTARIO[SKU],TablaINVENTARIO[UBICACION])</f>
        <v>VER</v>
      </c>
      <c r="K963" s="34" t="str">
        <f>_xlfn.XLOOKUP(TablaSTOCKINV[[#This Row],[SKU]],TablaINVENTARIO[SKU],TablaINVENTARIO[DPTO RESPONSABLE])</f>
        <v>OPERACIONES</v>
      </c>
      <c r="L963" s="53">
        <f>_xlfn.XLOOKUP(TablaSTOCKINV[[#This Row],[SKU]],TablaINVENTARIO[SKU],TablaINVENTARIO[RANGO MIN])</f>
        <v>0</v>
      </c>
      <c r="M963" s="34" cm="1">
        <f t="array" ref="M963">_xlfn.IFS(TablaSTOCKINV[[#This Row],[CANT. TOTAL]]&lt;=0,1,TablaSTOCKINV[[#This Row],[CANT. TOTAL]]&lt;=TablaSTOCKINV[[#This Row],[MIN]],2,TablaSTOCKINV[[#This Row],[CANT. TOTAL]]&gt;TablaSTOCKINV[[#This Row],[MIN]],3)</f>
        <v>3</v>
      </c>
      <c r="N963" s="34">
        <f>TablaSTOCKINV[[#This Row],[ENTRADAS]]-TablaSTOCKINV[[#This Row],[SALIDAS]]</f>
        <v>10</v>
      </c>
      <c r="O963" s="35">
        <f>SUMIFS(TablaENTRADA[CANT],TablaENTRADA[SKU],TablaSTOCKINV[[#This Row],[SKU]])</f>
        <v>10</v>
      </c>
      <c r="P963" s="35">
        <f>SUMIFS(TablaSALIDA[CANT],TablaSALIDA[SKU],TablaSTOCKINV[[#This Row],[SKU]])</f>
        <v>0</v>
      </c>
      <c r="Q963" s="34">
        <f>_xlfn.XLOOKUP(TablaSTOCKINV[[#This Row],[SKU]],TablaINVENTARIO[SKU],TablaINVENTARIO[PRECIO])</f>
        <v>0</v>
      </c>
      <c r="R963" s="34">
        <f>TablaSTOCKINV[[#This Row],[P.UNITARIO]]*TablaSTOCKINV[[#This Row],[CANT. TOTAL]]</f>
        <v>0</v>
      </c>
      <c r="S963" s="44">
        <f>_xlfn.XLOOKUP(TablaSTOCKINV[[#This Row],[SKU]],TablaINVENTARIO[SKU],TablaINVENTARIO[FECHA INGRESO])</f>
        <v>46023</v>
      </c>
      <c r="T963" s="44">
        <f>_xlfn.XLOOKUP(TablaSTOCKINV[[#This Row],[SKU]],TablaENTRADA[SKU],TablaENTRADA[FECHA],,0,-1)</f>
        <v>46023</v>
      </c>
      <c r="U963" s="46" t="str">
        <f>IFERROR((_xlfn.XLOOKUP(TablaSTOCKINV[[#This Row],[SKU]],TablaSALIDA[SKU],TablaSALIDA[FECHA],,0,-1))," " )</f>
        <v xml:space="preserve"> </v>
      </c>
    </row>
    <row r="964" spans="1:21" x14ac:dyDescent="0.3">
      <c r="A964" s="27" t="s">
        <v>1002</v>
      </c>
      <c r="B964" s="32" t="str">
        <f>_xlfn.XLOOKUP(TablaSTOCKINV[[#This Row],[SKU]],TablaINVENTARIO[SKU],TablaINVENTARIO[DESCRIPCION])</f>
        <v>SOCKETWELD ACERO AL CARBON 1/2"</v>
      </c>
      <c r="C964" s="32" t="str">
        <f>_xlfn.XLOOKUP(TablaSTOCKINV[[#This Row],[SKU]],TablaINVENTARIO[SKU],TablaINVENTARIO[MARCA])</f>
        <v>N/A</v>
      </c>
      <c r="D964" s="33" t="str">
        <f>_xlfn.XLOOKUP(TablaSTOCKINV[[#This Row],[SKU]],TablaINVENTARIO[SKU],TablaINVENTARIO[CATEGORIA])</f>
        <v>FABRICACION</v>
      </c>
      <c r="E964" s="33" t="str">
        <f>_xlfn.XLOOKUP(TablaSTOCKINV[[#This Row],[SKU]],TablaINVENTARIO[SKU],TablaINVENTARIO[SUBCATEGORIA])</f>
        <v>MATERIAL MECANICO</v>
      </c>
      <c r="F964" s="33" t="str">
        <f>_xlfn.XLOOKUP(TablaSTOCKINV[[#This Row],[SKU]],TablaINVENTARIO[SKU],TablaINVENTARIO[ESTADO])</f>
        <v xml:space="preserve">NUEVO </v>
      </c>
      <c r="G964" s="33" t="str">
        <f>_xlfn.XLOOKUP(TablaSTOCKINV[[#This Row],[SKU]],TablaINVENTARIO[SKU],TablaINVENTARIO[MEDIDA])</f>
        <v>UND</v>
      </c>
      <c r="H964" s="33" t="str">
        <f>_xlfn.XLOOKUP(TablaSTOCKINV[[#This Row],[SKU]],TablaINVENTARIO[SKU],TablaINVENTARIO[SERIAL])</f>
        <v>N/A</v>
      </c>
      <c r="I964" s="34">
        <f>_xlfn.XLOOKUP(TablaSTOCKINV[[#This Row],[SKU]],TablaINVENTARIO[SKU],TablaINVENTARIO[ALMACEN])</f>
        <v>0</v>
      </c>
      <c r="J964" s="34" t="str">
        <f>_xlfn.XLOOKUP(TablaSTOCKINV[[#This Row],[SKU]],TablaINVENTARIO[SKU],TablaINVENTARIO[UBICACION])</f>
        <v>VER</v>
      </c>
      <c r="K964" s="34" t="str">
        <f>_xlfn.XLOOKUP(TablaSTOCKINV[[#This Row],[SKU]],TablaINVENTARIO[SKU],TablaINVENTARIO[DPTO RESPONSABLE])</f>
        <v>OPERACIONES</v>
      </c>
      <c r="L964" s="53">
        <f>_xlfn.XLOOKUP(TablaSTOCKINV[[#This Row],[SKU]],TablaINVENTARIO[SKU],TablaINVENTARIO[RANGO MIN])</f>
        <v>0</v>
      </c>
      <c r="M964" s="34" cm="1">
        <f t="array" ref="M964">_xlfn.IFS(TablaSTOCKINV[[#This Row],[CANT. TOTAL]]&lt;=0,1,TablaSTOCKINV[[#This Row],[CANT. TOTAL]]&lt;=TablaSTOCKINV[[#This Row],[MIN]],2,TablaSTOCKINV[[#This Row],[CANT. TOTAL]]&gt;TablaSTOCKINV[[#This Row],[MIN]],3)</f>
        <v>3</v>
      </c>
      <c r="N964" s="34">
        <f>TablaSTOCKINV[[#This Row],[ENTRADAS]]-TablaSTOCKINV[[#This Row],[SALIDAS]]</f>
        <v>15</v>
      </c>
      <c r="O964" s="35">
        <f>SUMIFS(TablaENTRADA[CANT],TablaENTRADA[SKU],TablaSTOCKINV[[#This Row],[SKU]])</f>
        <v>15</v>
      </c>
      <c r="P964" s="35">
        <f>SUMIFS(TablaSALIDA[CANT],TablaSALIDA[SKU],TablaSTOCKINV[[#This Row],[SKU]])</f>
        <v>0</v>
      </c>
      <c r="Q964" s="34">
        <f>_xlfn.XLOOKUP(TablaSTOCKINV[[#This Row],[SKU]],TablaINVENTARIO[SKU],TablaINVENTARIO[PRECIO])</f>
        <v>0</v>
      </c>
      <c r="R964" s="34">
        <f>TablaSTOCKINV[[#This Row],[P.UNITARIO]]*TablaSTOCKINV[[#This Row],[CANT. TOTAL]]</f>
        <v>0</v>
      </c>
      <c r="S964" s="44">
        <f>_xlfn.XLOOKUP(TablaSTOCKINV[[#This Row],[SKU]],TablaINVENTARIO[SKU],TablaINVENTARIO[FECHA INGRESO])</f>
        <v>46023</v>
      </c>
      <c r="T964" s="44">
        <f>_xlfn.XLOOKUP(TablaSTOCKINV[[#This Row],[SKU]],TablaENTRADA[SKU],TablaENTRADA[FECHA],,0,-1)</f>
        <v>46023</v>
      </c>
      <c r="U964" s="46" t="str">
        <f>IFERROR((_xlfn.XLOOKUP(TablaSTOCKINV[[#This Row],[SKU]],TablaSALIDA[SKU],TablaSALIDA[FECHA],,0,-1))," " )</f>
        <v xml:space="preserve"> </v>
      </c>
    </row>
    <row r="965" spans="1:21" x14ac:dyDescent="0.3">
      <c r="A965" s="27" t="s">
        <v>1004</v>
      </c>
      <c r="B965" s="32" t="str">
        <f>_xlfn.XLOOKUP(TablaSTOCKINV[[#This Row],[SKU]],TablaINVENTARIO[SKU],TablaINVENTARIO[DESCRIPCION])</f>
        <v>THEDOLETH DE ACERO AL CARBON 1"</v>
      </c>
      <c r="C965" s="32" t="str">
        <f>_xlfn.XLOOKUP(TablaSTOCKINV[[#This Row],[SKU]],TablaINVENTARIO[SKU],TablaINVENTARIO[MARCA])</f>
        <v>N/A</v>
      </c>
      <c r="D965" s="33" t="str">
        <f>_xlfn.XLOOKUP(TablaSTOCKINV[[#This Row],[SKU]],TablaINVENTARIO[SKU],TablaINVENTARIO[CATEGORIA])</f>
        <v>FABRICACION</v>
      </c>
      <c r="E965" s="33" t="str">
        <f>_xlfn.XLOOKUP(TablaSTOCKINV[[#This Row],[SKU]],TablaINVENTARIO[SKU],TablaINVENTARIO[SUBCATEGORIA])</f>
        <v>MATERIAL MECANICO</v>
      </c>
      <c r="F965" s="33" t="str">
        <f>_xlfn.XLOOKUP(TablaSTOCKINV[[#This Row],[SKU]],TablaINVENTARIO[SKU],TablaINVENTARIO[ESTADO])</f>
        <v xml:space="preserve">NUEVO </v>
      </c>
      <c r="G965" s="33" t="str">
        <f>_xlfn.XLOOKUP(TablaSTOCKINV[[#This Row],[SKU]],TablaINVENTARIO[SKU],TablaINVENTARIO[MEDIDA])</f>
        <v>UND</v>
      </c>
      <c r="H965" s="33" t="str">
        <f>_xlfn.XLOOKUP(TablaSTOCKINV[[#This Row],[SKU]],TablaINVENTARIO[SKU],TablaINVENTARIO[SERIAL])</f>
        <v>N/A</v>
      </c>
      <c r="I965" s="34">
        <f>_xlfn.XLOOKUP(TablaSTOCKINV[[#This Row],[SKU]],TablaINVENTARIO[SKU],TablaINVENTARIO[ALMACEN])</f>
        <v>0</v>
      </c>
      <c r="J965" s="34" t="str">
        <f>_xlfn.XLOOKUP(TablaSTOCKINV[[#This Row],[SKU]],TablaINVENTARIO[SKU],TablaINVENTARIO[UBICACION])</f>
        <v>VER</v>
      </c>
      <c r="K965" s="34" t="str">
        <f>_xlfn.XLOOKUP(TablaSTOCKINV[[#This Row],[SKU]],TablaINVENTARIO[SKU],TablaINVENTARIO[DPTO RESPONSABLE])</f>
        <v>OPERACIONES</v>
      </c>
      <c r="L965" s="53">
        <f>_xlfn.XLOOKUP(TablaSTOCKINV[[#This Row],[SKU]],TablaINVENTARIO[SKU],TablaINVENTARIO[RANGO MIN])</f>
        <v>0</v>
      </c>
      <c r="M965" s="34" cm="1">
        <f t="array" ref="M965">_xlfn.IFS(TablaSTOCKINV[[#This Row],[CANT. TOTAL]]&lt;=0,1,TablaSTOCKINV[[#This Row],[CANT. TOTAL]]&lt;=TablaSTOCKINV[[#This Row],[MIN]],2,TablaSTOCKINV[[#This Row],[CANT. TOTAL]]&gt;TablaSTOCKINV[[#This Row],[MIN]],3)</f>
        <v>3</v>
      </c>
      <c r="N965" s="34">
        <f>TablaSTOCKINV[[#This Row],[ENTRADAS]]-TablaSTOCKINV[[#This Row],[SALIDAS]]</f>
        <v>1</v>
      </c>
      <c r="O965" s="35">
        <f>SUMIFS(TablaENTRADA[CANT],TablaENTRADA[SKU],TablaSTOCKINV[[#This Row],[SKU]])</f>
        <v>1</v>
      </c>
      <c r="P965" s="35">
        <f>SUMIFS(TablaSALIDA[CANT],TablaSALIDA[SKU],TablaSTOCKINV[[#This Row],[SKU]])</f>
        <v>0</v>
      </c>
      <c r="Q965" s="34">
        <f>_xlfn.XLOOKUP(TablaSTOCKINV[[#This Row],[SKU]],TablaINVENTARIO[SKU],TablaINVENTARIO[PRECIO])</f>
        <v>0</v>
      </c>
      <c r="R965" s="34">
        <f>TablaSTOCKINV[[#This Row],[P.UNITARIO]]*TablaSTOCKINV[[#This Row],[CANT. TOTAL]]</f>
        <v>0</v>
      </c>
      <c r="S965" s="44">
        <f>_xlfn.XLOOKUP(TablaSTOCKINV[[#This Row],[SKU]],TablaINVENTARIO[SKU],TablaINVENTARIO[FECHA INGRESO])</f>
        <v>46023</v>
      </c>
      <c r="T965" s="44">
        <f>_xlfn.XLOOKUP(TablaSTOCKINV[[#This Row],[SKU]],TablaENTRADA[SKU],TablaENTRADA[FECHA],,0,-1)</f>
        <v>46023</v>
      </c>
      <c r="U965" s="46" t="str">
        <f>IFERROR((_xlfn.XLOOKUP(TablaSTOCKINV[[#This Row],[SKU]],TablaSALIDA[SKU],TablaSALIDA[FECHA],,0,-1))," " )</f>
        <v xml:space="preserve"> </v>
      </c>
    </row>
    <row r="966" spans="1:21" x14ac:dyDescent="0.3">
      <c r="A966" s="27" t="s">
        <v>1006</v>
      </c>
      <c r="B966" s="32" t="str">
        <f>_xlfn.XLOOKUP(TablaSTOCKINV[[#This Row],[SKU]],TablaINVENTARIO[SKU],TablaINVENTARIO[DESCRIPCION])</f>
        <v>VISCOSIMETRO MECANICO</v>
      </c>
      <c r="C966" s="32" t="str">
        <f>_xlfn.XLOOKUP(TablaSTOCKINV[[#This Row],[SKU]],TablaINVENTARIO[SKU],TablaINVENTARIO[MARCA])</f>
        <v>N/A</v>
      </c>
      <c r="D966" s="33" t="str">
        <f>_xlfn.XLOOKUP(TablaSTOCKINV[[#This Row],[SKU]],TablaINVENTARIO[SKU],TablaINVENTARIO[CATEGORIA])</f>
        <v>FABRICACION</v>
      </c>
      <c r="E966" s="33" t="str">
        <f>_xlfn.XLOOKUP(TablaSTOCKINV[[#This Row],[SKU]],TablaINVENTARIO[SKU],TablaINVENTARIO[SUBCATEGORIA])</f>
        <v>MATERIAL MECANICO</v>
      </c>
      <c r="F966" s="33" t="str">
        <f>_xlfn.XLOOKUP(TablaSTOCKINV[[#This Row],[SKU]],TablaINVENTARIO[SKU],TablaINVENTARIO[ESTADO])</f>
        <v xml:space="preserve">NUEVO </v>
      </c>
      <c r="G966" s="33" t="str">
        <f>_xlfn.XLOOKUP(TablaSTOCKINV[[#This Row],[SKU]],TablaINVENTARIO[SKU],TablaINVENTARIO[MEDIDA])</f>
        <v>UND</v>
      </c>
      <c r="H966" s="33" t="str">
        <f>_xlfn.XLOOKUP(TablaSTOCKINV[[#This Row],[SKU]],TablaINVENTARIO[SKU],TablaINVENTARIO[SERIAL])</f>
        <v>N/A</v>
      </c>
      <c r="I966" s="34">
        <f>_xlfn.XLOOKUP(TablaSTOCKINV[[#This Row],[SKU]],TablaINVENTARIO[SKU],TablaINVENTARIO[ALMACEN])</f>
        <v>0</v>
      </c>
      <c r="J966" s="34" t="str">
        <f>_xlfn.XLOOKUP(TablaSTOCKINV[[#This Row],[SKU]],TablaINVENTARIO[SKU],TablaINVENTARIO[UBICACION])</f>
        <v>I1-1</v>
      </c>
      <c r="K966" s="34" t="str">
        <f>_xlfn.XLOOKUP(TablaSTOCKINV[[#This Row],[SKU]],TablaINVENTARIO[SKU],TablaINVENTARIO[DPTO RESPONSABLE])</f>
        <v>OPERACIONES</v>
      </c>
      <c r="L966" s="53">
        <f>_xlfn.XLOOKUP(TablaSTOCKINV[[#This Row],[SKU]],TablaINVENTARIO[SKU],TablaINVENTARIO[RANGO MIN])</f>
        <v>0</v>
      </c>
      <c r="M966" s="34" cm="1">
        <f t="array" ref="M966">_xlfn.IFS(TablaSTOCKINV[[#This Row],[CANT. TOTAL]]&lt;=0,1,TablaSTOCKINV[[#This Row],[CANT. TOTAL]]&lt;=TablaSTOCKINV[[#This Row],[MIN]],2,TablaSTOCKINV[[#This Row],[CANT. TOTAL]]&gt;TablaSTOCKINV[[#This Row],[MIN]],3)</f>
        <v>3</v>
      </c>
      <c r="N966" s="34">
        <f>TablaSTOCKINV[[#This Row],[ENTRADAS]]-TablaSTOCKINV[[#This Row],[SALIDAS]]</f>
        <v>1</v>
      </c>
      <c r="O966" s="35">
        <f>SUMIFS(TablaENTRADA[CANT],TablaENTRADA[SKU],TablaSTOCKINV[[#This Row],[SKU]])</f>
        <v>1</v>
      </c>
      <c r="P966" s="35">
        <f>SUMIFS(TablaSALIDA[CANT],TablaSALIDA[SKU],TablaSTOCKINV[[#This Row],[SKU]])</f>
        <v>0</v>
      </c>
      <c r="Q966" s="34">
        <f>_xlfn.XLOOKUP(TablaSTOCKINV[[#This Row],[SKU]],TablaINVENTARIO[SKU],TablaINVENTARIO[PRECIO])</f>
        <v>0</v>
      </c>
      <c r="R966" s="34">
        <f>TablaSTOCKINV[[#This Row],[P.UNITARIO]]*TablaSTOCKINV[[#This Row],[CANT. TOTAL]]</f>
        <v>0</v>
      </c>
      <c r="S966" s="44">
        <f>_xlfn.XLOOKUP(TablaSTOCKINV[[#This Row],[SKU]],TablaINVENTARIO[SKU],TablaINVENTARIO[FECHA INGRESO])</f>
        <v>46023</v>
      </c>
      <c r="T966" s="44">
        <f>_xlfn.XLOOKUP(TablaSTOCKINV[[#This Row],[SKU]],TablaENTRADA[SKU],TablaENTRADA[FECHA],,0,-1)</f>
        <v>46023</v>
      </c>
      <c r="U966" s="46" t="str">
        <f>IFERROR((_xlfn.XLOOKUP(TablaSTOCKINV[[#This Row],[SKU]],TablaSALIDA[SKU],TablaSALIDA[FECHA],,0,-1))," " )</f>
        <v xml:space="preserve"> </v>
      </c>
    </row>
    <row r="967" spans="1:21" x14ac:dyDescent="0.3">
      <c r="A967" s="27" t="s">
        <v>1009</v>
      </c>
      <c r="B967" s="32" t="str">
        <f>_xlfn.XLOOKUP(TablaSTOCKINV[[#This Row],[SKU]],TablaINVENTARIO[SKU],TablaINVENTARIO[DESCRIPCION])</f>
        <v xml:space="preserve">MANGUERA DE PURGA DE MPFM </v>
      </c>
      <c r="C967" s="32" t="str">
        <f>_xlfn.XLOOKUP(TablaSTOCKINV[[#This Row],[SKU]],TablaINVENTARIO[SKU],TablaINVENTARIO[MARCA])</f>
        <v>N/A</v>
      </c>
      <c r="D967" s="33" t="str">
        <f>_xlfn.XLOOKUP(TablaSTOCKINV[[#This Row],[SKU]],TablaINVENTARIO[SKU],TablaINVENTARIO[CATEGORIA])</f>
        <v>FABRICACION</v>
      </c>
      <c r="E967" s="33" t="str">
        <f>_xlfn.XLOOKUP(TablaSTOCKINV[[#This Row],[SKU]],TablaINVENTARIO[SKU],TablaINVENTARIO[SUBCATEGORIA])</f>
        <v>MATERIAL MECANICO</v>
      </c>
      <c r="F967" s="33" t="str">
        <f>_xlfn.XLOOKUP(TablaSTOCKINV[[#This Row],[SKU]],TablaINVENTARIO[SKU],TablaINVENTARIO[ESTADO])</f>
        <v>USADO</v>
      </c>
      <c r="G967" s="33" t="str">
        <f>_xlfn.XLOOKUP(TablaSTOCKINV[[#This Row],[SKU]],TablaINVENTARIO[SKU],TablaINVENTARIO[MEDIDA])</f>
        <v>MTS</v>
      </c>
      <c r="H967" s="33" t="str">
        <f>_xlfn.XLOOKUP(TablaSTOCKINV[[#This Row],[SKU]],TablaINVENTARIO[SKU],TablaINVENTARIO[SERIAL])</f>
        <v>N/A</v>
      </c>
      <c r="I967" s="34">
        <f>_xlfn.XLOOKUP(TablaSTOCKINV[[#This Row],[SKU]],TablaINVENTARIO[SKU],TablaINVENTARIO[ALMACEN])</f>
        <v>0</v>
      </c>
      <c r="J967" s="34" t="str">
        <f>_xlfn.XLOOKUP(TablaSTOCKINV[[#This Row],[SKU]],TablaINVENTARIO[SKU],TablaINVENTARIO[UBICACION])</f>
        <v>I1-2</v>
      </c>
      <c r="K967" s="34" t="str">
        <f>_xlfn.XLOOKUP(TablaSTOCKINV[[#This Row],[SKU]],TablaINVENTARIO[SKU],TablaINVENTARIO[DPTO RESPONSABLE])</f>
        <v>OPERACIONES</v>
      </c>
      <c r="L967" s="53">
        <f>_xlfn.XLOOKUP(TablaSTOCKINV[[#This Row],[SKU]],TablaINVENTARIO[SKU],TablaINVENTARIO[RANGO MIN])</f>
        <v>0</v>
      </c>
      <c r="M967" s="34" cm="1">
        <f t="array" ref="M967">_xlfn.IFS(TablaSTOCKINV[[#This Row],[CANT. TOTAL]]&lt;=0,1,TablaSTOCKINV[[#This Row],[CANT. TOTAL]]&lt;=TablaSTOCKINV[[#This Row],[MIN]],2,TablaSTOCKINV[[#This Row],[CANT. TOTAL]]&gt;TablaSTOCKINV[[#This Row],[MIN]],3)</f>
        <v>3</v>
      </c>
      <c r="N967" s="34">
        <f>TablaSTOCKINV[[#This Row],[ENTRADAS]]-TablaSTOCKINV[[#This Row],[SALIDAS]]</f>
        <v>5.5</v>
      </c>
      <c r="O967" s="35">
        <f>SUMIFS(TablaENTRADA[CANT],TablaENTRADA[SKU],TablaSTOCKINV[[#This Row],[SKU]])</f>
        <v>5.5</v>
      </c>
      <c r="P967" s="35">
        <f>SUMIFS(TablaSALIDA[CANT],TablaSALIDA[SKU],TablaSTOCKINV[[#This Row],[SKU]])</f>
        <v>0</v>
      </c>
      <c r="Q967" s="34">
        <f>_xlfn.XLOOKUP(TablaSTOCKINV[[#This Row],[SKU]],TablaINVENTARIO[SKU],TablaINVENTARIO[PRECIO])</f>
        <v>0</v>
      </c>
      <c r="R967" s="34">
        <f>TablaSTOCKINV[[#This Row],[P.UNITARIO]]*TablaSTOCKINV[[#This Row],[CANT. TOTAL]]</f>
        <v>0</v>
      </c>
      <c r="S967" s="44">
        <f>_xlfn.XLOOKUP(TablaSTOCKINV[[#This Row],[SKU]],TablaINVENTARIO[SKU],TablaINVENTARIO[FECHA INGRESO])</f>
        <v>46023</v>
      </c>
      <c r="T967" s="44">
        <f>_xlfn.XLOOKUP(TablaSTOCKINV[[#This Row],[SKU]],TablaENTRADA[SKU],TablaENTRADA[FECHA],,0,-1)</f>
        <v>46023</v>
      </c>
      <c r="U967" s="46" t="str">
        <f>IFERROR((_xlfn.XLOOKUP(TablaSTOCKINV[[#This Row],[SKU]],TablaSALIDA[SKU],TablaSALIDA[FECHA],,0,-1))," " )</f>
        <v xml:space="preserve"> </v>
      </c>
    </row>
    <row r="968" spans="1:21" x14ac:dyDescent="0.3">
      <c r="A968" s="27" t="s">
        <v>1012</v>
      </c>
      <c r="B968" s="32" t="str">
        <f>_xlfn.XLOOKUP(TablaSTOCKINV[[#This Row],[SKU]],TablaINVENTARIO[SKU],TablaINVENTARIO[DESCRIPCION])</f>
        <v>LAMINA DE MALLA PARA FILTRO</v>
      </c>
      <c r="C968" s="32" t="str">
        <f>_xlfn.XLOOKUP(TablaSTOCKINV[[#This Row],[SKU]],TablaINVENTARIO[SKU],TablaINVENTARIO[MARCA])</f>
        <v>N/A</v>
      </c>
      <c r="D968" s="33" t="str">
        <f>_xlfn.XLOOKUP(TablaSTOCKINV[[#This Row],[SKU]],TablaINVENTARIO[SKU],TablaINVENTARIO[CATEGORIA])</f>
        <v>FABRICACION</v>
      </c>
      <c r="E968" s="33" t="str">
        <f>_xlfn.XLOOKUP(TablaSTOCKINV[[#This Row],[SKU]],TablaINVENTARIO[SKU],TablaINVENTARIO[SUBCATEGORIA])</f>
        <v>MATERIAL MECANICO</v>
      </c>
      <c r="F968" s="33" t="str">
        <f>_xlfn.XLOOKUP(TablaSTOCKINV[[#This Row],[SKU]],TablaINVENTARIO[SKU],TablaINVENTARIO[ESTADO])</f>
        <v xml:space="preserve">NUEVO </v>
      </c>
      <c r="G968" s="33" t="str">
        <f>_xlfn.XLOOKUP(TablaSTOCKINV[[#This Row],[SKU]],TablaINVENTARIO[SKU],TablaINVENTARIO[MEDIDA])</f>
        <v>UND</v>
      </c>
      <c r="H968" s="33" t="str">
        <f>_xlfn.XLOOKUP(TablaSTOCKINV[[#This Row],[SKU]],TablaINVENTARIO[SKU],TablaINVENTARIO[SERIAL])</f>
        <v>N/A</v>
      </c>
      <c r="I968" s="34">
        <f>_xlfn.XLOOKUP(TablaSTOCKINV[[#This Row],[SKU]],TablaINVENTARIO[SKU],TablaINVENTARIO[ALMACEN])</f>
        <v>0</v>
      </c>
      <c r="J968" s="34" t="str">
        <f>_xlfn.XLOOKUP(TablaSTOCKINV[[#This Row],[SKU]],TablaINVENTARIO[SKU],TablaINVENTARIO[UBICACION])</f>
        <v>I1-2</v>
      </c>
      <c r="K968" s="34" t="str">
        <f>_xlfn.XLOOKUP(TablaSTOCKINV[[#This Row],[SKU]],TablaINVENTARIO[SKU],TablaINVENTARIO[DPTO RESPONSABLE])</f>
        <v>OPERACIONES</v>
      </c>
      <c r="L968" s="53">
        <f>_xlfn.XLOOKUP(TablaSTOCKINV[[#This Row],[SKU]],TablaINVENTARIO[SKU],TablaINVENTARIO[RANGO MIN])</f>
        <v>0</v>
      </c>
      <c r="M968" s="34" cm="1">
        <f t="array" ref="M968">_xlfn.IFS(TablaSTOCKINV[[#This Row],[CANT. TOTAL]]&lt;=0,1,TablaSTOCKINV[[#This Row],[CANT. TOTAL]]&lt;=TablaSTOCKINV[[#This Row],[MIN]],2,TablaSTOCKINV[[#This Row],[CANT. TOTAL]]&gt;TablaSTOCKINV[[#This Row],[MIN]],3)</f>
        <v>3</v>
      </c>
      <c r="N968" s="34">
        <f>TablaSTOCKINV[[#This Row],[ENTRADAS]]-TablaSTOCKINV[[#This Row],[SALIDAS]]</f>
        <v>3</v>
      </c>
      <c r="O968" s="35">
        <f>SUMIFS(TablaENTRADA[CANT],TablaENTRADA[SKU],TablaSTOCKINV[[#This Row],[SKU]])</f>
        <v>3</v>
      </c>
      <c r="P968" s="35">
        <f>SUMIFS(TablaSALIDA[CANT],TablaSALIDA[SKU],TablaSTOCKINV[[#This Row],[SKU]])</f>
        <v>0</v>
      </c>
      <c r="Q968" s="34">
        <f>_xlfn.XLOOKUP(TablaSTOCKINV[[#This Row],[SKU]],TablaINVENTARIO[SKU],TablaINVENTARIO[PRECIO])</f>
        <v>0</v>
      </c>
      <c r="R968" s="34">
        <f>TablaSTOCKINV[[#This Row],[P.UNITARIO]]*TablaSTOCKINV[[#This Row],[CANT. TOTAL]]</f>
        <v>0</v>
      </c>
      <c r="S968" s="44">
        <f>_xlfn.XLOOKUP(TablaSTOCKINV[[#This Row],[SKU]],TablaINVENTARIO[SKU],TablaINVENTARIO[FECHA INGRESO])</f>
        <v>46023</v>
      </c>
      <c r="T968" s="44">
        <f>_xlfn.XLOOKUP(TablaSTOCKINV[[#This Row],[SKU]],TablaENTRADA[SKU],TablaENTRADA[FECHA],,0,-1)</f>
        <v>46023</v>
      </c>
      <c r="U968" s="46" t="str">
        <f>IFERROR((_xlfn.XLOOKUP(TablaSTOCKINV[[#This Row],[SKU]],TablaSALIDA[SKU],TablaSALIDA[FECHA],,0,-1))," " )</f>
        <v xml:space="preserve"> </v>
      </c>
    </row>
    <row r="969" spans="1:21" x14ac:dyDescent="0.3">
      <c r="A969" s="27" t="s">
        <v>1014</v>
      </c>
      <c r="B969" s="32" t="str">
        <f>_xlfn.XLOOKUP(TablaSTOCKINV[[#This Row],[SKU]],TablaINVENTARIO[SKU],TablaINVENTARIO[DESCRIPCION])</f>
        <v xml:space="preserve">BOMBA DE CEBADO MANUAL </v>
      </c>
      <c r="C969" s="32" t="str">
        <f>_xlfn.XLOOKUP(TablaSTOCKINV[[#This Row],[SKU]],TablaINVENTARIO[SKU],TablaINVENTARIO[MARCA])</f>
        <v>N/A</v>
      </c>
      <c r="D969" s="33" t="str">
        <f>_xlfn.XLOOKUP(TablaSTOCKINV[[#This Row],[SKU]],TablaINVENTARIO[SKU],TablaINVENTARIO[CATEGORIA])</f>
        <v>FABRICACION</v>
      </c>
      <c r="E969" s="33" t="str">
        <f>_xlfn.XLOOKUP(TablaSTOCKINV[[#This Row],[SKU]],TablaINVENTARIO[SKU],TablaINVENTARIO[SUBCATEGORIA])</f>
        <v>MATERIAL MECANICO</v>
      </c>
      <c r="F969" s="33" t="str">
        <f>_xlfn.XLOOKUP(TablaSTOCKINV[[#This Row],[SKU]],TablaINVENTARIO[SKU],TablaINVENTARIO[ESTADO])</f>
        <v xml:space="preserve">NUEVO </v>
      </c>
      <c r="G969" s="33" t="str">
        <f>_xlfn.XLOOKUP(TablaSTOCKINV[[#This Row],[SKU]],TablaINVENTARIO[SKU],TablaINVENTARIO[MEDIDA])</f>
        <v>UND</v>
      </c>
      <c r="H969" s="33" t="str">
        <f>_xlfn.XLOOKUP(TablaSTOCKINV[[#This Row],[SKU]],TablaINVENTARIO[SKU],TablaINVENTARIO[SERIAL])</f>
        <v>N/A</v>
      </c>
      <c r="I969" s="34">
        <f>_xlfn.XLOOKUP(TablaSTOCKINV[[#This Row],[SKU]],TablaINVENTARIO[SKU],TablaINVENTARIO[ALMACEN])</f>
        <v>0</v>
      </c>
      <c r="J969" s="34" t="str">
        <f>_xlfn.XLOOKUP(TablaSTOCKINV[[#This Row],[SKU]],TablaINVENTARIO[SKU],TablaINVENTARIO[UBICACION])</f>
        <v>I1-2</v>
      </c>
      <c r="K969" s="34" t="str">
        <f>_xlfn.XLOOKUP(TablaSTOCKINV[[#This Row],[SKU]],TablaINVENTARIO[SKU],TablaINVENTARIO[DPTO RESPONSABLE])</f>
        <v>OPERACIONES</v>
      </c>
      <c r="L969" s="53">
        <f>_xlfn.XLOOKUP(TablaSTOCKINV[[#This Row],[SKU]],TablaINVENTARIO[SKU],TablaINVENTARIO[RANGO MIN])</f>
        <v>0</v>
      </c>
      <c r="M969" s="34" cm="1">
        <f t="array" ref="M969">_xlfn.IFS(TablaSTOCKINV[[#This Row],[CANT. TOTAL]]&lt;=0,1,TablaSTOCKINV[[#This Row],[CANT. TOTAL]]&lt;=TablaSTOCKINV[[#This Row],[MIN]],2,TablaSTOCKINV[[#This Row],[CANT. TOTAL]]&gt;TablaSTOCKINV[[#This Row],[MIN]],3)</f>
        <v>3</v>
      </c>
      <c r="N969" s="34">
        <f>TablaSTOCKINV[[#This Row],[ENTRADAS]]-TablaSTOCKINV[[#This Row],[SALIDAS]]</f>
        <v>4</v>
      </c>
      <c r="O969" s="35">
        <f>SUMIFS(TablaENTRADA[CANT],TablaENTRADA[SKU],TablaSTOCKINV[[#This Row],[SKU]])</f>
        <v>4</v>
      </c>
      <c r="P969" s="35">
        <f>SUMIFS(TablaSALIDA[CANT],TablaSALIDA[SKU],TablaSTOCKINV[[#This Row],[SKU]])</f>
        <v>0</v>
      </c>
      <c r="Q969" s="34">
        <f>_xlfn.XLOOKUP(TablaSTOCKINV[[#This Row],[SKU]],TablaINVENTARIO[SKU],TablaINVENTARIO[PRECIO])</f>
        <v>0</v>
      </c>
      <c r="R969" s="34">
        <f>TablaSTOCKINV[[#This Row],[P.UNITARIO]]*TablaSTOCKINV[[#This Row],[CANT. TOTAL]]</f>
        <v>0</v>
      </c>
      <c r="S969" s="44">
        <f>_xlfn.XLOOKUP(TablaSTOCKINV[[#This Row],[SKU]],TablaINVENTARIO[SKU],TablaINVENTARIO[FECHA INGRESO])</f>
        <v>46023</v>
      </c>
      <c r="T969" s="44">
        <f>_xlfn.XLOOKUP(TablaSTOCKINV[[#This Row],[SKU]],TablaENTRADA[SKU],TablaENTRADA[FECHA],,0,-1)</f>
        <v>46023</v>
      </c>
      <c r="U969" s="46" t="str">
        <f>IFERROR((_xlfn.XLOOKUP(TablaSTOCKINV[[#This Row],[SKU]],TablaSALIDA[SKU],TablaSALIDA[FECHA],,0,-1))," " )</f>
        <v xml:space="preserve"> </v>
      </c>
    </row>
    <row r="970" spans="1:21" x14ac:dyDescent="0.3">
      <c r="A970" s="27" t="s">
        <v>1016</v>
      </c>
      <c r="B970" s="32" t="str">
        <f>_xlfn.XLOOKUP(TablaSTOCKINV[[#This Row],[SKU]],TablaINVENTARIO[SKU],TablaINVENTARIO[DESCRIPCION])</f>
        <v xml:space="preserve">VARILLA DE ACERO INOXIDABLE PARA ANTENA DE SONDA DE INTERFACE </v>
      </c>
      <c r="C970" s="32" t="str">
        <f>_xlfn.XLOOKUP(TablaSTOCKINV[[#This Row],[SKU]],TablaINVENTARIO[SKU],TablaINVENTARIO[MARCA])</f>
        <v>N/A</v>
      </c>
      <c r="D970" s="33" t="str">
        <f>_xlfn.XLOOKUP(TablaSTOCKINV[[#This Row],[SKU]],TablaINVENTARIO[SKU],TablaINVENTARIO[CATEGORIA])</f>
        <v>FABRICACION</v>
      </c>
      <c r="E970" s="33" t="str">
        <f>_xlfn.XLOOKUP(TablaSTOCKINV[[#This Row],[SKU]],TablaINVENTARIO[SKU],TablaINVENTARIO[SUBCATEGORIA])</f>
        <v>MATERIAL ELECTRICO</v>
      </c>
      <c r="F970" s="33" t="str">
        <f>_xlfn.XLOOKUP(TablaSTOCKINV[[#This Row],[SKU]],TablaINVENTARIO[SKU],TablaINVENTARIO[ESTADO])</f>
        <v xml:space="preserve">NUEVO </v>
      </c>
      <c r="G970" s="33" t="str">
        <f>_xlfn.XLOOKUP(TablaSTOCKINV[[#This Row],[SKU]],TablaINVENTARIO[SKU],TablaINVENTARIO[MEDIDA])</f>
        <v>UND</v>
      </c>
      <c r="H970" s="33" t="str">
        <f>_xlfn.XLOOKUP(TablaSTOCKINV[[#This Row],[SKU]],TablaINVENTARIO[SKU],TablaINVENTARIO[SERIAL])</f>
        <v>N/A</v>
      </c>
      <c r="I970" s="34">
        <f>_xlfn.XLOOKUP(TablaSTOCKINV[[#This Row],[SKU]],TablaINVENTARIO[SKU],TablaINVENTARIO[ALMACEN])</f>
        <v>0</v>
      </c>
      <c r="J970" s="34" t="str">
        <f>_xlfn.XLOOKUP(TablaSTOCKINV[[#This Row],[SKU]],TablaINVENTARIO[SKU],TablaINVENTARIO[UBICACION])</f>
        <v>I1-1</v>
      </c>
      <c r="K970" s="34" t="str">
        <f>_xlfn.XLOOKUP(TablaSTOCKINV[[#This Row],[SKU]],TablaINVENTARIO[SKU],TablaINVENTARIO[DPTO RESPONSABLE])</f>
        <v>OPERACIONES</v>
      </c>
      <c r="L970" s="53">
        <f>_xlfn.XLOOKUP(TablaSTOCKINV[[#This Row],[SKU]],TablaINVENTARIO[SKU],TablaINVENTARIO[RANGO MIN])</f>
        <v>0</v>
      </c>
      <c r="M970" s="34" cm="1">
        <f t="array" ref="M970">_xlfn.IFS(TablaSTOCKINV[[#This Row],[CANT. TOTAL]]&lt;=0,1,TablaSTOCKINV[[#This Row],[CANT. TOTAL]]&lt;=TablaSTOCKINV[[#This Row],[MIN]],2,TablaSTOCKINV[[#This Row],[CANT. TOTAL]]&gt;TablaSTOCKINV[[#This Row],[MIN]],3)</f>
        <v>3</v>
      </c>
      <c r="N970" s="34">
        <f>TablaSTOCKINV[[#This Row],[ENTRADAS]]-TablaSTOCKINV[[#This Row],[SALIDAS]]</f>
        <v>400</v>
      </c>
      <c r="O970" s="35">
        <f>SUMIFS(TablaENTRADA[CANT],TablaENTRADA[SKU],TablaSTOCKINV[[#This Row],[SKU]])</f>
        <v>400</v>
      </c>
      <c r="P970" s="35">
        <f>SUMIFS(TablaSALIDA[CANT],TablaSALIDA[SKU],TablaSTOCKINV[[#This Row],[SKU]])</f>
        <v>0</v>
      </c>
      <c r="Q970" s="34">
        <f>_xlfn.XLOOKUP(TablaSTOCKINV[[#This Row],[SKU]],TablaINVENTARIO[SKU],TablaINVENTARIO[PRECIO])</f>
        <v>0</v>
      </c>
      <c r="R970" s="34">
        <f>TablaSTOCKINV[[#This Row],[P.UNITARIO]]*TablaSTOCKINV[[#This Row],[CANT. TOTAL]]</f>
        <v>0</v>
      </c>
      <c r="S970" s="44">
        <f>_xlfn.XLOOKUP(TablaSTOCKINV[[#This Row],[SKU]],TablaINVENTARIO[SKU],TablaINVENTARIO[FECHA INGRESO])</f>
        <v>46023</v>
      </c>
      <c r="T970" s="44">
        <f>_xlfn.XLOOKUP(TablaSTOCKINV[[#This Row],[SKU]],TablaENTRADA[SKU],TablaENTRADA[FECHA],,0,-1)</f>
        <v>46023</v>
      </c>
      <c r="U970" s="46" t="str">
        <f>IFERROR((_xlfn.XLOOKUP(TablaSTOCKINV[[#This Row],[SKU]],TablaSALIDA[SKU],TablaSALIDA[FECHA],,0,-1))," " )</f>
        <v xml:space="preserve"> </v>
      </c>
    </row>
    <row r="971" spans="1:21" x14ac:dyDescent="0.3">
      <c r="A971" s="27" t="s">
        <v>1018</v>
      </c>
      <c r="B971" s="32" t="str">
        <f>_xlfn.XLOOKUP(TablaSTOCKINV[[#This Row],[SKU]],TablaINVENTARIO[SKU],TablaINVENTARIO[DESCRIPCION])</f>
        <v xml:space="preserve">TRANSMISOR DE PRESION 0-1000 PSI </v>
      </c>
      <c r="C971" s="32" t="str">
        <f>_xlfn.XLOOKUP(TablaSTOCKINV[[#This Row],[SKU]],TablaINVENTARIO[SKU],TablaINVENTARIO[MARCA])</f>
        <v xml:space="preserve">ROSEMOUNT </v>
      </c>
      <c r="D971" s="33" t="str">
        <f>_xlfn.XLOOKUP(TablaSTOCKINV[[#This Row],[SKU]],TablaINVENTARIO[SKU],TablaINVENTARIO[CATEGORIA])</f>
        <v>FABRICACION</v>
      </c>
      <c r="E971" s="33" t="str">
        <f>_xlfn.XLOOKUP(TablaSTOCKINV[[#This Row],[SKU]],TablaINVENTARIO[SKU],TablaINVENTARIO[SUBCATEGORIA])</f>
        <v>INSTRUMENTO DE MEDICION ELECTRICA</v>
      </c>
      <c r="F971" s="33" t="str">
        <f>_xlfn.XLOOKUP(TablaSTOCKINV[[#This Row],[SKU]],TablaINVENTARIO[SKU],TablaINVENTARIO[ESTADO])</f>
        <v xml:space="preserve">NUEVO </v>
      </c>
      <c r="G971" s="33" t="str">
        <f>_xlfn.XLOOKUP(TablaSTOCKINV[[#This Row],[SKU]],TablaINVENTARIO[SKU],TablaINVENTARIO[MEDIDA])</f>
        <v>UND</v>
      </c>
      <c r="H971" s="33" t="str">
        <f>_xlfn.XLOOKUP(TablaSTOCKINV[[#This Row],[SKU]],TablaINVENTARIO[SKU],TablaINVENTARIO[SERIAL])</f>
        <v>N/A</v>
      </c>
      <c r="I971" s="34">
        <f>_xlfn.XLOOKUP(TablaSTOCKINV[[#This Row],[SKU]],TablaINVENTARIO[SKU],TablaINVENTARIO[ALMACEN])</f>
        <v>0</v>
      </c>
      <c r="J971" s="34" t="str">
        <f>_xlfn.XLOOKUP(TablaSTOCKINV[[#This Row],[SKU]],TablaINVENTARIO[SKU],TablaINVENTARIO[UBICACION])</f>
        <v>I1-1</v>
      </c>
      <c r="K971" s="34" t="str">
        <f>_xlfn.XLOOKUP(TablaSTOCKINV[[#This Row],[SKU]],TablaINVENTARIO[SKU],TablaINVENTARIO[DPTO RESPONSABLE])</f>
        <v>OPERACIONES</v>
      </c>
      <c r="L971" s="53">
        <f>_xlfn.XLOOKUP(TablaSTOCKINV[[#This Row],[SKU]],TablaINVENTARIO[SKU],TablaINVENTARIO[RANGO MIN])</f>
        <v>0</v>
      </c>
      <c r="M971" s="34" cm="1">
        <f t="array" ref="M971">_xlfn.IFS(TablaSTOCKINV[[#This Row],[CANT. TOTAL]]&lt;=0,1,TablaSTOCKINV[[#This Row],[CANT. TOTAL]]&lt;=TablaSTOCKINV[[#This Row],[MIN]],2,TablaSTOCKINV[[#This Row],[CANT. TOTAL]]&gt;TablaSTOCKINV[[#This Row],[MIN]],3)</f>
        <v>3</v>
      </c>
      <c r="N971" s="34">
        <f>TablaSTOCKINV[[#This Row],[ENTRADAS]]-TablaSTOCKINV[[#This Row],[SALIDAS]]</f>
        <v>3</v>
      </c>
      <c r="O971" s="35">
        <f>SUMIFS(TablaENTRADA[CANT],TablaENTRADA[SKU],TablaSTOCKINV[[#This Row],[SKU]])</f>
        <v>3</v>
      </c>
      <c r="P971" s="35">
        <f>SUMIFS(TablaSALIDA[CANT],TablaSALIDA[SKU],TablaSTOCKINV[[#This Row],[SKU]])</f>
        <v>0</v>
      </c>
      <c r="Q971" s="34">
        <f>_xlfn.XLOOKUP(TablaSTOCKINV[[#This Row],[SKU]],TablaINVENTARIO[SKU],TablaINVENTARIO[PRECIO])</f>
        <v>0</v>
      </c>
      <c r="R971" s="34">
        <f>TablaSTOCKINV[[#This Row],[P.UNITARIO]]*TablaSTOCKINV[[#This Row],[CANT. TOTAL]]</f>
        <v>0</v>
      </c>
      <c r="S971" s="44">
        <f>_xlfn.XLOOKUP(TablaSTOCKINV[[#This Row],[SKU]],TablaINVENTARIO[SKU],TablaINVENTARIO[FECHA INGRESO])</f>
        <v>46023</v>
      </c>
      <c r="T971" s="44">
        <f>_xlfn.XLOOKUP(TablaSTOCKINV[[#This Row],[SKU]],TablaENTRADA[SKU],TablaENTRADA[FECHA],,0,-1)</f>
        <v>46023</v>
      </c>
      <c r="U971" s="46" t="str">
        <f>IFERROR((_xlfn.XLOOKUP(TablaSTOCKINV[[#This Row],[SKU]],TablaSALIDA[SKU],TablaSALIDA[FECHA],,0,-1))," " )</f>
        <v xml:space="preserve"> </v>
      </c>
    </row>
    <row r="972" spans="1:21" x14ac:dyDescent="0.3">
      <c r="A972" s="27" t="s">
        <v>1021</v>
      </c>
      <c r="B972" s="32" t="str">
        <f>_xlfn.XLOOKUP(TablaSTOCKINV[[#This Row],[SKU]],TablaINVENTARIO[SKU],TablaINVENTARIO[DESCRIPCION])</f>
        <v xml:space="preserve">SENSOR DE TEMPERATURA </v>
      </c>
      <c r="C972" s="32" t="str">
        <f>_xlfn.XLOOKUP(TablaSTOCKINV[[#This Row],[SKU]],TablaINVENTARIO[SKU],TablaINVENTARIO[MARCA])</f>
        <v xml:space="preserve">ROSEMOUNT </v>
      </c>
      <c r="D972" s="33" t="str">
        <f>_xlfn.XLOOKUP(TablaSTOCKINV[[#This Row],[SKU]],TablaINVENTARIO[SKU],TablaINVENTARIO[CATEGORIA])</f>
        <v>FABRICACION</v>
      </c>
      <c r="E972" s="33" t="str">
        <f>_xlfn.XLOOKUP(TablaSTOCKINV[[#This Row],[SKU]],TablaINVENTARIO[SKU],TablaINVENTARIO[SUBCATEGORIA])</f>
        <v>INSTRUMENTO DE MEDICION ELECTRICA</v>
      </c>
      <c r="F972" s="33" t="str">
        <f>_xlfn.XLOOKUP(TablaSTOCKINV[[#This Row],[SKU]],TablaINVENTARIO[SKU],TablaINVENTARIO[ESTADO])</f>
        <v xml:space="preserve">NUEVO </v>
      </c>
      <c r="G972" s="33" t="str">
        <f>_xlfn.XLOOKUP(TablaSTOCKINV[[#This Row],[SKU]],TablaINVENTARIO[SKU],TablaINVENTARIO[MEDIDA])</f>
        <v>UND</v>
      </c>
      <c r="H972" s="33" t="str">
        <f>_xlfn.XLOOKUP(TablaSTOCKINV[[#This Row],[SKU]],TablaINVENTARIO[SKU],TablaINVENTARIO[SERIAL])</f>
        <v>N/A</v>
      </c>
      <c r="I972" s="34">
        <f>_xlfn.XLOOKUP(TablaSTOCKINV[[#This Row],[SKU]],TablaINVENTARIO[SKU],TablaINVENTARIO[ALMACEN])</f>
        <v>0</v>
      </c>
      <c r="J972" s="34" t="str">
        <f>_xlfn.XLOOKUP(TablaSTOCKINV[[#This Row],[SKU]],TablaINVENTARIO[SKU],TablaINVENTARIO[UBICACION])</f>
        <v>I1-1</v>
      </c>
      <c r="K972" s="34" t="str">
        <f>_xlfn.XLOOKUP(TablaSTOCKINV[[#This Row],[SKU]],TablaINVENTARIO[SKU],TablaINVENTARIO[DPTO RESPONSABLE])</f>
        <v>OPERACIONES</v>
      </c>
      <c r="L972" s="53">
        <f>_xlfn.XLOOKUP(TablaSTOCKINV[[#This Row],[SKU]],TablaINVENTARIO[SKU],TablaINVENTARIO[RANGO MIN])</f>
        <v>0</v>
      </c>
      <c r="M972" s="34" cm="1">
        <f t="array" ref="M972">_xlfn.IFS(TablaSTOCKINV[[#This Row],[CANT. TOTAL]]&lt;=0,1,TablaSTOCKINV[[#This Row],[CANT. TOTAL]]&lt;=TablaSTOCKINV[[#This Row],[MIN]],2,TablaSTOCKINV[[#This Row],[CANT. TOTAL]]&gt;TablaSTOCKINV[[#This Row],[MIN]],3)</f>
        <v>3</v>
      </c>
      <c r="N972" s="34">
        <f>TablaSTOCKINV[[#This Row],[ENTRADAS]]-TablaSTOCKINV[[#This Row],[SALIDAS]]</f>
        <v>1</v>
      </c>
      <c r="O972" s="35">
        <f>SUMIFS(TablaENTRADA[CANT],TablaENTRADA[SKU],TablaSTOCKINV[[#This Row],[SKU]])</f>
        <v>1</v>
      </c>
      <c r="P972" s="35">
        <f>SUMIFS(TablaSALIDA[CANT],TablaSALIDA[SKU],TablaSTOCKINV[[#This Row],[SKU]])</f>
        <v>0</v>
      </c>
      <c r="Q972" s="34">
        <f>_xlfn.XLOOKUP(TablaSTOCKINV[[#This Row],[SKU]],TablaINVENTARIO[SKU],TablaINVENTARIO[PRECIO])</f>
        <v>0</v>
      </c>
      <c r="R972" s="34">
        <f>TablaSTOCKINV[[#This Row],[P.UNITARIO]]*TablaSTOCKINV[[#This Row],[CANT. TOTAL]]</f>
        <v>0</v>
      </c>
      <c r="S972" s="44">
        <f>_xlfn.XLOOKUP(TablaSTOCKINV[[#This Row],[SKU]],TablaINVENTARIO[SKU],TablaINVENTARIO[FECHA INGRESO])</f>
        <v>46023</v>
      </c>
      <c r="T972" s="44">
        <f>_xlfn.XLOOKUP(TablaSTOCKINV[[#This Row],[SKU]],TablaENTRADA[SKU],TablaENTRADA[FECHA],,0,-1)</f>
        <v>46023</v>
      </c>
      <c r="U972" s="46" t="str">
        <f>IFERROR((_xlfn.XLOOKUP(TablaSTOCKINV[[#This Row],[SKU]],TablaSALIDA[SKU],TablaSALIDA[FECHA],,0,-1))," " )</f>
        <v xml:space="preserve"> </v>
      </c>
    </row>
    <row r="973" spans="1:21" x14ac:dyDescent="0.3">
      <c r="A973" s="27" t="s">
        <v>1023</v>
      </c>
      <c r="B973" s="32" t="str">
        <f>_xlfn.XLOOKUP(TablaSTOCKINV[[#This Row],[SKU]],TablaINVENTARIO[SKU],TablaINVENTARIO[DESCRIPCION])</f>
        <v>TRANSMISOR DE PRESION DE 0-250 H2O</v>
      </c>
      <c r="C973" s="32" t="str">
        <f>_xlfn.XLOOKUP(TablaSTOCKINV[[#This Row],[SKU]],TablaINVENTARIO[SKU],TablaINVENTARIO[MARCA])</f>
        <v xml:space="preserve">ROSEMOUNT </v>
      </c>
      <c r="D973" s="33" t="str">
        <f>_xlfn.XLOOKUP(TablaSTOCKINV[[#This Row],[SKU]],TablaINVENTARIO[SKU],TablaINVENTARIO[CATEGORIA])</f>
        <v>FABRICACION</v>
      </c>
      <c r="E973" s="33" t="str">
        <f>_xlfn.XLOOKUP(TablaSTOCKINV[[#This Row],[SKU]],TablaINVENTARIO[SKU],TablaINVENTARIO[SUBCATEGORIA])</f>
        <v>INSTRUMENTO DE MEDICION ELECTRICA</v>
      </c>
      <c r="F973" s="33" t="str">
        <f>_xlfn.XLOOKUP(TablaSTOCKINV[[#This Row],[SKU]],TablaINVENTARIO[SKU],TablaINVENTARIO[ESTADO])</f>
        <v xml:space="preserve">NUEVO </v>
      </c>
      <c r="G973" s="33" t="str">
        <f>_xlfn.XLOOKUP(TablaSTOCKINV[[#This Row],[SKU]],TablaINVENTARIO[SKU],TablaINVENTARIO[MEDIDA])</f>
        <v>UND</v>
      </c>
      <c r="H973" s="33" t="str">
        <f>_xlfn.XLOOKUP(TablaSTOCKINV[[#This Row],[SKU]],TablaINVENTARIO[SKU],TablaINVENTARIO[SERIAL])</f>
        <v>N/A</v>
      </c>
      <c r="I973" s="34">
        <f>_xlfn.XLOOKUP(TablaSTOCKINV[[#This Row],[SKU]],TablaINVENTARIO[SKU],TablaINVENTARIO[ALMACEN])</f>
        <v>0</v>
      </c>
      <c r="J973" s="34" t="str">
        <f>_xlfn.XLOOKUP(TablaSTOCKINV[[#This Row],[SKU]],TablaINVENTARIO[SKU],TablaINVENTARIO[UBICACION])</f>
        <v>I1-1</v>
      </c>
      <c r="K973" s="34" t="str">
        <f>_xlfn.XLOOKUP(TablaSTOCKINV[[#This Row],[SKU]],TablaINVENTARIO[SKU],TablaINVENTARIO[DPTO RESPONSABLE])</f>
        <v>OPERACIONES</v>
      </c>
      <c r="L973" s="53">
        <f>_xlfn.XLOOKUP(TablaSTOCKINV[[#This Row],[SKU]],TablaINVENTARIO[SKU],TablaINVENTARIO[RANGO MIN])</f>
        <v>0</v>
      </c>
      <c r="M973" s="34" cm="1">
        <f t="array" ref="M973">_xlfn.IFS(TablaSTOCKINV[[#This Row],[CANT. TOTAL]]&lt;=0,1,TablaSTOCKINV[[#This Row],[CANT. TOTAL]]&lt;=TablaSTOCKINV[[#This Row],[MIN]],2,TablaSTOCKINV[[#This Row],[CANT. TOTAL]]&gt;TablaSTOCKINV[[#This Row],[MIN]],3)</f>
        <v>3</v>
      </c>
      <c r="N973" s="34">
        <f>TablaSTOCKINV[[#This Row],[ENTRADAS]]-TablaSTOCKINV[[#This Row],[SALIDAS]]</f>
        <v>2</v>
      </c>
      <c r="O973" s="35">
        <f>SUMIFS(TablaENTRADA[CANT],TablaENTRADA[SKU],TablaSTOCKINV[[#This Row],[SKU]])</f>
        <v>2</v>
      </c>
      <c r="P973" s="35">
        <f>SUMIFS(TablaSALIDA[CANT],TablaSALIDA[SKU],TablaSTOCKINV[[#This Row],[SKU]])</f>
        <v>0</v>
      </c>
      <c r="Q973" s="34">
        <f>_xlfn.XLOOKUP(TablaSTOCKINV[[#This Row],[SKU]],TablaINVENTARIO[SKU],TablaINVENTARIO[PRECIO])</f>
        <v>0</v>
      </c>
      <c r="R973" s="34">
        <f>TablaSTOCKINV[[#This Row],[P.UNITARIO]]*TablaSTOCKINV[[#This Row],[CANT. TOTAL]]</f>
        <v>0</v>
      </c>
      <c r="S973" s="44">
        <f>_xlfn.XLOOKUP(TablaSTOCKINV[[#This Row],[SKU]],TablaINVENTARIO[SKU],TablaINVENTARIO[FECHA INGRESO])</f>
        <v>46023</v>
      </c>
      <c r="T973" s="44">
        <f>_xlfn.XLOOKUP(TablaSTOCKINV[[#This Row],[SKU]],TablaENTRADA[SKU],TablaENTRADA[FECHA],,0,-1)</f>
        <v>46023</v>
      </c>
      <c r="U973" s="46" t="str">
        <f>IFERROR((_xlfn.XLOOKUP(TablaSTOCKINV[[#This Row],[SKU]],TablaSALIDA[SKU],TablaSALIDA[FECHA],,0,-1))," " )</f>
        <v xml:space="preserve"> </v>
      </c>
    </row>
    <row r="974" spans="1:21" x14ac:dyDescent="0.3">
      <c r="A974" s="27" t="s">
        <v>1025</v>
      </c>
      <c r="B974" s="32" t="str">
        <f>_xlfn.XLOOKUP(TablaSTOCKINV[[#This Row],[SKU]],TablaINVENTARIO[SKU],TablaINVENTARIO[DESCRIPCION])</f>
        <v>PLACA ORIFICIO 3"</v>
      </c>
      <c r="C974" s="32" t="str">
        <f>_xlfn.XLOOKUP(TablaSTOCKINV[[#This Row],[SKU]],TablaINVENTARIO[SKU],TablaINVENTARIO[MARCA])</f>
        <v>N/A</v>
      </c>
      <c r="D974" s="33" t="str">
        <f>_xlfn.XLOOKUP(TablaSTOCKINV[[#This Row],[SKU]],TablaINVENTARIO[SKU],TablaINVENTARIO[CATEGORIA])</f>
        <v>FABRICACION</v>
      </c>
      <c r="E974" s="33" t="str">
        <f>_xlfn.XLOOKUP(TablaSTOCKINV[[#This Row],[SKU]],TablaINVENTARIO[SKU],TablaINVENTARIO[SUBCATEGORIA])</f>
        <v>MATERIAL MECANICO</v>
      </c>
      <c r="F974" s="33" t="str">
        <f>_xlfn.XLOOKUP(TablaSTOCKINV[[#This Row],[SKU]],TablaINVENTARIO[SKU],TablaINVENTARIO[ESTADO])</f>
        <v>NUEVO</v>
      </c>
      <c r="G974" s="33" t="str">
        <f>_xlfn.XLOOKUP(TablaSTOCKINV[[#This Row],[SKU]],TablaINVENTARIO[SKU],TablaINVENTARIO[MEDIDA])</f>
        <v>UND</v>
      </c>
      <c r="H974" s="33" t="str">
        <f>_xlfn.XLOOKUP(TablaSTOCKINV[[#This Row],[SKU]],TablaINVENTARIO[SKU],TablaINVENTARIO[SERIAL])</f>
        <v>N/A</v>
      </c>
      <c r="I974" s="34">
        <f>_xlfn.XLOOKUP(TablaSTOCKINV[[#This Row],[SKU]],TablaINVENTARIO[SKU],TablaINVENTARIO[ALMACEN])</f>
        <v>0</v>
      </c>
      <c r="J974" s="34" t="str">
        <f>_xlfn.XLOOKUP(TablaSTOCKINV[[#This Row],[SKU]],TablaINVENTARIO[SKU],TablaINVENTARIO[UBICACION])</f>
        <v>H2-2</v>
      </c>
      <c r="K974" s="34" t="str">
        <f>_xlfn.XLOOKUP(TablaSTOCKINV[[#This Row],[SKU]],TablaINVENTARIO[SKU],TablaINVENTARIO[DPTO RESPONSABLE])</f>
        <v>OPERACIONES</v>
      </c>
      <c r="L974" s="53">
        <f>_xlfn.XLOOKUP(TablaSTOCKINV[[#This Row],[SKU]],TablaINVENTARIO[SKU],TablaINVENTARIO[RANGO MIN])</f>
        <v>0</v>
      </c>
      <c r="M974" s="34" cm="1">
        <f t="array" ref="M974">_xlfn.IFS(TablaSTOCKINV[[#This Row],[CANT. TOTAL]]&lt;=0,1,TablaSTOCKINV[[#This Row],[CANT. TOTAL]]&lt;=TablaSTOCKINV[[#This Row],[MIN]],2,TablaSTOCKINV[[#This Row],[CANT. TOTAL]]&gt;TablaSTOCKINV[[#This Row],[MIN]],3)</f>
        <v>3</v>
      </c>
      <c r="N974" s="34">
        <f>TablaSTOCKINV[[#This Row],[ENTRADAS]]-TablaSTOCKINV[[#This Row],[SALIDAS]]</f>
        <v>16</v>
      </c>
      <c r="O974" s="35">
        <f>SUMIFS(TablaENTRADA[CANT],TablaENTRADA[SKU],TablaSTOCKINV[[#This Row],[SKU]])</f>
        <v>16</v>
      </c>
      <c r="P974" s="35">
        <f>SUMIFS(TablaSALIDA[CANT],TablaSALIDA[SKU],TablaSTOCKINV[[#This Row],[SKU]])</f>
        <v>0</v>
      </c>
      <c r="Q974" s="34">
        <f>_xlfn.XLOOKUP(TablaSTOCKINV[[#This Row],[SKU]],TablaINVENTARIO[SKU],TablaINVENTARIO[PRECIO])</f>
        <v>0</v>
      </c>
      <c r="R974" s="34">
        <f>TablaSTOCKINV[[#This Row],[P.UNITARIO]]*TablaSTOCKINV[[#This Row],[CANT. TOTAL]]</f>
        <v>0</v>
      </c>
      <c r="S974" s="44">
        <f>_xlfn.XLOOKUP(TablaSTOCKINV[[#This Row],[SKU]],TablaINVENTARIO[SKU],TablaINVENTARIO[FECHA INGRESO])</f>
        <v>46023</v>
      </c>
      <c r="T974" s="44">
        <f>_xlfn.XLOOKUP(TablaSTOCKINV[[#This Row],[SKU]],TablaENTRADA[SKU],TablaENTRADA[FECHA],,0,-1)</f>
        <v>46023</v>
      </c>
      <c r="U974" s="46" t="str">
        <f>IFERROR((_xlfn.XLOOKUP(TablaSTOCKINV[[#This Row],[SKU]],TablaSALIDA[SKU],TablaSALIDA[FECHA],,0,-1))," " )</f>
        <v xml:space="preserve"> </v>
      </c>
    </row>
    <row r="975" spans="1:21" x14ac:dyDescent="0.3">
      <c r="A975" s="27" t="s">
        <v>1028</v>
      </c>
      <c r="B975" s="32" t="str">
        <f>_xlfn.XLOOKUP(TablaSTOCKINV[[#This Row],[SKU]],TablaINVENTARIO[SKU],TablaINVENTARIO[DESCRIPCION])</f>
        <v>PLACA ORIFICIO 6"</v>
      </c>
      <c r="C975" s="32" t="str">
        <f>_xlfn.XLOOKUP(TablaSTOCKINV[[#This Row],[SKU]],TablaINVENTARIO[SKU],TablaINVENTARIO[MARCA])</f>
        <v>N/A</v>
      </c>
      <c r="D975" s="33" t="str">
        <f>_xlfn.XLOOKUP(TablaSTOCKINV[[#This Row],[SKU]],TablaINVENTARIO[SKU],TablaINVENTARIO[CATEGORIA])</f>
        <v>FABRICACION</v>
      </c>
      <c r="E975" s="33" t="str">
        <f>_xlfn.XLOOKUP(TablaSTOCKINV[[#This Row],[SKU]],TablaINVENTARIO[SKU],TablaINVENTARIO[SUBCATEGORIA])</f>
        <v>MATERIAL MECANICO</v>
      </c>
      <c r="F975" s="33" t="str">
        <f>_xlfn.XLOOKUP(TablaSTOCKINV[[#This Row],[SKU]],TablaINVENTARIO[SKU],TablaINVENTARIO[ESTADO])</f>
        <v>NUEVO</v>
      </c>
      <c r="G975" s="33" t="str">
        <f>_xlfn.XLOOKUP(TablaSTOCKINV[[#This Row],[SKU]],TablaINVENTARIO[SKU],TablaINVENTARIO[MEDIDA])</f>
        <v>UND</v>
      </c>
      <c r="H975" s="33" t="str">
        <f>_xlfn.XLOOKUP(TablaSTOCKINV[[#This Row],[SKU]],TablaINVENTARIO[SKU],TablaINVENTARIO[SERIAL])</f>
        <v>N/A</v>
      </c>
      <c r="I975" s="34">
        <f>_xlfn.XLOOKUP(TablaSTOCKINV[[#This Row],[SKU]],TablaINVENTARIO[SKU],TablaINVENTARIO[ALMACEN])</f>
        <v>0</v>
      </c>
      <c r="J975" s="34" t="str">
        <f>_xlfn.XLOOKUP(TablaSTOCKINV[[#This Row],[SKU]],TablaINVENTARIO[SKU],TablaINVENTARIO[UBICACION])</f>
        <v>H2-2</v>
      </c>
      <c r="K975" s="34" t="str">
        <f>_xlfn.XLOOKUP(TablaSTOCKINV[[#This Row],[SKU]],TablaINVENTARIO[SKU],TablaINVENTARIO[DPTO RESPONSABLE])</f>
        <v>OPERACIONES</v>
      </c>
      <c r="L975" s="53">
        <f>_xlfn.XLOOKUP(TablaSTOCKINV[[#This Row],[SKU]],TablaINVENTARIO[SKU],TablaINVENTARIO[RANGO MIN])</f>
        <v>0</v>
      </c>
      <c r="M975" s="34" cm="1">
        <f t="array" ref="M975">_xlfn.IFS(TablaSTOCKINV[[#This Row],[CANT. TOTAL]]&lt;=0,1,TablaSTOCKINV[[#This Row],[CANT. TOTAL]]&lt;=TablaSTOCKINV[[#This Row],[MIN]],2,TablaSTOCKINV[[#This Row],[CANT. TOTAL]]&gt;TablaSTOCKINV[[#This Row],[MIN]],3)</f>
        <v>3</v>
      </c>
      <c r="N975" s="34">
        <f>TablaSTOCKINV[[#This Row],[ENTRADAS]]-TablaSTOCKINV[[#This Row],[SALIDAS]]</f>
        <v>8</v>
      </c>
      <c r="O975" s="35">
        <f>SUMIFS(TablaENTRADA[CANT],TablaENTRADA[SKU],TablaSTOCKINV[[#This Row],[SKU]])</f>
        <v>8</v>
      </c>
      <c r="P975" s="35">
        <f>SUMIFS(TablaSALIDA[CANT],TablaSALIDA[SKU],TablaSTOCKINV[[#This Row],[SKU]])</f>
        <v>0</v>
      </c>
      <c r="Q975" s="34">
        <f>_xlfn.XLOOKUP(TablaSTOCKINV[[#This Row],[SKU]],TablaINVENTARIO[SKU],TablaINVENTARIO[PRECIO])</f>
        <v>0</v>
      </c>
      <c r="R975" s="34">
        <f>TablaSTOCKINV[[#This Row],[P.UNITARIO]]*TablaSTOCKINV[[#This Row],[CANT. TOTAL]]</f>
        <v>0</v>
      </c>
      <c r="S975" s="44">
        <f>_xlfn.XLOOKUP(TablaSTOCKINV[[#This Row],[SKU]],TablaINVENTARIO[SKU],TablaINVENTARIO[FECHA INGRESO])</f>
        <v>46023</v>
      </c>
      <c r="T975" s="44">
        <f>_xlfn.XLOOKUP(TablaSTOCKINV[[#This Row],[SKU]],TablaENTRADA[SKU],TablaENTRADA[FECHA],,0,-1)</f>
        <v>46023</v>
      </c>
      <c r="U975" s="46" t="str">
        <f>IFERROR((_xlfn.XLOOKUP(TablaSTOCKINV[[#This Row],[SKU]],TablaSALIDA[SKU],TablaSALIDA[FECHA],,0,-1))," " )</f>
        <v xml:space="preserve"> </v>
      </c>
    </row>
    <row r="976" spans="1:21" x14ac:dyDescent="0.3">
      <c r="A976" s="27" t="s">
        <v>1030</v>
      </c>
      <c r="B976" s="32" t="str">
        <f>_xlfn.XLOOKUP(TablaSTOCKINV[[#This Row],[SKU]],TablaINVENTARIO[SKU],TablaINVENTARIO[DESCRIPCION])</f>
        <v>PLACA ORIFICIO 2"</v>
      </c>
      <c r="C976" s="32" t="str">
        <f>_xlfn.XLOOKUP(TablaSTOCKINV[[#This Row],[SKU]],TablaINVENTARIO[SKU],TablaINVENTARIO[MARCA])</f>
        <v>N/A</v>
      </c>
      <c r="D976" s="33" t="str">
        <f>_xlfn.XLOOKUP(TablaSTOCKINV[[#This Row],[SKU]],TablaINVENTARIO[SKU],TablaINVENTARIO[CATEGORIA])</f>
        <v>FABRICACION</v>
      </c>
      <c r="E976" s="33" t="str">
        <f>_xlfn.XLOOKUP(TablaSTOCKINV[[#This Row],[SKU]],TablaINVENTARIO[SKU],TablaINVENTARIO[SUBCATEGORIA])</f>
        <v>MATERIAL MECANICO</v>
      </c>
      <c r="F976" s="33" t="str">
        <f>_xlfn.XLOOKUP(TablaSTOCKINV[[#This Row],[SKU]],TablaINVENTARIO[SKU],TablaINVENTARIO[ESTADO])</f>
        <v>NUEVO</v>
      </c>
      <c r="G976" s="33" t="str">
        <f>_xlfn.XLOOKUP(TablaSTOCKINV[[#This Row],[SKU]],TablaINVENTARIO[SKU],TablaINVENTARIO[MEDIDA])</f>
        <v>UND</v>
      </c>
      <c r="H976" s="33" t="str">
        <f>_xlfn.XLOOKUP(TablaSTOCKINV[[#This Row],[SKU]],TablaINVENTARIO[SKU],TablaINVENTARIO[SERIAL])</f>
        <v>N/A</v>
      </c>
      <c r="I976" s="34">
        <f>_xlfn.XLOOKUP(TablaSTOCKINV[[#This Row],[SKU]],TablaINVENTARIO[SKU],TablaINVENTARIO[ALMACEN])</f>
        <v>0</v>
      </c>
      <c r="J976" s="34" t="str">
        <f>_xlfn.XLOOKUP(TablaSTOCKINV[[#This Row],[SKU]],TablaINVENTARIO[SKU],TablaINVENTARIO[UBICACION])</f>
        <v>H2-2</v>
      </c>
      <c r="K976" s="34" t="str">
        <f>_xlfn.XLOOKUP(TablaSTOCKINV[[#This Row],[SKU]],TablaINVENTARIO[SKU],TablaINVENTARIO[DPTO RESPONSABLE])</f>
        <v>OPERACIONES</v>
      </c>
      <c r="L976" s="53">
        <f>_xlfn.XLOOKUP(TablaSTOCKINV[[#This Row],[SKU]],TablaINVENTARIO[SKU],TablaINVENTARIO[RANGO MIN])</f>
        <v>0</v>
      </c>
      <c r="M976" s="34" cm="1">
        <f t="array" ref="M976">_xlfn.IFS(TablaSTOCKINV[[#This Row],[CANT. TOTAL]]&lt;=0,1,TablaSTOCKINV[[#This Row],[CANT. TOTAL]]&lt;=TablaSTOCKINV[[#This Row],[MIN]],2,TablaSTOCKINV[[#This Row],[CANT. TOTAL]]&gt;TablaSTOCKINV[[#This Row],[MIN]],3)</f>
        <v>3</v>
      </c>
      <c r="N976" s="34">
        <f>TablaSTOCKINV[[#This Row],[ENTRADAS]]-TablaSTOCKINV[[#This Row],[SALIDAS]]</f>
        <v>3</v>
      </c>
      <c r="O976" s="35">
        <f>SUMIFS(TablaENTRADA[CANT],TablaENTRADA[SKU],TablaSTOCKINV[[#This Row],[SKU]])</f>
        <v>3</v>
      </c>
      <c r="P976" s="35">
        <f>SUMIFS(TablaSALIDA[CANT],TablaSALIDA[SKU],TablaSTOCKINV[[#This Row],[SKU]])</f>
        <v>0</v>
      </c>
      <c r="Q976" s="34">
        <f>_xlfn.XLOOKUP(TablaSTOCKINV[[#This Row],[SKU]],TablaINVENTARIO[SKU],TablaINVENTARIO[PRECIO])</f>
        <v>0</v>
      </c>
      <c r="R976" s="34">
        <f>TablaSTOCKINV[[#This Row],[P.UNITARIO]]*TablaSTOCKINV[[#This Row],[CANT. TOTAL]]</f>
        <v>0</v>
      </c>
      <c r="S976" s="44">
        <f>_xlfn.XLOOKUP(TablaSTOCKINV[[#This Row],[SKU]],TablaINVENTARIO[SKU],TablaINVENTARIO[FECHA INGRESO])</f>
        <v>46023</v>
      </c>
      <c r="T976" s="44">
        <f>_xlfn.XLOOKUP(TablaSTOCKINV[[#This Row],[SKU]],TablaENTRADA[SKU],TablaENTRADA[FECHA],,0,-1)</f>
        <v>46023</v>
      </c>
      <c r="U976" s="46" t="str">
        <f>IFERROR((_xlfn.XLOOKUP(TablaSTOCKINV[[#This Row],[SKU]],TablaSALIDA[SKU],TablaSALIDA[FECHA],,0,-1))," " )</f>
        <v xml:space="preserve"> </v>
      </c>
    </row>
    <row r="977" spans="1:21" x14ac:dyDescent="0.3">
      <c r="A977" s="27" t="s">
        <v>1032</v>
      </c>
      <c r="B977" s="32" t="str">
        <f>_xlfn.XLOOKUP(TablaSTOCKINV[[#This Row],[SKU]],TablaINVENTARIO[SKU],TablaINVENTARIO[DESCRIPCION])</f>
        <v>CARCASA ID</v>
      </c>
      <c r="C977" s="32" t="str">
        <f>_xlfn.XLOOKUP(TablaSTOCKINV[[#This Row],[SKU]],TablaINVENTARIO[SKU],TablaINVENTARIO[MARCA])</f>
        <v>N/A</v>
      </c>
      <c r="D977" s="33" t="str">
        <f>_xlfn.XLOOKUP(TablaSTOCKINV[[#This Row],[SKU]],TablaINVENTARIO[SKU],TablaINVENTARIO[CATEGORIA])</f>
        <v>FABRICACION</v>
      </c>
      <c r="E977" s="33" t="str">
        <f>_xlfn.XLOOKUP(TablaSTOCKINV[[#This Row],[SKU]],TablaINVENTARIO[SKU],TablaINVENTARIO[SUBCATEGORIA])</f>
        <v>MATERIAL MECANICO</v>
      </c>
      <c r="F977" s="33" t="str">
        <f>_xlfn.XLOOKUP(TablaSTOCKINV[[#This Row],[SKU]],TablaINVENTARIO[SKU],TablaINVENTARIO[ESTADO])</f>
        <v>USADO</v>
      </c>
      <c r="G977" s="33" t="str">
        <f>_xlfn.XLOOKUP(TablaSTOCKINV[[#This Row],[SKU]],TablaINVENTARIO[SKU],TablaINVENTARIO[MEDIDA])</f>
        <v xml:space="preserve">UND </v>
      </c>
      <c r="H977" s="33" t="str">
        <f>_xlfn.XLOOKUP(TablaSTOCKINV[[#This Row],[SKU]],TablaINVENTARIO[SKU],TablaINVENTARIO[SERIAL])</f>
        <v>N/A</v>
      </c>
      <c r="I977" s="34">
        <f>_xlfn.XLOOKUP(TablaSTOCKINV[[#This Row],[SKU]],TablaINVENTARIO[SKU],TablaINVENTARIO[ALMACEN])</f>
        <v>0</v>
      </c>
      <c r="J977" s="34" t="str">
        <f>_xlfn.XLOOKUP(TablaSTOCKINV[[#This Row],[SKU]],TablaINVENTARIO[SKU],TablaINVENTARIO[UBICACION])</f>
        <v>H4-1</v>
      </c>
      <c r="K977" s="34" t="str">
        <f>_xlfn.XLOOKUP(TablaSTOCKINV[[#This Row],[SKU]],TablaINVENTARIO[SKU],TablaINVENTARIO[DPTO RESPONSABLE])</f>
        <v>OPERACIONES</v>
      </c>
      <c r="L977" s="53">
        <f>_xlfn.XLOOKUP(TablaSTOCKINV[[#This Row],[SKU]],TablaINVENTARIO[SKU],TablaINVENTARIO[RANGO MIN])</f>
        <v>0</v>
      </c>
      <c r="M977" s="34" cm="1">
        <f t="array" ref="M977">_xlfn.IFS(TablaSTOCKINV[[#This Row],[CANT. TOTAL]]&lt;=0,1,TablaSTOCKINV[[#This Row],[CANT. TOTAL]]&lt;=TablaSTOCKINV[[#This Row],[MIN]],2,TablaSTOCKINV[[#This Row],[CANT. TOTAL]]&gt;TablaSTOCKINV[[#This Row],[MIN]],3)</f>
        <v>3</v>
      </c>
      <c r="N977" s="34">
        <f>TablaSTOCKINV[[#This Row],[ENTRADAS]]-TablaSTOCKINV[[#This Row],[SALIDAS]]</f>
        <v>19</v>
      </c>
      <c r="O977" s="35">
        <f>SUMIFS(TablaENTRADA[CANT],TablaENTRADA[SKU],TablaSTOCKINV[[#This Row],[SKU]])</f>
        <v>19</v>
      </c>
      <c r="P977" s="35">
        <f>SUMIFS(TablaSALIDA[CANT],TablaSALIDA[SKU],TablaSTOCKINV[[#This Row],[SKU]])</f>
        <v>0</v>
      </c>
      <c r="Q977" s="34">
        <f>_xlfn.XLOOKUP(TablaSTOCKINV[[#This Row],[SKU]],TablaINVENTARIO[SKU],TablaINVENTARIO[PRECIO])</f>
        <v>0</v>
      </c>
      <c r="R977" s="34">
        <f>TablaSTOCKINV[[#This Row],[P.UNITARIO]]*TablaSTOCKINV[[#This Row],[CANT. TOTAL]]</f>
        <v>0</v>
      </c>
      <c r="S977" s="44">
        <f>_xlfn.XLOOKUP(TablaSTOCKINV[[#This Row],[SKU]],TablaINVENTARIO[SKU],TablaINVENTARIO[FECHA INGRESO])</f>
        <v>46023</v>
      </c>
      <c r="T977" s="44">
        <f>_xlfn.XLOOKUP(TablaSTOCKINV[[#This Row],[SKU]],TablaENTRADA[SKU],TablaENTRADA[FECHA],,0,-1)</f>
        <v>46023</v>
      </c>
      <c r="U977" s="46" t="str">
        <f>IFERROR((_xlfn.XLOOKUP(TablaSTOCKINV[[#This Row],[SKU]],TablaSALIDA[SKU],TablaSALIDA[FECHA],,0,-1))," " )</f>
        <v xml:space="preserve"> </v>
      </c>
    </row>
    <row r="978" spans="1:21" x14ac:dyDescent="0.3">
      <c r="A978" s="27" t="s">
        <v>1035</v>
      </c>
      <c r="B978" s="32" t="str">
        <f>_xlfn.XLOOKUP(TablaSTOCKINV[[#This Row],[SKU]],TablaINVENTARIO[SKU],TablaINVENTARIO[DESCRIPCION])</f>
        <v>SUJETADOR DE OW 34058</v>
      </c>
      <c r="C978" s="32" t="str">
        <f>_xlfn.XLOOKUP(TablaSTOCKINV[[#This Row],[SKU]],TablaINVENTARIO[SKU],TablaINVENTARIO[MARCA])</f>
        <v>N/A</v>
      </c>
      <c r="D978" s="33" t="str">
        <f>_xlfn.XLOOKUP(TablaSTOCKINV[[#This Row],[SKU]],TablaINVENTARIO[SKU],TablaINVENTARIO[CATEGORIA])</f>
        <v>FABRICACION</v>
      </c>
      <c r="E978" s="33" t="str">
        <f>_xlfn.XLOOKUP(TablaSTOCKINV[[#This Row],[SKU]],TablaINVENTARIO[SKU],TablaINVENTARIO[SUBCATEGORIA])</f>
        <v>MATERIAL MECANICO</v>
      </c>
      <c r="F978" s="33" t="str">
        <f>_xlfn.XLOOKUP(TablaSTOCKINV[[#This Row],[SKU]],TablaINVENTARIO[SKU],TablaINVENTARIO[ESTADO])</f>
        <v>NUEVO</v>
      </c>
      <c r="G978" s="33" t="str">
        <f>_xlfn.XLOOKUP(TablaSTOCKINV[[#This Row],[SKU]],TablaINVENTARIO[SKU],TablaINVENTARIO[MEDIDA])</f>
        <v xml:space="preserve">UND </v>
      </c>
      <c r="H978" s="33" t="str">
        <f>_xlfn.XLOOKUP(TablaSTOCKINV[[#This Row],[SKU]],TablaINVENTARIO[SKU],TablaINVENTARIO[SERIAL])</f>
        <v>N/A</v>
      </c>
      <c r="I978" s="34">
        <f>_xlfn.XLOOKUP(TablaSTOCKINV[[#This Row],[SKU]],TablaINVENTARIO[SKU],TablaINVENTARIO[ALMACEN])</f>
        <v>0</v>
      </c>
      <c r="J978" s="34" t="str">
        <f>_xlfn.XLOOKUP(TablaSTOCKINV[[#This Row],[SKU]],TablaINVENTARIO[SKU],TablaINVENTARIO[UBICACION])</f>
        <v>H2-2</v>
      </c>
      <c r="K978" s="34" t="str">
        <f>_xlfn.XLOOKUP(TablaSTOCKINV[[#This Row],[SKU]],TablaINVENTARIO[SKU],TablaINVENTARIO[DPTO RESPONSABLE])</f>
        <v>OPERACIONES</v>
      </c>
      <c r="L978" s="53">
        <f>_xlfn.XLOOKUP(TablaSTOCKINV[[#This Row],[SKU]],TablaINVENTARIO[SKU],TablaINVENTARIO[RANGO MIN])</f>
        <v>0</v>
      </c>
      <c r="M978" s="34" cm="1">
        <f t="array" ref="M978">_xlfn.IFS(TablaSTOCKINV[[#This Row],[CANT. TOTAL]]&lt;=0,1,TablaSTOCKINV[[#This Row],[CANT. TOTAL]]&lt;=TablaSTOCKINV[[#This Row],[MIN]],2,TablaSTOCKINV[[#This Row],[CANT. TOTAL]]&gt;TablaSTOCKINV[[#This Row],[MIN]],3)</f>
        <v>3</v>
      </c>
      <c r="N978" s="34">
        <f>TablaSTOCKINV[[#This Row],[ENTRADAS]]-TablaSTOCKINV[[#This Row],[SALIDAS]]</f>
        <v>12</v>
      </c>
      <c r="O978" s="35">
        <f>SUMIFS(TablaENTRADA[CANT],TablaENTRADA[SKU],TablaSTOCKINV[[#This Row],[SKU]])</f>
        <v>12</v>
      </c>
      <c r="P978" s="35">
        <f>SUMIFS(TablaSALIDA[CANT],TablaSALIDA[SKU],TablaSTOCKINV[[#This Row],[SKU]])</f>
        <v>0</v>
      </c>
      <c r="Q978" s="34">
        <f>_xlfn.XLOOKUP(TablaSTOCKINV[[#This Row],[SKU]],TablaINVENTARIO[SKU],TablaINVENTARIO[PRECIO])</f>
        <v>0</v>
      </c>
      <c r="R978" s="34">
        <f>TablaSTOCKINV[[#This Row],[P.UNITARIO]]*TablaSTOCKINV[[#This Row],[CANT. TOTAL]]</f>
        <v>0</v>
      </c>
      <c r="S978" s="44">
        <f>_xlfn.XLOOKUP(TablaSTOCKINV[[#This Row],[SKU]],TablaINVENTARIO[SKU],TablaINVENTARIO[FECHA INGRESO])</f>
        <v>46023</v>
      </c>
      <c r="T978" s="44">
        <f>_xlfn.XLOOKUP(TablaSTOCKINV[[#This Row],[SKU]],TablaENTRADA[SKU],TablaENTRADA[FECHA],,0,-1)</f>
        <v>46023</v>
      </c>
      <c r="U978" s="46" t="str">
        <f>IFERROR((_xlfn.XLOOKUP(TablaSTOCKINV[[#This Row],[SKU]],TablaSALIDA[SKU],TablaSALIDA[FECHA],,0,-1))," " )</f>
        <v xml:space="preserve"> </v>
      </c>
    </row>
    <row r="979" spans="1:21" x14ac:dyDescent="0.3">
      <c r="A979" s="27" t="s">
        <v>1037</v>
      </c>
      <c r="B979" s="32" t="str">
        <f>_xlfn.XLOOKUP(TablaSTOCKINV[[#This Row],[SKU]],TablaINVENTARIO[SKU],TablaINVENTARIO[DESCRIPCION])</f>
        <v xml:space="preserve">ACOPLE DE ACTUADOR </v>
      </c>
      <c r="C979" s="32" t="str">
        <f>_xlfn.XLOOKUP(TablaSTOCKINV[[#This Row],[SKU]],TablaINVENTARIO[SKU],TablaINVENTARIO[MARCA])</f>
        <v>METROVAL</v>
      </c>
      <c r="D979" s="33" t="str">
        <f>_xlfn.XLOOKUP(TablaSTOCKINV[[#This Row],[SKU]],TablaINVENTARIO[SKU],TablaINVENTARIO[CATEGORIA])</f>
        <v>FABRICACION</v>
      </c>
      <c r="E979" s="33" t="str">
        <f>_xlfn.XLOOKUP(TablaSTOCKINV[[#This Row],[SKU]],TablaINVENTARIO[SKU],TablaINVENTARIO[SUBCATEGORIA])</f>
        <v>MATERIAL MECANICO</v>
      </c>
      <c r="F979" s="33" t="str">
        <f>_xlfn.XLOOKUP(TablaSTOCKINV[[#This Row],[SKU]],TablaINVENTARIO[SKU],TablaINVENTARIO[ESTADO])</f>
        <v>NUEVO</v>
      </c>
      <c r="G979" s="33" t="str">
        <f>_xlfn.XLOOKUP(TablaSTOCKINV[[#This Row],[SKU]],TablaINVENTARIO[SKU],TablaINVENTARIO[MEDIDA])</f>
        <v xml:space="preserve">UND </v>
      </c>
      <c r="H979" s="33" t="str">
        <f>_xlfn.XLOOKUP(TablaSTOCKINV[[#This Row],[SKU]],TablaINVENTARIO[SKU],TablaINVENTARIO[SERIAL])</f>
        <v>N/A</v>
      </c>
      <c r="I979" s="34">
        <f>_xlfn.XLOOKUP(TablaSTOCKINV[[#This Row],[SKU]],TablaINVENTARIO[SKU],TablaINVENTARIO[ALMACEN])</f>
        <v>0</v>
      </c>
      <c r="J979" s="34" t="str">
        <f>_xlfn.XLOOKUP(TablaSTOCKINV[[#This Row],[SKU]],TablaINVENTARIO[SKU],TablaINVENTARIO[UBICACION])</f>
        <v>H2-2</v>
      </c>
      <c r="K979" s="34" t="str">
        <f>_xlfn.XLOOKUP(TablaSTOCKINV[[#This Row],[SKU]],TablaINVENTARIO[SKU],TablaINVENTARIO[DPTO RESPONSABLE])</f>
        <v>OPERACIONES</v>
      </c>
      <c r="L979" s="53">
        <f>_xlfn.XLOOKUP(TablaSTOCKINV[[#This Row],[SKU]],TablaINVENTARIO[SKU],TablaINVENTARIO[RANGO MIN])</f>
        <v>0</v>
      </c>
      <c r="M979" s="34" cm="1">
        <f t="array" ref="M979">_xlfn.IFS(TablaSTOCKINV[[#This Row],[CANT. TOTAL]]&lt;=0,1,TablaSTOCKINV[[#This Row],[CANT. TOTAL]]&lt;=TablaSTOCKINV[[#This Row],[MIN]],2,TablaSTOCKINV[[#This Row],[CANT. TOTAL]]&gt;TablaSTOCKINV[[#This Row],[MIN]],3)</f>
        <v>3</v>
      </c>
      <c r="N979" s="34">
        <f>TablaSTOCKINV[[#This Row],[ENTRADAS]]-TablaSTOCKINV[[#This Row],[SALIDAS]]</f>
        <v>36</v>
      </c>
      <c r="O979" s="35">
        <f>SUMIFS(TablaENTRADA[CANT],TablaENTRADA[SKU],TablaSTOCKINV[[#This Row],[SKU]])</f>
        <v>36</v>
      </c>
      <c r="P979" s="35">
        <f>SUMIFS(TablaSALIDA[CANT],TablaSALIDA[SKU],TablaSTOCKINV[[#This Row],[SKU]])</f>
        <v>0</v>
      </c>
      <c r="Q979" s="34">
        <f>_xlfn.XLOOKUP(TablaSTOCKINV[[#This Row],[SKU]],TablaINVENTARIO[SKU],TablaINVENTARIO[PRECIO])</f>
        <v>0</v>
      </c>
      <c r="R979" s="34">
        <f>TablaSTOCKINV[[#This Row],[P.UNITARIO]]*TablaSTOCKINV[[#This Row],[CANT. TOTAL]]</f>
        <v>0</v>
      </c>
      <c r="S979" s="44">
        <f>_xlfn.XLOOKUP(TablaSTOCKINV[[#This Row],[SKU]],TablaINVENTARIO[SKU],TablaINVENTARIO[FECHA INGRESO])</f>
        <v>46023</v>
      </c>
      <c r="T979" s="44">
        <f>_xlfn.XLOOKUP(TablaSTOCKINV[[#This Row],[SKU]],TablaENTRADA[SKU],TablaENTRADA[FECHA],,0,-1)</f>
        <v>46023</v>
      </c>
      <c r="U979" s="46" t="str">
        <f>IFERROR((_xlfn.XLOOKUP(TablaSTOCKINV[[#This Row],[SKU]],TablaSALIDA[SKU],TablaSALIDA[FECHA],,0,-1))," " )</f>
        <v xml:space="preserve"> </v>
      </c>
    </row>
    <row r="980" spans="1:21" x14ac:dyDescent="0.3">
      <c r="A980" s="27" t="s">
        <v>1040</v>
      </c>
      <c r="B980" s="32" t="str">
        <f>_xlfn.XLOOKUP(TablaSTOCKINV[[#This Row],[SKU]],TablaINVENTARIO[SKU],TablaINVENTARIO[DESCRIPCION])</f>
        <v xml:space="preserve">ELEMENTOS DE PDMETER </v>
      </c>
      <c r="C980" s="32" t="str">
        <f>_xlfn.XLOOKUP(TablaSTOCKINV[[#This Row],[SKU]],TablaINVENTARIO[SKU],TablaINVENTARIO[MARCA])</f>
        <v>METROVAL</v>
      </c>
      <c r="D980" s="33" t="str">
        <f>_xlfn.XLOOKUP(TablaSTOCKINV[[#This Row],[SKU]],TablaINVENTARIO[SKU],TablaINVENTARIO[CATEGORIA])</f>
        <v>FABRICACION</v>
      </c>
      <c r="E980" s="33" t="str">
        <f>_xlfn.XLOOKUP(TablaSTOCKINV[[#This Row],[SKU]],TablaINVENTARIO[SKU],TablaINVENTARIO[SUBCATEGORIA])</f>
        <v>MATERIAL MECANICO</v>
      </c>
      <c r="F980" s="33" t="str">
        <f>_xlfn.XLOOKUP(TablaSTOCKINV[[#This Row],[SKU]],TablaINVENTARIO[SKU],TablaINVENTARIO[ESTADO])</f>
        <v>NUEVO</v>
      </c>
      <c r="G980" s="33" t="str">
        <f>_xlfn.XLOOKUP(TablaSTOCKINV[[#This Row],[SKU]],TablaINVENTARIO[SKU],TablaINVENTARIO[MEDIDA])</f>
        <v xml:space="preserve">UND </v>
      </c>
      <c r="H980" s="33" t="str">
        <f>_xlfn.XLOOKUP(TablaSTOCKINV[[#This Row],[SKU]],TablaINVENTARIO[SKU],TablaINVENTARIO[SERIAL])</f>
        <v>N/A</v>
      </c>
      <c r="I980" s="34">
        <f>_xlfn.XLOOKUP(TablaSTOCKINV[[#This Row],[SKU]],TablaINVENTARIO[SKU],TablaINVENTARIO[ALMACEN])</f>
        <v>0</v>
      </c>
      <c r="J980" s="34" t="str">
        <f>_xlfn.XLOOKUP(TablaSTOCKINV[[#This Row],[SKU]],TablaINVENTARIO[SKU],TablaINVENTARIO[UBICACION])</f>
        <v>H2-2</v>
      </c>
      <c r="K980" s="34" t="str">
        <f>_xlfn.XLOOKUP(TablaSTOCKINV[[#This Row],[SKU]],TablaINVENTARIO[SKU],TablaINVENTARIO[DPTO RESPONSABLE])</f>
        <v>OPERACIONES</v>
      </c>
      <c r="L980" s="53">
        <f>_xlfn.XLOOKUP(TablaSTOCKINV[[#This Row],[SKU]],TablaINVENTARIO[SKU],TablaINVENTARIO[RANGO MIN])</f>
        <v>0</v>
      </c>
      <c r="M980" s="34" cm="1">
        <f t="array" ref="M980">_xlfn.IFS(TablaSTOCKINV[[#This Row],[CANT. TOTAL]]&lt;=0,1,TablaSTOCKINV[[#This Row],[CANT. TOTAL]]&lt;=TablaSTOCKINV[[#This Row],[MIN]],2,TablaSTOCKINV[[#This Row],[CANT. TOTAL]]&gt;TablaSTOCKINV[[#This Row],[MIN]],3)</f>
        <v>3</v>
      </c>
      <c r="N980" s="34">
        <f>TablaSTOCKINV[[#This Row],[ENTRADAS]]-TablaSTOCKINV[[#This Row],[SALIDAS]]</f>
        <v>13</v>
      </c>
      <c r="O980" s="35">
        <f>SUMIFS(TablaENTRADA[CANT],TablaENTRADA[SKU],TablaSTOCKINV[[#This Row],[SKU]])</f>
        <v>13</v>
      </c>
      <c r="P980" s="35">
        <f>SUMIFS(TablaSALIDA[CANT],TablaSALIDA[SKU],TablaSTOCKINV[[#This Row],[SKU]])</f>
        <v>0</v>
      </c>
      <c r="Q980" s="34">
        <f>_xlfn.XLOOKUP(TablaSTOCKINV[[#This Row],[SKU]],TablaINVENTARIO[SKU],TablaINVENTARIO[PRECIO])</f>
        <v>0</v>
      </c>
      <c r="R980" s="34">
        <f>TablaSTOCKINV[[#This Row],[P.UNITARIO]]*TablaSTOCKINV[[#This Row],[CANT. TOTAL]]</f>
        <v>0</v>
      </c>
      <c r="S980" s="44">
        <f>_xlfn.XLOOKUP(TablaSTOCKINV[[#This Row],[SKU]],TablaINVENTARIO[SKU],TablaINVENTARIO[FECHA INGRESO])</f>
        <v>46023</v>
      </c>
      <c r="T980" s="44">
        <f>_xlfn.XLOOKUP(TablaSTOCKINV[[#This Row],[SKU]],TablaENTRADA[SKU],TablaENTRADA[FECHA],,0,-1)</f>
        <v>46023</v>
      </c>
      <c r="U980" s="46" t="str">
        <f>IFERROR((_xlfn.XLOOKUP(TablaSTOCKINV[[#This Row],[SKU]],TablaSALIDA[SKU],TablaSALIDA[FECHA],,0,-1))," " )</f>
        <v xml:space="preserve"> </v>
      </c>
    </row>
    <row r="981" spans="1:21" x14ac:dyDescent="0.3">
      <c r="A981" s="27" t="s">
        <v>1042</v>
      </c>
      <c r="B981" s="32" t="str">
        <f>_xlfn.XLOOKUP(TablaSTOCKINV[[#This Row],[SKU]],TablaINVENTARIO[SKU],TablaINVENTARIO[DESCRIPCION])</f>
        <v xml:space="preserve">SOPORTE DE PDMETER </v>
      </c>
      <c r="C981" s="32" t="str">
        <f>_xlfn.XLOOKUP(TablaSTOCKINV[[#This Row],[SKU]],TablaINVENTARIO[SKU],TablaINVENTARIO[MARCA])</f>
        <v>N/A</v>
      </c>
      <c r="D981" s="33" t="str">
        <f>_xlfn.XLOOKUP(TablaSTOCKINV[[#This Row],[SKU]],TablaINVENTARIO[SKU],TablaINVENTARIO[CATEGORIA])</f>
        <v>FABRICACION</v>
      </c>
      <c r="E981" s="33" t="str">
        <f>_xlfn.XLOOKUP(TablaSTOCKINV[[#This Row],[SKU]],TablaINVENTARIO[SKU],TablaINVENTARIO[SUBCATEGORIA])</f>
        <v>MATERIAL MECANICO</v>
      </c>
      <c r="F981" s="33" t="str">
        <f>_xlfn.XLOOKUP(TablaSTOCKINV[[#This Row],[SKU]],TablaINVENTARIO[SKU],TablaINVENTARIO[ESTADO])</f>
        <v>NUEVO</v>
      </c>
      <c r="G981" s="33" t="str">
        <f>_xlfn.XLOOKUP(TablaSTOCKINV[[#This Row],[SKU]],TablaINVENTARIO[SKU],TablaINVENTARIO[MEDIDA])</f>
        <v xml:space="preserve">UND </v>
      </c>
      <c r="H981" s="33" t="str">
        <f>_xlfn.XLOOKUP(TablaSTOCKINV[[#This Row],[SKU]],TablaINVENTARIO[SKU],TablaINVENTARIO[SERIAL])</f>
        <v>N/A</v>
      </c>
      <c r="I981" s="34">
        <f>_xlfn.XLOOKUP(TablaSTOCKINV[[#This Row],[SKU]],TablaINVENTARIO[SKU],TablaINVENTARIO[ALMACEN])</f>
        <v>0</v>
      </c>
      <c r="J981" s="34" t="str">
        <f>_xlfn.XLOOKUP(TablaSTOCKINV[[#This Row],[SKU]],TablaINVENTARIO[SKU],TablaINVENTARIO[UBICACION])</f>
        <v>H2-2</v>
      </c>
      <c r="K981" s="34" t="str">
        <f>_xlfn.XLOOKUP(TablaSTOCKINV[[#This Row],[SKU]],TablaINVENTARIO[SKU],TablaINVENTARIO[DPTO RESPONSABLE])</f>
        <v>OPERACIONES</v>
      </c>
      <c r="L981" s="53">
        <f>_xlfn.XLOOKUP(TablaSTOCKINV[[#This Row],[SKU]],TablaINVENTARIO[SKU],TablaINVENTARIO[RANGO MIN])</f>
        <v>0</v>
      </c>
      <c r="M981" s="34" cm="1">
        <f t="array" ref="M981">_xlfn.IFS(TablaSTOCKINV[[#This Row],[CANT. TOTAL]]&lt;=0,1,TablaSTOCKINV[[#This Row],[CANT. TOTAL]]&lt;=TablaSTOCKINV[[#This Row],[MIN]],2,TablaSTOCKINV[[#This Row],[CANT. TOTAL]]&gt;TablaSTOCKINV[[#This Row],[MIN]],3)</f>
        <v>3</v>
      </c>
      <c r="N981" s="34">
        <f>TablaSTOCKINV[[#This Row],[ENTRADAS]]-TablaSTOCKINV[[#This Row],[SALIDAS]]</f>
        <v>46</v>
      </c>
      <c r="O981" s="35">
        <f>SUMIFS(TablaENTRADA[CANT],TablaENTRADA[SKU],TablaSTOCKINV[[#This Row],[SKU]])</f>
        <v>46</v>
      </c>
      <c r="P981" s="35">
        <f>SUMIFS(TablaSALIDA[CANT],TablaSALIDA[SKU],TablaSTOCKINV[[#This Row],[SKU]])</f>
        <v>0</v>
      </c>
      <c r="Q981" s="34">
        <f>_xlfn.XLOOKUP(TablaSTOCKINV[[#This Row],[SKU]],TablaINVENTARIO[SKU],TablaINVENTARIO[PRECIO])</f>
        <v>0</v>
      </c>
      <c r="R981" s="34">
        <f>TablaSTOCKINV[[#This Row],[P.UNITARIO]]*TablaSTOCKINV[[#This Row],[CANT. TOTAL]]</f>
        <v>0</v>
      </c>
      <c r="S981" s="44">
        <f>_xlfn.XLOOKUP(TablaSTOCKINV[[#This Row],[SKU]],TablaINVENTARIO[SKU],TablaINVENTARIO[FECHA INGRESO])</f>
        <v>46023</v>
      </c>
      <c r="T981" s="44">
        <f>_xlfn.XLOOKUP(TablaSTOCKINV[[#This Row],[SKU]],TablaENTRADA[SKU],TablaENTRADA[FECHA],,0,-1)</f>
        <v>46023</v>
      </c>
      <c r="U981" s="46" t="str">
        <f>IFERROR((_xlfn.XLOOKUP(TablaSTOCKINV[[#This Row],[SKU]],TablaSALIDA[SKU],TablaSALIDA[FECHA],,0,-1))," " )</f>
        <v xml:space="preserve"> </v>
      </c>
    </row>
    <row r="982" spans="1:21" x14ac:dyDescent="0.3">
      <c r="A982" s="27" t="s">
        <v>1044</v>
      </c>
      <c r="B982" s="32" t="str">
        <f>_xlfn.XLOOKUP(TablaSTOCKINV[[#This Row],[SKU]],TablaINVENTARIO[SKU],TablaINVENTARIO[DESCRIPCION])</f>
        <v xml:space="preserve">TORNILLO DE CAMARA INTERNA DE PDMETER </v>
      </c>
      <c r="C982" s="32" t="str">
        <f>_xlfn.XLOOKUP(TablaSTOCKINV[[#This Row],[SKU]],TablaINVENTARIO[SKU],TablaINVENTARIO[MARCA])</f>
        <v>N/A</v>
      </c>
      <c r="D982" s="33" t="str">
        <f>_xlfn.XLOOKUP(TablaSTOCKINV[[#This Row],[SKU]],TablaINVENTARIO[SKU],TablaINVENTARIO[CATEGORIA])</f>
        <v>FABRICACION</v>
      </c>
      <c r="E982" s="33" t="str">
        <f>_xlfn.XLOOKUP(TablaSTOCKINV[[#This Row],[SKU]],TablaINVENTARIO[SKU],TablaINVENTARIO[SUBCATEGORIA])</f>
        <v>MATERIAL MECANICO</v>
      </c>
      <c r="F982" s="33" t="str">
        <f>_xlfn.XLOOKUP(TablaSTOCKINV[[#This Row],[SKU]],TablaINVENTARIO[SKU],TablaINVENTARIO[ESTADO])</f>
        <v>NUEVO</v>
      </c>
      <c r="G982" s="33" t="str">
        <f>_xlfn.XLOOKUP(TablaSTOCKINV[[#This Row],[SKU]],TablaINVENTARIO[SKU],TablaINVENTARIO[MEDIDA])</f>
        <v xml:space="preserve">UND </v>
      </c>
      <c r="H982" s="33" t="str">
        <f>_xlfn.XLOOKUP(TablaSTOCKINV[[#This Row],[SKU]],TablaINVENTARIO[SKU],TablaINVENTARIO[SERIAL])</f>
        <v>N/A</v>
      </c>
      <c r="I982" s="34">
        <f>_xlfn.XLOOKUP(TablaSTOCKINV[[#This Row],[SKU]],TablaINVENTARIO[SKU],TablaINVENTARIO[ALMACEN])</f>
        <v>0</v>
      </c>
      <c r="J982" s="34" t="str">
        <f>_xlfn.XLOOKUP(TablaSTOCKINV[[#This Row],[SKU]],TablaINVENTARIO[SKU],TablaINVENTARIO[UBICACION])</f>
        <v>H2-2</v>
      </c>
      <c r="K982" s="34" t="str">
        <f>_xlfn.XLOOKUP(TablaSTOCKINV[[#This Row],[SKU]],TablaINVENTARIO[SKU],TablaINVENTARIO[DPTO RESPONSABLE])</f>
        <v>OPERACIONES</v>
      </c>
      <c r="L982" s="53">
        <f>_xlfn.XLOOKUP(TablaSTOCKINV[[#This Row],[SKU]],TablaINVENTARIO[SKU],TablaINVENTARIO[RANGO MIN])</f>
        <v>0</v>
      </c>
      <c r="M982" s="34" cm="1">
        <f t="array" ref="M982">_xlfn.IFS(TablaSTOCKINV[[#This Row],[CANT. TOTAL]]&lt;=0,1,TablaSTOCKINV[[#This Row],[CANT. TOTAL]]&lt;=TablaSTOCKINV[[#This Row],[MIN]],2,TablaSTOCKINV[[#This Row],[CANT. TOTAL]]&gt;TablaSTOCKINV[[#This Row],[MIN]],3)</f>
        <v>3</v>
      </c>
      <c r="N982" s="34">
        <f>TablaSTOCKINV[[#This Row],[ENTRADAS]]-TablaSTOCKINV[[#This Row],[SALIDAS]]</f>
        <v>7</v>
      </c>
      <c r="O982" s="35">
        <f>SUMIFS(TablaENTRADA[CANT],TablaENTRADA[SKU],TablaSTOCKINV[[#This Row],[SKU]])</f>
        <v>7</v>
      </c>
      <c r="P982" s="35">
        <f>SUMIFS(TablaSALIDA[CANT],TablaSALIDA[SKU],TablaSTOCKINV[[#This Row],[SKU]])</f>
        <v>0</v>
      </c>
      <c r="Q982" s="34">
        <f>_xlfn.XLOOKUP(TablaSTOCKINV[[#This Row],[SKU]],TablaINVENTARIO[SKU],TablaINVENTARIO[PRECIO])</f>
        <v>0</v>
      </c>
      <c r="R982" s="34">
        <f>TablaSTOCKINV[[#This Row],[P.UNITARIO]]*TablaSTOCKINV[[#This Row],[CANT. TOTAL]]</f>
        <v>0</v>
      </c>
      <c r="S982" s="44">
        <f>_xlfn.XLOOKUP(TablaSTOCKINV[[#This Row],[SKU]],TablaINVENTARIO[SKU],TablaINVENTARIO[FECHA INGRESO])</f>
        <v>46023</v>
      </c>
      <c r="T982" s="44">
        <f>_xlfn.XLOOKUP(TablaSTOCKINV[[#This Row],[SKU]],TablaENTRADA[SKU],TablaENTRADA[FECHA],,0,-1)</f>
        <v>46023</v>
      </c>
      <c r="U982" s="46" t="str">
        <f>IFERROR((_xlfn.XLOOKUP(TablaSTOCKINV[[#This Row],[SKU]],TablaSALIDA[SKU],TablaSALIDA[FECHA],,0,-1))," " )</f>
        <v xml:space="preserve"> </v>
      </c>
    </row>
    <row r="983" spans="1:21" x14ac:dyDescent="0.3">
      <c r="A983" s="27" t="s">
        <v>1046</v>
      </c>
      <c r="B983" s="32" t="str">
        <f>_xlfn.XLOOKUP(TablaSTOCKINV[[#This Row],[SKU]],TablaINVENTARIO[SKU],TablaINVENTARIO[DESCRIPCION])</f>
        <v>SOPORTE 4" DE OVALO DE PDMETER</v>
      </c>
      <c r="C983" s="32" t="str">
        <f>_xlfn.XLOOKUP(TablaSTOCKINV[[#This Row],[SKU]],TablaINVENTARIO[SKU],TablaINVENTARIO[MARCA])</f>
        <v>METROVAL</v>
      </c>
      <c r="D983" s="33" t="str">
        <f>_xlfn.XLOOKUP(TablaSTOCKINV[[#This Row],[SKU]],TablaINVENTARIO[SKU],TablaINVENTARIO[CATEGORIA])</f>
        <v>FABRICACION</v>
      </c>
      <c r="E983" s="33" t="str">
        <f>_xlfn.XLOOKUP(TablaSTOCKINV[[#This Row],[SKU]],TablaINVENTARIO[SKU],TablaINVENTARIO[SUBCATEGORIA])</f>
        <v>MATERIAL MECANICO</v>
      </c>
      <c r="F983" s="33" t="str">
        <f>_xlfn.XLOOKUP(TablaSTOCKINV[[#This Row],[SKU]],TablaINVENTARIO[SKU],TablaINVENTARIO[ESTADO])</f>
        <v>NUEVO</v>
      </c>
      <c r="G983" s="33" t="str">
        <f>_xlfn.XLOOKUP(TablaSTOCKINV[[#This Row],[SKU]],TablaINVENTARIO[SKU],TablaINVENTARIO[MEDIDA])</f>
        <v xml:space="preserve">UND </v>
      </c>
      <c r="H983" s="33" t="str">
        <f>_xlfn.XLOOKUP(TablaSTOCKINV[[#This Row],[SKU]],TablaINVENTARIO[SKU],TablaINVENTARIO[SERIAL])</f>
        <v>N/A</v>
      </c>
      <c r="I983" s="34">
        <f>_xlfn.XLOOKUP(TablaSTOCKINV[[#This Row],[SKU]],TablaINVENTARIO[SKU],TablaINVENTARIO[ALMACEN])</f>
        <v>0</v>
      </c>
      <c r="J983" s="34" t="str">
        <f>_xlfn.XLOOKUP(TablaSTOCKINV[[#This Row],[SKU]],TablaINVENTARIO[SKU],TablaINVENTARIO[UBICACION])</f>
        <v>H2-2</v>
      </c>
      <c r="K983" s="34" t="str">
        <f>_xlfn.XLOOKUP(TablaSTOCKINV[[#This Row],[SKU]],TablaINVENTARIO[SKU],TablaINVENTARIO[DPTO RESPONSABLE])</f>
        <v>OPERACIONES</v>
      </c>
      <c r="L983" s="53">
        <f>_xlfn.XLOOKUP(TablaSTOCKINV[[#This Row],[SKU]],TablaINVENTARIO[SKU],TablaINVENTARIO[RANGO MIN])</f>
        <v>0</v>
      </c>
      <c r="M983" s="34" cm="1">
        <f t="array" ref="M983">_xlfn.IFS(TablaSTOCKINV[[#This Row],[CANT. TOTAL]]&lt;=0,1,TablaSTOCKINV[[#This Row],[CANT. TOTAL]]&lt;=TablaSTOCKINV[[#This Row],[MIN]],2,TablaSTOCKINV[[#This Row],[CANT. TOTAL]]&gt;TablaSTOCKINV[[#This Row],[MIN]],3)</f>
        <v>3</v>
      </c>
      <c r="N983" s="34">
        <f>TablaSTOCKINV[[#This Row],[ENTRADAS]]-TablaSTOCKINV[[#This Row],[SALIDAS]]</f>
        <v>3</v>
      </c>
      <c r="O983" s="35">
        <f>SUMIFS(TablaENTRADA[CANT],TablaENTRADA[SKU],TablaSTOCKINV[[#This Row],[SKU]])</f>
        <v>3</v>
      </c>
      <c r="P983" s="35">
        <f>SUMIFS(TablaSALIDA[CANT],TablaSALIDA[SKU],TablaSTOCKINV[[#This Row],[SKU]])</f>
        <v>0</v>
      </c>
      <c r="Q983" s="34">
        <f>_xlfn.XLOOKUP(TablaSTOCKINV[[#This Row],[SKU]],TablaINVENTARIO[SKU],TablaINVENTARIO[PRECIO])</f>
        <v>0</v>
      </c>
      <c r="R983" s="34">
        <f>TablaSTOCKINV[[#This Row],[P.UNITARIO]]*TablaSTOCKINV[[#This Row],[CANT. TOTAL]]</f>
        <v>0</v>
      </c>
      <c r="S983" s="44">
        <f>_xlfn.XLOOKUP(TablaSTOCKINV[[#This Row],[SKU]],TablaINVENTARIO[SKU],TablaINVENTARIO[FECHA INGRESO])</f>
        <v>46023</v>
      </c>
      <c r="T983" s="44">
        <f>_xlfn.XLOOKUP(TablaSTOCKINV[[#This Row],[SKU]],TablaENTRADA[SKU],TablaENTRADA[FECHA],,0,-1)</f>
        <v>46023</v>
      </c>
      <c r="U983" s="46" t="str">
        <f>IFERROR((_xlfn.XLOOKUP(TablaSTOCKINV[[#This Row],[SKU]],TablaSALIDA[SKU],TablaSALIDA[FECHA],,0,-1))," " )</f>
        <v xml:space="preserve"> </v>
      </c>
    </row>
    <row r="984" spans="1:21" x14ac:dyDescent="0.3">
      <c r="A984" s="27" t="s">
        <v>1048</v>
      </c>
      <c r="B984" s="32" t="str">
        <f>_xlfn.XLOOKUP(TablaSTOCKINV[[#This Row],[SKU]],TablaINVENTARIO[SKU],TablaINVENTARIO[DESCRIPCION])</f>
        <v>SOPORTE 2" DE OVALO DE PDMETER</v>
      </c>
      <c r="C984" s="32" t="str">
        <f>_xlfn.XLOOKUP(TablaSTOCKINV[[#This Row],[SKU]],TablaINVENTARIO[SKU],TablaINVENTARIO[MARCA])</f>
        <v>METROVAL</v>
      </c>
      <c r="D984" s="33" t="str">
        <f>_xlfn.XLOOKUP(TablaSTOCKINV[[#This Row],[SKU]],TablaINVENTARIO[SKU],TablaINVENTARIO[CATEGORIA])</f>
        <v>FABRICACION</v>
      </c>
      <c r="E984" s="33" t="str">
        <f>_xlfn.XLOOKUP(TablaSTOCKINV[[#This Row],[SKU]],TablaINVENTARIO[SKU],TablaINVENTARIO[SUBCATEGORIA])</f>
        <v>MATERIAL MECANICO</v>
      </c>
      <c r="F984" s="33" t="str">
        <f>_xlfn.XLOOKUP(TablaSTOCKINV[[#This Row],[SKU]],TablaINVENTARIO[SKU],TablaINVENTARIO[ESTADO])</f>
        <v>NUEVO</v>
      </c>
      <c r="G984" s="33" t="str">
        <f>_xlfn.XLOOKUP(TablaSTOCKINV[[#This Row],[SKU]],TablaINVENTARIO[SKU],TablaINVENTARIO[MEDIDA])</f>
        <v xml:space="preserve">UND </v>
      </c>
      <c r="H984" s="33" t="str">
        <f>_xlfn.XLOOKUP(TablaSTOCKINV[[#This Row],[SKU]],TablaINVENTARIO[SKU],TablaINVENTARIO[SERIAL])</f>
        <v>N/A</v>
      </c>
      <c r="I984" s="34">
        <f>_xlfn.XLOOKUP(TablaSTOCKINV[[#This Row],[SKU]],TablaINVENTARIO[SKU],TablaINVENTARIO[ALMACEN])</f>
        <v>0</v>
      </c>
      <c r="J984" s="34" t="str">
        <f>_xlfn.XLOOKUP(TablaSTOCKINV[[#This Row],[SKU]],TablaINVENTARIO[SKU],TablaINVENTARIO[UBICACION])</f>
        <v>H2-2</v>
      </c>
      <c r="K984" s="34" t="str">
        <f>_xlfn.XLOOKUP(TablaSTOCKINV[[#This Row],[SKU]],TablaINVENTARIO[SKU],TablaINVENTARIO[DPTO RESPONSABLE])</f>
        <v>OPERACIONES</v>
      </c>
      <c r="L984" s="53">
        <f>_xlfn.XLOOKUP(TablaSTOCKINV[[#This Row],[SKU]],TablaINVENTARIO[SKU],TablaINVENTARIO[RANGO MIN])</f>
        <v>0</v>
      </c>
      <c r="M984" s="34" cm="1">
        <f t="array" ref="M984">_xlfn.IFS(TablaSTOCKINV[[#This Row],[CANT. TOTAL]]&lt;=0,1,TablaSTOCKINV[[#This Row],[CANT. TOTAL]]&lt;=TablaSTOCKINV[[#This Row],[MIN]],2,TablaSTOCKINV[[#This Row],[CANT. TOTAL]]&gt;TablaSTOCKINV[[#This Row],[MIN]],3)</f>
        <v>3</v>
      </c>
      <c r="N984" s="34">
        <f>TablaSTOCKINV[[#This Row],[ENTRADAS]]-TablaSTOCKINV[[#This Row],[SALIDAS]]</f>
        <v>1</v>
      </c>
      <c r="O984" s="35">
        <f>SUMIFS(TablaENTRADA[CANT],TablaENTRADA[SKU],TablaSTOCKINV[[#This Row],[SKU]])</f>
        <v>1</v>
      </c>
      <c r="P984" s="35">
        <f>SUMIFS(TablaSALIDA[CANT],TablaSALIDA[SKU],TablaSTOCKINV[[#This Row],[SKU]])</f>
        <v>0</v>
      </c>
      <c r="Q984" s="34">
        <f>_xlfn.XLOOKUP(TablaSTOCKINV[[#This Row],[SKU]],TablaINVENTARIO[SKU],TablaINVENTARIO[PRECIO])</f>
        <v>0</v>
      </c>
      <c r="R984" s="34">
        <f>TablaSTOCKINV[[#This Row],[P.UNITARIO]]*TablaSTOCKINV[[#This Row],[CANT. TOTAL]]</f>
        <v>0</v>
      </c>
      <c r="S984" s="44">
        <f>_xlfn.XLOOKUP(TablaSTOCKINV[[#This Row],[SKU]],TablaINVENTARIO[SKU],TablaINVENTARIO[FECHA INGRESO])</f>
        <v>46023</v>
      </c>
      <c r="T984" s="44">
        <f>_xlfn.XLOOKUP(TablaSTOCKINV[[#This Row],[SKU]],TablaENTRADA[SKU],TablaENTRADA[FECHA],,0,-1)</f>
        <v>46023</v>
      </c>
      <c r="U984" s="46" t="str">
        <f>IFERROR((_xlfn.XLOOKUP(TablaSTOCKINV[[#This Row],[SKU]],TablaSALIDA[SKU],TablaSALIDA[FECHA],,0,-1))," " )</f>
        <v xml:space="preserve"> </v>
      </c>
    </row>
    <row r="985" spans="1:21" x14ac:dyDescent="0.3">
      <c r="A985" s="27" t="s">
        <v>1050</v>
      </c>
      <c r="B985" s="32" t="str">
        <f>_xlfn.XLOOKUP(TablaSTOCKINV[[#This Row],[SKU]],TablaINVENTARIO[SKU],TablaINVENTARIO[DESCRIPCION])</f>
        <v xml:space="preserve">CROCHE DE MOTOR PARA ACTUADOR </v>
      </c>
      <c r="C985" s="32" t="str">
        <f>_xlfn.XLOOKUP(TablaSTOCKINV[[#This Row],[SKU]],TablaINVENTARIO[SKU],TablaINVENTARIO[MARCA])</f>
        <v>METROVAL</v>
      </c>
      <c r="D985" s="33" t="str">
        <f>_xlfn.XLOOKUP(TablaSTOCKINV[[#This Row],[SKU]],TablaINVENTARIO[SKU],TablaINVENTARIO[CATEGORIA])</f>
        <v>FABRICACION</v>
      </c>
      <c r="E985" s="33" t="str">
        <f>_xlfn.XLOOKUP(TablaSTOCKINV[[#This Row],[SKU]],TablaINVENTARIO[SKU],TablaINVENTARIO[SUBCATEGORIA])</f>
        <v>MATERIAL ELECTRICO</v>
      </c>
      <c r="F985" s="33" t="str">
        <f>_xlfn.XLOOKUP(TablaSTOCKINV[[#This Row],[SKU]],TablaINVENTARIO[SKU],TablaINVENTARIO[ESTADO])</f>
        <v>NUEVO</v>
      </c>
      <c r="G985" s="33" t="str">
        <f>_xlfn.XLOOKUP(TablaSTOCKINV[[#This Row],[SKU]],TablaINVENTARIO[SKU],TablaINVENTARIO[MEDIDA])</f>
        <v xml:space="preserve">UND </v>
      </c>
      <c r="H985" s="33" t="str">
        <f>_xlfn.XLOOKUP(TablaSTOCKINV[[#This Row],[SKU]],TablaINVENTARIO[SKU],TablaINVENTARIO[SERIAL])</f>
        <v>N/A</v>
      </c>
      <c r="I985" s="34">
        <f>_xlfn.XLOOKUP(TablaSTOCKINV[[#This Row],[SKU]],TablaINVENTARIO[SKU],TablaINVENTARIO[ALMACEN])</f>
        <v>0</v>
      </c>
      <c r="J985" s="34" t="str">
        <f>_xlfn.XLOOKUP(TablaSTOCKINV[[#This Row],[SKU]],TablaINVENTARIO[SKU],TablaINVENTARIO[UBICACION])</f>
        <v>H2-1</v>
      </c>
      <c r="K985" s="34" t="str">
        <f>_xlfn.XLOOKUP(TablaSTOCKINV[[#This Row],[SKU]],TablaINVENTARIO[SKU],TablaINVENTARIO[DPTO RESPONSABLE])</f>
        <v>OPERACIONES</v>
      </c>
      <c r="L985" s="53">
        <f>_xlfn.XLOOKUP(TablaSTOCKINV[[#This Row],[SKU]],TablaINVENTARIO[SKU],TablaINVENTARIO[RANGO MIN])</f>
        <v>0</v>
      </c>
      <c r="M985" s="34" cm="1">
        <f t="array" ref="M985">_xlfn.IFS(TablaSTOCKINV[[#This Row],[CANT. TOTAL]]&lt;=0,1,TablaSTOCKINV[[#This Row],[CANT. TOTAL]]&lt;=TablaSTOCKINV[[#This Row],[MIN]],2,TablaSTOCKINV[[#This Row],[CANT. TOTAL]]&gt;TablaSTOCKINV[[#This Row],[MIN]],3)</f>
        <v>3</v>
      </c>
      <c r="N985" s="34">
        <f>TablaSTOCKINV[[#This Row],[ENTRADAS]]-TablaSTOCKINV[[#This Row],[SALIDAS]]</f>
        <v>1</v>
      </c>
      <c r="O985" s="35">
        <f>SUMIFS(TablaENTRADA[CANT],TablaENTRADA[SKU],TablaSTOCKINV[[#This Row],[SKU]])</f>
        <v>1</v>
      </c>
      <c r="P985" s="35">
        <f>SUMIFS(TablaSALIDA[CANT],TablaSALIDA[SKU],TablaSTOCKINV[[#This Row],[SKU]])</f>
        <v>0</v>
      </c>
      <c r="Q985" s="34">
        <f>_xlfn.XLOOKUP(TablaSTOCKINV[[#This Row],[SKU]],TablaINVENTARIO[SKU],TablaINVENTARIO[PRECIO])</f>
        <v>0</v>
      </c>
      <c r="R985" s="34">
        <f>TablaSTOCKINV[[#This Row],[P.UNITARIO]]*TablaSTOCKINV[[#This Row],[CANT. TOTAL]]</f>
        <v>0</v>
      </c>
      <c r="S985" s="44">
        <f>_xlfn.XLOOKUP(TablaSTOCKINV[[#This Row],[SKU]],TablaINVENTARIO[SKU],TablaINVENTARIO[FECHA INGRESO])</f>
        <v>46023</v>
      </c>
      <c r="T985" s="44">
        <f>_xlfn.XLOOKUP(TablaSTOCKINV[[#This Row],[SKU]],TablaENTRADA[SKU],TablaENTRADA[FECHA],,0,-1)</f>
        <v>46023</v>
      </c>
      <c r="U985" s="46" t="str">
        <f>IFERROR((_xlfn.XLOOKUP(TablaSTOCKINV[[#This Row],[SKU]],TablaSALIDA[SKU],TablaSALIDA[FECHA],,0,-1))," " )</f>
        <v xml:space="preserve"> </v>
      </c>
    </row>
    <row r="986" spans="1:21" x14ac:dyDescent="0.3">
      <c r="A986" s="27" t="s">
        <v>1053</v>
      </c>
      <c r="B986" s="32" t="str">
        <f>_xlfn.XLOOKUP(TablaSTOCKINV[[#This Row],[SKU]],TablaINVENTARIO[SKU],TablaINVENTARIO[DESCRIPCION])</f>
        <v>PRENSA ESTOPA 3/4"</v>
      </c>
      <c r="C986" s="32" t="str">
        <f>_xlfn.XLOOKUP(TablaSTOCKINV[[#This Row],[SKU]],TablaINVENTARIO[SKU],TablaINVENTARIO[MARCA])</f>
        <v>HAWKE</v>
      </c>
      <c r="D986" s="33" t="str">
        <f>_xlfn.XLOOKUP(TablaSTOCKINV[[#This Row],[SKU]],TablaINVENTARIO[SKU],TablaINVENTARIO[CATEGORIA])</f>
        <v>FABRICACION</v>
      </c>
      <c r="E986" s="33" t="str">
        <f>_xlfn.XLOOKUP(TablaSTOCKINV[[#This Row],[SKU]],TablaINVENTARIO[SKU],TablaINVENTARIO[SUBCATEGORIA])</f>
        <v>MATERIAL ELECTRICO</v>
      </c>
      <c r="F986" s="33" t="str">
        <f>_xlfn.XLOOKUP(TablaSTOCKINV[[#This Row],[SKU]],TablaINVENTARIO[SKU],TablaINVENTARIO[ESTADO])</f>
        <v>NUEVO</v>
      </c>
      <c r="G986" s="33" t="str">
        <f>_xlfn.XLOOKUP(TablaSTOCKINV[[#This Row],[SKU]],TablaINVENTARIO[SKU],TablaINVENTARIO[MEDIDA])</f>
        <v xml:space="preserve">UND </v>
      </c>
      <c r="H986" s="33" t="str">
        <f>_xlfn.XLOOKUP(TablaSTOCKINV[[#This Row],[SKU]],TablaINVENTARIO[SKU],TablaINVENTARIO[SERIAL])</f>
        <v>N/A</v>
      </c>
      <c r="I986" s="34">
        <f>_xlfn.XLOOKUP(TablaSTOCKINV[[#This Row],[SKU]],TablaINVENTARIO[SKU],TablaINVENTARIO[ALMACEN])</f>
        <v>0</v>
      </c>
      <c r="J986" s="34" t="str">
        <f>_xlfn.XLOOKUP(TablaSTOCKINV[[#This Row],[SKU]],TablaINVENTARIO[SKU],TablaINVENTARIO[UBICACION])</f>
        <v>H4-2</v>
      </c>
      <c r="K986" s="34" t="str">
        <f>_xlfn.XLOOKUP(TablaSTOCKINV[[#This Row],[SKU]],TablaINVENTARIO[SKU],TablaINVENTARIO[DPTO RESPONSABLE])</f>
        <v>OPERACIONES</v>
      </c>
      <c r="L986" s="53">
        <f>_xlfn.XLOOKUP(TablaSTOCKINV[[#This Row],[SKU]],TablaINVENTARIO[SKU],TablaINVENTARIO[RANGO MIN])</f>
        <v>0</v>
      </c>
      <c r="M986" s="34" cm="1">
        <f t="array" ref="M986">_xlfn.IFS(TablaSTOCKINV[[#This Row],[CANT. TOTAL]]&lt;=0,1,TablaSTOCKINV[[#This Row],[CANT. TOTAL]]&lt;=TablaSTOCKINV[[#This Row],[MIN]],2,TablaSTOCKINV[[#This Row],[CANT. TOTAL]]&gt;TablaSTOCKINV[[#This Row],[MIN]],3)</f>
        <v>3</v>
      </c>
      <c r="N986" s="34">
        <f>TablaSTOCKINV[[#This Row],[ENTRADAS]]-TablaSTOCKINV[[#This Row],[SALIDAS]]</f>
        <v>36</v>
      </c>
      <c r="O986" s="35">
        <f>SUMIFS(TablaENTRADA[CANT],TablaENTRADA[SKU],TablaSTOCKINV[[#This Row],[SKU]])</f>
        <v>36</v>
      </c>
      <c r="P986" s="35">
        <f>SUMIFS(TablaSALIDA[CANT],TablaSALIDA[SKU],TablaSTOCKINV[[#This Row],[SKU]])</f>
        <v>0</v>
      </c>
      <c r="Q986" s="34">
        <f>_xlfn.XLOOKUP(TablaSTOCKINV[[#This Row],[SKU]],TablaINVENTARIO[SKU],TablaINVENTARIO[PRECIO])</f>
        <v>0</v>
      </c>
      <c r="R986" s="34">
        <f>TablaSTOCKINV[[#This Row],[P.UNITARIO]]*TablaSTOCKINV[[#This Row],[CANT. TOTAL]]</f>
        <v>0</v>
      </c>
      <c r="S986" s="44">
        <f>_xlfn.XLOOKUP(TablaSTOCKINV[[#This Row],[SKU]],TablaINVENTARIO[SKU],TablaINVENTARIO[FECHA INGRESO])</f>
        <v>46023</v>
      </c>
      <c r="T986" s="44">
        <f>_xlfn.XLOOKUP(TablaSTOCKINV[[#This Row],[SKU]],TablaENTRADA[SKU],TablaENTRADA[FECHA],,0,-1)</f>
        <v>46023</v>
      </c>
      <c r="U986" s="46" t="str">
        <f>IFERROR((_xlfn.XLOOKUP(TablaSTOCKINV[[#This Row],[SKU]],TablaSALIDA[SKU],TablaSALIDA[FECHA],,0,-1))," " )</f>
        <v xml:space="preserve"> </v>
      </c>
    </row>
    <row r="987" spans="1:21" x14ac:dyDescent="0.3">
      <c r="A987" s="27" t="s">
        <v>1057</v>
      </c>
      <c r="B987" s="32" t="str">
        <f>_xlfn.XLOOKUP(TablaSTOCKINV[[#This Row],[SKU]],TablaINVENTARIO[SKU],TablaINVENTARIO[DESCRIPCION])</f>
        <v>PRENSA ESTOPA 1/2"</v>
      </c>
      <c r="C987" s="32" t="str">
        <f>_xlfn.XLOOKUP(TablaSTOCKINV[[#This Row],[SKU]],TablaINVENTARIO[SKU],TablaINVENTARIO[MARCA])</f>
        <v>HAWKE</v>
      </c>
      <c r="D987" s="33" t="str">
        <f>_xlfn.XLOOKUP(TablaSTOCKINV[[#This Row],[SKU]],TablaINVENTARIO[SKU],TablaINVENTARIO[CATEGORIA])</f>
        <v>FABRICACION</v>
      </c>
      <c r="E987" s="33" t="str">
        <f>_xlfn.XLOOKUP(TablaSTOCKINV[[#This Row],[SKU]],TablaINVENTARIO[SKU],TablaINVENTARIO[SUBCATEGORIA])</f>
        <v>MATERIAL ELECTRICO</v>
      </c>
      <c r="F987" s="33" t="str">
        <f>_xlfn.XLOOKUP(TablaSTOCKINV[[#This Row],[SKU]],TablaINVENTARIO[SKU],TablaINVENTARIO[ESTADO])</f>
        <v>NUEVO</v>
      </c>
      <c r="G987" s="33" t="str">
        <f>_xlfn.XLOOKUP(TablaSTOCKINV[[#This Row],[SKU]],TablaINVENTARIO[SKU],TablaINVENTARIO[MEDIDA])</f>
        <v xml:space="preserve">UND </v>
      </c>
      <c r="H987" s="33" t="str">
        <f>_xlfn.XLOOKUP(TablaSTOCKINV[[#This Row],[SKU]],TablaINVENTARIO[SKU],TablaINVENTARIO[SERIAL])</f>
        <v>N/A</v>
      </c>
      <c r="I987" s="34">
        <f>_xlfn.XLOOKUP(TablaSTOCKINV[[#This Row],[SKU]],TablaINVENTARIO[SKU],TablaINVENTARIO[ALMACEN])</f>
        <v>0</v>
      </c>
      <c r="J987" s="34" t="str">
        <f>_xlfn.XLOOKUP(TablaSTOCKINV[[#This Row],[SKU]],TablaINVENTARIO[SKU],TablaINVENTARIO[UBICACION])</f>
        <v>H4-2</v>
      </c>
      <c r="K987" s="34" t="str">
        <f>_xlfn.XLOOKUP(TablaSTOCKINV[[#This Row],[SKU]],TablaINVENTARIO[SKU],TablaINVENTARIO[DPTO RESPONSABLE])</f>
        <v>OPERACIONES</v>
      </c>
      <c r="L987" s="53">
        <f>_xlfn.XLOOKUP(TablaSTOCKINV[[#This Row],[SKU]],TablaINVENTARIO[SKU],TablaINVENTARIO[RANGO MIN])</f>
        <v>0</v>
      </c>
      <c r="M987" s="34" cm="1">
        <f t="array" ref="M987">_xlfn.IFS(TablaSTOCKINV[[#This Row],[CANT. TOTAL]]&lt;=0,1,TablaSTOCKINV[[#This Row],[CANT. TOTAL]]&lt;=TablaSTOCKINV[[#This Row],[MIN]],2,TablaSTOCKINV[[#This Row],[CANT. TOTAL]]&gt;TablaSTOCKINV[[#This Row],[MIN]],3)</f>
        <v>3</v>
      </c>
      <c r="N987" s="34">
        <f>TablaSTOCKINV[[#This Row],[ENTRADAS]]-TablaSTOCKINV[[#This Row],[SALIDAS]]</f>
        <v>115</v>
      </c>
      <c r="O987" s="35">
        <f>SUMIFS(TablaENTRADA[CANT],TablaENTRADA[SKU],TablaSTOCKINV[[#This Row],[SKU]])</f>
        <v>115</v>
      </c>
      <c r="P987" s="35">
        <f>SUMIFS(TablaSALIDA[CANT],TablaSALIDA[SKU],TablaSTOCKINV[[#This Row],[SKU]])</f>
        <v>0</v>
      </c>
      <c r="Q987" s="34">
        <f>_xlfn.XLOOKUP(TablaSTOCKINV[[#This Row],[SKU]],TablaINVENTARIO[SKU],TablaINVENTARIO[PRECIO])</f>
        <v>0</v>
      </c>
      <c r="R987" s="34">
        <f>TablaSTOCKINV[[#This Row],[P.UNITARIO]]*TablaSTOCKINV[[#This Row],[CANT. TOTAL]]</f>
        <v>0</v>
      </c>
      <c r="S987" s="44">
        <f>_xlfn.XLOOKUP(TablaSTOCKINV[[#This Row],[SKU]],TablaINVENTARIO[SKU],TablaINVENTARIO[FECHA INGRESO])</f>
        <v>46023</v>
      </c>
      <c r="T987" s="44">
        <f>_xlfn.XLOOKUP(TablaSTOCKINV[[#This Row],[SKU]],TablaENTRADA[SKU],TablaENTRADA[FECHA],,0,-1)</f>
        <v>46023</v>
      </c>
      <c r="U987" s="46" t="str">
        <f>IFERROR((_xlfn.XLOOKUP(TablaSTOCKINV[[#This Row],[SKU]],TablaSALIDA[SKU],TablaSALIDA[FECHA],,0,-1))," " )</f>
        <v xml:space="preserve"> </v>
      </c>
    </row>
    <row r="988" spans="1:21" x14ac:dyDescent="0.3">
      <c r="A988" s="27" t="s">
        <v>1059</v>
      </c>
      <c r="B988" s="32" t="str">
        <f>_xlfn.XLOOKUP(TablaSTOCKINV[[#This Row],[SKU]],TablaINVENTARIO[SKU],TablaINVENTARIO[DESCRIPCION])</f>
        <v xml:space="preserve">SOPORTE DE CAJA NEMA </v>
      </c>
      <c r="C988" s="32" t="str">
        <f>_xlfn.XLOOKUP(TablaSTOCKINV[[#This Row],[SKU]],TablaINVENTARIO[SKU],TablaINVENTARIO[MARCA])</f>
        <v>N/A</v>
      </c>
      <c r="D988" s="33" t="str">
        <f>_xlfn.XLOOKUP(TablaSTOCKINV[[#This Row],[SKU]],TablaINVENTARIO[SKU],TablaINVENTARIO[CATEGORIA])</f>
        <v>FABRICACION</v>
      </c>
      <c r="E988" s="33" t="str">
        <f>_xlfn.XLOOKUP(TablaSTOCKINV[[#This Row],[SKU]],TablaINVENTARIO[SKU],TablaINVENTARIO[SUBCATEGORIA])</f>
        <v>MATERIAL MECANICO</v>
      </c>
      <c r="F988" s="33" t="str">
        <f>_xlfn.XLOOKUP(TablaSTOCKINV[[#This Row],[SKU]],TablaINVENTARIO[SKU],TablaINVENTARIO[ESTADO])</f>
        <v>NUEVO</v>
      </c>
      <c r="G988" s="33" t="str">
        <f>_xlfn.XLOOKUP(TablaSTOCKINV[[#This Row],[SKU]],TablaINVENTARIO[SKU],TablaINVENTARIO[MEDIDA])</f>
        <v xml:space="preserve">UND </v>
      </c>
      <c r="H988" s="33" t="str">
        <f>_xlfn.XLOOKUP(TablaSTOCKINV[[#This Row],[SKU]],TablaINVENTARIO[SKU],TablaINVENTARIO[SERIAL])</f>
        <v>N/A</v>
      </c>
      <c r="I988" s="34">
        <f>_xlfn.XLOOKUP(TablaSTOCKINV[[#This Row],[SKU]],TablaINVENTARIO[SKU],TablaINVENTARIO[ALMACEN])</f>
        <v>0</v>
      </c>
      <c r="J988" s="34" t="str">
        <f>_xlfn.XLOOKUP(TablaSTOCKINV[[#This Row],[SKU]],TablaINVENTARIO[SKU],TablaINVENTARIO[UBICACION])</f>
        <v>H3-2</v>
      </c>
      <c r="K988" s="34" t="str">
        <f>_xlfn.XLOOKUP(TablaSTOCKINV[[#This Row],[SKU]],TablaINVENTARIO[SKU],TablaINVENTARIO[DPTO RESPONSABLE])</f>
        <v>OPERACIONES</v>
      </c>
      <c r="L988" s="53">
        <f>_xlfn.XLOOKUP(TablaSTOCKINV[[#This Row],[SKU]],TablaINVENTARIO[SKU],TablaINVENTARIO[RANGO MIN])</f>
        <v>0</v>
      </c>
      <c r="M988" s="34" cm="1">
        <f t="array" ref="M988">_xlfn.IFS(TablaSTOCKINV[[#This Row],[CANT. TOTAL]]&lt;=0,1,TablaSTOCKINV[[#This Row],[CANT. TOTAL]]&lt;=TablaSTOCKINV[[#This Row],[MIN]],2,TablaSTOCKINV[[#This Row],[CANT. TOTAL]]&gt;TablaSTOCKINV[[#This Row],[MIN]],3)</f>
        <v>3</v>
      </c>
      <c r="N988" s="34">
        <f>TablaSTOCKINV[[#This Row],[ENTRADAS]]-TablaSTOCKINV[[#This Row],[SALIDAS]]</f>
        <v>13</v>
      </c>
      <c r="O988" s="35">
        <f>SUMIFS(TablaENTRADA[CANT],TablaENTRADA[SKU],TablaSTOCKINV[[#This Row],[SKU]])</f>
        <v>13</v>
      </c>
      <c r="P988" s="35">
        <f>SUMIFS(TablaSALIDA[CANT],TablaSALIDA[SKU],TablaSTOCKINV[[#This Row],[SKU]])</f>
        <v>0</v>
      </c>
      <c r="Q988" s="34">
        <f>_xlfn.XLOOKUP(TablaSTOCKINV[[#This Row],[SKU]],TablaINVENTARIO[SKU],TablaINVENTARIO[PRECIO])</f>
        <v>0</v>
      </c>
      <c r="R988" s="34">
        <f>TablaSTOCKINV[[#This Row],[P.UNITARIO]]*TablaSTOCKINV[[#This Row],[CANT. TOTAL]]</f>
        <v>0</v>
      </c>
      <c r="S988" s="44">
        <f>_xlfn.XLOOKUP(TablaSTOCKINV[[#This Row],[SKU]],TablaINVENTARIO[SKU],TablaINVENTARIO[FECHA INGRESO])</f>
        <v>46023</v>
      </c>
      <c r="T988" s="44">
        <f>_xlfn.XLOOKUP(TablaSTOCKINV[[#This Row],[SKU]],TablaENTRADA[SKU],TablaENTRADA[FECHA],,0,-1)</f>
        <v>46023</v>
      </c>
      <c r="U988" s="46" t="str">
        <f>IFERROR((_xlfn.XLOOKUP(TablaSTOCKINV[[#This Row],[SKU]],TablaSALIDA[SKU],TablaSALIDA[FECHA],,0,-1))," " )</f>
        <v xml:space="preserve"> </v>
      </c>
    </row>
    <row r="989" spans="1:21" x14ac:dyDescent="0.3">
      <c r="A989" s="27" t="s">
        <v>1062</v>
      </c>
      <c r="B989" s="32" t="str">
        <f>_xlfn.XLOOKUP(TablaSTOCKINV[[#This Row],[SKU]],TablaINVENTARIO[SKU],TablaINVENTARIO[DESCRIPCION])</f>
        <v xml:space="preserve">MOTOR DE ACTUADOR </v>
      </c>
      <c r="C989" s="32" t="str">
        <f>_xlfn.XLOOKUP(TablaSTOCKINV[[#This Row],[SKU]],TablaINVENTARIO[SKU],TablaINVENTARIO[MARCA])</f>
        <v>N/A</v>
      </c>
      <c r="D989" s="33" t="str">
        <f>_xlfn.XLOOKUP(TablaSTOCKINV[[#This Row],[SKU]],TablaINVENTARIO[SKU],TablaINVENTARIO[CATEGORIA])</f>
        <v>FABRICACION</v>
      </c>
      <c r="E989" s="33" t="str">
        <f>_xlfn.XLOOKUP(TablaSTOCKINV[[#This Row],[SKU]],TablaINVENTARIO[SKU],TablaINVENTARIO[SUBCATEGORIA])</f>
        <v>MATERIAL ELECTRICO</v>
      </c>
      <c r="F989" s="33" t="str">
        <f>_xlfn.XLOOKUP(TablaSTOCKINV[[#This Row],[SKU]],TablaINVENTARIO[SKU],TablaINVENTARIO[ESTADO])</f>
        <v>NUEVO</v>
      </c>
      <c r="G989" s="33" t="str">
        <f>_xlfn.XLOOKUP(TablaSTOCKINV[[#This Row],[SKU]],TablaINVENTARIO[SKU],TablaINVENTARIO[MEDIDA])</f>
        <v xml:space="preserve">UND </v>
      </c>
      <c r="H989" s="33" t="str">
        <f>_xlfn.XLOOKUP(TablaSTOCKINV[[#This Row],[SKU]],TablaINVENTARIO[SKU],TablaINVENTARIO[SERIAL])</f>
        <v>N/A</v>
      </c>
      <c r="I989" s="34">
        <f>_xlfn.XLOOKUP(TablaSTOCKINV[[#This Row],[SKU]],TablaINVENTARIO[SKU],TablaINVENTARIO[ALMACEN])</f>
        <v>0</v>
      </c>
      <c r="J989" s="34" t="str">
        <f>_xlfn.XLOOKUP(TablaSTOCKINV[[#This Row],[SKU]],TablaINVENTARIO[SKU],TablaINVENTARIO[UBICACION])</f>
        <v>H4-2</v>
      </c>
      <c r="K989" s="34" t="str">
        <f>_xlfn.XLOOKUP(TablaSTOCKINV[[#This Row],[SKU]],TablaINVENTARIO[SKU],TablaINVENTARIO[DPTO RESPONSABLE])</f>
        <v>OPERACIONES</v>
      </c>
      <c r="L989" s="53">
        <f>_xlfn.XLOOKUP(TablaSTOCKINV[[#This Row],[SKU]],TablaINVENTARIO[SKU],TablaINVENTARIO[RANGO MIN])</f>
        <v>0</v>
      </c>
      <c r="M989" s="34" cm="1">
        <f t="array" ref="M989">_xlfn.IFS(TablaSTOCKINV[[#This Row],[CANT. TOTAL]]&lt;=0,1,TablaSTOCKINV[[#This Row],[CANT. TOTAL]]&lt;=TablaSTOCKINV[[#This Row],[MIN]],2,TablaSTOCKINV[[#This Row],[CANT. TOTAL]]&gt;TablaSTOCKINV[[#This Row],[MIN]],3)</f>
        <v>3</v>
      </c>
      <c r="N989" s="34">
        <f>TablaSTOCKINV[[#This Row],[ENTRADAS]]-TablaSTOCKINV[[#This Row],[SALIDAS]]</f>
        <v>285</v>
      </c>
      <c r="O989" s="35">
        <f>SUMIFS(TablaENTRADA[CANT],TablaENTRADA[SKU],TablaSTOCKINV[[#This Row],[SKU]])</f>
        <v>285</v>
      </c>
      <c r="P989" s="35">
        <f>SUMIFS(TablaSALIDA[CANT],TablaSALIDA[SKU],TablaSTOCKINV[[#This Row],[SKU]])</f>
        <v>0</v>
      </c>
      <c r="Q989" s="34">
        <f>_xlfn.XLOOKUP(TablaSTOCKINV[[#This Row],[SKU]],TablaINVENTARIO[SKU],TablaINVENTARIO[PRECIO])</f>
        <v>0</v>
      </c>
      <c r="R989" s="34">
        <f>TablaSTOCKINV[[#This Row],[P.UNITARIO]]*TablaSTOCKINV[[#This Row],[CANT. TOTAL]]</f>
        <v>0</v>
      </c>
      <c r="S989" s="44">
        <f>_xlfn.XLOOKUP(TablaSTOCKINV[[#This Row],[SKU]],TablaINVENTARIO[SKU],TablaINVENTARIO[FECHA INGRESO])</f>
        <v>46023</v>
      </c>
      <c r="T989" s="44">
        <f>_xlfn.XLOOKUP(TablaSTOCKINV[[#This Row],[SKU]],TablaENTRADA[SKU],TablaENTRADA[FECHA],,0,-1)</f>
        <v>46023</v>
      </c>
      <c r="U989" s="46" t="str">
        <f>IFERROR((_xlfn.XLOOKUP(TablaSTOCKINV[[#This Row],[SKU]],TablaSALIDA[SKU],TablaSALIDA[FECHA],,0,-1))," " )</f>
        <v xml:space="preserve"> </v>
      </c>
    </row>
    <row r="990" spans="1:21" x14ac:dyDescent="0.3">
      <c r="A990" s="27" t="s">
        <v>1064</v>
      </c>
      <c r="B990" s="32" t="str">
        <f>_xlfn.XLOOKUP(TablaSTOCKINV[[#This Row],[SKU]],TablaINVENTARIO[SKU],TablaINVENTARIO[DESCRIPCION])</f>
        <v>AISLAMIENTO DE BRIDAS</v>
      </c>
      <c r="C990" s="32" t="str">
        <f>_xlfn.XLOOKUP(TablaSTOCKINV[[#This Row],[SKU]],TablaINVENTARIO[SKU],TablaINVENTARIO[MARCA])</f>
        <v>LINEBACKER</v>
      </c>
      <c r="D990" s="33" t="str">
        <f>_xlfn.XLOOKUP(TablaSTOCKINV[[#This Row],[SKU]],TablaINVENTARIO[SKU],TablaINVENTARIO[CATEGORIA])</f>
        <v>FABRICACION</v>
      </c>
      <c r="E990" s="33" t="str">
        <f>_xlfn.XLOOKUP(TablaSTOCKINV[[#This Row],[SKU]],TablaINVENTARIO[SKU],TablaINVENTARIO[SUBCATEGORIA])</f>
        <v>MATERIAL MECANICO</v>
      </c>
      <c r="F990" s="33" t="str">
        <f>_xlfn.XLOOKUP(TablaSTOCKINV[[#This Row],[SKU]],TablaINVENTARIO[SKU],TablaINVENTARIO[ESTADO])</f>
        <v>NUEVO</v>
      </c>
      <c r="G990" s="33" t="str">
        <f>_xlfn.XLOOKUP(TablaSTOCKINV[[#This Row],[SKU]],TablaINVENTARIO[SKU],TablaINVENTARIO[MEDIDA])</f>
        <v>KIT</v>
      </c>
      <c r="H990" s="33" t="str">
        <f>_xlfn.XLOOKUP(TablaSTOCKINV[[#This Row],[SKU]],TablaINVENTARIO[SKU],TablaINVENTARIO[SERIAL])</f>
        <v>N/A</v>
      </c>
      <c r="I990" s="34">
        <f>_xlfn.XLOOKUP(TablaSTOCKINV[[#This Row],[SKU]],TablaINVENTARIO[SKU],TablaINVENTARIO[ALMACEN])</f>
        <v>0</v>
      </c>
      <c r="J990" s="34" t="str">
        <f>_xlfn.XLOOKUP(TablaSTOCKINV[[#This Row],[SKU]],TablaINVENTARIO[SKU],TablaINVENTARIO[UBICACION])</f>
        <v>H2-2</v>
      </c>
      <c r="K990" s="34" t="str">
        <f>_xlfn.XLOOKUP(TablaSTOCKINV[[#This Row],[SKU]],TablaINVENTARIO[SKU],TablaINVENTARIO[DPTO RESPONSABLE])</f>
        <v>OPERACIONES</v>
      </c>
      <c r="L990" s="53">
        <f>_xlfn.XLOOKUP(TablaSTOCKINV[[#This Row],[SKU]],TablaINVENTARIO[SKU],TablaINVENTARIO[RANGO MIN])</f>
        <v>0</v>
      </c>
      <c r="M990" s="34" cm="1">
        <f t="array" ref="M990">_xlfn.IFS(TablaSTOCKINV[[#This Row],[CANT. TOTAL]]&lt;=0,1,TablaSTOCKINV[[#This Row],[CANT. TOTAL]]&lt;=TablaSTOCKINV[[#This Row],[MIN]],2,TablaSTOCKINV[[#This Row],[CANT. TOTAL]]&gt;TablaSTOCKINV[[#This Row],[MIN]],3)</f>
        <v>3</v>
      </c>
      <c r="N990" s="34">
        <f>TablaSTOCKINV[[#This Row],[ENTRADAS]]-TablaSTOCKINV[[#This Row],[SALIDAS]]</f>
        <v>2</v>
      </c>
      <c r="O990" s="35">
        <f>SUMIFS(TablaENTRADA[CANT],TablaENTRADA[SKU],TablaSTOCKINV[[#This Row],[SKU]])</f>
        <v>2</v>
      </c>
      <c r="P990" s="35">
        <f>SUMIFS(TablaSALIDA[CANT],TablaSALIDA[SKU],TablaSTOCKINV[[#This Row],[SKU]])</f>
        <v>0</v>
      </c>
      <c r="Q990" s="34">
        <f>_xlfn.XLOOKUP(TablaSTOCKINV[[#This Row],[SKU]],TablaINVENTARIO[SKU],TablaINVENTARIO[PRECIO])</f>
        <v>0</v>
      </c>
      <c r="R990" s="34">
        <f>TablaSTOCKINV[[#This Row],[P.UNITARIO]]*TablaSTOCKINV[[#This Row],[CANT. TOTAL]]</f>
        <v>0</v>
      </c>
      <c r="S990" s="44">
        <f>_xlfn.XLOOKUP(TablaSTOCKINV[[#This Row],[SKU]],TablaINVENTARIO[SKU],TablaINVENTARIO[FECHA INGRESO])</f>
        <v>46023</v>
      </c>
      <c r="T990" s="44">
        <f>_xlfn.XLOOKUP(TablaSTOCKINV[[#This Row],[SKU]],TablaENTRADA[SKU],TablaENTRADA[FECHA],,0,-1)</f>
        <v>46023</v>
      </c>
      <c r="U990" s="46" t="str">
        <f>IFERROR((_xlfn.XLOOKUP(TablaSTOCKINV[[#This Row],[SKU]],TablaSALIDA[SKU],TablaSALIDA[FECHA],,0,-1))," " )</f>
        <v xml:space="preserve"> </v>
      </c>
    </row>
    <row r="991" spans="1:21" x14ac:dyDescent="0.3">
      <c r="A991" s="27" t="s">
        <v>1068</v>
      </c>
      <c r="B991" s="32" t="str">
        <f>_xlfn.XLOOKUP(TablaSTOCKINV[[#This Row],[SKU]],TablaINVENTARIO[SKU],TablaINVENTARIO[DESCRIPCION])</f>
        <v xml:space="preserve">PLACA ORIFICIO </v>
      </c>
      <c r="C991" s="32" t="str">
        <f>_xlfn.XLOOKUP(TablaSTOCKINV[[#This Row],[SKU]],TablaINVENTARIO[SKU],TablaINVENTARIO[MARCA])</f>
        <v>N/A</v>
      </c>
      <c r="D991" s="33" t="str">
        <f>_xlfn.XLOOKUP(TablaSTOCKINV[[#This Row],[SKU]],TablaINVENTARIO[SKU],TablaINVENTARIO[CATEGORIA])</f>
        <v>FABRICACION</v>
      </c>
      <c r="E991" s="33" t="str">
        <f>_xlfn.XLOOKUP(TablaSTOCKINV[[#This Row],[SKU]],TablaINVENTARIO[SKU],TablaINVENTARIO[SUBCATEGORIA])</f>
        <v>MATERIAL MECANICO</v>
      </c>
      <c r="F991" s="33" t="str">
        <f>_xlfn.XLOOKUP(TablaSTOCKINV[[#This Row],[SKU]],TablaINVENTARIO[SKU],TablaINVENTARIO[ESTADO])</f>
        <v>NUEVO</v>
      </c>
      <c r="G991" s="33" t="str">
        <f>_xlfn.XLOOKUP(TablaSTOCKINV[[#This Row],[SKU]],TablaINVENTARIO[SKU],TablaINVENTARIO[MEDIDA])</f>
        <v xml:space="preserve">UND </v>
      </c>
      <c r="H991" s="33" t="str">
        <f>_xlfn.XLOOKUP(TablaSTOCKINV[[#This Row],[SKU]],TablaINVENTARIO[SKU],TablaINVENTARIO[SERIAL])</f>
        <v>N/A</v>
      </c>
      <c r="I991" s="34">
        <f>_xlfn.XLOOKUP(TablaSTOCKINV[[#This Row],[SKU]],TablaINVENTARIO[SKU],TablaINVENTARIO[ALMACEN])</f>
        <v>0</v>
      </c>
      <c r="J991" s="34" t="str">
        <f>_xlfn.XLOOKUP(TablaSTOCKINV[[#This Row],[SKU]],TablaINVENTARIO[SKU],TablaINVENTARIO[UBICACION])</f>
        <v>H2-1</v>
      </c>
      <c r="K991" s="34" t="str">
        <f>_xlfn.XLOOKUP(TablaSTOCKINV[[#This Row],[SKU]],TablaINVENTARIO[SKU],TablaINVENTARIO[DPTO RESPONSABLE])</f>
        <v>OPERACIONES</v>
      </c>
      <c r="L991" s="53">
        <f>_xlfn.XLOOKUP(TablaSTOCKINV[[#This Row],[SKU]],TablaINVENTARIO[SKU],TablaINVENTARIO[RANGO MIN])</f>
        <v>0</v>
      </c>
      <c r="M991" s="34" cm="1">
        <f t="array" ref="M991">_xlfn.IFS(TablaSTOCKINV[[#This Row],[CANT. TOTAL]]&lt;=0,1,TablaSTOCKINV[[#This Row],[CANT. TOTAL]]&lt;=TablaSTOCKINV[[#This Row],[MIN]],2,TablaSTOCKINV[[#This Row],[CANT. TOTAL]]&gt;TablaSTOCKINV[[#This Row],[MIN]],3)</f>
        <v>3</v>
      </c>
      <c r="N991" s="34">
        <f>TablaSTOCKINV[[#This Row],[ENTRADAS]]-TablaSTOCKINV[[#This Row],[SALIDAS]]</f>
        <v>4</v>
      </c>
      <c r="O991" s="35">
        <f>SUMIFS(TablaENTRADA[CANT],TablaENTRADA[SKU],TablaSTOCKINV[[#This Row],[SKU]])</f>
        <v>4</v>
      </c>
      <c r="P991" s="35">
        <f>SUMIFS(TablaSALIDA[CANT],TablaSALIDA[SKU],TablaSTOCKINV[[#This Row],[SKU]])</f>
        <v>0</v>
      </c>
      <c r="Q991" s="34">
        <f>_xlfn.XLOOKUP(TablaSTOCKINV[[#This Row],[SKU]],TablaINVENTARIO[SKU],TablaINVENTARIO[PRECIO])</f>
        <v>0</v>
      </c>
      <c r="R991" s="34">
        <f>TablaSTOCKINV[[#This Row],[P.UNITARIO]]*TablaSTOCKINV[[#This Row],[CANT. TOTAL]]</f>
        <v>0</v>
      </c>
      <c r="S991" s="44">
        <f>_xlfn.XLOOKUP(TablaSTOCKINV[[#This Row],[SKU]],TablaINVENTARIO[SKU],TablaINVENTARIO[FECHA INGRESO])</f>
        <v>46023</v>
      </c>
      <c r="T991" s="44">
        <f>_xlfn.XLOOKUP(TablaSTOCKINV[[#This Row],[SKU]],TablaENTRADA[SKU],TablaENTRADA[FECHA],,0,-1)</f>
        <v>46023</v>
      </c>
      <c r="U991" s="46" t="str">
        <f>IFERROR((_xlfn.XLOOKUP(TablaSTOCKINV[[#This Row],[SKU]],TablaSALIDA[SKU],TablaSALIDA[FECHA],,0,-1))," " )</f>
        <v xml:space="preserve"> </v>
      </c>
    </row>
    <row r="992" spans="1:21" x14ac:dyDescent="0.3">
      <c r="A992" s="27" t="s">
        <v>1070</v>
      </c>
      <c r="B992" s="32" t="str">
        <f>_xlfn.XLOOKUP(TablaSTOCKINV[[#This Row],[SKU]],TablaINVENTARIO[SKU],TablaINVENTARIO[DESCRIPCION])</f>
        <v>CAJA PARA INTERCONEXION NEMA 4</v>
      </c>
      <c r="C992" s="32" t="str">
        <f>_xlfn.XLOOKUP(TablaSTOCKINV[[#This Row],[SKU]],TablaINVENTARIO[SKU],TablaINVENTARIO[MARCA])</f>
        <v>N/A</v>
      </c>
      <c r="D992" s="33" t="str">
        <f>_xlfn.XLOOKUP(TablaSTOCKINV[[#This Row],[SKU]],TablaINVENTARIO[SKU],TablaINVENTARIO[CATEGORIA])</f>
        <v>FABRICACION</v>
      </c>
      <c r="E992" s="33" t="str">
        <f>_xlfn.XLOOKUP(TablaSTOCKINV[[#This Row],[SKU]],TablaINVENTARIO[SKU],TablaINVENTARIO[SUBCATEGORIA])</f>
        <v>MATERIAL ELECTRICO</v>
      </c>
      <c r="F992" s="33" t="str">
        <f>_xlfn.XLOOKUP(TablaSTOCKINV[[#This Row],[SKU]],TablaINVENTARIO[SKU],TablaINVENTARIO[ESTADO])</f>
        <v>NUEVO</v>
      </c>
      <c r="G992" s="33" t="str">
        <f>_xlfn.XLOOKUP(TablaSTOCKINV[[#This Row],[SKU]],TablaINVENTARIO[SKU],TablaINVENTARIO[MEDIDA])</f>
        <v xml:space="preserve">UND </v>
      </c>
      <c r="H992" s="33" t="str">
        <f>_xlfn.XLOOKUP(TablaSTOCKINV[[#This Row],[SKU]],TablaINVENTARIO[SKU],TablaINVENTARIO[SERIAL])</f>
        <v>N/A</v>
      </c>
      <c r="I992" s="34">
        <f>_xlfn.XLOOKUP(TablaSTOCKINV[[#This Row],[SKU]],TablaINVENTARIO[SKU],TablaINVENTARIO[ALMACEN])</f>
        <v>0</v>
      </c>
      <c r="J992" s="34" t="str">
        <f>_xlfn.XLOOKUP(TablaSTOCKINV[[#This Row],[SKU]],TablaINVENTARIO[SKU],TablaINVENTARIO[UBICACION])</f>
        <v>H2-2</v>
      </c>
      <c r="K992" s="34" t="str">
        <f>_xlfn.XLOOKUP(TablaSTOCKINV[[#This Row],[SKU]],TablaINVENTARIO[SKU],TablaINVENTARIO[DPTO RESPONSABLE])</f>
        <v>OPERACIONES</v>
      </c>
      <c r="L992" s="53">
        <f>_xlfn.XLOOKUP(TablaSTOCKINV[[#This Row],[SKU]],TablaINVENTARIO[SKU],TablaINVENTARIO[RANGO MIN])</f>
        <v>0</v>
      </c>
      <c r="M992" s="34" cm="1">
        <f t="array" ref="M992">_xlfn.IFS(TablaSTOCKINV[[#This Row],[CANT. TOTAL]]&lt;=0,1,TablaSTOCKINV[[#This Row],[CANT. TOTAL]]&lt;=TablaSTOCKINV[[#This Row],[MIN]],2,TablaSTOCKINV[[#This Row],[CANT. TOTAL]]&gt;TablaSTOCKINV[[#This Row],[MIN]],3)</f>
        <v>3</v>
      </c>
      <c r="N992" s="34">
        <f>TablaSTOCKINV[[#This Row],[ENTRADAS]]-TablaSTOCKINV[[#This Row],[SALIDAS]]</f>
        <v>3</v>
      </c>
      <c r="O992" s="35">
        <f>SUMIFS(TablaENTRADA[CANT],TablaENTRADA[SKU],TablaSTOCKINV[[#This Row],[SKU]])</f>
        <v>3</v>
      </c>
      <c r="P992" s="35">
        <f>SUMIFS(TablaSALIDA[CANT],TablaSALIDA[SKU],TablaSTOCKINV[[#This Row],[SKU]])</f>
        <v>0</v>
      </c>
      <c r="Q992" s="34">
        <f>_xlfn.XLOOKUP(TablaSTOCKINV[[#This Row],[SKU]],TablaINVENTARIO[SKU],TablaINVENTARIO[PRECIO])</f>
        <v>0</v>
      </c>
      <c r="R992" s="34">
        <f>TablaSTOCKINV[[#This Row],[P.UNITARIO]]*TablaSTOCKINV[[#This Row],[CANT. TOTAL]]</f>
        <v>0</v>
      </c>
      <c r="S992" s="44">
        <f>_xlfn.XLOOKUP(TablaSTOCKINV[[#This Row],[SKU]],TablaINVENTARIO[SKU],TablaINVENTARIO[FECHA INGRESO])</f>
        <v>46023</v>
      </c>
      <c r="T992" s="44">
        <f>_xlfn.XLOOKUP(TablaSTOCKINV[[#This Row],[SKU]],TablaENTRADA[SKU],TablaENTRADA[FECHA],,0,-1)</f>
        <v>46023</v>
      </c>
      <c r="U992" s="46" t="str">
        <f>IFERROR((_xlfn.XLOOKUP(TablaSTOCKINV[[#This Row],[SKU]],TablaSALIDA[SKU],TablaSALIDA[FECHA],,0,-1))," " )</f>
        <v xml:space="preserve"> </v>
      </c>
    </row>
    <row r="993" spans="1:21" x14ac:dyDescent="0.3">
      <c r="A993" s="27" t="s">
        <v>1072</v>
      </c>
      <c r="B993" s="32" t="str">
        <f>_xlfn.XLOOKUP(TablaSTOCKINV[[#This Row],[SKU]],TablaINVENTARIO[SKU],TablaINVENTARIO[DESCRIPCION])</f>
        <v>TRANSMISOR INALAMBRICO 800 PSI</v>
      </c>
      <c r="C993" s="32" t="str">
        <f>_xlfn.XLOOKUP(TablaSTOCKINV[[#This Row],[SKU]],TablaINVENTARIO[SKU],TablaINVENTARIO[MARCA])</f>
        <v xml:space="preserve">ROSSEMOUNT </v>
      </c>
      <c r="D993" s="33" t="str">
        <f>_xlfn.XLOOKUP(TablaSTOCKINV[[#This Row],[SKU]],TablaINVENTARIO[SKU],TablaINVENTARIO[CATEGORIA])</f>
        <v>FABRICACION</v>
      </c>
      <c r="E993" s="33" t="str">
        <f>_xlfn.XLOOKUP(TablaSTOCKINV[[#This Row],[SKU]],TablaINVENTARIO[SKU],TablaINVENTARIO[SUBCATEGORIA])</f>
        <v>INSTRUMENTO DE MEDICION ELECTRICA</v>
      </c>
      <c r="F993" s="33" t="str">
        <f>_xlfn.XLOOKUP(TablaSTOCKINV[[#This Row],[SKU]],TablaINVENTARIO[SKU],TablaINVENTARIO[ESTADO])</f>
        <v>NUEVO</v>
      </c>
      <c r="G993" s="33" t="str">
        <f>_xlfn.XLOOKUP(TablaSTOCKINV[[#This Row],[SKU]],TablaINVENTARIO[SKU],TablaINVENTARIO[MEDIDA])</f>
        <v xml:space="preserve">UND </v>
      </c>
      <c r="H993" s="33" t="str">
        <f>_xlfn.XLOOKUP(TablaSTOCKINV[[#This Row],[SKU]],TablaINVENTARIO[SKU],TablaINVENTARIO[SERIAL])</f>
        <v>N/A</v>
      </c>
      <c r="I993" s="34">
        <f>_xlfn.XLOOKUP(TablaSTOCKINV[[#This Row],[SKU]],TablaINVENTARIO[SKU],TablaINVENTARIO[ALMACEN])</f>
        <v>0</v>
      </c>
      <c r="J993" s="34" t="str">
        <f>_xlfn.XLOOKUP(TablaSTOCKINV[[#This Row],[SKU]],TablaINVENTARIO[SKU],TablaINVENTARIO[UBICACION])</f>
        <v>H2-1</v>
      </c>
      <c r="K993" s="34" t="str">
        <f>_xlfn.XLOOKUP(TablaSTOCKINV[[#This Row],[SKU]],TablaINVENTARIO[SKU],TablaINVENTARIO[DPTO RESPONSABLE])</f>
        <v>OPERACIONES</v>
      </c>
      <c r="L993" s="53">
        <f>_xlfn.XLOOKUP(TablaSTOCKINV[[#This Row],[SKU]],TablaINVENTARIO[SKU],TablaINVENTARIO[RANGO MIN])</f>
        <v>0</v>
      </c>
      <c r="M993" s="34" cm="1">
        <f t="array" ref="M993">_xlfn.IFS(TablaSTOCKINV[[#This Row],[CANT. TOTAL]]&lt;=0,1,TablaSTOCKINV[[#This Row],[CANT. TOTAL]]&lt;=TablaSTOCKINV[[#This Row],[MIN]],2,TablaSTOCKINV[[#This Row],[CANT. TOTAL]]&gt;TablaSTOCKINV[[#This Row],[MIN]],3)</f>
        <v>3</v>
      </c>
      <c r="N993" s="34">
        <f>TablaSTOCKINV[[#This Row],[ENTRADAS]]-TablaSTOCKINV[[#This Row],[SALIDAS]]</f>
        <v>1</v>
      </c>
      <c r="O993" s="35">
        <f>SUMIFS(TablaENTRADA[CANT],TablaENTRADA[SKU],TablaSTOCKINV[[#This Row],[SKU]])</f>
        <v>1</v>
      </c>
      <c r="P993" s="35">
        <f>SUMIFS(TablaSALIDA[CANT],TablaSALIDA[SKU],TablaSTOCKINV[[#This Row],[SKU]])</f>
        <v>0</v>
      </c>
      <c r="Q993" s="34">
        <f>_xlfn.XLOOKUP(TablaSTOCKINV[[#This Row],[SKU]],TablaINVENTARIO[SKU],TablaINVENTARIO[PRECIO])</f>
        <v>0</v>
      </c>
      <c r="R993" s="34">
        <f>TablaSTOCKINV[[#This Row],[P.UNITARIO]]*TablaSTOCKINV[[#This Row],[CANT. TOTAL]]</f>
        <v>0</v>
      </c>
      <c r="S993" s="44">
        <f>_xlfn.XLOOKUP(TablaSTOCKINV[[#This Row],[SKU]],TablaINVENTARIO[SKU],TablaINVENTARIO[FECHA INGRESO])</f>
        <v>46023</v>
      </c>
      <c r="T993" s="44">
        <f>_xlfn.XLOOKUP(TablaSTOCKINV[[#This Row],[SKU]],TablaENTRADA[SKU],TablaENTRADA[FECHA],,0,-1)</f>
        <v>46023</v>
      </c>
      <c r="U993" s="46" t="str">
        <f>IFERROR((_xlfn.XLOOKUP(TablaSTOCKINV[[#This Row],[SKU]],TablaSALIDA[SKU],TablaSALIDA[FECHA],,0,-1))," " )</f>
        <v xml:space="preserve"> </v>
      </c>
    </row>
    <row r="994" spans="1:21" x14ac:dyDescent="0.3">
      <c r="A994" s="27" t="s">
        <v>1075</v>
      </c>
      <c r="B994" s="32" t="str">
        <f>_xlfn.XLOOKUP(TablaSTOCKINV[[#This Row],[SKU]],TablaINVENTARIO[SKU],TablaINVENTARIO[DESCRIPCION])</f>
        <v xml:space="preserve">TRANSMISOR DE TEMPERATURA </v>
      </c>
      <c r="C994" s="32" t="str">
        <f>_xlfn.XLOOKUP(TablaSTOCKINV[[#This Row],[SKU]],TablaINVENTARIO[SKU],TablaINVENTARIO[MARCA])</f>
        <v>YOKOGAMA</v>
      </c>
      <c r="D994" s="33" t="str">
        <f>_xlfn.XLOOKUP(TablaSTOCKINV[[#This Row],[SKU]],TablaINVENTARIO[SKU],TablaINVENTARIO[CATEGORIA])</f>
        <v>FABRICACION</v>
      </c>
      <c r="E994" s="33" t="str">
        <f>_xlfn.XLOOKUP(TablaSTOCKINV[[#This Row],[SKU]],TablaINVENTARIO[SKU],TablaINVENTARIO[SUBCATEGORIA])</f>
        <v>INSTRUMENTO DE MEDICION ELECTRICA</v>
      </c>
      <c r="F994" s="33" t="str">
        <f>_xlfn.XLOOKUP(TablaSTOCKINV[[#This Row],[SKU]],TablaINVENTARIO[SKU],TablaINVENTARIO[ESTADO])</f>
        <v>NUEVO</v>
      </c>
      <c r="G994" s="33" t="str">
        <f>_xlfn.XLOOKUP(TablaSTOCKINV[[#This Row],[SKU]],TablaINVENTARIO[SKU],TablaINVENTARIO[MEDIDA])</f>
        <v xml:space="preserve">UND </v>
      </c>
      <c r="H994" s="33" t="str">
        <f>_xlfn.XLOOKUP(TablaSTOCKINV[[#This Row],[SKU]],TablaINVENTARIO[SKU],TablaINVENTARIO[SERIAL])</f>
        <v>N/A</v>
      </c>
      <c r="I994" s="34">
        <f>_xlfn.XLOOKUP(TablaSTOCKINV[[#This Row],[SKU]],TablaINVENTARIO[SKU],TablaINVENTARIO[ALMACEN])</f>
        <v>0</v>
      </c>
      <c r="J994" s="34" t="str">
        <f>_xlfn.XLOOKUP(TablaSTOCKINV[[#This Row],[SKU]],TablaINVENTARIO[SKU],TablaINVENTARIO[UBICACION])</f>
        <v>H2-1</v>
      </c>
      <c r="K994" s="34" t="str">
        <f>_xlfn.XLOOKUP(TablaSTOCKINV[[#This Row],[SKU]],TablaINVENTARIO[SKU],TablaINVENTARIO[DPTO RESPONSABLE])</f>
        <v>OPERACIONES</v>
      </c>
      <c r="L994" s="53">
        <f>_xlfn.XLOOKUP(TablaSTOCKINV[[#This Row],[SKU]],TablaINVENTARIO[SKU],TablaINVENTARIO[RANGO MIN])</f>
        <v>0</v>
      </c>
      <c r="M994" s="34" cm="1">
        <f t="array" ref="M994">_xlfn.IFS(TablaSTOCKINV[[#This Row],[CANT. TOTAL]]&lt;=0,1,TablaSTOCKINV[[#This Row],[CANT. TOTAL]]&lt;=TablaSTOCKINV[[#This Row],[MIN]],2,TablaSTOCKINV[[#This Row],[CANT. TOTAL]]&gt;TablaSTOCKINV[[#This Row],[MIN]],3)</f>
        <v>3</v>
      </c>
      <c r="N994" s="34">
        <f>TablaSTOCKINV[[#This Row],[ENTRADAS]]-TablaSTOCKINV[[#This Row],[SALIDAS]]</f>
        <v>1</v>
      </c>
      <c r="O994" s="35">
        <f>SUMIFS(TablaENTRADA[CANT],TablaENTRADA[SKU],TablaSTOCKINV[[#This Row],[SKU]])</f>
        <v>1</v>
      </c>
      <c r="P994" s="35">
        <f>SUMIFS(TablaSALIDA[CANT],TablaSALIDA[SKU],TablaSTOCKINV[[#This Row],[SKU]])</f>
        <v>0</v>
      </c>
      <c r="Q994" s="34">
        <f>_xlfn.XLOOKUP(TablaSTOCKINV[[#This Row],[SKU]],TablaINVENTARIO[SKU],TablaINVENTARIO[PRECIO])</f>
        <v>0</v>
      </c>
      <c r="R994" s="34">
        <f>TablaSTOCKINV[[#This Row],[P.UNITARIO]]*TablaSTOCKINV[[#This Row],[CANT. TOTAL]]</f>
        <v>0</v>
      </c>
      <c r="S994" s="44">
        <f>_xlfn.XLOOKUP(TablaSTOCKINV[[#This Row],[SKU]],TablaINVENTARIO[SKU],TablaINVENTARIO[FECHA INGRESO])</f>
        <v>46023</v>
      </c>
      <c r="T994" s="44">
        <f>_xlfn.XLOOKUP(TablaSTOCKINV[[#This Row],[SKU]],TablaENTRADA[SKU],TablaENTRADA[FECHA],,0,-1)</f>
        <v>46023</v>
      </c>
      <c r="U994" s="46" t="str">
        <f>IFERROR((_xlfn.XLOOKUP(TablaSTOCKINV[[#This Row],[SKU]],TablaSALIDA[SKU],TablaSALIDA[FECHA],,0,-1))," " )</f>
        <v xml:space="preserve"> </v>
      </c>
    </row>
    <row r="995" spans="1:21" x14ac:dyDescent="0.3">
      <c r="A995" s="27" t="s">
        <v>1078</v>
      </c>
      <c r="B995" s="32" t="str">
        <f>_xlfn.XLOOKUP(TablaSTOCKINV[[#This Row],[SKU]],TablaINVENTARIO[SKU],TablaINVENTARIO[DESCRIPCION])</f>
        <v xml:space="preserve">TRANSMISOR DE PRESION </v>
      </c>
      <c r="C995" s="32" t="str">
        <f>_xlfn.XLOOKUP(TablaSTOCKINV[[#This Row],[SKU]],TablaINVENTARIO[SKU],TablaINVENTARIO[MARCA])</f>
        <v>YOKOGAMA</v>
      </c>
      <c r="D995" s="33" t="str">
        <f>_xlfn.XLOOKUP(TablaSTOCKINV[[#This Row],[SKU]],TablaINVENTARIO[SKU],TablaINVENTARIO[CATEGORIA])</f>
        <v>FABRICACION</v>
      </c>
      <c r="E995" s="33" t="str">
        <f>_xlfn.XLOOKUP(TablaSTOCKINV[[#This Row],[SKU]],TablaINVENTARIO[SKU],TablaINVENTARIO[SUBCATEGORIA])</f>
        <v>INSTRUMENTO DE MEDICION ELECTRICA</v>
      </c>
      <c r="F995" s="33" t="str">
        <f>_xlfn.XLOOKUP(TablaSTOCKINV[[#This Row],[SKU]],TablaINVENTARIO[SKU],TablaINVENTARIO[ESTADO])</f>
        <v>NUEVO</v>
      </c>
      <c r="G995" s="33" t="str">
        <f>_xlfn.XLOOKUP(TablaSTOCKINV[[#This Row],[SKU]],TablaINVENTARIO[SKU],TablaINVENTARIO[MEDIDA])</f>
        <v xml:space="preserve">UND </v>
      </c>
      <c r="H995" s="33" t="str">
        <f>_xlfn.XLOOKUP(TablaSTOCKINV[[#This Row],[SKU]],TablaINVENTARIO[SKU],TablaINVENTARIO[SERIAL])</f>
        <v>N/A</v>
      </c>
      <c r="I995" s="34">
        <f>_xlfn.XLOOKUP(TablaSTOCKINV[[#This Row],[SKU]],TablaINVENTARIO[SKU],TablaINVENTARIO[ALMACEN])</f>
        <v>0</v>
      </c>
      <c r="J995" s="34" t="str">
        <f>_xlfn.XLOOKUP(TablaSTOCKINV[[#This Row],[SKU]],TablaINVENTARIO[SKU],TablaINVENTARIO[UBICACION])</f>
        <v>H2-2</v>
      </c>
      <c r="K995" s="34" t="str">
        <f>_xlfn.XLOOKUP(TablaSTOCKINV[[#This Row],[SKU]],TablaINVENTARIO[SKU],TablaINVENTARIO[DPTO RESPONSABLE])</f>
        <v>OPERACIONES</v>
      </c>
      <c r="L995" s="53">
        <f>_xlfn.XLOOKUP(TablaSTOCKINV[[#This Row],[SKU]],TablaINVENTARIO[SKU],TablaINVENTARIO[RANGO MIN])</f>
        <v>0</v>
      </c>
      <c r="M995" s="34" cm="1">
        <f t="array" ref="M995">_xlfn.IFS(TablaSTOCKINV[[#This Row],[CANT. TOTAL]]&lt;=0,1,TablaSTOCKINV[[#This Row],[CANT. TOTAL]]&lt;=TablaSTOCKINV[[#This Row],[MIN]],2,TablaSTOCKINV[[#This Row],[CANT. TOTAL]]&gt;TablaSTOCKINV[[#This Row],[MIN]],3)</f>
        <v>3</v>
      </c>
      <c r="N995" s="34">
        <f>TablaSTOCKINV[[#This Row],[ENTRADAS]]-TablaSTOCKINV[[#This Row],[SALIDAS]]</f>
        <v>4</v>
      </c>
      <c r="O995" s="35">
        <f>SUMIFS(TablaENTRADA[CANT],TablaENTRADA[SKU],TablaSTOCKINV[[#This Row],[SKU]])</f>
        <v>4</v>
      </c>
      <c r="P995" s="35">
        <f>SUMIFS(TablaSALIDA[CANT],TablaSALIDA[SKU],TablaSTOCKINV[[#This Row],[SKU]])</f>
        <v>0</v>
      </c>
      <c r="Q995" s="34">
        <f>_xlfn.XLOOKUP(TablaSTOCKINV[[#This Row],[SKU]],TablaINVENTARIO[SKU],TablaINVENTARIO[PRECIO])</f>
        <v>0</v>
      </c>
      <c r="R995" s="34">
        <f>TablaSTOCKINV[[#This Row],[P.UNITARIO]]*TablaSTOCKINV[[#This Row],[CANT. TOTAL]]</f>
        <v>0</v>
      </c>
      <c r="S995" s="44">
        <f>_xlfn.XLOOKUP(TablaSTOCKINV[[#This Row],[SKU]],TablaINVENTARIO[SKU],TablaINVENTARIO[FECHA INGRESO])</f>
        <v>46023</v>
      </c>
      <c r="T995" s="44">
        <f>_xlfn.XLOOKUP(TablaSTOCKINV[[#This Row],[SKU]],TablaENTRADA[SKU],TablaENTRADA[FECHA],,0,-1)</f>
        <v>46023</v>
      </c>
      <c r="U995" s="46" t="str">
        <f>IFERROR((_xlfn.XLOOKUP(TablaSTOCKINV[[#This Row],[SKU]],TablaSALIDA[SKU],TablaSALIDA[FECHA],,0,-1))," " )</f>
        <v xml:space="preserve"> </v>
      </c>
    </row>
    <row r="996" spans="1:21" x14ac:dyDescent="0.3">
      <c r="A996" s="27" t="s">
        <v>1080</v>
      </c>
      <c r="B996" s="32" t="str">
        <f>_xlfn.XLOOKUP(TablaSTOCKINV[[#This Row],[SKU]],TablaINVENTARIO[SKU],TablaINVENTARIO[DESCRIPCION])</f>
        <v xml:space="preserve">CADENA DE ACERO INOXIDABLE </v>
      </c>
      <c r="C996" s="32" t="str">
        <f>_xlfn.XLOOKUP(TablaSTOCKINV[[#This Row],[SKU]],TablaINVENTARIO[SKU],TablaINVENTARIO[MARCA])</f>
        <v>N/A</v>
      </c>
      <c r="D996" s="33" t="str">
        <f>_xlfn.XLOOKUP(TablaSTOCKINV[[#This Row],[SKU]],TablaINVENTARIO[SKU],TablaINVENTARIO[CATEGORIA])</f>
        <v>FABRICACION</v>
      </c>
      <c r="E996" s="33" t="str">
        <f>_xlfn.XLOOKUP(TablaSTOCKINV[[#This Row],[SKU]],TablaINVENTARIO[SKU],TablaINVENTARIO[SUBCATEGORIA])</f>
        <v>MATERIAL MECANICO</v>
      </c>
      <c r="F996" s="33" t="str">
        <f>_xlfn.XLOOKUP(TablaSTOCKINV[[#This Row],[SKU]],TablaINVENTARIO[SKU],TablaINVENTARIO[ESTADO])</f>
        <v>NUEVO</v>
      </c>
      <c r="G996" s="33" t="str">
        <f>_xlfn.XLOOKUP(TablaSTOCKINV[[#This Row],[SKU]],TablaINVENTARIO[SKU],TablaINVENTARIO[MEDIDA])</f>
        <v>MTS</v>
      </c>
      <c r="H996" s="33" t="str">
        <f>_xlfn.XLOOKUP(TablaSTOCKINV[[#This Row],[SKU]],TablaINVENTARIO[SKU],TablaINVENTARIO[SERIAL])</f>
        <v>N/A</v>
      </c>
      <c r="I996" s="34">
        <f>_xlfn.XLOOKUP(TablaSTOCKINV[[#This Row],[SKU]],TablaINVENTARIO[SKU],TablaINVENTARIO[ALMACEN])</f>
        <v>0</v>
      </c>
      <c r="J996" s="34" t="str">
        <f>_xlfn.XLOOKUP(TablaSTOCKINV[[#This Row],[SKU]],TablaINVENTARIO[SKU],TablaINVENTARIO[UBICACION])</f>
        <v>H2-1</v>
      </c>
      <c r="K996" s="34" t="str">
        <f>_xlfn.XLOOKUP(TablaSTOCKINV[[#This Row],[SKU]],TablaINVENTARIO[SKU],TablaINVENTARIO[DPTO RESPONSABLE])</f>
        <v>OPERACIONES</v>
      </c>
      <c r="L996" s="53">
        <f>_xlfn.XLOOKUP(TablaSTOCKINV[[#This Row],[SKU]],TablaINVENTARIO[SKU],TablaINVENTARIO[RANGO MIN])</f>
        <v>0</v>
      </c>
      <c r="M996" s="34" cm="1">
        <f t="array" ref="M996">_xlfn.IFS(TablaSTOCKINV[[#This Row],[CANT. TOTAL]]&lt;=0,1,TablaSTOCKINV[[#This Row],[CANT. TOTAL]]&lt;=TablaSTOCKINV[[#This Row],[MIN]],2,TablaSTOCKINV[[#This Row],[CANT. TOTAL]]&gt;TablaSTOCKINV[[#This Row],[MIN]],3)</f>
        <v>3</v>
      </c>
      <c r="N996" s="34">
        <f>TablaSTOCKINV[[#This Row],[ENTRADAS]]-TablaSTOCKINV[[#This Row],[SALIDAS]]</f>
        <v>6</v>
      </c>
      <c r="O996" s="35">
        <f>SUMIFS(TablaENTRADA[CANT],TablaENTRADA[SKU],TablaSTOCKINV[[#This Row],[SKU]])</f>
        <v>6</v>
      </c>
      <c r="P996" s="35">
        <f>SUMIFS(TablaSALIDA[CANT],TablaSALIDA[SKU],TablaSTOCKINV[[#This Row],[SKU]])</f>
        <v>0</v>
      </c>
      <c r="Q996" s="34">
        <f>_xlfn.XLOOKUP(TablaSTOCKINV[[#This Row],[SKU]],TablaINVENTARIO[SKU],TablaINVENTARIO[PRECIO])</f>
        <v>0</v>
      </c>
      <c r="R996" s="34">
        <f>TablaSTOCKINV[[#This Row],[P.UNITARIO]]*TablaSTOCKINV[[#This Row],[CANT. TOTAL]]</f>
        <v>0</v>
      </c>
      <c r="S996" s="44">
        <f>_xlfn.XLOOKUP(TablaSTOCKINV[[#This Row],[SKU]],TablaINVENTARIO[SKU],TablaINVENTARIO[FECHA INGRESO])</f>
        <v>46023</v>
      </c>
      <c r="T996" s="44">
        <f>_xlfn.XLOOKUP(TablaSTOCKINV[[#This Row],[SKU]],TablaENTRADA[SKU],TablaENTRADA[FECHA],,0,-1)</f>
        <v>46023</v>
      </c>
      <c r="U996" s="46" t="str">
        <f>IFERROR((_xlfn.XLOOKUP(TablaSTOCKINV[[#This Row],[SKU]],TablaSALIDA[SKU],TablaSALIDA[FECHA],,0,-1))," " )</f>
        <v xml:space="preserve"> </v>
      </c>
    </row>
    <row r="997" spans="1:21" x14ac:dyDescent="0.3">
      <c r="A997" s="27" t="s">
        <v>1082</v>
      </c>
      <c r="B997" s="32" t="str">
        <f>_xlfn.XLOOKUP(TablaSTOCKINV[[#This Row],[SKU]],TablaINVENTARIO[SKU],TablaINVENTARIO[DESCRIPCION])</f>
        <v>CONTROLADOR DE CARGA SOLAR</v>
      </c>
      <c r="C997" s="32" t="str">
        <f>_xlfn.XLOOKUP(TablaSTOCKINV[[#This Row],[SKU]],TablaINVENTARIO[SKU],TablaINVENTARIO[MARCA])</f>
        <v>KOMAES</v>
      </c>
      <c r="D997" s="33" t="str">
        <f>_xlfn.XLOOKUP(TablaSTOCKINV[[#This Row],[SKU]],TablaINVENTARIO[SKU],TablaINVENTARIO[CATEGORIA])</f>
        <v>FABRICACION</v>
      </c>
      <c r="E997" s="33" t="str">
        <f>_xlfn.XLOOKUP(TablaSTOCKINV[[#This Row],[SKU]],TablaINVENTARIO[SKU],TablaINVENTARIO[SUBCATEGORIA])</f>
        <v>ARTEFACTO ELECTRICO</v>
      </c>
      <c r="F997" s="33" t="str">
        <f>_xlfn.XLOOKUP(TablaSTOCKINV[[#This Row],[SKU]],TablaINVENTARIO[SKU],TablaINVENTARIO[ESTADO])</f>
        <v>NUEVO</v>
      </c>
      <c r="G997" s="33" t="str">
        <f>_xlfn.XLOOKUP(TablaSTOCKINV[[#This Row],[SKU]],TablaINVENTARIO[SKU],TablaINVENTARIO[MEDIDA])</f>
        <v>UND</v>
      </c>
      <c r="H997" s="33" t="str">
        <f>_xlfn.XLOOKUP(TablaSTOCKINV[[#This Row],[SKU]],TablaINVENTARIO[SKU],TablaINVENTARIO[SERIAL])</f>
        <v>N/A</v>
      </c>
      <c r="I997" s="34">
        <f>_xlfn.XLOOKUP(TablaSTOCKINV[[#This Row],[SKU]],TablaINVENTARIO[SKU],TablaINVENTARIO[ALMACEN])</f>
        <v>0</v>
      </c>
      <c r="J997" s="34" t="str">
        <f>_xlfn.XLOOKUP(TablaSTOCKINV[[#This Row],[SKU]],TablaINVENTARIO[SKU],TablaINVENTARIO[UBICACION])</f>
        <v>H2-1</v>
      </c>
      <c r="K997" s="34" t="str">
        <f>_xlfn.XLOOKUP(TablaSTOCKINV[[#This Row],[SKU]],TablaINVENTARIO[SKU],TablaINVENTARIO[DPTO RESPONSABLE])</f>
        <v>OPERACIONES</v>
      </c>
      <c r="L997" s="53">
        <f>_xlfn.XLOOKUP(TablaSTOCKINV[[#This Row],[SKU]],TablaINVENTARIO[SKU],TablaINVENTARIO[RANGO MIN])</f>
        <v>0</v>
      </c>
      <c r="M997" s="34" cm="1">
        <f t="array" ref="M997">_xlfn.IFS(TablaSTOCKINV[[#This Row],[CANT. TOTAL]]&lt;=0,1,TablaSTOCKINV[[#This Row],[CANT. TOTAL]]&lt;=TablaSTOCKINV[[#This Row],[MIN]],2,TablaSTOCKINV[[#This Row],[CANT. TOTAL]]&gt;TablaSTOCKINV[[#This Row],[MIN]],3)</f>
        <v>3</v>
      </c>
      <c r="N997" s="34">
        <f>TablaSTOCKINV[[#This Row],[ENTRADAS]]-TablaSTOCKINV[[#This Row],[SALIDAS]]</f>
        <v>1</v>
      </c>
      <c r="O997" s="35">
        <f>SUMIFS(TablaENTRADA[CANT],TablaENTRADA[SKU],TablaSTOCKINV[[#This Row],[SKU]])</f>
        <v>1</v>
      </c>
      <c r="P997" s="35">
        <f>SUMIFS(TablaSALIDA[CANT],TablaSALIDA[SKU],TablaSTOCKINV[[#This Row],[SKU]])</f>
        <v>0</v>
      </c>
      <c r="Q997" s="34">
        <f>_xlfn.XLOOKUP(TablaSTOCKINV[[#This Row],[SKU]],TablaINVENTARIO[SKU],TablaINVENTARIO[PRECIO])</f>
        <v>0</v>
      </c>
      <c r="R997" s="34">
        <f>TablaSTOCKINV[[#This Row],[P.UNITARIO]]*TablaSTOCKINV[[#This Row],[CANT. TOTAL]]</f>
        <v>0</v>
      </c>
      <c r="S997" s="44">
        <f>_xlfn.XLOOKUP(TablaSTOCKINV[[#This Row],[SKU]],TablaINVENTARIO[SKU],TablaINVENTARIO[FECHA INGRESO])</f>
        <v>46023</v>
      </c>
      <c r="T997" s="44">
        <f>_xlfn.XLOOKUP(TablaSTOCKINV[[#This Row],[SKU]],TablaENTRADA[SKU],TablaENTRADA[FECHA],,0,-1)</f>
        <v>46023</v>
      </c>
      <c r="U997" s="46" t="str">
        <f>IFERROR((_xlfn.XLOOKUP(TablaSTOCKINV[[#This Row],[SKU]],TablaSALIDA[SKU],TablaSALIDA[FECHA],,0,-1))," " )</f>
        <v xml:space="preserve"> </v>
      </c>
    </row>
    <row r="998" spans="1:21" x14ac:dyDescent="0.3">
      <c r="A998" s="27" t="s">
        <v>1085</v>
      </c>
      <c r="B998" s="32" t="str">
        <f>_xlfn.XLOOKUP(TablaSTOCKINV[[#This Row],[SKU]],TablaINVENTARIO[SKU],TablaINVENTARIO[DESCRIPCION])</f>
        <v>CORIOLIS</v>
      </c>
      <c r="C998" s="32" t="str">
        <f>_xlfn.XLOOKUP(TablaSTOCKINV[[#This Row],[SKU]],TablaINVENTARIO[SKU],TablaINVENTARIO[MARCA])</f>
        <v xml:space="preserve">ROSSEMOUNT </v>
      </c>
      <c r="D998" s="33" t="str">
        <f>_xlfn.XLOOKUP(TablaSTOCKINV[[#This Row],[SKU]],TablaINVENTARIO[SKU],TablaINVENTARIO[CATEGORIA])</f>
        <v>FABRICACION</v>
      </c>
      <c r="E998" s="33" t="str">
        <f>_xlfn.XLOOKUP(TablaSTOCKINV[[#This Row],[SKU]],TablaINVENTARIO[SKU],TablaINVENTARIO[SUBCATEGORIA])</f>
        <v>ARTEFACTO ELECTRICO</v>
      </c>
      <c r="F998" s="33" t="str">
        <f>_xlfn.XLOOKUP(TablaSTOCKINV[[#This Row],[SKU]],TablaINVENTARIO[SKU],TablaINVENTARIO[ESTADO])</f>
        <v>NUEVO</v>
      </c>
      <c r="G998" s="33" t="str">
        <f>_xlfn.XLOOKUP(TablaSTOCKINV[[#This Row],[SKU]],TablaINVENTARIO[SKU],TablaINVENTARIO[MEDIDA])</f>
        <v>UND</v>
      </c>
      <c r="H998" s="33" t="str">
        <f>_xlfn.XLOOKUP(TablaSTOCKINV[[#This Row],[SKU]],TablaINVENTARIO[SKU],TablaINVENTARIO[SERIAL])</f>
        <v>N/A</v>
      </c>
      <c r="I998" s="34">
        <f>_xlfn.XLOOKUP(TablaSTOCKINV[[#This Row],[SKU]],TablaINVENTARIO[SKU],TablaINVENTARIO[ALMACEN])</f>
        <v>0</v>
      </c>
      <c r="J998" s="34" t="str">
        <f>_xlfn.XLOOKUP(TablaSTOCKINV[[#This Row],[SKU]],TablaINVENTARIO[SKU],TablaINVENTARIO[UBICACION])</f>
        <v>H4-1</v>
      </c>
      <c r="K998" s="34" t="str">
        <f>_xlfn.XLOOKUP(TablaSTOCKINV[[#This Row],[SKU]],TablaINVENTARIO[SKU],TablaINVENTARIO[DPTO RESPONSABLE])</f>
        <v>OPERACIONES</v>
      </c>
      <c r="L998" s="53">
        <f>_xlfn.XLOOKUP(TablaSTOCKINV[[#This Row],[SKU]],TablaINVENTARIO[SKU],TablaINVENTARIO[RANGO MIN])</f>
        <v>0</v>
      </c>
      <c r="M998" s="34" cm="1">
        <f t="array" ref="M998">_xlfn.IFS(TablaSTOCKINV[[#This Row],[CANT. TOTAL]]&lt;=0,1,TablaSTOCKINV[[#This Row],[CANT. TOTAL]]&lt;=TablaSTOCKINV[[#This Row],[MIN]],2,TablaSTOCKINV[[#This Row],[CANT. TOTAL]]&gt;TablaSTOCKINV[[#This Row],[MIN]],3)</f>
        <v>3</v>
      </c>
      <c r="N998" s="34">
        <f>TablaSTOCKINV[[#This Row],[ENTRADAS]]-TablaSTOCKINV[[#This Row],[SALIDAS]]</f>
        <v>1</v>
      </c>
      <c r="O998" s="35">
        <f>SUMIFS(TablaENTRADA[CANT],TablaENTRADA[SKU],TablaSTOCKINV[[#This Row],[SKU]])</f>
        <v>1</v>
      </c>
      <c r="P998" s="35">
        <f>SUMIFS(TablaSALIDA[CANT],TablaSALIDA[SKU],TablaSTOCKINV[[#This Row],[SKU]])</f>
        <v>0</v>
      </c>
      <c r="Q998" s="34">
        <f>_xlfn.XLOOKUP(TablaSTOCKINV[[#This Row],[SKU]],TablaINVENTARIO[SKU],TablaINVENTARIO[PRECIO])</f>
        <v>0</v>
      </c>
      <c r="R998" s="34">
        <f>TablaSTOCKINV[[#This Row],[P.UNITARIO]]*TablaSTOCKINV[[#This Row],[CANT. TOTAL]]</f>
        <v>0</v>
      </c>
      <c r="S998" s="44">
        <f>_xlfn.XLOOKUP(TablaSTOCKINV[[#This Row],[SKU]],TablaINVENTARIO[SKU],TablaINVENTARIO[FECHA INGRESO])</f>
        <v>46023</v>
      </c>
      <c r="T998" s="44">
        <f>_xlfn.XLOOKUP(TablaSTOCKINV[[#This Row],[SKU]],TablaENTRADA[SKU],TablaENTRADA[FECHA],,0,-1)</f>
        <v>46023</v>
      </c>
      <c r="U998" s="46" t="str">
        <f>IFERROR((_xlfn.XLOOKUP(TablaSTOCKINV[[#This Row],[SKU]],TablaSALIDA[SKU],TablaSALIDA[FECHA],,0,-1))," " )</f>
        <v xml:space="preserve"> </v>
      </c>
    </row>
    <row r="999" spans="1:21" x14ac:dyDescent="0.3">
      <c r="A999" s="27" t="s">
        <v>1087</v>
      </c>
      <c r="B999" s="32" t="str">
        <f>_xlfn.XLOOKUP(TablaSTOCKINV[[#This Row],[SKU]],TablaINVENTARIO[SKU],TablaINVENTARIO[DESCRIPCION])</f>
        <v xml:space="preserve">ARGOLLA DE SUSPENSION </v>
      </c>
      <c r="C999" s="32" t="str">
        <f>_xlfn.XLOOKUP(TablaSTOCKINV[[#This Row],[SKU]],TablaINVENTARIO[SKU],TablaINVENTARIO[MARCA])</f>
        <v>N/A</v>
      </c>
      <c r="D999" s="33" t="str">
        <f>_xlfn.XLOOKUP(TablaSTOCKINV[[#This Row],[SKU]],TablaINVENTARIO[SKU],TablaINVENTARIO[CATEGORIA])</f>
        <v>FABRICACION</v>
      </c>
      <c r="E999" s="33" t="str">
        <f>_xlfn.XLOOKUP(TablaSTOCKINV[[#This Row],[SKU]],TablaINVENTARIO[SKU],TablaINVENTARIO[SUBCATEGORIA])</f>
        <v>MATERIAL MECANICO</v>
      </c>
      <c r="F999" s="33" t="str">
        <f>_xlfn.XLOOKUP(TablaSTOCKINV[[#This Row],[SKU]],TablaINVENTARIO[SKU],TablaINVENTARIO[ESTADO])</f>
        <v>NUEVO</v>
      </c>
      <c r="G999" s="33" t="str">
        <f>_xlfn.XLOOKUP(TablaSTOCKINV[[#This Row],[SKU]],TablaINVENTARIO[SKU],TablaINVENTARIO[MEDIDA])</f>
        <v xml:space="preserve">UND </v>
      </c>
      <c r="H999" s="33" t="str">
        <f>_xlfn.XLOOKUP(TablaSTOCKINV[[#This Row],[SKU]],TablaINVENTARIO[SKU],TablaINVENTARIO[SERIAL])</f>
        <v>N/A</v>
      </c>
      <c r="I999" s="34">
        <f>_xlfn.XLOOKUP(TablaSTOCKINV[[#This Row],[SKU]],TablaINVENTARIO[SKU],TablaINVENTARIO[ALMACEN])</f>
        <v>0</v>
      </c>
      <c r="J999" s="34" t="str">
        <f>_xlfn.XLOOKUP(TablaSTOCKINV[[#This Row],[SKU]],TablaINVENTARIO[SKU],TablaINVENTARIO[UBICACION])</f>
        <v>H3-2</v>
      </c>
      <c r="K999" s="34" t="str">
        <f>_xlfn.XLOOKUP(TablaSTOCKINV[[#This Row],[SKU]],TablaINVENTARIO[SKU],TablaINVENTARIO[DPTO RESPONSABLE])</f>
        <v>OPERACIONES</v>
      </c>
      <c r="L999" s="53">
        <f>_xlfn.XLOOKUP(TablaSTOCKINV[[#This Row],[SKU]],TablaINVENTARIO[SKU],TablaINVENTARIO[RANGO MIN])</f>
        <v>0</v>
      </c>
      <c r="M999" s="34" cm="1">
        <f t="array" ref="M999">_xlfn.IFS(TablaSTOCKINV[[#This Row],[CANT. TOTAL]]&lt;=0,1,TablaSTOCKINV[[#This Row],[CANT. TOTAL]]&lt;=TablaSTOCKINV[[#This Row],[MIN]],2,TablaSTOCKINV[[#This Row],[CANT. TOTAL]]&gt;TablaSTOCKINV[[#This Row],[MIN]],3)</f>
        <v>3</v>
      </c>
      <c r="N999" s="34">
        <f>TablaSTOCKINV[[#This Row],[ENTRADAS]]-TablaSTOCKINV[[#This Row],[SALIDAS]]</f>
        <v>23</v>
      </c>
      <c r="O999" s="35">
        <f>SUMIFS(TablaENTRADA[CANT],TablaENTRADA[SKU],TablaSTOCKINV[[#This Row],[SKU]])</f>
        <v>23</v>
      </c>
      <c r="P999" s="35">
        <f>SUMIFS(TablaSALIDA[CANT],TablaSALIDA[SKU],TablaSTOCKINV[[#This Row],[SKU]])</f>
        <v>0</v>
      </c>
      <c r="Q999" s="34">
        <f>_xlfn.XLOOKUP(TablaSTOCKINV[[#This Row],[SKU]],TablaINVENTARIO[SKU],TablaINVENTARIO[PRECIO])</f>
        <v>0</v>
      </c>
      <c r="R999" s="34">
        <f>TablaSTOCKINV[[#This Row],[P.UNITARIO]]*TablaSTOCKINV[[#This Row],[CANT. TOTAL]]</f>
        <v>0</v>
      </c>
      <c r="S999" s="44">
        <f>_xlfn.XLOOKUP(TablaSTOCKINV[[#This Row],[SKU]],TablaINVENTARIO[SKU],TablaINVENTARIO[FECHA INGRESO])</f>
        <v>46023</v>
      </c>
      <c r="T999" s="44">
        <f>_xlfn.XLOOKUP(TablaSTOCKINV[[#This Row],[SKU]],TablaENTRADA[SKU],TablaENTRADA[FECHA],,0,-1)</f>
        <v>46023</v>
      </c>
      <c r="U999" s="46" t="str">
        <f>IFERROR((_xlfn.XLOOKUP(TablaSTOCKINV[[#This Row],[SKU]],TablaSALIDA[SKU],TablaSALIDA[FECHA],,0,-1))," " )</f>
        <v xml:space="preserve"> </v>
      </c>
    </row>
    <row r="1000" spans="1:21" x14ac:dyDescent="0.3">
      <c r="A1000" s="27" t="s">
        <v>1089</v>
      </c>
      <c r="B1000" s="32" t="str">
        <f>_xlfn.XLOOKUP(TablaSTOCKINV[[#This Row],[SKU]],TablaINVENTARIO[SKU],TablaINVENTARIO[DESCRIPCION])</f>
        <v>SEPARADOR DE OW 2"</v>
      </c>
      <c r="C1000" s="32" t="str">
        <f>_xlfn.XLOOKUP(TablaSTOCKINV[[#This Row],[SKU]],TablaINVENTARIO[SKU],TablaINVENTARIO[MARCA])</f>
        <v>N/A</v>
      </c>
      <c r="D1000" s="33" t="str">
        <f>_xlfn.XLOOKUP(TablaSTOCKINV[[#This Row],[SKU]],TablaINVENTARIO[SKU],TablaINVENTARIO[CATEGORIA])</f>
        <v>FABRICACION</v>
      </c>
      <c r="E1000" s="33" t="str">
        <f>_xlfn.XLOOKUP(TablaSTOCKINV[[#This Row],[SKU]],TablaINVENTARIO[SKU],TablaINVENTARIO[SUBCATEGORIA])</f>
        <v>MATERIAL MECANICO</v>
      </c>
      <c r="F1000" s="33" t="str">
        <f>_xlfn.XLOOKUP(TablaSTOCKINV[[#This Row],[SKU]],TablaINVENTARIO[SKU],TablaINVENTARIO[ESTADO])</f>
        <v>NUEVO</v>
      </c>
      <c r="G1000" s="33" t="str">
        <f>_xlfn.XLOOKUP(TablaSTOCKINV[[#This Row],[SKU]],TablaINVENTARIO[SKU],TablaINVENTARIO[MEDIDA])</f>
        <v xml:space="preserve">UND </v>
      </c>
      <c r="H1000" s="33" t="str">
        <f>_xlfn.XLOOKUP(TablaSTOCKINV[[#This Row],[SKU]],TablaINVENTARIO[SKU],TablaINVENTARIO[SERIAL])</f>
        <v>N/A</v>
      </c>
      <c r="I1000" s="34">
        <f>_xlfn.XLOOKUP(TablaSTOCKINV[[#This Row],[SKU]],TablaINVENTARIO[SKU],TablaINVENTARIO[ALMACEN])</f>
        <v>0</v>
      </c>
      <c r="J1000" s="34" t="str">
        <f>_xlfn.XLOOKUP(TablaSTOCKINV[[#This Row],[SKU]],TablaINVENTARIO[SKU],TablaINVENTARIO[UBICACION])</f>
        <v>H3-2</v>
      </c>
      <c r="K1000" s="34" t="str">
        <f>_xlfn.XLOOKUP(TablaSTOCKINV[[#This Row],[SKU]],TablaINVENTARIO[SKU],TablaINVENTARIO[DPTO RESPONSABLE])</f>
        <v>OPERACIONES</v>
      </c>
      <c r="L1000" s="53">
        <f>_xlfn.XLOOKUP(TablaSTOCKINV[[#This Row],[SKU]],TablaINVENTARIO[SKU],TablaINVENTARIO[RANGO MIN])</f>
        <v>0</v>
      </c>
      <c r="M1000" s="34" cm="1">
        <f t="array" ref="M1000">_xlfn.IFS(TablaSTOCKINV[[#This Row],[CANT. TOTAL]]&lt;=0,1,TablaSTOCKINV[[#This Row],[CANT. TOTAL]]&lt;=TablaSTOCKINV[[#This Row],[MIN]],2,TablaSTOCKINV[[#This Row],[CANT. TOTAL]]&gt;TablaSTOCKINV[[#This Row],[MIN]],3)</f>
        <v>3</v>
      </c>
      <c r="N1000" s="34">
        <f>TablaSTOCKINV[[#This Row],[ENTRADAS]]-TablaSTOCKINV[[#This Row],[SALIDAS]]</f>
        <v>2</v>
      </c>
      <c r="O1000" s="35">
        <f>SUMIFS(TablaENTRADA[CANT],TablaENTRADA[SKU],TablaSTOCKINV[[#This Row],[SKU]])</f>
        <v>2</v>
      </c>
      <c r="P1000" s="35">
        <f>SUMIFS(TablaSALIDA[CANT],TablaSALIDA[SKU],TablaSTOCKINV[[#This Row],[SKU]])</f>
        <v>0</v>
      </c>
      <c r="Q1000" s="34">
        <f>_xlfn.XLOOKUP(TablaSTOCKINV[[#This Row],[SKU]],TablaINVENTARIO[SKU],TablaINVENTARIO[PRECIO])</f>
        <v>0</v>
      </c>
      <c r="R1000" s="34">
        <f>TablaSTOCKINV[[#This Row],[P.UNITARIO]]*TablaSTOCKINV[[#This Row],[CANT. TOTAL]]</f>
        <v>0</v>
      </c>
      <c r="S1000" s="44">
        <f>_xlfn.XLOOKUP(TablaSTOCKINV[[#This Row],[SKU]],TablaINVENTARIO[SKU],TablaINVENTARIO[FECHA INGRESO])</f>
        <v>46023</v>
      </c>
      <c r="T1000" s="44">
        <f>_xlfn.XLOOKUP(TablaSTOCKINV[[#This Row],[SKU]],TablaENTRADA[SKU],TablaENTRADA[FECHA],,0,-1)</f>
        <v>46023</v>
      </c>
      <c r="U1000" s="46" t="str">
        <f>IFERROR((_xlfn.XLOOKUP(TablaSTOCKINV[[#This Row],[SKU]],TablaSALIDA[SKU],TablaSALIDA[FECHA],,0,-1))," " )</f>
        <v xml:space="preserve"> </v>
      </c>
    </row>
    <row r="1001" spans="1:21" x14ac:dyDescent="0.3">
      <c r="A1001" s="27" t="s">
        <v>1091</v>
      </c>
      <c r="B1001" s="32" t="str">
        <f>_xlfn.XLOOKUP(TablaSTOCKINV[[#This Row],[SKU]],TablaINVENTARIO[SKU],TablaINVENTARIO[DESCRIPCION])</f>
        <v>EMBRAGUE DE SEGURIDAD PARA RUEDA FONICA DEL SENSOR DE PDMETER</v>
      </c>
      <c r="C1001" s="32" t="str">
        <f>_xlfn.XLOOKUP(TablaSTOCKINV[[#This Row],[SKU]],TablaINVENTARIO[SKU],TablaINVENTARIO[MARCA])</f>
        <v>N/A</v>
      </c>
      <c r="D1001" s="33" t="str">
        <f>_xlfn.XLOOKUP(TablaSTOCKINV[[#This Row],[SKU]],TablaINVENTARIO[SKU],TablaINVENTARIO[CATEGORIA])</f>
        <v>FABRICACION</v>
      </c>
      <c r="E1001" s="33" t="str">
        <f>_xlfn.XLOOKUP(TablaSTOCKINV[[#This Row],[SKU]],TablaINVENTARIO[SKU],TablaINVENTARIO[SUBCATEGORIA])</f>
        <v>MATERIAL MECANICO</v>
      </c>
      <c r="F1001" s="33" t="str">
        <f>_xlfn.XLOOKUP(TablaSTOCKINV[[#This Row],[SKU]],TablaINVENTARIO[SKU],TablaINVENTARIO[ESTADO])</f>
        <v>NUEVO</v>
      </c>
      <c r="G1001" s="33" t="str">
        <f>_xlfn.XLOOKUP(TablaSTOCKINV[[#This Row],[SKU]],TablaINVENTARIO[SKU],TablaINVENTARIO[MEDIDA])</f>
        <v xml:space="preserve">UND </v>
      </c>
      <c r="H1001" s="33" t="str">
        <f>_xlfn.XLOOKUP(TablaSTOCKINV[[#This Row],[SKU]],TablaINVENTARIO[SKU],TablaINVENTARIO[SERIAL])</f>
        <v>N/A</v>
      </c>
      <c r="I1001" s="34">
        <f>_xlfn.XLOOKUP(TablaSTOCKINV[[#This Row],[SKU]],TablaINVENTARIO[SKU],TablaINVENTARIO[ALMACEN])</f>
        <v>0</v>
      </c>
      <c r="J1001" s="34" t="str">
        <f>_xlfn.XLOOKUP(TablaSTOCKINV[[#This Row],[SKU]],TablaINVENTARIO[SKU],TablaINVENTARIO[UBICACION])</f>
        <v>H3-2</v>
      </c>
      <c r="K1001" s="34" t="str">
        <f>_xlfn.XLOOKUP(TablaSTOCKINV[[#This Row],[SKU]],TablaINVENTARIO[SKU],TablaINVENTARIO[DPTO RESPONSABLE])</f>
        <v>OPERACIONES</v>
      </c>
      <c r="L1001" s="53">
        <f>_xlfn.XLOOKUP(TablaSTOCKINV[[#This Row],[SKU]],TablaINVENTARIO[SKU],TablaINVENTARIO[RANGO MIN])</f>
        <v>0</v>
      </c>
      <c r="M1001" s="34" cm="1">
        <f t="array" ref="M1001">_xlfn.IFS(TablaSTOCKINV[[#This Row],[CANT. TOTAL]]&lt;=0,1,TablaSTOCKINV[[#This Row],[CANT. TOTAL]]&lt;=TablaSTOCKINV[[#This Row],[MIN]],2,TablaSTOCKINV[[#This Row],[CANT. TOTAL]]&gt;TablaSTOCKINV[[#This Row],[MIN]],3)</f>
        <v>3</v>
      </c>
      <c r="N1001" s="34">
        <f>TablaSTOCKINV[[#This Row],[ENTRADAS]]-TablaSTOCKINV[[#This Row],[SALIDAS]]</f>
        <v>6</v>
      </c>
      <c r="O1001" s="35">
        <f>SUMIFS(TablaENTRADA[CANT],TablaENTRADA[SKU],TablaSTOCKINV[[#This Row],[SKU]])</f>
        <v>6</v>
      </c>
      <c r="P1001" s="35">
        <f>SUMIFS(TablaSALIDA[CANT],TablaSALIDA[SKU],TablaSTOCKINV[[#This Row],[SKU]])</f>
        <v>0</v>
      </c>
      <c r="Q1001" s="34">
        <f>_xlfn.XLOOKUP(TablaSTOCKINV[[#This Row],[SKU]],TablaINVENTARIO[SKU],TablaINVENTARIO[PRECIO])</f>
        <v>0</v>
      </c>
      <c r="R1001" s="34">
        <f>TablaSTOCKINV[[#This Row],[P.UNITARIO]]*TablaSTOCKINV[[#This Row],[CANT. TOTAL]]</f>
        <v>0</v>
      </c>
      <c r="S1001" s="44">
        <f>_xlfn.XLOOKUP(TablaSTOCKINV[[#This Row],[SKU]],TablaINVENTARIO[SKU],TablaINVENTARIO[FECHA INGRESO])</f>
        <v>46023</v>
      </c>
      <c r="T1001" s="44">
        <f>_xlfn.XLOOKUP(TablaSTOCKINV[[#This Row],[SKU]],TablaENTRADA[SKU],TablaENTRADA[FECHA],,0,-1)</f>
        <v>46023</v>
      </c>
      <c r="U1001" s="46" t="str">
        <f>IFERROR((_xlfn.XLOOKUP(TablaSTOCKINV[[#This Row],[SKU]],TablaSALIDA[SKU],TablaSALIDA[FECHA],,0,-1))," " )</f>
        <v xml:space="preserve"> </v>
      </c>
    </row>
    <row r="1002" spans="1:21" x14ac:dyDescent="0.3">
      <c r="A1002" s="27" t="s">
        <v>1093</v>
      </c>
      <c r="B1002" s="32" t="str">
        <f>_xlfn.XLOOKUP(TablaSTOCKINV[[#This Row],[SKU]],TablaINVENTARIO[SKU],TablaINVENTARIO[DESCRIPCION])</f>
        <v>SHOUR 1/2"</v>
      </c>
      <c r="C1002" s="32" t="str">
        <f>_xlfn.XLOOKUP(TablaSTOCKINV[[#This Row],[SKU]],TablaINVENTARIO[SKU],TablaINVENTARIO[MARCA])</f>
        <v>N/A</v>
      </c>
      <c r="D1002" s="33" t="str">
        <f>_xlfn.XLOOKUP(TablaSTOCKINV[[#This Row],[SKU]],TablaINVENTARIO[SKU],TablaINVENTARIO[CATEGORIA])</f>
        <v>FABRICACION</v>
      </c>
      <c r="E1002" s="33" t="str">
        <f>_xlfn.XLOOKUP(TablaSTOCKINV[[#This Row],[SKU]],TablaINVENTARIO[SKU],TablaINVENTARIO[SUBCATEGORIA])</f>
        <v>MATERIAL ELECTRICO</v>
      </c>
      <c r="F1002" s="33" t="str">
        <f>_xlfn.XLOOKUP(TablaSTOCKINV[[#This Row],[SKU]],TablaINVENTARIO[SKU],TablaINVENTARIO[ESTADO])</f>
        <v>NUEVO</v>
      </c>
      <c r="G1002" s="33" t="str">
        <f>_xlfn.XLOOKUP(TablaSTOCKINV[[#This Row],[SKU]],TablaINVENTARIO[SKU],TablaINVENTARIO[MEDIDA])</f>
        <v xml:space="preserve">UND </v>
      </c>
      <c r="H1002" s="33" t="str">
        <f>_xlfn.XLOOKUP(TablaSTOCKINV[[#This Row],[SKU]],TablaINVENTARIO[SKU],TablaINVENTARIO[SERIAL])</f>
        <v>N/A</v>
      </c>
      <c r="I1002" s="34">
        <f>_xlfn.XLOOKUP(TablaSTOCKINV[[#This Row],[SKU]],TablaINVENTARIO[SKU],TablaINVENTARIO[ALMACEN])</f>
        <v>0</v>
      </c>
      <c r="J1002" s="34" t="str">
        <f>_xlfn.XLOOKUP(TablaSTOCKINV[[#This Row],[SKU]],TablaINVENTARIO[SKU],TablaINVENTARIO[UBICACION])</f>
        <v>H4-2</v>
      </c>
      <c r="K1002" s="34" t="str">
        <f>_xlfn.XLOOKUP(TablaSTOCKINV[[#This Row],[SKU]],TablaINVENTARIO[SKU],TablaINVENTARIO[DPTO RESPONSABLE])</f>
        <v>OPERACIONES</v>
      </c>
      <c r="L1002" s="53">
        <f>_xlfn.XLOOKUP(TablaSTOCKINV[[#This Row],[SKU]],TablaINVENTARIO[SKU],TablaINVENTARIO[RANGO MIN])</f>
        <v>0</v>
      </c>
      <c r="M1002" s="34" cm="1">
        <f t="array" ref="M1002">_xlfn.IFS(TablaSTOCKINV[[#This Row],[CANT. TOTAL]]&lt;=0,1,TablaSTOCKINV[[#This Row],[CANT. TOTAL]]&lt;=TablaSTOCKINV[[#This Row],[MIN]],2,TablaSTOCKINV[[#This Row],[CANT. TOTAL]]&gt;TablaSTOCKINV[[#This Row],[MIN]],3)</f>
        <v>3</v>
      </c>
      <c r="N1002" s="34">
        <f>TablaSTOCKINV[[#This Row],[ENTRADAS]]-TablaSTOCKINV[[#This Row],[SALIDAS]]</f>
        <v>108</v>
      </c>
      <c r="O1002" s="35">
        <f>SUMIFS(TablaENTRADA[CANT],TablaENTRADA[SKU],TablaSTOCKINV[[#This Row],[SKU]])</f>
        <v>108</v>
      </c>
      <c r="P1002" s="35">
        <f>SUMIFS(TablaSALIDA[CANT],TablaSALIDA[SKU],TablaSTOCKINV[[#This Row],[SKU]])</f>
        <v>0</v>
      </c>
      <c r="Q1002" s="34">
        <f>_xlfn.XLOOKUP(TablaSTOCKINV[[#This Row],[SKU]],TablaINVENTARIO[SKU],TablaINVENTARIO[PRECIO])</f>
        <v>0</v>
      </c>
      <c r="R1002" s="34">
        <f>TablaSTOCKINV[[#This Row],[P.UNITARIO]]*TablaSTOCKINV[[#This Row],[CANT. TOTAL]]</f>
        <v>0</v>
      </c>
      <c r="S1002" s="44">
        <f>_xlfn.XLOOKUP(TablaSTOCKINV[[#This Row],[SKU]],TablaINVENTARIO[SKU],TablaINVENTARIO[FECHA INGRESO])</f>
        <v>46023</v>
      </c>
      <c r="T1002" s="44">
        <f>_xlfn.XLOOKUP(TablaSTOCKINV[[#This Row],[SKU]],TablaENTRADA[SKU],TablaENTRADA[FECHA],,0,-1)</f>
        <v>46023</v>
      </c>
      <c r="U1002" s="46" t="str">
        <f>IFERROR((_xlfn.XLOOKUP(TablaSTOCKINV[[#This Row],[SKU]],TablaSALIDA[SKU],TablaSALIDA[FECHA],,0,-1))," " )</f>
        <v xml:space="preserve"> </v>
      </c>
    </row>
    <row r="1003" spans="1:21" x14ac:dyDescent="0.3">
      <c r="A1003" s="27" t="s">
        <v>1095</v>
      </c>
      <c r="B1003" s="32" t="str">
        <f>_xlfn.XLOOKUP(TablaSTOCKINV[[#This Row],[SKU]],TablaINVENTARIO[SKU],TablaINVENTARIO[DESCRIPCION])</f>
        <v>SHOUR 3/4"</v>
      </c>
      <c r="C1003" s="32" t="str">
        <f>_xlfn.XLOOKUP(TablaSTOCKINV[[#This Row],[SKU]],TablaINVENTARIO[SKU],TablaINVENTARIO[MARCA])</f>
        <v>N/A</v>
      </c>
      <c r="D1003" s="33" t="str">
        <f>_xlfn.XLOOKUP(TablaSTOCKINV[[#This Row],[SKU]],TablaINVENTARIO[SKU],TablaINVENTARIO[CATEGORIA])</f>
        <v>FABRICACION</v>
      </c>
      <c r="E1003" s="33" t="str">
        <f>_xlfn.XLOOKUP(TablaSTOCKINV[[#This Row],[SKU]],TablaINVENTARIO[SKU],TablaINVENTARIO[SUBCATEGORIA])</f>
        <v>MATERIAL ELECTRICO</v>
      </c>
      <c r="F1003" s="33" t="str">
        <f>_xlfn.XLOOKUP(TablaSTOCKINV[[#This Row],[SKU]],TablaINVENTARIO[SKU],TablaINVENTARIO[ESTADO])</f>
        <v>NUEVO</v>
      </c>
      <c r="G1003" s="33" t="str">
        <f>_xlfn.XLOOKUP(TablaSTOCKINV[[#This Row],[SKU]],TablaINVENTARIO[SKU],TablaINVENTARIO[MEDIDA])</f>
        <v xml:space="preserve">UND </v>
      </c>
      <c r="H1003" s="33" t="str">
        <f>_xlfn.XLOOKUP(TablaSTOCKINV[[#This Row],[SKU]],TablaINVENTARIO[SKU],TablaINVENTARIO[SERIAL])</f>
        <v>N/A</v>
      </c>
      <c r="I1003" s="34">
        <f>_xlfn.XLOOKUP(TablaSTOCKINV[[#This Row],[SKU]],TablaINVENTARIO[SKU],TablaINVENTARIO[ALMACEN])</f>
        <v>0</v>
      </c>
      <c r="J1003" s="34" t="str">
        <f>_xlfn.XLOOKUP(TablaSTOCKINV[[#This Row],[SKU]],TablaINVENTARIO[SKU],TablaINVENTARIO[UBICACION])</f>
        <v>H4-2</v>
      </c>
      <c r="K1003" s="34" t="str">
        <f>_xlfn.XLOOKUP(TablaSTOCKINV[[#This Row],[SKU]],TablaINVENTARIO[SKU],TablaINVENTARIO[DPTO RESPONSABLE])</f>
        <v>OPERACIONES</v>
      </c>
      <c r="L1003" s="53">
        <f>_xlfn.XLOOKUP(TablaSTOCKINV[[#This Row],[SKU]],TablaINVENTARIO[SKU],TablaINVENTARIO[RANGO MIN])</f>
        <v>0</v>
      </c>
      <c r="M1003" s="34" cm="1">
        <f t="array" ref="M1003">_xlfn.IFS(TablaSTOCKINV[[#This Row],[CANT. TOTAL]]&lt;=0,1,TablaSTOCKINV[[#This Row],[CANT. TOTAL]]&lt;=TablaSTOCKINV[[#This Row],[MIN]],2,TablaSTOCKINV[[#This Row],[CANT. TOTAL]]&gt;TablaSTOCKINV[[#This Row],[MIN]],3)</f>
        <v>3</v>
      </c>
      <c r="N1003" s="34">
        <f>TablaSTOCKINV[[#This Row],[ENTRADAS]]-TablaSTOCKINV[[#This Row],[SALIDAS]]</f>
        <v>31</v>
      </c>
      <c r="O1003" s="35">
        <f>SUMIFS(TablaENTRADA[CANT],TablaENTRADA[SKU],TablaSTOCKINV[[#This Row],[SKU]])</f>
        <v>31</v>
      </c>
      <c r="P1003" s="35">
        <f>SUMIFS(TablaSALIDA[CANT],TablaSALIDA[SKU],TablaSTOCKINV[[#This Row],[SKU]])</f>
        <v>0</v>
      </c>
      <c r="Q1003" s="34">
        <f>_xlfn.XLOOKUP(TablaSTOCKINV[[#This Row],[SKU]],TablaINVENTARIO[SKU],TablaINVENTARIO[PRECIO])</f>
        <v>0</v>
      </c>
      <c r="R1003" s="34">
        <f>TablaSTOCKINV[[#This Row],[P.UNITARIO]]*TablaSTOCKINV[[#This Row],[CANT. TOTAL]]</f>
        <v>0</v>
      </c>
      <c r="S1003" s="44">
        <f>_xlfn.XLOOKUP(TablaSTOCKINV[[#This Row],[SKU]],TablaINVENTARIO[SKU],TablaINVENTARIO[FECHA INGRESO])</f>
        <v>46023</v>
      </c>
      <c r="T1003" s="44">
        <f>_xlfn.XLOOKUP(TablaSTOCKINV[[#This Row],[SKU]],TablaENTRADA[SKU],TablaENTRADA[FECHA],,0,-1)</f>
        <v>46023</v>
      </c>
      <c r="U1003" s="46" t="str">
        <f>IFERROR((_xlfn.XLOOKUP(TablaSTOCKINV[[#This Row],[SKU]],TablaSALIDA[SKU],TablaSALIDA[FECHA],,0,-1))," " )</f>
        <v xml:space="preserve"> </v>
      </c>
    </row>
    <row r="1004" spans="1:21" x14ac:dyDescent="0.3">
      <c r="A1004" s="27" t="s">
        <v>1097</v>
      </c>
      <c r="B1004" s="32" t="str">
        <f>_xlfn.XLOOKUP(TablaSTOCKINV[[#This Row],[SKU]],TablaINVENTARIO[SKU],TablaINVENTARIO[DESCRIPCION])</f>
        <v>FUENTE DE PODER MODELO: TC1240-124J COD: CD0612305</v>
      </c>
      <c r="C1004" s="32" t="str">
        <f>_xlfn.XLOOKUP(TablaSTOCKINV[[#This Row],[SKU]],TablaINVENTARIO[SKU],TablaINVENTARIO[MARCA])</f>
        <v xml:space="preserve">TRACO POWER </v>
      </c>
      <c r="D1004" s="33" t="str">
        <f>_xlfn.XLOOKUP(TablaSTOCKINV[[#This Row],[SKU]],TablaINVENTARIO[SKU],TablaINVENTARIO[CATEGORIA])</f>
        <v>FABRICACION</v>
      </c>
      <c r="E1004" s="33" t="str">
        <f>_xlfn.XLOOKUP(TablaSTOCKINV[[#This Row],[SKU]],TablaINVENTARIO[SKU],TablaINVENTARIO[SUBCATEGORIA])</f>
        <v>MARTERIAL ELECTRONICO</v>
      </c>
      <c r="F1004" s="33" t="str">
        <f>_xlfn.XLOOKUP(TablaSTOCKINV[[#This Row],[SKU]],TablaINVENTARIO[SKU],TablaINVENTARIO[ESTADO])</f>
        <v xml:space="preserve">NUEVO </v>
      </c>
      <c r="G1004" s="33" t="str">
        <f>_xlfn.XLOOKUP(TablaSTOCKINV[[#This Row],[SKU]],TablaINVENTARIO[SKU],TablaINVENTARIO[MEDIDA])</f>
        <v>UND</v>
      </c>
      <c r="H1004" s="33" t="str">
        <f>_xlfn.XLOOKUP(TablaSTOCKINV[[#This Row],[SKU]],TablaINVENTARIO[SKU],TablaINVENTARIO[SERIAL])</f>
        <v>N/A</v>
      </c>
      <c r="I1004" s="34">
        <f>_xlfn.XLOOKUP(TablaSTOCKINV[[#This Row],[SKU]],TablaINVENTARIO[SKU],TablaINVENTARIO[ALMACEN])</f>
        <v>0</v>
      </c>
      <c r="J1004" s="34" t="str">
        <f>_xlfn.XLOOKUP(TablaSTOCKINV[[#This Row],[SKU]],TablaINVENTARIO[SKU],TablaINVENTARIO[UBICACION])</f>
        <v>3A</v>
      </c>
      <c r="K1004" s="34" t="str">
        <f>_xlfn.XLOOKUP(TablaSTOCKINV[[#This Row],[SKU]],TablaINVENTARIO[SKU],TablaINVENTARIO[DPTO RESPONSABLE])</f>
        <v>OPERACIONES</v>
      </c>
      <c r="L1004" s="53">
        <f>_xlfn.XLOOKUP(TablaSTOCKINV[[#This Row],[SKU]],TablaINVENTARIO[SKU],TablaINVENTARIO[RANGO MIN])</f>
        <v>0</v>
      </c>
      <c r="M1004" s="34" cm="1">
        <f t="array" ref="M1004">_xlfn.IFS(TablaSTOCKINV[[#This Row],[CANT. TOTAL]]&lt;=0,1,TablaSTOCKINV[[#This Row],[CANT. TOTAL]]&lt;=TablaSTOCKINV[[#This Row],[MIN]],2,TablaSTOCKINV[[#This Row],[CANT. TOTAL]]&gt;TablaSTOCKINV[[#This Row],[MIN]],3)</f>
        <v>3</v>
      </c>
      <c r="N1004" s="34">
        <f>TablaSTOCKINV[[#This Row],[ENTRADAS]]-TablaSTOCKINV[[#This Row],[SALIDAS]]</f>
        <v>4</v>
      </c>
      <c r="O1004" s="35">
        <f>SUMIFS(TablaENTRADA[CANT],TablaENTRADA[SKU],TablaSTOCKINV[[#This Row],[SKU]])</f>
        <v>4</v>
      </c>
      <c r="P1004" s="35">
        <f>SUMIFS(TablaSALIDA[CANT],TablaSALIDA[SKU],TablaSTOCKINV[[#This Row],[SKU]])</f>
        <v>0</v>
      </c>
      <c r="Q1004" s="34">
        <f>_xlfn.XLOOKUP(TablaSTOCKINV[[#This Row],[SKU]],TablaINVENTARIO[SKU],TablaINVENTARIO[PRECIO])</f>
        <v>0</v>
      </c>
      <c r="R1004" s="34">
        <f>TablaSTOCKINV[[#This Row],[P.UNITARIO]]*TablaSTOCKINV[[#This Row],[CANT. TOTAL]]</f>
        <v>0</v>
      </c>
      <c r="S1004" s="44">
        <f>_xlfn.XLOOKUP(TablaSTOCKINV[[#This Row],[SKU]],TablaINVENTARIO[SKU],TablaINVENTARIO[FECHA INGRESO])</f>
        <v>46023</v>
      </c>
      <c r="T1004" s="44">
        <f>_xlfn.XLOOKUP(TablaSTOCKINV[[#This Row],[SKU]],TablaENTRADA[SKU],TablaENTRADA[FECHA],,0,-1)</f>
        <v>46023</v>
      </c>
      <c r="U1004" s="46" t="str">
        <f>IFERROR((_xlfn.XLOOKUP(TablaSTOCKINV[[#This Row],[SKU]],TablaSALIDA[SKU],TablaSALIDA[FECHA],,0,-1))," " )</f>
        <v xml:space="preserve"> </v>
      </c>
    </row>
    <row r="1005" spans="1:21" x14ac:dyDescent="0.3">
      <c r="A1005" s="27" t="s">
        <v>1102</v>
      </c>
      <c r="B1005" s="32" t="str">
        <f>_xlfn.XLOOKUP(TablaSTOCKINV[[#This Row],[SKU]],TablaINVENTARIO[SKU],TablaINVENTARIO[DESCRIPCION])</f>
        <v>FUENTE DE PODER MODELO: TCL24-124DC</v>
      </c>
      <c r="C1005" s="32" t="str">
        <f>_xlfn.XLOOKUP(TablaSTOCKINV[[#This Row],[SKU]],TablaINVENTARIO[SKU],TablaINVENTARIO[MARCA])</f>
        <v xml:space="preserve">TRACO POWER </v>
      </c>
      <c r="D1005" s="33" t="str">
        <f>_xlfn.XLOOKUP(TablaSTOCKINV[[#This Row],[SKU]],TablaINVENTARIO[SKU],TablaINVENTARIO[CATEGORIA])</f>
        <v>FABRICACION</v>
      </c>
      <c r="E1005" s="33" t="str">
        <f>_xlfn.XLOOKUP(TablaSTOCKINV[[#This Row],[SKU]],TablaINVENTARIO[SKU],TablaINVENTARIO[SUBCATEGORIA])</f>
        <v>MARTERIAL ELECTRONICO</v>
      </c>
      <c r="F1005" s="33" t="str">
        <f>_xlfn.XLOOKUP(TablaSTOCKINV[[#This Row],[SKU]],TablaINVENTARIO[SKU],TablaINVENTARIO[ESTADO])</f>
        <v>USADO</v>
      </c>
      <c r="G1005" s="33" t="str">
        <f>_xlfn.XLOOKUP(TablaSTOCKINV[[#This Row],[SKU]],TablaINVENTARIO[SKU],TablaINVENTARIO[MEDIDA])</f>
        <v>UND</v>
      </c>
      <c r="H1005" s="33" t="str">
        <f>_xlfn.XLOOKUP(TablaSTOCKINV[[#This Row],[SKU]],TablaINVENTARIO[SKU],TablaINVENTARIO[SERIAL])</f>
        <v>N/A</v>
      </c>
      <c r="I1005" s="34">
        <f>_xlfn.XLOOKUP(TablaSTOCKINV[[#This Row],[SKU]],TablaINVENTARIO[SKU],TablaINVENTARIO[ALMACEN])</f>
        <v>0</v>
      </c>
      <c r="J1005" s="34" t="str">
        <f>_xlfn.XLOOKUP(TablaSTOCKINV[[#This Row],[SKU]],TablaINVENTARIO[SKU],TablaINVENTARIO[UBICACION])</f>
        <v>3A</v>
      </c>
      <c r="K1005" s="34" t="str">
        <f>_xlfn.XLOOKUP(TablaSTOCKINV[[#This Row],[SKU]],TablaINVENTARIO[SKU],TablaINVENTARIO[DPTO RESPONSABLE])</f>
        <v>OPERACIONES</v>
      </c>
      <c r="L1005" s="53">
        <f>_xlfn.XLOOKUP(TablaSTOCKINV[[#This Row],[SKU]],TablaINVENTARIO[SKU],TablaINVENTARIO[RANGO MIN])</f>
        <v>0</v>
      </c>
      <c r="M1005" s="34" cm="1">
        <f t="array" ref="M1005">_xlfn.IFS(TablaSTOCKINV[[#This Row],[CANT. TOTAL]]&lt;=0,1,TablaSTOCKINV[[#This Row],[CANT. TOTAL]]&lt;=TablaSTOCKINV[[#This Row],[MIN]],2,TablaSTOCKINV[[#This Row],[CANT. TOTAL]]&gt;TablaSTOCKINV[[#This Row],[MIN]],3)</f>
        <v>3</v>
      </c>
      <c r="N1005" s="34">
        <f>TablaSTOCKINV[[#This Row],[ENTRADAS]]-TablaSTOCKINV[[#This Row],[SALIDAS]]</f>
        <v>6</v>
      </c>
      <c r="O1005" s="35">
        <f>SUMIFS(TablaENTRADA[CANT],TablaENTRADA[SKU],TablaSTOCKINV[[#This Row],[SKU]])</f>
        <v>6</v>
      </c>
      <c r="P1005" s="35">
        <f>SUMIFS(TablaSALIDA[CANT],TablaSALIDA[SKU],TablaSTOCKINV[[#This Row],[SKU]])</f>
        <v>0</v>
      </c>
      <c r="Q1005" s="34">
        <f>_xlfn.XLOOKUP(TablaSTOCKINV[[#This Row],[SKU]],TablaINVENTARIO[SKU],TablaINVENTARIO[PRECIO])</f>
        <v>0</v>
      </c>
      <c r="R1005" s="34">
        <f>TablaSTOCKINV[[#This Row],[P.UNITARIO]]*TablaSTOCKINV[[#This Row],[CANT. TOTAL]]</f>
        <v>0</v>
      </c>
      <c r="S1005" s="44">
        <f>_xlfn.XLOOKUP(TablaSTOCKINV[[#This Row],[SKU]],TablaINVENTARIO[SKU],TablaINVENTARIO[FECHA INGRESO])</f>
        <v>46023</v>
      </c>
      <c r="T1005" s="44">
        <f>_xlfn.XLOOKUP(TablaSTOCKINV[[#This Row],[SKU]],TablaENTRADA[SKU],TablaENTRADA[FECHA],,0,-1)</f>
        <v>46023</v>
      </c>
      <c r="U1005" s="46" t="str">
        <f>IFERROR((_xlfn.XLOOKUP(TablaSTOCKINV[[#This Row],[SKU]],TablaSALIDA[SKU],TablaSALIDA[FECHA],,0,-1))," " )</f>
        <v xml:space="preserve"> </v>
      </c>
    </row>
    <row r="1006" spans="1:21" x14ac:dyDescent="0.3">
      <c r="A1006" s="27" t="s">
        <v>1104</v>
      </c>
      <c r="B1006" s="32" t="str">
        <f>_xlfn.XLOOKUP(TablaSTOCKINV[[#This Row],[SKU]],TablaINVENTARIO[SKU],TablaINVENTARIO[DESCRIPCION])</f>
        <v>FUENTE DE PODER MODELO: TCL24-124DC</v>
      </c>
      <c r="C1006" s="32" t="str">
        <f>_xlfn.XLOOKUP(TablaSTOCKINV[[#This Row],[SKU]],TablaINVENTARIO[SKU],TablaINVENTARIO[MARCA])</f>
        <v xml:space="preserve">TRACO POWER </v>
      </c>
      <c r="D1006" s="33" t="str">
        <f>_xlfn.XLOOKUP(TablaSTOCKINV[[#This Row],[SKU]],TablaINVENTARIO[SKU],TablaINVENTARIO[CATEGORIA])</f>
        <v>FABRICACION</v>
      </c>
      <c r="E1006" s="33" t="str">
        <f>_xlfn.XLOOKUP(TablaSTOCKINV[[#This Row],[SKU]],TablaINVENTARIO[SKU],TablaINVENTARIO[SUBCATEGORIA])</f>
        <v>MARTERIAL ELECTRONICO</v>
      </c>
      <c r="F1006" s="33" t="str">
        <f>_xlfn.XLOOKUP(TablaSTOCKINV[[#This Row],[SKU]],TablaINVENTARIO[SKU],TablaINVENTARIO[ESTADO])</f>
        <v xml:space="preserve">NUEVO </v>
      </c>
      <c r="G1006" s="33" t="str">
        <f>_xlfn.XLOOKUP(TablaSTOCKINV[[#This Row],[SKU]],TablaINVENTARIO[SKU],TablaINVENTARIO[MEDIDA])</f>
        <v>UND</v>
      </c>
      <c r="H1006" s="33" t="str">
        <f>_xlfn.XLOOKUP(TablaSTOCKINV[[#This Row],[SKU]],TablaINVENTARIO[SKU],TablaINVENTARIO[SERIAL])</f>
        <v>N/A</v>
      </c>
      <c r="I1006" s="34">
        <f>_xlfn.XLOOKUP(TablaSTOCKINV[[#This Row],[SKU]],TablaINVENTARIO[SKU],TablaINVENTARIO[ALMACEN])</f>
        <v>0</v>
      </c>
      <c r="J1006" s="34" t="str">
        <f>_xlfn.XLOOKUP(TablaSTOCKINV[[#This Row],[SKU]],TablaINVENTARIO[SKU],TablaINVENTARIO[UBICACION])</f>
        <v>3A</v>
      </c>
      <c r="K1006" s="34" t="str">
        <f>_xlfn.XLOOKUP(TablaSTOCKINV[[#This Row],[SKU]],TablaINVENTARIO[SKU],TablaINVENTARIO[DPTO RESPONSABLE])</f>
        <v>OPERACIONES</v>
      </c>
      <c r="L1006" s="53">
        <f>_xlfn.XLOOKUP(TablaSTOCKINV[[#This Row],[SKU]],TablaINVENTARIO[SKU],TablaINVENTARIO[RANGO MIN])</f>
        <v>0</v>
      </c>
      <c r="M1006" s="34" cm="1">
        <f t="array" ref="M1006">_xlfn.IFS(TablaSTOCKINV[[#This Row],[CANT. TOTAL]]&lt;=0,1,TablaSTOCKINV[[#This Row],[CANT. TOTAL]]&lt;=TablaSTOCKINV[[#This Row],[MIN]],2,TablaSTOCKINV[[#This Row],[CANT. TOTAL]]&gt;TablaSTOCKINV[[#This Row],[MIN]],3)</f>
        <v>3</v>
      </c>
      <c r="N1006" s="34">
        <f>TablaSTOCKINV[[#This Row],[ENTRADAS]]-TablaSTOCKINV[[#This Row],[SALIDAS]]</f>
        <v>2</v>
      </c>
      <c r="O1006" s="35">
        <f>SUMIFS(TablaENTRADA[CANT],TablaENTRADA[SKU],TablaSTOCKINV[[#This Row],[SKU]])</f>
        <v>2</v>
      </c>
      <c r="P1006" s="35">
        <f>SUMIFS(TablaSALIDA[CANT],TablaSALIDA[SKU],TablaSTOCKINV[[#This Row],[SKU]])</f>
        <v>0</v>
      </c>
      <c r="Q1006" s="34">
        <f>_xlfn.XLOOKUP(TablaSTOCKINV[[#This Row],[SKU]],TablaINVENTARIO[SKU],TablaINVENTARIO[PRECIO])</f>
        <v>0</v>
      </c>
      <c r="R1006" s="34">
        <f>TablaSTOCKINV[[#This Row],[P.UNITARIO]]*TablaSTOCKINV[[#This Row],[CANT. TOTAL]]</f>
        <v>0</v>
      </c>
      <c r="S1006" s="44">
        <f>_xlfn.XLOOKUP(TablaSTOCKINV[[#This Row],[SKU]],TablaINVENTARIO[SKU],TablaINVENTARIO[FECHA INGRESO])</f>
        <v>46023</v>
      </c>
      <c r="T1006" s="44">
        <f>_xlfn.XLOOKUP(TablaSTOCKINV[[#This Row],[SKU]],TablaENTRADA[SKU],TablaENTRADA[FECHA],,0,-1)</f>
        <v>46023</v>
      </c>
      <c r="U1006" s="46" t="str">
        <f>IFERROR((_xlfn.XLOOKUP(TablaSTOCKINV[[#This Row],[SKU]],TablaSALIDA[SKU],TablaSALIDA[FECHA],,0,-1))," " )</f>
        <v xml:space="preserve"> </v>
      </c>
    </row>
    <row r="1007" spans="1:21" x14ac:dyDescent="0.3">
      <c r="A1007" s="27" t="s">
        <v>1105</v>
      </c>
      <c r="B1007" s="32" t="str">
        <f>_xlfn.XLOOKUP(TablaSTOCKINV[[#This Row],[SKU]],TablaINVENTARIO[SKU],TablaINVENTARIO[DESCRIPCION])</f>
        <v>FUENTE DE PODER MODELO: TCL060-124DC</v>
      </c>
      <c r="C1007" s="32" t="str">
        <f>_xlfn.XLOOKUP(TablaSTOCKINV[[#This Row],[SKU]],TablaINVENTARIO[SKU],TablaINVENTARIO[MARCA])</f>
        <v xml:space="preserve">TRACO POWER </v>
      </c>
      <c r="D1007" s="33" t="str">
        <f>_xlfn.XLOOKUP(TablaSTOCKINV[[#This Row],[SKU]],TablaINVENTARIO[SKU],TablaINVENTARIO[CATEGORIA])</f>
        <v>FABRICACION</v>
      </c>
      <c r="E1007" s="33" t="str">
        <f>_xlfn.XLOOKUP(TablaSTOCKINV[[#This Row],[SKU]],TablaINVENTARIO[SKU],TablaINVENTARIO[SUBCATEGORIA])</f>
        <v>MARTERIAL ELECTRONICO</v>
      </c>
      <c r="F1007" s="33" t="str">
        <f>_xlfn.XLOOKUP(TablaSTOCKINV[[#This Row],[SKU]],TablaINVENTARIO[SKU],TablaINVENTARIO[ESTADO])</f>
        <v xml:space="preserve">NUEVO </v>
      </c>
      <c r="G1007" s="33" t="str">
        <f>_xlfn.XLOOKUP(TablaSTOCKINV[[#This Row],[SKU]],TablaINVENTARIO[SKU],TablaINVENTARIO[MEDIDA])</f>
        <v>UND</v>
      </c>
      <c r="H1007" s="33" t="str">
        <f>_xlfn.XLOOKUP(TablaSTOCKINV[[#This Row],[SKU]],TablaINVENTARIO[SKU],TablaINVENTARIO[SERIAL])</f>
        <v>N/A</v>
      </c>
      <c r="I1007" s="34">
        <f>_xlfn.XLOOKUP(TablaSTOCKINV[[#This Row],[SKU]],TablaINVENTARIO[SKU],TablaINVENTARIO[ALMACEN])</f>
        <v>0</v>
      </c>
      <c r="J1007" s="34" t="str">
        <f>_xlfn.XLOOKUP(TablaSTOCKINV[[#This Row],[SKU]],TablaINVENTARIO[SKU],TablaINVENTARIO[UBICACION])</f>
        <v>3A</v>
      </c>
      <c r="K1007" s="34" t="str">
        <f>_xlfn.XLOOKUP(TablaSTOCKINV[[#This Row],[SKU]],TablaINVENTARIO[SKU],TablaINVENTARIO[DPTO RESPONSABLE])</f>
        <v>OPERACIONES</v>
      </c>
      <c r="L1007" s="53">
        <f>_xlfn.XLOOKUP(TablaSTOCKINV[[#This Row],[SKU]],TablaINVENTARIO[SKU],TablaINVENTARIO[RANGO MIN])</f>
        <v>0</v>
      </c>
      <c r="M1007" s="34" cm="1">
        <f t="array" ref="M1007">_xlfn.IFS(TablaSTOCKINV[[#This Row],[CANT. TOTAL]]&lt;=0,1,TablaSTOCKINV[[#This Row],[CANT. TOTAL]]&lt;=TablaSTOCKINV[[#This Row],[MIN]],2,TablaSTOCKINV[[#This Row],[CANT. TOTAL]]&gt;TablaSTOCKINV[[#This Row],[MIN]],3)</f>
        <v>3</v>
      </c>
      <c r="N1007" s="34">
        <f>TablaSTOCKINV[[#This Row],[ENTRADAS]]-TablaSTOCKINV[[#This Row],[SALIDAS]]</f>
        <v>13</v>
      </c>
      <c r="O1007" s="35">
        <f>SUMIFS(TablaENTRADA[CANT],TablaENTRADA[SKU],TablaSTOCKINV[[#This Row],[SKU]])</f>
        <v>13</v>
      </c>
      <c r="P1007" s="35">
        <f>SUMIFS(TablaSALIDA[CANT],TablaSALIDA[SKU],TablaSTOCKINV[[#This Row],[SKU]])</f>
        <v>0</v>
      </c>
      <c r="Q1007" s="34">
        <f>_xlfn.XLOOKUP(TablaSTOCKINV[[#This Row],[SKU]],TablaINVENTARIO[SKU],TablaINVENTARIO[PRECIO])</f>
        <v>0</v>
      </c>
      <c r="R1007" s="34">
        <f>TablaSTOCKINV[[#This Row],[P.UNITARIO]]*TablaSTOCKINV[[#This Row],[CANT. TOTAL]]</f>
        <v>0</v>
      </c>
      <c r="S1007" s="44">
        <f>_xlfn.XLOOKUP(TablaSTOCKINV[[#This Row],[SKU]],TablaINVENTARIO[SKU],TablaINVENTARIO[FECHA INGRESO])</f>
        <v>46023</v>
      </c>
      <c r="T1007" s="44">
        <f>_xlfn.XLOOKUP(TablaSTOCKINV[[#This Row],[SKU]],TablaENTRADA[SKU],TablaENTRADA[FECHA],,0,-1)</f>
        <v>46023</v>
      </c>
      <c r="U1007" s="46" t="str">
        <f>IFERROR((_xlfn.XLOOKUP(TablaSTOCKINV[[#This Row],[SKU]],TablaSALIDA[SKU],TablaSALIDA[FECHA],,0,-1))," " )</f>
        <v xml:space="preserve"> </v>
      </c>
    </row>
    <row r="1008" spans="1:21" x14ac:dyDescent="0.3">
      <c r="A1008" s="27" t="s">
        <v>1107</v>
      </c>
      <c r="B1008" s="32" t="str">
        <f>_xlfn.XLOOKUP(TablaSTOCKINV[[#This Row],[SKU]],TablaINVENTARIO[SKU],TablaINVENTARIO[DESCRIPCION])</f>
        <v>PEAKTRONICS MODELO: DHC-400</v>
      </c>
      <c r="C1008" s="32" t="str">
        <f>_xlfn.XLOOKUP(TablaSTOCKINV[[#This Row],[SKU]],TablaINVENTARIO[SKU],TablaINVENTARIO[MARCA])</f>
        <v>N/A</v>
      </c>
      <c r="D1008" s="33" t="str">
        <f>_xlfn.XLOOKUP(TablaSTOCKINV[[#This Row],[SKU]],TablaINVENTARIO[SKU],TablaINVENTARIO[CATEGORIA])</f>
        <v>FABRICACION</v>
      </c>
      <c r="E1008" s="33" t="str">
        <f>_xlfn.XLOOKUP(TablaSTOCKINV[[#This Row],[SKU]],TablaINVENTARIO[SKU],TablaINVENTARIO[SUBCATEGORIA])</f>
        <v>MARTERIAL ELECTRONICO</v>
      </c>
      <c r="F1008" s="33" t="str">
        <f>_xlfn.XLOOKUP(TablaSTOCKINV[[#This Row],[SKU]],TablaINVENTARIO[SKU],TablaINVENTARIO[ESTADO])</f>
        <v xml:space="preserve">NUEVO </v>
      </c>
      <c r="G1008" s="33" t="str">
        <f>_xlfn.XLOOKUP(TablaSTOCKINV[[#This Row],[SKU]],TablaINVENTARIO[SKU],TablaINVENTARIO[MEDIDA])</f>
        <v>UND</v>
      </c>
      <c r="H1008" s="33">
        <f>_xlfn.XLOOKUP(TablaSTOCKINV[[#This Row],[SKU]],TablaINVENTARIO[SKU],TablaINVENTARIO[SERIAL])</f>
        <v>10205</v>
      </c>
      <c r="I1008" s="34">
        <f>_xlfn.XLOOKUP(TablaSTOCKINV[[#This Row],[SKU]],TablaINVENTARIO[SKU],TablaINVENTARIO[ALMACEN])</f>
        <v>0</v>
      </c>
      <c r="J1008" s="34" t="str">
        <f>_xlfn.XLOOKUP(TablaSTOCKINV[[#This Row],[SKU]],TablaINVENTARIO[SKU],TablaINVENTARIO[UBICACION])</f>
        <v>3A</v>
      </c>
      <c r="K1008" s="34" t="str">
        <f>_xlfn.XLOOKUP(TablaSTOCKINV[[#This Row],[SKU]],TablaINVENTARIO[SKU],TablaINVENTARIO[DPTO RESPONSABLE])</f>
        <v>OPERACIONES</v>
      </c>
      <c r="L1008" s="53">
        <f>_xlfn.XLOOKUP(TablaSTOCKINV[[#This Row],[SKU]],TablaINVENTARIO[SKU],TablaINVENTARIO[RANGO MIN])</f>
        <v>0</v>
      </c>
      <c r="M1008" s="34" cm="1">
        <f t="array" ref="M1008">_xlfn.IFS(TablaSTOCKINV[[#This Row],[CANT. TOTAL]]&lt;=0,1,TablaSTOCKINV[[#This Row],[CANT. TOTAL]]&lt;=TablaSTOCKINV[[#This Row],[MIN]],2,TablaSTOCKINV[[#This Row],[CANT. TOTAL]]&gt;TablaSTOCKINV[[#This Row],[MIN]],3)</f>
        <v>3</v>
      </c>
      <c r="N1008" s="34">
        <f>TablaSTOCKINV[[#This Row],[ENTRADAS]]-TablaSTOCKINV[[#This Row],[SALIDAS]]</f>
        <v>1</v>
      </c>
      <c r="O1008" s="35">
        <f>SUMIFS(TablaENTRADA[CANT],TablaENTRADA[SKU],TablaSTOCKINV[[#This Row],[SKU]])</f>
        <v>1</v>
      </c>
      <c r="P1008" s="35">
        <f>SUMIFS(TablaSALIDA[CANT],TablaSALIDA[SKU],TablaSTOCKINV[[#This Row],[SKU]])</f>
        <v>0</v>
      </c>
      <c r="Q1008" s="34">
        <f>_xlfn.XLOOKUP(TablaSTOCKINV[[#This Row],[SKU]],TablaINVENTARIO[SKU],TablaINVENTARIO[PRECIO])</f>
        <v>0</v>
      </c>
      <c r="R1008" s="34">
        <f>TablaSTOCKINV[[#This Row],[P.UNITARIO]]*TablaSTOCKINV[[#This Row],[CANT. TOTAL]]</f>
        <v>0</v>
      </c>
      <c r="S1008" s="44">
        <f>_xlfn.XLOOKUP(TablaSTOCKINV[[#This Row],[SKU]],TablaINVENTARIO[SKU],TablaINVENTARIO[FECHA INGRESO])</f>
        <v>46023</v>
      </c>
      <c r="T1008" s="44">
        <f>_xlfn.XLOOKUP(TablaSTOCKINV[[#This Row],[SKU]],TablaENTRADA[SKU],TablaENTRADA[FECHA],,0,-1)</f>
        <v>46023</v>
      </c>
      <c r="U1008" s="46" t="str">
        <f>IFERROR((_xlfn.XLOOKUP(TablaSTOCKINV[[#This Row],[SKU]],TablaSALIDA[SKU],TablaSALIDA[FECHA],,0,-1))," " )</f>
        <v xml:space="preserve"> </v>
      </c>
    </row>
    <row r="1009" spans="1:21" x14ac:dyDescent="0.3">
      <c r="A1009" s="27" t="s">
        <v>1109</v>
      </c>
      <c r="B1009" s="32" t="str">
        <f>_xlfn.XLOOKUP(TablaSTOCKINV[[#This Row],[SKU]],TablaINVENTARIO[SKU],TablaINVENTARIO[DESCRIPCION])</f>
        <v>PEAKTRONICS MODELO: DHC-400</v>
      </c>
      <c r="C1009" s="32" t="str">
        <f>_xlfn.XLOOKUP(TablaSTOCKINV[[#This Row],[SKU]],TablaINVENTARIO[SKU],TablaINVENTARIO[MARCA])</f>
        <v>N/A</v>
      </c>
      <c r="D1009" s="33" t="str">
        <f>_xlfn.XLOOKUP(TablaSTOCKINV[[#This Row],[SKU]],TablaINVENTARIO[SKU],TablaINVENTARIO[CATEGORIA])</f>
        <v>FABRICACION</v>
      </c>
      <c r="E1009" s="33" t="str">
        <f>_xlfn.XLOOKUP(TablaSTOCKINV[[#This Row],[SKU]],TablaINVENTARIO[SKU],TablaINVENTARIO[SUBCATEGORIA])</f>
        <v>MARTERIAL ELECTRONICO</v>
      </c>
      <c r="F1009" s="33" t="str">
        <f>_xlfn.XLOOKUP(TablaSTOCKINV[[#This Row],[SKU]],TablaINVENTARIO[SKU],TablaINVENTARIO[ESTADO])</f>
        <v xml:space="preserve">NUEVO </v>
      </c>
      <c r="G1009" s="33" t="str">
        <f>_xlfn.XLOOKUP(TablaSTOCKINV[[#This Row],[SKU]],TablaINVENTARIO[SKU],TablaINVENTARIO[MEDIDA])</f>
        <v>UND</v>
      </c>
      <c r="H1009" s="33">
        <f>_xlfn.XLOOKUP(TablaSTOCKINV[[#This Row],[SKU]],TablaINVENTARIO[SKU],TablaINVENTARIO[SERIAL])</f>
        <v>10208</v>
      </c>
      <c r="I1009" s="34">
        <f>_xlfn.XLOOKUP(TablaSTOCKINV[[#This Row],[SKU]],TablaINVENTARIO[SKU],TablaINVENTARIO[ALMACEN])</f>
        <v>0</v>
      </c>
      <c r="J1009" s="34" t="str">
        <f>_xlfn.XLOOKUP(TablaSTOCKINV[[#This Row],[SKU]],TablaINVENTARIO[SKU],TablaINVENTARIO[UBICACION])</f>
        <v>3A</v>
      </c>
      <c r="K1009" s="34" t="str">
        <f>_xlfn.XLOOKUP(TablaSTOCKINV[[#This Row],[SKU]],TablaINVENTARIO[SKU],TablaINVENTARIO[DPTO RESPONSABLE])</f>
        <v>OPERACIONES</v>
      </c>
      <c r="L1009" s="53">
        <f>_xlfn.XLOOKUP(TablaSTOCKINV[[#This Row],[SKU]],TablaINVENTARIO[SKU],TablaINVENTARIO[RANGO MIN])</f>
        <v>0</v>
      </c>
      <c r="M1009" s="34" cm="1">
        <f t="array" ref="M1009">_xlfn.IFS(TablaSTOCKINV[[#This Row],[CANT. TOTAL]]&lt;=0,1,TablaSTOCKINV[[#This Row],[CANT. TOTAL]]&lt;=TablaSTOCKINV[[#This Row],[MIN]],2,TablaSTOCKINV[[#This Row],[CANT. TOTAL]]&gt;TablaSTOCKINV[[#This Row],[MIN]],3)</f>
        <v>3</v>
      </c>
      <c r="N1009" s="34">
        <f>TablaSTOCKINV[[#This Row],[ENTRADAS]]-TablaSTOCKINV[[#This Row],[SALIDAS]]</f>
        <v>1</v>
      </c>
      <c r="O1009" s="35">
        <f>SUMIFS(TablaENTRADA[CANT],TablaENTRADA[SKU],TablaSTOCKINV[[#This Row],[SKU]])</f>
        <v>1</v>
      </c>
      <c r="P1009" s="35">
        <f>SUMIFS(TablaSALIDA[CANT],TablaSALIDA[SKU],TablaSTOCKINV[[#This Row],[SKU]])</f>
        <v>0</v>
      </c>
      <c r="Q1009" s="34">
        <f>_xlfn.XLOOKUP(TablaSTOCKINV[[#This Row],[SKU]],TablaINVENTARIO[SKU],TablaINVENTARIO[PRECIO])</f>
        <v>0</v>
      </c>
      <c r="R1009" s="34">
        <f>TablaSTOCKINV[[#This Row],[P.UNITARIO]]*TablaSTOCKINV[[#This Row],[CANT. TOTAL]]</f>
        <v>0</v>
      </c>
      <c r="S1009" s="44">
        <f>_xlfn.XLOOKUP(TablaSTOCKINV[[#This Row],[SKU]],TablaINVENTARIO[SKU],TablaINVENTARIO[FECHA INGRESO])</f>
        <v>46023</v>
      </c>
      <c r="T1009" s="44">
        <f>_xlfn.XLOOKUP(TablaSTOCKINV[[#This Row],[SKU]],TablaENTRADA[SKU],TablaENTRADA[FECHA],,0,-1)</f>
        <v>46023</v>
      </c>
      <c r="U1009" s="46" t="str">
        <f>IFERROR((_xlfn.XLOOKUP(TablaSTOCKINV[[#This Row],[SKU]],TablaSALIDA[SKU],TablaSALIDA[FECHA],,0,-1))," " )</f>
        <v xml:space="preserve"> </v>
      </c>
    </row>
    <row r="1010" spans="1:21" x14ac:dyDescent="0.3">
      <c r="A1010" s="27" t="s">
        <v>1110</v>
      </c>
      <c r="B1010" s="32" t="str">
        <f>_xlfn.XLOOKUP(TablaSTOCKINV[[#This Row],[SKU]],TablaINVENTARIO[SKU],TablaINVENTARIO[DESCRIPCION])</f>
        <v>PEAKTRONICS MODELO: DHC-400</v>
      </c>
      <c r="C1010" s="32" t="str">
        <f>_xlfn.XLOOKUP(TablaSTOCKINV[[#This Row],[SKU]],TablaINVENTARIO[SKU],TablaINVENTARIO[MARCA])</f>
        <v>N/A</v>
      </c>
      <c r="D1010" s="33" t="str">
        <f>_xlfn.XLOOKUP(TablaSTOCKINV[[#This Row],[SKU]],TablaINVENTARIO[SKU],TablaINVENTARIO[CATEGORIA])</f>
        <v>FABRICACION</v>
      </c>
      <c r="E1010" s="33" t="str">
        <f>_xlfn.XLOOKUP(TablaSTOCKINV[[#This Row],[SKU]],TablaINVENTARIO[SKU],TablaINVENTARIO[SUBCATEGORIA])</f>
        <v>MARTERIAL ELECTRONICO</v>
      </c>
      <c r="F1010" s="33" t="str">
        <f>_xlfn.XLOOKUP(TablaSTOCKINV[[#This Row],[SKU]],TablaINVENTARIO[SKU],TablaINVENTARIO[ESTADO])</f>
        <v xml:space="preserve">NUEVO </v>
      </c>
      <c r="G1010" s="33" t="str">
        <f>_xlfn.XLOOKUP(TablaSTOCKINV[[#This Row],[SKU]],TablaINVENTARIO[SKU],TablaINVENTARIO[MEDIDA])</f>
        <v>UND</v>
      </c>
      <c r="H1010" s="33">
        <f>_xlfn.XLOOKUP(TablaSTOCKINV[[#This Row],[SKU]],TablaINVENTARIO[SKU],TablaINVENTARIO[SERIAL])</f>
        <v>10211</v>
      </c>
      <c r="I1010" s="34">
        <f>_xlfn.XLOOKUP(TablaSTOCKINV[[#This Row],[SKU]],TablaINVENTARIO[SKU],TablaINVENTARIO[ALMACEN])</f>
        <v>0</v>
      </c>
      <c r="J1010" s="34" t="str">
        <f>_xlfn.XLOOKUP(TablaSTOCKINV[[#This Row],[SKU]],TablaINVENTARIO[SKU],TablaINVENTARIO[UBICACION])</f>
        <v>3A</v>
      </c>
      <c r="K1010" s="34" t="str">
        <f>_xlfn.XLOOKUP(TablaSTOCKINV[[#This Row],[SKU]],TablaINVENTARIO[SKU],TablaINVENTARIO[DPTO RESPONSABLE])</f>
        <v>OPERACIONES</v>
      </c>
      <c r="L1010" s="53">
        <f>_xlfn.XLOOKUP(TablaSTOCKINV[[#This Row],[SKU]],TablaINVENTARIO[SKU],TablaINVENTARIO[RANGO MIN])</f>
        <v>0</v>
      </c>
      <c r="M1010" s="34" cm="1">
        <f t="array" ref="M1010">_xlfn.IFS(TablaSTOCKINV[[#This Row],[CANT. TOTAL]]&lt;=0,1,TablaSTOCKINV[[#This Row],[CANT. TOTAL]]&lt;=TablaSTOCKINV[[#This Row],[MIN]],2,TablaSTOCKINV[[#This Row],[CANT. TOTAL]]&gt;TablaSTOCKINV[[#This Row],[MIN]],3)</f>
        <v>3</v>
      </c>
      <c r="N1010" s="34">
        <f>TablaSTOCKINV[[#This Row],[ENTRADAS]]-TablaSTOCKINV[[#This Row],[SALIDAS]]</f>
        <v>1</v>
      </c>
      <c r="O1010" s="35">
        <f>SUMIFS(TablaENTRADA[CANT],TablaENTRADA[SKU],TablaSTOCKINV[[#This Row],[SKU]])</f>
        <v>1</v>
      </c>
      <c r="P1010" s="35">
        <f>SUMIFS(TablaSALIDA[CANT],TablaSALIDA[SKU],TablaSTOCKINV[[#This Row],[SKU]])</f>
        <v>0</v>
      </c>
      <c r="Q1010" s="34">
        <f>_xlfn.XLOOKUP(TablaSTOCKINV[[#This Row],[SKU]],TablaINVENTARIO[SKU],TablaINVENTARIO[PRECIO])</f>
        <v>0</v>
      </c>
      <c r="R1010" s="34">
        <f>TablaSTOCKINV[[#This Row],[P.UNITARIO]]*TablaSTOCKINV[[#This Row],[CANT. TOTAL]]</f>
        <v>0</v>
      </c>
      <c r="S1010" s="44">
        <f>_xlfn.XLOOKUP(TablaSTOCKINV[[#This Row],[SKU]],TablaINVENTARIO[SKU],TablaINVENTARIO[FECHA INGRESO])</f>
        <v>46023</v>
      </c>
      <c r="T1010" s="44">
        <f>_xlfn.XLOOKUP(TablaSTOCKINV[[#This Row],[SKU]],TablaENTRADA[SKU],TablaENTRADA[FECHA],,0,-1)</f>
        <v>46023</v>
      </c>
      <c r="U1010" s="46" t="str">
        <f>IFERROR((_xlfn.XLOOKUP(TablaSTOCKINV[[#This Row],[SKU]],TablaSALIDA[SKU],TablaSALIDA[FECHA],,0,-1))," " )</f>
        <v xml:space="preserve"> </v>
      </c>
    </row>
    <row r="1011" spans="1:21" x14ac:dyDescent="0.3">
      <c r="A1011" s="27" t="s">
        <v>1111</v>
      </c>
      <c r="B1011" s="32" t="str">
        <f>_xlfn.XLOOKUP(TablaSTOCKINV[[#This Row],[SKU]],TablaINVENTARIO[SKU],TablaINVENTARIO[DESCRIPCION])</f>
        <v>PEAKTRONICS MODELO: DHC-400</v>
      </c>
      <c r="C1011" s="32" t="str">
        <f>_xlfn.XLOOKUP(TablaSTOCKINV[[#This Row],[SKU]],TablaINVENTARIO[SKU],TablaINVENTARIO[MARCA])</f>
        <v>N/A</v>
      </c>
      <c r="D1011" s="33" t="str">
        <f>_xlfn.XLOOKUP(TablaSTOCKINV[[#This Row],[SKU]],TablaINVENTARIO[SKU],TablaINVENTARIO[CATEGORIA])</f>
        <v>FABRICACION</v>
      </c>
      <c r="E1011" s="33" t="str">
        <f>_xlfn.XLOOKUP(TablaSTOCKINV[[#This Row],[SKU]],TablaINVENTARIO[SKU],TablaINVENTARIO[SUBCATEGORIA])</f>
        <v>MARTERIAL ELECTRONICO</v>
      </c>
      <c r="F1011" s="33" t="str">
        <f>_xlfn.XLOOKUP(TablaSTOCKINV[[#This Row],[SKU]],TablaINVENTARIO[SKU],TablaINVENTARIO[ESTADO])</f>
        <v xml:space="preserve">NUEVO </v>
      </c>
      <c r="G1011" s="33" t="str">
        <f>_xlfn.XLOOKUP(TablaSTOCKINV[[#This Row],[SKU]],TablaINVENTARIO[SKU],TablaINVENTARIO[MEDIDA])</f>
        <v>UND</v>
      </c>
      <c r="H1011" s="33">
        <f>_xlfn.XLOOKUP(TablaSTOCKINV[[#This Row],[SKU]],TablaINVENTARIO[SKU],TablaINVENTARIO[SERIAL])</f>
        <v>10207</v>
      </c>
      <c r="I1011" s="34">
        <f>_xlfn.XLOOKUP(TablaSTOCKINV[[#This Row],[SKU]],TablaINVENTARIO[SKU],TablaINVENTARIO[ALMACEN])</f>
        <v>0</v>
      </c>
      <c r="J1011" s="34" t="str">
        <f>_xlfn.XLOOKUP(TablaSTOCKINV[[#This Row],[SKU]],TablaINVENTARIO[SKU],TablaINVENTARIO[UBICACION])</f>
        <v>3A</v>
      </c>
      <c r="K1011" s="34" t="str">
        <f>_xlfn.XLOOKUP(TablaSTOCKINV[[#This Row],[SKU]],TablaINVENTARIO[SKU],TablaINVENTARIO[DPTO RESPONSABLE])</f>
        <v>OPERACIONES</v>
      </c>
      <c r="L1011" s="53">
        <f>_xlfn.XLOOKUP(TablaSTOCKINV[[#This Row],[SKU]],TablaINVENTARIO[SKU],TablaINVENTARIO[RANGO MIN])</f>
        <v>0</v>
      </c>
      <c r="M1011" s="34" cm="1">
        <f t="array" ref="M1011">_xlfn.IFS(TablaSTOCKINV[[#This Row],[CANT. TOTAL]]&lt;=0,1,TablaSTOCKINV[[#This Row],[CANT. TOTAL]]&lt;=TablaSTOCKINV[[#This Row],[MIN]],2,TablaSTOCKINV[[#This Row],[CANT. TOTAL]]&gt;TablaSTOCKINV[[#This Row],[MIN]],3)</f>
        <v>3</v>
      </c>
      <c r="N1011" s="34">
        <f>TablaSTOCKINV[[#This Row],[ENTRADAS]]-TablaSTOCKINV[[#This Row],[SALIDAS]]</f>
        <v>1</v>
      </c>
      <c r="O1011" s="35">
        <f>SUMIFS(TablaENTRADA[CANT],TablaENTRADA[SKU],TablaSTOCKINV[[#This Row],[SKU]])</f>
        <v>1</v>
      </c>
      <c r="P1011" s="35">
        <f>SUMIFS(TablaSALIDA[CANT],TablaSALIDA[SKU],TablaSTOCKINV[[#This Row],[SKU]])</f>
        <v>0</v>
      </c>
      <c r="Q1011" s="34">
        <f>_xlfn.XLOOKUP(TablaSTOCKINV[[#This Row],[SKU]],TablaINVENTARIO[SKU],TablaINVENTARIO[PRECIO])</f>
        <v>0</v>
      </c>
      <c r="R1011" s="34">
        <f>TablaSTOCKINV[[#This Row],[P.UNITARIO]]*TablaSTOCKINV[[#This Row],[CANT. TOTAL]]</f>
        <v>0</v>
      </c>
      <c r="S1011" s="44">
        <f>_xlfn.XLOOKUP(TablaSTOCKINV[[#This Row],[SKU]],TablaINVENTARIO[SKU],TablaINVENTARIO[FECHA INGRESO])</f>
        <v>46023</v>
      </c>
      <c r="T1011" s="44">
        <f>_xlfn.XLOOKUP(TablaSTOCKINV[[#This Row],[SKU]],TablaENTRADA[SKU],TablaENTRADA[FECHA],,0,-1)</f>
        <v>46023</v>
      </c>
      <c r="U1011" s="46" t="str">
        <f>IFERROR((_xlfn.XLOOKUP(TablaSTOCKINV[[#This Row],[SKU]],TablaSALIDA[SKU],TablaSALIDA[FECHA],,0,-1))," " )</f>
        <v xml:space="preserve"> </v>
      </c>
    </row>
    <row r="1012" spans="1:21" x14ac:dyDescent="0.3">
      <c r="A1012" s="27" t="s">
        <v>1112</v>
      </c>
      <c r="B1012" s="32" t="str">
        <f>_xlfn.XLOOKUP(TablaSTOCKINV[[#This Row],[SKU]],TablaINVENTARIO[SKU],TablaINVENTARIO[DESCRIPCION])</f>
        <v>PEAKTRONICS MODELO: DHC-400</v>
      </c>
      <c r="C1012" s="32" t="str">
        <f>_xlfn.XLOOKUP(TablaSTOCKINV[[#This Row],[SKU]],TablaINVENTARIO[SKU],TablaINVENTARIO[MARCA])</f>
        <v>N/A</v>
      </c>
      <c r="D1012" s="33" t="str">
        <f>_xlfn.XLOOKUP(TablaSTOCKINV[[#This Row],[SKU]],TablaINVENTARIO[SKU],TablaINVENTARIO[CATEGORIA])</f>
        <v>FABRICACION</v>
      </c>
      <c r="E1012" s="33" t="str">
        <f>_xlfn.XLOOKUP(TablaSTOCKINV[[#This Row],[SKU]],TablaINVENTARIO[SKU],TablaINVENTARIO[SUBCATEGORIA])</f>
        <v>MARTERIAL ELECTRONICO</v>
      </c>
      <c r="F1012" s="33" t="str">
        <f>_xlfn.XLOOKUP(TablaSTOCKINV[[#This Row],[SKU]],TablaINVENTARIO[SKU],TablaINVENTARIO[ESTADO])</f>
        <v xml:space="preserve">NUEVO </v>
      </c>
      <c r="G1012" s="33" t="str">
        <f>_xlfn.XLOOKUP(TablaSTOCKINV[[#This Row],[SKU]],TablaINVENTARIO[SKU],TablaINVENTARIO[MEDIDA])</f>
        <v>UND</v>
      </c>
      <c r="H1012" s="33">
        <f>_xlfn.XLOOKUP(TablaSTOCKINV[[#This Row],[SKU]],TablaINVENTARIO[SKU],TablaINVENTARIO[SERIAL])</f>
        <v>10206</v>
      </c>
      <c r="I1012" s="34">
        <f>_xlfn.XLOOKUP(TablaSTOCKINV[[#This Row],[SKU]],TablaINVENTARIO[SKU],TablaINVENTARIO[ALMACEN])</f>
        <v>0</v>
      </c>
      <c r="J1012" s="34" t="str">
        <f>_xlfn.XLOOKUP(TablaSTOCKINV[[#This Row],[SKU]],TablaINVENTARIO[SKU],TablaINVENTARIO[UBICACION])</f>
        <v>3A</v>
      </c>
      <c r="K1012" s="34" t="str">
        <f>_xlfn.XLOOKUP(TablaSTOCKINV[[#This Row],[SKU]],TablaINVENTARIO[SKU],TablaINVENTARIO[DPTO RESPONSABLE])</f>
        <v>OPERACIONES</v>
      </c>
      <c r="L1012" s="53">
        <f>_xlfn.XLOOKUP(TablaSTOCKINV[[#This Row],[SKU]],TablaINVENTARIO[SKU],TablaINVENTARIO[RANGO MIN])</f>
        <v>0</v>
      </c>
      <c r="M1012" s="34" cm="1">
        <f t="array" ref="M1012">_xlfn.IFS(TablaSTOCKINV[[#This Row],[CANT. TOTAL]]&lt;=0,1,TablaSTOCKINV[[#This Row],[CANT. TOTAL]]&lt;=TablaSTOCKINV[[#This Row],[MIN]],2,TablaSTOCKINV[[#This Row],[CANT. TOTAL]]&gt;TablaSTOCKINV[[#This Row],[MIN]],3)</f>
        <v>3</v>
      </c>
      <c r="N1012" s="34">
        <f>TablaSTOCKINV[[#This Row],[ENTRADAS]]-TablaSTOCKINV[[#This Row],[SALIDAS]]</f>
        <v>1</v>
      </c>
      <c r="O1012" s="35">
        <f>SUMIFS(TablaENTRADA[CANT],TablaENTRADA[SKU],TablaSTOCKINV[[#This Row],[SKU]])</f>
        <v>1</v>
      </c>
      <c r="P1012" s="35">
        <f>SUMIFS(TablaSALIDA[CANT],TablaSALIDA[SKU],TablaSTOCKINV[[#This Row],[SKU]])</f>
        <v>0</v>
      </c>
      <c r="Q1012" s="34">
        <f>_xlfn.XLOOKUP(TablaSTOCKINV[[#This Row],[SKU]],TablaINVENTARIO[SKU],TablaINVENTARIO[PRECIO])</f>
        <v>0</v>
      </c>
      <c r="R1012" s="34">
        <f>TablaSTOCKINV[[#This Row],[P.UNITARIO]]*TablaSTOCKINV[[#This Row],[CANT. TOTAL]]</f>
        <v>0</v>
      </c>
      <c r="S1012" s="44">
        <f>_xlfn.XLOOKUP(TablaSTOCKINV[[#This Row],[SKU]],TablaINVENTARIO[SKU],TablaINVENTARIO[FECHA INGRESO])</f>
        <v>46023</v>
      </c>
      <c r="T1012" s="44">
        <f>_xlfn.XLOOKUP(TablaSTOCKINV[[#This Row],[SKU]],TablaENTRADA[SKU],TablaENTRADA[FECHA],,0,-1)</f>
        <v>46023</v>
      </c>
      <c r="U1012" s="46" t="str">
        <f>IFERROR((_xlfn.XLOOKUP(TablaSTOCKINV[[#This Row],[SKU]],TablaSALIDA[SKU],TablaSALIDA[FECHA],,0,-1))," " )</f>
        <v xml:space="preserve"> </v>
      </c>
    </row>
    <row r="1013" spans="1:21" x14ac:dyDescent="0.3">
      <c r="A1013" s="27" t="s">
        <v>1113</v>
      </c>
      <c r="B1013" s="32" t="str">
        <f>_xlfn.XLOOKUP(TablaSTOCKINV[[#This Row],[SKU]],TablaINVENTARIO[SKU],TablaINVENTARIO[DESCRIPCION])</f>
        <v>PEAKTRONICS MODELO: DHC-400</v>
      </c>
      <c r="C1013" s="32" t="str">
        <f>_xlfn.XLOOKUP(TablaSTOCKINV[[#This Row],[SKU]],TablaINVENTARIO[SKU],TablaINVENTARIO[MARCA])</f>
        <v>N/A</v>
      </c>
      <c r="D1013" s="33" t="str">
        <f>_xlfn.XLOOKUP(TablaSTOCKINV[[#This Row],[SKU]],TablaINVENTARIO[SKU],TablaINVENTARIO[CATEGORIA])</f>
        <v>FABRICACION</v>
      </c>
      <c r="E1013" s="33" t="str">
        <f>_xlfn.XLOOKUP(TablaSTOCKINV[[#This Row],[SKU]],TablaINVENTARIO[SKU],TablaINVENTARIO[SUBCATEGORIA])</f>
        <v>MARTERIAL ELECTRONICO</v>
      </c>
      <c r="F1013" s="33" t="str">
        <f>_xlfn.XLOOKUP(TablaSTOCKINV[[#This Row],[SKU]],TablaINVENTARIO[SKU],TablaINVENTARIO[ESTADO])</f>
        <v xml:space="preserve">NUEVO </v>
      </c>
      <c r="G1013" s="33" t="str">
        <f>_xlfn.XLOOKUP(TablaSTOCKINV[[#This Row],[SKU]],TablaINVENTARIO[SKU],TablaINVENTARIO[MEDIDA])</f>
        <v>UND</v>
      </c>
      <c r="H1013" s="33">
        <f>_xlfn.XLOOKUP(TablaSTOCKINV[[#This Row],[SKU]],TablaINVENTARIO[SKU],TablaINVENTARIO[SERIAL])</f>
        <v>10215</v>
      </c>
      <c r="I1013" s="34">
        <f>_xlfn.XLOOKUP(TablaSTOCKINV[[#This Row],[SKU]],TablaINVENTARIO[SKU],TablaINVENTARIO[ALMACEN])</f>
        <v>0</v>
      </c>
      <c r="J1013" s="34" t="str">
        <f>_xlfn.XLOOKUP(TablaSTOCKINV[[#This Row],[SKU]],TablaINVENTARIO[SKU],TablaINVENTARIO[UBICACION])</f>
        <v>3A</v>
      </c>
      <c r="K1013" s="34" t="str">
        <f>_xlfn.XLOOKUP(TablaSTOCKINV[[#This Row],[SKU]],TablaINVENTARIO[SKU],TablaINVENTARIO[DPTO RESPONSABLE])</f>
        <v>OPERACIONES</v>
      </c>
      <c r="L1013" s="53">
        <f>_xlfn.XLOOKUP(TablaSTOCKINV[[#This Row],[SKU]],TablaINVENTARIO[SKU],TablaINVENTARIO[RANGO MIN])</f>
        <v>0</v>
      </c>
      <c r="M1013" s="34" cm="1">
        <f t="array" ref="M1013">_xlfn.IFS(TablaSTOCKINV[[#This Row],[CANT. TOTAL]]&lt;=0,1,TablaSTOCKINV[[#This Row],[CANT. TOTAL]]&lt;=TablaSTOCKINV[[#This Row],[MIN]],2,TablaSTOCKINV[[#This Row],[CANT. TOTAL]]&gt;TablaSTOCKINV[[#This Row],[MIN]],3)</f>
        <v>3</v>
      </c>
      <c r="N1013" s="34">
        <f>TablaSTOCKINV[[#This Row],[ENTRADAS]]-TablaSTOCKINV[[#This Row],[SALIDAS]]</f>
        <v>1</v>
      </c>
      <c r="O1013" s="35">
        <f>SUMIFS(TablaENTRADA[CANT],TablaENTRADA[SKU],TablaSTOCKINV[[#This Row],[SKU]])</f>
        <v>1</v>
      </c>
      <c r="P1013" s="35">
        <f>SUMIFS(TablaSALIDA[CANT],TablaSALIDA[SKU],TablaSTOCKINV[[#This Row],[SKU]])</f>
        <v>0</v>
      </c>
      <c r="Q1013" s="34">
        <f>_xlfn.XLOOKUP(TablaSTOCKINV[[#This Row],[SKU]],TablaINVENTARIO[SKU],TablaINVENTARIO[PRECIO])</f>
        <v>0</v>
      </c>
      <c r="R1013" s="34">
        <f>TablaSTOCKINV[[#This Row],[P.UNITARIO]]*TablaSTOCKINV[[#This Row],[CANT. TOTAL]]</f>
        <v>0</v>
      </c>
      <c r="S1013" s="44">
        <f>_xlfn.XLOOKUP(TablaSTOCKINV[[#This Row],[SKU]],TablaINVENTARIO[SKU],TablaINVENTARIO[FECHA INGRESO])</f>
        <v>46023</v>
      </c>
      <c r="T1013" s="44">
        <f>_xlfn.XLOOKUP(TablaSTOCKINV[[#This Row],[SKU]],TablaENTRADA[SKU],TablaENTRADA[FECHA],,0,-1)</f>
        <v>46023</v>
      </c>
      <c r="U1013" s="46" t="str">
        <f>IFERROR((_xlfn.XLOOKUP(TablaSTOCKINV[[#This Row],[SKU]],TablaSALIDA[SKU],TablaSALIDA[FECHA],,0,-1))," " )</f>
        <v xml:space="preserve"> </v>
      </c>
    </row>
    <row r="1014" spans="1:21" x14ac:dyDescent="0.3">
      <c r="A1014" s="27" t="s">
        <v>1114</v>
      </c>
      <c r="B1014" s="32" t="str">
        <f>_xlfn.XLOOKUP(TablaSTOCKINV[[#This Row],[SKU]],TablaINVENTARIO[SKU],TablaINVENTARIO[DESCRIPCION])</f>
        <v>PEAKTRONICS MODELO: DHC-400</v>
      </c>
      <c r="C1014" s="32" t="str">
        <f>_xlfn.XLOOKUP(TablaSTOCKINV[[#This Row],[SKU]],TablaINVENTARIO[SKU],TablaINVENTARIO[MARCA])</f>
        <v>N/A</v>
      </c>
      <c r="D1014" s="33" t="str">
        <f>_xlfn.XLOOKUP(TablaSTOCKINV[[#This Row],[SKU]],TablaINVENTARIO[SKU],TablaINVENTARIO[CATEGORIA])</f>
        <v>FABRICACION</v>
      </c>
      <c r="E1014" s="33" t="str">
        <f>_xlfn.XLOOKUP(TablaSTOCKINV[[#This Row],[SKU]],TablaINVENTARIO[SKU],TablaINVENTARIO[SUBCATEGORIA])</f>
        <v>MARTERIAL ELECTRONICO</v>
      </c>
      <c r="F1014" s="33" t="str">
        <f>_xlfn.XLOOKUP(TablaSTOCKINV[[#This Row],[SKU]],TablaINVENTARIO[SKU],TablaINVENTARIO[ESTADO])</f>
        <v xml:space="preserve">NUEVO </v>
      </c>
      <c r="G1014" s="33" t="str">
        <f>_xlfn.XLOOKUP(TablaSTOCKINV[[#This Row],[SKU]],TablaINVENTARIO[SKU],TablaINVENTARIO[MEDIDA])</f>
        <v>UND</v>
      </c>
      <c r="H1014" s="33">
        <f>_xlfn.XLOOKUP(TablaSTOCKINV[[#This Row],[SKU]],TablaINVENTARIO[SKU],TablaINVENTARIO[SERIAL])</f>
        <v>10200</v>
      </c>
      <c r="I1014" s="34">
        <f>_xlfn.XLOOKUP(TablaSTOCKINV[[#This Row],[SKU]],TablaINVENTARIO[SKU],TablaINVENTARIO[ALMACEN])</f>
        <v>0</v>
      </c>
      <c r="J1014" s="34" t="str">
        <f>_xlfn.XLOOKUP(TablaSTOCKINV[[#This Row],[SKU]],TablaINVENTARIO[SKU],TablaINVENTARIO[UBICACION])</f>
        <v>3A</v>
      </c>
      <c r="K1014" s="34" t="str">
        <f>_xlfn.XLOOKUP(TablaSTOCKINV[[#This Row],[SKU]],TablaINVENTARIO[SKU],TablaINVENTARIO[DPTO RESPONSABLE])</f>
        <v>OPERACIONES</v>
      </c>
      <c r="L1014" s="53">
        <f>_xlfn.XLOOKUP(TablaSTOCKINV[[#This Row],[SKU]],TablaINVENTARIO[SKU],TablaINVENTARIO[RANGO MIN])</f>
        <v>0</v>
      </c>
      <c r="M1014" s="34" cm="1">
        <f t="array" ref="M1014">_xlfn.IFS(TablaSTOCKINV[[#This Row],[CANT. TOTAL]]&lt;=0,1,TablaSTOCKINV[[#This Row],[CANT. TOTAL]]&lt;=TablaSTOCKINV[[#This Row],[MIN]],2,TablaSTOCKINV[[#This Row],[CANT. TOTAL]]&gt;TablaSTOCKINV[[#This Row],[MIN]],3)</f>
        <v>3</v>
      </c>
      <c r="N1014" s="34">
        <f>TablaSTOCKINV[[#This Row],[ENTRADAS]]-TablaSTOCKINV[[#This Row],[SALIDAS]]</f>
        <v>1</v>
      </c>
      <c r="O1014" s="35">
        <f>SUMIFS(TablaENTRADA[CANT],TablaENTRADA[SKU],TablaSTOCKINV[[#This Row],[SKU]])</f>
        <v>1</v>
      </c>
      <c r="P1014" s="35">
        <f>SUMIFS(TablaSALIDA[CANT],TablaSALIDA[SKU],TablaSTOCKINV[[#This Row],[SKU]])</f>
        <v>0</v>
      </c>
      <c r="Q1014" s="34">
        <f>_xlfn.XLOOKUP(TablaSTOCKINV[[#This Row],[SKU]],TablaINVENTARIO[SKU],TablaINVENTARIO[PRECIO])</f>
        <v>0</v>
      </c>
      <c r="R1014" s="34">
        <f>TablaSTOCKINV[[#This Row],[P.UNITARIO]]*TablaSTOCKINV[[#This Row],[CANT. TOTAL]]</f>
        <v>0</v>
      </c>
      <c r="S1014" s="44">
        <f>_xlfn.XLOOKUP(TablaSTOCKINV[[#This Row],[SKU]],TablaINVENTARIO[SKU],TablaINVENTARIO[FECHA INGRESO])</f>
        <v>46023</v>
      </c>
      <c r="T1014" s="44">
        <f>_xlfn.XLOOKUP(TablaSTOCKINV[[#This Row],[SKU]],TablaENTRADA[SKU],TablaENTRADA[FECHA],,0,-1)</f>
        <v>46023</v>
      </c>
      <c r="U1014" s="46" t="str">
        <f>IFERROR((_xlfn.XLOOKUP(TablaSTOCKINV[[#This Row],[SKU]],TablaSALIDA[SKU],TablaSALIDA[FECHA],,0,-1))," " )</f>
        <v xml:space="preserve"> </v>
      </c>
    </row>
    <row r="1015" spans="1:21" x14ac:dyDescent="0.3">
      <c r="A1015" s="27" t="s">
        <v>1115</v>
      </c>
      <c r="B1015" s="32" t="str">
        <f>_xlfn.XLOOKUP(TablaSTOCKINV[[#This Row],[SKU]],TablaINVENTARIO[SKU],TablaINVENTARIO[DESCRIPCION])</f>
        <v>PEAKTRONICS MODELO: DHC-400</v>
      </c>
      <c r="C1015" s="32" t="str">
        <f>_xlfn.XLOOKUP(TablaSTOCKINV[[#This Row],[SKU]],TablaINVENTARIO[SKU],TablaINVENTARIO[MARCA])</f>
        <v>N/A</v>
      </c>
      <c r="D1015" s="33" t="str">
        <f>_xlfn.XLOOKUP(TablaSTOCKINV[[#This Row],[SKU]],TablaINVENTARIO[SKU],TablaINVENTARIO[CATEGORIA])</f>
        <v>FABRICACION</v>
      </c>
      <c r="E1015" s="33" t="str">
        <f>_xlfn.XLOOKUP(TablaSTOCKINV[[#This Row],[SKU]],TablaINVENTARIO[SKU],TablaINVENTARIO[SUBCATEGORIA])</f>
        <v>MARTERIAL ELECTRONICO</v>
      </c>
      <c r="F1015" s="33" t="str">
        <f>_xlfn.XLOOKUP(TablaSTOCKINV[[#This Row],[SKU]],TablaINVENTARIO[SKU],TablaINVENTARIO[ESTADO])</f>
        <v xml:space="preserve">NUEVO </v>
      </c>
      <c r="G1015" s="33" t="str">
        <f>_xlfn.XLOOKUP(TablaSTOCKINV[[#This Row],[SKU]],TablaINVENTARIO[SKU],TablaINVENTARIO[MEDIDA])</f>
        <v>UND</v>
      </c>
      <c r="H1015" s="33">
        <f>_xlfn.XLOOKUP(TablaSTOCKINV[[#This Row],[SKU]],TablaINVENTARIO[SKU],TablaINVENTARIO[SERIAL])</f>
        <v>10212</v>
      </c>
      <c r="I1015" s="34">
        <f>_xlfn.XLOOKUP(TablaSTOCKINV[[#This Row],[SKU]],TablaINVENTARIO[SKU],TablaINVENTARIO[ALMACEN])</f>
        <v>0</v>
      </c>
      <c r="J1015" s="34" t="str">
        <f>_xlfn.XLOOKUP(TablaSTOCKINV[[#This Row],[SKU]],TablaINVENTARIO[SKU],TablaINVENTARIO[UBICACION])</f>
        <v>3A</v>
      </c>
      <c r="K1015" s="34" t="str">
        <f>_xlfn.XLOOKUP(TablaSTOCKINV[[#This Row],[SKU]],TablaINVENTARIO[SKU],TablaINVENTARIO[DPTO RESPONSABLE])</f>
        <v>OPERACIONES</v>
      </c>
      <c r="L1015" s="53">
        <f>_xlfn.XLOOKUP(TablaSTOCKINV[[#This Row],[SKU]],TablaINVENTARIO[SKU],TablaINVENTARIO[RANGO MIN])</f>
        <v>0</v>
      </c>
      <c r="M1015" s="34" cm="1">
        <f t="array" ref="M1015">_xlfn.IFS(TablaSTOCKINV[[#This Row],[CANT. TOTAL]]&lt;=0,1,TablaSTOCKINV[[#This Row],[CANT. TOTAL]]&lt;=TablaSTOCKINV[[#This Row],[MIN]],2,TablaSTOCKINV[[#This Row],[CANT. TOTAL]]&gt;TablaSTOCKINV[[#This Row],[MIN]],3)</f>
        <v>3</v>
      </c>
      <c r="N1015" s="34">
        <f>TablaSTOCKINV[[#This Row],[ENTRADAS]]-TablaSTOCKINV[[#This Row],[SALIDAS]]</f>
        <v>1</v>
      </c>
      <c r="O1015" s="35">
        <f>SUMIFS(TablaENTRADA[CANT],TablaENTRADA[SKU],TablaSTOCKINV[[#This Row],[SKU]])</f>
        <v>1</v>
      </c>
      <c r="P1015" s="35">
        <f>SUMIFS(TablaSALIDA[CANT],TablaSALIDA[SKU],TablaSTOCKINV[[#This Row],[SKU]])</f>
        <v>0</v>
      </c>
      <c r="Q1015" s="34">
        <f>_xlfn.XLOOKUP(TablaSTOCKINV[[#This Row],[SKU]],TablaINVENTARIO[SKU],TablaINVENTARIO[PRECIO])</f>
        <v>0</v>
      </c>
      <c r="R1015" s="34">
        <f>TablaSTOCKINV[[#This Row],[P.UNITARIO]]*TablaSTOCKINV[[#This Row],[CANT. TOTAL]]</f>
        <v>0</v>
      </c>
      <c r="S1015" s="44">
        <f>_xlfn.XLOOKUP(TablaSTOCKINV[[#This Row],[SKU]],TablaINVENTARIO[SKU],TablaINVENTARIO[FECHA INGRESO])</f>
        <v>46023</v>
      </c>
      <c r="T1015" s="44">
        <f>_xlfn.XLOOKUP(TablaSTOCKINV[[#This Row],[SKU]],TablaENTRADA[SKU],TablaENTRADA[FECHA],,0,-1)</f>
        <v>46023</v>
      </c>
      <c r="U1015" s="46" t="str">
        <f>IFERROR((_xlfn.XLOOKUP(TablaSTOCKINV[[#This Row],[SKU]],TablaSALIDA[SKU],TablaSALIDA[FECHA],,0,-1))," " )</f>
        <v xml:space="preserve"> </v>
      </c>
    </row>
    <row r="1016" spans="1:21" x14ac:dyDescent="0.3">
      <c r="A1016" s="27" t="s">
        <v>1116</v>
      </c>
      <c r="B1016" s="32" t="str">
        <f>_xlfn.XLOOKUP(TablaSTOCKINV[[#This Row],[SKU]],TablaINVENTARIO[SKU],TablaINVENTARIO[DESCRIPCION])</f>
        <v>PEAKTRONICS MODELO: DHC-400</v>
      </c>
      <c r="C1016" s="32" t="str">
        <f>_xlfn.XLOOKUP(TablaSTOCKINV[[#This Row],[SKU]],TablaINVENTARIO[SKU],TablaINVENTARIO[MARCA])</f>
        <v>N/A</v>
      </c>
      <c r="D1016" s="33" t="str">
        <f>_xlfn.XLOOKUP(TablaSTOCKINV[[#This Row],[SKU]],TablaINVENTARIO[SKU],TablaINVENTARIO[CATEGORIA])</f>
        <v>FABRICACION</v>
      </c>
      <c r="E1016" s="33" t="str">
        <f>_xlfn.XLOOKUP(TablaSTOCKINV[[#This Row],[SKU]],TablaINVENTARIO[SKU],TablaINVENTARIO[SUBCATEGORIA])</f>
        <v>MARTERIAL ELECTRONICO</v>
      </c>
      <c r="F1016" s="33" t="str">
        <f>_xlfn.XLOOKUP(TablaSTOCKINV[[#This Row],[SKU]],TablaINVENTARIO[SKU],TablaINVENTARIO[ESTADO])</f>
        <v xml:space="preserve">NUEVO </v>
      </c>
      <c r="G1016" s="33" t="str">
        <f>_xlfn.XLOOKUP(TablaSTOCKINV[[#This Row],[SKU]],TablaINVENTARIO[SKU],TablaINVENTARIO[MEDIDA])</f>
        <v>UND</v>
      </c>
      <c r="H1016" s="33">
        <f>_xlfn.XLOOKUP(TablaSTOCKINV[[#This Row],[SKU]],TablaINVENTARIO[SKU],TablaINVENTARIO[SERIAL])</f>
        <v>10201</v>
      </c>
      <c r="I1016" s="34">
        <f>_xlfn.XLOOKUP(TablaSTOCKINV[[#This Row],[SKU]],TablaINVENTARIO[SKU],TablaINVENTARIO[ALMACEN])</f>
        <v>0</v>
      </c>
      <c r="J1016" s="34" t="str">
        <f>_xlfn.XLOOKUP(TablaSTOCKINV[[#This Row],[SKU]],TablaINVENTARIO[SKU],TablaINVENTARIO[UBICACION])</f>
        <v>3A</v>
      </c>
      <c r="K1016" s="34" t="str">
        <f>_xlfn.XLOOKUP(TablaSTOCKINV[[#This Row],[SKU]],TablaINVENTARIO[SKU],TablaINVENTARIO[DPTO RESPONSABLE])</f>
        <v>OPERACIONES</v>
      </c>
      <c r="L1016" s="53">
        <f>_xlfn.XLOOKUP(TablaSTOCKINV[[#This Row],[SKU]],TablaINVENTARIO[SKU],TablaINVENTARIO[RANGO MIN])</f>
        <v>0</v>
      </c>
      <c r="M1016" s="34" cm="1">
        <f t="array" ref="M1016">_xlfn.IFS(TablaSTOCKINV[[#This Row],[CANT. TOTAL]]&lt;=0,1,TablaSTOCKINV[[#This Row],[CANT. TOTAL]]&lt;=TablaSTOCKINV[[#This Row],[MIN]],2,TablaSTOCKINV[[#This Row],[CANT. TOTAL]]&gt;TablaSTOCKINV[[#This Row],[MIN]],3)</f>
        <v>3</v>
      </c>
      <c r="N1016" s="34">
        <f>TablaSTOCKINV[[#This Row],[ENTRADAS]]-TablaSTOCKINV[[#This Row],[SALIDAS]]</f>
        <v>1</v>
      </c>
      <c r="O1016" s="35">
        <f>SUMIFS(TablaENTRADA[CANT],TablaENTRADA[SKU],TablaSTOCKINV[[#This Row],[SKU]])</f>
        <v>1</v>
      </c>
      <c r="P1016" s="35">
        <f>SUMIFS(TablaSALIDA[CANT],TablaSALIDA[SKU],TablaSTOCKINV[[#This Row],[SKU]])</f>
        <v>0</v>
      </c>
      <c r="Q1016" s="34">
        <f>_xlfn.XLOOKUP(TablaSTOCKINV[[#This Row],[SKU]],TablaINVENTARIO[SKU],TablaINVENTARIO[PRECIO])</f>
        <v>0</v>
      </c>
      <c r="R1016" s="34">
        <f>TablaSTOCKINV[[#This Row],[P.UNITARIO]]*TablaSTOCKINV[[#This Row],[CANT. TOTAL]]</f>
        <v>0</v>
      </c>
      <c r="S1016" s="44">
        <f>_xlfn.XLOOKUP(TablaSTOCKINV[[#This Row],[SKU]],TablaINVENTARIO[SKU],TablaINVENTARIO[FECHA INGRESO])</f>
        <v>46023</v>
      </c>
      <c r="T1016" s="44">
        <f>_xlfn.XLOOKUP(TablaSTOCKINV[[#This Row],[SKU]],TablaENTRADA[SKU],TablaENTRADA[FECHA],,0,-1)</f>
        <v>46023</v>
      </c>
      <c r="U1016" s="46" t="str">
        <f>IFERROR((_xlfn.XLOOKUP(TablaSTOCKINV[[#This Row],[SKU]],TablaSALIDA[SKU],TablaSALIDA[FECHA],,0,-1))," " )</f>
        <v xml:space="preserve"> </v>
      </c>
    </row>
    <row r="1017" spans="1:21" x14ac:dyDescent="0.3">
      <c r="A1017" s="27" t="s">
        <v>1117</v>
      </c>
      <c r="B1017" s="32" t="str">
        <f>_xlfn.XLOOKUP(TablaSTOCKINV[[#This Row],[SKU]],TablaINVENTARIO[SKU],TablaINVENTARIO[DESCRIPCION])</f>
        <v>PEAKTRONICS MODELO: DHC-400</v>
      </c>
      <c r="C1017" s="32" t="str">
        <f>_xlfn.XLOOKUP(TablaSTOCKINV[[#This Row],[SKU]],TablaINVENTARIO[SKU],TablaINVENTARIO[MARCA])</f>
        <v>N/A</v>
      </c>
      <c r="D1017" s="33" t="str">
        <f>_xlfn.XLOOKUP(TablaSTOCKINV[[#This Row],[SKU]],TablaINVENTARIO[SKU],TablaINVENTARIO[CATEGORIA])</f>
        <v>FABRICACION</v>
      </c>
      <c r="E1017" s="33" t="str">
        <f>_xlfn.XLOOKUP(TablaSTOCKINV[[#This Row],[SKU]],TablaINVENTARIO[SKU],TablaINVENTARIO[SUBCATEGORIA])</f>
        <v>MARTERIAL ELECTRONICO</v>
      </c>
      <c r="F1017" s="33" t="str">
        <f>_xlfn.XLOOKUP(TablaSTOCKINV[[#This Row],[SKU]],TablaINVENTARIO[SKU],TablaINVENTARIO[ESTADO])</f>
        <v>USADO</v>
      </c>
      <c r="G1017" s="33" t="str">
        <f>_xlfn.XLOOKUP(TablaSTOCKINV[[#This Row],[SKU]],TablaINVENTARIO[SKU],TablaINVENTARIO[MEDIDA])</f>
        <v>UND</v>
      </c>
      <c r="H1017" s="33">
        <f>_xlfn.XLOOKUP(TablaSTOCKINV[[#This Row],[SKU]],TablaINVENTARIO[SKU],TablaINVENTARIO[SERIAL])</f>
        <v>3589</v>
      </c>
      <c r="I1017" s="34">
        <f>_xlfn.XLOOKUP(TablaSTOCKINV[[#This Row],[SKU]],TablaINVENTARIO[SKU],TablaINVENTARIO[ALMACEN])</f>
        <v>0</v>
      </c>
      <c r="J1017" s="34" t="str">
        <f>_xlfn.XLOOKUP(TablaSTOCKINV[[#This Row],[SKU]],TablaINVENTARIO[SKU],TablaINVENTARIO[UBICACION])</f>
        <v>3A</v>
      </c>
      <c r="K1017" s="34" t="str">
        <f>_xlfn.XLOOKUP(TablaSTOCKINV[[#This Row],[SKU]],TablaINVENTARIO[SKU],TablaINVENTARIO[DPTO RESPONSABLE])</f>
        <v>OPERACIONES</v>
      </c>
      <c r="L1017" s="53">
        <f>_xlfn.XLOOKUP(TablaSTOCKINV[[#This Row],[SKU]],TablaINVENTARIO[SKU],TablaINVENTARIO[RANGO MIN])</f>
        <v>0</v>
      </c>
      <c r="M1017" s="34" cm="1">
        <f t="array" ref="M1017">_xlfn.IFS(TablaSTOCKINV[[#This Row],[CANT. TOTAL]]&lt;=0,1,TablaSTOCKINV[[#This Row],[CANT. TOTAL]]&lt;=TablaSTOCKINV[[#This Row],[MIN]],2,TablaSTOCKINV[[#This Row],[CANT. TOTAL]]&gt;TablaSTOCKINV[[#This Row],[MIN]],3)</f>
        <v>3</v>
      </c>
      <c r="N1017" s="34">
        <f>TablaSTOCKINV[[#This Row],[ENTRADAS]]-TablaSTOCKINV[[#This Row],[SALIDAS]]</f>
        <v>1</v>
      </c>
      <c r="O1017" s="35">
        <f>SUMIFS(TablaENTRADA[CANT],TablaENTRADA[SKU],TablaSTOCKINV[[#This Row],[SKU]])</f>
        <v>1</v>
      </c>
      <c r="P1017" s="35">
        <f>SUMIFS(TablaSALIDA[CANT],TablaSALIDA[SKU],TablaSTOCKINV[[#This Row],[SKU]])</f>
        <v>0</v>
      </c>
      <c r="Q1017" s="34">
        <f>_xlfn.XLOOKUP(TablaSTOCKINV[[#This Row],[SKU]],TablaINVENTARIO[SKU],TablaINVENTARIO[PRECIO])</f>
        <v>0</v>
      </c>
      <c r="R1017" s="34">
        <f>TablaSTOCKINV[[#This Row],[P.UNITARIO]]*TablaSTOCKINV[[#This Row],[CANT. TOTAL]]</f>
        <v>0</v>
      </c>
      <c r="S1017" s="44">
        <f>_xlfn.XLOOKUP(TablaSTOCKINV[[#This Row],[SKU]],TablaINVENTARIO[SKU],TablaINVENTARIO[FECHA INGRESO])</f>
        <v>46023</v>
      </c>
      <c r="T1017" s="44">
        <f>_xlfn.XLOOKUP(TablaSTOCKINV[[#This Row],[SKU]],TablaENTRADA[SKU],TablaENTRADA[FECHA],,0,-1)</f>
        <v>46023</v>
      </c>
      <c r="U1017" s="46" t="str">
        <f>IFERROR((_xlfn.XLOOKUP(TablaSTOCKINV[[#This Row],[SKU]],TablaSALIDA[SKU],TablaSALIDA[FECHA],,0,-1))," " )</f>
        <v xml:space="preserve"> </v>
      </c>
    </row>
    <row r="1018" spans="1:21" x14ac:dyDescent="0.3">
      <c r="A1018" s="27" t="s">
        <v>1118</v>
      </c>
      <c r="B1018" s="32" t="str">
        <f>_xlfn.XLOOKUP(TablaSTOCKINV[[#This Row],[SKU]],TablaINVENTARIO[SKU],TablaINVENTARIO[DESCRIPCION])</f>
        <v>PEAKTRONICS MODELO: SCC10-24VDC</v>
      </c>
      <c r="C1018" s="32" t="str">
        <f>_xlfn.XLOOKUP(TablaSTOCKINV[[#This Row],[SKU]],TablaINVENTARIO[SKU],TablaINVENTARIO[MARCA])</f>
        <v>N/A</v>
      </c>
      <c r="D1018" s="33" t="str">
        <f>_xlfn.XLOOKUP(TablaSTOCKINV[[#This Row],[SKU]],TablaINVENTARIO[SKU],TablaINVENTARIO[CATEGORIA])</f>
        <v>FABRICACION</v>
      </c>
      <c r="E1018" s="33" t="str">
        <f>_xlfn.XLOOKUP(TablaSTOCKINV[[#This Row],[SKU]],TablaINVENTARIO[SKU],TablaINVENTARIO[SUBCATEGORIA])</f>
        <v>MARTERIAL ELECTRONICO</v>
      </c>
      <c r="F1018" s="33" t="str">
        <f>_xlfn.XLOOKUP(TablaSTOCKINV[[#This Row],[SKU]],TablaINVENTARIO[SKU],TablaINVENTARIO[ESTADO])</f>
        <v>USADO</v>
      </c>
      <c r="G1018" s="33" t="str">
        <f>_xlfn.XLOOKUP(TablaSTOCKINV[[#This Row],[SKU]],TablaINVENTARIO[SKU],TablaINVENTARIO[MEDIDA])</f>
        <v>UND</v>
      </c>
      <c r="H1018" s="33" t="str">
        <f>_xlfn.XLOOKUP(TablaSTOCKINV[[#This Row],[SKU]],TablaINVENTARIO[SKU],TablaINVENTARIO[SERIAL])</f>
        <v>N/A</v>
      </c>
      <c r="I1018" s="34">
        <f>_xlfn.XLOOKUP(TablaSTOCKINV[[#This Row],[SKU]],TablaINVENTARIO[SKU],TablaINVENTARIO[ALMACEN])</f>
        <v>0</v>
      </c>
      <c r="J1018" s="34" t="str">
        <f>_xlfn.XLOOKUP(TablaSTOCKINV[[#This Row],[SKU]],TablaINVENTARIO[SKU],TablaINVENTARIO[UBICACION])</f>
        <v>3A</v>
      </c>
      <c r="K1018" s="34" t="str">
        <f>_xlfn.XLOOKUP(TablaSTOCKINV[[#This Row],[SKU]],TablaINVENTARIO[SKU],TablaINVENTARIO[DPTO RESPONSABLE])</f>
        <v>OPERACIONES</v>
      </c>
      <c r="L1018" s="53">
        <f>_xlfn.XLOOKUP(TablaSTOCKINV[[#This Row],[SKU]],TablaINVENTARIO[SKU],TablaINVENTARIO[RANGO MIN])</f>
        <v>0</v>
      </c>
      <c r="M1018" s="34" cm="1">
        <f t="array" ref="M1018">_xlfn.IFS(TablaSTOCKINV[[#This Row],[CANT. TOTAL]]&lt;=0,1,TablaSTOCKINV[[#This Row],[CANT. TOTAL]]&lt;=TablaSTOCKINV[[#This Row],[MIN]],2,TablaSTOCKINV[[#This Row],[CANT. TOTAL]]&gt;TablaSTOCKINV[[#This Row],[MIN]],3)</f>
        <v>3</v>
      </c>
      <c r="N1018" s="34">
        <f>TablaSTOCKINV[[#This Row],[ENTRADAS]]-TablaSTOCKINV[[#This Row],[SALIDAS]]</f>
        <v>1</v>
      </c>
      <c r="O1018" s="35">
        <f>SUMIFS(TablaENTRADA[CANT],TablaENTRADA[SKU],TablaSTOCKINV[[#This Row],[SKU]])</f>
        <v>1</v>
      </c>
      <c r="P1018" s="35">
        <f>SUMIFS(TablaSALIDA[CANT],TablaSALIDA[SKU],TablaSTOCKINV[[#This Row],[SKU]])</f>
        <v>0</v>
      </c>
      <c r="Q1018" s="34">
        <f>_xlfn.XLOOKUP(TablaSTOCKINV[[#This Row],[SKU]],TablaINVENTARIO[SKU],TablaINVENTARIO[PRECIO])</f>
        <v>0</v>
      </c>
      <c r="R1018" s="34">
        <f>TablaSTOCKINV[[#This Row],[P.UNITARIO]]*TablaSTOCKINV[[#This Row],[CANT. TOTAL]]</f>
        <v>0</v>
      </c>
      <c r="S1018" s="44">
        <f>_xlfn.XLOOKUP(TablaSTOCKINV[[#This Row],[SKU]],TablaINVENTARIO[SKU],TablaINVENTARIO[FECHA INGRESO])</f>
        <v>46023</v>
      </c>
      <c r="T1018" s="44">
        <f>_xlfn.XLOOKUP(TablaSTOCKINV[[#This Row],[SKU]],TablaENTRADA[SKU],TablaENTRADA[FECHA],,0,-1)</f>
        <v>46023</v>
      </c>
      <c r="U1018" s="46" t="str">
        <f>IFERROR((_xlfn.XLOOKUP(TablaSTOCKINV[[#This Row],[SKU]],TablaSALIDA[SKU],TablaSALIDA[FECHA],,0,-1))," " )</f>
        <v xml:space="preserve"> </v>
      </c>
    </row>
    <row r="1019" spans="1:21" x14ac:dyDescent="0.3">
      <c r="A1019" s="27" t="s">
        <v>1120</v>
      </c>
      <c r="B1019" s="32" t="str">
        <f>_xlfn.XLOOKUP(TablaSTOCKINV[[#This Row],[SKU]],TablaINVENTARIO[SKU],TablaINVENTARIO[DESCRIPCION])</f>
        <v>BARRERA DE SEGURIDAD MTL MODELO: KFD2-RR-EX1</v>
      </c>
      <c r="C1019" s="32" t="str">
        <f>_xlfn.XLOOKUP(TablaSTOCKINV[[#This Row],[SKU]],TablaINVENTARIO[SKU],TablaINVENTARIO[MARCA])</f>
        <v xml:space="preserve">PEPPERL + FUCHS </v>
      </c>
      <c r="D1019" s="33" t="str">
        <f>_xlfn.XLOOKUP(TablaSTOCKINV[[#This Row],[SKU]],TablaINVENTARIO[SKU],TablaINVENTARIO[CATEGORIA])</f>
        <v>FABRICACION</v>
      </c>
      <c r="E1019" s="33" t="str">
        <f>_xlfn.XLOOKUP(TablaSTOCKINV[[#This Row],[SKU]],TablaINVENTARIO[SKU],TablaINVENTARIO[SUBCATEGORIA])</f>
        <v>MARTERIAL ELECTRONICO</v>
      </c>
      <c r="F1019" s="33" t="str">
        <f>_xlfn.XLOOKUP(TablaSTOCKINV[[#This Row],[SKU]],TablaINVENTARIO[SKU],TablaINVENTARIO[ESTADO])</f>
        <v>USADO</v>
      </c>
      <c r="G1019" s="33" t="str">
        <f>_xlfn.XLOOKUP(TablaSTOCKINV[[#This Row],[SKU]],TablaINVENTARIO[SKU],TablaINVENTARIO[MEDIDA])</f>
        <v>UND</v>
      </c>
      <c r="H1019" s="33" t="str">
        <f>_xlfn.XLOOKUP(TablaSTOCKINV[[#This Row],[SKU]],TablaINVENTARIO[SKU],TablaINVENTARIO[SERIAL])</f>
        <v>N/A</v>
      </c>
      <c r="I1019" s="34">
        <f>_xlfn.XLOOKUP(TablaSTOCKINV[[#This Row],[SKU]],TablaINVENTARIO[SKU],TablaINVENTARIO[ALMACEN])</f>
        <v>0</v>
      </c>
      <c r="J1019" s="34" t="str">
        <f>_xlfn.XLOOKUP(TablaSTOCKINV[[#This Row],[SKU]],TablaINVENTARIO[SKU],TablaINVENTARIO[UBICACION])</f>
        <v>3A</v>
      </c>
      <c r="K1019" s="34" t="str">
        <f>_xlfn.XLOOKUP(TablaSTOCKINV[[#This Row],[SKU]],TablaINVENTARIO[SKU],TablaINVENTARIO[DPTO RESPONSABLE])</f>
        <v>OPERACIONES</v>
      </c>
      <c r="L1019" s="53">
        <f>_xlfn.XLOOKUP(TablaSTOCKINV[[#This Row],[SKU]],TablaINVENTARIO[SKU],TablaINVENTARIO[RANGO MIN])</f>
        <v>0</v>
      </c>
      <c r="M1019" s="34" cm="1">
        <f t="array" ref="M1019">_xlfn.IFS(TablaSTOCKINV[[#This Row],[CANT. TOTAL]]&lt;=0,1,TablaSTOCKINV[[#This Row],[CANT. TOTAL]]&lt;=TablaSTOCKINV[[#This Row],[MIN]],2,TablaSTOCKINV[[#This Row],[CANT. TOTAL]]&gt;TablaSTOCKINV[[#This Row],[MIN]],3)</f>
        <v>3</v>
      </c>
      <c r="N1019" s="34">
        <f>TablaSTOCKINV[[#This Row],[ENTRADAS]]-TablaSTOCKINV[[#This Row],[SALIDAS]]</f>
        <v>2</v>
      </c>
      <c r="O1019" s="35">
        <f>SUMIFS(TablaENTRADA[CANT],TablaENTRADA[SKU],TablaSTOCKINV[[#This Row],[SKU]])</f>
        <v>2</v>
      </c>
      <c r="P1019" s="35">
        <f>SUMIFS(TablaSALIDA[CANT],TablaSALIDA[SKU],TablaSTOCKINV[[#This Row],[SKU]])</f>
        <v>0</v>
      </c>
      <c r="Q1019" s="34">
        <f>_xlfn.XLOOKUP(TablaSTOCKINV[[#This Row],[SKU]],TablaINVENTARIO[SKU],TablaINVENTARIO[PRECIO])</f>
        <v>0</v>
      </c>
      <c r="R1019" s="34">
        <f>TablaSTOCKINV[[#This Row],[P.UNITARIO]]*TablaSTOCKINV[[#This Row],[CANT. TOTAL]]</f>
        <v>0</v>
      </c>
      <c r="S1019" s="44">
        <f>_xlfn.XLOOKUP(TablaSTOCKINV[[#This Row],[SKU]],TablaINVENTARIO[SKU],TablaINVENTARIO[FECHA INGRESO])</f>
        <v>46023</v>
      </c>
      <c r="T1019" s="44">
        <f>_xlfn.XLOOKUP(TablaSTOCKINV[[#This Row],[SKU]],TablaENTRADA[SKU],TablaENTRADA[FECHA],,0,-1)</f>
        <v>46023</v>
      </c>
      <c r="U1019" s="46" t="str">
        <f>IFERROR((_xlfn.XLOOKUP(TablaSTOCKINV[[#This Row],[SKU]],TablaSALIDA[SKU],TablaSALIDA[FECHA],,0,-1))," " )</f>
        <v xml:space="preserve"> </v>
      </c>
    </row>
    <row r="1020" spans="1:21" x14ac:dyDescent="0.3">
      <c r="A1020" s="27" t="s">
        <v>1123</v>
      </c>
      <c r="B1020" s="32" t="str">
        <f>_xlfn.XLOOKUP(TablaSTOCKINV[[#This Row],[SKU]],TablaINVENTARIO[SKU],TablaINVENTARIO[DESCRIPCION])</f>
        <v>BARRERA DE SEGURIDAD MTL MODELO: KCD2-RR-EX1</v>
      </c>
      <c r="C1020" s="32" t="str">
        <f>_xlfn.XLOOKUP(TablaSTOCKINV[[#This Row],[SKU]],TablaINVENTARIO[SKU],TablaINVENTARIO[MARCA])</f>
        <v xml:space="preserve">PEPPERL + FUCHS </v>
      </c>
      <c r="D1020" s="33" t="str">
        <f>_xlfn.XLOOKUP(TablaSTOCKINV[[#This Row],[SKU]],TablaINVENTARIO[SKU],TablaINVENTARIO[CATEGORIA])</f>
        <v>FABRICACION</v>
      </c>
      <c r="E1020" s="33" t="str">
        <f>_xlfn.XLOOKUP(TablaSTOCKINV[[#This Row],[SKU]],TablaINVENTARIO[SKU],TablaINVENTARIO[SUBCATEGORIA])</f>
        <v>MARTERIAL ELECTRONICO</v>
      </c>
      <c r="F1020" s="33" t="str">
        <f>_xlfn.XLOOKUP(TablaSTOCKINV[[#This Row],[SKU]],TablaINVENTARIO[SKU],TablaINVENTARIO[ESTADO])</f>
        <v>USADO</v>
      </c>
      <c r="G1020" s="33" t="str">
        <f>_xlfn.XLOOKUP(TablaSTOCKINV[[#This Row],[SKU]],TablaINVENTARIO[SKU],TablaINVENTARIO[MEDIDA])</f>
        <v>UND</v>
      </c>
      <c r="H1020" s="33" t="str">
        <f>_xlfn.XLOOKUP(TablaSTOCKINV[[#This Row],[SKU]],TablaINVENTARIO[SKU],TablaINVENTARIO[SERIAL])</f>
        <v>N/A</v>
      </c>
      <c r="I1020" s="34">
        <f>_xlfn.XLOOKUP(TablaSTOCKINV[[#This Row],[SKU]],TablaINVENTARIO[SKU],TablaINVENTARIO[ALMACEN])</f>
        <v>0</v>
      </c>
      <c r="J1020" s="34" t="str">
        <f>_xlfn.XLOOKUP(TablaSTOCKINV[[#This Row],[SKU]],TablaINVENTARIO[SKU],TablaINVENTARIO[UBICACION])</f>
        <v>3A</v>
      </c>
      <c r="K1020" s="34" t="str">
        <f>_xlfn.XLOOKUP(TablaSTOCKINV[[#This Row],[SKU]],TablaINVENTARIO[SKU],TablaINVENTARIO[DPTO RESPONSABLE])</f>
        <v>OPERACIONES</v>
      </c>
      <c r="L1020" s="53">
        <f>_xlfn.XLOOKUP(TablaSTOCKINV[[#This Row],[SKU]],TablaINVENTARIO[SKU],TablaINVENTARIO[RANGO MIN])</f>
        <v>0</v>
      </c>
      <c r="M1020" s="34" cm="1">
        <f t="array" ref="M1020">_xlfn.IFS(TablaSTOCKINV[[#This Row],[CANT. TOTAL]]&lt;=0,1,TablaSTOCKINV[[#This Row],[CANT. TOTAL]]&lt;=TablaSTOCKINV[[#This Row],[MIN]],2,TablaSTOCKINV[[#This Row],[CANT. TOTAL]]&gt;TablaSTOCKINV[[#This Row],[MIN]],3)</f>
        <v>3</v>
      </c>
      <c r="N1020" s="34">
        <f>TablaSTOCKINV[[#This Row],[ENTRADAS]]-TablaSTOCKINV[[#This Row],[SALIDAS]]</f>
        <v>27</v>
      </c>
      <c r="O1020" s="35">
        <f>SUMIFS(TablaENTRADA[CANT],TablaENTRADA[SKU],TablaSTOCKINV[[#This Row],[SKU]])</f>
        <v>27</v>
      </c>
      <c r="P1020" s="35">
        <f>SUMIFS(TablaSALIDA[CANT],TablaSALIDA[SKU],TablaSTOCKINV[[#This Row],[SKU]])</f>
        <v>0</v>
      </c>
      <c r="Q1020" s="34">
        <f>_xlfn.XLOOKUP(TablaSTOCKINV[[#This Row],[SKU]],TablaINVENTARIO[SKU],TablaINVENTARIO[PRECIO])</f>
        <v>0</v>
      </c>
      <c r="R1020" s="34">
        <f>TablaSTOCKINV[[#This Row],[P.UNITARIO]]*TablaSTOCKINV[[#This Row],[CANT. TOTAL]]</f>
        <v>0</v>
      </c>
      <c r="S1020" s="44">
        <f>_xlfn.XLOOKUP(TablaSTOCKINV[[#This Row],[SKU]],TablaINVENTARIO[SKU],TablaINVENTARIO[FECHA INGRESO])</f>
        <v>46023</v>
      </c>
      <c r="T1020" s="44">
        <f>_xlfn.XLOOKUP(TablaSTOCKINV[[#This Row],[SKU]],TablaENTRADA[SKU],TablaENTRADA[FECHA],,0,-1)</f>
        <v>46023</v>
      </c>
      <c r="U1020" s="46" t="str">
        <f>IFERROR((_xlfn.XLOOKUP(TablaSTOCKINV[[#This Row],[SKU]],TablaSALIDA[SKU],TablaSALIDA[FECHA],,0,-1))," " )</f>
        <v xml:space="preserve"> </v>
      </c>
    </row>
    <row r="1021" spans="1:21" x14ac:dyDescent="0.3">
      <c r="A1021" s="27" t="s">
        <v>1125</v>
      </c>
      <c r="B1021" s="32" t="str">
        <f>_xlfn.XLOOKUP(TablaSTOCKINV[[#This Row],[SKU]],TablaINVENTARIO[SKU],TablaINVENTARIO[DESCRIPCION])</f>
        <v>DISCO FLASH DRIVE</v>
      </c>
      <c r="C1021" s="32" t="str">
        <f>_xlfn.XLOOKUP(TablaSTOCKINV[[#This Row],[SKU]],TablaINVENTARIO[SKU],TablaINVENTARIO[MARCA])</f>
        <v xml:space="preserve">SIMPLE TECH </v>
      </c>
      <c r="D1021" s="33" t="str">
        <f>_xlfn.XLOOKUP(TablaSTOCKINV[[#This Row],[SKU]],TablaINVENTARIO[SKU],TablaINVENTARIO[CATEGORIA])</f>
        <v>FABRICACION</v>
      </c>
      <c r="E1021" s="33" t="str">
        <f>_xlfn.XLOOKUP(TablaSTOCKINV[[#This Row],[SKU]],TablaINVENTARIO[SKU],TablaINVENTARIO[SUBCATEGORIA])</f>
        <v>MARTERIAL ELECTRONICO</v>
      </c>
      <c r="F1021" s="33" t="str">
        <f>_xlfn.XLOOKUP(TablaSTOCKINV[[#This Row],[SKU]],TablaINVENTARIO[SKU],TablaINVENTARIO[ESTADO])</f>
        <v>USADO</v>
      </c>
      <c r="G1021" s="33" t="str">
        <f>_xlfn.XLOOKUP(TablaSTOCKINV[[#This Row],[SKU]],TablaINVENTARIO[SKU],TablaINVENTARIO[MEDIDA])</f>
        <v>UND</v>
      </c>
      <c r="H1021" s="33" t="str">
        <f>_xlfn.XLOOKUP(TablaSTOCKINV[[#This Row],[SKU]],TablaINVENTARIO[SKU],TablaINVENTARIO[SERIAL])</f>
        <v>N/A</v>
      </c>
      <c r="I1021" s="34">
        <f>_xlfn.XLOOKUP(TablaSTOCKINV[[#This Row],[SKU]],TablaINVENTARIO[SKU],TablaINVENTARIO[ALMACEN])</f>
        <v>0</v>
      </c>
      <c r="J1021" s="34" t="str">
        <f>_xlfn.XLOOKUP(TablaSTOCKINV[[#This Row],[SKU]],TablaINVENTARIO[SKU],TablaINVENTARIO[UBICACION])</f>
        <v>3A</v>
      </c>
      <c r="K1021" s="34" t="str">
        <f>_xlfn.XLOOKUP(TablaSTOCKINV[[#This Row],[SKU]],TablaINVENTARIO[SKU],TablaINVENTARIO[DPTO RESPONSABLE])</f>
        <v>OPERACIONES</v>
      </c>
      <c r="L1021" s="53">
        <f>_xlfn.XLOOKUP(TablaSTOCKINV[[#This Row],[SKU]],TablaINVENTARIO[SKU],TablaINVENTARIO[RANGO MIN])</f>
        <v>0</v>
      </c>
      <c r="M1021" s="34" cm="1">
        <f t="array" ref="M1021">_xlfn.IFS(TablaSTOCKINV[[#This Row],[CANT. TOTAL]]&lt;=0,1,TablaSTOCKINV[[#This Row],[CANT. TOTAL]]&lt;=TablaSTOCKINV[[#This Row],[MIN]],2,TablaSTOCKINV[[#This Row],[CANT. TOTAL]]&gt;TablaSTOCKINV[[#This Row],[MIN]],3)</f>
        <v>3</v>
      </c>
      <c r="N1021" s="34">
        <f>TablaSTOCKINV[[#This Row],[ENTRADAS]]-TablaSTOCKINV[[#This Row],[SALIDAS]]</f>
        <v>2</v>
      </c>
      <c r="O1021" s="35">
        <f>SUMIFS(TablaENTRADA[CANT],TablaENTRADA[SKU],TablaSTOCKINV[[#This Row],[SKU]])</f>
        <v>2</v>
      </c>
      <c r="P1021" s="35">
        <f>SUMIFS(TablaSALIDA[CANT],TablaSALIDA[SKU],TablaSTOCKINV[[#This Row],[SKU]])</f>
        <v>0</v>
      </c>
      <c r="Q1021" s="34">
        <f>_xlfn.XLOOKUP(TablaSTOCKINV[[#This Row],[SKU]],TablaINVENTARIO[SKU],TablaINVENTARIO[PRECIO])</f>
        <v>0</v>
      </c>
      <c r="R1021" s="34">
        <f>TablaSTOCKINV[[#This Row],[P.UNITARIO]]*TablaSTOCKINV[[#This Row],[CANT. TOTAL]]</f>
        <v>0</v>
      </c>
      <c r="S1021" s="44">
        <f>_xlfn.XLOOKUP(TablaSTOCKINV[[#This Row],[SKU]],TablaINVENTARIO[SKU],TablaINVENTARIO[FECHA INGRESO])</f>
        <v>46023</v>
      </c>
      <c r="T1021" s="44">
        <f>_xlfn.XLOOKUP(TablaSTOCKINV[[#This Row],[SKU]],TablaENTRADA[SKU],TablaENTRADA[FECHA],,0,-1)</f>
        <v>46023</v>
      </c>
      <c r="U1021" s="46" t="str">
        <f>IFERROR((_xlfn.XLOOKUP(TablaSTOCKINV[[#This Row],[SKU]],TablaSALIDA[SKU],TablaSALIDA[FECHA],,0,-1))," " )</f>
        <v xml:space="preserve"> </v>
      </c>
    </row>
    <row r="1022" spans="1:21" x14ac:dyDescent="0.3">
      <c r="A1022" s="27" t="s">
        <v>1128</v>
      </c>
      <c r="B1022" s="32" t="str">
        <f>_xlfn.XLOOKUP(TablaSTOCKINV[[#This Row],[SKU]],TablaINVENTARIO[SKU],TablaINVENTARIO[DESCRIPCION])</f>
        <v xml:space="preserve">MODULO DE CONTROL PLC </v>
      </c>
      <c r="C1022" s="32" t="str">
        <f>_xlfn.XLOOKUP(TablaSTOCKINV[[#This Row],[SKU]],TablaINVENTARIO[SKU],TablaINVENTARIO[MARCA])</f>
        <v>N/A</v>
      </c>
      <c r="D1022" s="33" t="str">
        <f>_xlfn.XLOOKUP(TablaSTOCKINV[[#This Row],[SKU]],TablaINVENTARIO[SKU],TablaINVENTARIO[CATEGORIA])</f>
        <v>FABRICACION</v>
      </c>
      <c r="E1022" s="33" t="str">
        <f>_xlfn.XLOOKUP(TablaSTOCKINV[[#This Row],[SKU]],TablaINVENTARIO[SKU],TablaINVENTARIO[SUBCATEGORIA])</f>
        <v>MARTERIAL ELECTRONICO</v>
      </c>
      <c r="F1022" s="33" t="str">
        <f>_xlfn.XLOOKUP(TablaSTOCKINV[[#This Row],[SKU]],TablaINVENTARIO[SKU],TablaINVENTARIO[ESTADO])</f>
        <v>USADO</v>
      </c>
      <c r="G1022" s="33" t="str">
        <f>_xlfn.XLOOKUP(TablaSTOCKINV[[#This Row],[SKU]],TablaINVENTARIO[SKU],TablaINVENTARIO[MEDIDA])</f>
        <v>UND</v>
      </c>
      <c r="H1022" s="33" t="str">
        <f>_xlfn.XLOOKUP(TablaSTOCKINV[[#This Row],[SKU]],TablaINVENTARIO[SKU],TablaINVENTARIO[SERIAL])</f>
        <v>N/A</v>
      </c>
      <c r="I1022" s="34">
        <f>_xlfn.XLOOKUP(TablaSTOCKINV[[#This Row],[SKU]],TablaINVENTARIO[SKU],TablaINVENTARIO[ALMACEN])</f>
        <v>0</v>
      </c>
      <c r="J1022" s="34" t="str">
        <f>_xlfn.XLOOKUP(TablaSTOCKINV[[#This Row],[SKU]],TablaINVENTARIO[SKU],TablaINVENTARIO[UBICACION])</f>
        <v>3A</v>
      </c>
      <c r="K1022" s="34" t="str">
        <f>_xlfn.XLOOKUP(TablaSTOCKINV[[#This Row],[SKU]],TablaINVENTARIO[SKU],TablaINVENTARIO[DPTO RESPONSABLE])</f>
        <v>OPERACIONES</v>
      </c>
      <c r="L1022" s="53">
        <f>_xlfn.XLOOKUP(TablaSTOCKINV[[#This Row],[SKU]],TablaINVENTARIO[SKU],TablaINVENTARIO[RANGO MIN])</f>
        <v>0</v>
      </c>
      <c r="M1022" s="34" cm="1">
        <f t="array" ref="M1022">_xlfn.IFS(TablaSTOCKINV[[#This Row],[CANT. TOTAL]]&lt;=0,1,TablaSTOCKINV[[#This Row],[CANT. TOTAL]]&lt;=TablaSTOCKINV[[#This Row],[MIN]],2,TablaSTOCKINV[[#This Row],[CANT. TOTAL]]&gt;TablaSTOCKINV[[#This Row],[MIN]],3)</f>
        <v>3</v>
      </c>
      <c r="N1022" s="34">
        <f>TablaSTOCKINV[[#This Row],[ENTRADAS]]-TablaSTOCKINV[[#This Row],[SALIDAS]]</f>
        <v>1</v>
      </c>
      <c r="O1022" s="35">
        <f>SUMIFS(TablaENTRADA[CANT],TablaENTRADA[SKU],TablaSTOCKINV[[#This Row],[SKU]])</f>
        <v>1</v>
      </c>
      <c r="P1022" s="35">
        <f>SUMIFS(TablaSALIDA[CANT],TablaSALIDA[SKU],TablaSTOCKINV[[#This Row],[SKU]])</f>
        <v>0</v>
      </c>
      <c r="Q1022" s="34">
        <f>_xlfn.XLOOKUP(TablaSTOCKINV[[#This Row],[SKU]],TablaINVENTARIO[SKU],TablaINVENTARIO[PRECIO])</f>
        <v>0</v>
      </c>
      <c r="R1022" s="34">
        <f>TablaSTOCKINV[[#This Row],[P.UNITARIO]]*TablaSTOCKINV[[#This Row],[CANT. TOTAL]]</f>
        <v>0</v>
      </c>
      <c r="S1022" s="44">
        <f>_xlfn.XLOOKUP(TablaSTOCKINV[[#This Row],[SKU]],TablaINVENTARIO[SKU],TablaINVENTARIO[FECHA INGRESO])</f>
        <v>46023</v>
      </c>
      <c r="T1022" s="44">
        <f>_xlfn.XLOOKUP(TablaSTOCKINV[[#This Row],[SKU]],TablaENTRADA[SKU],TablaENTRADA[FECHA],,0,-1)</f>
        <v>46023</v>
      </c>
      <c r="U1022" s="46" t="str">
        <f>IFERROR((_xlfn.XLOOKUP(TablaSTOCKINV[[#This Row],[SKU]],TablaSALIDA[SKU],TablaSALIDA[FECHA],,0,-1))," " )</f>
        <v xml:space="preserve"> </v>
      </c>
    </row>
    <row r="1023" spans="1:21" x14ac:dyDescent="0.3">
      <c r="A1023" s="27" t="s">
        <v>1130</v>
      </c>
      <c r="B1023" s="32" t="str">
        <f>_xlfn.XLOOKUP(TablaSTOCKINV[[#This Row],[SKU]],TablaINVENTARIO[SKU],TablaINVENTARIO[DESCRIPCION])</f>
        <v>VENTILADOR DE PC MODELO: S0601012M-3M</v>
      </c>
      <c r="C1023" s="32" t="str">
        <f>_xlfn.XLOOKUP(TablaSTOCKINV[[#This Row],[SKU]],TablaINVENTARIO[SKU],TablaINVENTARIO[MARCA])</f>
        <v>N/A</v>
      </c>
      <c r="D1023" s="33" t="str">
        <f>_xlfn.XLOOKUP(TablaSTOCKINV[[#This Row],[SKU]],TablaINVENTARIO[SKU],TablaINVENTARIO[CATEGORIA])</f>
        <v>FABRICACION</v>
      </c>
      <c r="E1023" s="33" t="str">
        <f>_xlfn.XLOOKUP(TablaSTOCKINV[[#This Row],[SKU]],TablaINVENTARIO[SKU],TablaINVENTARIO[SUBCATEGORIA])</f>
        <v>MARTERIAL ELECTRONICO</v>
      </c>
      <c r="F1023" s="33" t="str">
        <f>_xlfn.XLOOKUP(TablaSTOCKINV[[#This Row],[SKU]],TablaINVENTARIO[SKU],TablaINVENTARIO[ESTADO])</f>
        <v xml:space="preserve">NUEVO </v>
      </c>
      <c r="G1023" s="33" t="str">
        <f>_xlfn.XLOOKUP(TablaSTOCKINV[[#This Row],[SKU]],TablaINVENTARIO[SKU],TablaINVENTARIO[MEDIDA])</f>
        <v>UND</v>
      </c>
      <c r="H1023" s="33" t="str">
        <f>_xlfn.XLOOKUP(TablaSTOCKINV[[#This Row],[SKU]],TablaINVENTARIO[SKU],TablaINVENTARIO[SERIAL])</f>
        <v>N/A</v>
      </c>
      <c r="I1023" s="34">
        <f>_xlfn.XLOOKUP(TablaSTOCKINV[[#This Row],[SKU]],TablaINVENTARIO[SKU],TablaINVENTARIO[ALMACEN])</f>
        <v>0</v>
      </c>
      <c r="J1023" s="34" t="str">
        <f>_xlfn.XLOOKUP(TablaSTOCKINV[[#This Row],[SKU]],TablaINVENTARIO[SKU],TablaINVENTARIO[UBICACION])</f>
        <v>3A</v>
      </c>
      <c r="K1023" s="34" t="str">
        <f>_xlfn.XLOOKUP(TablaSTOCKINV[[#This Row],[SKU]],TablaINVENTARIO[SKU],TablaINVENTARIO[DPTO RESPONSABLE])</f>
        <v>OPERACIONES</v>
      </c>
      <c r="L1023" s="53">
        <f>_xlfn.XLOOKUP(TablaSTOCKINV[[#This Row],[SKU]],TablaINVENTARIO[SKU],TablaINVENTARIO[RANGO MIN])</f>
        <v>0</v>
      </c>
      <c r="M1023" s="34" cm="1">
        <f t="array" ref="M1023">_xlfn.IFS(TablaSTOCKINV[[#This Row],[CANT. TOTAL]]&lt;=0,1,TablaSTOCKINV[[#This Row],[CANT. TOTAL]]&lt;=TablaSTOCKINV[[#This Row],[MIN]],2,TablaSTOCKINV[[#This Row],[CANT. TOTAL]]&gt;TablaSTOCKINV[[#This Row],[MIN]],3)</f>
        <v>3</v>
      </c>
      <c r="N1023" s="34">
        <f>TablaSTOCKINV[[#This Row],[ENTRADAS]]-TablaSTOCKINV[[#This Row],[SALIDAS]]</f>
        <v>5</v>
      </c>
      <c r="O1023" s="35">
        <f>SUMIFS(TablaENTRADA[CANT],TablaENTRADA[SKU],TablaSTOCKINV[[#This Row],[SKU]])</f>
        <v>5</v>
      </c>
      <c r="P1023" s="35">
        <f>SUMIFS(TablaSALIDA[CANT],TablaSALIDA[SKU],TablaSTOCKINV[[#This Row],[SKU]])</f>
        <v>0</v>
      </c>
      <c r="Q1023" s="34">
        <f>_xlfn.XLOOKUP(TablaSTOCKINV[[#This Row],[SKU]],TablaINVENTARIO[SKU],TablaINVENTARIO[PRECIO])</f>
        <v>0</v>
      </c>
      <c r="R1023" s="34">
        <f>TablaSTOCKINV[[#This Row],[P.UNITARIO]]*TablaSTOCKINV[[#This Row],[CANT. TOTAL]]</f>
        <v>0</v>
      </c>
      <c r="S1023" s="44">
        <f>_xlfn.XLOOKUP(TablaSTOCKINV[[#This Row],[SKU]],TablaINVENTARIO[SKU],TablaINVENTARIO[FECHA INGRESO])</f>
        <v>46023</v>
      </c>
      <c r="T1023" s="44">
        <f>_xlfn.XLOOKUP(TablaSTOCKINV[[#This Row],[SKU]],TablaENTRADA[SKU],TablaENTRADA[FECHA],,0,-1)</f>
        <v>46023</v>
      </c>
      <c r="U1023" s="46" t="str">
        <f>IFERROR((_xlfn.XLOOKUP(TablaSTOCKINV[[#This Row],[SKU]],TablaSALIDA[SKU],TablaSALIDA[FECHA],,0,-1))," " )</f>
        <v xml:space="preserve"> </v>
      </c>
    </row>
    <row r="1024" spans="1:21" x14ac:dyDescent="0.3">
      <c r="A1024" s="27" t="s">
        <v>1132</v>
      </c>
      <c r="B1024" s="32" t="str">
        <f>_xlfn.XLOOKUP(TablaSTOCKINV[[#This Row],[SKU]],TablaINVENTARIO[SKU],TablaINVENTARIO[DESCRIPCION])</f>
        <v>LECTOR DE TARJETA MULTIPLE</v>
      </c>
      <c r="C1024" s="32" t="str">
        <f>_xlfn.XLOOKUP(TablaSTOCKINV[[#This Row],[SKU]],TablaINVENTARIO[SKU],TablaINVENTARIO[MARCA])</f>
        <v>N/A</v>
      </c>
      <c r="D1024" s="33" t="str">
        <f>_xlfn.XLOOKUP(TablaSTOCKINV[[#This Row],[SKU]],TablaINVENTARIO[SKU],TablaINVENTARIO[CATEGORIA])</f>
        <v>FABRICACION</v>
      </c>
      <c r="E1024" s="33" t="str">
        <f>_xlfn.XLOOKUP(TablaSTOCKINV[[#This Row],[SKU]],TablaINVENTARIO[SKU],TablaINVENTARIO[SUBCATEGORIA])</f>
        <v>MARTERIAL ELECTRONICO</v>
      </c>
      <c r="F1024" s="33" t="str">
        <f>_xlfn.XLOOKUP(TablaSTOCKINV[[#This Row],[SKU]],TablaINVENTARIO[SKU],TablaINVENTARIO[ESTADO])</f>
        <v xml:space="preserve">NUEVO </v>
      </c>
      <c r="G1024" s="33" t="str">
        <f>_xlfn.XLOOKUP(TablaSTOCKINV[[#This Row],[SKU]],TablaINVENTARIO[SKU],TablaINVENTARIO[MEDIDA])</f>
        <v>UND</v>
      </c>
      <c r="H1024" s="33" t="str">
        <f>_xlfn.XLOOKUP(TablaSTOCKINV[[#This Row],[SKU]],TablaINVENTARIO[SKU],TablaINVENTARIO[SERIAL])</f>
        <v>CR01A909611</v>
      </c>
      <c r="I1024" s="34">
        <f>_xlfn.XLOOKUP(TablaSTOCKINV[[#This Row],[SKU]],TablaINVENTARIO[SKU],TablaINVENTARIO[ALMACEN])</f>
        <v>0</v>
      </c>
      <c r="J1024" s="34" t="str">
        <f>_xlfn.XLOOKUP(TablaSTOCKINV[[#This Row],[SKU]],TablaINVENTARIO[SKU],TablaINVENTARIO[UBICACION])</f>
        <v>3A</v>
      </c>
      <c r="K1024" s="34" t="str">
        <f>_xlfn.XLOOKUP(TablaSTOCKINV[[#This Row],[SKU]],TablaINVENTARIO[SKU],TablaINVENTARIO[DPTO RESPONSABLE])</f>
        <v>OPERACIONES</v>
      </c>
      <c r="L1024" s="53">
        <f>_xlfn.XLOOKUP(TablaSTOCKINV[[#This Row],[SKU]],TablaINVENTARIO[SKU],TablaINVENTARIO[RANGO MIN])</f>
        <v>0</v>
      </c>
      <c r="M1024" s="34" cm="1">
        <f t="array" ref="M1024">_xlfn.IFS(TablaSTOCKINV[[#This Row],[CANT. TOTAL]]&lt;=0,1,TablaSTOCKINV[[#This Row],[CANT. TOTAL]]&lt;=TablaSTOCKINV[[#This Row],[MIN]],2,TablaSTOCKINV[[#This Row],[CANT. TOTAL]]&gt;TablaSTOCKINV[[#This Row],[MIN]],3)</f>
        <v>3</v>
      </c>
      <c r="N1024" s="34">
        <f>TablaSTOCKINV[[#This Row],[ENTRADAS]]-TablaSTOCKINV[[#This Row],[SALIDAS]]</f>
        <v>1</v>
      </c>
      <c r="O1024" s="35">
        <f>SUMIFS(TablaENTRADA[CANT],TablaENTRADA[SKU],TablaSTOCKINV[[#This Row],[SKU]])</f>
        <v>1</v>
      </c>
      <c r="P1024" s="35">
        <f>SUMIFS(TablaSALIDA[CANT],TablaSALIDA[SKU],TablaSTOCKINV[[#This Row],[SKU]])</f>
        <v>0</v>
      </c>
      <c r="Q1024" s="34">
        <f>_xlfn.XLOOKUP(TablaSTOCKINV[[#This Row],[SKU]],TablaINVENTARIO[SKU],TablaINVENTARIO[PRECIO])</f>
        <v>0</v>
      </c>
      <c r="R1024" s="34">
        <f>TablaSTOCKINV[[#This Row],[P.UNITARIO]]*TablaSTOCKINV[[#This Row],[CANT. TOTAL]]</f>
        <v>0</v>
      </c>
      <c r="S1024" s="44">
        <f>_xlfn.XLOOKUP(TablaSTOCKINV[[#This Row],[SKU]],TablaINVENTARIO[SKU],TablaINVENTARIO[FECHA INGRESO])</f>
        <v>46023</v>
      </c>
      <c r="T1024" s="44">
        <f>_xlfn.XLOOKUP(TablaSTOCKINV[[#This Row],[SKU]],TablaENTRADA[SKU],TablaENTRADA[FECHA],,0,-1)</f>
        <v>46023</v>
      </c>
      <c r="U1024" s="46" t="str">
        <f>IFERROR((_xlfn.XLOOKUP(TablaSTOCKINV[[#This Row],[SKU]],TablaSALIDA[SKU],TablaSALIDA[FECHA],,0,-1))," " )</f>
        <v xml:space="preserve"> </v>
      </c>
    </row>
    <row r="1025" spans="1:21" x14ac:dyDescent="0.3">
      <c r="A1025" s="27" t="s">
        <v>1135</v>
      </c>
      <c r="B1025" s="32" t="str">
        <f>_xlfn.XLOOKUP(TablaSTOCKINV[[#This Row],[SKU]],TablaINVENTARIO[SKU],TablaINVENTARIO[DESCRIPCION])</f>
        <v>LECTOR DE TARJETA MULTIPLE</v>
      </c>
      <c r="C1025" s="32" t="str">
        <f>_xlfn.XLOOKUP(TablaSTOCKINV[[#This Row],[SKU]],TablaINVENTARIO[SKU],TablaINVENTARIO[MARCA])</f>
        <v>N/A</v>
      </c>
      <c r="D1025" s="33" t="str">
        <f>_xlfn.XLOOKUP(TablaSTOCKINV[[#This Row],[SKU]],TablaINVENTARIO[SKU],TablaINVENTARIO[CATEGORIA])</f>
        <v>FABRICACION</v>
      </c>
      <c r="E1025" s="33" t="str">
        <f>_xlfn.XLOOKUP(TablaSTOCKINV[[#This Row],[SKU]],TablaINVENTARIO[SKU],TablaINVENTARIO[SUBCATEGORIA])</f>
        <v>MARTERIAL ELECTRONICO</v>
      </c>
      <c r="F1025" s="33" t="str">
        <f>_xlfn.XLOOKUP(TablaSTOCKINV[[#This Row],[SKU]],TablaINVENTARIO[SKU],TablaINVENTARIO[ESTADO])</f>
        <v xml:space="preserve">NUEVO </v>
      </c>
      <c r="G1025" s="33" t="str">
        <f>_xlfn.XLOOKUP(TablaSTOCKINV[[#This Row],[SKU]],TablaINVENTARIO[SKU],TablaINVENTARIO[MEDIDA])</f>
        <v>UND</v>
      </c>
      <c r="H1025" s="33" t="str">
        <f>_xlfn.XLOOKUP(TablaSTOCKINV[[#This Row],[SKU]],TablaINVENTARIO[SKU],TablaINVENTARIO[SERIAL])</f>
        <v>CR01A901014</v>
      </c>
      <c r="I1025" s="34">
        <f>_xlfn.XLOOKUP(TablaSTOCKINV[[#This Row],[SKU]],TablaINVENTARIO[SKU],TablaINVENTARIO[ALMACEN])</f>
        <v>0</v>
      </c>
      <c r="J1025" s="34" t="str">
        <f>_xlfn.XLOOKUP(TablaSTOCKINV[[#This Row],[SKU]],TablaINVENTARIO[SKU],TablaINVENTARIO[UBICACION])</f>
        <v>3A</v>
      </c>
      <c r="K1025" s="34" t="str">
        <f>_xlfn.XLOOKUP(TablaSTOCKINV[[#This Row],[SKU]],TablaINVENTARIO[SKU],TablaINVENTARIO[DPTO RESPONSABLE])</f>
        <v>OPERACIONES</v>
      </c>
      <c r="L1025" s="53">
        <f>_xlfn.XLOOKUP(TablaSTOCKINV[[#This Row],[SKU]],TablaINVENTARIO[SKU],TablaINVENTARIO[RANGO MIN])</f>
        <v>0</v>
      </c>
      <c r="M1025" s="34" cm="1">
        <f t="array" ref="M1025">_xlfn.IFS(TablaSTOCKINV[[#This Row],[CANT. TOTAL]]&lt;=0,1,TablaSTOCKINV[[#This Row],[CANT. TOTAL]]&lt;=TablaSTOCKINV[[#This Row],[MIN]],2,TablaSTOCKINV[[#This Row],[CANT. TOTAL]]&gt;TablaSTOCKINV[[#This Row],[MIN]],3)</f>
        <v>3</v>
      </c>
      <c r="N1025" s="34">
        <f>TablaSTOCKINV[[#This Row],[ENTRADAS]]-TablaSTOCKINV[[#This Row],[SALIDAS]]</f>
        <v>1</v>
      </c>
      <c r="O1025" s="35">
        <f>SUMIFS(TablaENTRADA[CANT],TablaENTRADA[SKU],TablaSTOCKINV[[#This Row],[SKU]])</f>
        <v>1</v>
      </c>
      <c r="P1025" s="35">
        <f>SUMIFS(TablaSALIDA[CANT],TablaSALIDA[SKU],TablaSTOCKINV[[#This Row],[SKU]])</f>
        <v>0</v>
      </c>
      <c r="Q1025" s="34">
        <f>_xlfn.XLOOKUP(TablaSTOCKINV[[#This Row],[SKU]],TablaINVENTARIO[SKU],TablaINVENTARIO[PRECIO])</f>
        <v>0</v>
      </c>
      <c r="R1025" s="34">
        <f>TablaSTOCKINV[[#This Row],[P.UNITARIO]]*TablaSTOCKINV[[#This Row],[CANT. TOTAL]]</f>
        <v>0</v>
      </c>
      <c r="S1025" s="44">
        <f>_xlfn.XLOOKUP(TablaSTOCKINV[[#This Row],[SKU]],TablaINVENTARIO[SKU],TablaINVENTARIO[FECHA INGRESO])</f>
        <v>46023</v>
      </c>
      <c r="T1025" s="44">
        <f>_xlfn.XLOOKUP(TablaSTOCKINV[[#This Row],[SKU]],TablaENTRADA[SKU],TablaENTRADA[FECHA],,0,-1)</f>
        <v>46023</v>
      </c>
      <c r="U1025" s="46" t="str">
        <f>IFERROR((_xlfn.XLOOKUP(TablaSTOCKINV[[#This Row],[SKU]],TablaSALIDA[SKU],TablaSALIDA[FECHA],,0,-1))," " )</f>
        <v xml:space="preserve"> </v>
      </c>
    </row>
    <row r="1026" spans="1:21" x14ac:dyDescent="0.3">
      <c r="A1026" s="27" t="s">
        <v>1137</v>
      </c>
      <c r="B1026" s="32" t="str">
        <f>_xlfn.XLOOKUP(TablaSTOCKINV[[#This Row],[SKU]],TablaINVENTARIO[SKU],TablaINVENTARIO[DESCRIPCION])</f>
        <v>LECTOR DE TARJETA MULTIPLE</v>
      </c>
      <c r="C1026" s="32" t="str">
        <f>_xlfn.XLOOKUP(TablaSTOCKINV[[#This Row],[SKU]],TablaINVENTARIO[SKU],TablaINVENTARIO[MARCA])</f>
        <v>N/A</v>
      </c>
      <c r="D1026" s="33" t="str">
        <f>_xlfn.XLOOKUP(TablaSTOCKINV[[#This Row],[SKU]],TablaINVENTARIO[SKU],TablaINVENTARIO[CATEGORIA])</f>
        <v>FABRICACION</v>
      </c>
      <c r="E1026" s="33" t="str">
        <f>_xlfn.XLOOKUP(TablaSTOCKINV[[#This Row],[SKU]],TablaINVENTARIO[SKU],TablaINVENTARIO[SUBCATEGORIA])</f>
        <v>MARTERIAL ELECTRONICO</v>
      </c>
      <c r="F1026" s="33" t="str">
        <f>_xlfn.XLOOKUP(TablaSTOCKINV[[#This Row],[SKU]],TablaINVENTARIO[SKU],TablaINVENTARIO[ESTADO])</f>
        <v xml:space="preserve">NUEVO </v>
      </c>
      <c r="G1026" s="33" t="str">
        <f>_xlfn.XLOOKUP(TablaSTOCKINV[[#This Row],[SKU]],TablaINVENTARIO[SKU],TablaINVENTARIO[MEDIDA])</f>
        <v>UND</v>
      </c>
      <c r="H1026" s="33" t="str">
        <f>_xlfn.XLOOKUP(TablaSTOCKINV[[#This Row],[SKU]],TablaINVENTARIO[SKU],TablaINVENTARIO[SERIAL])</f>
        <v>CR01A902552</v>
      </c>
      <c r="I1026" s="34">
        <f>_xlfn.XLOOKUP(TablaSTOCKINV[[#This Row],[SKU]],TablaINVENTARIO[SKU],TablaINVENTARIO[ALMACEN])</f>
        <v>0</v>
      </c>
      <c r="J1026" s="34" t="str">
        <f>_xlfn.XLOOKUP(TablaSTOCKINV[[#This Row],[SKU]],TablaINVENTARIO[SKU],TablaINVENTARIO[UBICACION])</f>
        <v>3A</v>
      </c>
      <c r="K1026" s="34" t="str">
        <f>_xlfn.XLOOKUP(TablaSTOCKINV[[#This Row],[SKU]],TablaINVENTARIO[SKU],TablaINVENTARIO[DPTO RESPONSABLE])</f>
        <v>OPERACIONES</v>
      </c>
      <c r="L1026" s="53">
        <f>_xlfn.XLOOKUP(TablaSTOCKINV[[#This Row],[SKU]],TablaINVENTARIO[SKU],TablaINVENTARIO[RANGO MIN])</f>
        <v>0</v>
      </c>
      <c r="M1026" s="34" cm="1">
        <f t="array" ref="M1026">_xlfn.IFS(TablaSTOCKINV[[#This Row],[CANT. TOTAL]]&lt;=0,1,TablaSTOCKINV[[#This Row],[CANT. TOTAL]]&lt;=TablaSTOCKINV[[#This Row],[MIN]],2,TablaSTOCKINV[[#This Row],[CANT. TOTAL]]&gt;TablaSTOCKINV[[#This Row],[MIN]],3)</f>
        <v>3</v>
      </c>
      <c r="N1026" s="34">
        <f>TablaSTOCKINV[[#This Row],[ENTRADAS]]-TablaSTOCKINV[[#This Row],[SALIDAS]]</f>
        <v>1</v>
      </c>
      <c r="O1026" s="35">
        <f>SUMIFS(TablaENTRADA[CANT],TablaENTRADA[SKU],TablaSTOCKINV[[#This Row],[SKU]])</f>
        <v>1</v>
      </c>
      <c r="P1026" s="35">
        <f>SUMIFS(TablaSALIDA[CANT],TablaSALIDA[SKU],TablaSTOCKINV[[#This Row],[SKU]])</f>
        <v>0</v>
      </c>
      <c r="Q1026" s="34">
        <f>_xlfn.XLOOKUP(TablaSTOCKINV[[#This Row],[SKU]],TablaINVENTARIO[SKU],TablaINVENTARIO[PRECIO])</f>
        <v>0</v>
      </c>
      <c r="R1026" s="34">
        <f>TablaSTOCKINV[[#This Row],[P.UNITARIO]]*TablaSTOCKINV[[#This Row],[CANT. TOTAL]]</f>
        <v>0</v>
      </c>
      <c r="S1026" s="44">
        <f>_xlfn.XLOOKUP(TablaSTOCKINV[[#This Row],[SKU]],TablaINVENTARIO[SKU],TablaINVENTARIO[FECHA INGRESO])</f>
        <v>46023</v>
      </c>
      <c r="T1026" s="44">
        <f>_xlfn.XLOOKUP(TablaSTOCKINV[[#This Row],[SKU]],TablaENTRADA[SKU],TablaENTRADA[FECHA],,0,-1)</f>
        <v>46023</v>
      </c>
      <c r="U1026" s="46" t="str">
        <f>IFERROR((_xlfn.XLOOKUP(TablaSTOCKINV[[#This Row],[SKU]],TablaSALIDA[SKU],TablaSALIDA[FECHA],,0,-1))," " )</f>
        <v xml:space="preserve"> </v>
      </c>
    </row>
    <row r="1027" spans="1:21" x14ac:dyDescent="0.3">
      <c r="A1027" s="27" t="s">
        <v>1139</v>
      </c>
      <c r="B1027" s="32" t="str">
        <f>_xlfn.XLOOKUP(TablaSTOCKINV[[#This Row],[SKU]],TablaINVENTARIO[SKU],TablaINVENTARIO[DESCRIPCION])</f>
        <v>BATTERY PACK MODELO: 2155002</v>
      </c>
      <c r="C1027" s="32" t="str">
        <f>_xlfn.XLOOKUP(TablaSTOCKINV[[#This Row],[SKU]],TablaINVENTARIO[SKU],TablaINVENTARIO[MARCA])</f>
        <v>N/A</v>
      </c>
      <c r="D1027" s="33" t="str">
        <f>_xlfn.XLOOKUP(TablaSTOCKINV[[#This Row],[SKU]],TablaINVENTARIO[SKU],TablaINVENTARIO[CATEGORIA])</f>
        <v>FABRICACION</v>
      </c>
      <c r="E1027" s="33" t="str">
        <f>_xlfn.XLOOKUP(TablaSTOCKINV[[#This Row],[SKU]],TablaINVENTARIO[SKU],TablaINVENTARIO[SUBCATEGORIA])</f>
        <v>MARTERIAL ELECTRONICO</v>
      </c>
      <c r="F1027" s="33" t="str">
        <f>_xlfn.XLOOKUP(TablaSTOCKINV[[#This Row],[SKU]],TablaINVENTARIO[SKU],TablaINVENTARIO[ESTADO])</f>
        <v xml:space="preserve">NUEVO </v>
      </c>
      <c r="G1027" s="33" t="str">
        <f>_xlfn.XLOOKUP(TablaSTOCKINV[[#This Row],[SKU]],TablaINVENTARIO[SKU],TablaINVENTARIO[MEDIDA])</f>
        <v>UND</v>
      </c>
      <c r="H1027" s="33" t="str">
        <f>_xlfn.XLOOKUP(TablaSTOCKINV[[#This Row],[SKU]],TablaINVENTARIO[SKU],TablaINVENTARIO[SERIAL])</f>
        <v>N/A</v>
      </c>
      <c r="I1027" s="34">
        <f>_xlfn.XLOOKUP(TablaSTOCKINV[[#This Row],[SKU]],TablaINVENTARIO[SKU],TablaINVENTARIO[ALMACEN])</f>
        <v>0</v>
      </c>
      <c r="J1027" s="34" t="str">
        <f>_xlfn.XLOOKUP(TablaSTOCKINV[[#This Row],[SKU]],TablaINVENTARIO[SKU],TablaINVENTARIO[UBICACION])</f>
        <v>3A</v>
      </c>
      <c r="K1027" s="34" t="str">
        <f>_xlfn.XLOOKUP(TablaSTOCKINV[[#This Row],[SKU]],TablaINVENTARIO[SKU],TablaINVENTARIO[DPTO RESPONSABLE])</f>
        <v>OPERACIONES</v>
      </c>
      <c r="L1027" s="53">
        <f>_xlfn.XLOOKUP(TablaSTOCKINV[[#This Row],[SKU]],TablaINVENTARIO[SKU],TablaINVENTARIO[RANGO MIN])</f>
        <v>0</v>
      </c>
      <c r="M1027" s="34" cm="1">
        <f t="array" ref="M1027">_xlfn.IFS(TablaSTOCKINV[[#This Row],[CANT. TOTAL]]&lt;=0,1,TablaSTOCKINV[[#This Row],[CANT. TOTAL]]&lt;=TablaSTOCKINV[[#This Row],[MIN]],2,TablaSTOCKINV[[#This Row],[CANT. TOTAL]]&gt;TablaSTOCKINV[[#This Row],[MIN]],3)</f>
        <v>3</v>
      </c>
      <c r="N1027" s="34">
        <f>TablaSTOCKINV[[#This Row],[ENTRADAS]]-TablaSTOCKINV[[#This Row],[SALIDAS]]</f>
        <v>1</v>
      </c>
      <c r="O1027" s="35">
        <f>SUMIFS(TablaENTRADA[CANT],TablaENTRADA[SKU],TablaSTOCKINV[[#This Row],[SKU]])</f>
        <v>1</v>
      </c>
      <c r="P1027" s="35">
        <f>SUMIFS(TablaSALIDA[CANT],TablaSALIDA[SKU],TablaSTOCKINV[[#This Row],[SKU]])</f>
        <v>0</v>
      </c>
      <c r="Q1027" s="34">
        <f>_xlfn.XLOOKUP(TablaSTOCKINV[[#This Row],[SKU]],TablaINVENTARIO[SKU],TablaINVENTARIO[PRECIO])</f>
        <v>0</v>
      </c>
      <c r="R1027" s="34">
        <f>TablaSTOCKINV[[#This Row],[P.UNITARIO]]*TablaSTOCKINV[[#This Row],[CANT. TOTAL]]</f>
        <v>0</v>
      </c>
      <c r="S1027" s="44">
        <f>_xlfn.XLOOKUP(TablaSTOCKINV[[#This Row],[SKU]],TablaINVENTARIO[SKU],TablaINVENTARIO[FECHA INGRESO])</f>
        <v>46023</v>
      </c>
      <c r="T1027" s="44">
        <f>_xlfn.XLOOKUP(TablaSTOCKINV[[#This Row],[SKU]],TablaENTRADA[SKU],TablaENTRADA[FECHA],,0,-1)</f>
        <v>46023</v>
      </c>
      <c r="U1027" s="46" t="str">
        <f>IFERROR((_xlfn.XLOOKUP(TablaSTOCKINV[[#This Row],[SKU]],TablaSALIDA[SKU],TablaSALIDA[FECHA],,0,-1))," " )</f>
        <v xml:space="preserve"> </v>
      </c>
    </row>
    <row r="1028" spans="1:21" x14ac:dyDescent="0.3">
      <c r="A1028" s="27" t="s">
        <v>1141</v>
      </c>
      <c r="B1028" s="32" t="str">
        <f>_xlfn.XLOOKUP(TablaSTOCKINV[[#This Row],[SKU]],TablaINVENTARIO[SKU],TablaINVENTARIO[DESCRIPCION])</f>
        <v xml:space="preserve">INTERFAZ DE DETECTOR DE PROXIMIDAD 2 CANALES MODELO: MTL5513 </v>
      </c>
      <c r="C1028" s="32" t="str">
        <f>_xlfn.XLOOKUP(TablaSTOCKINV[[#This Row],[SKU]],TablaINVENTARIO[SKU],TablaINVENTARIO[MARCA])</f>
        <v>MTL TECNOLOGY</v>
      </c>
      <c r="D1028" s="33" t="str">
        <f>_xlfn.XLOOKUP(TablaSTOCKINV[[#This Row],[SKU]],TablaINVENTARIO[SKU],TablaINVENTARIO[CATEGORIA])</f>
        <v>FABRICACION</v>
      </c>
      <c r="E1028" s="33" t="str">
        <f>_xlfn.XLOOKUP(TablaSTOCKINV[[#This Row],[SKU]],TablaINVENTARIO[SKU],TablaINVENTARIO[SUBCATEGORIA])</f>
        <v>MARTERIAL ELECTRONICO</v>
      </c>
      <c r="F1028" s="33" t="str">
        <f>_xlfn.XLOOKUP(TablaSTOCKINV[[#This Row],[SKU]],TablaINVENTARIO[SKU],TablaINVENTARIO[ESTADO])</f>
        <v xml:space="preserve">NUEVO </v>
      </c>
      <c r="G1028" s="33" t="str">
        <f>_xlfn.XLOOKUP(TablaSTOCKINV[[#This Row],[SKU]],TablaINVENTARIO[SKU],TablaINVENTARIO[MEDIDA])</f>
        <v>UND</v>
      </c>
      <c r="H1028" s="33" t="str">
        <f>_xlfn.XLOOKUP(TablaSTOCKINV[[#This Row],[SKU]],TablaINVENTARIO[SKU],TablaINVENTARIO[SERIAL])</f>
        <v>N/A</v>
      </c>
      <c r="I1028" s="34">
        <f>_xlfn.XLOOKUP(TablaSTOCKINV[[#This Row],[SKU]],TablaINVENTARIO[SKU],TablaINVENTARIO[ALMACEN])</f>
        <v>0</v>
      </c>
      <c r="J1028" s="34" t="str">
        <f>_xlfn.XLOOKUP(TablaSTOCKINV[[#This Row],[SKU]],TablaINVENTARIO[SKU],TablaINVENTARIO[UBICACION])</f>
        <v>3A</v>
      </c>
      <c r="K1028" s="34" t="str">
        <f>_xlfn.XLOOKUP(TablaSTOCKINV[[#This Row],[SKU]],TablaINVENTARIO[SKU],TablaINVENTARIO[DPTO RESPONSABLE])</f>
        <v>OPERACIONES</v>
      </c>
      <c r="L1028" s="53">
        <f>_xlfn.XLOOKUP(TablaSTOCKINV[[#This Row],[SKU]],TablaINVENTARIO[SKU],TablaINVENTARIO[RANGO MIN])</f>
        <v>0</v>
      </c>
      <c r="M1028" s="34" cm="1">
        <f t="array" ref="M1028">_xlfn.IFS(TablaSTOCKINV[[#This Row],[CANT. TOTAL]]&lt;=0,1,TablaSTOCKINV[[#This Row],[CANT. TOTAL]]&lt;=TablaSTOCKINV[[#This Row],[MIN]],2,TablaSTOCKINV[[#This Row],[CANT. TOTAL]]&gt;TablaSTOCKINV[[#This Row],[MIN]],3)</f>
        <v>3</v>
      </c>
      <c r="N1028" s="34">
        <f>TablaSTOCKINV[[#This Row],[ENTRADAS]]-TablaSTOCKINV[[#This Row],[SALIDAS]]</f>
        <v>24</v>
      </c>
      <c r="O1028" s="35">
        <f>SUMIFS(TablaENTRADA[CANT],TablaENTRADA[SKU],TablaSTOCKINV[[#This Row],[SKU]])</f>
        <v>24</v>
      </c>
      <c r="P1028" s="35">
        <f>SUMIFS(TablaSALIDA[CANT],TablaSALIDA[SKU],TablaSTOCKINV[[#This Row],[SKU]])</f>
        <v>0</v>
      </c>
      <c r="Q1028" s="34">
        <f>_xlfn.XLOOKUP(TablaSTOCKINV[[#This Row],[SKU]],TablaINVENTARIO[SKU],TablaINVENTARIO[PRECIO])</f>
        <v>0</v>
      </c>
      <c r="R1028" s="34">
        <f>TablaSTOCKINV[[#This Row],[P.UNITARIO]]*TablaSTOCKINV[[#This Row],[CANT. TOTAL]]</f>
        <v>0</v>
      </c>
      <c r="S1028" s="44">
        <f>_xlfn.XLOOKUP(TablaSTOCKINV[[#This Row],[SKU]],TablaINVENTARIO[SKU],TablaINVENTARIO[FECHA INGRESO])</f>
        <v>46023</v>
      </c>
      <c r="T1028" s="44">
        <f>_xlfn.XLOOKUP(TablaSTOCKINV[[#This Row],[SKU]],TablaENTRADA[SKU],TablaENTRADA[FECHA],,0,-1)</f>
        <v>46023</v>
      </c>
      <c r="U1028" s="46" t="str">
        <f>IFERROR((_xlfn.XLOOKUP(TablaSTOCKINV[[#This Row],[SKU]],TablaSALIDA[SKU],TablaSALIDA[FECHA],,0,-1))," " )</f>
        <v xml:space="preserve"> </v>
      </c>
    </row>
    <row r="1029" spans="1:21" x14ac:dyDescent="0.3">
      <c r="A1029" s="27" t="s">
        <v>1144</v>
      </c>
      <c r="B1029" s="32" t="str">
        <f>_xlfn.XLOOKUP(TablaSTOCKINV[[#This Row],[SKU]],TablaINVENTARIO[SKU],TablaINVENTARIO[DESCRIPCION])</f>
        <v>INTERFAZ DE COMUNICACIÓN MODELO: ICM5</v>
      </c>
      <c r="C1029" s="32" t="str">
        <f>_xlfn.XLOOKUP(TablaSTOCKINV[[#This Row],[SKU]],TablaINVENTARIO[SKU],TablaINVENTARIO[MARCA])</f>
        <v xml:space="preserve">RED LION </v>
      </c>
      <c r="D1029" s="33" t="str">
        <f>_xlfn.XLOOKUP(TablaSTOCKINV[[#This Row],[SKU]],TablaINVENTARIO[SKU],TablaINVENTARIO[CATEGORIA])</f>
        <v>FABRICACION</v>
      </c>
      <c r="E1029" s="33" t="str">
        <f>_xlfn.XLOOKUP(TablaSTOCKINV[[#This Row],[SKU]],TablaINVENTARIO[SKU],TablaINVENTARIO[SUBCATEGORIA])</f>
        <v>MARTERIAL ELECTRONICO</v>
      </c>
      <c r="F1029" s="33" t="str">
        <f>_xlfn.XLOOKUP(TablaSTOCKINV[[#This Row],[SKU]],TablaINVENTARIO[SKU],TablaINVENTARIO[ESTADO])</f>
        <v>USADO</v>
      </c>
      <c r="G1029" s="33" t="str">
        <f>_xlfn.XLOOKUP(TablaSTOCKINV[[#This Row],[SKU]],TablaINVENTARIO[SKU],TablaINVENTARIO[MEDIDA])</f>
        <v>UND</v>
      </c>
      <c r="H1029" s="33" t="str">
        <f>_xlfn.XLOOKUP(TablaSTOCKINV[[#This Row],[SKU]],TablaINVENTARIO[SKU],TablaINVENTARIO[SERIAL])</f>
        <v>N/A</v>
      </c>
      <c r="I1029" s="34">
        <f>_xlfn.XLOOKUP(TablaSTOCKINV[[#This Row],[SKU]],TablaINVENTARIO[SKU],TablaINVENTARIO[ALMACEN])</f>
        <v>0</v>
      </c>
      <c r="J1029" s="34" t="str">
        <f>_xlfn.XLOOKUP(TablaSTOCKINV[[#This Row],[SKU]],TablaINVENTARIO[SKU],TablaINVENTARIO[UBICACION])</f>
        <v>3A</v>
      </c>
      <c r="K1029" s="34" t="str">
        <f>_xlfn.XLOOKUP(TablaSTOCKINV[[#This Row],[SKU]],TablaINVENTARIO[SKU],TablaINVENTARIO[DPTO RESPONSABLE])</f>
        <v>OPERACIONES</v>
      </c>
      <c r="L1029" s="53">
        <f>_xlfn.XLOOKUP(TablaSTOCKINV[[#This Row],[SKU]],TablaINVENTARIO[SKU],TablaINVENTARIO[RANGO MIN])</f>
        <v>0</v>
      </c>
      <c r="M1029" s="34" cm="1">
        <f t="array" ref="M1029">_xlfn.IFS(TablaSTOCKINV[[#This Row],[CANT. TOTAL]]&lt;=0,1,TablaSTOCKINV[[#This Row],[CANT. TOTAL]]&lt;=TablaSTOCKINV[[#This Row],[MIN]],2,TablaSTOCKINV[[#This Row],[CANT. TOTAL]]&gt;TablaSTOCKINV[[#This Row],[MIN]],3)</f>
        <v>3</v>
      </c>
      <c r="N1029" s="34">
        <f>TablaSTOCKINV[[#This Row],[ENTRADAS]]-TablaSTOCKINV[[#This Row],[SALIDAS]]</f>
        <v>1</v>
      </c>
      <c r="O1029" s="35">
        <f>SUMIFS(TablaENTRADA[CANT],TablaENTRADA[SKU],TablaSTOCKINV[[#This Row],[SKU]])</f>
        <v>1</v>
      </c>
      <c r="P1029" s="35">
        <f>SUMIFS(TablaSALIDA[CANT],TablaSALIDA[SKU],TablaSTOCKINV[[#This Row],[SKU]])</f>
        <v>0</v>
      </c>
      <c r="Q1029" s="34">
        <f>_xlfn.XLOOKUP(TablaSTOCKINV[[#This Row],[SKU]],TablaINVENTARIO[SKU],TablaINVENTARIO[PRECIO])</f>
        <v>0</v>
      </c>
      <c r="R1029" s="34">
        <f>TablaSTOCKINV[[#This Row],[P.UNITARIO]]*TablaSTOCKINV[[#This Row],[CANT. TOTAL]]</f>
        <v>0</v>
      </c>
      <c r="S1029" s="44">
        <f>_xlfn.XLOOKUP(TablaSTOCKINV[[#This Row],[SKU]],TablaINVENTARIO[SKU],TablaINVENTARIO[FECHA INGRESO])</f>
        <v>46023</v>
      </c>
      <c r="T1029" s="44">
        <f>_xlfn.XLOOKUP(TablaSTOCKINV[[#This Row],[SKU]],TablaENTRADA[SKU],TablaENTRADA[FECHA],,0,-1)</f>
        <v>46023</v>
      </c>
      <c r="U1029" s="46" t="str">
        <f>IFERROR((_xlfn.XLOOKUP(TablaSTOCKINV[[#This Row],[SKU]],TablaSALIDA[SKU],TablaSALIDA[FECHA],,0,-1))," " )</f>
        <v xml:space="preserve"> </v>
      </c>
    </row>
    <row r="1030" spans="1:21" x14ac:dyDescent="0.3">
      <c r="A1030" s="27" t="s">
        <v>1147</v>
      </c>
      <c r="B1030" s="32" t="str">
        <f>_xlfn.XLOOKUP(TablaSTOCKINV[[#This Row],[SKU]],TablaINVENTARIO[SKU],TablaINVENTARIO[DESCRIPCION])</f>
        <v>INTERFAZ DE DETECTOR DE PROXIMIDAD MODELO:MTL5012</v>
      </c>
      <c r="C1030" s="32" t="str">
        <f>_xlfn.XLOOKUP(TablaSTOCKINV[[#This Row],[SKU]],TablaINVENTARIO[SKU],TablaINVENTARIO[MARCA])</f>
        <v>MTL TECNOLOGY</v>
      </c>
      <c r="D1030" s="33" t="str">
        <f>_xlfn.XLOOKUP(TablaSTOCKINV[[#This Row],[SKU]],TablaINVENTARIO[SKU],TablaINVENTARIO[CATEGORIA])</f>
        <v>FABRICACION</v>
      </c>
      <c r="E1030" s="33" t="str">
        <f>_xlfn.XLOOKUP(TablaSTOCKINV[[#This Row],[SKU]],TablaINVENTARIO[SKU],TablaINVENTARIO[SUBCATEGORIA])</f>
        <v>MARTERIAL ELECTRONICO</v>
      </c>
      <c r="F1030" s="33" t="str">
        <f>_xlfn.XLOOKUP(TablaSTOCKINV[[#This Row],[SKU]],TablaINVENTARIO[SKU],TablaINVENTARIO[ESTADO])</f>
        <v>USADO</v>
      </c>
      <c r="G1030" s="33" t="str">
        <f>_xlfn.XLOOKUP(TablaSTOCKINV[[#This Row],[SKU]],TablaINVENTARIO[SKU],TablaINVENTARIO[MEDIDA])</f>
        <v>UND</v>
      </c>
      <c r="H1030" s="33" t="str">
        <f>_xlfn.XLOOKUP(TablaSTOCKINV[[#This Row],[SKU]],TablaINVENTARIO[SKU],TablaINVENTARIO[SERIAL])</f>
        <v>N/A</v>
      </c>
      <c r="I1030" s="34">
        <f>_xlfn.XLOOKUP(TablaSTOCKINV[[#This Row],[SKU]],TablaINVENTARIO[SKU],TablaINVENTARIO[ALMACEN])</f>
        <v>0</v>
      </c>
      <c r="J1030" s="34" t="str">
        <f>_xlfn.XLOOKUP(TablaSTOCKINV[[#This Row],[SKU]],TablaINVENTARIO[SKU],TablaINVENTARIO[UBICACION])</f>
        <v>3A</v>
      </c>
      <c r="K1030" s="34" t="str">
        <f>_xlfn.XLOOKUP(TablaSTOCKINV[[#This Row],[SKU]],TablaINVENTARIO[SKU],TablaINVENTARIO[DPTO RESPONSABLE])</f>
        <v>OPERACIONES</v>
      </c>
      <c r="L1030" s="53">
        <f>_xlfn.XLOOKUP(TablaSTOCKINV[[#This Row],[SKU]],TablaINVENTARIO[SKU],TablaINVENTARIO[RANGO MIN])</f>
        <v>0</v>
      </c>
      <c r="M1030" s="34" cm="1">
        <f t="array" ref="M1030">_xlfn.IFS(TablaSTOCKINV[[#This Row],[CANT. TOTAL]]&lt;=0,1,TablaSTOCKINV[[#This Row],[CANT. TOTAL]]&lt;=TablaSTOCKINV[[#This Row],[MIN]],2,TablaSTOCKINV[[#This Row],[CANT. TOTAL]]&gt;TablaSTOCKINV[[#This Row],[MIN]],3)</f>
        <v>3</v>
      </c>
      <c r="N1030" s="34">
        <f>TablaSTOCKINV[[#This Row],[ENTRADAS]]-TablaSTOCKINV[[#This Row],[SALIDAS]]</f>
        <v>4</v>
      </c>
      <c r="O1030" s="35">
        <f>SUMIFS(TablaENTRADA[CANT],TablaENTRADA[SKU],TablaSTOCKINV[[#This Row],[SKU]])</f>
        <v>4</v>
      </c>
      <c r="P1030" s="35">
        <f>SUMIFS(TablaSALIDA[CANT],TablaSALIDA[SKU],TablaSTOCKINV[[#This Row],[SKU]])</f>
        <v>0</v>
      </c>
      <c r="Q1030" s="34">
        <f>_xlfn.XLOOKUP(TablaSTOCKINV[[#This Row],[SKU]],TablaINVENTARIO[SKU],TablaINVENTARIO[PRECIO])</f>
        <v>0</v>
      </c>
      <c r="R1030" s="34">
        <f>TablaSTOCKINV[[#This Row],[P.UNITARIO]]*TablaSTOCKINV[[#This Row],[CANT. TOTAL]]</f>
        <v>0</v>
      </c>
      <c r="S1030" s="44">
        <f>_xlfn.XLOOKUP(TablaSTOCKINV[[#This Row],[SKU]],TablaINVENTARIO[SKU],TablaINVENTARIO[FECHA INGRESO])</f>
        <v>46023</v>
      </c>
      <c r="T1030" s="44">
        <f>_xlfn.XLOOKUP(TablaSTOCKINV[[#This Row],[SKU]],TablaENTRADA[SKU],TablaENTRADA[FECHA],,0,-1)</f>
        <v>46023</v>
      </c>
      <c r="U1030" s="46" t="str">
        <f>IFERROR((_xlfn.XLOOKUP(TablaSTOCKINV[[#This Row],[SKU]],TablaSALIDA[SKU],TablaSALIDA[FECHA],,0,-1))," " )</f>
        <v xml:space="preserve"> </v>
      </c>
    </row>
    <row r="1031" spans="1:21" x14ac:dyDescent="0.3">
      <c r="A1031" s="27" t="s">
        <v>1149</v>
      </c>
      <c r="B1031" s="32" t="str">
        <f>_xlfn.XLOOKUP(TablaSTOCKINV[[#This Row],[SKU]],TablaINVENTARIO[SKU],TablaINVENTARIO[DESCRIPCION])</f>
        <v>INTERFAZ DE DETECTOR DE PROXIMIDAD MODELO:MTL5012</v>
      </c>
      <c r="C1031" s="32" t="str">
        <f>_xlfn.XLOOKUP(TablaSTOCKINV[[#This Row],[SKU]],TablaINVENTARIO[SKU],TablaINVENTARIO[MARCA])</f>
        <v>MTL TECNOLOGY</v>
      </c>
      <c r="D1031" s="33" t="str">
        <f>_xlfn.XLOOKUP(TablaSTOCKINV[[#This Row],[SKU]],TablaINVENTARIO[SKU],TablaINVENTARIO[CATEGORIA])</f>
        <v>FABRICACION</v>
      </c>
      <c r="E1031" s="33" t="str">
        <f>_xlfn.XLOOKUP(TablaSTOCKINV[[#This Row],[SKU]],TablaINVENTARIO[SKU],TablaINVENTARIO[SUBCATEGORIA])</f>
        <v>MARTERIAL ELECTRONICO</v>
      </c>
      <c r="F1031" s="33" t="str">
        <f>_xlfn.XLOOKUP(TablaSTOCKINV[[#This Row],[SKU]],TablaINVENTARIO[SKU],TablaINVENTARIO[ESTADO])</f>
        <v xml:space="preserve">NUEVO </v>
      </c>
      <c r="G1031" s="33" t="str">
        <f>_xlfn.XLOOKUP(TablaSTOCKINV[[#This Row],[SKU]],TablaINVENTARIO[SKU],TablaINVENTARIO[MEDIDA])</f>
        <v>UND</v>
      </c>
      <c r="H1031" s="33" t="str">
        <f>_xlfn.XLOOKUP(TablaSTOCKINV[[#This Row],[SKU]],TablaINVENTARIO[SKU],TablaINVENTARIO[SERIAL])</f>
        <v>N/A</v>
      </c>
      <c r="I1031" s="34">
        <f>_xlfn.XLOOKUP(TablaSTOCKINV[[#This Row],[SKU]],TablaINVENTARIO[SKU],TablaINVENTARIO[ALMACEN])</f>
        <v>0</v>
      </c>
      <c r="J1031" s="34" t="str">
        <f>_xlfn.XLOOKUP(TablaSTOCKINV[[#This Row],[SKU]],TablaINVENTARIO[SKU],TablaINVENTARIO[UBICACION])</f>
        <v>3A</v>
      </c>
      <c r="K1031" s="34" t="str">
        <f>_xlfn.XLOOKUP(TablaSTOCKINV[[#This Row],[SKU]],TablaINVENTARIO[SKU],TablaINVENTARIO[DPTO RESPONSABLE])</f>
        <v>OPERACIONES</v>
      </c>
      <c r="L1031" s="53">
        <f>_xlfn.XLOOKUP(TablaSTOCKINV[[#This Row],[SKU]],TablaINVENTARIO[SKU],TablaINVENTARIO[RANGO MIN])</f>
        <v>0</v>
      </c>
      <c r="M1031" s="34" cm="1">
        <f t="array" ref="M1031">_xlfn.IFS(TablaSTOCKINV[[#This Row],[CANT. TOTAL]]&lt;=0,1,TablaSTOCKINV[[#This Row],[CANT. TOTAL]]&lt;=TablaSTOCKINV[[#This Row],[MIN]],2,TablaSTOCKINV[[#This Row],[CANT. TOTAL]]&gt;TablaSTOCKINV[[#This Row],[MIN]],3)</f>
        <v>3</v>
      </c>
      <c r="N1031" s="34">
        <f>TablaSTOCKINV[[#This Row],[ENTRADAS]]-TablaSTOCKINV[[#This Row],[SALIDAS]]</f>
        <v>1</v>
      </c>
      <c r="O1031" s="35">
        <f>SUMIFS(TablaENTRADA[CANT],TablaENTRADA[SKU],TablaSTOCKINV[[#This Row],[SKU]])</f>
        <v>1</v>
      </c>
      <c r="P1031" s="35">
        <f>SUMIFS(TablaSALIDA[CANT],TablaSALIDA[SKU],TablaSTOCKINV[[#This Row],[SKU]])</f>
        <v>0</v>
      </c>
      <c r="Q1031" s="34">
        <f>_xlfn.XLOOKUP(TablaSTOCKINV[[#This Row],[SKU]],TablaINVENTARIO[SKU],TablaINVENTARIO[PRECIO])</f>
        <v>0</v>
      </c>
      <c r="R1031" s="34">
        <f>TablaSTOCKINV[[#This Row],[P.UNITARIO]]*TablaSTOCKINV[[#This Row],[CANT. TOTAL]]</f>
        <v>0</v>
      </c>
      <c r="S1031" s="44">
        <f>_xlfn.XLOOKUP(TablaSTOCKINV[[#This Row],[SKU]],TablaINVENTARIO[SKU],TablaINVENTARIO[FECHA INGRESO])</f>
        <v>46023</v>
      </c>
      <c r="T1031" s="44">
        <f>_xlfn.XLOOKUP(TablaSTOCKINV[[#This Row],[SKU]],TablaENTRADA[SKU],TablaENTRADA[FECHA],,0,-1)</f>
        <v>46023</v>
      </c>
      <c r="U1031" s="46" t="str">
        <f>IFERROR((_xlfn.XLOOKUP(TablaSTOCKINV[[#This Row],[SKU]],TablaSALIDA[SKU],TablaSALIDA[FECHA],,0,-1))," " )</f>
        <v xml:space="preserve"> </v>
      </c>
    </row>
    <row r="1032" spans="1:21" x14ac:dyDescent="0.3">
      <c r="A1032" s="27" t="s">
        <v>1150</v>
      </c>
      <c r="B1032" s="32" t="str">
        <f>_xlfn.XLOOKUP(TablaSTOCKINV[[#This Row],[SKU]],TablaINVENTARIO[SKU],TablaINVENTARIO[DESCRIPCION])</f>
        <v>AISLADOR DE PULSOS MODELO: MTL5051</v>
      </c>
      <c r="C1032" s="32" t="str">
        <f>_xlfn.XLOOKUP(TablaSTOCKINV[[#This Row],[SKU]],TablaINVENTARIO[SKU],TablaINVENTARIO[MARCA])</f>
        <v>N/A</v>
      </c>
      <c r="D1032" s="33" t="str">
        <f>_xlfn.XLOOKUP(TablaSTOCKINV[[#This Row],[SKU]],TablaINVENTARIO[SKU],TablaINVENTARIO[CATEGORIA])</f>
        <v>FABRICACION</v>
      </c>
      <c r="E1032" s="33" t="str">
        <f>_xlfn.XLOOKUP(TablaSTOCKINV[[#This Row],[SKU]],TablaINVENTARIO[SKU],TablaINVENTARIO[SUBCATEGORIA])</f>
        <v>MARTERIAL ELECTRONICO</v>
      </c>
      <c r="F1032" s="33" t="str">
        <f>_xlfn.XLOOKUP(TablaSTOCKINV[[#This Row],[SKU]],TablaINVENTARIO[SKU],TablaINVENTARIO[ESTADO])</f>
        <v>USADO</v>
      </c>
      <c r="G1032" s="33" t="str">
        <f>_xlfn.XLOOKUP(TablaSTOCKINV[[#This Row],[SKU]],TablaINVENTARIO[SKU],TablaINVENTARIO[MEDIDA])</f>
        <v>UND</v>
      </c>
      <c r="H1032" s="33" t="str">
        <f>_xlfn.XLOOKUP(TablaSTOCKINV[[#This Row],[SKU]],TablaINVENTARIO[SKU],TablaINVENTARIO[SERIAL])</f>
        <v>N/A</v>
      </c>
      <c r="I1032" s="34">
        <f>_xlfn.XLOOKUP(TablaSTOCKINV[[#This Row],[SKU]],TablaINVENTARIO[SKU],TablaINVENTARIO[ALMACEN])</f>
        <v>0</v>
      </c>
      <c r="J1032" s="34" t="str">
        <f>_xlfn.XLOOKUP(TablaSTOCKINV[[#This Row],[SKU]],TablaINVENTARIO[SKU],TablaINVENTARIO[UBICACION])</f>
        <v>3A</v>
      </c>
      <c r="K1032" s="34" t="str">
        <f>_xlfn.XLOOKUP(TablaSTOCKINV[[#This Row],[SKU]],TablaINVENTARIO[SKU],TablaINVENTARIO[DPTO RESPONSABLE])</f>
        <v>OPERACIONES</v>
      </c>
      <c r="L1032" s="53">
        <f>_xlfn.XLOOKUP(TablaSTOCKINV[[#This Row],[SKU]],TablaINVENTARIO[SKU],TablaINVENTARIO[RANGO MIN])</f>
        <v>0</v>
      </c>
      <c r="M1032" s="34" cm="1">
        <f t="array" ref="M1032">_xlfn.IFS(TablaSTOCKINV[[#This Row],[CANT. TOTAL]]&lt;=0,1,TablaSTOCKINV[[#This Row],[CANT. TOTAL]]&lt;=TablaSTOCKINV[[#This Row],[MIN]],2,TablaSTOCKINV[[#This Row],[CANT. TOTAL]]&gt;TablaSTOCKINV[[#This Row],[MIN]],3)</f>
        <v>3</v>
      </c>
      <c r="N1032" s="34">
        <f>TablaSTOCKINV[[#This Row],[ENTRADAS]]-TablaSTOCKINV[[#This Row],[SALIDAS]]</f>
        <v>8</v>
      </c>
      <c r="O1032" s="35">
        <f>SUMIFS(TablaENTRADA[CANT],TablaENTRADA[SKU],TablaSTOCKINV[[#This Row],[SKU]])</f>
        <v>8</v>
      </c>
      <c r="P1032" s="35">
        <f>SUMIFS(TablaSALIDA[CANT],TablaSALIDA[SKU],TablaSTOCKINV[[#This Row],[SKU]])</f>
        <v>0</v>
      </c>
      <c r="Q1032" s="34">
        <f>_xlfn.XLOOKUP(TablaSTOCKINV[[#This Row],[SKU]],TablaINVENTARIO[SKU],TablaINVENTARIO[PRECIO])</f>
        <v>0</v>
      </c>
      <c r="R1032" s="34">
        <f>TablaSTOCKINV[[#This Row],[P.UNITARIO]]*TablaSTOCKINV[[#This Row],[CANT. TOTAL]]</f>
        <v>0</v>
      </c>
      <c r="S1032" s="44">
        <f>_xlfn.XLOOKUP(TablaSTOCKINV[[#This Row],[SKU]],TablaINVENTARIO[SKU],TablaINVENTARIO[FECHA INGRESO])</f>
        <v>46023</v>
      </c>
      <c r="T1032" s="44">
        <f>_xlfn.XLOOKUP(TablaSTOCKINV[[#This Row],[SKU]],TablaENTRADA[SKU],TablaENTRADA[FECHA],,0,-1)</f>
        <v>46023</v>
      </c>
      <c r="U1032" s="46" t="str">
        <f>IFERROR((_xlfn.XLOOKUP(TablaSTOCKINV[[#This Row],[SKU]],TablaSALIDA[SKU],TablaSALIDA[FECHA],,0,-1))," " )</f>
        <v xml:space="preserve"> </v>
      </c>
    </row>
    <row r="1033" spans="1:21" x14ac:dyDescent="0.3">
      <c r="A1033" s="27" t="s">
        <v>1152</v>
      </c>
      <c r="B1033" s="32" t="str">
        <f>_xlfn.XLOOKUP(TablaSTOCKINV[[#This Row],[SKU]],TablaINVENTARIO[SKU],TablaINVENTARIO[DESCRIPCION])</f>
        <v>AISLADOR DE PULSOS MODELO: MTL5051</v>
      </c>
      <c r="C1033" s="32" t="str">
        <f>_xlfn.XLOOKUP(TablaSTOCKINV[[#This Row],[SKU]],TablaINVENTARIO[SKU],TablaINVENTARIO[MARCA])</f>
        <v>N/A</v>
      </c>
      <c r="D1033" s="33" t="str">
        <f>_xlfn.XLOOKUP(TablaSTOCKINV[[#This Row],[SKU]],TablaINVENTARIO[SKU],TablaINVENTARIO[CATEGORIA])</f>
        <v>FABRICACION</v>
      </c>
      <c r="E1033" s="33" t="str">
        <f>_xlfn.XLOOKUP(TablaSTOCKINV[[#This Row],[SKU]],TablaINVENTARIO[SKU],TablaINVENTARIO[SUBCATEGORIA])</f>
        <v>MARTERIAL ELECTRONICO</v>
      </c>
      <c r="F1033" s="33" t="str">
        <f>_xlfn.XLOOKUP(TablaSTOCKINV[[#This Row],[SKU]],TablaINVENTARIO[SKU],TablaINVENTARIO[ESTADO])</f>
        <v>USADO</v>
      </c>
      <c r="G1033" s="33" t="str">
        <f>_xlfn.XLOOKUP(TablaSTOCKINV[[#This Row],[SKU]],TablaINVENTARIO[SKU],TablaINVENTARIO[MEDIDA])</f>
        <v>UND</v>
      </c>
      <c r="H1033" s="33" t="str">
        <f>_xlfn.XLOOKUP(TablaSTOCKINV[[#This Row],[SKU]],TablaINVENTARIO[SKU],TablaINVENTARIO[SERIAL])</f>
        <v>N/A</v>
      </c>
      <c r="I1033" s="34">
        <f>_xlfn.XLOOKUP(TablaSTOCKINV[[#This Row],[SKU]],TablaINVENTARIO[SKU],TablaINVENTARIO[ALMACEN])</f>
        <v>0</v>
      </c>
      <c r="J1033" s="34" t="str">
        <f>_xlfn.XLOOKUP(TablaSTOCKINV[[#This Row],[SKU]],TablaINVENTARIO[SKU],TablaINVENTARIO[UBICACION])</f>
        <v>3A</v>
      </c>
      <c r="K1033" s="34" t="str">
        <f>_xlfn.XLOOKUP(TablaSTOCKINV[[#This Row],[SKU]],TablaINVENTARIO[SKU],TablaINVENTARIO[DPTO RESPONSABLE])</f>
        <v>OPERACIONES</v>
      </c>
      <c r="L1033" s="53">
        <f>_xlfn.XLOOKUP(TablaSTOCKINV[[#This Row],[SKU]],TablaINVENTARIO[SKU],TablaINVENTARIO[RANGO MIN])</f>
        <v>0</v>
      </c>
      <c r="M1033" s="34" cm="1">
        <f t="array" ref="M1033">_xlfn.IFS(TablaSTOCKINV[[#This Row],[CANT. TOTAL]]&lt;=0,1,TablaSTOCKINV[[#This Row],[CANT. TOTAL]]&lt;=TablaSTOCKINV[[#This Row],[MIN]],2,TablaSTOCKINV[[#This Row],[CANT. TOTAL]]&gt;TablaSTOCKINV[[#This Row],[MIN]],3)</f>
        <v>3</v>
      </c>
      <c r="N1033" s="34">
        <f>TablaSTOCKINV[[#This Row],[ENTRADAS]]-TablaSTOCKINV[[#This Row],[SALIDAS]]</f>
        <v>2</v>
      </c>
      <c r="O1033" s="35">
        <f>SUMIFS(TablaENTRADA[CANT],TablaENTRADA[SKU],TablaSTOCKINV[[#This Row],[SKU]])</f>
        <v>2</v>
      </c>
      <c r="P1033" s="35">
        <f>SUMIFS(TablaSALIDA[CANT],TablaSALIDA[SKU],TablaSTOCKINV[[#This Row],[SKU]])</f>
        <v>0</v>
      </c>
      <c r="Q1033" s="34">
        <f>_xlfn.XLOOKUP(TablaSTOCKINV[[#This Row],[SKU]],TablaINVENTARIO[SKU],TablaINVENTARIO[PRECIO])</f>
        <v>0</v>
      </c>
      <c r="R1033" s="34">
        <f>TablaSTOCKINV[[#This Row],[P.UNITARIO]]*TablaSTOCKINV[[#This Row],[CANT. TOTAL]]</f>
        <v>0</v>
      </c>
      <c r="S1033" s="44">
        <f>_xlfn.XLOOKUP(TablaSTOCKINV[[#This Row],[SKU]],TablaINVENTARIO[SKU],TablaINVENTARIO[FECHA INGRESO])</f>
        <v>46023</v>
      </c>
      <c r="T1033" s="44">
        <f>_xlfn.XLOOKUP(TablaSTOCKINV[[#This Row],[SKU]],TablaENTRADA[SKU],TablaENTRADA[FECHA],,0,-1)</f>
        <v>46023</v>
      </c>
      <c r="U1033" s="46" t="str">
        <f>IFERROR((_xlfn.XLOOKUP(TablaSTOCKINV[[#This Row],[SKU]],TablaSALIDA[SKU],TablaSALIDA[FECHA],,0,-1))," " )</f>
        <v xml:space="preserve"> </v>
      </c>
    </row>
    <row r="1034" spans="1:21" x14ac:dyDescent="0.3">
      <c r="A1034" s="27" t="s">
        <v>1153</v>
      </c>
      <c r="B1034" s="32" t="str">
        <f>_xlfn.XLOOKUP(TablaSTOCKINV[[#This Row],[SKU]],TablaINVENTARIO[SKU],TablaINVENTARIO[DESCRIPCION])</f>
        <v>INTERFAZ DE COMUNICACIÓN MODELO: PSM-ME-RS232/RS485-P</v>
      </c>
      <c r="C1034" s="32" t="str">
        <f>_xlfn.XLOOKUP(TablaSTOCKINV[[#This Row],[SKU]],TablaINVENTARIO[SKU],TablaINVENTARIO[MARCA])</f>
        <v>PHOENIX CONTACT</v>
      </c>
      <c r="D1034" s="33" t="str">
        <f>_xlfn.XLOOKUP(TablaSTOCKINV[[#This Row],[SKU]],TablaINVENTARIO[SKU],TablaINVENTARIO[CATEGORIA])</f>
        <v>FABRICACION</v>
      </c>
      <c r="E1034" s="33" t="str">
        <f>_xlfn.XLOOKUP(TablaSTOCKINV[[#This Row],[SKU]],TablaINVENTARIO[SKU],TablaINVENTARIO[SUBCATEGORIA])</f>
        <v>MARTERIAL ELECTRONICO</v>
      </c>
      <c r="F1034" s="33" t="str">
        <f>_xlfn.XLOOKUP(TablaSTOCKINV[[#This Row],[SKU]],TablaINVENTARIO[SKU],TablaINVENTARIO[ESTADO])</f>
        <v xml:space="preserve">NUEVO </v>
      </c>
      <c r="G1034" s="33" t="str">
        <f>_xlfn.XLOOKUP(TablaSTOCKINV[[#This Row],[SKU]],TablaINVENTARIO[SKU],TablaINVENTARIO[MEDIDA])</f>
        <v>UND</v>
      </c>
      <c r="H1034" s="33" t="str">
        <f>_xlfn.XLOOKUP(TablaSTOCKINV[[#This Row],[SKU]],TablaINVENTARIO[SKU],TablaINVENTARIO[SERIAL])</f>
        <v>N/A</v>
      </c>
      <c r="I1034" s="34">
        <f>_xlfn.XLOOKUP(TablaSTOCKINV[[#This Row],[SKU]],TablaINVENTARIO[SKU],TablaINVENTARIO[ALMACEN])</f>
        <v>0</v>
      </c>
      <c r="J1034" s="34" t="str">
        <f>_xlfn.XLOOKUP(TablaSTOCKINV[[#This Row],[SKU]],TablaINVENTARIO[SKU],TablaINVENTARIO[UBICACION])</f>
        <v>3A</v>
      </c>
      <c r="K1034" s="34" t="str">
        <f>_xlfn.XLOOKUP(TablaSTOCKINV[[#This Row],[SKU]],TablaINVENTARIO[SKU],TablaINVENTARIO[DPTO RESPONSABLE])</f>
        <v>OPERACIONES</v>
      </c>
      <c r="L1034" s="53">
        <f>_xlfn.XLOOKUP(TablaSTOCKINV[[#This Row],[SKU]],TablaINVENTARIO[SKU],TablaINVENTARIO[RANGO MIN])</f>
        <v>0</v>
      </c>
      <c r="M1034" s="34" cm="1">
        <f t="array" ref="M1034">_xlfn.IFS(TablaSTOCKINV[[#This Row],[CANT. TOTAL]]&lt;=0,1,TablaSTOCKINV[[#This Row],[CANT. TOTAL]]&lt;=TablaSTOCKINV[[#This Row],[MIN]],2,TablaSTOCKINV[[#This Row],[CANT. TOTAL]]&gt;TablaSTOCKINV[[#This Row],[MIN]],3)</f>
        <v>3</v>
      </c>
      <c r="N1034" s="34">
        <f>TablaSTOCKINV[[#This Row],[ENTRADAS]]-TablaSTOCKINV[[#This Row],[SALIDAS]]</f>
        <v>1</v>
      </c>
      <c r="O1034" s="35">
        <f>SUMIFS(TablaENTRADA[CANT],TablaENTRADA[SKU],TablaSTOCKINV[[#This Row],[SKU]])</f>
        <v>1</v>
      </c>
      <c r="P1034" s="35">
        <f>SUMIFS(TablaSALIDA[CANT],TablaSALIDA[SKU],TablaSTOCKINV[[#This Row],[SKU]])</f>
        <v>0</v>
      </c>
      <c r="Q1034" s="34">
        <f>_xlfn.XLOOKUP(TablaSTOCKINV[[#This Row],[SKU]],TablaINVENTARIO[SKU],TablaINVENTARIO[PRECIO])</f>
        <v>0</v>
      </c>
      <c r="R1034" s="34">
        <f>TablaSTOCKINV[[#This Row],[P.UNITARIO]]*TablaSTOCKINV[[#This Row],[CANT. TOTAL]]</f>
        <v>0</v>
      </c>
      <c r="S1034" s="44">
        <f>_xlfn.XLOOKUP(TablaSTOCKINV[[#This Row],[SKU]],TablaINVENTARIO[SKU],TablaINVENTARIO[FECHA INGRESO])</f>
        <v>46023</v>
      </c>
      <c r="T1034" s="44">
        <f>_xlfn.XLOOKUP(TablaSTOCKINV[[#This Row],[SKU]],TablaENTRADA[SKU],TablaENTRADA[FECHA],,0,-1)</f>
        <v>46023</v>
      </c>
      <c r="U1034" s="46" t="str">
        <f>IFERROR((_xlfn.XLOOKUP(TablaSTOCKINV[[#This Row],[SKU]],TablaSALIDA[SKU],TablaSALIDA[FECHA],,0,-1))," " )</f>
        <v xml:space="preserve"> </v>
      </c>
    </row>
    <row r="1035" spans="1:21" x14ac:dyDescent="0.3">
      <c r="A1035" s="27" t="s">
        <v>1156</v>
      </c>
      <c r="B1035" s="32" t="str">
        <f>_xlfn.XLOOKUP(TablaSTOCKINV[[#This Row],[SKU]],TablaINVENTARIO[SKU],TablaINVENTARIO[DESCRIPCION])</f>
        <v>MODULO DE PROTECCION CONTRA SOBRETENCIONES PARA RS-485</v>
      </c>
      <c r="C1035" s="32" t="str">
        <f>_xlfn.XLOOKUP(TablaSTOCKINV[[#This Row],[SKU]],TablaINVENTARIO[SKU],TablaINVENTARIO[MARCA])</f>
        <v>PHOENIX CONTACT</v>
      </c>
      <c r="D1035" s="33" t="str">
        <f>_xlfn.XLOOKUP(TablaSTOCKINV[[#This Row],[SKU]],TablaINVENTARIO[SKU],TablaINVENTARIO[CATEGORIA])</f>
        <v>FABRICACION</v>
      </c>
      <c r="E1035" s="33" t="str">
        <f>_xlfn.XLOOKUP(TablaSTOCKINV[[#This Row],[SKU]],TablaINVENTARIO[SKU],TablaINVENTARIO[SUBCATEGORIA])</f>
        <v>MARTERIAL ELECTRONICO</v>
      </c>
      <c r="F1035" s="33" t="str">
        <f>_xlfn.XLOOKUP(TablaSTOCKINV[[#This Row],[SKU]],TablaINVENTARIO[SKU],TablaINVENTARIO[ESTADO])</f>
        <v>USADO</v>
      </c>
      <c r="G1035" s="33" t="str">
        <f>_xlfn.XLOOKUP(TablaSTOCKINV[[#This Row],[SKU]],TablaINVENTARIO[SKU],TablaINVENTARIO[MEDIDA])</f>
        <v>UND</v>
      </c>
      <c r="H1035" s="33" t="str">
        <f>_xlfn.XLOOKUP(TablaSTOCKINV[[#This Row],[SKU]],TablaINVENTARIO[SKU],TablaINVENTARIO[SERIAL])</f>
        <v>N/A</v>
      </c>
      <c r="I1035" s="34">
        <f>_xlfn.XLOOKUP(TablaSTOCKINV[[#This Row],[SKU]],TablaINVENTARIO[SKU],TablaINVENTARIO[ALMACEN])</f>
        <v>0</v>
      </c>
      <c r="J1035" s="34" t="str">
        <f>_xlfn.XLOOKUP(TablaSTOCKINV[[#This Row],[SKU]],TablaINVENTARIO[SKU],TablaINVENTARIO[UBICACION])</f>
        <v>3A</v>
      </c>
      <c r="K1035" s="34" t="str">
        <f>_xlfn.XLOOKUP(TablaSTOCKINV[[#This Row],[SKU]],TablaINVENTARIO[SKU],TablaINVENTARIO[DPTO RESPONSABLE])</f>
        <v>OPERACIONES</v>
      </c>
      <c r="L1035" s="53">
        <f>_xlfn.XLOOKUP(TablaSTOCKINV[[#This Row],[SKU]],TablaINVENTARIO[SKU],TablaINVENTARIO[RANGO MIN])</f>
        <v>0</v>
      </c>
      <c r="M1035" s="34" cm="1">
        <f t="array" ref="M1035">_xlfn.IFS(TablaSTOCKINV[[#This Row],[CANT. TOTAL]]&lt;=0,1,TablaSTOCKINV[[#This Row],[CANT. TOTAL]]&lt;=TablaSTOCKINV[[#This Row],[MIN]],2,TablaSTOCKINV[[#This Row],[CANT. TOTAL]]&gt;TablaSTOCKINV[[#This Row],[MIN]],3)</f>
        <v>3</v>
      </c>
      <c r="N1035" s="34">
        <f>TablaSTOCKINV[[#This Row],[ENTRADAS]]-TablaSTOCKINV[[#This Row],[SALIDAS]]</f>
        <v>1</v>
      </c>
      <c r="O1035" s="35">
        <f>SUMIFS(TablaENTRADA[CANT],TablaENTRADA[SKU],TablaSTOCKINV[[#This Row],[SKU]])</f>
        <v>1</v>
      </c>
      <c r="P1035" s="35">
        <f>SUMIFS(TablaSALIDA[CANT],TablaSALIDA[SKU],TablaSTOCKINV[[#This Row],[SKU]])</f>
        <v>0</v>
      </c>
      <c r="Q1035" s="34">
        <f>_xlfn.XLOOKUP(TablaSTOCKINV[[#This Row],[SKU]],TablaINVENTARIO[SKU],TablaINVENTARIO[PRECIO])</f>
        <v>0</v>
      </c>
      <c r="R1035" s="34">
        <f>TablaSTOCKINV[[#This Row],[P.UNITARIO]]*TablaSTOCKINV[[#This Row],[CANT. TOTAL]]</f>
        <v>0</v>
      </c>
      <c r="S1035" s="44">
        <f>_xlfn.XLOOKUP(TablaSTOCKINV[[#This Row],[SKU]],TablaINVENTARIO[SKU],TablaINVENTARIO[FECHA INGRESO])</f>
        <v>46023</v>
      </c>
      <c r="T1035" s="44">
        <f>_xlfn.XLOOKUP(TablaSTOCKINV[[#This Row],[SKU]],TablaENTRADA[SKU],TablaENTRADA[FECHA],,0,-1)</f>
        <v>46023</v>
      </c>
      <c r="U1035" s="46" t="str">
        <f>IFERROR((_xlfn.XLOOKUP(TablaSTOCKINV[[#This Row],[SKU]],TablaSALIDA[SKU],TablaSALIDA[FECHA],,0,-1))," " )</f>
        <v xml:space="preserve"> </v>
      </c>
    </row>
    <row r="1036" spans="1:21" x14ac:dyDescent="0.3">
      <c r="A1036" s="27" t="s">
        <v>1158</v>
      </c>
      <c r="B1036" s="32" t="str">
        <f>_xlfn.XLOOKUP(TablaSTOCKINV[[#This Row],[SKU]],TablaINVENTARIO[SKU],TablaINVENTARIO[DESCRIPCION])</f>
        <v>BREAKER TRIFASICO MODELO: EBC50</v>
      </c>
      <c r="C1036" s="32" t="str">
        <f>_xlfn.XLOOKUP(TablaSTOCKINV[[#This Row],[SKU]],TablaINVENTARIO[SKU],TablaINVENTARIO[MARCA])</f>
        <v>CHNT</v>
      </c>
      <c r="D1036" s="33" t="str">
        <f>_xlfn.XLOOKUP(TablaSTOCKINV[[#This Row],[SKU]],TablaINVENTARIO[SKU],TablaINVENTARIO[CATEGORIA])</f>
        <v>FABRICACION</v>
      </c>
      <c r="E1036" s="33" t="str">
        <f>_xlfn.XLOOKUP(TablaSTOCKINV[[#This Row],[SKU]],TablaINVENTARIO[SKU],TablaINVENTARIO[SUBCATEGORIA])</f>
        <v>MARTERIAL ELECTRONICO</v>
      </c>
      <c r="F1036" s="33" t="str">
        <f>_xlfn.XLOOKUP(TablaSTOCKINV[[#This Row],[SKU]],TablaINVENTARIO[SKU],TablaINVENTARIO[ESTADO])</f>
        <v>USADO</v>
      </c>
      <c r="G1036" s="33" t="str">
        <f>_xlfn.XLOOKUP(TablaSTOCKINV[[#This Row],[SKU]],TablaINVENTARIO[SKU],TablaINVENTARIO[MEDIDA])</f>
        <v>UND</v>
      </c>
      <c r="H1036" s="33" t="str">
        <f>_xlfn.XLOOKUP(TablaSTOCKINV[[#This Row],[SKU]],TablaINVENTARIO[SKU],TablaINVENTARIO[SERIAL])</f>
        <v>N/A</v>
      </c>
      <c r="I1036" s="34">
        <f>_xlfn.XLOOKUP(TablaSTOCKINV[[#This Row],[SKU]],TablaINVENTARIO[SKU],TablaINVENTARIO[ALMACEN])</f>
        <v>0</v>
      </c>
      <c r="J1036" s="34" t="str">
        <f>_xlfn.XLOOKUP(TablaSTOCKINV[[#This Row],[SKU]],TablaINVENTARIO[SKU],TablaINVENTARIO[UBICACION])</f>
        <v>3A</v>
      </c>
      <c r="K1036" s="34" t="str">
        <f>_xlfn.XLOOKUP(TablaSTOCKINV[[#This Row],[SKU]],TablaINVENTARIO[SKU],TablaINVENTARIO[DPTO RESPONSABLE])</f>
        <v>OPERACIONES</v>
      </c>
      <c r="L1036" s="53">
        <f>_xlfn.XLOOKUP(TablaSTOCKINV[[#This Row],[SKU]],TablaINVENTARIO[SKU],TablaINVENTARIO[RANGO MIN])</f>
        <v>0</v>
      </c>
      <c r="M1036" s="34" cm="1">
        <f t="array" ref="M1036">_xlfn.IFS(TablaSTOCKINV[[#This Row],[CANT. TOTAL]]&lt;=0,1,TablaSTOCKINV[[#This Row],[CANT. TOTAL]]&lt;=TablaSTOCKINV[[#This Row],[MIN]],2,TablaSTOCKINV[[#This Row],[CANT. TOTAL]]&gt;TablaSTOCKINV[[#This Row],[MIN]],3)</f>
        <v>3</v>
      </c>
      <c r="N1036" s="34">
        <f>TablaSTOCKINV[[#This Row],[ENTRADAS]]-TablaSTOCKINV[[#This Row],[SALIDAS]]</f>
        <v>2</v>
      </c>
      <c r="O1036" s="35">
        <f>SUMIFS(TablaENTRADA[CANT],TablaENTRADA[SKU],TablaSTOCKINV[[#This Row],[SKU]])</f>
        <v>2</v>
      </c>
      <c r="P1036" s="35">
        <f>SUMIFS(TablaSALIDA[CANT],TablaSALIDA[SKU],TablaSTOCKINV[[#This Row],[SKU]])</f>
        <v>0</v>
      </c>
      <c r="Q1036" s="34">
        <f>_xlfn.XLOOKUP(TablaSTOCKINV[[#This Row],[SKU]],TablaINVENTARIO[SKU],TablaINVENTARIO[PRECIO])</f>
        <v>0</v>
      </c>
      <c r="R1036" s="34">
        <f>TablaSTOCKINV[[#This Row],[P.UNITARIO]]*TablaSTOCKINV[[#This Row],[CANT. TOTAL]]</f>
        <v>0</v>
      </c>
      <c r="S1036" s="44">
        <f>_xlfn.XLOOKUP(TablaSTOCKINV[[#This Row],[SKU]],TablaINVENTARIO[SKU],TablaINVENTARIO[FECHA INGRESO])</f>
        <v>46023</v>
      </c>
      <c r="T1036" s="44">
        <f>_xlfn.XLOOKUP(TablaSTOCKINV[[#This Row],[SKU]],TablaENTRADA[SKU],TablaENTRADA[FECHA],,0,-1)</f>
        <v>46023</v>
      </c>
      <c r="U1036" s="46" t="str">
        <f>IFERROR((_xlfn.XLOOKUP(TablaSTOCKINV[[#This Row],[SKU]],TablaSALIDA[SKU],TablaSALIDA[FECHA],,0,-1))," " )</f>
        <v xml:space="preserve"> </v>
      </c>
    </row>
    <row r="1037" spans="1:21" x14ac:dyDescent="0.3">
      <c r="A1037" s="27" t="s">
        <v>1161</v>
      </c>
      <c r="B1037" s="32" t="str">
        <f>_xlfn.XLOOKUP(TablaSTOCKINV[[#This Row],[SKU]],TablaINVENTARIO[SKU],TablaINVENTARIO[DESCRIPCION])</f>
        <v>CONVERTIDOR OPTICO RS-232 A RS-422/485 MODELO: 485LDRC9</v>
      </c>
      <c r="C1037" s="32" t="str">
        <f>_xlfn.XLOOKUP(TablaSTOCKINV[[#This Row],[SKU]],TablaINVENTARIO[SKU],TablaINVENTARIO[MARCA])</f>
        <v xml:space="preserve">B&amp;B ELECTRONICS </v>
      </c>
      <c r="D1037" s="33" t="str">
        <f>_xlfn.XLOOKUP(TablaSTOCKINV[[#This Row],[SKU]],TablaINVENTARIO[SKU],TablaINVENTARIO[CATEGORIA])</f>
        <v>FABRICACION</v>
      </c>
      <c r="E1037" s="33" t="str">
        <f>_xlfn.XLOOKUP(TablaSTOCKINV[[#This Row],[SKU]],TablaINVENTARIO[SKU],TablaINVENTARIO[SUBCATEGORIA])</f>
        <v>MARTERIAL ELECTRONICO</v>
      </c>
      <c r="F1037" s="33" t="str">
        <f>_xlfn.XLOOKUP(TablaSTOCKINV[[#This Row],[SKU]],TablaINVENTARIO[SKU],TablaINVENTARIO[ESTADO])</f>
        <v xml:space="preserve">NUEVO </v>
      </c>
      <c r="G1037" s="33" t="str">
        <f>_xlfn.XLOOKUP(TablaSTOCKINV[[#This Row],[SKU]],TablaINVENTARIO[SKU],TablaINVENTARIO[MEDIDA])</f>
        <v>UND</v>
      </c>
      <c r="H1037" s="33" t="str">
        <f>_xlfn.XLOOKUP(TablaSTOCKINV[[#This Row],[SKU]],TablaINVENTARIO[SKU],TablaINVENTARIO[SERIAL])</f>
        <v>N/A</v>
      </c>
      <c r="I1037" s="34">
        <f>_xlfn.XLOOKUP(TablaSTOCKINV[[#This Row],[SKU]],TablaINVENTARIO[SKU],TablaINVENTARIO[ALMACEN])</f>
        <v>0</v>
      </c>
      <c r="J1037" s="34" t="str">
        <f>_xlfn.XLOOKUP(TablaSTOCKINV[[#This Row],[SKU]],TablaINVENTARIO[SKU],TablaINVENTARIO[UBICACION])</f>
        <v>3A</v>
      </c>
      <c r="K1037" s="34" t="str">
        <f>_xlfn.XLOOKUP(TablaSTOCKINV[[#This Row],[SKU]],TablaINVENTARIO[SKU],TablaINVENTARIO[DPTO RESPONSABLE])</f>
        <v>OPERACIONES</v>
      </c>
      <c r="L1037" s="53">
        <f>_xlfn.XLOOKUP(TablaSTOCKINV[[#This Row],[SKU]],TablaINVENTARIO[SKU],TablaINVENTARIO[RANGO MIN])</f>
        <v>0</v>
      </c>
      <c r="M1037" s="34" cm="1">
        <f t="array" ref="M1037">_xlfn.IFS(TablaSTOCKINV[[#This Row],[CANT. TOTAL]]&lt;=0,1,TablaSTOCKINV[[#This Row],[CANT. TOTAL]]&lt;=TablaSTOCKINV[[#This Row],[MIN]],2,TablaSTOCKINV[[#This Row],[CANT. TOTAL]]&gt;TablaSTOCKINV[[#This Row],[MIN]],3)</f>
        <v>3</v>
      </c>
      <c r="N1037" s="34">
        <f>TablaSTOCKINV[[#This Row],[ENTRADAS]]-TablaSTOCKINV[[#This Row],[SALIDAS]]</f>
        <v>2</v>
      </c>
      <c r="O1037" s="35">
        <f>SUMIFS(TablaENTRADA[CANT],TablaENTRADA[SKU],TablaSTOCKINV[[#This Row],[SKU]])</f>
        <v>2</v>
      </c>
      <c r="P1037" s="35">
        <f>SUMIFS(TablaSALIDA[CANT],TablaSALIDA[SKU],TablaSTOCKINV[[#This Row],[SKU]])</f>
        <v>0</v>
      </c>
      <c r="Q1037" s="34">
        <f>_xlfn.XLOOKUP(TablaSTOCKINV[[#This Row],[SKU]],TablaINVENTARIO[SKU],TablaINVENTARIO[PRECIO])</f>
        <v>0</v>
      </c>
      <c r="R1037" s="34">
        <f>TablaSTOCKINV[[#This Row],[P.UNITARIO]]*TablaSTOCKINV[[#This Row],[CANT. TOTAL]]</f>
        <v>0</v>
      </c>
      <c r="S1037" s="44">
        <f>_xlfn.XLOOKUP(TablaSTOCKINV[[#This Row],[SKU]],TablaINVENTARIO[SKU],TablaINVENTARIO[FECHA INGRESO])</f>
        <v>46023</v>
      </c>
      <c r="T1037" s="44">
        <f>_xlfn.XLOOKUP(TablaSTOCKINV[[#This Row],[SKU]],TablaENTRADA[SKU],TablaENTRADA[FECHA],,0,-1)</f>
        <v>46023</v>
      </c>
      <c r="U1037" s="46" t="str">
        <f>IFERROR((_xlfn.XLOOKUP(TablaSTOCKINV[[#This Row],[SKU]],TablaSALIDA[SKU],TablaSALIDA[FECHA],,0,-1))," " )</f>
        <v xml:space="preserve"> </v>
      </c>
    </row>
    <row r="1038" spans="1:21" x14ac:dyDescent="0.3">
      <c r="A1038" s="27" t="s">
        <v>1164</v>
      </c>
      <c r="B1038" s="32" t="str">
        <f>_xlfn.XLOOKUP(TablaSTOCKINV[[#This Row],[SKU]],TablaINVENTARIO[SKU],TablaINVENTARIO[DESCRIPCION])</f>
        <v>BARRERA DE SEGURIDAD MODELO: INTRINSPAK 9001/01-280-280-101</v>
      </c>
      <c r="C1038" s="32" t="str">
        <f>_xlfn.XLOOKUP(TablaSTOCKINV[[#This Row],[SKU]],TablaINVENTARIO[SKU],TablaINVENTARIO[MARCA])</f>
        <v>R.STAHL</v>
      </c>
      <c r="D1038" s="33" t="str">
        <f>_xlfn.XLOOKUP(TablaSTOCKINV[[#This Row],[SKU]],TablaINVENTARIO[SKU],TablaINVENTARIO[CATEGORIA])</f>
        <v>FABRICACION</v>
      </c>
      <c r="E1038" s="33" t="str">
        <f>_xlfn.XLOOKUP(TablaSTOCKINV[[#This Row],[SKU]],TablaINVENTARIO[SKU],TablaINVENTARIO[SUBCATEGORIA])</f>
        <v>MARTERIAL ELECTRONICO</v>
      </c>
      <c r="F1038" s="33" t="str">
        <f>_xlfn.XLOOKUP(TablaSTOCKINV[[#This Row],[SKU]],TablaINVENTARIO[SKU],TablaINVENTARIO[ESTADO])</f>
        <v xml:space="preserve">NUEVO </v>
      </c>
      <c r="G1038" s="33" t="str">
        <f>_xlfn.XLOOKUP(TablaSTOCKINV[[#This Row],[SKU]],TablaINVENTARIO[SKU],TablaINVENTARIO[MEDIDA])</f>
        <v>UND</v>
      </c>
      <c r="H1038" s="33" t="str">
        <f>_xlfn.XLOOKUP(TablaSTOCKINV[[#This Row],[SKU]],TablaINVENTARIO[SKU],TablaINVENTARIO[SERIAL])</f>
        <v>N/A</v>
      </c>
      <c r="I1038" s="34">
        <f>_xlfn.XLOOKUP(TablaSTOCKINV[[#This Row],[SKU]],TablaINVENTARIO[SKU],TablaINVENTARIO[ALMACEN])</f>
        <v>0</v>
      </c>
      <c r="J1038" s="34" t="str">
        <f>_xlfn.XLOOKUP(TablaSTOCKINV[[#This Row],[SKU]],TablaINVENTARIO[SKU],TablaINVENTARIO[UBICACION])</f>
        <v>3A</v>
      </c>
      <c r="K1038" s="34" t="str">
        <f>_xlfn.XLOOKUP(TablaSTOCKINV[[#This Row],[SKU]],TablaINVENTARIO[SKU],TablaINVENTARIO[DPTO RESPONSABLE])</f>
        <v>OPERACIONES</v>
      </c>
      <c r="L1038" s="53">
        <f>_xlfn.XLOOKUP(TablaSTOCKINV[[#This Row],[SKU]],TablaINVENTARIO[SKU],TablaINVENTARIO[RANGO MIN])</f>
        <v>0</v>
      </c>
      <c r="M1038" s="34" cm="1">
        <f t="array" ref="M1038">_xlfn.IFS(TablaSTOCKINV[[#This Row],[CANT. TOTAL]]&lt;=0,1,TablaSTOCKINV[[#This Row],[CANT. TOTAL]]&lt;=TablaSTOCKINV[[#This Row],[MIN]],2,TablaSTOCKINV[[#This Row],[CANT. TOTAL]]&gt;TablaSTOCKINV[[#This Row],[MIN]],3)</f>
        <v>3</v>
      </c>
      <c r="N1038" s="34">
        <f>TablaSTOCKINV[[#This Row],[ENTRADAS]]-TablaSTOCKINV[[#This Row],[SALIDAS]]</f>
        <v>3</v>
      </c>
      <c r="O1038" s="35">
        <f>SUMIFS(TablaENTRADA[CANT],TablaENTRADA[SKU],TablaSTOCKINV[[#This Row],[SKU]])</f>
        <v>3</v>
      </c>
      <c r="P1038" s="35">
        <f>SUMIFS(TablaSALIDA[CANT],TablaSALIDA[SKU],TablaSTOCKINV[[#This Row],[SKU]])</f>
        <v>0</v>
      </c>
      <c r="Q1038" s="34">
        <f>_xlfn.XLOOKUP(TablaSTOCKINV[[#This Row],[SKU]],TablaINVENTARIO[SKU],TablaINVENTARIO[PRECIO])</f>
        <v>0</v>
      </c>
      <c r="R1038" s="34">
        <f>TablaSTOCKINV[[#This Row],[P.UNITARIO]]*TablaSTOCKINV[[#This Row],[CANT. TOTAL]]</f>
        <v>0</v>
      </c>
      <c r="S1038" s="44">
        <f>_xlfn.XLOOKUP(TablaSTOCKINV[[#This Row],[SKU]],TablaINVENTARIO[SKU],TablaINVENTARIO[FECHA INGRESO])</f>
        <v>46023</v>
      </c>
      <c r="T1038" s="44">
        <f>_xlfn.XLOOKUP(TablaSTOCKINV[[#This Row],[SKU]],TablaENTRADA[SKU],TablaENTRADA[FECHA],,0,-1)</f>
        <v>46023</v>
      </c>
      <c r="U1038" s="46" t="str">
        <f>IFERROR((_xlfn.XLOOKUP(TablaSTOCKINV[[#This Row],[SKU]],TablaSALIDA[SKU],TablaSALIDA[FECHA],,0,-1))," " )</f>
        <v xml:space="preserve"> </v>
      </c>
    </row>
    <row r="1039" spans="1:21" x14ac:dyDescent="0.3">
      <c r="A1039" s="27" t="s">
        <v>1167</v>
      </c>
      <c r="B1039" s="32" t="str">
        <f>_xlfn.XLOOKUP(TablaSTOCKINV[[#This Row],[SKU]],TablaINVENTARIO[SKU],TablaINVENTARIO[DESCRIPCION])</f>
        <v>BARRERA DE SEGURIDAD MODELO: INTRINSPAK 9001/01-280-280-101</v>
      </c>
      <c r="C1039" s="32" t="str">
        <f>_xlfn.XLOOKUP(TablaSTOCKINV[[#This Row],[SKU]],TablaINVENTARIO[SKU],TablaINVENTARIO[MARCA])</f>
        <v>R.STAHL</v>
      </c>
      <c r="D1039" s="33" t="str">
        <f>_xlfn.XLOOKUP(TablaSTOCKINV[[#This Row],[SKU]],TablaINVENTARIO[SKU],TablaINVENTARIO[CATEGORIA])</f>
        <v>FABRICACION</v>
      </c>
      <c r="E1039" s="33" t="str">
        <f>_xlfn.XLOOKUP(TablaSTOCKINV[[#This Row],[SKU]],TablaINVENTARIO[SKU],TablaINVENTARIO[SUBCATEGORIA])</f>
        <v>MARTERIAL ELECTRONICO</v>
      </c>
      <c r="F1039" s="33" t="str">
        <f>_xlfn.XLOOKUP(TablaSTOCKINV[[#This Row],[SKU]],TablaINVENTARIO[SKU],TablaINVENTARIO[ESTADO])</f>
        <v>USADO</v>
      </c>
      <c r="G1039" s="33" t="str">
        <f>_xlfn.XLOOKUP(TablaSTOCKINV[[#This Row],[SKU]],TablaINVENTARIO[SKU],TablaINVENTARIO[MEDIDA])</f>
        <v>UND</v>
      </c>
      <c r="H1039" s="33" t="str">
        <f>_xlfn.XLOOKUP(TablaSTOCKINV[[#This Row],[SKU]],TablaINVENTARIO[SKU],TablaINVENTARIO[SERIAL])</f>
        <v>N/A</v>
      </c>
      <c r="I1039" s="34">
        <f>_xlfn.XLOOKUP(TablaSTOCKINV[[#This Row],[SKU]],TablaINVENTARIO[SKU],TablaINVENTARIO[ALMACEN])</f>
        <v>0</v>
      </c>
      <c r="J1039" s="34" t="str">
        <f>_xlfn.XLOOKUP(TablaSTOCKINV[[#This Row],[SKU]],TablaINVENTARIO[SKU],TablaINVENTARIO[UBICACION])</f>
        <v>3A</v>
      </c>
      <c r="K1039" s="34" t="str">
        <f>_xlfn.XLOOKUP(TablaSTOCKINV[[#This Row],[SKU]],TablaINVENTARIO[SKU],TablaINVENTARIO[DPTO RESPONSABLE])</f>
        <v>OPERACIONES</v>
      </c>
      <c r="L1039" s="53">
        <f>_xlfn.XLOOKUP(TablaSTOCKINV[[#This Row],[SKU]],TablaINVENTARIO[SKU],TablaINVENTARIO[RANGO MIN])</f>
        <v>0</v>
      </c>
      <c r="M1039" s="34" cm="1">
        <f t="array" ref="M1039">_xlfn.IFS(TablaSTOCKINV[[#This Row],[CANT. TOTAL]]&lt;=0,1,TablaSTOCKINV[[#This Row],[CANT. TOTAL]]&lt;=TablaSTOCKINV[[#This Row],[MIN]],2,TablaSTOCKINV[[#This Row],[CANT. TOTAL]]&gt;TablaSTOCKINV[[#This Row],[MIN]],3)</f>
        <v>3</v>
      </c>
      <c r="N1039" s="34">
        <f>TablaSTOCKINV[[#This Row],[ENTRADAS]]-TablaSTOCKINV[[#This Row],[SALIDAS]]</f>
        <v>10</v>
      </c>
      <c r="O1039" s="35">
        <f>SUMIFS(TablaENTRADA[CANT],TablaENTRADA[SKU],TablaSTOCKINV[[#This Row],[SKU]])</f>
        <v>10</v>
      </c>
      <c r="P1039" s="35">
        <f>SUMIFS(TablaSALIDA[CANT],TablaSALIDA[SKU],TablaSTOCKINV[[#This Row],[SKU]])</f>
        <v>0</v>
      </c>
      <c r="Q1039" s="34">
        <f>_xlfn.XLOOKUP(TablaSTOCKINV[[#This Row],[SKU]],TablaINVENTARIO[SKU],TablaINVENTARIO[PRECIO])</f>
        <v>0</v>
      </c>
      <c r="R1039" s="34">
        <f>TablaSTOCKINV[[#This Row],[P.UNITARIO]]*TablaSTOCKINV[[#This Row],[CANT. TOTAL]]</f>
        <v>0</v>
      </c>
      <c r="S1039" s="44">
        <f>_xlfn.XLOOKUP(TablaSTOCKINV[[#This Row],[SKU]],TablaINVENTARIO[SKU],TablaINVENTARIO[FECHA INGRESO])</f>
        <v>46023</v>
      </c>
      <c r="T1039" s="44">
        <f>_xlfn.XLOOKUP(TablaSTOCKINV[[#This Row],[SKU]],TablaENTRADA[SKU],TablaENTRADA[FECHA],,0,-1)</f>
        <v>46023</v>
      </c>
      <c r="U1039" s="46" t="str">
        <f>IFERROR((_xlfn.XLOOKUP(TablaSTOCKINV[[#This Row],[SKU]],TablaSALIDA[SKU],TablaSALIDA[FECHA],,0,-1))," " )</f>
        <v xml:space="preserve"> </v>
      </c>
    </row>
    <row r="1040" spans="1:21" x14ac:dyDescent="0.3">
      <c r="A1040" s="27" t="s">
        <v>1168</v>
      </c>
      <c r="B1040" s="32" t="str">
        <f>_xlfn.XLOOKUP(TablaSTOCKINV[[#This Row],[SKU]],TablaINVENTARIO[SKU],TablaINVENTARIO[DESCRIPCION])</f>
        <v>RELE DETECTOR DE PROXIMIDAD MODELO: 3012</v>
      </c>
      <c r="C1040" s="32" t="str">
        <f>_xlfn.XLOOKUP(TablaSTOCKINV[[#This Row],[SKU]],TablaINVENTARIO[SKU],TablaINVENTARIO[MARCA])</f>
        <v xml:space="preserve">MTL INSTRUMENTS </v>
      </c>
      <c r="D1040" s="33" t="str">
        <f>_xlfn.XLOOKUP(TablaSTOCKINV[[#This Row],[SKU]],TablaINVENTARIO[SKU],TablaINVENTARIO[CATEGORIA])</f>
        <v>FABRICACION</v>
      </c>
      <c r="E1040" s="33" t="str">
        <f>_xlfn.XLOOKUP(TablaSTOCKINV[[#This Row],[SKU]],TablaINVENTARIO[SKU],TablaINVENTARIO[SUBCATEGORIA])</f>
        <v>MARTERIAL ELECTRONICO</v>
      </c>
      <c r="F1040" s="33" t="str">
        <f>_xlfn.XLOOKUP(TablaSTOCKINV[[#This Row],[SKU]],TablaINVENTARIO[SKU],TablaINVENTARIO[ESTADO])</f>
        <v>USADO</v>
      </c>
      <c r="G1040" s="33" t="str">
        <f>_xlfn.XLOOKUP(TablaSTOCKINV[[#This Row],[SKU]],TablaINVENTARIO[SKU],TablaINVENTARIO[MEDIDA])</f>
        <v>UND</v>
      </c>
      <c r="H1040" s="33" t="str">
        <f>_xlfn.XLOOKUP(TablaSTOCKINV[[#This Row],[SKU]],TablaINVENTARIO[SKU],TablaINVENTARIO[SERIAL])</f>
        <v>N/A</v>
      </c>
      <c r="I1040" s="34">
        <f>_xlfn.XLOOKUP(TablaSTOCKINV[[#This Row],[SKU]],TablaINVENTARIO[SKU],TablaINVENTARIO[ALMACEN])</f>
        <v>0</v>
      </c>
      <c r="J1040" s="34" t="str">
        <f>_xlfn.XLOOKUP(TablaSTOCKINV[[#This Row],[SKU]],TablaINVENTARIO[SKU],TablaINVENTARIO[UBICACION])</f>
        <v>3A</v>
      </c>
      <c r="K1040" s="34" t="str">
        <f>_xlfn.XLOOKUP(TablaSTOCKINV[[#This Row],[SKU]],TablaINVENTARIO[SKU],TablaINVENTARIO[DPTO RESPONSABLE])</f>
        <v>OPERACIONES</v>
      </c>
      <c r="L1040" s="53">
        <f>_xlfn.XLOOKUP(TablaSTOCKINV[[#This Row],[SKU]],TablaINVENTARIO[SKU],TablaINVENTARIO[RANGO MIN])</f>
        <v>0</v>
      </c>
      <c r="M1040" s="34" cm="1">
        <f t="array" ref="M1040">_xlfn.IFS(TablaSTOCKINV[[#This Row],[CANT. TOTAL]]&lt;=0,1,TablaSTOCKINV[[#This Row],[CANT. TOTAL]]&lt;=TablaSTOCKINV[[#This Row],[MIN]],2,TablaSTOCKINV[[#This Row],[CANT. TOTAL]]&gt;TablaSTOCKINV[[#This Row],[MIN]],3)</f>
        <v>3</v>
      </c>
      <c r="N1040" s="34">
        <f>TablaSTOCKINV[[#This Row],[ENTRADAS]]-TablaSTOCKINV[[#This Row],[SALIDAS]]</f>
        <v>4</v>
      </c>
      <c r="O1040" s="35">
        <f>SUMIFS(TablaENTRADA[CANT],TablaENTRADA[SKU],TablaSTOCKINV[[#This Row],[SKU]])</f>
        <v>4</v>
      </c>
      <c r="P1040" s="35">
        <f>SUMIFS(TablaSALIDA[CANT],TablaSALIDA[SKU],TablaSTOCKINV[[#This Row],[SKU]])</f>
        <v>0</v>
      </c>
      <c r="Q1040" s="34">
        <f>_xlfn.XLOOKUP(TablaSTOCKINV[[#This Row],[SKU]],TablaINVENTARIO[SKU],TablaINVENTARIO[PRECIO])</f>
        <v>0</v>
      </c>
      <c r="R1040" s="34">
        <f>TablaSTOCKINV[[#This Row],[P.UNITARIO]]*TablaSTOCKINV[[#This Row],[CANT. TOTAL]]</f>
        <v>0</v>
      </c>
      <c r="S1040" s="44">
        <f>_xlfn.XLOOKUP(TablaSTOCKINV[[#This Row],[SKU]],TablaINVENTARIO[SKU],TablaINVENTARIO[FECHA INGRESO])</f>
        <v>46023</v>
      </c>
      <c r="T1040" s="44">
        <f>_xlfn.XLOOKUP(TablaSTOCKINV[[#This Row],[SKU]],TablaENTRADA[SKU],TablaENTRADA[FECHA],,0,-1)</f>
        <v>46023</v>
      </c>
      <c r="U1040" s="46" t="str">
        <f>IFERROR((_xlfn.XLOOKUP(TablaSTOCKINV[[#This Row],[SKU]],TablaSALIDA[SKU],TablaSALIDA[FECHA],,0,-1))," " )</f>
        <v xml:space="preserve"> </v>
      </c>
    </row>
    <row r="1041" spans="1:21" x14ac:dyDescent="0.3">
      <c r="A1041" s="27" t="s">
        <v>1171</v>
      </c>
      <c r="B1041" s="32" t="str">
        <f>_xlfn.XLOOKUP(TablaSTOCKINV[[#This Row],[SKU]],TablaINVENTARIO[SKU],TablaINVENTARIO[DESCRIPCION])</f>
        <v>FUENTE DE PODER 24VDC 5A MODELO: ABL8 REM24050</v>
      </c>
      <c r="C1041" s="32" t="str">
        <f>_xlfn.XLOOKUP(TablaSTOCKINV[[#This Row],[SKU]],TablaINVENTARIO[SKU],TablaINVENTARIO[MARCA])</f>
        <v xml:space="preserve">SCHNEIDER ELECTRIC </v>
      </c>
      <c r="D1041" s="33" t="str">
        <f>_xlfn.XLOOKUP(TablaSTOCKINV[[#This Row],[SKU]],TablaINVENTARIO[SKU],TablaINVENTARIO[CATEGORIA])</f>
        <v>FABRICACION</v>
      </c>
      <c r="E1041" s="33" t="str">
        <f>_xlfn.XLOOKUP(TablaSTOCKINV[[#This Row],[SKU]],TablaINVENTARIO[SKU],TablaINVENTARIO[SUBCATEGORIA])</f>
        <v>MARTERIAL ELECTRONICO</v>
      </c>
      <c r="F1041" s="33" t="str">
        <f>_xlfn.XLOOKUP(TablaSTOCKINV[[#This Row],[SKU]],TablaINVENTARIO[SKU],TablaINVENTARIO[ESTADO])</f>
        <v xml:space="preserve">NUEVO </v>
      </c>
      <c r="G1041" s="33" t="str">
        <f>_xlfn.XLOOKUP(TablaSTOCKINV[[#This Row],[SKU]],TablaINVENTARIO[SKU],TablaINVENTARIO[MEDIDA])</f>
        <v>UND</v>
      </c>
      <c r="H1041" s="33">
        <f>_xlfn.XLOOKUP(TablaSTOCKINV[[#This Row],[SKU]],TablaINVENTARIO[SKU],TablaINVENTARIO[SERIAL])</f>
        <v>82602</v>
      </c>
      <c r="I1041" s="34">
        <f>_xlfn.XLOOKUP(TablaSTOCKINV[[#This Row],[SKU]],TablaINVENTARIO[SKU],TablaINVENTARIO[ALMACEN])</f>
        <v>0</v>
      </c>
      <c r="J1041" s="34" t="str">
        <f>_xlfn.XLOOKUP(TablaSTOCKINV[[#This Row],[SKU]],TablaINVENTARIO[SKU],TablaINVENTARIO[UBICACION])</f>
        <v>3A</v>
      </c>
      <c r="K1041" s="34" t="str">
        <f>_xlfn.XLOOKUP(TablaSTOCKINV[[#This Row],[SKU]],TablaINVENTARIO[SKU],TablaINVENTARIO[DPTO RESPONSABLE])</f>
        <v>OPERACIONES</v>
      </c>
      <c r="L1041" s="53">
        <f>_xlfn.XLOOKUP(TablaSTOCKINV[[#This Row],[SKU]],TablaINVENTARIO[SKU],TablaINVENTARIO[RANGO MIN])</f>
        <v>0</v>
      </c>
      <c r="M1041" s="34" cm="1">
        <f t="array" ref="M1041">_xlfn.IFS(TablaSTOCKINV[[#This Row],[CANT. TOTAL]]&lt;=0,1,TablaSTOCKINV[[#This Row],[CANT. TOTAL]]&lt;=TablaSTOCKINV[[#This Row],[MIN]],2,TablaSTOCKINV[[#This Row],[CANT. TOTAL]]&gt;TablaSTOCKINV[[#This Row],[MIN]],3)</f>
        <v>3</v>
      </c>
      <c r="N1041" s="34">
        <f>TablaSTOCKINV[[#This Row],[ENTRADAS]]-TablaSTOCKINV[[#This Row],[SALIDAS]]</f>
        <v>1</v>
      </c>
      <c r="O1041" s="35">
        <f>SUMIFS(TablaENTRADA[CANT],TablaENTRADA[SKU],TablaSTOCKINV[[#This Row],[SKU]])</f>
        <v>1</v>
      </c>
      <c r="P1041" s="35">
        <f>SUMIFS(TablaSALIDA[CANT],TablaSALIDA[SKU],TablaSTOCKINV[[#This Row],[SKU]])</f>
        <v>0</v>
      </c>
      <c r="Q1041" s="34">
        <f>_xlfn.XLOOKUP(TablaSTOCKINV[[#This Row],[SKU]],TablaINVENTARIO[SKU],TablaINVENTARIO[PRECIO])</f>
        <v>0</v>
      </c>
      <c r="R1041" s="34">
        <f>TablaSTOCKINV[[#This Row],[P.UNITARIO]]*TablaSTOCKINV[[#This Row],[CANT. TOTAL]]</f>
        <v>0</v>
      </c>
      <c r="S1041" s="44">
        <f>_xlfn.XLOOKUP(TablaSTOCKINV[[#This Row],[SKU]],TablaINVENTARIO[SKU],TablaINVENTARIO[FECHA INGRESO])</f>
        <v>46023</v>
      </c>
      <c r="T1041" s="44">
        <f>_xlfn.XLOOKUP(TablaSTOCKINV[[#This Row],[SKU]],TablaENTRADA[SKU],TablaENTRADA[FECHA],,0,-1)</f>
        <v>46023</v>
      </c>
      <c r="U1041" s="46" t="str">
        <f>IFERROR((_xlfn.XLOOKUP(TablaSTOCKINV[[#This Row],[SKU]],TablaSALIDA[SKU],TablaSALIDA[FECHA],,0,-1))," " )</f>
        <v xml:space="preserve"> </v>
      </c>
    </row>
    <row r="1042" spans="1:21" x14ac:dyDescent="0.3">
      <c r="A1042" s="27" t="s">
        <v>1174</v>
      </c>
      <c r="B1042" s="32" t="str">
        <f>_xlfn.XLOOKUP(TablaSTOCKINV[[#This Row],[SKU]],TablaINVENTARIO[SKU],TablaINVENTARIO[DESCRIPCION])</f>
        <v>DISPOSITIVO DE PROTECCION SOBRETENCIONES (PC) MODELO: JLSP-DC85/40</v>
      </c>
      <c r="C1042" s="32" t="str">
        <f>_xlfn.XLOOKUP(TablaSTOCKINV[[#This Row],[SKU]],TablaINVENTARIO[SKU],TablaINVENTARIO[MARCA])</f>
        <v>JINLI</v>
      </c>
      <c r="D1042" s="33" t="str">
        <f>_xlfn.XLOOKUP(TablaSTOCKINV[[#This Row],[SKU]],TablaINVENTARIO[SKU],TablaINVENTARIO[CATEGORIA])</f>
        <v>FABRICACION</v>
      </c>
      <c r="E1042" s="33" t="str">
        <f>_xlfn.XLOOKUP(TablaSTOCKINV[[#This Row],[SKU]],TablaINVENTARIO[SKU],TablaINVENTARIO[SUBCATEGORIA])</f>
        <v>MARTERIAL ELECTRONICO</v>
      </c>
      <c r="F1042" s="33" t="str">
        <f>_xlfn.XLOOKUP(TablaSTOCKINV[[#This Row],[SKU]],TablaINVENTARIO[SKU],TablaINVENTARIO[ESTADO])</f>
        <v xml:space="preserve">NUEVO </v>
      </c>
      <c r="G1042" s="33" t="str">
        <f>_xlfn.XLOOKUP(TablaSTOCKINV[[#This Row],[SKU]],TablaINVENTARIO[SKU],TablaINVENTARIO[MEDIDA])</f>
        <v>UND</v>
      </c>
      <c r="H1042" s="33" t="str">
        <f>_xlfn.XLOOKUP(TablaSTOCKINV[[#This Row],[SKU]],TablaINVENTARIO[SKU],TablaINVENTARIO[SERIAL])</f>
        <v>M0024679003</v>
      </c>
      <c r="I1042" s="34">
        <f>_xlfn.XLOOKUP(TablaSTOCKINV[[#This Row],[SKU]],TablaINVENTARIO[SKU],TablaINVENTARIO[ALMACEN])</f>
        <v>0</v>
      </c>
      <c r="J1042" s="34" t="str">
        <f>_xlfn.XLOOKUP(TablaSTOCKINV[[#This Row],[SKU]],TablaINVENTARIO[SKU],TablaINVENTARIO[UBICACION])</f>
        <v>3A</v>
      </c>
      <c r="K1042" s="34" t="str">
        <f>_xlfn.XLOOKUP(TablaSTOCKINV[[#This Row],[SKU]],TablaINVENTARIO[SKU],TablaINVENTARIO[DPTO RESPONSABLE])</f>
        <v>OPERACIONES</v>
      </c>
      <c r="L1042" s="53">
        <f>_xlfn.XLOOKUP(TablaSTOCKINV[[#This Row],[SKU]],TablaINVENTARIO[SKU],TablaINVENTARIO[RANGO MIN])</f>
        <v>0</v>
      </c>
      <c r="M1042" s="34" cm="1">
        <f t="array" ref="M1042">_xlfn.IFS(TablaSTOCKINV[[#This Row],[CANT. TOTAL]]&lt;=0,1,TablaSTOCKINV[[#This Row],[CANT. TOTAL]]&lt;=TablaSTOCKINV[[#This Row],[MIN]],2,TablaSTOCKINV[[#This Row],[CANT. TOTAL]]&gt;TablaSTOCKINV[[#This Row],[MIN]],3)</f>
        <v>3</v>
      </c>
      <c r="N1042" s="34">
        <f>TablaSTOCKINV[[#This Row],[ENTRADAS]]-TablaSTOCKINV[[#This Row],[SALIDAS]]</f>
        <v>1</v>
      </c>
      <c r="O1042" s="35">
        <f>SUMIFS(TablaENTRADA[CANT],TablaENTRADA[SKU],TablaSTOCKINV[[#This Row],[SKU]])</f>
        <v>1</v>
      </c>
      <c r="P1042" s="35">
        <f>SUMIFS(TablaSALIDA[CANT],TablaSALIDA[SKU],TablaSTOCKINV[[#This Row],[SKU]])</f>
        <v>0</v>
      </c>
      <c r="Q1042" s="34">
        <f>_xlfn.XLOOKUP(TablaSTOCKINV[[#This Row],[SKU]],TablaINVENTARIO[SKU],TablaINVENTARIO[PRECIO])</f>
        <v>0</v>
      </c>
      <c r="R1042" s="34">
        <f>TablaSTOCKINV[[#This Row],[P.UNITARIO]]*TablaSTOCKINV[[#This Row],[CANT. TOTAL]]</f>
        <v>0</v>
      </c>
      <c r="S1042" s="44">
        <f>_xlfn.XLOOKUP(TablaSTOCKINV[[#This Row],[SKU]],TablaINVENTARIO[SKU],TablaINVENTARIO[FECHA INGRESO])</f>
        <v>46023</v>
      </c>
      <c r="T1042" s="44">
        <f>_xlfn.XLOOKUP(TablaSTOCKINV[[#This Row],[SKU]],TablaENTRADA[SKU],TablaENTRADA[FECHA],,0,-1)</f>
        <v>46023</v>
      </c>
      <c r="U1042" s="46" t="str">
        <f>IFERROR((_xlfn.XLOOKUP(TablaSTOCKINV[[#This Row],[SKU]],TablaSALIDA[SKU],TablaSALIDA[FECHA],,0,-1))," " )</f>
        <v xml:space="preserve"> </v>
      </c>
    </row>
    <row r="1043" spans="1:21" x14ac:dyDescent="0.3">
      <c r="A1043" s="27" t="s">
        <v>1178</v>
      </c>
      <c r="B1043" s="32" t="str">
        <f>_xlfn.XLOOKUP(TablaSTOCKINV[[#This Row],[SKU]],TablaINVENTARIO[SKU],TablaINVENTARIO[DESCRIPCION])</f>
        <v>BARRERA DE SEGURIDAD DE DIODO SHUNT (BARRERA ZENER) MODELO: MTL710T</v>
      </c>
      <c r="C1043" s="32" t="str">
        <f>_xlfn.XLOOKUP(TablaSTOCKINV[[#This Row],[SKU]],TablaINVENTARIO[SKU],TablaINVENTARIO[MARCA])</f>
        <v>MTL</v>
      </c>
      <c r="D1043" s="33" t="str">
        <f>_xlfn.XLOOKUP(TablaSTOCKINV[[#This Row],[SKU]],TablaINVENTARIO[SKU],TablaINVENTARIO[CATEGORIA])</f>
        <v>FABRICACION</v>
      </c>
      <c r="E1043" s="33" t="str">
        <f>_xlfn.XLOOKUP(TablaSTOCKINV[[#This Row],[SKU]],TablaINVENTARIO[SKU],TablaINVENTARIO[SUBCATEGORIA])</f>
        <v>MARTERIAL ELECTRONICO</v>
      </c>
      <c r="F1043" s="33" t="str">
        <f>_xlfn.XLOOKUP(TablaSTOCKINV[[#This Row],[SKU]],TablaINVENTARIO[SKU],TablaINVENTARIO[ESTADO])</f>
        <v xml:space="preserve">NUEVO </v>
      </c>
      <c r="G1043" s="33" t="str">
        <f>_xlfn.XLOOKUP(TablaSTOCKINV[[#This Row],[SKU]],TablaINVENTARIO[SKU],TablaINVENTARIO[MEDIDA])</f>
        <v>UND</v>
      </c>
      <c r="H1043" s="33" t="str">
        <f>_xlfn.XLOOKUP(TablaSTOCKINV[[#This Row],[SKU]],TablaINVENTARIO[SKU],TablaINVENTARIO[SERIAL])</f>
        <v>N/A</v>
      </c>
      <c r="I1043" s="34">
        <f>_xlfn.XLOOKUP(TablaSTOCKINV[[#This Row],[SKU]],TablaINVENTARIO[SKU],TablaINVENTARIO[ALMACEN])</f>
        <v>0</v>
      </c>
      <c r="J1043" s="34" t="str">
        <f>_xlfn.XLOOKUP(TablaSTOCKINV[[#This Row],[SKU]],TablaINVENTARIO[SKU],TablaINVENTARIO[UBICACION])</f>
        <v>3A</v>
      </c>
      <c r="K1043" s="34" t="str">
        <f>_xlfn.XLOOKUP(TablaSTOCKINV[[#This Row],[SKU]],TablaINVENTARIO[SKU],TablaINVENTARIO[DPTO RESPONSABLE])</f>
        <v>OPERACIONES</v>
      </c>
      <c r="L1043" s="53">
        <f>_xlfn.XLOOKUP(TablaSTOCKINV[[#This Row],[SKU]],TablaINVENTARIO[SKU],TablaINVENTARIO[RANGO MIN])</f>
        <v>0</v>
      </c>
      <c r="M1043" s="34" cm="1">
        <f t="array" ref="M1043">_xlfn.IFS(TablaSTOCKINV[[#This Row],[CANT. TOTAL]]&lt;=0,1,TablaSTOCKINV[[#This Row],[CANT. TOTAL]]&lt;=TablaSTOCKINV[[#This Row],[MIN]],2,TablaSTOCKINV[[#This Row],[CANT. TOTAL]]&gt;TablaSTOCKINV[[#This Row],[MIN]],3)</f>
        <v>3</v>
      </c>
      <c r="N1043" s="34">
        <f>TablaSTOCKINV[[#This Row],[ENTRADAS]]-TablaSTOCKINV[[#This Row],[SALIDAS]]</f>
        <v>2</v>
      </c>
      <c r="O1043" s="35">
        <f>SUMIFS(TablaENTRADA[CANT],TablaENTRADA[SKU],TablaSTOCKINV[[#This Row],[SKU]])</f>
        <v>2</v>
      </c>
      <c r="P1043" s="35">
        <f>SUMIFS(TablaSALIDA[CANT],TablaSALIDA[SKU],TablaSTOCKINV[[#This Row],[SKU]])</f>
        <v>0</v>
      </c>
      <c r="Q1043" s="34">
        <f>_xlfn.XLOOKUP(TablaSTOCKINV[[#This Row],[SKU]],TablaINVENTARIO[SKU],TablaINVENTARIO[PRECIO])</f>
        <v>0</v>
      </c>
      <c r="R1043" s="34">
        <f>TablaSTOCKINV[[#This Row],[P.UNITARIO]]*TablaSTOCKINV[[#This Row],[CANT. TOTAL]]</f>
        <v>0</v>
      </c>
      <c r="S1043" s="44">
        <f>_xlfn.XLOOKUP(TablaSTOCKINV[[#This Row],[SKU]],TablaINVENTARIO[SKU],TablaINVENTARIO[FECHA INGRESO])</f>
        <v>46023</v>
      </c>
      <c r="T1043" s="44">
        <f>_xlfn.XLOOKUP(TablaSTOCKINV[[#This Row],[SKU]],TablaENTRADA[SKU],TablaENTRADA[FECHA],,0,-1)</f>
        <v>46023</v>
      </c>
      <c r="U1043" s="46" t="str">
        <f>IFERROR((_xlfn.XLOOKUP(TablaSTOCKINV[[#This Row],[SKU]],TablaSALIDA[SKU],TablaSALIDA[FECHA],,0,-1))," " )</f>
        <v xml:space="preserve"> </v>
      </c>
    </row>
    <row r="1044" spans="1:21" x14ac:dyDescent="0.3">
      <c r="A1044" s="27" t="s">
        <v>1181</v>
      </c>
      <c r="B1044" s="32" t="str">
        <f>_xlfn.XLOOKUP(TablaSTOCKINV[[#This Row],[SKU]],TablaINVENTARIO[SKU],TablaINVENTARIO[DESCRIPCION])</f>
        <v>BARRERA DE SEGURIDAD DE DIODO SHUNT (BARRERA ZENER) MODELO: MTL710T</v>
      </c>
      <c r="C1044" s="32" t="str">
        <f>_xlfn.XLOOKUP(TablaSTOCKINV[[#This Row],[SKU]],TablaINVENTARIO[SKU],TablaINVENTARIO[MARCA])</f>
        <v>MTL</v>
      </c>
      <c r="D1044" s="33" t="str">
        <f>_xlfn.XLOOKUP(TablaSTOCKINV[[#This Row],[SKU]],TablaINVENTARIO[SKU],TablaINVENTARIO[CATEGORIA])</f>
        <v>FABRICACION</v>
      </c>
      <c r="E1044" s="33" t="str">
        <f>_xlfn.XLOOKUP(TablaSTOCKINV[[#This Row],[SKU]],TablaINVENTARIO[SKU],TablaINVENTARIO[SUBCATEGORIA])</f>
        <v>MARTERIAL ELECTRONICO</v>
      </c>
      <c r="F1044" s="33" t="str">
        <f>_xlfn.XLOOKUP(TablaSTOCKINV[[#This Row],[SKU]],TablaINVENTARIO[SKU],TablaINVENTARIO[ESTADO])</f>
        <v>USADO</v>
      </c>
      <c r="G1044" s="33" t="str">
        <f>_xlfn.XLOOKUP(TablaSTOCKINV[[#This Row],[SKU]],TablaINVENTARIO[SKU],TablaINVENTARIO[MEDIDA])</f>
        <v>UND</v>
      </c>
      <c r="H1044" s="33" t="str">
        <f>_xlfn.XLOOKUP(TablaSTOCKINV[[#This Row],[SKU]],TablaINVENTARIO[SKU],TablaINVENTARIO[SERIAL])</f>
        <v>N/A</v>
      </c>
      <c r="I1044" s="34">
        <f>_xlfn.XLOOKUP(TablaSTOCKINV[[#This Row],[SKU]],TablaINVENTARIO[SKU],TablaINVENTARIO[ALMACEN])</f>
        <v>0</v>
      </c>
      <c r="J1044" s="34" t="str">
        <f>_xlfn.XLOOKUP(TablaSTOCKINV[[#This Row],[SKU]],TablaINVENTARIO[SKU],TablaINVENTARIO[UBICACION])</f>
        <v>3A</v>
      </c>
      <c r="K1044" s="34" t="str">
        <f>_xlfn.XLOOKUP(TablaSTOCKINV[[#This Row],[SKU]],TablaINVENTARIO[SKU],TablaINVENTARIO[DPTO RESPONSABLE])</f>
        <v>OPERACIONES</v>
      </c>
      <c r="L1044" s="53">
        <f>_xlfn.XLOOKUP(TablaSTOCKINV[[#This Row],[SKU]],TablaINVENTARIO[SKU],TablaINVENTARIO[RANGO MIN])</f>
        <v>0</v>
      </c>
      <c r="M1044" s="34" cm="1">
        <f t="array" ref="M1044">_xlfn.IFS(TablaSTOCKINV[[#This Row],[CANT. TOTAL]]&lt;=0,1,TablaSTOCKINV[[#This Row],[CANT. TOTAL]]&lt;=TablaSTOCKINV[[#This Row],[MIN]],2,TablaSTOCKINV[[#This Row],[CANT. TOTAL]]&gt;TablaSTOCKINV[[#This Row],[MIN]],3)</f>
        <v>3</v>
      </c>
      <c r="N1044" s="34">
        <f>TablaSTOCKINV[[#This Row],[ENTRADAS]]-TablaSTOCKINV[[#This Row],[SALIDAS]]</f>
        <v>1</v>
      </c>
      <c r="O1044" s="35">
        <f>SUMIFS(TablaENTRADA[CANT],TablaENTRADA[SKU],TablaSTOCKINV[[#This Row],[SKU]])</f>
        <v>1</v>
      </c>
      <c r="P1044" s="35">
        <f>SUMIFS(TablaSALIDA[CANT],TablaSALIDA[SKU],TablaSTOCKINV[[#This Row],[SKU]])</f>
        <v>0</v>
      </c>
      <c r="Q1044" s="34">
        <f>_xlfn.XLOOKUP(TablaSTOCKINV[[#This Row],[SKU]],TablaINVENTARIO[SKU],TablaINVENTARIO[PRECIO])</f>
        <v>0</v>
      </c>
      <c r="R1044" s="34">
        <f>TablaSTOCKINV[[#This Row],[P.UNITARIO]]*TablaSTOCKINV[[#This Row],[CANT. TOTAL]]</f>
        <v>0</v>
      </c>
      <c r="S1044" s="44">
        <f>_xlfn.XLOOKUP(TablaSTOCKINV[[#This Row],[SKU]],TablaINVENTARIO[SKU],TablaINVENTARIO[FECHA INGRESO])</f>
        <v>46023</v>
      </c>
      <c r="T1044" s="44">
        <f>_xlfn.XLOOKUP(TablaSTOCKINV[[#This Row],[SKU]],TablaENTRADA[SKU],TablaENTRADA[FECHA],,0,-1)</f>
        <v>46023</v>
      </c>
      <c r="U1044" s="46" t="str">
        <f>IFERROR((_xlfn.XLOOKUP(TablaSTOCKINV[[#This Row],[SKU]],TablaSALIDA[SKU],TablaSALIDA[FECHA],,0,-1))," " )</f>
        <v xml:space="preserve"> </v>
      </c>
    </row>
    <row r="1045" spans="1:21" x14ac:dyDescent="0.3">
      <c r="A1045" s="27" t="s">
        <v>1182</v>
      </c>
      <c r="B1045" s="32" t="str">
        <f>_xlfn.XLOOKUP(TablaSTOCKINV[[#This Row],[SKU]],TablaINVENTARIO[SKU],TablaINVENTARIO[DESCRIPCION])</f>
        <v>BARRERA DE SEGURIDAD DE DIODO SHUNT (BARRERA ZENER) MODELO: MTL787ST</v>
      </c>
      <c r="C1045" s="32" t="str">
        <f>_xlfn.XLOOKUP(TablaSTOCKINV[[#This Row],[SKU]],TablaINVENTARIO[SKU],TablaINVENTARIO[MARCA])</f>
        <v>MTL</v>
      </c>
      <c r="D1045" s="33" t="str">
        <f>_xlfn.XLOOKUP(TablaSTOCKINV[[#This Row],[SKU]],TablaINVENTARIO[SKU],TablaINVENTARIO[CATEGORIA])</f>
        <v>FABRICACION</v>
      </c>
      <c r="E1045" s="33" t="str">
        <f>_xlfn.XLOOKUP(TablaSTOCKINV[[#This Row],[SKU]],TablaINVENTARIO[SKU],TablaINVENTARIO[SUBCATEGORIA])</f>
        <v>MARTERIAL ELECTRONICO</v>
      </c>
      <c r="F1045" s="33" t="str">
        <f>_xlfn.XLOOKUP(TablaSTOCKINV[[#This Row],[SKU]],TablaINVENTARIO[SKU],TablaINVENTARIO[ESTADO])</f>
        <v xml:space="preserve">NUEVO </v>
      </c>
      <c r="G1045" s="33" t="str">
        <f>_xlfn.XLOOKUP(TablaSTOCKINV[[#This Row],[SKU]],TablaINVENTARIO[SKU],TablaINVENTARIO[MEDIDA])</f>
        <v>UND</v>
      </c>
      <c r="H1045" s="33" t="str">
        <f>_xlfn.XLOOKUP(TablaSTOCKINV[[#This Row],[SKU]],TablaINVENTARIO[SKU],TablaINVENTARIO[SERIAL])</f>
        <v>N/A</v>
      </c>
      <c r="I1045" s="34">
        <f>_xlfn.XLOOKUP(TablaSTOCKINV[[#This Row],[SKU]],TablaINVENTARIO[SKU],TablaINVENTARIO[ALMACEN])</f>
        <v>0</v>
      </c>
      <c r="J1045" s="34" t="str">
        <f>_xlfn.XLOOKUP(TablaSTOCKINV[[#This Row],[SKU]],TablaINVENTARIO[SKU],TablaINVENTARIO[UBICACION])</f>
        <v>3A</v>
      </c>
      <c r="K1045" s="34" t="str">
        <f>_xlfn.XLOOKUP(TablaSTOCKINV[[#This Row],[SKU]],TablaINVENTARIO[SKU],TablaINVENTARIO[DPTO RESPONSABLE])</f>
        <v>OPERACIONES</v>
      </c>
      <c r="L1045" s="53">
        <f>_xlfn.XLOOKUP(TablaSTOCKINV[[#This Row],[SKU]],TablaINVENTARIO[SKU],TablaINVENTARIO[RANGO MIN])</f>
        <v>0</v>
      </c>
      <c r="M1045" s="34" cm="1">
        <f t="array" ref="M1045">_xlfn.IFS(TablaSTOCKINV[[#This Row],[CANT. TOTAL]]&lt;=0,1,TablaSTOCKINV[[#This Row],[CANT. TOTAL]]&lt;=TablaSTOCKINV[[#This Row],[MIN]],2,TablaSTOCKINV[[#This Row],[CANT. TOTAL]]&gt;TablaSTOCKINV[[#This Row],[MIN]],3)</f>
        <v>3</v>
      </c>
      <c r="N1045" s="34">
        <f>TablaSTOCKINV[[#This Row],[ENTRADAS]]-TablaSTOCKINV[[#This Row],[SALIDAS]]</f>
        <v>2</v>
      </c>
      <c r="O1045" s="35">
        <f>SUMIFS(TablaENTRADA[CANT],TablaENTRADA[SKU],TablaSTOCKINV[[#This Row],[SKU]])</f>
        <v>2</v>
      </c>
      <c r="P1045" s="35">
        <f>SUMIFS(TablaSALIDA[CANT],TablaSALIDA[SKU],TablaSTOCKINV[[#This Row],[SKU]])</f>
        <v>0</v>
      </c>
      <c r="Q1045" s="34">
        <f>_xlfn.XLOOKUP(TablaSTOCKINV[[#This Row],[SKU]],TablaINVENTARIO[SKU],TablaINVENTARIO[PRECIO])</f>
        <v>0</v>
      </c>
      <c r="R1045" s="34">
        <f>TablaSTOCKINV[[#This Row],[P.UNITARIO]]*TablaSTOCKINV[[#This Row],[CANT. TOTAL]]</f>
        <v>0</v>
      </c>
      <c r="S1045" s="44">
        <f>_xlfn.XLOOKUP(TablaSTOCKINV[[#This Row],[SKU]],TablaINVENTARIO[SKU],TablaINVENTARIO[FECHA INGRESO])</f>
        <v>46023</v>
      </c>
      <c r="T1045" s="44">
        <f>_xlfn.XLOOKUP(TablaSTOCKINV[[#This Row],[SKU]],TablaENTRADA[SKU],TablaENTRADA[FECHA],,0,-1)</f>
        <v>46023</v>
      </c>
      <c r="U1045" s="46" t="str">
        <f>IFERROR((_xlfn.XLOOKUP(TablaSTOCKINV[[#This Row],[SKU]],TablaSALIDA[SKU],TablaSALIDA[FECHA],,0,-1))," " )</f>
        <v xml:space="preserve"> </v>
      </c>
    </row>
    <row r="1046" spans="1:21" x14ac:dyDescent="0.3">
      <c r="A1046" s="27" t="s">
        <v>1184</v>
      </c>
      <c r="B1046" s="32" t="str">
        <f>_xlfn.XLOOKUP(TablaSTOCKINV[[#This Row],[SKU]],TablaINVENTARIO[SKU],TablaINVENTARIO[DESCRIPCION])</f>
        <v>DISTRIBUCION DE ENERGIA DE LA RDC (RDC POWER DISTRIBUTION)</v>
      </c>
      <c r="C1046" s="32" t="str">
        <f>_xlfn.XLOOKUP(TablaSTOCKINV[[#This Row],[SKU]],TablaINVENTARIO[SKU],TablaINVENTARIO[MARCA])</f>
        <v>N/A</v>
      </c>
      <c r="D1046" s="33" t="str">
        <f>_xlfn.XLOOKUP(TablaSTOCKINV[[#This Row],[SKU]],TablaINVENTARIO[SKU],TablaINVENTARIO[CATEGORIA])</f>
        <v>FABRICACION</v>
      </c>
      <c r="E1046" s="33" t="str">
        <f>_xlfn.XLOOKUP(TablaSTOCKINV[[#This Row],[SKU]],TablaINVENTARIO[SKU],TablaINVENTARIO[SUBCATEGORIA])</f>
        <v>ARTEFACTO ELETRÓNICO</v>
      </c>
      <c r="F1046" s="33" t="str">
        <f>_xlfn.XLOOKUP(TablaSTOCKINV[[#This Row],[SKU]],TablaINVENTARIO[SKU],TablaINVENTARIO[ESTADO])</f>
        <v xml:space="preserve">NUEVO </v>
      </c>
      <c r="G1046" s="33" t="str">
        <f>_xlfn.XLOOKUP(TablaSTOCKINV[[#This Row],[SKU]],TablaINVENTARIO[SKU],TablaINVENTARIO[MEDIDA])</f>
        <v>UND</v>
      </c>
      <c r="H1046" s="33" t="str">
        <f>_xlfn.XLOOKUP(TablaSTOCKINV[[#This Row],[SKU]],TablaINVENTARIO[SKU],TablaINVENTARIO[SERIAL])</f>
        <v>N/A</v>
      </c>
      <c r="I1046" s="34">
        <f>_xlfn.XLOOKUP(TablaSTOCKINV[[#This Row],[SKU]],TablaINVENTARIO[SKU],TablaINVENTARIO[ALMACEN])</f>
        <v>0</v>
      </c>
      <c r="J1046" s="34" t="str">
        <f>_xlfn.XLOOKUP(TablaSTOCKINV[[#This Row],[SKU]],TablaINVENTARIO[SKU],TablaINVENTARIO[UBICACION])</f>
        <v>3B</v>
      </c>
      <c r="K1046" s="34" t="str">
        <f>_xlfn.XLOOKUP(TablaSTOCKINV[[#This Row],[SKU]],TablaINVENTARIO[SKU],TablaINVENTARIO[DPTO RESPONSABLE])</f>
        <v>OPERACIONES</v>
      </c>
      <c r="L1046" s="53">
        <f>_xlfn.XLOOKUP(TablaSTOCKINV[[#This Row],[SKU]],TablaINVENTARIO[SKU],TablaINVENTARIO[RANGO MIN])</f>
        <v>0</v>
      </c>
      <c r="M1046" s="34" cm="1">
        <f t="array" ref="M1046">_xlfn.IFS(TablaSTOCKINV[[#This Row],[CANT. TOTAL]]&lt;=0,1,TablaSTOCKINV[[#This Row],[CANT. TOTAL]]&lt;=TablaSTOCKINV[[#This Row],[MIN]],2,TablaSTOCKINV[[#This Row],[CANT. TOTAL]]&gt;TablaSTOCKINV[[#This Row],[MIN]],3)</f>
        <v>3</v>
      </c>
      <c r="N1046" s="34">
        <f>TablaSTOCKINV[[#This Row],[ENTRADAS]]-TablaSTOCKINV[[#This Row],[SALIDAS]]</f>
        <v>1</v>
      </c>
      <c r="O1046" s="35">
        <f>SUMIFS(TablaENTRADA[CANT],TablaENTRADA[SKU],TablaSTOCKINV[[#This Row],[SKU]])</f>
        <v>1</v>
      </c>
      <c r="P1046" s="35">
        <f>SUMIFS(TablaSALIDA[CANT],TablaSALIDA[SKU],TablaSTOCKINV[[#This Row],[SKU]])</f>
        <v>0</v>
      </c>
      <c r="Q1046" s="34">
        <f>_xlfn.XLOOKUP(TablaSTOCKINV[[#This Row],[SKU]],TablaINVENTARIO[SKU],TablaINVENTARIO[PRECIO])</f>
        <v>0</v>
      </c>
      <c r="R1046" s="34">
        <f>TablaSTOCKINV[[#This Row],[P.UNITARIO]]*TablaSTOCKINV[[#This Row],[CANT. TOTAL]]</f>
        <v>0</v>
      </c>
      <c r="S1046" s="44">
        <f>_xlfn.XLOOKUP(TablaSTOCKINV[[#This Row],[SKU]],TablaINVENTARIO[SKU],TablaINVENTARIO[FECHA INGRESO])</f>
        <v>46023</v>
      </c>
      <c r="T1046" s="44">
        <f>_xlfn.XLOOKUP(TablaSTOCKINV[[#This Row],[SKU]],TablaENTRADA[SKU],TablaENTRADA[FECHA],,0,-1)</f>
        <v>46023</v>
      </c>
      <c r="U1046" s="46" t="str">
        <f>IFERROR((_xlfn.XLOOKUP(TablaSTOCKINV[[#This Row],[SKU]],TablaSALIDA[SKU],TablaSALIDA[FECHA],,0,-1))," " )</f>
        <v xml:space="preserve"> </v>
      </c>
    </row>
    <row r="1047" spans="1:21" x14ac:dyDescent="0.3">
      <c r="A1047" s="27" t="s">
        <v>1187</v>
      </c>
      <c r="B1047" s="32" t="str">
        <f>_xlfn.XLOOKUP(TablaSTOCKINV[[#This Row],[SKU]],TablaINVENTARIO[SKU],TablaINVENTARIO[DESCRIPCION])</f>
        <v xml:space="preserve">TRAJETA DE EXPANSION ANALOGICA DE RDC </v>
      </c>
      <c r="C1047" s="32" t="str">
        <f>_xlfn.XLOOKUP(TablaSTOCKINV[[#This Row],[SKU]],TablaINVENTARIO[SKU],TablaINVENTARIO[MARCA])</f>
        <v>N/A</v>
      </c>
      <c r="D1047" s="33" t="str">
        <f>_xlfn.XLOOKUP(TablaSTOCKINV[[#This Row],[SKU]],TablaINVENTARIO[SKU],TablaINVENTARIO[CATEGORIA])</f>
        <v>FABRICACION</v>
      </c>
      <c r="E1047" s="33" t="str">
        <f>_xlfn.XLOOKUP(TablaSTOCKINV[[#This Row],[SKU]],TablaINVENTARIO[SKU],TablaINVENTARIO[SUBCATEGORIA])</f>
        <v>ARTEFACTO ELETRÓNICO</v>
      </c>
      <c r="F1047" s="33" t="str">
        <f>_xlfn.XLOOKUP(TablaSTOCKINV[[#This Row],[SKU]],TablaINVENTARIO[SKU],TablaINVENTARIO[ESTADO])</f>
        <v xml:space="preserve">NUEVO </v>
      </c>
      <c r="G1047" s="33" t="str">
        <f>_xlfn.XLOOKUP(TablaSTOCKINV[[#This Row],[SKU]],TablaINVENTARIO[SKU],TablaINVENTARIO[MEDIDA])</f>
        <v>UND</v>
      </c>
      <c r="H1047" s="33" t="str">
        <f>_xlfn.XLOOKUP(TablaSTOCKINV[[#This Row],[SKU]],TablaINVENTARIO[SKU],TablaINVENTARIO[SERIAL])</f>
        <v>N/A</v>
      </c>
      <c r="I1047" s="34">
        <f>_xlfn.XLOOKUP(TablaSTOCKINV[[#This Row],[SKU]],TablaINVENTARIO[SKU],TablaINVENTARIO[ALMACEN])</f>
        <v>0</v>
      </c>
      <c r="J1047" s="34" t="str">
        <f>_xlfn.XLOOKUP(TablaSTOCKINV[[#This Row],[SKU]],TablaINVENTARIO[SKU],TablaINVENTARIO[UBICACION])</f>
        <v>3B</v>
      </c>
      <c r="K1047" s="34" t="str">
        <f>_xlfn.XLOOKUP(TablaSTOCKINV[[#This Row],[SKU]],TablaINVENTARIO[SKU],TablaINVENTARIO[DPTO RESPONSABLE])</f>
        <v>OPERACIONES</v>
      </c>
      <c r="L1047" s="53">
        <f>_xlfn.XLOOKUP(TablaSTOCKINV[[#This Row],[SKU]],TablaINVENTARIO[SKU],TablaINVENTARIO[RANGO MIN])</f>
        <v>0</v>
      </c>
      <c r="M1047" s="34" cm="1">
        <f t="array" ref="M1047">_xlfn.IFS(TablaSTOCKINV[[#This Row],[CANT. TOTAL]]&lt;=0,1,TablaSTOCKINV[[#This Row],[CANT. TOTAL]]&lt;=TablaSTOCKINV[[#This Row],[MIN]],2,TablaSTOCKINV[[#This Row],[CANT. TOTAL]]&gt;TablaSTOCKINV[[#This Row],[MIN]],3)</f>
        <v>3</v>
      </c>
      <c r="N1047" s="34">
        <f>TablaSTOCKINV[[#This Row],[ENTRADAS]]-TablaSTOCKINV[[#This Row],[SALIDAS]]</f>
        <v>1</v>
      </c>
      <c r="O1047" s="35">
        <f>SUMIFS(TablaENTRADA[CANT],TablaENTRADA[SKU],TablaSTOCKINV[[#This Row],[SKU]])</f>
        <v>1</v>
      </c>
      <c r="P1047" s="35">
        <f>SUMIFS(TablaSALIDA[CANT],TablaSALIDA[SKU],TablaSTOCKINV[[#This Row],[SKU]])</f>
        <v>0</v>
      </c>
      <c r="Q1047" s="34">
        <f>_xlfn.XLOOKUP(TablaSTOCKINV[[#This Row],[SKU]],TablaINVENTARIO[SKU],TablaINVENTARIO[PRECIO])</f>
        <v>0</v>
      </c>
      <c r="R1047" s="34">
        <f>TablaSTOCKINV[[#This Row],[P.UNITARIO]]*TablaSTOCKINV[[#This Row],[CANT. TOTAL]]</f>
        <v>0</v>
      </c>
      <c r="S1047" s="44">
        <f>_xlfn.XLOOKUP(TablaSTOCKINV[[#This Row],[SKU]],TablaINVENTARIO[SKU],TablaINVENTARIO[FECHA INGRESO])</f>
        <v>46023</v>
      </c>
      <c r="T1047" s="44">
        <f>_xlfn.XLOOKUP(TablaSTOCKINV[[#This Row],[SKU]],TablaENTRADA[SKU],TablaENTRADA[FECHA],,0,-1)</f>
        <v>46023</v>
      </c>
      <c r="U1047" s="46" t="str">
        <f>IFERROR((_xlfn.XLOOKUP(TablaSTOCKINV[[#This Row],[SKU]],TablaSALIDA[SKU],TablaSALIDA[FECHA],,0,-1))," " )</f>
        <v xml:space="preserve"> </v>
      </c>
    </row>
    <row r="1048" spans="1:21" x14ac:dyDescent="0.3">
      <c r="A1048" s="27" t="s">
        <v>1189</v>
      </c>
      <c r="B1048" s="32" t="str">
        <f>_xlfn.XLOOKUP(TablaSTOCKINV[[#This Row],[SKU]],TablaINVENTARIO[SKU],TablaINVENTARIO[DESCRIPCION])</f>
        <v xml:space="preserve">TARJETA MODELO: VL-1260 </v>
      </c>
      <c r="C1048" s="32" t="str">
        <f>_xlfn.XLOOKUP(TablaSTOCKINV[[#This Row],[SKU]],TablaINVENTARIO[SKU],TablaINVENTARIO[MARCA])</f>
        <v>VERSALOGIC</v>
      </c>
      <c r="D1048" s="33" t="str">
        <f>_xlfn.XLOOKUP(TablaSTOCKINV[[#This Row],[SKU]],TablaINVENTARIO[SKU],TablaINVENTARIO[CATEGORIA])</f>
        <v>FABRICACION</v>
      </c>
      <c r="E1048" s="33" t="str">
        <f>_xlfn.XLOOKUP(TablaSTOCKINV[[#This Row],[SKU]],TablaINVENTARIO[SKU],TablaINVENTARIO[SUBCATEGORIA])</f>
        <v>ARTEFACTO ELETRÓNICO</v>
      </c>
      <c r="F1048" s="33" t="str">
        <f>_xlfn.XLOOKUP(TablaSTOCKINV[[#This Row],[SKU]],TablaINVENTARIO[SKU],TablaINVENTARIO[ESTADO])</f>
        <v xml:space="preserve">NUEVO </v>
      </c>
      <c r="G1048" s="33" t="str">
        <f>_xlfn.XLOOKUP(TablaSTOCKINV[[#This Row],[SKU]],TablaINVENTARIO[SKU],TablaINVENTARIO[MEDIDA])</f>
        <v>UND</v>
      </c>
      <c r="H1048" s="33" t="str">
        <f>_xlfn.XLOOKUP(TablaSTOCKINV[[#This Row],[SKU]],TablaINVENTARIO[SKU],TablaINVENTARIO[SERIAL])</f>
        <v>N/A</v>
      </c>
      <c r="I1048" s="34">
        <f>_xlfn.XLOOKUP(TablaSTOCKINV[[#This Row],[SKU]],TablaINVENTARIO[SKU],TablaINVENTARIO[ALMACEN])</f>
        <v>0</v>
      </c>
      <c r="J1048" s="34" t="str">
        <f>_xlfn.XLOOKUP(TablaSTOCKINV[[#This Row],[SKU]],TablaINVENTARIO[SKU],TablaINVENTARIO[UBICACION])</f>
        <v>3B</v>
      </c>
      <c r="K1048" s="34" t="str">
        <f>_xlfn.XLOOKUP(TablaSTOCKINV[[#This Row],[SKU]],TablaINVENTARIO[SKU],TablaINVENTARIO[DPTO RESPONSABLE])</f>
        <v>OPERACIONES</v>
      </c>
      <c r="L1048" s="53">
        <f>_xlfn.XLOOKUP(TablaSTOCKINV[[#This Row],[SKU]],TablaINVENTARIO[SKU],TablaINVENTARIO[RANGO MIN])</f>
        <v>0</v>
      </c>
      <c r="M1048" s="34" cm="1">
        <f t="array" ref="M1048">_xlfn.IFS(TablaSTOCKINV[[#This Row],[CANT. TOTAL]]&lt;=0,1,TablaSTOCKINV[[#This Row],[CANT. TOTAL]]&lt;=TablaSTOCKINV[[#This Row],[MIN]],2,TablaSTOCKINV[[#This Row],[CANT. TOTAL]]&gt;TablaSTOCKINV[[#This Row],[MIN]],3)</f>
        <v>3</v>
      </c>
      <c r="N1048" s="34">
        <f>TablaSTOCKINV[[#This Row],[ENTRADAS]]-TablaSTOCKINV[[#This Row],[SALIDAS]]</f>
        <v>1</v>
      </c>
      <c r="O1048" s="35">
        <f>SUMIFS(TablaENTRADA[CANT],TablaENTRADA[SKU],TablaSTOCKINV[[#This Row],[SKU]])</f>
        <v>1</v>
      </c>
      <c r="P1048" s="35">
        <f>SUMIFS(TablaSALIDA[CANT],TablaSALIDA[SKU],TablaSTOCKINV[[#This Row],[SKU]])</f>
        <v>0</v>
      </c>
      <c r="Q1048" s="34">
        <f>_xlfn.XLOOKUP(TablaSTOCKINV[[#This Row],[SKU]],TablaINVENTARIO[SKU],TablaINVENTARIO[PRECIO])</f>
        <v>0</v>
      </c>
      <c r="R1048" s="34">
        <f>TablaSTOCKINV[[#This Row],[P.UNITARIO]]*TablaSTOCKINV[[#This Row],[CANT. TOTAL]]</f>
        <v>0</v>
      </c>
      <c r="S1048" s="44">
        <f>_xlfn.XLOOKUP(TablaSTOCKINV[[#This Row],[SKU]],TablaINVENTARIO[SKU],TablaINVENTARIO[FECHA INGRESO])</f>
        <v>46023</v>
      </c>
      <c r="T1048" s="44">
        <f>_xlfn.XLOOKUP(TablaSTOCKINV[[#This Row],[SKU]],TablaENTRADA[SKU],TablaENTRADA[FECHA],,0,-1)</f>
        <v>46023</v>
      </c>
      <c r="U1048" s="46" t="str">
        <f>IFERROR((_xlfn.XLOOKUP(TablaSTOCKINV[[#This Row],[SKU]],TablaSALIDA[SKU],TablaSALIDA[FECHA],,0,-1))," " )</f>
        <v xml:space="preserve"> </v>
      </c>
    </row>
    <row r="1049" spans="1:21" x14ac:dyDescent="0.3">
      <c r="A1049" s="27" t="s">
        <v>1192</v>
      </c>
      <c r="B1049" s="32" t="str">
        <f>_xlfn.XLOOKUP(TablaSTOCKINV[[#This Row],[SKU]],TablaINVENTARIO[SKU],TablaINVENTARIO[DESCRIPCION])</f>
        <v xml:space="preserve">PCA DE INTERFAZ DE SEÑAL ANALOGICA RDC </v>
      </c>
      <c r="C1049" s="32" t="str">
        <f>_xlfn.XLOOKUP(TablaSTOCKINV[[#This Row],[SKU]],TablaINVENTARIO[SKU],TablaINVENTARIO[MARCA])</f>
        <v>N/A</v>
      </c>
      <c r="D1049" s="33" t="str">
        <f>_xlfn.XLOOKUP(TablaSTOCKINV[[#This Row],[SKU]],TablaINVENTARIO[SKU],TablaINVENTARIO[CATEGORIA])</f>
        <v>FABRICACION</v>
      </c>
      <c r="E1049" s="33" t="str">
        <f>_xlfn.XLOOKUP(TablaSTOCKINV[[#This Row],[SKU]],TablaINVENTARIO[SKU],TablaINVENTARIO[SUBCATEGORIA])</f>
        <v>ARTEFACTO ELETRÓNICO</v>
      </c>
      <c r="F1049" s="33" t="str">
        <f>_xlfn.XLOOKUP(TablaSTOCKINV[[#This Row],[SKU]],TablaINVENTARIO[SKU],TablaINVENTARIO[ESTADO])</f>
        <v xml:space="preserve">NUEVO </v>
      </c>
      <c r="G1049" s="33" t="str">
        <f>_xlfn.XLOOKUP(TablaSTOCKINV[[#This Row],[SKU]],TablaINVENTARIO[SKU],TablaINVENTARIO[MEDIDA])</f>
        <v>UND</v>
      </c>
      <c r="H1049" s="33" t="str">
        <f>_xlfn.XLOOKUP(TablaSTOCKINV[[#This Row],[SKU]],TablaINVENTARIO[SKU],TablaINVENTARIO[SERIAL])</f>
        <v>N/A</v>
      </c>
      <c r="I1049" s="34">
        <f>_xlfn.XLOOKUP(TablaSTOCKINV[[#This Row],[SKU]],TablaINVENTARIO[SKU],TablaINVENTARIO[ALMACEN])</f>
        <v>0</v>
      </c>
      <c r="J1049" s="34" t="str">
        <f>_xlfn.XLOOKUP(TablaSTOCKINV[[#This Row],[SKU]],TablaINVENTARIO[SKU],TablaINVENTARIO[UBICACION])</f>
        <v>3B</v>
      </c>
      <c r="K1049" s="34" t="str">
        <f>_xlfn.XLOOKUP(TablaSTOCKINV[[#This Row],[SKU]],TablaINVENTARIO[SKU],TablaINVENTARIO[DPTO RESPONSABLE])</f>
        <v>OPERACIONES</v>
      </c>
      <c r="L1049" s="53">
        <f>_xlfn.XLOOKUP(TablaSTOCKINV[[#This Row],[SKU]],TablaINVENTARIO[SKU],TablaINVENTARIO[RANGO MIN])</f>
        <v>0</v>
      </c>
      <c r="M1049" s="34" cm="1">
        <f t="array" ref="M1049">_xlfn.IFS(TablaSTOCKINV[[#This Row],[CANT. TOTAL]]&lt;=0,1,TablaSTOCKINV[[#This Row],[CANT. TOTAL]]&lt;=TablaSTOCKINV[[#This Row],[MIN]],2,TablaSTOCKINV[[#This Row],[CANT. TOTAL]]&gt;TablaSTOCKINV[[#This Row],[MIN]],3)</f>
        <v>3</v>
      </c>
      <c r="N1049" s="34">
        <f>TablaSTOCKINV[[#This Row],[ENTRADAS]]-TablaSTOCKINV[[#This Row],[SALIDAS]]</f>
        <v>1</v>
      </c>
      <c r="O1049" s="35">
        <f>SUMIFS(TablaENTRADA[CANT],TablaENTRADA[SKU],TablaSTOCKINV[[#This Row],[SKU]])</f>
        <v>1</v>
      </c>
      <c r="P1049" s="35">
        <f>SUMIFS(TablaSALIDA[CANT],TablaSALIDA[SKU],TablaSTOCKINV[[#This Row],[SKU]])</f>
        <v>0</v>
      </c>
      <c r="Q1049" s="34">
        <f>_xlfn.XLOOKUP(TablaSTOCKINV[[#This Row],[SKU]],TablaINVENTARIO[SKU],TablaINVENTARIO[PRECIO])</f>
        <v>0</v>
      </c>
      <c r="R1049" s="34">
        <f>TablaSTOCKINV[[#This Row],[P.UNITARIO]]*TablaSTOCKINV[[#This Row],[CANT. TOTAL]]</f>
        <v>0</v>
      </c>
      <c r="S1049" s="44">
        <f>_xlfn.XLOOKUP(TablaSTOCKINV[[#This Row],[SKU]],TablaINVENTARIO[SKU],TablaINVENTARIO[FECHA INGRESO])</f>
        <v>46023</v>
      </c>
      <c r="T1049" s="44">
        <f>_xlfn.XLOOKUP(TablaSTOCKINV[[#This Row],[SKU]],TablaENTRADA[SKU],TablaENTRADA[FECHA],,0,-1)</f>
        <v>46023</v>
      </c>
      <c r="U1049" s="46" t="str">
        <f>IFERROR((_xlfn.XLOOKUP(TablaSTOCKINV[[#This Row],[SKU]],TablaSALIDA[SKU],TablaSALIDA[FECHA],,0,-1))," " )</f>
        <v xml:space="preserve"> </v>
      </c>
    </row>
    <row r="1050" spans="1:21" x14ac:dyDescent="0.3">
      <c r="A1050" s="27" t="s">
        <v>1194</v>
      </c>
      <c r="B1050" s="32" t="str">
        <f>_xlfn.XLOOKUP(TablaSTOCKINV[[#This Row],[SKU]],TablaINVENTARIO[SKU],TablaINVENTARIO[DESCRIPCION])</f>
        <v xml:space="preserve">ADAPTADOR COMPACT FLASH </v>
      </c>
      <c r="C1050" s="32" t="str">
        <f>_xlfn.XLOOKUP(TablaSTOCKINV[[#This Row],[SKU]],TablaINVENTARIO[SKU],TablaINVENTARIO[MARCA])</f>
        <v>N/A</v>
      </c>
      <c r="D1050" s="33" t="str">
        <f>_xlfn.XLOOKUP(TablaSTOCKINV[[#This Row],[SKU]],TablaINVENTARIO[SKU],TablaINVENTARIO[CATEGORIA])</f>
        <v>FABRICACION</v>
      </c>
      <c r="E1050" s="33" t="str">
        <f>_xlfn.XLOOKUP(TablaSTOCKINV[[#This Row],[SKU]],TablaINVENTARIO[SKU],TablaINVENTARIO[SUBCATEGORIA])</f>
        <v>ARTEFACTO ELETRÓNICO</v>
      </c>
      <c r="F1050" s="33" t="str">
        <f>_xlfn.XLOOKUP(TablaSTOCKINV[[#This Row],[SKU]],TablaINVENTARIO[SKU],TablaINVENTARIO[ESTADO])</f>
        <v xml:space="preserve">NUEVO </v>
      </c>
      <c r="G1050" s="33" t="str">
        <f>_xlfn.XLOOKUP(TablaSTOCKINV[[#This Row],[SKU]],TablaINVENTARIO[SKU],TablaINVENTARIO[MEDIDA])</f>
        <v>UND</v>
      </c>
      <c r="H1050" s="33" t="str">
        <f>_xlfn.XLOOKUP(TablaSTOCKINV[[#This Row],[SKU]],TablaINVENTARIO[SKU],TablaINVENTARIO[SERIAL])</f>
        <v>N/A</v>
      </c>
      <c r="I1050" s="34">
        <f>_xlfn.XLOOKUP(TablaSTOCKINV[[#This Row],[SKU]],TablaINVENTARIO[SKU],TablaINVENTARIO[ALMACEN])</f>
        <v>0</v>
      </c>
      <c r="J1050" s="34" t="str">
        <f>_xlfn.XLOOKUP(TablaSTOCKINV[[#This Row],[SKU]],TablaINVENTARIO[SKU],TablaINVENTARIO[UBICACION])</f>
        <v>3B</v>
      </c>
      <c r="K1050" s="34" t="str">
        <f>_xlfn.XLOOKUP(TablaSTOCKINV[[#This Row],[SKU]],TablaINVENTARIO[SKU],TablaINVENTARIO[DPTO RESPONSABLE])</f>
        <v>OPERACIONES</v>
      </c>
      <c r="L1050" s="53">
        <f>_xlfn.XLOOKUP(TablaSTOCKINV[[#This Row],[SKU]],TablaINVENTARIO[SKU],TablaINVENTARIO[RANGO MIN])</f>
        <v>0</v>
      </c>
      <c r="M1050" s="34" cm="1">
        <f t="array" ref="M1050">_xlfn.IFS(TablaSTOCKINV[[#This Row],[CANT. TOTAL]]&lt;=0,1,TablaSTOCKINV[[#This Row],[CANT. TOTAL]]&lt;=TablaSTOCKINV[[#This Row],[MIN]],2,TablaSTOCKINV[[#This Row],[CANT. TOTAL]]&gt;TablaSTOCKINV[[#This Row],[MIN]],3)</f>
        <v>3</v>
      </c>
      <c r="N1050" s="34">
        <f>TablaSTOCKINV[[#This Row],[ENTRADAS]]-TablaSTOCKINV[[#This Row],[SALIDAS]]</f>
        <v>1</v>
      </c>
      <c r="O1050" s="35">
        <f>SUMIFS(TablaENTRADA[CANT],TablaENTRADA[SKU],TablaSTOCKINV[[#This Row],[SKU]])</f>
        <v>1</v>
      </c>
      <c r="P1050" s="35">
        <f>SUMIFS(TablaSALIDA[CANT],TablaSALIDA[SKU],TablaSTOCKINV[[#This Row],[SKU]])</f>
        <v>0</v>
      </c>
      <c r="Q1050" s="34">
        <f>_xlfn.XLOOKUP(TablaSTOCKINV[[#This Row],[SKU]],TablaINVENTARIO[SKU],TablaINVENTARIO[PRECIO])</f>
        <v>0</v>
      </c>
      <c r="R1050" s="34">
        <f>TablaSTOCKINV[[#This Row],[P.UNITARIO]]*TablaSTOCKINV[[#This Row],[CANT. TOTAL]]</f>
        <v>0</v>
      </c>
      <c r="S1050" s="44">
        <f>_xlfn.XLOOKUP(TablaSTOCKINV[[#This Row],[SKU]],TablaINVENTARIO[SKU],TablaINVENTARIO[FECHA INGRESO])</f>
        <v>46023</v>
      </c>
      <c r="T1050" s="44">
        <f>_xlfn.XLOOKUP(TablaSTOCKINV[[#This Row],[SKU]],TablaENTRADA[SKU],TablaENTRADA[FECHA],,0,-1)</f>
        <v>46023</v>
      </c>
      <c r="U1050" s="46" t="str">
        <f>IFERROR((_xlfn.XLOOKUP(TablaSTOCKINV[[#This Row],[SKU]],TablaSALIDA[SKU],TablaSALIDA[FECHA],,0,-1))," " )</f>
        <v xml:space="preserve"> </v>
      </c>
    </row>
    <row r="1051" spans="1:21" x14ac:dyDescent="0.3">
      <c r="A1051" s="27" t="s">
        <v>1196</v>
      </c>
      <c r="B1051" s="32" t="str">
        <f>_xlfn.XLOOKUP(TablaSTOCKINV[[#This Row],[SKU]],TablaINVENTARIO[SKU],TablaINVENTARIO[DESCRIPCION])</f>
        <v xml:space="preserve">PCA DE ADQUISITION PAMS </v>
      </c>
      <c r="C1051" s="32" t="str">
        <f>_xlfn.XLOOKUP(TablaSTOCKINV[[#This Row],[SKU]],TablaINVENTARIO[SKU],TablaINVENTARIO[MARCA])</f>
        <v>N/A</v>
      </c>
      <c r="D1051" s="33" t="str">
        <f>_xlfn.XLOOKUP(TablaSTOCKINV[[#This Row],[SKU]],TablaINVENTARIO[SKU],TablaINVENTARIO[CATEGORIA])</f>
        <v>FABRICACION</v>
      </c>
      <c r="E1051" s="33" t="str">
        <f>_xlfn.XLOOKUP(TablaSTOCKINV[[#This Row],[SKU]],TablaINVENTARIO[SKU],TablaINVENTARIO[SUBCATEGORIA])</f>
        <v>ARTEFACTO ELETRÓNICO</v>
      </c>
      <c r="F1051" s="33" t="str">
        <f>_xlfn.XLOOKUP(TablaSTOCKINV[[#This Row],[SKU]],TablaINVENTARIO[SKU],TablaINVENTARIO[ESTADO])</f>
        <v xml:space="preserve">NUEVO </v>
      </c>
      <c r="G1051" s="33" t="str">
        <f>_xlfn.XLOOKUP(TablaSTOCKINV[[#This Row],[SKU]],TablaINVENTARIO[SKU],TablaINVENTARIO[MEDIDA])</f>
        <v>UND</v>
      </c>
      <c r="H1051" s="33" t="str">
        <f>_xlfn.XLOOKUP(TablaSTOCKINV[[#This Row],[SKU]],TablaINVENTARIO[SKU],TablaINVENTARIO[SERIAL])</f>
        <v>N/A</v>
      </c>
      <c r="I1051" s="34">
        <f>_xlfn.XLOOKUP(TablaSTOCKINV[[#This Row],[SKU]],TablaINVENTARIO[SKU],TablaINVENTARIO[ALMACEN])</f>
        <v>0</v>
      </c>
      <c r="J1051" s="34" t="str">
        <f>_xlfn.XLOOKUP(TablaSTOCKINV[[#This Row],[SKU]],TablaINVENTARIO[SKU],TablaINVENTARIO[UBICACION])</f>
        <v>3B</v>
      </c>
      <c r="K1051" s="34" t="str">
        <f>_xlfn.XLOOKUP(TablaSTOCKINV[[#This Row],[SKU]],TablaINVENTARIO[SKU],TablaINVENTARIO[DPTO RESPONSABLE])</f>
        <v>OPERACIONES</v>
      </c>
      <c r="L1051" s="53">
        <f>_xlfn.XLOOKUP(TablaSTOCKINV[[#This Row],[SKU]],TablaINVENTARIO[SKU],TablaINVENTARIO[RANGO MIN])</f>
        <v>0</v>
      </c>
      <c r="M1051" s="34" cm="1">
        <f t="array" ref="M1051">_xlfn.IFS(TablaSTOCKINV[[#This Row],[CANT. TOTAL]]&lt;=0,1,TablaSTOCKINV[[#This Row],[CANT. TOTAL]]&lt;=TablaSTOCKINV[[#This Row],[MIN]],2,TablaSTOCKINV[[#This Row],[CANT. TOTAL]]&gt;TablaSTOCKINV[[#This Row],[MIN]],3)</f>
        <v>3</v>
      </c>
      <c r="N1051" s="34">
        <f>TablaSTOCKINV[[#This Row],[ENTRADAS]]-TablaSTOCKINV[[#This Row],[SALIDAS]]</f>
        <v>8</v>
      </c>
      <c r="O1051" s="35">
        <f>SUMIFS(TablaENTRADA[CANT],TablaENTRADA[SKU],TablaSTOCKINV[[#This Row],[SKU]])</f>
        <v>8</v>
      </c>
      <c r="P1051" s="35">
        <f>SUMIFS(TablaSALIDA[CANT],TablaSALIDA[SKU],TablaSTOCKINV[[#This Row],[SKU]])</f>
        <v>0</v>
      </c>
      <c r="Q1051" s="34">
        <f>_xlfn.XLOOKUP(TablaSTOCKINV[[#This Row],[SKU]],TablaINVENTARIO[SKU],TablaINVENTARIO[PRECIO])</f>
        <v>0</v>
      </c>
      <c r="R1051" s="34">
        <f>TablaSTOCKINV[[#This Row],[P.UNITARIO]]*TablaSTOCKINV[[#This Row],[CANT. TOTAL]]</f>
        <v>0</v>
      </c>
      <c r="S1051" s="44">
        <f>_xlfn.XLOOKUP(TablaSTOCKINV[[#This Row],[SKU]],TablaINVENTARIO[SKU],TablaINVENTARIO[FECHA INGRESO])</f>
        <v>46023</v>
      </c>
      <c r="T1051" s="44">
        <f>_xlfn.XLOOKUP(TablaSTOCKINV[[#This Row],[SKU]],TablaENTRADA[SKU],TablaENTRADA[FECHA],,0,-1)</f>
        <v>46023</v>
      </c>
      <c r="U1051" s="46" t="str">
        <f>IFERROR((_xlfn.XLOOKUP(TablaSTOCKINV[[#This Row],[SKU]],TablaSALIDA[SKU],TablaSALIDA[FECHA],,0,-1))," " )</f>
        <v xml:space="preserve"> </v>
      </c>
    </row>
    <row r="1052" spans="1:21" x14ac:dyDescent="0.3">
      <c r="A1052" s="27" t="s">
        <v>1198</v>
      </c>
      <c r="B1052" s="32" t="str">
        <f>_xlfn.XLOOKUP(TablaSTOCKINV[[#This Row],[SKU]],TablaINVENTARIO[SKU],TablaINVENTARIO[DESCRIPCION])</f>
        <v>PCA DE SALIDA ANALOGICA / DIGITAL DAS PARA SOBREMESA / MONTAJE EN RACK</v>
      </c>
      <c r="C1052" s="32" t="str">
        <f>_xlfn.XLOOKUP(TablaSTOCKINV[[#This Row],[SKU]],TablaINVENTARIO[SKU],TablaINVENTARIO[MARCA])</f>
        <v>N/A</v>
      </c>
      <c r="D1052" s="33" t="str">
        <f>_xlfn.XLOOKUP(TablaSTOCKINV[[#This Row],[SKU]],TablaINVENTARIO[SKU],TablaINVENTARIO[CATEGORIA])</f>
        <v>FABRICACION</v>
      </c>
      <c r="E1052" s="33" t="str">
        <f>_xlfn.XLOOKUP(TablaSTOCKINV[[#This Row],[SKU]],TablaINVENTARIO[SKU],TablaINVENTARIO[SUBCATEGORIA])</f>
        <v>ARTEFACTO ELETRÓNICO</v>
      </c>
      <c r="F1052" s="33" t="str">
        <f>_xlfn.XLOOKUP(TablaSTOCKINV[[#This Row],[SKU]],TablaINVENTARIO[SKU],TablaINVENTARIO[ESTADO])</f>
        <v xml:space="preserve">NUEVO </v>
      </c>
      <c r="G1052" s="33" t="str">
        <f>_xlfn.XLOOKUP(TablaSTOCKINV[[#This Row],[SKU]],TablaINVENTARIO[SKU],TablaINVENTARIO[MEDIDA])</f>
        <v>UND</v>
      </c>
      <c r="H1052" s="33" t="str">
        <f>_xlfn.XLOOKUP(TablaSTOCKINV[[#This Row],[SKU]],TablaINVENTARIO[SKU],TablaINVENTARIO[SERIAL])</f>
        <v>DSAM4076</v>
      </c>
      <c r="I1052" s="34">
        <f>_xlfn.XLOOKUP(TablaSTOCKINV[[#This Row],[SKU]],TablaINVENTARIO[SKU],TablaINVENTARIO[ALMACEN])</f>
        <v>0</v>
      </c>
      <c r="J1052" s="34" t="str">
        <f>_xlfn.XLOOKUP(TablaSTOCKINV[[#This Row],[SKU]],TablaINVENTARIO[SKU],TablaINVENTARIO[UBICACION])</f>
        <v>3B</v>
      </c>
      <c r="K1052" s="34" t="str">
        <f>_xlfn.XLOOKUP(TablaSTOCKINV[[#This Row],[SKU]],TablaINVENTARIO[SKU],TablaINVENTARIO[DPTO RESPONSABLE])</f>
        <v>OPERACIONES</v>
      </c>
      <c r="L1052" s="53">
        <f>_xlfn.XLOOKUP(TablaSTOCKINV[[#This Row],[SKU]],TablaINVENTARIO[SKU],TablaINVENTARIO[RANGO MIN])</f>
        <v>0</v>
      </c>
      <c r="M1052" s="34" cm="1">
        <f t="array" ref="M1052">_xlfn.IFS(TablaSTOCKINV[[#This Row],[CANT. TOTAL]]&lt;=0,1,TablaSTOCKINV[[#This Row],[CANT. TOTAL]]&lt;=TablaSTOCKINV[[#This Row],[MIN]],2,TablaSTOCKINV[[#This Row],[CANT. TOTAL]]&gt;TablaSTOCKINV[[#This Row],[MIN]],3)</f>
        <v>3</v>
      </c>
      <c r="N1052" s="34">
        <f>TablaSTOCKINV[[#This Row],[ENTRADAS]]-TablaSTOCKINV[[#This Row],[SALIDAS]]</f>
        <v>1</v>
      </c>
      <c r="O1052" s="35">
        <f>SUMIFS(TablaENTRADA[CANT],TablaENTRADA[SKU],TablaSTOCKINV[[#This Row],[SKU]])</f>
        <v>1</v>
      </c>
      <c r="P1052" s="35">
        <f>SUMIFS(TablaSALIDA[CANT],TablaSALIDA[SKU],TablaSTOCKINV[[#This Row],[SKU]])</f>
        <v>0</v>
      </c>
      <c r="Q1052" s="34">
        <f>_xlfn.XLOOKUP(TablaSTOCKINV[[#This Row],[SKU]],TablaINVENTARIO[SKU],TablaINVENTARIO[PRECIO])</f>
        <v>0</v>
      </c>
      <c r="R1052" s="34">
        <f>TablaSTOCKINV[[#This Row],[P.UNITARIO]]*TablaSTOCKINV[[#This Row],[CANT. TOTAL]]</f>
        <v>0</v>
      </c>
      <c r="S1052" s="44">
        <f>_xlfn.XLOOKUP(TablaSTOCKINV[[#This Row],[SKU]],TablaINVENTARIO[SKU],TablaINVENTARIO[FECHA INGRESO])</f>
        <v>46023</v>
      </c>
      <c r="T1052" s="44">
        <f>_xlfn.XLOOKUP(TablaSTOCKINV[[#This Row],[SKU]],TablaENTRADA[SKU],TablaENTRADA[FECHA],,0,-1)</f>
        <v>46023</v>
      </c>
      <c r="U1052" s="46" t="str">
        <f>IFERROR((_xlfn.XLOOKUP(TablaSTOCKINV[[#This Row],[SKU]],TablaSALIDA[SKU],TablaSALIDA[FECHA],,0,-1))," " )</f>
        <v xml:space="preserve"> </v>
      </c>
    </row>
    <row r="1053" spans="1:21" x14ac:dyDescent="0.3">
      <c r="A1053" s="27" t="s">
        <v>1201</v>
      </c>
      <c r="B1053" s="32" t="str">
        <f>_xlfn.XLOOKUP(TablaSTOCKINV[[#This Row],[SKU]],TablaINVENTARIO[SKU],TablaINVENTARIO[DESCRIPCION])</f>
        <v xml:space="preserve">VERSALOGIC, EUGENE, OREGON </v>
      </c>
      <c r="C1053" s="32" t="str">
        <f>_xlfn.XLOOKUP(TablaSTOCKINV[[#This Row],[SKU]],TablaINVENTARIO[SKU],TablaINVENTARIO[MARCA])</f>
        <v>N/A</v>
      </c>
      <c r="D1053" s="33" t="str">
        <f>_xlfn.XLOOKUP(TablaSTOCKINV[[#This Row],[SKU]],TablaINVENTARIO[SKU],TablaINVENTARIO[CATEGORIA])</f>
        <v>FABRICACION</v>
      </c>
      <c r="E1053" s="33" t="str">
        <f>_xlfn.XLOOKUP(TablaSTOCKINV[[#This Row],[SKU]],TablaINVENTARIO[SKU],TablaINVENTARIO[SUBCATEGORIA])</f>
        <v>ARTEFACTO ELETRÓNICO</v>
      </c>
      <c r="F1053" s="33" t="str">
        <f>_xlfn.XLOOKUP(TablaSTOCKINV[[#This Row],[SKU]],TablaINVENTARIO[SKU],TablaINVENTARIO[ESTADO])</f>
        <v xml:space="preserve">NUEVO </v>
      </c>
      <c r="G1053" s="33" t="str">
        <f>_xlfn.XLOOKUP(TablaSTOCKINV[[#This Row],[SKU]],TablaINVENTARIO[SKU],TablaINVENTARIO[MEDIDA])</f>
        <v>UND</v>
      </c>
      <c r="H1053" s="33" t="str">
        <f>_xlfn.XLOOKUP(TablaSTOCKINV[[#This Row],[SKU]],TablaINVENTARIO[SKU],TablaINVENTARIO[SERIAL])</f>
        <v>N/A</v>
      </c>
      <c r="I1053" s="34">
        <f>_xlfn.XLOOKUP(TablaSTOCKINV[[#This Row],[SKU]],TablaINVENTARIO[SKU],TablaINVENTARIO[ALMACEN])</f>
        <v>0</v>
      </c>
      <c r="J1053" s="34" t="str">
        <f>_xlfn.XLOOKUP(TablaSTOCKINV[[#This Row],[SKU]],TablaINVENTARIO[SKU],TablaINVENTARIO[UBICACION])</f>
        <v>3B</v>
      </c>
      <c r="K1053" s="34" t="str">
        <f>_xlfn.XLOOKUP(TablaSTOCKINV[[#This Row],[SKU]],TablaINVENTARIO[SKU],TablaINVENTARIO[DPTO RESPONSABLE])</f>
        <v>OPERACIONES</v>
      </c>
      <c r="L1053" s="53">
        <f>_xlfn.XLOOKUP(TablaSTOCKINV[[#This Row],[SKU]],TablaINVENTARIO[SKU],TablaINVENTARIO[RANGO MIN])</f>
        <v>0</v>
      </c>
      <c r="M1053" s="34" cm="1">
        <f t="array" ref="M1053">_xlfn.IFS(TablaSTOCKINV[[#This Row],[CANT. TOTAL]]&lt;=0,1,TablaSTOCKINV[[#This Row],[CANT. TOTAL]]&lt;=TablaSTOCKINV[[#This Row],[MIN]],2,TablaSTOCKINV[[#This Row],[CANT. TOTAL]]&gt;TablaSTOCKINV[[#This Row],[MIN]],3)</f>
        <v>3</v>
      </c>
      <c r="N1053" s="34">
        <f>TablaSTOCKINV[[#This Row],[ENTRADAS]]-TablaSTOCKINV[[#This Row],[SALIDAS]]</f>
        <v>4</v>
      </c>
      <c r="O1053" s="35">
        <f>SUMIFS(TablaENTRADA[CANT],TablaENTRADA[SKU],TablaSTOCKINV[[#This Row],[SKU]])</f>
        <v>4</v>
      </c>
      <c r="P1053" s="35">
        <f>SUMIFS(TablaSALIDA[CANT],TablaSALIDA[SKU],TablaSTOCKINV[[#This Row],[SKU]])</f>
        <v>0</v>
      </c>
      <c r="Q1053" s="34">
        <f>_xlfn.XLOOKUP(TablaSTOCKINV[[#This Row],[SKU]],TablaINVENTARIO[SKU],TablaINVENTARIO[PRECIO])</f>
        <v>0</v>
      </c>
      <c r="R1053" s="34">
        <f>TablaSTOCKINV[[#This Row],[P.UNITARIO]]*TablaSTOCKINV[[#This Row],[CANT. TOTAL]]</f>
        <v>0</v>
      </c>
      <c r="S1053" s="44">
        <f>_xlfn.XLOOKUP(TablaSTOCKINV[[#This Row],[SKU]],TablaINVENTARIO[SKU],TablaINVENTARIO[FECHA INGRESO])</f>
        <v>46023</v>
      </c>
      <c r="T1053" s="44">
        <f>_xlfn.XLOOKUP(TablaSTOCKINV[[#This Row],[SKU]],TablaENTRADA[SKU],TablaENTRADA[FECHA],,0,-1)</f>
        <v>46023</v>
      </c>
      <c r="U1053" s="46" t="str">
        <f>IFERROR((_xlfn.XLOOKUP(TablaSTOCKINV[[#This Row],[SKU]],TablaSALIDA[SKU],TablaSALIDA[FECHA],,0,-1))," " )</f>
        <v xml:space="preserve"> </v>
      </c>
    </row>
    <row r="1054" spans="1:21" x14ac:dyDescent="0.3">
      <c r="A1054" s="27" t="s">
        <v>1203</v>
      </c>
      <c r="B1054" s="32" t="str">
        <f>_xlfn.XLOOKUP(TablaSTOCKINV[[#This Row],[SKU]],TablaINVENTARIO[SKU],TablaINVENTARIO[DESCRIPCION])</f>
        <v>PCA CONVERTIDOR DE AC/DC DE LA PAMS</v>
      </c>
      <c r="C1054" s="32" t="str">
        <f>_xlfn.XLOOKUP(TablaSTOCKINV[[#This Row],[SKU]],TablaINVENTARIO[SKU],TablaINVENTARIO[MARCA])</f>
        <v>N/A</v>
      </c>
      <c r="D1054" s="33" t="str">
        <f>_xlfn.XLOOKUP(TablaSTOCKINV[[#This Row],[SKU]],TablaINVENTARIO[SKU],TablaINVENTARIO[CATEGORIA])</f>
        <v>FABRICACION</v>
      </c>
      <c r="E1054" s="33" t="str">
        <f>_xlfn.XLOOKUP(TablaSTOCKINV[[#This Row],[SKU]],TablaINVENTARIO[SKU],TablaINVENTARIO[SUBCATEGORIA])</f>
        <v>ARTEFACTO ELETRÓNICO</v>
      </c>
      <c r="F1054" s="33" t="str">
        <f>_xlfn.XLOOKUP(TablaSTOCKINV[[#This Row],[SKU]],TablaINVENTARIO[SKU],TablaINVENTARIO[ESTADO])</f>
        <v xml:space="preserve">NUEVO </v>
      </c>
      <c r="G1054" s="33" t="str">
        <f>_xlfn.XLOOKUP(TablaSTOCKINV[[#This Row],[SKU]],TablaINVENTARIO[SKU],TablaINVENTARIO[MEDIDA])</f>
        <v>UND</v>
      </c>
      <c r="H1054" s="33" t="str">
        <f>_xlfn.XLOOKUP(TablaSTOCKINV[[#This Row],[SKU]],TablaINVENTARIO[SKU],TablaINVENTARIO[SERIAL])</f>
        <v>N/A</v>
      </c>
      <c r="I1054" s="34">
        <f>_xlfn.XLOOKUP(TablaSTOCKINV[[#This Row],[SKU]],TablaINVENTARIO[SKU],TablaINVENTARIO[ALMACEN])</f>
        <v>0</v>
      </c>
      <c r="J1054" s="34" t="str">
        <f>_xlfn.XLOOKUP(TablaSTOCKINV[[#This Row],[SKU]],TablaINVENTARIO[SKU],TablaINVENTARIO[UBICACION])</f>
        <v>3B</v>
      </c>
      <c r="K1054" s="34" t="str">
        <f>_xlfn.XLOOKUP(TablaSTOCKINV[[#This Row],[SKU]],TablaINVENTARIO[SKU],TablaINVENTARIO[DPTO RESPONSABLE])</f>
        <v>OPERACIONES</v>
      </c>
      <c r="L1054" s="53">
        <f>_xlfn.XLOOKUP(TablaSTOCKINV[[#This Row],[SKU]],TablaINVENTARIO[SKU],TablaINVENTARIO[RANGO MIN])</f>
        <v>0</v>
      </c>
      <c r="M1054" s="34" cm="1">
        <f t="array" ref="M1054">_xlfn.IFS(TablaSTOCKINV[[#This Row],[CANT. TOTAL]]&lt;=0,1,TablaSTOCKINV[[#This Row],[CANT. TOTAL]]&lt;=TablaSTOCKINV[[#This Row],[MIN]],2,TablaSTOCKINV[[#This Row],[CANT. TOTAL]]&gt;TablaSTOCKINV[[#This Row],[MIN]],3)</f>
        <v>3</v>
      </c>
      <c r="N1054" s="34">
        <f>TablaSTOCKINV[[#This Row],[ENTRADAS]]-TablaSTOCKINV[[#This Row],[SALIDAS]]</f>
        <v>3</v>
      </c>
      <c r="O1054" s="35">
        <f>SUMIFS(TablaENTRADA[CANT],TablaENTRADA[SKU],TablaSTOCKINV[[#This Row],[SKU]])</f>
        <v>3</v>
      </c>
      <c r="P1054" s="35">
        <f>SUMIFS(TablaSALIDA[CANT],TablaSALIDA[SKU],TablaSTOCKINV[[#This Row],[SKU]])</f>
        <v>0</v>
      </c>
      <c r="Q1054" s="34">
        <f>_xlfn.XLOOKUP(TablaSTOCKINV[[#This Row],[SKU]],TablaINVENTARIO[SKU],TablaINVENTARIO[PRECIO])</f>
        <v>0</v>
      </c>
      <c r="R1054" s="34">
        <f>TablaSTOCKINV[[#This Row],[P.UNITARIO]]*TablaSTOCKINV[[#This Row],[CANT. TOTAL]]</f>
        <v>0</v>
      </c>
      <c r="S1054" s="44">
        <f>_xlfn.XLOOKUP(TablaSTOCKINV[[#This Row],[SKU]],TablaINVENTARIO[SKU],TablaINVENTARIO[FECHA INGRESO])</f>
        <v>46023</v>
      </c>
      <c r="T1054" s="44">
        <f>_xlfn.XLOOKUP(TablaSTOCKINV[[#This Row],[SKU]],TablaENTRADA[SKU],TablaENTRADA[FECHA],,0,-1)</f>
        <v>46023</v>
      </c>
      <c r="U1054" s="46" t="str">
        <f>IFERROR((_xlfn.XLOOKUP(TablaSTOCKINV[[#This Row],[SKU]],TablaSALIDA[SKU],TablaSALIDA[FECHA],,0,-1))," " )</f>
        <v xml:space="preserve"> </v>
      </c>
    </row>
    <row r="1055" spans="1:21" x14ac:dyDescent="0.3">
      <c r="A1055" s="27" t="s">
        <v>1205</v>
      </c>
      <c r="B1055" s="32" t="str">
        <f>_xlfn.XLOOKUP(TablaSTOCKINV[[#This Row],[SKU]],TablaINVENTARIO[SKU],TablaINVENTARIO[DESCRIPCION])</f>
        <v>PCA CONVERTIDOR DE AC/DC DE LA PAMS (SIN COMPONENTES)</v>
      </c>
      <c r="C1055" s="32" t="str">
        <f>_xlfn.XLOOKUP(TablaSTOCKINV[[#This Row],[SKU]],TablaINVENTARIO[SKU],TablaINVENTARIO[MARCA])</f>
        <v>N/A</v>
      </c>
      <c r="D1055" s="33" t="str">
        <f>_xlfn.XLOOKUP(TablaSTOCKINV[[#This Row],[SKU]],TablaINVENTARIO[SKU],TablaINVENTARIO[CATEGORIA])</f>
        <v>FABRICACION</v>
      </c>
      <c r="E1055" s="33" t="str">
        <f>_xlfn.XLOOKUP(TablaSTOCKINV[[#This Row],[SKU]],TablaINVENTARIO[SKU],TablaINVENTARIO[SUBCATEGORIA])</f>
        <v>ARTEFACTO ELETRÓNICO</v>
      </c>
      <c r="F1055" s="33" t="str">
        <f>_xlfn.XLOOKUP(TablaSTOCKINV[[#This Row],[SKU]],TablaINVENTARIO[SKU],TablaINVENTARIO[ESTADO])</f>
        <v xml:space="preserve">NUEVO </v>
      </c>
      <c r="G1055" s="33" t="str">
        <f>_xlfn.XLOOKUP(TablaSTOCKINV[[#This Row],[SKU]],TablaINVENTARIO[SKU],TablaINVENTARIO[MEDIDA])</f>
        <v>UND</v>
      </c>
      <c r="H1055" s="33" t="str">
        <f>_xlfn.XLOOKUP(TablaSTOCKINV[[#This Row],[SKU]],TablaINVENTARIO[SKU],TablaINVENTARIO[SERIAL])</f>
        <v>N/A</v>
      </c>
      <c r="I1055" s="34">
        <f>_xlfn.XLOOKUP(TablaSTOCKINV[[#This Row],[SKU]],TablaINVENTARIO[SKU],TablaINVENTARIO[ALMACEN])</f>
        <v>0</v>
      </c>
      <c r="J1055" s="34" t="str">
        <f>_xlfn.XLOOKUP(TablaSTOCKINV[[#This Row],[SKU]],TablaINVENTARIO[SKU],TablaINVENTARIO[UBICACION])</f>
        <v>3B</v>
      </c>
      <c r="K1055" s="34" t="str">
        <f>_xlfn.XLOOKUP(TablaSTOCKINV[[#This Row],[SKU]],TablaINVENTARIO[SKU],TablaINVENTARIO[DPTO RESPONSABLE])</f>
        <v>OPERACIONES</v>
      </c>
      <c r="L1055" s="53">
        <f>_xlfn.XLOOKUP(TablaSTOCKINV[[#This Row],[SKU]],TablaINVENTARIO[SKU],TablaINVENTARIO[RANGO MIN])</f>
        <v>0</v>
      </c>
      <c r="M1055" s="34" cm="1">
        <f t="array" ref="M1055">_xlfn.IFS(TablaSTOCKINV[[#This Row],[CANT. TOTAL]]&lt;=0,1,TablaSTOCKINV[[#This Row],[CANT. TOTAL]]&lt;=TablaSTOCKINV[[#This Row],[MIN]],2,TablaSTOCKINV[[#This Row],[CANT. TOTAL]]&gt;TablaSTOCKINV[[#This Row],[MIN]],3)</f>
        <v>3</v>
      </c>
      <c r="N1055" s="34">
        <f>TablaSTOCKINV[[#This Row],[ENTRADAS]]-TablaSTOCKINV[[#This Row],[SALIDAS]]</f>
        <v>4</v>
      </c>
      <c r="O1055" s="35">
        <f>SUMIFS(TablaENTRADA[CANT],TablaENTRADA[SKU],TablaSTOCKINV[[#This Row],[SKU]])</f>
        <v>4</v>
      </c>
      <c r="P1055" s="35">
        <f>SUMIFS(TablaSALIDA[CANT],TablaSALIDA[SKU],TablaSTOCKINV[[#This Row],[SKU]])</f>
        <v>0</v>
      </c>
      <c r="Q1055" s="34">
        <f>_xlfn.XLOOKUP(TablaSTOCKINV[[#This Row],[SKU]],TablaINVENTARIO[SKU],TablaINVENTARIO[PRECIO])</f>
        <v>0</v>
      </c>
      <c r="R1055" s="34">
        <f>TablaSTOCKINV[[#This Row],[P.UNITARIO]]*TablaSTOCKINV[[#This Row],[CANT. TOTAL]]</f>
        <v>0</v>
      </c>
      <c r="S1055" s="44">
        <f>_xlfn.XLOOKUP(TablaSTOCKINV[[#This Row],[SKU]],TablaINVENTARIO[SKU],TablaINVENTARIO[FECHA INGRESO])</f>
        <v>46023</v>
      </c>
      <c r="T1055" s="44">
        <f>_xlfn.XLOOKUP(TablaSTOCKINV[[#This Row],[SKU]],TablaENTRADA[SKU],TablaENTRADA[FECHA],,0,-1)</f>
        <v>46023</v>
      </c>
      <c r="U1055" s="46" t="str">
        <f>IFERROR((_xlfn.XLOOKUP(TablaSTOCKINV[[#This Row],[SKU]],TablaSALIDA[SKU],TablaSALIDA[FECHA],,0,-1))," " )</f>
        <v xml:space="preserve"> </v>
      </c>
    </row>
    <row r="1056" spans="1:21" x14ac:dyDescent="0.3">
      <c r="A1056" s="27" t="s">
        <v>1207</v>
      </c>
      <c r="B1056" s="32" t="str">
        <f>_xlfn.XLOOKUP(TablaSTOCKINV[[#This Row],[SKU]],TablaINVENTARIO[SKU],TablaINVENTARIO[DESCRIPCION])</f>
        <v>PLACA MODELO: CT-101A</v>
      </c>
      <c r="C1056" s="32" t="str">
        <f>_xlfn.XLOOKUP(TablaSTOCKINV[[#This Row],[SKU]],TablaINVENTARIO[SKU],TablaINVENTARIO[MARCA])</f>
        <v xml:space="preserve">CHIA TIEN ELECTRONICS </v>
      </c>
      <c r="D1056" s="33" t="str">
        <f>_xlfn.XLOOKUP(TablaSTOCKINV[[#This Row],[SKU]],TablaINVENTARIO[SKU],TablaINVENTARIO[CATEGORIA])</f>
        <v>FABRICACION</v>
      </c>
      <c r="E1056" s="33" t="str">
        <f>_xlfn.XLOOKUP(TablaSTOCKINV[[#This Row],[SKU]],TablaINVENTARIO[SKU],TablaINVENTARIO[SUBCATEGORIA])</f>
        <v>ARTEFACTO ELETRÓNICO</v>
      </c>
      <c r="F1056" s="33" t="str">
        <f>_xlfn.XLOOKUP(TablaSTOCKINV[[#This Row],[SKU]],TablaINVENTARIO[SKU],TablaINVENTARIO[ESTADO])</f>
        <v xml:space="preserve">NUEVO </v>
      </c>
      <c r="G1056" s="33" t="str">
        <f>_xlfn.XLOOKUP(TablaSTOCKINV[[#This Row],[SKU]],TablaINVENTARIO[SKU],TablaINVENTARIO[MEDIDA])</f>
        <v>UND</v>
      </c>
      <c r="H1056" s="33" t="str">
        <f>_xlfn.XLOOKUP(TablaSTOCKINV[[#This Row],[SKU]],TablaINVENTARIO[SKU],TablaINVENTARIO[SERIAL])</f>
        <v>N/A</v>
      </c>
      <c r="I1056" s="34">
        <f>_xlfn.XLOOKUP(TablaSTOCKINV[[#This Row],[SKU]],TablaINVENTARIO[SKU],TablaINVENTARIO[ALMACEN])</f>
        <v>0</v>
      </c>
      <c r="J1056" s="34" t="str">
        <f>_xlfn.XLOOKUP(TablaSTOCKINV[[#This Row],[SKU]],TablaINVENTARIO[SKU],TablaINVENTARIO[UBICACION])</f>
        <v>3B</v>
      </c>
      <c r="K1056" s="34" t="str">
        <f>_xlfn.XLOOKUP(TablaSTOCKINV[[#This Row],[SKU]],TablaINVENTARIO[SKU],TablaINVENTARIO[DPTO RESPONSABLE])</f>
        <v>OPERACIONES</v>
      </c>
      <c r="L1056" s="53">
        <f>_xlfn.XLOOKUP(TablaSTOCKINV[[#This Row],[SKU]],TablaINVENTARIO[SKU],TablaINVENTARIO[RANGO MIN])</f>
        <v>0</v>
      </c>
      <c r="M1056" s="34" cm="1">
        <f t="array" ref="M1056">_xlfn.IFS(TablaSTOCKINV[[#This Row],[CANT. TOTAL]]&lt;=0,1,TablaSTOCKINV[[#This Row],[CANT. TOTAL]]&lt;=TablaSTOCKINV[[#This Row],[MIN]],2,TablaSTOCKINV[[#This Row],[CANT. TOTAL]]&gt;TablaSTOCKINV[[#This Row],[MIN]],3)</f>
        <v>3</v>
      </c>
      <c r="N1056" s="34">
        <f>TablaSTOCKINV[[#This Row],[ENTRADAS]]-TablaSTOCKINV[[#This Row],[SALIDAS]]</f>
        <v>1</v>
      </c>
      <c r="O1056" s="35">
        <f>SUMIFS(TablaENTRADA[CANT],TablaENTRADA[SKU],TablaSTOCKINV[[#This Row],[SKU]])</f>
        <v>1</v>
      </c>
      <c r="P1056" s="35">
        <f>SUMIFS(TablaSALIDA[CANT],TablaSALIDA[SKU],TablaSTOCKINV[[#This Row],[SKU]])</f>
        <v>0</v>
      </c>
      <c r="Q1056" s="34">
        <f>_xlfn.XLOOKUP(TablaSTOCKINV[[#This Row],[SKU]],TablaINVENTARIO[SKU],TablaINVENTARIO[PRECIO])</f>
        <v>0</v>
      </c>
      <c r="R1056" s="34">
        <f>TablaSTOCKINV[[#This Row],[P.UNITARIO]]*TablaSTOCKINV[[#This Row],[CANT. TOTAL]]</f>
        <v>0</v>
      </c>
      <c r="S1056" s="44">
        <f>_xlfn.XLOOKUP(TablaSTOCKINV[[#This Row],[SKU]],TablaINVENTARIO[SKU],TablaINVENTARIO[FECHA INGRESO])</f>
        <v>46023</v>
      </c>
      <c r="T1056" s="44">
        <f>_xlfn.XLOOKUP(TablaSTOCKINV[[#This Row],[SKU]],TablaENTRADA[SKU],TablaENTRADA[FECHA],,0,-1)</f>
        <v>46023</v>
      </c>
      <c r="U1056" s="46" t="str">
        <f>IFERROR((_xlfn.XLOOKUP(TablaSTOCKINV[[#This Row],[SKU]],TablaSALIDA[SKU],TablaSALIDA[FECHA],,0,-1))," " )</f>
        <v xml:space="preserve"> </v>
      </c>
    </row>
    <row r="1057" spans="1:21" x14ac:dyDescent="0.3">
      <c r="A1057" s="27" t="s">
        <v>1210</v>
      </c>
      <c r="B1057" s="32" t="str">
        <f>_xlfn.XLOOKUP(TablaSTOCKINV[[#This Row],[SKU]],TablaINVENTARIO[SKU],TablaINVENTARIO[DESCRIPCION])</f>
        <v>FUENTE DE ALIMENTACION MODELO: PMF-24V240WCGB</v>
      </c>
      <c r="C1057" s="32" t="str">
        <f>_xlfn.XLOOKUP(TablaSTOCKINV[[#This Row],[SKU]],TablaINVENTARIO[SKU],TablaINVENTARIO[MARCA])</f>
        <v>DELTA ELECTRONICS</v>
      </c>
      <c r="D1057" s="33" t="str">
        <f>_xlfn.XLOOKUP(TablaSTOCKINV[[#This Row],[SKU]],TablaINVENTARIO[SKU],TablaINVENTARIO[CATEGORIA])</f>
        <v>FABRICACION</v>
      </c>
      <c r="E1057" s="33" t="str">
        <f>_xlfn.XLOOKUP(TablaSTOCKINV[[#This Row],[SKU]],TablaINVENTARIO[SKU],TablaINVENTARIO[SUBCATEGORIA])</f>
        <v>ARTEFACTO ELETRÓNICO</v>
      </c>
      <c r="F1057" s="33" t="str">
        <f>_xlfn.XLOOKUP(TablaSTOCKINV[[#This Row],[SKU]],TablaINVENTARIO[SKU],TablaINVENTARIO[ESTADO])</f>
        <v xml:space="preserve">NUEVO </v>
      </c>
      <c r="G1057" s="33" t="str">
        <f>_xlfn.XLOOKUP(TablaSTOCKINV[[#This Row],[SKU]],TablaINVENTARIO[SKU],TablaINVENTARIO[MEDIDA])</f>
        <v>UND</v>
      </c>
      <c r="H1057" s="33" t="str">
        <f>_xlfn.XLOOKUP(TablaSTOCKINV[[#This Row],[SKU]],TablaINVENTARIO[SKU],TablaINVENTARIO[SERIAL])</f>
        <v>F124240GB023070CZKG</v>
      </c>
      <c r="I1057" s="34">
        <f>_xlfn.XLOOKUP(TablaSTOCKINV[[#This Row],[SKU]],TablaINVENTARIO[SKU],TablaINVENTARIO[ALMACEN])</f>
        <v>0</v>
      </c>
      <c r="J1057" s="34" t="str">
        <f>_xlfn.XLOOKUP(TablaSTOCKINV[[#This Row],[SKU]],TablaINVENTARIO[SKU],TablaINVENTARIO[UBICACION])</f>
        <v>3B</v>
      </c>
      <c r="K1057" s="34" t="str">
        <f>_xlfn.XLOOKUP(TablaSTOCKINV[[#This Row],[SKU]],TablaINVENTARIO[SKU],TablaINVENTARIO[DPTO RESPONSABLE])</f>
        <v>OPERACIONES</v>
      </c>
      <c r="L1057" s="53">
        <f>_xlfn.XLOOKUP(TablaSTOCKINV[[#This Row],[SKU]],TablaINVENTARIO[SKU],TablaINVENTARIO[RANGO MIN])</f>
        <v>0</v>
      </c>
      <c r="M1057" s="34" cm="1">
        <f t="array" ref="M1057">_xlfn.IFS(TablaSTOCKINV[[#This Row],[CANT. TOTAL]]&lt;=0,1,TablaSTOCKINV[[#This Row],[CANT. TOTAL]]&lt;=TablaSTOCKINV[[#This Row],[MIN]],2,TablaSTOCKINV[[#This Row],[CANT. TOTAL]]&gt;TablaSTOCKINV[[#This Row],[MIN]],3)</f>
        <v>3</v>
      </c>
      <c r="N1057" s="34">
        <f>TablaSTOCKINV[[#This Row],[ENTRADAS]]-TablaSTOCKINV[[#This Row],[SALIDAS]]</f>
        <v>1</v>
      </c>
      <c r="O1057" s="35">
        <f>SUMIFS(TablaENTRADA[CANT],TablaENTRADA[SKU],TablaSTOCKINV[[#This Row],[SKU]])</f>
        <v>1</v>
      </c>
      <c r="P1057" s="35">
        <f>SUMIFS(TablaSALIDA[CANT],TablaSALIDA[SKU],TablaSTOCKINV[[#This Row],[SKU]])</f>
        <v>0</v>
      </c>
      <c r="Q1057" s="34">
        <f>_xlfn.XLOOKUP(TablaSTOCKINV[[#This Row],[SKU]],TablaINVENTARIO[SKU],TablaINVENTARIO[PRECIO])</f>
        <v>0</v>
      </c>
      <c r="R1057" s="34">
        <f>TablaSTOCKINV[[#This Row],[P.UNITARIO]]*TablaSTOCKINV[[#This Row],[CANT. TOTAL]]</f>
        <v>0</v>
      </c>
      <c r="S1057" s="44">
        <f>_xlfn.XLOOKUP(TablaSTOCKINV[[#This Row],[SKU]],TablaINVENTARIO[SKU],TablaINVENTARIO[FECHA INGRESO])</f>
        <v>46023</v>
      </c>
      <c r="T1057" s="44">
        <f>_xlfn.XLOOKUP(TablaSTOCKINV[[#This Row],[SKU]],TablaENTRADA[SKU],TablaENTRADA[FECHA],,0,-1)</f>
        <v>46023</v>
      </c>
      <c r="U1057" s="46" t="str">
        <f>IFERROR((_xlfn.XLOOKUP(TablaSTOCKINV[[#This Row],[SKU]],TablaSALIDA[SKU],TablaSALIDA[FECHA],,0,-1))," " )</f>
        <v xml:space="preserve"> </v>
      </c>
    </row>
    <row r="1058" spans="1:21" x14ac:dyDescent="0.3">
      <c r="A1058" s="27" t="s">
        <v>1214</v>
      </c>
      <c r="B1058" s="32" t="str">
        <f>_xlfn.XLOOKUP(TablaSTOCKINV[[#This Row],[SKU]],TablaINVENTARIO[SKU],TablaINVENTARIO[DESCRIPCION])</f>
        <v>INTERFACE DE COMUNICACIÓN RDC</v>
      </c>
      <c r="C1058" s="32" t="str">
        <f>_xlfn.XLOOKUP(TablaSTOCKINV[[#This Row],[SKU]],TablaINVENTARIO[SKU],TablaINVENTARIO[MARCA])</f>
        <v>N/A</v>
      </c>
      <c r="D1058" s="33" t="str">
        <f>_xlfn.XLOOKUP(TablaSTOCKINV[[#This Row],[SKU]],TablaINVENTARIO[SKU],TablaINVENTARIO[CATEGORIA])</f>
        <v>FABRICACION</v>
      </c>
      <c r="E1058" s="33" t="str">
        <f>_xlfn.XLOOKUP(TablaSTOCKINV[[#This Row],[SKU]],TablaINVENTARIO[SKU],TablaINVENTARIO[SUBCATEGORIA])</f>
        <v>ARTEFACTO ELETRÓNICO</v>
      </c>
      <c r="F1058" s="33" t="str">
        <f>_xlfn.XLOOKUP(TablaSTOCKINV[[#This Row],[SKU]],TablaINVENTARIO[SKU],TablaINVENTARIO[ESTADO])</f>
        <v xml:space="preserve">NUEVO </v>
      </c>
      <c r="G1058" s="33" t="str">
        <f>_xlfn.XLOOKUP(TablaSTOCKINV[[#This Row],[SKU]],TablaINVENTARIO[SKU],TablaINVENTARIO[MEDIDA])</f>
        <v>UND</v>
      </c>
      <c r="H1058" s="33" t="str">
        <f>_xlfn.XLOOKUP(TablaSTOCKINV[[#This Row],[SKU]],TablaINVENTARIO[SKU],TablaINVENTARIO[SERIAL])</f>
        <v>N/A</v>
      </c>
      <c r="I1058" s="34">
        <f>_xlfn.XLOOKUP(TablaSTOCKINV[[#This Row],[SKU]],TablaINVENTARIO[SKU],TablaINVENTARIO[ALMACEN])</f>
        <v>0</v>
      </c>
      <c r="J1058" s="34" t="str">
        <f>_xlfn.XLOOKUP(TablaSTOCKINV[[#This Row],[SKU]],TablaINVENTARIO[SKU],TablaINVENTARIO[UBICACION])</f>
        <v>3B</v>
      </c>
      <c r="K1058" s="34" t="str">
        <f>_xlfn.XLOOKUP(TablaSTOCKINV[[#This Row],[SKU]],TablaINVENTARIO[SKU],TablaINVENTARIO[DPTO RESPONSABLE])</f>
        <v>OPERACIONES</v>
      </c>
      <c r="L1058" s="53">
        <f>_xlfn.XLOOKUP(TablaSTOCKINV[[#This Row],[SKU]],TablaINVENTARIO[SKU],TablaINVENTARIO[RANGO MIN])</f>
        <v>0</v>
      </c>
      <c r="M1058" s="34" cm="1">
        <f t="array" ref="M1058">_xlfn.IFS(TablaSTOCKINV[[#This Row],[CANT. TOTAL]]&lt;=0,1,TablaSTOCKINV[[#This Row],[CANT. TOTAL]]&lt;=TablaSTOCKINV[[#This Row],[MIN]],2,TablaSTOCKINV[[#This Row],[CANT. TOTAL]]&gt;TablaSTOCKINV[[#This Row],[MIN]],3)</f>
        <v>3</v>
      </c>
      <c r="N1058" s="34">
        <f>TablaSTOCKINV[[#This Row],[ENTRADAS]]-TablaSTOCKINV[[#This Row],[SALIDAS]]</f>
        <v>10</v>
      </c>
      <c r="O1058" s="35">
        <f>SUMIFS(TablaENTRADA[CANT],TablaENTRADA[SKU],TablaSTOCKINV[[#This Row],[SKU]])</f>
        <v>10</v>
      </c>
      <c r="P1058" s="35">
        <f>SUMIFS(TablaSALIDA[CANT],TablaSALIDA[SKU],TablaSTOCKINV[[#This Row],[SKU]])</f>
        <v>0</v>
      </c>
      <c r="Q1058" s="34">
        <f>_xlfn.XLOOKUP(TablaSTOCKINV[[#This Row],[SKU]],TablaINVENTARIO[SKU],TablaINVENTARIO[PRECIO])</f>
        <v>0</v>
      </c>
      <c r="R1058" s="34">
        <f>TablaSTOCKINV[[#This Row],[P.UNITARIO]]*TablaSTOCKINV[[#This Row],[CANT. TOTAL]]</f>
        <v>0</v>
      </c>
      <c r="S1058" s="44">
        <f>_xlfn.XLOOKUP(TablaSTOCKINV[[#This Row],[SKU]],TablaINVENTARIO[SKU],TablaINVENTARIO[FECHA INGRESO])</f>
        <v>46023</v>
      </c>
      <c r="T1058" s="44">
        <f>_xlfn.XLOOKUP(TablaSTOCKINV[[#This Row],[SKU]],TablaENTRADA[SKU],TablaENTRADA[FECHA],,0,-1)</f>
        <v>46023</v>
      </c>
      <c r="U1058" s="46" t="str">
        <f>IFERROR((_xlfn.XLOOKUP(TablaSTOCKINV[[#This Row],[SKU]],TablaSALIDA[SKU],TablaSALIDA[FECHA],,0,-1))," " )</f>
        <v xml:space="preserve"> </v>
      </c>
    </row>
    <row r="1059" spans="1:21" x14ac:dyDescent="0.3">
      <c r="A1059" s="27" t="s">
        <v>1216</v>
      </c>
      <c r="B1059" s="32" t="str">
        <f>_xlfn.XLOOKUP(TablaSTOCKINV[[#This Row],[SKU]],TablaINVENTARIO[SKU],TablaINVENTARIO[DESCRIPCION])</f>
        <v>ADAPTADOR PCI INALAMBRICO 300 MBPS MODELO: TL-WN851N</v>
      </c>
      <c r="C1059" s="32" t="str">
        <f>_xlfn.XLOOKUP(TablaSTOCKINV[[#This Row],[SKU]],TablaINVENTARIO[SKU],TablaINVENTARIO[MARCA])</f>
        <v>TPLINK</v>
      </c>
      <c r="D1059" s="33" t="str">
        <f>_xlfn.XLOOKUP(TablaSTOCKINV[[#This Row],[SKU]],TablaINVENTARIO[SKU],TablaINVENTARIO[CATEGORIA])</f>
        <v>FABRICACION</v>
      </c>
      <c r="E1059" s="33" t="str">
        <f>_xlfn.XLOOKUP(TablaSTOCKINV[[#This Row],[SKU]],TablaINVENTARIO[SKU],TablaINVENTARIO[SUBCATEGORIA])</f>
        <v>ARTEFACTO ELETRÓNICO</v>
      </c>
      <c r="F1059" s="33" t="str">
        <f>_xlfn.XLOOKUP(TablaSTOCKINV[[#This Row],[SKU]],TablaINVENTARIO[SKU],TablaINVENTARIO[ESTADO])</f>
        <v xml:space="preserve">NUEVO </v>
      </c>
      <c r="G1059" s="33" t="str">
        <f>_xlfn.XLOOKUP(TablaSTOCKINV[[#This Row],[SKU]],TablaINVENTARIO[SKU],TablaINVENTARIO[MEDIDA])</f>
        <v>UND</v>
      </c>
      <c r="H1059" s="33" t="str">
        <f>_xlfn.XLOOKUP(TablaSTOCKINV[[#This Row],[SKU]],TablaINVENTARIO[SKU],TablaINVENTARIO[SERIAL])</f>
        <v>N/A</v>
      </c>
      <c r="I1059" s="34">
        <f>_xlfn.XLOOKUP(TablaSTOCKINV[[#This Row],[SKU]],TablaINVENTARIO[SKU],TablaINVENTARIO[ALMACEN])</f>
        <v>0</v>
      </c>
      <c r="J1059" s="34" t="str">
        <f>_xlfn.XLOOKUP(TablaSTOCKINV[[#This Row],[SKU]],TablaINVENTARIO[SKU],TablaINVENTARIO[UBICACION])</f>
        <v>3B</v>
      </c>
      <c r="K1059" s="34" t="str">
        <f>_xlfn.XLOOKUP(TablaSTOCKINV[[#This Row],[SKU]],TablaINVENTARIO[SKU],TablaINVENTARIO[DPTO RESPONSABLE])</f>
        <v>OPERACIONES</v>
      </c>
      <c r="L1059" s="53">
        <f>_xlfn.XLOOKUP(TablaSTOCKINV[[#This Row],[SKU]],TablaINVENTARIO[SKU],TablaINVENTARIO[RANGO MIN])</f>
        <v>0</v>
      </c>
      <c r="M1059" s="34" cm="1">
        <f t="array" ref="M1059">_xlfn.IFS(TablaSTOCKINV[[#This Row],[CANT. TOTAL]]&lt;=0,1,TablaSTOCKINV[[#This Row],[CANT. TOTAL]]&lt;=TablaSTOCKINV[[#This Row],[MIN]],2,TablaSTOCKINV[[#This Row],[CANT. TOTAL]]&gt;TablaSTOCKINV[[#This Row],[MIN]],3)</f>
        <v>3</v>
      </c>
      <c r="N1059" s="34">
        <f>TablaSTOCKINV[[#This Row],[ENTRADAS]]-TablaSTOCKINV[[#This Row],[SALIDAS]]</f>
        <v>1</v>
      </c>
      <c r="O1059" s="35">
        <f>SUMIFS(TablaENTRADA[CANT],TablaENTRADA[SKU],TablaSTOCKINV[[#This Row],[SKU]])</f>
        <v>1</v>
      </c>
      <c r="P1059" s="35">
        <f>SUMIFS(TablaSALIDA[CANT],TablaSALIDA[SKU],TablaSTOCKINV[[#This Row],[SKU]])</f>
        <v>0</v>
      </c>
      <c r="Q1059" s="34">
        <f>_xlfn.XLOOKUP(TablaSTOCKINV[[#This Row],[SKU]],TablaINVENTARIO[SKU],TablaINVENTARIO[PRECIO])</f>
        <v>0</v>
      </c>
      <c r="R1059" s="34">
        <f>TablaSTOCKINV[[#This Row],[P.UNITARIO]]*TablaSTOCKINV[[#This Row],[CANT. TOTAL]]</f>
        <v>0</v>
      </c>
      <c r="S1059" s="44">
        <f>_xlfn.XLOOKUP(TablaSTOCKINV[[#This Row],[SKU]],TablaINVENTARIO[SKU],TablaINVENTARIO[FECHA INGRESO])</f>
        <v>46023</v>
      </c>
      <c r="T1059" s="44">
        <f>_xlfn.XLOOKUP(TablaSTOCKINV[[#This Row],[SKU]],TablaENTRADA[SKU],TablaENTRADA[FECHA],,0,-1)</f>
        <v>46023</v>
      </c>
      <c r="U1059" s="46" t="str">
        <f>IFERROR((_xlfn.XLOOKUP(TablaSTOCKINV[[#This Row],[SKU]],TablaSALIDA[SKU],TablaSALIDA[FECHA],,0,-1))," " )</f>
        <v xml:space="preserve"> </v>
      </c>
    </row>
    <row r="1060" spans="1:21" x14ac:dyDescent="0.3">
      <c r="A1060" s="27" t="s">
        <v>1219</v>
      </c>
      <c r="B1060" s="32" t="str">
        <f>_xlfn.XLOOKUP(TablaSTOCKINV[[#This Row],[SKU]],TablaINVENTARIO[SKU],TablaINVENTARIO[DESCRIPCION])</f>
        <v xml:space="preserve">FUENTE GENERICA SIN CARCASA </v>
      </c>
      <c r="C1060" s="32" t="str">
        <f>_xlfn.XLOOKUP(TablaSTOCKINV[[#This Row],[SKU]],TablaINVENTARIO[SKU],TablaINVENTARIO[MARCA])</f>
        <v>N/A</v>
      </c>
      <c r="D1060" s="33" t="str">
        <f>_xlfn.XLOOKUP(TablaSTOCKINV[[#This Row],[SKU]],TablaINVENTARIO[SKU],TablaINVENTARIO[CATEGORIA])</f>
        <v>FABRICACION</v>
      </c>
      <c r="E1060" s="33" t="str">
        <f>_xlfn.XLOOKUP(TablaSTOCKINV[[#This Row],[SKU]],TablaINVENTARIO[SKU],TablaINVENTARIO[SUBCATEGORIA])</f>
        <v>ARTEFACTO ELETRÓNICO</v>
      </c>
      <c r="F1060" s="33" t="str">
        <f>_xlfn.XLOOKUP(TablaSTOCKINV[[#This Row],[SKU]],TablaINVENTARIO[SKU],TablaINVENTARIO[ESTADO])</f>
        <v xml:space="preserve">NUEVO </v>
      </c>
      <c r="G1060" s="33" t="str">
        <f>_xlfn.XLOOKUP(TablaSTOCKINV[[#This Row],[SKU]],TablaINVENTARIO[SKU],TablaINVENTARIO[MEDIDA])</f>
        <v>UND</v>
      </c>
      <c r="H1060" s="33" t="str">
        <f>_xlfn.XLOOKUP(TablaSTOCKINV[[#This Row],[SKU]],TablaINVENTARIO[SKU],TablaINVENTARIO[SERIAL])</f>
        <v>N/A</v>
      </c>
      <c r="I1060" s="34">
        <f>_xlfn.XLOOKUP(TablaSTOCKINV[[#This Row],[SKU]],TablaINVENTARIO[SKU],TablaINVENTARIO[ALMACEN])</f>
        <v>0</v>
      </c>
      <c r="J1060" s="34" t="str">
        <f>_xlfn.XLOOKUP(TablaSTOCKINV[[#This Row],[SKU]],TablaINVENTARIO[SKU],TablaINVENTARIO[UBICACION])</f>
        <v>3B</v>
      </c>
      <c r="K1060" s="34" t="str">
        <f>_xlfn.XLOOKUP(TablaSTOCKINV[[#This Row],[SKU]],TablaINVENTARIO[SKU],TablaINVENTARIO[DPTO RESPONSABLE])</f>
        <v>OPERACIONES</v>
      </c>
      <c r="L1060" s="53">
        <f>_xlfn.XLOOKUP(TablaSTOCKINV[[#This Row],[SKU]],TablaINVENTARIO[SKU],TablaINVENTARIO[RANGO MIN])</f>
        <v>0</v>
      </c>
      <c r="M1060" s="34" cm="1">
        <f t="array" ref="M1060">_xlfn.IFS(TablaSTOCKINV[[#This Row],[CANT. TOTAL]]&lt;=0,1,TablaSTOCKINV[[#This Row],[CANT. TOTAL]]&lt;=TablaSTOCKINV[[#This Row],[MIN]],2,TablaSTOCKINV[[#This Row],[CANT. TOTAL]]&gt;TablaSTOCKINV[[#This Row],[MIN]],3)</f>
        <v>3</v>
      </c>
      <c r="N1060" s="34">
        <f>TablaSTOCKINV[[#This Row],[ENTRADAS]]-TablaSTOCKINV[[#This Row],[SALIDAS]]</f>
        <v>5</v>
      </c>
      <c r="O1060" s="35">
        <f>SUMIFS(TablaENTRADA[CANT],TablaENTRADA[SKU],TablaSTOCKINV[[#This Row],[SKU]])</f>
        <v>5</v>
      </c>
      <c r="P1060" s="35">
        <f>SUMIFS(TablaSALIDA[CANT],TablaSALIDA[SKU],TablaSTOCKINV[[#This Row],[SKU]])</f>
        <v>0</v>
      </c>
      <c r="Q1060" s="34">
        <f>_xlfn.XLOOKUP(TablaSTOCKINV[[#This Row],[SKU]],TablaINVENTARIO[SKU],TablaINVENTARIO[PRECIO])</f>
        <v>0</v>
      </c>
      <c r="R1060" s="34">
        <f>TablaSTOCKINV[[#This Row],[P.UNITARIO]]*TablaSTOCKINV[[#This Row],[CANT. TOTAL]]</f>
        <v>0</v>
      </c>
      <c r="S1060" s="44">
        <f>_xlfn.XLOOKUP(TablaSTOCKINV[[#This Row],[SKU]],TablaINVENTARIO[SKU],TablaINVENTARIO[FECHA INGRESO])</f>
        <v>46023</v>
      </c>
      <c r="T1060" s="44">
        <f>_xlfn.XLOOKUP(TablaSTOCKINV[[#This Row],[SKU]],TablaENTRADA[SKU],TablaENTRADA[FECHA],,0,-1)</f>
        <v>46023</v>
      </c>
      <c r="U1060" s="46" t="str">
        <f>IFERROR((_xlfn.XLOOKUP(TablaSTOCKINV[[#This Row],[SKU]],TablaSALIDA[SKU],TablaSALIDA[FECHA],,0,-1))," " )</f>
        <v xml:space="preserve"> </v>
      </c>
    </row>
    <row r="1061" spans="1:21" x14ac:dyDescent="0.3">
      <c r="A1061" s="27" t="s">
        <v>1221</v>
      </c>
      <c r="B1061" s="32" t="str">
        <f>_xlfn.XLOOKUP(TablaSTOCKINV[[#This Row],[SKU]],TablaINVENTARIO[SKU],TablaINVENTARIO[DESCRIPCION])</f>
        <v xml:space="preserve">CONVERTIDOR REDUCTOR DE VOLTAJE 24-12V </v>
      </c>
      <c r="C1061" s="32" t="str">
        <f>_xlfn.XLOOKUP(TablaSTOCKINV[[#This Row],[SKU]],TablaINVENTARIO[SKU],TablaINVENTARIO[MARCA])</f>
        <v>N/A</v>
      </c>
      <c r="D1061" s="33" t="str">
        <f>_xlfn.XLOOKUP(TablaSTOCKINV[[#This Row],[SKU]],TablaINVENTARIO[SKU],TablaINVENTARIO[CATEGORIA])</f>
        <v>FABRICACION</v>
      </c>
      <c r="E1061" s="33" t="str">
        <f>_xlfn.XLOOKUP(TablaSTOCKINV[[#This Row],[SKU]],TablaINVENTARIO[SKU],TablaINVENTARIO[SUBCATEGORIA])</f>
        <v>ARTEFACTO ELETRÓNICO</v>
      </c>
      <c r="F1061" s="33" t="str">
        <f>_xlfn.XLOOKUP(TablaSTOCKINV[[#This Row],[SKU]],TablaINVENTARIO[SKU],TablaINVENTARIO[ESTADO])</f>
        <v xml:space="preserve">NUEVO </v>
      </c>
      <c r="G1061" s="33" t="str">
        <f>_xlfn.XLOOKUP(TablaSTOCKINV[[#This Row],[SKU]],TablaINVENTARIO[SKU],TablaINVENTARIO[MEDIDA])</f>
        <v>UND</v>
      </c>
      <c r="H1061" s="33" t="str">
        <f>_xlfn.XLOOKUP(TablaSTOCKINV[[#This Row],[SKU]],TablaINVENTARIO[SKU],TablaINVENTARIO[SERIAL])</f>
        <v>N/A</v>
      </c>
      <c r="I1061" s="34">
        <f>_xlfn.XLOOKUP(TablaSTOCKINV[[#This Row],[SKU]],TablaINVENTARIO[SKU],TablaINVENTARIO[ALMACEN])</f>
        <v>0</v>
      </c>
      <c r="J1061" s="34" t="str">
        <f>_xlfn.XLOOKUP(TablaSTOCKINV[[#This Row],[SKU]],TablaINVENTARIO[SKU],TablaINVENTARIO[UBICACION])</f>
        <v>3B</v>
      </c>
      <c r="K1061" s="34" t="str">
        <f>_xlfn.XLOOKUP(TablaSTOCKINV[[#This Row],[SKU]],TablaINVENTARIO[SKU],TablaINVENTARIO[DPTO RESPONSABLE])</f>
        <v>OPERACIONES</v>
      </c>
      <c r="L1061" s="53">
        <f>_xlfn.XLOOKUP(TablaSTOCKINV[[#This Row],[SKU]],TablaINVENTARIO[SKU],TablaINVENTARIO[RANGO MIN])</f>
        <v>0</v>
      </c>
      <c r="M1061" s="34" cm="1">
        <f t="array" ref="M1061">_xlfn.IFS(TablaSTOCKINV[[#This Row],[CANT. TOTAL]]&lt;=0,1,TablaSTOCKINV[[#This Row],[CANT. TOTAL]]&lt;=TablaSTOCKINV[[#This Row],[MIN]],2,TablaSTOCKINV[[#This Row],[CANT. TOTAL]]&gt;TablaSTOCKINV[[#This Row],[MIN]],3)</f>
        <v>3</v>
      </c>
      <c r="N1061" s="34">
        <f>TablaSTOCKINV[[#This Row],[ENTRADAS]]-TablaSTOCKINV[[#This Row],[SALIDAS]]</f>
        <v>4</v>
      </c>
      <c r="O1061" s="35">
        <f>SUMIFS(TablaENTRADA[CANT],TablaENTRADA[SKU],TablaSTOCKINV[[#This Row],[SKU]])</f>
        <v>4</v>
      </c>
      <c r="P1061" s="35">
        <f>SUMIFS(TablaSALIDA[CANT],TablaSALIDA[SKU],TablaSTOCKINV[[#This Row],[SKU]])</f>
        <v>0</v>
      </c>
      <c r="Q1061" s="34">
        <f>_xlfn.XLOOKUP(TablaSTOCKINV[[#This Row],[SKU]],TablaINVENTARIO[SKU],TablaINVENTARIO[PRECIO])</f>
        <v>0</v>
      </c>
      <c r="R1061" s="34">
        <f>TablaSTOCKINV[[#This Row],[P.UNITARIO]]*TablaSTOCKINV[[#This Row],[CANT. TOTAL]]</f>
        <v>0</v>
      </c>
      <c r="S1061" s="44">
        <f>_xlfn.XLOOKUP(TablaSTOCKINV[[#This Row],[SKU]],TablaINVENTARIO[SKU],TablaINVENTARIO[FECHA INGRESO])</f>
        <v>46023</v>
      </c>
      <c r="T1061" s="44">
        <f>_xlfn.XLOOKUP(TablaSTOCKINV[[#This Row],[SKU]],TablaENTRADA[SKU],TablaENTRADA[FECHA],,0,-1)</f>
        <v>46023</v>
      </c>
      <c r="U1061" s="46" t="str">
        <f>IFERROR((_xlfn.XLOOKUP(TablaSTOCKINV[[#This Row],[SKU]],TablaSALIDA[SKU],TablaSALIDA[FECHA],,0,-1))," " )</f>
        <v xml:space="preserve"> </v>
      </c>
    </row>
    <row r="1062" spans="1:21" x14ac:dyDescent="0.3">
      <c r="A1062" s="27" t="s">
        <v>1223</v>
      </c>
      <c r="B1062" s="32" t="str">
        <f>_xlfn.XLOOKUP(TablaSTOCKINV[[#This Row],[SKU]],TablaINVENTARIO[SKU],TablaINVENTARIO[DESCRIPCION])</f>
        <v xml:space="preserve">COMPACT / CABLE DE EXTRANSION DE DERECHA A IZQUIERDA </v>
      </c>
      <c r="C1062" s="32" t="str">
        <f>_xlfn.XLOOKUP(TablaSTOCKINV[[#This Row],[SKU]],TablaINVENTARIO[SKU],TablaINVENTARIO[MARCA])</f>
        <v>ALLEN BRADLEY</v>
      </c>
      <c r="D1062" s="33" t="str">
        <f>_xlfn.XLOOKUP(TablaSTOCKINV[[#This Row],[SKU]],TablaINVENTARIO[SKU],TablaINVENTARIO[CATEGORIA])</f>
        <v>FABRICACION</v>
      </c>
      <c r="E1062" s="33" t="str">
        <f>_xlfn.XLOOKUP(TablaSTOCKINV[[#This Row],[SKU]],TablaINVENTARIO[SKU],TablaINVENTARIO[SUBCATEGORIA])</f>
        <v>ARTEFACTO ELETRÓNICO</v>
      </c>
      <c r="F1062" s="33" t="str">
        <f>_xlfn.XLOOKUP(TablaSTOCKINV[[#This Row],[SKU]],TablaINVENTARIO[SKU],TablaINVENTARIO[ESTADO])</f>
        <v xml:space="preserve">NUEVO </v>
      </c>
      <c r="G1062" s="33" t="str">
        <f>_xlfn.XLOOKUP(TablaSTOCKINV[[#This Row],[SKU]],TablaINVENTARIO[SKU],TablaINVENTARIO[MEDIDA])</f>
        <v>MTS</v>
      </c>
      <c r="H1062" s="33" t="str">
        <f>_xlfn.XLOOKUP(TablaSTOCKINV[[#This Row],[SKU]],TablaINVENTARIO[SKU],TablaINVENTARIO[SERIAL])</f>
        <v>N/A</v>
      </c>
      <c r="I1062" s="34">
        <f>_xlfn.XLOOKUP(TablaSTOCKINV[[#This Row],[SKU]],TablaINVENTARIO[SKU],TablaINVENTARIO[ALMACEN])</f>
        <v>0</v>
      </c>
      <c r="J1062" s="34" t="str">
        <f>_xlfn.XLOOKUP(TablaSTOCKINV[[#This Row],[SKU]],TablaINVENTARIO[SKU],TablaINVENTARIO[UBICACION])</f>
        <v>3B</v>
      </c>
      <c r="K1062" s="34" t="str">
        <f>_xlfn.XLOOKUP(TablaSTOCKINV[[#This Row],[SKU]],TablaINVENTARIO[SKU],TablaINVENTARIO[DPTO RESPONSABLE])</f>
        <v>OPERACIONES</v>
      </c>
      <c r="L1062" s="53">
        <f>_xlfn.XLOOKUP(TablaSTOCKINV[[#This Row],[SKU]],TablaINVENTARIO[SKU],TablaINVENTARIO[RANGO MIN])</f>
        <v>0</v>
      </c>
      <c r="M1062" s="34" cm="1">
        <f t="array" ref="M1062">_xlfn.IFS(TablaSTOCKINV[[#This Row],[CANT. TOTAL]]&lt;=0,1,TablaSTOCKINV[[#This Row],[CANT. TOTAL]]&lt;=TablaSTOCKINV[[#This Row],[MIN]],2,TablaSTOCKINV[[#This Row],[CANT. TOTAL]]&gt;TablaSTOCKINV[[#This Row],[MIN]],3)</f>
        <v>3</v>
      </c>
      <c r="N1062" s="34">
        <f>TablaSTOCKINV[[#This Row],[ENTRADAS]]-TablaSTOCKINV[[#This Row],[SALIDAS]]</f>
        <v>1</v>
      </c>
      <c r="O1062" s="35">
        <f>SUMIFS(TablaENTRADA[CANT],TablaENTRADA[SKU],TablaSTOCKINV[[#This Row],[SKU]])</f>
        <v>1</v>
      </c>
      <c r="P1062" s="35">
        <f>SUMIFS(TablaSALIDA[CANT],TablaSALIDA[SKU],TablaSTOCKINV[[#This Row],[SKU]])</f>
        <v>0</v>
      </c>
      <c r="Q1062" s="34">
        <f>_xlfn.XLOOKUP(TablaSTOCKINV[[#This Row],[SKU]],TablaINVENTARIO[SKU],TablaINVENTARIO[PRECIO])</f>
        <v>0</v>
      </c>
      <c r="R1062" s="34">
        <f>TablaSTOCKINV[[#This Row],[P.UNITARIO]]*TablaSTOCKINV[[#This Row],[CANT. TOTAL]]</f>
        <v>0</v>
      </c>
      <c r="S1062" s="44">
        <f>_xlfn.XLOOKUP(TablaSTOCKINV[[#This Row],[SKU]],TablaINVENTARIO[SKU],TablaINVENTARIO[FECHA INGRESO])</f>
        <v>46023</v>
      </c>
      <c r="T1062" s="44">
        <f>_xlfn.XLOOKUP(TablaSTOCKINV[[#This Row],[SKU]],TablaENTRADA[SKU],TablaENTRADA[FECHA],,0,-1)</f>
        <v>46023</v>
      </c>
      <c r="U1062" s="46" t="str">
        <f>IFERROR((_xlfn.XLOOKUP(TablaSTOCKINV[[#This Row],[SKU]],TablaSALIDA[SKU],TablaSALIDA[FECHA],,0,-1))," " )</f>
        <v xml:space="preserve"> </v>
      </c>
    </row>
    <row r="1063" spans="1:21" x14ac:dyDescent="0.3">
      <c r="A1063" s="27" t="s">
        <v>1226</v>
      </c>
      <c r="B1063" s="32" t="str">
        <f>_xlfn.XLOOKUP(TablaSTOCKINV[[#This Row],[SKU]],TablaINVENTARIO[SKU],TablaINVENTARIO[DESCRIPCION])</f>
        <v xml:space="preserve">TARJETA MADRE </v>
      </c>
      <c r="C1063" s="32" t="str">
        <f>_xlfn.XLOOKUP(TablaSTOCKINV[[#This Row],[SKU]],TablaINVENTARIO[SKU],TablaINVENTARIO[MARCA])</f>
        <v>N/A</v>
      </c>
      <c r="D1063" s="33" t="str">
        <f>_xlfn.XLOOKUP(TablaSTOCKINV[[#This Row],[SKU]],TablaINVENTARIO[SKU],TablaINVENTARIO[CATEGORIA])</f>
        <v>FABRICACION</v>
      </c>
      <c r="E1063" s="33" t="str">
        <f>_xlfn.XLOOKUP(TablaSTOCKINV[[#This Row],[SKU]],TablaINVENTARIO[SKU],TablaINVENTARIO[SUBCATEGORIA])</f>
        <v>ARTEFACTO ELETRÓNICO</v>
      </c>
      <c r="F1063" s="33" t="str">
        <f>_xlfn.XLOOKUP(TablaSTOCKINV[[#This Row],[SKU]],TablaINVENTARIO[SKU],TablaINVENTARIO[ESTADO])</f>
        <v xml:space="preserve">NUEVO </v>
      </c>
      <c r="G1063" s="33" t="str">
        <f>_xlfn.XLOOKUP(TablaSTOCKINV[[#This Row],[SKU]],TablaINVENTARIO[SKU],TablaINVENTARIO[MEDIDA])</f>
        <v>UND</v>
      </c>
      <c r="H1063" s="33" t="str">
        <f>_xlfn.XLOOKUP(TablaSTOCKINV[[#This Row],[SKU]],TablaINVENTARIO[SKU],TablaINVENTARIO[SERIAL])</f>
        <v>N/A</v>
      </c>
      <c r="I1063" s="34">
        <f>_xlfn.XLOOKUP(TablaSTOCKINV[[#This Row],[SKU]],TablaINVENTARIO[SKU],TablaINVENTARIO[ALMACEN])</f>
        <v>0</v>
      </c>
      <c r="J1063" s="34" t="str">
        <f>_xlfn.XLOOKUP(TablaSTOCKINV[[#This Row],[SKU]],TablaINVENTARIO[SKU],TablaINVENTARIO[UBICACION])</f>
        <v>3B</v>
      </c>
      <c r="K1063" s="34" t="str">
        <f>_xlfn.XLOOKUP(TablaSTOCKINV[[#This Row],[SKU]],TablaINVENTARIO[SKU],TablaINVENTARIO[DPTO RESPONSABLE])</f>
        <v>OPERACIONES</v>
      </c>
      <c r="L1063" s="53">
        <f>_xlfn.XLOOKUP(TablaSTOCKINV[[#This Row],[SKU]],TablaINVENTARIO[SKU],TablaINVENTARIO[RANGO MIN])</f>
        <v>0</v>
      </c>
      <c r="M1063" s="34" cm="1">
        <f t="array" ref="M1063">_xlfn.IFS(TablaSTOCKINV[[#This Row],[CANT. TOTAL]]&lt;=0,1,TablaSTOCKINV[[#This Row],[CANT. TOTAL]]&lt;=TablaSTOCKINV[[#This Row],[MIN]],2,TablaSTOCKINV[[#This Row],[CANT. TOTAL]]&gt;TablaSTOCKINV[[#This Row],[MIN]],3)</f>
        <v>3</v>
      </c>
      <c r="N1063" s="34">
        <f>TablaSTOCKINV[[#This Row],[ENTRADAS]]-TablaSTOCKINV[[#This Row],[SALIDAS]]</f>
        <v>2</v>
      </c>
      <c r="O1063" s="35">
        <f>SUMIFS(TablaENTRADA[CANT],TablaENTRADA[SKU],TablaSTOCKINV[[#This Row],[SKU]])</f>
        <v>2</v>
      </c>
      <c r="P1063" s="35">
        <f>SUMIFS(TablaSALIDA[CANT],TablaSALIDA[SKU],TablaSTOCKINV[[#This Row],[SKU]])</f>
        <v>0</v>
      </c>
      <c r="Q1063" s="34">
        <f>_xlfn.XLOOKUP(TablaSTOCKINV[[#This Row],[SKU]],TablaINVENTARIO[SKU],TablaINVENTARIO[PRECIO])</f>
        <v>0</v>
      </c>
      <c r="R1063" s="34">
        <f>TablaSTOCKINV[[#This Row],[P.UNITARIO]]*TablaSTOCKINV[[#This Row],[CANT. TOTAL]]</f>
        <v>0</v>
      </c>
      <c r="S1063" s="44">
        <f>_xlfn.XLOOKUP(TablaSTOCKINV[[#This Row],[SKU]],TablaINVENTARIO[SKU],TablaINVENTARIO[FECHA INGRESO])</f>
        <v>46023</v>
      </c>
      <c r="T1063" s="44">
        <f>_xlfn.XLOOKUP(TablaSTOCKINV[[#This Row],[SKU]],TablaENTRADA[SKU],TablaENTRADA[FECHA],,0,-1)</f>
        <v>46023</v>
      </c>
      <c r="U1063" s="46" t="str">
        <f>IFERROR((_xlfn.XLOOKUP(TablaSTOCKINV[[#This Row],[SKU]],TablaSALIDA[SKU],TablaSALIDA[FECHA],,0,-1))," " )</f>
        <v xml:space="preserve"> </v>
      </c>
    </row>
    <row r="1064" spans="1:21" x14ac:dyDescent="0.3">
      <c r="A1064" s="27" t="s">
        <v>1228</v>
      </c>
      <c r="B1064" s="32" t="str">
        <f>_xlfn.XLOOKUP(TablaSTOCKINV[[#This Row],[SKU]],TablaINVENTARIO[SKU],TablaINVENTARIO[DESCRIPCION])</f>
        <v xml:space="preserve">INTERFACE DE COMUNICACIÓN </v>
      </c>
      <c r="C1064" s="32" t="str">
        <f>_xlfn.XLOOKUP(TablaSTOCKINV[[#This Row],[SKU]],TablaINVENTARIO[SKU],TablaINVENTARIO[MARCA])</f>
        <v>KONTRON</v>
      </c>
      <c r="D1064" s="33" t="str">
        <f>_xlfn.XLOOKUP(TablaSTOCKINV[[#This Row],[SKU]],TablaINVENTARIO[SKU],TablaINVENTARIO[CATEGORIA])</f>
        <v>FABRICACION</v>
      </c>
      <c r="E1064" s="33" t="str">
        <f>_xlfn.XLOOKUP(TablaSTOCKINV[[#This Row],[SKU]],TablaINVENTARIO[SKU],TablaINVENTARIO[SUBCATEGORIA])</f>
        <v>ARTEFACTO ELETRÓNICO</v>
      </c>
      <c r="F1064" s="33" t="str">
        <f>_xlfn.XLOOKUP(TablaSTOCKINV[[#This Row],[SKU]],TablaINVENTARIO[SKU],TablaINVENTARIO[ESTADO])</f>
        <v xml:space="preserve">NUEVO </v>
      </c>
      <c r="G1064" s="33" t="str">
        <f>_xlfn.XLOOKUP(TablaSTOCKINV[[#This Row],[SKU]],TablaINVENTARIO[SKU],TablaINVENTARIO[MEDIDA])</f>
        <v>UND</v>
      </c>
      <c r="H1064" s="33" t="str">
        <f>_xlfn.XLOOKUP(TablaSTOCKINV[[#This Row],[SKU]],TablaINVENTARIO[SKU],TablaINVENTARIO[SERIAL])</f>
        <v>N/A</v>
      </c>
      <c r="I1064" s="34">
        <f>_xlfn.XLOOKUP(TablaSTOCKINV[[#This Row],[SKU]],TablaINVENTARIO[SKU],TablaINVENTARIO[ALMACEN])</f>
        <v>0</v>
      </c>
      <c r="J1064" s="34" t="str">
        <f>_xlfn.XLOOKUP(TablaSTOCKINV[[#This Row],[SKU]],TablaINVENTARIO[SKU],TablaINVENTARIO[UBICACION])</f>
        <v>3B</v>
      </c>
      <c r="K1064" s="34" t="str">
        <f>_xlfn.XLOOKUP(TablaSTOCKINV[[#This Row],[SKU]],TablaINVENTARIO[SKU],TablaINVENTARIO[DPTO RESPONSABLE])</f>
        <v>OPERACIONES</v>
      </c>
      <c r="L1064" s="53">
        <f>_xlfn.XLOOKUP(TablaSTOCKINV[[#This Row],[SKU]],TablaINVENTARIO[SKU],TablaINVENTARIO[RANGO MIN])</f>
        <v>0</v>
      </c>
      <c r="M1064" s="34" cm="1">
        <f t="array" ref="M1064">_xlfn.IFS(TablaSTOCKINV[[#This Row],[CANT. TOTAL]]&lt;=0,1,TablaSTOCKINV[[#This Row],[CANT. TOTAL]]&lt;=TablaSTOCKINV[[#This Row],[MIN]],2,TablaSTOCKINV[[#This Row],[CANT. TOTAL]]&gt;TablaSTOCKINV[[#This Row],[MIN]],3)</f>
        <v>3</v>
      </c>
      <c r="N1064" s="34">
        <f>TablaSTOCKINV[[#This Row],[ENTRADAS]]-TablaSTOCKINV[[#This Row],[SALIDAS]]</f>
        <v>1</v>
      </c>
      <c r="O1064" s="35">
        <f>SUMIFS(TablaENTRADA[CANT],TablaENTRADA[SKU],TablaSTOCKINV[[#This Row],[SKU]])</f>
        <v>1</v>
      </c>
      <c r="P1064" s="35">
        <f>SUMIFS(TablaSALIDA[CANT],TablaSALIDA[SKU],TablaSTOCKINV[[#This Row],[SKU]])</f>
        <v>0</v>
      </c>
      <c r="Q1064" s="34">
        <f>_xlfn.XLOOKUP(TablaSTOCKINV[[#This Row],[SKU]],TablaINVENTARIO[SKU],TablaINVENTARIO[PRECIO])</f>
        <v>0</v>
      </c>
      <c r="R1064" s="34">
        <f>TablaSTOCKINV[[#This Row],[P.UNITARIO]]*TablaSTOCKINV[[#This Row],[CANT. TOTAL]]</f>
        <v>0</v>
      </c>
      <c r="S1064" s="44">
        <f>_xlfn.XLOOKUP(TablaSTOCKINV[[#This Row],[SKU]],TablaINVENTARIO[SKU],TablaINVENTARIO[FECHA INGRESO])</f>
        <v>46023</v>
      </c>
      <c r="T1064" s="44">
        <f>_xlfn.XLOOKUP(TablaSTOCKINV[[#This Row],[SKU]],TablaENTRADA[SKU],TablaENTRADA[FECHA],,0,-1)</f>
        <v>46023</v>
      </c>
      <c r="U1064" s="46" t="str">
        <f>IFERROR((_xlfn.XLOOKUP(TablaSTOCKINV[[#This Row],[SKU]],TablaSALIDA[SKU],TablaSALIDA[FECHA],,0,-1))," " )</f>
        <v xml:space="preserve"> </v>
      </c>
    </row>
    <row r="1065" spans="1:21" x14ac:dyDescent="0.3">
      <c r="A1065" s="27" t="s">
        <v>1231</v>
      </c>
      <c r="B1065" s="32" t="str">
        <f>_xlfn.XLOOKUP(TablaSTOCKINV[[#This Row],[SKU]],TablaINVENTARIO[SKU],TablaINVENTARIO[DESCRIPCION])</f>
        <v>INTERFAZ DE COMUNICACIÓN SERIAL ULTRA-485</v>
      </c>
      <c r="C1065" s="32" t="str">
        <f>_xlfn.XLOOKUP(TablaSTOCKINV[[#This Row],[SKU]],TablaINVENTARIO[SKU],TablaINVENTARIO[MARCA])</f>
        <v>KONTRON</v>
      </c>
      <c r="D1065" s="33" t="str">
        <f>_xlfn.XLOOKUP(TablaSTOCKINV[[#This Row],[SKU]],TablaINVENTARIO[SKU],TablaINVENTARIO[CATEGORIA])</f>
        <v>FABRICACION</v>
      </c>
      <c r="E1065" s="33" t="str">
        <f>_xlfn.XLOOKUP(TablaSTOCKINV[[#This Row],[SKU]],TablaINVENTARIO[SKU],TablaINVENTARIO[SUBCATEGORIA])</f>
        <v>ARTEFACTO ELETRÓNICO</v>
      </c>
      <c r="F1065" s="33" t="str">
        <f>_xlfn.XLOOKUP(TablaSTOCKINV[[#This Row],[SKU]],TablaINVENTARIO[SKU],TablaINVENTARIO[ESTADO])</f>
        <v>NUEVO</v>
      </c>
      <c r="G1065" s="33" t="str">
        <f>_xlfn.XLOOKUP(TablaSTOCKINV[[#This Row],[SKU]],TablaINVENTARIO[SKU],TablaINVENTARIO[MEDIDA])</f>
        <v>UND</v>
      </c>
      <c r="H1065" s="33">
        <f>_xlfn.XLOOKUP(TablaSTOCKINV[[#This Row],[SKU]],TablaINVENTARIO[SKU],TablaINVENTARIO[SERIAL])</f>
        <v>186950</v>
      </c>
      <c r="I1065" s="34">
        <f>_xlfn.XLOOKUP(TablaSTOCKINV[[#This Row],[SKU]],TablaINVENTARIO[SKU],TablaINVENTARIO[ALMACEN])</f>
        <v>0</v>
      </c>
      <c r="J1065" s="34" t="str">
        <f>_xlfn.XLOOKUP(TablaSTOCKINV[[#This Row],[SKU]],TablaINVENTARIO[SKU],TablaINVENTARIO[UBICACION])</f>
        <v>3B</v>
      </c>
      <c r="K1065" s="34" t="str">
        <f>_xlfn.XLOOKUP(TablaSTOCKINV[[#This Row],[SKU]],TablaINVENTARIO[SKU],TablaINVENTARIO[DPTO RESPONSABLE])</f>
        <v>OPERACIONES</v>
      </c>
      <c r="L1065" s="53">
        <f>_xlfn.XLOOKUP(TablaSTOCKINV[[#This Row],[SKU]],TablaINVENTARIO[SKU],TablaINVENTARIO[RANGO MIN])</f>
        <v>0</v>
      </c>
      <c r="M1065" s="34" cm="1">
        <f t="array" ref="M1065">_xlfn.IFS(TablaSTOCKINV[[#This Row],[CANT. TOTAL]]&lt;=0,1,TablaSTOCKINV[[#This Row],[CANT. TOTAL]]&lt;=TablaSTOCKINV[[#This Row],[MIN]],2,TablaSTOCKINV[[#This Row],[CANT. TOTAL]]&gt;TablaSTOCKINV[[#This Row],[MIN]],3)</f>
        <v>3</v>
      </c>
      <c r="N1065" s="34">
        <f>TablaSTOCKINV[[#This Row],[ENTRADAS]]-TablaSTOCKINV[[#This Row],[SALIDAS]]</f>
        <v>1</v>
      </c>
      <c r="O1065" s="35">
        <f>SUMIFS(TablaENTRADA[CANT],TablaENTRADA[SKU],TablaSTOCKINV[[#This Row],[SKU]])</f>
        <v>1</v>
      </c>
      <c r="P1065" s="35">
        <f>SUMIFS(TablaSALIDA[CANT],TablaSALIDA[SKU],TablaSTOCKINV[[#This Row],[SKU]])</f>
        <v>0</v>
      </c>
      <c r="Q1065" s="34">
        <f>_xlfn.XLOOKUP(TablaSTOCKINV[[#This Row],[SKU]],TablaINVENTARIO[SKU],TablaINVENTARIO[PRECIO])</f>
        <v>0</v>
      </c>
      <c r="R1065" s="34">
        <f>TablaSTOCKINV[[#This Row],[P.UNITARIO]]*TablaSTOCKINV[[#This Row],[CANT. TOTAL]]</f>
        <v>0</v>
      </c>
      <c r="S1065" s="44">
        <f>_xlfn.XLOOKUP(TablaSTOCKINV[[#This Row],[SKU]],TablaINVENTARIO[SKU],TablaINVENTARIO[FECHA INGRESO])</f>
        <v>46023</v>
      </c>
      <c r="T1065" s="44">
        <f>_xlfn.XLOOKUP(TablaSTOCKINV[[#This Row],[SKU]],TablaENTRADA[SKU],TablaENTRADA[FECHA],,0,-1)</f>
        <v>46023</v>
      </c>
      <c r="U1065" s="46" t="str">
        <f>IFERROR((_xlfn.XLOOKUP(TablaSTOCKINV[[#This Row],[SKU]],TablaSALIDA[SKU],TablaSALIDA[FECHA],,0,-1))," " )</f>
        <v xml:space="preserve"> </v>
      </c>
    </row>
    <row r="1066" spans="1:21" x14ac:dyDescent="0.3">
      <c r="A1066" s="27" t="s">
        <v>1233</v>
      </c>
      <c r="B1066" s="32" t="str">
        <f>_xlfn.XLOOKUP(TablaSTOCKINV[[#This Row],[SKU]],TablaINVENTARIO[SKU],TablaINVENTARIO[DESCRIPCION])</f>
        <v>INTERFAZ DE COMUNICACIÓN SERIAL ULTRA-485</v>
      </c>
      <c r="C1066" s="32" t="str">
        <f>_xlfn.XLOOKUP(TablaSTOCKINV[[#This Row],[SKU]],TablaINVENTARIO[SKU],TablaINVENTARIO[MARCA])</f>
        <v>KONTRON</v>
      </c>
      <c r="D1066" s="33" t="str">
        <f>_xlfn.XLOOKUP(TablaSTOCKINV[[#This Row],[SKU]],TablaINVENTARIO[SKU],TablaINVENTARIO[CATEGORIA])</f>
        <v>FABRICACION</v>
      </c>
      <c r="E1066" s="33" t="str">
        <f>_xlfn.XLOOKUP(TablaSTOCKINV[[#This Row],[SKU]],TablaINVENTARIO[SKU],TablaINVENTARIO[SUBCATEGORIA])</f>
        <v>ARTEFACTO ELETRÓNICO</v>
      </c>
      <c r="F1066" s="33" t="str">
        <f>_xlfn.XLOOKUP(TablaSTOCKINV[[#This Row],[SKU]],TablaINVENTARIO[SKU],TablaINVENTARIO[ESTADO])</f>
        <v>NUEVO</v>
      </c>
      <c r="G1066" s="33" t="str">
        <f>_xlfn.XLOOKUP(TablaSTOCKINV[[#This Row],[SKU]],TablaINVENTARIO[SKU],TablaINVENTARIO[MEDIDA])</f>
        <v>UND</v>
      </c>
      <c r="H1066" s="33">
        <f>_xlfn.XLOOKUP(TablaSTOCKINV[[#This Row],[SKU]],TablaINVENTARIO[SKU],TablaINVENTARIO[SERIAL])</f>
        <v>140085</v>
      </c>
      <c r="I1066" s="34">
        <f>_xlfn.XLOOKUP(TablaSTOCKINV[[#This Row],[SKU]],TablaINVENTARIO[SKU],TablaINVENTARIO[ALMACEN])</f>
        <v>0</v>
      </c>
      <c r="J1066" s="34" t="str">
        <f>_xlfn.XLOOKUP(TablaSTOCKINV[[#This Row],[SKU]],TablaINVENTARIO[SKU],TablaINVENTARIO[UBICACION])</f>
        <v>3B</v>
      </c>
      <c r="K1066" s="34" t="str">
        <f>_xlfn.XLOOKUP(TablaSTOCKINV[[#This Row],[SKU]],TablaINVENTARIO[SKU],TablaINVENTARIO[DPTO RESPONSABLE])</f>
        <v>OPERACIONES</v>
      </c>
      <c r="L1066" s="53">
        <f>_xlfn.XLOOKUP(TablaSTOCKINV[[#This Row],[SKU]],TablaINVENTARIO[SKU],TablaINVENTARIO[RANGO MIN])</f>
        <v>0</v>
      </c>
      <c r="M1066" s="34" cm="1">
        <f t="array" ref="M1066">_xlfn.IFS(TablaSTOCKINV[[#This Row],[CANT. TOTAL]]&lt;=0,1,TablaSTOCKINV[[#This Row],[CANT. TOTAL]]&lt;=TablaSTOCKINV[[#This Row],[MIN]],2,TablaSTOCKINV[[#This Row],[CANT. TOTAL]]&gt;TablaSTOCKINV[[#This Row],[MIN]],3)</f>
        <v>3</v>
      </c>
      <c r="N1066" s="34">
        <f>TablaSTOCKINV[[#This Row],[ENTRADAS]]-TablaSTOCKINV[[#This Row],[SALIDAS]]</f>
        <v>1</v>
      </c>
      <c r="O1066" s="35">
        <f>SUMIFS(TablaENTRADA[CANT],TablaENTRADA[SKU],TablaSTOCKINV[[#This Row],[SKU]])</f>
        <v>1</v>
      </c>
      <c r="P1066" s="35">
        <f>SUMIFS(TablaSALIDA[CANT],TablaSALIDA[SKU],TablaSTOCKINV[[#This Row],[SKU]])</f>
        <v>0</v>
      </c>
      <c r="Q1066" s="34">
        <f>_xlfn.XLOOKUP(TablaSTOCKINV[[#This Row],[SKU]],TablaINVENTARIO[SKU],TablaINVENTARIO[PRECIO])</f>
        <v>0</v>
      </c>
      <c r="R1066" s="34">
        <f>TablaSTOCKINV[[#This Row],[P.UNITARIO]]*TablaSTOCKINV[[#This Row],[CANT. TOTAL]]</f>
        <v>0</v>
      </c>
      <c r="S1066" s="44">
        <f>_xlfn.XLOOKUP(TablaSTOCKINV[[#This Row],[SKU]],TablaINVENTARIO[SKU],TablaINVENTARIO[FECHA INGRESO])</f>
        <v>46023</v>
      </c>
      <c r="T1066" s="44">
        <f>_xlfn.XLOOKUP(TablaSTOCKINV[[#This Row],[SKU]],TablaENTRADA[SKU],TablaENTRADA[FECHA],,0,-1)</f>
        <v>46023</v>
      </c>
      <c r="U1066" s="46" t="str">
        <f>IFERROR((_xlfn.XLOOKUP(TablaSTOCKINV[[#This Row],[SKU]],TablaSALIDA[SKU],TablaSALIDA[FECHA],,0,-1))," " )</f>
        <v xml:space="preserve"> </v>
      </c>
    </row>
    <row r="1067" spans="1:21" x14ac:dyDescent="0.3">
      <c r="A1067" s="27" t="s">
        <v>1234</v>
      </c>
      <c r="B1067" s="32" t="str">
        <f>_xlfn.XLOOKUP(TablaSTOCKINV[[#This Row],[SKU]],TablaINVENTARIO[SKU],TablaINVENTARIO[DESCRIPCION])</f>
        <v>CONJUNTO PLC</v>
      </c>
      <c r="C1067" s="32" t="str">
        <f>_xlfn.XLOOKUP(TablaSTOCKINV[[#This Row],[SKU]],TablaINVENTARIO[SKU],TablaINVENTARIO[MARCA])</f>
        <v>N/A</v>
      </c>
      <c r="D1067" s="33" t="str">
        <f>_xlfn.XLOOKUP(TablaSTOCKINV[[#This Row],[SKU]],TablaINVENTARIO[SKU],TablaINVENTARIO[CATEGORIA])</f>
        <v>FABRICACION</v>
      </c>
      <c r="E1067" s="33" t="str">
        <f>_xlfn.XLOOKUP(TablaSTOCKINV[[#This Row],[SKU]],TablaINVENTARIO[SKU],TablaINVENTARIO[SUBCATEGORIA])</f>
        <v>ARTEFACTO ELETRÓNICO</v>
      </c>
      <c r="F1067" s="33" t="str">
        <f>_xlfn.XLOOKUP(TablaSTOCKINV[[#This Row],[SKU]],TablaINVENTARIO[SKU],TablaINVENTARIO[ESTADO])</f>
        <v>NUEVO</v>
      </c>
      <c r="G1067" s="33" t="str">
        <f>_xlfn.XLOOKUP(TablaSTOCKINV[[#This Row],[SKU]],TablaINVENTARIO[SKU],TablaINVENTARIO[MEDIDA])</f>
        <v>UND</v>
      </c>
      <c r="H1067" s="33" t="str">
        <f>_xlfn.XLOOKUP(TablaSTOCKINV[[#This Row],[SKU]],TablaINVENTARIO[SKU],TablaINVENTARIO[SERIAL])</f>
        <v>N/A</v>
      </c>
      <c r="I1067" s="34">
        <f>_xlfn.XLOOKUP(TablaSTOCKINV[[#This Row],[SKU]],TablaINVENTARIO[SKU],TablaINVENTARIO[ALMACEN])</f>
        <v>0</v>
      </c>
      <c r="J1067" s="34" t="str">
        <f>_xlfn.XLOOKUP(TablaSTOCKINV[[#This Row],[SKU]],TablaINVENTARIO[SKU],TablaINVENTARIO[UBICACION])</f>
        <v>3B</v>
      </c>
      <c r="K1067" s="34" t="str">
        <f>_xlfn.XLOOKUP(TablaSTOCKINV[[#This Row],[SKU]],TablaINVENTARIO[SKU],TablaINVENTARIO[DPTO RESPONSABLE])</f>
        <v>OPERACIONES</v>
      </c>
      <c r="L1067" s="53">
        <f>_xlfn.XLOOKUP(TablaSTOCKINV[[#This Row],[SKU]],TablaINVENTARIO[SKU],TablaINVENTARIO[RANGO MIN])</f>
        <v>0</v>
      </c>
      <c r="M1067" s="34" cm="1">
        <f t="array" ref="M1067">_xlfn.IFS(TablaSTOCKINV[[#This Row],[CANT. TOTAL]]&lt;=0,1,TablaSTOCKINV[[#This Row],[CANT. TOTAL]]&lt;=TablaSTOCKINV[[#This Row],[MIN]],2,TablaSTOCKINV[[#This Row],[CANT. TOTAL]]&gt;TablaSTOCKINV[[#This Row],[MIN]],3)</f>
        <v>3</v>
      </c>
      <c r="N1067" s="34">
        <f>TablaSTOCKINV[[#This Row],[ENTRADAS]]-TablaSTOCKINV[[#This Row],[SALIDAS]]</f>
        <v>1</v>
      </c>
      <c r="O1067" s="35">
        <f>SUMIFS(TablaENTRADA[CANT],TablaENTRADA[SKU],TablaSTOCKINV[[#This Row],[SKU]])</f>
        <v>1</v>
      </c>
      <c r="P1067" s="35">
        <f>SUMIFS(TablaSALIDA[CANT],TablaSALIDA[SKU],TablaSTOCKINV[[#This Row],[SKU]])</f>
        <v>0</v>
      </c>
      <c r="Q1067" s="34">
        <f>_xlfn.XLOOKUP(TablaSTOCKINV[[#This Row],[SKU]],TablaINVENTARIO[SKU],TablaINVENTARIO[PRECIO])</f>
        <v>0</v>
      </c>
      <c r="R1067" s="34">
        <f>TablaSTOCKINV[[#This Row],[P.UNITARIO]]*TablaSTOCKINV[[#This Row],[CANT. TOTAL]]</f>
        <v>0</v>
      </c>
      <c r="S1067" s="44">
        <f>_xlfn.XLOOKUP(TablaSTOCKINV[[#This Row],[SKU]],TablaINVENTARIO[SKU],TablaINVENTARIO[FECHA INGRESO])</f>
        <v>46023</v>
      </c>
      <c r="T1067" s="44">
        <f>_xlfn.XLOOKUP(TablaSTOCKINV[[#This Row],[SKU]],TablaENTRADA[SKU],TablaENTRADA[FECHA],,0,-1)</f>
        <v>46023</v>
      </c>
      <c r="U1067" s="46" t="str">
        <f>IFERROR((_xlfn.XLOOKUP(TablaSTOCKINV[[#This Row],[SKU]],TablaSALIDA[SKU],TablaSALIDA[FECHA],,0,-1))," " )</f>
        <v xml:space="preserve"> </v>
      </c>
    </row>
    <row r="1068" spans="1:21" x14ac:dyDescent="0.3">
      <c r="A1068" s="27" t="s">
        <v>1236</v>
      </c>
      <c r="B1068" s="32" t="str">
        <f>_xlfn.XLOOKUP(TablaSTOCKINV[[#This Row],[SKU]],TablaINVENTARIO[SKU],TablaINVENTARIO[DESCRIPCION])</f>
        <v>TARJETA DE INTERFAZ DE ALIMENTACIÓN PAMS</v>
      </c>
      <c r="C1068" s="32" t="str">
        <f>_xlfn.XLOOKUP(TablaSTOCKINV[[#This Row],[SKU]],TablaINVENTARIO[SKU],TablaINVENTARIO[MARCA])</f>
        <v>N/A</v>
      </c>
      <c r="D1068" s="33" t="str">
        <f>_xlfn.XLOOKUP(TablaSTOCKINV[[#This Row],[SKU]],TablaINVENTARIO[SKU],TablaINVENTARIO[CATEGORIA])</f>
        <v>FABRICACION</v>
      </c>
      <c r="E1068" s="33" t="str">
        <f>_xlfn.XLOOKUP(TablaSTOCKINV[[#This Row],[SKU]],TablaINVENTARIO[SKU],TablaINVENTARIO[SUBCATEGORIA])</f>
        <v>ARTEFACTO ELETRÓNICO</v>
      </c>
      <c r="F1068" s="33" t="str">
        <f>_xlfn.XLOOKUP(TablaSTOCKINV[[#This Row],[SKU]],TablaINVENTARIO[SKU],TablaINVENTARIO[ESTADO])</f>
        <v>NUEVO</v>
      </c>
      <c r="G1068" s="33" t="str">
        <f>_xlfn.XLOOKUP(TablaSTOCKINV[[#This Row],[SKU]],TablaINVENTARIO[SKU],TablaINVENTARIO[MEDIDA])</f>
        <v>UND</v>
      </c>
      <c r="H1068" s="33" t="str">
        <f>_xlfn.XLOOKUP(TablaSTOCKINV[[#This Row],[SKU]],TablaINVENTARIO[SKU],TablaINVENTARIO[SERIAL])</f>
        <v>N/A</v>
      </c>
      <c r="I1068" s="34">
        <f>_xlfn.XLOOKUP(TablaSTOCKINV[[#This Row],[SKU]],TablaINVENTARIO[SKU],TablaINVENTARIO[ALMACEN])</f>
        <v>0</v>
      </c>
      <c r="J1068" s="34" t="str">
        <f>_xlfn.XLOOKUP(TablaSTOCKINV[[#This Row],[SKU]],TablaINVENTARIO[SKU],TablaINVENTARIO[UBICACION])</f>
        <v>3B</v>
      </c>
      <c r="K1068" s="34" t="str">
        <f>_xlfn.XLOOKUP(TablaSTOCKINV[[#This Row],[SKU]],TablaINVENTARIO[SKU],TablaINVENTARIO[DPTO RESPONSABLE])</f>
        <v>OPERACIONES</v>
      </c>
      <c r="L1068" s="53">
        <f>_xlfn.XLOOKUP(TablaSTOCKINV[[#This Row],[SKU]],TablaINVENTARIO[SKU],TablaINVENTARIO[RANGO MIN])</f>
        <v>0</v>
      </c>
      <c r="M1068" s="34" cm="1">
        <f t="array" ref="M1068">_xlfn.IFS(TablaSTOCKINV[[#This Row],[CANT. TOTAL]]&lt;=0,1,TablaSTOCKINV[[#This Row],[CANT. TOTAL]]&lt;=TablaSTOCKINV[[#This Row],[MIN]],2,TablaSTOCKINV[[#This Row],[CANT. TOTAL]]&gt;TablaSTOCKINV[[#This Row],[MIN]],3)</f>
        <v>3</v>
      </c>
      <c r="N1068" s="34">
        <f>TablaSTOCKINV[[#This Row],[ENTRADAS]]-TablaSTOCKINV[[#This Row],[SALIDAS]]</f>
        <v>1</v>
      </c>
      <c r="O1068" s="35">
        <f>SUMIFS(TablaENTRADA[CANT],TablaENTRADA[SKU],TablaSTOCKINV[[#This Row],[SKU]])</f>
        <v>1</v>
      </c>
      <c r="P1068" s="35">
        <f>SUMIFS(TablaSALIDA[CANT],TablaSALIDA[SKU],TablaSTOCKINV[[#This Row],[SKU]])</f>
        <v>0</v>
      </c>
      <c r="Q1068" s="34">
        <f>_xlfn.XLOOKUP(TablaSTOCKINV[[#This Row],[SKU]],TablaINVENTARIO[SKU],TablaINVENTARIO[PRECIO])</f>
        <v>0</v>
      </c>
      <c r="R1068" s="34">
        <f>TablaSTOCKINV[[#This Row],[P.UNITARIO]]*TablaSTOCKINV[[#This Row],[CANT. TOTAL]]</f>
        <v>0</v>
      </c>
      <c r="S1068" s="44">
        <f>_xlfn.XLOOKUP(TablaSTOCKINV[[#This Row],[SKU]],TablaINVENTARIO[SKU],TablaINVENTARIO[FECHA INGRESO])</f>
        <v>46023</v>
      </c>
      <c r="T1068" s="44">
        <f>_xlfn.XLOOKUP(TablaSTOCKINV[[#This Row],[SKU]],TablaENTRADA[SKU],TablaENTRADA[FECHA],,0,-1)</f>
        <v>46023</v>
      </c>
      <c r="U1068" s="46" t="str">
        <f>IFERROR((_xlfn.XLOOKUP(TablaSTOCKINV[[#This Row],[SKU]],TablaSALIDA[SKU],TablaSALIDA[FECHA],,0,-1))," " )</f>
        <v xml:space="preserve"> </v>
      </c>
    </row>
    <row r="1069" spans="1:21" x14ac:dyDescent="0.3">
      <c r="A1069" s="27" t="s">
        <v>1238</v>
      </c>
      <c r="B1069" s="32" t="str">
        <f>_xlfn.XLOOKUP(TablaSTOCKINV[[#This Row],[SKU]],TablaINVENTARIO[SKU],TablaINVENTARIO[DESCRIPCION])</f>
        <v>FUENTE DE ALIMENTACIÓN CONMUTADA DPP240-24-1</v>
      </c>
      <c r="C1069" s="32" t="str">
        <f>_xlfn.XLOOKUP(TablaSTOCKINV[[#This Row],[SKU]],TablaINVENTARIO[SKU],TablaINVENTARIO[MARCA])</f>
        <v>TDK-LAMBDA</v>
      </c>
      <c r="D1069" s="33" t="str">
        <f>_xlfn.XLOOKUP(TablaSTOCKINV[[#This Row],[SKU]],TablaINVENTARIO[SKU],TablaINVENTARIO[CATEGORIA])</f>
        <v>FABRICACION</v>
      </c>
      <c r="E1069" s="33" t="str">
        <f>_xlfn.XLOOKUP(TablaSTOCKINV[[#This Row],[SKU]],TablaINVENTARIO[SKU],TablaINVENTARIO[SUBCATEGORIA])</f>
        <v>ARTEFACTO ELETRÓNICO</v>
      </c>
      <c r="F1069" s="33" t="str">
        <f>_xlfn.XLOOKUP(TablaSTOCKINV[[#This Row],[SKU]],TablaINVENTARIO[SKU],TablaINVENTARIO[ESTADO])</f>
        <v>NUEVO</v>
      </c>
      <c r="G1069" s="33" t="str">
        <f>_xlfn.XLOOKUP(TablaSTOCKINV[[#This Row],[SKU]],TablaINVENTARIO[SKU],TablaINVENTARIO[MEDIDA])</f>
        <v>UND</v>
      </c>
      <c r="H1069" s="33" t="str">
        <f>_xlfn.XLOOKUP(TablaSTOCKINV[[#This Row],[SKU]],TablaINVENTARIO[SKU],TablaINVENTARIO[SERIAL])</f>
        <v>120148-9601201201958</v>
      </c>
      <c r="I1069" s="34">
        <f>_xlfn.XLOOKUP(TablaSTOCKINV[[#This Row],[SKU]],TablaINVENTARIO[SKU],TablaINVENTARIO[ALMACEN])</f>
        <v>0</v>
      </c>
      <c r="J1069" s="34" t="str">
        <f>_xlfn.XLOOKUP(TablaSTOCKINV[[#This Row],[SKU]],TablaINVENTARIO[SKU],TablaINVENTARIO[UBICACION])</f>
        <v>3B</v>
      </c>
      <c r="K1069" s="34" t="str">
        <f>_xlfn.XLOOKUP(TablaSTOCKINV[[#This Row],[SKU]],TablaINVENTARIO[SKU],TablaINVENTARIO[DPTO RESPONSABLE])</f>
        <v>OPERACIONES</v>
      </c>
      <c r="L1069" s="53">
        <f>_xlfn.XLOOKUP(TablaSTOCKINV[[#This Row],[SKU]],TablaINVENTARIO[SKU],TablaINVENTARIO[RANGO MIN])</f>
        <v>0</v>
      </c>
      <c r="M1069" s="34" cm="1">
        <f t="array" ref="M1069">_xlfn.IFS(TablaSTOCKINV[[#This Row],[CANT. TOTAL]]&lt;=0,1,TablaSTOCKINV[[#This Row],[CANT. TOTAL]]&lt;=TablaSTOCKINV[[#This Row],[MIN]],2,TablaSTOCKINV[[#This Row],[CANT. TOTAL]]&gt;TablaSTOCKINV[[#This Row],[MIN]],3)</f>
        <v>3</v>
      </c>
      <c r="N1069" s="34">
        <f>TablaSTOCKINV[[#This Row],[ENTRADAS]]-TablaSTOCKINV[[#This Row],[SALIDAS]]</f>
        <v>1</v>
      </c>
      <c r="O1069" s="35">
        <f>SUMIFS(TablaENTRADA[CANT],TablaENTRADA[SKU],TablaSTOCKINV[[#This Row],[SKU]])</f>
        <v>1</v>
      </c>
      <c r="P1069" s="35">
        <f>SUMIFS(TablaSALIDA[CANT],TablaSALIDA[SKU],TablaSTOCKINV[[#This Row],[SKU]])</f>
        <v>0</v>
      </c>
      <c r="Q1069" s="34">
        <f>_xlfn.XLOOKUP(TablaSTOCKINV[[#This Row],[SKU]],TablaINVENTARIO[SKU],TablaINVENTARIO[PRECIO])</f>
        <v>0</v>
      </c>
      <c r="R1069" s="34">
        <f>TablaSTOCKINV[[#This Row],[P.UNITARIO]]*TablaSTOCKINV[[#This Row],[CANT. TOTAL]]</f>
        <v>0</v>
      </c>
      <c r="S1069" s="44">
        <f>_xlfn.XLOOKUP(TablaSTOCKINV[[#This Row],[SKU]],TablaINVENTARIO[SKU],TablaINVENTARIO[FECHA INGRESO])</f>
        <v>46023</v>
      </c>
      <c r="T1069" s="44">
        <f>_xlfn.XLOOKUP(TablaSTOCKINV[[#This Row],[SKU]],TablaENTRADA[SKU],TablaENTRADA[FECHA],,0,-1)</f>
        <v>46023</v>
      </c>
      <c r="U1069" s="46" t="str">
        <f>IFERROR((_xlfn.XLOOKUP(TablaSTOCKINV[[#This Row],[SKU]],TablaSALIDA[SKU],TablaSALIDA[FECHA],,0,-1))," " )</f>
        <v xml:space="preserve"> </v>
      </c>
    </row>
    <row r="1070" spans="1:21" x14ac:dyDescent="0.3">
      <c r="A1070" s="27" t="s">
        <v>1242</v>
      </c>
      <c r="B1070" s="32" t="str">
        <f>_xlfn.XLOOKUP(TablaSTOCKINV[[#This Row],[SKU]],TablaINVENTARIO[SKU],TablaINVENTARIO[DESCRIPCION])</f>
        <v>CABLES COAXIAL NEGROS</v>
      </c>
      <c r="C1070" s="32" t="str">
        <f>_xlfn.XLOOKUP(TablaSTOCKINV[[#This Row],[SKU]],TablaINVENTARIO[SKU],TablaINVENTARIO[MARCA])</f>
        <v>N/A</v>
      </c>
      <c r="D1070" s="33" t="str">
        <f>_xlfn.XLOOKUP(TablaSTOCKINV[[#This Row],[SKU]],TablaINVENTARIO[SKU],TablaINVENTARIO[CATEGORIA])</f>
        <v>FABRICACION</v>
      </c>
      <c r="E1070" s="33" t="str">
        <f>_xlfn.XLOOKUP(TablaSTOCKINV[[#This Row],[SKU]],TablaINVENTARIO[SKU],TablaINVENTARIO[SUBCATEGORIA])</f>
        <v>ARTEFACTO ELETRÓNICO</v>
      </c>
      <c r="F1070" s="33" t="str">
        <f>_xlfn.XLOOKUP(TablaSTOCKINV[[#This Row],[SKU]],TablaINVENTARIO[SKU],TablaINVENTARIO[ESTADO])</f>
        <v>NUEVO</v>
      </c>
      <c r="G1070" s="33" t="str">
        <f>_xlfn.XLOOKUP(TablaSTOCKINV[[#This Row],[SKU]],TablaINVENTARIO[SKU],TablaINVENTARIO[MEDIDA])</f>
        <v>UND</v>
      </c>
      <c r="H1070" s="33" t="str">
        <f>_xlfn.XLOOKUP(TablaSTOCKINV[[#This Row],[SKU]],TablaINVENTARIO[SKU],TablaINVENTARIO[SERIAL])</f>
        <v>N/A</v>
      </c>
      <c r="I1070" s="34">
        <f>_xlfn.XLOOKUP(TablaSTOCKINV[[#This Row],[SKU]],TablaINVENTARIO[SKU],TablaINVENTARIO[ALMACEN])</f>
        <v>0</v>
      </c>
      <c r="J1070" s="34" t="str">
        <f>_xlfn.XLOOKUP(TablaSTOCKINV[[#This Row],[SKU]],TablaINVENTARIO[SKU],TablaINVENTARIO[UBICACION])</f>
        <v>3B</v>
      </c>
      <c r="K1070" s="34" t="str">
        <f>_xlfn.XLOOKUP(TablaSTOCKINV[[#This Row],[SKU]],TablaINVENTARIO[SKU],TablaINVENTARIO[DPTO RESPONSABLE])</f>
        <v>OPERACIONES</v>
      </c>
      <c r="L1070" s="53">
        <f>_xlfn.XLOOKUP(TablaSTOCKINV[[#This Row],[SKU]],TablaINVENTARIO[SKU],TablaINVENTARIO[RANGO MIN])</f>
        <v>0</v>
      </c>
      <c r="M1070" s="34" cm="1">
        <f t="array" ref="M1070">_xlfn.IFS(TablaSTOCKINV[[#This Row],[CANT. TOTAL]]&lt;=0,1,TablaSTOCKINV[[#This Row],[CANT. TOTAL]]&lt;=TablaSTOCKINV[[#This Row],[MIN]],2,TablaSTOCKINV[[#This Row],[CANT. TOTAL]]&gt;TablaSTOCKINV[[#This Row],[MIN]],3)</f>
        <v>3</v>
      </c>
      <c r="N1070" s="34">
        <f>TablaSTOCKINV[[#This Row],[ENTRADAS]]-TablaSTOCKINV[[#This Row],[SALIDAS]]</f>
        <v>2</v>
      </c>
      <c r="O1070" s="35">
        <f>SUMIFS(TablaENTRADA[CANT],TablaENTRADA[SKU],TablaSTOCKINV[[#This Row],[SKU]])</f>
        <v>2</v>
      </c>
      <c r="P1070" s="35">
        <f>SUMIFS(TablaSALIDA[CANT],TablaSALIDA[SKU],TablaSTOCKINV[[#This Row],[SKU]])</f>
        <v>0</v>
      </c>
      <c r="Q1070" s="34">
        <f>_xlfn.XLOOKUP(TablaSTOCKINV[[#This Row],[SKU]],TablaINVENTARIO[SKU],TablaINVENTARIO[PRECIO])</f>
        <v>0</v>
      </c>
      <c r="R1070" s="34">
        <f>TablaSTOCKINV[[#This Row],[P.UNITARIO]]*TablaSTOCKINV[[#This Row],[CANT. TOTAL]]</f>
        <v>0</v>
      </c>
      <c r="S1070" s="44">
        <f>_xlfn.XLOOKUP(TablaSTOCKINV[[#This Row],[SKU]],TablaINVENTARIO[SKU],TablaINVENTARIO[FECHA INGRESO])</f>
        <v>46023</v>
      </c>
      <c r="T1070" s="44">
        <f>_xlfn.XLOOKUP(TablaSTOCKINV[[#This Row],[SKU]],TablaENTRADA[SKU],TablaENTRADA[FECHA],,0,-1)</f>
        <v>46023</v>
      </c>
      <c r="U1070" s="46" t="str">
        <f>IFERROR((_xlfn.XLOOKUP(TablaSTOCKINV[[#This Row],[SKU]],TablaSALIDA[SKU],TablaSALIDA[FECHA],,0,-1))," " )</f>
        <v xml:space="preserve"> </v>
      </c>
    </row>
    <row r="1071" spans="1:21" x14ac:dyDescent="0.3">
      <c r="A1071" s="27" t="s">
        <v>1244</v>
      </c>
      <c r="B1071" s="32" t="str">
        <f>_xlfn.XLOOKUP(TablaSTOCKINV[[#This Row],[SKU]],TablaINVENTARIO[SKU],TablaINVENTARIO[DESCRIPCION])</f>
        <v>BACKPLAY CON SISTEMA PAMS</v>
      </c>
      <c r="C1071" s="32" t="str">
        <f>_xlfn.XLOOKUP(TablaSTOCKINV[[#This Row],[SKU]],TablaINVENTARIO[SKU],TablaINVENTARIO[MARCA])</f>
        <v>N/A</v>
      </c>
      <c r="D1071" s="33" t="str">
        <f>_xlfn.XLOOKUP(TablaSTOCKINV[[#This Row],[SKU]],TablaINVENTARIO[SKU],TablaINVENTARIO[CATEGORIA])</f>
        <v>FABRICACION</v>
      </c>
      <c r="E1071" s="33" t="str">
        <f>_xlfn.XLOOKUP(TablaSTOCKINV[[#This Row],[SKU]],TablaINVENTARIO[SKU],TablaINVENTARIO[SUBCATEGORIA])</f>
        <v>ARTEFACTO ELETRÓNICO</v>
      </c>
      <c r="F1071" s="33" t="str">
        <f>_xlfn.XLOOKUP(TablaSTOCKINV[[#This Row],[SKU]],TablaINVENTARIO[SKU],TablaINVENTARIO[ESTADO])</f>
        <v>NUEVO</v>
      </c>
      <c r="G1071" s="33" t="str">
        <f>_xlfn.XLOOKUP(TablaSTOCKINV[[#This Row],[SKU]],TablaINVENTARIO[SKU],TablaINVENTARIO[MEDIDA])</f>
        <v>UND</v>
      </c>
      <c r="H1071" s="33" t="str">
        <f>_xlfn.XLOOKUP(TablaSTOCKINV[[#This Row],[SKU]],TablaINVENTARIO[SKU],TablaINVENTARIO[SERIAL])</f>
        <v>N/A</v>
      </c>
      <c r="I1071" s="34">
        <f>_xlfn.XLOOKUP(TablaSTOCKINV[[#This Row],[SKU]],TablaINVENTARIO[SKU],TablaINVENTARIO[ALMACEN])</f>
        <v>0</v>
      </c>
      <c r="J1071" s="34" t="str">
        <f>_xlfn.XLOOKUP(TablaSTOCKINV[[#This Row],[SKU]],TablaINVENTARIO[SKU],TablaINVENTARIO[UBICACION])</f>
        <v>3B</v>
      </c>
      <c r="K1071" s="34" t="str">
        <f>_xlfn.XLOOKUP(TablaSTOCKINV[[#This Row],[SKU]],TablaINVENTARIO[SKU],TablaINVENTARIO[DPTO RESPONSABLE])</f>
        <v>OPERACIONES</v>
      </c>
      <c r="L1071" s="53">
        <f>_xlfn.XLOOKUP(TablaSTOCKINV[[#This Row],[SKU]],TablaINVENTARIO[SKU],TablaINVENTARIO[RANGO MIN])</f>
        <v>0</v>
      </c>
      <c r="M1071" s="34" cm="1">
        <f t="array" ref="M1071">_xlfn.IFS(TablaSTOCKINV[[#This Row],[CANT. TOTAL]]&lt;=0,1,TablaSTOCKINV[[#This Row],[CANT. TOTAL]]&lt;=TablaSTOCKINV[[#This Row],[MIN]],2,TablaSTOCKINV[[#This Row],[CANT. TOTAL]]&gt;TablaSTOCKINV[[#This Row],[MIN]],3)</f>
        <v>3</v>
      </c>
      <c r="N1071" s="34">
        <f>TablaSTOCKINV[[#This Row],[ENTRADAS]]-TablaSTOCKINV[[#This Row],[SALIDAS]]</f>
        <v>1</v>
      </c>
      <c r="O1071" s="35">
        <f>SUMIFS(TablaENTRADA[CANT],TablaENTRADA[SKU],TablaSTOCKINV[[#This Row],[SKU]])</f>
        <v>1</v>
      </c>
      <c r="P1071" s="35">
        <f>SUMIFS(TablaSALIDA[CANT],TablaSALIDA[SKU],TablaSTOCKINV[[#This Row],[SKU]])</f>
        <v>0</v>
      </c>
      <c r="Q1071" s="34">
        <f>_xlfn.XLOOKUP(TablaSTOCKINV[[#This Row],[SKU]],TablaINVENTARIO[SKU],TablaINVENTARIO[PRECIO])</f>
        <v>0</v>
      </c>
      <c r="R1071" s="34">
        <f>TablaSTOCKINV[[#This Row],[P.UNITARIO]]*TablaSTOCKINV[[#This Row],[CANT. TOTAL]]</f>
        <v>0</v>
      </c>
      <c r="S1071" s="44">
        <f>_xlfn.XLOOKUP(TablaSTOCKINV[[#This Row],[SKU]],TablaINVENTARIO[SKU],TablaINVENTARIO[FECHA INGRESO])</f>
        <v>46023</v>
      </c>
      <c r="T1071" s="44">
        <f>_xlfn.XLOOKUP(TablaSTOCKINV[[#This Row],[SKU]],TablaENTRADA[SKU],TablaENTRADA[FECHA],,0,-1)</f>
        <v>46023</v>
      </c>
      <c r="U1071" s="46" t="str">
        <f>IFERROR((_xlfn.XLOOKUP(TablaSTOCKINV[[#This Row],[SKU]],TablaSALIDA[SKU],TablaSALIDA[FECHA],,0,-1))," " )</f>
        <v xml:space="preserve"> </v>
      </c>
    </row>
    <row r="1072" spans="1:21" x14ac:dyDescent="0.3">
      <c r="A1072" s="27" t="s">
        <v>1246</v>
      </c>
      <c r="B1072" s="32" t="str">
        <f>_xlfn.XLOOKUP(TablaSTOCKINV[[#This Row],[SKU]],TablaINVENTARIO[SKU],TablaINVENTARIO[DESCRIPCION])</f>
        <v>TARJETA DE ENTRADA ANALÓGICA/DIGITAL (PC DAS) DASM4052</v>
      </c>
      <c r="C1072" s="32" t="str">
        <f>_xlfn.XLOOKUP(TablaSTOCKINV[[#This Row],[SKU]],TablaINVENTARIO[SKU],TablaINVENTARIO[MARCA])</f>
        <v>AGAR CORPORATION</v>
      </c>
      <c r="D1072" s="33" t="str">
        <f>_xlfn.XLOOKUP(TablaSTOCKINV[[#This Row],[SKU]],TablaINVENTARIO[SKU],TablaINVENTARIO[CATEGORIA])</f>
        <v>FABRICACION</v>
      </c>
      <c r="E1072" s="33" t="str">
        <f>_xlfn.XLOOKUP(TablaSTOCKINV[[#This Row],[SKU]],TablaINVENTARIO[SKU],TablaINVENTARIO[SUBCATEGORIA])</f>
        <v>ARTEFACTO ELETRÓNICO</v>
      </c>
      <c r="F1072" s="33" t="str">
        <f>_xlfn.XLOOKUP(TablaSTOCKINV[[#This Row],[SKU]],TablaINVENTARIO[SKU],TablaINVENTARIO[ESTADO])</f>
        <v>NUEVO</v>
      </c>
      <c r="G1072" s="33" t="str">
        <f>_xlfn.XLOOKUP(TablaSTOCKINV[[#This Row],[SKU]],TablaINVENTARIO[SKU],TablaINVENTARIO[MEDIDA])</f>
        <v>UND</v>
      </c>
      <c r="H1072" s="33" t="str">
        <f>_xlfn.XLOOKUP(TablaSTOCKINV[[#This Row],[SKU]],TablaINVENTARIO[SKU],TablaINVENTARIO[SERIAL])</f>
        <v>N/A</v>
      </c>
      <c r="I1072" s="34">
        <f>_xlfn.XLOOKUP(TablaSTOCKINV[[#This Row],[SKU]],TablaINVENTARIO[SKU],TablaINVENTARIO[ALMACEN])</f>
        <v>0</v>
      </c>
      <c r="J1072" s="34" t="str">
        <f>_xlfn.XLOOKUP(TablaSTOCKINV[[#This Row],[SKU]],TablaINVENTARIO[SKU],TablaINVENTARIO[UBICACION])</f>
        <v>3C</v>
      </c>
      <c r="K1072" s="34" t="str">
        <f>_xlfn.XLOOKUP(TablaSTOCKINV[[#This Row],[SKU]],TablaINVENTARIO[SKU],TablaINVENTARIO[DPTO RESPONSABLE])</f>
        <v>OPERACIONES</v>
      </c>
      <c r="L1072" s="53">
        <f>_xlfn.XLOOKUP(TablaSTOCKINV[[#This Row],[SKU]],TablaINVENTARIO[SKU],TablaINVENTARIO[RANGO MIN])</f>
        <v>0</v>
      </c>
      <c r="M1072" s="34" cm="1">
        <f t="array" ref="M1072">_xlfn.IFS(TablaSTOCKINV[[#This Row],[CANT. TOTAL]]&lt;=0,1,TablaSTOCKINV[[#This Row],[CANT. TOTAL]]&lt;=TablaSTOCKINV[[#This Row],[MIN]],2,TablaSTOCKINV[[#This Row],[CANT. TOTAL]]&gt;TablaSTOCKINV[[#This Row],[MIN]],3)</f>
        <v>3</v>
      </c>
      <c r="N1072" s="34">
        <f>TablaSTOCKINV[[#This Row],[ENTRADAS]]-TablaSTOCKINV[[#This Row],[SALIDAS]]</f>
        <v>1</v>
      </c>
      <c r="O1072" s="35">
        <f>SUMIFS(TablaENTRADA[CANT],TablaENTRADA[SKU],TablaSTOCKINV[[#This Row],[SKU]])</f>
        <v>1</v>
      </c>
      <c r="P1072" s="35">
        <f>SUMIFS(TablaSALIDA[CANT],TablaSALIDA[SKU],TablaSTOCKINV[[#This Row],[SKU]])</f>
        <v>0</v>
      </c>
      <c r="Q1072" s="34">
        <f>_xlfn.XLOOKUP(TablaSTOCKINV[[#This Row],[SKU]],TablaINVENTARIO[SKU],TablaINVENTARIO[PRECIO])</f>
        <v>0</v>
      </c>
      <c r="R1072" s="34">
        <f>TablaSTOCKINV[[#This Row],[P.UNITARIO]]*TablaSTOCKINV[[#This Row],[CANT. TOTAL]]</f>
        <v>0</v>
      </c>
      <c r="S1072" s="44">
        <f>_xlfn.XLOOKUP(TablaSTOCKINV[[#This Row],[SKU]],TablaINVENTARIO[SKU],TablaINVENTARIO[FECHA INGRESO])</f>
        <v>46023</v>
      </c>
      <c r="T1072" s="44">
        <f>_xlfn.XLOOKUP(TablaSTOCKINV[[#This Row],[SKU]],TablaENTRADA[SKU],TablaENTRADA[FECHA],,0,-1)</f>
        <v>46023</v>
      </c>
      <c r="U1072" s="46" t="str">
        <f>IFERROR((_xlfn.XLOOKUP(TablaSTOCKINV[[#This Row],[SKU]],TablaSALIDA[SKU],TablaSALIDA[FECHA],,0,-1))," " )</f>
        <v xml:space="preserve"> </v>
      </c>
    </row>
    <row r="1073" spans="1:21" x14ac:dyDescent="0.3">
      <c r="A1073" s="27" t="s">
        <v>1250</v>
      </c>
      <c r="B1073" s="32" t="str">
        <f>_xlfn.XLOOKUP(TablaSTOCKINV[[#This Row],[SKU]],TablaINVENTARIO[SKU],TablaINVENTARIO[DESCRIPCION])</f>
        <v>JUEGO DE CABLES DE PUENTE (JUMPER WIRES)</v>
      </c>
      <c r="C1073" s="32" t="str">
        <f>_xlfn.XLOOKUP(TablaSTOCKINV[[#This Row],[SKU]],TablaINVENTARIO[SKU],TablaINVENTARIO[MARCA])</f>
        <v>N/A</v>
      </c>
      <c r="D1073" s="33" t="str">
        <f>_xlfn.XLOOKUP(TablaSTOCKINV[[#This Row],[SKU]],TablaINVENTARIO[SKU],TablaINVENTARIO[CATEGORIA])</f>
        <v>FABRICACION</v>
      </c>
      <c r="E1073" s="33" t="str">
        <f>_xlfn.XLOOKUP(TablaSTOCKINV[[#This Row],[SKU]],TablaINVENTARIO[SKU],TablaINVENTARIO[SUBCATEGORIA])</f>
        <v>ARTEFACTO ELETRÓNICO</v>
      </c>
      <c r="F1073" s="33" t="str">
        <f>_xlfn.XLOOKUP(TablaSTOCKINV[[#This Row],[SKU]],TablaINVENTARIO[SKU],TablaINVENTARIO[ESTADO])</f>
        <v>NUEVO</v>
      </c>
      <c r="G1073" s="33" t="str">
        <f>_xlfn.XLOOKUP(TablaSTOCKINV[[#This Row],[SKU]],TablaINVENTARIO[SKU],TablaINVENTARIO[MEDIDA])</f>
        <v>UND</v>
      </c>
      <c r="H1073" s="33" t="str">
        <f>_xlfn.XLOOKUP(TablaSTOCKINV[[#This Row],[SKU]],TablaINVENTARIO[SKU],TablaINVENTARIO[SERIAL])</f>
        <v>N/A</v>
      </c>
      <c r="I1073" s="34">
        <f>_xlfn.XLOOKUP(TablaSTOCKINV[[#This Row],[SKU]],TablaINVENTARIO[SKU],TablaINVENTARIO[ALMACEN])</f>
        <v>0</v>
      </c>
      <c r="J1073" s="34" t="str">
        <f>_xlfn.XLOOKUP(TablaSTOCKINV[[#This Row],[SKU]],TablaINVENTARIO[SKU],TablaINVENTARIO[UBICACION])</f>
        <v>3C</v>
      </c>
      <c r="K1073" s="34" t="str">
        <f>_xlfn.XLOOKUP(TablaSTOCKINV[[#This Row],[SKU]],TablaINVENTARIO[SKU],TablaINVENTARIO[DPTO RESPONSABLE])</f>
        <v>OPERACIONES</v>
      </c>
      <c r="L1073" s="53">
        <f>_xlfn.XLOOKUP(TablaSTOCKINV[[#This Row],[SKU]],TablaINVENTARIO[SKU],TablaINVENTARIO[RANGO MIN])</f>
        <v>0</v>
      </c>
      <c r="M1073" s="34" cm="1">
        <f t="array" ref="M1073">_xlfn.IFS(TablaSTOCKINV[[#This Row],[CANT. TOTAL]]&lt;=0,1,TablaSTOCKINV[[#This Row],[CANT. TOTAL]]&lt;=TablaSTOCKINV[[#This Row],[MIN]],2,TablaSTOCKINV[[#This Row],[CANT. TOTAL]]&gt;TablaSTOCKINV[[#This Row],[MIN]],3)</f>
        <v>3</v>
      </c>
      <c r="N1073" s="34">
        <f>TablaSTOCKINV[[#This Row],[ENTRADAS]]-TablaSTOCKINV[[#This Row],[SALIDAS]]</f>
        <v>1</v>
      </c>
      <c r="O1073" s="35">
        <f>SUMIFS(TablaENTRADA[CANT],TablaENTRADA[SKU],TablaSTOCKINV[[#This Row],[SKU]])</f>
        <v>1</v>
      </c>
      <c r="P1073" s="35">
        <f>SUMIFS(TablaSALIDA[CANT],TablaSALIDA[SKU],TablaSTOCKINV[[#This Row],[SKU]])</f>
        <v>0</v>
      </c>
      <c r="Q1073" s="34">
        <f>_xlfn.XLOOKUP(TablaSTOCKINV[[#This Row],[SKU]],TablaINVENTARIO[SKU],TablaINVENTARIO[PRECIO])</f>
        <v>0</v>
      </c>
      <c r="R1073" s="34">
        <f>TablaSTOCKINV[[#This Row],[P.UNITARIO]]*TablaSTOCKINV[[#This Row],[CANT. TOTAL]]</f>
        <v>0</v>
      </c>
      <c r="S1073" s="44">
        <f>_xlfn.XLOOKUP(TablaSTOCKINV[[#This Row],[SKU]],TablaINVENTARIO[SKU],TablaINVENTARIO[FECHA INGRESO])</f>
        <v>46023</v>
      </c>
      <c r="T1073" s="44">
        <f>_xlfn.XLOOKUP(TablaSTOCKINV[[#This Row],[SKU]],TablaENTRADA[SKU],TablaENTRADA[FECHA],,0,-1)</f>
        <v>46023</v>
      </c>
      <c r="U1073" s="46" t="str">
        <f>IFERROR((_xlfn.XLOOKUP(TablaSTOCKINV[[#This Row],[SKU]],TablaSALIDA[SKU],TablaSALIDA[FECHA],,0,-1))," " )</f>
        <v xml:space="preserve"> </v>
      </c>
    </row>
    <row r="1074" spans="1:21" x14ac:dyDescent="0.3">
      <c r="A1074" s="27" t="s">
        <v>1252</v>
      </c>
      <c r="B1074" s="32" t="str">
        <f>_xlfn.XLOOKUP(TablaSTOCKINV[[#This Row],[SKU]],TablaINVENTARIO[SKU],TablaINVENTARIO[DESCRIPCION])</f>
        <v>CABLE (BUS DE DATOS) AWM 2651</v>
      </c>
      <c r="C1074" s="32" t="str">
        <f>_xlfn.XLOOKUP(TablaSTOCKINV[[#This Row],[SKU]],TablaINVENTARIO[SKU],TablaINVENTARIO[MARCA])</f>
        <v>LIAN YU</v>
      </c>
      <c r="D1074" s="33" t="str">
        <f>_xlfn.XLOOKUP(TablaSTOCKINV[[#This Row],[SKU]],TablaINVENTARIO[SKU],TablaINVENTARIO[CATEGORIA])</f>
        <v>FABRICACION</v>
      </c>
      <c r="E1074" s="33" t="str">
        <f>_xlfn.XLOOKUP(TablaSTOCKINV[[#This Row],[SKU]],TablaINVENTARIO[SKU],TablaINVENTARIO[SUBCATEGORIA])</f>
        <v>ARTEFACTO ELETRÓNICO</v>
      </c>
      <c r="F1074" s="33" t="str">
        <f>_xlfn.XLOOKUP(TablaSTOCKINV[[#This Row],[SKU]],TablaINVENTARIO[SKU],TablaINVENTARIO[ESTADO])</f>
        <v>NUEVO</v>
      </c>
      <c r="G1074" s="33" t="str">
        <f>_xlfn.XLOOKUP(TablaSTOCKINV[[#This Row],[SKU]],TablaINVENTARIO[SKU],TablaINVENTARIO[MEDIDA])</f>
        <v>UND</v>
      </c>
      <c r="H1074" s="33" t="str">
        <f>_xlfn.XLOOKUP(TablaSTOCKINV[[#This Row],[SKU]],TablaINVENTARIO[SKU],TablaINVENTARIO[SERIAL])</f>
        <v>E128076</v>
      </c>
      <c r="I1074" s="34">
        <f>_xlfn.XLOOKUP(TablaSTOCKINV[[#This Row],[SKU]],TablaINVENTARIO[SKU],TablaINVENTARIO[ALMACEN])</f>
        <v>0</v>
      </c>
      <c r="J1074" s="34" t="str">
        <f>_xlfn.XLOOKUP(TablaSTOCKINV[[#This Row],[SKU]],TablaINVENTARIO[SKU],TablaINVENTARIO[UBICACION])</f>
        <v>3C</v>
      </c>
      <c r="K1074" s="34" t="str">
        <f>_xlfn.XLOOKUP(TablaSTOCKINV[[#This Row],[SKU]],TablaINVENTARIO[SKU],TablaINVENTARIO[DPTO RESPONSABLE])</f>
        <v>OPERACIONES</v>
      </c>
      <c r="L1074" s="53">
        <f>_xlfn.XLOOKUP(TablaSTOCKINV[[#This Row],[SKU]],TablaINVENTARIO[SKU],TablaINVENTARIO[RANGO MIN])</f>
        <v>0</v>
      </c>
      <c r="M1074" s="34" cm="1">
        <f t="array" ref="M1074">_xlfn.IFS(TablaSTOCKINV[[#This Row],[CANT. TOTAL]]&lt;=0,1,TablaSTOCKINV[[#This Row],[CANT. TOTAL]]&lt;=TablaSTOCKINV[[#This Row],[MIN]],2,TablaSTOCKINV[[#This Row],[CANT. TOTAL]]&gt;TablaSTOCKINV[[#This Row],[MIN]],3)</f>
        <v>3</v>
      </c>
      <c r="N1074" s="34">
        <f>TablaSTOCKINV[[#This Row],[ENTRADAS]]-TablaSTOCKINV[[#This Row],[SALIDAS]]</f>
        <v>7</v>
      </c>
      <c r="O1074" s="35">
        <f>SUMIFS(TablaENTRADA[CANT],TablaENTRADA[SKU],TablaSTOCKINV[[#This Row],[SKU]])</f>
        <v>7</v>
      </c>
      <c r="P1074" s="35">
        <f>SUMIFS(TablaSALIDA[CANT],TablaSALIDA[SKU],TablaSTOCKINV[[#This Row],[SKU]])</f>
        <v>0</v>
      </c>
      <c r="Q1074" s="34">
        <f>_xlfn.XLOOKUP(TablaSTOCKINV[[#This Row],[SKU]],TablaINVENTARIO[SKU],TablaINVENTARIO[PRECIO])</f>
        <v>0</v>
      </c>
      <c r="R1074" s="34">
        <f>TablaSTOCKINV[[#This Row],[P.UNITARIO]]*TablaSTOCKINV[[#This Row],[CANT. TOTAL]]</f>
        <v>0</v>
      </c>
      <c r="S1074" s="44">
        <f>_xlfn.XLOOKUP(TablaSTOCKINV[[#This Row],[SKU]],TablaINVENTARIO[SKU],TablaINVENTARIO[FECHA INGRESO])</f>
        <v>46023</v>
      </c>
      <c r="T1074" s="44">
        <f>_xlfn.XLOOKUP(TablaSTOCKINV[[#This Row],[SKU]],TablaENTRADA[SKU],TablaENTRADA[FECHA],,0,-1)</f>
        <v>46023</v>
      </c>
      <c r="U1074" s="46" t="str">
        <f>IFERROR((_xlfn.XLOOKUP(TablaSTOCKINV[[#This Row],[SKU]],TablaSALIDA[SKU],TablaSALIDA[FECHA],,0,-1))," " )</f>
        <v xml:space="preserve"> </v>
      </c>
    </row>
    <row r="1075" spans="1:21" x14ac:dyDescent="0.3">
      <c r="A1075" s="27" t="s">
        <v>1256</v>
      </c>
      <c r="B1075" s="32" t="str">
        <f>_xlfn.XLOOKUP(TablaSTOCKINV[[#This Row],[SKU]],TablaINVENTARIO[SKU],TablaINVENTARIO[DESCRIPCION])</f>
        <v>CABLE ADAPTADOR EN "Y"</v>
      </c>
      <c r="C1075" s="32" t="str">
        <f>_xlfn.XLOOKUP(TablaSTOCKINV[[#This Row],[SKU]],TablaINVENTARIO[SKU],TablaINVENTARIO[MARCA])</f>
        <v>N/A</v>
      </c>
      <c r="D1075" s="33" t="str">
        <f>_xlfn.XLOOKUP(TablaSTOCKINV[[#This Row],[SKU]],TablaINVENTARIO[SKU],TablaINVENTARIO[CATEGORIA])</f>
        <v>FABRICACION</v>
      </c>
      <c r="E1075" s="33" t="str">
        <f>_xlfn.XLOOKUP(TablaSTOCKINV[[#This Row],[SKU]],TablaINVENTARIO[SKU],TablaINVENTARIO[SUBCATEGORIA])</f>
        <v>ARTEFACTO ELETRÓNICO</v>
      </c>
      <c r="F1075" s="33" t="str">
        <f>_xlfn.XLOOKUP(TablaSTOCKINV[[#This Row],[SKU]],TablaINVENTARIO[SKU],TablaINVENTARIO[ESTADO])</f>
        <v>NUEVO</v>
      </c>
      <c r="G1075" s="33" t="str">
        <f>_xlfn.XLOOKUP(TablaSTOCKINV[[#This Row],[SKU]],TablaINVENTARIO[SKU],TablaINVENTARIO[MEDIDA])</f>
        <v>UND</v>
      </c>
      <c r="H1075" s="33" t="str">
        <f>_xlfn.XLOOKUP(TablaSTOCKINV[[#This Row],[SKU]],TablaINVENTARIO[SKU],TablaINVENTARIO[SERIAL])</f>
        <v>N/A</v>
      </c>
      <c r="I1075" s="34">
        <f>_xlfn.XLOOKUP(TablaSTOCKINV[[#This Row],[SKU]],TablaINVENTARIO[SKU],TablaINVENTARIO[ALMACEN])</f>
        <v>0</v>
      </c>
      <c r="J1075" s="34" t="str">
        <f>_xlfn.XLOOKUP(TablaSTOCKINV[[#This Row],[SKU]],TablaINVENTARIO[SKU],TablaINVENTARIO[UBICACION])</f>
        <v>3C</v>
      </c>
      <c r="K1075" s="34" t="str">
        <f>_xlfn.XLOOKUP(TablaSTOCKINV[[#This Row],[SKU]],TablaINVENTARIO[SKU],TablaINVENTARIO[DPTO RESPONSABLE])</f>
        <v>OPERACIONES</v>
      </c>
      <c r="L1075" s="53">
        <f>_xlfn.XLOOKUP(TablaSTOCKINV[[#This Row],[SKU]],TablaINVENTARIO[SKU],TablaINVENTARIO[RANGO MIN])</f>
        <v>0</v>
      </c>
      <c r="M1075" s="34" cm="1">
        <f t="array" ref="M1075">_xlfn.IFS(TablaSTOCKINV[[#This Row],[CANT. TOTAL]]&lt;=0,1,TablaSTOCKINV[[#This Row],[CANT. TOTAL]]&lt;=TablaSTOCKINV[[#This Row],[MIN]],2,TablaSTOCKINV[[#This Row],[CANT. TOTAL]]&gt;TablaSTOCKINV[[#This Row],[MIN]],3)</f>
        <v>3</v>
      </c>
      <c r="N1075" s="34">
        <f>TablaSTOCKINV[[#This Row],[ENTRADAS]]-TablaSTOCKINV[[#This Row],[SALIDAS]]</f>
        <v>1</v>
      </c>
      <c r="O1075" s="35">
        <f>SUMIFS(TablaENTRADA[CANT],TablaENTRADA[SKU],TablaSTOCKINV[[#This Row],[SKU]])</f>
        <v>1</v>
      </c>
      <c r="P1075" s="35">
        <f>SUMIFS(TablaSALIDA[CANT],TablaSALIDA[SKU],TablaSTOCKINV[[#This Row],[SKU]])</f>
        <v>0</v>
      </c>
      <c r="Q1075" s="34">
        <f>_xlfn.XLOOKUP(TablaSTOCKINV[[#This Row],[SKU]],TablaINVENTARIO[SKU],TablaINVENTARIO[PRECIO])</f>
        <v>0</v>
      </c>
      <c r="R1075" s="34">
        <f>TablaSTOCKINV[[#This Row],[P.UNITARIO]]*TablaSTOCKINV[[#This Row],[CANT. TOTAL]]</f>
        <v>0</v>
      </c>
      <c r="S1075" s="44">
        <f>_xlfn.XLOOKUP(TablaSTOCKINV[[#This Row],[SKU]],TablaINVENTARIO[SKU],TablaINVENTARIO[FECHA INGRESO])</f>
        <v>46023</v>
      </c>
      <c r="T1075" s="44">
        <f>_xlfn.XLOOKUP(TablaSTOCKINV[[#This Row],[SKU]],TablaENTRADA[SKU],TablaENTRADA[FECHA],,0,-1)</f>
        <v>46023</v>
      </c>
      <c r="U1075" s="46" t="str">
        <f>IFERROR((_xlfn.XLOOKUP(TablaSTOCKINV[[#This Row],[SKU]],TablaSALIDA[SKU],TablaSALIDA[FECHA],,0,-1))," " )</f>
        <v xml:space="preserve"> </v>
      </c>
    </row>
    <row r="1076" spans="1:21" x14ac:dyDescent="0.3">
      <c r="A1076" s="27" t="s">
        <v>1258</v>
      </c>
      <c r="B1076" s="32" t="str">
        <f>_xlfn.XLOOKUP(TablaSTOCKINV[[#This Row],[SKU]],TablaINVENTARIO[SKU],TablaINVENTARIO[DESCRIPCION])</f>
        <v>PROGRAMADOR Y DEPURADOR ST-LINK ST-LINK/V2</v>
      </c>
      <c r="C1076" s="32" t="str">
        <f>_xlfn.XLOOKUP(TablaSTOCKINV[[#This Row],[SKU]],TablaINVENTARIO[SKU],TablaINVENTARIO[MARCA])</f>
        <v>STMICROELECTRONICS</v>
      </c>
      <c r="D1076" s="33" t="str">
        <f>_xlfn.XLOOKUP(TablaSTOCKINV[[#This Row],[SKU]],TablaINVENTARIO[SKU],TablaINVENTARIO[CATEGORIA])</f>
        <v>FABRICACION</v>
      </c>
      <c r="E1076" s="33" t="str">
        <f>_xlfn.XLOOKUP(TablaSTOCKINV[[#This Row],[SKU]],TablaINVENTARIO[SKU],TablaINVENTARIO[SUBCATEGORIA])</f>
        <v>ARTEFACTO ELETRÓNICO</v>
      </c>
      <c r="F1076" s="33" t="str">
        <f>_xlfn.XLOOKUP(TablaSTOCKINV[[#This Row],[SKU]],TablaINVENTARIO[SKU],TablaINVENTARIO[ESTADO])</f>
        <v>NUEVO</v>
      </c>
      <c r="G1076" s="33" t="str">
        <f>_xlfn.XLOOKUP(TablaSTOCKINV[[#This Row],[SKU]],TablaINVENTARIO[SKU],TablaINVENTARIO[MEDIDA])</f>
        <v>UND</v>
      </c>
      <c r="H1076" s="33" t="str">
        <f>_xlfn.XLOOKUP(TablaSTOCKINV[[#This Row],[SKU]],TablaINVENTARIO[SKU],TablaINVENTARIO[SERIAL])</f>
        <v>A 2020 02</v>
      </c>
      <c r="I1076" s="34">
        <f>_xlfn.XLOOKUP(TablaSTOCKINV[[#This Row],[SKU]],TablaINVENTARIO[SKU],TablaINVENTARIO[ALMACEN])</f>
        <v>0</v>
      </c>
      <c r="J1076" s="34" t="str">
        <f>_xlfn.XLOOKUP(TablaSTOCKINV[[#This Row],[SKU]],TablaINVENTARIO[SKU],TablaINVENTARIO[UBICACION])</f>
        <v>3C</v>
      </c>
      <c r="K1076" s="34" t="str">
        <f>_xlfn.XLOOKUP(TablaSTOCKINV[[#This Row],[SKU]],TablaINVENTARIO[SKU],TablaINVENTARIO[DPTO RESPONSABLE])</f>
        <v>OPERACIONES</v>
      </c>
      <c r="L1076" s="53">
        <f>_xlfn.XLOOKUP(TablaSTOCKINV[[#This Row],[SKU]],TablaINVENTARIO[SKU],TablaINVENTARIO[RANGO MIN])</f>
        <v>0</v>
      </c>
      <c r="M1076" s="34" cm="1">
        <f t="array" ref="M1076">_xlfn.IFS(TablaSTOCKINV[[#This Row],[CANT. TOTAL]]&lt;=0,1,TablaSTOCKINV[[#This Row],[CANT. TOTAL]]&lt;=TablaSTOCKINV[[#This Row],[MIN]],2,TablaSTOCKINV[[#This Row],[CANT. TOTAL]]&gt;TablaSTOCKINV[[#This Row],[MIN]],3)</f>
        <v>3</v>
      </c>
      <c r="N1076" s="34">
        <f>TablaSTOCKINV[[#This Row],[ENTRADAS]]-TablaSTOCKINV[[#This Row],[SALIDAS]]</f>
        <v>1</v>
      </c>
      <c r="O1076" s="35">
        <f>SUMIFS(TablaENTRADA[CANT],TablaENTRADA[SKU],TablaSTOCKINV[[#This Row],[SKU]])</f>
        <v>1</v>
      </c>
      <c r="P1076" s="35">
        <f>SUMIFS(TablaSALIDA[CANT],TablaSALIDA[SKU],TablaSTOCKINV[[#This Row],[SKU]])</f>
        <v>0</v>
      </c>
      <c r="Q1076" s="34">
        <f>_xlfn.XLOOKUP(TablaSTOCKINV[[#This Row],[SKU]],TablaINVENTARIO[SKU],TablaINVENTARIO[PRECIO])</f>
        <v>0</v>
      </c>
      <c r="R1076" s="34">
        <f>TablaSTOCKINV[[#This Row],[P.UNITARIO]]*TablaSTOCKINV[[#This Row],[CANT. TOTAL]]</f>
        <v>0</v>
      </c>
      <c r="S1076" s="44">
        <f>_xlfn.XLOOKUP(TablaSTOCKINV[[#This Row],[SKU]],TablaINVENTARIO[SKU],TablaINVENTARIO[FECHA INGRESO])</f>
        <v>46023</v>
      </c>
      <c r="T1076" s="44">
        <f>_xlfn.XLOOKUP(TablaSTOCKINV[[#This Row],[SKU]],TablaENTRADA[SKU],TablaENTRADA[FECHA],,0,-1)</f>
        <v>46023</v>
      </c>
      <c r="U1076" s="46" t="str">
        <f>IFERROR((_xlfn.XLOOKUP(TablaSTOCKINV[[#This Row],[SKU]],TablaSALIDA[SKU],TablaSALIDA[FECHA],,0,-1))," " )</f>
        <v xml:space="preserve"> </v>
      </c>
    </row>
    <row r="1077" spans="1:21" x14ac:dyDescent="0.3">
      <c r="A1077" s="27" t="s">
        <v>1262</v>
      </c>
      <c r="B1077" s="32" t="str">
        <f>_xlfn.XLOOKUP(TablaSTOCKINV[[#This Row],[SKU]],TablaINVENTARIO[SKU],TablaINVENTARIO[DESCRIPCION])</f>
        <v>COMPONENTE DE INDICACIÓN (LED INDUSTRIAL)</v>
      </c>
      <c r="C1077" s="32" t="str">
        <f>_xlfn.XLOOKUP(TablaSTOCKINV[[#This Row],[SKU]],TablaINVENTARIO[SKU],TablaINVENTARIO[MARCA])</f>
        <v>N/A</v>
      </c>
      <c r="D1077" s="33" t="str">
        <f>_xlfn.XLOOKUP(TablaSTOCKINV[[#This Row],[SKU]],TablaINVENTARIO[SKU],TablaINVENTARIO[CATEGORIA])</f>
        <v>FABRICACION</v>
      </c>
      <c r="E1077" s="33" t="str">
        <f>_xlfn.XLOOKUP(TablaSTOCKINV[[#This Row],[SKU]],TablaINVENTARIO[SKU],TablaINVENTARIO[SUBCATEGORIA])</f>
        <v>ARTEFACTO ELETRÓNICO</v>
      </c>
      <c r="F1077" s="33" t="str">
        <f>_xlfn.XLOOKUP(TablaSTOCKINV[[#This Row],[SKU]],TablaINVENTARIO[SKU],TablaINVENTARIO[ESTADO])</f>
        <v>NUEVO</v>
      </c>
      <c r="G1077" s="33" t="str">
        <f>_xlfn.XLOOKUP(TablaSTOCKINV[[#This Row],[SKU]],TablaINVENTARIO[SKU],TablaINVENTARIO[MEDIDA])</f>
        <v>UND</v>
      </c>
      <c r="H1077" s="33" t="str">
        <f>_xlfn.XLOOKUP(TablaSTOCKINV[[#This Row],[SKU]],TablaINVENTARIO[SKU],TablaINVENTARIO[SERIAL])</f>
        <v>N/A</v>
      </c>
      <c r="I1077" s="34">
        <f>_xlfn.XLOOKUP(TablaSTOCKINV[[#This Row],[SKU]],TablaINVENTARIO[SKU],TablaINVENTARIO[ALMACEN])</f>
        <v>0</v>
      </c>
      <c r="J1077" s="34" t="str">
        <f>_xlfn.XLOOKUP(TablaSTOCKINV[[#This Row],[SKU]],TablaINVENTARIO[SKU],TablaINVENTARIO[UBICACION])</f>
        <v>3C</v>
      </c>
      <c r="K1077" s="34" t="str">
        <f>_xlfn.XLOOKUP(TablaSTOCKINV[[#This Row],[SKU]],TablaINVENTARIO[SKU],TablaINVENTARIO[DPTO RESPONSABLE])</f>
        <v>OPERACIONES</v>
      </c>
      <c r="L1077" s="53">
        <f>_xlfn.XLOOKUP(TablaSTOCKINV[[#This Row],[SKU]],TablaINVENTARIO[SKU],TablaINVENTARIO[RANGO MIN])</f>
        <v>0</v>
      </c>
      <c r="M1077" s="34" cm="1">
        <f t="array" ref="M1077">_xlfn.IFS(TablaSTOCKINV[[#This Row],[CANT. TOTAL]]&lt;=0,1,TablaSTOCKINV[[#This Row],[CANT. TOTAL]]&lt;=TablaSTOCKINV[[#This Row],[MIN]],2,TablaSTOCKINV[[#This Row],[CANT. TOTAL]]&gt;TablaSTOCKINV[[#This Row],[MIN]],3)</f>
        <v>3</v>
      </c>
      <c r="N1077" s="34">
        <f>TablaSTOCKINV[[#This Row],[ENTRADAS]]-TablaSTOCKINV[[#This Row],[SALIDAS]]</f>
        <v>1</v>
      </c>
      <c r="O1077" s="35">
        <f>SUMIFS(TablaENTRADA[CANT],TablaENTRADA[SKU],TablaSTOCKINV[[#This Row],[SKU]])</f>
        <v>1</v>
      </c>
      <c r="P1077" s="35">
        <f>SUMIFS(TablaSALIDA[CANT],TablaSALIDA[SKU],TablaSTOCKINV[[#This Row],[SKU]])</f>
        <v>0</v>
      </c>
      <c r="Q1077" s="34">
        <f>_xlfn.XLOOKUP(TablaSTOCKINV[[#This Row],[SKU]],TablaINVENTARIO[SKU],TablaINVENTARIO[PRECIO])</f>
        <v>0</v>
      </c>
      <c r="R1077" s="34">
        <f>TablaSTOCKINV[[#This Row],[P.UNITARIO]]*TablaSTOCKINV[[#This Row],[CANT. TOTAL]]</f>
        <v>0</v>
      </c>
      <c r="S1077" s="44">
        <f>_xlfn.XLOOKUP(TablaSTOCKINV[[#This Row],[SKU]],TablaINVENTARIO[SKU],TablaINVENTARIO[FECHA INGRESO])</f>
        <v>46023</v>
      </c>
      <c r="T1077" s="44">
        <f>_xlfn.XLOOKUP(TablaSTOCKINV[[#This Row],[SKU]],TablaENTRADA[SKU],TablaENTRADA[FECHA],,0,-1)</f>
        <v>46023</v>
      </c>
      <c r="U1077" s="46" t="str">
        <f>IFERROR((_xlfn.XLOOKUP(TablaSTOCKINV[[#This Row],[SKU]],TablaSALIDA[SKU],TablaSALIDA[FECHA],,0,-1))," " )</f>
        <v xml:space="preserve"> </v>
      </c>
    </row>
    <row r="1078" spans="1:21" x14ac:dyDescent="0.3">
      <c r="A1078" s="27" t="s">
        <v>1264</v>
      </c>
      <c r="B1078" s="32" t="str">
        <f>_xlfn.XLOOKUP(TablaSTOCKINV[[#This Row],[SKU]],TablaINVENTARIO[SKU],TablaINVENTARIO[DESCRIPCION])</f>
        <v>CABLE DE PUERTO SERIAL (COM) AWM 2651</v>
      </c>
      <c r="C1078" s="32" t="str">
        <f>_xlfn.XLOOKUP(TablaSTOCKINV[[#This Row],[SKU]],TablaINVENTARIO[SKU],TablaINVENTARIO[MARCA])</f>
        <v>N/A</v>
      </c>
      <c r="D1078" s="33" t="str">
        <f>_xlfn.XLOOKUP(TablaSTOCKINV[[#This Row],[SKU]],TablaINVENTARIO[SKU],TablaINVENTARIO[CATEGORIA])</f>
        <v>FABRICACION</v>
      </c>
      <c r="E1078" s="33" t="str">
        <f>_xlfn.XLOOKUP(TablaSTOCKINV[[#This Row],[SKU]],TablaINVENTARIO[SKU],TablaINVENTARIO[SUBCATEGORIA])</f>
        <v>ARTEFACTO ELETRÓNICO</v>
      </c>
      <c r="F1078" s="33" t="str">
        <f>_xlfn.XLOOKUP(TablaSTOCKINV[[#This Row],[SKU]],TablaINVENTARIO[SKU],TablaINVENTARIO[ESTADO])</f>
        <v>NUEVO</v>
      </c>
      <c r="G1078" s="33" t="str">
        <f>_xlfn.XLOOKUP(TablaSTOCKINV[[#This Row],[SKU]],TablaINVENTARIO[SKU],TablaINVENTARIO[MEDIDA])</f>
        <v>UND</v>
      </c>
      <c r="H1078" s="33" t="str">
        <f>_xlfn.XLOOKUP(TablaSTOCKINV[[#This Row],[SKU]],TablaINVENTARIO[SKU],TablaINVENTARIO[SERIAL])</f>
        <v>N/A</v>
      </c>
      <c r="I1078" s="34">
        <f>_xlfn.XLOOKUP(TablaSTOCKINV[[#This Row],[SKU]],TablaINVENTARIO[SKU],TablaINVENTARIO[ALMACEN])</f>
        <v>0</v>
      </c>
      <c r="J1078" s="34" t="str">
        <f>_xlfn.XLOOKUP(TablaSTOCKINV[[#This Row],[SKU]],TablaINVENTARIO[SKU],TablaINVENTARIO[UBICACION])</f>
        <v>3C</v>
      </c>
      <c r="K1078" s="34" t="str">
        <f>_xlfn.XLOOKUP(TablaSTOCKINV[[#This Row],[SKU]],TablaINVENTARIO[SKU],TablaINVENTARIO[DPTO RESPONSABLE])</f>
        <v>OPERACIONES</v>
      </c>
      <c r="L1078" s="53">
        <f>_xlfn.XLOOKUP(TablaSTOCKINV[[#This Row],[SKU]],TablaINVENTARIO[SKU],TablaINVENTARIO[RANGO MIN])</f>
        <v>0</v>
      </c>
      <c r="M1078" s="34" cm="1">
        <f t="array" ref="M1078">_xlfn.IFS(TablaSTOCKINV[[#This Row],[CANT. TOTAL]]&lt;=0,1,TablaSTOCKINV[[#This Row],[CANT. TOTAL]]&lt;=TablaSTOCKINV[[#This Row],[MIN]],2,TablaSTOCKINV[[#This Row],[CANT. TOTAL]]&gt;TablaSTOCKINV[[#This Row],[MIN]],3)</f>
        <v>3</v>
      </c>
      <c r="N1078" s="34">
        <f>TablaSTOCKINV[[#This Row],[ENTRADAS]]-TablaSTOCKINV[[#This Row],[SALIDAS]]</f>
        <v>4</v>
      </c>
      <c r="O1078" s="35">
        <f>SUMIFS(TablaENTRADA[CANT],TablaENTRADA[SKU],TablaSTOCKINV[[#This Row],[SKU]])</f>
        <v>4</v>
      </c>
      <c r="P1078" s="35">
        <f>SUMIFS(TablaSALIDA[CANT],TablaSALIDA[SKU],TablaSTOCKINV[[#This Row],[SKU]])</f>
        <v>0</v>
      </c>
      <c r="Q1078" s="34">
        <f>_xlfn.XLOOKUP(TablaSTOCKINV[[#This Row],[SKU]],TablaINVENTARIO[SKU],TablaINVENTARIO[PRECIO])</f>
        <v>0</v>
      </c>
      <c r="R1078" s="34">
        <f>TablaSTOCKINV[[#This Row],[P.UNITARIO]]*TablaSTOCKINV[[#This Row],[CANT. TOTAL]]</f>
        <v>0</v>
      </c>
      <c r="S1078" s="44">
        <f>_xlfn.XLOOKUP(TablaSTOCKINV[[#This Row],[SKU]],TablaINVENTARIO[SKU],TablaINVENTARIO[FECHA INGRESO])</f>
        <v>46023</v>
      </c>
      <c r="T1078" s="44">
        <f>_xlfn.XLOOKUP(TablaSTOCKINV[[#This Row],[SKU]],TablaENTRADA[SKU],TablaENTRADA[FECHA],,0,-1)</f>
        <v>46023</v>
      </c>
      <c r="U1078" s="46" t="str">
        <f>IFERROR((_xlfn.XLOOKUP(TablaSTOCKINV[[#This Row],[SKU]],TablaSALIDA[SKU],TablaSALIDA[FECHA],,0,-1))," " )</f>
        <v xml:space="preserve"> </v>
      </c>
    </row>
    <row r="1079" spans="1:21" x14ac:dyDescent="0.3">
      <c r="A1079" s="27" t="s">
        <v>1266</v>
      </c>
      <c r="B1079" s="32" t="str">
        <f>_xlfn.XLOOKUP(TablaSTOCKINV[[#This Row],[SKU]],TablaINVENTARIO[SKU],TablaINVENTARIO[DESCRIPCION])</f>
        <v>CABLE DE PUERTO SERIAL (COM) A1 F0104 / A1 0H231</v>
      </c>
      <c r="C1079" s="32" t="str">
        <f>_xlfn.XLOOKUP(TablaSTOCKINV[[#This Row],[SKU]],TablaINVENTARIO[SKU],TablaINVENTARIO[MARCA])</f>
        <v>N/A</v>
      </c>
      <c r="D1079" s="33" t="str">
        <f>_xlfn.XLOOKUP(TablaSTOCKINV[[#This Row],[SKU]],TablaINVENTARIO[SKU],TablaINVENTARIO[CATEGORIA])</f>
        <v>FABRICACION</v>
      </c>
      <c r="E1079" s="33" t="str">
        <f>_xlfn.XLOOKUP(TablaSTOCKINV[[#This Row],[SKU]],TablaINVENTARIO[SKU],TablaINVENTARIO[SUBCATEGORIA])</f>
        <v>ARTEFACTO ELETRÓNICO</v>
      </c>
      <c r="F1079" s="33" t="str">
        <f>_xlfn.XLOOKUP(TablaSTOCKINV[[#This Row],[SKU]],TablaINVENTARIO[SKU],TablaINVENTARIO[ESTADO])</f>
        <v>NUEVO</v>
      </c>
      <c r="G1079" s="33" t="str">
        <f>_xlfn.XLOOKUP(TablaSTOCKINV[[#This Row],[SKU]],TablaINVENTARIO[SKU],TablaINVENTARIO[MEDIDA])</f>
        <v>UND</v>
      </c>
      <c r="H1079" s="33" t="str">
        <f>_xlfn.XLOOKUP(TablaSTOCKINV[[#This Row],[SKU]],TablaINVENTARIO[SKU],TablaINVENTARIO[SERIAL])</f>
        <v>N/A</v>
      </c>
      <c r="I1079" s="34">
        <f>_xlfn.XLOOKUP(TablaSTOCKINV[[#This Row],[SKU]],TablaINVENTARIO[SKU],TablaINVENTARIO[ALMACEN])</f>
        <v>0</v>
      </c>
      <c r="J1079" s="34" t="str">
        <f>_xlfn.XLOOKUP(TablaSTOCKINV[[#This Row],[SKU]],TablaINVENTARIO[SKU],TablaINVENTARIO[UBICACION])</f>
        <v>3C</v>
      </c>
      <c r="K1079" s="34" t="str">
        <f>_xlfn.XLOOKUP(TablaSTOCKINV[[#This Row],[SKU]],TablaINVENTARIO[SKU],TablaINVENTARIO[DPTO RESPONSABLE])</f>
        <v>OPERACIONES</v>
      </c>
      <c r="L1079" s="53">
        <f>_xlfn.XLOOKUP(TablaSTOCKINV[[#This Row],[SKU]],TablaINVENTARIO[SKU],TablaINVENTARIO[RANGO MIN])</f>
        <v>0</v>
      </c>
      <c r="M1079" s="34" cm="1">
        <f t="array" ref="M1079">_xlfn.IFS(TablaSTOCKINV[[#This Row],[CANT. TOTAL]]&lt;=0,1,TablaSTOCKINV[[#This Row],[CANT. TOTAL]]&lt;=TablaSTOCKINV[[#This Row],[MIN]],2,TablaSTOCKINV[[#This Row],[CANT. TOTAL]]&gt;TablaSTOCKINV[[#This Row],[MIN]],3)</f>
        <v>3</v>
      </c>
      <c r="N1079" s="34">
        <f>TablaSTOCKINV[[#This Row],[ENTRADAS]]-TablaSTOCKINV[[#This Row],[SALIDAS]]</f>
        <v>3</v>
      </c>
      <c r="O1079" s="35">
        <f>SUMIFS(TablaENTRADA[CANT],TablaENTRADA[SKU],TablaSTOCKINV[[#This Row],[SKU]])</f>
        <v>3</v>
      </c>
      <c r="P1079" s="35">
        <f>SUMIFS(TablaSALIDA[CANT],TablaSALIDA[SKU],TablaSTOCKINV[[#This Row],[SKU]])</f>
        <v>0</v>
      </c>
      <c r="Q1079" s="34">
        <f>_xlfn.XLOOKUP(TablaSTOCKINV[[#This Row],[SKU]],TablaINVENTARIO[SKU],TablaINVENTARIO[PRECIO])</f>
        <v>0</v>
      </c>
      <c r="R1079" s="34">
        <f>TablaSTOCKINV[[#This Row],[P.UNITARIO]]*TablaSTOCKINV[[#This Row],[CANT. TOTAL]]</f>
        <v>0</v>
      </c>
      <c r="S1079" s="44">
        <f>_xlfn.XLOOKUP(TablaSTOCKINV[[#This Row],[SKU]],TablaINVENTARIO[SKU],TablaINVENTARIO[FECHA INGRESO])</f>
        <v>46023</v>
      </c>
      <c r="T1079" s="44">
        <f>_xlfn.XLOOKUP(TablaSTOCKINV[[#This Row],[SKU]],TablaENTRADA[SKU],TablaENTRADA[FECHA],,0,-1)</f>
        <v>46023</v>
      </c>
      <c r="U1079" s="46" t="str">
        <f>IFERROR((_xlfn.XLOOKUP(TablaSTOCKINV[[#This Row],[SKU]],TablaSALIDA[SKU],TablaSALIDA[FECHA],,0,-1))," " )</f>
        <v xml:space="preserve"> </v>
      </c>
    </row>
    <row r="1080" spans="1:21" x14ac:dyDescent="0.3">
      <c r="A1080" s="27" t="s">
        <v>1268</v>
      </c>
      <c r="B1080" s="32" t="str">
        <f>_xlfn.XLOOKUP(TablaSTOCKINV[[#This Row],[SKU]],TablaINVENTARIO[SKU],TablaINVENTARIO[DESCRIPCION])</f>
        <v>MÓDULO DE TRANSMISOR INDUSTRIAL 03031-0332-0003</v>
      </c>
      <c r="C1080" s="32" t="str">
        <f>_xlfn.XLOOKUP(TablaSTOCKINV[[#This Row],[SKU]],TablaINVENTARIO[SKU],TablaINVENTARIO[MARCA])</f>
        <v>N/A</v>
      </c>
      <c r="D1080" s="33" t="str">
        <f>_xlfn.XLOOKUP(TablaSTOCKINV[[#This Row],[SKU]],TablaINVENTARIO[SKU],TablaINVENTARIO[CATEGORIA])</f>
        <v>FABRICACION</v>
      </c>
      <c r="E1080" s="33" t="str">
        <f>_xlfn.XLOOKUP(TablaSTOCKINV[[#This Row],[SKU]],TablaINVENTARIO[SKU],TablaINVENTARIO[SUBCATEGORIA])</f>
        <v>ARTEFACTO ELETRÓNICO</v>
      </c>
      <c r="F1080" s="33" t="str">
        <f>_xlfn.XLOOKUP(TablaSTOCKINV[[#This Row],[SKU]],TablaINVENTARIO[SKU],TablaINVENTARIO[ESTADO])</f>
        <v>NUEVO</v>
      </c>
      <c r="G1080" s="33" t="str">
        <f>_xlfn.XLOOKUP(TablaSTOCKINV[[#This Row],[SKU]],TablaINVENTARIO[SKU],TablaINVENTARIO[MEDIDA])</f>
        <v>UND</v>
      </c>
      <c r="H1080" s="33" t="str">
        <f>_xlfn.XLOOKUP(TablaSTOCKINV[[#This Row],[SKU]],TablaINVENTARIO[SKU],TablaINVENTARIO[SERIAL])</f>
        <v>N/A</v>
      </c>
      <c r="I1080" s="34">
        <f>_xlfn.XLOOKUP(TablaSTOCKINV[[#This Row],[SKU]],TablaINVENTARIO[SKU],TablaINVENTARIO[ALMACEN])</f>
        <v>0</v>
      </c>
      <c r="J1080" s="34" t="str">
        <f>_xlfn.XLOOKUP(TablaSTOCKINV[[#This Row],[SKU]],TablaINVENTARIO[SKU],TablaINVENTARIO[UBICACION])</f>
        <v>3C</v>
      </c>
      <c r="K1080" s="34" t="str">
        <f>_xlfn.XLOOKUP(TablaSTOCKINV[[#This Row],[SKU]],TablaINVENTARIO[SKU],TablaINVENTARIO[DPTO RESPONSABLE])</f>
        <v>OPERACIONES</v>
      </c>
      <c r="L1080" s="53">
        <f>_xlfn.XLOOKUP(TablaSTOCKINV[[#This Row],[SKU]],TablaINVENTARIO[SKU],TablaINVENTARIO[RANGO MIN])</f>
        <v>0</v>
      </c>
      <c r="M1080" s="34" cm="1">
        <f t="array" ref="M1080">_xlfn.IFS(TablaSTOCKINV[[#This Row],[CANT. TOTAL]]&lt;=0,1,TablaSTOCKINV[[#This Row],[CANT. TOTAL]]&lt;=TablaSTOCKINV[[#This Row],[MIN]],2,TablaSTOCKINV[[#This Row],[CANT. TOTAL]]&gt;TablaSTOCKINV[[#This Row],[MIN]],3)</f>
        <v>3</v>
      </c>
      <c r="N1080" s="34">
        <f>TablaSTOCKINV[[#This Row],[ENTRADAS]]-TablaSTOCKINV[[#This Row],[SALIDAS]]</f>
        <v>7</v>
      </c>
      <c r="O1080" s="35">
        <f>SUMIFS(TablaENTRADA[CANT],TablaENTRADA[SKU],TablaSTOCKINV[[#This Row],[SKU]])</f>
        <v>7</v>
      </c>
      <c r="P1080" s="35">
        <f>SUMIFS(TablaSALIDA[CANT],TablaSALIDA[SKU],TablaSTOCKINV[[#This Row],[SKU]])</f>
        <v>0</v>
      </c>
      <c r="Q1080" s="34">
        <f>_xlfn.XLOOKUP(TablaSTOCKINV[[#This Row],[SKU]],TablaINVENTARIO[SKU],TablaINVENTARIO[PRECIO])</f>
        <v>0</v>
      </c>
      <c r="R1080" s="34">
        <f>TablaSTOCKINV[[#This Row],[P.UNITARIO]]*TablaSTOCKINV[[#This Row],[CANT. TOTAL]]</f>
        <v>0</v>
      </c>
      <c r="S1080" s="44">
        <f>_xlfn.XLOOKUP(TablaSTOCKINV[[#This Row],[SKU]],TablaINVENTARIO[SKU],TablaINVENTARIO[FECHA INGRESO])</f>
        <v>46023</v>
      </c>
      <c r="T1080" s="44">
        <f>_xlfn.XLOOKUP(TablaSTOCKINV[[#This Row],[SKU]],TablaENTRADA[SKU],TablaENTRADA[FECHA],,0,-1)</f>
        <v>46023</v>
      </c>
      <c r="U1080" s="46" t="str">
        <f>IFERROR((_xlfn.XLOOKUP(TablaSTOCKINV[[#This Row],[SKU]],TablaSALIDA[SKU],TablaSALIDA[FECHA],,0,-1))," " )</f>
        <v xml:space="preserve"> </v>
      </c>
    </row>
    <row r="1081" spans="1:21" x14ac:dyDescent="0.3">
      <c r="A1081" s="27" t="s">
        <v>1270</v>
      </c>
      <c r="B1081" s="32" t="str">
        <f>_xlfn.XLOOKUP(TablaSTOCKINV[[#This Row],[SKU]],TablaINVENTARIO[SKU],TablaINVENTARIO[DESCRIPCION])</f>
        <v>KIT DE MONTAJE Y ACCESORIOS (PROTECCIÓN)</v>
      </c>
      <c r="C1081" s="32" t="str">
        <f>_xlfn.XLOOKUP(TablaSTOCKINV[[#This Row],[SKU]],TablaINVENTARIO[SKU],TablaINVENTARIO[MARCA])</f>
        <v>PROTEK</v>
      </c>
      <c r="D1081" s="33" t="str">
        <f>_xlfn.XLOOKUP(TablaSTOCKINV[[#This Row],[SKU]],TablaINVENTARIO[SKU],TablaINVENTARIO[CATEGORIA])</f>
        <v>FABRICACION</v>
      </c>
      <c r="E1081" s="33" t="str">
        <f>_xlfn.XLOOKUP(TablaSTOCKINV[[#This Row],[SKU]],TablaINVENTARIO[SKU],TablaINVENTARIO[SUBCATEGORIA])</f>
        <v>ARTEFACTO ELETRÓNICO</v>
      </c>
      <c r="F1081" s="33" t="str">
        <f>_xlfn.XLOOKUP(TablaSTOCKINV[[#This Row],[SKU]],TablaINVENTARIO[SKU],TablaINVENTARIO[ESTADO])</f>
        <v>NUEVO</v>
      </c>
      <c r="G1081" s="33" t="str">
        <f>_xlfn.XLOOKUP(TablaSTOCKINV[[#This Row],[SKU]],TablaINVENTARIO[SKU],TablaINVENTARIO[MEDIDA])</f>
        <v>UND</v>
      </c>
      <c r="H1081" s="33" t="str">
        <f>_xlfn.XLOOKUP(TablaSTOCKINV[[#This Row],[SKU]],TablaINVENTARIO[SKU],TablaINVENTARIO[SERIAL])</f>
        <v>N/A</v>
      </c>
      <c r="I1081" s="34">
        <f>_xlfn.XLOOKUP(TablaSTOCKINV[[#This Row],[SKU]],TablaINVENTARIO[SKU],TablaINVENTARIO[ALMACEN])</f>
        <v>0</v>
      </c>
      <c r="J1081" s="34" t="str">
        <f>_xlfn.XLOOKUP(TablaSTOCKINV[[#This Row],[SKU]],TablaINVENTARIO[SKU],TablaINVENTARIO[UBICACION])</f>
        <v>3C</v>
      </c>
      <c r="K1081" s="34" t="str">
        <f>_xlfn.XLOOKUP(TablaSTOCKINV[[#This Row],[SKU]],TablaINVENTARIO[SKU],TablaINVENTARIO[DPTO RESPONSABLE])</f>
        <v>OPERACIONES</v>
      </c>
      <c r="L1081" s="53">
        <f>_xlfn.XLOOKUP(TablaSTOCKINV[[#This Row],[SKU]],TablaINVENTARIO[SKU],TablaINVENTARIO[RANGO MIN])</f>
        <v>0</v>
      </c>
      <c r="M1081" s="34" cm="1">
        <f t="array" ref="M1081">_xlfn.IFS(TablaSTOCKINV[[#This Row],[CANT. TOTAL]]&lt;=0,1,TablaSTOCKINV[[#This Row],[CANT. TOTAL]]&lt;=TablaSTOCKINV[[#This Row],[MIN]],2,TablaSTOCKINV[[#This Row],[CANT. TOTAL]]&gt;TablaSTOCKINV[[#This Row],[MIN]],3)</f>
        <v>3</v>
      </c>
      <c r="N1081" s="34">
        <f>TablaSTOCKINV[[#This Row],[ENTRADAS]]-TablaSTOCKINV[[#This Row],[SALIDAS]]</f>
        <v>1</v>
      </c>
      <c r="O1081" s="35">
        <f>SUMIFS(TablaENTRADA[CANT],TablaENTRADA[SKU],TablaSTOCKINV[[#This Row],[SKU]])</f>
        <v>1</v>
      </c>
      <c r="P1081" s="35">
        <f>SUMIFS(TablaSALIDA[CANT],TablaSALIDA[SKU],TablaSTOCKINV[[#This Row],[SKU]])</f>
        <v>0</v>
      </c>
      <c r="Q1081" s="34">
        <f>_xlfn.XLOOKUP(TablaSTOCKINV[[#This Row],[SKU]],TablaINVENTARIO[SKU],TablaINVENTARIO[PRECIO])</f>
        <v>0</v>
      </c>
      <c r="R1081" s="34">
        <f>TablaSTOCKINV[[#This Row],[P.UNITARIO]]*TablaSTOCKINV[[#This Row],[CANT. TOTAL]]</f>
        <v>0</v>
      </c>
      <c r="S1081" s="44">
        <f>_xlfn.XLOOKUP(TablaSTOCKINV[[#This Row],[SKU]],TablaINVENTARIO[SKU],TablaINVENTARIO[FECHA INGRESO])</f>
        <v>46023</v>
      </c>
      <c r="T1081" s="44">
        <f>_xlfn.XLOOKUP(TablaSTOCKINV[[#This Row],[SKU]],TablaENTRADA[SKU],TablaENTRADA[FECHA],,0,-1)</f>
        <v>46023</v>
      </c>
      <c r="U1081" s="46" t="str">
        <f>IFERROR((_xlfn.XLOOKUP(TablaSTOCKINV[[#This Row],[SKU]],TablaSALIDA[SKU],TablaSALIDA[FECHA],,0,-1))," " )</f>
        <v xml:space="preserve"> </v>
      </c>
    </row>
    <row r="1082" spans="1:21" x14ac:dyDescent="0.3">
      <c r="A1082" s="27" t="s">
        <v>1273</v>
      </c>
      <c r="B1082" s="32" t="str">
        <f>_xlfn.XLOOKUP(TablaSTOCKINV[[#This Row],[SKU]],TablaINVENTARIO[SKU],TablaINVENTARIO[DESCRIPCION])</f>
        <v>CABLE DE PUERTO SERIAL DB9 MACHO</v>
      </c>
      <c r="C1082" s="32" t="str">
        <f>_xlfn.XLOOKUP(TablaSTOCKINV[[#This Row],[SKU]],TablaINVENTARIO[SKU],TablaINVENTARIO[MARCA])</f>
        <v>N/A</v>
      </c>
      <c r="D1082" s="33" t="str">
        <f>_xlfn.XLOOKUP(TablaSTOCKINV[[#This Row],[SKU]],TablaINVENTARIO[SKU],TablaINVENTARIO[CATEGORIA])</f>
        <v>FABRICACION</v>
      </c>
      <c r="E1082" s="33" t="str">
        <f>_xlfn.XLOOKUP(TablaSTOCKINV[[#This Row],[SKU]],TablaINVENTARIO[SKU],TablaINVENTARIO[SUBCATEGORIA])</f>
        <v>ARTEFACTO ELETRÓNICO</v>
      </c>
      <c r="F1082" s="33" t="str">
        <f>_xlfn.XLOOKUP(TablaSTOCKINV[[#This Row],[SKU]],TablaINVENTARIO[SKU],TablaINVENTARIO[ESTADO])</f>
        <v>NUEVO</v>
      </c>
      <c r="G1082" s="33" t="str">
        <f>_xlfn.XLOOKUP(TablaSTOCKINV[[#This Row],[SKU]],TablaINVENTARIO[SKU],TablaINVENTARIO[MEDIDA])</f>
        <v>UND</v>
      </c>
      <c r="H1082" s="33" t="str">
        <f>_xlfn.XLOOKUP(TablaSTOCKINV[[#This Row],[SKU]],TablaINVENTARIO[SKU],TablaINVENTARIO[SERIAL])</f>
        <v>N/A</v>
      </c>
      <c r="I1082" s="34">
        <f>_xlfn.XLOOKUP(TablaSTOCKINV[[#This Row],[SKU]],TablaINVENTARIO[SKU],TablaINVENTARIO[ALMACEN])</f>
        <v>0</v>
      </c>
      <c r="J1082" s="34" t="str">
        <f>_xlfn.XLOOKUP(TablaSTOCKINV[[#This Row],[SKU]],TablaINVENTARIO[SKU],TablaINVENTARIO[UBICACION])</f>
        <v>3C</v>
      </c>
      <c r="K1082" s="34" t="str">
        <f>_xlfn.XLOOKUP(TablaSTOCKINV[[#This Row],[SKU]],TablaINVENTARIO[SKU],TablaINVENTARIO[DPTO RESPONSABLE])</f>
        <v>OPERACIONES</v>
      </c>
      <c r="L1082" s="53">
        <f>_xlfn.XLOOKUP(TablaSTOCKINV[[#This Row],[SKU]],TablaINVENTARIO[SKU],TablaINVENTARIO[RANGO MIN])</f>
        <v>0</v>
      </c>
      <c r="M1082" s="34" cm="1">
        <f t="array" ref="M1082">_xlfn.IFS(TablaSTOCKINV[[#This Row],[CANT. TOTAL]]&lt;=0,1,TablaSTOCKINV[[#This Row],[CANT. TOTAL]]&lt;=TablaSTOCKINV[[#This Row],[MIN]],2,TablaSTOCKINV[[#This Row],[CANT. TOTAL]]&gt;TablaSTOCKINV[[#This Row],[MIN]],3)</f>
        <v>3</v>
      </c>
      <c r="N1082" s="34">
        <f>TablaSTOCKINV[[#This Row],[ENTRADAS]]-TablaSTOCKINV[[#This Row],[SALIDAS]]</f>
        <v>1</v>
      </c>
      <c r="O1082" s="35">
        <f>SUMIFS(TablaENTRADA[CANT],TablaENTRADA[SKU],TablaSTOCKINV[[#This Row],[SKU]])</f>
        <v>1</v>
      </c>
      <c r="P1082" s="35">
        <f>SUMIFS(TablaSALIDA[CANT],TablaSALIDA[SKU],TablaSTOCKINV[[#This Row],[SKU]])</f>
        <v>0</v>
      </c>
      <c r="Q1082" s="34">
        <f>_xlfn.XLOOKUP(TablaSTOCKINV[[#This Row],[SKU]],TablaINVENTARIO[SKU],TablaINVENTARIO[PRECIO])</f>
        <v>0</v>
      </c>
      <c r="R1082" s="34">
        <f>TablaSTOCKINV[[#This Row],[P.UNITARIO]]*TablaSTOCKINV[[#This Row],[CANT. TOTAL]]</f>
        <v>0</v>
      </c>
      <c r="S1082" s="44">
        <f>_xlfn.XLOOKUP(TablaSTOCKINV[[#This Row],[SKU]],TablaINVENTARIO[SKU],TablaINVENTARIO[FECHA INGRESO])</f>
        <v>46023</v>
      </c>
      <c r="T1082" s="44">
        <f>_xlfn.XLOOKUP(TablaSTOCKINV[[#This Row],[SKU]],TablaENTRADA[SKU],TablaENTRADA[FECHA],,0,-1)</f>
        <v>46023</v>
      </c>
      <c r="U1082" s="46" t="str">
        <f>IFERROR((_xlfn.XLOOKUP(TablaSTOCKINV[[#This Row],[SKU]],TablaSALIDA[SKU],TablaSALIDA[FECHA],,0,-1))," " )</f>
        <v xml:space="preserve"> </v>
      </c>
    </row>
    <row r="1083" spans="1:21" x14ac:dyDescent="0.3">
      <c r="A1083" s="27" t="s">
        <v>1275</v>
      </c>
      <c r="B1083" s="32" t="str">
        <f>_xlfn.XLOOKUP(TablaSTOCKINV[[#This Row],[SKU]],TablaINVENTARIO[SKU],TablaINVENTARIO[DESCRIPCION])</f>
        <v>PREAMPLIFICADOR DE SENSOR (SPEC TECH) PA-10/1-PNP</v>
      </c>
      <c r="C1083" s="32" t="str">
        <f>_xlfn.XLOOKUP(TablaSTOCKINV[[#This Row],[SKU]],TablaINVENTARIO[SKU],TablaINVENTARIO[MARCA])</f>
        <v>SPEC TECH</v>
      </c>
      <c r="D1083" s="33" t="str">
        <f>_xlfn.XLOOKUP(TablaSTOCKINV[[#This Row],[SKU]],TablaINVENTARIO[SKU],TablaINVENTARIO[CATEGORIA])</f>
        <v>FABRICACION</v>
      </c>
      <c r="E1083" s="33" t="str">
        <f>_xlfn.XLOOKUP(TablaSTOCKINV[[#This Row],[SKU]],TablaINVENTARIO[SKU],TablaINVENTARIO[SUBCATEGORIA])</f>
        <v>ARTEFACTO ELETRÓNICO</v>
      </c>
      <c r="F1083" s="33" t="str">
        <f>_xlfn.XLOOKUP(TablaSTOCKINV[[#This Row],[SKU]],TablaINVENTARIO[SKU],TablaINVENTARIO[ESTADO])</f>
        <v>NUEVO</v>
      </c>
      <c r="G1083" s="33" t="str">
        <f>_xlfn.XLOOKUP(TablaSTOCKINV[[#This Row],[SKU]],TablaINVENTARIO[SKU],TablaINVENTARIO[MEDIDA])</f>
        <v>UND</v>
      </c>
      <c r="H1083" s="33" t="str">
        <f>_xlfn.XLOOKUP(TablaSTOCKINV[[#This Row],[SKU]],TablaINVENTARIO[SKU],TablaINVENTARIO[SERIAL])</f>
        <v>4011-02</v>
      </c>
      <c r="I1083" s="34">
        <f>_xlfn.XLOOKUP(TablaSTOCKINV[[#This Row],[SKU]],TablaINVENTARIO[SKU],TablaINVENTARIO[ALMACEN])</f>
        <v>0</v>
      </c>
      <c r="J1083" s="34" t="str">
        <f>_xlfn.XLOOKUP(TablaSTOCKINV[[#This Row],[SKU]],TablaINVENTARIO[SKU],TablaINVENTARIO[UBICACION])</f>
        <v>3C</v>
      </c>
      <c r="K1083" s="34" t="str">
        <f>_xlfn.XLOOKUP(TablaSTOCKINV[[#This Row],[SKU]],TablaINVENTARIO[SKU],TablaINVENTARIO[DPTO RESPONSABLE])</f>
        <v>OPERACIONES</v>
      </c>
      <c r="L1083" s="53">
        <f>_xlfn.XLOOKUP(TablaSTOCKINV[[#This Row],[SKU]],TablaINVENTARIO[SKU],TablaINVENTARIO[RANGO MIN])</f>
        <v>0</v>
      </c>
      <c r="M1083" s="34" cm="1">
        <f t="array" ref="M1083">_xlfn.IFS(TablaSTOCKINV[[#This Row],[CANT. TOTAL]]&lt;=0,1,TablaSTOCKINV[[#This Row],[CANT. TOTAL]]&lt;=TablaSTOCKINV[[#This Row],[MIN]],2,TablaSTOCKINV[[#This Row],[CANT. TOTAL]]&gt;TablaSTOCKINV[[#This Row],[MIN]],3)</f>
        <v>3</v>
      </c>
      <c r="N1083" s="34">
        <f>TablaSTOCKINV[[#This Row],[ENTRADAS]]-TablaSTOCKINV[[#This Row],[SALIDAS]]</f>
        <v>3</v>
      </c>
      <c r="O1083" s="35">
        <f>SUMIFS(TablaENTRADA[CANT],TablaENTRADA[SKU],TablaSTOCKINV[[#This Row],[SKU]])</f>
        <v>3</v>
      </c>
      <c r="P1083" s="35">
        <f>SUMIFS(TablaSALIDA[CANT],TablaSALIDA[SKU],TablaSTOCKINV[[#This Row],[SKU]])</f>
        <v>0</v>
      </c>
      <c r="Q1083" s="34">
        <f>_xlfn.XLOOKUP(TablaSTOCKINV[[#This Row],[SKU]],TablaINVENTARIO[SKU],TablaINVENTARIO[PRECIO])</f>
        <v>0</v>
      </c>
      <c r="R1083" s="34">
        <f>TablaSTOCKINV[[#This Row],[P.UNITARIO]]*TablaSTOCKINV[[#This Row],[CANT. TOTAL]]</f>
        <v>0</v>
      </c>
      <c r="S1083" s="44">
        <f>_xlfn.XLOOKUP(TablaSTOCKINV[[#This Row],[SKU]],TablaINVENTARIO[SKU],TablaINVENTARIO[FECHA INGRESO])</f>
        <v>46023</v>
      </c>
      <c r="T1083" s="44">
        <f>_xlfn.XLOOKUP(TablaSTOCKINV[[#This Row],[SKU]],TablaENTRADA[SKU],TablaENTRADA[FECHA],,0,-1)</f>
        <v>46023</v>
      </c>
      <c r="U1083" s="46" t="str">
        <f>IFERROR((_xlfn.XLOOKUP(TablaSTOCKINV[[#This Row],[SKU]],TablaSALIDA[SKU],TablaSALIDA[FECHA],,0,-1))," " )</f>
        <v xml:space="preserve"> </v>
      </c>
    </row>
    <row r="1084" spans="1:21" x14ac:dyDescent="0.3">
      <c r="A1084" s="27" t="s">
        <v>1279</v>
      </c>
      <c r="B1084" s="32" t="str">
        <f>_xlfn.XLOOKUP(TablaSTOCKINV[[#This Row],[SKU]],TablaINVENTARIO[SKU],TablaINVENTARIO[DESCRIPCION])</f>
        <v>SWITCH INDUSTRIAL ETHERNET TI-E50</v>
      </c>
      <c r="C1084" s="32" t="str">
        <f>_xlfn.XLOOKUP(TablaSTOCKINV[[#This Row],[SKU]],TablaINVENTARIO[SKU],TablaINVENTARIO[MARCA])</f>
        <v>TRENDNET</v>
      </c>
      <c r="D1084" s="33" t="str">
        <f>_xlfn.XLOOKUP(TablaSTOCKINV[[#This Row],[SKU]],TablaINVENTARIO[SKU],TablaINVENTARIO[CATEGORIA])</f>
        <v>FABRICACION</v>
      </c>
      <c r="E1084" s="33" t="str">
        <f>_xlfn.XLOOKUP(TablaSTOCKINV[[#This Row],[SKU]],TablaINVENTARIO[SKU],TablaINVENTARIO[SUBCATEGORIA])</f>
        <v>ARTEFACTO ELETRÓNICO</v>
      </c>
      <c r="F1084" s="33" t="str">
        <f>_xlfn.XLOOKUP(TablaSTOCKINV[[#This Row],[SKU]],TablaINVENTARIO[SKU],TablaINVENTARIO[ESTADO])</f>
        <v>NUEVO</v>
      </c>
      <c r="G1084" s="33" t="str">
        <f>_xlfn.XLOOKUP(TablaSTOCKINV[[#This Row],[SKU]],TablaINVENTARIO[SKU],TablaINVENTARIO[MEDIDA])</f>
        <v>UND</v>
      </c>
      <c r="H1084" s="33" t="str">
        <f>_xlfn.XLOOKUP(TablaSTOCKINV[[#This Row],[SKU]],TablaINVENTARIO[SKU],TablaINVENTARIO[SERIAL])</f>
        <v>N/A</v>
      </c>
      <c r="I1084" s="34">
        <f>_xlfn.XLOOKUP(TablaSTOCKINV[[#This Row],[SKU]],TablaINVENTARIO[SKU],TablaINVENTARIO[ALMACEN])</f>
        <v>0</v>
      </c>
      <c r="J1084" s="34" t="str">
        <f>_xlfn.XLOOKUP(TablaSTOCKINV[[#This Row],[SKU]],TablaINVENTARIO[SKU],TablaINVENTARIO[UBICACION])</f>
        <v>3C</v>
      </c>
      <c r="K1084" s="34" t="str">
        <f>_xlfn.XLOOKUP(TablaSTOCKINV[[#This Row],[SKU]],TablaINVENTARIO[SKU],TablaINVENTARIO[DPTO RESPONSABLE])</f>
        <v>OPERACIONES</v>
      </c>
      <c r="L1084" s="53">
        <f>_xlfn.XLOOKUP(TablaSTOCKINV[[#This Row],[SKU]],TablaINVENTARIO[SKU],TablaINVENTARIO[RANGO MIN])</f>
        <v>0</v>
      </c>
      <c r="M1084" s="34" cm="1">
        <f t="array" ref="M1084">_xlfn.IFS(TablaSTOCKINV[[#This Row],[CANT. TOTAL]]&lt;=0,1,TablaSTOCKINV[[#This Row],[CANT. TOTAL]]&lt;=TablaSTOCKINV[[#This Row],[MIN]],2,TablaSTOCKINV[[#This Row],[CANT. TOTAL]]&gt;TablaSTOCKINV[[#This Row],[MIN]],3)</f>
        <v>3</v>
      </c>
      <c r="N1084" s="34">
        <f>TablaSTOCKINV[[#This Row],[ENTRADAS]]-TablaSTOCKINV[[#This Row],[SALIDAS]]</f>
        <v>1</v>
      </c>
      <c r="O1084" s="35">
        <f>SUMIFS(TablaENTRADA[CANT],TablaENTRADA[SKU],TablaSTOCKINV[[#This Row],[SKU]])</f>
        <v>1</v>
      </c>
      <c r="P1084" s="35">
        <f>SUMIFS(TablaSALIDA[CANT],TablaSALIDA[SKU],TablaSTOCKINV[[#This Row],[SKU]])</f>
        <v>0</v>
      </c>
      <c r="Q1084" s="34">
        <f>_xlfn.XLOOKUP(TablaSTOCKINV[[#This Row],[SKU]],TablaINVENTARIO[SKU],TablaINVENTARIO[PRECIO])</f>
        <v>0</v>
      </c>
      <c r="R1084" s="34">
        <f>TablaSTOCKINV[[#This Row],[P.UNITARIO]]*TablaSTOCKINV[[#This Row],[CANT. TOTAL]]</f>
        <v>0</v>
      </c>
      <c r="S1084" s="44">
        <f>_xlfn.XLOOKUP(TablaSTOCKINV[[#This Row],[SKU]],TablaINVENTARIO[SKU],TablaINVENTARIO[FECHA INGRESO])</f>
        <v>46023</v>
      </c>
      <c r="T1084" s="44">
        <f>_xlfn.XLOOKUP(TablaSTOCKINV[[#This Row],[SKU]],TablaENTRADA[SKU],TablaENTRADA[FECHA],,0,-1)</f>
        <v>46023</v>
      </c>
      <c r="U1084" s="46" t="str">
        <f>IFERROR((_xlfn.XLOOKUP(TablaSTOCKINV[[#This Row],[SKU]],TablaSALIDA[SKU],TablaSALIDA[FECHA],,0,-1))," " )</f>
        <v xml:space="preserve"> </v>
      </c>
    </row>
    <row r="1085" spans="1:21" x14ac:dyDescent="0.3">
      <c r="A1085" s="27" t="s">
        <v>1282</v>
      </c>
      <c r="B1085" s="32" t="str">
        <f>_xlfn.XLOOKUP(TablaSTOCKINV[[#This Row],[SKU]],TablaINVENTARIO[SKU],TablaINVENTARIO[DESCRIPCION])</f>
        <v>SMART BOARD (TARJETA DE ENTRADAS ANALÓGICAS)</v>
      </c>
      <c r="C1085" s="32" t="str">
        <f>_xlfn.XLOOKUP(TablaSTOCKINV[[#This Row],[SKU]],TablaINVENTARIO[SKU],TablaINVENTARIO[MARCA])</f>
        <v>N/A</v>
      </c>
      <c r="D1085" s="33" t="str">
        <f>_xlfn.XLOOKUP(TablaSTOCKINV[[#This Row],[SKU]],TablaINVENTARIO[SKU],TablaINVENTARIO[CATEGORIA])</f>
        <v>FABRICACION</v>
      </c>
      <c r="E1085" s="33" t="str">
        <f>_xlfn.XLOOKUP(TablaSTOCKINV[[#This Row],[SKU]],TablaINVENTARIO[SKU],TablaINVENTARIO[SUBCATEGORIA])</f>
        <v>ARTEFACTO ELETRÓNICO</v>
      </c>
      <c r="F1085" s="33" t="str">
        <f>_xlfn.XLOOKUP(TablaSTOCKINV[[#This Row],[SKU]],TablaINVENTARIO[SKU],TablaINVENTARIO[ESTADO])</f>
        <v>NUEVO</v>
      </c>
      <c r="G1085" s="33" t="str">
        <f>_xlfn.XLOOKUP(TablaSTOCKINV[[#This Row],[SKU]],TablaINVENTARIO[SKU],TablaINVENTARIO[MEDIDA])</f>
        <v>UND</v>
      </c>
      <c r="H1085" s="33" t="str">
        <f>_xlfn.XLOOKUP(TablaSTOCKINV[[#This Row],[SKU]],TablaINVENTARIO[SKU],TablaINVENTARIO[SERIAL])</f>
        <v>N/A</v>
      </c>
      <c r="I1085" s="34">
        <f>_xlfn.XLOOKUP(TablaSTOCKINV[[#This Row],[SKU]],TablaINVENTARIO[SKU],TablaINVENTARIO[ALMACEN])</f>
        <v>0</v>
      </c>
      <c r="J1085" s="34" t="str">
        <f>_xlfn.XLOOKUP(TablaSTOCKINV[[#This Row],[SKU]],TablaINVENTARIO[SKU],TablaINVENTARIO[UBICACION])</f>
        <v>3C</v>
      </c>
      <c r="K1085" s="34" t="str">
        <f>_xlfn.XLOOKUP(TablaSTOCKINV[[#This Row],[SKU]],TablaINVENTARIO[SKU],TablaINVENTARIO[DPTO RESPONSABLE])</f>
        <v>OPERACIONES</v>
      </c>
      <c r="L1085" s="53">
        <f>_xlfn.XLOOKUP(TablaSTOCKINV[[#This Row],[SKU]],TablaINVENTARIO[SKU],TablaINVENTARIO[RANGO MIN])</f>
        <v>0</v>
      </c>
      <c r="M1085" s="34" cm="1">
        <f t="array" ref="M1085">_xlfn.IFS(TablaSTOCKINV[[#This Row],[CANT. TOTAL]]&lt;=0,1,TablaSTOCKINV[[#This Row],[CANT. TOTAL]]&lt;=TablaSTOCKINV[[#This Row],[MIN]],2,TablaSTOCKINV[[#This Row],[CANT. TOTAL]]&gt;TablaSTOCKINV[[#This Row],[MIN]],3)</f>
        <v>3</v>
      </c>
      <c r="N1085" s="34">
        <f>TablaSTOCKINV[[#This Row],[ENTRADAS]]-TablaSTOCKINV[[#This Row],[SALIDAS]]</f>
        <v>1</v>
      </c>
      <c r="O1085" s="35">
        <f>SUMIFS(TablaENTRADA[CANT],TablaENTRADA[SKU],TablaSTOCKINV[[#This Row],[SKU]])</f>
        <v>1</v>
      </c>
      <c r="P1085" s="35">
        <f>SUMIFS(TablaSALIDA[CANT],TablaSALIDA[SKU],TablaSTOCKINV[[#This Row],[SKU]])</f>
        <v>0</v>
      </c>
      <c r="Q1085" s="34">
        <f>_xlfn.XLOOKUP(TablaSTOCKINV[[#This Row],[SKU]],TablaINVENTARIO[SKU],TablaINVENTARIO[PRECIO])</f>
        <v>0</v>
      </c>
      <c r="R1085" s="34">
        <f>TablaSTOCKINV[[#This Row],[P.UNITARIO]]*TablaSTOCKINV[[#This Row],[CANT. TOTAL]]</f>
        <v>0</v>
      </c>
      <c r="S1085" s="44">
        <f>_xlfn.XLOOKUP(TablaSTOCKINV[[#This Row],[SKU]],TablaINVENTARIO[SKU],TablaINVENTARIO[FECHA INGRESO])</f>
        <v>46023</v>
      </c>
      <c r="T1085" s="44">
        <f>_xlfn.XLOOKUP(TablaSTOCKINV[[#This Row],[SKU]],TablaENTRADA[SKU],TablaENTRADA[FECHA],,0,-1)</f>
        <v>46023</v>
      </c>
      <c r="U1085" s="46" t="str">
        <f>IFERROR((_xlfn.XLOOKUP(TablaSTOCKINV[[#This Row],[SKU]],TablaSALIDA[SKU],TablaSALIDA[FECHA],,0,-1))," " )</f>
        <v xml:space="preserve"> </v>
      </c>
    </row>
    <row r="1086" spans="1:21" x14ac:dyDescent="0.3">
      <c r="A1086" s="27" t="s">
        <v>1284</v>
      </c>
      <c r="B1086" s="32" t="str">
        <f>_xlfn.XLOOKUP(TablaSTOCKINV[[#This Row],[SKU]],TablaINVENTARIO[SKU],TablaINVENTARIO[DESCRIPCION])</f>
        <v>MÓDULO DE PAMS 982.4</v>
      </c>
      <c r="C1086" s="32" t="str">
        <f>_xlfn.XLOOKUP(TablaSTOCKINV[[#This Row],[SKU]],TablaINVENTARIO[SKU],TablaINVENTARIO[MARCA])</f>
        <v>N/A</v>
      </c>
      <c r="D1086" s="33" t="str">
        <f>_xlfn.XLOOKUP(TablaSTOCKINV[[#This Row],[SKU]],TablaINVENTARIO[SKU],TablaINVENTARIO[CATEGORIA])</f>
        <v>FABRICACION</v>
      </c>
      <c r="E1086" s="33" t="str">
        <f>_xlfn.XLOOKUP(TablaSTOCKINV[[#This Row],[SKU]],TablaINVENTARIO[SKU],TablaINVENTARIO[SUBCATEGORIA])</f>
        <v>ARTEFACTO ELETRÓNICO</v>
      </c>
      <c r="F1086" s="33" t="str">
        <f>_xlfn.XLOOKUP(TablaSTOCKINV[[#This Row],[SKU]],TablaINVENTARIO[SKU],TablaINVENTARIO[ESTADO])</f>
        <v>NUEVO</v>
      </c>
      <c r="G1086" s="33" t="str">
        <f>_xlfn.XLOOKUP(TablaSTOCKINV[[#This Row],[SKU]],TablaINVENTARIO[SKU],TablaINVENTARIO[MEDIDA])</f>
        <v>UND</v>
      </c>
      <c r="H1086" s="33" t="str">
        <f>_xlfn.XLOOKUP(TablaSTOCKINV[[#This Row],[SKU]],TablaINVENTARIO[SKU],TablaINVENTARIO[SERIAL])</f>
        <v>N/A</v>
      </c>
      <c r="I1086" s="34">
        <f>_xlfn.XLOOKUP(TablaSTOCKINV[[#This Row],[SKU]],TablaINVENTARIO[SKU],TablaINVENTARIO[ALMACEN])</f>
        <v>0</v>
      </c>
      <c r="J1086" s="34" t="str">
        <f>_xlfn.XLOOKUP(TablaSTOCKINV[[#This Row],[SKU]],TablaINVENTARIO[SKU],TablaINVENTARIO[UBICACION])</f>
        <v>3C</v>
      </c>
      <c r="K1086" s="34" t="str">
        <f>_xlfn.XLOOKUP(TablaSTOCKINV[[#This Row],[SKU]],TablaINVENTARIO[SKU],TablaINVENTARIO[DPTO RESPONSABLE])</f>
        <v>OPERACIONES</v>
      </c>
      <c r="L1086" s="53">
        <f>_xlfn.XLOOKUP(TablaSTOCKINV[[#This Row],[SKU]],TablaINVENTARIO[SKU],TablaINVENTARIO[RANGO MIN])</f>
        <v>0</v>
      </c>
      <c r="M1086" s="34" cm="1">
        <f t="array" ref="M1086">_xlfn.IFS(TablaSTOCKINV[[#This Row],[CANT. TOTAL]]&lt;=0,1,TablaSTOCKINV[[#This Row],[CANT. TOTAL]]&lt;=TablaSTOCKINV[[#This Row],[MIN]],2,TablaSTOCKINV[[#This Row],[CANT. TOTAL]]&gt;TablaSTOCKINV[[#This Row],[MIN]],3)</f>
        <v>3</v>
      </c>
      <c r="N1086" s="34">
        <f>TablaSTOCKINV[[#This Row],[ENTRADAS]]-TablaSTOCKINV[[#This Row],[SALIDAS]]</f>
        <v>1</v>
      </c>
      <c r="O1086" s="35">
        <f>SUMIFS(TablaENTRADA[CANT],TablaENTRADA[SKU],TablaSTOCKINV[[#This Row],[SKU]])</f>
        <v>1</v>
      </c>
      <c r="P1086" s="35">
        <f>SUMIFS(TablaSALIDA[CANT],TablaSALIDA[SKU],TablaSTOCKINV[[#This Row],[SKU]])</f>
        <v>0</v>
      </c>
      <c r="Q1086" s="34">
        <f>_xlfn.XLOOKUP(TablaSTOCKINV[[#This Row],[SKU]],TablaINVENTARIO[SKU],TablaINVENTARIO[PRECIO])</f>
        <v>0</v>
      </c>
      <c r="R1086" s="34">
        <f>TablaSTOCKINV[[#This Row],[P.UNITARIO]]*TablaSTOCKINV[[#This Row],[CANT. TOTAL]]</f>
        <v>0</v>
      </c>
      <c r="S1086" s="44">
        <f>_xlfn.XLOOKUP(TablaSTOCKINV[[#This Row],[SKU]],TablaINVENTARIO[SKU],TablaINVENTARIO[FECHA INGRESO])</f>
        <v>46023</v>
      </c>
      <c r="T1086" s="44">
        <f>_xlfn.XLOOKUP(TablaSTOCKINV[[#This Row],[SKU]],TablaENTRADA[SKU],TablaENTRADA[FECHA],,0,-1)</f>
        <v>46023</v>
      </c>
      <c r="U1086" s="46" t="str">
        <f>IFERROR((_xlfn.XLOOKUP(TablaSTOCKINV[[#This Row],[SKU]],TablaSALIDA[SKU],TablaSALIDA[FECHA],,0,-1))," " )</f>
        <v xml:space="preserve"> </v>
      </c>
    </row>
    <row r="1087" spans="1:21" x14ac:dyDescent="0.3">
      <c r="A1087" s="27" t="s">
        <v>1286</v>
      </c>
      <c r="B1087" s="32" t="str">
        <f>_xlfn.XLOOKUP(TablaSTOCKINV[[#This Row],[SKU]],TablaINVENTARIO[SKU],TablaINVENTARIO[DESCRIPCION])</f>
        <v>BLOQUE DE TERMINALES ENCHUFABLE 9 POSICIONES</v>
      </c>
      <c r="C1087" s="32" t="str">
        <f>_xlfn.XLOOKUP(TablaSTOCKINV[[#This Row],[SKU]],TablaINVENTARIO[SKU],TablaINVENTARIO[MARCA])</f>
        <v>N/A</v>
      </c>
      <c r="D1087" s="33" t="str">
        <f>_xlfn.XLOOKUP(TablaSTOCKINV[[#This Row],[SKU]],TablaINVENTARIO[SKU],TablaINVENTARIO[CATEGORIA])</f>
        <v>FABRICACION</v>
      </c>
      <c r="E1087" s="33" t="str">
        <f>_xlfn.XLOOKUP(TablaSTOCKINV[[#This Row],[SKU]],TablaINVENTARIO[SKU],TablaINVENTARIO[SUBCATEGORIA])</f>
        <v>ARTEFACTO ELETRÓNICO</v>
      </c>
      <c r="F1087" s="33" t="str">
        <f>_xlfn.XLOOKUP(TablaSTOCKINV[[#This Row],[SKU]],TablaINVENTARIO[SKU],TablaINVENTARIO[ESTADO])</f>
        <v>NUEVO</v>
      </c>
      <c r="G1087" s="33" t="str">
        <f>_xlfn.XLOOKUP(TablaSTOCKINV[[#This Row],[SKU]],TablaINVENTARIO[SKU],TablaINVENTARIO[MEDIDA])</f>
        <v>UND</v>
      </c>
      <c r="H1087" s="33" t="str">
        <f>_xlfn.XLOOKUP(TablaSTOCKINV[[#This Row],[SKU]],TablaINVENTARIO[SKU],TablaINVENTARIO[SERIAL])</f>
        <v>N/A</v>
      </c>
      <c r="I1087" s="34">
        <f>_xlfn.XLOOKUP(TablaSTOCKINV[[#This Row],[SKU]],TablaINVENTARIO[SKU],TablaINVENTARIO[ALMACEN])</f>
        <v>0</v>
      </c>
      <c r="J1087" s="34" t="str">
        <f>_xlfn.XLOOKUP(TablaSTOCKINV[[#This Row],[SKU]],TablaINVENTARIO[SKU],TablaINVENTARIO[UBICACION])</f>
        <v>3C</v>
      </c>
      <c r="K1087" s="34" t="str">
        <f>_xlfn.XLOOKUP(TablaSTOCKINV[[#This Row],[SKU]],TablaINVENTARIO[SKU],TablaINVENTARIO[DPTO RESPONSABLE])</f>
        <v>OPERACIONES</v>
      </c>
      <c r="L1087" s="53">
        <f>_xlfn.XLOOKUP(TablaSTOCKINV[[#This Row],[SKU]],TablaINVENTARIO[SKU],TablaINVENTARIO[RANGO MIN])</f>
        <v>0</v>
      </c>
      <c r="M1087" s="34" cm="1">
        <f t="array" ref="M1087">_xlfn.IFS(TablaSTOCKINV[[#This Row],[CANT. TOTAL]]&lt;=0,1,TablaSTOCKINV[[#This Row],[CANT. TOTAL]]&lt;=TablaSTOCKINV[[#This Row],[MIN]],2,TablaSTOCKINV[[#This Row],[CANT. TOTAL]]&gt;TablaSTOCKINV[[#This Row],[MIN]],3)</f>
        <v>3</v>
      </c>
      <c r="N1087" s="34">
        <f>TablaSTOCKINV[[#This Row],[ENTRADAS]]-TablaSTOCKINV[[#This Row],[SALIDAS]]</f>
        <v>5</v>
      </c>
      <c r="O1087" s="35">
        <f>SUMIFS(TablaENTRADA[CANT],TablaENTRADA[SKU],TablaSTOCKINV[[#This Row],[SKU]])</f>
        <v>5</v>
      </c>
      <c r="P1087" s="35">
        <f>SUMIFS(TablaSALIDA[CANT],TablaSALIDA[SKU],TablaSTOCKINV[[#This Row],[SKU]])</f>
        <v>0</v>
      </c>
      <c r="Q1087" s="34">
        <f>_xlfn.XLOOKUP(TablaSTOCKINV[[#This Row],[SKU]],TablaINVENTARIO[SKU],TablaINVENTARIO[PRECIO])</f>
        <v>0</v>
      </c>
      <c r="R1087" s="34">
        <f>TablaSTOCKINV[[#This Row],[P.UNITARIO]]*TablaSTOCKINV[[#This Row],[CANT. TOTAL]]</f>
        <v>0</v>
      </c>
      <c r="S1087" s="44">
        <f>_xlfn.XLOOKUP(TablaSTOCKINV[[#This Row],[SKU]],TablaINVENTARIO[SKU],TablaINVENTARIO[FECHA INGRESO])</f>
        <v>46023</v>
      </c>
      <c r="T1087" s="44">
        <f>_xlfn.XLOOKUP(TablaSTOCKINV[[#This Row],[SKU]],TablaENTRADA[SKU],TablaENTRADA[FECHA],,0,-1)</f>
        <v>46023</v>
      </c>
      <c r="U1087" s="46" t="str">
        <f>IFERROR((_xlfn.XLOOKUP(TablaSTOCKINV[[#This Row],[SKU]],TablaSALIDA[SKU],TablaSALIDA[FECHA],,0,-1))," " )</f>
        <v xml:space="preserve"> </v>
      </c>
    </row>
    <row r="1088" spans="1:21" x14ac:dyDescent="0.3">
      <c r="A1088" s="27" t="s">
        <v>1288</v>
      </c>
      <c r="B1088" s="32" t="str">
        <f>_xlfn.XLOOKUP(TablaSTOCKINV[[#This Row],[SKU]],TablaINVENTARIO[SKU],TablaINVENTARIO[DESCRIPCION])</f>
        <v>BLOQUE DE TERMINALES ENCHUFABLE 10 POSICIONES</v>
      </c>
      <c r="C1088" s="32" t="str">
        <f>_xlfn.XLOOKUP(TablaSTOCKINV[[#This Row],[SKU]],TablaINVENTARIO[SKU],TablaINVENTARIO[MARCA])</f>
        <v>N/A</v>
      </c>
      <c r="D1088" s="33" t="str">
        <f>_xlfn.XLOOKUP(TablaSTOCKINV[[#This Row],[SKU]],TablaINVENTARIO[SKU],TablaINVENTARIO[CATEGORIA])</f>
        <v>FABRICACION</v>
      </c>
      <c r="E1088" s="33" t="str">
        <f>_xlfn.XLOOKUP(TablaSTOCKINV[[#This Row],[SKU]],TablaINVENTARIO[SKU],TablaINVENTARIO[SUBCATEGORIA])</f>
        <v>ARTEFACTO ELETRÓNICO</v>
      </c>
      <c r="F1088" s="33" t="str">
        <f>_xlfn.XLOOKUP(TablaSTOCKINV[[#This Row],[SKU]],TablaINVENTARIO[SKU],TablaINVENTARIO[ESTADO])</f>
        <v>NUEVO</v>
      </c>
      <c r="G1088" s="33" t="str">
        <f>_xlfn.XLOOKUP(TablaSTOCKINV[[#This Row],[SKU]],TablaINVENTARIO[SKU],TablaINVENTARIO[MEDIDA])</f>
        <v>UND</v>
      </c>
      <c r="H1088" s="33" t="str">
        <f>_xlfn.XLOOKUP(TablaSTOCKINV[[#This Row],[SKU]],TablaINVENTARIO[SKU],TablaINVENTARIO[SERIAL])</f>
        <v>N/A</v>
      </c>
      <c r="I1088" s="34">
        <f>_xlfn.XLOOKUP(TablaSTOCKINV[[#This Row],[SKU]],TablaINVENTARIO[SKU],TablaINVENTARIO[ALMACEN])</f>
        <v>0</v>
      </c>
      <c r="J1088" s="34" t="str">
        <f>_xlfn.XLOOKUP(TablaSTOCKINV[[#This Row],[SKU]],TablaINVENTARIO[SKU],TablaINVENTARIO[UBICACION])</f>
        <v>3C</v>
      </c>
      <c r="K1088" s="34" t="str">
        <f>_xlfn.XLOOKUP(TablaSTOCKINV[[#This Row],[SKU]],TablaINVENTARIO[SKU],TablaINVENTARIO[DPTO RESPONSABLE])</f>
        <v>OPERACIONES</v>
      </c>
      <c r="L1088" s="53">
        <f>_xlfn.XLOOKUP(TablaSTOCKINV[[#This Row],[SKU]],TablaINVENTARIO[SKU],TablaINVENTARIO[RANGO MIN])</f>
        <v>0</v>
      </c>
      <c r="M1088" s="34" cm="1">
        <f t="array" ref="M1088">_xlfn.IFS(TablaSTOCKINV[[#This Row],[CANT. TOTAL]]&lt;=0,1,TablaSTOCKINV[[#This Row],[CANT. TOTAL]]&lt;=TablaSTOCKINV[[#This Row],[MIN]],2,TablaSTOCKINV[[#This Row],[CANT. TOTAL]]&gt;TablaSTOCKINV[[#This Row],[MIN]],3)</f>
        <v>3</v>
      </c>
      <c r="N1088" s="34">
        <f>TablaSTOCKINV[[#This Row],[ENTRADAS]]-TablaSTOCKINV[[#This Row],[SALIDAS]]</f>
        <v>4</v>
      </c>
      <c r="O1088" s="35">
        <f>SUMIFS(TablaENTRADA[CANT],TablaENTRADA[SKU],TablaSTOCKINV[[#This Row],[SKU]])</f>
        <v>4</v>
      </c>
      <c r="P1088" s="35">
        <f>SUMIFS(TablaSALIDA[CANT],TablaSALIDA[SKU],TablaSTOCKINV[[#This Row],[SKU]])</f>
        <v>0</v>
      </c>
      <c r="Q1088" s="34">
        <f>_xlfn.XLOOKUP(TablaSTOCKINV[[#This Row],[SKU]],TablaINVENTARIO[SKU],TablaINVENTARIO[PRECIO])</f>
        <v>0</v>
      </c>
      <c r="R1088" s="34">
        <f>TablaSTOCKINV[[#This Row],[P.UNITARIO]]*TablaSTOCKINV[[#This Row],[CANT. TOTAL]]</f>
        <v>0</v>
      </c>
      <c r="S1088" s="44">
        <f>_xlfn.XLOOKUP(TablaSTOCKINV[[#This Row],[SKU]],TablaINVENTARIO[SKU],TablaINVENTARIO[FECHA INGRESO])</f>
        <v>46023</v>
      </c>
      <c r="T1088" s="44">
        <f>_xlfn.XLOOKUP(TablaSTOCKINV[[#This Row],[SKU]],TablaENTRADA[SKU],TablaENTRADA[FECHA],,0,-1)</f>
        <v>46023</v>
      </c>
      <c r="U1088" s="46" t="str">
        <f>IFERROR((_xlfn.XLOOKUP(TablaSTOCKINV[[#This Row],[SKU]],TablaSALIDA[SKU],TablaSALIDA[FECHA],,0,-1))," " )</f>
        <v xml:space="preserve"> </v>
      </c>
    </row>
    <row r="1089" spans="1:21" x14ac:dyDescent="0.3">
      <c r="A1089" s="27" t="s">
        <v>1290</v>
      </c>
      <c r="B1089" s="32" t="str">
        <f>_xlfn.XLOOKUP(TablaSTOCKINV[[#This Row],[SKU]],TablaINVENTARIO[SKU],TablaINVENTARIO[DESCRIPCION])</f>
        <v>BLOQUE DE TERMINALES ENCHUFABLE 6 POSICIONES</v>
      </c>
      <c r="C1089" s="32" t="str">
        <f>_xlfn.XLOOKUP(TablaSTOCKINV[[#This Row],[SKU]],TablaINVENTARIO[SKU],TablaINVENTARIO[MARCA])</f>
        <v>N/A</v>
      </c>
      <c r="D1089" s="33" t="str">
        <f>_xlfn.XLOOKUP(TablaSTOCKINV[[#This Row],[SKU]],TablaINVENTARIO[SKU],TablaINVENTARIO[CATEGORIA])</f>
        <v>FABRICACION</v>
      </c>
      <c r="E1089" s="33" t="str">
        <f>_xlfn.XLOOKUP(TablaSTOCKINV[[#This Row],[SKU]],TablaINVENTARIO[SKU],TablaINVENTARIO[SUBCATEGORIA])</f>
        <v>ARTEFACTO ELETRÓNICO</v>
      </c>
      <c r="F1089" s="33" t="str">
        <f>_xlfn.XLOOKUP(TablaSTOCKINV[[#This Row],[SKU]],TablaINVENTARIO[SKU],TablaINVENTARIO[ESTADO])</f>
        <v>NUEVO</v>
      </c>
      <c r="G1089" s="33" t="str">
        <f>_xlfn.XLOOKUP(TablaSTOCKINV[[#This Row],[SKU]],TablaINVENTARIO[SKU],TablaINVENTARIO[MEDIDA])</f>
        <v>UND</v>
      </c>
      <c r="H1089" s="33" t="str">
        <f>_xlfn.XLOOKUP(TablaSTOCKINV[[#This Row],[SKU]],TablaINVENTARIO[SKU],TablaINVENTARIO[SERIAL])</f>
        <v>N/A</v>
      </c>
      <c r="I1089" s="34">
        <f>_xlfn.XLOOKUP(TablaSTOCKINV[[#This Row],[SKU]],TablaINVENTARIO[SKU],TablaINVENTARIO[ALMACEN])</f>
        <v>0</v>
      </c>
      <c r="J1089" s="34" t="str">
        <f>_xlfn.XLOOKUP(TablaSTOCKINV[[#This Row],[SKU]],TablaINVENTARIO[SKU],TablaINVENTARIO[UBICACION])</f>
        <v>3C</v>
      </c>
      <c r="K1089" s="34" t="str">
        <f>_xlfn.XLOOKUP(TablaSTOCKINV[[#This Row],[SKU]],TablaINVENTARIO[SKU],TablaINVENTARIO[DPTO RESPONSABLE])</f>
        <v>OPERACIONES</v>
      </c>
      <c r="L1089" s="53">
        <f>_xlfn.XLOOKUP(TablaSTOCKINV[[#This Row],[SKU]],TablaINVENTARIO[SKU],TablaINVENTARIO[RANGO MIN])</f>
        <v>0</v>
      </c>
      <c r="M1089" s="34" cm="1">
        <f t="array" ref="M1089">_xlfn.IFS(TablaSTOCKINV[[#This Row],[CANT. TOTAL]]&lt;=0,1,TablaSTOCKINV[[#This Row],[CANT. TOTAL]]&lt;=TablaSTOCKINV[[#This Row],[MIN]],2,TablaSTOCKINV[[#This Row],[CANT. TOTAL]]&gt;TablaSTOCKINV[[#This Row],[MIN]],3)</f>
        <v>3</v>
      </c>
      <c r="N1089" s="34">
        <f>TablaSTOCKINV[[#This Row],[ENTRADAS]]-TablaSTOCKINV[[#This Row],[SALIDAS]]</f>
        <v>11</v>
      </c>
      <c r="O1089" s="35">
        <f>SUMIFS(TablaENTRADA[CANT],TablaENTRADA[SKU],TablaSTOCKINV[[#This Row],[SKU]])</f>
        <v>11</v>
      </c>
      <c r="P1089" s="35">
        <f>SUMIFS(TablaSALIDA[CANT],TablaSALIDA[SKU],TablaSTOCKINV[[#This Row],[SKU]])</f>
        <v>0</v>
      </c>
      <c r="Q1089" s="34">
        <f>_xlfn.XLOOKUP(TablaSTOCKINV[[#This Row],[SKU]],TablaINVENTARIO[SKU],TablaINVENTARIO[PRECIO])</f>
        <v>0</v>
      </c>
      <c r="R1089" s="34">
        <f>TablaSTOCKINV[[#This Row],[P.UNITARIO]]*TablaSTOCKINV[[#This Row],[CANT. TOTAL]]</f>
        <v>0</v>
      </c>
      <c r="S1089" s="44">
        <f>_xlfn.XLOOKUP(TablaSTOCKINV[[#This Row],[SKU]],TablaINVENTARIO[SKU],TablaINVENTARIO[FECHA INGRESO])</f>
        <v>46023</v>
      </c>
      <c r="T1089" s="44">
        <f>_xlfn.XLOOKUP(TablaSTOCKINV[[#This Row],[SKU]],TablaENTRADA[SKU],TablaENTRADA[FECHA],,0,-1)</f>
        <v>46023</v>
      </c>
      <c r="U1089" s="46" t="str">
        <f>IFERROR((_xlfn.XLOOKUP(TablaSTOCKINV[[#This Row],[SKU]],TablaSALIDA[SKU],TablaSALIDA[FECHA],,0,-1))," " )</f>
        <v xml:space="preserve"> </v>
      </c>
    </row>
    <row r="1090" spans="1:21" x14ac:dyDescent="0.3">
      <c r="A1090" s="27" t="s">
        <v>1292</v>
      </c>
      <c r="B1090" s="32" t="str">
        <f>_xlfn.XLOOKUP(TablaSTOCKINV[[#This Row],[SKU]],TablaINVENTARIO[SKU],TablaINVENTARIO[DESCRIPCION])</f>
        <v>BLOQUE DE TERMINALES ENCHUFABLE 5 POSICIONES</v>
      </c>
      <c r="C1090" s="32" t="str">
        <f>_xlfn.XLOOKUP(TablaSTOCKINV[[#This Row],[SKU]],TablaINVENTARIO[SKU],TablaINVENTARIO[MARCA])</f>
        <v>N/A</v>
      </c>
      <c r="D1090" s="33" t="str">
        <f>_xlfn.XLOOKUP(TablaSTOCKINV[[#This Row],[SKU]],TablaINVENTARIO[SKU],TablaINVENTARIO[CATEGORIA])</f>
        <v>FABRICACION</v>
      </c>
      <c r="E1090" s="33" t="str">
        <f>_xlfn.XLOOKUP(TablaSTOCKINV[[#This Row],[SKU]],TablaINVENTARIO[SKU],TablaINVENTARIO[SUBCATEGORIA])</f>
        <v>ARTEFACTO ELETRÓNICO</v>
      </c>
      <c r="F1090" s="33" t="str">
        <f>_xlfn.XLOOKUP(TablaSTOCKINV[[#This Row],[SKU]],TablaINVENTARIO[SKU],TablaINVENTARIO[ESTADO])</f>
        <v>NUEVO</v>
      </c>
      <c r="G1090" s="33" t="str">
        <f>_xlfn.XLOOKUP(TablaSTOCKINV[[#This Row],[SKU]],TablaINVENTARIO[SKU],TablaINVENTARIO[MEDIDA])</f>
        <v>UND</v>
      </c>
      <c r="H1090" s="33" t="str">
        <f>_xlfn.XLOOKUP(TablaSTOCKINV[[#This Row],[SKU]],TablaINVENTARIO[SKU],TablaINVENTARIO[SERIAL])</f>
        <v>N/A</v>
      </c>
      <c r="I1090" s="34">
        <f>_xlfn.XLOOKUP(TablaSTOCKINV[[#This Row],[SKU]],TablaINVENTARIO[SKU],TablaINVENTARIO[ALMACEN])</f>
        <v>0</v>
      </c>
      <c r="J1090" s="34" t="str">
        <f>_xlfn.XLOOKUP(TablaSTOCKINV[[#This Row],[SKU]],TablaINVENTARIO[SKU],TablaINVENTARIO[UBICACION])</f>
        <v>3C</v>
      </c>
      <c r="K1090" s="34" t="str">
        <f>_xlfn.XLOOKUP(TablaSTOCKINV[[#This Row],[SKU]],TablaINVENTARIO[SKU],TablaINVENTARIO[DPTO RESPONSABLE])</f>
        <v>OPERACIONES</v>
      </c>
      <c r="L1090" s="53">
        <f>_xlfn.XLOOKUP(TablaSTOCKINV[[#This Row],[SKU]],TablaINVENTARIO[SKU],TablaINVENTARIO[RANGO MIN])</f>
        <v>0</v>
      </c>
      <c r="M1090" s="34" cm="1">
        <f t="array" ref="M1090">_xlfn.IFS(TablaSTOCKINV[[#This Row],[CANT. TOTAL]]&lt;=0,1,TablaSTOCKINV[[#This Row],[CANT. TOTAL]]&lt;=TablaSTOCKINV[[#This Row],[MIN]],2,TablaSTOCKINV[[#This Row],[CANT. TOTAL]]&gt;TablaSTOCKINV[[#This Row],[MIN]],3)</f>
        <v>3</v>
      </c>
      <c r="N1090" s="34">
        <f>TablaSTOCKINV[[#This Row],[ENTRADAS]]-TablaSTOCKINV[[#This Row],[SALIDAS]]</f>
        <v>14</v>
      </c>
      <c r="O1090" s="35">
        <f>SUMIFS(TablaENTRADA[CANT],TablaENTRADA[SKU],TablaSTOCKINV[[#This Row],[SKU]])</f>
        <v>14</v>
      </c>
      <c r="P1090" s="35">
        <f>SUMIFS(TablaSALIDA[CANT],TablaSALIDA[SKU],TablaSTOCKINV[[#This Row],[SKU]])</f>
        <v>0</v>
      </c>
      <c r="Q1090" s="34">
        <f>_xlfn.XLOOKUP(TablaSTOCKINV[[#This Row],[SKU]],TablaINVENTARIO[SKU],TablaINVENTARIO[PRECIO])</f>
        <v>0</v>
      </c>
      <c r="R1090" s="34">
        <f>TablaSTOCKINV[[#This Row],[P.UNITARIO]]*TablaSTOCKINV[[#This Row],[CANT. TOTAL]]</f>
        <v>0</v>
      </c>
      <c r="S1090" s="44">
        <f>_xlfn.XLOOKUP(TablaSTOCKINV[[#This Row],[SKU]],TablaINVENTARIO[SKU],TablaINVENTARIO[FECHA INGRESO])</f>
        <v>46023</v>
      </c>
      <c r="T1090" s="44">
        <f>_xlfn.XLOOKUP(TablaSTOCKINV[[#This Row],[SKU]],TablaENTRADA[SKU],TablaENTRADA[FECHA],,0,-1)</f>
        <v>46023</v>
      </c>
      <c r="U1090" s="46" t="str">
        <f>IFERROR((_xlfn.XLOOKUP(TablaSTOCKINV[[#This Row],[SKU]],TablaSALIDA[SKU],TablaSALIDA[FECHA],,0,-1))," " )</f>
        <v xml:space="preserve"> </v>
      </c>
    </row>
    <row r="1091" spans="1:21" x14ac:dyDescent="0.3">
      <c r="A1091" s="27" t="s">
        <v>1294</v>
      </c>
      <c r="B1091" s="32" t="str">
        <f>_xlfn.XLOOKUP(TablaSTOCKINV[[#This Row],[SKU]],TablaINVENTARIO[SKU],TablaINVENTARIO[DESCRIPCION])</f>
        <v>BLOQUE DE TERMINALES ENCHUFABLE 4 POSICIONES</v>
      </c>
      <c r="C1091" s="32" t="str">
        <f>_xlfn.XLOOKUP(TablaSTOCKINV[[#This Row],[SKU]],TablaINVENTARIO[SKU],TablaINVENTARIO[MARCA])</f>
        <v>N/A</v>
      </c>
      <c r="D1091" s="33" t="str">
        <f>_xlfn.XLOOKUP(TablaSTOCKINV[[#This Row],[SKU]],TablaINVENTARIO[SKU],TablaINVENTARIO[CATEGORIA])</f>
        <v>FABRICACION</v>
      </c>
      <c r="E1091" s="33" t="str">
        <f>_xlfn.XLOOKUP(TablaSTOCKINV[[#This Row],[SKU]],TablaINVENTARIO[SKU],TablaINVENTARIO[SUBCATEGORIA])</f>
        <v>ARTEFACTO ELETRÓNICO</v>
      </c>
      <c r="F1091" s="33" t="str">
        <f>_xlfn.XLOOKUP(TablaSTOCKINV[[#This Row],[SKU]],TablaINVENTARIO[SKU],TablaINVENTARIO[ESTADO])</f>
        <v>NUEVO</v>
      </c>
      <c r="G1091" s="33" t="str">
        <f>_xlfn.XLOOKUP(TablaSTOCKINV[[#This Row],[SKU]],TablaINVENTARIO[SKU],TablaINVENTARIO[MEDIDA])</f>
        <v>UND</v>
      </c>
      <c r="H1091" s="33" t="str">
        <f>_xlfn.XLOOKUP(TablaSTOCKINV[[#This Row],[SKU]],TablaINVENTARIO[SKU],TablaINVENTARIO[SERIAL])</f>
        <v>N/A</v>
      </c>
      <c r="I1091" s="34">
        <f>_xlfn.XLOOKUP(TablaSTOCKINV[[#This Row],[SKU]],TablaINVENTARIO[SKU],TablaINVENTARIO[ALMACEN])</f>
        <v>0</v>
      </c>
      <c r="J1091" s="34" t="str">
        <f>_xlfn.XLOOKUP(TablaSTOCKINV[[#This Row],[SKU]],TablaINVENTARIO[SKU],TablaINVENTARIO[UBICACION])</f>
        <v>3C</v>
      </c>
      <c r="K1091" s="34" t="str">
        <f>_xlfn.XLOOKUP(TablaSTOCKINV[[#This Row],[SKU]],TablaINVENTARIO[SKU],TablaINVENTARIO[DPTO RESPONSABLE])</f>
        <v>OPERACIONES</v>
      </c>
      <c r="L1091" s="53">
        <f>_xlfn.XLOOKUP(TablaSTOCKINV[[#This Row],[SKU]],TablaINVENTARIO[SKU],TablaINVENTARIO[RANGO MIN])</f>
        <v>0</v>
      </c>
      <c r="M1091" s="34" cm="1">
        <f t="array" ref="M1091">_xlfn.IFS(TablaSTOCKINV[[#This Row],[CANT. TOTAL]]&lt;=0,1,TablaSTOCKINV[[#This Row],[CANT. TOTAL]]&lt;=TablaSTOCKINV[[#This Row],[MIN]],2,TablaSTOCKINV[[#This Row],[CANT. TOTAL]]&gt;TablaSTOCKINV[[#This Row],[MIN]],3)</f>
        <v>3</v>
      </c>
      <c r="N1091" s="34">
        <f>TablaSTOCKINV[[#This Row],[ENTRADAS]]-TablaSTOCKINV[[#This Row],[SALIDAS]]</f>
        <v>10</v>
      </c>
      <c r="O1091" s="35">
        <f>SUMIFS(TablaENTRADA[CANT],TablaENTRADA[SKU],TablaSTOCKINV[[#This Row],[SKU]])</f>
        <v>10</v>
      </c>
      <c r="P1091" s="35">
        <f>SUMIFS(TablaSALIDA[CANT],TablaSALIDA[SKU],TablaSTOCKINV[[#This Row],[SKU]])</f>
        <v>0</v>
      </c>
      <c r="Q1091" s="34">
        <f>_xlfn.XLOOKUP(TablaSTOCKINV[[#This Row],[SKU]],TablaINVENTARIO[SKU],TablaINVENTARIO[PRECIO])</f>
        <v>0</v>
      </c>
      <c r="R1091" s="34">
        <f>TablaSTOCKINV[[#This Row],[P.UNITARIO]]*TablaSTOCKINV[[#This Row],[CANT. TOTAL]]</f>
        <v>0</v>
      </c>
      <c r="S1091" s="44">
        <f>_xlfn.XLOOKUP(TablaSTOCKINV[[#This Row],[SKU]],TablaINVENTARIO[SKU],TablaINVENTARIO[FECHA INGRESO])</f>
        <v>46023</v>
      </c>
      <c r="T1091" s="44">
        <f>_xlfn.XLOOKUP(TablaSTOCKINV[[#This Row],[SKU]],TablaENTRADA[SKU],TablaENTRADA[FECHA],,0,-1)</f>
        <v>46023</v>
      </c>
      <c r="U1091" s="46" t="str">
        <f>IFERROR((_xlfn.XLOOKUP(TablaSTOCKINV[[#This Row],[SKU]],TablaSALIDA[SKU],TablaSALIDA[FECHA],,0,-1))," " )</f>
        <v xml:space="preserve"> </v>
      </c>
    </row>
    <row r="1092" spans="1:21" x14ac:dyDescent="0.3">
      <c r="A1092" s="27" t="s">
        <v>1296</v>
      </c>
      <c r="B1092" s="32" t="str">
        <f>_xlfn.XLOOKUP(TablaSTOCKINV[[#This Row],[SKU]],TablaINVENTARIO[SKU],TablaINVENTARIO[DESCRIPCION])</f>
        <v>BLOQUE DE TERMINALES ENCHUFABLE 3 POSICIONES</v>
      </c>
      <c r="C1092" s="32" t="str">
        <f>_xlfn.XLOOKUP(TablaSTOCKINV[[#This Row],[SKU]],TablaINVENTARIO[SKU],TablaINVENTARIO[MARCA])</f>
        <v>N/A</v>
      </c>
      <c r="D1092" s="33" t="str">
        <f>_xlfn.XLOOKUP(TablaSTOCKINV[[#This Row],[SKU]],TablaINVENTARIO[SKU],TablaINVENTARIO[CATEGORIA])</f>
        <v>FABRICACION</v>
      </c>
      <c r="E1092" s="33" t="str">
        <f>_xlfn.XLOOKUP(TablaSTOCKINV[[#This Row],[SKU]],TablaINVENTARIO[SKU],TablaINVENTARIO[SUBCATEGORIA])</f>
        <v>ARTEFACTO ELETRÓNICO</v>
      </c>
      <c r="F1092" s="33" t="str">
        <f>_xlfn.XLOOKUP(TablaSTOCKINV[[#This Row],[SKU]],TablaINVENTARIO[SKU],TablaINVENTARIO[ESTADO])</f>
        <v>NUEVO</v>
      </c>
      <c r="G1092" s="33" t="str">
        <f>_xlfn.XLOOKUP(TablaSTOCKINV[[#This Row],[SKU]],TablaINVENTARIO[SKU],TablaINVENTARIO[MEDIDA])</f>
        <v>UND</v>
      </c>
      <c r="H1092" s="33" t="str">
        <f>_xlfn.XLOOKUP(TablaSTOCKINV[[#This Row],[SKU]],TablaINVENTARIO[SKU],TablaINVENTARIO[SERIAL])</f>
        <v>N/A</v>
      </c>
      <c r="I1092" s="34">
        <f>_xlfn.XLOOKUP(TablaSTOCKINV[[#This Row],[SKU]],TablaINVENTARIO[SKU],TablaINVENTARIO[ALMACEN])</f>
        <v>0</v>
      </c>
      <c r="J1092" s="34" t="str">
        <f>_xlfn.XLOOKUP(TablaSTOCKINV[[#This Row],[SKU]],TablaINVENTARIO[SKU],TablaINVENTARIO[UBICACION])</f>
        <v>3C</v>
      </c>
      <c r="K1092" s="34" t="str">
        <f>_xlfn.XLOOKUP(TablaSTOCKINV[[#This Row],[SKU]],TablaINVENTARIO[SKU],TablaINVENTARIO[DPTO RESPONSABLE])</f>
        <v>OPERACIONES</v>
      </c>
      <c r="L1092" s="53">
        <f>_xlfn.XLOOKUP(TablaSTOCKINV[[#This Row],[SKU]],TablaINVENTARIO[SKU],TablaINVENTARIO[RANGO MIN])</f>
        <v>0</v>
      </c>
      <c r="M1092" s="34" cm="1">
        <f t="array" ref="M1092">_xlfn.IFS(TablaSTOCKINV[[#This Row],[CANT. TOTAL]]&lt;=0,1,TablaSTOCKINV[[#This Row],[CANT. TOTAL]]&lt;=TablaSTOCKINV[[#This Row],[MIN]],2,TablaSTOCKINV[[#This Row],[CANT. TOTAL]]&gt;TablaSTOCKINV[[#This Row],[MIN]],3)</f>
        <v>3</v>
      </c>
      <c r="N1092" s="34">
        <f>TablaSTOCKINV[[#This Row],[ENTRADAS]]-TablaSTOCKINV[[#This Row],[SALIDAS]]</f>
        <v>2</v>
      </c>
      <c r="O1092" s="35">
        <f>SUMIFS(TablaENTRADA[CANT],TablaENTRADA[SKU],TablaSTOCKINV[[#This Row],[SKU]])</f>
        <v>2</v>
      </c>
      <c r="P1092" s="35">
        <f>SUMIFS(TablaSALIDA[CANT],TablaSALIDA[SKU],TablaSTOCKINV[[#This Row],[SKU]])</f>
        <v>0</v>
      </c>
      <c r="Q1092" s="34">
        <f>_xlfn.XLOOKUP(TablaSTOCKINV[[#This Row],[SKU]],TablaINVENTARIO[SKU],TablaINVENTARIO[PRECIO])</f>
        <v>0</v>
      </c>
      <c r="R1092" s="34">
        <f>TablaSTOCKINV[[#This Row],[P.UNITARIO]]*TablaSTOCKINV[[#This Row],[CANT. TOTAL]]</f>
        <v>0</v>
      </c>
      <c r="S1092" s="44">
        <f>_xlfn.XLOOKUP(TablaSTOCKINV[[#This Row],[SKU]],TablaINVENTARIO[SKU],TablaINVENTARIO[FECHA INGRESO])</f>
        <v>46023</v>
      </c>
      <c r="T1092" s="44">
        <f>_xlfn.XLOOKUP(TablaSTOCKINV[[#This Row],[SKU]],TablaENTRADA[SKU],TablaENTRADA[FECHA],,0,-1)</f>
        <v>46023</v>
      </c>
      <c r="U1092" s="46" t="str">
        <f>IFERROR((_xlfn.XLOOKUP(TablaSTOCKINV[[#This Row],[SKU]],TablaSALIDA[SKU],TablaSALIDA[FECHA],,0,-1))," " )</f>
        <v xml:space="preserve"> </v>
      </c>
    </row>
    <row r="1093" spans="1:21" x14ac:dyDescent="0.3">
      <c r="A1093" s="27" t="s">
        <v>1298</v>
      </c>
      <c r="B1093" s="32" t="str">
        <f>_xlfn.XLOOKUP(TablaSTOCKINV[[#This Row],[SKU]],TablaINVENTARIO[SKU],TablaINVENTARIO[DESCRIPCION])</f>
        <v>BLOQUE DE TERMINALES ENCHUFABLE 2 POSICIONES</v>
      </c>
      <c r="C1093" s="32" t="str">
        <f>_xlfn.XLOOKUP(TablaSTOCKINV[[#This Row],[SKU]],TablaINVENTARIO[SKU],TablaINVENTARIO[MARCA])</f>
        <v>N/A</v>
      </c>
      <c r="D1093" s="33" t="str">
        <f>_xlfn.XLOOKUP(TablaSTOCKINV[[#This Row],[SKU]],TablaINVENTARIO[SKU],TablaINVENTARIO[CATEGORIA])</f>
        <v>FABRICACION</v>
      </c>
      <c r="E1093" s="33" t="str">
        <f>_xlfn.XLOOKUP(TablaSTOCKINV[[#This Row],[SKU]],TablaINVENTARIO[SKU],TablaINVENTARIO[SUBCATEGORIA])</f>
        <v>ARTEFACTO ELETRÓNICO</v>
      </c>
      <c r="F1093" s="33" t="str">
        <f>_xlfn.XLOOKUP(TablaSTOCKINV[[#This Row],[SKU]],TablaINVENTARIO[SKU],TablaINVENTARIO[ESTADO])</f>
        <v>NUEVO</v>
      </c>
      <c r="G1093" s="33" t="str">
        <f>_xlfn.XLOOKUP(TablaSTOCKINV[[#This Row],[SKU]],TablaINVENTARIO[SKU],TablaINVENTARIO[MEDIDA])</f>
        <v>UND</v>
      </c>
      <c r="H1093" s="33" t="str">
        <f>_xlfn.XLOOKUP(TablaSTOCKINV[[#This Row],[SKU]],TablaINVENTARIO[SKU],TablaINVENTARIO[SERIAL])</f>
        <v>N/A</v>
      </c>
      <c r="I1093" s="34">
        <f>_xlfn.XLOOKUP(TablaSTOCKINV[[#This Row],[SKU]],TablaINVENTARIO[SKU],TablaINVENTARIO[ALMACEN])</f>
        <v>0</v>
      </c>
      <c r="J1093" s="34" t="str">
        <f>_xlfn.XLOOKUP(TablaSTOCKINV[[#This Row],[SKU]],TablaINVENTARIO[SKU],TablaINVENTARIO[UBICACION])</f>
        <v>3C</v>
      </c>
      <c r="K1093" s="34" t="str">
        <f>_xlfn.XLOOKUP(TablaSTOCKINV[[#This Row],[SKU]],TablaINVENTARIO[SKU],TablaINVENTARIO[DPTO RESPONSABLE])</f>
        <v>OPERACIONES</v>
      </c>
      <c r="L1093" s="53">
        <f>_xlfn.XLOOKUP(TablaSTOCKINV[[#This Row],[SKU]],TablaINVENTARIO[SKU],TablaINVENTARIO[RANGO MIN])</f>
        <v>0</v>
      </c>
      <c r="M1093" s="34" cm="1">
        <f t="array" ref="M1093">_xlfn.IFS(TablaSTOCKINV[[#This Row],[CANT. TOTAL]]&lt;=0,1,TablaSTOCKINV[[#This Row],[CANT. TOTAL]]&lt;=TablaSTOCKINV[[#This Row],[MIN]],2,TablaSTOCKINV[[#This Row],[CANT. TOTAL]]&gt;TablaSTOCKINV[[#This Row],[MIN]],3)</f>
        <v>3</v>
      </c>
      <c r="N1093" s="34">
        <f>TablaSTOCKINV[[#This Row],[ENTRADAS]]-TablaSTOCKINV[[#This Row],[SALIDAS]]</f>
        <v>8</v>
      </c>
      <c r="O1093" s="35">
        <f>SUMIFS(TablaENTRADA[CANT],TablaENTRADA[SKU],TablaSTOCKINV[[#This Row],[SKU]])</f>
        <v>8</v>
      </c>
      <c r="P1093" s="35">
        <f>SUMIFS(TablaSALIDA[CANT],TablaSALIDA[SKU],TablaSTOCKINV[[#This Row],[SKU]])</f>
        <v>0</v>
      </c>
      <c r="Q1093" s="34">
        <f>_xlfn.XLOOKUP(TablaSTOCKINV[[#This Row],[SKU]],TablaINVENTARIO[SKU],TablaINVENTARIO[PRECIO])</f>
        <v>0</v>
      </c>
      <c r="R1093" s="34">
        <f>TablaSTOCKINV[[#This Row],[P.UNITARIO]]*TablaSTOCKINV[[#This Row],[CANT. TOTAL]]</f>
        <v>0</v>
      </c>
      <c r="S1093" s="44">
        <f>_xlfn.XLOOKUP(TablaSTOCKINV[[#This Row],[SKU]],TablaINVENTARIO[SKU],TablaINVENTARIO[FECHA INGRESO])</f>
        <v>46023</v>
      </c>
      <c r="T1093" s="44">
        <f>_xlfn.XLOOKUP(TablaSTOCKINV[[#This Row],[SKU]],TablaENTRADA[SKU],TablaENTRADA[FECHA],,0,-1)</f>
        <v>46023</v>
      </c>
      <c r="U1093" s="46" t="str">
        <f>IFERROR((_xlfn.XLOOKUP(TablaSTOCKINV[[#This Row],[SKU]],TablaSALIDA[SKU],TablaSALIDA[FECHA],,0,-1))," " )</f>
        <v xml:space="preserve"> </v>
      </c>
    </row>
    <row r="1094" spans="1:21" x14ac:dyDescent="0.3">
      <c r="A1094" s="27" t="s">
        <v>1300</v>
      </c>
      <c r="B1094" s="32" t="str">
        <f>_xlfn.XLOOKUP(TablaSTOCKINV[[#This Row],[SKU]],TablaINVENTARIO[SKU],TablaINVENTARIO[DESCRIPCION])</f>
        <v>BLOQUE DE TERMINALES ENCHUFABLE 8 POSICIONES</v>
      </c>
      <c r="C1094" s="32" t="str">
        <f>_xlfn.XLOOKUP(TablaSTOCKINV[[#This Row],[SKU]],TablaINVENTARIO[SKU],TablaINVENTARIO[MARCA])</f>
        <v>N/A</v>
      </c>
      <c r="D1094" s="33" t="str">
        <f>_xlfn.XLOOKUP(TablaSTOCKINV[[#This Row],[SKU]],TablaINVENTARIO[SKU],TablaINVENTARIO[CATEGORIA])</f>
        <v>FABRICACION</v>
      </c>
      <c r="E1094" s="33" t="str">
        <f>_xlfn.XLOOKUP(TablaSTOCKINV[[#This Row],[SKU]],TablaINVENTARIO[SKU],TablaINVENTARIO[SUBCATEGORIA])</f>
        <v>ARTEFACTO ELETRÓNICO</v>
      </c>
      <c r="F1094" s="33" t="str">
        <f>_xlfn.XLOOKUP(TablaSTOCKINV[[#This Row],[SKU]],TablaINVENTARIO[SKU],TablaINVENTARIO[ESTADO])</f>
        <v>NUEVO</v>
      </c>
      <c r="G1094" s="33" t="str">
        <f>_xlfn.XLOOKUP(TablaSTOCKINV[[#This Row],[SKU]],TablaINVENTARIO[SKU],TablaINVENTARIO[MEDIDA])</f>
        <v>UND</v>
      </c>
      <c r="H1094" s="33" t="str">
        <f>_xlfn.XLOOKUP(TablaSTOCKINV[[#This Row],[SKU]],TablaINVENTARIO[SKU],TablaINVENTARIO[SERIAL])</f>
        <v>N/A</v>
      </c>
      <c r="I1094" s="34">
        <f>_xlfn.XLOOKUP(TablaSTOCKINV[[#This Row],[SKU]],TablaINVENTARIO[SKU],TablaINVENTARIO[ALMACEN])</f>
        <v>0</v>
      </c>
      <c r="J1094" s="34" t="str">
        <f>_xlfn.XLOOKUP(TablaSTOCKINV[[#This Row],[SKU]],TablaINVENTARIO[SKU],TablaINVENTARIO[UBICACION])</f>
        <v>3C</v>
      </c>
      <c r="K1094" s="34" t="str">
        <f>_xlfn.XLOOKUP(TablaSTOCKINV[[#This Row],[SKU]],TablaINVENTARIO[SKU],TablaINVENTARIO[DPTO RESPONSABLE])</f>
        <v>OPERACIONES</v>
      </c>
      <c r="L1094" s="53">
        <f>_xlfn.XLOOKUP(TablaSTOCKINV[[#This Row],[SKU]],TablaINVENTARIO[SKU],TablaINVENTARIO[RANGO MIN])</f>
        <v>0</v>
      </c>
      <c r="M1094" s="34" cm="1">
        <f t="array" ref="M1094">_xlfn.IFS(TablaSTOCKINV[[#This Row],[CANT. TOTAL]]&lt;=0,1,TablaSTOCKINV[[#This Row],[CANT. TOTAL]]&lt;=TablaSTOCKINV[[#This Row],[MIN]],2,TablaSTOCKINV[[#This Row],[CANT. TOTAL]]&gt;TablaSTOCKINV[[#This Row],[MIN]],3)</f>
        <v>3</v>
      </c>
      <c r="N1094" s="34">
        <f>TablaSTOCKINV[[#This Row],[ENTRADAS]]-TablaSTOCKINV[[#This Row],[SALIDAS]]</f>
        <v>1</v>
      </c>
      <c r="O1094" s="35">
        <f>SUMIFS(TablaENTRADA[CANT],TablaENTRADA[SKU],TablaSTOCKINV[[#This Row],[SKU]])</f>
        <v>1</v>
      </c>
      <c r="P1094" s="35">
        <f>SUMIFS(TablaSALIDA[CANT],TablaSALIDA[SKU],TablaSTOCKINV[[#This Row],[SKU]])</f>
        <v>0</v>
      </c>
      <c r="Q1094" s="34">
        <f>_xlfn.XLOOKUP(TablaSTOCKINV[[#This Row],[SKU]],TablaINVENTARIO[SKU],TablaINVENTARIO[PRECIO])</f>
        <v>0</v>
      </c>
      <c r="R1094" s="34">
        <f>TablaSTOCKINV[[#This Row],[P.UNITARIO]]*TablaSTOCKINV[[#This Row],[CANT. TOTAL]]</f>
        <v>0</v>
      </c>
      <c r="S1094" s="44">
        <f>_xlfn.XLOOKUP(TablaSTOCKINV[[#This Row],[SKU]],TablaINVENTARIO[SKU],TablaINVENTARIO[FECHA INGRESO])</f>
        <v>46023</v>
      </c>
      <c r="T1094" s="44">
        <f>_xlfn.XLOOKUP(TablaSTOCKINV[[#This Row],[SKU]],TablaENTRADA[SKU],TablaENTRADA[FECHA],,0,-1)</f>
        <v>46023</v>
      </c>
      <c r="U1094" s="46" t="str">
        <f>IFERROR((_xlfn.XLOOKUP(TablaSTOCKINV[[#This Row],[SKU]],TablaSALIDA[SKU],TablaSALIDA[FECHA],,0,-1))," " )</f>
        <v xml:space="preserve"> </v>
      </c>
    </row>
    <row r="1095" spans="1:21" x14ac:dyDescent="0.3">
      <c r="A1095" s="27" t="s">
        <v>1302</v>
      </c>
      <c r="B1095" s="32" t="str">
        <f>_xlfn.XLOOKUP(TablaSTOCKINV[[#This Row],[SKU]],TablaINVENTARIO[SKU],TablaINVENTARIO[DESCRIPCION])</f>
        <v>BLOQUE DE TERMINALES ENCHUFABLE 17 POSICIONES</v>
      </c>
      <c r="C1095" s="32" t="str">
        <f>_xlfn.XLOOKUP(TablaSTOCKINV[[#This Row],[SKU]],TablaINVENTARIO[SKU],TablaINVENTARIO[MARCA])</f>
        <v>N/A</v>
      </c>
      <c r="D1095" s="33" t="str">
        <f>_xlfn.XLOOKUP(TablaSTOCKINV[[#This Row],[SKU]],TablaINVENTARIO[SKU],TablaINVENTARIO[CATEGORIA])</f>
        <v>FABRICACION</v>
      </c>
      <c r="E1095" s="33" t="str">
        <f>_xlfn.XLOOKUP(TablaSTOCKINV[[#This Row],[SKU]],TablaINVENTARIO[SKU],TablaINVENTARIO[SUBCATEGORIA])</f>
        <v>ARTEFACTO ELETRÓNICO</v>
      </c>
      <c r="F1095" s="33" t="str">
        <f>_xlfn.XLOOKUP(TablaSTOCKINV[[#This Row],[SKU]],TablaINVENTARIO[SKU],TablaINVENTARIO[ESTADO])</f>
        <v>NUEVO</v>
      </c>
      <c r="G1095" s="33" t="str">
        <f>_xlfn.XLOOKUP(TablaSTOCKINV[[#This Row],[SKU]],TablaINVENTARIO[SKU],TablaINVENTARIO[MEDIDA])</f>
        <v>UND</v>
      </c>
      <c r="H1095" s="33" t="str">
        <f>_xlfn.XLOOKUP(TablaSTOCKINV[[#This Row],[SKU]],TablaINVENTARIO[SKU],TablaINVENTARIO[SERIAL])</f>
        <v>N/A</v>
      </c>
      <c r="I1095" s="34">
        <f>_xlfn.XLOOKUP(TablaSTOCKINV[[#This Row],[SKU]],TablaINVENTARIO[SKU],TablaINVENTARIO[ALMACEN])</f>
        <v>0</v>
      </c>
      <c r="J1095" s="34" t="str">
        <f>_xlfn.XLOOKUP(TablaSTOCKINV[[#This Row],[SKU]],TablaINVENTARIO[SKU],TablaINVENTARIO[UBICACION])</f>
        <v>3C</v>
      </c>
      <c r="K1095" s="34" t="str">
        <f>_xlfn.XLOOKUP(TablaSTOCKINV[[#This Row],[SKU]],TablaINVENTARIO[SKU],TablaINVENTARIO[DPTO RESPONSABLE])</f>
        <v>OPERACIONES</v>
      </c>
      <c r="L1095" s="53">
        <f>_xlfn.XLOOKUP(TablaSTOCKINV[[#This Row],[SKU]],TablaINVENTARIO[SKU],TablaINVENTARIO[RANGO MIN])</f>
        <v>0</v>
      </c>
      <c r="M1095" s="34" cm="1">
        <f t="array" ref="M1095">_xlfn.IFS(TablaSTOCKINV[[#This Row],[CANT. TOTAL]]&lt;=0,1,TablaSTOCKINV[[#This Row],[CANT. TOTAL]]&lt;=TablaSTOCKINV[[#This Row],[MIN]],2,TablaSTOCKINV[[#This Row],[CANT. TOTAL]]&gt;TablaSTOCKINV[[#This Row],[MIN]],3)</f>
        <v>3</v>
      </c>
      <c r="N1095" s="34">
        <f>TablaSTOCKINV[[#This Row],[ENTRADAS]]-TablaSTOCKINV[[#This Row],[SALIDAS]]</f>
        <v>1</v>
      </c>
      <c r="O1095" s="35">
        <f>SUMIFS(TablaENTRADA[CANT],TablaENTRADA[SKU],TablaSTOCKINV[[#This Row],[SKU]])</f>
        <v>1</v>
      </c>
      <c r="P1095" s="35">
        <f>SUMIFS(TablaSALIDA[CANT],TablaSALIDA[SKU],TablaSTOCKINV[[#This Row],[SKU]])</f>
        <v>0</v>
      </c>
      <c r="Q1095" s="34">
        <f>_xlfn.XLOOKUP(TablaSTOCKINV[[#This Row],[SKU]],TablaINVENTARIO[SKU],TablaINVENTARIO[PRECIO])</f>
        <v>0</v>
      </c>
      <c r="R1095" s="34">
        <f>TablaSTOCKINV[[#This Row],[P.UNITARIO]]*TablaSTOCKINV[[#This Row],[CANT. TOTAL]]</f>
        <v>0</v>
      </c>
      <c r="S1095" s="44">
        <f>_xlfn.XLOOKUP(TablaSTOCKINV[[#This Row],[SKU]],TablaINVENTARIO[SKU],TablaINVENTARIO[FECHA INGRESO])</f>
        <v>46023</v>
      </c>
      <c r="T1095" s="44">
        <f>_xlfn.XLOOKUP(TablaSTOCKINV[[#This Row],[SKU]],TablaENTRADA[SKU],TablaENTRADA[FECHA],,0,-1)</f>
        <v>46023</v>
      </c>
      <c r="U1095" s="46" t="str">
        <f>IFERROR((_xlfn.XLOOKUP(TablaSTOCKINV[[#This Row],[SKU]],TablaSALIDA[SKU],TablaSALIDA[FECHA],,0,-1))," " )</f>
        <v xml:space="preserve"> </v>
      </c>
    </row>
    <row r="1096" spans="1:21" x14ac:dyDescent="0.3">
      <c r="A1096" s="27" t="s">
        <v>1304</v>
      </c>
      <c r="B1096" s="32" t="str">
        <f>_xlfn.XLOOKUP(TablaSTOCKINV[[#This Row],[SKU]],TablaINVENTARIO[SKU],TablaINVENTARIO[DESCRIPCION])</f>
        <v>BLOQUE DE TERMINALES ENCHUFABLE 7 POSICIONES</v>
      </c>
      <c r="C1096" s="32" t="str">
        <f>_xlfn.XLOOKUP(TablaSTOCKINV[[#This Row],[SKU]],TablaINVENTARIO[SKU],TablaINVENTARIO[MARCA])</f>
        <v>N/A</v>
      </c>
      <c r="D1096" s="33" t="str">
        <f>_xlfn.XLOOKUP(TablaSTOCKINV[[#This Row],[SKU]],TablaINVENTARIO[SKU],TablaINVENTARIO[CATEGORIA])</f>
        <v>FABRICACION</v>
      </c>
      <c r="E1096" s="33" t="str">
        <f>_xlfn.XLOOKUP(TablaSTOCKINV[[#This Row],[SKU]],TablaINVENTARIO[SKU],TablaINVENTARIO[SUBCATEGORIA])</f>
        <v>ARTEFACTO ELETRÓNICO</v>
      </c>
      <c r="F1096" s="33" t="str">
        <f>_xlfn.XLOOKUP(TablaSTOCKINV[[#This Row],[SKU]],TablaINVENTARIO[SKU],TablaINVENTARIO[ESTADO])</f>
        <v>NUEVO</v>
      </c>
      <c r="G1096" s="33" t="str">
        <f>_xlfn.XLOOKUP(TablaSTOCKINV[[#This Row],[SKU]],TablaINVENTARIO[SKU],TablaINVENTARIO[MEDIDA])</f>
        <v>UND</v>
      </c>
      <c r="H1096" s="33" t="str">
        <f>_xlfn.XLOOKUP(TablaSTOCKINV[[#This Row],[SKU]],TablaINVENTARIO[SKU],TablaINVENTARIO[SERIAL])</f>
        <v>N/A</v>
      </c>
      <c r="I1096" s="34">
        <f>_xlfn.XLOOKUP(TablaSTOCKINV[[#This Row],[SKU]],TablaINVENTARIO[SKU],TablaINVENTARIO[ALMACEN])</f>
        <v>0</v>
      </c>
      <c r="J1096" s="34" t="str">
        <f>_xlfn.XLOOKUP(TablaSTOCKINV[[#This Row],[SKU]],TablaINVENTARIO[SKU],TablaINVENTARIO[UBICACION])</f>
        <v>3C</v>
      </c>
      <c r="K1096" s="34" t="str">
        <f>_xlfn.XLOOKUP(TablaSTOCKINV[[#This Row],[SKU]],TablaINVENTARIO[SKU],TablaINVENTARIO[DPTO RESPONSABLE])</f>
        <v>OPERACIONES</v>
      </c>
      <c r="L1096" s="53">
        <f>_xlfn.XLOOKUP(TablaSTOCKINV[[#This Row],[SKU]],TablaINVENTARIO[SKU],TablaINVENTARIO[RANGO MIN])</f>
        <v>0</v>
      </c>
      <c r="M1096" s="34" cm="1">
        <f t="array" ref="M1096">_xlfn.IFS(TablaSTOCKINV[[#This Row],[CANT. TOTAL]]&lt;=0,1,TablaSTOCKINV[[#This Row],[CANT. TOTAL]]&lt;=TablaSTOCKINV[[#This Row],[MIN]],2,TablaSTOCKINV[[#This Row],[CANT. TOTAL]]&gt;TablaSTOCKINV[[#This Row],[MIN]],3)</f>
        <v>3</v>
      </c>
      <c r="N1096" s="34">
        <f>TablaSTOCKINV[[#This Row],[ENTRADAS]]-TablaSTOCKINV[[#This Row],[SALIDAS]]</f>
        <v>1</v>
      </c>
      <c r="O1096" s="35">
        <f>SUMIFS(TablaENTRADA[CANT],TablaENTRADA[SKU],TablaSTOCKINV[[#This Row],[SKU]])</f>
        <v>1</v>
      </c>
      <c r="P1096" s="35">
        <f>SUMIFS(TablaSALIDA[CANT],TablaSALIDA[SKU],TablaSTOCKINV[[#This Row],[SKU]])</f>
        <v>0</v>
      </c>
      <c r="Q1096" s="34">
        <f>_xlfn.XLOOKUP(TablaSTOCKINV[[#This Row],[SKU]],TablaINVENTARIO[SKU],TablaINVENTARIO[PRECIO])</f>
        <v>0</v>
      </c>
      <c r="R1096" s="34">
        <f>TablaSTOCKINV[[#This Row],[P.UNITARIO]]*TablaSTOCKINV[[#This Row],[CANT. TOTAL]]</f>
        <v>0</v>
      </c>
      <c r="S1096" s="44">
        <f>_xlfn.XLOOKUP(TablaSTOCKINV[[#This Row],[SKU]],TablaINVENTARIO[SKU],TablaINVENTARIO[FECHA INGRESO])</f>
        <v>46023</v>
      </c>
      <c r="T1096" s="44">
        <f>_xlfn.XLOOKUP(TablaSTOCKINV[[#This Row],[SKU]],TablaENTRADA[SKU],TablaENTRADA[FECHA],,0,-1)</f>
        <v>46023</v>
      </c>
      <c r="U1096" s="46" t="str">
        <f>IFERROR((_xlfn.XLOOKUP(TablaSTOCKINV[[#This Row],[SKU]],TablaSALIDA[SKU],TablaSALIDA[FECHA],,0,-1))," " )</f>
        <v xml:space="preserve"> </v>
      </c>
    </row>
    <row r="1097" spans="1:21" x14ac:dyDescent="0.3">
      <c r="A1097" s="27" t="s">
        <v>1306</v>
      </c>
      <c r="B1097" s="32" t="str">
        <f>_xlfn.XLOOKUP(TablaSTOCKINV[[#This Row],[SKU]],TablaINVENTARIO[SKU],TablaINVENTARIO[DESCRIPCION])</f>
        <v>PORTAFUSIBLE RIEL DIN</v>
      </c>
      <c r="C1097" s="32" t="str">
        <f>_xlfn.XLOOKUP(TablaSTOCKINV[[#This Row],[SKU]],TablaINVENTARIO[SKU],TablaINVENTARIO[MARCA])</f>
        <v>N/A</v>
      </c>
      <c r="D1097" s="33" t="str">
        <f>_xlfn.XLOOKUP(TablaSTOCKINV[[#This Row],[SKU]],TablaINVENTARIO[SKU],TablaINVENTARIO[CATEGORIA])</f>
        <v>FABRICACION</v>
      </c>
      <c r="E1097" s="33" t="str">
        <f>_xlfn.XLOOKUP(TablaSTOCKINV[[#This Row],[SKU]],TablaINVENTARIO[SKU],TablaINVENTARIO[SUBCATEGORIA])</f>
        <v>ARTEFACTO ELETRÓNICO</v>
      </c>
      <c r="F1097" s="33" t="str">
        <f>_xlfn.XLOOKUP(TablaSTOCKINV[[#This Row],[SKU]],TablaINVENTARIO[SKU],TablaINVENTARIO[ESTADO])</f>
        <v>NUEVO</v>
      </c>
      <c r="G1097" s="33" t="str">
        <f>_xlfn.XLOOKUP(TablaSTOCKINV[[#This Row],[SKU]],TablaINVENTARIO[SKU],TablaINVENTARIO[MEDIDA])</f>
        <v>UND</v>
      </c>
      <c r="H1097" s="33" t="str">
        <f>_xlfn.XLOOKUP(TablaSTOCKINV[[#This Row],[SKU]],TablaINVENTARIO[SKU],TablaINVENTARIO[SERIAL])</f>
        <v>N/A</v>
      </c>
      <c r="I1097" s="34">
        <f>_xlfn.XLOOKUP(TablaSTOCKINV[[#This Row],[SKU]],TablaINVENTARIO[SKU],TablaINVENTARIO[ALMACEN])</f>
        <v>0</v>
      </c>
      <c r="J1097" s="34" t="str">
        <f>_xlfn.XLOOKUP(TablaSTOCKINV[[#This Row],[SKU]],TablaINVENTARIO[SKU],TablaINVENTARIO[UBICACION])</f>
        <v>3C</v>
      </c>
      <c r="K1097" s="34" t="str">
        <f>_xlfn.XLOOKUP(TablaSTOCKINV[[#This Row],[SKU]],TablaINVENTARIO[SKU],TablaINVENTARIO[DPTO RESPONSABLE])</f>
        <v>OPERACIONES</v>
      </c>
      <c r="L1097" s="53">
        <f>_xlfn.XLOOKUP(TablaSTOCKINV[[#This Row],[SKU]],TablaINVENTARIO[SKU],TablaINVENTARIO[RANGO MIN])</f>
        <v>0</v>
      </c>
      <c r="M1097" s="34" cm="1">
        <f t="array" ref="M1097">_xlfn.IFS(TablaSTOCKINV[[#This Row],[CANT. TOTAL]]&lt;=0,1,TablaSTOCKINV[[#This Row],[CANT. TOTAL]]&lt;=TablaSTOCKINV[[#This Row],[MIN]],2,TablaSTOCKINV[[#This Row],[CANT. TOTAL]]&gt;TablaSTOCKINV[[#This Row],[MIN]],3)</f>
        <v>3</v>
      </c>
      <c r="N1097" s="34">
        <f>TablaSTOCKINV[[#This Row],[ENTRADAS]]-TablaSTOCKINV[[#This Row],[SALIDAS]]</f>
        <v>1</v>
      </c>
      <c r="O1097" s="35">
        <f>SUMIFS(TablaENTRADA[CANT],TablaENTRADA[SKU],TablaSTOCKINV[[#This Row],[SKU]])</f>
        <v>1</v>
      </c>
      <c r="P1097" s="35">
        <f>SUMIFS(TablaSALIDA[CANT],TablaSALIDA[SKU],TablaSTOCKINV[[#This Row],[SKU]])</f>
        <v>0</v>
      </c>
      <c r="Q1097" s="34">
        <f>_xlfn.XLOOKUP(TablaSTOCKINV[[#This Row],[SKU]],TablaINVENTARIO[SKU],TablaINVENTARIO[PRECIO])</f>
        <v>0</v>
      </c>
      <c r="R1097" s="34">
        <f>TablaSTOCKINV[[#This Row],[P.UNITARIO]]*TablaSTOCKINV[[#This Row],[CANT. TOTAL]]</f>
        <v>0</v>
      </c>
      <c r="S1097" s="44">
        <f>_xlfn.XLOOKUP(TablaSTOCKINV[[#This Row],[SKU]],TablaINVENTARIO[SKU],TablaINVENTARIO[FECHA INGRESO])</f>
        <v>46023</v>
      </c>
      <c r="T1097" s="44">
        <f>_xlfn.XLOOKUP(TablaSTOCKINV[[#This Row],[SKU]],TablaENTRADA[SKU],TablaENTRADA[FECHA],,0,-1)</f>
        <v>46023</v>
      </c>
      <c r="U1097" s="46" t="str">
        <f>IFERROR((_xlfn.XLOOKUP(TablaSTOCKINV[[#This Row],[SKU]],TablaSALIDA[SKU],TablaSALIDA[FECHA],,0,-1))," " )</f>
        <v xml:space="preserve"> </v>
      </c>
    </row>
    <row r="1098" spans="1:21" x14ac:dyDescent="0.3">
      <c r="A1098" s="27" t="s">
        <v>1308</v>
      </c>
      <c r="B1098" s="32" t="str">
        <f>_xlfn.XLOOKUP(TablaSTOCKINV[[#This Row],[SKU]],TablaINVENTARIO[SKU],TablaINVENTARIO[DESCRIPCION])</f>
        <v>BLOQUE DE TIERRA / CONEXIÓN</v>
      </c>
      <c r="C1098" s="32" t="str">
        <f>_xlfn.XLOOKUP(TablaSTOCKINV[[#This Row],[SKU]],TablaINVENTARIO[SKU],TablaINVENTARIO[MARCA])</f>
        <v>N/A</v>
      </c>
      <c r="D1098" s="33" t="str">
        <f>_xlfn.XLOOKUP(TablaSTOCKINV[[#This Row],[SKU]],TablaINVENTARIO[SKU],TablaINVENTARIO[CATEGORIA])</f>
        <v>FABRICACION</v>
      </c>
      <c r="E1098" s="33" t="str">
        <f>_xlfn.XLOOKUP(TablaSTOCKINV[[#This Row],[SKU]],TablaINVENTARIO[SKU],TablaINVENTARIO[SUBCATEGORIA])</f>
        <v>ARTEFACTO ELETRÓNICO</v>
      </c>
      <c r="F1098" s="33" t="str">
        <f>_xlfn.XLOOKUP(TablaSTOCKINV[[#This Row],[SKU]],TablaINVENTARIO[SKU],TablaINVENTARIO[ESTADO])</f>
        <v>NUEVO</v>
      </c>
      <c r="G1098" s="33" t="str">
        <f>_xlfn.XLOOKUP(TablaSTOCKINV[[#This Row],[SKU]],TablaINVENTARIO[SKU],TablaINVENTARIO[MEDIDA])</f>
        <v>UND</v>
      </c>
      <c r="H1098" s="33" t="str">
        <f>_xlfn.XLOOKUP(TablaSTOCKINV[[#This Row],[SKU]],TablaINVENTARIO[SKU],TablaINVENTARIO[SERIAL])</f>
        <v>N/A</v>
      </c>
      <c r="I1098" s="34">
        <f>_xlfn.XLOOKUP(TablaSTOCKINV[[#This Row],[SKU]],TablaINVENTARIO[SKU],TablaINVENTARIO[ALMACEN])</f>
        <v>0</v>
      </c>
      <c r="J1098" s="34" t="str">
        <f>_xlfn.XLOOKUP(TablaSTOCKINV[[#This Row],[SKU]],TablaINVENTARIO[SKU],TablaINVENTARIO[UBICACION])</f>
        <v>3C</v>
      </c>
      <c r="K1098" s="34" t="str">
        <f>_xlfn.XLOOKUP(TablaSTOCKINV[[#This Row],[SKU]],TablaINVENTARIO[SKU],TablaINVENTARIO[DPTO RESPONSABLE])</f>
        <v>OPERACIONES</v>
      </c>
      <c r="L1098" s="53">
        <f>_xlfn.XLOOKUP(TablaSTOCKINV[[#This Row],[SKU]],TablaINVENTARIO[SKU],TablaINVENTARIO[RANGO MIN])</f>
        <v>0</v>
      </c>
      <c r="M1098" s="34" cm="1">
        <f t="array" ref="M1098">_xlfn.IFS(TablaSTOCKINV[[#This Row],[CANT. TOTAL]]&lt;=0,1,TablaSTOCKINV[[#This Row],[CANT. TOTAL]]&lt;=TablaSTOCKINV[[#This Row],[MIN]],2,TablaSTOCKINV[[#This Row],[CANT. TOTAL]]&gt;TablaSTOCKINV[[#This Row],[MIN]],3)</f>
        <v>3</v>
      </c>
      <c r="N1098" s="34">
        <f>TablaSTOCKINV[[#This Row],[ENTRADAS]]-TablaSTOCKINV[[#This Row],[SALIDAS]]</f>
        <v>2</v>
      </c>
      <c r="O1098" s="35">
        <f>SUMIFS(TablaENTRADA[CANT],TablaENTRADA[SKU],TablaSTOCKINV[[#This Row],[SKU]])</f>
        <v>2</v>
      </c>
      <c r="P1098" s="35">
        <f>SUMIFS(TablaSALIDA[CANT],TablaSALIDA[SKU],TablaSTOCKINV[[#This Row],[SKU]])</f>
        <v>0</v>
      </c>
      <c r="Q1098" s="34">
        <f>_xlfn.XLOOKUP(TablaSTOCKINV[[#This Row],[SKU]],TablaINVENTARIO[SKU],TablaINVENTARIO[PRECIO])</f>
        <v>0</v>
      </c>
      <c r="R1098" s="34">
        <f>TablaSTOCKINV[[#This Row],[P.UNITARIO]]*TablaSTOCKINV[[#This Row],[CANT. TOTAL]]</f>
        <v>0</v>
      </c>
      <c r="S1098" s="44">
        <f>_xlfn.XLOOKUP(TablaSTOCKINV[[#This Row],[SKU]],TablaINVENTARIO[SKU],TablaINVENTARIO[FECHA INGRESO])</f>
        <v>46023</v>
      </c>
      <c r="T1098" s="44">
        <f>_xlfn.XLOOKUP(TablaSTOCKINV[[#This Row],[SKU]],TablaENTRADA[SKU],TablaENTRADA[FECHA],,0,-1)</f>
        <v>46023</v>
      </c>
      <c r="U1098" s="46" t="str">
        <f>IFERROR((_xlfn.XLOOKUP(TablaSTOCKINV[[#This Row],[SKU]],TablaSALIDA[SKU],TablaSALIDA[FECHA],,0,-1))," " )</f>
        <v xml:space="preserve"> </v>
      </c>
    </row>
    <row r="1099" spans="1:21" x14ac:dyDescent="0.3">
      <c r="A1099" s="27" t="s">
        <v>1310</v>
      </c>
      <c r="B1099" s="32" t="str">
        <f>_xlfn.XLOOKUP(TablaSTOCKINV[[#This Row],[SKU]],TablaINVENTARIO[SKU],TablaINVENTARIO[DESCRIPCION])</f>
        <v>BLOQUE DE TERMINALES DE PASO</v>
      </c>
      <c r="C1099" s="32" t="str">
        <f>_xlfn.XLOOKUP(TablaSTOCKINV[[#This Row],[SKU]],TablaINVENTARIO[SKU],TablaINVENTARIO[MARCA])</f>
        <v>N/A</v>
      </c>
      <c r="D1099" s="33" t="str">
        <f>_xlfn.XLOOKUP(TablaSTOCKINV[[#This Row],[SKU]],TablaINVENTARIO[SKU],TablaINVENTARIO[CATEGORIA])</f>
        <v>FABRICACION</v>
      </c>
      <c r="E1099" s="33" t="str">
        <f>_xlfn.XLOOKUP(TablaSTOCKINV[[#This Row],[SKU]],TablaINVENTARIO[SKU],TablaINVENTARIO[SUBCATEGORIA])</f>
        <v>ARTEFACTO ELETRÓNICO</v>
      </c>
      <c r="F1099" s="33" t="str">
        <f>_xlfn.XLOOKUP(TablaSTOCKINV[[#This Row],[SKU]],TablaINVENTARIO[SKU],TablaINVENTARIO[ESTADO])</f>
        <v>NUEVO</v>
      </c>
      <c r="G1099" s="33" t="str">
        <f>_xlfn.XLOOKUP(TablaSTOCKINV[[#This Row],[SKU]],TablaINVENTARIO[SKU],TablaINVENTARIO[MEDIDA])</f>
        <v>UND</v>
      </c>
      <c r="H1099" s="33" t="str">
        <f>_xlfn.XLOOKUP(TablaSTOCKINV[[#This Row],[SKU]],TablaINVENTARIO[SKU],TablaINVENTARIO[SERIAL])</f>
        <v>N/A</v>
      </c>
      <c r="I1099" s="34">
        <f>_xlfn.XLOOKUP(TablaSTOCKINV[[#This Row],[SKU]],TablaINVENTARIO[SKU],TablaINVENTARIO[ALMACEN])</f>
        <v>0</v>
      </c>
      <c r="J1099" s="34" t="str">
        <f>_xlfn.XLOOKUP(TablaSTOCKINV[[#This Row],[SKU]],TablaINVENTARIO[SKU],TablaINVENTARIO[UBICACION])</f>
        <v>3C</v>
      </c>
      <c r="K1099" s="34" t="str">
        <f>_xlfn.XLOOKUP(TablaSTOCKINV[[#This Row],[SKU]],TablaINVENTARIO[SKU],TablaINVENTARIO[DPTO RESPONSABLE])</f>
        <v>OPERACIONES</v>
      </c>
      <c r="L1099" s="53">
        <f>_xlfn.XLOOKUP(TablaSTOCKINV[[#This Row],[SKU]],TablaINVENTARIO[SKU],TablaINVENTARIO[RANGO MIN])</f>
        <v>0</v>
      </c>
      <c r="M1099" s="34" cm="1">
        <f t="array" ref="M1099">_xlfn.IFS(TablaSTOCKINV[[#This Row],[CANT. TOTAL]]&lt;=0,1,TablaSTOCKINV[[#This Row],[CANT. TOTAL]]&lt;=TablaSTOCKINV[[#This Row],[MIN]],2,TablaSTOCKINV[[#This Row],[CANT. TOTAL]]&gt;TablaSTOCKINV[[#This Row],[MIN]],3)</f>
        <v>3</v>
      </c>
      <c r="N1099" s="34">
        <f>TablaSTOCKINV[[#This Row],[ENTRADAS]]-TablaSTOCKINV[[#This Row],[SALIDAS]]</f>
        <v>1</v>
      </c>
      <c r="O1099" s="35">
        <f>SUMIFS(TablaENTRADA[CANT],TablaENTRADA[SKU],TablaSTOCKINV[[#This Row],[SKU]])</f>
        <v>1</v>
      </c>
      <c r="P1099" s="35">
        <f>SUMIFS(TablaSALIDA[CANT],TablaSALIDA[SKU],TablaSTOCKINV[[#This Row],[SKU]])</f>
        <v>0</v>
      </c>
      <c r="Q1099" s="34">
        <f>_xlfn.XLOOKUP(TablaSTOCKINV[[#This Row],[SKU]],TablaINVENTARIO[SKU],TablaINVENTARIO[PRECIO])</f>
        <v>0</v>
      </c>
      <c r="R1099" s="34">
        <f>TablaSTOCKINV[[#This Row],[P.UNITARIO]]*TablaSTOCKINV[[#This Row],[CANT. TOTAL]]</f>
        <v>0</v>
      </c>
      <c r="S1099" s="44">
        <f>_xlfn.XLOOKUP(TablaSTOCKINV[[#This Row],[SKU]],TablaINVENTARIO[SKU],TablaINVENTARIO[FECHA INGRESO])</f>
        <v>46023</v>
      </c>
      <c r="T1099" s="44">
        <f>_xlfn.XLOOKUP(TablaSTOCKINV[[#This Row],[SKU]],TablaENTRADA[SKU],TablaENTRADA[FECHA],,0,-1)</f>
        <v>46023</v>
      </c>
      <c r="U1099" s="46" t="str">
        <f>IFERROR((_xlfn.XLOOKUP(TablaSTOCKINV[[#This Row],[SKU]],TablaSALIDA[SKU],TablaSALIDA[FECHA],,0,-1))," " )</f>
        <v xml:space="preserve"> </v>
      </c>
    </row>
    <row r="1100" spans="1:21" x14ac:dyDescent="0.3">
      <c r="A1100" s="27" t="s">
        <v>1312</v>
      </c>
      <c r="B1100" s="32" t="str">
        <f>_xlfn.XLOOKUP(TablaSTOCKINV[[#This Row],[SKU]],TablaINVENTARIO[SKU],TablaINVENTARIO[DESCRIPCION])</f>
        <v>CONVERTIDOR DC-DC VHK100W-Q24-S24</v>
      </c>
      <c r="C1100" s="32" t="str">
        <f>_xlfn.XLOOKUP(TablaSTOCKINV[[#This Row],[SKU]],TablaINVENTARIO[SKU],TablaINVENTARIO[MARCA])</f>
        <v>V-INFINITY</v>
      </c>
      <c r="D1100" s="33" t="str">
        <f>_xlfn.XLOOKUP(TablaSTOCKINV[[#This Row],[SKU]],TablaINVENTARIO[SKU],TablaINVENTARIO[CATEGORIA])</f>
        <v>FABRICACION</v>
      </c>
      <c r="E1100" s="33" t="str">
        <f>_xlfn.XLOOKUP(TablaSTOCKINV[[#This Row],[SKU]],TablaINVENTARIO[SKU],TablaINVENTARIO[SUBCATEGORIA])</f>
        <v>ARTEFACTO ELETRÓNICO</v>
      </c>
      <c r="F1100" s="33" t="str">
        <f>_xlfn.XLOOKUP(TablaSTOCKINV[[#This Row],[SKU]],TablaINVENTARIO[SKU],TablaINVENTARIO[ESTADO])</f>
        <v>NUEVO</v>
      </c>
      <c r="G1100" s="33" t="str">
        <f>_xlfn.XLOOKUP(TablaSTOCKINV[[#This Row],[SKU]],TablaINVENTARIO[SKU],TablaINVENTARIO[MEDIDA])</f>
        <v>UND</v>
      </c>
      <c r="H1100" s="33" t="str">
        <f>_xlfn.XLOOKUP(TablaSTOCKINV[[#This Row],[SKU]],TablaINVENTARIO[SKU],TablaINVENTARIO[SERIAL])</f>
        <v>N/A</v>
      </c>
      <c r="I1100" s="34">
        <f>_xlfn.XLOOKUP(TablaSTOCKINV[[#This Row],[SKU]],TablaINVENTARIO[SKU],TablaINVENTARIO[ALMACEN])</f>
        <v>0</v>
      </c>
      <c r="J1100" s="34" t="str">
        <f>_xlfn.XLOOKUP(TablaSTOCKINV[[#This Row],[SKU]],TablaINVENTARIO[SKU],TablaINVENTARIO[UBICACION])</f>
        <v>3C</v>
      </c>
      <c r="K1100" s="34" t="str">
        <f>_xlfn.XLOOKUP(TablaSTOCKINV[[#This Row],[SKU]],TablaINVENTARIO[SKU],TablaINVENTARIO[DPTO RESPONSABLE])</f>
        <v>OPERACIONES</v>
      </c>
      <c r="L1100" s="53">
        <f>_xlfn.XLOOKUP(TablaSTOCKINV[[#This Row],[SKU]],TablaINVENTARIO[SKU],TablaINVENTARIO[RANGO MIN])</f>
        <v>0</v>
      </c>
      <c r="M1100" s="34" cm="1">
        <f t="array" ref="M1100">_xlfn.IFS(TablaSTOCKINV[[#This Row],[CANT. TOTAL]]&lt;=0,1,TablaSTOCKINV[[#This Row],[CANT. TOTAL]]&lt;=TablaSTOCKINV[[#This Row],[MIN]],2,TablaSTOCKINV[[#This Row],[CANT. TOTAL]]&gt;TablaSTOCKINV[[#This Row],[MIN]],3)</f>
        <v>3</v>
      </c>
      <c r="N1100" s="34">
        <f>TablaSTOCKINV[[#This Row],[ENTRADAS]]-TablaSTOCKINV[[#This Row],[SALIDAS]]</f>
        <v>21</v>
      </c>
      <c r="O1100" s="35">
        <f>SUMIFS(TablaENTRADA[CANT],TablaENTRADA[SKU],TablaSTOCKINV[[#This Row],[SKU]])</f>
        <v>21</v>
      </c>
      <c r="P1100" s="35">
        <f>SUMIFS(TablaSALIDA[CANT],TablaSALIDA[SKU],TablaSTOCKINV[[#This Row],[SKU]])</f>
        <v>0</v>
      </c>
      <c r="Q1100" s="34">
        <f>_xlfn.XLOOKUP(TablaSTOCKINV[[#This Row],[SKU]],TablaINVENTARIO[SKU],TablaINVENTARIO[PRECIO])</f>
        <v>0</v>
      </c>
      <c r="R1100" s="34">
        <f>TablaSTOCKINV[[#This Row],[P.UNITARIO]]*TablaSTOCKINV[[#This Row],[CANT. TOTAL]]</f>
        <v>0</v>
      </c>
      <c r="S1100" s="44">
        <f>_xlfn.XLOOKUP(TablaSTOCKINV[[#This Row],[SKU]],TablaINVENTARIO[SKU],TablaINVENTARIO[FECHA INGRESO])</f>
        <v>46023</v>
      </c>
      <c r="T1100" s="44">
        <f>_xlfn.XLOOKUP(TablaSTOCKINV[[#This Row],[SKU]],TablaENTRADA[SKU],TablaENTRADA[FECHA],,0,-1)</f>
        <v>46023</v>
      </c>
      <c r="U1100" s="46" t="str">
        <f>IFERROR((_xlfn.XLOOKUP(TablaSTOCKINV[[#This Row],[SKU]],TablaSALIDA[SKU],TablaSALIDA[FECHA],,0,-1))," " )</f>
        <v xml:space="preserve"> </v>
      </c>
    </row>
    <row r="1101" spans="1:21" x14ac:dyDescent="0.3">
      <c r="A1101" s="27" t="s">
        <v>1315</v>
      </c>
      <c r="B1101" s="32" t="str">
        <f>_xlfn.XLOOKUP(TablaSTOCKINV[[#This Row],[SKU]],TablaINVENTARIO[SKU],TablaINVENTARIO[DESCRIPCION])</f>
        <v>ROUTER INALÁMBRICO DE CONSUMO TX2</v>
      </c>
      <c r="C1101" s="32" t="str">
        <f>_xlfn.XLOOKUP(TablaSTOCKINV[[#This Row],[SKU]],TablaINVENTARIO[SKU],TablaINVENTARIO[MARCA])</f>
        <v>TENDA</v>
      </c>
      <c r="D1101" s="33" t="str">
        <f>_xlfn.XLOOKUP(TablaSTOCKINV[[#This Row],[SKU]],TablaINVENTARIO[SKU],TablaINVENTARIO[CATEGORIA])</f>
        <v>FABRICACION</v>
      </c>
      <c r="E1101" s="33" t="str">
        <f>_xlfn.XLOOKUP(TablaSTOCKINV[[#This Row],[SKU]],TablaINVENTARIO[SKU],TablaINVENTARIO[SUBCATEGORIA])</f>
        <v>ARTEFACTO ELETRÓNICO</v>
      </c>
      <c r="F1101" s="33" t="str">
        <f>_xlfn.XLOOKUP(TablaSTOCKINV[[#This Row],[SKU]],TablaINVENTARIO[SKU],TablaINVENTARIO[ESTADO])</f>
        <v>NUEVO</v>
      </c>
      <c r="G1101" s="33" t="str">
        <f>_xlfn.XLOOKUP(TablaSTOCKINV[[#This Row],[SKU]],TablaINVENTARIO[SKU],TablaINVENTARIO[MEDIDA])</f>
        <v>UND</v>
      </c>
      <c r="H1101" s="33" t="str">
        <f>_xlfn.XLOOKUP(TablaSTOCKINV[[#This Row],[SKU]],TablaINVENTARIO[SKU],TablaINVENTARIO[SERIAL])</f>
        <v>N/A</v>
      </c>
      <c r="I1101" s="34">
        <f>_xlfn.XLOOKUP(TablaSTOCKINV[[#This Row],[SKU]],TablaINVENTARIO[SKU],TablaINVENTARIO[ALMACEN])</f>
        <v>0</v>
      </c>
      <c r="J1101" s="34" t="str">
        <f>_xlfn.XLOOKUP(TablaSTOCKINV[[#This Row],[SKU]],TablaINVENTARIO[SKU],TablaINVENTARIO[UBICACION])</f>
        <v>3C</v>
      </c>
      <c r="K1101" s="34" t="str">
        <f>_xlfn.XLOOKUP(TablaSTOCKINV[[#This Row],[SKU]],TablaINVENTARIO[SKU],TablaINVENTARIO[DPTO RESPONSABLE])</f>
        <v>OPERACIONES</v>
      </c>
      <c r="L1101" s="53">
        <f>_xlfn.XLOOKUP(TablaSTOCKINV[[#This Row],[SKU]],TablaINVENTARIO[SKU],TablaINVENTARIO[RANGO MIN])</f>
        <v>0</v>
      </c>
      <c r="M1101" s="34" cm="1">
        <f t="array" ref="M1101">_xlfn.IFS(TablaSTOCKINV[[#This Row],[CANT. TOTAL]]&lt;=0,1,TablaSTOCKINV[[#This Row],[CANT. TOTAL]]&lt;=TablaSTOCKINV[[#This Row],[MIN]],2,TablaSTOCKINV[[#This Row],[CANT. TOTAL]]&gt;TablaSTOCKINV[[#This Row],[MIN]],3)</f>
        <v>3</v>
      </c>
      <c r="N1101" s="34">
        <f>TablaSTOCKINV[[#This Row],[ENTRADAS]]-TablaSTOCKINV[[#This Row],[SALIDAS]]</f>
        <v>1</v>
      </c>
      <c r="O1101" s="35">
        <f>SUMIFS(TablaENTRADA[CANT],TablaENTRADA[SKU],TablaSTOCKINV[[#This Row],[SKU]])</f>
        <v>1</v>
      </c>
      <c r="P1101" s="35">
        <f>SUMIFS(TablaSALIDA[CANT],TablaSALIDA[SKU],TablaSTOCKINV[[#This Row],[SKU]])</f>
        <v>0</v>
      </c>
      <c r="Q1101" s="34">
        <f>_xlfn.XLOOKUP(TablaSTOCKINV[[#This Row],[SKU]],TablaINVENTARIO[SKU],TablaINVENTARIO[PRECIO])</f>
        <v>0</v>
      </c>
      <c r="R1101" s="34">
        <f>TablaSTOCKINV[[#This Row],[P.UNITARIO]]*TablaSTOCKINV[[#This Row],[CANT. TOTAL]]</f>
        <v>0</v>
      </c>
      <c r="S1101" s="44">
        <f>_xlfn.XLOOKUP(TablaSTOCKINV[[#This Row],[SKU]],TablaINVENTARIO[SKU],TablaINVENTARIO[FECHA INGRESO])</f>
        <v>46023</v>
      </c>
      <c r="T1101" s="44">
        <f>_xlfn.XLOOKUP(TablaSTOCKINV[[#This Row],[SKU]],TablaENTRADA[SKU],TablaENTRADA[FECHA],,0,-1)</f>
        <v>46023</v>
      </c>
      <c r="U1101" s="46" t="str">
        <f>IFERROR((_xlfn.XLOOKUP(TablaSTOCKINV[[#This Row],[SKU]],TablaSALIDA[SKU],TablaSALIDA[FECHA],,0,-1))," " )</f>
        <v xml:space="preserve"> </v>
      </c>
    </row>
    <row r="1102" spans="1:21" x14ac:dyDescent="0.3">
      <c r="A1102" s="27" t="s">
        <v>1318</v>
      </c>
      <c r="B1102" s="32" t="str">
        <f>_xlfn.XLOOKUP(TablaSTOCKINV[[#This Row],[SKU]],TablaINVENTARIO[SKU],TablaINVENTARIO[DESCRIPCION])</f>
        <v>FUENTE DE ALIMENTACIÓN PSS1014E</v>
      </c>
      <c r="C1102" s="32" t="str">
        <f>_xlfn.XLOOKUP(TablaSTOCKINV[[#This Row],[SKU]],TablaINVENTARIO[SKU],TablaINVENTARIO[MARCA])</f>
        <v>EATON</v>
      </c>
      <c r="D1102" s="33" t="str">
        <f>_xlfn.XLOOKUP(TablaSTOCKINV[[#This Row],[SKU]],TablaINVENTARIO[SKU],TablaINVENTARIO[CATEGORIA])</f>
        <v>FABRICACION</v>
      </c>
      <c r="E1102" s="33" t="str">
        <f>_xlfn.XLOOKUP(TablaSTOCKINV[[#This Row],[SKU]],TablaINVENTARIO[SKU],TablaINVENTARIO[SUBCATEGORIA])</f>
        <v>ARTEFACTO ELETRÓNICO</v>
      </c>
      <c r="F1102" s="33" t="str">
        <f>_xlfn.XLOOKUP(TablaSTOCKINV[[#This Row],[SKU]],TablaINVENTARIO[SKU],TablaINVENTARIO[ESTADO])</f>
        <v>NUEVO</v>
      </c>
      <c r="G1102" s="33" t="str">
        <f>_xlfn.XLOOKUP(TablaSTOCKINV[[#This Row],[SKU]],TablaINVENTARIO[SKU],TablaINVENTARIO[MEDIDA])</f>
        <v>UND</v>
      </c>
      <c r="H1102" s="33" t="str">
        <f>_xlfn.XLOOKUP(TablaSTOCKINV[[#This Row],[SKU]],TablaINVENTARIO[SKU],TablaINVENTARIO[SERIAL])</f>
        <v>N/A</v>
      </c>
      <c r="I1102" s="34">
        <f>_xlfn.XLOOKUP(TablaSTOCKINV[[#This Row],[SKU]],TablaINVENTARIO[SKU],TablaINVENTARIO[ALMACEN])</f>
        <v>0</v>
      </c>
      <c r="J1102" s="34" t="str">
        <f>_xlfn.XLOOKUP(TablaSTOCKINV[[#This Row],[SKU]],TablaINVENTARIO[SKU],TablaINVENTARIO[UBICACION])</f>
        <v>3C</v>
      </c>
      <c r="K1102" s="34" t="str">
        <f>_xlfn.XLOOKUP(TablaSTOCKINV[[#This Row],[SKU]],TablaINVENTARIO[SKU],TablaINVENTARIO[DPTO RESPONSABLE])</f>
        <v>OPERACIONES</v>
      </c>
      <c r="L1102" s="53">
        <f>_xlfn.XLOOKUP(TablaSTOCKINV[[#This Row],[SKU]],TablaINVENTARIO[SKU],TablaINVENTARIO[RANGO MIN])</f>
        <v>0</v>
      </c>
      <c r="M1102" s="34" cm="1">
        <f t="array" ref="M1102">_xlfn.IFS(TablaSTOCKINV[[#This Row],[CANT. TOTAL]]&lt;=0,1,TablaSTOCKINV[[#This Row],[CANT. TOTAL]]&lt;=TablaSTOCKINV[[#This Row],[MIN]],2,TablaSTOCKINV[[#This Row],[CANT. TOTAL]]&gt;TablaSTOCKINV[[#This Row],[MIN]],3)</f>
        <v>3</v>
      </c>
      <c r="N1102" s="34">
        <f>TablaSTOCKINV[[#This Row],[ENTRADAS]]-TablaSTOCKINV[[#This Row],[SALIDAS]]</f>
        <v>1</v>
      </c>
      <c r="O1102" s="35">
        <f>SUMIFS(TablaENTRADA[CANT],TablaENTRADA[SKU],TablaSTOCKINV[[#This Row],[SKU]])</f>
        <v>1</v>
      </c>
      <c r="P1102" s="35">
        <f>SUMIFS(TablaSALIDA[CANT],TablaSALIDA[SKU],TablaSTOCKINV[[#This Row],[SKU]])</f>
        <v>0</v>
      </c>
      <c r="Q1102" s="34">
        <f>_xlfn.XLOOKUP(TablaSTOCKINV[[#This Row],[SKU]],TablaINVENTARIO[SKU],TablaINVENTARIO[PRECIO])</f>
        <v>0</v>
      </c>
      <c r="R1102" s="34">
        <f>TablaSTOCKINV[[#This Row],[P.UNITARIO]]*TablaSTOCKINV[[#This Row],[CANT. TOTAL]]</f>
        <v>0</v>
      </c>
      <c r="S1102" s="44">
        <f>_xlfn.XLOOKUP(TablaSTOCKINV[[#This Row],[SKU]],TablaINVENTARIO[SKU],TablaINVENTARIO[FECHA INGRESO])</f>
        <v>46023</v>
      </c>
      <c r="T1102" s="44">
        <f>_xlfn.XLOOKUP(TablaSTOCKINV[[#This Row],[SKU]],TablaENTRADA[SKU],TablaENTRADA[FECHA],,0,-1)</f>
        <v>46023</v>
      </c>
      <c r="U1102" s="46" t="str">
        <f>IFERROR((_xlfn.XLOOKUP(TablaSTOCKINV[[#This Row],[SKU]],TablaSALIDA[SKU],TablaSALIDA[FECHA],,0,-1))," " )</f>
        <v xml:space="preserve"> </v>
      </c>
    </row>
    <row r="1103" spans="1:21" x14ac:dyDescent="0.3">
      <c r="A1103" s="27" t="s">
        <v>1321</v>
      </c>
      <c r="B1103" s="32" t="str">
        <f>_xlfn.XLOOKUP(TablaSTOCKINV[[#This Row],[SKU]],TablaINVENTARIO[SKU],TablaINVENTARIO[DESCRIPCION])</f>
        <v>PANTALLA LCD DAS1011</v>
      </c>
      <c r="C1103" s="32" t="str">
        <f>_xlfn.XLOOKUP(TablaSTOCKINV[[#This Row],[SKU]],TablaINVENTARIO[SKU],TablaINVENTARIO[MARCA])</f>
        <v>AGAR CORP USA</v>
      </c>
      <c r="D1103" s="33" t="str">
        <f>_xlfn.XLOOKUP(TablaSTOCKINV[[#This Row],[SKU]],TablaINVENTARIO[SKU],TablaINVENTARIO[CATEGORIA])</f>
        <v>FABRICACION</v>
      </c>
      <c r="E1103" s="33" t="str">
        <f>_xlfn.XLOOKUP(TablaSTOCKINV[[#This Row],[SKU]],TablaINVENTARIO[SKU],TablaINVENTARIO[SUBCATEGORIA])</f>
        <v>ARTEFACTO ELETRÓNICO</v>
      </c>
      <c r="F1103" s="33" t="str">
        <f>_xlfn.XLOOKUP(TablaSTOCKINV[[#This Row],[SKU]],TablaINVENTARIO[SKU],TablaINVENTARIO[ESTADO])</f>
        <v>NUEVO</v>
      </c>
      <c r="G1103" s="33" t="str">
        <f>_xlfn.XLOOKUP(TablaSTOCKINV[[#This Row],[SKU]],TablaINVENTARIO[SKU],TablaINVENTARIO[MEDIDA])</f>
        <v>UND</v>
      </c>
      <c r="H1103" s="33" t="str">
        <f>_xlfn.XLOOKUP(TablaSTOCKINV[[#This Row],[SKU]],TablaINVENTARIO[SKU],TablaINVENTARIO[SERIAL])</f>
        <v>N/A</v>
      </c>
      <c r="I1103" s="34">
        <f>_xlfn.XLOOKUP(TablaSTOCKINV[[#This Row],[SKU]],TablaINVENTARIO[SKU],TablaINVENTARIO[ALMACEN])</f>
        <v>0</v>
      </c>
      <c r="J1103" s="34" t="str">
        <f>_xlfn.XLOOKUP(TablaSTOCKINV[[#This Row],[SKU]],TablaINVENTARIO[SKU],TablaINVENTARIO[UBICACION])</f>
        <v>3C</v>
      </c>
      <c r="K1103" s="34" t="str">
        <f>_xlfn.XLOOKUP(TablaSTOCKINV[[#This Row],[SKU]],TablaINVENTARIO[SKU],TablaINVENTARIO[DPTO RESPONSABLE])</f>
        <v>OPERACIONES</v>
      </c>
      <c r="L1103" s="53">
        <f>_xlfn.XLOOKUP(TablaSTOCKINV[[#This Row],[SKU]],TablaINVENTARIO[SKU],TablaINVENTARIO[RANGO MIN])</f>
        <v>0</v>
      </c>
      <c r="M1103" s="34" cm="1">
        <f t="array" ref="M1103">_xlfn.IFS(TablaSTOCKINV[[#This Row],[CANT. TOTAL]]&lt;=0,1,TablaSTOCKINV[[#This Row],[CANT. TOTAL]]&lt;=TablaSTOCKINV[[#This Row],[MIN]],2,TablaSTOCKINV[[#This Row],[CANT. TOTAL]]&gt;TablaSTOCKINV[[#This Row],[MIN]],3)</f>
        <v>3</v>
      </c>
      <c r="N1103" s="34">
        <f>TablaSTOCKINV[[#This Row],[ENTRADAS]]-TablaSTOCKINV[[#This Row],[SALIDAS]]</f>
        <v>2</v>
      </c>
      <c r="O1103" s="35">
        <f>SUMIFS(TablaENTRADA[CANT],TablaENTRADA[SKU],TablaSTOCKINV[[#This Row],[SKU]])</f>
        <v>2</v>
      </c>
      <c r="P1103" s="35">
        <f>SUMIFS(TablaSALIDA[CANT],TablaSALIDA[SKU],TablaSTOCKINV[[#This Row],[SKU]])</f>
        <v>0</v>
      </c>
      <c r="Q1103" s="34">
        <f>_xlfn.XLOOKUP(TablaSTOCKINV[[#This Row],[SKU]],TablaINVENTARIO[SKU],TablaINVENTARIO[PRECIO])</f>
        <v>0</v>
      </c>
      <c r="R1103" s="34">
        <f>TablaSTOCKINV[[#This Row],[P.UNITARIO]]*TablaSTOCKINV[[#This Row],[CANT. TOTAL]]</f>
        <v>0</v>
      </c>
      <c r="S1103" s="44">
        <f>_xlfn.XLOOKUP(TablaSTOCKINV[[#This Row],[SKU]],TablaINVENTARIO[SKU],TablaINVENTARIO[FECHA INGRESO])</f>
        <v>46023</v>
      </c>
      <c r="T1103" s="44">
        <f>_xlfn.XLOOKUP(TablaSTOCKINV[[#This Row],[SKU]],TablaENTRADA[SKU],TablaENTRADA[FECHA],,0,-1)</f>
        <v>46023</v>
      </c>
      <c r="U1103" s="46" t="str">
        <f>IFERROR((_xlfn.XLOOKUP(TablaSTOCKINV[[#This Row],[SKU]],TablaSALIDA[SKU],TablaSALIDA[FECHA],,0,-1))," " )</f>
        <v xml:space="preserve"> </v>
      </c>
    </row>
    <row r="1104" spans="1:21" x14ac:dyDescent="0.3">
      <c r="A1104" s="27" t="s">
        <v>1324</v>
      </c>
      <c r="B1104" s="32" t="str">
        <f>_xlfn.XLOOKUP(TablaSTOCKINV[[#This Row],[SKU]],TablaINVENTARIO[SKU],TablaINVENTARIO[DESCRIPCION])</f>
        <v>MÓDULOS PLC 1769-ASCII</v>
      </c>
      <c r="C1104" s="32" t="str">
        <f>_xlfn.XLOOKUP(TablaSTOCKINV[[#This Row],[SKU]],TablaINVENTARIO[SKU],TablaINVENTARIO[MARCA])</f>
        <v>ALLEN-BRADLEY</v>
      </c>
      <c r="D1104" s="33" t="str">
        <f>_xlfn.XLOOKUP(TablaSTOCKINV[[#This Row],[SKU]],TablaINVENTARIO[SKU],TablaINVENTARIO[CATEGORIA])</f>
        <v>FABRICACION</v>
      </c>
      <c r="E1104" s="33" t="str">
        <f>_xlfn.XLOOKUP(TablaSTOCKINV[[#This Row],[SKU]],TablaINVENTARIO[SKU],TablaINVENTARIO[SUBCATEGORIA])</f>
        <v>ARTEFACTO ELETRÓNICO</v>
      </c>
      <c r="F1104" s="33" t="str">
        <f>_xlfn.XLOOKUP(TablaSTOCKINV[[#This Row],[SKU]],TablaINVENTARIO[SKU],TablaINVENTARIO[ESTADO])</f>
        <v>NUEVO</v>
      </c>
      <c r="G1104" s="33" t="str">
        <f>_xlfn.XLOOKUP(TablaSTOCKINV[[#This Row],[SKU]],TablaINVENTARIO[SKU],TablaINVENTARIO[MEDIDA])</f>
        <v>UND</v>
      </c>
      <c r="H1104" s="33" t="str">
        <f>_xlfn.XLOOKUP(TablaSTOCKINV[[#This Row],[SKU]],TablaINVENTARIO[SKU],TablaINVENTARIO[SERIAL])</f>
        <v>SV20S5RD</v>
      </c>
      <c r="I1104" s="34">
        <f>_xlfn.XLOOKUP(TablaSTOCKINV[[#This Row],[SKU]],TablaINVENTARIO[SKU],TablaINVENTARIO[ALMACEN])</f>
        <v>0</v>
      </c>
      <c r="J1104" s="34" t="str">
        <f>_xlfn.XLOOKUP(TablaSTOCKINV[[#This Row],[SKU]],TablaINVENTARIO[SKU],TablaINVENTARIO[UBICACION])</f>
        <v>3C</v>
      </c>
      <c r="K1104" s="34" t="str">
        <f>_xlfn.XLOOKUP(TablaSTOCKINV[[#This Row],[SKU]],TablaINVENTARIO[SKU],TablaINVENTARIO[DPTO RESPONSABLE])</f>
        <v>OPERACIONES</v>
      </c>
      <c r="L1104" s="53">
        <f>_xlfn.XLOOKUP(TablaSTOCKINV[[#This Row],[SKU]],TablaINVENTARIO[SKU],TablaINVENTARIO[RANGO MIN])</f>
        <v>0</v>
      </c>
      <c r="M1104" s="34" cm="1">
        <f t="array" ref="M1104">_xlfn.IFS(TablaSTOCKINV[[#This Row],[CANT. TOTAL]]&lt;=0,1,TablaSTOCKINV[[#This Row],[CANT. TOTAL]]&lt;=TablaSTOCKINV[[#This Row],[MIN]],2,TablaSTOCKINV[[#This Row],[CANT. TOTAL]]&gt;TablaSTOCKINV[[#This Row],[MIN]],3)</f>
        <v>3</v>
      </c>
      <c r="N1104" s="34">
        <f>TablaSTOCKINV[[#This Row],[ENTRADAS]]-TablaSTOCKINV[[#This Row],[SALIDAS]]</f>
        <v>5</v>
      </c>
      <c r="O1104" s="35">
        <f>SUMIFS(TablaENTRADA[CANT],TablaENTRADA[SKU],TablaSTOCKINV[[#This Row],[SKU]])</f>
        <v>5</v>
      </c>
      <c r="P1104" s="35">
        <f>SUMIFS(TablaSALIDA[CANT],TablaSALIDA[SKU],TablaSTOCKINV[[#This Row],[SKU]])</f>
        <v>0</v>
      </c>
      <c r="Q1104" s="34">
        <f>_xlfn.XLOOKUP(TablaSTOCKINV[[#This Row],[SKU]],TablaINVENTARIO[SKU],TablaINVENTARIO[PRECIO])</f>
        <v>0</v>
      </c>
      <c r="R1104" s="34">
        <f>TablaSTOCKINV[[#This Row],[P.UNITARIO]]*TablaSTOCKINV[[#This Row],[CANT. TOTAL]]</f>
        <v>0</v>
      </c>
      <c r="S1104" s="44">
        <f>_xlfn.XLOOKUP(TablaSTOCKINV[[#This Row],[SKU]],TablaINVENTARIO[SKU],TablaINVENTARIO[FECHA INGRESO])</f>
        <v>46023</v>
      </c>
      <c r="T1104" s="44">
        <f>_xlfn.XLOOKUP(TablaSTOCKINV[[#This Row],[SKU]],TablaENTRADA[SKU],TablaENTRADA[FECHA],,0,-1)</f>
        <v>46023</v>
      </c>
      <c r="U1104" s="46" t="str">
        <f>IFERROR((_xlfn.XLOOKUP(TablaSTOCKINV[[#This Row],[SKU]],TablaSALIDA[SKU],TablaSALIDA[FECHA],,0,-1))," " )</f>
        <v xml:space="preserve"> </v>
      </c>
    </row>
    <row r="1105" spans="1:21" x14ac:dyDescent="0.3">
      <c r="A1105" s="27" t="s">
        <v>1328</v>
      </c>
      <c r="B1105" s="32" t="str">
        <f>_xlfn.XLOOKUP(TablaSTOCKINV[[#This Row],[SKU]],TablaINVENTARIO[SKU],TablaINVENTARIO[DESCRIPCION])</f>
        <v>CONVERTIDOR/RECEPTOR ADA-LVDS-RX-TWIN</v>
      </c>
      <c r="C1105" s="32" t="str">
        <f>_xlfn.XLOOKUP(TablaSTOCKINV[[#This Row],[SKU]],TablaINVENTARIO[SKU],TablaINVENTARIO[MARCA])</f>
        <v>ES&amp;S SOLUTIONS</v>
      </c>
      <c r="D1105" s="33" t="str">
        <f>_xlfn.XLOOKUP(TablaSTOCKINV[[#This Row],[SKU]],TablaINVENTARIO[SKU],TablaINVENTARIO[CATEGORIA])</f>
        <v>FABRICACION</v>
      </c>
      <c r="E1105" s="33" t="str">
        <f>_xlfn.XLOOKUP(TablaSTOCKINV[[#This Row],[SKU]],TablaINVENTARIO[SKU],TablaINVENTARIO[SUBCATEGORIA])</f>
        <v>ARTEFACTO ELETRÓNICO</v>
      </c>
      <c r="F1105" s="33" t="str">
        <f>_xlfn.XLOOKUP(TablaSTOCKINV[[#This Row],[SKU]],TablaINVENTARIO[SKU],TablaINVENTARIO[ESTADO])</f>
        <v>NUEVO</v>
      </c>
      <c r="G1105" s="33" t="str">
        <f>_xlfn.XLOOKUP(TablaSTOCKINV[[#This Row],[SKU]],TablaINVENTARIO[SKU],TablaINVENTARIO[MEDIDA])</f>
        <v>UND</v>
      </c>
      <c r="H1105" s="33" t="str">
        <f>_xlfn.XLOOKUP(TablaSTOCKINV[[#This Row],[SKU]],TablaINVENTARIO[SKU],TablaINVENTARIO[SERIAL])</f>
        <v>N/A</v>
      </c>
      <c r="I1105" s="34">
        <f>_xlfn.XLOOKUP(TablaSTOCKINV[[#This Row],[SKU]],TablaINVENTARIO[SKU],TablaINVENTARIO[ALMACEN])</f>
        <v>0</v>
      </c>
      <c r="J1105" s="34" t="str">
        <f>_xlfn.XLOOKUP(TablaSTOCKINV[[#This Row],[SKU]],TablaINVENTARIO[SKU],TablaINVENTARIO[UBICACION])</f>
        <v>3C</v>
      </c>
      <c r="K1105" s="34" t="str">
        <f>_xlfn.XLOOKUP(TablaSTOCKINV[[#This Row],[SKU]],TablaINVENTARIO[SKU],TablaINVENTARIO[DPTO RESPONSABLE])</f>
        <v>OPERACIONES</v>
      </c>
      <c r="L1105" s="53">
        <f>_xlfn.XLOOKUP(TablaSTOCKINV[[#This Row],[SKU]],TablaINVENTARIO[SKU],TablaINVENTARIO[RANGO MIN])</f>
        <v>0</v>
      </c>
      <c r="M1105" s="34" cm="1">
        <f t="array" ref="M1105">_xlfn.IFS(TablaSTOCKINV[[#This Row],[CANT. TOTAL]]&lt;=0,1,TablaSTOCKINV[[#This Row],[CANT. TOTAL]]&lt;=TablaSTOCKINV[[#This Row],[MIN]],2,TablaSTOCKINV[[#This Row],[CANT. TOTAL]]&gt;TablaSTOCKINV[[#This Row],[MIN]],3)</f>
        <v>3</v>
      </c>
      <c r="N1105" s="34">
        <f>TablaSTOCKINV[[#This Row],[ENTRADAS]]-TablaSTOCKINV[[#This Row],[SALIDAS]]</f>
        <v>4</v>
      </c>
      <c r="O1105" s="35">
        <f>SUMIFS(TablaENTRADA[CANT],TablaENTRADA[SKU],TablaSTOCKINV[[#This Row],[SKU]])</f>
        <v>4</v>
      </c>
      <c r="P1105" s="35">
        <f>SUMIFS(TablaSALIDA[CANT],TablaSALIDA[SKU],TablaSTOCKINV[[#This Row],[SKU]])</f>
        <v>0</v>
      </c>
      <c r="Q1105" s="34">
        <f>_xlfn.XLOOKUP(TablaSTOCKINV[[#This Row],[SKU]],TablaINVENTARIO[SKU],TablaINVENTARIO[PRECIO])</f>
        <v>0</v>
      </c>
      <c r="R1105" s="34">
        <f>TablaSTOCKINV[[#This Row],[P.UNITARIO]]*TablaSTOCKINV[[#This Row],[CANT. TOTAL]]</f>
        <v>0</v>
      </c>
      <c r="S1105" s="44">
        <f>_xlfn.XLOOKUP(TablaSTOCKINV[[#This Row],[SKU]],TablaINVENTARIO[SKU],TablaINVENTARIO[FECHA INGRESO])</f>
        <v>46023</v>
      </c>
      <c r="T1105" s="44">
        <f>_xlfn.XLOOKUP(TablaSTOCKINV[[#This Row],[SKU]],TablaENTRADA[SKU],TablaENTRADA[FECHA],,0,-1)</f>
        <v>46023</v>
      </c>
      <c r="U1105" s="46" t="str">
        <f>IFERROR((_xlfn.XLOOKUP(TablaSTOCKINV[[#This Row],[SKU]],TablaSALIDA[SKU],TablaSALIDA[FECHA],,0,-1))," " )</f>
        <v xml:space="preserve"> </v>
      </c>
    </row>
    <row r="1106" spans="1:21" x14ac:dyDescent="0.3">
      <c r="A1106" s="27" t="s">
        <v>1331</v>
      </c>
      <c r="B1106" s="32" t="str">
        <f>_xlfn.XLOOKUP(TablaSTOCKINV[[#This Row],[SKU]],TablaINVENTARIO[SKU],TablaINVENTARIO[DESCRIPCION])</f>
        <v>COMPACT FLASH</v>
      </c>
      <c r="C1106" s="32" t="str">
        <f>_xlfn.XLOOKUP(TablaSTOCKINV[[#This Row],[SKU]],TablaINVENTARIO[SKU],TablaINVENTARIO[MARCA])</f>
        <v>N/A</v>
      </c>
      <c r="D1106" s="33" t="str">
        <f>_xlfn.XLOOKUP(TablaSTOCKINV[[#This Row],[SKU]],TablaINVENTARIO[SKU],TablaINVENTARIO[CATEGORIA])</f>
        <v>FABRICACION</v>
      </c>
      <c r="E1106" s="33" t="str">
        <f>_xlfn.XLOOKUP(TablaSTOCKINV[[#This Row],[SKU]],TablaINVENTARIO[SKU],TablaINVENTARIO[SUBCATEGORIA])</f>
        <v>ARTEFACTO ELETRÓNICO</v>
      </c>
      <c r="F1106" s="33" t="str">
        <f>_xlfn.XLOOKUP(TablaSTOCKINV[[#This Row],[SKU]],TablaINVENTARIO[SKU],TablaINVENTARIO[ESTADO])</f>
        <v>NUEVO</v>
      </c>
      <c r="G1106" s="33" t="str">
        <f>_xlfn.XLOOKUP(TablaSTOCKINV[[#This Row],[SKU]],TablaINVENTARIO[SKU],TablaINVENTARIO[MEDIDA])</f>
        <v>UND</v>
      </c>
      <c r="H1106" s="33" t="str">
        <f>_xlfn.XLOOKUP(TablaSTOCKINV[[#This Row],[SKU]],TablaINVENTARIO[SKU],TablaINVENTARIO[SERIAL])</f>
        <v>N/A</v>
      </c>
      <c r="I1106" s="34">
        <f>_xlfn.XLOOKUP(TablaSTOCKINV[[#This Row],[SKU]],TablaINVENTARIO[SKU],TablaINVENTARIO[ALMACEN])</f>
        <v>0</v>
      </c>
      <c r="J1106" s="34" t="str">
        <f>_xlfn.XLOOKUP(TablaSTOCKINV[[#This Row],[SKU]],TablaINVENTARIO[SKU],TablaINVENTARIO[UBICACION])</f>
        <v>3C</v>
      </c>
      <c r="K1106" s="34" t="str">
        <f>_xlfn.XLOOKUP(TablaSTOCKINV[[#This Row],[SKU]],TablaINVENTARIO[SKU],TablaINVENTARIO[DPTO RESPONSABLE])</f>
        <v>OPERACIONES</v>
      </c>
      <c r="L1106" s="53">
        <f>_xlfn.XLOOKUP(TablaSTOCKINV[[#This Row],[SKU]],TablaINVENTARIO[SKU],TablaINVENTARIO[RANGO MIN])</f>
        <v>0</v>
      </c>
      <c r="M1106" s="34" cm="1">
        <f t="array" ref="M1106">_xlfn.IFS(TablaSTOCKINV[[#This Row],[CANT. TOTAL]]&lt;=0,1,TablaSTOCKINV[[#This Row],[CANT. TOTAL]]&lt;=TablaSTOCKINV[[#This Row],[MIN]],2,TablaSTOCKINV[[#This Row],[CANT. TOTAL]]&gt;TablaSTOCKINV[[#This Row],[MIN]],3)</f>
        <v>3</v>
      </c>
      <c r="N1106" s="34">
        <f>TablaSTOCKINV[[#This Row],[ENTRADAS]]-TablaSTOCKINV[[#This Row],[SALIDAS]]</f>
        <v>24</v>
      </c>
      <c r="O1106" s="35">
        <f>SUMIFS(TablaENTRADA[CANT],TablaENTRADA[SKU],TablaSTOCKINV[[#This Row],[SKU]])</f>
        <v>24</v>
      </c>
      <c r="P1106" s="35">
        <f>SUMIFS(TablaSALIDA[CANT],TablaSALIDA[SKU],TablaSTOCKINV[[#This Row],[SKU]])</f>
        <v>0</v>
      </c>
      <c r="Q1106" s="34">
        <f>_xlfn.XLOOKUP(TablaSTOCKINV[[#This Row],[SKU]],TablaINVENTARIO[SKU],TablaINVENTARIO[PRECIO])</f>
        <v>0</v>
      </c>
      <c r="R1106" s="34">
        <f>TablaSTOCKINV[[#This Row],[P.UNITARIO]]*TablaSTOCKINV[[#This Row],[CANT. TOTAL]]</f>
        <v>0</v>
      </c>
      <c r="S1106" s="44">
        <f>_xlfn.XLOOKUP(TablaSTOCKINV[[#This Row],[SKU]],TablaINVENTARIO[SKU],TablaINVENTARIO[FECHA INGRESO])</f>
        <v>46023</v>
      </c>
      <c r="T1106" s="44">
        <f>_xlfn.XLOOKUP(TablaSTOCKINV[[#This Row],[SKU]],TablaENTRADA[SKU],TablaENTRADA[FECHA],,0,-1)</f>
        <v>46023</v>
      </c>
      <c r="U1106" s="46" t="str">
        <f>IFERROR((_xlfn.XLOOKUP(TablaSTOCKINV[[#This Row],[SKU]],TablaSALIDA[SKU],TablaSALIDA[FECHA],,0,-1))," " )</f>
        <v xml:space="preserve"> </v>
      </c>
    </row>
    <row r="1107" spans="1:21" x14ac:dyDescent="0.3">
      <c r="A1107" s="27" t="s">
        <v>1333</v>
      </c>
      <c r="B1107" s="32" t="str">
        <f>_xlfn.XLOOKUP(TablaSTOCKINV[[#This Row],[SKU]],TablaINVENTARIO[SKU],TablaINVENTARIO[DESCRIPCION])</f>
        <v>CONTROLADOR DE MOTOR DC DMC-100A</v>
      </c>
      <c r="C1107" s="32" t="str">
        <f>_xlfn.XLOOKUP(TablaSTOCKINV[[#This Row],[SKU]],TablaINVENTARIO[SKU],TablaINVENTARIO[MARCA])</f>
        <v>PEAKTRONICS</v>
      </c>
      <c r="D1107" s="33" t="str">
        <f>_xlfn.XLOOKUP(TablaSTOCKINV[[#This Row],[SKU]],TablaINVENTARIO[SKU],TablaINVENTARIO[CATEGORIA])</f>
        <v>FABRICACION</v>
      </c>
      <c r="E1107" s="33" t="str">
        <f>_xlfn.XLOOKUP(TablaSTOCKINV[[#This Row],[SKU]],TablaINVENTARIO[SKU],TablaINVENTARIO[SUBCATEGORIA])</f>
        <v>ARTEFACTO ELETRÓNICO</v>
      </c>
      <c r="F1107" s="33" t="str">
        <f>_xlfn.XLOOKUP(TablaSTOCKINV[[#This Row],[SKU]],TablaINVENTARIO[SKU],TablaINVENTARIO[ESTADO])</f>
        <v>NUEVO</v>
      </c>
      <c r="G1107" s="33" t="str">
        <f>_xlfn.XLOOKUP(TablaSTOCKINV[[#This Row],[SKU]],TablaINVENTARIO[SKU],TablaINVENTARIO[MEDIDA])</f>
        <v>UND</v>
      </c>
      <c r="H1107" s="33">
        <f>_xlfn.XLOOKUP(TablaSTOCKINV[[#This Row],[SKU]],TablaINVENTARIO[SKU],TablaINVENTARIO[SERIAL])</f>
        <v>3847</v>
      </c>
      <c r="I1107" s="34">
        <f>_xlfn.XLOOKUP(TablaSTOCKINV[[#This Row],[SKU]],TablaINVENTARIO[SKU],TablaINVENTARIO[ALMACEN])</f>
        <v>0</v>
      </c>
      <c r="J1107" s="34" t="str">
        <f>_xlfn.XLOOKUP(TablaSTOCKINV[[#This Row],[SKU]],TablaINVENTARIO[SKU],TablaINVENTARIO[UBICACION])</f>
        <v>3C</v>
      </c>
      <c r="K1107" s="34" t="str">
        <f>_xlfn.XLOOKUP(TablaSTOCKINV[[#This Row],[SKU]],TablaINVENTARIO[SKU],TablaINVENTARIO[DPTO RESPONSABLE])</f>
        <v>OPERACIONES</v>
      </c>
      <c r="L1107" s="53">
        <f>_xlfn.XLOOKUP(TablaSTOCKINV[[#This Row],[SKU]],TablaINVENTARIO[SKU],TablaINVENTARIO[RANGO MIN])</f>
        <v>0</v>
      </c>
      <c r="M1107" s="34" cm="1">
        <f t="array" ref="M1107">_xlfn.IFS(TablaSTOCKINV[[#This Row],[CANT. TOTAL]]&lt;=0,1,TablaSTOCKINV[[#This Row],[CANT. TOTAL]]&lt;=TablaSTOCKINV[[#This Row],[MIN]],2,TablaSTOCKINV[[#This Row],[CANT. TOTAL]]&gt;TablaSTOCKINV[[#This Row],[MIN]],3)</f>
        <v>3</v>
      </c>
      <c r="N1107" s="34">
        <f>TablaSTOCKINV[[#This Row],[ENTRADAS]]-TablaSTOCKINV[[#This Row],[SALIDAS]]</f>
        <v>1</v>
      </c>
      <c r="O1107" s="35">
        <f>SUMIFS(TablaENTRADA[CANT],TablaENTRADA[SKU],TablaSTOCKINV[[#This Row],[SKU]])</f>
        <v>1</v>
      </c>
      <c r="P1107" s="35">
        <f>SUMIFS(TablaSALIDA[CANT],TablaSALIDA[SKU],TablaSTOCKINV[[#This Row],[SKU]])</f>
        <v>0</v>
      </c>
      <c r="Q1107" s="34">
        <f>_xlfn.XLOOKUP(TablaSTOCKINV[[#This Row],[SKU]],TablaINVENTARIO[SKU],TablaINVENTARIO[PRECIO])</f>
        <v>0</v>
      </c>
      <c r="R1107" s="34">
        <f>TablaSTOCKINV[[#This Row],[P.UNITARIO]]*TablaSTOCKINV[[#This Row],[CANT. TOTAL]]</f>
        <v>0</v>
      </c>
      <c r="S1107" s="44">
        <f>_xlfn.XLOOKUP(TablaSTOCKINV[[#This Row],[SKU]],TablaINVENTARIO[SKU],TablaINVENTARIO[FECHA INGRESO])</f>
        <v>46023</v>
      </c>
      <c r="T1107" s="44">
        <f>_xlfn.XLOOKUP(TablaSTOCKINV[[#This Row],[SKU]],TablaENTRADA[SKU],TablaENTRADA[FECHA],,0,-1)</f>
        <v>46023</v>
      </c>
      <c r="U1107" s="46" t="str">
        <f>IFERROR((_xlfn.XLOOKUP(TablaSTOCKINV[[#This Row],[SKU]],TablaSALIDA[SKU],TablaSALIDA[FECHA],,0,-1))," " )</f>
        <v xml:space="preserve"> </v>
      </c>
    </row>
    <row r="1108" spans="1:21" x14ac:dyDescent="0.3">
      <c r="A1108" s="27" t="s">
        <v>1336</v>
      </c>
      <c r="B1108" s="32" t="str">
        <f>_xlfn.XLOOKUP(TablaSTOCKINV[[#This Row],[SKU]],TablaINVENTARIO[SKU],TablaINVENTARIO[DESCRIPCION])</f>
        <v>TARJETA TERMINAL COMUNICACIÓN RS-422 DASM4057</v>
      </c>
      <c r="C1108" s="32" t="str">
        <f>_xlfn.XLOOKUP(TablaSTOCKINV[[#This Row],[SKU]],TablaINVENTARIO[SKU],TablaINVENTARIO[MARCA])</f>
        <v>AGAR CORPORATION</v>
      </c>
      <c r="D1108" s="33" t="str">
        <f>_xlfn.XLOOKUP(TablaSTOCKINV[[#This Row],[SKU]],TablaINVENTARIO[SKU],TablaINVENTARIO[CATEGORIA])</f>
        <v>FABRICACION</v>
      </c>
      <c r="E1108" s="33" t="str">
        <f>_xlfn.XLOOKUP(TablaSTOCKINV[[#This Row],[SKU]],TablaINVENTARIO[SKU],TablaINVENTARIO[SUBCATEGORIA])</f>
        <v>ARTEFACTO ELETRÓNICO</v>
      </c>
      <c r="F1108" s="33" t="str">
        <f>_xlfn.XLOOKUP(TablaSTOCKINV[[#This Row],[SKU]],TablaINVENTARIO[SKU],TablaINVENTARIO[ESTADO])</f>
        <v>NUEVO</v>
      </c>
      <c r="G1108" s="33" t="str">
        <f>_xlfn.XLOOKUP(TablaSTOCKINV[[#This Row],[SKU]],TablaINVENTARIO[SKU],TablaINVENTARIO[MEDIDA])</f>
        <v>UND</v>
      </c>
      <c r="H1108" s="33" t="str">
        <f>_xlfn.XLOOKUP(TablaSTOCKINV[[#This Row],[SKU]],TablaINVENTARIO[SKU],TablaINVENTARIO[SERIAL])</f>
        <v>N/A</v>
      </c>
      <c r="I1108" s="34">
        <f>_xlfn.XLOOKUP(TablaSTOCKINV[[#This Row],[SKU]],TablaINVENTARIO[SKU],TablaINVENTARIO[ALMACEN])</f>
        <v>0</v>
      </c>
      <c r="J1108" s="34" t="str">
        <f>_xlfn.XLOOKUP(TablaSTOCKINV[[#This Row],[SKU]],TablaINVENTARIO[SKU],TablaINVENTARIO[UBICACION])</f>
        <v>3C</v>
      </c>
      <c r="K1108" s="34" t="str">
        <f>_xlfn.XLOOKUP(TablaSTOCKINV[[#This Row],[SKU]],TablaINVENTARIO[SKU],TablaINVENTARIO[DPTO RESPONSABLE])</f>
        <v>OPERACIONES</v>
      </c>
      <c r="L1108" s="53">
        <f>_xlfn.XLOOKUP(TablaSTOCKINV[[#This Row],[SKU]],TablaINVENTARIO[SKU],TablaINVENTARIO[RANGO MIN])</f>
        <v>0</v>
      </c>
      <c r="M1108" s="34" cm="1">
        <f t="array" ref="M1108">_xlfn.IFS(TablaSTOCKINV[[#This Row],[CANT. TOTAL]]&lt;=0,1,TablaSTOCKINV[[#This Row],[CANT. TOTAL]]&lt;=TablaSTOCKINV[[#This Row],[MIN]],2,TablaSTOCKINV[[#This Row],[CANT. TOTAL]]&gt;TablaSTOCKINV[[#This Row],[MIN]],3)</f>
        <v>3</v>
      </c>
      <c r="N1108" s="34">
        <f>TablaSTOCKINV[[#This Row],[ENTRADAS]]-TablaSTOCKINV[[#This Row],[SALIDAS]]</f>
        <v>1</v>
      </c>
      <c r="O1108" s="35">
        <f>SUMIFS(TablaENTRADA[CANT],TablaENTRADA[SKU],TablaSTOCKINV[[#This Row],[SKU]])</f>
        <v>1</v>
      </c>
      <c r="P1108" s="35">
        <f>SUMIFS(TablaSALIDA[CANT],TablaSALIDA[SKU],TablaSTOCKINV[[#This Row],[SKU]])</f>
        <v>0</v>
      </c>
      <c r="Q1108" s="34">
        <f>_xlfn.XLOOKUP(TablaSTOCKINV[[#This Row],[SKU]],TablaINVENTARIO[SKU],TablaINVENTARIO[PRECIO])</f>
        <v>0</v>
      </c>
      <c r="R1108" s="34">
        <f>TablaSTOCKINV[[#This Row],[P.UNITARIO]]*TablaSTOCKINV[[#This Row],[CANT. TOTAL]]</f>
        <v>0</v>
      </c>
      <c r="S1108" s="44">
        <f>_xlfn.XLOOKUP(TablaSTOCKINV[[#This Row],[SKU]],TablaINVENTARIO[SKU],TablaINVENTARIO[FECHA INGRESO])</f>
        <v>46023</v>
      </c>
      <c r="T1108" s="44">
        <f>_xlfn.XLOOKUP(TablaSTOCKINV[[#This Row],[SKU]],TablaENTRADA[SKU],TablaENTRADA[FECHA],,0,-1)</f>
        <v>46023</v>
      </c>
      <c r="U1108" s="46" t="str">
        <f>IFERROR((_xlfn.XLOOKUP(TablaSTOCKINV[[#This Row],[SKU]],TablaSALIDA[SKU],TablaSALIDA[FECHA],,0,-1))," " )</f>
        <v xml:space="preserve"> </v>
      </c>
    </row>
    <row r="1109" spans="1:21" x14ac:dyDescent="0.3">
      <c r="A1109" s="27" t="s">
        <v>1338</v>
      </c>
      <c r="B1109" s="32" t="str">
        <f>_xlfn.XLOOKUP(TablaSTOCKINV[[#This Row],[SKU]],TablaINVENTARIO[SKU],TablaINVENTARIO[DESCRIPCION])</f>
        <v>INTERFAZ DE FLOPPY Y DISCO DURO PN: 130-0051</v>
      </c>
      <c r="C1109" s="32" t="str">
        <f>_xlfn.XLOOKUP(TablaSTOCKINV[[#This Row],[SKU]],TablaINVENTARIO[SKU],TablaINVENTARIO[MARCA])</f>
        <v>LAVERSAB INC.</v>
      </c>
      <c r="D1109" s="33" t="str">
        <f>_xlfn.XLOOKUP(TablaSTOCKINV[[#This Row],[SKU]],TablaINVENTARIO[SKU],TablaINVENTARIO[CATEGORIA])</f>
        <v>FABRICACION</v>
      </c>
      <c r="E1109" s="33" t="str">
        <f>_xlfn.XLOOKUP(TablaSTOCKINV[[#This Row],[SKU]],TablaINVENTARIO[SKU],TablaINVENTARIO[SUBCATEGORIA])</f>
        <v>ARTEFACTO ELETRÓNICO</v>
      </c>
      <c r="F1109" s="33" t="str">
        <f>_xlfn.XLOOKUP(TablaSTOCKINV[[#This Row],[SKU]],TablaINVENTARIO[SKU],TablaINVENTARIO[ESTADO])</f>
        <v>NUEVO</v>
      </c>
      <c r="G1109" s="33" t="str">
        <f>_xlfn.XLOOKUP(TablaSTOCKINV[[#This Row],[SKU]],TablaINVENTARIO[SKU],TablaINVENTARIO[MEDIDA])</f>
        <v>UND</v>
      </c>
      <c r="H1109" s="33" t="str">
        <f>_xlfn.XLOOKUP(TablaSTOCKINV[[#This Row],[SKU]],TablaINVENTARIO[SKU],TablaINVENTARIO[SERIAL])</f>
        <v>N/A</v>
      </c>
      <c r="I1109" s="34">
        <f>_xlfn.XLOOKUP(TablaSTOCKINV[[#This Row],[SKU]],TablaINVENTARIO[SKU],TablaINVENTARIO[ALMACEN])</f>
        <v>0</v>
      </c>
      <c r="J1109" s="34" t="str">
        <f>_xlfn.XLOOKUP(TablaSTOCKINV[[#This Row],[SKU]],TablaINVENTARIO[SKU],TablaINVENTARIO[UBICACION])</f>
        <v>3C</v>
      </c>
      <c r="K1109" s="34" t="str">
        <f>_xlfn.XLOOKUP(TablaSTOCKINV[[#This Row],[SKU]],TablaINVENTARIO[SKU],TablaINVENTARIO[DPTO RESPONSABLE])</f>
        <v>OPERACIONES</v>
      </c>
      <c r="L1109" s="53">
        <f>_xlfn.XLOOKUP(TablaSTOCKINV[[#This Row],[SKU]],TablaINVENTARIO[SKU],TablaINVENTARIO[RANGO MIN])</f>
        <v>0</v>
      </c>
      <c r="M1109" s="34" cm="1">
        <f t="array" ref="M1109">_xlfn.IFS(TablaSTOCKINV[[#This Row],[CANT. TOTAL]]&lt;=0,1,TablaSTOCKINV[[#This Row],[CANT. TOTAL]]&lt;=TablaSTOCKINV[[#This Row],[MIN]],2,TablaSTOCKINV[[#This Row],[CANT. TOTAL]]&gt;TablaSTOCKINV[[#This Row],[MIN]],3)</f>
        <v>3</v>
      </c>
      <c r="N1109" s="34">
        <f>TablaSTOCKINV[[#This Row],[ENTRADAS]]-TablaSTOCKINV[[#This Row],[SALIDAS]]</f>
        <v>2</v>
      </c>
      <c r="O1109" s="35">
        <f>SUMIFS(TablaENTRADA[CANT],TablaENTRADA[SKU],TablaSTOCKINV[[#This Row],[SKU]])</f>
        <v>2</v>
      </c>
      <c r="P1109" s="35">
        <f>SUMIFS(TablaSALIDA[CANT],TablaSALIDA[SKU],TablaSTOCKINV[[#This Row],[SKU]])</f>
        <v>0</v>
      </c>
      <c r="Q1109" s="34">
        <f>_xlfn.XLOOKUP(TablaSTOCKINV[[#This Row],[SKU]],TablaINVENTARIO[SKU],TablaINVENTARIO[PRECIO])</f>
        <v>0</v>
      </c>
      <c r="R1109" s="34">
        <f>TablaSTOCKINV[[#This Row],[P.UNITARIO]]*TablaSTOCKINV[[#This Row],[CANT. TOTAL]]</f>
        <v>0</v>
      </c>
      <c r="S1109" s="44">
        <f>_xlfn.XLOOKUP(TablaSTOCKINV[[#This Row],[SKU]],TablaINVENTARIO[SKU],TablaINVENTARIO[FECHA INGRESO])</f>
        <v>46023</v>
      </c>
      <c r="T1109" s="44">
        <f>_xlfn.XLOOKUP(TablaSTOCKINV[[#This Row],[SKU]],TablaENTRADA[SKU],TablaENTRADA[FECHA],,0,-1)</f>
        <v>46023</v>
      </c>
      <c r="U1109" s="46" t="str">
        <f>IFERROR((_xlfn.XLOOKUP(TablaSTOCKINV[[#This Row],[SKU]],TablaSALIDA[SKU],TablaSALIDA[FECHA],,0,-1))," " )</f>
        <v xml:space="preserve"> </v>
      </c>
    </row>
    <row r="1110" spans="1:21" x14ac:dyDescent="0.3">
      <c r="A1110" s="27" t="s">
        <v>1341</v>
      </c>
      <c r="B1110" s="32" t="str">
        <f>_xlfn.XLOOKUP(TablaSTOCKINV[[#This Row],[SKU]],TablaINVENTARIO[SKU],TablaINVENTARIO[DESCRIPCION])</f>
        <v>TARJETA MPC555</v>
      </c>
      <c r="C1110" s="32" t="str">
        <f>_xlfn.XLOOKUP(TablaSTOCKINV[[#This Row],[SKU]],TablaINVENTARIO[SKU],TablaINVENTARIO[MARCA])</f>
        <v>N/A</v>
      </c>
      <c r="D1110" s="33" t="str">
        <f>_xlfn.XLOOKUP(TablaSTOCKINV[[#This Row],[SKU]],TablaINVENTARIO[SKU],TablaINVENTARIO[CATEGORIA])</f>
        <v>FABRICACION</v>
      </c>
      <c r="E1110" s="33" t="str">
        <f>_xlfn.XLOOKUP(TablaSTOCKINV[[#This Row],[SKU]],TablaINVENTARIO[SKU],TablaINVENTARIO[SUBCATEGORIA])</f>
        <v>ARTEFACTO ELETRÓNICO</v>
      </c>
      <c r="F1110" s="33" t="str">
        <f>_xlfn.XLOOKUP(TablaSTOCKINV[[#This Row],[SKU]],TablaINVENTARIO[SKU],TablaINVENTARIO[ESTADO])</f>
        <v>NUEVO</v>
      </c>
      <c r="G1110" s="33" t="str">
        <f>_xlfn.XLOOKUP(TablaSTOCKINV[[#This Row],[SKU]],TablaINVENTARIO[SKU],TablaINVENTARIO[MEDIDA])</f>
        <v>UND</v>
      </c>
      <c r="H1110" s="33" t="str">
        <f>_xlfn.XLOOKUP(TablaSTOCKINV[[#This Row],[SKU]],TablaINVENTARIO[SKU],TablaINVENTARIO[SERIAL])</f>
        <v>N/A</v>
      </c>
      <c r="I1110" s="34">
        <f>_xlfn.XLOOKUP(TablaSTOCKINV[[#This Row],[SKU]],TablaINVENTARIO[SKU],TablaINVENTARIO[ALMACEN])</f>
        <v>0</v>
      </c>
      <c r="J1110" s="34" t="str">
        <f>_xlfn.XLOOKUP(TablaSTOCKINV[[#This Row],[SKU]],TablaINVENTARIO[SKU],TablaINVENTARIO[UBICACION])</f>
        <v>3C</v>
      </c>
      <c r="K1110" s="34" t="str">
        <f>_xlfn.XLOOKUP(TablaSTOCKINV[[#This Row],[SKU]],TablaINVENTARIO[SKU],TablaINVENTARIO[DPTO RESPONSABLE])</f>
        <v>OPERACIONES</v>
      </c>
      <c r="L1110" s="53">
        <f>_xlfn.XLOOKUP(TablaSTOCKINV[[#This Row],[SKU]],TablaINVENTARIO[SKU],TablaINVENTARIO[RANGO MIN])</f>
        <v>0</v>
      </c>
      <c r="M1110" s="34" cm="1">
        <f t="array" ref="M1110">_xlfn.IFS(TablaSTOCKINV[[#This Row],[CANT. TOTAL]]&lt;=0,1,TablaSTOCKINV[[#This Row],[CANT. TOTAL]]&lt;=TablaSTOCKINV[[#This Row],[MIN]],2,TablaSTOCKINV[[#This Row],[CANT. TOTAL]]&gt;TablaSTOCKINV[[#This Row],[MIN]],3)</f>
        <v>3</v>
      </c>
      <c r="N1110" s="34">
        <f>TablaSTOCKINV[[#This Row],[ENTRADAS]]-TablaSTOCKINV[[#This Row],[SALIDAS]]</f>
        <v>1</v>
      </c>
      <c r="O1110" s="35">
        <f>SUMIFS(TablaENTRADA[CANT],TablaENTRADA[SKU],TablaSTOCKINV[[#This Row],[SKU]])</f>
        <v>1</v>
      </c>
      <c r="P1110" s="35">
        <f>SUMIFS(TablaSALIDA[CANT],TablaSALIDA[SKU],TablaSTOCKINV[[#This Row],[SKU]])</f>
        <v>0</v>
      </c>
      <c r="Q1110" s="34">
        <f>_xlfn.XLOOKUP(TablaSTOCKINV[[#This Row],[SKU]],TablaINVENTARIO[SKU],TablaINVENTARIO[PRECIO])</f>
        <v>0</v>
      </c>
      <c r="R1110" s="34">
        <f>TablaSTOCKINV[[#This Row],[P.UNITARIO]]*TablaSTOCKINV[[#This Row],[CANT. TOTAL]]</f>
        <v>0</v>
      </c>
      <c r="S1110" s="44">
        <f>_xlfn.XLOOKUP(TablaSTOCKINV[[#This Row],[SKU]],TablaINVENTARIO[SKU],TablaINVENTARIO[FECHA INGRESO])</f>
        <v>46023</v>
      </c>
      <c r="T1110" s="44">
        <f>_xlfn.XLOOKUP(TablaSTOCKINV[[#This Row],[SKU]],TablaENTRADA[SKU],TablaENTRADA[FECHA],,0,-1)</f>
        <v>46023</v>
      </c>
      <c r="U1110" s="46" t="str">
        <f>IFERROR((_xlfn.XLOOKUP(TablaSTOCKINV[[#This Row],[SKU]],TablaSALIDA[SKU],TablaSALIDA[FECHA],,0,-1))," " )</f>
        <v xml:space="preserve"> </v>
      </c>
    </row>
    <row r="1111" spans="1:21" x14ac:dyDescent="0.3">
      <c r="A1111" s="27" t="s">
        <v>1343</v>
      </c>
      <c r="B1111" s="32" t="str">
        <f>_xlfn.XLOOKUP(TablaSTOCKINV[[#This Row],[SKU]],TablaINVENTARIO[SKU],TablaINVENTARIO[DESCRIPCION])</f>
        <v>TARJETAS RAM</v>
      </c>
      <c r="C1111" s="32" t="str">
        <f>_xlfn.XLOOKUP(TablaSTOCKINV[[#This Row],[SKU]],TablaINVENTARIO[SKU],TablaINVENTARIO[MARCA])</f>
        <v>N/A</v>
      </c>
      <c r="D1111" s="33" t="str">
        <f>_xlfn.XLOOKUP(TablaSTOCKINV[[#This Row],[SKU]],TablaINVENTARIO[SKU],TablaINVENTARIO[CATEGORIA])</f>
        <v>FABRICACION</v>
      </c>
      <c r="E1111" s="33" t="str">
        <f>_xlfn.XLOOKUP(TablaSTOCKINV[[#This Row],[SKU]],TablaINVENTARIO[SKU],TablaINVENTARIO[SUBCATEGORIA])</f>
        <v>ARTEFACTO ELETRÓNICO</v>
      </c>
      <c r="F1111" s="33" t="str">
        <f>_xlfn.XLOOKUP(TablaSTOCKINV[[#This Row],[SKU]],TablaINVENTARIO[SKU],TablaINVENTARIO[ESTADO])</f>
        <v>NUEVO</v>
      </c>
      <c r="G1111" s="33" t="str">
        <f>_xlfn.XLOOKUP(TablaSTOCKINV[[#This Row],[SKU]],TablaINVENTARIO[SKU],TablaINVENTARIO[MEDIDA])</f>
        <v>UND</v>
      </c>
      <c r="H1111" s="33" t="str">
        <f>_xlfn.XLOOKUP(TablaSTOCKINV[[#This Row],[SKU]],TablaINVENTARIO[SKU],TablaINVENTARIO[SERIAL])</f>
        <v>N/A</v>
      </c>
      <c r="I1111" s="34">
        <f>_xlfn.XLOOKUP(TablaSTOCKINV[[#This Row],[SKU]],TablaINVENTARIO[SKU],TablaINVENTARIO[ALMACEN])</f>
        <v>0</v>
      </c>
      <c r="J1111" s="34" t="str">
        <f>_xlfn.XLOOKUP(TablaSTOCKINV[[#This Row],[SKU]],TablaINVENTARIO[SKU],TablaINVENTARIO[UBICACION])</f>
        <v>3C</v>
      </c>
      <c r="K1111" s="34" t="str">
        <f>_xlfn.XLOOKUP(TablaSTOCKINV[[#This Row],[SKU]],TablaINVENTARIO[SKU],TablaINVENTARIO[DPTO RESPONSABLE])</f>
        <v>OPERACIONES</v>
      </c>
      <c r="L1111" s="53">
        <f>_xlfn.XLOOKUP(TablaSTOCKINV[[#This Row],[SKU]],TablaINVENTARIO[SKU],TablaINVENTARIO[RANGO MIN])</f>
        <v>0</v>
      </c>
      <c r="M1111" s="34" cm="1">
        <f t="array" ref="M1111">_xlfn.IFS(TablaSTOCKINV[[#This Row],[CANT. TOTAL]]&lt;=0,1,TablaSTOCKINV[[#This Row],[CANT. TOTAL]]&lt;=TablaSTOCKINV[[#This Row],[MIN]],2,TablaSTOCKINV[[#This Row],[CANT. TOTAL]]&gt;TablaSTOCKINV[[#This Row],[MIN]],3)</f>
        <v>3</v>
      </c>
      <c r="N1111" s="34">
        <f>TablaSTOCKINV[[#This Row],[ENTRADAS]]-TablaSTOCKINV[[#This Row],[SALIDAS]]</f>
        <v>9</v>
      </c>
      <c r="O1111" s="35">
        <f>SUMIFS(TablaENTRADA[CANT],TablaENTRADA[SKU],TablaSTOCKINV[[#This Row],[SKU]])</f>
        <v>9</v>
      </c>
      <c r="P1111" s="35">
        <f>SUMIFS(TablaSALIDA[CANT],TablaSALIDA[SKU],TablaSTOCKINV[[#This Row],[SKU]])</f>
        <v>0</v>
      </c>
      <c r="Q1111" s="34">
        <f>_xlfn.XLOOKUP(TablaSTOCKINV[[#This Row],[SKU]],TablaINVENTARIO[SKU],TablaINVENTARIO[PRECIO])</f>
        <v>0</v>
      </c>
      <c r="R1111" s="34">
        <f>TablaSTOCKINV[[#This Row],[P.UNITARIO]]*TablaSTOCKINV[[#This Row],[CANT. TOTAL]]</f>
        <v>0</v>
      </c>
      <c r="S1111" s="44">
        <f>_xlfn.XLOOKUP(TablaSTOCKINV[[#This Row],[SKU]],TablaINVENTARIO[SKU],TablaINVENTARIO[FECHA INGRESO])</f>
        <v>46023</v>
      </c>
      <c r="T1111" s="44">
        <f>_xlfn.XLOOKUP(TablaSTOCKINV[[#This Row],[SKU]],TablaENTRADA[SKU],TablaENTRADA[FECHA],,0,-1)</f>
        <v>46023</v>
      </c>
      <c r="U1111" s="46" t="str">
        <f>IFERROR((_xlfn.XLOOKUP(TablaSTOCKINV[[#This Row],[SKU]],TablaSALIDA[SKU],TablaSALIDA[FECHA],,0,-1))," " )</f>
        <v xml:space="preserve"> </v>
      </c>
    </row>
    <row r="1112" spans="1:21" x14ac:dyDescent="0.3">
      <c r="A1112" s="27" t="s">
        <v>1345</v>
      </c>
      <c r="B1112" s="32" t="str">
        <f>_xlfn.XLOOKUP(TablaSTOCKINV[[#This Row],[SKU]],TablaINVENTARIO[SKU],TablaINVENTARIO[DESCRIPCION])</f>
        <v>TARJETA DE ADQUISICIÓN DE DATOS A/D AD12-8</v>
      </c>
      <c r="C1112" s="32" t="str">
        <f>_xlfn.XLOOKUP(TablaSTOCKINV[[#This Row],[SKU]],TablaINVENTARIO[SKU],TablaINVENTARIO[MARCA])</f>
        <v>C2</v>
      </c>
      <c r="D1112" s="33" t="str">
        <f>_xlfn.XLOOKUP(TablaSTOCKINV[[#This Row],[SKU]],TablaINVENTARIO[SKU],TablaINVENTARIO[CATEGORIA])</f>
        <v>FABRICACION</v>
      </c>
      <c r="E1112" s="33" t="str">
        <f>_xlfn.XLOOKUP(TablaSTOCKINV[[#This Row],[SKU]],TablaINVENTARIO[SKU],TablaINVENTARIO[SUBCATEGORIA])</f>
        <v>ARTEFACTO ELETRÓNICO</v>
      </c>
      <c r="F1112" s="33" t="str">
        <f>_xlfn.XLOOKUP(TablaSTOCKINV[[#This Row],[SKU]],TablaINVENTARIO[SKU],TablaINVENTARIO[ESTADO])</f>
        <v>NUEVO</v>
      </c>
      <c r="G1112" s="33" t="str">
        <f>_xlfn.XLOOKUP(TablaSTOCKINV[[#This Row],[SKU]],TablaINVENTARIO[SKU],TablaINVENTARIO[MEDIDA])</f>
        <v>UND</v>
      </c>
      <c r="H1112" s="33" t="str">
        <f>_xlfn.XLOOKUP(TablaSTOCKINV[[#This Row],[SKU]],TablaINVENTARIO[SKU],TablaINVENTARIO[SERIAL])</f>
        <v>N/A</v>
      </c>
      <c r="I1112" s="34">
        <f>_xlfn.XLOOKUP(TablaSTOCKINV[[#This Row],[SKU]],TablaINVENTARIO[SKU],TablaINVENTARIO[ALMACEN])</f>
        <v>0</v>
      </c>
      <c r="J1112" s="34" t="str">
        <f>_xlfn.XLOOKUP(TablaSTOCKINV[[#This Row],[SKU]],TablaINVENTARIO[SKU],TablaINVENTARIO[UBICACION])</f>
        <v>3C</v>
      </c>
      <c r="K1112" s="34" t="str">
        <f>_xlfn.XLOOKUP(TablaSTOCKINV[[#This Row],[SKU]],TablaINVENTARIO[SKU],TablaINVENTARIO[DPTO RESPONSABLE])</f>
        <v>OPERACIONES</v>
      </c>
      <c r="L1112" s="53">
        <f>_xlfn.XLOOKUP(TablaSTOCKINV[[#This Row],[SKU]],TablaINVENTARIO[SKU],TablaINVENTARIO[RANGO MIN])</f>
        <v>0</v>
      </c>
      <c r="M1112" s="34" cm="1">
        <f t="array" ref="M1112">_xlfn.IFS(TablaSTOCKINV[[#This Row],[CANT. TOTAL]]&lt;=0,1,TablaSTOCKINV[[#This Row],[CANT. TOTAL]]&lt;=TablaSTOCKINV[[#This Row],[MIN]],2,TablaSTOCKINV[[#This Row],[CANT. TOTAL]]&gt;TablaSTOCKINV[[#This Row],[MIN]],3)</f>
        <v>3</v>
      </c>
      <c r="N1112" s="34">
        <f>TablaSTOCKINV[[#This Row],[ENTRADAS]]-TablaSTOCKINV[[#This Row],[SALIDAS]]</f>
        <v>1</v>
      </c>
      <c r="O1112" s="35">
        <f>SUMIFS(TablaENTRADA[CANT],TablaENTRADA[SKU],TablaSTOCKINV[[#This Row],[SKU]])</f>
        <v>1</v>
      </c>
      <c r="P1112" s="35">
        <f>SUMIFS(TablaSALIDA[CANT],TablaSALIDA[SKU],TablaSTOCKINV[[#This Row],[SKU]])</f>
        <v>0</v>
      </c>
      <c r="Q1112" s="34">
        <f>_xlfn.XLOOKUP(TablaSTOCKINV[[#This Row],[SKU]],TablaINVENTARIO[SKU],TablaINVENTARIO[PRECIO])</f>
        <v>0</v>
      </c>
      <c r="R1112" s="34">
        <f>TablaSTOCKINV[[#This Row],[P.UNITARIO]]*TablaSTOCKINV[[#This Row],[CANT. TOTAL]]</f>
        <v>0</v>
      </c>
      <c r="S1112" s="44">
        <f>_xlfn.XLOOKUP(TablaSTOCKINV[[#This Row],[SKU]],TablaINVENTARIO[SKU],TablaINVENTARIO[FECHA INGRESO])</f>
        <v>46023</v>
      </c>
      <c r="T1112" s="44">
        <f>_xlfn.XLOOKUP(TablaSTOCKINV[[#This Row],[SKU]],TablaENTRADA[SKU],TablaENTRADA[FECHA],,0,-1)</f>
        <v>46023</v>
      </c>
      <c r="U1112" s="46" t="str">
        <f>IFERROR((_xlfn.XLOOKUP(TablaSTOCKINV[[#This Row],[SKU]],TablaSALIDA[SKU],TablaSALIDA[FECHA],,0,-1))," " )</f>
        <v xml:space="preserve"> </v>
      </c>
    </row>
    <row r="1113" spans="1:21" x14ac:dyDescent="0.3">
      <c r="A1113" s="27" t="s">
        <v>1348</v>
      </c>
      <c r="B1113" s="32" t="str">
        <f>_xlfn.XLOOKUP(TablaSTOCKINV[[#This Row],[SKU]],TablaINVENTARIO[SKU],TablaINVENTARIO[DESCRIPCION])</f>
        <v>CONVERTIDOR DE INTERFAZ / COMUNICACIÓN</v>
      </c>
      <c r="C1113" s="32" t="str">
        <f>_xlfn.XLOOKUP(TablaSTOCKINV[[#This Row],[SKU]],TablaINVENTARIO[SKU],TablaINVENTARIO[MARCA])</f>
        <v>HEXIN</v>
      </c>
      <c r="D1113" s="33" t="str">
        <f>_xlfn.XLOOKUP(TablaSTOCKINV[[#This Row],[SKU]],TablaINVENTARIO[SKU],TablaINVENTARIO[CATEGORIA])</f>
        <v>FABRICACION</v>
      </c>
      <c r="E1113" s="33" t="str">
        <f>_xlfn.XLOOKUP(TablaSTOCKINV[[#This Row],[SKU]],TablaINVENTARIO[SKU],TablaINVENTARIO[SUBCATEGORIA])</f>
        <v>ARTEFACTO ELETRÓNICO</v>
      </c>
      <c r="F1113" s="33" t="str">
        <f>_xlfn.XLOOKUP(TablaSTOCKINV[[#This Row],[SKU]],TablaINVENTARIO[SKU],TablaINVENTARIO[ESTADO])</f>
        <v>NUEVO</v>
      </c>
      <c r="G1113" s="33" t="str">
        <f>_xlfn.XLOOKUP(TablaSTOCKINV[[#This Row],[SKU]],TablaINVENTARIO[SKU],TablaINVENTARIO[MEDIDA])</f>
        <v>UND</v>
      </c>
      <c r="H1113" s="33" t="str">
        <f>_xlfn.XLOOKUP(TablaSTOCKINV[[#This Row],[SKU]],TablaINVENTARIO[SKU],TablaINVENTARIO[SERIAL])</f>
        <v>N/A</v>
      </c>
      <c r="I1113" s="34">
        <f>_xlfn.XLOOKUP(TablaSTOCKINV[[#This Row],[SKU]],TablaINVENTARIO[SKU],TablaINVENTARIO[ALMACEN])</f>
        <v>0</v>
      </c>
      <c r="J1113" s="34" t="str">
        <f>_xlfn.XLOOKUP(TablaSTOCKINV[[#This Row],[SKU]],TablaINVENTARIO[SKU],TablaINVENTARIO[UBICACION])</f>
        <v>3C</v>
      </c>
      <c r="K1113" s="34" t="str">
        <f>_xlfn.XLOOKUP(TablaSTOCKINV[[#This Row],[SKU]],TablaINVENTARIO[SKU],TablaINVENTARIO[DPTO RESPONSABLE])</f>
        <v>OPERACIONES</v>
      </c>
      <c r="L1113" s="53">
        <f>_xlfn.XLOOKUP(TablaSTOCKINV[[#This Row],[SKU]],TablaINVENTARIO[SKU],TablaINVENTARIO[RANGO MIN])</f>
        <v>0</v>
      </c>
      <c r="M1113" s="34" cm="1">
        <f t="array" ref="M1113">_xlfn.IFS(TablaSTOCKINV[[#This Row],[CANT. TOTAL]]&lt;=0,1,TablaSTOCKINV[[#This Row],[CANT. TOTAL]]&lt;=TablaSTOCKINV[[#This Row],[MIN]],2,TablaSTOCKINV[[#This Row],[CANT. TOTAL]]&gt;TablaSTOCKINV[[#This Row],[MIN]],3)</f>
        <v>3</v>
      </c>
      <c r="N1113" s="34">
        <f>TablaSTOCKINV[[#This Row],[ENTRADAS]]-TablaSTOCKINV[[#This Row],[SALIDAS]]</f>
        <v>1</v>
      </c>
      <c r="O1113" s="35">
        <f>SUMIFS(TablaENTRADA[CANT],TablaENTRADA[SKU],TablaSTOCKINV[[#This Row],[SKU]])</f>
        <v>1</v>
      </c>
      <c r="P1113" s="35">
        <f>SUMIFS(TablaSALIDA[CANT],TablaSALIDA[SKU],TablaSTOCKINV[[#This Row],[SKU]])</f>
        <v>0</v>
      </c>
      <c r="Q1113" s="34">
        <f>_xlfn.XLOOKUP(TablaSTOCKINV[[#This Row],[SKU]],TablaINVENTARIO[SKU],TablaINVENTARIO[PRECIO])</f>
        <v>0</v>
      </c>
      <c r="R1113" s="34">
        <f>TablaSTOCKINV[[#This Row],[P.UNITARIO]]*TablaSTOCKINV[[#This Row],[CANT. TOTAL]]</f>
        <v>0</v>
      </c>
      <c r="S1113" s="44">
        <f>_xlfn.XLOOKUP(TablaSTOCKINV[[#This Row],[SKU]],TablaINVENTARIO[SKU],TablaINVENTARIO[FECHA INGRESO])</f>
        <v>46023</v>
      </c>
      <c r="T1113" s="44">
        <f>_xlfn.XLOOKUP(TablaSTOCKINV[[#This Row],[SKU]],TablaENTRADA[SKU],TablaENTRADA[FECHA],,0,-1)</f>
        <v>46023</v>
      </c>
      <c r="U1113" s="46" t="str">
        <f>IFERROR((_xlfn.XLOOKUP(TablaSTOCKINV[[#This Row],[SKU]],TablaSALIDA[SKU],TablaSALIDA[FECHA],,0,-1))," " )</f>
        <v xml:space="preserve"> </v>
      </c>
    </row>
    <row r="1114" spans="1:21" x14ac:dyDescent="0.3">
      <c r="A1114" s="27" t="s">
        <v>1351</v>
      </c>
      <c r="B1114" s="32" t="str">
        <f>_xlfn.XLOOKUP(TablaSTOCKINV[[#This Row],[SKU]],TablaINVENTARIO[SKU],TablaINVENTARIO[DESCRIPCION])</f>
        <v>BULBO DE TEMPERATURA PT100</v>
      </c>
      <c r="C1114" s="32" t="str">
        <f>_xlfn.XLOOKUP(TablaSTOCKINV[[#This Row],[SKU]],TablaINVENTARIO[SKU],TablaINVENTARIO[MARCA])</f>
        <v>N/A</v>
      </c>
      <c r="D1114" s="33" t="str">
        <f>_xlfn.XLOOKUP(TablaSTOCKINV[[#This Row],[SKU]],TablaINVENTARIO[SKU],TablaINVENTARIO[CATEGORIA])</f>
        <v>FABRICACION</v>
      </c>
      <c r="E1114" s="33" t="str">
        <f>_xlfn.XLOOKUP(TablaSTOCKINV[[#This Row],[SKU]],TablaINVENTARIO[SKU],TablaINVENTARIO[SUBCATEGORIA])</f>
        <v>ARTEFACTO ELETRÓNICO</v>
      </c>
      <c r="F1114" s="33" t="str">
        <f>_xlfn.XLOOKUP(TablaSTOCKINV[[#This Row],[SKU]],TablaINVENTARIO[SKU],TablaINVENTARIO[ESTADO])</f>
        <v>NUEVO</v>
      </c>
      <c r="G1114" s="33" t="str">
        <f>_xlfn.XLOOKUP(TablaSTOCKINV[[#This Row],[SKU]],TablaINVENTARIO[SKU],TablaINVENTARIO[MEDIDA])</f>
        <v>UND</v>
      </c>
      <c r="H1114" s="33" t="str">
        <f>_xlfn.XLOOKUP(TablaSTOCKINV[[#This Row],[SKU]],TablaINVENTARIO[SKU],TablaINVENTARIO[SERIAL])</f>
        <v>N/A</v>
      </c>
      <c r="I1114" s="34">
        <f>_xlfn.XLOOKUP(TablaSTOCKINV[[#This Row],[SKU]],TablaINVENTARIO[SKU],TablaINVENTARIO[ALMACEN])</f>
        <v>0</v>
      </c>
      <c r="J1114" s="34" t="str">
        <f>_xlfn.XLOOKUP(TablaSTOCKINV[[#This Row],[SKU]],TablaINVENTARIO[SKU],TablaINVENTARIO[UBICACION])</f>
        <v>3C</v>
      </c>
      <c r="K1114" s="34" t="str">
        <f>_xlfn.XLOOKUP(TablaSTOCKINV[[#This Row],[SKU]],TablaINVENTARIO[SKU],TablaINVENTARIO[DPTO RESPONSABLE])</f>
        <v>OPERACIONES</v>
      </c>
      <c r="L1114" s="53">
        <f>_xlfn.XLOOKUP(TablaSTOCKINV[[#This Row],[SKU]],TablaINVENTARIO[SKU],TablaINVENTARIO[RANGO MIN])</f>
        <v>0</v>
      </c>
      <c r="M1114" s="34" cm="1">
        <f t="array" ref="M1114">_xlfn.IFS(TablaSTOCKINV[[#This Row],[CANT. TOTAL]]&lt;=0,1,TablaSTOCKINV[[#This Row],[CANT. TOTAL]]&lt;=TablaSTOCKINV[[#This Row],[MIN]],2,TablaSTOCKINV[[#This Row],[CANT. TOTAL]]&gt;TablaSTOCKINV[[#This Row],[MIN]],3)</f>
        <v>3</v>
      </c>
      <c r="N1114" s="34">
        <f>TablaSTOCKINV[[#This Row],[ENTRADAS]]-TablaSTOCKINV[[#This Row],[SALIDAS]]</f>
        <v>2</v>
      </c>
      <c r="O1114" s="35">
        <f>SUMIFS(TablaENTRADA[CANT],TablaENTRADA[SKU],TablaSTOCKINV[[#This Row],[SKU]])</f>
        <v>2</v>
      </c>
      <c r="P1114" s="35">
        <f>SUMIFS(TablaSALIDA[CANT],TablaSALIDA[SKU],TablaSTOCKINV[[#This Row],[SKU]])</f>
        <v>0</v>
      </c>
      <c r="Q1114" s="34">
        <f>_xlfn.XLOOKUP(TablaSTOCKINV[[#This Row],[SKU]],TablaINVENTARIO[SKU],TablaINVENTARIO[PRECIO])</f>
        <v>0</v>
      </c>
      <c r="R1114" s="34">
        <f>TablaSTOCKINV[[#This Row],[P.UNITARIO]]*TablaSTOCKINV[[#This Row],[CANT. TOTAL]]</f>
        <v>0</v>
      </c>
      <c r="S1114" s="44">
        <f>_xlfn.XLOOKUP(TablaSTOCKINV[[#This Row],[SKU]],TablaINVENTARIO[SKU],TablaINVENTARIO[FECHA INGRESO])</f>
        <v>46023</v>
      </c>
      <c r="T1114" s="44">
        <f>_xlfn.XLOOKUP(TablaSTOCKINV[[#This Row],[SKU]],TablaENTRADA[SKU],TablaENTRADA[FECHA],,0,-1)</f>
        <v>46023</v>
      </c>
      <c r="U1114" s="46" t="str">
        <f>IFERROR((_xlfn.XLOOKUP(TablaSTOCKINV[[#This Row],[SKU]],TablaSALIDA[SKU],TablaSALIDA[FECHA],,0,-1))," " )</f>
        <v xml:space="preserve"> </v>
      </c>
    </row>
    <row r="1115" spans="1:21" x14ac:dyDescent="0.3">
      <c r="A1115" s="27" t="s">
        <v>1353</v>
      </c>
      <c r="B1115" s="32" t="str">
        <f>_xlfn.XLOOKUP(TablaSTOCKINV[[#This Row],[SKU]],TablaINVENTARIO[SKU],TablaINVENTARIO[DESCRIPCION])</f>
        <v>BOMBILLOS 12V</v>
      </c>
      <c r="C1115" s="32" t="str">
        <f>_xlfn.XLOOKUP(TablaSTOCKINV[[#This Row],[SKU]],TablaINVENTARIO[SKU],TablaINVENTARIO[MARCA])</f>
        <v>N/A</v>
      </c>
      <c r="D1115" s="33" t="str">
        <f>_xlfn.XLOOKUP(TablaSTOCKINV[[#This Row],[SKU]],TablaINVENTARIO[SKU],TablaINVENTARIO[CATEGORIA])</f>
        <v>FABRICACION</v>
      </c>
      <c r="E1115" s="33" t="str">
        <f>_xlfn.XLOOKUP(TablaSTOCKINV[[#This Row],[SKU]],TablaINVENTARIO[SKU],TablaINVENTARIO[SUBCATEGORIA])</f>
        <v>ARTEFACTO ELETRÓNICO</v>
      </c>
      <c r="F1115" s="33" t="str">
        <f>_xlfn.XLOOKUP(TablaSTOCKINV[[#This Row],[SKU]],TablaINVENTARIO[SKU],TablaINVENTARIO[ESTADO])</f>
        <v>NUEVO</v>
      </c>
      <c r="G1115" s="33" t="str">
        <f>_xlfn.XLOOKUP(TablaSTOCKINV[[#This Row],[SKU]],TablaINVENTARIO[SKU],TablaINVENTARIO[MEDIDA])</f>
        <v>UND</v>
      </c>
      <c r="H1115" s="33" t="str">
        <f>_xlfn.XLOOKUP(TablaSTOCKINV[[#This Row],[SKU]],TablaINVENTARIO[SKU],TablaINVENTARIO[SERIAL])</f>
        <v>N/A</v>
      </c>
      <c r="I1115" s="34">
        <f>_xlfn.XLOOKUP(TablaSTOCKINV[[#This Row],[SKU]],TablaINVENTARIO[SKU],TablaINVENTARIO[ALMACEN])</f>
        <v>0</v>
      </c>
      <c r="J1115" s="34" t="str">
        <f>_xlfn.XLOOKUP(TablaSTOCKINV[[#This Row],[SKU]],TablaINVENTARIO[SKU],TablaINVENTARIO[UBICACION])</f>
        <v>3C</v>
      </c>
      <c r="K1115" s="34" t="str">
        <f>_xlfn.XLOOKUP(TablaSTOCKINV[[#This Row],[SKU]],TablaINVENTARIO[SKU],TablaINVENTARIO[DPTO RESPONSABLE])</f>
        <v>OPERACIONES</v>
      </c>
      <c r="L1115" s="53">
        <f>_xlfn.XLOOKUP(TablaSTOCKINV[[#This Row],[SKU]],TablaINVENTARIO[SKU],TablaINVENTARIO[RANGO MIN])</f>
        <v>0</v>
      </c>
      <c r="M1115" s="34" cm="1">
        <f t="array" ref="M1115">_xlfn.IFS(TablaSTOCKINV[[#This Row],[CANT. TOTAL]]&lt;=0,1,TablaSTOCKINV[[#This Row],[CANT. TOTAL]]&lt;=TablaSTOCKINV[[#This Row],[MIN]],2,TablaSTOCKINV[[#This Row],[CANT. TOTAL]]&gt;TablaSTOCKINV[[#This Row],[MIN]],3)</f>
        <v>3</v>
      </c>
      <c r="N1115" s="34">
        <f>TablaSTOCKINV[[#This Row],[ENTRADAS]]-TablaSTOCKINV[[#This Row],[SALIDAS]]</f>
        <v>13</v>
      </c>
      <c r="O1115" s="35">
        <f>SUMIFS(TablaENTRADA[CANT],TablaENTRADA[SKU],TablaSTOCKINV[[#This Row],[SKU]])</f>
        <v>13</v>
      </c>
      <c r="P1115" s="35">
        <f>SUMIFS(TablaSALIDA[CANT],TablaSALIDA[SKU],TablaSTOCKINV[[#This Row],[SKU]])</f>
        <v>0</v>
      </c>
      <c r="Q1115" s="34">
        <f>_xlfn.XLOOKUP(TablaSTOCKINV[[#This Row],[SKU]],TablaINVENTARIO[SKU],TablaINVENTARIO[PRECIO])</f>
        <v>0</v>
      </c>
      <c r="R1115" s="34">
        <f>TablaSTOCKINV[[#This Row],[P.UNITARIO]]*TablaSTOCKINV[[#This Row],[CANT. TOTAL]]</f>
        <v>0</v>
      </c>
      <c r="S1115" s="44">
        <f>_xlfn.XLOOKUP(TablaSTOCKINV[[#This Row],[SKU]],TablaINVENTARIO[SKU],TablaINVENTARIO[FECHA INGRESO])</f>
        <v>46023</v>
      </c>
      <c r="T1115" s="44">
        <f>_xlfn.XLOOKUP(TablaSTOCKINV[[#This Row],[SKU]],TablaENTRADA[SKU],TablaENTRADA[FECHA],,0,-1)</f>
        <v>46023</v>
      </c>
      <c r="U1115" s="46" t="str">
        <f>IFERROR((_xlfn.XLOOKUP(TablaSTOCKINV[[#This Row],[SKU]],TablaSALIDA[SKU],TablaSALIDA[FECHA],,0,-1))," " )</f>
        <v xml:space="preserve"> </v>
      </c>
    </row>
    <row r="1116" spans="1:21" x14ac:dyDescent="0.3">
      <c r="A1116" s="27" t="s">
        <v>1355</v>
      </c>
      <c r="B1116" s="32" t="str">
        <f>_xlfn.XLOOKUP(TablaSTOCKINV[[#This Row],[SKU]],TablaINVENTARIO[SKU],TablaINVENTARIO[DESCRIPCION])</f>
        <v>ID PUCK HART</v>
      </c>
      <c r="C1116" s="32" t="str">
        <f>_xlfn.XLOOKUP(TablaSTOCKINV[[#This Row],[SKU]],TablaINVENTARIO[SKU],TablaINVENTARIO[MARCA])</f>
        <v>N/A</v>
      </c>
      <c r="D1116" s="33" t="str">
        <f>_xlfn.XLOOKUP(TablaSTOCKINV[[#This Row],[SKU]],TablaINVENTARIO[SKU],TablaINVENTARIO[CATEGORIA])</f>
        <v>FABRICACION</v>
      </c>
      <c r="E1116" s="33" t="str">
        <f>_xlfn.XLOOKUP(TablaSTOCKINV[[#This Row],[SKU]],TablaINVENTARIO[SKU],TablaINVENTARIO[SUBCATEGORIA])</f>
        <v>ARTEFACTO ELETRÓNICO</v>
      </c>
      <c r="F1116" s="33" t="str">
        <f>_xlfn.XLOOKUP(TablaSTOCKINV[[#This Row],[SKU]],TablaINVENTARIO[SKU],TablaINVENTARIO[ESTADO])</f>
        <v>NUEVO</v>
      </c>
      <c r="G1116" s="33" t="str">
        <f>_xlfn.XLOOKUP(TablaSTOCKINV[[#This Row],[SKU]],TablaINVENTARIO[SKU],TablaINVENTARIO[MEDIDA])</f>
        <v>UND</v>
      </c>
      <c r="H1116" s="33" t="str">
        <f>_xlfn.XLOOKUP(TablaSTOCKINV[[#This Row],[SKU]],TablaINVENTARIO[SKU],TablaINVENTARIO[SERIAL])</f>
        <v>N/A</v>
      </c>
      <c r="I1116" s="34">
        <f>_xlfn.XLOOKUP(TablaSTOCKINV[[#This Row],[SKU]],TablaINVENTARIO[SKU],TablaINVENTARIO[ALMACEN])</f>
        <v>0</v>
      </c>
      <c r="J1116" s="34" t="str">
        <f>_xlfn.XLOOKUP(TablaSTOCKINV[[#This Row],[SKU]],TablaINVENTARIO[SKU],TablaINVENTARIO[UBICACION])</f>
        <v>3C</v>
      </c>
      <c r="K1116" s="34" t="str">
        <f>_xlfn.XLOOKUP(TablaSTOCKINV[[#This Row],[SKU]],TablaINVENTARIO[SKU],TablaINVENTARIO[DPTO RESPONSABLE])</f>
        <v>OPERACIONES</v>
      </c>
      <c r="L1116" s="53">
        <f>_xlfn.XLOOKUP(TablaSTOCKINV[[#This Row],[SKU]],TablaINVENTARIO[SKU],TablaINVENTARIO[RANGO MIN])</f>
        <v>0</v>
      </c>
      <c r="M1116" s="34" cm="1">
        <f t="array" ref="M1116">_xlfn.IFS(TablaSTOCKINV[[#This Row],[CANT. TOTAL]]&lt;=0,1,TablaSTOCKINV[[#This Row],[CANT. TOTAL]]&lt;=TablaSTOCKINV[[#This Row],[MIN]],2,TablaSTOCKINV[[#This Row],[CANT. TOTAL]]&gt;TablaSTOCKINV[[#This Row],[MIN]],3)</f>
        <v>3</v>
      </c>
      <c r="N1116" s="34">
        <f>TablaSTOCKINV[[#This Row],[ENTRADAS]]-TablaSTOCKINV[[#This Row],[SALIDAS]]</f>
        <v>16</v>
      </c>
      <c r="O1116" s="35">
        <f>SUMIFS(TablaENTRADA[CANT],TablaENTRADA[SKU],TablaSTOCKINV[[#This Row],[SKU]])</f>
        <v>16</v>
      </c>
      <c r="P1116" s="35">
        <f>SUMIFS(TablaSALIDA[CANT],TablaSALIDA[SKU],TablaSTOCKINV[[#This Row],[SKU]])</f>
        <v>0</v>
      </c>
      <c r="Q1116" s="34">
        <f>_xlfn.XLOOKUP(TablaSTOCKINV[[#This Row],[SKU]],TablaINVENTARIO[SKU],TablaINVENTARIO[PRECIO])</f>
        <v>0</v>
      </c>
      <c r="R1116" s="34">
        <f>TablaSTOCKINV[[#This Row],[P.UNITARIO]]*TablaSTOCKINV[[#This Row],[CANT. TOTAL]]</f>
        <v>0</v>
      </c>
      <c r="S1116" s="44">
        <f>_xlfn.XLOOKUP(TablaSTOCKINV[[#This Row],[SKU]],TablaINVENTARIO[SKU],TablaINVENTARIO[FECHA INGRESO])</f>
        <v>46023</v>
      </c>
      <c r="T1116" s="44">
        <f>_xlfn.XLOOKUP(TablaSTOCKINV[[#This Row],[SKU]],TablaENTRADA[SKU],TablaENTRADA[FECHA],,0,-1)</f>
        <v>46023</v>
      </c>
      <c r="U1116" s="46" t="str">
        <f>IFERROR((_xlfn.XLOOKUP(TablaSTOCKINV[[#This Row],[SKU]],TablaSALIDA[SKU],TablaSALIDA[FECHA],,0,-1))," " )</f>
        <v xml:space="preserve"> </v>
      </c>
    </row>
    <row r="1117" spans="1:21" x14ac:dyDescent="0.3">
      <c r="A1117" s="27" t="s">
        <v>1357</v>
      </c>
      <c r="B1117" s="32" t="str">
        <f>_xlfn.XLOOKUP(TablaSTOCKINV[[#This Row],[SKU]],TablaINVENTARIO[SKU],TablaINVENTARIO[DESCRIPCION])</f>
        <v>ID PUCK OW111079_A</v>
      </c>
      <c r="C1117" s="32" t="str">
        <f>_xlfn.XLOOKUP(TablaSTOCKINV[[#This Row],[SKU]],TablaINVENTARIO[SKU],TablaINVENTARIO[MARCA])</f>
        <v>N/A</v>
      </c>
      <c r="D1117" s="33" t="str">
        <f>_xlfn.XLOOKUP(TablaSTOCKINV[[#This Row],[SKU]],TablaINVENTARIO[SKU],TablaINVENTARIO[CATEGORIA])</f>
        <v>FABRICACION</v>
      </c>
      <c r="E1117" s="33" t="str">
        <f>_xlfn.XLOOKUP(TablaSTOCKINV[[#This Row],[SKU]],TablaINVENTARIO[SKU],TablaINVENTARIO[SUBCATEGORIA])</f>
        <v>ARTEFACTO ELETRÓNICO</v>
      </c>
      <c r="F1117" s="33" t="str">
        <f>_xlfn.XLOOKUP(TablaSTOCKINV[[#This Row],[SKU]],TablaINVENTARIO[SKU],TablaINVENTARIO[ESTADO])</f>
        <v>NUEVO</v>
      </c>
      <c r="G1117" s="33" t="str">
        <f>_xlfn.XLOOKUP(TablaSTOCKINV[[#This Row],[SKU]],TablaINVENTARIO[SKU],TablaINVENTARIO[MEDIDA])</f>
        <v>UND</v>
      </c>
      <c r="H1117" s="33" t="str">
        <f>_xlfn.XLOOKUP(TablaSTOCKINV[[#This Row],[SKU]],TablaINVENTARIO[SKU],TablaINVENTARIO[SERIAL])</f>
        <v>N/A</v>
      </c>
      <c r="I1117" s="34">
        <f>_xlfn.XLOOKUP(TablaSTOCKINV[[#This Row],[SKU]],TablaINVENTARIO[SKU],TablaINVENTARIO[ALMACEN])</f>
        <v>0</v>
      </c>
      <c r="J1117" s="34" t="str">
        <f>_xlfn.XLOOKUP(TablaSTOCKINV[[#This Row],[SKU]],TablaINVENTARIO[SKU],TablaINVENTARIO[UBICACION])</f>
        <v>3C</v>
      </c>
      <c r="K1117" s="34" t="str">
        <f>_xlfn.XLOOKUP(TablaSTOCKINV[[#This Row],[SKU]],TablaINVENTARIO[SKU],TablaINVENTARIO[DPTO RESPONSABLE])</f>
        <v>OPERACIONES</v>
      </c>
      <c r="L1117" s="53">
        <f>_xlfn.XLOOKUP(TablaSTOCKINV[[#This Row],[SKU]],TablaINVENTARIO[SKU],TablaINVENTARIO[RANGO MIN])</f>
        <v>0</v>
      </c>
      <c r="M1117" s="34" cm="1">
        <f t="array" ref="M1117">_xlfn.IFS(TablaSTOCKINV[[#This Row],[CANT. TOTAL]]&lt;=0,1,TablaSTOCKINV[[#This Row],[CANT. TOTAL]]&lt;=TablaSTOCKINV[[#This Row],[MIN]],2,TablaSTOCKINV[[#This Row],[CANT. TOTAL]]&gt;TablaSTOCKINV[[#This Row],[MIN]],3)</f>
        <v>3</v>
      </c>
      <c r="N1117" s="34">
        <f>TablaSTOCKINV[[#This Row],[ENTRADAS]]-TablaSTOCKINV[[#This Row],[SALIDAS]]</f>
        <v>4</v>
      </c>
      <c r="O1117" s="35">
        <f>SUMIFS(TablaENTRADA[CANT],TablaENTRADA[SKU],TablaSTOCKINV[[#This Row],[SKU]])</f>
        <v>4</v>
      </c>
      <c r="P1117" s="35">
        <f>SUMIFS(TablaSALIDA[CANT],TablaSALIDA[SKU],TablaSTOCKINV[[#This Row],[SKU]])</f>
        <v>0</v>
      </c>
      <c r="Q1117" s="34">
        <f>_xlfn.XLOOKUP(TablaSTOCKINV[[#This Row],[SKU]],TablaINVENTARIO[SKU],TablaINVENTARIO[PRECIO])</f>
        <v>0</v>
      </c>
      <c r="R1117" s="34">
        <f>TablaSTOCKINV[[#This Row],[P.UNITARIO]]*TablaSTOCKINV[[#This Row],[CANT. TOTAL]]</f>
        <v>0</v>
      </c>
      <c r="S1117" s="44">
        <f>_xlfn.XLOOKUP(TablaSTOCKINV[[#This Row],[SKU]],TablaINVENTARIO[SKU],TablaINVENTARIO[FECHA INGRESO])</f>
        <v>46023</v>
      </c>
      <c r="T1117" s="44">
        <f>_xlfn.XLOOKUP(TablaSTOCKINV[[#This Row],[SKU]],TablaENTRADA[SKU],TablaENTRADA[FECHA],,0,-1)</f>
        <v>46023</v>
      </c>
      <c r="U1117" s="46" t="str">
        <f>IFERROR((_xlfn.XLOOKUP(TablaSTOCKINV[[#This Row],[SKU]],TablaSALIDA[SKU],TablaSALIDA[FECHA],,0,-1))," " )</f>
        <v xml:space="preserve"> </v>
      </c>
    </row>
    <row r="1118" spans="1:21" x14ac:dyDescent="0.3">
      <c r="A1118" s="27" t="s">
        <v>1359</v>
      </c>
      <c r="B1118" s="32" t="str">
        <f>_xlfn.XLOOKUP(TablaSTOCKINV[[#This Row],[SKU]],TablaINVENTARIO[SKU],TablaINVENTARIO[DESCRIPCION])</f>
        <v>ID PUCK OW100H</v>
      </c>
      <c r="C1118" s="32" t="str">
        <f>_xlfn.XLOOKUP(TablaSTOCKINV[[#This Row],[SKU]],TablaINVENTARIO[SKU],TablaINVENTARIO[MARCA])</f>
        <v>N/A</v>
      </c>
      <c r="D1118" s="33" t="str">
        <f>_xlfn.XLOOKUP(TablaSTOCKINV[[#This Row],[SKU]],TablaINVENTARIO[SKU],TablaINVENTARIO[CATEGORIA])</f>
        <v>FABRICACION</v>
      </c>
      <c r="E1118" s="33" t="str">
        <f>_xlfn.XLOOKUP(TablaSTOCKINV[[#This Row],[SKU]],TablaINVENTARIO[SKU],TablaINVENTARIO[SUBCATEGORIA])</f>
        <v>ARTEFACTO ELETRÓNICO</v>
      </c>
      <c r="F1118" s="33" t="str">
        <f>_xlfn.XLOOKUP(TablaSTOCKINV[[#This Row],[SKU]],TablaINVENTARIO[SKU],TablaINVENTARIO[ESTADO])</f>
        <v>NUEVO</v>
      </c>
      <c r="G1118" s="33" t="str">
        <f>_xlfn.XLOOKUP(TablaSTOCKINV[[#This Row],[SKU]],TablaINVENTARIO[SKU],TablaINVENTARIO[MEDIDA])</f>
        <v>UND</v>
      </c>
      <c r="H1118" s="33" t="str">
        <f>_xlfn.XLOOKUP(TablaSTOCKINV[[#This Row],[SKU]],TablaINVENTARIO[SKU],TablaINVENTARIO[SERIAL])</f>
        <v>N/A</v>
      </c>
      <c r="I1118" s="34">
        <f>_xlfn.XLOOKUP(TablaSTOCKINV[[#This Row],[SKU]],TablaINVENTARIO[SKU],TablaINVENTARIO[ALMACEN])</f>
        <v>0</v>
      </c>
      <c r="J1118" s="34" t="str">
        <f>_xlfn.XLOOKUP(TablaSTOCKINV[[#This Row],[SKU]],TablaINVENTARIO[SKU],TablaINVENTARIO[UBICACION])</f>
        <v>3C</v>
      </c>
      <c r="K1118" s="34" t="str">
        <f>_xlfn.XLOOKUP(TablaSTOCKINV[[#This Row],[SKU]],TablaINVENTARIO[SKU],TablaINVENTARIO[DPTO RESPONSABLE])</f>
        <v>OPERACIONES</v>
      </c>
      <c r="L1118" s="53">
        <f>_xlfn.XLOOKUP(TablaSTOCKINV[[#This Row],[SKU]],TablaINVENTARIO[SKU],TablaINVENTARIO[RANGO MIN])</f>
        <v>0</v>
      </c>
      <c r="M1118" s="34" cm="1">
        <f t="array" ref="M1118">_xlfn.IFS(TablaSTOCKINV[[#This Row],[CANT. TOTAL]]&lt;=0,1,TablaSTOCKINV[[#This Row],[CANT. TOTAL]]&lt;=TablaSTOCKINV[[#This Row],[MIN]],2,TablaSTOCKINV[[#This Row],[CANT. TOTAL]]&gt;TablaSTOCKINV[[#This Row],[MIN]],3)</f>
        <v>3</v>
      </c>
      <c r="N1118" s="34">
        <f>TablaSTOCKINV[[#This Row],[ENTRADAS]]-TablaSTOCKINV[[#This Row],[SALIDAS]]</f>
        <v>3</v>
      </c>
      <c r="O1118" s="35">
        <f>SUMIFS(TablaENTRADA[CANT],TablaENTRADA[SKU],TablaSTOCKINV[[#This Row],[SKU]])</f>
        <v>3</v>
      </c>
      <c r="P1118" s="35">
        <f>SUMIFS(TablaSALIDA[CANT],TablaSALIDA[SKU],TablaSTOCKINV[[#This Row],[SKU]])</f>
        <v>0</v>
      </c>
      <c r="Q1118" s="34">
        <f>_xlfn.XLOOKUP(TablaSTOCKINV[[#This Row],[SKU]],TablaINVENTARIO[SKU],TablaINVENTARIO[PRECIO])</f>
        <v>0</v>
      </c>
      <c r="R1118" s="34">
        <f>TablaSTOCKINV[[#This Row],[P.UNITARIO]]*TablaSTOCKINV[[#This Row],[CANT. TOTAL]]</f>
        <v>0</v>
      </c>
      <c r="S1118" s="44">
        <f>_xlfn.XLOOKUP(TablaSTOCKINV[[#This Row],[SKU]],TablaINVENTARIO[SKU],TablaINVENTARIO[FECHA INGRESO])</f>
        <v>46023</v>
      </c>
      <c r="T1118" s="44">
        <f>_xlfn.XLOOKUP(TablaSTOCKINV[[#This Row],[SKU]],TablaENTRADA[SKU],TablaENTRADA[FECHA],,0,-1)</f>
        <v>46023</v>
      </c>
      <c r="U1118" s="46" t="str">
        <f>IFERROR((_xlfn.XLOOKUP(TablaSTOCKINV[[#This Row],[SKU]],TablaSALIDA[SKU],TablaSALIDA[FECHA],,0,-1))," " )</f>
        <v xml:space="preserve"> </v>
      </c>
    </row>
    <row r="1119" spans="1:21" x14ac:dyDescent="0.3">
      <c r="A1119" s="27" t="s">
        <v>1361</v>
      </c>
      <c r="B1119" s="32" t="str">
        <f>_xlfn.XLOOKUP(TablaSTOCKINV[[#This Row],[SKU]],TablaINVENTARIO[SKU],TablaINVENTARIO[DESCRIPCION])</f>
        <v>BUSHING 3/4 A 1/2</v>
      </c>
      <c r="C1119" s="32" t="str">
        <f>_xlfn.XLOOKUP(TablaSTOCKINV[[#This Row],[SKU]],TablaINVENTARIO[SKU],TablaINVENTARIO[MARCA])</f>
        <v>N/A</v>
      </c>
      <c r="D1119" s="33" t="str">
        <f>_xlfn.XLOOKUP(TablaSTOCKINV[[#This Row],[SKU]],TablaINVENTARIO[SKU],TablaINVENTARIO[CATEGORIA])</f>
        <v>FABRICACION</v>
      </c>
      <c r="E1119" s="33" t="str">
        <f>_xlfn.XLOOKUP(TablaSTOCKINV[[#This Row],[SKU]],TablaINVENTARIO[SKU],TablaINVENTARIO[SUBCATEGORIA])</f>
        <v>ARTEFACTO ELETRÓNICO</v>
      </c>
      <c r="F1119" s="33" t="str">
        <f>_xlfn.XLOOKUP(TablaSTOCKINV[[#This Row],[SKU]],TablaINVENTARIO[SKU],TablaINVENTARIO[ESTADO])</f>
        <v>NUEVO</v>
      </c>
      <c r="G1119" s="33" t="str">
        <f>_xlfn.XLOOKUP(TablaSTOCKINV[[#This Row],[SKU]],TablaINVENTARIO[SKU],TablaINVENTARIO[MEDIDA])</f>
        <v>UND</v>
      </c>
      <c r="H1119" s="33" t="str">
        <f>_xlfn.XLOOKUP(TablaSTOCKINV[[#This Row],[SKU]],TablaINVENTARIO[SKU],TablaINVENTARIO[SERIAL])</f>
        <v>N/A</v>
      </c>
      <c r="I1119" s="34">
        <f>_xlfn.XLOOKUP(TablaSTOCKINV[[#This Row],[SKU]],TablaINVENTARIO[SKU],TablaINVENTARIO[ALMACEN])</f>
        <v>0</v>
      </c>
      <c r="J1119" s="34" t="str">
        <f>_xlfn.XLOOKUP(TablaSTOCKINV[[#This Row],[SKU]],TablaINVENTARIO[SKU],TablaINVENTARIO[UBICACION])</f>
        <v>3C</v>
      </c>
      <c r="K1119" s="34" t="str">
        <f>_xlfn.XLOOKUP(TablaSTOCKINV[[#This Row],[SKU]],TablaINVENTARIO[SKU],TablaINVENTARIO[DPTO RESPONSABLE])</f>
        <v>OPERACIONES</v>
      </c>
      <c r="L1119" s="53">
        <f>_xlfn.XLOOKUP(TablaSTOCKINV[[#This Row],[SKU]],TablaINVENTARIO[SKU],TablaINVENTARIO[RANGO MIN])</f>
        <v>0</v>
      </c>
      <c r="M1119" s="34" cm="1">
        <f t="array" ref="M1119">_xlfn.IFS(TablaSTOCKINV[[#This Row],[CANT. TOTAL]]&lt;=0,1,TablaSTOCKINV[[#This Row],[CANT. TOTAL]]&lt;=TablaSTOCKINV[[#This Row],[MIN]],2,TablaSTOCKINV[[#This Row],[CANT. TOTAL]]&gt;TablaSTOCKINV[[#This Row],[MIN]],3)</f>
        <v>3</v>
      </c>
      <c r="N1119" s="34">
        <f>TablaSTOCKINV[[#This Row],[ENTRADAS]]-TablaSTOCKINV[[#This Row],[SALIDAS]]</f>
        <v>8</v>
      </c>
      <c r="O1119" s="35">
        <f>SUMIFS(TablaENTRADA[CANT],TablaENTRADA[SKU],TablaSTOCKINV[[#This Row],[SKU]])</f>
        <v>8</v>
      </c>
      <c r="P1119" s="35">
        <f>SUMIFS(TablaSALIDA[CANT],TablaSALIDA[SKU],TablaSTOCKINV[[#This Row],[SKU]])</f>
        <v>0</v>
      </c>
      <c r="Q1119" s="34">
        <f>_xlfn.XLOOKUP(TablaSTOCKINV[[#This Row],[SKU]],TablaINVENTARIO[SKU],TablaINVENTARIO[PRECIO])</f>
        <v>0</v>
      </c>
      <c r="R1119" s="34">
        <f>TablaSTOCKINV[[#This Row],[P.UNITARIO]]*TablaSTOCKINV[[#This Row],[CANT. TOTAL]]</f>
        <v>0</v>
      </c>
      <c r="S1119" s="44">
        <f>_xlfn.XLOOKUP(TablaSTOCKINV[[#This Row],[SKU]],TablaINVENTARIO[SKU],TablaINVENTARIO[FECHA INGRESO])</f>
        <v>46023</v>
      </c>
      <c r="T1119" s="44">
        <f>_xlfn.XLOOKUP(TablaSTOCKINV[[#This Row],[SKU]],TablaENTRADA[SKU],TablaENTRADA[FECHA],,0,-1)</f>
        <v>46023</v>
      </c>
      <c r="U1119" s="46" t="str">
        <f>IFERROR((_xlfn.XLOOKUP(TablaSTOCKINV[[#This Row],[SKU]],TablaSALIDA[SKU],TablaSALIDA[FECHA],,0,-1))," " )</f>
        <v xml:space="preserve"> </v>
      </c>
    </row>
    <row r="1120" spans="1:21" x14ac:dyDescent="0.3">
      <c r="A1120" s="27" t="s">
        <v>1363</v>
      </c>
      <c r="B1120" s="32" t="str">
        <f>_xlfn.XLOOKUP(TablaSTOCKINV[[#This Row],[SKU]],TablaINVENTARIO[SKU],TablaINVENTARIO[DESCRIPCION])</f>
        <v>CALIBRADOR DE PROCESOS DE DOCUMENTACION 744</v>
      </c>
      <c r="C1120" s="32" t="str">
        <f>_xlfn.XLOOKUP(TablaSTOCKINV[[#This Row],[SKU]],TablaINVENTARIO[SKU],TablaINVENTARIO[MARCA])</f>
        <v xml:space="preserve">FLUKE </v>
      </c>
      <c r="D1120" s="33" t="str">
        <f>_xlfn.XLOOKUP(TablaSTOCKINV[[#This Row],[SKU]],TablaINVENTARIO[SKU],TablaINVENTARIO[CATEGORIA])</f>
        <v>FABRICACION</v>
      </c>
      <c r="E1120" s="33" t="str">
        <f>_xlfn.XLOOKUP(TablaSTOCKINV[[#This Row],[SKU]],TablaINVENTARIO[SKU],TablaINVENTARIO[SUBCATEGORIA])</f>
        <v>ARTEFACTO ELETRÓNICO</v>
      </c>
      <c r="F1120" s="33" t="str">
        <f>_xlfn.XLOOKUP(TablaSTOCKINV[[#This Row],[SKU]],TablaINVENTARIO[SKU],TablaINVENTARIO[ESTADO])</f>
        <v>DAÑADO</v>
      </c>
      <c r="G1120" s="33" t="str">
        <f>_xlfn.XLOOKUP(TablaSTOCKINV[[#This Row],[SKU]],TablaINVENTARIO[SKU],TablaINVENTARIO[MEDIDA])</f>
        <v xml:space="preserve">KIT </v>
      </c>
      <c r="H1120" s="33">
        <f>_xlfn.XLOOKUP(TablaSTOCKINV[[#This Row],[SKU]],TablaINVENTARIO[SKU],TablaINVENTARIO[SERIAL])</f>
        <v>9159007</v>
      </c>
      <c r="I1120" s="34">
        <f>_xlfn.XLOOKUP(TablaSTOCKINV[[#This Row],[SKU]],TablaINVENTARIO[SKU],TablaINVENTARIO[ALMACEN])</f>
        <v>0</v>
      </c>
      <c r="J1120" s="34" t="str">
        <f>_xlfn.XLOOKUP(TablaSTOCKINV[[#This Row],[SKU]],TablaINVENTARIO[SKU],TablaINVENTARIO[UBICACION])</f>
        <v>2B</v>
      </c>
      <c r="K1120" s="34" t="str">
        <f>_xlfn.XLOOKUP(TablaSTOCKINV[[#This Row],[SKU]],TablaINVENTARIO[SKU],TablaINVENTARIO[DPTO RESPONSABLE])</f>
        <v xml:space="preserve">OPERACIONES </v>
      </c>
      <c r="L1120" s="53">
        <f>_xlfn.XLOOKUP(TablaSTOCKINV[[#This Row],[SKU]],TablaINVENTARIO[SKU],TablaINVENTARIO[RANGO MIN])</f>
        <v>0</v>
      </c>
      <c r="M1120" s="34" cm="1">
        <f t="array" ref="M1120">_xlfn.IFS(TablaSTOCKINV[[#This Row],[CANT. TOTAL]]&lt;=0,1,TablaSTOCKINV[[#This Row],[CANT. TOTAL]]&lt;=TablaSTOCKINV[[#This Row],[MIN]],2,TablaSTOCKINV[[#This Row],[CANT. TOTAL]]&gt;TablaSTOCKINV[[#This Row],[MIN]],3)</f>
        <v>3</v>
      </c>
      <c r="N1120" s="34">
        <f>TablaSTOCKINV[[#This Row],[ENTRADAS]]-TablaSTOCKINV[[#This Row],[SALIDAS]]</f>
        <v>1</v>
      </c>
      <c r="O1120" s="35">
        <f>SUMIFS(TablaENTRADA[CANT],TablaENTRADA[SKU],TablaSTOCKINV[[#This Row],[SKU]])</f>
        <v>1</v>
      </c>
      <c r="P1120" s="35">
        <f>SUMIFS(TablaSALIDA[CANT],TablaSALIDA[SKU],TablaSTOCKINV[[#This Row],[SKU]])</f>
        <v>0</v>
      </c>
      <c r="Q1120" s="34">
        <f>_xlfn.XLOOKUP(TablaSTOCKINV[[#This Row],[SKU]],TablaINVENTARIO[SKU],TablaINVENTARIO[PRECIO])</f>
        <v>0</v>
      </c>
      <c r="R1120" s="34">
        <f>TablaSTOCKINV[[#This Row],[P.UNITARIO]]*TablaSTOCKINV[[#This Row],[CANT. TOTAL]]</f>
        <v>0</v>
      </c>
      <c r="S1120" s="44">
        <f>_xlfn.XLOOKUP(TablaSTOCKINV[[#This Row],[SKU]],TablaINVENTARIO[SKU],TablaINVENTARIO[FECHA INGRESO])</f>
        <v>46023</v>
      </c>
      <c r="T1120" s="44">
        <f>_xlfn.XLOOKUP(TablaSTOCKINV[[#This Row],[SKU]],TablaENTRADA[SKU],TablaENTRADA[FECHA],,0,-1)</f>
        <v>46023</v>
      </c>
      <c r="U1120" s="46" t="str">
        <f>IFERROR((_xlfn.XLOOKUP(TablaSTOCKINV[[#This Row],[SKU]],TablaSALIDA[SKU],TablaSALIDA[FECHA],,0,-1))," " )</f>
        <v xml:space="preserve"> </v>
      </c>
    </row>
    <row r="1121" spans="1:21" x14ac:dyDescent="0.3">
      <c r="A1121" s="27" t="s">
        <v>1367</v>
      </c>
      <c r="B1121" s="32" t="str">
        <f>_xlfn.XLOOKUP(TablaSTOCKINV[[#This Row],[SKU]],TablaINVENTARIO[SKU],TablaINVENTARIO[DESCRIPCION])</f>
        <v xml:space="preserve">ECHOMETER </v>
      </c>
      <c r="C1121" s="32" t="str">
        <f>_xlfn.XLOOKUP(TablaSTOCKINV[[#This Row],[SKU]],TablaINVENTARIO[SKU],TablaINVENTARIO[MARCA])</f>
        <v xml:space="preserve">FLUKE </v>
      </c>
      <c r="D1121" s="33" t="str">
        <f>_xlfn.XLOOKUP(TablaSTOCKINV[[#This Row],[SKU]],TablaINVENTARIO[SKU],TablaINVENTARIO[CATEGORIA])</f>
        <v>FABRICACION</v>
      </c>
      <c r="E1121" s="33" t="str">
        <f>_xlfn.XLOOKUP(TablaSTOCKINV[[#This Row],[SKU]],TablaINVENTARIO[SKU],TablaINVENTARIO[SUBCATEGORIA])</f>
        <v>ARTEFACTO ELETRÓNICO</v>
      </c>
      <c r="F1121" s="33" t="str">
        <f>_xlfn.XLOOKUP(TablaSTOCKINV[[#This Row],[SKU]],TablaINVENTARIO[SKU],TablaINVENTARIO[ESTADO])</f>
        <v>DAÑADO</v>
      </c>
      <c r="G1121" s="33" t="str">
        <f>_xlfn.XLOOKUP(TablaSTOCKINV[[#This Row],[SKU]],TablaINVENTARIO[SKU],TablaINVENTARIO[MEDIDA])</f>
        <v xml:space="preserve">UND </v>
      </c>
      <c r="H1121" s="33" t="str">
        <f>_xlfn.XLOOKUP(TablaSTOCKINV[[#This Row],[SKU]],TablaINVENTARIO[SKU],TablaINVENTARIO[SERIAL])</f>
        <v>DM9450325</v>
      </c>
      <c r="I1121" s="34">
        <f>_xlfn.XLOOKUP(TablaSTOCKINV[[#This Row],[SKU]],TablaINVENTARIO[SKU],TablaINVENTARIO[ALMACEN])</f>
        <v>0</v>
      </c>
      <c r="J1121" s="34" t="str">
        <f>_xlfn.XLOOKUP(TablaSTOCKINV[[#This Row],[SKU]],TablaINVENTARIO[SKU],TablaINVENTARIO[UBICACION])</f>
        <v>2D</v>
      </c>
      <c r="K1121" s="34" t="str">
        <f>_xlfn.XLOOKUP(TablaSTOCKINV[[#This Row],[SKU]],TablaINVENTARIO[SKU],TablaINVENTARIO[DPTO RESPONSABLE])</f>
        <v>OPERACIONES</v>
      </c>
      <c r="L1121" s="53">
        <f>_xlfn.XLOOKUP(TablaSTOCKINV[[#This Row],[SKU]],TablaINVENTARIO[SKU],TablaINVENTARIO[RANGO MIN])</f>
        <v>0</v>
      </c>
      <c r="M1121" s="34" cm="1">
        <f t="array" ref="M1121">_xlfn.IFS(TablaSTOCKINV[[#This Row],[CANT. TOTAL]]&lt;=0,1,TablaSTOCKINV[[#This Row],[CANT. TOTAL]]&lt;=TablaSTOCKINV[[#This Row],[MIN]],2,TablaSTOCKINV[[#This Row],[CANT. TOTAL]]&gt;TablaSTOCKINV[[#This Row],[MIN]],3)</f>
        <v>3</v>
      </c>
      <c r="N1121" s="34">
        <f>TablaSTOCKINV[[#This Row],[ENTRADAS]]-TablaSTOCKINV[[#This Row],[SALIDAS]]</f>
        <v>1</v>
      </c>
      <c r="O1121" s="35">
        <f>SUMIFS(TablaENTRADA[CANT],TablaENTRADA[SKU],TablaSTOCKINV[[#This Row],[SKU]])</f>
        <v>1</v>
      </c>
      <c r="P1121" s="35">
        <f>SUMIFS(TablaSALIDA[CANT],TablaSALIDA[SKU],TablaSTOCKINV[[#This Row],[SKU]])</f>
        <v>0</v>
      </c>
      <c r="Q1121" s="34">
        <f>_xlfn.XLOOKUP(TablaSTOCKINV[[#This Row],[SKU]],TablaINVENTARIO[SKU],TablaINVENTARIO[PRECIO])</f>
        <v>0</v>
      </c>
      <c r="R1121" s="34">
        <f>TablaSTOCKINV[[#This Row],[P.UNITARIO]]*TablaSTOCKINV[[#This Row],[CANT. TOTAL]]</f>
        <v>0</v>
      </c>
      <c r="S1121" s="44">
        <f>_xlfn.XLOOKUP(TablaSTOCKINV[[#This Row],[SKU]],TablaINVENTARIO[SKU],TablaINVENTARIO[FECHA INGRESO])</f>
        <v>46023</v>
      </c>
      <c r="T1121" s="44">
        <f>_xlfn.XLOOKUP(TablaSTOCKINV[[#This Row],[SKU]],TablaENTRADA[SKU],TablaENTRADA[FECHA],,0,-1)</f>
        <v>46023</v>
      </c>
      <c r="U1121" s="46" t="str">
        <f>IFERROR((_xlfn.XLOOKUP(TablaSTOCKINV[[#This Row],[SKU]],TablaSALIDA[SKU],TablaSALIDA[FECHA],,0,-1))," " )</f>
        <v xml:space="preserve"> </v>
      </c>
    </row>
    <row r="1122" spans="1:21" x14ac:dyDescent="0.3">
      <c r="A1122" s="27" t="s">
        <v>3082</v>
      </c>
      <c r="B1122" s="32" t="str">
        <f>_xlfn.XLOOKUP(TablaSTOCKINV[[#This Row],[SKU]],TablaINVENTARIO[SKU],TablaINVENTARIO[DESCRIPCION])</f>
        <v xml:space="preserve">CARPETA AZUL 1" </v>
      </c>
      <c r="C1122" s="32" t="str">
        <f>_xlfn.XLOOKUP(TablaSTOCKINV[[#This Row],[SKU]],TablaINVENTARIO[SKU],TablaINVENTARIO[MARCA])</f>
        <v>AGAR</v>
      </c>
      <c r="D1122" s="33" t="str">
        <f>_xlfn.XLOOKUP(TablaSTOCKINV[[#This Row],[SKU]],TablaINVENTARIO[SKU],TablaINVENTARIO[CATEGORIA])</f>
        <v>FABRICACION</v>
      </c>
      <c r="E1122" s="33" t="str">
        <f>_xlfn.XLOOKUP(TablaSTOCKINV[[#This Row],[SKU]],TablaINVENTARIO[SKU],TablaINVENTARIO[SUBCATEGORIA])</f>
        <v xml:space="preserve">MANUAL </v>
      </c>
      <c r="F1122" s="33" t="str">
        <f>_xlfn.XLOOKUP(TablaSTOCKINV[[#This Row],[SKU]],TablaINVENTARIO[SKU],TablaINVENTARIO[ESTADO])</f>
        <v>USADO</v>
      </c>
      <c r="G1122" s="33" t="str">
        <f>_xlfn.XLOOKUP(TablaSTOCKINV[[#This Row],[SKU]],TablaINVENTARIO[SKU],TablaINVENTARIO[MEDIDA])</f>
        <v>UND</v>
      </c>
      <c r="H1122" s="33" t="str">
        <f>_xlfn.XLOOKUP(TablaSTOCKINV[[#This Row],[SKU]],TablaINVENTARIO[SKU],TablaINVENTARIO[SERIAL])</f>
        <v>N/A</v>
      </c>
      <c r="I1122" s="34">
        <f>_xlfn.XLOOKUP(TablaSTOCKINV[[#This Row],[SKU]],TablaINVENTARIO[SKU],TablaINVENTARIO[ALMACEN])</f>
        <v>0</v>
      </c>
      <c r="J1122" s="34" t="str">
        <f>_xlfn.XLOOKUP(TablaSTOCKINV[[#This Row],[SKU]],TablaINVENTARIO[SKU],TablaINVENTARIO[UBICACION])</f>
        <v>A1/A2/A3</v>
      </c>
      <c r="K1122" s="34" t="str">
        <f>_xlfn.XLOOKUP(TablaSTOCKINV[[#This Row],[SKU]],TablaINVENTARIO[SKU],TablaINVENTARIO[DPTO RESPONSABLE])</f>
        <v>OPERACIONES</v>
      </c>
      <c r="L1122" s="53">
        <f>_xlfn.XLOOKUP(TablaSTOCKINV[[#This Row],[SKU]],TablaINVENTARIO[SKU],TablaINVENTARIO[RANGO MIN])</f>
        <v>0</v>
      </c>
      <c r="M1122" s="34" cm="1">
        <f t="array" ref="M1122">_xlfn.IFS(TablaSTOCKINV[[#This Row],[CANT. TOTAL]]&lt;=0,1,TablaSTOCKINV[[#This Row],[CANT. TOTAL]]&lt;=TablaSTOCKINV[[#This Row],[MIN]],2,TablaSTOCKINV[[#This Row],[CANT. TOTAL]]&gt;TablaSTOCKINV[[#This Row],[MIN]],3)</f>
        <v>3</v>
      </c>
      <c r="N1122" s="34">
        <f>TablaSTOCKINV[[#This Row],[ENTRADAS]]-TablaSTOCKINV[[#This Row],[SALIDAS]]</f>
        <v>79</v>
      </c>
      <c r="O1122" s="35">
        <f>SUMIFS(TablaENTRADA[CANT],TablaENTRADA[SKU],TablaSTOCKINV[[#This Row],[SKU]])</f>
        <v>79</v>
      </c>
      <c r="P1122" s="35">
        <f>SUMIFS(TablaSALIDA[CANT],TablaSALIDA[SKU],TablaSTOCKINV[[#This Row],[SKU]])</f>
        <v>0</v>
      </c>
      <c r="Q1122" s="34">
        <f>_xlfn.XLOOKUP(TablaSTOCKINV[[#This Row],[SKU]],TablaINVENTARIO[SKU],TablaINVENTARIO[PRECIO])</f>
        <v>0</v>
      </c>
      <c r="R1122" s="34">
        <f>TablaSTOCKINV[[#This Row],[P.UNITARIO]]*TablaSTOCKINV[[#This Row],[CANT. TOTAL]]</f>
        <v>0</v>
      </c>
      <c r="S1122" s="44">
        <f>_xlfn.XLOOKUP(TablaSTOCKINV[[#This Row],[SKU]],TablaINVENTARIO[SKU],TablaINVENTARIO[FECHA INGRESO])</f>
        <v>46023</v>
      </c>
      <c r="T1122" s="44">
        <f>_xlfn.XLOOKUP(TablaSTOCKINV[[#This Row],[SKU]],TablaENTRADA[SKU],TablaENTRADA[FECHA],,0,-1)</f>
        <v>46023</v>
      </c>
      <c r="U1122" s="46" t="str">
        <f>IFERROR((_xlfn.XLOOKUP(TablaSTOCKINV[[#This Row],[SKU]],TablaSALIDA[SKU],TablaSALIDA[FECHA],,0,-1))," " )</f>
        <v xml:space="preserve"> </v>
      </c>
    </row>
    <row r="1123" spans="1:21" x14ac:dyDescent="0.3">
      <c r="A1123" s="27" t="s">
        <v>3087</v>
      </c>
      <c r="B1123" s="32" t="str">
        <f>_xlfn.XLOOKUP(TablaSTOCKINV[[#This Row],[SKU]],TablaINVENTARIO[SKU],TablaINVENTARIO[DESCRIPCION])</f>
        <v>CARPETA AZUL 2"</v>
      </c>
      <c r="C1123" s="32" t="str">
        <f>_xlfn.XLOOKUP(TablaSTOCKINV[[#This Row],[SKU]],TablaINVENTARIO[SKU],TablaINVENTARIO[MARCA])</f>
        <v>AGAR</v>
      </c>
      <c r="D1123" s="33" t="str">
        <f>_xlfn.XLOOKUP(TablaSTOCKINV[[#This Row],[SKU]],TablaINVENTARIO[SKU],TablaINVENTARIO[CATEGORIA])</f>
        <v>FABRICACION</v>
      </c>
      <c r="E1123" s="33" t="str">
        <f>_xlfn.XLOOKUP(TablaSTOCKINV[[#This Row],[SKU]],TablaINVENTARIO[SKU],TablaINVENTARIO[SUBCATEGORIA])</f>
        <v xml:space="preserve">MANUAL </v>
      </c>
      <c r="F1123" s="33" t="str">
        <f>_xlfn.XLOOKUP(TablaSTOCKINV[[#This Row],[SKU]],TablaINVENTARIO[SKU],TablaINVENTARIO[ESTADO])</f>
        <v>USADO</v>
      </c>
      <c r="G1123" s="33" t="str">
        <f>_xlfn.XLOOKUP(TablaSTOCKINV[[#This Row],[SKU]],TablaINVENTARIO[SKU],TablaINVENTARIO[MEDIDA])</f>
        <v>UND</v>
      </c>
      <c r="H1123" s="33" t="str">
        <f>_xlfn.XLOOKUP(TablaSTOCKINV[[#This Row],[SKU]],TablaINVENTARIO[SKU],TablaINVENTARIO[SERIAL])</f>
        <v>N/A</v>
      </c>
      <c r="I1123" s="34">
        <f>_xlfn.XLOOKUP(TablaSTOCKINV[[#This Row],[SKU]],TablaINVENTARIO[SKU],TablaINVENTARIO[ALMACEN])</f>
        <v>0</v>
      </c>
      <c r="J1123" s="34" t="str">
        <f>_xlfn.XLOOKUP(TablaSTOCKINV[[#This Row],[SKU]],TablaINVENTARIO[SKU],TablaINVENTARIO[UBICACION])</f>
        <v>A3</v>
      </c>
      <c r="K1123" s="34" t="str">
        <f>_xlfn.XLOOKUP(TablaSTOCKINV[[#This Row],[SKU]],TablaINVENTARIO[SKU],TablaINVENTARIO[DPTO RESPONSABLE])</f>
        <v xml:space="preserve">OPERACIONES </v>
      </c>
      <c r="L1123" s="53">
        <f>_xlfn.XLOOKUP(TablaSTOCKINV[[#This Row],[SKU]],TablaINVENTARIO[SKU],TablaINVENTARIO[RANGO MIN])</f>
        <v>0</v>
      </c>
      <c r="M1123" s="34" cm="1">
        <f t="array" ref="M1123">_xlfn.IFS(TablaSTOCKINV[[#This Row],[CANT. TOTAL]]&lt;=0,1,TablaSTOCKINV[[#This Row],[CANT. TOTAL]]&lt;=TablaSTOCKINV[[#This Row],[MIN]],2,TablaSTOCKINV[[#This Row],[CANT. TOTAL]]&gt;TablaSTOCKINV[[#This Row],[MIN]],3)</f>
        <v>3</v>
      </c>
      <c r="N1123" s="34">
        <f>TablaSTOCKINV[[#This Row],[ENTRADAS]]-TablaSTOCKINV[[#This Row],[SALIDAS]]</f>
        <v>2</v>
      </c>
      <c r="O1123" s="35">
        <f>SUMIFS(TablaENTRADA[CANT],TablaENTRADA[SKU],TablaSTOCKINV[[#This Row],[SKU]])</f>
        <v>2</v>
      </c>
      <c r="P1123" s="35">
        <f>SUMIFS(TablaSALIDA[CANT],TablaSALIDA[SKU],TablaSTOCKINV[[#This Row],[SKU]])</f>
        <v>0</v>
      </c>
      <c r="Q1123" s="34">
        <f>_xlfn.XLOOKUP(TablaSTOCKINV[[#This Row],[SKU]],TablaINVENTARIO[SKU],TablaINVENTARIO[PRECIO])</f>
        <v>0</v>
      </c>
      <c r="R1123" s="34">
        <f>TablaSTOCKINV[[#This Row],[P.UNITARIO]]*TablaSTOCKINV[[#This Row],[CANT. TOTAL]]</f>
        <v>0</v>
      </c>
      <c r="S1123" s="44">
        <f>_xlfn.XLOOKUP(TablaSTOCKINV[[#This Row],[SKU]],TablaINVENTARIO[SKU],TablaINVENTARIO[FECHA INGRESO])</f>
        <v>46023</v>
      </c>
      <c r="T1123" s="44">
        <f>_xlfn.XLOOKUP(TablaSTOCKINV[[#This Row],[SKU]],TablaENTRADA[SKU],TablaENTRADA[FECHA],,0,-1)</f>
        <v>46023</v>
      </c>
      <c r="U1123" s="46" t="str">
        <f>IFERROR((_xlfn.XLOOKUP(TablaSTOCKINV[[#This Row],[SKU]],TablaSALIDA[SKU],TablaSALIDA[FECHA],,0,-1))," " )</f>
        <v xml:space="preserve"> </v>
      </c>
    </row>
    <row r="1124" spans="1:21" x14ac:dyDescent="0.3">
      <c r="A1124" s="27" t="s">
        <v>3090</v>
      </c>
      <c r="B1124" s="32" t="str">
        <f>_xlfn.XLOOKUP(TablaSTOCKINV[[#This Row],[SKU]],TablaINVENTARIO[SKU],TablaINVENTARIO[DESCRIPCION])</f>
        <v>TERMINAL ELECTRICO HEMBRA AMARILLO 250 (12-10 AWG)</v>
      </c>
      <c r="C1124" s="32" t="str">
        <f>_xlfn.XLOOKUP(TablaSTOCKINV[[#This Row],[SKU]],TablaINVENTARIO[SKU],TablaINVENTARIO[MARCA])</f>
        <v>N/A</v>
      </c>
      <c r="D1124" s="33" t="str">
        <f>_xlfn.XLOOKUP(TablaSTOCKINV[[#This Row],[SKU]],TablaINVENTARIO[SKU],TablaINVENTARIO[CATEGORIA])</f>
        <v>FABRICACION</v>
      </c>
      <c r="E1124" s="33" t="str">
        <f>_xlfn.XLOOKUP(TablaSTOCKINV[[#This Row],[SKU]],TablaINVENTARIO[SKU],TablaINVENTARIO[SUBCATEGORIA])</f>
        <v xml:space="preserve">MATERIAL ELECTRICO </v>
      </c>
      <c r="F1124" s="33" t="str">
        <f>_xlfn.XLOOKUP(TablaSTOCKINV[[#This Row],[SKU]],TablaINVENTARIO[SKU],TablaINVENTARIO[ESTADO])</f>
        <v xml:space="preserve">NUEVO </v>
      </c>
      <c r="G1124" s="33" t="str">
        <f>_xlfn.XLOOKUP(TablaSTOCKINV[[#This Row],[SKU]],TablaINVENTARIO[SKU],TablaINVENTARIO[MEDIDA])</f>
        <v>UND</v>
      </c>
      <c r="H1124" s="33" t="str">
        <f>_xlfn.XLOOKUP(TablaSTOCKINV[[#This Row],[SKU]],TablaINVENTARIO[SKU],TablaINVENTARIO[SERIAL])</f>
        <v>N/A</v>
      </c>
      <c r="I1124" s="34">
        <f>_xlfn.XLOOKUP(TablaSTOCKINV[[#This Row],[SKU]],TablaINVENTARIO[SKU],TablaINVENTARIO[ALMACEN])</f>
        <v>0</v>
      </c>
      <c r="J1124" s="34" t="str">
        <f>_xlfn.XLOOKUP(TablaSTOCKINV[[#This Row],[SKU]],TablaINVENTARIO[SKU],TablaINVENTARIO[UBICACION])</f>
        <v>C4</v>
      </c>
      <c r="K1124" s="34" t="str">
        <f>_xlfn.XLOOKUP(TablaSTOCKINV[[#This Row],[SKU]],TablaINVENTARIO[SKU],TablaINVENTARIO[DPTO RESPONSABLE])</f>
        <v xml:space="preserve">OPERACIONES </v>
      </c>
      <c r="L1124" s="53">
        <f>_xlfn.XLOOKUP(TablaSTOCKINV[[#This Row],[SKU]],TablaINVENTARIO[SKU],TablaINVENTARIO[RANGO MIN])</f>
        <v>0</v>
      </c>
      <c r="M1124" s="34" cm="1">
        <f t="array" ref="M1124">_xlfn.IFS(TablaSTOCKINV[[#This Row],[CANT. TOTAL]]&lt;=0,1,TablaSTOCKINV[[#This Row],[CANT. TOTAL]]&lt;=TablaSTOCKINV[[#This Row],[MIN]],2,TablaSTOCKINV[[#This Row],[CANT. TOTAL]]&gt;TablaSTOCKINV[[#This Row],[MIN]],3)</f>
        <v>3</v>
      </c>
      <c r="N1124" s="34">
        <f>TablaSTOCKINV[[#This Row],[ENTRADAS]]-TablaSTOCKINV[[#This Row],[SALIDAS]]</f>
        <v>32</v>
      </c>
      <c r="O1124" s="35">
        <f>SUMIFS(TablaENTRADA[CANT],TablaENTRADA[SKU],TablaSTOCKINV[[#This Row],[SKU]])</f>
        <v>32</v>
      </c>
      <c r="P1124" s="35">
        <f>SUMIFS(TablaSALIDA[CANT],TablaSALIDA[SKU],TablaSTOCKINV[[#This Row],[SKU]])</f>
        <v>0</v>
      </c>
      <c r="Q1124" s="34">
        <f>_xlfn.XLOOKUP(TablaSTOCKINV[[#This Row],[SKU]],TablaINVENTARIO[SKU],TablaINVENTARIO[PRECIO])</f>
        <v>0</v>
      </c>
      <c r="R1124" s="34">
        <f>TablaSTOCKINV[[#This Row],[P.UNITARIO]]*TablaSTOCKINV[[#This Row],[CANT. TOTAL]]</f>
        <v>0</v>
      </c>
      <c r="S1124" s="44">
        <f>_xlfn.XLOOKUP(TablaSTOCKINV[[#This Row],[SKU]],TablaINVENTARIO[SKU],TablaINVENTARIO[FECHA INGRESO])</f>
        <v>46023</v>
      </c>
      <c r="T1124" s="44">
        <f>_xlfn.XLOOKUP(TablaSTOCKINV[[#This Row],[SKU]],TablaENTRADA[SKU],TablaENTRADA[FECHA],,0,-1)</f>
        <v>46023</v>
      </c>
      <c r="U1124" s="46" t="str">
        <f>IFERROR((_xlfn.XLOOKUP(TablaSTOCKINV[[#This Row],[SKU]],TablaSALIDA[SKU],TablaSALIDA[FECHA],,0,-1))," " )</f>
        <v xml:space="preserve"> </v>
      </c>
    </row>
    <row r="1125" spans="1:21" x14ac:dyDescent="0.3">
      <c r="A1125" s="27" t="s">
        <v>3092</v>
      </c>
      <c r="B1125" s="32" t="str">
        <f>_xlfn.XLOOKUP(TablaSTOCKINV[[#This Row],[SKU]],TablaINVENTARIO[SKU],TablaINVENTARIO[DESCRIPCION])</f>
        <v>TERMINAL ELECTRICO DE ANILLO ROJO 3/16 (22-16 AWG)</v>
      </c>
      <c r="C1125" s="32" t="str">
        <f>_xlfn.XLOOKUP(TablaSTOCKINV[[#This Row],[SKU]],TablaINVENTARIO[SKU],TablaINVENTARIO[MARCA])</f>
        <v>N/A</v>
      </c>
      <c r="D1125" s="33" t="str">
        <f>_xlfn.XLOOKUP(TablaSTOCKINV[[#This Row],[SKU]],TablaINVENTARIO[SKU],TablaINVENTARIO[CATEGORIA])</f>
        <v>FABRICACION</v>
      </c>
      <c r="E1125" s="33" t="str">
        <f>_xlfn.XLOOKUP(TablaSTOCKINV[[#This Row],[SKU]],TablaINVENTARIO[SKU],TablaINVENTARIO[SUBCATEGORIA])</f>
        <v xml:space="preserve">MATERIAL ELECTRICO </v>
      </c>
      <c r="F1125" s="33" t="str">
        <f>_xlfn.XLOOKUP(TablaSTOCKINV[[#This Row],[SKU]],TablaINVENTARIO[SKU],TablaINVENTARIO[ESTADO])</f>
        <v xml:space="preserve">NUEVO </v>
      </c>
      <c r="G1125" s="33" t="str">
        <f>_xlfn.XLOOKUP(TablaSTOCKINV[[#This Row],[SKU]],TablaINVENTARIO[SKU],TablaINVENTARIO[MEDIDA])</f>
        <v>UND</v>
      </c>
      <c r="H1125" s="33" t="str">
        <f>_xlfn.XLOOKUP(TablaSTOCKINV[[#This Row],[SKU]],TablaINVENTARIO[SKU],TablaINVENTARIO[SERIAL])</f>
        <v>N/A</v>
      </c>
      <c r="I1125" s="34">
        <f>_xlfn.XLOOKUP(TablaSTOCKINV[[#This Row],[SKU]],TablaINVENTARIO[SKU],TablaINVENTARIO[ALMACEN])</f>
        <v>0</v>
      </c>
      <c r="J1125" s="34" t="str">
        <f>_xlfn.XLOOKUP(TablaSTOCKINV[[#This Row],[SKU]],TablaINVENTARIO[SKU],TablaINVENTARIO[UBICACION])</f>
        <v>C4</v>
      </c>
      <c r="K1125" s="34" t="str">
        <f>_xlfn.XLOOKUP(TablaSTOCKINV[[#This Row],[SKU]],TablaINVENTARIO[SKU],TablaINVENTARIO[DPTO RESPONSABLE])</f>
        <v xml:space="preserve">OPERACIONES </v>
      </c>
      <c r="L1125" s="53">
        <f>_xlfn.XLOOKUP(TablaSTOCKINV[[#This Row],[SKU]],TablaINVENTARIO[SKU],TablaINVENTARIO[RANGO MIN])</f>
        <v>0</v>
      </c>
      <c r="M1125" s="34" cm="1">
        <f t="array" ref="M1125">_xlfn.IFS(TablaSTOCKINV[[#This Row],[CANT. TOTAL]]&lt;=0,1,TablaSTOCKINV[[#This Row],[CANT. TOTAL]]&lt;=TablaSTOCKINV[[#This Row],[MIN]],2,TablaSTOCKINV[[#This Row],[CANT. TOTAL]]&gt;TablaSTOCKINV[[#This Row],[MIN]],3)</f>
        <v>3</v>
      </c>
      <c r="N1125" s="34">
        <f>TablaSTOCKINV[[#This Row],[ENTRADAS]]-TablaSTOCKINV[[#This Row],[SALIDAS]]</f>
        <v>50</v>
      </c>
      <c r="O1125" s="35">
        <f>SUMIFS(TablaENTRADA[CANT],TablaENTRADA[SKU],TablaSTOCKINV[[#This Row],[SKU]])</f>
        <v>50</v>
      </c>
      <c r="P1125" s="35">
        <f>SUMIFS(TablaSALIDA[CANT],TablaSALIDA[SKU],TablaSTOCKINV[[#This Row],[SKU]])</f>
        <v>0</v>
      </c>
      <c r="Q1125" s="34">
        <f>_xlfn.XLOOKUP(TablaSTOCKINV[[#This Row],[SKU]],TablaINVENTARIO[SKU],TablaINVENTARIO[PRECIO])</f>
        <v>0</v>
      </c>
      <c r="R1125" s="34">
        <f>TablaSTOCKINV[[#This Row],[P.UNITARIO]]*TablaSTOCKINV[[#This Row],[CANT. TOTAL]]</f>
        <v>0</v>
      </c>
      <c r="S1125" s="44">
        <f>_xlfn.XLOOKUP(TablaSTOCKINV[[#This Row],[SKU]],TablaINVENTARIO[SKU],TablaINVENTARIO[FECHA INGRESO])</f>
        <v>46023</v>
      </c>
      <c r="T1125" s="44">
        <f>_xlfn.XLOOKUP(TablaSTOCKINV[[#This Row],[SKU]],TablaENTRADA[SKU],TablaENTRADA[FECHA],,0,-1)</f>
        <v>46023</v>
      </c>
      <c r="U1125" s="46" t="str">
        <f>IFERROR((_xlfn.XLOOKUP(TablaSTOCKINV[[#This Row],[SKU]],TablaSALIDA[SKU],TablaSALIDA[FECHA],,0,-1))," " )</f>
        <v xml:space="preserve"> </v>
      </c>
    </row>
    <row r="1126" spans="1:21" x14ac:dyDescent="0.3">
      <c r="A1126" s="27" t="s">
        <v>3094</v>
      </c>
      <c r="B1126" s="32" t="str">
        <f>_xlfn.XLOOKUP(TablaSTOCKINV[[#This Row],[SKU]],TablaINVENTARIO[SKU],TablaINVENTARIO[DESCRIPCION])</f>
        <v>TERMINAL ELECTRICO DE ANILLO AZUL 5/16 (16-14 AWG)</v>
      </c>
      <c r="C1126" s="32" t="str">
        <f>_xlfn.XLOOKUP(TablaSTOCKINV[[#This Row],[SKU]],TablaINVENTARIO[SKU],TablaINVENTARIO[MARCA])</f>
        <v>N/A</v>
      </c>
      <c r="D1126" s="33" t="str">
        <f>_xlfn.XLOOKUP(TablaSTOCKINV[[#This Row],[SKU]],TablaINVENTARIO[SKU],TablaINVENTARIO[CATEGORIA])</f>
        <v>FABRICACION</v>
      </c>
      <c r="E1126" s="33" t="str">
        <f>_xlfn.XLOOKUP(TablaSTOCKINV[[#This Row],[SKU]],TablaINVENTARIO[SKU],TablaINVENTARIO[SUBCATEGORIA])</f>
        <v xml:space="preserve">MATERIAL ELECTRICO </v>
      </c>
      <c r="F1126" s="33" t="str">
        <f>_xlfn.XLOOKUP(TablaSTOCKINV[[#This Row],[SKU]],TablaINVENTARIO[SKU],TablaINVENTARIO[ESTADO])</f>
        <v xml:space="preserve">NUEVO </v>
      </c>
      <c r="G1126" s="33" t="str">
        <f>_xlfn.XLOOKUP(TablaSTOCKINV[[#This Row],[SKU]],TablaINVENTARIO[SKU],TablaINVENTARIO[MEDIDA])</f>
        <v>UND</v>
      </c>
      <c r="H1126" s="33" t="str">
        <f>_xlfn.XLOOKUP(TablaSTOCKINV[[#This Row],[SKU]],TablaINVENTARIO[SKU],TablaINVENTARIO[SERIAL])</f>
        <v>N/A</v>
      </c>
      <c r="I1126" s="34">
        <f>_xlfn.XLOOKUP(TablaSTOCKINV[[#This Row],[SKU]],TablaINVENTARIO[SKU],TablaINVENTARIO[ALMACEN])</f>
        <v>0</v>
      </c>
      <c r="J1126" s="34" t="str">
        <f>_xlfn.XLOOKUP(TablaSTOCKINV[[#This Row],[SKU]],TablaINVENTARIO[SKU],TablaINVENTARIO[UBICACION])</f>
        <v>C4</v>
      </c>
      <c r="K1126" s="34" t="str">
        <f>_xlfn.XLOOKUP(TablaSTOCKINV[[#This Row],[SKU]],TablaINVENTARIO[SKU],TablaINVENTARIO[DPTO RESPONSABLE])</f>
        <v xml:space="preserve">OPERACIONES </v>
      </c>
      <c r="L1126" s="53">
        <f>_xlfn.XLOOKUP(TablaSTOCKINV[[#This Row],[SKU]],TablaINVENTARIO[SKU],TablaINVENTARIO[RANGO MIN])</f>
        <v>0</v>
      </c>
      <c r="M1126" s="34" cm="1">
        <f t="array" ref="M1126">_xlfn.IFS(TablaSTOCKINV[[#This Row],[CANT. TOTAL]]&lt;=0,1,TablaSTOCKINV[[#This Row],[CANT. TOTAL]]&lt;=TablaSTOCKINV[[#This Row],[MIN]],2,TablaSTOCKINV[[#This Row],[CANT. TOTAL]]&gt;TablaSTOCKINV[[#This Row],[MIN]],3)</f>
        <v>3</v>
      </c>
      <c r="N1126" s="34">
        <f>TablaSTOCKINV[[#This Row],[ENTRADAS]]-TablaSTOCKINV[[#This Row],[SALIDAS]]</f>
        <v>44</v>
      </c>
      <c r="O1126" s="35">
        <f>SUMIFS(TablaENTRADA[CANT],TablaENTRADA[SKU],TablaSTOCKINV[[#This Row],[SKU]])</f>
        <v>44</v>
      </c>
      <c r="P1126" s="35">
        <f>SUMIFS(TablaSALIDA[CANT],TablaSALIDA[SKU],TablaSTOCKINV[[#This Row],[SKU]])</f>
        <v>0</v>
      </c>
      <c r="Q1126" s="34">
        <f>_xlfn.XLOOKUP(TablaSTOCKINV[[#This Row],[SKU]],TablaINVENTARIO[SKU],TablaINVENTARIO[PRECIO])</f>
        <v>0</v>
      </c>
      <c r="R1126" s="34">
        <f>TablaSTOCKINV[[#This Row],[P.UNITARIO]]*TablaSTOCKINV[[#This Row],[CANT. TOTAL]]</f>
        <v>0</v>
      </c>
      <c r="S1126" s="44">
        <f>_xlfn.XLOOKUP(TablaSTOCKINV[[#This Row],[SKU]],TablaINVENTARIO[SKU],TablaINVENTARIO[FECHA INGRESO])</f>
        <v>46023</v>
      </c>
      <c r="T1126" s="44">
        <f>_xlfn.XLOOKUP(TablaSTOCKINV[[#This Row],[SKU]],TablaENTRADA[SKU],TablaENTRADA[FECHA],,0,-1)</f>
        <v>46023</v>
      </c>
      <c r="U1126" s="46" t="str">
        <f>IFERROR((_xlfn.XLOOKUP(TablaSTOCKINV[[#This Row],[SKU]],TablaSALIDA[SKU],TablaSALIDA[FECHA],,0,-1))," " )</f>
        <v xml:space="preserve"> </v>
      </c>
    </row>
    <row r="1127" spans="1:21" x14ac:dyDescent="0.3">
      <c r="A1127" s="27" t="s">
        <v>3096</v>
      </c>
      <c r="B1127" s="32" t="str">
        <f>_xlfn.XLOOKUP(TablaSTOCKINV[[#This Row],[SKU]],TablaINVENTARIO[SKU],TablaINVENTARIO[DESCRIPCION])</f>
        <v>TERMINAL ELECTRICO DE ANILLO AZUL 1/4 (16-14 AWG)</v>
      </c>
      <c r="C1127" s="32" t="str">
        <f>_xlfn.XLOOKUP(TablaSTOCKINV[[#This Row],[SKU]],TablaINVENTARIO[SKU],TablaINVENTARIO[MARCA])</f>
        <v>N/A</v>
      </c>
      <c r="D1127" s="33" t="str">
        <f>_xlfn.XLOOKUP(TablaSTOCKINV[[#This Row],[SKU]],TablaINVENTARIO[SKU],TablaINVENTARIO[CATEGORIA])</f>
        <v>FABRICACION</v>
      </c>
      <c r="E1127" s="33" t="str">
        <f>_xlfn.XLOOKUP(TablaSTOCKINV[[#This Row],[SKU]],TablaINVENTARIO[SKU],TablaINVENTARIO[SUBCATEGORIA])</f>
        <v xml:space="preserve">MATERIAL ELECTRICO </v>
      </c>
      <c r="F1127" s="33" t="str">
        <f>_xlfn.XLOOKUP(TablaSTOCKINV[[#This Row],[SKU]],TablaINVENTARIO[SKU],TablaINVENTARIO[ESTADO])</f>
        <v xml:space="preserve">NUEVO </v>
      </c>
      <c r="G1127" s="33" t="str">
        <f>_xlfn.XLOOKUP(TablaSTOCKINV[[#This Row],[SKU]],TablaINVENTARIO[SKU],TablaINVENTARIO[MEDIDA])</f>
        <v>UND</v>
      </c>
      <c r="H1127" s="33" t="str">
        <f>_xlfn.XLOOKUP(TablaSTOCKINV[[#This Row],[SKU]],TablaINVENTARIO[SKU],TablaINVENTARIO[SERIAL])</f>
        <v>N/A</v>
      </c>
      <c r="I1127" s="34">
        <f>_xlfn.XLOOKUP(TablaSTOCKINV[[#This Row],[SKU]],TablaINVENTARIO[SKU],TablaINVENTARIO[ALMACEN])</f>
        <v>0</v>
      </c>
      <c r="J1127" s="34" t="str">
        <f>_xlfn.XLOOKUP(TablaSTOCKINV[[#This Row],[SKU]],TablaINVENTARIO[SKU],TablaINVENTARIO[UBICACION])</f>
        <v>C4</v>
      </c>
      <c r="K1127" s="34" t="str">
        <f>_xlfn.XLOOKUP(TablaSTOCKINV[[#This Row],[SKU]],TablaINVENTARIO[SKU],TablaINVENTARIO[DPTO RESPONSABLE])</f>
        <v xml:space="preserve">OPERACIONES </v>
      </c>
      <c r="L1127" s="53">
        <f>_xlfn.XLOOKUP(TablaSTOCKINV[[#This Row],[SKU]],TablaINVENTARIO[SKU],TablaINVENTARIO[RANGO MIN])</f>
        <v>0</v>
      </c>
      <c r="M1127" s="34" cm="1">
        <f t="array" ref="M1127">_xlfn.IFS(TablaSTOCKINV[[#This Row],[CANT. TOTAL]]&lt;=0,1,TablaSTOCKINV[[#This Row],[CANT. TOTAL]]&lt;=TablaSTOCKINV[[#This Row],[MIN]],2,TablaSTOCKINV[[#This Row],[CANT. TOTAL]]&gt;TablaSTOCKINV[[#This Row],[MIN]],3)</f>
        <v>3</v>
      </c>
      <c r="N1127" s="34">
        <f>TablaSTOCKINV[[#This Row],[ENTRADAS]]-TablaSTOCKINV[[#This Row],[SALIDAS]]</f>
        <v>2</v>
      </c>
      <c r="O1127" s="35">
        <f>SUMIFS(TablaENTRADA[CANT],TablaENTRADA[SKU],TablaSTOCKINV[[#This Row],[SKU]])</f>
        <v>2</v>
      </c>
      <c r="P1127" s="35">
        <f>SUMIFS(TablaSALIDA[CANT],TablaSALIDA[SKU],TablaSTOCKINV[[#This Row],[SKU]])</f>
        <v>0</v>
      </c>
      <c r="Q1127" s="34">
        <f>_xlfn.XLOOKUP(TablaSTOCKINV[[#This Row],[SKU]],TablaINVENTARIO[SKU],TablaINVENTARIO[PRECIO])</f>
        <v>0</v>
      </c>
      <c r="R1127" s="34">
        <f>TablaSTOCKINV[[#This Row],[P.UNITARIO]]*TablaSTOCKINV[[#This Row],[CANT. TOTAL]]</f>
        <v>0</v>
      </c>
      <c r="S1127" s="44">
        <f>_xlfn.XLOOKUP(TablaSTOCKINV[[#This Row],[SKU]],TablaINVENTARIO[SKU],TablaINVENTARIO[FECHA INGRESO])</f>
        <v>46023</v>
      </c>
      <c r="T1127" s="44">
        <f>_xlfn.XLOOKUP(TablaSTOCKINV[[#This Row],[SKU]],TablaENTRADA[SKU],TablaENTRADA[FECHA],,0,-1)</f>
        <v>46023</v>
      </c>
      <c r="U1127" s="46" t="str">
        <f>IFERROR((_xlfn.XLOOKUP(TablaSTOCKINV[[#This Row],[SKU]],TablaSALIDA[SKU],TablaSALIDA[FECHA],,0,-1))," " )</f>
        <v xml:space="preserve"> </v>
      </c>
    </row>
    <row r="1128" spans="1:21" x14ac:dyDescent="0.3">
      <c r="A1128" s="27" t="s">
        <v>3098</v>
      </c>
      <c r="B1128" s="32" t="str">
        <f>_xlfn.XLOOKUP(TablaSTOCKINV[[#This Row],[SKU]],TablaINVENTARIO[SKU],TablaINVENTARIO[DESCRIPCION])</f>
        <v>TERMINAL ELECTRICO DE ANILLO AZUL 3/16 (16/14 AWG)</v>
      </c>
      <c r="C1128" s="32" t="str">
        <f>_xlfn.XLOOKUP(TablaSTOCKINV[[#This Row],[SKU]],TablaINVENTARIO[SKU],TablaINVENTARIO[MARCA])</f>
        <v>N/A</v>
      </c>
      <c r="D1128" s="33" t="str">
        <f>_xlfn.XLOOKUP(TablaSTOCKINV[[#This Row],[SKU]],TablaINVENTARIO[SKU],TablaINVENTARIO[CATEGORIA])</f>
        <v>FABRICACION</v>
      </c>
      <c r="E1128" s="33" t="str">
        <f>_xlfn.XLOOKUP(TablaSTOCKINV[[#This Row],[SKU]],TablaINVENTARIO[SKU],TablaINVENTARIO[SUBCATEGORIA])</f>
        <v xml:space="preserve">MATERIAL ELECTRICO </v>
      </c>
      <c r="F1128" s="33" t="str">
        <f>_xlfn.XLOOKUP(TablaSTOCKINV[[#This Row],[SKU]],TablaINVENTARIO[SKU],TablaINVENTARIO[ESTADO])</f>
        <v xml:space="preserve">NUEVO </v>
      </c>
      <c r="G1128" s="33" t="str">
        <f>_xlfn.XLOOKUP(TablaSTOCKINV[[#This Row],[SKU]],TablaINVENTARIO[SKU],TablaINVENTARIO[MEDIDA])</f>
        <v>UND</v>
      </c>
      <c r="H1128" s="33" t="str">
        <f>_xlfn.XLOOKUP(TablaSTOCKINV[[#This Row],[SKU]],TablaINVENTARIO[SKU],TablaINVENTARIO[SERIAL])</f>
        <v>N/A</v>
      </c>
      <c r="I1128" s="34">
        <f>_xlfn.XLOOKUP(TablaSTOCKINV[[#This Row],[SKU]],TablaINVENTARIO[SKU],TablaINVENTARIO[ALMACEN])</f>
        <v>0</v>
      </c>
      <c r="J1128" s="34" t="str">
        <f>_xlfn.XLOOKUP(TablaSTOCKINV[[#This Row],[SKU]],TablaINVENTARIO[SKU],TablaINVENTARIO[UBICACION])</f>
        <v>C4</v>
      </c>
      <c r="K1128" s="34" t="str">
        <f>_xlfn.XLOOKUP(TablaSTOCKINV[[#This Row],[SKU]],TablaINVENTARIO[SKU],TablaINVENTARIO[DPTO RESPONSABLE])</f>
        <v xml:space="preserve">OPERACIONES </v>
      </c>
      <c r="L1128" s="53">
        <f>_xlfn.XLOOKUP(TablaSTOCKINV[[#This Row],[SKU]],TablaINVENTARIO[SKU],TablaINVENTARIO[RANGO MIN])</f>
        <v>0</v>
      </c>
      <c r="M1128" s="34" cm="1">
        <f t="array" ref="M1128">_xlfn.IFS(TablaSTOCKINV[[#This Row],[CANT. TOTAL]]&lt;=0,1,TablaSTOCKINV[[#This Row],[CANT. TOTAL]]&lt;=TablaSTOCKINV[[#This Row],[MIN]],2,TablaSTOCKINV[[#This Row],[CANT. TOTAL]]&gt;TablaSTOCKINV[[#This Row],[MIN]],3)</f>
        <v>3</v>
      </c>
      <c r="N1128" s="34">
        <f>TablaSTOCKINV[[#This Row],[ENTRADAS]]-TablaSTOCKINV[[#This Row],[SALIDAS]]</f>
        <v>26</v>
      </c>
      <c r="O1128" s="35">
        <f>SUMIFS(TablaENTRADA[CANT],TablaENTRADA[SKU],TablaSTOCKINV[[#This Row],[SKU]])</f>
        <v>26</v>
      </c>
      <c r="P1128" s="35">
        <f>SUMIFS(TablaSALIDA[CANT],TablaSALIDA[SKU],TablaSTOCKINV[[#This Row],[SKU]])</f>
        <v>0</v>
      </c>
      <c r="Q1128" s="34">
        <f>_xlfn.XLOOKUP(TablaSTOCKINV[[#This Row],[SKU]],TablaINVENTARIO[SKU],TablaINVENTARIO[PRECIO])</f>
        <v>0</v>
      </c>
      <c r="R1128" s="34">
        <f>TablaSTOCKINV[[#This Row],[P.UNITARIO]]*TablaSTOCKINV[[#This Row],[CANT. TOTAL]]</f>
        <v>0</v>
      </c>
      <c r="S1128" s="44">
        <f>_xlfn.XLOOKUP(TablaSTOCKINV[[#This Row],[SKU]],TablaINVENTARIO[SKU],TablaINVENTARIO[FECHA INGRESO])</f>
        <v>46023</v>
      </c>
      <c r="T1128" s="44">
        <f>_xlfn.XLOOKUP(TablaSTOCKINV[[#This Row],[SKU]],TablaENTRADA[SKU],TablaENTRADA[FECHA],,0,-1)</f>
        <v>46023</v>
      </c>
      <c r="U1128" s="46" t="str">
        <f>IFERROR((_xlfn.XLOOKUP(TablaSTOCKINV[[#This Row],[SKU]],TablaSALIDA[SKU],TablaSALIDA[FECHA],,0,-1))," " )</f>
        <v xml:space="preserve"> </v>
      </c>
    </row>
    <row r="1129" spans="1:21" x14ac:dyDescent="0.3">
      <c r="A1129" s="27" t="s">
        <v>3100</v>
      </c>
      <c r="B1129" s="32" t="str">
        <f>_xlfn.XLOOKUP(TablaSTOCKINV[[#This Row],[SKU]],TablaINVENTARIO[SKU],TablaINVENTARIO[DESCRIPCION])</f>
        <v>TERMINAL ELECTRICO HEMBRA ROJO 250 (22-16 AWG)</v>
      </c>
      <c r="C1129" s="32" t="str">
        <f>_xlfn.XLOOKUP(TablaSTOCKINV[[#This Row],[SKU]],TablaINVENTARIO[SKU],TablaINVENTARIO[MARCA])</f>
        <v>N/A</v>
      </c>
      <c r="D1129" s="33" t="str">
        <f>_xlfn.XLOOKUP(TablaSTOCKINV[[#This Row],[SKU]],TablaINVENTARIO[SKU],TablaINVENTARIO[CATEGORIA])</f>
        <v>FABRICACION</v>
      </c>
      <c r="E1129" s="33" t="str">
        <f>_xlfn.XLOOKUP(TablaSTOCKINV[[#This Row],[SKU]],TablaINVENTARIO[SKU],TablaINVENTARIO[SUBCATEGORIA])</f>
        <v xml:space="preserve">MATERIAL ELECTRICO </v>
      </c>
      <c r="F1129" s="33" t="str">
        <f>_xlfn.XLOOKUP(TablaSTOCKINV[[#This Row],[SKU]],TablaINVENTARIO[SKU],TablaINVENTARIO[ESTADO])</f>
        <v xml:space="preserve">NUEVO </v>
      </c>
      <c r="G1129" s="33" t="str">
        <f>_xlfn.XLOOKUP(TablaSTOCKINV[[#This Row],[SKU]],TablaINVENTARIO[SKU],TablaINVENTARIO[MEDIDA])</f>
        <v>UND</v>
      </c>
      <c r="H1129" s="33" t="str">
        <f>_xlfn.XLOOKUP(TablaSTOCKINV[[#This Row],[SKU]],TablaINVENTARIO[SKU],TablaINVENTARIO[SERIAL])</f>
        <v>N/A</v>
      </c>
      <c r="I1129" s="34">
        <f>_xlfn.XLOOKUP(TablaSTOCKINV[[#This Row],[SKU]],TablaINVENTARIO[SKU],TablaINVENTARIO[ALMACEN])</f>
        <v>0</v>
      </c>
      <c r="J1129" s="34" t="str">
        <f>_xlfn.XLOOKUP(TablaSTOCKINV[[#This Row],[SKU]],TablaINVENTARIO[SKU],TablaINVENTARIO[UBICACION])</f>
        <v>C4</v>
      </c>
      <c r="K1129" s="34" t="str">
        <f>_xlfn.XLOOKUP(TablaSTOCKINV[[#This Row],[SKU]],TablaINVENTARIO[SKU],TablaINVENTARIO[DPTO RESPONSABLE])</f>
        <v xml:space="preserve">OPERACIONES </v>
      </c>
      <c r="L1129" s="53">
        <f>_xlfn.XLOOKUP(TablaSTOCKINV[[#This Row],[SKU]],TablaINVENTARIO[SKU],TablaINVENTARIO[RANGO MIN])</f>
        <v>0</v>
      </c>
      <c r="M1129" s="34" cm="1">
        <f t="array" ref="M1129">_xlfn.IFS(TablaSTOCKINV[[#This Row],[CANT. TOTAL]]&lt;=0,1,TablaSTOCKINV[[#This Row],[CANT. TOTAL]]&lt;=TablaSTOCKINV[[#This Row],[MIN]],2,TablaSTOCKINV[[#This Row],[CANT. TOTAL]]&gt;TablaSTOCKINV[[#This Row],[MIN]],3)</f>
        <v>3</v>
      </c>
      <c r="N1129" s="34">
        <f>TablaSTOCKINV[[#This Row],[ENTRADAS]]-TablaSTOCKINV[[#This Row],[SALIDAS]]</f>
        <v>45</v>
      </c>
      <c r="O1129" s="35">
        <f>SUMIFS(TablaENTRADA[CANT],TablaENTRADA[SKU],TablaSTOCKINV[[#This Row],[SKU]])</f>
        <v>45</v>
      </c>
      <c r="P1129" s="35">
        <f>SUMIFS(TablaSALIDA[CANT],TablaSALIDA[SKU],TablaSTOCKINV[[#This Row],[SKU]])</f>
        <v>0</v>
      </c>
      <c r="Q1129" s="34">
        <f>_xlfn.XLOOKUP(TablaSTOCKINV[[#This Row],[SKU]],TablaINVENTARIO[SKU],TablaINVENTARIO[PRECIO])</f>
        <v>0</v>
      </c>
      <c r="R1129" s="34">
        <f>TablaSTOCKINV[[#This Row],[P.UNITARIO]]*TablaSTOCKINV[[#This Row],[CANT. TOTAL]]</f>
        <v>0</v>
      </c>
      <c r="S1129" s="44">
        <f>_xlfn.XLOOKUP(TablaSTOCKINV[[#This Row],[SKU]],TablaINVENTARIO[SKU],TablaINVENTARIO[FECHA INGRESO])</f>
        <v>46023</v>
      </c>
      <c r="T1129" s="44">
        <f>_xlfn.XLOOKUP(TablaSTOCKINV[[#This Row],[SKU]],TablaENTRADA[SKU],TablaENTRADA[FECHA],,0,-1)</f>
        <v>46023</v>
      </c>
      <c r="U1129" s="46" t="str">
        <f>IFERROR((_xlfn.XLOOKUP(TablaSTOCKINV[[#This Row],[SKU]],TablaSALIDA[SKU],TablaSALIDA[FECHA],,0,-1))," " )</f>
        <v xml:space="preserve"> </v>
      </c>
    </row>
    <row r="1130" spans="1:21" x14ac:dyDescent="0.3">
      <c r="A1130" s="27" t="s">
        <v>3102</v>
      </c>
      <c r="B1130" s="32" t="str">
        <f>_xlfn.XLOOKUP(TablaSTOCKINV[[#This Row],[SKU]],TablaINVENTARIO[SKU],TablaINVENTARIO[DESCRIPCION])</f>
        <v>TERMINAL ELECTRICO DE PUNTA AZUL (14-16 AWG)</v>
      </c>
      <c r="C1130" s="32" t="str">
        <f>_xlfn.XLOOKUP(TablaSTOCKINV[[#This Row],[SKU]],TablaINVENTARIO[SKU],TablaINVENTARIO[MARCA])</f>
        <v>N/A</v>
      </c>
      <c r="D1130" s="33" t="str">
        <f>_xlfn.XLOOKUP(TablaSTOCKINV[[#This Row],[SKU]],TablaINVENTARIO[SKU],TablaINVENTARIO[CATEGORIA])</f>
        <v>FABRICACION</v>
      </c>
      <c r="E1130" s="33" t="str">
        <f>_xlfn.XLOOKUP(TablaSTOCKINV[[#This Row],[SKU]],TablaINVENTARIO[SKU],TablaINVENTARIO[SUBCATEGORIA])</f>
        <v xml:space="preserve">MATERIAL ELECTRICO </v>
      </c>
      <c r="F1130" s="33" t="str">
        <f>_xlfn.XLOOKUP(TablaSTOCKINV[[#This Row],[SKU]],TablaINVENTARIO[SKU],TablaINVENTARIO[ESTADO])</f>
        <v xml:space="preserve">NUEVO </v>
      </c>
      <c r="G1130" s="33" t="str">
        <f>_xlfn.XLOOKUP(TablaSTOCKINV[[#This Row],[SKU]],TablaINVENTARIO[SKU],TablaINVENTARIO[MEDIDA])</f>
        <v>UND</v>
      </c>
      <c r="H1130" s="33" t="str">
        <f>_xlfn.XLOOKUP(TablaSTOCKINV[[#This Row],[SKU]],TablaINVENTARIO[SKU],TablaINVENTARIO[SERIAL])</f>
        <v>N/A</v>
      </c>
      <c r="I1130" s="34">
        <f>_xlfn.XLOOKUP(TablaSTOCKINV[[#This Row],[SKU]],TablaINVENTARIO[SKU],TablaINVENTARIO[ALMACEN])</f>
        <v>0</v>
      </c>
      <c r="J1130" s="34" t="str">
        <f>_xlfn.XLOOKUP(TablaSTOCKINV[[#This Row],[SKU]],TablaINVENTARIO[SKU],TablaINVENTARIO[UBICACION])</f>
        <v>C4</v>
      </c>
      <c r="K1130" s="34" t="str">
        <f>_xlfn.XLOOKUP(TablaSTOCKINV[[#This Row],[SKU]],TablaINVENTARIO[SKU],TablaINVENTARIO[DPTO RESPONSABLE])</f>
        <v xml:space="preserve">OPERACIONES </v>
      </c>
      <c r="L1130" s="53">
        <f>_xlfn.XLOOKUP(TablaSTOCKINV[[#This Row],[SKU]],TablaINVENTARIO[SKU],TablaINVENTARIO[RANGO MIN])</f>
        <v>0</v>
      </c>
      <c r="M1130" s="34" cm="1">
        <f t="array" ref="M1130">_xlfn.IFS(TablaSTOCKINV[[#This Row],[CANT. TOTAL]]&lt;=0,1,TablaSTOCKINV[[#This Row],[CANT. TOTAL]]&lt;=TablaSTOCKINV[[#This Row],[MIN]],2,TablaSTOCKINV[[#This Row],[CANT. TOTAL]]&gt;TablaSTOCKINV[[#This Row],[MIN]],3)</f>
        <v>3</v>
      </c>
      <c r="N1130" s="34">
        <f>TablaSTOCKINV[[#This Row],[ENTRADAS]]-TablaSTOCKINV[[#This Row],[SALIDAS]]</f>
        <v>171</v>
      </c>
      <c r="O1130" s="35">
        <f>SUMIFS(TablaENTRADA[CANT],TablaENTRADA[SKU],TablaSTOCKINV[[#This Row],[SKU]])</f>
        <v>171</v>
      </c>
      <c r="P1130" s="35">
        <f>SUMIFS(TablaSALIDA[CANT],TablaSALIDA[SKU],TablaSTOCKINV[[#This Row],[SKU]])</f>
        <v>0</v>
      </c>
      <c r="Q1130" s="34">
        <f>_xlfn.XLOOKUP(TablaSTOCKINV[[#This Row],[SKU]],TablaINVENTARIO[SKU],TablaINVENTARIO[PRECIO])</f>
        <v>0</v>
      </c>
      <c r="R1130" s="34">
        <f>TablaSTOCKINV[[#This Row],[P.UNITARIO]]*TablaSTOCKINV[[#This Row],[CANT. TOTAL]]</f>
        <v>0</v>
      </c>
      <c r="S1130" s="44">
        <f>_xlfn.XLOOKUP(TablaSTOCKINV[[#This Row],[SKU]],TablaINVENTARIO[SKU],TablaINVENTARIO[FECHA INGRESO])</f>
        <v>46023</v>
      </c>
      <c r="T1130" s="44">
        <f>_xlfn.XLOOKUP(TablaSTOCKINV[[#This Row],[SKU]],TablaENTRADA[SKU],TablaENTRADA[FECHA],,0,-1)</f>
        <v>46023</v>
      </c>
      <c r="U1130" s="46" t="str">
        <f>IFERROR((_xlfn.XLOOKUP(TablaSTOCKINV[[#This Row],[SKU]],TablaSALIDA[SKU],TablaSALIDA[FECHA],,0,-1))," " )</f>
        <v xml:space="preserve"> </v>
      </c>
    </row>
    <row r="1131" spans="1:21" x14ac:dyDescent="0.3">
      <c r="A1131" s="27" t="s">
        <v>3104</v>
      </c>
      <c r="B1131" s="32" t="str">
        <f>_xlfn.XLOOKUP(TablaSTOCKINV[[#This Row],[SKU]],TablaINVENTARIO[SKU],TablaINVENTARIO[DESCRIPCION])</f>
        <v>TERMINAL ELECTRICO DE PUNTA ROJO (14 AWG)</v>
      </c>
      <c r="C1131" s="32" t="str">
        <f>_xlfn.XLOOKUP(TablaSTOCKINV[[#This Row],[SKU]],TablaINVENTARIO[SKU],TablaINVENTARIO[MARCA])</f>
        <v>N/A</v>
      </c>
      <c r="D1131" s="33" t="str">
        <f>_xlfn.XLOOKUP(TablaSTOCKINV[[#This Row],[SKU]],TablaINVENTARIO[SKU],TablaINVENTARIO[CATEGORIA])</f>
        <v>FABRICACION</v>
      </c>
      <c r="E1131" s="33" t="str">
        <f>_xlfn.XLOOKUP(TablaSTOCKINV[[#This Row],[SKU]],TablaINVENTARIO[SKU],TablaINVENTARIO[SUBCATEGORIA])</f>
        <v xml:space="preserve">MATERIAL ELECTRICO </v>
      </c>
      <c r="F1131" s="33" t="str">
        <f>_xlfn.XLOOKUP(TablaSTOCKINV[[#This Row],[SKU]],TablaINVENTARIO[SKU],TablaINVENTARIO[ESTADO])</f>
        <v xml:space="preserve">NUEVO </v>
      </c>
      <c r="G1131" s="33" t="str">
        <f>_xlfn.XLOOKUP(TablaSTOCKINV[[#This Row],[SKU]],TablaINVENTARIO[SKU],TablaINVENTARIO[MEDIDA])</f>
        <v>UND</v>
      </c>
      <c r="H1131" s="33" t="str">
        <f>_xlfn.XLOOKUP(TablaSTOCKINV[[#This Row],[SKU]],TablaINVENTARIO[SKU],TablaINVENTARIO[SERIAL])</f>
        <v>N/A</v>
      </c>
      <c r="I1131" s="34">
        <f>_xlfn.XLOOKUP(TablaSTOCKINV[[#This Row],[SKU]],TablaINVENTARIO[SKU],TablaINVENTARIO[ALMACEN])</f>
        <v>0</v>
      </c>
      <c r="J1131" s="34" t="str">
        <f>_xlfn.XLOOKUP(TablaSTOCKINV[[#This Row],[SKU]],TablaINVENTARIO[SKU],TablaINVENTARIO[UBICACION])</f>
        <v>C4</v>
      </c>
      <c r="K1131" s="34" t="str">
        <f>_xlfn.XLOOKUP(TablaSTOCKINV[[#This Row],[SKU]],TablaINVENTARIO[SKU],TablaINVENTARIO[DPTO RESPONSABLE])</f>
        <v xml:space="preserve">OPERACIONES </v>
      </c>
      <c r="L1131" s="53">
        <f>_xlfn.XLOOKUP(TablaSTOCKINV[[#This Row],[SKU]],TablaINVENTARIO[SKU],TablaINVENTARIO[RANGO MIN])</f>
        <v>0</v>
      </c>
      <c r="M1131" s="34" cm="1">
        <f t="array" ref="M1131">_xlfn.IFS(TablaSTOCKINV[[#This Row],[CANT. TOTAL]]&lt;=0,1,TablaSTOCKINV[[#This Row],[CANT. TOTAL]]&lt;=TablaSTOCKINV[[#This Row],[MIN]],2,TablaSTOCKINV[[#This Row],[CANT. TOTAL]]&gt;TablaSTOCKINV[[#This Row],[MIN]],3)</f>
        <v>3</v>
      </c>
      <c r="N1131" s="34">
        <f>TablaSTOCKINV[[#This Row],[ENTRADAS]]-TablaSTOCKINV[[#This Row],[SALIDAS]]</f>
        <v>172</v>
      </c>
      <c r="O1131" s="35">
        <f>SUMIFS(TablaENTRADA[CANT],TablaENTRADA[SKU],TablaSTOCKINV[[#This Row],[SKU]])</f>
        <v>172</v>
      </c>
      <c r="P1131" s="35">
        <f>SUMIFS(TablaSALIDA[CANT],TablaSALIDA[SKU],TablaSTOCKINV[[#This Row],[SKU]])</f>
        <v>0</v>
      </c>
      <c r="Q1131" s="34">
        <f>_xlfn.XLOOKUP(TablaSTOCKINV[[#This Row],[SKU]],TablaINVENTARIO[SKU],TablaINVENTARIO[PRECIO])</f>
        <v>0</v>
      </c>
      <c r="R1131" s="34">
        <f>TablaSTOCKINV[[#This Row],[P.UNITARIO]]*TablaSTOCKINV[[#This Row],[CANT. TOTAL]]</f>
        <v>0</v>
      </c>
      <c r="S1131" s="44">
        <f>_xlfn.XLOOKUP(TablaSTOCKINV[[#This Row],[SKU]],TablaINVENTARIO[SKU],TablaINVENTARIO[FECHA INGRESO])</f>
        <v>46023</v>
      </c>
      <c r="T1131" s="44">
        <f>_xlfn.XLOOKUP(TablaSTOCKINV[[#This Row],[SKU]],TablaENTRADA[SKU],TablaENTRADA[FECHA],,0,-1)</f>
        <v>46023</v>
      </c>
      <c r="U1131" s="46" t="str">
        <f>IFERROR((_xlfn.XLOOKUP(TablaSTOCKINV[[#This Row],[SKU]],TablaSALIDA[SKU],TablaSALIDA[FECHA],,0,-1))," " )</f>
        <v xml:space="preserve"> </v>
      </c>
    </row>
    <row r="1132" spans="1:21" x14ac:dyDescent="0.3">
      <c r="A1132" s="27" t="s">
        <v>3106</v>
      </c>
      <c r="B1132" s="32" t="str">
        <f>_xlfn.XLOOKUP(TablaSTOCKINV[[#This Row],[SKU]],TablaINVENTARIO[SKU],TablaINVENTARIO[DESCRIPCION])</f>
        <v xml:space="preserve">TERMINAL ELECTRICO DE LATON TIPO HORQUILLA </v>
      </c>
      <c r="C1132" s="32" t="str">
        <f>_xlfn.XLOOKUP(TablaSTOCKINV[[#This Row],[SKU]],TablaINVENTARIO[SKU],TablaINVENTARIO[MARCA])</f>
        <v>N/A</v>
      </c>
      <c r="D1132" s="33" t="str">
        <f>_xlfn.XLOOKUP(TablaSTOCKINV[[#This Row],[SKU]],TablaINVENTARIO[SKU],TablaINVENTARIO[CATEGORIA])</f>
        <v>FABRICACION</v>
      </c>
      <c r="E1132" s="33" t="str">
        <f>_xlfn.XLOOKUP(TablaSTOCKINV[[#This Row],[SKU]],TablaINVENTARIO[SKU],TablaINVENTARIO[SUBCATEGORIA])</f>
        <v xml:space="preserve">MATERIAL ELECTRICO </v>
      </c>
      <c r="F1132" s="33" t="str">
        <f>_xlfn.XLOOKUP(TablaSTOCKINV[[#This Row],[SKU]],TablaINVENTARIO[SKU],TablaINVENTARIO[ESTADO])</f>
        <v xml:space="preserve">NUEVO </v>
      </c>
      <c r="G1132" s="33" t="str">
        <f>_xlfn.XLOOKUP(TablaSTOCKINV[[#This Row],[SKU]],TablaINVENTARIO[SKU],TablaINVENTARIO[MEDIDA])</f>
        <v>UND</v>
      </c>
      <c r="H1132" s="33" t="str">
        <f>_xlfn.XLOOKUP(TablaSTOCKINV[[#This Row],[SKU]],TablaINVENTARIO[SKU],TablaINVENTARIO[SERIAL])</f>
        <v>N/A</v>
      </c>
      <c r="I1132" s="34">
        <f>_xlfn.XLOOKUP(TablaSTOCKINV[[#This Row],[SKU]],TablaINVENTARIO[SKU],TablaINVENTARIO[ALMACEN])</f>
        <v>0</v>
      </c>
      <c r="J1132" s="34" t="str">
        <f>_xlfn.XLOOKUP(TablaSTOCKINV[[#This Row],[SKU]],TablaINVENTARIO[SKU],TablaINVENTARIO[UBICACION])</f>
        <v>C4</v>
      </c>
      <c r="K1132" s="34" t="str">
        <f>_xlfn.XLOOKUP(TablaSTOCKINV[[#This Row],[SKU]],TablaINVENTARIO[SKU],TablaINVENTARIO[DPTO RESPONSABLE])</f>
        <v xml:space="preserve">OPERACIONES </v>
      </c>
      <c r="L1132" s="53">
        <f>_xlfn.XLOOKUP(TablaSTOCKINV[[#This Row],[SKU]],TablaINVENTARIO[SKU],TablaINVENTARIO[RANGO MIN])</f>
        <v>0</v>
      </c>
      <c r="M1132" s="34" cm="1">
        <f t="array" ref="M1132">_xlfn.IFS(TablaSTOCKINV[[#This Row],[CANT. TOTAL]]&lt;=0,1,TablaSTOCKINV[[#This Row],[CANT. TOTAL]]&lt;=TablaSTOCKINV[[#This Row],[MIN]],2,TablaSTOCKINV[[#This Row],[CANT. TOTAL]]&gt;TablaSTOCKINV[[#This Row],[MIN]],3)</f>
        <v>3</v>
      </c>
      <c r="N1132" s="34">
        <f>TablaSTOCKINV[[#This Row],[ENTRADAS]]-TablaSTOCKINV[[#This Row],[SALIDAS]]</f>
        <v>104</v>
      </c>
      <c r="O1132" s="35">
        <f>SUMIFS(TablaENTRADA[CANT],TablaENTRADA[SKU],TablaSTOCKINV[[#This Row],[SKU]])</f>
        <v>104</v>
      </c>
      <c r="P1132" s="35">
        <f>SUMIFS(TablaSALIDA[CANT],TablaSALIDA[SKU],TablaSTOCKINV[[#This Row],[SKU]])</f>
        <v>0</v>
      </c>
      <c r="Q1132" s="34">
        <f>_xlfn.XLOOKUP(TablaSTOCKINV[[#This Row],[SKU]],TablaINVENTARIO[SKU],TablaINVENTARIO[PRECIO])</f>
        <v>0</v>
      </c>
      <c r="R1132" s="34">
        <f>TablaSTOCKINV[[#This Row],[P.UNITARIO]]*TablaSTOCKINV[[#This Row],[CANT. TOTAL]]</f>
        <v>0</v>
      </c>
      <c r="S1132" s="44">
        <f>_xlfn.XLOOKUP(TablaSTOCKINV[[#This Row],[SKU]],TablaINVENTARIO[SKU],TablaINVENTARIO[FECHA INGRESO])</f>
        <v>46023</v>
      </c>
      <c r="T1132" s="44">
        <f>_xlfn.XLOOKUP(TablaSTOCKINV[[#This Row],[SKU]],TablaENTRADA[SKU],TablaENTRADA[FECHA],,0,-1)</f>
        <v>46023</v>
      </c>
      <c r="U1132" s="46" t="str">
        <f>IFERROR((_xlfn.XLOOKUP(TablaSTOCKINV[[#This Row],[SKU]],TablaSALIDA[SKU],TablaSALIDA[FECHA],,0,-1))," " )</f>
        <v xml:space="preserve"> </v>
      </c>
    </row>
    <row r="1133" spans="1:21" x14ac:dyDescent="0.3">
      <c r="A1133" s="27" t="s">
        <v>3108</v>
      </c>
      <c r="B1133" s="32" t="str">
        <f>_xlfn.XLOOKUP(TablaSTOCKINV[[#This Row],[SKU]],TablaINVENTARIO[SKU],TablaINVENTARIO[DESCRIPCION])</f>
        <v>TERMINAL ELECTRICO DE HORQUILLA ROJO (22-16 AWG)</v>
      </c>
      <c r="C1133" s="32" t="str">
        <f>_xlfn.XLOOKUP(TablaSTOCKINV[[#This Row],[SKU]],TablaINVENTARIO[SKU],TablaINVENTARIO[MARCA])</f>
        <v>N/A</v>
      </c>
      <c r="D1133" s="33" t="str">
        <f>_xlfn.XLOOKUP(TablaSTOCKINV[[#This Row],[SKU]],TablaINVENTARIO[SKU],TablaINVENTARIO[CATEGORIA])</f>
        <v>FABRICACION</v>
      </c>
      <c r="E1133" s="33" t="str">
        <f>_xlfn.XLOOKUP(TablaSTOCKINV[[#This Row],[SKU]],TablaINVENTARIO[SKU],TablaINVENTARIO[SUBCATEGORIA])</f>
        <v xml:space="preserve">MATERIAL ELECTRICO </v>
      </c>
      <c r="F1133" s="33" t="str">
        <f>_xlfn.XLOOKUP(TablaSTOCKINV[[#This Row],[SKU]],TablaINVENTARIO[SKU],TablaINVENTARIO[ESTADO])</f>
        <v xml:space="preserve">NUEVO </v>
      </c>
      <c r="G1133" s="33" t="str">
        <f>_xlfn.XLOOKUP(TablaSTOCKINV[[#This Row],[SKU]],TablaINVENTARIO[SKU],TablaINVENTARIO[MEDIDA])</f>
        <v>UND</v>
      </c>
      <c r="H1133" s="33" t="str">
        <f>_xlfn.XLOOKUP(TablaSTOCKINV[[#This Row],[SKU]],TablaINVENTARIO[SKU],TablaINVENTARIO[SERIAL])</f>
        <v>N/A</v>
      </c>
      <c r="I1133" s="34">
        <f>_xlfn.XLOOKUP(TablaSTOCKINV[[#This Row],[SKU]],TablaINVENTARIO[SKU],TablaINVENTARIO[ALMACEN])</f>
        <v>0</v>
      </c>
      <c r="J1133" s="34" t="str">
        <f>_xlfn.XLOOKUP(TablaSTOCKINV[[#This Row],[SKU]],TablaINVENTARIO[SKU],TablaINVENTARIO[UBICACION])</f>
        <v>C4</v>
      </c>
      <c r="K1133" s="34" t="str">
        <f>_xlfn.XLOOKUP(TablaSTOCKINV[[#This Row],[SKU]],TablaINVENTARIO[SKU],TablaINVENTARIO[DPTO RESPONSABLE])</f>
        <v xml:space="preserve">OPERACIONES </v>
      </c>
      <c r="L1133" s="53">
        <f>_xlfn.XLOOKUP(TablaSTOCKINV[[#This Row],[SKU]],TablaINVENTARIO[SKU],TablaINVENTARIO[RANGO MIN])</f>
        <v>0</v>
      </c>
      <c r="M1133" s="34" cm="1">
        <f t="array" ref="M1133">_xlfn.IFS(TablaSTOCKINV[[#This Row],[CANT. TOTAL]]&lt;=0,1,TablaSTOCKINV[[#This Row],[CANT. TOTAL]]&lt;=TablaSTOCKINV[[#This Row],[MIN]],2,TablaSTOCKINV[[#This Row],[CANT. TOTAL]]&gt;TablaSTOCKINV[[#This Row],[MIN]],3)</f>
        <v>3</v>
      </c>
      <c r="N1133" s="34">
        <f>TablaSTOCKINV[[#This Row],[ENTRADAS]]-TablaSTOCKINV[[#This Row],[SALIDAS]]</f>
        <v>128</v>
      </c>
      <c r="O1133" s="35">
        <f>SUMIFS(TablaENTRADA[CANT],TablaENTRADA[SKU],TablaSTOCKINV[[#This Row],[SKU]])</f>
        <v>128</v>
      </c>
      <c r="P1133" s="35">
        <f>SUMIFS(TablaSALIDA[CANT],TablaSALIDA[SKU],TablaSTOCKINV[[#This Row],[SKU]])</f>
        <v>0</v>
      </c>
      <c r="Q1133" s="34">
        <f>_xlfn.XLOOKUP(TablaSTOCKINV[[#This Row],[SKU]],TablaINVENTARIO[SKU],TablaINVENTARIO[PRECIO])</f>
        <v>0</v>
      </c>
      <c r="R1133" s="34">
        <f>TablaSTOCKINV[[#This Row],[P.UNITARIO]]*TablaSTOCKINV[[#This Row],[CANT. TOTAL]]</f>
        <v>0</v>
      </c>
      <c r="S1133" s="44">
        <f>_xlfn.XLOOKUP(TablaSTOCKINV[[#This Row],[SKU]],TablaINVENTARIO[SKU],TablaINVENTARIO[FECHA INGRESO])</f>
        <v>46023</v>
      </c>
      <c r="T1133" s="44">
        <f>_xlfn.XLOOKUP(TablaSTOCKINV[[#This Row],[SKU]],TablaENTRADA[SKU],TablaENTRADA[FECHA],,0,-1)</f>
        <v>46023</v>
      </c>
      <c r="U1133" s="46" t="str">
        <f>IFERROR((_xlfn.XLOOKUP(TablaSTOCKINV[[#This Row],[SKU]],TablaSALIDA[SKU],TablaSALIDA[FECHA],,0,-1))," " )</f>
        <v xml:space="preserve"> </v>
      </c>
    </row>
    <row r="1134" spans="1:21" x14ac:dyDescent="0.3">
      <c r="A1134" s="27" t="s">
        <v>3110</v>
      </c>
      <c r="B1134" s="32" t="str">
        <f>_xlfn.XLOOKUP(TablaSTOCKINV[[#This Row],[SKU]],TablaINVENTARIO[SKU],TablaINVENTARIO[DESCRIPCION])</f>
        <v xml:space="preserve">FUSIBLE 0.5A </v>
      </c>
      <c r="C1134" s="32" t="str">
        <f>_xlfn.XLOOKUP(TablaSTOCKINV[[#This Row],[SKU]],TablaINVENTARIO[SKU],TablaINVENTARIO[MARCA])</f>
        <v>N/A</v>
      </c>
      <c r="D1134" s="33" t="str">
        <f>_xlfn.XLOOKUP(TablaSTOCKINV[[#This Row],[SKU]],TablaINVENTARIO[SKU],TablaINVENTARIO[CATEGORIA])</f>
        <v>FABRICACION</v>
      </c>
      <c r="E1134" s="33" t="str">
        <f>_xlfn.XLOOKUP(TablaSTOCKINV[[#This Row],[SKU]],TablaINVENTARIO[SKU],TablaINVENTARIO[SUBCATEGORIA])</f>
        <v xml:space="preserve">MATERIAL ELECTRICO </v>
      </c>
      <c r="F1134" s="33" t="str">
        <f>_xlfn.XLOOKUP(TablaSTOCKINV[[#This Row],[SKU]],TablaINVENTARIO[SKU],TablaINVENTARIO[ESTADO])</f>
        <v xml:space="preserve">NUEVO </v>
      </c>
      <c r="G1134" s="33" t="str">
        <f>_xlfn.XLOOKUP(TablaSTOCKINV[[#This Row],[SKU]],TablaINVENTARIO[SKU],TablaINVENTARIO[MEDIDA])</f>
        <v>UND</v>
      </c>
      <c r="H1134" s="33" t="str">
        <f>_xlfn.XLOOKUP(TablaSTOCKINV[[#This Row],[SKU]],TablaINVENTARIO[SKU],TablaINVENTARIO[SERIAL])</f>
        <v>N/A</v>
      </c>
      <c r="I1134" s="34">
        <f>_xlfn.XLOOKUP(TablaSTOCKINV[[#This Row],[SKU]],TablaINVENTARIO[SKU],TablaINVENTARIO[ALMACEN])</f>
        <v>0</v>
      </c>
      <c r="J1134" s="34" t="str">
        <f>_xlfn.XLOOKUP(TablaSTOCKINV[[#This Row],[SKU]],TablaINVENTARIO[SKU],TablaINVENTARIO[UBICACION])</f>
        <v>C4</v>
      </c>
      <c r="K1134" s="34" t="str">
        <f>_xlfn.XLOOKUP(TablaSTOCKINV[[#This Row],[SKU]],TablaINVENTARIO[SKU],TablaINVENTARIO[DPTO RESPONSABLE])</f>
        <v xml:space="preserve">OPERACIONES </v>
      </c>
      <c r="L1134" s="53">
        <f>_xlfn.XLOOKUP(TablaSTOCKINV[[#This Row],[SKU]],TablaINVENTARIO[SKU],TablaINVENTARIO[RANGO MIN])</f>
        <v>0</v>
      </c>
      <c r="M1134" s="34" cm="1">
        <f t="array" ref="M1134">_xlfn.IFS(TablaSTOCKINV[[#This Row],[CANT. TOTAL]]&lt;=0,1,TablaSTOCKINV[[#This Row],[CANT. TOTAL]]&lt;=TablaSTOCKINV[[#This Row],[MIN]],2,TablaSTOCKINV[[#This Row],[CANT. TOTAL]]&gt;TablaSTOCKINV[[#This Row],[MIN]],3)</f>
        <v>3</v>
      </c>
      <c r="N1134" s="34">
        <f>TablaSTOCKINV[[#This Row],[ENTRADAS]]-TablaSTOCKINV[[#This Row],[SALIDAS]]</f>
        <v>17</v>
      </c>
      <c r="O1134" s="35">
        <f>SUMIFS(TablaENTRADA[CANT],TablaENTRADA[SKU],TablaSTOCKINV[[#This Row],[SKU]])</f>
        <v>17</v>
      </c>
      <c r="P1134" s="35">
        <f>SUMIFS(TablaSALIDA[CANT],TablaSALIDA[SKU],TablaSTOCKINV[[#This Row],[SKU]])</f>
        <v>0</v>
      </c>
      <c r="Q1134" s="34">
        <f>_xlfn.XLOOKUP(TablaSTOCKINV[[#This Row],[SKU]],TablaINVENTARIO[SKU],TablaINVENTARIO[PRECIO])</f>
        <v>0</v>
      </c>
      <c r="R1134" s="34">
        <f>TablaSTOCKINV[[#This Row],[P.UNITARIO]]*TablaSTOCKINV[[#This Row],[CANT. TOTAL]]</f>
        <v>0</v>
      </c>
      <c r="S1134" s="44">
        <f>_xlfn.XLOOKUP(TablaSTOCKINV[[#This Row],[SKU]],TablaINVENTARIO[SKU],TablaINVENTARIO[FECHA INGRESO])</f>
        <v>46023</v>
      </c>
      <c r="T1134" s="44">
        <f>_xlfn.XLOOKUP(TablaSTOCKINV[[#This Row],[SKU]],TablaENTRADA[SKU],TablaENTRADA[FECHA],,0,-1)</f>
        <v>46023</v>
      </c>
      <c r="U1134" s="46" t="str">
        <f>IFERROR((_xlfn.XLOOKUP(TablaSTOCKINV[[#This Row],[SKU]],TablaSALIDA[SKU],TablaSALIDA[FECHA],,0,-1))," " )</f>
        <v xml:space="preserve"> </v>
      </c>
    </row>
    <row r="1135" spans="1:21" x14ac:dyDescent="0.3">
      <c r="A1135" s="27" t="s">
        <v>3112</v>
      </c>
      <c r="B1135" s="32" t="str">
        <f>_xlfn.XLOOKUP(TablaSTOCKINV[[#This Row],[SKU]],TablaINVENTARIO[SKU],TablaINVENTARIO[DESCRIPCION])</f>
        <v xml:space="preserve">FUSIBLE 1A </v>
      </c>
      <c r="C1135" s="32" t="str">
        <f>_xlfn.XLOOKUP(TablaSTOCKINV[[#This Row],[SKU]],TablaINVENTARIO[SKU],TablaINVENTARIO[MARCA])</f>
        <v>N/A</v>
      </c>
      <c r="D1135" s="33" t="str">
        <f>_xlfn.XLOOKUP(TablaSTOCKINV[[#This Row],[SKU]],TablaINVENTARIO[SKU],TablaINVENTARIO[CATEGORIA])</f>
        <v>FABRICACION</v>
      </c>
      <c r="E1135" s="33" t="str">
        <f>_xlfn.XLOOKUP(TablaSTOCKINV[[#This Row],[SKU]],TablaINVENTARIO[SKU],TablaINVENTARIO[SUBCATEGORIA])</f>
        <v xml:space="preserve">MATERIAL ELECTRICO </v>
      </c>
      <c r="F1135" s="33" t="str">
        <f>_xlfn.XLOOKUP(TablaSTOCKINV[[#This Row],[SKU]],TablaINVENTARIO[SKU],TablaINVENTARIO[ESTADO])</f>
        <v xml:space="preserve">NUEVO </v>
      </c>
      <c r="G1135" s="33" t="str">
        <f>_xlfn.XLOOKUP(TablaSTOCKINV[[#This Row],[SKU]],TablaINVENTARIO[SKU],TablaINVENTARIO[MEDIDA])</f>
        <v>UND</v>
      </c>
      <c r="H1135" s="33" t="str">
        <f>_xlfn.XLOOKUP(TablaSTOCKINV[[#This Row],[SKU]],TablaINVENTARIO[SKU],TablaINVENTARIO[SERIAL])</f>
        <v>N/A</v>
      </c>
      <c r="I1135" s="34">
        <f>_xlfn.XLOOKUP(TablaSTOCKINV[[#This Row],[SKU]],TablaINVENTARIO[SKU],TablaINVENTARIO[ALMACEN])</f>
        <v>0</v>
      </c>
      <c r="J1135" s="34" t="str">
        <f>_xlfn.XLOOKUP(TablaSTOCKINV[[#This Row],[SKU]],TablaINVENTARIO[SKU],TablaINVENTARIO[UBICACION])</f>
        <v>C4</v>
      </c>
      <c r="K1135" s="34" t="str">
        <f>_xlfn.XLOOKUP(TablaSTOCKINV[[#This Row],[SKU]],TablaINVENTARIO[SKU],TablaINVENTARIO[DPTO RESPONSABLE])</f>
        <v>OPERACIONES</v>
      </c>
      <c r="L1135" s="53">
        <f>_xlfn.XLOOKUP(TablaSTOCKINV[[#This Row],[SKU]],TablaINVENTARIO[SKU],TablaINVENTARIO[RANGO MIN])</f>
        <v>0</v>
      </c>
      <c r="M1135" s="34" cm="1">
        <f t="array" ref="M1135">_xlfn.IFS(TablaSTOCKINV[[#This Row],[CANT. TOTAL]]&lt;=0,1,TablaSTOCKINV[[#This Row],[CANT. TOTAL]]&lt;=TablaSTOCKINV[[#This Row],[MIN]],2,TablaSTOCKINV[[#This Row],[CANT. TOTAL]]&gt;TablaSTOCKINV[[#This Row],[MIN]],3)</f>
        <v>3</v>
      </c>
      <c r="N1135" s="34">
        <f>TablaSTOCKINV[[#This Row],[ENTRADAS]]-TablaSTOCKINV[[#This Row],[SALIDAS]]</f>
        <v>6</v>
      </c>
      <c r="O1135" s="35">
        <f>SUMIFS(TablaENTRADA[CANT],TablaENTRADA[SKU],TablaSTOCKINV[[#This Row],[SKU]])</f>
        <v>6</v>
      </c>
      <c r="P1135" s="35">
        <f>SUMIFS(TablaSALIDA[CANT],TablaSALIDA[SKU],TablaSTOCKINV[[#This Row],[SKU]])</f>
        <v>0</v>
      </c>
      <c r="Q1135" s="34">
        <f>_xlfn.XLOOKUP(TablaSTOCKINV[[#This Row],[SKU]],TablaINVENTARIO[SKU],TablaINVENTARIO[PRECIO])</f>
        <v>0</v>
      </c>
      <c r="R1135" s="34">
        <f>TablaSTOCKINV[[#This Row],[P.UNITARIO]]*TablaSTOCKINV[[#This Row],[CANT. TOTAL]]</f>
        <v>0</v>
      </c>
      <c r="S1135" s="44">
        <f>_xlfn.XLOOKUP(TablaSTOCKINV[[#This Row],[SKU]],TablaINVENTARIO[SKU],TablaINVENTARIO[FECHA INGRESO])</f>
        <v>46023</v>
      </c>
      <c r="T1135" s="44">
        <f>_xlfn.XLOOKUP(TablaSTOCKINV[[#This Row],[SKU]],TablaENTRADA[SKU],TablaENTRADA[FECHA],,0,-1)</f>
        <v>46023</v>
      </c>
      <c r="U1135" s="46" t="str">
        <f>IFERROR((_xlfn.XLOOKUP(TablaSTOCKINV[[#This Row],[SKU]],TablaSALIDA[SKU],TablaSALIDA[FECHA],,0,-1))," " )</f>
        <v xml:space="preserve"> </v>
      </c>
    </row>
    <row r="1136" spans="1:21" x14ac:dyDescent="0.3">
      <c r="A1136" s="27" t="s">
        <v>3114</v>
      </c>
      <c r="B1136" s="32" t="str">
        <f>_xlfn.XLOOKUP(TablaSTOCKINV[[#This Row],[SKU]],TablaINVENTARIO[SKU],TablaINVENTARIO[DESCRIPCION])</f>
        <v xml:space="preserve">FUSIBLE 2A </v>
      </c>
      <c r="C1136" s="32" t="str">
        <f>_xlfn.XLOOKUP(TablaSTOCKINV[[#This Row],[SKU]],TablaINVENTARIO[SKU],TablaINVENTARIO[MARCA])</f>
        <v>N/A</v>
      </c>
      <c r="D1136" s="33" t="str">
        <f>_xlfn.XLOOKUP(TablaSTOCKINV[[#This Row],[SKU]],TablaINVENTARIO[SKU],TablaINVENTARIO[CATEGORIA])</f>
        <v>FABRICACION</v>
      </c>
      <c r="E1136" s="33" t="str">
        <f>_xlfn.XLOOKUP(TablaSTOCKINV[[#This Row],[SKU]],TablaINVENTARIO[SKU],TablaINVENTARIO[SUBCATEGORIA])</f>
        <v xml:space="preserve">MATERIAL ELECTRICO </v>
      </c>
      <c r="F1136" s="33" t="str">
        <f>_xlfn.XLOOKUP(TablaSTOCKINV[[#This Row],[SKU]],TablaINVENTARIO[SKU],TablaINVENTARIO[ESTADO])</f>
        <v xml:space="preserve">NUEVO </v>
      </c>
      <c r="G1136" s="33" t="str">
        <f>_xlfn.XLOOKUP(TablaSTOCKINV[[#This Row],[SKU]],TablaINVENTARIO[SKU],TablaINVENTARIO[MEDIDA])</f>
        <v>UND</v>
      </c>
      <c r="H1136" s="33" t="str">
        <f>_xlfn.XLOOKUP(TablaSTOCKINV[[#This Row],[SKU]],TablaINVENTARIO[SKU],TablaINVENTARIO[SERIAL])</f>
        <v>N/A</v>
      </c>
      <c r="I1136" s="34">
        <f>_xlfn.XLOOKUP(TablaSTOCKINV[[#This Row],[SKU]],TablaINVENTARIO[SKU],TablaINVENTARIO[ALMACEN])</f>
        <v>0</v>
      </c>
      <c r="J1136" s="34" t="str">
        <f>_xlfn.XLOOKUP(TablaSTOCKINV[[#This Row],[SKU]],TablaINVENTARIO[SKU],TablaINVENTARIO[UBICACION])</f>
        <v>C4</v>
      </c>
      <c r="K1136" s="34" t="str">
        <f>_xlfn.XLOOKUP(TablaSTOCKINV[[#This Row],[SKU]],TablaINVENTARIO[SKU],TablaINVENTARIO[DPTO RESPONSABLE])</f>
        <v xml:space="preserve">OPERACIONES </v>
      </c>
      <c r="L1136" s="53">
        <f>_xlfn.XLOOKUP(TablaSTOCKINV[[#This Row],[SKU]],TablaINVENTARIO[SKU],TablaINVENTARIO[RANGO MIN])</f>
        <v>0</v>
      </c>
      <c r="M1136" s="34" cm="1">
        <f t="array" ref="M1136">_xlfn.IFS(TablaSTOCKINV[[#This Row],[CANT. TOTAL]]&lt;=0,1,TablaSTOCKINV[[#This Row],[CANT. TOTAL]]&lt;=TablaSTOCKINV[[#This Row],[MIN]],2,TablaSTOCKINV[[#This Row],[CANT. TOTAL]]&gt;TablaSTOCKINV[[#This Row],[MIN]],3)</f>
        <v>3</v>
      </c>
      <c r="N1136" s="34">
        <f>TablaSTOCKINV[[#This Row],[ENTRADAS]]-TablaSTOCKINV[[#This Row],[SALIDAS]]</f>
        <v>38</v>
      </c>
      <c r="O1136" s="35">
        <f>SUMIFS(TablaENTRADA[CANT],TablaENTRADA[SKU],TablaSTOCKINV[[#This Row],[SKU]])</f>
        <v>38</v>
      </c>
      <c r="P1136" s="35">
        <f>SUMIFS(TablaSALIDA[CANT],TablaSALIDA[SKU],TablaSTOCKINV[[#This Row],[SKU]])</f>
        <v>0</v>
      </c>
      <c r="Q1136" s="34">
        <f>_xlfn.XLOOKUP(TablaSTOCKINV[[#This Row],[SKU]],TablaINVENTARIO[SKU],TablaINVENTARIO[PRECIO])</f>
        <v>0</v>
      </c>
      <c r="R1136" s="34">
        <f>TablaSTOCKINV[[#This Row],[P.UNITARIO]]*TablaSTOCKINV[[#This Row],[CANT. TOTAL]]</f>
        <v>0</v>
      </c>
      <c r="S1136" s="44">
        <f>_xlfn.XLOOKUP(TablaSTOCKINV[[#This Row],[SKU]],TablaINVENTARIO[SKU],TablaINVENTARIO[FECHA INGRESO])</f>
        <v>46023</v>
      </c>
      <c r="T1136" s="44">
        <f>_xlfn.XLOOKUP(TablaSTOCKINV[[#This Row],[SKU]],TablaENTRADA[SKU],TablaENTRADA[FECHA],,0,-1)</f>
        <v>46023</v>
      </c>
      <c r="U1136" s="46" t="str">
        <f>IFERROR((_xlfn.XLOOKUP(TablaSTOCKINV[[#This Row],[SKU]],TablaSALIDA[SKU],TablaSALIDA[FECHA],,0,-1))," " )</f>
        <v xml:space="preserve"> </v>
      </c>
    </row>
    <row r="1137" spans="1:21" x14ac:dyDescent="0.3">
      <c r="A1137" s="27" t="s">
        <v>3116</v>
      </c>
      <c r="B1137" s="32" t="str">
        <f>_xlfn.XLOOKUP(TablaSTOCKINV[[#This Row],[SKU]],TablaINVENTARIO[SKU],TablaINVENTARIO[DESCRIPCION])</f>
        <v xml:space="preserve">FUSIBLE 2.5A </v>
      </c>
      <c r="C1137" s="32" t="str">
        <f>_xlfn.XLOOKUP(TablaSTOCKINV[[#This Row],[SKU]],TablaINVENTARIO[SKU],TablaINVENTARIO[MARCA])</f>
        <v>N/A</v>
      </c>
      <c r="D1137" s="33" t="str">
        <f>_xlfn.XLOOKUP(TablaSTOCKINV[[#This Row],[SKU]],TablaINVENTARIO[SKU],TablaINVENTARIO[CATEGORIA])</f>
        <v>FABRICACION</v>
      </c>
      <c r="E1137" s="33" t="str">
        <f>_xlfn.XLOOKUP(TablaSTOCKINV[[#This Row],[SKU]],TablaINVENTARIO[SKU],TablaINVENTARIO[SUBCATEGORIA])</f>
        <v xml:space="preserve">MATERIAL ELECTRICO </v>
      </c>
      <c r="F1137" s="33" t="str">
        <f>_xlfn.XLOOKUP(TablaSTOCKINV[[#This Row],[SKU]],TablaINVENTARIO[SKU],TablaINVENTARIO[ESTADO])</f>
        <v xml:space="preserve">NUEVO </v>
      </c>
      <c r="G1137" s="33" t="str">
        <f>_xlfn.XLOOKUP(TablaSTOCKINV[[#This Row],[SKU]],TablaINVENTARIO[SKU],TablaINVENTARIO[MEDIDA])</f>
        <v>UND</v>
      </c>
      <c r="H1137" s="33" t="str">
        <f>_xlfn.XLOOKUP(TablaSTOCKINV[[#This Row],[SKU]],TablaINVENTARIO[SKU],TablaINVENTARIO[SERIAL])</f>
        <v>N/A</v>
      </c>
      <c r="I1137" s="34">
        <f>_xlfn.XLOOKUP(TablaSTOCKINV[[#This Row],[SKU]],TablaINVENTARIO[SKU],TablaINVENTARIO[ALMACEN])</f>
        <v>0</v>
      </c>
      <c r="J1137" s="34" t="str">
        <f>_xlfn.XLOOKUP(TablaSTOCKINV[[#This Row],[SKU]],TablaINVENTARIO[SKU],TablaINVENTARIO[UBICACION])</f>
        <v>C4</v>
      </c>
      <c r="K1137" s="34" t="str">
        <f>_xlfn.XLOOKUP(TablaSTOCKINV[[#This Row],[SKU]],TablaINVENTARIO[SKU],TablaINVENTARIO[DPTO RESPONSABLE])</f>
        <v xml:space="preserve">OPERACIONES </v>
      </c>
      <c r="L1137" s="53">
        <f>_xlfn.XLOOKUP(TablaSTOCKINV[[#This Row],[SKU]],TablaINVENTARIO[SKU],TablaINVENTARIO[RANGO MIN])</f>
        <v>0</v>
      </c>
      <c r="M1137" s="34" cm="1">
        <f t="array" ref="M1137">_xlfn.IFS(TablaSTOCKINV[[#This Row],[CANT. TOTAL]]&lt;=0,1,TablaSTOCKINV[[#This Row],[CANT. TOTAL]]&lt;=TablaSTOCKINV[[#This Row],[MIN]],2,TablaSTOCKINV[[#This Row],[CANT. TOTAL]]&gt;TablaSTOCKINV[[#This Row],[MIN]],3)</f>
        <v>3</v>
      </c>
      <c r="N1137" s="34">
        <f>TablaSTOCKINV[[#This Row],[ENTRADAS]]-TablaSTOCKINV[[#This Row],[SALIDAS]]</f>
        <v>14</v>
      </c>
      <c r="O1137" s="35">
        <f>SUMIFS(TablaENTRADA[CANT],TablaENTRADA[SKU],TablaSTOCKINV[[#This Row],[SKU]])</f>
        <v>14</v>
      </c>
      <c r="P1137" s="35">
        <f>SUMIFS(TablaSALIDA[CANT],TablaSALIDA[SKU],TablaSTOCKINV[[#This Row],[SKU]])</f>
        <v>0</v>
      </c>
      <c r="Q1137" s="34">
        <f>_xlfn.XLOOKUP(TablaSTOCKINV[[#This Row],[SKU]],TablaINVENTARIO[SKU],TablaINVENTARIO[PRECIO])</f>
        <v>0</v>
      </c>
      <c r="R1137" s="34">
        <f>TablaSTOCKINV[[#This Row],[P.UNITARIO]]*TablaSTOCKINV[[#This Row],[CANT. TOTAL]]</f>
        <v>0</v>
      </c>
      <c r="S1137" s="44">
        <f>_xlfn.XLOOKUP(TablaSTOCKINV[[#This Row],[SKU]],TablaINVENTARIO[SKU],TablaINVENTARIO[FECHA INGRESO])</f>
        <v>46023</v>
      </c>
      <c r="T1137" s="44">
        <f>_xlfn.XLOOKUP(TablaSTOCKINV[[#This Row],[SKU]],TablaENTRADA[SKU],TablaENTRADA[FECHA],,0,-1)</f>
        <v>46023</v>
      </c>
      <c r="U1137" s="46" t="str">
        <f>IFERROR((_xlfn.XLOOKUP(TablaSTOCKINV[[#This Row],[SKU]],TablaSALIDA[SKU],TablaSALIDA[FECHA],,0,-1))," " )</f>
        <v xml:space="preserve"> </v>
      </c>
    </row>
    <row r="1138" spans="1:21" x14ac:dyDescent="0.3">
      <c r="A1138" s="27" t="s">
        <v>3118</v>
      </c>
      <c r="B1138" s="32" t="str">
        <f>_xlfn.XLOOKUP(TablaSTOCKINV[[#This Row],[SKU]],TablaINVENTARIO[SKU],TablaINVENTARIO[DESCRIPCION])</f>
        <v xml:space="preserve">FUSIBLE 4A </v>
      </c>
      <c r="C1138" s="32" t="str">
        <f>_xlfn.XLOOKUP(TablaSTOCKINV[[#This Row],[SKU]],TablaINVENTARIO[SKU],TablaINVENTARIO[MARCA])</f>
        <v>N/A</v>
      </c>
      <c r="D1138" s="33" t="str">
        <f>_xlfn.XLOOKUP(TablaSTOCKINV[[#This Row],[SKU]],TablaINVENTARIO[SKU],TablaINVENTARIO[CATEGORIA])</f>
        <v>FABRICACION</v>
      </c>
      <c r="E1138" s="33" t="str">
        <f>_xlfn.XLOOKUP(TablaSTOCKINV[[#This Row],[SKU]],TablaINVENTARIO[SKU],TablaINVENTARIO[SUBCATEGORIA])</f>
        <v xml:space="preserve">MATERIAL ELECTRICO </v>
      </c>
      <c r="F1138" s="33" t="str">
        <f>_xlfn.XLOOKUP(TablaSTOCKINV[[#This Row],[SKU]],TablaINVENTARIO[SKU],TablaINVENTARIO[ESTADO])</f>
        <v xml:space="preserve">NUEVO </v>
      </c>
      <c r="G1138" s="33" t="str">
        <f>_xlfn.XLOOKUP(TablaSTOCKINV[[#This Row],[SKU]],TablaINVENTARIO[SKU],TablaINVENTARIO[MEDIDA])</f>
        <v>UND</v>
      </c>
      <c r="H1138" s="33" t="str">
        <f>_xlfn.XLOOKUP(TablaSTOCKINV[[#This Row],[SKU]],TablaINVENTARIO[SKU],TablaINVENTARIO[SERIAL])</f>
        <v>N/A</v>
      </c>
      <c r="I1138" s="34">
        <f>_xlfn.XLOOKUP(TablaSTOCKINV[[#This Row],[SKU]],TablaINVENTARIO[SKU],TablaINVENTARIO[ALMACEN])</f>
        <v>0</v>
      </c>
      <c r="J1138" s="34" t="str">
        <f>_xlfn.XLOOKUP(TablaSTOCKINV[[#This Row],[SKU]],TablaINVENTARIO[SKU],TablaINVENTARIO[UBICACION])</f>
        <v>C4</v>
      </c>
      <c r="K1138" s="34" t="str">
        <f>_xlfn.XLOOKUP(TablaSTOCKINV[[#This Row],[SKU]],TablaINVENTARIO[SKU],TablaINVENTARIO[DPTO RESPONSABLE])</f>
        <v xml:space="preserve">OPERACIONES </v>
      </c>
      <c r="L1138" s="53">
        <f>_xlfn.XLOOKUP(TablaSTOCKINV[[#This Row],[SKU]],TablaINVENTARIO[SKU],TablaINVENTARIO[RANGO MIN])</f>
        <v>0</v>
      </c>
      <c r="M1138" s="34" cm="1">
        <f t="array" ref="M1138">_xlfn.IFS(TablaSTOCKINV[[#This Row],[CANT. TOTAL]]&lt;=0,1,TablaSTOCKINV[[#This Row],[CANT. TOTAL]]&lt;=TablaSTOCKINV[[#This Row],[MIN]],2,TablaSTOCKINV[[#This Row],[CANT. TOTAL]]&gt;TablaSTOCKINV[[#This Row],[MIN]],3)</f>
        <v>3</v>
      </c>
      <c r="N1138" s="34">
        <f>TablaSTOCKINV[[#This Row],[ENTRADAS]]-TablaSTOCKINV[[#This Row],[SALIDAS]]</f>
        <v>9</v>
      </c>
      <c r="O1138" s="35">
        <f>SUMIFS(TablaENTRADA[CANT],TablaENTRADA[SKU],TablaSTOCKINV[[#This Row],[SKU]])</f>
        <v>9</v>
      </c>
      <c r="P1138" s="35">
        <f>SUMIFS(TablaSALIDA[CANT],TablaSALIDA[SKU],TablaSTOCKINV[[#This Row],[SKU]])</f>
        <v>0</v>
      </c>
      <c r="Q1138" s="34">
        <f>_xlfn.XLOOKUP(TablaSTOCKINV[[#This Row],[SKU]],TablaINVENTARIO[SKU],TablaINVENTARIO[PRECIO])</f>
        <v>0</v>
      </c>
      <c r="R1138" s="34">
        <f>TablaSTOCKINV[[#This Row],[P.UNITARIO]]*TablaSTOCKINV[[#This Row],[CANT. TOTAL]]</f>
        <v>0</v>
      </c>
      <c r="S1138" s="44">
        <f>_xlfn.XLOOKUP(TablaSTOCKINV[[#This Row],[SKU]],TablaINVENTARIO[SKU],TablaINVENTARIO[FECHA INGRESO])</f>
        <v>46023</v>
      </c>
      <c r="T1138" s="44">
        <f>_xlfn.XLOOKUP(TablaSTOCKINV[[#This Row],[SKU]],TablaENTRADA[SKU],TablaENTRADA[FECHA],,0,-1)</f>
        <v>46023</v>
      </c>
      <c r="U1138" s="46" t="str">
        <f>IFERROR((_xlfn.XLOOKUP(TablaSTOCKINV[[#This Row],[SKU]],TablaSALIDA[SKU],TablaSALIDA[FECHA],,0,-1))," " )</f>
        <v xml:space="preserve"> </v>
      </c>
    </row>
    <row r="1139" spans="1:21" x14ac:dyDescent="0.3">
      <c r="A1139" s="27" t="s">
        <v>3120</v>
      </c>
      <c r="B1139" s="32" t="str">
        <f>_xlfn.XLOOKUP(TablaSTOCKINV[[#This Row],[SKU]],TablaINVENTARIO[SKU],TablaINVENTARIO[DESCRIPCION])</f>
        <v xml:space="preserve">FUSIBLE 6A </v>
      </c>
      <c r="C1139" s="32" t="str">
        <f>_xlfn.XLOOKUP(TablaSTOCKINV[[#This Row],[SKU]],TablaINVENTARIO[SKU],TablaINVENTARIO[MARCA])</f>
        <v>N/A</v>
      </c>
      <c r="D1139" s="33" t="str">
        <f>_xlfn.XLOOKUP(TablaSTOCKINV[[#This Row],[SKU]],TablaINVENTARIO[SKU],TablaINVENTARIO[CATEGORIA])</f>
        <v>FABRICACION</v>
      </c>
      <c r="E1139" s="33" t="str">
        <f>_xlfn.XLOOKUP(TablaSTOCKINV[[#This Row],[SKU]],TablaINVENTARIO[SKU],TablaINVENTARIO[SUBCATEGORIA])</f>
        <v xml:space="preserve">MATERIAL ELECTRICO </v>
      </c>
      <c r="F1139" s="33" t="str">
        <f>_xlfn.XLOOKUP(TablaSTOCKINV[[#This Row],[SKU]],TablaINVENTARIO[SKU],TablaINVENTARIO[ESTADO])</f>
        <v xml:space="preserve">NUEVO </v>
      </c>
      <c r="G1139" s="33" t="str">
        <f>_xlfn.XLOOKUP(TablaSTOCKINV[[#This Row],[SKU]],TablaINVENTARIO[SKU],TablaINVENTARIO[MEDIDA])</f>
        <v>UND</v>
      </c>
      <c r="H1139" s="33" t="str">
        <f>_xlfn.XLOOKUP(TablaSTOCKINV[[#This Row],[SKU]],TablaINVENTARIO[SKU],TablaINVENTARIO[SERIAL])</f>
        <v>N/A</v>
      </c>
      <c r="I1139" s="34">
        <f>_xlfn.XLOOKUP(TablaSTOCKINV[[#This Row],[SKU]],TablaINVENTARIO[SKU],TablaINVENTARIO[ALMACEN])</f>
        <v>0</v>
      </c>
      <c r="J1139" s="34" t="str">
        <f>_xlfn.XLOOKUP(TablaSTOCKINV[[#This Row],[SKU]],TablaINVENTARIO[SKU],TablaINVENTARIO[UBICACION])</f>
        <v>C4</v>
      </c>
      <c r="K1139" s="34" t="str">
        <f>_xlfn.XLOOKUP(TablaSTOCKINV[[#This Row],[SKU]],TablaINVENTARIO[SKU],TablaINVENTARIO[DPTO RESPONSABLE])</f>
        <v xml:space="preserve">OPERACIONES </v>
      </c>
      <c r="L1139" s="53">
        <f>_xlfn.XLOOKUP(TablaSTOCKINV[[#This Row],[SKU]],TablaINVENTARIO[SKU],TablaINVENTARIO[RANGO MIN])</f>
        <v>0</v>
      </c>
      <c r="M1139" s="34" cm="1">
        <f t="array" ref="M1139">_xlfn.IFS(TablaSTOCKINV[[#This Row],[CANT. TOTAL]]&lt;=0,1,TablaSTOCKINV[[#This Row],[CANT. TOTAL]]&lt;=TablaSTOCKINV[[#This Row],[MIN]],2,TablaSTOCKINV[[#This Row],[CANT. TOTAL]]&gt;TablaSTOCKINV[[#This Row],[MIN]],3)</f>
        <v>3</v>
      </c>
      <c r="N1139" s="34">
        <f>TablaSTOCKINV[[#This Row],[ENTRADAS]]-TablaSTOCKINV[[#This Row],[SALIDAS]]</f>
        <v>16</v>
      </c>
      <c r="O1139" s="35">
        <f>SUMIFS(TablaENTRADA[CANT],TablaENTRADA[SKU],TablaSTOCKINV[[#This Row],[SKU]])</f>
        <v>16</v>
      </c>
      <c r="P1139" s="35">
        <f>SUMIFS(TablaSALIDA[CANT],TablaSALIDA[SKU],TablaSTOCKINV[[#This Row],[SKU]])</f>
        <v>0</v>
      </c>
      <c r="Q1139" s="34">
        <f>_xlfn.XLOOKUP(TablaSTOCKINV[[#This Row],[SKU]],TablaINVENTARIO[SKU],TablaINVENTARIO[PRECIO])</f>
        <v>0</v>
      </c>
      <c r="R1139" s="34">
        <f>TablaSTOCKINV[[#This Row],[P.UNITARIO]]*TablaSTOCKINV[[#This Row],[CANT. TOTAL]]</f>
        <v>0</v>
      </c>
      <c r="S1139" s="44">
        <f>_xlfn.XLOOKUP(TablaSTOCKINV[[#This Row],[SKU]],TablaINVENTARIO[SKU],TablaINVENTARIO[FECHA INGRESO])</f>
        <v>46023</v>
      </c>
      <c r="T1139" s="44">
        <f>_xlfn.XLOOKUP(TablaSTOCKINV[[#This Row],[SKU]],TablaENTRADA[SKU],TablaENTRADA[FECHA],,0,-1)</f>
        <v>46023</v>
      </c>
      <c r="U1139" s="46" t="str">
        <f>IFERROR((_xlfn.XLOOKUP(TablaSTOCKINV[[#This Row],[SKU]],TablaSALIDA[SKU],TablaSALIDA[FECHA],,0,-1))," " )</f>
        <v xml:space="preserve"> </v>
      </c>
    </row>
    <row r="1140" spans="1:21" x14ac:dyDescent="0.3">
      <c r="A1140" s="27" t="s">
        <v>3122</v>
      </c>
      <c r="B1140" s="32" t="str">
        <f>_xlfn.XLOOKUP(TablaSTOCKINV[[#This Row],[SKU]],TablaINVENTARIO[SKU],TablaINVENTARIO[DESCRIPCION])</f>
        <v xml:space="preserve">FUSIBLE 6.3A </v>
      </c>
      <c r="C1140" s="32" t="str">
        <f>_xlfn.XLOOKUP(TablaSTOCKINV[[#This Row],[SKU]],TablaINVENTARIO[SKU],TablaINVENTARIO[MARCA])</f>
        <v>N/A</v>
      </c>
      <c r="D1140" s="33" t="str">
        <f>_xlfn.XLOOKUP(TablaSTOCKINV[[#This Row],[SKU]],TablaINVENTARIO[SKU],TablaINVENTARIO[CATEGORIA])</f>
        <v>FABRICACION</v>
      </c>
      <c r="E1140" s="33" t="str">
        <f>_xlfn.XLOOKUP(TablaSTOCKINV[[#This Row],[SKU]],TablaINVENTARIO[SKU],TablaINVENTARIO[SUBCATEGORIA])</f>
        <v xml:space="preserve">MATERIAL ELECTRICO </v>
      </c>
      <c r="F1140" s="33" t="str">
        <f>_xlfn.XLOOKUP(TablaSTOCKINV[[#This Row],[SKU]],TablaINVENTARIO[SKU],TablaINVENTARIO[ESTADO])</f>
        <v xml:space="preserve">NUEVO </v>
      </c>
      <c r="G1140" s="33" t="str">
        <f>_xlfn.XLOOKUP(TablaSTOCKINV[[#This Row],[SKU]],TablaINVENTARIO[SKU],TablaINVENTARIO[MEDIDA])</f>
        <v>UND</v>
      </c>
      <c r="H1140" s="33" t="str">
        <f>_xlfn.XLOOKUP(TablaSTOCKINV[[#This Row],[SKU]],TablaINVENTARIO[SKU],TablaINVENTARIO[SERIAL])</f>
        <v>N/A</v>
      </c>
      <c r="I1140" s="34">
        <f>_xlfn.XLOOKUP(TablaSTOCKINV[[#This Row],[SKU]],TablaINVENTARIO[SKU],TablaINVENTARIO[ALMACEN])</f>
        <v>0</v>
      </c>
      <c r="J1140" s="34" t="str">
        <f>_xlfn.XLOOKUP(TablaSTOCKINV[[#This Row],[SKU]],TablaINVENTARIO[SKU],TablaINVENTARIO[UBICACION])</f>
        <v>C4</v>
      </c>
      <c r="K1140" s="34" t="str">
        <f>_xlfn.XLOOKUP(TablaSTOCKINV[[#This Row],[SKU]],TablaINVENTARIO[SKU],TablaINVENTARIO[DPTO RESPONSABLE])</f>
        <v xml:space="preserve">OPERACIONES </v>
      </c>
      <c r="L1140" s="53">
        <f>_xlfn.XLOOKUP(TablaSTOCKINV[[#This Row],[SKU]],TablaINVENTARIO[SKU],TablaINVENTARIO[RANGO MIN])</f>
        <v>0</v>
      </c>
      <c r="M1140" s="34" cm="1">
        <f t="array" ref="M1140">_xlfn.IFS(TablaSTOCKINV[[#This Row],[CANT. TOTAL]]&lt;=0,1,TablaSTOCKINV[[#This Row],[CANT. TOTAL]]&lt;=TablaSTOCKINV[[#This Row],[MIN]],2,TablaSTOCKINV[[#This Row],[CANT. TOTAL]]&gt;TablaSTOCKINV[[#This Row],[MIN]],3)</f>
        <v>3</v>
      </c>
      <c r="N1140" s="34">
        <f>TablaSTOCKINV[[#This Row],[ENTRADAS]]-TablaSTOCKINV[[#This Row],[SALIDAS]]</f>
        <v>31</v>
      </c>
      <c r="O1140" s="35">
        <f>SUMIFS(TablaENTRADA[CANT],TablaENTRADA[SKU],TablaSTOCKINV[[#This Row],[SKU]])</f>
        <v>31</v>
      </c>
      <c r="P1140" s="35">
        <f>SUMIFS(TablaSALIDA[CANT],TablaSALIDA[SKU],TablaSTOCKINV[[#This Row],[SKU]])</f>
        <v>0</v>
      </c>
      <c r="Q1140" s="34">
        <f>_xlfn.XLOOKUP(TablaSTOCKINV[[#This Row],[SKU]],TablaINVENTARIO[SKU],TablaINVENTARIO[PRECIO])</f>
        <v>0</v>
      </c>
      <c r="R1140" s="34">
        <f>TablaSTOCKINV[[#This Row],[P.UNITARIO]]*TablaSTOCKINV[[#This Row],[CANT. TOTAL]]</f>
        <v>0</v>
      </c>
      <c r="S1140" s="44">
        <f>_xlfn.XLOOKUP(TablaSTOCKINV[[#This Row],[SKU]],TablaINVENTARIO[SKU],TablaINVENTARIO[FECHA INGRESO])</f>
        <v>46023</v>
      </c>
      <c r="T1140" s="44">
        <f>_xlfn.XLOOKUP(TablaSTOCKINV[[#This Row],[SKU]],TablaENTRADA[SKU],TablaENTRADA[FECHA],,0,-1)</f>
        <v>46023</v>
      </c>
      <c r="U1140" s="46" t="str">
        <f>IFERROR((_xlfn.XLOOKUP(TablaSTOCKINV[[#This Row],[SKU]],TablaSALIDA[SKU],TablaSALIDA[FECHA],,0,-1))," " )</f>
        <v xml:space="preserve"> </v>
      </c>
    </row>
    <row r="1141" spans="1:21" x14ac:dyDescent="0.3">
      <c r="A1141" s="27" t="s">
        <v>3124</v>
      </c>
      <c r="B1141" s="32" t="str">
        <f>_xlfn.XLOOKUP(TablaSTOCKINV[[#This Row],[SKU]],TablaINVENTARIO[SKU],TablaINVENTARIO[DESCRIPCION])</f>
        <v xml:space="preserve">FUSIBLE 8A </v>
      </c>
      <c r="C1141" s="32" t="str">
        <f>_xlfn.XLOOKUP(TablaSTOCKINV[[#This Row],[SKU]],TablaINVENTARIO[SKU],TablaINVENTARIO[MARCA])</f>
        <v>N/A</v>
      </c>
      <c r="D1141" s="33" t="str">
        <f>_xlfn.XLOOKUP(TablaSTOCKINV[[#This Row],[SKU]],TablaINVENTARIO[SKU],TablaINVENTARIO[CATEGORIA])</f>
        <v>FABRICACION</v>
      </c>
      <c r="E1141" s="33" t="str">
        <f>_xlfn.XLOOKUP(TablaSTOCKINV[[#This Row],[SKU]],TablaINVENTARIO[SKU],TablaINVENTARIO[SUBCATEGORIA])</f>
        <v xml:space="preserve">MATERIAL ELECTRICO </v>
      </c>
      <c r="F1141" s="33" t="str">
        <f>_xlfn.XLOOKUP(TablaSTOCKINV[[#This Row],[SKU]],TablaINVENTARIO[SKU],TablaINVENTARIO[ESTADO])</f>
        <v xml:space="preserve">NUEVO </v>
      </c>
      <c r="G1141" s="33" t="str">
        <f>_xlfn.XLOOKUP(TablaSTOCKINV[[#This Row],[SKU]],TablaINVENTARIO[SKU],TablaINVENTARIO[MEDIDA])</f>
        <v>UND</v>
      </c>
      <c r="H1141" s="33" t="str">
        <f>_xlfn.XLOOKUP(TablaSTOCKINV[[#This Row],[SKU]],TablaINVENTARIO[SKU],TablaINVENTARIO[SERIAL])</f>
        <v>N/A</v>
      </c>
      <c r="I1141" s="34">
        <f>_xlfn.XLOOKUP(TablaSTOCKINV[[#This Row],[SKU]],TablaINVENTARIO[SKU],TablaINVENTARIO[ALMACEN])</f>
        <v>0</v>
      </c>
      <c r="J1141" s="34" t="str">
        <f>_xlfn.XLOOKUP(TablaSTOCKINV[[#This Row],[SKU]],TablaINVENTARIO[SKU],TablaINVENTARIO[UBICACION])</f>
        <v>C4</v>
      </c>
      <c r="K1141" s="34" t="str">
        <f>_xlfn.XLOOKUP(TablaSTOCKINV[[#This Row],[SKU]],TablaINVENTARIO[SKU],TablaINVENTARIO[DPTO RESPONSABLE])</f>
        <v xml:space="preserve">OPERACIONES </v>
      </c>
      <c r="L1141" s="53">
        <f>_xlfn.XLOOKUP(TablaSTOCKINV[[#This Row],[SKU]],TablaINVENTARIO[SKU],TablaINVENTARIO[RANGO MIN])</f>
        <v>0</v>
      </c>
      <c r="M1141" s="34" cm="1">
        <f t="array" ref="M1141">_xlfn.IFS(TablaSTOCKINV[[#This Row],[CANT. TOTAL]]&lt;=0,1,TablaSTOCKINV[[#This Row],[CANT. TOTAL]]&lt;=TablaSTOCKINV[[#This Row],[MIN]],2,TablaSTOCKINV[[#This Row],[CANT. TOTAL]]&gt;TablaSTOCKINV[[#This Row],[MIN]],3)</f>
        <v>3</v>
      </c>
      <c r="N1141" s="34">
        <f>TablaSTOCKINV[[#This Row],[ENTRADAS]]-TablaSTOCKINV[[#This Row],[SALIDAS]]</f>
        <v>15</v>
      </c>
      <c r="O1141" s="35">
        <f>SUMIFS(TablaENTRADA[CANT],TablaENTRADA[SKU],TablaSTOCKINV[[#This Row],[SKU]])</f>
        <v>15</v>
      </c>
      <c r="P1141" s="35">
        <f>SUMIFS(TablaSALIDA[CANT],TablaSALIDA[SKU],TablaSTOCKINV[[#This Row],[SKU]])</f>
        <v>0</v>
      </c>
      <c r="Q1141" s="34">
        <f>_xlfn.XLOOKUP(TablaSTOCKINV[[#This Row],[SKU]],TablaINVENTARIO[SKU],TablaINVENTARIO[PRECIO])</f>
        <v>0</v>
      </c>
      <c r="R1141" s="34">
        <f>TablaSTOCKINV[[#This Row],[P.UNITARIO]]*TablaSTOCKINV[[#This Row],[CANT. TOTAL]]</f>
        <v>0</v>
      </c>
      <c r="S1141" s="44">
        <f>_xlfn.XLOOKUP(TablaSTOCKINV[[#This Row],[SKU]],TablaINVENTARIO[SKU],TablaINVENTARIO[FECHA INGRESO])</f>
        <v>46023</v>
      </c>
      <c r="T1141" s="44">
        <f>_xlfn.XLOOKUP(TablaSTOCKINV[[#This Row],[SKU]],TablaENTRADA[SKU],TablaENTRADA[FECHA],,0,-1)</f>
        <v>46023</v>
      </c>
      <c r="U1141" s="46" t="str">
        <f>IFERROR((_xlfn.XLOOKUP(TablaSTOCKINV[[#This Row],[SKU]],TablaSALIDA[SKU],TablaSALIDA[FECHA],,0,-1))," " )</f>
        <v xml:space="preserve"> </v>
      </c>
    </row>
    <row r="1142" spans="1:21" x14ac:dyDescent="0.3">
      <c r="A1142" s="27" t="s">
        <v>3126</v>
      </c>
      <c r="B1142" s="32" t="str">
        <f>_xlfn.XLOOKUP(TablaSTOCKINV[[#This Row],[SKU]],TablaINVENTARIO[SKU],TablaINVENTARIO[DESCRIPCION])</f>
        <v xml:space="preserve">FUSIBLE 10A </v>
      </c>
      <c r="C1142" s="32" t="str">
        <f>_xlfn.XLOOKUP(TablaSTOCKINV[[#This Row],[SKU]],TablaINVENTARIO[SKU],TablaINVENTARIO[MARCA])</f>
        <v>N/A</v>
      </c>
      <c r="D1142" s="33" t="str">
        <f>_xlfn.XLOOKUP(TablaSTOCKINV[[#This Row],[SKU]],TablaINVENTARIO[SKU],TablaINVENTARIO[CATEGORIA])</f>
        <v>FABRICACION</v>
      </c>
      <c r="E1142" s="33" t="str">
        <f>_xlfn.XLOOKUP(TablaSTOCKINV[[#This Row],[SKU]],TablaINVENTARIO[SKU],TablaINVENTARIO[SUBCATEGORIA])</f>
        <v xml:space="preserve">MATERIAL ELECTRICO </v>
      </c>
      <c r="F1142" s="33" t="str">
        <f>_xlfn.XLOOKUP(TablaSTOCKINV[[#This Row],[SKU]],TablaINVENTARIO[SKU],TablaINVENTARIO[ESTADO])</f>
        <v xml:space="preserve">NUEVO </v>
      </c>
      <c r="G1142" s="33" t="str">
        <f>_xlfn.XLOOKUP(TablaSTOCKINV[[#This Row],[SKU]],TablaINVENTARIO[SKU],TablaINVENTARIO[MEDIDA])</f>
        <v>UND</v>
      </c>
      <c r="H1142" s="33" t="str">
        <f>_xlfn.XLOOKUP(TablaSTOCKINV[[#This Row],[SKU]],TablaINVENTARIO[SKU],TablaINVENTARIO[SERIAL])</f>
        <v>N/A</v>
      </c>
      <c r="I1142" s="34">
        <f>_xlfn.XLOOKUP(TablaSTOCKINV[[#This Row],[SKU]],TablaINVENTARIO[SKU],TablaINVENTARIO[ALMACEN])</f>
        <v>0</v>
      </c>
      <c r="J1142" s="34" t="str">
        <f>_xlfn.XLOOKUP(TablaSTOCKINV[[#This Row],[SKU]],TablaINVENTARIO[SKU],TablaINVENTARIO[UBICACION])</f>
        <v>C4</v>
      </c>
      <c r="K1142" s="34" t="str">
        <f>_xlfn.XLOOKUP(TablaSTOCKINV[[#This Row],[SKU]],TablaINVENTARIO[SKU],TablaINVENTARIO[DPTO RESPONSABLE])</f>
        <v xml:space="preserve">OPERACIONES </v>
      </c>
      <c r="L1142" s="53">
        <f>_xlfn.XLOOKUP(TablaSTOCKINV[[#This Row],[SKU]],TablaINVENTARIO[SKU],TablaINVENTARIO[RANGO MIN])</f>
        <v>0</v>
      </c>
      <c r="M1142" s="34" cm="1">
        <f t="array" ref="M1142">_xlfn.IFS(TablaSTOCKINV[[#This Row],[CANT. TOTAL]]&lt;=0,1,TablaSTOCKINV[[#This Row],[CANT. TOTAL]]&lt;=TablaSTOCKINV[[#This Row],[MIN]],2,TablaSTOCKINV[[#This Row],[CANT. TOTAL]]&gt;TablaSTOCKINV[[#This Row],[MIN]],3)</f>
        <v>3</v>
      </c>
      <c r="N1142" s="34">
        <f>TablaSTOCKINV[[#This Row],[ENTRADAS]]-TablaSTOCKINV[[#This Row],[SALIDAS]]</f>
        <v>21</v>
      </c>
      <c r="O1142" s="35">
        <f>SUMIFS(TablaENTRADA[CANT],TablaENTRADA[SKU],TablaSTOCKINV[[#This Row],[SKU]])</f>
        <v>21</v>
      </c>
      <c r="P1142" s="35">
        <f>SUMIFS(TablaSALIDA[CANT],TablaSALIDA[SKU],TablaSTOCKINV[[#This Row],[SKU]])</f>
        <v>0</v>
      </c>
      <c r="Q1142" s="34">
        <f>_xlfn.XLOOKUP(TablaSTOCKINV[[#This Row],[SKU]],TablaINVENTARIO[SKU],TablaINVENTARIO[PRECIO])</f>
        <v>0</v>
      </c>
      <c r="R1142" s="34">
        <f>TablaSTOCKINV[[#This Row],[P.UNITARIO]]*TablaSTOCKINV[[#This Row],[CANT. TOTAL]]</f>
        <v>0</v>
      </c>
      <c r="S1142" s="44">
        <f>_xlfn.XLOOKUP(TablaSTOCKINV[[#This Row],[SKU]],TablaINVENTARIO[SKU],TablaINVENTARIO[FECHA INGRESO])</f>
        <v>46023</v>
      </c>
      <c r="T1142" s="44">
        <f>_xlfn.XLOOKUP(TablaSTOCKINV[[#This Row],[SKU]],TablaENTRADA[SKU],TablaENTRADA[FECHA],,0,-1)</f>
        <v>46023</v>
      </c>
      <c r="U1142" s="46" t="str">
        <f>IFERROR((_xlfn.XLOOKUP(TablaSTOCKINV[[#This Row],[SKU]],TablaSALIDA[SKU],TablaSALIDA[FECHA],,0,-1))," " )</f>
        <v xml:space="preserve"> </v>
      </c>
    </row>
    <row r="1143" spans="1:21" x14ac:dyDescent="0.3">
      <c r="A1143" s="27" t="s">
        <v>3128</v>
      </c>
      <c r="B1143" s="32" t="str">
        <f>_xlfn.XLOOKUP(TablaSTOCKINV[[#This Row],[SKU]],TablaINVENTARIO[SKU],TablaINVENTARIO[DESCRIPCION])</f>
        <v xml:space="preserve">MEMORIA EPROM </v>
      </c>
      <c r="C1143" s="32" t="str">
        <f>_xlfn.XLOOKUP(TablaSTOCKINV[[#This Row],[SKU]],TablaINVENTARIO[SKU],TablaINVENTARIO[MARCA])</f>
        <v>N/A</v>
      </c>
      <c r="D1143" s="33" t="str">
        <f>_xlfn.XLOOKUP(TablaSTOCKINV[[#This Row],[SKU]],TablaINVENTARIO[SKU],TablaINVENTARIO[CATEGORIA])</f>
        <v>FABRICACION</v>
      </c>
      <c r="E1143" s="33" t="str">
        <f>_xlfn.XLOOKUP(TablaSTOCKINV[[#This Row],[SKU]],TablaINVENTARIO[SKU],TablaINVENTARIO[SUBCATEGORIA])</f>
        <v>MATERIAL ELECTRONICO</v>
      </c>
      <c r="F1143" s="33" t="str">
        <f>_xlfn.XLOOKUP(TablaSTOCKINV[[#This Row],[SKU]],TablaINVENTARIO[SKU],TablaINVENTARIO[ESTADO])</f>
        <v xml:space="preserve">NUEVO </v>
      </c>
      <c r="G1143" s="33" t="str">
        <f>_xlfn.XLOOKUP(TablaSTOCKINV[[#This Row],[SKU]],TablaINVENTARIO[SKU],TablaINVENTARIO[MEDIDA])</f>
        <v>UND</v>
      </c>
      <c r="H1143" s="33" t="str">
        <f>_xlfn.XLOOKUP(TablaSTOCKINV[[#This Row],[SKU]],TablaINVENTARIO[SKU],TablaINVENTARIO[SERIAL])</f>
        <v>N/A</v>
      </c>
      <c r="I1143" s="34">
        <f>_xlfn.XLOOKUP(TablaSTOCKINV[[#This Row],[SKU]],TablaINVENTARIO[SKU],TablaINVENTARIO[ALMACEN])</f>
        <v>0</v>
      </c>
      <c r="J1143" s="34" t="str">
        <f>_xlfn.XLOOKUP(TablaSTOCKINV[[#This Row],[SKU]],TablaINVENTARIO[SKU],TablaINVENTARIO[UBICACION])</f>
        <v>C4</v>
      </c>
      <c r="K1143" s="34" t="str">
        <f>_xlfn.XLOOKUP(TablaSTOCKINV[[#This Row],[SKU]],TablaINVENTARIO[SKU],TablaINVENTARIO[DPTO RESPONSABLE])</f>
        <v>OPERACIONES</v>
      </c>
      <c r="L1143" s="53">
        <f>_xlfn.XLOOKUP(TablaSTOCKINV[[#This Row],[SKU]],TablaINVENTARIO[SKU],TablaINVENTARIO[RANGO MIN])</f>
        <v>0</v>
      </c>
      <c r="M1143" s="34" cm="1">
        <f t="array" ref="M1143">_xlfn.IFS(TablaSTOCKINV[[#This Row],[CANT. TOTAL]]&lt;=0,1,TablaSTOCKINV[[#This Row],[CANT. TOTAL]]&lt;=TablaSTOCKINV[[#This Row],[MIN]],2,TablaSTOCKINV[[#This Row],[CANT. TOTAL]]&gt;TablaSTOCKINV[[#This Row],[MIN]],3)</f>
        <v>3</v>
      </c>
      <c r="N1143" s="34">
        <f>TablaSTOCKINV[[#This Row],[ENTRADAS]]-TablaSTOCKINV[[#This Row],[SALIDAS]]</f>
        <v>5</v>
      </c>
      <c r="O1143" s="35">
        <f>SUMIFS(TablaENTRADA[CANT],TablaENTRADA[SKU],TablaSTOCKINV[[#This Row],[SKU]])</f>
        <v>5</v>
      </c>
      <c r="P1143" s="35">
        <f>SUMIFS(TablaSALIDA[CANT],TablaSALIDA[SKU],TablaSTOCKINV[[#This Row],[SKU]])</f>
        <v>0</v>
      </c>
      <c r="Q1143" s="34">
        <f>_xlfn.XLOOKUP(TablaSTOCKINV[[#This Row],[SKU]],TablaINVENTARIO[SKU],TablaINVENTARIO[PRECIO])</f>
        <v>0</v>
      </c>
      <c r="R1143" s="34">
        <f>TablaSTOCKINV[[#This Row],[P.UNITARIO]]*TablaSTOCKINV[[#This Row],[CANT. TOTAL]]</f>
        <v>0</v>
      </c>
      <c r="S1143" s="44">
        <f>_xlfn.XLOOKUP(TablaSTOCKINV[[#This Row],[SKU]],TablaINVENTARIO[SKU],TablaINVENTARIO[FECHA INGRESO])</f>
        <v>46023</v>
      </c>
      <c r="T1143" s="44">
        <f>_xlfn.XLOOKUP(TablaSTOCKINV[[#This Row],[SKU]],TablaENTRADA[SKU],TablaENTRADA[FECHA],,0,-1)</f>
        <v>46023</v>
      </c>
      <c r="U1143" s="46" t="str">
        <f>IFERROR((_xlfn.XLOOKUP(TablaSTOCKINV[[#This Row],[SKU]],TablaSALIDA[SKU],TablaSALIDA[FECHA],,0,-1))," " )</f>
        <v xml:space="preserve"> </v>
      </c>
    </row>
    <row r="1144" spans="1:21" x14ac:dyDescent="0.3">
      <c r="A1144" s="27" t="s">
        <v>3131</v>
      </c>
      <c r="B1144" s="32" t="str">
        <f>_xlfn.XLOOKUP(TablaSTOCKINV[[#This Row],[SKU]],TablaINVENTARIO[SKU],TablaINVENTARIO[DESCRIPCION])</f>
        <v xml:space="preserve">CIRCUITO INTEGRADO PAQUETE DUAL IN - LINE </v>
      </c>
      <c r="C1144" s="32" t="str">
        <f>_xlfn.XLOOKUP(TablaSTOCKINV[[#This Row],[SKU]],TablaINVENTARIO[SKU],TablaINVENTARIO[MARCA])</f>
        <v>N/A</v>
      </c>
      <c r="D1144" s="33" t="str">
        <f>_xlfn.XLOOKUP(TablaSTOCKINV[[#This Row],[SKU]],TablaINVENTARIO[SKU],TablaINVENTARIO[CATEGORIA])</f>
        <v>FABRICACION</v>
      </c>
      <c r="E1144" s="33" t="str">
        <f>_xlfn.XLOOKUP(TablaSTOCKINV[[#This Row],[SKU]],TablaINVENTARIO[SKU],TablaINVENTARIO[SUBCATEGORIA])</f>
        <v>MATERIAL ELECTRONICO</v>
      </c>
      <c r="F1144" s="33" t="str">
        <f>_xlfn.XLOOKUP(TablaSTOCKINV[[#This Row],[SKU]],TablaINVENTARIO[SKU],TablaINVENTARIO[ESTADO])</f>
        <v xml:space="preserve">NUEVO </v>
      </c>
      <c r="G1144" s="33" t="str">
        <f>_xlfn.XLOOKUP(TablaSTOCKINV[[#This Row],[SKU]],TablaINVENTARIO[SKU],TablaINVENTARIO[MEDIDA])</f>
        <v>UND</v>
      </c>
      <c r="H1144" s="33" t="str">
        <f>_xlfn.XLOOKUP(TablaSTOCKINV[[#This Row],[SKU]],TablaINVENTARIO[SKU],TablaINVENTARIO[SERIAL])</f>
        <v>N/A</v>
      </c>
      <c r="I1144" s="34">
        <f>_xlfn.XLOOKUP(TablaSTOCKINV[[#This Row],[SKU]],TablaINVENTARIO[SKU],TablaINVENTARIO[ALMACEN])</f>
        <v>0</v>
      </c>
      <c r="J1144" s="34" t="str">
        <f>_xlfn.XLOOKUP(TablaSTOCKINV[[#This Row],[SKU]],TablaINVENTARIO[SKU],TablaINVENTARIO[UBICACION])</f>
        <v>C4</v>
      </c>
      <c r="K1144" s="34" t="str">
        <f>_xlfn.XLOOKUP(TablaSTOCKINV[[#This Row],[SKU]],TablaINVENTARIO[SKU],TablaINVENTARIO[DPTO RESPONSABLE])</f>
        <v>OPERACIONES</v>
      </c>
      <c r="L1144" s="53">
        <f>_xlfn.XLOOKUP(TablaSTOCKINV[[#This Row],[SKU]],TablaINVENTARIO[SKU],TablaINVENTARIO[RANGO MIN])</f>
        <v>0</v>
      </c>
      <c r="M1144" s="34" cm="1">
        <f t="array" ref="M1144">_xlfn.IFS(TablaSTOCKINV[[#This Row],[CANT. TOTAL]]&lt;=0,1,TablaSTOCKINV[[#This Row],[CANT. TOTAL]]&lt;=TablaSTOCKINV[[#This Row],[MIN]],2,TablaSTOCKINV[[#This Row],[CANT. TOTAL]]&gt;TablaSTOCKINV[[#This Row],[MIN]],3)</f>
        <v>3</v>
      </c>
      <c r="N1144" s="34">
        <f>TablaSTOCKINV[[#This Row],[ENTRADAS]]-TablaSTOCKINV[[#This Row],[SALIDAS]]</f>
        <v>12</v>
      </c>
      <c r="O1144" s="35">
        <f>SUMIFS(TablaENTRADA[CANT],TablaENTRADA[SKU],TablaSTOCKINV[[#This Row],[SKU]])</f>
        <v>12</v>
      </c>
      <c r="P1144" s="35">
        <f>SUMIFS(TablaSALIDA[CANT],TablaSALIDA[SKU],TablaSTOCKINV[[#This Row],[SKU]])</f>
        <v>0</v>
      </c>
      <c r="Q1144" s="34">
        <f>_xlfn.XLOOKUP(TablaSTOCKINV[[#This Row],[SKU]],TablaINVENTARIO[SKU],TablaINVENTARIO[PRECIO])</f>
        <v>0</v>
      </c>
      <c r="R1144" s="34">
        <f>TablaSTOCKINV[[#This Row],[P.UNITARIO]]*TablaSTOCKINV[[#This Row],[CANT. TOTAL]]</f>
        <v>0</v>
      </c>
      <c r="S1144" s="44">
        <f>_xlfn.XLOOKUP(TablaSTOCKINV[[#This Row],[SKU]],TablaINVENTARIO[SKU],TablaINVENTARIO[FECHA INGRESO])</f>
        <v>46023</v>
      </c>
      <c r="T1144" s="44">
        <f>_xlfn.XLOOKUP(TablaSTOCKINV[[#This Row],[SKU]],TablaENTRADA[SKU],TablaENTRADA[FECHA],,0,-1)</f>
        <v>46023</v>
      </c>
      <c r="U1144" s="46" t="str">
        <f>IFERROR((_xlfn.XLOOKUP(TablaSTOCKINV[[#This Row],[SKU]],TablaSALIDA[SKU],TablaSALIDA[FECHA],,0,-1))," " )</f>
        <v xml:space="preserve"> </v>
      </c>
    </row>
    <row r="1145" spans="1:21" x14ac:dyDescent="0.3">
      <c r="A1145" s="27" t="s">
        <v>3133</v>
      </c>
      <c r="B1145" s="32" t="str">
        <f>_xlfn.XLOOKUP(TablaSTOCKINV[[#This Row],[SKU]],TablaINVENTARIO[SKU],TablaINVENTARIO[DESCRIPCION])</f>
        <v>DIODO ZENER 2A</v>
      </c>
      <c r="C1145" s="32" t="str">
        <f>_xlfn.XLOOKUP(TablaSTOCKINV[[#This Row],[SKU]],TablaINVENTARIO[SKU],TablaINVENTARIO[MARCA])</f>
        <v>N/A</v>
      </c>
      <c r="D1145" s="33" t="str">
        <f>_xlfn.XLOOKUP(TablaSTOCKINV[[#This Row],[SKU]],TablaINVENTARIO[SKU],TablaINVENTARIO[CATEGORIA])</f>
        <v>FABRICACION</v>
      </c>
      <c r="E1145" s="33" t="str">
        <f>_xlfn.XLOOKUP(TablaSTOCKINV[[#This Row],[SKU]],TablaINVENTARIO[SKU],TablaINVENTARIO[SUBCATEGORIA])</f>
        <v>MATERIAL ELECTRONICO</v>
      </c>
      <c r="F1145" s="33" t="str">
        <f>_xlfn.XLOOKUP(TablaSTOCKINV[[#This Row],[SKU]],TablaINVENTARIO[SKU],TablaINVENTARIO[ESTADO])</f>
        <v xml:space="preserve">NUEVO </v>
      </c>
      <c r="G1145" s="33" t="str">
        <f>_xlfn.XLOOKUP(TablaSTOCKINV[[#This Row],[SKU]],TablaINVENTARIO[SKU],TablaINVENTARIO[MEDIDA])</f>
        <v>UND</v>
      </c>
      <c r="H1145" s="33" t="str">
        <f>_xlfn.XLOOKUP(TablaSTOCKINV[[#This Row],[SKU]],TablaINVENTARIO[SKU],TablaINVENTARIO[SERIAL])</f>
        <v>N/A</v>
      </c>
      <c r="I1145" s="34">
        <f>_xlfn.XLOOKUP(TablaSTOCKINV[[#This Row],[SKU]],TablaINVENTARIO[SKU],TablaINVENTARIO[ALMACEN])</f>
        <v>0</v>
      </c>
      <c r="J1145" s="34" t="str">
        <f>_xlfn.XLOOKUP(TablaSTOCKINV[[#This Row],[SKU]],TablaINVENTARIO[SKU],TablaINVENTARIO[UBICACION])</f>
        <v>C4</v>
      </c>
      <c r="K1145" s="34" t="str">
        <f>_xlfn.XLOOKUP(TablaSTOCKINV[[#This Row],[SKU]],TablaINVENTARIO[SKU],TablaINVENTARIO[DPTO RESPONSABLE])</f>
        <v>OPERACIONES</v>
      </c>
      <c r="L1145" s="53">
        <f>_xlfn.XLOOKUP(TablaSTOCKINV[[#This Row],[SKU]],TablaINVENTARIO[SKU],TablaINVENTARIO[RANGO MIN])</f>
        <v>0</v>
      </c>
      <c r="M1145" s="34" cm="1">
        <f t="array" ref="M1145">_xlfn.IFS(TablaSTOCKINV[[#This Row],[CANT. TOTAL]]&lt;=0,1,TablaSTOCKINV[[#This Row],[CANT. TOTAL]]&lt;=TablaSTOCKINV[[#This Row],[MIN]],2,TablaSTOCKINV[[#This Row],[CANT. TOTAL]]&gt;TablaSTOCKINV[[#This Row],[MIN]],3)</f>
        <v>3</v>
      </c>
      <c r="N1145" s="34">
        <f>TablaSTOCKINV[[#This Row],[ENTRADAS]]-TablaSTOCKINV[[#This Row],[SALIDAS]]</f>
        <v>12</v>
      </c>
      <c r="O1145" s="35">
        <f>SUMIFS(TablaENTRADA[CANT],TablaENTRADA[SKU],TablaSTOCKINV[[#This Row],[SKU]])</f>
        <v>12</v>
      </c>
      <c r="P1145" s="35">
        <f>SUMIFS(TablaSALIDA[CANT],TablaSALIDA[SKU],TablaSTOCKINV[[#This Row],[SKU]])</f>
        <v>0</v>
      </c>
      <c r="Q1145" s="34">
        <f>_xlfn.XLOOKUP(TablaSTOCKINV[[#This Row],[SKU]],TablaINVENTARIO[SKU],TablaINVENTARIO[PRECIO])</f>
        <v>0</v>
      </c>
      <c r="R1145" s="34">
        <f>TablaSTOCKINV[[#This Row],[P.UNITARIO]]*TablaSTOCKINV[[#This Row],[CANT. TOTAL]]</f>
        <v>0</v>
      </c>
      <c r="S1145" s="44">
        <f>_xlfn.XLOOKUP(TablaSTOCKINV[[#This Row],[SKU]],TablaINVENTARIO[SKU],TablaINVENTARIO[FECHA INGRESO])</f>
        <v>46023</v>
      </c>
      <c r="T1145" s="44">
        <f>_xlfn.XLOOKUP(TablaSTOCKINV[[#This Row],[SKU]],TablaENTRADA[SKU],TablaENTRADA[FECHA],,0,-1)</f>
        <v>46023</v>
      </c>
      <c r="U1145" s="46" t="str">
        <f>IFERROR((_xlfn.XLOOKUP(TablaSTOCKINV[[#This Row],[SKU]],TablaSALIDA[SKU],TablaSALIDA[FECHA],,0,-1))," " )</f>
        <v xml:space="preserve"> </v>
      </c>
    </row>
    <row r="1146" spans="1:21" x14ac:dyDescent="0.3">
      <c r="A1146" s="27" t="s">
        <v>3135</v>
      </c>
      <c r="B1146" s="32" t="str">
        <f>_xlfn.XLOOKUP(TablaSTOCKINV[[#This Row],[SKU]],TablaINVENTARIO[SKU],TablaINVENTARIO[DESCRIPCION])</f>
        <v>FUSIBLE TIPO RESISTENCIA 3/4A</v>
      </c>
      <c r="C1146" s="32" t="str">
        <f>_xlfn.XLOOKUP(TablaSTOCKINV[[#This Row],[SKU]],TablaINVENTARIO[SKU],TablaINVENTARIO[MARCA])</f>
        <v>N/A</v>
      </c>
      <c r="D1146" s="33" t="str">
        <f>_xlfn.XLOOKUP(TablaSTOCKINV[[#This Row],[SKU]],TablaINVENTARIO[SKU],TablaINVENTARIO[CATEGORIA])</f>
        <v>FABRICACION</v>
      </c>
      <c r="E1146" s="33" t="str">
        <f>_xlfn.XLOOKUP(TablaSTOCKINV[[#This Row],[SKU]],TablaINVENTARIO[SKU],TablaINVENTARIO[SUBCATEGORIA])</f>
        <v>MATERIAL ELECTRONICO</v>
      </c>
      <c r="F1146" s="33" t="str">
        <f>_xlfn.XLOOKUP(TablaSTOCKINV[[#This Row],[SKU]],TablaINVENTARIO[SKU],TablaINVENTARIO[ESTADO])</f>
        <v xml:space="preserve">NUEVO </v>
      </c>
      <c r="G1146" s="33" t="str">
        <f>_xlfn.XLOOKUP(TablaSTOCKINV[[#This Row],[SKU]],TablaINVENTARIO[SKU],TablaINVENTARIO[MEDIDA])</f>
        <v>UND</v>
      </c>
      <c r="H1146" s="33" t="str">
        <f>_xlfn.XLOOKUP(TablaSTOCKINV[[#This Row],[SKU]],TablaINVENTARIO[SKU],TablaINVENTARIO[SERIAL])</f>
        <v>N/A</v>
      </c>
      <c r="I1146" s="34">
        <f>_xlfn.XLOOKUP(TablaSTOCKINV[[#This Row],[SKU]],TablaINVENTARIO[SKU],TablaINVENTARIO[ALMACEN])</f>
        <v>0</v>
      </c>
      <c r="J1146" s="34" t="str">
        <f>_xlfn.XLOOKUP(TablaSTOCKINV[[#This Row],[SKU]],TablaINVENTARIO[SKU],TablaINVENTARIO[UBICACION])</f>
        <v>C4</v>
      </c>
      <c r="K1146" s="34" t="str">
        <f>_xlfn.XLOOKUP(TablaSTOCKINV[[#This Row],[SKU]],TablaINVENTARIO[SKU],TablaINVENTARIO[DPTO RESPONSABLE])</f>
        <v>OPERACIONES</v>
      </c>
      <c r="L1146" s="53">
        <f>_xlfn.XLOOKUP(TablaSTOCKINV[[#This Row],[SKU]],TablaINVENTARIO[SKU],TablaINVENTARIO[RANGO MIN])</f>
        <v>0</v>
      </c>
      <c r="M1146" s="34" cm="1">
        <f t="array" ref="M1146">_xlfn.IFS(TablaSTOCKINV[[#This Row],[CANT. TOTAL]]&lt;=0,1,TablaSTOCKINV[[#This Row],[CANT. TOTAL]]&lt;=TablaSTOCKINV[[#This Row],[MIN]],2,TablaSTOCKINV[[#This Row],[CANT. TOTAL]]&gt;TablaSTOCKINV[[#This Row],[MIN]],3)</f>
        <v>3</v>
      </c>
      <c r="N1146" s="34">
        <f>TablaSTOCKINV[[#This Row],[ENTRADAS]]-TablaSTOCKINV[[#This Row],[SALIDAS]]</f>
        <v>1</v>
      </c>
      <c r="O1146" s="35">
        <f>SUMIFS(TablaENTRADA[CANT],TablaENTRADA[SKU],TablaSTOCKINV[[#This Row],[SKU]])</f>
        <v>1</v>
      </c>
      <c r="P1146" s="35">
        <f>SUMIFS(TablaSALIDA[CANT],TablaSALIDA[SKU],TablaSTOCKINV[[#This Row],[SKU]])</f>
        <v>0</v>
      </c>
      <c r="Q1146" s="34">
        <f>_xlfn.XLOOKUP(TablaSTOCKINV[[#This Row],[SKU]],TablaINVENTARIO[SKU],TablaINVENTARIO[PRECIO])</f>
        <v>0</v>
      </c>
      <c r="R1146" s="34">
        <f>TablaSTOCKINV[[#This Row],[P.UNITARIO]]*TablaSTOCKINV[[#This Row],[CANT. TOTAL]]</f>
        <v>0</v>
      </c>
      <c r="S1146" s="44">
        <f>_xlfn.XLOOKUP(TablaSTOCKINV[[#This Row],[SKU]],TablaINVENTARIO[SKU],TablaINVENTARIO[FECHA INGRESO])</f>
        <v>46023</v>
      </c>
      <c r="T1146" s="44">
        <f>_xlfn.XLOOKUP(TablaSTOCKINV[[#This Row],[SKU]],TablaENTRADA[SKU],TablaENTRADA[FECHA],,0,-1)</f>
        <v>46023</v>
      </c>
      <c r="U1146" s="46" t="str">
        <f>IFERROR((_xlfn.XLOOKUP(TablaSTOCKINV[[#This Row],[SKU]],TablaSALIDA[SKU],TablaSALIDA[FECHA],,0,-1))," " )</f>
        <v xml:space="preserve"> </v>
      </c>
    </row>
    <row r="1147" spans="1:21" x14ac:dyDescent="0.3">
      <c r="A1147" s="27" t="s">
        <v>3137</v>
      </c>
      <c r="B1147" s="32" t="str">
        <f>_xlfn.XLOOKUP(TablaSTOCKINV[[#This Row],[SKU]],TablaINVENTARIO[SKU],TablaINVENTARIO[DESCRIPCION])</f>
        <v xml:space="preserve">FUSIBLE TIPO RESISTENCIA 1/4A </v>
      </c>
      <c r="C1147" s="32" t="str">
        <f>_xlfn.XLOOKUP(TablaSTOCKINV[[#This Row],[SKU]],TablaINVENTARIO[SKU],TablaINVENTARIO[MARCA])</f>
        <v>N/A</v>
      </c>
      <c r="D1147" s="33" t="str">
        <f>_xlfn.XLOOKUP(TablaSTOCKINV[[#This Row],[SKU]],TablaINVENTARIO[SKU],TablaINVENTARIO[CATEGORIA])</f>
        <v>FABRICACION</v>
      </c>
      <c r="E1147" s="33" t="str">
        <f>_xlfn.XLOOKUP(TablaSTOCKINV[[#This Row],[SKU]],TablaINVENTARIO[SKU],TablaINVENTARIO[SUBCATEGORIA])</f>
        <v>MATERIAL ELECTRONICO</v>
      </c>
      <c r="F1147" s="33" t="str">
        <f>_xlfn.XLOOKUP(TablaSTOCKINV[[#This Row],[SKU]],TablaINVENTARIO[SKU],TablaINVENTARIO[ESTADO])</f>
        <v xml:space="preserve">NUEVO </v>
      </c>
      <c r="G1147" s="33" t="str">
        <f>_xlfn.XLOOKUP(TablaSTOCKINV[[#This Row],[SKU]],TablaINVENTARIO[SKU],TablaINVENTARIO[MEDIDA])</f>
        <v>UND</v>
      </c>
      <c r="H1147" s="33" t="str">
        <f>_xlfn.XLOOKUP(TablaSTOCKINV[[#This Row],[SKU]],TablaINVENTARIO[SKU],TablaINVENTARIO[SERIAL])</f>
        <v>N/A</v>
      </c>
      <c r="I1147" s="34">
        <f>_xlfn.XLOOKUP(TablaSTOCKINV[[#This Row],[SKU]],TablaINVENTARIO[SKU],TablaINVENTARIO[ALMACEN])</f>
        <v>0</v>
      </c>
      <c r="J1147" s="34" t="str">
        <f>_xlfn.XLOOKUP(TablaSTOCKINV[[#This Row],[SKU]],TablaINVENTARIO[SKU],TablaINVENTARIO[UBICACION])</f>
        <v>C4</v>
      </c>
      <c r="K1147" s="34" t="str">
        <f>_xlfn.XLOOKUP(TablaSTOCKINV[[#This Row],[SKU]],TablaINVENTARIO[SKU],TablaINVENTARIO[DPTO RESPONSABLE])</f>
        <v>OPERACIONES</v>
      </c>
      <c r="L1147" s="53">
        <f>_xlfn.XLOOKUP(TablaSTOCKINV[[#This Row],[SKU]],TablaINVENTARIO[SKU],TablaINVENTARIO[RANGO MIN])</f>
        <v>0</v>
      </c>
      <c r="M1147" s="34" cm="1">
        <f t="array" ref="M1147">_xlfn.IFS(TablaSTOCKINV[[#This Row],[CANT. TOTAL]]&lt;=0,1,TablaSTOCKINV[[#This Row],[CANT. TOTAL]]&lt;=TablaSTOCKINV[[#This Row],[MIN]],2,TablaSTOCKINV[[#This Row],[CANT. TOTAL]]&gt;TablaSTOCKINV[[#This Row],[MIN]],3)</f>
        <v>3</v>
      </c>
      <c r="N1147" s="34">
        <f>TablaSTOCKINV[[#This Row],[ENTRADAS]]-TablaSTOCKINV[[#This Row],[SALIDAS]]</f>
        <v>54</v>
      </c>
      <c r="O1147" s="35">
        <f>SUMIFS(TablaENTRADA[CANT],TablaENTRADA[SKU],TablaSTOCKINV[[#This Row],[SKU]])</f>
        <v>54</v>
      </c>
      <c r="P1147" s="35">
        <f>SUMIFS(TablaSALIDA[CANT],TablaSALIDA[SKU],TablaSTOCKINV[[#This Row],[SKU]])</f>
        <v>0</v>
      </c>
      <c r="Q1147" s="34">
        <f>_xlfn.XLOOKUP(TablaSTOCKINV[[#This Row],[SKU]],TablaINVENTARIO[SKU],TablaINVENTARIO[PRECIO])</f>
        <v>0</v>
      </c>
      <c r="R1147" s="34">
        <f>TablaSTOCKINV[[#This Row],[P.UNITARIO]]*TablaSTOCKINV[[#This Row],[CANT. TOTAL]]</f>
        <v>0</v>
      </c>
      <c r="S1147" s="44">
        <f>_xlfn.XLOOKUP(TablaSTOCKINV[[#This Row],[SKU]],TablaINVENTARIO[SKU],TablaINVENTARIO[FECHA INGRESO])</f>
        <v>46023</v>
      </c>
      <c r="T1147" s="44">
        <f>_xlfn.XLOOKUP(TablaSTOCKINV[[#This Row],[SKU]],TablaENTRADA[SKU],TablaENTRADA[FECHA],,0,-1)</f>
        <v>46023</v>
      </c>
      <c r="U1147" s="46" t="str">
        <f>IFERROR((_xlfn.XLOOKUP(TablaSTOCKINV[[#This Row],[SKU]],TablaSALIDA[SKU],TablaSALIDA[FECHA],,0,-1))," " )</f>
        <v xml:space="preserve"> </v>
      </c>
    </row>
    <row r="1148" spans="1:21" x14ac:dyDescent="0.3">
      <c r="A1148" s="27" t="s">
        <v>3139</v>
      </c>
      <c r="B1148" s="32" t="str">
        <f>_xlfn.XLOOKUP(TablaSTOCKINV[[#This Row],[SKU]],TablaINVENTARIO[SKU],TablaINVENTARIO[DESCRIPCION])</f>
        <v xml:space="preserve">FUSIBLE TIPO RESISTENCIA 1/8A </v>
      </c>
      <c r="C1148" s="32" t="str">
        <f>_xlfn.XLOOKUP(TablaSTOCKINV[[#This Row],[SKU]],TablaINVENTARIO[SKU],TablaINVENTARIO[MARCA])</f>
        <v>N/A</v>
      </c>
      <c r="D1148" s="33" t="str">
        <f>_xlfn.XLOOKUP(TablaSTOCKINV[[#This Row],[SKU]],TablaINVENTARIO[SKU],TablaINVENTARIO[CATEGORIA])</f>
        <v>FABRICACION</v>
      </c>
      <c r="E1148" s="33" t="str">
        <f>_xlfn.XLOOKUP(TablaSTOCKINV[[#This Row],[SKU]],TablaINVENTARIO[SKU],TablaINVENTARIO[SUBCATEGORIA])</f>
        <v>MATERIAL ELECTRONICO</v>
      </c>
      <c r="F1148" s="33" t="str">
        <f>_xlfn.XLOOKUP(TablaSTOCKINV[[#This Row],[SKU]],TablaINVENTARIO[SKU],TablaINVENTARIO[ESTADO])</f>
        <v xml:space="preserve">NUEVO </v>
      </c>
      <c r="G1148" s="33" t="str">
        <f>_xlfn.XLOOKUP(TablaSTOCKINV[[#This Row],[SKU]],TablaINVENTARIO[SKU],TablaINVENTARIO[MEDIDA])</f>
        <v>UND</v>
      </c>
      <c r="H1148" s="33" t="str">
        <f>_xlfn.XLOOKUP(TablaSTOCKINV[[#This Row],[SKU]],TablaINVENTARIO[SKU],TablaINVENTARIO[SERIAL])</f>
        <v>N/A</v>
      </c>
      <c r="I1148" s="34">
        <f>_xlfn.XLOOKUP(TablaSTOCKINV[[#This Row],[SKU]],TablaINVENTARIO[SKU],TablaINVENTARIO[ALMACEN])</f>
        <v>0</v>
      </c>
      <c r="J1148" s="34" t="str">
        <f>_xlfn.XLOOKUP(TablaSTOCKINV[[#This Row],[SKU]],TablaINVENTARIO[SKU],TablaINVENTARIO[UBICACION])</f>
        <v>C4</v>
      </c>
      <c r="K1148" s="34" t="str">
        <f>_xlfn.XLOOKUP(TablaSTOCKINV[[#This Row],[SKU]],TablaINVENTARIO[SKU],TablaINVENTARIO[DPTO RESPONSABLE])</f>
        <v>OPERACIONES</v>
      </c>
      <c r="L1148" s="53">
        <f>_xlfn.XLOOKUP(TablaSTOCKINV[[#This Row],[SKU]],TablaINVENTARIO[SKU],TablaINVENTARIO[RANGO MIN])</f>
        <v>0</v>
      </c>
      <c r="M1148" s="34" cm="1">
        <f t="array" ref="M1148">_xlfn.IFS(TablaSTOCKINV[[#This Row],[CANT. TOTAL]]&lt;=0,1,TablaSTOCKINV[[#This Row],[CANT. TOTAL]]&lt;=TablaSTOCKINV[[#This Row],[MIN]],2,TablaSTOCKINV[[#This Row],[CANT. TOTAL]]&gt;TablaSTOCKINV[[#This Row],[MIN]],3)</f>
        <v>3</v>
      </c>
      <c r="N1148" s="34">
        <f>TablaSTOCKINV[[#This Row],[ENTRADAS]]-TablaSTOCKINV[[#This Row],[SALIDAS]]</f>
        <v>8</v>
      </c>
      <c r="O1148" s="35">
        <f>SUMIFS(TablaENTRADA[CANT],TablaENTRADA[SKU],TablaSTOCKINV[[#This Row],[SKU]])</f>
        <v>8</v>
      </c>
      <c r="P1148" s="35">
        <f>SUMIFS(TablaSALIDA[CANT],TablaSALIDA[SKU],TablaSTOCKINV[[#This Row],[SKU]])</f>
        <v>0</v>
      </c>
      <c r="Q1148" s="34">
        <f>_xlfn.XLOOKUP(TablaSTOCKINV[[#This Row],[SKU]],TablaINVENTARIO[SKU],TablaINVENTARIO[PRECIO])</f>
        <v>0</v>
      </c>
      <c r="R1148" s="34">
        <f>TablaSTOCKINV[[#This Row],[P.UNITARIO]]*TablaSTOCKINV[[#This Row],[CANT. TOTAL]]</f>
        <v>0</v>
      </c>
      <c r="S1148" s="44">
        <f>_xlfn.XLOOKUP(TablaSTOCKINV[[#This Row],[SKU]],TablaINVENTARIO[SKU],TablaINVENTARIO[FECHA INGRESO])</f>
        <v>46023</v>
      </c>
      <c r="T1148" s="44">
        <f>_xlfn.XLOOKUP(TablaSTOCKINV[[#This Row],[SKU]],TablaENTRADA[SKU],TablaENTRADA[FECHA],,0,-1)</f>
        <v>46023</v>
      </c>
      <c r="U1148" s="46" t="str">
        <f>IFERROR((_xlfn.XLOOKUP(TablaSTOCKINV[[#This Row],[SKU]],TablaSALIDA[SKU],TablaSALIDA[FECHA],,0,-1))," " )</f>
        <v xml:space="preserve"> </v>
      </c>
    </row>
    <row r="1149" spans="1:21" x14ac:dyDescent="0.3">
      <c r="A1149" s="27" t="s">
        <v>3141</v>
      </c>
      <c r="B1149" s="32" t="str">
        <f>_xlfn.XLOOKUP(TablaSTOCKINV[[#This Row],[SKU]],TablaINVENTARIO[SKU],TablaINVENTARIO[DESCRIPCION])</f>
        <v xml:space="preserve">FUSIBLE TIPO RESISTENCIA 1/16A </v>
      </c>
      <c r="C1149" s="32" t="str">
        <f>_xlfn.XLOOKUP(TablaSTOCKINV[[#This Row],[SKU]],TablaINVENTARIO[SKU],TablaINVENTARIO[MARCA])</f>
        <v>N/A</v>
      </c>
      <c r="D1149" s="33" t="str">
        <f>_xlfn.XLOOKUP(TablaSTOCKINV[[#This Row],[SKU]],TablaINVENTARIO[SKU],TablaINVENTARIO[CATEGORIA])</f>
        <v>FABRICACION</v>
      </c>
      <c r="E1149" s="33" t="str">
        <f>_xlfn.XLOOKUP(TablaSTOCKINV[[#This Row],[SKU]],TablaINVENTARIO[SKU],TablaINVENTARIO[SUBCATEGORIA])</f>
        <v>MATERIAL ELECTRONICO</v>
      </c>
      <c r="F1149" s="33" t="str">
        <f>_xlfn.XLOOKUP(TablaSTOCKINV[[#This Row],[SKU]],TablaINVENTARIO[SKU],TablaINVENTARIO[ESTADO])</f>
        <v xml:space="preserve">NUEVO </v>
      </c>
      <c r="G1149" s="33" t="str">
        <f>_xlfn.XLOOKUP(TablaSTOCKINV[[#This Row],[SKU]],TablaINVENTARIO[SKU],TablaINVENTARIO[MEDIDA])</f>
        <v>UND</v>
      </c>
      <c r="H1149" s="33" t="str">
        <f>_xlfn.XLOOKUP(TablaSTOCKINV[[#This Row],[SKU]],TablaINVENTARIO[SKU],TablaINVENTARIO[SERIAL])</f>
        <v>N/A</v>
      </c>
      <c r="I1149" s="34">
        <f>_xlfn.XLOOKUP(TablaSTOCKINV[[#This Row],[SKU]],TablaINVENTARIO[SKU],TablaINVENTARIO[ALMACEN])</f>
        <v>0</v>
      </c>
      <c r="J1149" s="34" t="str">
        <f>_xlfn.XLOOKUP(TablaSTOCKINV[[#This Row],[SKU]],TablaINVENTARIO[SKU],TablaINVENTARIO[UBICACION])</f>
        <v>C4</v>
      </c>
      <c r="K1149" s="34" t="str">
        <f>_xlfn.XLOOKUP(TablaSTOCKINV[[#This Row],[SKU]],TablaINVENTARIO[SKU],TablaINVENTARIO[DPTO RESPONSABLE])</f>
        <v>OPERACIONES</v>
      </c>
      <c r="L1149" s="53">
        <f>_xlfn.XLOOKUP(TablaSTOCKINV[[#This Row],[SKU]],TablaINVENTARIO[SKU],TablaINVENTARIO[RANGO MIN])</f>
        <v>0</v>
      </c>
      <c r="M1149" s="34" cm="1">
        <f t="array" ref="M1149">_xlfn.IFS(TablaSTOCKINV[[#This Row],[CANT. TOTAL]]&lt;=0,1,TablaSTOCKINV[[#This Row],[CANT. TOTAL]]&lt;=TablaSTOCKINV[[#This Row],[MIN]],2,TablaSTOCKINV[[#This Row],[CANT. TOTAL]]&gt;TablaSTOCKINV[[#This Row],[MIN]],3)</f>
        <v>3</v>
      </c>
      <c r="N1149" s="34">
        <f>TablaSTOCKINV[[#This Row],[ENTRADAS]]-TablaSTOCKINV[[#This Row],[SALIDAS]]</f>
        <v>134</v>
      </c>
      <c r="O1149" s="35">
        <f>SUMIFS(TablaENTRADA[CANT],TablaENTRADA[SKU],TablaSTOCKINV[[#This Row],[SKU]])</f>
        <v>134</v>
      </c>
      <c r="P1149" s="35">
        <f>SUMIFS(TablaSALIDA[CANT],TablaSALIDA[SKU],TablaSTOCKINV[[#This Row],[SKU]])</f>
        <v>0</v>
      </c>
      <c r="Q1149" s="34">
        <f>_xlfn.XLOOKUP(TablaSTOCKINV[[#This Row],[SKU]],TablaINVENTARIO[SKU],TablaINVENTARIO[PRECIO])</f>
        <v>0</v>
      </c>
      <c r="R1149" s="34">
        <f>TablaSTOCKINV[[#This Row],[P.UNITARIO]]*TablaSTOCKINV[[#This Row],[CANT. TOTAL]]</f>
        <v>0</v>
      </c>
      <c r="S1149" s="44">
        <f>_xlfn.XLOOKUP(TablaSTOCKINV[[#This Row],[SKU]],TablaINVENTARIO[SKU],TablaINVENTARIO[FECHA INGRESO])</f>
        <v>46023</v>
      </c>
      <c r="T1149" s="44">
        <f>_xlfn.XLOOKUP(TablaSTOCKINV[[#This Row],[SKU]],TablaENTRADA[SKU],TablaENTRADA[FECHA],,0,-1)</f>
        <v>46023</v>
      </c>
      <c r="U1149" s="46" t="str">
        <f>IFERROR((_xlfn.XLOOKUP(TablaSTOCKINV[[#This Row],[SKU]],TablaSALIDA[SKU],TablaSALIDA[FECHA],,0,-1))," " )</f>
        <v xml:space="preserve"> </v>
      </c>
    </row>
    <row r="1150" spans="1:21" x14ac:dyDescent="0.3">
      <c r="A1150" s="27" t="s">
        <v>3143</v>
      </c>
      <c r="B1150" s="32" t="str">
        <f>_xlfn.XLOOKUP(TablaSTOCKINV[[#This Row],[SKU]],TablaINVENTARIO[SKU],TablaINVENTARIO[DESCRIPCION])</f>
        <v>FILTRO PASAMUROS DE INTERFERENCIA ELECTROMAGNETICA/RADIOFRECUENCIA</v>
      </c>
      <c r="C1150" s="32" t="str">
        <f>_xlfn.XLOOKUP(TablaSTOCKINV[[#This Row],[SKU]],TablaINVENTARIO[SKU],TablaINVENTARIO[MARCA])</f>
        <v>N/A</v>
      </c>
      <c r="D1150" s="33" t="str">
        <f>_xlfn.XLOOKUP(TablaSTOCKINV[[#This Row],[SKU]],TablaINVENTARIO[SKU],TablaINVENTARIO[CATEGORIA])</f>
        <v>FABRICACION</v>
      </c>
      <c r="E1150" s="33" t="str">
        <f>_xlfn.XLOOKUP(TablaSTOCKINV[[#This Row],[SKU]],TablaINVENTARIO[SKU],TablaINVENTARIO[SUBCATEGORIA])</f>
        <v>MATERIAL ELECTRONICO</v>
      </c>
      <c r="F1150" s="33" t="str">
        <f>_xlfn.XLOOKUP(TablaSTOCKINV[[#This Row],[SKU]],TablaINVENTARIO[SKU],TablaINVENTARIO[ESTADO])</f>
        <v xml:space="preserve">NUEVO </v>
      </c>
      <c r="G1150" s="33" t="str">
        <f>_xlfn.XLOOKUP(TablaSTOCKINV[[#This Row],[SKU]],TablaINVENTARIO[SKU],TablaINVENTARIO[MEDIDA])</f>
        <v>UND</v>
      </c>
      <c r="H1150" s="33" t="str">
        <f>_xlfn.XLOOKUP(TablaSTOCKINV[[#This Row],[SKU]],TablaINVENTARIO[SKU],TablaINVENTARIO[SERIAL])</f>
        <v>N/A</v>
      </c>
      <c r="I1150" s="34">
        <f>_xlfn.XLOOKUP(TablaSTOCKINV[[#This Row],[SKU]],TablaINVENTARIO[SKU],TablaINVENTARIO[ALMACEN])</f>
        <v>0</v>
      </c>
      <c r="J1150" s="34" t="str">
        <f>_xlfn.XLOOKUP(TablaSTOCKINV[[#This Row],[SKU]],TablaINVENTARIO[SKU],TablaINVENTARIO[UBICACION])</f>
        <v>C4</v>
      </c>
      <c r="K1150" s="34" t="str">
        <f>_xlfn.XLOOKUP(TablaSTOCKINV[[#This Row],[SKU]],TablaINVENTARIO[SKU],TablaINVENTARIO[DPTO RESPONSABLE])</f>
        <v>OPERACIONES</v>
      </c>
      <c r="L1150" s="53">
        <f>_xlfn.XLOOKUP(TablaSTOCKINV[[#This Row],[SKU]],TablaINVENTARIO[SKU],TablaINVENTARIO[RANGO MIN])</f>
        <v>0</v>
      </c>
      <c r="M1150" s="34" cm="1">
        <f t="array" ref="M1150">_xlfn.IFS(TablaSTOCKINV[[#This Row],[CANT. TOTAL]]&lt;=0,1,TablaSTOCKINV[[#This Row],[CANT. TOTAL]]&lt;=TablaSTOCKINV[[#This Row],[MIN]],2,TablaSTOCKINV[[#This Row],[CANT. TOTAL]]&gt;TablaSTOCKINV[[#This Row],[MIN]],3)</f>
        <v>3</v>
      </c>
      <c r="N1150" s="34">
        <f>TablaSTOCKINV[[#This Row],[ENTRADAS]]-TablaSTOCKINV[[#This Row],[SALIDAS]]</f>
        <v>13</v>
      </c>
      <c r="O1150" s="35">
        <f>SUMIFS(TablaENTRADA[CANT],TablaENTRADA[SKU],TablaSTOCKINV[[#This Row],[SKU]])</f>
        <v>13</v>
      </c>
      <c r="P1150" s="35">
        <f>SUMIFS(TablaSALIDA[CANT],TablaSALIDA[SKU],TablaSTOCKINV[[#This Row],[SKU]])</f>
        <v>0</v>
      </c>
      <c r="Q1150" s="34">
        <f>_xlfn.XLOOKUP(TablaSTOCKINV[[#This Row],[SKU]],TablaINVENTARIO[SKU],TablaINVENTARIO[PRECIO])</f>
        <v>0</v>
      </c>
      <c r="R1150" s="34">
        <f>TablaSTOCKINV[[#This Row],[P.UNITARIO]]*TablaSTOCKINV[[#This Row],[CANT. TOTAL]]</f>
        <v>0</v>
      </c>
      <c r="S1150" s="44">
        <f>_xlfn.XLOOKUP(TablaSTOCKINV[[#This Row],[SKU]],TablaINVENTARIO[SKU],TablaINVENTARIO[FECHA INGRESO])</f>
        <v>46023</v>
      </c>
      <c r="T1150" s="44">
        <f>_xlfn.XLOOKUP(TablaSTOCKINV[[#This Row],[SKU]],TablaENTRADA[SKU],TablaENTRADA[FECHA],,0,-1)</f>
        <v>46023</v>
      </c>
      <c r="U1150" s="46" t="str">
        <f>IFERROR((_xlfn.XLOOKUP(TablaSTOCKINV[[#This Row],[SKU]],TablaSALIDA[SKU],TablaSALIDA[FECHA],,0,-1))," " )</f>
        <v xml:space="preserve"> </v>
      </c>
    </row>
    <row r="1151" spans="1:21" x14ac:dyDescent="0.3">
      <c r="A1151" s="27" t="s">
        <v>3145</v>
      </c>
      <c r="B1151" s="32" t="str">
        <f>_xlfn.XLOOKUP(TablaSTOCKINV[[#This Row],[SKU]],TablaINVENTARIO[SKU],TablaINVENTARIO[DESCRIPCION])</f>
        <v>RESISTENCIA 15K</v>
      </c>
      <c r="C1151" s="32" t="str">
        <f>_xlfn.XLOOKUP(TablaSTOCKINV[[#This Row],[SKU]],TablaINVENTARIO[SKU],TablaINVENTARIO[MARCA])</f>
        <v>N/A</v>
      </c>
      <c r="D1151" s="33" t="str">
        <f>_xlfn.XLOOKUP(TablaSTOCKINV[[#This Row],[SKU]],TablaINVENTARIO[SKU],TablaINVENTARIO[CATEGORIA])</f>
        <v>FABRICACION</v>
      </c>
      <c r="E1151" s="33" t="str">
        <f>_xlfn.XLOOKUP(TablaSTOCKINV[[#This Row],[SKU]],TablaINVENTARIO[SKU],TablaINVENTARIO[SUBCATEGORIA])</f>
        <v>MATERIAL ELECTRONICO</v>
      </c>
      <c r="F1151" s="33" t="str">
        <f>_xlfn.XLOOKUP(TablaSTOCKINV[[#This Row],[SKU]],TablaINVENTARIO[SKU],TablaINVENTARIO[ESTADO])</f>
        <v xml:space="preserve">NUEVO </v>
      </c>
      <c r="G1151" s="33" t="str">
        <f>_xlfn.XLOOKUP(TablaSTOCKINV[[#This Row],[SKU]],TablaINVENTARIO[SKU],TablaINVENTARIO[MEDIDA])</f>
        <v>UND</v>
      </c>
      <c r="H1151" s="33" t="str">
        <f>_xlfn.XLOOKUP(TablaSTOCKINV[[#This Row],[SKU]],TablaINVENTARIO[SKU],TablaINVENTARIO[SERIAL])</f>
        <v>N/A</v>
      </c>
      <c r="I1151" s="34">
        <f>_xlfn.XLOOKUP(TablaSTOCKINV[[#This Row],[SKU]],TablaINVENTARIO[SKU],TablaINVENTARIO[ALMACEN])</f>
        <v>0</v>
      </c>
      <c r="J1151" s="34" t="str">
        <f>_xlfn.XLOOKUP(TablaSTOCKINV[[#This Row],[SKU]],TablaINVENTARIO[SKU],TablaINVENTARIO[UBICACION])</f>
        <v>C4</v>
      </c>
      <c r="K1151" s="34" t="str">
        <f>_xlfn.XLOOKUP(TablaSTOCKINV[[#This Row],[SKU]],TablaINVENTARIO[SKU],TablaINVENTARIO[DPTO RESPONSABLE])</f>
        <v>OPERACIONES</v>
      </c>
      <c r="L1151" s="53">
        <f>_xlfn.XLOOKUP(TablaSTOCKINV[[#This Row],[SKU]],TablaINVENTARIO[SKU],TablaINVENTARIO[RANGO MIN])</f>
        <v>0</v>
      </c>
      <c r="M1151" s="34" cm="1">
        <f t="array" ref="M1151">_xlfn.IFS(TablaSTOCKINV[[#This Row],[CANT. TOTAL]]&lt;=0,1,TablaSTOCKINV[[#This Row],[CANT. TOTAL]]&lt;=TablaSTOCKINV[[#This Row],[MIN]],2,TablaSTOCKINV[[#This Row],[CANT. TOTAL]]&gt;TablaSTOCKINV[[#This Row],[MIN]],3)</f>
        <v>3</v>
      </c>
      <c r="N1151" s="34">
        <f>TablaSTOCKINV[[#This Row],[ENTRADAS]]-TablaSTOCKINV[[#This Row],[SALIDAS]]</f>
        <v>23</v>
      </c>
      <c r="O1151" s="35">
        <f>SUMIFS(TablaENTRADA[CANT],TablaENTRADA[SKU],TablaSTOCKINV[[#This Row],[SKU]])</f>
        <v>23</v>
      </c>
      <c r="P1151" s="35">
        <f>SUMIFS(TablaSALIDA[CANT],TablaSALIDA[SKU],TablaSTOCKINV[[#This Row],[SKU]])</f>
        <v>0</v>
      </c>
      <c r="Q1151" s="34">
        <f>_xlfn.XLOOKUP(TablaSTOCKINV[[#This Row],[SKU]],TablaINVENTARIO[SKU],TablaINVENTARIO[PRECIO])</f>
        <v>0</v>
      </c>
      <c r="R1151" s="34">
        <f>TablaSTOCKINV[[#This Row],[P.UNITARIO]]*TablaSTOCKINV[[#This Row],[CANT. TOTAL]]</f>
        <v>0</v>
      </c>
      <c r="S1151" s="44">
        <f>_xlfn.XLOOKUP(TablaSTOCKINV[[#This Row],[SKU]],TablaINVENTARIO[SKU],TablaINVENTARIO[FECHA INGRESO])</f>
        <v>46023</v>
      </c>
      <c r="T1151" s="44">
        <f>_xlfn.XLOOKUP(TablaSTOCKINV[[#This Row],[SKU]],TablaENTRADA[SKU],TablaENTRADA[FECHA],,0,-1)</f>
        <v>46023</v>
      </c>
      <c r="U1151" s="46" t="str">
        <f>IFERROR((_xlfn.XLOOKUP(TablaSTOCKINV[[#This Row],[SKU]],TablaSALIDA[SKU],TablaSALIDA[FECHA],,0,-1))," " )</f>
        <v xml:space="preserve"> </v>
      </c>
    </row>
    <row r="1152" spans="1:21" x14ac:dyDescent="0.3">
      <c r="A1152" s="27" t="s">
        <v>3147</v>
      </c>
      <c r="B1152" s="32" t="str">
        <f>_xlfn.XLOOKUP(TablaSTOCKINV[[#This Row],[SKU]],TablaINVENTARIO[SKU],TablaINVENTARIO[DESCRIPCION])</f>
        <v>RESISTENCIA 1K</v>
      </c>
      <c r="C1152" s="32" t="str">
        <f>_xlfn.XLOOKUP(TablaSTOCKINV[[#This Row],[SKU]],TablaINVENTARIO[SKU],TablaINVENTARIO[MARCA])</f>
        <v>N/A</v>
      </c>
      <c r="D1152" s="33" t="str">
        <f>_xlfn.XLOOKUP(TablaSTOCKINV[[#This Row],[SKU]],TablaINVENTARIO[SKU],TablaINVENTARIO[CATEGORIA])</f>
        <v>FABRICACION</v>
      </c>
      <c r="E1152" s="33" t="str">
        <f>_xlfn.XLOOKUP(TablaSTOCKINV[[#This Row],[SKU]],TablaINVENTARIO[SKU],TablaINVENTARIO[SUBCATEGORIA])</f>
        <v>MATERIAL ELECTRONICO</v>
      </c>
      <c r="F1152" s="33" t="str">
        <f>_xlfn.XLOOKUP(TablaSTOCKINV[[#This Row],[SKU]],TablaINVENTARIO[SKU],TablaINVENTARIO[ESTADO])</f>
        <v xml:space="preserve">NUEVO </v>
      </c>
      <c r="G1152" s="33" t="str">
        <f>_xlfn.XLOOKUP(TablaSTOCKINV[[#This Row],[SKU]],TablaINVENTARIO[SKU],TablaINVENTARIO[MEDIDA])</f>
        <v>UND</v>
      </c>
      <c r="H1152" s="33" t="str">
        <f>_xlfn.XLOOKUP(TablaSTOCKINV[[#This Row],[SKU]],TablaINVENTARIO[SKU],TablaINVENTARIO[SERIAL])</f>
        <v>N/A</v>
      </c>
      <c r="I1152" s="34">
        <f>_xlfn.XLOOKUP(TablaSTOCKINV[[#This Row],[SKU]],TablaINVENTARIO[SKU],TablaINVENTARIO[ALMACEN])</f>
        <v>0</v>
      </c>
      <c r="J1152" s="34" t="str">
        <f>_xlfn.XLOOKUP(TablaSTOCKINV[[#This Row],[SKU]],TablaINVENTARIO[SKU],TablaINVENTARIO[UBICACION])</f>
        <v>C4</v>
      </c>
      <c r="K1152" s="34" t="str">
        <f>_xlfn.XLOOKUP(TablaSTOCKINV[[#This Row],[SKU]],TablaINVENTARIO[SKU],TablaINVENTARIO[DPTO RESPONSABLE])</f>
        <v>OPERACIONES</v>
      </c>
      <c r="L1152" s="53">
        <f>_xlfn.XLOOKUP(TablaSTOCKINV[[#This Row],[SKU]],TablaINVENTARIO[SKU],TablaINVENTARIO[RANGO MIN])</f>
        <v>0</v>
      </c>
      <c r="M1152" s="34" cm="1">
        <f t="array" ref="M1152">_xlfn.IFS(TablaSTOCKINV[[#This Row],[CANT. TOTAL]]&lt;=0,1,TablaSTOCKINV[[#This Row],[CANT. TOTAL]]&lt;=TablaSTOCKINV[[#This Row],[MIN]],2,TablaSTOCKINV[[#This Row],[CANT. TOTAL]]&gt;TablaSTOCKINV[[#This Row],[MIN]],3)</f>
        <v>3</v>
      </c>
      <c r="N1152" s="34">
        <f>TablaSTOCKINV[[#This Row],[ENTRADAS]]-TablaSTOCKINV[[#This Row],[SALIDAS]]</f>
        <v>25</v>
      </c>
      <c r="O1152" s="35">
        <f>SUMIFS(TablaENTRADA[CANT],TablaENTRADA[SKU],TablaSTOCKINV[[#This Row],[SKU]])</f>
        <v>25</v>
      </c>
      <c r="P1152" s="35">
        <f>SUMIFS(TablaSALIDA[CANT],TablaSALIDA[SKU],TablaSTOCKINV[[#This Row],[SKU]])</f>
        <v>0</v>
      </c>
      <c r="Q1152" s="34">
        <f>_xlfn.XLOOKUP(TablaSTOCKINV[[#This Row],[SKU]],TablaINVENTARIO[SKU],TablaINVENTARIO[PRECIO])</f>
        <v>0</v>
      </c>
      <c r="R1152" s="34">
        <f>TablaSTOCKINV[[#This Row],[P.UNITARIO]]*TablaSTOCKINV[[#This Row],[CANT. TOTAL]]</f>
        <v>0</v>
      </c>
      <c r="S1152" s="44">
        <f>_xlfn.XLOOKUP(TablaSTOCKINV[[#This Row],[SKU]],TablaINVENTARIO[SKU],TablaINVENTARIO[FECHA INGRESO])</f>
        <v>46023</v>
      </c>
      <c r="T1152" s="44">
        <f>_xlfn.XLOOKUP(TablaSTOCKINV[[#This Row],[SKU]],TablaENTRADA[SKU],TablaENTRADA[FECHA],,0,-1)</f>
        <v>46023</v>
      </c>
      <c r="U1152" s="46" t="str">
        <f>IFERROR((_xlfn.XLOOKUP(TablaSTOCKINV[[#This Row],[SKU]],TablaSALIDA[SKU],TablaSALIDA[FECHA],,0,-1))," " )</f>
        <v xml:space="preserve"> </v>
      </c>
    </row>
    <row r="1153" spans="1:21" x14ac:dyDescent="0.3">
      <c r="A1153" s="27" t="s">
        <v>3149</v>
      </c>
      <c r="B1153" s="32" t="str">
        <f>_xlfn.XLOOKUP(TablaSTOCKINV[[#This Row],[SKU]],TablaINVENTARIO[SKU],TablaINVENTARIO[DESCRIPCION])</f>
        <v xml:space="preserve">EMBOLO DE BOLA CON RESORTE </v>
      </c>
      <c r="C1153" s="32" t="str">
        <f>_xlfn.XLOOKUP(TablaSTOCKINV[[#This Row],[SKU]],TablaINVENTARIO[SKU],TablaINVENTARIO[MARCA])</f>
        <v>N/A</v>
      </c>
      <c r="D1153" s="33" t="str">
        <f>_xlfn.XLOOKUP(TablaSTOCKINV[[#This Row],[SKU]],TablaINVENTARIO[SKU],TablaINVENTARIO[CATEGORIA])</f>
        <v>FABRICACION</v>
      </c>
      <c r="E1153" s="33" t="str">
        <f>_xlfn.XLOOKUP(TablaSTOCKINV[[#This Row],[SKU]],TablaINVENTARIO[SKU],TablaINVENTARIO[SUBCATEGORIA])</f>
        <v xml:space="preserve">MATERIAL MECANICO </v>
      </c>
      <c r="F1153" s="33" t="str">
        <f>_xlfn.XLOOKUP(TablaSTOCKINV[[#This Row],[SKU]],TablaINVENTARIO[SKU],TablaINVENTARIO[ESTADO])</f>
        <v xml:space="preserve">NUEVO </v>
      </c>
      <c r="G1153" s="33" t="str">
        <f>_xlfn.XLOOKUP(TablaSTOCKINV[[#This Row],[SKU]],TablaINVENTARIO[SKU],TablaINVENTARIO[MEDIDA])</f>
        <v>UND</v>
      </c>
      <c r="H1153" s="33" t="str">
        <f>_xlfn.XLOOKUP(TablaSTOCKINV[[#This Row],[SKU]],TablaINVENTARIO[SKU],TablaINVENTARIO[SERIAL])</f>
        <v>N/A</v>
      </c>
      <c r="I1153" s="34">
        <f>_xlfn.XLOOKUP(TablaSTOCKINV[[#This Row],[SKU]],TablaINVENTARIO[SKU],TablaINVENTARIO[ALMACEN])</f>
        <v>0</v>
      </c>
      <c r="J1153" s="34" t="str">
        <f>_xlfn.XLOOKUP(TablaSTOCKINV[[#This Row],[SKU]],TablaINVENTARIO[SKU],TablaINVENTARIO[UBICACION])</f>
        <v>C4</v>
      </c>
      <c r="K1153" s="34" t="str">
        <f>_xlfn.XLOOKUP(TablaSTOCKINV[[#This Row],[SKU]],TablaINVENTARIO[SKU],TablaINVENTARIO[DPTO RESPONSABLE])</f>
        <v>OPERACIONES</v>
      </c>
      <c r="L1153" s="53">
        <f>_xlfn.XLOOKUP(TablaSTOCKINV[[#This Row],[SKU]],TablaINVENTARIO[SKU],TablaINVENTARIO[RANGO MIN])</f>
        <v>0</v>
      </c>
      <c r="M1153" s="34" cm="1">
        <f t="array" ref="M1153">_xlfn.IFS(TablaSTOCKINV[[#This Row],[CANT. TOTAL]]&lt;=0,1,TablaSTOCKINV[[#This Row],[CANT. TOTAL]]&lt;=TablaSTOCKINV[[#This Row],[MIN]],2,TablaSTOCKINV[[#This Row],[CANT. TOTAL]]&gt;TablaSTOCKINV[[#This Row],[MIN]],3)</f>
        <v>3</v>
      </c>
      <c r="N1153" s="34">
        <f>TablaSTOCKINV[[#This Row],[ENTRADAS]]-TablaSTOCKINV[[#This Row],[SALIDAS]]</f>
        <v>3</v>
      </c>
      <c r="O1153" s="35">
        <f>SUMIFS(TablaENTRADA[CANT],TablaENTRADA[SKU],TablaSTOCKINV[[#This Row],[SKU]])</f>
        <v>3</v>
      </c>
      <c r="P1153" s="35">
        <f>SUMIFS(TablaSALIDA[CANT],TablaSALIDA[SKU],TablaSTOCKINV[[#This Row],[SKU]])</f>
        <v>0</v>
      </c>
      <c r="Q1153" s="34">
        <f>_xlfn.XLOOKUP(TablaSTOCKINV[[#This Row],[SKU]],TablaINVENTARIO[SKU],TablaINVENTARIO[PRECIO])</f>
        <v>0</v>
      </c>
      <c r="R1153" s="34">
        <f>TablaSTOCKINV[[#This Row],[P.UNITARIO]]*TablaSTOCKINV[[#This Row],[CANT. TOTAL]]</f>
        <v>0</v>
      </c>
      <c r="S1153" s="44">
        <f>_xlfn.XLOOKUP(TablaSTOCKINV[[#This Row],[SKU]],TablaINVENTARIO[SKU],TablaINVENTARIO[FECHA INGRESO])</f>
        <v>46023</v>
      </c>
      <c r="T1153" s="44">
        <f>_xlfn.XLOOKUP(TablaSTOCKINV[[#This Row],[SKU]],TablaENTRADA[SKU],TablaENTRADA[FECHA],,0,-1)</f>
        <v>46023</v>
      </c>
      <c r="U1153" s="46" t="str">
        <f>IFERROR((_xlfn.XLOOKUP(TablaSTOCKINV[[#This Row],[SKU]],TablaSALIDA[SKU],TablaSALIDA[FECHA],,0,-1))," " )</f>
        <v xml:space="preserve"> </v>
      </c>
    </row>
    <row r="1154" spans="1:21" x14ac:dyDescent="0.3">
      <c r="A1154" s="27" t="s">
        <v>3152</v>
      </c>
      <c r="B1154" s="32" t="str">
        <f>_xlfn.XLOOKUP(TablaSTOCKINV[[#This Row],[SKU]],TablaINVENTARIO[SKU],TablaINVENTARIO[DESCRIPCION])</f>
        <v>RESISTENCIA BOBINADA DE POTENCIA 5W</v>
      </c>
      <c r="C1154" s="32" t="str">
        <f>_xlfn.XLOOKUP(TablaSTOCKINV[[#This Row],[SKU]],TablaINVENTARIO[SKU],TablaINVENTARIO[MARCA])</f>
        <v>COLBER</v>
      </c>
      <c r="D1154" s="33" t="str">
        <f>_xlfn.XLOOKUP(TablaSTOCKINV[[#This Row],[SKU]],TablaINVENTARIO[SKU],TablaINVENTARIO[CATEGORIA])</f>
        <v>FABRICACION</v>
      </c>
      <c r="E1154" s="33" t="str">
        <f>_xlfn.XLOOKUP(TablaSTOCKINV[[#This Row],[SKU]],TablaINVENTARIO[SKU],TablaINVENTARIO[SUBCATEGORIA])</f>
        <v>MATERIAL ELECTRONICO</v>
      </c>
      <c r="F1154" s="33" t="str">
        <f>_xlfn.XLOOKUP(TablaSTOCKINV[[#This Row],[SKU]],TablaINVENTARIO[SKU],TablaINVENTARIO[ESTADO])</f>
        <v xml:space="preserve">NUEVO </v>
      </c>
      <c r="G1154" s="33" t="str">
        <f>_xlfn.XLOOKUP(TablaSTOCKINV[[#This Row],[SKU]],TablaINVENTARIO[SKU],TablaINVENTARIO[MEDIDA])</f>
        <v>UND</v>
      </c>
      <c r="H1154" s="33" t="str">
        <f>_xlfn.XLOOKUP(TablaSTOCKINV[[#This Row],[SKU]],TablaINVENTARIO[SKU],TablaINVENTARIO[SERIAL])</f>
        <v>N/A</v>
      </c>
      <c r="I1154" s="34">
        <f>_xlfn.XLOOKUP(TablaSTOCKINV[[#This Row],[SKU]],TablaINVENTARIO[SKU],TablaINVENTARIO[ALMACEN])</f>
        <v>0</v>
      </c>
      <c r="J1154" s="34" t="str">
        <f>_xlfn.XLOOKUP(TablaSTOCKINV[[#This Row],[SKU]],TablaINVENTARIO[SKU],TablaINVENTARIO[UBICACION])</f>
        <v>C4</v>
      </c>
      <c r="K1154" s="34" t="str">
        <f>_xlfn.XLOOKUP(TablaSTOCKINV[[#This Row],[SKU]],TablaINVENTARIO[SKU],TablaINVENTARIO[DPTO RESPONSABLE])</f>
        <v>OPERACIONES</v>
      </c>
      <c r="L1154" s="53">
        <f>_xlfn.XLOOKUP(TablaSTOCKINV[[#This Row],[SKU]],TablaINVENTARIO[SKU],TablaINVENTARIO[RANGO MIN])</f>
        <v>0</v>
      </c>
      <c r="M1154" s="34" cm="1">
        <f t="array" ref="M1154">_xlfn.IFS(TablaSTOCKINV[[#This Row],[CANT. TOTAL]]&lt;=0,1,TablaSTOCKINV[[#This Row],[CANT. TOTAL]]&lt;=TablaSTOCKINV[[#This Row],[MIN]],2,TablaSTOCKINV[[#This Row],[CANT. TOTAL]]&gt;TablaSTOCKINV[[#This Row],[MIN]],3)</f>
        <v>3</v>
      </c>
      <c r="N1154" s="34">
        <f>TablaSTOCKINV[[#This Row],[ENTRADAS]]-TablaSTOCKINV[[#This Row],[SALIDAS]]</f>
        <v>9</v>
      </c>
      <c r="O1154" s="35">
        <f>SUMIFS(TablaENTRADA[CANT],TablaENTRADA[SKU],TablaSTOCKINV[[#This Row],[SKU]])</f>
        <v>9</v>
      </c>
      <c r="P1154" s="35">
        <f>SUMIFS(TablaSALIDA[CANT],TablaSALIDA[SKU],TablaSTOCKINV[[#This Row],[SKU]])</f>
        <v>0</v>
      </c>
      <c r="Q1154" s="34">
        <f>_xlfn.XLOOKUP(TablaSTOCKINV[[#This Row],[SKU]],TablaINVENTARIO[SKU],TablaINVENTARIO[PRECIO])</f>
        <v>0</v>
      </c>
      <c r="R1154" s="34">
        <f>TablaSTOCKINV[[#This Row],[P.UNITARIO]]*TablaSTOCKINV[[#This Row],[CANT. TOTAL]]</f>
        <v>0</v>
      </c>
      <c r="S1154" s="44">
        <f>_xlfn.XLOOKUP(TablaSTOCKINV[[#This Row],[SKU]],TablaINVENTARIO[SKU],TablaINVENTARIO[FECHA INGRESO])</f>
        <v>46023</v>
      </c>
      <c r="T1154" s="44">
        <f>_xlfn.XLOOKUP(TablaSTOCKINV[[#This Row],[SKU]],TablaENTRADA[SKU],TablaENTRADA[FECHA],,0,-1)</f>
        <v>46023</v>
      </c>
      <c r="U1154" s="46" t="str">
        <f>IFERROR((_xlfn.XLOOKUP(TablaSTOCKINV[[#This Row],[SKU]],TablaSALIDA[SKU],TablaSALIDA[FECHA],,0,-1))," " )</f>
        <v xml:space="preserve"> </v>
      </c>
    </row>
    <row r="1155" spans="1:21" x14ac:dyDescent="0.3">
      <c r="A1155" s="27" t="s">
        <v>3155</v>
      </c>
      <c r="B1155" s="32" t="str">
        <f>_xlfn.XLOOKUP(TablaSTOCKINV[[#This Row],[SKU]],TablaINVENTARIO[SKU],TablaINVENTARIO[DESCRIPCION])</f>
        <v>MICROMINI FUSIBLE DE ACCION ULTRARRAPIDA 15MA 125V</v>
      </c>
      <c r="C1155" s="32" t="str">
        <f>_xlfn.XLOOKUP(TablaSTOCKINV[[#This Row],[SKU]],TablaINVENTARIO[SKU],TablaINVENTARIO[MARCA])</f>
        <v>LITTELFUSE</v>
      </c>
      <c r="D1155" s="33" t="str">
        <f>_xlfn.XLOOKUP(TablaSTOCKINV[[#This Row],[SKU]],TablaINVENTARIO[SKU],TablaINVENTARIO[CATEGORIA])</f>
        <v>FABRICACION</v>
      </c>
      <c r="E1155" s="33" t="str">
        <f>_xlfn.XLOOKUP(TablaSTOCKINV[[#This Row],[SKU]],TablaINVENTARIO[SKU],TablaINVENTARIO[SUBCATEGORIA])</f>
        <v>MATERIAL ELECTRONICO</v>
      </c>
      <c r="F1155" s="33" t="str">
        <f>_xlfn.XLOOKUP(TablaSTOCKINV[[#This Row],[SKU]],TablaINVENTARIO[SKU],TablaINVENTARIO[ESTADO])</f>
        <v xml:space="preserve">NUEVO </v>
      </c>
      <c r="G1155" s="33" t="str">
        <f>_xlfn.XLOOKUP(TablaSTOCKINV[[#This Row],[SKU]],TablaINVENTARIO[SKU],TablaINVENTARIO[MEDIDA])</f>
        <v>UND</v>
      </c>
      <c r="H1155" s="33" t="str">
        <f>_xlfn.XLOOKUP(TablaSTOCKINV[[#This Row],[SKU]],TablaINVENTARIO[SKU],TablaINVENTARIO[SERIAL])</f>
        <v>N/A</v>
      </c>
      <c r="I1155" s="34">
        <f>_xlfn.XLOOKUP(TablaSTOCKINV[[#This Row],[SKU]],TablaINVENTARIO[SKU],TablaINVENTARIO[ALMACEN])</f>
        <v>0</v>
      </c>
      <c r="J1155" s="34" t="str">
        <f>_xlfn.XLOOKUP(TablaSTOCKINV[[#This Row],[SKU]],TablaINVENTARIO[SKU],TablaINVENTARIO[UBICACION])</f>
        <v>C4</v>
      </c>
      <c r="K1155" s="34" t="str">
        <f>_xlfn.XLOOKUP(TablaSTOCKINV[[#This Row],[SKU]],TablaINVENTARIO[SKU],TablaINVENTARIO[DPTO RESPONSABLE])</f>
        <v>OPERACIONES</v>
      </c>
      <c r="L1155" s="53">
        <f>_xlfn.XLOOKUP(TablaSTOCKINV[[#This Row],[SKU]],TablaINVENTARIO[SKU],TablaINVENTARIO[RANGO MIN])</f>
        <v>0</v>
      </c>
      <c r="M1155" s="34" cm="1">
        <f t="array" ref="M1155">_xlfn.IFS(TablaSTOCKINV[[#This Row],[CANT. TOTAL]]&lt;=0,1,TablaSTOCKINV[[#This Row],[CANT. TOTAL]]&lt;=TablaSTOCKINV[[#This Row],[MIN]],2,TablaSTOCKINV[[#This Row],[CANT. TOTAL]]&gt;TablaSTOCKINV[[#This Row],[MIN]],3)</f>
        <v>3</v>
      </c>
      <c r="N1155" s="34">
        <f>TablaSTOCKINV[[#This Row],[ENTRADAS]]-TablaSTOCKINV[[#This Row],[SALIDAS]]</f>
        <v>12</v>
      </c>
      <c r="O1155" s="35">
        <f>SUMIFS(TablaENTRADA[CANT],TablaENTRADA[SKU],TablaSTOCKINV[[#This Row],[SKU]])</f>
        <v>12</v>
      </c>
      <c r="P1155" s="35">
        <f>SUMIFS(TablaSALIDA[CANT],TablaSALIDA[SKU],TablaSTOCKINV[[#This Row],[SKU]])</f>
        <v>0</v>
      </c>
      <c r="Q1155" s="34">
        <f>_xlfn.XLOOKUP(TablaSTOCKINV[[#This Row],[SKU]],TablaINVENTARIO[SKU],TablaINVENTARIO[PRECIO])</f>
        <v>0</v>
      </c>
      <c r="R1155" s="34">
        <f>TablaSTOCKINV[[#This Row],[P.UNITARIO]]*TablaSTOCKINV[[#This Row],[CANT. TOTAL]]</f>
        <v>0</v>
      </c>
      <c r="S1155" s="44">
        <f>_xlfn.XLOOKUP(TablaSTOCKINV[[#This Row],[SKU]],TablaINVENTARIO[SKU],TablaINVENTARIO[FECHA INGRESO])</f>
        <v>46023</v>
      </c>
      <c r="T1155" s="44">
        <f>_xlfn.XLOOKUP(TablaSTOCKINV[[#This Row],[SKU]],TablaENTRADA[SKU],TablaENTRADA[FECHA],,0,-1)</f>
        <v>46023</v>
      </c>
      <c r="U1155" s="46" t="str">
        <f>IFERROR((_xlfn.XLOOKUP(TablaSTOCKINV[[#This Row],[SKU]],TablaSALIDA[SKU],TablaSALIDA[FECHA],,0,-1))," " )</f>
        <v xml:space="preserve"> </v>
      </c>
    </row>
    <row r="1156" spans="1:21" x14ac:dyDescent="0.3">
      <c r="A1156" s="27" t="s">
        <v>3158</v>
      </c>
      <c r="B1156" s="32" t="str">
        <f>_xlfn.XLOOKUP(TablaSTOCKINV[[#This Row],[SKU]],TablaINVENTARIO[SKU],TablaINVENTARIO[DESCRIPCION])</f>
        <v>BOMBILLA MINIATURA 6V 4W</v>
      </c>
      <c r="C1156" s="32" t="str">
        <f>_xlfn.XLOOKUP(TablaSTOCKINV[[#This Row],[SKU]],TablaINVENTARIO[SKU],TablaINVENTARIO[MARCA])</f>
        <v>BLICK</v>
      </c>
      <c r="D1156" s="33" t="str">
        <f>_xlfn.XLOOKUP(TablaSTOCKINV[[#This Row],[SKU]],TablaINVENTARIO[SKU],TablaINVENTARIO[CATEGORIA])</f>
        <v>FABRICACION</v>
      </c>
      <c r="E1156" s="33" t="str">
        <f>_xlfn.XLOOKUP(TablaSTOCKINV[[#This Row],[SKU]],TablaINVENTARIO[SKU],TablaINVENTARIO[SUBCATEGORIA])</f>
        <v>MATERIAL ELECTRONICO</v>
      </c>
      <c r="F1156" s="33" t="str">
        <f>_xlfn.XLOOKUP(TablaSTOCKINV[[#This Row],[SKU]],TablaINVENTARIO[SKU],TablaINVENTARIO[ESTADO])</f>
        <v xml:space="preserve">NUEVO </v>
      </c>
      <c r="G1156" s="33" t="str">
        <f>_xlfn.XLOOKUP(TablaSTOCKINV[[#This Row],[SKU]],TablaINVENTARIO[SKU],TablaINVENTARIO[MEDIDA])</f>
        <v>UND</v>
      </c>
      <c r="H1156" s="33" t="str">
        <f>_xlfn.XLOOKUP(TablaSTOCKINV[[#This Row],[SKU]],TablaINVENTARIO[SKU],TablaINVENTARIO[SERIAL])</f>
        <v>N/A</v>
      </c>
      <c r="I1156" s="34">
        <f>_xlfn.XLOOKUP(TablaSTOCKINV[[#This Row],[SKU]],TablaINVENTARIO[SKU],TablaINVENTARIO[ALMACEN])</f>
        <v>0</v>
      </c>
      <c r="J1156" s="34" t="str">
        <f>_xlfn.XLOOKUP(TablaSTOCKINV[[#This Row],[SKU]],TablaINVENTARIO[SKU],TablaINVENTARIO[UBICACION])</f>
        <v>C4</v>
      </c>
      <c r="K1156" s="34" t="str">
        <f>_xlfn.XLOOKUP(TablaSTOCKINV[[#This Row],[SKU]],TablaINVENTARIO[SKU],TablaINVENTARIO[DPTO RESPONSABLE])</f>
        <v>OPERACIONES</v>
      </c>
      <c r="L1156" s="53">
        <f>_xlfn.XLOOKUP(TablaSTOCKINV[[#This Row],[SKU]],TablaINVENTARIO[SKU],TablaINVENTARIO[RANGO MIN])</f>
        <v>0</v>
      </c>
      <c r="M1156" s="34" cm="1">
        <f t="array" ref="M1156">_xlfn.IFS(TablaSTOCKINV[[#This Row],[CANT. TOTAL]]&lt;=0,1,TablaSTOCKINV[[#This Row],[CANT. TOTAL]]&lt;=TablaSTOCKINV[[#This Row],[MIN]],2,TablaSTOCKINV[[#This Row],[CANT. TOTAL]]&gt;TablaSTOCKINV[[#This Row],[MIN]],3)</f>
        <v>3</v>
      </c>
      <c r="N1156" s="34">
        <f>TablaSTOCKINV[[#This Row],[ENTRADAS]]-TablaSTOCKINV[[#This Row],[SALIDAS]]</f>
        <v>6</v>
      </c>
      <c r="O1156" s="35">
        <f>SUMIFS(TablaENTRADA[CANT],TablaENTRADA[SKU],TablaSTOCKINV[[#This Row],[SKU]])</f>
        <v>6</v>
      </c>
      <c r="P1156" s="35">
        <f>SUMIFS(TablaSALIDA[CANT],TablaSALIDA[SKU],TablaSTOCKINV[[#This Row],[SKU]])</f>
        <v>0</v>
      </c>
      <c r="Q1156" s="34">
        <f>_xlfn.XLOOKUP(TablaSTOCKINV[[#This Row],[SKU]],TablaINVENTARIO[SKU],TablaINVENTARIO[PRECIO])</f>
        <v>0</v>
      </c>
      <c r="R1156" s="34">
        <f>TablaSTOCKINV[[#This Row],[P.UNITARIO]]*TablaSTOCKINV[[#This Row],[CANT. TOTAL]]</f>
        <v>0</v>
      </c>
      <c r="S1156" s="44">
        <f>_xlfn.XLOOKUP(TablaSTOCKINV[[#This Row],[SKU]],TablaINVENTARIO[SKU],TablaINVENTARIO[FECHA INGRESO])</f>
        <v>46023</v>
      </c>
      <c r="T1156" s="44">
        <f>_xlfn.XLOOKUP(TablaSTOCKINV[[#This Row],[SKU]],TablaENTRADA[SKU],TablaENTRADA[FECHA],,0,-1)</f>
        <v>46023</v>
      </c>
      <c r="U1156" s="46" t="str">
        <f>IFERROR((_xlfn.XLOOKUP(TablaSTOCKINV[[#This Row],[SKU]],TablaSALIDA[SKU],TablaSALIDA[FECHA],,0,-1))," " )</f>
        <v xml:space="preserve"> </v>
      </c>
    </row>
    <row r="1157" spans="1:21" x14ac:dyDescent="0.3">
      <c r="A1157" s="27" t="s">
        <v>3161</v>
      </c>
      <c r="B1157" s="32" t="str">
        <f>_xlfn.XLOOKUP(TablaSTOCKINV[[#This Row],[SKU]],TablaINVENTARIO[SKU],TablaINVENTARIO[DESCRIPCION])</f>
        <v>BOMBILLA MINIATURA BA9S 12V 4W</v>
      </c>
      <c r="C1157" s="32" t="str">
        <f>_xlfn.XLOOKUP(TablaSTOCKINV[[#This Row],[SKU]],TablaINVENTARIO[SKU],TablaINVENTARIO[MARCA])</f>
        <v>BLICK</v>
      </c>
      <c r="D1157" s="33" t="str">
        <f>_xlfn.XLOOKUP(TablaSTOCKINV[[#This Row],[SKU]],TablaINVENTARIO[SKU],TablaINVENTARIO[CATEGORIA])</f>
        <v>FABRICACION</v>
      </c>
      <c r="E1157" s="33" t="str">
        <f>_xlfn.XLOOKUP(TablaSTOCKINV[[#This Row],[SKU]],TablaINVENTARIO[SKU],TablaINVENTARIO[SUBCATEGORIA])</f>
        <v>MATERIAL ELECTRONICO</v>
      </c>
      <c r="F1157" s="33" t="str">
        <f>_xlfn.XLOOKUP(TablaSTOCKINV[[#This Row],[SKU]],TablaINVENTARIO[SKU],TablaINVENTARIO[ESTADO])</f>
        <v>USADO</v>
      </c>
      <c r="G1157" s="33" t="str">
        <f>_xlfn.XLOOKUP(TablaSTOCKINV[[#This Row],[SKU]],TablaINVENTARIO[SKU],TablaINVENTARIO[MEDIDA])</f>
        <v>UND</v>
      </c>
      <c r="H1157" s="33" t="str">
        <f>_xlfn.XLOOKUP(TablaSTOCKINV[[#This Row],[SKU]],TablaINVENTARIO[SKU],TablaINVENTARIO[SERIAL])</f>
        <v>N/A</v>
      </c>
      <c r="I1157" s="34">
        <f>_xlfn.XLOOKUP(TablaSTOCKINV[[#This Row],[SKU]],TablaINVENTARIO[SKU],TablaINVENTARIO[ALMACEN])</f>
        <v>0</v>
      </c>
      <c r="J1157" s="34" t="str">
        <f>_xlfn.XLOOKUP(TablaSTOCKINV[[#This Row],[SKU]],TablaINVENTARIO[SKU],TablaINVENTARIO[UBICACION])</f>
        <v>C4</v>
      </c>
      <c r="K1157" s="34" t="str">
        <f>_xlfn.XLOOKUP(TablaSTOCKINV[[#This Row],[SKU]],TablaINVENTARIO[SKU],TablaINVENTARIO[DPTO RESPONSABLE])</f>
        <v>OPERACIONES</v>
      </c>
      <c r="L1157" s="53">
        <f>_xlfn.XLOOKUP(TablaSTOCKINV[[#This Row],[SKU]],TablaINVENTARIO[SKU],TablaINVENTARIO[RANGO MIN])</f>
        <v>0</v>
      </c>
      <c r="M1157" s="34" cm="1">
        <f t="array" ref="M1157">_xlfn.IFS(TablaSTOCKINV[[#This Row],[CANT. TOTAL]]&lt;=0,1,TablaSTOCKINV[[#This Row],[CANT. TOTAL]]&lt;=TablaSTOCKINV[[#This Row],[MIN]],2,TablaSTOCKINV[[#This Row],[CANT. TOTAL]]&gt;TablaSTOCKINV[[#This Row],[MIN]],3)</f>
        <v>3</v>
      </c>
      <c r="N1157" s="34">
        <f>TablaSTOCKINV[[#This Row],[ENTRADAS]]-TablaSTOCKINV[[#This Row],[SALIDAS]]</f>
        <v>2</v>
      </c>
      <c r="O1157" s="35">
        <f>SUMIFS(TablaENTRADA[CANT],TablaENTRADA[SKU],TablaSTOCKINV[[#This Row],[SKU]])</f>
        <v>2</v>
      </c>
      <c r="P1157" s="35">
        <f>SUMIFS(TablaSALIDA[CANT],TablaSALIDA[SKU],TablaSTOCKINV[[#This Row],[SKU]])</f>
        <v>0</v>
      </c>
      <c r="Q1157" s="34">
        <f>_xlfn.XLOOKUP(TablaSTOCKINV[[#This Row],[SKU]],TablaINVENTARIO[SKU],TablaINVENTARIO[PRECIO])</f>
        <v>0</v>
      </c>
      <c r="R1157" s="34">
        <f>TablaSTOCKINV[[#This Row],[P.UNITARIO]]*TablaSTOCKINV[[#This Row],[CANT. TOTAL]]</f>
        <v>0</v>
      </c>
      <c r="S1157" s="44">
        <f>_xlfn.XLOOKUP(TablaSTOCKINV[[#This Row],[SKU]],TablaINVENTARIO[SKU],TablaINVENTARIO[FECHA INGRESO])</f>
        <v>46023</v>
      </c>
      <c r="T1157" s="44">
        <f>_xlfn.XLOOKUP(TablaSTOCKINV[[#This Row],[SKU]],TablaENTRADA[SKU],TablaENTRADA[FECHA],,0,-1)</f>
        <v>46023</v>
      </c>
      <c r="U1157" s="46" t="str">
        <f>IFERROR((_xlfn.XLOOKUP(TablaSTOCKINV[[#This Row],[SKU]],TablaSALIDA[SKU],TablaSALIDA[FECHA],,0,-1))," " )</f>
        <v xml:space="preserve"> </v>
      </c>
    </row>
    <row r="1158" spans="1:21" x14ac:dyDescent="0.3">
      <c r="A1158" s="27" t="s">
        <v>3163</v>
      </c>
      <c r="B1158" s="32" t="str">
        <f>_xlfn.XLOOKUP(TablaSTOCKINV[[#This Row],[SKU]],TablaINVENTARIO[SKU],TablaINVENTARIO[DESCRIPCION])</f>
        <v xml:space="preserve">BOMBILLA DE BAYONETA </v>
      </c>
      <c r="C1158" s="32" t="str">
        <f>_xlfn.XLOOKUP(TablaSTOCKINV[[#This Row],[SKU]],TablaINVENTARIO[SKU],TablaINVENTARIO[MARCA])</f>
        <v>N/A</v>
      </c>
      <c r="D1158" s="33" t="str">
        <f>_xlfn.XLOOKUP(TablaSTOCKINV[[#This Row],[SKU]],TablaINVENTARIO[SKU],TablaINVENTARIO[CATEGORIA])</f>
        <v>FABRICACION</v>
      </c>
      <c r="E1158" s="33" t="str">
        <f>_xlfn.XLOOKUP(TablaSTOCKINV[[#This Row],[SKU]],TablaINVENTARIO[SKU],TablaINVENTARIO[SUBCATEGORIA])</f>
        <v>MATERIAL ELECTRONICO</v>
      </c>
      <c r="F1158" s="33" t="str">
        <f>_xlfn.XLOOKUP(TablaSTOCKINV[[#This Row],[SKU]],TablaINVENTARIO[SKU],TablaINVENTARIO[ESTADO])</f>
        <v>USADO</v>
      </c>
      <c r="G1158" s="33" t="str">
        <f>_xlfn.XLOOKUP(TablaSTOCKINV[[#This Row],[SKU]],TablaINVENTARIO[SKU],TablaINVENTARIO[MEDIDA])</f>
        <v>UND</v>
      </c>
      <c r="H1158" s="33" t="str">
        <f>_xlfn.XLOOKUP(TablaSTOCKINV[[#This Row],[SKU]],TablaINVENTARIO[SKU],TablaINVENTARIO[SERIAL])</f>
        <v>N/A</v>
      </c>
      <c r="I1158" s="34">
        <f>_xlfn.XLOOKUP(TablaSTOCKINV[[#This Row],[SKU]],TablaINVENTARIO[SKU],TablaINVENTARIO[ALMACEN])</f>
        <v>0</v>
      </c>
      <c r="J1158" s="34" t="str">
        <f>_xlfn.XLOOKUP(TablaSTOCKINV[[#This Row],[SKU]],TablaINVENTARIO[SKU],TablaINVENTARIO[UBICACION])</f>
        <v>C4</v>
      </c>
      <c r="K1158" s="34" t="str">
        <f>_xlfn.XLOOKUP(TablaSTOCKINV[[#This Row],[SKU]],TablaINVENTARIO[SKU],TablaINVENTARIO[DPTO RESPONSABLE])</f>
        <v>OPERACIONES</v>
      </c>
      <c r="L1158" s="53">
        <f>_xlfn.XLOOKUP(TablaSTOCKINV[[#This Row],[SKU]],TablaINVENTARIO[SKU],TablaINVENTARIO[RANGO MIN])</f>
        <v>0</v>
      </c>
      <c r="M1158" s="34" cm="1">
        <f t="array" ref="M1158">_xlfn.IFS(TablaSTOCKINV[[#This Row],[CANT. TOTAL]]&lt;=0,1,TablaSTOCKINV[[#This Row],[CANT. TOTAL]]&lt;=TablaSTOCKINV[[#This Row],[MIN]],2,TablaSTOCKINV[[#This Row],[CANT. TOTAL]]&gt;TablaSTOCKINV[[#This Row],[MIN]],3)</f>
        <v>3</v>
      </c>
      <c r="N1158" s="34">
        <f>TablaSTOCKINV[[#This Row],[ENTRADAS]]-TablaSTOCKINV[[#This Row],[SALIDAS]]</f>
        <v>1</v>
      </c>
      <c r="O1158" s="35">
        <f>SUMIFS(TablaENTRADA[CANT],TablaENTRADA[SKU],TablaSTOCKINV[[#This Row],[SKU]])</f>
        <v>1</v>
      </c>
      <c r="P1158" s="35">
        <f>SUMIFS(TablaSALIDA[CANT],TablaSALIDA[SKU],TablaSTOCKINV[[#This Row],[SKU]])</f>
        <v>0</v>
      </c>
      <c r="Q1158" s="34">
        <f>_xlfn.XLOOKUP(TablaSTOCKINV[[#This Row],[SKU]],TablaINVENTARIO[SKU],TablaINVENTARIO[PRECIO])</f>
        <v>0</v>
      </c>
      <c r="R1158" s="34">
        <f>TablaSTOCKINV[[#This Row],[P.UNITARIO]]*TablaSTOCKINV[[#This Row],[CANT. TOTAL]]</f>
        <v>0</v>
      </c>
      <c r="S1158" s="44">
        <f>_xlfn.XLOOKUP(TablaSTOCKINV[[#This Row],[SKU]],TablaINVENTARIO[SKU],TablaINVENTARIO[FECHA INGRESO])</f>
        <v>46023</v>
      </c>
      <c r="T1158" s="44">
        <f>_xlfn.XLOOKUP(TablaSTOCKINV[[#This Row],[SKU]],TablaENTRADA[SKU],TablaENTRADA[FECHA],,0,-1)</f>
        <v>46023</v>
      </c>
      <c r="U1158" s="46" t="str">
        <f>IFERROR((_xlfn.XLOOKUP(TablaSTOCKINV[[#This Row],[SKU]],TablaSALIDA[SKU],TablaSALIDA[FECHA],,0,-1))," " )</f>
        <v xml:space="preserve"> </v>
      </c>
    </row>
    <row r="1159" spans="1:21" x14ac:dyDescent="0.3">
      <c r="A1159" s="27" t="s">
        <v>3165</v>
      </c>
      <c r="B1159" s="32" t="str">
        <f>_xlfn.XLOOKUP(TablaSTOCKINV[[#This Row],[SKU]],TablaINVENTARIO[SKU],TablaINVENTARIO[DESCRIPCION])</f>
        <v>BOMBILLA MINIATURA CON BASE TIPO CUÑA</v>
      </c>
      <c r="C1159" s="32" t="str">
        <f>_xlfn.XLOOKUP(TablaSTOCKINV[[#This Row],[SKU]],TablaINVENTARIO[SKU],TablaINVENTARIO[MARCA])</f>
        <v>N/A</v>
      </c>
      <c r="D1159" s="33" t="str">
        <f>_xlfn.XLOOKUP(TablaSTOCKINV[[#This Row],[SKU]],TablaINVENTARIO[SKU],TablaINVENTARIO[CATEGORIA])</f>
        <v>FABRICACION</v>
      </c>
      <c r="E1159" s="33" t="str">
        <f>_xlfn.XLOOKUP(TablaSTOCKINV[[#This Row],[SKU]],TablaINVENTARIO[SKU],TablaINVENTARIO[SUBCATEGORIA])</f>
        <v>MATERIAL ELECTRONICO</v>
      </c>
      <c r="F1159" s="33" t="str">
        <f>_xlfn.XLOOKUP(TablaSTOCKINV[[#This Row],[SKU]],TablaINVENTARIO[SKU],TablaINVENTARIO[ESTADO])</f>
        <v>USADO</v>
      </c>
      <c r="G1159" s="33" t="str">
        <f>_xlfn.XLOOKUP(TablaSTOCKINV[[#This Row],[SKU]],TablaINVENTARIO[SKU],TablaINVENTARIO[MEDIDA])</f>
        <v>UND</v>
      </c>
      <c r="H1159" s="33" t="str">
        <f>_xlfn.XLOOKUP(TablaSTOCKINV[[#This Row],[SKU]],TablaINVENTARIO[SKU],TablaINVENTARIO[SERIAL])</f>
        <v>N/A</v>
      </c>
      <c r="I1159" s="34">
        <f>_xlfn.XLOOKUP(TablaSTOCKINV[[#This Row],[SKU]],TablaINVENTARIO[SKU],TablaINVENTARIO[ALMACEN])</f>
        <v>0</v>
      </c>
      <c r="J1159" s="34" t="str">
        <f>_xlfn.XLOOKUP(TablaSTOCKINV[[#This Row],[SKU]],TablaINVENTARIO[SKU],TablaINVENTARIO[UBICACION])</f>
        <v>C4</v>
      </c>
      <c r="K1159" s="34" t="str">
        <f>_xlfn.XLOOKUP(TablaSTOCKINV[[#This Row],[SKU]],TablaINVENTARIO[SKU],TablaINVENTARIO[DPTO RESPONSABLE])</f>
        <v>OPERACIONES</v>
      </c>
      <c r="L1159" s="53">
        <f>_xlfn.XLOOKUP(TablaSTOCKINV[[#This Row],[SKU]],TablaINVENTARIO[SKU],TablaINVENTARIO[RANGO MIN])</f>
        <v>0</v>
      </c>
      <c r="M1159" s="34" cm="1">
        <f t="array" ref="M1159">_xlfn.IFS(TablaSTOCKINV[[#This Row],[CANT. TOTAL]]&lt;=0,1,TablaSTOCKINV[[#This Row],[CANT. TOTAL]]&lt;=TablaSTOCKINV[[#This Row],[MIN]],2,TablaSTOCKINV[[#This Row],[CANT. TOTAL]]&gt;TablaSTOCKINV[[#This Row],[MIN]],3)</f>
        <v>3</v>
      </c>
      <c r="N1159" s="34">
        <f>TablaSTOCKINV[[#This Row],[ENTRADAS]]-TablaSTOCKINV[[#This Row],[SALIDAS]]</f>
        <v>18</v>
      </c>
      <c r="O1159" s="35">
        <f>SUMIFS(TablaENTRADA[CANT],TablaENTRADA[SKU],TablaSTOCKINV[[#This Row],[SKU]])</f>
        <v>18</v>
      </c>
      <c r="P1159" s="35">
        <f>SUMIFS(TablaSALIDA[CANT],TablaSALIDA[SKU],TablaSTOCKINV[[#This Row],[SKU]])</f>
        <v>0</v>
      </c>
      <c r="Q1159" s="34">
        <f>_xlfn.XLOOKUP(TablaSTOCKINV[[#This Row],[SKU]],TablaINVENTARIO[SKU],TablaINVENTARIO[PRECIO])</f>
        <v>0</v>
      </c>
      <c r="R1159" s="34">
        <f>TablaSTOCKINV[[#This Row],[P.UNITARIO]]*TablaSTOCKINV[[#This Row],[CANT. TOTAL]]</f>
        <v>0</v>
      </c>
      <c r="S1159" s="44">
        <f>_xlfn.XLOOKUP(TablaSTOCKINV[[#This Row],[SKU]],TablaINVENTARIO[SKU],TablaINVENTARIO[FECHA INGRESO])</f>
        <v>46023</v>
      </c>
      <c r="T1159" s="44">
        <f>_xlfn.XLOOKUP(TablaSTOCKINV[[#This Row],[SKU]],TablaENTRADA[SKU],TablaENTRADA[FECHA],,0,-1)</f>
        <v>46023</v>
      </c>
      <c r="U1159" s="46" t="str">
        <f>IFERROR((_xlfn.XLOOKUP(TablaSTOCKINV[[#This Row],[SKU]],TablaSALIDA[SKU],TablaSALIDA[FECHA],,0,-1))," " )</f>
        <v xml:space="preserve"> </v>
      </c>
    </row>
    <row r="1160" spans="1:21" x14ac:dyDescent="0.3">
      <c r="A1160" s="27" t="s">
        <v>3167</v>
      </c>
      <c r="B1160" s="32" t="str">
        <f>_xlfn.XLOOKUP(TablaSTOCKINV[[#This Row],[SKU]],TablaINVENTARIO[SKU],TablaINVENTARIO[DESCRIPCION])</f>
        <v>BOMBILLA INCANDESCENTE MINIATURA TIPO CUÑA</v>
      </c>
      <c r="C1160" s="32" t="str">
        <f>_xlfn.XLOOKUP(TablaSTOCKINV[[#This Row],[SKU]],TablaINVENTARIO[SKU],TablaINVENTARIO[MARCA])</f>
        <v>N/A</v>
      </c>
      <c r="D1160" s="33" t="str">
        <f>_xlfn.XLOOKUP(TablaSTOCKINV[[#This Row],[SKU]],TablaINVENTARIO[SKU],TablaINVENTARIO[CATEGORIA])</f>
        <v>FABRICACION</v>
      </c>
      <c r="E1160" s="33" t="str">
        <f>_xlfn.XLOOKUP(TablaSTOCKINV[[#This Row],[SKU]],TablaINVENTARIO[SKU],TablaINVENTARIO[SUBCATEGORIA])</f>
        <v>MATERIAL ELECTRONICO</v>
      </c>
      <c r="F1160" s="33" t="str">
        <f>_xlfn.XLOOKUP(TablaSTOCKINV[[#This Row],[SKU]],TablaINVENTARIO[SKU],TablaINVENTARIO[ESTADO])</f>
        <v>USADO</v>
      </c>
      <c r="G1160" s="33" t="str">
        <f>_xlfn.XLOOKUP(TablaSTOCKINV[[#This Row],[SKU]],TablaINVENTARIO[SKU],TablaINVENTARIO[MEDIDA])</f>
        <v>UND</v>
      </c>
      <c r="H1160" s="33" t="str">
        <f>_xlfn.XLOOKUP(TablaSTOCKINV[[#This Row],[SKU]],TablaINVENTARIO[SKU],TablaINVENTARIO[SERIAL])</f>
        <v>N/A</v>
      </c>
      <c r="I1160" s="34">
        <f>_xlfn.XLOOKUP(TablaSTOCKINV[[#This Row],[SKU]],TablaINVENTARIO[SKU],TablaINVENTARIO[ALMACEN])</f>
        <v>0</v>
      </c>
      <c r="J1160" s="34" t="str">
        <f>_xlfn.XLOOKUP(TablaSTOCKINV[[#This Row],[SKU]],TablaINVENTARIO[SKU],TablaINVENTARIO[UBICACION])</f>
        <v>C4</v>
      </c>
      <c r="K1160" s="34" t="str">
        <f>_xlfn.XLOOKUP(TablaSTOCKINV[[#This Row],[SKU]],TablaINVENTARIO[SKU],TablaINVENTARIO[DPTO RESPONSABLE])</f>
        <v>OPERACIONES</v>
      </c>
      <c r="L1160" s="53">
        <f>_xlfn.XLOOKUP(TablaSTOCKINV[[#This Row],[SKU]],TablaINVENTARIO[SKU],TablaINVENTARIO[RANGO MIN])</f>
        <v>0</v>
      </c>
      <c r="M1160" s="34" cm="1">
        <f t="array" ref="M1160">_xlfn.IFS(TablaSTOCKINV[[#This Row],[CANT. TOTAL]]&lt;=0,1,TablaSTOCKINV[[#This Row],[CANT. TOTAL]]&lt;=TablaSTOCKINV[[#This Row],[MIN]],2,TablaSTOCKINV[[#This Row],[CANT. TOTAL]]&gt;TablaSTOCKINV[[#This Row],[MIN]],3)</f>
        <v>3</v>
      </c>
      <c r="N1160" s="34">
        <f>TablaSTOCKINV[[#This Row],[ENTRADAS]]-TablaSTOCKINV[[#This Row],[SALIDAS]]</f>
        <v>7</v>
      </c>
      <c r="O1160" s="35">
        <f>SUMIFS(TablaENTRADA[CANT],TablaENTRADA[SKU],TablaSTOCKINV[[#This Row],[SKU]])</f>
        <v>7</v>
      </c>
      <c r="P1160" s="35">
        <f>SUMIFS(TablaSALIDA[CANT],TablaSALIDA[SKU],TablaSTOCKINV[[#This Row],[SKU]])</f>
        <v>0</v>
      </c>
      <c r="Q1160" s="34">
        <f>_xlfn.XLOOKUP(TablaSTOCKINV[[#This Row],[SKU]],TablaINVENTARIO[SKU],TablaINVENTARIO[PRECIO])</f>
        <v>0</v>
      </c>
      <c r="R1160" s="34">
        <f>TablaSTOCKINV[[#This Row],[P.UNITARIO]]*TablaSTOCKINV[[#This Row],[CANT. TOTAL]]</f>
        <v>0</v>
      </c>
      <c r="S1160" s="44">
        <f>_xlfn.XLOOKUP(TablaSTOCKINV[[#This Row],[SKU]],TablaINVENTARIO[SKU],TablaINVENTARIO[FECHA INGRESO])</f>
        <v>46023</v>
      </c>
      <c r="T1160" s="44">
        <f>_xlfn.XLOOKUP(TablaSTOCKINV[[#This Row],[SKU]],TablaENTRADA[SKU],TablaENTRADA[FECHA],,0,-1)</f>
        <v>46023</v>
      </c>
      <c r="U1160" s="46" t="str">
        <f>IFERROR((_xlfn.XLOOKUP(TablaSTOCKINV[[#This Row],[SKU]],TablaSALIDA[SKU],TablaSALIDA[FECHA],,0,-1))," " )</f>
        <v xml:space="preserve"> </v>
      </c>
    </row>
    <row r="1161" spans="1:21" x14ac:dyDescent="0.3">
      <c r="A1161" s="27" t="s">
        <v>3169</v>
      </c>
      <c r="B1161" s="32" t="str">
        <f>_xlfn.XLOOKUP(TablaSTOCKINV[[#This Row],[SKU]],TablaINVENTARIO[SKU],TablaINVENTARIO[DESCRIPCION])</f>
        <v>CARCASA DE SENSOR OW-0200</v>
      </c>
      <c r="C1161" s="32" t="str">
        <f>_xlfn.XLOOKUP(TablaSTOCKINV[[#This Row],[SKU]],TablaINVENTARIO[SKU],TablaINVENTARIO[MARCA])</f>
        <v>AGAR</v>
      </c>
      <c r="D1161" s="33" t="str">
        <f>_xlfn.XLOOKUP(TablaSTOCKINV[[#This Row],[SKU]],TablaINVENTARIO[SKU],TablaINVENTARIO[CATEGORIA])</f>
        <v>FABRICACION</v>
      </c>
      <c r="E1161" s="33" t="str">
        <f>_xlfn.XLOOKUP(TablaSTOCKINV[[#This Row],[SKU]],TablaINVENTARIO[SKU],TablaINVENTARIO[SUBCATEGORIA])</f>
        <v xml:space="preserve">MATERIAL MECANICO </v>
      </c>
      <c r="F1161" s="33" t="str">
        <f>_xlfn.XLOOKUP(TablaSTOCKINV[[#This Row],[SKU]],TablaINVENTARIO[SKU],TablaINVENTARIO[ESTADO])</f>
        <v>USADO</v>
      </c>
      <c r="G1161" s="33" t="str">
        <f>_xlfn.XLOOKUP(TablaSTOCKINV[[#This Row],[SKU]],TablaINVENTARIO[SKU],TablaINVENTARIO[MEDIDA])</f>
        <v>UND</v>
      </c>
      <c r="H1161" s="33" t="str">
        <f>_xlfn.XLOOKUP(TablaSTOCKINV[[#This Row],[SKU]],TablaINVENTARIO[SKU],TablaINVENTARIO[SERIAL])</f>
        <v>1526/4</v>
      </c>
      <c r="I1161" s="34">
        <f>_xlfn.XLOOKUP(TablaSTOCKINV[[#This Row],[SKU]],TablaINVENTARIO[SKU],TablaINVENTARIO[ALMACEN])</f>
        <v>0</v>
      </c>
      <c r="J1161" s="34" t="str">
        <f>_xlfn.XLOOKUP(TablaSTOCKINV[[#This Row],[SKU]],TablaINVENTARIO[SKU],TablaINVENTARIO[UBICACION])</f>
        <v>D5</v>
      </c>
      <c r="K1161" s="34" t="str">
        <f>_xlfn.XLOOKUP(TablaSTOCKINV[[#This Row],[SKU]],TablaINVENTARIO[SKU],TablaINVENTARIO[DPTO RESPONSABLE])</f>
        <v>OPERACIONES</v>
      </c>
      <c r="L1161" s="53">
        <f>_xlfn.XLOOKUP(TablaSTOCKINV[[#This Row],[SKU]],TablaINVENTARIO[SKU],TablaINVENTARIO[RANGO MIN])</f>
        <v>0</v>
      </c>
      <c r="M1161" s="34" cm="1">
        <f t="array" ref="M1161">_xlfn.IFS(TablaSTOCKINV[[#This Row],[CANT. TOTAL]]&lt;=0,1,TablaSTOCKINV[[#This Row],[CANT. TOTAL]]&lt;=TablaSTOCKINV[[#This Row],[MIN]],2,TablaSTOCKINV[[#This Row],[CANT. TOTAL]]&gt;TablaSTOCKINV[[#This Row],[MIN]],3)</f>
        <v>3</v>
      </c>
      <c r="N1161" s="34">
        <f>TablaSTOCKINV[[#This Row],[ENTRADAS]]-TablaSTOCKINV[[#This Row],[SALIDAS]]</f>
        <v>1</v>
      </c>
      <c r="O1161" s="35">
        <f>SUMIFS(TablaENTRADA[CANT],TablaENTRADA[SKU],TablaSTOCKINV[[#This Row],[SKU]])</f>
        <v>1</v>
      </c>
      <c r="P1161" s="35">
        <f>SUMIFS(TablaSALIDA[CANT],TablaSALIDA[SKU],TablaSTOCKINV[[#This Row],[SKU]])</f>
        <v>0</v>
      </c>
      <c r="Q1161" s="34">
        <f>_xlfn.XLOOKUP(TablaSTOCKINV[[#This Row],[SKU]],TablaINVENTARIO[SKU],TablaINVENTARIO[PRECIO])</f>
        <v>0</v>
      </c>
      <c r="R1161" s="34">
        <f>TablaSTOCKINV[[#This Row],[P.UNITARIO]]*TablaSTOCKINV[[#This Row],[CANT. TOTAL]]</f>
        <v>0</v>
      </c>
      <c r="S1161" s="44">
        <f>_xlfn.XLOOKUP(TablaSTOCKINV[[#This Row],[SKU]],TablaINVENTARIO[SKU],TablaINVENTARIO[FECHA INGRESO])</f>
        <v>46023</v>
      </c>
      <c r="T1161" s="44">
        <f>_xlfn.XLOOKUP(TablaSTOCKINV[[#This Row],[SKU]],TablaENTRADA[SKU],TablaENTRADA[FECHA],,0,-1)</f>
        <v>46023</v>
      </c>
      <c r="U1161" s="46" t="str">
        <f>IFERROR((_xlfn.XLOOKUP(TablaSTOCKINV[[#This Row],[SKU]],TablaSALIDA[SKU],TablaSALIDA[FECHA],,0,-1))," " )</f>
        <v xml:space="preserve"> </v>
      </c>
    </row>
    <row r="1162" spans="1:21" x14ac:dyDescent="0.3">
      <c r="A1162" s="27" t="s">
        <v>3172</v>
      </c>
      <c r="B1162" s="32" t="str">
        <f>_xlfn.XLOOKUP(TablaSTOCKINV[[#This Row],[SKU]],TablaINVENTARIO[SKU],TablaINVENTARIO[DESCRIPCION])</f>
        <v>SELLO RADIAL COD:28687</v>
      </c>
      <c r="C1162" s="32" t="str">
        <f>_xlfn.XLOOKUP(TablaSTOCKINV[[#This Row],[SKU]],TablaINVENTARIO[SKU],TablaINVENTARIO[MARCA])</f>
        <v>SKF</v>
      </c>
      <c r="D1162" s="33" t="str">
        <f>_xlfn.XLOOKUP(TablaSTOCKINV[[#This Row],[SKU]],TablaINVENTARIO[SKU],TablaINVENTARIO[CATEGORIA])</f>
        <v>FABRICACION</v>
      </c>
      <c r="E1162" s="33" t="str">
        <f>_xlfn.XLOOKUP(TablaSTOCKINV[[#This Row],[SKU]],TablaINVENTARIO[SKU],TablaINVENTARIO[SUBCATEGORIA])</f>
        <v>MATERIAL MECANICO</v>
      </c>
      <c r="F1162" s="33" t="str">
        <f>_xlfn.XLOOKUP(TablaSTOCKINV[[#This Row],[SKU]],TablaINVENTARIO[SKU],TablaINVENTARIO[ESTADO])</f>
        <v xml:space="preserve">NUEVO </v>
      </c>
      <c r="G1162" s="33" t="str">
        <f>_xlfn.XLOOKUP(TablaSTOCKINV[[#This Row],[SKU]],TablaINVENTARIO[SKU],TablaINVENTARIO[MEDIDA])</f>
        <v>UND</v>
      </c>
      <c r="H1162" s="33" t="str">
        <f>_xlfn.XLOOKUP(TablaSTOCKINV[[#This Row],[SKU]],TablaINVENTARIO[SKU],TablaINVENTARIO[SERIAL])</f>
        <v>N/A</v>
      </c>
      <c r="I1162" s="34">
        <f>_xlfn.XLOOKUP(TablaSTOCKINV[[#This Row],[SKU]],TablaINVENTARIO[SKU],TablaINVENTARIO[ALMACEN])</f>
        <v>0</v>
      </c>
      <c r="J1162" s="34" t="str">
        <f>_xlfn.XLOOKUP(TablaSTOCKINV[[#This Row],[SKU]],TablaINVENTARIO[SKU],TablaINVENTARIO[UBICACION])</f>
        <v>E3-3</v>
      </c>
      <c r="K1162" s="34" t="str">
        <f>_xlfn.XLOOKUP(TablaSTOCKINV[[#This Row],[SKU]],TablaINVENTARIO[SKU],TablaINVENTARIO[DPTO RESPONSABLE])</f>
        <v xml:space="preserve">OPERACIONES </v>
      </c>
      <c r="L1162" s="53">
        <f>_xlfn.XLOOKUP(TablaSTOCKINV[[#This Row],[SKU]],TablaINVENTARIO[SKU],TablaINVENTARIO[RANGO MIN])</f>
        <v>0</v>
      </c>
      <c r="M1162" s="34" cm="1">
        <f t="array" ref="M1162">_xlfn.IFS(TablaSTOCKINV[[#This Row],[CANT. TOTAL]]&lt;=0,1,TablaSTOCKINV[[#This Row],[CANT. TOTAL]]&lt;=TablaSTOCKINV[[#This Row],[MIN]],2,TablaSTOCKINV[[#This Row],[CANT. TOTAL]]&gt;TablaSTOCKINV[[#This Row],[MIN]],3)</f>
        <v>3</v>
      </c>
      <c r="N1162" s="34">
        <f>TablaSTOCKINV[[#This Row],[ENTRADAS]]-TablaSTOCKINV[[#This Row],[SALIDAS]]</f>
        <v>6</v>
      </c>
      <c r="O1162" s="35">
        <f>SUMIFS(TablaENTRADA[CANT],TablaENTRADA[SKU],TablaSTOCKINV[[#This Row],[SKU]])</f>
        <v>6</v>
      </c>
      <c r="P1162" s="35">
        <f>SUMIFS(TablaSALIDA[CANT],TablaSALIDA[SKU],TablaSTOCKINV[[#This Row],[SKU]])</f>
        <v>0</v>
      </c>
      <c r="Q1162" s="34">
        <f>_xlfn.XLOOKUP(TablaSTOCKINV[[#This Row],[SKU]],TablaINVENTARIO[SKU],TablaINVENTARIO[PRECIO])</f>
        <v>0</v>
      </c>
      <c r="R1162" s="34">
        <f>TablaSTOCKINV[[#This Row],[P.UNITARIO]]*TablaSTOCKINV[[#This Row],[CANT. TOTAL]]</f>
        <v>0</v>
      </c>
      <c r="S1162" s="44">
        <f>_xlfn.XLOOKUP(TablaSTOCKINV[[#This Row],[SKU]],TablaINVENTARIO[SKU],TablaINVENTARIO[FECHA INGRESO])</f>
        <v>46023</v>
      </c>
      <c r="T1162" s="44">
        <f>_xlfn.XLOOKUP(TablaSTOCKINV[[#This Row],[SKU]],TablaENTRADA[SKU],TablaENTRADA[FECHA],,0,-1)</f>
        <v>46023</v>
      </c>
      <c r="U1162" s="46" t="str">
        <f>IFERROR((_xlfn.XLOOKUP(TablaSTOCKINV[[#This Row],[SKU]],TablaSALIDA[SKU],TablaSALIDA[FECHA],,0,-1))," " )</f>
        <v xml:space="preserve"> </v>
      </c>
    </row>
    <row r="1163" spans="1:21" x14ac:dyDescent="0.3">
      <c r="A1163" s="27" t="s">
        <v>3176</v>
      </c>
      <c r="B1163" s="32" t="str">
        <f>_xlfn.XLOOKUP(TablaSTOCKINV[[#This Row],[SKU]],TablaINVENTARIO[SKU],TablaINVENTARIO[DESCRIPCION])</f>
        <v>SELLO RADIAL COD: 27370</v>
      </c>
      <c r="C1163" s="32" t="str">
        <f>_xlfn.XLOOKUP(TablaSTOCKINV[[#This Row],[SKU]],TablaINVENTARIO[SKU],TablaINVENTARIO[MARCA])</f>
        <v>SKF</v>
      </c>
      <c r="D1163" s="33" t="str">
        <f>_xlfn.XLOOKUP(TablaSTOCKINV[[#This Row],[SKU]],TablaINVENTARIO[SKU],TablaINVENTARIO[CATEGORIA])</f>
        <v>FABRICACION</v>
      </c>
      <c r="E1163" s="33" t="str">
        <f>_xlfn.XLOOKUP(TablaSTOCKINV[[#This Row],[SKU]],TablaINVENTARIO[SKU],TablaINVENTARIO[SUBCATEGORIA])</f>
        <v>MATERIAL MECANICO</v>
      </c>
      <c r="F1163" s="33" t="str">
        <f>_xlfn.XLOOKUP(TablaSTOCKINV[[#This Row],[SKU]],TablaINVENTARIO[SKU],TablaINVENTARIO[ESTADO])</f>
        <v xml:space="preserve">NUEVO </v>
      </c>
      <c r="G1163" s="33" t="str">
        <f>_xlfn.XLOOKUP(TablaSTOCKINV[[#This Row],[SKU]],TablaINVENTARIO[SKU],TablaINVENTARIO[MEDIDA])</f>
        <v>UND</v>
      </c>
      <c r="H1163" s="33" t="str">
        <f>_xlfn.XLOOKUP(TablaSTOCKINV[[#This Row],[SKU]],TablaINVENTARIO[SKU],TablaINVENTARIO[SERIAL])</f>
        <v>N/A</v>
      </c>
      <c r="I1163" s="34">
        <f>_xlfn.XLOOKUP(TablaSTOCKINV[[#This Row],[SKU]],TablaINVENTARIO[SKU],TablaINVENTARIO[ALMACEN])</f>
        <v>0</v>
      </c>
      <c r="J1163" s="34" t="str">
        <f>_xlfn.XLOOKUP(TablaSTOCKINV[[#This Row],[SKU]],TablaINVENTARIO[SKU],TablaINVENTARIO[UBICACION])</f>
        <v>E3-3</v>
      </c>
      <c r="K1163" s="34" t="str">
        <f>_xlfn.XLOOKUP(TablaSTOCKINV[[#This Row],[SKU]],TablaINVENTARIO[SKU],TablaINVENTARIO[DPTO RESPONSABLE])</f>
        <v xml:space="preserve">OPERACIONES </v>
      </c>
      <c r="L1163" s="53">
        <f>_xlfn.XLOOKUP(TablaSTOCKINV[[#This Row],[SKU]],TablaINVENTARIO[SKU],TablaINVENTARIO[RANGO MIN])</f>
        <v>0</v>
      </c>
      <c r="M1163" s="34" cm="1">
        <f t="array" ref="M1163">_xlfn.IFS(TablaSTOCKINV[[#This Row],[CANT. TOTAL]]&lt;=0,1,TablaSTOCKINV[[#This Row],[CANT. TOTAL]]&lt;=TablaSTOCKINV[[#This Row],[MIN]],2,TablaSTOCKINV[[#This Row],[CANT. TOTAL]]&gt;TablaSTOCKINV[[#This Row],[MIN]],3)</f>
        <v>3</v>
      </c>
      <c r="N1163" s="34">
        <f>TablaSTOCKINV[[#This Row],[ENTRADAS]]-TablaSTOCKINV[[#This Row],[SALIDAS]]</f>
        <v>5</v>
      </c>
      <c r="O1163" s="35">
        <f>SUMIFS(TablaENTRADA[CANT],TablaENTRADA[SKU],TablaSTOCKINV[[#This Row],[SKU]])</f>
        <v>5</v>
      </c>
      <c r="P1163" s="35">
        <f>SUMIFS(TablaSALIDA[CANT],TablaSALIDA[SKU],TablaSTOCKINV[[#This Row],[SKU]])</f>
        <v>0</v>
      </c>
      <c r="Q1163" s="34">
        <f>_xlfn.XLOOKUP(TablaSTOCKINV[[#This Row],[SKU]],TablaINVENTARIO[SKU],TablaINVENTARIO[PRECIO])</f>
        <v>0</v>
      </c>
      <c r="R1163" s="34">
        <f>TablaSTOCKINV[[#This Row],[P.UNITARIO]]*TablaSTOCKINV[[#This Row],[CANT. TOTAL]]</f>
        <v>0</v>
      </c>
      <c r="S1163" s="44">
        <f>_xlfn.XLOOKUP(TablaSTOCKINV[[#This Row],[SKU]],TablaINVENTARIO[SKU],TablaINVENTARIO[FECHA INGRESO])</f>
        <v>46023</v>
      </c>
      <c r="T1163" s="44">
        <f>_xlfn.XLOOKUP(TablaSTOCKINV[[#This Row],[SKU]],TablaENTRADA[SKU],TablaENTRADA[FECHA],,0,-1)</f>
        <v>46023</v>
      </c>
      <c r="U1163" s="46" t="str">
        <f>IFERROR((_xlfn.XLOOKUP(TablaSTOCKINV[[#This Row],[SKU]],TablaSALIDA[SKU],TablaSALIDA[FECHA],,0,-1))," " )</f>
        <v xml:space="preserve"> </v>
      </c>
    </row>
    <row r="1164" spans="1:21" x14ac:dyDescent="0.3">
      <c r="A1164" s="27" t="s">
        <v>3178</v>
      </c>
      <c r="B1164" s="32" t="str">
        <f>_xlfn.XLOOKUP(TablaSTOCKINV[[#This Row],[SKU]],TablaINVENTARIO[SKU],TablaINVENTARIO[DESCRIPCION])</f>
        <v>SEELO RADIAL COD: 33712</v>
      </c>
      <c r="C1164" s="32" t="str">
        <f>_xlfn.XLOOKUP(TablaSTOCKINV[[#This Row],[SKU]],TablaINVENTARIO[SKU],TablaINVENTARIO[MARCA])</f>
        <v>SKF</v>
      </c>
      <c r="D1164" s="33" t="str">
        <f>_xlfn.XLOOKUP(TablaSTOCKINV[[#This Row],[SKU]],TablaINVENTARIO[SKU],TablaINVENTARIO[CATEGORIA])</f>
        <v>FABRICACION</v>
      </c>
      <c r="E1164" s="33" t="str">
        <f>_xlfn.XLOOKUP(TablaSTOCKINV[[#This Row],[SKU]],TablaINVENTARIO[SKU],TablaINVENTARIO[SUBCATEGORIA])</f>
        <v>MATERIAL MECANICO</v>
      </c>
      <c r="F1164" s="33" t="str">
        <f>_xlfn.XLOOKUP(TablaSTOCKINV[[#This Row],[SKU]],TablaINVENTARIO[SKU],TablaINVENTARIO[ESTADO])</f>
        <v xml:space="preserve">NUEVO </v>
      </c>
      <c r="G1164" s="33" t="str">
        <f>_xlfn.XLOOKUP(TablaSTOCKINV[[#This Row],[SKU]],TablaINVENTARIO[SKU],TablaINVENTARIO[MEDIDA])</f>
        <v>UND</v>
      </c>
      <c r="H1164" s="33" t="str">
        <f>_xlfn.XLOOKUP(TablaSTOCKINV[[#This Row],[SKU]],TablaINVENTARIO[SKU],TablaINVENTARIO[SERIAL])</f>
        <v>N/A</v>
      </c>
      <c r="I1164" s="34">
        <f>_xlfn.XLOOKUP(TablaSTOCKINV[[#This Row],[SKU]],TablaINVENTARIO[SKU],TablaINVENTARIO[ALMACEN])</f>
        <v>0</v>
      </c>
      <c r="J1164" s="34" t="str">
        <f>_xlfn.XLOOKUP(TablaSTOCKINV[[#This Row],[SKU]],TablaINVENTARIO[SKU],TablaINVENTARIO[UBICACION])</f>
        <v>E3-3</v>
      </c>
      <c r="K1164" s="34" t="str">
        <f>_xlfn.XLOOKUP(TablaSTOCKINV[[#This Row],[SKU]],TablaINVENTARIO[SKU],TablaINVENTARIO[DPTO RESPONSABLE])</f>
        <v xml:space="preserve">OPERACIONES </v>
      </c>
      <c r="L1164" s="53">
        <f>_xlfn.XLOOKUP(TablaSTOCKINV[[#This Row],[SKU]],TablaINVENTARIO[SKU],TablaINVENTARIO[RANGO MIN])</f>
        <v>0</v>
      </c>
      <c r="M1164" s="34" cm="1">
        <f t="array" ref="M1164">_xlfn.IFS(TablaSTOCKINV[[#This Row],[CANT. TOTAL]]&lt;=0,1,TablaSTOCKINV[[#This Row],[CANT. TOTAL]]&lt;=TablaSTOCKINV[[#This Row],[MIN]],2,TablaSTOCKINV[[#This Row],[CANT. TOTAL]]&gt;TablaSTOCKINV[[#This Row],[MIN]],3)</f>
        <v>3</v>
      </c>
      <c r="N1164" s="34">
        <f>TablaSTOCKINV[[#This Row],[ENTRADAS]]-TablaSTOCKINV[[#This Row],[SALIDAS]]</f>
        <v>4</v>
      </c>
      <c r="O1164" s="35">
        <f>SUMIFS(TablaENTRADA[CANT],TablaENTRADA[SKU],TablaSTOCKINV[[#This Row],[SKU]])</f>
        <v>4</v>
      </c>
      <c r="P1164" s="35">
        <f>SUMIFS(TablaSALIDA[CANT],TablaSALIDA[SKU],TablaSTOCKINV[[#This Row],[SKU]])</f>
        <v>0</v>
      </c>
      <c r="Q1164" s="34">
        <f>_xlfn.XLOOKUP(TablaSTOCKINV[[#This Row],[SKU]],TablaINVENTARIO[SKU],TablaINVENTARIO[PRECIO])</f>
        <v>0</v>
      </c>
      <c r="R1164" s="34">
        <f>TablaSTOCKINV[[#This Row],[P.UNITARIO]]*TablaSTOCKINV[[#This Row],[CANT. TOTAL]]</f>
        <v>0</v>
      </c>
      <c r="S1164" s="44">
        <f>_xlfn.XLOOKUP(TablaSTOCKINV[[#This Row],[SKU]],TablaINVENTARIO[SKU],TablaINVENTARIO[FECHA INGRESO])</f>
        <v>46023</v>
      </c>
      <c r="T1164" s="44">
        <f>_xlfn.XLOOKUP(TablaSTOCKINV[[#This Row],[SKU]],TablaENTRADA[SKU],TablaENTRADA[FECHA],,0,-1)</f>
        <v>46023</v>
      </c>
      <c r="U1164" s="46" t="str">
        <f>IFERROR((_xlfn.XLOOKUP(TablaSTOCKINV[[#This Row],[SKU]],TablaSALIDA[SKU],TablaSALIDA[FECHA],,0,-1))," " )</f>
        <v xml:space="preserve"> </v>
      </c>
    </row>
    <row r="1165" spans="1:21" x14ac:dyDescent="0.3">
      <c r="A1165" s="27" t="s">
        <v>3180</v>
      </c>
      <c r="B1165" s="32" t="str">
        <f>_xlfn.XLOOKUP(TablaSTOCKINV[[#This Row],[SKU]],TablaINVENTARIO[SKU],TablaINVENTARIO[DESCRIPCION])</f>
        <v>RODAMIENTO DE RODILLO CILINDRICO DE UNA HILERA COD: NU215-E-XL-M1</v>
      </c>
      <c r="C1165" s="32" t="str">
        <f>_xlfn.XLOOKUP(TablaSTOCKINV[[#This Row],[SKU]],TablaINVENTARIO[SKU],TablaINVENTARIO[MARCA])</f>
        <v>FAG</v>
      </c>
      <c r="D1165" s="33" t="str">
        <f>_xlfn.XLOOKUP(TablaSTOCKINV[[#This Row],[SKU]],TablaINVENTARIO[SKU],TablaINVENTARIO[CATEGORIA])</f>
        <v>FABRICACION</v>
      </c>
      <c r="E1165" s="33" t="str">
        <f>_xlfn.XLOOKUP(TablaSTOCKINV[[#This Row],[SKU]],TablaINVENTARIO[SKU],TablaINVENTARIO[SUBCATEGORIA])</f>
        <v>MATERIAL MECANICO</v>
      </c>
      <c r="F1165" s="33" t="str">
        <f>_xlfn.XLOOKUP(TablaSTOCKINV[[#This Row],[SKU]],TablaINVENTARIO[SKU],TablaINVENTARIO[ESTADO])</f>
        <v xml:space="preserve">NUEVO </v>
      </c>
      <c r="G1165" s="33" t="str">
        <f>_xlfn.XLOOKUP(TablaSTOCKINV[[#This Row],[SKU]],TablaINVENTARIO[SKU],TablaINVENTARIO[MEDIDA])</f>
        <v>UND</v>
      </c>
      <c r="H1165" s="33" t="str">
        <f>_xlfn.XLOOKUP(TablaSTOCKINV[[#This Row],[SKU]],TablaINVENTARIO[SKU],TablaINVENTARIO[SERIAL])</f>
        <v>N/A</v>
      </c>
      <c r="I1165" s="34">
        <f>_xlfn.XLOOKUP(TablaSTOCKINV[[#This Row],[SKU]],TablaINVENTARIO[SKU],TablaINVENTARIO[ALMACEN])</f>
        <v>0</v>
      </c>
      <c r="J1165" s="34" t="str">
        <f>_xlfn.XLOOKUP(TablaSTOCKINV[[#This Row],[SKU]],TablaINVENTARIO[SKU],TablaINVENTARIO[UBICACION])</f>
        <v>E3-3</v>
      </c>
      <c r="K1165" s="34" t="str">
        <f>_xlfn.XLOOKUP(TablaSTOCKINV[[#This Row],[SKU]],TablaINVENTARIO[SKU],TablaINVENTARIO[DPTO RESPONSABLE])</f>
        <v xml:space="preserve">OPERACIONES </v>
      </c>
      <c r="L1165" s="53">
        <f>_xlfn.XLOOKUP(TablaSTOCKINV[[#This Row],[SKU]],TablaINVENTARIO[SKU],TablaINVENTARIO[RANGO MIN])</f>
        <v>0</v>
      </c>
      <c r="M1165" s="34" cm="1">
        <f t="array" ref="M1165">_xlfn.IFS(TablaSTOCKINV[[#This Row],[CANT. TOTAL]]&lt;=0,1,TablaSTOCKINV[[#This Row],[CANT. TOTAL]]&lt;=TablaSTOCKINV[[#This Row],[MIN]],2,TablaSTOCKINV[[#This Row],[CANT. TOTAL]]&gt;TablaSTOCKINV[[#This Row],[MIN]],3)</f>
        <v>3</v>
      </c>
      <c r="N1165" s="34">
        <f>TablaSTOCKINV[[#This Row],[ENTRADAS]]-TablaSTOCKINV[[#This Row],[SALIDAS]]</f>
        <v>3</v>
      </c>
      <c r="O1165" s="35">
        <f>SUMIFS(TablaENTRADA[CANT],TablaENTRADA[SKU],TablaSTOCKINV[[#This Row],[SKU]])</f>
        <v>3</v>
      </c>
      <c r="P1165" s="35">
        <f>SUMIFS(TablaSALIDA[CANT],TablaSALIDA[SKU],TablaSTOCKINV[[#This Row],[SKU]])</f>
        <v>0</v>
      </c>
      <c r="Q1165" s="34">
        <f>_xlfn.XLOOKUP(TablaSTOCKINV[[#This Row],[SKU]],TablaINVENTARIO[SKU],TablaINVENTARIO[PRECIO])</f>
        <v>0</v>
      </c>
      <c r="R1165" s="34">
        <f>TablaSTOCKINV[[#This Row],[P.UNITARIO]]*TablaSTOCKINV[[#This Row],[CANT. TOTAL]]</f>
        <v>0</v>
      </c>
      <c r="S1165" s="44">
        <f>_xlfn.XLOOKUP(TablaSTOCKINV[[#This Row],[SKU]],TablaINVENTARIO[SKU],TablaINVENTARIO[FECHA INGRESO])</f>
        <v>46023</v>
      </c>
      <c r="T1165" s="44">
        <f>_xlfn.XLOOKUP(TablaSTOCKINV[[#This Row],[SKU]],TablaENTRADA[SKU],TablaENTRADA[FECHA],,0,-1)</f>
        <v>46023</v>
      </c>
      <c r="U1165" s="46" t="str">
        <f>IFERROR((_xlfn.XLOOKUP(TablaSTOCKINV[[#This Row],[SKU]],TablaSALIDA[SKU],TablaSALIDA[FECHA],,0,-1))," " )</f>
        <v xml:space="preserve"> </v>
      </c>
    </row>
    <row r="1166" spans="1:21" x14ac:dyDescent="0.3">
      <c r="A1166" s="27" t="s">
        <v>3183</v>
      </c>
      <c r="B1166" s="32" t="str">
        <f>_xlfn.XLOOKUP(TablaSTOCKINV[[#This Row],[SKU]],TablaINVENTARIO[SKU],TablaINVENTARIO[DESCRIPCION])</f>
        <v>RODAMIENTO DE RODILLO CILINDRICO DE UNA HILERA COD: NJ218-E-XL-M1A</v>
      </c>
      <c r="C1166" s="32" t="str">
        <f>_xlfn.XLOOKUP(TablaSTOCKINV[[#This Row],[SKU]],TablaINVENTARIO[SKU],TablaINVENTARIO[MARCA])</f>
        <v>FAG</v>
      </c>
      <c r="D1166" s="33" t="str">
        <f>_xlfn.XLOOKUP(TablaSTOCKINV[[#This Row],[SKU]],TablaINVENTARIO[SKU],TablaINVENTARIO[CATEGORIA])</f>
        <v>FABRICACION</v>
      </c>
      <c r="E1166" s="33" t="str">
        <f>_xlfn.XLOOKUP(TablaSTOCKINV[[#This Row],[SKU]],TablaINVENTARIO[SKU],TablaINVENTARIO[SUBCATEGORIA])</f>
        <v>MATERIAL MECANICO</v>
      </c>
      <c r="F1166" s="33" t="str">
        <f>_xlfn.XLOOKUP(TablaSTOCKINV[[#This Row],[SKU]],TablaINVENTARIO[SKU],TablaINVENTARIO[ESTADO])</f>
        <v xml:space="preserve">NUEVO </v>
      </c>
      <c r="G1166" s="33" t="str">
        <f>_xlfn.XLOOKUP(TablaSTOCKINV[[#This Row],[SKU]],TablaINVENTARIO[SKU],TablaINVENTARIO[MEDIDA])</f>
        <v>UND</v>
      </c>
      <c r="H1166" s="33" t="str">
        <f>_xlfn.XLOOKUP(TablaSTOCKINV[[#This Row],[SKU]],TablaINVENTARIO[SKU],TablaINVENTARIO[SERIAL])</f>
        <v>N/A</v>
      </c>
      <c r="I1166" s="34">
        <f>_xlfn.XLOOKUP(TablaSTOCKINV[[#This Row],[SKU]],TablaINVENTARIO[SKU],TablaINVENTARIO[ALMACEN])</f>
        <v>0</v>
      </c>
      <c r="J1166" s="34" t="str">
        <f>_xlfn.XLOOKUP(TablaSTOCKINV[[#This Row],[SKU]],TablaINVENTARIO[SKU],TablaINVENTARIO[UBICACION])</f>
        <v>E3-3</v>
      </c>
      <c r="K1166" s="34" t="str">
        <f>_xlfn.XLOOKUP(TablaSTOCKINV[[#This Row],[SKU]],TablaINVENTARIO[SKU],TablaINVENTARIO[DPTO RESPONSABLE])</f>
        <v xml:space="preserve">OPERACIONES </v>
      </c>
      <c r="L1166" s="53">
        <f>_xlfn.XLOOKUP(TablaSTOCKINV[[#This Row],[SKU]],TablaINVENTARIO[SKU],TablaINVENTARIO[RANGO MIN])</f>
        <v>0</v>
      </c>
      <c r="M1166" s="34" cm="1">
        <f t="array" ref="M1166">_xlfn.IFS(TablaSTOCKINV[[#This Row],[CANT. TOTAL]]&lt;=0,1,TablaSTOCKINV[[#This Row],[CANT. TOTAL]]&lt;=TablaSTOCKINV[[#This Row],[MIN]],2,TablaSTOCKINV[[#This Row],[CANT. TOTAL]]&gt;TablaSTOCKINV[[#This Row],[MIN]],3)</f>
        <v>3</v>
      </c>
      <c r="N1166" s="34">
        <f>TablaSTOCKINV[[#This Row],[ENTRADAS]]-TablaSTOCKINV[[#This Row],[SALIDAS]]</f>
        <v>3</v>
      </c>
      <c r="O1166" s="35">
        <f>SUMIFS(TablaENTRADA[CANT],TablaENTRADA[SKU],TablaSTOCKINV[[#This Row],[SKU]])</f>
        <v>3</v>
      </c>
      <c r="P1166" s="35">
        <f>SUMIFS(TablaSALIDA[CANT],TablaSALIDA[SKU],TablaSTOCKINV[[#This Row],[SKU]])</f>
        <v>0</v>
      </c>
      <c r="Q1166" s="34">
        <f>_xlfn.XLOOKUP(TablaSTOCKINV[[#This Row],[SKU]],TablaINVENTARIO[SKU],TablaINVENTARIO[PRECIO])</f>
        <v>0</v>
      </c>
      <c r="R1166" s="34">
        <f>TablaSTOCKINV[[#This Row],[P.UNITARIO]]*TablaSTOCKINV[[#This Row],[CANT. TOTAL]]</f>
        <v>0</v>
      </c>
      <c r="S1166" s="44">
        <f>_xlfn.XLOOKUP(TablaSTOCKINV[[#This Row],[SKU]],TablaINVENTARIO[SKU],TablaINVENTARIO[FECHA INGRESO])</f>
        <v>46023</v>
      </c>
      <c r="T1166" s="44">
        <f>_xlfn.XLOOKUP(TablaSTOCKINV[[#This Row],[SKU]],TablaENTRADA[SKU],TablaENTRADA[FECHA],,0,-1)</f>
        <v>46023</v>
      </c>
      <c r="U1166" s="46" t="str">
        <f>IFERROR((_xlfn.XLOOKUP(TablaSTOCKINV[[#This Row],[SKU]],TablaSALIDA[SKU],TablaSALIDA[FECHA],,0,-1))," " )</f>
        <v xml:space="preserve"> </v>
      </c>
    </row>
    <row r="1167" spans="1:21" x14ac:dyDescent="0.3">
      <c r="A1167" s="27" t="s">
        <v>3185</v>
      </c>
      <c r="B1167" s="32" t="str">
        <f>_xlfn.XLOOKUP(TablaSTOCKINV[[#This Row],[SKU]],TablaINVENTARIO[SKU],TablaINVENTARIO[DESCRIPCION])</f>
        <v>RODAMIENTO DE RODILLO CILINDRICO DE UNA HILERA COD: 29420-E1-XL</v>
      </c>
      <c r="C1167" s="32" t="str">
        <f>_xlfn.XLOOKUP(TablaSTOCKINV[[#This Row],[SKU]],TablaINVENTARIO[SKU],TablaINVENTARIO[MARCA])</f>
        <v>FAG</v>
      </c>
      <c r="D1167" s="33" t="str">
        <f>_xlfn.XLOOKUP(TablaSTOCKINV[[#This Row],[SKU]],TablaINVENTARIO[SKU],TablaINVENTARIO[CATEGORIA])</f>
        <v>FABRICACION</v>
      </c>
      <c r="E1167" s="33" t="str">
        <f>_xlfn.XLOOKUP(TablaSTOCKINV[[#This Row],[SKU]],TablaINVENTARIO[SKU],TablaINVENTARIO[SUBCATEGORIA])</f>
        <v>MATERIAL MECANICO</v>
      </c>
      <c r="F1167" s="33" t="str">
        <f>_xlfn.XLOOKUP(TablaSTOCKINV[[#This Row],[SKU]],TablaINVENTARIO[SKU],TablaINVENTARIO[ESTADO])</f>
        <v xml:space="preserve">NUEVO </v>
      </c>
      <c r="G1167" s="33" t="str">
        <f>_xlfn.XLOOKUP(TablaSTOCKINV[[#This Row],[SKU]],TablaINVENTARIO[SKU],TablaINVENTARIO[MEDIDA])</f>
        <v>UND</v>
      </c>
      <c r="H1167" s="33" t="str">
        <f>_xlfn.XLOOKUP(TablaSTOCKINV[[#This Row],[SKU]],TablaINVENTARIO[SKU],TablaINVENTARIO[SERIAL])</f>
        <v>N/A</v>
      </c>
      <c r="I1167" s="34">
        <f>_xlfn.XLOOKUP(TablaSTOCKINV[[#This Row],[SKU]],TablaINVENTARIO[SKU],TablaINVENTARIO[ALMACEN])</f>
        <v>0</v>
      </c>
      <c r="J1167" s="34" t="str">
        <f>_xlfn.XLOOKUP(TablaSTOCKINV[[#This Row],[SKU]],TablaINVENTARIO[SKU],TablaINVENTARIO[UBICACION])</f>
        <v>E3-3</v>
      </c>
      <c r="K1167" s="34" t="str">
        <f>_xlfn.XLOOKUP(TablaSTOCKINV[[#This Row],[SKU]],TablaINVENTARIO[SKU],TablaINVENTARIO[DPTO RESPONSABLE])</f>
        <v xml:space="preserve">OPERACIONES </v>
      </c>
      <c r="L1167" s="53">
        <f>_xlfn.XLOOKUP(TablaSTOCKINV[[#This Row],[SKU]],TablaINVENTARIO[SKU],TablaINVENTARIO[RANGO MIN])</f>
        <v>0</v>
      </c>
      <c r="M1167" s="34" cm="1">
        <f t="array" ref="M1167">_xlfn.IFS(TablaSTOCKINV[[#This Row],[CANT. TOTAL]]&lt;=0,1,TablaSTOCKINV[[#This Row],[CANT. TOTAL]]&lt;=TablaSTOCKINV[[#This Row],[MIN]],2,TablaSTOCKINV[[#This Row],[CANT. TOTAL]]&gt;TablaSTOCKINV[[#This Row],[MIN]],3)</f>
        <v>3</v>
      </c>
      <c r="N1167" s="34">
        <f>TablaSTOCKINV[[#This Row],[ENTRADAS]]-TablaSTOCKINV[[#This Row],[SALIDAS]]</f>
        <v>4</v>
      </c>
      <c r="O1167" s="35">
        <f>SUMIFS(TablaENTRADA[CANT],TablaENTRADA[SKU],TablaSTOCKINV[[#This Row],[SKU]])</f>
        <v>4</v>
      </c>
      <c r="P1167" s="35">
        <f>SUMIFS(TablaSALIDA[CANT],TablaSALIDA[SKU],TablaSTOCKINV[[#This Row],[SKU]])</f>
        <v>0</v>
      </c>
      <c r="Q1167" s="34">
        <f>_xlfn.XLOOKUP(TablaSTOCKINV[[#This Row],[SKU]],TablaINVENTARIO[SKU],TablaINVENTARIO[PRECIO])</f>
        <v>0</v>
      </c>
      <c r="R1167" s="34">
        <f>TablaSTOCKINV[[#This Row],[P.UNITARIO]]*TablaSTOCKINV[[#This Row],[CANT. TOTAL]]</f>
        <v>0</v>
      </c>
      <c r="S1167" s="44">
        <f>_xlfn.XLOOKUP(TablaSTOCKINV[[#This Row],[SKU]],TablaINVENTARIO[SKU],TablaINVENTARIO[FECHA INGRESO])</f>
        <v>46023</v>
      </c>
      <c r="T1167" s="44">
        <f>_xlfn.XLOOKUP(TablaSTOCKINV[[#This Row],[SKU]],TablaENTRADA[SKU],TablaENTRADA[FECHA],,0,-1)</f>
        <v>46023</v>
      </c>
      <c r="U1167" s="46" t="str">
        <f>IFERROR((_xlfn.XLOOKUP(TablaSTOCKINV[[#This Row],[SKU]],TablaSALIDA[SKU],TablaSALIDA[FECHA],,0,-1))," " )</f>
        <v xml:space="preserve"> </v>
      </c>
    </row>
    <row r="1168" spans="1:21" x14ac:dyDescent="0.3">
      <c r="A1168" s="27" t="s">
        <v>3187</v>
      </c>
      <c r="B1168" s="32" t="str">
        <f>_xlfn.XLOOKUP(TablaSTOCKINV[[#This Row],[SKU]],TablaINVENTARIO[SKU],TablaINVENTARIO[DESCRIPCION])</f>
        <v xml:space="preserve">TORNILLOS VARIOS </v>
      </c>
      <c r="C1168" s="32" t="str">
        <f>_xlfn.XLOOKUP(TablaSTOCKINV[[#This Row],[SKU]],TablaINVENTARIO[SKU],TablaINVENTARIO[MARCA])</f>
        <v>N/A</v>
      </c>
      <c r="D1168" s="33" t="str">
        <f>_xlfn.XLOOKUP(TablaSTOCKINV[[#This Row],[SKU]],TablaINVENTARIO[SKU],TablaINVENTARIO[CATEGORIA])</f>
        <v>FABRICACION</v>
      </c>
      <c r="E1168" s="33" t="str">
        <f>_xlfn.XLOOKUP(TablaSTOCKINV[[#This Row],[SKU]],TablaINVENTARIO[SKU],TablaINVENTARIO[SUBCATEGORIA])</f>
        <v>MATERIAL MECANICO</v>
      </c>
      <c r="F1168" s="33" t="str">
        <f>_xlfn.XLOOKUP(TablaSTOCKINV[[#This Row],[SKU]],TablaINVENTARIO[SKU],TablaINVENTARIO[ESTADO])</f>
        <v>USADO</v>
      </c>
      <c r="G1168" s="33" t="str">
        <f>_xlfn.XLOOKUP(TablaSTOCKINV[[#This Row],[SKU]],TablaINVENTARIO[SKU],TablaINVENTARIO[MEDIDA])</f>
        <v>UND</v>
      </c>
      <c r="H1168" s="33" t="str">
        <f>_xlfn.XLOOKUP(TablaSTOCKINV[[#This Row],[SKU]],TablaINVENTARIO[SKU],TablaINVENTARIO[SERIAL])</f>
        <v>N/A</v>
      </c>
      <c r="I1168" s="34">
        <f>_xlfn.XLOOKUP(TablaSTOCKINV[[#This Row],[SKU]],TablaINVENTARIO[SKU],TablaINVENTARIO[ALMACEN])</f>
        <v>0</v>
      </c>
      <c r="J1168" s="34" t="str">
        <f>_xlfn.XLOOKUP(TablaSTOCKINV[[#This Row],[SKU]],TablaINVENTARIO[SKU],TablaINVENTARIO[UBICACION])</f>
        <v>E2-3</v>
      </c>
      <c r="K1168" s="34" t="str">
        <f>_xlfn.XLOOKUP(TablaSTOCKINV[[#This Row],[SKU]],TablaINVENTARIO[SKU],TablaINVENTARIO[DPTO RESPONSABLE])</f>
        <v xml:space="preserve">OPERACIONES </v>
      </c>
      <c r="L1168" s="53">
        <f>_xlfn.XLOOKUP(TablaSTOCKINV[[#This Row],[SKU]],TablaINVENTARIO[SKU],TablaINVENTARIO[RANGO MIN])</f>
        <v>0</v>
      </c>
      <c r="M1168" s="34" cm="1">
        <f t="array" ref="M1168">_xlfn.IFS(TablaSTOCKINV[[#This Row],[CANT. TOTAL]]&lt;=0,1,TablaSTOCKINV[[#This Row],[CANT. TOTAL]]&lt;=TablaSTOCKINV[[#This Row],[MIN]],2,TablaSTOCKINV[[#This Row],[CANT. TOTAL]]&gt;TablaSTOCKINV[[#This Row],[MIN]],3)</f>
        <v>3</v>
      </c>
      <c r="N1168" s="34">
        <f>TablaSTOCKINV[[#This Row],[ENTRADAS]]-TablaSTOCKINV[[#This Row],[SALIDAS]]</f>
        <v>727</v>
      </c>
      <c r="O1168" s="35">
        <f>SUMIFS(TablaENTRADA[CANT],TablaENTRADA[SKU],TablaSTOCKINV[[#This Row],[SKU]])</f>
        <v>727</v>
      </c>
      <c r="P1168" s="35">
        <f>SUMIFS(TablaSALIDA[CANT],TablaSALIDA[SKU],TablaSTOCKINV[[#This Row],[SKU]])</f>
        <v>0</v>
      </c>
      <c r="Q1168" s="34">
        <f>_xlfn.XLOOKUP(TablaSTOCKINV[[#This Row],[SKU]],TablaINVENTARIO[SKU],TablaINVENTARIO[PRECIO])</f>
        <v>0</v>
      </c>
      <c r="R1168" s="34">
        <f>TablaSTOCKINV[[#This Row],[P.UNITARIO]]*TablaSTOCKINV[[#This Row],[CANT. TOTAL]]</f>
        <v>0</v>
      </c>
      <c r="S1168" s="44">
        <f>_xlfn.XLOOKUP(TablaSTOCKINV[[#This Row],[SKU]],TablaINVENTARIO[SKU],TablaINVENTARIO[FECHA INGRESO])</f>
        <v>46023</v>
      </c>
      <c r="T1168" s="44">
        <f>_xlfn.XLOOKUP(TablaSTOCKINV[[#This Row],[SKU]],TablaENTRADA[SKU],TablaENTRADA[FECHA],,0,-1)</f>
        <v>46023</v>
      </c>
      <c r="U1168" s="46" t="str">
        <f>IFERROR((_xlfn.XLOOKUP(TablaSTOCKINV[[#This Row],[SKU]],TablaSALIDA[SKU],TablaSALIDA[FECHA],,0,-1))," " )</f>
        <v xml:space="preserve"> </v>
      </c>
    </row>
    <row r="1169" spans="1:21" x14ac:dyDescent="0.3">
      <c r="A1169" s="27" t="s">
        <v>3189</v>
      </c>
      <c r="B1169" s="32" t="str">
        <f>_xlfn.XLOOKUP(TablaSTOCKINV[[#This Row],[SKU]],TablaINVENTARIO[SKU],TablaINVENTARIO[DESCRIPCION])</f>
        <v xml:space="preserve">TORNILLO 9MM ROSCA GRUESA </v>
      </c>
      <c r="C1169" s="32" t="str">
        <f>_xlfn.XLOOKUP(TablaSTOCKINV[[#This Row],[SKU]],TablaINVENTARIO[SKU],TablaINVENTARIO[MARCA])</f>
        <v>N/A</v>
      </c>
      <c r="D1169" s="33" t="str">
        <f>_xlfn.XLOOKUP(TablaSTOCKINV[[#This Row],[SKU]],TablaINVENTARIO[SKU],TablaINVENTARIO[CATEGORIA])</f>
        <v>FABRICACION</v>
      </c>
      <c r="E1169" s="33" t="str">
        <f>_xlfn.XLOOKUP(TablaSTOCKINV[[#This Row],[SKU]],TablaINVENTARIO[SKU],TablaINVENTARIO[SUBCATEGORIA])</f>
        <v>MATERIAL MECANICO</v>
      </c>
      <c r="F1169" s="33" t="str">
        <f>_xlfn.XLOOKUP(TablaSTOCKINV[[#This Row],[SKU]],TablaINVENTARIO[SKU],TablaINVENTARIO[ESTADO])</f>
        <v xml:space="preserve">NUEVO </v>
      </c>
      <c r="G1169" s="33" t="str">
        <f>_xlfn.XLOOKUP(TablaSTOCKINV[[#This Row],[SKU]],TablaINVENTARIO[SKU],TablaINVENTARIO[MEDIDA])</f>
        <v>UND</v>
      </c>
      <c r="H1169" s="33" t="str">
        <f>_xlfn.XLOOKUP(TablaSTOCKINV[[#This Row],[SKU]],TablaINVENTARIO[SKU],TablaINVENTARIO[SERIAL])</f>
        <v>N/A</v>
      </c>
      <c r="I1169" s="34">
        <f>_xlfn.XLOOKUP(TablaSTOCKINV[[#This Row],[SKU]],TablaINVENTARIO[SKU],TablaINVENTARIO[ALMACEN])</f>
        <v>0</v>
      </c>
      <c r="J1169" s="34" t="str">
        <f>_xlfn.XLOOKUP(TablaSTOCKINV[[#This Row],[SKU]],TablaINVENTARIO[SKU],TablaINVENTARIO[UBICACION])</f>
        <v>E2-3</v>
      </c>
      <c r="K1169" s="34" t="str">
        <f>_xlfn.XLOOKUP(TablaSTOCKINV[[#This Row],[SKU]],TablaINVENTARIO[SKU],TablaINVENTARIO[DPTO RESPONSABLE])</f>
        <v xml:space="preserve">OPERACIONES </v>
      </c>
      <c r="L1169" s="53">
        <f>_xlfn.XLOOKUP(TablaSTOCKINV[[#This Row],[SKU]],TablaINVENTARIO[SKU],TablaINVENTARIO[RANGO MIN])</f>
        <v>0</v>
      </c>
      <c r="M1169" s="34" cm="1">
        <f t="array" ref="M1169">_xlfn.IFS(TablaSTOCKINV[[#This Row],[CANT. TOTAL]]&lt;=0,1,TablaSTOCKINV[[#This Row],[CANT. TOTAL]]&lt;=TablaSTOCKINV[[#This Row],[MIN]],2,TablaSTOCKINV[[#This Row],[CANT. TOTAL]]&gt;TablaSTOCKINV[[#This Row],[MIN]],3)</f>
        <v>3</v>
      </c>
      <c r="N1169" s="34">
        <f>TablaSTOCKINV[[#This Row],[ENTRADAS]]-TablaSTOCKINV[[#This Row],[SALIDAS]]</f>
        <v>60</v>
      </c>
      <c r="O1169" s="35">
        <f>SUMIFS(TablaENTRADA[CANT],TablaENTRADA[SKU],TablaSTOCKINV[[#This Row],[SKU]])</f>
        <v>60</v>
      </c>
      <c r="P1169" s="35">
        <f>SUMIFS(TablaSALIDA[CANT],TablaSALIDA[SKU],TablaSTOCKINV[[#This Row],[SKU]])</f>
        <v>0</v>
      </c>
      <c r="Q1169" s="34">
        <f>_xlfn.XLOOKUP(TablaSTOCKINV[[#This Row],[SKU]],TablaINVENTARIO[SKU],TablaINVENTARIO[PRECIO])</f>
        <v>0</v>
      </c>
      <c r="R1169" s="34">
        <f>TablaSTOCKINV[[#This Row],[P.UNITARIO]]*TablaSTOCKINV[[#This Row],[CANT. TOTAL]]</f>
        <v>0</v>
      </c>
      <c r="S1169" s="44">
        <f>_xlfn.XLOOKUP(TablaSTOCKINV[[#This Row],[SKU]],TablaINVENTARIO[SKU],TablaINVENTARIO[FECHA INGRESO])</f>
        <v>46023</v>
      </c>
      <c r="T1169" s="44">
        <f>_xlfn.XLOOKUP(TablaSTOCKINV[[#This Row],[SKU]],TablaENTRADA[SKU],TablaENTRADA[FECHA],,0,-1)</f>
        <v>46023</v>
      </c>
      <c r="U1169" s="46" t="str">
        <f>IFERROR((_xlfn.XLOOKUP(TablaSTOCKINV[[#This Row],[SKU]],TablaSALIDA[SKU],TablaSALIDA[FECHA],,0,-1))," " )</f>
        <v xml:space="preserve"> </v>
      </c>
    </row>
    <row r="1170" spans="1:21" x14ac:dyDescent="0.3">
      <c r="A1170" s="27" t="s">
        <v>3191</v>
      </c>
      <c r="B1170" s="32" t="str">
        <f>_xlfn.XLOOKUP(TablaSTOCKINV[[#This Row],[SKU]],TablaINVENTARIO[SKU],TablaINVENTARIO[DESCRIPCION])</f>
        <v xml:space="preserve">TORNILLO 9MM ROSCA FINA </v>
      </c>
      <c r="C1170" s="32" t="str">
        <f>_xlfn.XLOOKUP(TablaSTOCKINV[[#This Row],[SKU]],TablaINVENTARIO[SKU],TablaINVENTARIO[MARCA])</f>
        <v>N/A</v>
      </c>
      <c r="D1170" s="33" t="str">
        <f>_xlfn.XLOOKUP(TablaSTOCKINV[[#This Row],[SKU]],TablaINVENTARIO[SKU],TablaINVENTARIO[CATEGORIA])</f>
        <v>FABRICACION</v>
      </c>
      <c r="E1170" s="33" t="str">
        <f>_xlfn.XLOOKUP(TablaSTOCKINV[[#This Row],[SKU]],TablaINVENTARIO[SKU],TablaINVENTARIO[SUBCATEGORIA])</f>
        <v>MATERIAL MECANICO</v>
      </c>
      <c r="F1170" s="33" t="str">
        <f>_xlfn.XLOOKUP(TablaSTOCKINV[[#This Row],[SKU]],TablaINVENTARIO[SKU],TablaINVENTARIO[ESTADO])</f>
        <v xml:space="preserve">NUEVO </v>
      </c>
      <c r="G1170" s="33" t="str">
        <f>_xlfn.XLOOKUP(TablaSTOCKINV[[#This Row],[SKU]],TablaINVENTARIO[SKU],TablaINVENTARIO[MEDIDA])</f>
        <v>UND</v>
      </c>
      <c r="H1170" s="33" t="str">
        <f>_xlfn.XLOOKUP(TablaSTOCKINV[[#This Row],[SKU]],TablaINVENTARIO[SKU],TablaINVENTARIO[SERIAL])</f>
        <v>N/A</v>
      </c>
      <c r="I1170" s="34">
        <f>_xlfn.XLOOKUP(TablaSTOCKINV[[#This Row],[SKU]],TablaINVENTARIO[SKU],TablaINVENTARIO[ALMACEN])</f>
        <v>0</v>
      </c>
      <c r="J1170" s="34" t="str">
        <f>_xlfn.XLOOKUP(TablaSTOCKINV[[#This Row],[SKU]],TablaINVENTARIO[SKU],TablaINVENTARIO[UBICACION])</f>
        <v>E2-3</v>
      </c>
      <c r="K1170" s="34" t="str">
        <f>_xlfn.XLOOKUP(TablaSTOCKINV[[#This Row],[SKU]],TablaINVENTARIO[SKU],TablaINVENTARIO[DPTO RESPONSABLE])</f>
        <v xml:space="preserve">OPERACIONES </v>
      </c>
      <c r="L1170" s="53">
        <f>_xlfn.XLOOKUP(TablaSTOCKINV[[#This Row],[SKU]],TablaINVENTARIO[SKU],TablaINVENTARIO[RANGO MIN])</f>
        <v>0</v>
      </c>
      <c r="M1170" s="34" cm="1">
        <f t="array" ref="M1170">_xlfn.IFS(TablaSTOCKINV[[#This Row],[CANT. TOTAL]]&lt;=0,1,TablaSTOCKINV[[#This Row],[CANT. TOTAL]]&lt;=TablaSTOCKINV[[#This Row],[MIN]],2,TablaSTOCKINV[[#This Row],[CANT. TOTAL]]&gt;TablaSTOCKINV[[#This Row],[MIN]],3)</f>
        <v>3</v>
      </c>
      <c r="N1170" s="34">
        <f>TablaSTOCKINV[[#This Row],[ENTRADAS]]-TablaSTOCKINV[[#This Row],[SALIDAS]]</f>
        <v>17</v>
      </c>
      <c r="O1170" s="35">
        <f>SUMIFS(TablaENTRADA[CANT],TablaENTRADA[SKU],TablaSTOCKINV[[#This Row],[SKU]])</f>
        <v>17</v>
      </c>
      <c r="P1170" s="35">
        <f>SUMIFS(TablaSALIDA[CANT],TablaSALIDA[SKU],TablaSTOCKINV[[#This Row],[SKU]])</f>
        <v>0</v>
      </c>
      <c r="Q1170" s="34">
        <f>_xlfn.XLOOKUP(TablaSTOCKINV[[#This Row],[SKU]],TablaINVENTARIO[SKU],TablaINVENTARIO[PRECIO])</f>
        <v>0</v>
      </c>
      <c r="R1170" s="34">
        <f>TablaSTOCKINV[[#This Row],[P.UNITARIO]]*TablaSTOCKINV[[#This Row],[CANT. TOTAL]]</f>
        <v>0</v>
      </c>
      <c r="S1170" s="44">
        <f>_xlfn.XLOOKUP(TablaSTOCKINV[[#This Row],[SKU]],TablaINVENTARIO[SKU],TablaINVENTARIO[FECHA INGRESO])</f>
        <v>46023</v>
      </c>
      <c r="T1170" s="44">
        <f>_xlfn.XLOOKUP(TablaSTOCKINV[[#This Row],[SKU]],TablaENTRADA[SKU],TablaENTRADA[FECHA],,0,-1)</f>
        <v>46023</v>
      </c>
      <c r="U1170" s="46" t="str">
        <f>IFERROR((_xlfn.XLOOKUP(TablaSTOCKINV[[#This Row],[SKU]],TablaSALIDA[SKU],TablaSALIDA[FECHA],,0,-1))," " )</f>
        <v xml:space="preserve"> </v>
      </c>
    </row>
    <row r="1171" spans="1:21" x14ac:dyDescent="0.3">
      <c r="A1171" s="27" t="s">
        <v>3193</v>
      </c>
      <c r="B1171" s="32" t="str">
        <f>_xlfn.XLOOKUP(TablaSTOCKINV[[#This Row],[SKU]],TablaINVENTARIO[SKU],TablaINVENTARIO[DESCRIPCION])</f>
        <v xml:space="preserve">TORNILLO 5,30MM ROSCA FINA </v>
      </c>
      <c r="C1171" s="32" t="str">
        <f>_xlfn.XLOOKUP(TablaSTOCKINV[[#This Row],[SKU]],TablaINVENTARIO[SKU],TablaINVENTARIO[MARCA])</f>
        <v>N/A</v>
      </c>
      <c r="D1171" s="33" t="str">
        <f>_xlfn.XLOOKUP(TablaSTOCKINV[[#This Row],[SKU]],TablaINVENTARIO[SKU],TablaINVENTARIO[CATEGORIA])</f>
        <v>FABRICACION</v>
      </c>
      <c r="E1171" s="33" t="str">
        <f>_xlfn.XLOOKUP(TablaSTOCKINV[[#This Row],[SKU]],TablaINVENTARIO[SKU],TablaINVENTARIO[SUBCATEGORIA])</f>
        <v>MATERIAL MECANICO</v>
      </c>
      <c r="F1171" s="33" t="str">
        <f>_xlfn.XLOOKUP(TablaSTOCKINV[[#This Row],[SKU]],TablaINVENTARIO[SKU],TablaINVENTARIO[ESTADO])</f>
        <v xml:space="preserve">NUEVO </v>
      </c>
      <c r="G1171" s="33" t="str">
        <f>_xlfn.XLOOKUP(TablaSTOCKINV[[#This Row],[SKU]],TablaINVENTARIO[SKU],TablaINVENTARIO[MEDIDA])</f>
        <v>UND</v>
      </c>
      <c r="H1171" s="33" t="str">
        <f>_xlfn.XLOOKUP(TablaSTOCKINV[[#This Row],[SKU]],TablaINVENTARIO[SKU],TablaINVENTARIO[SERIAL])</f>
        <v>N/A</v>
      </c>
      <c r="I1171" s="34">
        <f>_xlfn.XLOOKUP(TablaSTOCKINV[[#This Row],[SKU]],TablaINVENTARIO[SKU],TablaINVENTARIO[ALMACEN])</f>
        <v>0</v>
      </c>
      <c r="J1171" s="34" t="str">
        <f>_xlfn.XLOOKUP(TablaSTOCKINV[[#This Row],[SKU]],TablaINVENTARIO[SKU],TablaINVENTARIO[UBICACION])</f>
        <v>E2-3</v>
      </c>
      <c r="K1171" s="34" t="str">
        <f>_xlfn.XLOOKUP(TablaSTOCKINV[[#This Row],[SKU]],TablaINVENTARIO[SKU],TablaINVENTARIO[DPTO RESPONSABLE])</f>
        <v xml:space="preserve">OPERACIONES </v>
      </c>
      <c r="L1171" s="53">
        <f>_xlfn.XLOOKUP(TablaSTOCKINV[[#This Row],[SKU]],TablaINVENTARIO[SKU],TablaINVENTARIO[RANGO MIN])</f>
        <v>0</v>
      </c>
      <c r="M1171" s="34" cm="1">
        <f t="array" ref="M1171">_xlfn.IFS(TablaSTOCKINV[[#This Row],[CANT. TOTAL]]&lt;=0,1,TablaSTOCKINV[[#This Row],[CANT. TOTAL]]&lt;=TablaSTOCKINV[[#This Row],[MIN]],2,TablaSTOCKINV[[#This Row],[CANT. TOTAL]]&gt;TablaSTOCKINV[[#This Row],[MIN]],3)</f>
        <v>3</v>
      </c>
      <c r="N1171" s="34">
        <f>TablaSTOCKINV[[#This Row],[ENTRADAS]]-TablaSTOCKINV[[#This Row],[SALIDAS]]</f>
        <v>14</v>
      </c>
      <c r="O1171" s="35">
        <f>SUMIFS(TablaENTRADA[CANT],TablaENTRADA[SKU],TablaSTOCKINV[[#This Row],[SKU]])</f>
        <v>14</v>
      </c>
      <c r="P1171" s="35">
        <f>SUMIFS(TablaSALIDA[CANT],TablaSALIDA[SKU],TablaSTOCKINV[[#This Row],[SKU]])</f>
        <v>0</v>
      </c>
      <c r="Q1171" s="34">
        <f>_xlfn.XLOOKUP(TablaSTOCKINV[[#This Row],[SKU]],TablaINVENTARIO[SKU],TablaINVENTARIO[PRECIO])</f>
        <v>0</v>
      </c>
      <c r="R1171" s="34">
        <f>TablaSTOCKINV[[#This Row],[P.UNITARIO]]*TablaSTOCKINV[[#This Row],[CANT. TOTAL]]</f>
        <v>0</v>
      </c>
      <c r="S1171" s="44">
        <f>_xlfn.XLOOKUP(TablaSTOCKINV[[#This Row],[SKU]],TablaINVENTARIO[SKU],TablaINVENTARIO[FECHA INGRESO])</f>
        <v>46023</v>
      </c>
      <c r="T1171" s="44">
        <f>_xlfn.XLOOKUP(TablaSTOCKINV[[#This Row],[SKU]],TablaENTRADA[SKU],TablaENTRADA[FECHA],,0,-1)</f>
        <v>46023</v>
      </c>
      <c r="U1171" s="46" t="str">
        <f>IFERROR((_xlfn.XLOOKUP(TablaSTOCKINV[[#This Row],[SKU]],TablaSALIDA[SKU],TablaSALIDA[FECHA],,0,-1))," " )</f>
        <v xml:space="preserve"> </v>
      </c>
    </row>
    <row r="1172" spans="1:21" x14ac:dyDescent="0.3">
      <c r="A1172" s="27" t="s">
        <v>3195</v>
      </c>
      <c r="B1172" s="32" t="str">
        <f>_xlfn.XLOOKUP(TablaSTOCKINV[[#This Row],[SKU]],TablaINVENTARIO[SKU],TablaINVENTARIO[DESCRIPCION])</f>
        <v xml:space="preserve">TORNILLO CORTADO 8,3 MM ROSCA GRUESA </v>
      </c>
      <c r="C1172" s="32" t="str">
        <f>_xlfn.XLOOKUP(TablaSTOCKINV[[#This Row],[SKU]],TablaINVENTARIO[SKU],TablaINVENTARIO[MARCA])</f>
        <v>N/A</v>
      </c>
      <c r="D1172" s="33" t="str">
        <f>_xlfn.XLOOKUP(TablaSTOCKINV[[#This Row],[SKU]],TablaINVENTARIO[SKU],TablaINVENTARIO[CATEGORIA])</f>
        <v>FABRICACION</v>
      </c>
      <c r="E1172" s="33" t="str">
        <f>_xlfn.XLOOKUP(TablaSTOCKINV[[#This Row],[SKU]],TablaINVENTARIO[SKU],TablaINVENTARIO[SUBCATEGORIA])</f>
        <v>MATERIAL MECANICO</v>
      </c>
      <c r="F1172" s="33" t="str">
        <f>_xlfn.XLOOKUP(TablaSTOCKINV[[#This Row],[SKU]],TablaINVENTARIO[SKU],TablaINVENTARIO[ESTADO])</f>
        <v>USADO</v>
      </c>
      <c r="G1172" s="33" t="str">
        <f>_xlfn.XLOOKUP(TablaSTOCKINV[[#This Row],[SKU]],TablaINVENTARIO[SKU],TablaINVENTARIO[MEDIDA])</f>
        <v>UND</v>
      </c>
      <c r="H1172" s="33" t="str">
        <f>_xlfn.XLOOKUP(TablaSTOCKINV[[#This Row],[SKU]],TablaINVENTARIO[SKU],TablaINVENTARIO[SERIAL])</f>
        <v>N/A</v>
      </c>
      <c r="I1172" s="34">
        <f>_xlfn.XLOOKUP(TablaSTOCKINV[[#This Row],[SKU]],TablaINVENTARIO[SKU],TablaINVENTARIO[ALMACEN])</f>
        <v>0</v>
      </c>
      <c r="J1172" s="34" t="str">
        <f>_xlfn.XLOOKUP(TablaSTOCKINV[[#This Row],[SKU]],TablaINVENTARIO[SKU],TablaINVENTARIO[UBICACION])</f>
        <v>E2-3</v>
      </c>
      <c r="K1172" s="34" t="str">
        <f>_xlfn.XLOOKUP(TablaSTOCKINV[[#This Row],[SKU]],TablaINVENTARIO[SKU],TablaINVENTARIO[DPTO RESPONSABLE])</f>
        <v xml:space="preserve">OPERACIONES </v>
      </c>
      <c r="L1172" s="53">
        <f>_xlfn.XLOOKUP(TablaSTOCKINV[[#This Row],[SKU]],TablaINVENTARIO[SKU],TablaINVENTARIO[RANGO MIN])</f>
        <v>0</v>
      </c>
      <c r="M1172" s="34" cm="1">
        <f t="array" ref="M1172">_xlfn.IFS(TablaSTOCKINV[[#This Row],[CANT. TOTAL]]&lt;=0,1,TablaSTOCKINV[[#This Row],[CANT. TOTAL]]&lt;=TablaSTOCKINV[[#This Row],[MIN]],2,TablaSTOCKINV[[#This Row],[CANT. TOTAL]]&gt;TablaSTOCKINV[[#This Row],[MIN]],3)</f>
        <v>3</v>
      </c>
      <c r="N1172" s="34">
        <f>TablaSTOCKINV[[#This Row],[ENTRADAS]]-TablaSTOCKINV[[#This Row],[SALIDAS]]</f>
        <v>9</v>
      </c>
      <c r="O1172" s="35">
        <f>SUMIFS(TablaENTRADA[CANT],TablaENTRADA[SKU],TablaSTOCKINV[[#This Row],[SKU]])</f>
        <v>9</v>
      </c>
      <c r="P1172" s="35">
        <f>SUMIFS(TablaSALIDA[CANT],TablaSALIDA[SKU],TablaSTOCKINV[[#This Row],[SKU]])</f>
        <v>0</v>
      </c>
      <c r="Q1172" s="34">
        <f>_xlfn.XLOOKUP(TablaSTOCKINV[[#This Row],[SKU]],TablaINVENTARIO[SKU],TablaINVENTARIO[PRECIO])</f>
        <v>0</v>
      </c>
      <c r="R1172" s="34">
        <f>TablaSTOCKINV[[#This Row],[P.UNITARIO]]*TablaSTOCKINV[[#This Row],[CANT. TOTAL]]</f>
        <v>0</v>
      </c>
      <c r="S1172" s="44">
        <f>_xlfn.XLOOKUP(TablaSTOCKINV[[#This Row],[SKU]],TablaINVENTARIO[SKU],TablaINVENTARIO[FECHA INGRESO])</f>
        <v>46023</v>
      </c>
      <c r="T1172" s="44">
        <f>_xlfn.XLOOKUP(TablaSTOCKINV[[#This Row],[SKU]],TablaENTRADA[SKU],TablaENTRADA[FECHA],,0,-1)</f>
        <v>46023</v>
      </c>
      <c r="U1172" s="46" t="str">
        <f>IFERROR((_xlfn.XLOOKUP(TablaSTOCKINV[[#This Row],[SKU]],TablaSALIDA[SKU],TablaSALIDA[FECHA],,0,-1))," " )</f>
        <v xml:space="preserve"> </v>
      </c>
    </row>
    <row r="1173" spans="1:21" x14ac:dyDescent="0.3">
      <c r="A1173" s="27" t="s">
        <v>3197</v>
      </c>
      <c r="B1173" s="32" t="str">
        <f>_xlfn.XLOOKUP(TablaSTOCKINV[[#This Row],[SKU]],TablaINVENTARIO[SKU],TablaINVENTARIO[DESCRIPCION])</f>
        <v>TORNILLO 5,5MM CON CABEZA TIPO ALLEN</v>
      </c>
      <c r="C1173" s="32" t="str">
        <f>_xlfn.XLOOKUP(TablaSTOCKINV[[#This Row],[SKU]],TablaINVENTARIO[SKU],TablaINVENTARIO[MARCA])</f>
        <v>N/A</v>
      </c>
      <c r="D1173" s="33" t="str">
        <f>_xlfn.XLOOKUP(TablaSTOCKINV[[#This Row],[SKU]],TablaINVENTARIO[SKU],TablaINVENTARIO[CATEGORIA])</f>
        <v>FABRICACION</v>
      </c>
      <c r="E1173" s="33" t="str">
        <f>_xlfn.XLOOKUP(TablaSTOCKINV[[#This Row],[SKU]],TablaINVENTARIO[SKU],TablaINVENTARIO[SUBCATEGORIA])</f>
        <v>MATERIAL MECANICO</v>
      </c>
      <c r="F1173" s="33" t="str">
        <f>_xlfn.XLOOKUP(TablaSTOCKINV[[#This Row],[SKU]],TablaINVENTARIO[SKU],TablaINVENTARIO[ESTADO])</f>
        <v>USADO</v>
      </c>
      <c r="G1173" s="33" t="str">
        <f>_xlfn.XLOOKUP(TablaSTOCKINV[[#This Row],[SKU]],TablaINVENTARIO[SKU],TablaINVENTARIO[MEDIDA])</f>
        <v>UND</v>
      </c>
      <c r="H1173" s="33" t="str">
        <f>_xlfn.XLOOKUP(TablaSTOCKINV[[#This Row],[SKU]],TablaINVENTARIO[SKU],TablaINVENTARIO[SERIAL])</f>
        <v>N/A</v>
      </c>
      <c r="I1173" s="34">
        <f>_xlfn.XLOOKUP(TablaSTOCKINV[[#This Row],[SKU]],TablaINVENTARIO[SKU],TablaINVENTARIO[ALMACEN])</f>
        <v>0</v>
      </c>
      <c r="J1173" s="34" t="str">
        <f>_xlfn.XLOOKUP(TablaSTOCKINV[[#This Row],[SKU]],TablaINVENTARIO[SKU],TablaINVENTARIO[UBICACION])</f>
        <v>E2-3</v>
      </c>
      <c r="K1173" s="34" t="str">
        <f>_xlfn.XLOOKUP(TablaSTOCKINV[[#This Row],[SKU]],TablaINVENTARIO[SKU],TablaINVENTARIO[DPTO RESPONSABLE])</f>
        <v xml:space="preserve">OPERACIONES </v>
      </c>
      <c r="L1173" s="53">
        <f>_xlfn.XLOOKUP(TablaSTOCKINV[[#This Row],[SKU]],TablaINVENTARIO[SKU],TablaINVENTARIO[RANGO MIN])</f>
        <v>0</v>
      </c>
      <c r="M1173" s="34" cm="1">
        <f t="array" ref="M1173">_xlfn.IFS(TablaSTOCKINV[[#This Row],[CANT. TOTAL]]&lt;=0,1,TablaSTOCKINV[[#This Row],[CANT. TOTAL]]&lt;=TablaSTOCKINV[[#This Row],[MIN]],2,TablaSTOCKINV[[#This Row],[CANT. TOTAL]]&gt;TablaSTOCKINV[[#This Row],[MIN]],3)</f>
        <v>3</v>
      </c>
      <c r="N1173" s="34">
        <f>TablaSTOCKINV[[#This Row],[ENTRADAS]]-TablaSTOCKINV[[#This Row],[SALIDAS]]</f>
        <v>29</v>
      </c>
      <c r="O1173" s="35">
        <f>SUMIFS(TablaENTRADA[CANT],TablaENTRADA[SKU],TablaSTOCKINV[[#This Row],[SKU]])</f>
        <v>29</v>
      </c>
      <c r="P1173" s="35">
        <f>SUMIFS(TablaSALIDA[CANT],TablaSALIDA[SKU],TablaSTOCKINV[[#This Row],[SKU]])</f>
        <v>0</v>
      </c>
      <c r="Q1173" s="34">
        <f>_xlfn.XLOOKUP(TablaSTOCKINV[[#This Row],[SKU]],TablaINVENTARIO[SKU],TablaINVENTARIO[PRECIO])</f>
        <v>0</v>
      </c>
      <c r="R1173" s="34">
        <f>TablaSTOCKINV[[#This Row],[P.UNITARIO]]*TablaSTOCKINV[[#This Row],[CANT. TOTAL]]</f>
        <v>0</v>
      </c>
      <c r="S1173" s="44">
        <f>_xlfn.XLOOKUP(TablaSTOCKINV[[#This Row],[SKU]],TablaINVENTARIO[SKU],TablaINVENTARIO[FECHA INGRESO])</f>
        <v>46023</v>
      </c>
      <c r="T1173" s="44">
        <f>_xlfn.XLOOKUP(TablaSTOCKINV[[#This Row],[SKU]],TablaENTRADA[SKU],TablaENTRADA[FECHA],,0,-1)</f>
        <v>46023</v>
      </c>
      <c r="U1173" s="46" t="str">
        <f>IFERROR((_xlfn.XLOOKUP(TablaSTOCKINV[[#This Row],[SKU]],TablaSALIDA[SKU],TablaSALIDA[FECHA],,0,-1))," " )</f>
        <v xml:space="preserve"> </v>
      </c>
    </row>
    <row r="1174" spans="1:21" x14ac:dyDescent="0.3">
      <c r="A1174" s="27" t="s">
        <v>3199</v>
      </c>
      <c r="B1174" s="32" t="str">
        <f>_xlfn.XLOOKUP(TablaSTOCKINV[[#This Row],[SKU]],TablaINVENTARIO[SKU],TablaINVENTARIO[DESCRIPCION])</f>
        <v xml:space="preserve">TORNILLO 12,5MM CON TUERCA </v>
      </c>
      <c r="C1174" s="32" t="str">
        <f>_xlfn.XLOOKUP(TablaSTOCKINV[[#This Row],[SKU]],TablaINVENTARIO[SKU],TablaINVENTARIO[MARCA])</f>
        <v>N/A</v>
      </c>
      <c r="D1174" s="33" t="str">
        <f>_xlfn.XLOOKUP(TablaSTOCKINV[[#This Row],[SKU]],TablaINVENTARIO[SKU],TablaINVENTARIO[CATEGORIA])</f>
        <v>FABRICACION</v>
      </c>
      <c r="E1174" s="33" t="str">
        <f>_xlfn.XLOOKUP(TablaSTOCKINV[[#This Row],[SKU]],TablaINVENTARIO[SKU],TablaINVENTARIO[SUBCATEGORIA])</f>
        <v>MATERIAL MECANICO</v>
      </c>
      <c r="F1174" s="33" t="str">
        <f>_xlfn.XLOOKUP(TablaSTOCKINV[[#This Row],[SKU]],TablaINVENTARIO[SKU],TablaINVENTARIO[ESTADO])</f>
        <v>USADO</v>
      </c>
      <c r="G1174" s="33" t="str">
        <f>_xlfn.XLOOKUP(TablaSTOCKINV[[#This Row],[SKU]],TablaINVENTARIO[SKU],TablaINVENTARIO[MEDIDA])</f>
        <v>UND</v>
      </c>
      <c r="H1174" s="33" t="str">
        <f>_xlfn.XLOOKUP(TablaSTOCKINV[[#This Row],[SKU]],TablaINVENTARIO[SKU],TablaINVENTARIO[SERIAL])</f>
        <v>N/A</v>
      </c>
      <c r="I1174" s="34">
        <f>_xlfn.XLOOKUP(TablaSTOCKINV[[#This Row],[SKU]],TablaINVENTARIO[SKU],TablaINVENTARIO[ALMACEN])</f>
        <v>0</v>
      </c>
      <c r="J1174" s="34" t="str">
        <f>_xlfn.XLOOKUP(TablaSTOCKINV[[#This Row],[SKU]],TablaINVENTARIO[SKU],TablaINVENTARIO[UBICACION])</f>
        <v>E2-3</v>
      </c>
      <c r="K1174" s="34" t="str">
        <f>_xlfn.XLOOKUP(TablaSTOCKINV[[#This Row],[SKU]],TablaINVENTARIO[SKU],TablaINVENTARIO[DPTO RESPONSABLE])</f>
        <v xml:space="preserve">OPERACIONES </v>
      </c>
      <c r="L1174" s="53">
        <f>_xlfn.XLOOKUP(TablaSTOCKINV[[#This Row],[SKU]],TablaINVENTARIO[SKU],TablaINVENTARIO[RANGO MIN])</f>
        <v>0</v>
      </c>
      <c r="M1174" s="34" cm="1">
        <f t="array" ref="M1174">_xlfn.IFS(TablaSTOCKINV[[#This Row],[CANT. TOTAL]]&lt;=0,1,TablaSTOCKINV[[#This Row],[CANT. TOTAL]]&lt;=TablaSTOCKINV[[#This Row],[MIN]],2,TablaSTOCKINV[[#This Row],[CANT. TOTAL]]&gt;TablaSTOCKINV[[#This Row],[MIN]],3)</f>
        <v>3</v>
      </c>
      <c r="N1174" s="34">
        <f>TablaSTOCKINV[[#This Row],[ENTRADAS]]-TablaSTOCKINV[[#This Row],[SALIDAS]]</f>
        <v>5</v>
      </c>
      <c r="O1174" s="35">
        <f>SUMIFS(TablaENTRADA[CANT],TablaENTRADA[SKU],TablaSTOCKINV[[#This Row],[SKU]])</f>
        <v>5</v>
      </c>
      <c r="P1174" s="35">
        <f>SUMIFS(TablaSALIDA[CANT],TablaSALIDA[SKU],TablaSTOCKINV[[#This Row],[SKU]])</f>
        <v>0</v>
      </c>
      <c r="Q1174" s="34">
        <f>_xlfn.XLOOKUP(TablaSTOCKINV[[#This Row],[SKU]],TablaINVENTARIO[SKU],TablaINVENTARIO[PRECIO])</f>
        <v>0</v>
      </c>
      <c r="R1174" s="34">
        <f>TablaSTOCKINV[[#This Row],[P.UNITARIO]]*TablaSTOCKINV[[#This Row],[CANT. TOTAL]]</f>
        <v>0</v>
      </c>
      <c r="S1174" s="44">
        <f>_xlfn.XLOOKUP(TablaSTOCKINV[[#This Row],[SKU]],TablaINVENTARIO[SKU],TablaINVENTARIO[FECHA INGRESO])</f>
        <v>46023</v>
      </c>
      <c r="T1174" s="44">
        <f>_xlfn.XLOOKUP(TablaSTOCKINV[[#This Row],[SKU]],TablaENTRADA[SKU],TablaENTRADA[FECHA],,0,-1)</f>
        <v>46023</v>
      </c>
      <c r="U1174" s="46" t="str">
        <f>IFERROR((_xlfn.XLOOKUP(TablaSTOCKINV[[#This Row],[SKU]],TablaSALIDA[SKU],TablaSALIDA[FECHA],,0,-1))," " )</f>
        <v xml:space="preserve"> </v>
      </c>
    </row>
    <row r="1175" spans="1:21" x14ac:dyDescent="0.3">
      <c r="A1175" s="27" t="s">
        <v>3201</v>
      </c>
      <c r="B1175" s="32" t="str">
        <f>_xlfn.XLOOKUP(TablaSTOCKINV[[#This Row],[SKU]],TablaINVENTARIO[SKU],TablaINVENTARIO[DESCRIPCION])</f>
        <v xml:space="preserve">TORNILLO 9MMM EXTENDIDO ROSCA DE UN EXTREMO </v>
      </c>
      <c r="C1175" s="32" t="str">
        <f>_xlfn.XLOOKUP(TablaSTOCKINV[[#This Row],[SKU]],TablaINVENTARIO[SKU],TablaINVENTARIO[MARCA])</f>
        <v>N/A</v>
      </c>
      <c r="D1175" s="33" t="str">
        <f>_xlfn.XLOOKUP(TablaSTOCKINV[[#This Row],[SKU]],TablaINVENTARIO[SKU],TablaINVENTARIO[CATEGORIA])</f>
        <v>FABRICACION</v>
      </c>
      <c r="E1175" s="33" t="str">
        <f>_xlfn.XLOOKUP(TablaSTOCKINV[[#This Row],[SKU]],TablaINVENTARIO[SKU],TablaINVENTARIO[SUBCATEGORIA])</f>
        <v>MATERIAL MECANICO</v>
      </c>
      <c r="F1175" s="33" t="str">
        <f>_xlfn.XLOOKUP(TablaSTOCKINV[[#This Row],[SKU]],TablaINVENTARIO[SKU],TablaINVENTARIO[ESTADO])</f>
        <v xml:space="preserve">NUEVO </v>
      </c>
      <c r="G1175" s="33" t="str">
        <f>_xlfn.XLOOKUP(TablaSTOCKINV[[#This Row],[SKU]],TablaINVENTARIO[SKU],TablaINVENTARIO[MEDIDA])</f>
        <v>UND</v>
      </c>
      <c r="H1175" s="33" t="str">
        <f>_xlfn.XLOOKUP(TablaSTOCKINV[[#This Row],[SKU]],TablaINVENTARIO[SKU],TablaINVENTARIO[SERIAL])</f>
        <v>N/A</v>
      </c>
      <c r="I1175" s="34">
        <f>_xlfn.XLOOKUP(TablaSTOCKINV[[#This Row],[SKU]],TablaINVENTARIO[SKU],TablaINVENTARIO[ALMACEN])</f>
        <v>0</v>
      </c>
      <c r="J1175" s="34" t="str">
        <f>_xlfn.XLOOKUP(TablaSTOCKINV[[#This Row],[SKU]],TablaINVENTARIO[SKU],TablaINVENTARIO[UBICACION])</f>
        <v>E2-3</v>
      </c>
      <c r="K1175" s="34" t="str">
        <f>_xlfn.XLOOKUP(TablaSTOCKINV[[#This Row],[SKU]],TablaINVENTARIO[SKU],TablaINVENTARIO[DPTO RESPONSABLE])</f>
        <v xml:space="preserve">OPERACIONES </v>
      </c>
      <c r="L1175" s="53">
        <f>_xlfn.XLOOKUP(TablaSTOCKINV[[#This Row],[SKU]],TablaINVENTARIO[SKU],TablaINVENTARIO[RANGO MIN])</f>
        <v>0</v>
      </c>
      <c r="M1175" s="34" cm="1">
        <f t="array" ref="M1175">_xlfn.IFS(TablaSTOCKINV[[#This Row],[CANT. TOTAL]]&lt;=0,1,TablaSTOCKINV[[#This Row],[CANT. TOTAL]]&lt;=TablaSTOCKINV[[#This Row],[MIN]],2,TablaSTOCKINV[[#This Row],[CANT. TOTAL]]&gt;TablaSTOCKINV[[#This Row],[MIN]],3)</f>
        <v>3</v>
      </c>
      <c r="N1175" s="34">
        <f>TablaSTOCKINV[[#This Row],[ENTRADAS]]-TablaSTOCKINV[[#This Row],[SALIDAS]]</f>
        <v>6</v>
      </c>
      <c r="O1175" s="35">
        <f>SUMIFS(TablaENTRADA[CANT],TablaENTRADA[SKU],TablaSTOCKINV[[#This Row],[SKU]])</f>
        <v>6</v>
      </c>
      <c r="P1175" s="35">
        <f>SUMIFS(TablaSALIDA[CANT],TablaSALIDA[SKU],TablaSTOCKINV[[#This Row],[SKU]])</f>
        <v>0</v>
      </c>
      <c r="Q1175" s="34">
        <f>_xlfn.XLOOKUP(TablaSTOCKINV[[#This Row],[SKU]],TablaINVENTARIO[SKU],TablaINVENTARIO[PRECIO])</f>
        <v>0</v>
      </c>
      <c r="R1175" s="34">
        <f>TablaSTOCKINV[[#This Row],[P.UNITARIO]]*TablaSTOCKINV[[#This Row],[CANT. TOTAL]]</f>
        <v>0</v>
      </c>
      <c r="S1175" s="44">
        <f>_xlfn.XLOOKUP(TablaSTOCKINV[[#This Row],[SKU]],TablaINVENTARIO[SKU],TablaINVENTARIO[FECHA INGRESO])</f>
        <v>46023</v>
      </c>
      <c r="T1175" s="44">
        <f>_xlfn.XLOOKUP(TablaSTOCKINV[[#This Row],[SKU]],TablaENTRADA[SKU],TablaENTRADA[FECHA],,0,-1)</f>
        <v>46023</v>
      </c>
      <c r="U1175" s="46" t="str">
        <f>IFERROR((_xlfn.XLOOKUP(TablaSTOCKINV[[#This Row],[SKU]],TablaSALIDA[SKU],TablaSALIDA[FECHA],,0,-1))," " )</f>
        <v xml:space="preserve"> </v>
      </c>
    </row>
    <row r="1176" spans="1:21" x14ac:dyDescent="0.3">
      <c r="A1176" s="27" t="s">
        <v>3203</v>
      </c>
      <c r="B1176" s="32" t="str">
        <f>_xlfn.XLOOKUP(TablaSTOCKINV[[#This Row],[SKU]],TablaINVENTARIO[SKU],TablaINVENTARIO[DESCRIPCION])</f>
        <v xml:space="preserve">TORNILLO DE AFINACION 5MM </v>
      </c>
      <c r="C1176" s="32" t="str">
        <f>_xlfn.XLOOKUP(TablaSTOCKINV[[#This Row],[SKU]],TablaINVENTARIO[SKU],TablaINVENTARIO[MARCA])</f>
        <v>N/A</v>
      </c>
      <c r="D1176" s="33" t="str">
        <f>_xlfn.XLOOKUP(TablaSTOCKINV[[#This Row],[SKU]],TablaINVENTARIO[SKU],TablaINVENTARIO[CATEGORIA])</f>
        <v>FABRICACION</v>
      </c>
      <c r="E1176" s="33" t="str">
        <f>_xlfn.XLOOKUP(TablaSTOCKINV[[#This Row],[SKU]],TablaINVENTARIO[SKU],TablaINVENTARIO[SUBCATEGORIA])</f>
        <v>MATERIAL MECANICO</v>
      </c>
      <c r="F1176" s="33" t="str">
        <f>_xlfn.XLOOKUP(TablaSTOCKINV[[#This Row],[SKU]],TablaINVENTARIO[SKU],TablaINVENTARIO[ESTADO])</f>
        <v xml:space="preserve">NUEVO </v>
      </c>
      <c r="G1176" s="33" t="str">
        <f>_xlfn.XLOOKUP(TablaSTOCKINV[[#This Row],[SKU]],TablaINVENTARIO[SKU],TablaINVENTARIO[MEDIDA])</f>
        <v>UND</v>
      </c>
      <c r="H1176" s="33" t="str">
        <f>_xlfn.XLOOKUP(TablaSTOCKINV[[#This Row],[SKU]],TablaINVENTARIO[SKU],TablaINVENTARIO[SERIAL])</f>
        <v>N/A</v>
      </c>
      <c r="I1176" s="34">
        <f>_xlfn.XLOOKUP(TablaSTOCKINV[[#This Row],[SKU]],TablaINVENTARIO[SKU],TablaINVENTARIO[ALMACEN])</f>
        <v>0</v>
      </c>
      <c r="J1176" s="34" t="str">
        <f>_xlfn.XLOOKUP(TablaSTOCKINV[[#This Row],[SKU]],TablaINVENTARIO[SKU],TablaINVENTARIO[UBICACION])</f>
        <v>E2-3</v>
      </c>
      <c r="K1176" s="34" t="str">
        <f>_xlfn.XLOOKUP(TablaSTOCKINV[[#This Row],[SKU]],TablaINVENTARIO[SKU],TablaINVENTARIO[DPTO RESPONSABLE])</f>
        <v xml:space="preserve">OPERACIONES </v>
      </c>
      <c r="L1176" s="53">
        <f>_xlfn.XLOOKUP(TablaSTOCKINV[[#This Row],[SKU]],TablaINVENTARIO[SKU],TablaINVENTARIO[RANGO MIN])</f>
        <v>0</v>
      </c>
      <c r="M1176" s="34" cm="1">
        <f t="array" ref="M1176">_xlfn.IFS(TablaSTOCKINV[[#This Row],[CANT. TOTAL]]&lt;=0,1,TablaSTOCKINV[[#This Row],[CANT. TOTAL]]&lt;=TablaSTOCKINV[[#This Row],[MIN]],2,TablaSTOCKINV[[#This Row],[CANT. TOTAL]]&gt;TablaSTOCKINV[[#This Row],[MIN]],3)</f>
        <v>3</v>
      </c>
      <c r="N1176" s="34">
        <f>TablaSTOCKINV[[#This Row],[ENTRADAS]]-TablaSTOCKINV[[#This Row],[SALIDAS]]</f>
        <v>3</v>
      </c>
      <c r="O1176" s="35">
        <f>SUMIFS(TablaENTRADA[CANT],TablaENTRADA[SKU],TablaSTOCKINV[[#This Row],[SKU]])</f>
        <v>3</v>
      </c>
      <c r="P1176" s="35">
        <f>SUMIFS(TablaSALIDA[CANT],TablaSALIDA[SKU],TablaSTOCKINV[[#This Row],[SKU]])</f>
        <v>0</v>
      </c>
      <c r="Q1176" s="34">
        <f>_xlfn.XLOOKUP(TablaSTOCKINV[[#This Row],[SKU]],TablaINVENTARIO[SKU],TablaINVENTARIO[PRECIO])</f>
        <v>0</v>
      </c>
      <c r="R1176" s="34">
        <f>TablaSTOCKINV[[#This Row],[P.UNITARIO]]*TablaSTOCKINV[[#This Row],[CANT. TOTAL]]</f>
        <v>0</v>
      </c>
      <c r="S1176" s="44">
        <f>_xlfn.XLOOKUP(TablaSTOCKINV[[#This Row],[SKU]],TablaINVENTARIO[SKU],TablaINVENTARIO[FECHA INGRESO])</f>
        <v>46023</v>
      </c>
      <c r="T1176" s="44">
        <f>_xlfn.XLOOKUP(TablaSTOCKINV[[#This Row],[SKU]],TablaENTRADA[SKU],TablaENTRADA[FECHA],,0,-1)</f>
        <v>46023</v>
      </c>
      <c r="U1176" s="46" t="str">
        <f>IFERROR((_xlfn.XLOOKUP(TablaSTOCKINV[[#This Row],[SKU]],TablaSALIDA[SKU],TablaSALIDA[FECHA],,0,-1))," " )</f>
        <v xml:space="preserve"> </v>
      </c>
    </row>
    <row r="1177" spans="1:21" x14ac:dyDescent="0.3">
      <c r="A1177" s="27" t="s">
        <v>3205</v>
      </c>
      <c r="B1177" s="32" t="str">
        <f>_xlfn.XLOOKUP(TablaSTOCKINV[[#This Row],[SKU]],TablaINVENTARIO[SKU],TablaINVENTARIO[DESCRIPCION])</f>
        <v>TORNILLO 14MM ROSCA FINA ACERO INOXIDABLE</v>
      </c>
      <c r="C1177" s="32" t="str">
        <f>_xlfn.XLOOKUP(TablaSTOCKINV[[#This Row],[SKU]],TablaINVENTARIO[SKU],TablaINVENTARIO[MARCA])</f>
        <v>N/A</v>
      </c>
      <c r="D1177" s="33" t="str">
        <f>_xlfn.XLOOKUP(TablaSTOCKINV[[#This Row],[SKU]],TablaINVENTARIO[SKU],TablaINVENTARIO[CATEGORIA])</f>
        <v>FABRICACION</v>
      </c>
      <c r="E1177" s="33" t="str">
        <f>_xlfn.XLOOKUP(TablaSTOCKINV[[#This Row],[SKU]],TablaINVENTARIO[SKU],TablaINVENTARIO[SUBCATEGORIA])</f>
        <v>MATERIAL MECANICO</v>
      </c>
      <c r="F1177" s="33" t="str">
        <f>_xlfn.XLOOKUP(TablaSTOCKINV[[#This Row],[SKU]],TablaINVENTARIO[SKU],TablaINVENTARIO[ESTADO])</f>
        <v xml:space="preserve">NUEVO </v>
      </c>
      <c r="G1177" s="33" t="str">
        <f>_xlfn.XLOOKUP(TablaSTOCKINV[[#This Row],[SKU]],TablaINVENTARIO[SKU],TablaINVENTARIO[MEDIDA])</f>
        <v>UND</v>
      </c>
      <c r="H1177" s="33" t="str">
        <f>_xlfn.XLOOKUP(TablaSTOCKINV[[#This Row],[SKU]],TablaINVENTARIO[SKU],TablaINVENTARIO[SERIAL])</f>
        <v>N/A</v>
      </c>
      <c r="I1177" s="34">
        <f>_xlfn.XLOOKUP(TablaSTOCKINV[[#This Row],[SKU]],TablaINVENTARIO[SKU],TablaINVENTARIO[ALMACEN])</f>
        <v>0</v>
      </c>
      <c r="J1177" s="34" t="str">
        <f>_xlfn.XLOOKUP(TablaSTOCKINV[[#This Row],[SKU]],TablaINVENTARIO[SKU],TablaINVENTARIO[UBICACION])</f>
        <v>E2-3</v>
      </c>
      <c r="K1177" s="34" t="str">
        <f>_xlfn.XLOOKUP(TablaSTOCKINV[[#This Row],[SKU]],TablaINVENTARIO[SKU],TablaINVENTARIO[DPTO RESPONSABLE])</f>
        <v xml:space="preserve">OPERACIONES </v>
      </c>
      <c r="L1177" s="53">
        <f>_xlfn.XLOOKUP(TablaSTOCKINV[[#This Row],[SKU]],TablaINVENTARIO[SKU],TablaINVENTARIO[RANGO MIN])</f>
        <v>0</v>
      </c>
      <c r="M1177" s="34" cm="1">
        <f t="array" ref="M1177">_xlfn.IFS(TablaSTOCKINV[[#This Row],[CANT. TOTAL]]&lt;=0,1,TablaSTOCKINV[[#This Row],[CANT. TOTAL]]&lt;=TablaSTOCKINV[[#This Row],[MIN]],2,TablaSTOCKINV[[#This Row],[CANT. TOTAL]]&gt;TablaSTOCKINV[[#This Row],[MIN]],3)</f>
        <v>3</v>
      </c>
      <c r="N1177" s="34">
        <f>TablaSTOCKINV[[#This Row],[ENTRADAS]]-TablaSTOCKINV[[#This Row],[SALIDAS]]</f>
        <v>110</v>
      </c>
      <c r="O1177" s="35">
        <f>SUMIFS(TablaENTRADA[CANT],TablaENTRADA[SKU],TablaSTOCKINV[[#This Row],[SKU]])</f>
        <v>110</v>
      </c>
      <c r="P1177" s="35">
        <f>SUMIFS(TablaSALIDA[CANT],TablaSALIDA[SKU],TablaSTOCKINV[[#This Row],[SKU]])</f>
        <v>0</v>
      </c>
      <c r="Q1177" s="34">
        <f>_xlfn.XLOOKUP(TablaSTOCKINV[[#This Row],[SKU]],TablaINVENTARIO[SKU],TablaINVENTARIO[PRECIO])</f>
        <v>0</v>
      </c>
      <c r="R1177" s="34">
        <f>TablaSTOCKINV[[#This Row],[P.UNITARIO]]*TablaSTOCKINV[[#This Row],[CANT. TOTAL]]</f>
        <v>0</v>
      </c>
      <c r="S1177" s="44">
        <f>_xlfn.XLOOKUP(TablaSTOCKINV[[#This Row],[SKU]],TablaINVENTARIO[SKU],TablaINVENTARIO[FECHA INGRESO])</f>
        <v>46023</v>
      </c>
      <c r="T1177" s="44">
        <f>_xlfn.XLOOKUP(TablaSTOCKINV[[#This Row],[SKU]],TablaENTRADA[SKU],TablaENTRADA[FECHA],,0,-1)</f>
        <v>46023</v>
      </c>
      <c r="U1177" s="46" t="str">
        <f>IFERROR((_xlfn.XLOOKUP(TablaSTOCKINV[[#This Row],[SKU]],TablaSALIDA[SKU],TablaSALIDA[FECHA],,0,-1))," " )</f>
        <v xml:space="preserve"> </v>
      </c>
    </row>
    <row r="1178" spans="1:21" x14ac:dyDescent="0.3">
      <c r="A1178" s="27" t="s">
        <v>3207</v>
      </c>
      <c r="B1178" s="32" t="str">
        <f>_xlfn.XLOOKUP(TablaSTOCKINV[[#This Row],[SKU]],TablaINVENTARIO[SKU],TablaINVENTARIO[DESCRIPCION])</f>
        <v xml:space="preserve">TORNILLO 14MM ROSCA FINA ACERO AL CARBON </v>
      </c>
      <c r="C1178" s="32" t="str">
        <f>_xlfn.XLOOKUP(TablaSTOCKINV[[#This Row],[SKU]],TablaINVENTARIO[SKU],TablaINVENTARIO[MARCA])</f>
        <v>N/A</v>
      </c>
      <c r="D1178" s="33" t="str">
        <f>_xlfn.XLOOKUP(TablaSTOCKINV[[#This Row],[SKU]],TablaINVENTARIO[SKU],TablaINVENTARIO[CATEGORIA])</f>
        <v>FABRICACION</v>
      </c>
      <c r="E1178" s="33" t="str">
        <f>_xlfn.XLOOKUP(TablaSTOCKINV[[#This Row],[SKU]],TablaINVENTARIO[SKU],TablaINVENTARIO[SUBCATEGORIA])</f>
        <v>MATERIAL MECANICO</v>
      </c>
      <c r="F1178" s="33" t="str">
        <f>_xlfn.XLOOKUP(TablaSTOCKINV[[#This Row],[SKU]],TablaINVENTARIO[SKU],TablaINVENTARIO[ESTADO])</f>
        <v xml:space="preserve">NUEVO </v>
      </c>
      <c r="G1178" s="33" t="str">
        <f>_xlfn.XLOOKUP(TablaSTOCKINV[[#This Row],[SKU]],TablaINVENTARIO[SKU],TablaINVENTARIO[MEDIDA])</f>
        <v>UND</v>
      </c>
      <c r="H1178" s="33" t="str">
        <f>_xlfn.XLOOKUP(TablaSTOCKINV[[#This Row],[SKU]],TablaINVENTARIO[SKU],TablaINVENTARIO[SERIAL])</f>
        <v>N/A</v>
      </c>
      <c r="I1178" s="34">
        <f>_xlfn.XLOOKUP(TablaSTOCKINV[[#This Row],[SKU]],TablaINVENTARIO[SKU],TablaINVENTARIO[ALMACEN])</f>
        <v>0</v>
      </c>
      <c r="J1178" s="34" t="str">
        <f>_xlfn.XLOOKUP(TablaSTOCKINV[[#This Row],[SKU]],TablaINVENTARIO[SKU],TablaINVENTARIO[UBICACION])</f>
        <v>E2-3</v>
      </c>
      <c r="K1178" s="34" t="str">
        <f>_xlfn.XLOOKUP(TablaSTOCKINV[[#This Row],[SKU]],TablaINVENTARIO[SKU],TablaINVENTARIO[DPTO RESPONSABLE])</f>
        <v xml:space="preserve">OPERACIONES </v>
      </c>
      <c r="L1178" s="53">
        <f>_xlfn.XLOOKUP(TablaSTOCKINV[[#This Row],[SKU]],TablaINVENTARIO[SKU],TablaINVENTARIO[RANGO MIN])</f>
        <v>0</v>
      </c>
      <c r="M1178" s="34" cm="1">
        <f t="array" ref="M1178">_xlfn.IFS(TablaSTOCKINV[[#This Row],[CANT. TOTAL]]&lt;=0,1,TablaSTOCKINV[[#This Row],[CANT. TOTAL]]&lt;=TablaSTOCKINV[[#This Row],[MIN]],2,TablaSTOCKINV[[#This Row],[CANT. TOTAL]]&gt;TablaSTOCKINV[[#This Row],[MIN]],3)</f>
        <v>3</v>
      </c>
      <c r="N1178" s="34">
        <f>TablaSTOCKINV[[#This Row],[ENTRADAS]]-TablaSTOCKINV[[#This Row],[SALIDAS]]</f>
        <v>19</v>
      </c>
      <c r="O1178" s="35">
        <f>SUMIFS(TablaENTRADA[CANT],TablaENTRADA[SKU],TablaSTOCKINV[[#This Row],[SKU]])</f>
        <v>19</v>
      </c>
      <c r="P1178" s="35">
        <f>SUMIFS(TablaSALIDA[CANT],TablaSALIDA[SKU],TablaSTOCKINV[[#This Row],[SKU]])</f>
        <v>0</v>
      </c>
      <c r="Q1178" s="34">
        <f>_xlfn.XLOOKUP(TablaSTOCKINV[[#This Row],[SKU]],TablaINVENTARIO[SKU],TablaINVENTARIO[PRECIO])</f>
        <v>0</v>
      </c>
      <c r="R1178" s="34">
        <f>TablaSTOCKINV[[#This Row],[P.UNITARIO]]*TablaSTOCKINV[[#This Row],[CANT. TOTAL]]</f>
        <v>0</v>
      </c>
      <c r="S1178" s="44">
        <f>_xlfn.XLOOKUP(TablaSTOCKINV[[#This Row],[SKU]],TablaINVENTARIO[SKU],TablaINVENTARIO[FECHA INGRESO])</f>
        <v>46023</v>
      </c>
      <c r="T1178" s="44">
        <f>_xlfn.XLOOKUP(TablaSTOCKINV[[#This Row],[SKU]],TablaENTRADA[SKU],TablaENTRADA[FECHA],,0,-1)</f>
        <v>46023</v>
      </c>
      <c r="U1178" s="46" t="str">
        <f>IFERROR((_xlfn.XLOOKUP(TablaSTOCKINV[[#This Row],[SKU]],TablaSALIDA[SKU],TablaSALIDA[FECHA],,0,-1))," " )</f>
        <v xml:space="preserve"> </v>
      </c>
    </row>
    <row r="1179" spans="1:21" x14ac:dyDescent="0.3">
      <c r="A1179" s="27" t="s">
        <v>3209</v>
      </c>
      <c r="B1179" s="32" t="str">
        <f>_xlfn.XLOOKUP(TablaSTOCKINV[[#This Row],[SKU]],TablaINVENTARIO[SKU],TablaINVENTARIO[DESCRIPCION])</f>
        <v>TORNILLO 14MM ROSCA FINA DE HIERRO</v>
      </c>
      <c r="C1179" s="32" t="str">
        <f>_xlfn.XLOOKUP(TablaSTOCKINV[[#This Row],[SKU]],TablaINVENTARIO[SKU],TablaINVENTARIO[MARCA])</f>
        <v>N/A</v>
      </c>
      <c r="D1179" s="33" t="str">
        <f>_xlfn.XLOOKUP(TablaSTOCKINV[[#This Row],[SKU]],TablaINVENTARIO[SKU],TablaINVENTARIO[CATEGORIA])</f>
        <v>FABRICACION</v>
      </c>
      <c r="E1179" s="33" t="str">
        <f>_xlfn.XLOOKUP(TablaSTOCKINV[[#This Row],[SKU]],TablaINVENTARIO[SKU],TablaINVENTARIO[SUBCATEGORIA])</f>
        <v>MATERIAL MECANICO</v>
      </c>
      <c r="F1179" s="33" t="str">
        <f>_xlfn.XLOOKUP(TablaSTOCKINV[[#This Row],[SKU]],TablaINVENTARIO[SKU],TablaINVENTARIO[ESTADO])</f>
        <v xml:space="preserve">NUEVO </v>
      </c>
      <c r="G1179" s="33" t="str">
        <f>_xlfn.XLOOKUP(TablaSTOCKINV[[#This Row],[SKU]],TablaINVENTARIO[SKU],TablaINVENTARIO[MEDIDA])</f>
        <v>UND</v>
      </c>
      <c r="H1179" s="33" t="str">
        <f>_xlfn.XLOOKUP(TablaSTOCKINV[[#This Row],[SKU]],TablaINVENTARIO[SKU],TablaINVENTARIO[SERIAL])</f>
        <v>N/A</v>
      </c>
      <c r="I1179" s="34">
        <f>_xlfn.XLOOKUP(TablaSTOCKINV[[#This Row],[SKU]],TablaINVENTARIO[SKU],TablaINVENTARIO[ALMACEN])</f>
        <v>0</v>
      </c>
      <c r="J1179" s="34" t="str">
        <f>_xlfn.XLOOKUP(TablaSTOCKINV[[#This Row],[SKU]],TablaINVENTARIO[SKU],TablaINVENTARIO[UBICACION])</f>
        <v>E2-3</v>
      </c>
      <c r="K1179" s="34" t="str">
        <f>_xlfn.XLOOKUP(TablaSTOCKINV[[#This Row],[SKU]],TablaINVENTARIO[SKU],TablaINVENTARIO[DPTO RESPONSABLE])</f>
        <v xml:space="preserve">OPERACIONES </v>
      </c>
      <c r="L1179" s="53">
        <f>_xlfn.XLOOKUP(TablaSTOCKINV[[#This Row],[SKU]],TablaINVENTARIO[SKU],TablaINVENTARIO[RANGO MIN])</f>
        <v>0</v>
      </c>
      <c r="M1179" s="34" cm="1">
        <f t="array" ref="M1179">_xlfn.IFS(TablaSTOCKINV[[#This Row],[CANT. TOTAL]]&lt;=0,1,TablaSTOCKINV[[#This Row],[CANT. TOTAL]]&lt;=TablaSTOCKINV[[#This Row],[MIN]],2,TablaSTOCKINV[[#This Row],[CANT. TOTAL]]&gt;TablaSTOCKINV[[#This Row],[MIN]],3)</f>
        <v>3</v>
      </c>
      <c r="N1179" s="34">
        <f>TablaSTOCKINV[[#This Row],[ENTRADAS]]-TablaSTOCKINV[[#This Row],[SALIDAS]]</f>
        <v>3</v>
      </c>
      <c r="O1179" s="35">
        <f>SUMIFS(TablaENTRADA[CANT],TablaENTRADA[SKU],TablaSTOCKINV[[#This Row],[SKU]])</f>
        <v>3</v>
      </c>
      <c r="P1179" s="35">
        <f>SUMIFS(TablaSALIDA[CANT],TablaSALIDA[SKU],TablaSTOCKINV[[#This Row],[SKU]])</f>
        <v>0</v>
      </c>
      <c r="Q1179" s="34">
        <f>_xlfn.XLOOKUP(TablaSTOCKINV[[#This Row],[SKU]],TablaINVENTARIO[SKU],TablaINVENTARIO[PRECIO])</f>
        <v>0</v>
      </c>
      <c r="R1179" s="34">
        <f>TablaSTOCKINV[[#This Row],[P.UNITARIO]]*TablaSTOCKINV[[#This Row],[CANT. TOTAL]]</f>
        <v>0</v>
      </c>
      <c r="S1179" s="44">
        <f>_xlfn.XLOOKUP(TablaSTOCKINV[[#This Row],[SKU]],TablaINVENTARIO[SKU],TablaINVENTARIO[FECHA INGRESO])</f>
        <v>46023</v>
      </c>
      <c r="T1179" s="44">
        <f>_xlfn.XLOOKUP(TablaSTOCKINV[[#This Row],[SKU]],TablaENTRADA[SKU],TablaENTRADA[FECHA],,0,-1)</f>
        <v>46023</v>
      </c>
      <c r="U1179" s="46" t="str">
        <f>IFERROR((_xlfn.XLOOKUP(TablaSTOCKINV[[#This Row],[SKU]],TablaSALIDA[SKU],TablaSALIDA[FECHA],,0,-1))," " )</f>
        <v xml:space="preserve"> </v>
      </c>
    </row>
    <row r="1180" spans="1:21" x14ac:dyDescent="0.3">
      <c r="A1180" s="27" t="s">
        <v>3211</v>
      </c>
      <c r="B1180" s="32" t="str">
        <f>_xlfn.XLOOKUP(TablaSTOCKINV[[#This Row],[SKU]],TablaINVENTARIO[SKU],TablaINVENTARIO[DESCRIPCION])</f>
        <v>SOPORTE DE ROSCA INTERNA Y EXTERNA 2,55MM</v>
      </c>
      <c r="C1180" s="32" t="str">
        <f>_xlfn.XLOOKUP(TablaSTOCKINV[[#This Row],[SKU]],TablaINVENTARIO[SKU],TablaINVENTARIO[MARCA])</f>
        <v>N/A</v>
      </c>
      <c r="D1180" s="33" t="str">
        <f>_xlfn.XLOOKUP(TablaSTOCKINV[[#This Row],[SKU]],TablaINVENTARIO[SKU],TablaINVENTARIO[CATEGORIA])</f>
        <v>FABRICACION</v>
      </c>
      <c r="E1180" s="33" t="str">
        <f>_xlfn.XLOOKUP(TablaSTOCKINV[[#This Row],[SKU]],TablaINVENTARIO[SKU],TablaINVENTARIO[SUBCATEGORIA])</f>
        <v>MATERIAL MECANICO</v>
      </c>
      <c r="F1180" s="33" t="str">
        <f>_xlfn.XLOOKUP(TablaSTOCKINV[[#This Row],[SKU]],TablaINVENTARIO[SKU],TablaINVENTARIO[ESTADO])</f>
        <v xml:space="preserve">NUEVO </v>
      </c>
      <c r="G1180" s="33" t="str">
        <f>_xlfn.XLOOKUP(TablaSTOCKINV[[#This Row],[SKU]],TablaINVENTARIO[SKU],TablaINVENTARIO[MEDIDA])</f>
        <v>UND</v>
      </c>
      <c r="H1180" s="33" t="str">
        <f>_xlfn.XLOOKUP(TablaSTOCKINV[[#This Row],[SKU]],TablaINVENTARIO[SKU],TablaINVENTARIO[SERIAL])</f>
        <v>N/A</v>
      </c>
      <c r="I1180" s="34">
        <f>_xlfn.XLOOKUP(TablaSTOCKINV[[#This Row],[SKU]],TablaINVENTARIO[SKU],TablaINVENTARIO[ALMACEN])</f>
        <v>0</v>
      </c>
      <c r="J1180" s="34" t="str">
        <f>_xlfn.XLOOKUP(TablaSTOCKINV[[#This Row],[SKU]],TablaINVENTARIO[SKU],TablaINVENTARIO[UBICACION])</f>
        <v>E2-3</v>
      </c>
      <c r="K1180" s="34" t="str">
        <f>_xlfn.XLOOKUP(TablaSTOCKINV[[#This Row],[SKU]],TablaINVENTARIO[SKU],TablaINVENTARIO[DPTO RESPONSABLE])</f>
        <v xml:space="preserve">OPERACIONES </v>
      </c>
      <c r="L1180" s="53">
        <f>_xlfn.XLOOKUP(TablaSTOCKINV[[#This Row],[SKU]],TablaINVENTARIO[SKU],TablaINVENTARIO[RANGO MIN])</f>
        <v>0</v>
      </c>
      <c r="M1180" s="34" cm="1">
        <f t="array" ref="M1180">_xlfn.IFS(TablaSTOCKINV[[#This Row],[CANT. TOTAL]]&lt;=0,1,TablaSTOCKINV[[#This Row],[CANT. TOTAL]]&lt;=TablaSTOCKINV[[#This Row],[MIN]],2,TablaSTOCKINV[[#This Row],[CANT. TOTAL]]&gt;TablaSTOCKINV[[#This Row],[MIN]],3)</f>
        <v>3</v>
      </c>
      <c r="N1180" s="34">
        <f>TablaSTOCKINV[[#This Row],[ENTRADAS]]-TablaSTOCKINV[[#This Row],[SALIDAS]]</f>
        <v>84</v>
      </c>
      <c r="O1180" s="35">
        <f>SUMIFS(TablaENTRADA[CANT],TablaENTRADA[SKU],TablaSTOCKINV[[#This Row],[SKU]])</f>
        <v>84</v>
      </c>
      <c r="P1180" s="35">
        <f>SUMIFS(TablaSALIDA[CANT],TablaSALIDA[SKU],TablaSTOCKINV[[#This Row],[SKU]])</f>
        <v>0</v>
      </c>
      <c r="Q1180" s="34">
        <f>_xlfn.XLOOKUP(TablaSTOCKINV[[#This Row],[SKU]],TablaINVENTARIO[SKU],TablaINVENTARIO[PRECIO])</f>
        <v>0</v>
      </c>
      <c r="R1180" s="34">
        <f>TablaSTOCKINV[[#This Row],[P.UNITARIO]]*TablaSTOCKINV[[#This Row],[CANT. TOTAL]]</f>
        <v>0</v>
      </c>
      <c r="S1180" s="44">
        <f>_xlfn.XLOOKUP(TablaSTOCKINV[[#This Row],[SKU]],TablaINVENTARIO[SKU],TablaINVENTARIO[FECHA INGRESO])</f>
        <v>46023</v>
      </c>
      <c r="T1180" s="44">
        <f>_xlfn.XLOOKUP(TablaSTOCKINV[[#This Row],[SKU]],TablaENTRADA[SKU],TablaENTRADA[FECHA],,0,-1)</f>
        <v>46023</v>
      </c>
      <c r="U1180" s="46" t="str">
        <f>IFERROR((_xlfn.XLOOKUP(TablaSTOCKINV[[#This Row],[SKU]],TablaSALIDA[SKU],TablaSALIDA[FECHA],,0,-1))," " )</f>
        <v xml:space="preserve"> </v>
      </c>
    </row>
    <row r="1181" spans="1:21" x14ac:dyDescent="0.3">
      <c r="A1181" s="27" t="s">
        <v>3213</v>
      </c>
      <c r="B1181" s="32" t="str">
        <f>_xlfn.XLOOKUP(TablaSTOCKINV[[#This Row],[SKU]],TablaINVENTARIO[SKU],TablaINVENTARIO[DESCRIPCION])</f>
        <v xml:space="preserve">TIEWRAP DE MUESTRA </v>
      </c>
      <c r="C1181" s="32" t="str">
        <f>_xlfn.XLOOKUP(TablaSTOCKINV[[#This Row],[SKU]],TablaINVENTARIO[SKU],TablaINVENTARIO[MARCA])</f>
        <v>N/A</v>
      </c>
      <c r="D1181" s="33" t="str">
        <f>_xlfn.XLOOKUP(TablaSTOCKINV[[#This Row],[SKU]],TablaINVENTARIO[SKU],TablaINVENTARIO[CATEGORIA])</f>
        <v>FABRICACION</v>
      </c>
      <c r="E1181" s="33" t="str">
        <f>_xlfn.XLOOKUP(TablaSTOCKINV[[#This Row],[SKU]],TablaINVENTARIO[SKU],TablaINVENTARIO[SUBCATEGORIA])</f>
        <v>IDENTIFICACION</v>
      </c>
      <c r="F1181" s="33" t="str">
        <f>_xlfn.XLOOKUP(TablaSTOCKINV[[#This Row],[SKU]],TablaINVENTARIO[SKU],TablaINVENTARIO[ESTADO])</f>
        <v xml:space="preserve">NUEVO </v>
      </c>
      <c r="G1181" s="33" t="str">
        <f>_xlfn.XLOOKUP(TablaSTOCKINV[[#This Row],[SKU]],TablaINVENTARIO[SKU],TablaINVENTARIO[MEDIDA])</f>
        <v>UND</v>
      </c>
      <c r="H1181" s="33" t="str">
        <f>_xlfn.XLOOKUP(TablaSTOCKINV[[#This Row],[SKU]],TablaINVENTARIO[SKU],TablaINVENTARIO[SERIAL])</f>
        <v>N/A</v>
      </c>
      <c r="I1181" s="34">
        <f>_xlfn.XLOOKUP(TablaSTOCKINV[[#This Row],[SKU]],TablaINVENTARIO[SKU],TablaINVENTARIO[ALMACEN])</f>
        <v>0</v>
      </c>
      <c r="J1181" s="34" t="str">
        <f>_xlfn.XLOOKUP(TablaSTOCKINV[[#This Row],[SKU]],TablaINVENTARIO[SKU],TablaINVENTARIO[UBICACION])</f>
        <v>F1-2</v>
      </c>
      <c r="K1181" s="34" t="str">
        <f>_xlfn.XLOOKUP(TablaSTOCKINV[[#This Row],[SKU]],TablaINVENTARIO[SKU],TablaINVENTARIO[DPTO RESPONSABLE])</f>
        <v xml:space="preserve">CONSUMO GENERAL </v>
      </c>
      <c r="L1181" s="53">
        <f>_xlfn.XLOOKUP(TablaSTOCKINV[[#This Row],[SKU]],TablaINVENTARIO[SKU],TablaINVENTARIO[RANGO MIN])</f>
        <v>0</v>
      </c>
      <c r="M1181" s="34" cm="1">
        <f t="array" ref="M1181">_xlfn.IFS(TablaSTOCKINV[[#This Row],[CANT. TOTAL]]&lt;=0,1,TablaSTOCKINV[[#This Row],[CANT. TOTAL]]&lt;=TablaSTOCKINV[[#This Row],[MIN]],2,TablaSTOCKINV[[#This Row],[CANT. TOTAL]]&gt;TablaSTOCKINV[[#This Row],[MIN]],3)</f>
        <v>3</v>
      </c>
      <c r="N1181" s="34">
        <f>TablaSTOCKINV[[#This Row],[ENTRADAS]]-TablaSTOCKINV[[#This Row],[SALIDAS]]</f>
        <v>71</v>
      </c>
      <c r="O1181" s="35">
        <f>SUMIFS(TablaENTRADA[CANT],TablaENTRADA[SKU],TablaSTOCKINV[[#This Row],[SKU]])</f>
        <v>71</v>
      </c>
      <c r="P1181" s="35">
        <f>SUMIFS(TablaSALIDA[CANT],TablaSALIDA[SKU],TablaSTOCKINV[[#This Row],[SKU]])</f>
        <v>0</v>
      </c>
      <c r="Q1181" s="34">
        <f>_xlfn.XLOOKUP(TablaSTOCKINV[[#This Row],[SKU]],TablaINVENTARIO[SKU],TablaINVENTARIO[PRECIO])</f>
        <v>0</v>
      </c>
      <c r="R1181" s="34">
        <f>TablaSTOCKINV[[#This Row],[P.UNITARIO]]*TablaSTOCKINV[[#This Row],[CANT. TOTAL]]</f>
        <v>0</v>
      </c>
      <c r="S1181" s="44">
        <f>_xlfn.XLOOKUP(TablaSTOCKINV[[#This Row],[SKU]],TablaINVENTARIO[SKU],TablaINVENTARIO[FECHA INGRESO])</f>
        <v>46023</v>
      </c>
      <c r="T1181" s="44">
        <f>_xlfn.XLOOKUP(TablaSTOCKINV[[#This Row],[SKU]],TablaENTRADA[SKU],TablaENTRADA[FECHA],,0,-1)</f>
        <v>46023</v>
      </c>
      <c r="U1181" s="46" t="str">
        <f>IFERROR((_xlfn.XLOOKUP(TablaSTOCKINV[[#This Row],[SKU]],TablaSALIDA[SKU],TablaSALIDA[FECHA],,0,-1))," " )</f>
        <v xml:space="preserve"> </v>
      </c>
    </row>
    <row r="1182" spans="1:21" x14ac:dyDescent="0.3">
      <c r="A1182" s="27" t="s">
        <v>3216</v>
      </c>
      <c r="B1182" s="32" t="str">
        <f>_xlfn.XLOOKUP(TablaSTOCKINV[[#This Row],[SKU]],TablaINVENTARIO[SKU],TablaINVENTARIO[DESCRIPCION])</f>
        <v>TRANSMISOR DE PRESION MODELO: SA200</v>
      </c>
      <c r="C1182" s="32" t="str">
        <f>_xlfn.XLOOKUP(TablaSTOCKINV[[#This Row],[SKU]],TablaINVENTARIO[SKU],TablaINVENTARIO[MARCA])</f>
        <v>SMART-ALEK</v>
      </c>
      <c r="D1182" s="33" t="str">
        <f>_xlfn.XLOOKUP(TablaSTOCKINV[[#This Row],[SKU]],TablaINVENTARIO[SKU],TablaINVENTARIO[CATEGORIA])</f>
        <v>FABRICACION</v>
      </c>
      <c r="E1182" s="33" t="str">
        <f>_xlfn.XLOOKUP(TablaSTOCKINV[[#This Row],[SKU]],TablaINVENTARIO[SKU],TablaINVENTARIO[SUBCATEGORIA])</f>
        <v>INSTRUMENTO DE MEDICION ELECTRICA</v>
      </c>
      <c r="F1182" s="33" t="str">
        <f>_xlfn.XLOOKUP(TablaSTOCKINV[[#This Row],[SKU]],TablaINVENTARIO[SKU],TablaINVENTARIO[ESTADO])</f>
        <v>DAÑADO</v>
      </c>
      <c r="G1182" s="33" t="str">
        <f>_xlfn.XLOOKUP(TablaSTOCKINV[[#This Row],[SKU]],TablaINVENTARIO[SKU],TablaINVENTARIO[MEDIDA])</f>
        <v>UND</v>
      </c>
      <c r="H1182" s="33">
        <f>_xlfn.XLOOKUP(TablaSTOCKINV[[#This Row],[SKU]],TablaINVENTARIO[SKU],TablaINVENTARIO[SERIAL])</f>
        <v>190272</v>
      </c>
      <c r="I1182" s="34">
        <f>_xlfn.XLOOKUP(TablaSTOCKINV[[#This Row],[SKU]],TablaINVENTARIO[SKU],TablaINVENTARIO[ALMACEN])</f>
        <v>0</v>
      </c>
      <c r="J1182" s="34" t="str">
        <f>_xlfn.XLOOKUP(TablaSTOCKINV[[#This Row],[SKU]],TablaINVENTARIO[SKU],TablaINVENTARIO[UBICACION])</f>
        <v>F1-1</v>
      </c>
      <c r="K1182" s="34" t="str">
        <f>_xlfn.XLOOKUP(TablaSTOCKINV[[#This Row],[SKU]],TablaINVENTARIO[SKU],TablaINVENTARIO[DPTO RESPONSABLE])</f>
        <v xml:space="preserve">CONSUMO GENERAL </v>
      </c>
      <c r="L1182" s="53">
        <f>_xlfn.XLOOKUP(TablaSTOCKINV[[#This Row],[SKU]],TablaINVENTARIO[SKU],TablaINVENTARIO[RANGO MIN])</f>
        <v>0</v>
      </c>
      <c r="M1182" s="34" cm="1">
        <f t="array" ref="M1182">_xlfn.IFS(TablaSTOCKINV[[#This Row],[CANT. TOTAL]]&lt;=0,1,TablaSTOCKINV[[#This Row],[CANT. TOTAL]]&lt;=TablaSTOCKINV[[#This Row],[MIN]],2,TablaSTOCKINV[[#This Row],[CANT. TOTAL]]&gt;TablaSTOCKINV[[#This Row],[MIN]],3)</f>
        <v>3</v>
      </c>
      <c r="N1182" s="34">
        <f>TablaSTOCKINV[[#This Row],[ENTRADAS]]-TablaSTOCKINV[[#This Row],[SALIDAS]]</f>
        <v>1</v>
      </c>
      <c r="O1182" s="35">
        <f>SUMIFS(TablaENTRADA[CANT],TablaENTRADA[SKU],TablaSTOCKINV[[#This Row],[SKU]])</f>
        <v>1</v>
      </c>
      <c r="P1182" s="35">
        <f>SUMIFS(TablaSALIDA[CANT],TablaSALIDA[SKU],TablaSTOCKINV[[#This Row],[SKU]])</f>
        <v>0</v>
      </c>
      <c r="Q1182" s="34">
        <f>_xlfn.XLOOKUP(TablaSTOCKINV[[#This Row],[SKU]],TablaINVENTARIO[SKU],TablaINVENTARIO[PRECIO])</f>
        <v>0</v>
      </c>
      <c r="R1182" s="34">
        <f>TablaSTOCKINV[[#This Row],[P.UNITARIO]]*TablaSTOCKINV[[#This Row],[CANT. TOTAL]]</f>
        <v>0</v>
      </c>
      <c r="S1182" s="44">
        <f>_xlfn.XLOOKUP(TablaSTOCKINV[[#This Row],[SKU]],TablaINVENTARIO[SKU],TablaINVENTARIO[FECHA INGRESO])</f>
        <v>46023</v>
      </c>
      <c r="T1182" s="44">
        <f>_xlfn.XLOOKUP(TablaSTOCKINV[[#This Row],[SKU]],TablaENTRADA[SKU],TablaENTRADA[FECHA],,0,-1)</f>
        <v>46023</v>
      </c>
      <c r="U1182" s="46" t="str">
        <f>IFERROR((_xlfn.XLOOKUP(TablaSTOCKINV[[#This Row],[SKU]],TablaSALIDA[SKU],TablaSALIDA[FECHA],,0,-1))," " )</f>
        <v xml:space="preserve"> </v>
      </c>
    </row>
    <row r="1183" spans="1:21" x14ac:dyDescent="0.3">
      <c r="A1183" s="27" t="s">
        <v>3220</v>
      </c>
      <c r="B1183" s="32" t="str">
        <f>_xlfn.XLOOKUP(TablaSTOCKINV[[#This Row],[SKU]],TablaINVENTARIO[SKU],TablaINVENTARIO[DESCRIPCION])</f>
        <v xml:space="preserve">EMPACADURA 4" 600 </v>
      </c>
      <c r="C1183" s="32" t="str">
        <f>_xlfn.XLOOKUP(TablaSTOCKINV[[#This Row],[SKU]],TablaINVENTARIO[SKU],TablaINVENTARIO[MARCA])</f>
        <v xml:space="preserve">FLEXITALICA </v>
      </c>
      <c r="D1183" s="33" t="str">
        <f>_xlfn.XLOOKUP(TablaSTOCKINV[[#This Row],[SKU]],TablaINVENTARIO[SKU],TablaINVENTARIO[CATEGORIA])</f>
        <v>FABRICACION</v>
      </c>
      <c r="E1183" s="33" t="str">
        <f>_xlfn.XLOOKUP(TablaSTOCKINV[[#This Row],[SKU]],TablaINVENTARIO[SKU],TablaINVENTARIO[SUBCATEGORIA])</f>
        <v>MATERIAL MECANICO</v>
      </c>
      <c r="F1183" s="33" t="str">
        <f>_xlfn.XLOOKUP(TablaSTOCKINV[[#This Row],[SKU]],TablaINVENTARIO[SKU],TablaINVENTARIO[ESTADO])</f>
        <v xml:space="preserve">NUEVO </v>
      </c>
      <c r="G1183" s="33" t="str">
        <f>_xlfn.XLOOKUP(TablaSTOCKINV[[#This Row],[SKU]],TablaINVENTARIO[SKU],TablaINVENTARIO[MEDIDA])</f>
        <v>UND</v>
      </c>
      <c r="H1183" s="33" t="str">
        <f>_xlfn.XLOOKUP(TablaSTOCKINV[[#This Row],[SKU]],TablaINVENTARIO[SKU],TablaINVENTARIO[SERIAL])</f>
        <v>N/A</v>
      </c>
      <c r="I1183" s="34">
        <f>_xlfn.XLOOKUP(TablaSTOCKINV[[#This Row],[SKU]],TablaINVENTARIO[SKU],TablaINVENTARIO[ALMACEN])</f>
        <v>0</v>
      </c>
      <c r="J1183" s="34" t="str">
        <f>_xlfn.XLOOKUP(TablaSTOCKINV[[#This Row],[SKU]],TablaINVENTARIO[SKU],TablaINVENTARIO[UBICACION])</f>
        <v>F2-2</v>
      </c>
      <c r="K1183" s="34" t="str">
        <f>_xlfn.XLOOKUP(TablaSTOCKINV[[#This Row],[SKU]],TablaINVENTARIO[SKU],TablaINVENTARIO[DPTO RESPONSABLE])</f>
        <v xml:space="preserve">OPERACIONES </v>
      </c>
      <c r="L1183" s="53">
        <f>_xlfn.XLOOKUP(TablaSTOCKINV[[#This Row],[SKU]],TablaINVENTARIO[SKU],TablaINVENTARIO[RANGO MIN])</f>
        <v>0</v>
      </c>
      <c r="M1183" s="34" cm="1">
        <f t="array" ref="M1183">_xlfn.IFS(TablaSTOCKINV[[#This Row],[CANT. TOTAL]]&lt;=0,1,TablaSTOCKINV[[#This Row],[CANT. TOTAL]]&lt;=TablaSTOCKINV[[#This Row],[MIN]],2,TablaSTOCKINV[[#This Row],[CANT. TOTAL]]&gt;TablaSTOCKINV[[#This Row],[MIN]],3)</f>
        <v>3</v>
      </c>
      <c r="N1183" s="34">
        <f>TablaSTOCKINV[[#This Row],[ENTRADAS]]-TablaSTOCKINV[[#This Row],[SALIDAS]]</f>
        <v>2</v>
      </c>
      <c r="O1183" s="35">
        <f>SUMIFS(TablaENTRADA[CANT],TablaENTRADA[SKU],TablaSTOCKINV[[#This Row],[SKU]])</f>
        <v>2</v>
      </c>
      <c r="P1183" s="35">
        <f>SUMIFS(TablaSALIDA[CANT],TablaSALIDA[SKU],TablaSTOCKINV[[#This Row],[SKU]])</f>
        <v>0</v>
      </c>
      <c r="Q1183" s="34">
        <f>_xlfn.XLOOKUP(TablaSTOCKINV[[#This Row],[SKU]],TablaINVENTARIO[SKU],TablaINVENTARIO[PRECIO])</f>
        <v>0</v>
      </c>
      <c r="R1183" s="34">
        <f>TablaSTOCKINV[[#This Row],[P.UNITARIO]]*TablaSTOCKINV[[#This Row],[CANT. TOTAL]]</f>
        <v>0</v>
      </c>
      <c r="S1183" s="44">
        <f>_xlfn.XLOOKUP(TablaSTOCKINV[[#This Row],[SKU]],TablaINVENTARIO[SKU],TablaINVENTARIO[FECHA INGRESO])</f>
        <v>46023</v>
      </c>
      <c r="T1183" s="44">
        <f>_xlfn.XLOOKUP(TablaSTOCKINV[[#This Row],[SKU]],TablaENTRADA[SKU],TablaENTRADA[FECHA],,0,-1)</f>
        <v>46023</v>
      </c>
      <c r="U1183" s="46" t="str">
        <f>IFERROR((_xlfn.XLOOKUP(TablaSTOCKINV[[#This Row],[SKU]],TablaSALIDA[SKU],TablaSALIDA[FECHA],,0,-1))," " )</f>
        <v xml:space="preserve"> </v>
      </c>
    </row>
    <row r="1184" spans="1:21" x14ac:dyDescent="0.3">
      <c r="A1184" s="27" t="s">
        <v>3224</v>
      </c>
      <c r="B1184" s="32" t="str">
        <f>_xlfn.XLOOKUP(TablaSTOCKINV[[#This Row],[SKU]],TablaINVENTARIO[SKU],TablaINVENTARIO[DESCRIPCION])</f>
        <v>EMPACADURA 3" 300</v>
      </c>
      <c r="C1184" s="32" t="str">
        <f>_xlfn.XLOOKUP(TablaSTOCKINV[[#This Row],[SKU]],TablaINVENTARIO[SKU],TablaINVENTARIO[MARCA])</f>
        <v xml:space="preserve">FLEXITALICA </v>
      </c>
      <c r="D1184" s="33" t="str">
        <f>_xlfn.XLOOKUP(TablaSTOCKINV[[#This Row],[SKU]],TablaINVENTARIO[SKU],TablaINVENTARIO[CATEGORIA])</f>
        <v>FABRICACION</v>
      </c>
      <c r="E1184" s="33" t="str">
        <f>_xlfn.XLOOKUP(TablaSTOCKINV[[#This Row],[SKU]],TablaINVENTARIO[SKU],TablaINVENTARIO[SUBCATEGORIA])</f>
        <v>MATERIAL MECANICO</v>
      </c>
      <c r="F1184" s="33" t="str">
        <f>_xlfn.XLOOKUP(TablaSTOCKINV[[#This Row],[SKU]],TablaINVENTARIO[SKU],TablaINVENTARIO[ESTADO])</f>
        <v xml:space="preserve">NUEVO </v>
      </c>
      <c r="G1184" s="33" t="str">
        <f>_xlfn.XLOOKUP(TablaSTOCKINV[[#This Row],[SKU]],TablaINVENTARIO[SKU],TablaINVENTARIO[MEDIDA])</f>
        <v>UND</v>
      </c>
      <c r="H1184" s="33" t="str">
        <f>_xlfn.XLOOKUP(TablaSTOCKINV[[#This Row],[SKU]],TablaINVENTARIO[SKU],TablaINVENTARIO[SERIAL])</f>
        <v>N/A</v>
      </c>
      <c r="I1184" s="34">
        <f>_xlfn.XLOOKUP(TablaSTOCKINV[[#This Row],[SKU]],TablaINVENTARIO[SKU],TablaINVENTARIO[ALMACEN])</f>
        <v>0</v>
      </c>
      <c r="J1184" s="34" t="str">
        <f>_xlfn.XLOOKUP(TablaSTOCKINV[[#This Row],[SKU]],TablaINVENTARIO[SKU],TablaINVENTARIO[UBICACION])</f>
        <v>F2-2</v>
      </c>
      <c r="K1184" s="34" t="str">
        <f>_xlfn.XLOOKUP(TablaSTOCKINV[[#This Row],[SKU]],TablaINVENTARIO[SKU],TablaINVENTARIO[DPTO RESPONSABLE])</f>
        <v xml:space="preserve">OPERACIONES </v>
      </c>
      <c r="L1184" s="53">
        <f>_xlfn.XLOOKUP(TablaSTOCKINV[[#This Row],[SKU]],TablaINVENTARIO[SKU],TablaINVENTARIO[RANGO MIN])</f>
        <v>0</v>
      </c>
      <c r="M1184" s="34" cm="1">
        <f t="array" ref="M1184">_xlfn.IFS(TablaSTOCKINV[[#This Row],[CANT. TOTAL]]&lt;=0,1,TablaSTOCKINV[[#This Row],[CANT. TOTAL]]&lt;=TablaSTOCKINV[[#This Row],[MIN]],2,TablaSTOCKINV[[#This Row],[CANT. TOTAL]]&gt;TablaSTOCKINV[[#This Row],[MIN]],3)</f>
        <v>3</v>
      </c>
      <c r="N1184" s="34">
        <f>TablaSTOCKINV[[#This Row],[ENTRADAS]]-TablaSTOCKINV[[#This Row],[SALIDAS]]</f>
        <v>4</v>
      </c>
      <c r="O1184" s="35">
        <f>SUMIFS(TablaENTRADA[CANT],TablaENTRADA[SKU],TablaSTOCKINV[[#This Row],[SKU]])</f>
        <v>4</v>
      </c>
      <c r="P1184" s="35">
        <f>SUMIFS(TablaSALIDA[CANT],TablaSALIDA[SKU],TablaSTOCKINV[[#This Row],[SKU]])</f>
        <v>0</v>
      </c>
      <c r="Q1184" s="34">
        <f>_xlfn.XLOOKUP(TablaSTOCKINV[[#This Row],[SKU]],TablaINVENTARIO[SKU],TablaINVENTARIO[PRECIO])</f>
        <v>0</v>
      </c>
      <c r="R1184" s="34">
        <f>TablaSTOCKINV[[#This Row],[P.UNITARIO]]*TablaSTOCKINV[[#This Row],[CANT. TOTAL]]</f>
        <v>0</v>
      </c>
      <c r="S1184" s="44">
        <f>_xlfn.XLOOKUP(TablaSTOCKINV[[#This Row],[SKU]],TablaINVENTARIO[SKU],TablaINVENTARIO[FECHA INGRESO])</f>
        <v>46023</v>
      </c>
      <c r="T1184" s="44">
        <f>_xlfn.XLOOKUP(TablaSTOCKINV[[#This Row],[SKU]],TablaENTRADA[SKU],TablaENTRADA[FECHA],,0,-1)</f>
        <v>46023</v>
      </c>
      <c r="U1184" s="46" t="str">
        <f>IFERROR((_xlfn.XLOOKUP(TablaSTOCKINV[[#This Row],[SKU]],TablaSALIDA[SKU],TablaSALIDA[FECHA],,0,-1))," " )</f>
        <v xml:space="preserve"> </v>
      </c>
    </row>
    <row r="1185" spans="1:21" x14ac:dyDescent="0.3">
      <c r="A1185" s="27" t="s">
        <v>3226</v>
      </c>
      <c r="B1185" s="32" t="str">
        <f>_xlfn.XLOOKUP(TablaSTOCKINV[[#This Row],[SKU]],TablaINVENTARIO[SKU],TablaINVENTARIO[DESCRIPCION])</f>
        <v xml:space="preserve">EMPACADURA 4" 600 </v>
      </c>
      <c r="C1185" s="32" t="str">
        <f>_xlfn.XLOOKUP(TablaSTOCKINV[[#This Row],[SKU]],TablaINVENTARIO[SKU],TablaINVENTARIO[MARCA])</f>
        <v xml:space="preserve">FLEXITALICA </v>
      </c>
      <c r="D1185" s="33" t="str">
        <f>_xlfn.XLOOKUP(TablaSTOCKINV[[#This Row],[SKU]],TablaINVENTARIO[SKU],TablaINVENTARIO[CATEGORIA])</f>
        <v>FABRICACION</v>
      </c>
      <c r="E1185" s="33" t="str">
        <f>_xlfn.XLOOKUP(TablaSTOCKINV[[#This Row],[SKU]],TablaINVENTARIO[SKU],TablaINVENTARIO[SUBCATEGORIA])</f>
        <v>MATERIAL MECANICO</v>
      </c>
      <c r="F1185" s="33" t="str">
        <f>_xlfn.XLOOKUP(TablaSTOCKINV[[#This Row],[SKU]],TablaINVENTARIO[SKU],TablaINVENTARIO[ESTADO])</f>
        <v>USADO</v>
      </c>
      <c r="G1185" s="33" t="str">
        <f>_xlfn.XLOOKUP(TablaSTOCKINV[[#This Row],[SKU]],TablaINVENTARIO[SKU],TablaINVENTARIO[MEDIDA])</f>
        <v>UND</v>
      </c>
      <c r="H1185" s="33" t="str">
        <f>_xlfn.XLOOKUP(TablaSTOCKINV[[#This Row],[SKU]],TablaINVENTARIO[SKU],TablaINVENTARIO[SERIAL])</f>
        <v>N/A</v>
      </c>
      <c r="I1185" s="34">
        <f>_xlfn.XLOOKUP(TablaSTOCKINV[[#This Row],[SKU]],TablaINVENTARIO[SKU],TablaINVENTARIO[ALMACEN])</f>
        <v>0</v>
      </c>
      <c r="J1185" s="34" t="str">
        <f>_xlfn.XLOOKUP(TablaSTOCKINV[[#This Row],[SKU]],TablaINVENTARIO[SKU],TablaINVENTARIO[UBICACION])</f>
        <v>F2-2</v>
      </c>
      <c r="K1185" s="34" t="str">
        <f>_xlfn.XLOOKUP(TablaSTOCKINV[[#This Row],[SKU]],TablaINVENTARIO[SKU],TablaINVENTARIO[DPTO RESPONSABLE])</f>
        <v xml:space="preserve">OPERACIONES </v>
      </c>
      <c r="L1185" s="53">
        <f>_xlfn.XLOOKUP(TablaSTOCKINV[[#This Row],[SKU]],TablaINVENTARIO[SKU],TablaINVENTARIO[RANGO MIN])</f>
        <v>0</v>
      </c>
      <c r="M1185" s="34" cm="1">
        <f t="array" ref="M1185">_xlfn.IFS(TablaSTOCKINV[[#This Row],[CANT. TOTAL]]&lt;=0,1,TablaSTOCKINV[[#This Row],[CANT. TOTAL]]&lt;=TablaSTOCKINV[[#This Row],[MIN]],2,TablaSTOCKINV[[#This Row],[CANT. TOTAL]]&gt;TablaSTOCKINV[[#This Row],[MIN]],3)</f>
        <v>3</v>
      </c>
      <c r="N1185" s="34">
        <f>TablaSTOCKINV[[#This Row],[ENTRADAS]]-TablaSTOCKINV[[#This Row],[SALIDAS]]</f>
        <v>55</v>
      </c>
      <c r="O1185" s="35">
        <f>SUMIFS(TablaENTRADA[CANT],TablaENTRADA[SKU],TablaSTOCKINV[[#This Row],[SKU]])</f>
        <v>55</v>
      </c>
      <c r="P1185" s="35">
        <f>SUMIFS(TablaSALIDA[CANT],TablaSALIDA[SKU],TablaSTOCKINV[[#This Row],[SKU]])</f>
        <v>0</v>
      </c>
      <c r="Q1185" s="34">
        <f>_xlfn.XLOOKUP(TablaSTOCKINV[[#This Row],[SKU]],TablaINVENTARIO[SKU],TablaINVENTARIO[PRECIO])</f>
        <v>0</v>
      </c>
      <c r="R1185" s="34">
        <f>TablaSTOCKINV[[#This Row],[P.UNITARIO]]*TablaSTOCKINV[[#This Row],[CANT. TOTAL]]</f>
        <v>0</v>
      </c>
      <c r="S1185" s="44">
        <f>_xlfn.XLOOKUP(TablaSTOCKINV[[#This Row],[SKU]],TablaINVENTARIO[SKU],TablaINVENTARIO[FECHA INGRESO])</f>
        <v>46023</v>
      </c>
      <c r="T1185" s="44">
        <f>_xlfn.XLOOKUP(TablaSTOCKINV[[#This Row],[SKU]],TablaENTRADA[SKU],TablaENTRADA[FECHA],,0,-1)</f>
        <v>46023</v>
      </c>
      <c r="U1185" s="46" t="str">
        <f>IFERROR((_xlfn.XLOOKUP(TablaSTOCKINV[[#This Row],[SKU]],TablaSALIDA[SKU],TablaSALIDA[FECHA],,0,-1))," " )</f>
        <v xml:space="preserve"> </v>
      </c>
    </row>
    <row r="1186" spans="1:21" x14ac:dyDescent="0.3">
      <c r="A1186" s="27" t="s">
        <v>3227</v>
      </c>
      <c r="B1186" s="32" t="str">
        <f>_xlfn.XLOOKUP(TablaSTOCKINV[[#This Row],[SKU]],TablaINVENTARIO[SKU],TablaINVENTARIO[DESCRIPCION])</f>
        <v>EMPACADURA 10" 600</v>
      </c>
      <c r="C1186" s="32" t="str">
        <f>_xlfn.XLOOKUP(TablaSTOCKINV[[#This Row],[SKU]],TablaINVENTARIO[SKU],TablaINVENTARIO[MARCA])</f>
        <v xml:space="preserve">FLEXITALICA </v>
      </c>
      <c r="D1186" s="33" t="str">
        <f>_xlfn.XLOOKUP(TablaSTOCKINV[[#This Row],[SKU]],TablaINVENTARIO[SKU],TablaINVENTARIO[CATEGORIA])</f>
        <v>FABRICACION</v>
      </c>
      <c r="E1186" s="33" t="str">
        <f>_xlfn.XLOOKUP(TablaSTOCKINV[[#This Row],[SKU]],TablaINVENTARIO[SKU],TablaINVENTARIO[SUBCATEGORIA])</f>
        <v>MATERIAL MECANICO</v>
      </c>
      <c r="F1186" s="33" t="str">
        <f>_xlfn.XLOOKUP(TablaSTOCKINV[[#This Row],[SKU]],TablaINVENTARIO[SKU],TablaINVENTARIO[ESTADO])</f>
        <v>USADO</v>
      </c>
      <c r="G1186" s="33" t="str">
        <f>_xlfn.XLOOKUP(TablaSTOCKINV[[#This Row],[SKU]],TablaINVENTARIO[SKU],TablaINVENTARIO[MEDIDA])</f>
        <v>UND</v>
      </c>
      <c r="H1186" s="33" t="str">
        <f>_xlfn.XLOOKUP(TablaSTOCKINV[[#This Row],[SKU]],TablaINVENTARIO[SKU],TablaINVENTARIO[SERIAL])</f>
        <v>N/A</v>
      </c>
      <c r="I1186" s="34">
        <f>_xlfn.XLOOKUP(TablaSTOCKINV[[#This Row],[SKU]],TablaINVENTARIO[SKU],TablaINVENTARIO[ALMACEN])</f>
        <v>0</v>
      </c>
      <c r="J1186" s="34" t="str">
        <f>_xlfn.XLOOKUP(TablaSTOCKINV[[#This Row],[SKU]],TablaINVENTARIO[SKU],TablaINVENTARIO[UBICACION])</f>
        <v>F2-2</v>
      </c>
      <c r="K1186" s="34" t="str">
        <f>_xlfn.XLOOKUP(TablaSTOCKINV[[#This Row],[SKU]],TablaINVENTARIO[SKU],TablaINVENTARIO[DPTO RESPONSABLE])</f>
        <v xml:space="preserve">OPERACIONES </v>
      </c>
      <c r="L1186" s="53">
        <f>_xlfn.XLOOKUP(TablaSTOCKINV[[#This Row],[SKU]],TablaINVENTARIO[SKU],TablaINVENTARIO[RANGO MIN])</f>
        <v>0</v>
      </c>
      <c r="M1186" s="34" cm="1">
        <f t="array" ref="M1186">_xlfn.IFS(TablaSTOCKINV[[#This Row],[CANT. TOTAL]]&lt;=0,1,TablaSTOCKINV[[#This Row],[CANT. TOTAL]]&lt;=TablaSTOCKINV[[#This Row],[MIN]],2,TablaSTOCKINV[[#This Row],[CANT. TOTAL]]&gt;TablaSTOCKINV[[#This Row],[MIN]],3)</f>
        <v>3</v>
      </c>
      <c r="N1186" s="34">
        <f>TablaSTOCKINV[[#This Row],[ENTRADAS]]-TablaSTOCKINV[[#This Row],[SALIDAS]]</f>
        <v>16</v>
      </c>
      <c r="O1186" s="35">
        <f>SUMIFS(TablaENTRADA[CANT],TablaENTRADA[SKU],TablaSTOCKINV[[#This Row],[SKU]])</f>
        <v>16</v>
      </c>
      <c r="P1186" s="35">
        <f>SUMIFS(TablaSALIDA[CANT],TablaSALIDA[SKU],TablaSTOCKINV[[#This Row],[SKU]])</f>
        <v>0</v>
      </c>
      <c r="Q1186" s="34">
        <f>_xlfn.XLOOKUP(TablaSTOCKINV[[#This Row],[SKU]],TablaINVENTARIO[SKU],TablaINVENTARIO[PRECIO])</f>
        <v>0</v>
      </c>
      <c r="R1186" s="34">
        <f>TablaSTOCKINV[[#This Row],[P.UNITARIO]]*TablaSTOCKINV[[#This Row],[CANT. TOTAL]]</f>
        <v>0</v>
      </c>
      <c r="S1186" s="44">
        <f>_xlfn.XLOOKUP(TablaSTOCKINV[[#This Row],[SKU]],TablaINVENTARIO[SKU],TablaINVENTARIO[FECHA INGRESO])</f>
        <v>46023</v>
      </c>
      <c r="T1186" s="44">
        <f>_xlfn.XLOOKUP(TablaSTOCKINV[[#This Row],[SKU]],TablaENTRADA[SKU],TablaENTRADA[FECHA],,0,-1)</f>
        <v>46023</v>
      </c>
      <c r="U1186" s="46" t="str">
        <f>IFERROR((_xlfn.XLOOKUP(TablaSTOCKINV[[#This Row],[SKU]],TablaSALIDA[SKU],TablaSALIDA[FECHA],,0,-1))," " )</f>
        <v xml:space="preserve"> </v>
      </c>
    </row>
    <row r="1187" spans="1:21" x14ac:dyDescent="0.3">
      <c r="A1187" s="27" t="s">
        <v>3229</v>
      </c>
      <c r="B1187" s="32" t="str">
        <f>_xlfn.XLOOKUP(TablaSTOCKINV[[#This Row],[SKU]],TablaINVENTARIO[SKU],TablaINVENTARIO[DESCRIPCION])</f>
        <v xml:space="preserve">EMPACADURA 6" 600 </v>
      </c>
      <c r="C1187" s="32" t="str">
        <f>_xlfn.XLOOKUP(TablaSTOCKINV[[#This Row],[SKU]],TablaINVENTARIO[SKU],TablaINVENTARIO[MARCA])</f>
        <v xml:space="preserve">FLEXITALICA </v>
      </c>
      <c r="D1187" s="33" t="str">
        <f>_xlfn.XLOOKUP(TablaSTOCKINV[[#This Row],[SKU]],TablaINVENTARIO[SKU],TablaINVENTARIO[CATEGORIA])</f>
        <v>FABRICACION</v>
      </c>
      <c r="E1187" s="33" t="str">
        <f>_xlfn.XLOOKUP(TablaSTOCKINV[[#This Row],[SKU]],TablaINVENTARIO[SKU],TablaINVENTARIO[SUBCATEGORIA])</f>
        <v>MATERIAL MECANICO</v>
      </c>
      <c r="F1187" s="33" t="str">
        <f>_xlfn.XLOOKUP(TablaSTOCKINV[[#This Row],[SKU]],TablaINVENTARIO[SKU],TablaINVENTARIO[ESTADO])</f>
        <v>USADO</v>
      </c>
      <c r="G1187" s="33" t="str">
        <f>_xlfn.XLOOKUP(TablaSTOCKINV[[#This Row],[SKU]],TablaINVENTARIO[SKU],TablaINVENTARIO[MEDIDA])</f>
        <v>UND</v>
      </c>
      <c r="H1187" s="33" t="str">
        <f>_xlfn.XLOOKUP(TablaSTOCKINV[[#This Row],[SKU]],TablaINVENTARIO[SKU],TablaINVENTARIO[SERIAL])</f>
        <v>N/A</v>
      </c>
      <c r="I1187" s="34">
        <f>_xlfn.XLOOKUP(TablaSTOCKINV[[#This Row],[SKU]],TablaINVENTARIO[SKU],TablaINVENTARIO[ALMACEN])</f>
        <v>0</v>
      </c>
      <c r="J1187" s="34" t="str">
        <f>_xlfn.XLOOKUP(TablaSTOCKINV[[#This Row],[SKU]],TablaINVENTARIO[SKU],TablaINVENTARIO[UBICACION])</f>
        <v>F2-2</v>
      </c>
      <c r="K1187" s="34" t="str">
        <f>_xlfn.XLOOKUP(TablaSTOCKINV[[#This Row],[SKU]],TablaINVENTARIO[SKU],TablaINVENTARIO[DPTO RESPONSABLE])</f>
        <v xml:space="preserve">OPERACIONES </v>
      </c>
      <c r="L1187" s="53">
        <f>_xlfn.XLOOKUP(TablaSTOCKINV[[#This Row],[SKU]],TablaINVENTARIO[SKU],TablaINVENTARIO[RANGO MIN])</f>
        <v>0</v>
      </c>
      <c r="M1187" s="34" cm="1">
        <f t="array" ref="M1187">_xlfn.IFS(TablaSTOCKINV[[#This Row],[CANT. TOTAL]]&lt;=0,1,TablaSTOCKINV[[#This Row],[CANT. TOTAL]]&lt;=TablaSTOCKINV[[#This Row],[MIN]],2,TablaSTOCKINV[[#This Row],[CANT. TOTAL]]&gt;TablaSTOCKINV[[#This Row],[MIN]],3)</f>
        <v>3</v>
      </c>
      <c r="N1187" s="34">
        <f>TablaSTOCKINV[[#This Row],[ENTRADAS]]-TablaSTOCKINV[[#This Row],[SALIDAS]]</f>
        <v>7</v>
      </c>
      <c r="O1187" s="35">
        <f>SUMIFS(TablaENTRADA[CANT],TablaENTRADA[SKU],TablaSTOCKINV[[#This Row],[SKU]])</f>
        <v>7</v>
      </c>
      <c r="P1187" s="35">
        <f>SUMIFS(TablaSALIDA[CANT],TablaSALIDA[SKU],TablaSTOCKINV[[#This Row],[SKU]])</f>
        <v>0</v>
      </c>
      <c r="Q1187" s="34">
        <f>_xlfn.XLOOKUP(TablaSTOCKINV[[#This Row],[SKU]],TablaINVENTARIO[SKU],TablaINVENTARIO[PRECIO])</f>
        <v>0</v>
      </c>
      <c r="R1187" s="34">
        <f>TablaSTOCKINV[[#This Row],[P.UNITARIO]]*TablaSTOCKINV[[#This Row],[CANT. TOTAL]]</f>
        <v>0</v>
      </c>
      <c r="S1187" s="44">
        <f>_xlfn.XLOOKUP(TablaSTOCKINV[[#This Row],[SKU]],TablaINVENTARIO[SKU],TablaINVENTARIO[FECHA INGRESO])</f>
        <v>46023</v>
      </c>
      <c r="T1187" s="44">
        <f>_xlfn.XLOOKUP(TablaSTOCKINV[[#This Row],[SKU]],TablaENTRADA[SKU],TablaENTRADA[FECHA],,0,-1)</f>
        <v>46023</v>
      </c>
      <c r="U1187" s="46" t="str">
        <f>IFERROR((_xlfn.XLOOKUP(TablaSTOCKINV[[#This Row],[SKU]],TablaSALIDA[SKU],TablaSALIDA[FECHA],,0,-1))," " )</f>
        <v xml:space="preserve"> </v>
      </c>
    </row>
    <row r="1188" spans="1:21" x14ac:dyDescent="0.3">
      <c r="A1188" s="27" t="s">
        <v>3231</v>
      </c>
      <c r="B1188" s="32" t="str">
        <f>_xlfn.XLOOKUP(TablaSTOCKINV[[#This Row],[SKU]],TablaINVENTARIO[SKU],TablaINVENTARIO[DESCRIPCION])</f>
        <v>EMPACADURA 6" 900</v>
      </c>
      <c r="C1188" s="32" t="str">
        <f>_xlfn.XLOOKUP(TablaSTOCKINV[[#This Row],[SKU]],TablaINVENTARIO[SKU],TablaINVENTARIO[MARCA])</f>
        <v xml:space="preserve">FLEXITALICA </v>
      </c>
      <c r="D1188" s="33" t="str">
        <f>_xlfn.XLOOKUP(TablaSTOCKINV[[#This Row],[SKU]],TablaINVENTARIO[SKU],TablaINVENTARIO[CATEGORIA])</f>
        <v>FABRICACION</v>
      </c>
      <c r="E1188" s="33" t="str">
        <f>_xlfn.XLOOKUP(TablaSTOCKINV[[#This Row],[SKU]],TablaINVENTARIO[SKU],TablaINVENTARIO[SUBCATEGORIA])</f>
        <v>MATERIAL MECANICO</v>
      </c>
      <c r="F1188" s="33" t="str">
        <f>_xlfn.XLOOKUP(TablaSTOCKINV[[#This Row],[SKU]],TablaINVENTARIO[SKU],TablaINVENTARIO[ESTADO])</f>
        <v>USADO</v>
      </c>
      <c r="G1188" s="33" t="str">
        <f>_xlfn.XLOOKUP(TablaSTOCKINV[[#This Row],[SKU]],TablaINVENTARIO[SKU],TablaINVENTARIO[MEDIDA])</f>
        <v>UND</v>
      </c>
      <c r="H1188" s="33" t="str">
        <f>_xlfn.XLOOKUP(TablaSTOCKINV[[#This Row],[SKU]],TablaINVENTARIO[SKU],TablaINVENTARIO[SERIAL])</f>
        <v>N/A</v>
      </c>
      <c r="I1188" s="34">
        <f>_xlfn.XLOOKUP(TablaSTOCKINV[[#This Row],[SKU]],TablaINVENTARIO[SKU],TablaINVENTARIO[ALMACEN])</f>
        <v>0</v>
      </c>
      <c r="J1188" s="34" t="str">
        <f>_xlfn.XLOOKUP(TablaSTOCKINV[[#This Row],[SKU]],TablaINVENTARIO[SKU],TablaINVENTARIO[UBICACION])</f>
        <v>F2-2</v>
      </c>
      <c r="K1188" s="34" t="str">
        <f>_xlfn.XLOOKUP(TablaSTOCKINV[[#This Row],[SKU]],TablaINVENTARIO[SKU],TablaINVENTARIO[DPTO RESPONSABLE])</f>
        <v xml:space="preserve">OPERACIONES </v>
      </c>
      <c r="L1188" s="53">
        <f>_xlfn.XLOOKUP(TablaSTOCKINV[[#This Row],[SKU]],TablaINVENTARIO[SKU],TablaINVENTARIO[RANGO MIN])</f>
        <v>0</v>
      </c>
      <c r="M1188" s="34" cm="1">
        <f t="array" ref="M1188">_xlfn.IFS(TablaSTOCKINV[[#This Row],[CANT. TOTAL]]&lt;=0,1,TablaSTOCKINV[[#This Row],[CANT. TOTAL]]&lt;=TablaSTOCKINV[[#This Row],[MIN]],2,TablaSTOCKINV[[#This Row],[CANT. TOTAL]]&gt;TablaSTOCKINV[[#This Row],[MIN]],3)</f>
        <v>3</v>
      </c>
      <c r="N1188" s="34">
        <f>TablaSTOCKINV[[#This Row],[ENTRADAS]]-TablaSTOCKINV[[#This Row],[SALIDAS]]</f>
        <v>4</v>
      </c>
      <c r="O1188" s="35">
        <f>SUMIFS(TablaENTRADA[CANT],TablaENTRADA[SKU],TablaSTOCKINV[[#This Row],[SKU]])</f>
        <v>4</v>
      </c>
      <c r="P1188" s="35">
        <f>SUMIFS(TablaSALIDA[CANT],TablaSALIDA[SKU],TablaSTOCKINV[[#This Row],[SKU]])</f>
        <v>0</v>
      </c>
      <c r="Q1188" s="34">
        <f>_xlfn.XLOOKUP(TablaSTOCKINV[[#This Row],[SKU]],TablaINVENTARIO[SKU],TablaINVENTARIO[PRECIO])</f>
        <v>0</v>
      </c>
      <c r="R1188" s="34">
        <f>TablaSTOCKINV[[#This Row],[P.UNITARIO]]*TablaSTOCKINV[[#This Row],[CANT. TOTAL]]</f>
        <v>0</v>
      </c>
      <c r="S1188" s="44">
        <f>_xlfn.XLOOKUP(TablaSTOCKINV[[#This Row],[SKU]],TablaINVENTARIO[SKU],TablaINVENTARIO[FECHA INGRESO])</f>
        <v>46023</v>
      </c>
      <c r="T1188" s="44">
        <f>_xlfn.XLOOKUP(TablaSTOCKINV[[#This Row],[SKU]],TablaENTRADA[SKU],TablaENTRADA[FECHA],,0,-1)</f>
        <v>46023</v>
      </c>
      <c r="U1188" s="46" t="str">
        <f>IFERROR((_xlfn.XLOOKUP(TablaSTOCKINV[[#This Row],[SKU]],TablaSALIDA[SKU],TablaSALIDA[FECHA],,0,-1))," " )</f>
        <v xml:space="preserve"> </v>
      </c>
    </row>
    <row r="1189" spans="1:21" x14ac:dyDescent="0.3">
      <c r="A1189" s="27" t="s">
        <v>3233</v>
      </c>
      <c r="B1189" s="32" t="str">
        <f>_xlfn.XLOOKUP(TablaSTOCKINV[[#This Row],[SKU]],TablaINVENTARIO[SKU],TablaINVENTARIO[DESCRIPCION])</f>
        <v>EMPACADURA 3" 300</v>
      </c>
      <c r="C1189" s="32" t="str">
        <f>_xlfn.XLOOKUP(TablaSTOCKINV[[#This Row],[SKU]],TablaINVENTARIO[SKU],TablaINVENTARIO[MARCA])</f>
        <v xml:space="preserve">FLEXITALICA </v>
      </c>
      <c r="D1189" s="33" t="str">
        <f>_xlfn.XLOOKUP(TablaSTOCKINV[[#This Row],[SKU]],TablaINVENTARIO[SKU],TablaINVENTARIO[CATEGORIA])</f>
        <v>FABRICACION</v>
      </c>
      <c r="E1189" s="33" t="str">
        <f>_xlfn.XLOOKUP(TablaSTOCKINV[[#This Row],[SKU]],TablaINVENTARIO[SKU],TablaINVENTARIO[SUBCATEGORIA])</f>
        <v>MATERIAL MECANICO</v>
      </c>
      <c r="F1189" s="33" t="str">
        <f>_xlfn.XLOOKUP(TablaSTOCKINV[[#This Row],[SKU]],TablaINVENTARIO[SKU],TablaINVENTARIO[ESTADO])</f>
        <v>USADO</v>
      </c>
      <c r="G1189" s="33" t="str">
        <f>_xlfn.XLOOKUP(TablaSTOCKINV[[#This Row],[SKU]],TablaINVENTARIO[SKU],TablaINVENTARIO[MEDIDA])</f>
        <v>UND</v>
      </c>
      <c r="H1189" s="33" t="str">
        <f>_xlfn.XLOOKUP(TablaSTOCKINV[[#This Row],[SKU]],TablaINVENTARIO[SKU],TablaINVENTARIO[SERIAL])</f>
        <v>N/A</v>
      </c>
      <c r="I1189" s="34">
        <f>_xlfn.XLOOKUP(TablaSTOCKINV[[#This Row],[SKU]],TablaINVENTARIO[SKU],TablaINVENTARIO[ALMACEN])</f>
        <v>0</v>
      </c>
      <c r="J1189" s="34" t="str">
        <f>_xlfn.XLOOKUP(TablaSTOCKINV[[#This Row],[SKU]],TablaINVENTARIO[SKU],TablaINVENTARIO[UBICACION])</f>
        <v>F2-2</v>
      </c>
      <c r="K1189" s="34" t="str">
        <f>_xlfn.XLOOKUP(TablaSTOCKINV[[#This Row],[SKU]],TablaINVENTARIO[SKU],TablaINVENTARIO[DPTO RESPONSABLE])</f>
        <v xml:space="preserve">OPERACIONES </v>
      </c>
      <c r="L1189" s="53">
        <f>_xlfn.XLOOKUP(TablaSTOCKINV[[#This Row],[SKU]],TablaINVENTARIO[SKU],TablaINVENTARIO[RANGO MIN])</f>
        <v>0</v>
      </c>
      <c r="M1189" s="34" cm="1">
        <f t="array" ref="M1189">_xlfn.IFS(TablaSTOCKINV[[#This Row],[CANT. TOTAL]]&lt;=0,1,TablaSTOCKINV[[#This Row],[CANT. TOTAL]]&lt;=TablaSTOCKINV[[#This Row],[MIN]],2,TablaSTOCKINV[[#This Row],[CANT. TOTAL]]&gt;TablaSTOCKINV[[#This Row],[MIN]],3)</f>
        <v>3</v>
      </c>
      <c r="N1189" s="34">
        <f>TablaSTOCKINV[[#This Row],[ENTRADAS]]-TablaSTOCKINV[[#This Row],[SALIDAS]]</f>
        <v>8</v>
      </c>
      <c r="O1189" s="35">
        <f>SUMIFS(TablaENTRADA[CANT],TablaENTRADA[SKU],TablaSTOCKINV[[#This Row],[SKU]])</f>
        <v>8</v>
      </c>
      <c r="P1189" s="35">
        <f>SUMIFS(TablaSALIDA[CANT],TablaSALIDA[SKU],TablaSTOCKINV[[#This Row],[SKU]])</f>
        <v>0</v>
      </c>
      <c r="Q1189" s="34">
        <f>_xlfn.XLOOKUP(TablaSTOCKINV[[#This Row],[SKU]],TablaINVENTARIO[SKU],TablaINVENTARIO[PRECIO])</f>
        <v>0</v>
      </c>
      <c r="R1189" s="34">
        <f>TablaSTOCKINV[[#This Row],[P.UNITARIO]]*TablaSTOCKINV[[#This Row],[CANT. TOTAL]]</f>
        <v>0</v>
      </c>
      <c r="S1189" s="44">
        <f>_xlfn.XLOOKUP(TablaSTOCKINV[[#This Row],[SKU]],TablaINVENTARIO[SKU],TablaINVENTARIO[FECHA INGRESO])</f>
        <v>46023</v>
      </c>
      <c r="T1189" s="44">
        <f>_xlfn.XLOOKUP(TablaSTOCKINV[[#This Row],[SKU]],TablaENTRADA[SKU],TablaENTRADA[FECHA],,0,-1)</f>
        <v>46023</v>
      </c>
      <c r="U1189" s="46" t="str">
        <f>IFERROR((_xlfn.XLOOKUP(TablaSTOCKINV[[#This Row],[SKU]],TablaSALIDA[SKU],TablaSALIDA[FECHA],,0,-1))," " )</f>
        <v xml:space="preserve"> </v>
      </c>
    </row>
    <row r="1190" spans="1:21" x14ac:dyDescent="0.3">
      <c r="A1190" s="27" t="s">
        <v>3234</v>
      </c>
      <c r="B1190" s="32" t="str">
        <f>_xlfn.XLOOKUP(TablaSTOCKINV[[#This Row],[SKU]],TablaINVENTARIO[SKU],TablaINVENTARIO[DESCRIPCION])</f>
        <v>EMPACADURA 4" 150</v>
      </c>
      <c r="C1190" s="32" t="str">
        <f>_xlfn.XLOOKUP(TablaSTOCKINV[[#This Row],[SKU]],TablaINVENTARIO[SKU],TablaINVENTARIO[MARCA])</f>
        <v xml:space="preserve">FLEXITALICA </v>
      </c>
      <c r="D1190" s="33" t="str">
        <f>_xlfn.XLOOKUP(TablaSTOCKINV[[#This Row],[SKU]],TablaINVENTARIO[SKU],TablaINVENTARIO[CATEGORIA])</f>
        <v>FABRICACION</v>
      </c>
      <c r="E1190" s="33" t="str">
        <f>_xlfn.XLOOKUP(TablaSTOCKINV[[#This Row],[SKU]],TablaINVENTARIO[SKU],TablaINVENTARIO[SUBCATEGORIA])</f>
        <v>MATERIAL MECANICO</v>
      </c>
      <c r="F1190" s="33" t="str">
        <f>_xlfn.XLOOKUP(TablaSTOCKINV[[#This Row],[SKU]],TablaINVENTARIO[SKU],TablaINVENTARIO[ESTADO])</f>
        <v>USADO</v>
      </c>
      <c r="G1190" s="33" t="str">
        <f>_xlfn.XLOOKUP(TablaSTOCKINV[[#This Row],[SKU]],TablaINVENTARIO[SKU],TablaINVENTARIO[MEDIDA])</f>
        <v>UND</v>
      </c>
      <c r="H1190" s="33" t="str">
        <f>_xlfn.XLOOKUP(TablaSTOCKINV[[#This Row],[SKU]],TablaINVENTARIO[SKU],TablaINVENTARIO[SERIAL])</f>
        <v>N/A</v>
      </c>
      <c r="I1190" s="34">
        <f>_xlfn.XLOOKUP(TablaSTOCKINV[[#This Row],[SKU]],TablaINVENTARIO[SKU],TablaINVENTARIO[ALMACEN])</f>
        <v>0</v>
      </c>
      <c r="J1190" s="34" t="str">
        <f>_xlfn.XLOOKUP(TablaSTOCKINV[[#This Row],[SKU]],TablaINVENTARIO[SKU],TablaINVENTARIO[UBICACION])</f>
        <v>F2-2</v>
      </c>
      <c r="K1190" s="34" t="str">
        <f>_xlfn.XLOOKUP(TablaSTOCKINV[[#This Row],[SKU]],TablaINVENTARIO[SKU],TablaINVENTARIO[DPTO RESPONSABLE])</f>
        <v xml:space="preserve">OPERACIONES </v>
      </c>
      <c r="L1190" s="53">
        <f>_xlfn.XLOOKUP(TablaSTOCKINV[[#This Row],[SKU]],TablaINVENTARIO[SKU],TablaINVENTARIO[RANGO MIN])</f>
        <v>0</v>
      </c>
      <c r="M1190" s="34" cm="1">
        <f t="array" ref="M1190">_xlfn.IFS(TablaSTOCKINV[[#This Row],[CANT. TOTAL]]&lt;=0,1,TablaSTOCKINV[[#This Row],[CANT. TOTAL]]&lt;=TablaSTOCKINV[[#This Row],[MIN]],2,TablaSTOCKINV[[#This Row],[CANT. TOTAL]]&gt;TablaSTOCKINV[[#This Row],[MIN]],3)</f>
        <v>3</v>
      </c>
      <c r="N1190" s="34">
        <f>TablaSTOCKINV[[#This Row],[ENTRADAS]]-TablaSTOCKINV[[#This Row],[SALIDAS]]</f>
        <v>5</v>
      </c>
      <c r="O1190" s="35">
        <f>SUMIFS(TablaENTRADA[CANT],TablaENTRADA[SKU],TablaSTOCKINV[[#This Row],[SKU]])</f>
        <v>5</v>
      </c>
      <c r="P1190" s="35">
        <f>SUMIFS(TablaSALIDA[CANT],TablaSALIDA[SKU],TablaSTOCKINV[[#This Row],[SKU]])</f>
        <v>0</v>
      </c>
      <c r="Q1190" s="34">
        <f>_xlfn.XLOOKUP(TablaSTOCKINV[[#This Row],[SKU]],TablaINVENTARIO[SKU],TablaINVENTARIO[PRECIO])</f>
        <v>0</v>
      </c>
      <c r="R1190" s="34">
        <f>TablaSTOCKINV[[#This Row],[P.UNITARIO]]*TablaSTOCKINV[[#This Row],[CANT. TOTAL]]</f>
        <v>0</v>
      </c>
      <c r="S1190" s="44">
        <f>_xlfn.XLOOKUP(TablaSTOCKINV[[#This Row],[SKU]],TablaINVENTARIO[SKU],TablaINVENTARIO[FECHA INGRESO])</f>
        <v>46023</v>
      </c>
      <c r="T1190" s="44">
        <f>_xlfn.XLOOKUP(TablaSTOCKINV[[#This Row],[SKU]],TablaENTRADA[SKU],TablaENTRADA[FECHA],,0,-1)</f>
        <v>46023</v>
      </c>
      <c r="U1190" s="46" t="str">
        <f>IFERROR((_xlfn.XLOOKUP(TablaSTOCKINV[[#This Row],[SKU]],TablaSALIDA[SKU],TablaSALIDA[FECHA],,0,-1))," " )</f>
        <v xml:space="preserve"> </v>
      </c>
    </row>
    <row r="1191" spans="1:21" x14ac:dyDescent="0.3">
      <c r="A1191" s="27" t="s">
        <v>3236</v>
      </c>
      <c r="B1191" s="32" t="str">
        <f>_xlfn.XLOOKUP(TablaSTOCKINV[[#This Row],[SKU]],TablaINVENTARIO[SKU],TablaINVENTARIO[DESCRIPCION])</f>
        <v>EMPACADURA 8" 150</v>
      </c>
      <c r="C1191" s="32" t="str">
        <f>_xlfn.XLOOKUP(TablaSTOCKINV[[#This Row],[SKU]],TablaINVENTARIO[SKU],TablaINVENTARIO[MARCA])</f>
        <v xml:space="preserve">FLEXITALICA </v>
      </c>
      <c r="D1191" s="33" t="str">
        <f>_xlfn.XLOOKUP(TablaSTOCKINV[[#This Row],[SKU]],TablaINVENTARIO[SKU],TablaINVENTARIO[CATEGORIA])</f>
        <v>FABRICACION</v>
      </c>
      <c r="E1191" s="33" t="str">
        <f>_xlfn.XLOOKUP(TablaSTOCKINV[[#This Row],[SKU]],TablaINVENTARIO[SKU],TablaINVENTARIO[SUBCATEGORIA])</f>
        <v>MATERIAL MECANICO</v>
      </c>
      <c r="F1191" s="33" t="str">
        <f>_xlfn.XLOOKUP(TablaSTOCKINV[[#This Row],[SKU]],TablaINVENTARIO[SKU],TablaINVENTARIO[ESTADO])</f>
        <v>USADO</v>
      </c>
      <c r="G1191" s="33" t="str">
        <f>_xlfn.XLOOKUP(TablaSTOCKINV[[#This Row],[SKU]],TablaINVENTARIO[SKU],TablaINVENTARIO[MEDIDA])</f>
        <v>UND</v>
      </c>
      <c r="H1191" s="33" t="str">
        <f>_xlfn.XLOOKUP(TablaSTOCKINV[[#This Row],[SKU]],TablaINVENTARIO[SKU],TablaINVENTARIO[SERIAL])</f>
        <v>N/A</v>
      </c>
      <c r="I1191" s="34">
        <f>_xlfn.XLOOKUP(TablaSTOCKINV[[#This Row],[SKU]],TablaINVENTARIO[SKU],TablaINVENTARIO[ALMACEN])</f>
        <v>0</v>
      </c>
      <c r="J1191" s="34" t="str">
        <f>_xlfn.XLOOKUP(TablaSTOCKINV[[#This Row],[SKU]],TablaINVENTARIO[SKU],TablaINVENTARIO[UBICACION])</f>
        <v>F2-2</v>
      </c>
      <c r="K1191" s="34" t="str">
        <f>_xlfn.XLOOKUP(TablaSTOCKINV[[#This Row],[SKU]],TablaINVENTARIO[SKU],TablaINVENTARIO[DPTO RESPONSABLE])</f>
        <v xml:space="preserve">OPERACIONES </v>
      </c>
      <c r="L1191" s="53">
        <f>_xlfn.XLOOKUP(TablaSTOCKINV[[#This Row],[SKU]],TablaINVENTARIO[SKU],TablaINVENTARIO[RANGO MIN])</f>
        <v>0</v>
      </c>
      <c r="M1191" s="34" cm="1">
        <f t="array" ref="M1191">_xlfn.IFS(TablaSTOCKINV[[#This Row],[CANT. TOTAL]]&lt;=0,1,TablaSTOCKINV[[#This Row],[CANT. TOTAL]]&lt;=TablaSTOCKINV[[#This Row],[MIN]],2,TablaSTOCKINV[[#This Row],[CANT. TOTAL]]&gt;TablaSTOCKINV[[#This Row],[MIN]],3)</f>
        <v>3</v>
      </c>
      <c r="N1191" s="34">
        <f>TablaSTOCKINV[[#This Row],[ENTRADAS]]-TablaSTOCKINV[[#This Row],[SALIDAS]]</f>
        <v>3</v>
      </c>
      <c r="O1191" s="35">
        <f>SUMIFS(TablaENTRADA[CANT],TablaENTRADA[SKU],TablaSTOCKINV[[#This Row],[SKU]])</f>
        <v>3</v>
      </c>
      <c r="P1191" s="35">
        <f>SUMIFS(TablaSALIDA[CANT],TablaSALIDA[SKU],TablaSTOCKINV[[#This Row],[SKU]])</f>
        <v>0</v>
      </c>
      <c r="Q1191" s="34">
        <f>_xlfn.XLOOKUP(TablaSTOCKINV[[#This Row],[SKU]],TablaINVENTARIO[SKU],TablaINVENTARIO[PRECIO])</f>
        <v>0</v>
      </c>
      <c r="R1191" s="34">
        <f>TablaSTOCKINV[[#This Row],[P.UNITARIO]]*TablaSTOCKINV[[#This Row],[CANT. TOTAL]]</f>
        <v>0</v>
      </c>
      <c r="S1191" s="44">
        <f>_xlfn.XLOOKUP(TablaSTOCKINV[[#This Row],[SKU]],TablaINVENTARIO[SKU],TablaINVENTARIO[FECHA INGRESO])</f>
        <v>46023</v>
      </c>
      <c r="T1191" s="44">
        <f>_xlfn.XLOOKUP(TablaSTOCKINV[[#This Row],[SKU]],TablaENTRADA[SKU],TablaENTRADA[FECHA],,0,-1)</f>
        <v>46023</v>
      </c>
      <c r="U1191" s="46" t="str">
        <f>IFERROR((_xlfn.XLOOKUP(TablaSTOCKINV[[#This Row],[SKU]],TablaSALIDA[SKU],TablaSALIDA[FECHA],,0,-1))," " )</f>
        <v xml:space="preserve"> </v>
      </c>
    </row>
    <row r="1192" spans="1:21" x14ac:dyDescent="0.3">
      <c r="A1192" s="27" t="s">
        <v>3238</v>
      </c>
      <c r="B1192" s="32" t="str">
        <f>_xlfn.XLOOKUP(TablaSTOCKINV[[#This Row],[SKU]],TablaINVENTARIO[SKU],TablaINVENTARIO[DESCRIPCION])</f>
        <v>EMPACADURA 6" 300</v>
      </c>
      <c r="C1192" s="32" t="str">
        <f>_xlfn.XLOOKUP(TablaSTOCKINV[[#This Row],[SKU]],TablaINVENTARIO[SKU],TablaINVENTARIO[MARCA])</f>
        <v xml:space="preserve">FLEXITALICA </v>
      </c>
      <c r="D1192" s="33" t="str">
        <f>_xlfn.XLOOKUP(TablaSTOCKINV[[#This Row],[SKU]],TablaINVENTARIO[SKU],TablaINVENTARIO[CATEGORIA])</f>
        <v>FABRICACION</v>
      </c>
      <c r="E1192" s="33" t="str">
        <f>_xlfn.XLOOKUP(TablaSTOCKINV[[#This Row],[SKU]],TablaINVENTARIO[SKU],TablaINVENTARIO[SUBCATEGORIA])</f>
        <v>MATERIAL MECANICO</v>
      </c>
      <c r="F1192" s="33" t="str">
        <f>_xlfn.XLOOKUP(TablaSTOCKINV[[#This Row],[SKU]],TablaINVENTARIO[SKU],TablaINVENTARIO[ESTADO])</f>
        <v>USADO</v>
      </c>
      <c r="G1192" s="33" t="str">
        <f>_xlfn.XLOOKUP(TablaSTOCKINV[[#This Row],[SKU]],TablaINVENTARIO[SKU],TablaINVENTARIO[MEDIDA])</f>
        <v>UND</v>
      </c>
      <c r="H1192" s="33" t="str">
        <f>_xlfn.XLOOKUP(TablaSTOCKINV[[#This Row],[SKU]],TablaINVENTARIO[SKU],TablaINVENTARIO[SERIAL])</f>
        <v>N/A</v>
      </c>
      <c r="I1192" s="34">
        <f>_xlfn.XLOOKUP(TablaSTOCKINV[[#This Row],[SKU]],TablaINVENTARIO[SKU],TablaINVENTARIO[ALMACEN])</f>
        <v>0</v>
      </c>
      <c r="J1192" s="34" t="str">
        <f>_xlfn.XLOOKUP(TablaSTOCKINV[[#This Row],[SKU]],TablaINVENTARIO[SKU],TablaINVENTARIO[UBICACION])</f>
        <v>F2-2</v>
      </c>
      <c r="K1192" s="34" t="str">
        <f>_xlfn.XLOOKUP(TablaSTOCKINV[[#This Row],[SKU]],TablaINVENTARIO[SKU],TablaINVENTARIO[DPTO RESPONSABLE])</f>
        <v xml:space="preserve">OPERACIONES </v>
      </c>
      <c r="L1192" s="53">
        <f>_xlfn.XLOOKUP(TablaSTOCKINV[[#This Row],[SKU]],TablaINVENTARIO[SKU],TablaINVENTARIO[RANGO MIN])</f>
        <v>0</v>
      </c>
      <c r="M1192" s="34" cm="1">
        <f t="array" ref="M1192">_xlfn.IFS(TablaSTOCKINV[[#This Row],[CANT. TOTAL]]&lt;=0,1,TablaSTOCKINV[[#This Row],[CANT. TOTAL]]&lt;=TablaSTOCKINV[[#This Row],[MIN]],2,TablaSTOCKINV[[#This Row],[CANT. TOTAL]]&gt;TablaSTOCKINV[[#This Row],[MIN]],3)</f>
        <v>3</v>
      </c>
      <c r="N1192" s="34">
        <f>TablaSTOCKINV[[#This Row],[ENTRADAS]]-TablaSTOCKINV[[#This Row],[SALIDAS]]</f>
        <v>1</v>
      </c>
      <c r="O1192" s="35">
        <f>SUMIFS(TablaENTRADA[CANT],TablaENTRADA[SKU],TablaSTOCKINV[[#This Row],[SKU]])</f>
        <v>1</v>
      </c>
      <c r="P1192" s="35">
        <f>SUMIFS(TablaSALIDA[CANT],TablaSALIDA[SKU],TablaSTOCKINV[[#This Row],[SKU]])</f>
        <v>0</v>
      </c>
      <c r="Q1192" s="34">
        <f>_xlfn.XLOOKUP(TablaSTOCKINV[[#This Row],[SKU]],TablaINVENTARIO[SKU],TablaINVENTARIO[PRECIO])</f>
        <v>0</v>
      </c>
      <c r="R1192" s="34">
        <f>TablaSTOCKINV[[#This Row],[P.UNITARIO]]*TablaSTOCKINV[[#This Row],[CANT. TOTAL]]</f>
        <v>0</v>
      </c>
      <c r="S1192" s="44">
        <f>_xlfn.XLOOKUP(TablaSTOCKINV[[#This Row],[SKU]],TablaINVENTARIO[SKU],TablaINVENTARIO[FECHA INGRESO])</f>
        <v>46023</v>
      </c>
      <c r="T1192" s="44">
        <f>_xlfn.XLOOKUP(TablaSTOCKINV[[#This Row],[SKU]],TablaENTRADA[SKU],TablaENTRADA[FECHA],,0,-1)</f>
        <v>46023</v>
      </c>
      <c r="U1192" s="46" t="str">
        <f>IFERROR((_xlfn.XLOOKUP(TablaSTOCKINV[[#This Row],[SKU]],TablaSALIDA[SKU],TablaSALIDA[FECHA],,0,-1))," " )</f>
        <v xml:space="preserve"> </v>
      </c>
    </row>
    <row r="1193" spans="1:21" x14ac:dyDescent="0.3">
      <c r="A1193" s="27" t="s">
        <v>3240</v>
      </c>
      <c r="B1193" s="32" t="str">
        <f>_xlfn.XLOOKUP(TablaSTOCKINV[[#This Row],[SKU]],TablaINVENTARIO[SKU],TablaINVENTARIO[DESCRIPCION])</f>
        <v>EMPACADURA 8" 300</v>
      </c>
      <c r="C1193" s="32" t="str">
        <f>_xlfn.XLOOKUP(TablaSTOCKINV[[#This Row],[SKU]],TablaINVENTARIO[SKU],TablaINVENTARIO[MARCA])</f>
        <v xml:space="preserve">FLEXITALICA </v>
      </c>
      <c r="D1193" s="33" t="str">
        <f>_xlfn.XLOOKUP(TablaSTOCKINV[[#This Row],[SKU]],TablaINVENTARIO[SKU],TablaINVENTARIO[CATEGORIA])</f>
        <v>FABRICACION</v>
      </c>
      <c r="E1193" s="33" t="str">
        <f>_xlfn.XLOOKUP(TablaSTOCKINV[[#This Row],[SKU]],TablaINVENTARIO[SKU],TablaINVENTARIO[SUBCATEGORIA])</f>
        <v>MATERIAL MECANICO</v>
      </c>
      <c r="F1193" s="33" t="str">
        <f>_xlfn.XLOOKUP(TablaSTOCKINV[[#This Row],[SKU]],TablaINVENTARIO[SKU],TablaINVENTARIO[ESTADO])</f>
        <v>USADO</v>
      </c>
      <c r="G1193" s="33" t="str">
        <f>_xlfn.XLOOKUP(TablaSTOCKINV[[#This Row],[SKU]],TablaINVENTARIO[SKU],TablaINVENTARIO[MEDIDA])</f>
        <v>UND</v>
      </c>
      <c r="H1193" s="33" t="str">
        <f>_xlfn.XLOOKUP(TablaSTOCKINV[[#This Row],[SKU]],TablaINVENTARIO[SKU],TablaINVENTARIO[SERIAL])</f>
        <v>N/A</v>
      </c>
      <c r="I1193" s="34">
        <f>_xlfn.XLOOKUP(TablaSTOCKINV[[#This Row],[SKU]],TablaINVENTARIO[SKU],TablaINVENTARIO[ALMACEN])</f>
        <v>0</v>
      </c>
      <c r="J1193" s="34" t="str">
        <f>_xlfn.XLOOKUP(TablaSTOCKINV[[#This Row],[SKU]],TablaINVENTARIO[SKU],TablaINVENTARIO[UBICACION])</f>
        <v>F2-2</v>
      </c>
      <c r="K1193" s="34" t="str">
        <f>_xlfn.XLOOKUP(TablaSTOCKINV[[#This Row],[SKU]],TablaINVENTARIO[SKU],TablaINVENTARIO[DPTO RESPONSABLE])</f>
        <v xml:space="preserve">OPERACIONES </v>
      </c>
      <c r="L1193" s="53">
        <f>_xlfn.XLOOKUP(TablaSTOCKINV[[#This Row],[SKU]],TablaINVENTARIO[SKU],TablaINVENTARIO[RANGO MIN])</f>
        <v>0</v>
      </c>
      <c r="M1193" s="34" cm="1">
        <f t="array" ref="M1193">_xlfn.IFS(TablaSTOCKINV[[#This Row],[CANT. TOTAL]]&lt;=0,1,TablaSTOCKINV[[#This Row],[CANT. TOTAL]]&lt;=TablaSTOCKINV[[#This Row],[MIN]],2,TablaSTOCKINV[[#This Row],[CANT. TOTAL]]&gt;TablaSTOCKINV[[#This Row],[MIN]],3)</f>
        <v>3</v>
      </c>
      <c r="N1193" s="34">
        <f>TablaSTOCKINV[[#This Row],[ENTRADAS]]-TablaSTOCKINV[[#This Row],[SALIDAS]]</f>
        <v>1</v>
      </c>
      <c r="O1193" s="35">
        <f>SUMIFS(TablaENTRADA[CANT],TablaENTRADA[SKU],TablaSTOCKINV[[#This Row],[SKU]])</f>
        <v>1</v>
      </c>
      <c r="P1193" s="35">
        <f>SUMIFS(TablaSALIDA[CANT],TablaSALIDA[SKU],TablaSTOCKINV[[#This Row],[SKU]])</f>
        <v>0</v>
      </c>
      <c r="Q1193" s="34">
        <f>_xlfn.XLOOKUP(TablaSTOCKINV[[#This Row],[SKU]],TablaINVENTARIO[SKU],TablaINVENTARIO[PRECIO])</f>
        <v>0</v>
      </c>
      <c r="R1193" s="34">
        <f>TablaSTOCKINV[[#This Row],[P.UNITARIO]]*TablaSTOCKINV[[#This Row],[CANT. TOTAL]]</f>
        <v>0</v>
      </c>
      <c r="S1193" s="44">
        <f>_xlfn.XLOOKUP(TablaSTOCKINV[[#This Row],[SKU]],TablaINVENTARIO[SKU],TablaINVENTARIO[FECHA INGRESO])</f>
        <v>46023</v>
      </c>
      <c r="T1193" s="44">
        <f>_xlfn.XLOOKUP(TablaSTOCKINV[[#This Row],[SKU]],TablaENTRADA[SKU],TablaENTRADA[FECHA],,0,-1)</f>
        <v>46023</v>
      </c>
      <c r="U1193" s="46" t="str">
        <f>IFERROR((_xlfn.XLOOKUP(TablaSTOCKINV[[#This Row],[SKU]],TablaSALIDA[SKU],TablaSALIDA[FECHA],,0,-1))," " )</f>
        <v xml:space="preserve"> </v>
      </c>
    </row>
    <row r="1194" spans="1:21" x14ac:dyDescent="0.3">
      <c r="A1194" s="27" t="s">
        <v>3242</v>
      </c>
      <c r="B1194" s="32" t="str">
        <f>_xlfn.XLOOKUP(TablaSTOCKINV[[#This Row],[SKU]],TablaINVENTARIO[SKU],TablaINVENTARIO[DESCRIPCION])</f>
        <v>EMPACADURA 10" 300</v>
      </c>
      <c r="C1194" s="32" t="str">
        <f>_xlfn.XLOOKUP(TablaSTOCKINV[[#This Row],[SKU]],TablaINVENTARIO[SKU],TablaINVENTARIO[MARCA])</f>
        <v xml:space="preserve">FLEXITALICA </v>
      </c>
      <c r="D1194" s="33" t="str">
        <f>_xlfn.XLOOKUP(TablaSTOCKINV[[#This Row],[SKU]],TablaINVENTARIO[SKU],TablaINVENTARIO[CATEGORIA])</f>
        <v>FABRICACION</v>
      </c>
      <c r="E1194" s="33" t="str">
        <f>_xlfn.XLOOKUP(TablaSTOCKINV[[#This Row],[SKU]],TablaINVENTARIO[SKU],TablaINVENTARIO[SUBCATEGORIA])</f>
        <v>MATERIAL MECANICO</v>
      </c>
      <c r="F1194" s="33" t="str">
        <f>_xlfn.XLOOKUP(TablaSTOCKINV[[#This Row],[SKU]],TablaINVENTARIO[SKU],TablaINVENTARIO[ESTADO])</f>
        <v>USADO</v>
      </c>
      <c r="G1194" s="33" t="str">
        <f>_xlfn.XLOOKUP(TablaSTOCKINV[[#This Row],[SKU]],TablaINVENTARIO[SKU],TablaINVENTARIO[MEDIDA])</f>
        <v>UND</v>
      </c>
      <c r="H1194" s="33" t="str">
        <f>_xlfn.XLOOKUP(TablaSTOCKINV[[#This Row],[SKU]],TablaINVENTARIO[SKU],TablaINVENTARIO[SERIAL])</f>
        <v>N/A</v>
      </c>
      <c r="I1194" s="34">
        <f>_xlfn.XLOOKUP(TablaSTOCKINV[[#This Row],[SKU]],TablaINVENTARIO[SKU],TablaINVENTARIO[ALMACEN])</f>
        <v>0</v>
      </c>
      <c r="J1194" s="34" t="str">
        <f>_xlfn.XLOOKUP(TablaSTOCKINV[[#This Row],[SKU]],TablaINVENTARIO[SKU],TablaINVENTARIO[UBICACION])</f>
        <v>F2-2</v>
      </c>
      <c r="K1194" s="34" t="str">
        <f>_xlfn.XLOOKUP(TablaSTOCKINV[[#This Row],[SKU]],TablaINVENTARIO[SKU],TablaINVENTARIO[DPTO RESPONSABLE])</f>
        <v xml:space="preserve">OPERACIONES </v>
      </c>
      <c r="L1194" s="53">
        <f>_xlfn.XLOOKUP(TablaSTOCKINV[[#This Row],[SKU]],TablaINVENTARIO[SKU],TablaINVENTARIO[RANGO MIN])</f>
        <v>0</v>
      </c>
      <c r="M1194" s="34" cm="1">
        <f t="array" ref="M1194">_xlfn.IFS(TablaSTOCKINV[[#This Row],[CANT. TOTAL]]&lt;=0,1,TablaSTOCKINV[[#This Row],[CANT. TOTAL]]&lt;=TablaSTOCKINV[[#This Row],[MIN]],2,TablaSTOCKINV[[#This Row],[CANT. TOTAL]]&gt;TablaSTOCKINV[[#This Row],[MIN]],3)</f>
        <v>3</v>
      </c>
      <c r="N1194" s="34">
        <f>TablaSTOCKINV[[#This Row],[ENTRADAS]]-TablaSTOCKINV[[#This Row],[SALIDAS]]</f>
        <v>1</v>
      </c>
      <c r="O1194" s="35">
        <f>SUMIFS(TablaENTRADA[CANT],TablaENTRADA[SKU],TablaSTOCKINV[[#This Row],[SKU]])</f>
        <v>1</v>
      </c>
      <c r="P1194" s="35">
        <f>SUMIFS(TablaSALIDA[CANT],TablaSALIDA[SKU],TablaSTOCKINV[[#This Row],[SKU]])</f>
        <v>0</v>
      </c>
      <c r="Q1194" s="34">
        <f>_xlfn.XLOOKUP(TablaSTOCKINV[[#This Row],[SKU]],TablaINVENTARIO[SKU],TablaINVENTARIO[PRECIO])</f>
        <v>0</v>
      </c>
      <c r="R1194" s="34">
        <f>TablaSTOCKINV[[#This Row],[P.UNITARIO]]*TablaSTOCKINV[[#This Row],[CANT. TOTAL]]</f>
        <v>0</v>
      </c>
      <c r="S1194" s="44">
        <f>_xlfn.XLOOKUP(TablaSTOCKINV[[#This Row],[SKU]],TablaINVENTARIO[SKU],TablaINVENTARIO[FECHA INGRESO])</f>
        <v>46023</v>
      </c>
      <c r="T1194" s="44">
        <f>_xlfn.XLOOKUP(TablaSTOCKINV[[#This Row],[SKU]],TablaENTRADA[SKU],TablaENTRADA[FECHA],,0,-1)</f>
        <v>46023</v>
      </c>
      <c r="U1194" s="46" t="str">
        <f>IFERROR((_xlfn.XLOOKUP(TablaSTOCKINV[[#This Row],[SKU]],TablaSALIDA[SKU],TablaSALIDA[FECHA],,0,-1))," " )</f>
        <v xml:space="preserve"> </v>
      </c>
    </row>
    <row r="1195" spans="1:21" x14ac:dyDescent="0.3">
      <c r="A1195" s="27" t="s">
        <v>3244</v>
      </c>
      <c r="B1195" s="32" t="str">
        <f>_xlfn.XLOOKUP(TablaSTOCKINV[[#This Row],[SKU]],TablaINVENTARIO[SKU],TablaINVENTARIO[DESCRIPCION])</f>
        <v>EMPACADURA 10" 150</v>
      </c>
      <c r="C1195" s="32" t="str">
        <f>_xlfn.XLOOKUP(TablaSTOCKINV[[#This Row],[SKU]],TablaINVENTARIO[SKU],TablaINVENTARIO[MARCA])</f>
        <v xml:space="preserve">FLEXITALICA </v>
      </c>
      <c r="D1195" s="33" t="str">
        <f>_xlfn.XLOOKUP(TablaSTOCKINV[[#This Row],[SKU]],TablaINVENTARIO[SKU],TablaINVENTARIO[CATEGORIA])</f>
        <v>FABRICACION</v>
      </c>
      <c r="E1195" s="33" t="str">
        <f>_xlfn.XLOOKUP(TablaSTOCKINV[[#This Row],[SKU]],TablaINVENTARIO[SKU],TablaINVENTARIO[SUBCATEGORIA])</f>
        <v>MATERIAL MECANICO</v>
      </c>
      <c r="F1195" s="33" t="str">
        <f>_xlfn.XLOOKUP(TablaSTOCKINV[[#This Row],[SKU]],TablaINVENTARIO[SKU],TablaINVENTARIO[ESTADO])</f>
        <v>USADO</v>
      </c>
      <c r="G1195" s="33" t="str">
        <f>_xlfn.XLOOKUP(TablaSTOCKINV[[#This Row],[SKU]],TablaINVENTARIO[SKU],TablaINVENTARIO[MEDIDA])</f>
        <v>UND</v>
      </c>
      <c r="H1195" s="33" t="str">
        <f>_xlfn.XLOOKUP(TablaSTOCKINV[[#This Row],[SKU]],TablaINVENTARIO[SKU],TablaINVENTARIO[SERIAL])</f>
        <v>N/A</v>
      </c>
      <c r="I1195" s="34">
        <f>_xlfn.XLOOKUP(TablaSTOCKINV[[#This Row],[SKU]],TablaINVENTARIO[SKU],TablaINVENTARIO[ALMACEN])</f>
        <v>0</v>
      </c>
      <c r="J1195" s="34" t="str">
        <f>_xlfn.XLOOKUP(TablaSTOCKINV[[#This Row],[SKU]],TablaINVENTARIO[SKU],TablaINVENTARIO[UBICACION])</f>
        <v>F2-2</v>
      </c>
      <c r="K1195" s="34" t="str">
        <f>_xlfn.XLOOKUP(TablaSTOCKINV[[#This Row],[SKU]],TablaINVENTARIO[SKU],TablaINVENTARIO[DPTO RESPONSABLE])</f>
        <v xml:space="preserve">OPERACIONES </v>
      </c>
      <c r="L1195" s="53">
        <f>_xlfn.XLOOKUP(TablaSTOCKINV[[#This Row],[SKU]],TablaINVENTARIO[SKU],TablaINVENTARIO[RANGO MIN])</f>
        <v>0</v>
      </c>
      <c r="M1195" s="34" cm="1">
        <f t="array" ref="M1195">_xlfn.IFS(TablaSTOCKINV[[#This Row],[CANT. TOTAL]]&lt;=0,1,TablaSTOCKINV[[#This Row],[CANT. TOTAL]]&lt;=TablaSTOCKINV[[#This Row],[MIN]],2,TablaSTOCKINV[[#This Row],[CANT. TOTAL]]&gt;TablaSTOCKINV[[#This Row],[MIN]],3)</f>
        <v>3</v>
      </c>
      <c r="N1195" s="34">
        <f>TablaSTOCKINV[[#This Row],[ENTRADAS]]-TablaSTOCKINV[[#This Row],[SALIDAS]]</f>
        <v>1</v>
      </c>
      <c r="O1195" s="35">
        <f>SUMIFS(TablaENTRADA[CANT],TablaENTRADA[SKU],TablaSTOCKINV[[#This Row],[SKU]])</f>
        <v>1</v>
      </c>
      <c r="P1195" s="35">
        <f>SUMIFS(TablaSALIDA[CANT],TablaSALIDA[SKU],TablaSTOCKINV[[#This Row],[SKU]])</f>
        <v>0</v>
      </c>
      <c r="Q1195" s="34">
        <f>_xlfn.XLOOKUP(TablaSTOCKINV[[#This Row],[SKU]],TablaINVENTARIO[SKU],TablaINVENTARIO[PRECIO])</f>
        <v>0</v>
      </c>
      <c r="R1195" s="34">
        <f>TablaSTOCKINV[[#This Row],[P.UNITARIO]]*TablaSTOCKINV[[#This Row],[CANT. TOTAL]]</f>
        <v>0</v>
      </c>
      <c r="S1195" s="44">
        <f>_xlfn.XLOOKUP(TablaSTOCKINV[[#This Row],[SKU]],TablaINVENTARIO[SKU],TablaINVENTARIO[FECHA INGRESO])</f>
        <v>46023</v>
      </c>
      <c r="T1195" s="44">
        <f>_xlfn.XLOOKUP(TablaSTOCKINV[[#This Row],[SKU]],TablaENTRADA[SKU],TablaENTRADA[FECHA],,0,-1)</f>
        <v>46023</v>
      </c>
      <c r="U1195" s="46" t="str">
        <f>IFERROR((_xlfn.XLOOKUP(TablaSTOCKINV[[#This Row],[SKU]],TablaSALIDA[SKU],TablaSALIDA[FECHA],,0,-1))," " )</f>
        <v xml:space="preserve"> </v>
      </c>
    </row>
    <row r="1196" spans="1:21" x14ac:dyDescent="0.3">
      <c r="A1196" s="27" t="s">
        <v>3246</v>
      </c>
      <c r="B1196" s="32" t="str">
        <f>_xlfn.XLOOKUP(TablaSTOCKINV[[#This Row],[SKU]],TablaINVENTARIO[SKU],TablaINVENTARIO[DESCRIPCION])</f>
        <v>EMPACADURA 1" 1/2</v>
      </c>
      <c r="C1196" s="32" t="str">
        <f>_xlfn.XLOOKUP(TablaSTOCKINV[[#This Row],[SKU]],TablaINVENTARIO[SKU],TablaINVENTARIO[MARCA])</f>
        <v xml:space="preserve">FLEXITALICA </v>
      </c>
      <c r="D1196" s="33" t="str">
        <f>_xlfn.XLOOKUP(TablaSTOCKINV[[#This Row],[SKU]],TablaINVENTARIO[SKU],TablaINVENTARIO[CATEGORIA])</f>
        <v>FABRICACION</v>
      </c>
      <c r="E1196" s="33" t="str">
        <f>_xlfn.XLOOKUP(TablaSTOCKINV[[#This Row],[SKU]],TablaINVENTARIO[SKU],TablaINVENTARIO[SUBCATEGORIA])</f>
        <v>MATERIAL MECANICO</v>
      </c>
      <c r="F1196" s="33" t="str">
        <f>_xlfn.XLOOKUP(TablaSTOCKINV[[#This Row],[SKU]],TablaINVENTARIO[SKU],TablaINVENTARIO[ESTADO])</f>
        <v>USADO</v>
      </c>
      <c r="G1196" s="33" t="str">
        <f>_xlfn.XLOOKUP(TablaSTOCKINV[[#This Row],[SKU]],TablaINVENTARIO[SKU],TablaINVENTARIO[MEDIDA])</f>
        <v>UND</v>
      </c>
      <c r="H1196" s="33" t="str">
        <f>_xlfn.XLOOKUP(TablaSTOCKINV[[#This Row],[SKU]],TablaINVENTARIO[SKU],TablaINVENTARIO[SERIAL])</f>
        <v>N/A</v>
      </c>
      <c r="I1196" s="34">
        <f>_xlfn.XLOOKUP(TablaSTOCKINV[[#This Row],[SKU]],TablaINVENTARIO[SKU],TablaINVENTARIO[ALMACEN])</f>
        <v>0</v>
      </c>
      <c r="J1196" s="34" t="str">
        <f>_xlfn.XLOOKUP(TablaSTOCKINV[[#This Row],[SKU]],TablaINVENTARIO[SKU],TablaINVENTARIO[UBICACION])</f>
        <v>F2-2</v>
      </c>
      <c r="K1196" s="34" t="str">
        <f>_xlfn.XLOOKUP(TablaSTOCKINV[[#This Row],[SKU]],TablaINVENTARIO[SKU],TablaINVENTARIO[DPTO RESPONSABLE])</f>
        <v xml:space="preserve">OPERACIONES </v>
      </c>
      <c r="L1196" s="53">
        <f>_xlfn.XLOOKUP(TablaSTOCKINV[[#This Row],[SKU]],TablaINVENTARIO[SKU],TablaINVENTARIO[RANGO MIN])</f>
        <v>0</v>
      </c>
      <c r="M1196" s="34" cm="1">
        <f t="array" ref="M1196">_xlfn.IFS(TablaSTOCKINV[[#This Row],[CANT. TOTAL]]&lt;=0,1,TablaSTOCKINV[[#This Row],[CANT. TOTAL]]&lt;=TablaSTOCKINV[[#This Row],[MIN]],2,TablaSTOCKINV[[#This Row],[CANT. TOTAL]]&gt;TablaSTOCKINV[[#This Row],[MIN]],3)</f>
        <v>3</v>
      </c>
      <c r="N1196" s="34">
        <f>TablaSTOCKINV[[#This Row],[ENTRADAS]]-TablaSTOCKINV[[#This Row],[SALIDAS]]</f>
        <v>33</v>
      </c>
      <c r="O1196" s="35">
        <f>SUMIFS(TablaENTRADA[CANT],TablaENTRADA[SKU],TablaSTOCKINV[[#This Row],[SKU]])</f>
        <v>33</v>
      </c>
      <c r="P1196" s="35">
        <f>SUMIFS(TablaSALIDA[CANT],TablaSALIDA[SKU],TablaSTOCKINV[[#This Row],[SKU]])</f>
        <v>0</v>
      </c>
      <c r="Q1196" s="34">
        <f>_xlfn.XLOOKUP(TablaSTOCKINV[[#This Row],[SKU]],TablaINVENTARIO[SKU],TablaINVENTARIO[PRECIO])</f>
        <v>0</v>
      </c>
      <c r="R1196" s="34">
        <f>TablaSTOCKINV[[#This Row],[P.UNITARIO]]*TablaSTOCKINV[[#This Row],[CANT. TOTAL]]</f>
        <v>0</v>
      </c>
      <c r="S1196" s="44">
        <f>_xlfn.XLOOKUP(TablaSTOCKINV[[#This Row],[SKU]],TablaINVENTARIO[SKU],TablaINVENTARIO[FECHA INGRESO])</f>
        <v>46023</v>
      </c>
      <c r="T1196" s="44">
        <f>_xlfn.XLOOKUP(TablaSTOCKINV[[#This Row],[SKU]],TablaENTRADA[SKU],TablaENTRADA[FECHA],,0,-1)</f>
        <v>46023</v>
      </c>
      <c r="U1196" s="46" t="str">
        <f>IFERROR((_xlfn.XLOOKUP(TablaSTOCKINV[[#This Row],[SKU]],TablaSALIDA[SKU],TablaSALIDA[FECHA],,0,-1))," " )</f>
        <v xml:space="preserve"> </v>
      </c>
    </row>
    <row r="1197" spans="1:21" x14ac:dyDescent="0.3">
      <c r="A1197" s="27" t="s">
        <v>3248</v>
      </c>
      <c r="B1197" s="32" t="str">
        <f>_xlfn.XLOOKUP(TablaSTOCKINV[[#This Row],[SKU]],TablaINVENTARIO[SKU],TablaINVENTARIO[DESCRIPCION])</f>
        <v>EMPACADURA 2" 150</v>
      </c>
      <c r="C1197" s="32" t="str">
        <f>_xlfn.XLOOKUP(TablaSTOCKINV[[#This Row],[SKU]],TablaINVENTARIO[SKU],TablaINVENTARIO[MARCA])</f>
        <v xml:space="preserve">FLEXITALICA </v>
      </c>
      <c r="D1197" s="33" t="str">
        <f>_xlfn.XLOOKUP(TablaSTOCKINV[[#This Row],[SKU]],TablaINVENTARIO[SKU],TablaINVENTARIO[CATEGORIA])</f>
        <v>FABRICACION</v>
      </c>
      <c r="E1197" s="33" t="str">
        <f>_xlfn.XLOOKUP(TablaSTOCKINV[[#This Row],[SKU]],TablaINVENTARIO[SKU],TablaINVENTARIO[SUBCATEGORIA])</f>
        <v>MATERIAL MECANICO</v>
      </c>
      <c r="F1197" s="33" t="str">
        <f>_xlfn.XLOOKUP(TablaSTOCKINV[[#This Row],[SKU]],TablaINVENTARIO[SKU],TablaINVENTARIO[ESTADO])</f>
        <v>USADO</v>
      </c>
      <c r="G1197" s="33" t="str">
        <f>_xlfn.XLOOKUP(TablaSTOCKINV[[#This Row],[SKU]],TablaINVENTARIO[SKU],TablaINVENTARIO[MEDIDA])</f>
        <v>UND</v>
      </c>
      <c r="H1197" s="33" t="str">
        <f>_xlfn.XLOOKUP(TablaSTOCKINV[[#This Row],[SKU]],TablaINVENTARIO[SKU],TablaINVENTARIO[SERIAL])</f>
        <v>N/A</v>
      </c>
      <c r="I1197" s="34">
        <f>_xlfn.XLOOKUP(TablaSTOCKINV[[#This Row],[SKU]],TablaINVENTARIO[SKU],TablaINVENTARIO[ALMACEN])</f>
        <v>0</v>
      </c>
      <c r="J1197" s="34" t="str">
        <f>_xlfn.XLOOKUP(TablaSTOCKINV[[#This Row],[SKU]],TablaINVENTARIO[SKU],TablaINVENTARIO[UBICACION])</f>
        <v>F2-2</v>
      </c>
      <c r="K1197" s="34" t="str">
        <f>_xlfn.XLOOKUP(TablaSTOCKINV[[#This Row],[SKU]],TablaINVENTARIO[SKU],TablaINVENTARIO[DPTO RESPONSABLE])</f>
        <v xml:space="preserve">OPERACIONES </v>
      </c>
      <c r="L1197" s="53">
        <f>_xlfn.XLOOKUP(TablaSTOCKINV[[#This Row],[SKU]],TablaINVENTARIO[SKU],TablaINVENTARIO[RANGO MIN])</f>
        <v>0</v>
      </c>
      <c r="M1197" s="34" cm="1">
        <f t="array" ref="M1197">_xlfn.IFS(TablaSTOCKINV[[#This Row],[CANT. TOTAL]]&lt;=0,1,TablaSTOCKINV[[#This Row],[CANT. TOTAL]]&lt;=TablaSTOCKINV[[#This Row],[MIN]],2,TablaSTOCKINV[[#This Row],[CANT. TOTAL]]&gt;TablaSTOCKINV[[#This Row],[MIN]],3)</f>
        <v>3</v>
      </c>
      <c r="N1197" s="34">
        <f>TablaSTOCKINV[[#This Row],[ENTRADAS]]-TablaSTOCKINV[[#This Row],[SALIDAS]]</f>
        <v>7</v>
      </c>
      <c r="O1197" s="35">
        <f>SUMIFS(TablaENTRADA[CANT],TablaENTRADA[SKU],TablaSTOCKINV[[#This Row],[SKU]])</f>
        <v>7</v>
      </c>
      <c r="P1197" s="35">
        <f>SUMIFS(TablaSALIDA[CANT],TablaSALIDA[SKU],TablaSTOCKINV[[#This Row],[SKU]])</f>
        <v>0</v>
      </c>
      <c r="Q1197" s="34">
        <f>_xlfn.XLOOKUP(TablaSTOCKINV[[#This Row],[SKU]],TablaINVENTARIO[SKU],TablaINVENTARIO[PRECIO])</f>
        <v>0</v>
      </c>
      <c r="R1197" s="34">
        <f>TablaSTOCKINV[[#This Row],[P.UNITARIO]]*TablaSTOCKINV[[#This Row],[CANT. TOTAL]]</f>
        <v>0</v>
      </c>
      <c r="S1197" s="44">
        <f>_xlfn.XLOOKUP(TablaSTOCKINV[[#This Row],[SKU]],TablaINVENTARIO[SKU],TablaINVENTARIO[FECHA INGRESO])</f>
        <v>46023</v>
      </c>
      <c r="T1197" s="44">
        <f>_xlfn.XLOOKUP(TablaSTOCKINV[[#This Row],[SKU]],TablaENTRADA[SKU],TablaENTRADA[FECHA],,0,-1)</f>
        <v>46023</v>
      </c>
      <c r="U1197" s="46" t="str">
        <f>IFERROR((_xlfn.XLOOKUP(TablaSTOCKINV[[#This Row],[SKU]],TablaSALIDA[SKU],TablaSALIDA[FECHA],,0,-1))," " )</f>
        <v xml:space="preserve"> </v>
      </c>
    </row>
    <row r="1198" spans="1:21" x14ac:dyDescent="0.3">
      <c r="A1198" s="27" t="s">
        <v>3250</v>
      </c>
      <c r="B1198" s="32" t="str">
        <f>_xlfn.XLOOKUP(TablaSTOCKINV[[#This Row],[SKU]],TablaINVENTARIO[SKU],TablaINVENTARIO[DESCRIPCION])</f>
        <v xml:space="preserve"> EMPACADURA 2" 600</v>
      </c>
      <c r="C1198" s="32" t="str">
        <f>_xlfn.XLOOKUP(TablaSTOCKINV[[#This Row],[SKU]],TablaINVENTARIO[SKU],TablaINVENTARIO[MARCA])</f>
        <v xml:space="preserve">FLEXITALICA </v>
      </c>
      <c r="D1198" s="33" t="str">
        <f>_xlfn.XLOOKUP(TablaSTOCKINV[[#This Row],[SKU]],TablaINVENTARIO[SKU],TablaINVENTARIO[CATEGORIA])</f>
        <v>FABRICACION</v>
      </c>
      <c r="E1198" s="33" t="str">
        <f>_xlfn.XLOOKUP(TablaSTOCKINV[[#This Row],[SKU]],TablaINVENTARIO[SKU],TablaINVENTARIO[SUBCATEGORIA])</f>
        <v>MATERIAL MECANICO</v>
      </c>
      <c r="F1198" s="33" t="str">
        <f>_xlfn.XLOOKUP(TablaSTOCKINV[[#This Row],[SKU]],TablaINVENTARIO[SKU],TablaINVENTARIO[ESTADO])</f>
        <v>USADO</v>
      </c>
      <c r="G1198" s="33" t="str">
        <f>_xlfn.XLOOKUP(TablaSTOCKINV[[#This Row],[SKU]],TablaINVENTARIO[SKU],TablaINVENTARIO[MEDIDA])</f>
        <v>UND</v>
      </c>
      <c r="H1198" s="33" t="str">
        <f>_xlfn.XLOOKUP(TablaSTOCKINV[[#This Row],[SKU]],TablaINVENTARIO[SKU],TablaINVENTARIO[SERIAL])</f>
        <v>N/A</v>
      </c>
      <c r="I1198" s="34">
        <f>_xlfn.XLOOKUP(TablaSTOCKINV[[#This Row],[SKU]],TablaINVENTARIO[SKU],TablaINVENTARIO[ALMACEN])</f>
        <v>0</v>
      </c>
      <c r="J1198" s="34" t="str">
        <f>_xlfn.XLOOKUP(TablaSTOCKINV[[#This Row],[SKU]],TablaINVENTARIO[SKU],TablaINVENTARIO[UBICACION])</f>
        <v>F2-2</v>
      </c>
      <c r="K1198" s="34" t="str">
        <f>_xlfn.XLOOKUP(TablaSTOCKINV[[#This Row],[SKU]],TablaINVENTARIO[SKU],TablaINVENTARIO[DPTO RESPONSABLE])</f>
        <v xml:space="preserve">OPERACIONES </v>
      </c>
      <c r="L1198" s="53">
        <f>_xlfn.XLOOKUP(TablaSTOCKINV[[#This Row],[SKU]],TablaINVENTARIO[SKU],TablaINVENTARIO[RANGO MIN])</f>
        <v>0</v>
      </c>
      <c r="M1198" s="34" cm="1">
        <f t="array" ref="M1198">_xlfn.IFS(TablaSTOCKINV[[#This Row],[CANT. TOTAL]]&lt;=0,1,TablaSTOCKINV[[#This Row],[CANT. TOTAL]]&lt;=TablaSTOCKINV[[#This Row],[MIN]],2,TablaSTOCKINV[[#This Row],[CANT. TOTAL]]&gt;TablaSTOCKINV[[#This Row],[MIN]],3)</f>
        <v>3</v>
      </c>
      <c r="N1198" s="34">
        <f>TablaSTOCKINV[[#This Row],[ENTRADAS]]-TablaSTOCKINV[[#This Row],[SALIDAS]]</f>
        <v>14</v>
      </c>
      <c r="O1198" s="35">
        <f>SUMIFS(TablaENTRADA[CANT],TablaENTRADA[SKU],TablaSTOCKINV[[#This Row],[SKU]])</f>
        <v>14</v>
      </c>
      <c r="P1198" s="35">
        <f>SUMIFS(TablaSALIDA[CANT],TablaSALIDA[SKU],TablaSTOCKINV[[#This Row],[SKU]])</f>
        <v>0</v>
      </c>
      <c r="Q1198" s="34">
        <f>_xlfn.XLOOKUP(TablaSTOCKINV[[#This Row],[SKU]],TablaINVENTARIO[SKU],TablaINVENTARIO[PRECIO])</f>
        <v>0</v>
      </c>
      <c r="R1198" s="34">
        <f>TablaSTOCKINV[[#This Row],[P.UNITARIO]]*TablaSTOCKINV[[#This Row],[CANT. TOTAL]]</f>
        <v>0</v>
      </c>
      <c r="S1198" s="44">
        <f>_xlfn.XLOOKUP(TablaSTOCKINV[[#This Row],[SKU]],TablaINVENTARIO[SKU],TablaINVENTARIO[FECHA INGRESO])</f>
        <v>46023</v>
      </c>
      <c r="T1198" s="44">
        <f>_xlfn.XLOOKUP(TablaSTOCKINV[[#This Row],[SKU]],TablaENTRADA[SKU],TablaENTRADA[FECHA],,0,-1)</f>
        <v>46023</v>
      </c>
      <c r="U1198" s="46" t="str">
        <f>IFERROR((_xlfn.XLOOKUP(TablaSTOCKINV[[#This Row],[SKU]],TablaSALIDA[SKU],TablaSALIDA[FECHA],,0,-1))," " )</f>
        <v xml:space="preserve"> </v>
      </c>
    </row>
    <row r="1199" spans="1:21" x14ac:dyDescent="0.3">
      <c r="A1199" s="27" t="s">
        <v>3252</v>
      </c>
      <c r="B1199" s="32" t="str">
        <f>_xlfn.XLOOKUP(TablaSTOCKINV[[#This Row],[SKU]],TablaINVENTARIO[SKU],TablaINVENTARIO[DESCRIPCION])</f>
        <v>EMPACADURA 1" 3/600</v>
      </c>
      <c r="C1199" s="32" t="str">
        <f>_xlfn.XLOOKUP(TablaSTOCKINV[[#This Row],[SKU]],TablaINVENTARIO[SKU],TablaINVENTARIO[MARCA])</f>
        <v xml:space="preserve">FLEXITALICA </v>
      </c>
      <c r="D1199" s="33" t="str">
        <f>_xlfn.XLOOKUP(TablaSTOCKINV[[#This Row],[SKU]],TablaINVENTARIO[SKU],TablaINVENTARIO[CATEGORIA])</f>
        <v>FABRICACION</v>
      </c>
      <c r="E1199" s="33" t="str">
        <f>_xlfn.XLOOKUP(TablaSTOCKINV[[#This Row],[SKU]],TablaINVENTARIO[SKU],TablaINVENTARIO[SUBCATEGORIA])</f>
        <v>MATERIAL MECANICO</v>
      </c>
      <c r="F1199" s="33" t="str">
        <f>_xlfn.XLOOKUP(TablaSTOCKINV[[#This Row],[SKU]],TablaINVENTARIO[SKU],TablaINVENTARIO[ESTADO])</f>
        <v>USADO</v>
      </c>
      <c r="G1199" s="33" t="str">
        <f>_xlfn.XLOOKUP(TablaSTOCKINV[[#This Row],[SKU]],TablaINVENTARIO[SKU],TablaINVENTARIO[MEDIDA])</f>
        <v>UND</v>
      </c>
      <c r="H1199" s="33" t="str">
        <f>_xlfn.XLOOKUP(TablaSTOCKINV[[#This Row],[SKU]],TablaINVENTARIO[SKU],TablaINVENTARIO[SERIAL])</f>
        <v>N/A</v>
      </c>
      <c r="I1199" s="34">
        <f>_xlfn.XLOOKUP(TablaSTOCKINV[[#This Row],[SKU]],TablaINVENTARIO[SKU],TablaINVENTARIO[ALMACEN])</f>
        <v>0</v>
      </c>
      <c r="J1199" s="34" t="str">
        <f>_xlfn.XLOOKUP(TablaSTOCKINV[[#This Row],[SKU]],TablaINVENTARIO[SKU],TablaINVENTARIO[UBICACION])</f>
        <v>F2-2</v>
      </c>
      <c r="K1199" s="34" t="str">
        <f>_xlfn.XLOOKUP(TablaSTOCKINV[[#This Row],[SKU]],TablaINVENTARIO[SKU],TablaINVENTARIO[DPTO RESPONSABLE])</f>
        <v xml:space="preserve">OPERACIONES </v>
      </c>
      <c r="L1199" s="53">
        <f>_xlfn.XLOOKUP(TablaSTOCKINV[[#This Row],[SKU]],TablaINVENTARIO[SKU],TablaINVENTARIO[RANGO MIN])</f>
        <v>0</v>
      </c>
      <c r="M1199" s="34" cm="1">
        <f t="array" ref="M1199">_xlfn.IFS(TablaSTOCKINV[[#This Row],[CANT. TOTAL]]&lt;=0,1,TablaSTOCKINV[[#This Row],[CANT. TOTAL]]&lt;=TablaSTOCKINV[[#This Row],[MIN]],2,TablaSTOCKINV[[#This Row],[CANT. TOTAL]]&gt;TablaSTOCKINV[[#This Row],[MIN]],3)</f>
        <v>3</v>
      </c>
      <c r="N1199" s="34">
        <f>TablaSTOCKINV[[#This Row],[ENTRADAS]]-TablaSTOCKINV[[#This Row],[SALIDAS]]</f>
        <v>3</v>
      </c>
      <c r="O1199" s="35">
        <f>SUMIFS(TablaENTRADA[CANT],TablaENTRADA[SKU],TablaSTOCKINV[[#This Row],[SKU]])</f>
        <v>3</v>
      </c>
      <c r="P1199" s="35">
        <f>SUMIFS(TablaSALIDA[CANT],TablaSALIDA[SKU],TablaSTOCKINV[[#This Row],[SKU]])</f>
        <v>0</v>
      </c>
      <c r="Q1199" s="34">
        <f>_xlfn.XLOOKUP(TablaSTOCKINV[[#This Row],[SKU]],TablaINVENTARIO[SKU],TablaINVENTARIO[PRECIO])</f>
        <v>0</v>
      </c>
      <c r="R1199" s="34">
        <f>TablaSTOCKINV[[#This Row],[P.UNITARIO]]*TablaSTOCKINV[[#This Row],[CANT. TOTAL]]</f>
        <v>0</v>
      </c>
      <c r="S1199" s="44">
        <f>_xlfn.XLOOKUP(TablaSTOCKINV[[#This Row],[SKU]],TablaINVENTARIO[SKU],TablaINVENTARIO[FECHA INGRESO])</f>
        <v>46023</v>
      </c>
      <c r="T1199" s="44">
        <f>_xlfn.XLOOKUP(TablaSTOCKINV[[#This Row],[SKU]],TablaENTRADA[SKU],TablaENTRADA[FECHA],,0,-1)</f>
        <v>46023</v>
      </c>
      <c r="U1199" s="46" t="str">
        <f>IFERROR((_xlfn.XLOOKUP(TablaSTOCKINV[[#This Row],[SKU]],TablaSALIDA[SKU],TablaSALIDA[FECHA],,0,-1))," " )</f>
        <v xml:space="preserve"> </v>
      </c>
    </row>
    <row r="1200" spans="1:21" x14ac:dyDescent="0.3">
      <c r="A1200" s="27" t="s">
        <v>3254</v>
      </c>
      <c r="B1200" s="32" t="str">
        <f>_xlfn.XLOOKUP(TablaSTOCKINV[[#This Row],[SKU]],TablaINVENTARIO[SKU],TablaINVENTARIO[DESCRIPCION])</f>
        <v>EMPACADURA 1/2" 3/600</v>
      </c>
      <c r="C1200" s="32" t="str">
        <f>_xlfn.XLOOKUP(TablaSTOCKINV[[#This Row],[SKU]],TablaINVENTARIO[SKU],TablaINVENTARIO[MARCA])</f>
        <v xml:space="preserve">FLEXITALICA </v>
      </c>
      <c r="D1200" s="33" t="str">
        <f>_xlfn.XLOOKUP(TablaSTOCKINV[[#This Row],[SKU]],TablaINVENTARIO[SKU],TablaINVENTARIO[CATEGORIA])</f>
        <v>FABRICACION</v>
      </c>
      <c r="E1200" s="33" t="str">
        <f>_xlfn.XLOOKUP(TablaSTOCKINV[[#This Row],[SKU]],TablaINVENTARIO[SKU],TablaINVENTARIO[SUBCATEGORIA])</f>
        <v>MATERIAL MECANICO</v>
      </c>
      <c r="F1200" s="33" t="str">
        <f>_xlfn.XLOOKUP(TablaSTOCKINV[[#This Row],[SKU]],TablaINVENTARIO[SKU],TablaINVENTARIO[ESTADO])</f>
        <v>USADO</v>
      </c>
      <c r="G1200" s="33" t="str">
        <f>_xlfn.XLOOKUP(TablaSTOCKINV[[#This Row],[SKU]],TablaINVENTARIO[SKU],TablaINVENTARIO[MEDIDA])</f>
        <v>UND</v>
      </c>
      <c r="H1200" s="33" t="str">
        <f>_xlfn.XLOOKUP(TablaSTOCKINV[[#This Row],[SKU]],TablaINVENTARIO[SKU],TablaINVENTARIO[SERIAL])</f>
        <v>N/A</v>
      </c>
      <c r="I1200" s="34">
        <f>_xlfn.XLOOKUP(TablaSTOCKINV[[#This Row],[SKU]],TablaINVENTARIO[SKU],TablaINVENTARIO[ALMACEN])</f>
        <v>0</v>
      </c>
      <c r="J1200" s="34" t="str">
        <f>_xlfn.XLOOKUP(TablaSTOCKINV[[#This Row],[SKU]],TablaINVENTARIO[SKU],TablaINVENTARIO[UBICACION])</f>
        <v>F2-2</v>
      </c>
      <c r="K1200" s="34" t="str">
        <f>_xlfn.XLOOKUP(TablaSTOCKINV[[#This Row],[SKU]],TablaINVENTARIO[SKU],TablaINVENTARIO[DPTO RESPONSABLE])</f>
        <v xml:space="preserve">OPERACIONES </v>
      </c>
      <c r="L1200" s="53">
        <f>_xlfn.XLOOKUP(TablaSTOCKINV[[#This Row],[SKU]],TablaINVENTARIO[SKU],TablaINVENTARIO[RANGO MIN])</f>
        <v>0</v>
      </c>
      <c r="M1200" s="34" cm="1">
        <f t="array" ref="M1200">_xlfn.IFS(TablaSTOCKINV[[#This Row],[CANT. TOTAL]]&lt;=0,1,TablaSTOCKINV[[#This Row],[CANT. TOTAL]]&lt;=TablaSTOCKINV[[#This Row],[MIN]],2,TablaSTOCKINV[[#This Row],[CANT. TOTAL]]&gt;TablaSTOCKINV[[#This Row],[MIN]],3)</f>
        <v>3</v>
      </c>
      <c r="N1200" s="34">
        <f>TablaSTOCKINV[[#This Row],[ENTRADAS]]-TablaSTOCKINV[[#This Row],[SALIDAS]]</f>
        <v>3</v>
      </c>
      <c r="O1200" s="35">
        <f>SUMIFS(TablaENTRADA[CANT],TablaENTRADA[SKU],TablaSTOCKINV[[#This Row],[SKU]])</f>
        <v>3</v>
      </c>
      <c r="P1200" s="35">
        <f>SUMIFS(TablaSALIDA[CANT],TablaSALIDA[SKU],TablaSTOCKINV[[#This Row],[SKU]])</f>
        <v>0</v>
      </c>
      <c r="Q1200" s="34">
        <f>_xlfn.XLOOKUP(TablaSTOCKINV[[#This Row],[SKU]],TablaINVENTARIO[SKU],TablaINVENTARIO[PRECIO])</f>
        <v>0</v>
      </c>
      <c r="R1200" s="34">
        <f>TablaSTOCKINV[[#This Row],[P.UNITARIO]]*TablaSTOCKINV[[#This Row],[CANT. TOTAL]]</f>
        <v>0</v>
      </c>
      <c r="S1200" s="44">
        <f>_xlfn.XLOOKUP(TablaSTOCKINV[[#This Row],[SKU]],TablaINVENTARIO[SKU],TablaINVENTARIO[FECHA INGRESO])</f>
        <v>46023</v>
      </c>
      <c r="T1200" s="44">
        <f>_xlfn.XLOOKUP(TablaSTOCKINV[[#This Row],[SKU]],TablaENTRADA[SKU],TablaENTRADA[FECHA],,0,-1)</f>
        <v>46023</v>
      </c>
      <c r="U1200" s="46" t="str">
        <f>IFERROR((_xlfn.XLOOKUP(TablaSTOCKINV[[#This Row],[SKU]],TablaSALIDA[SKU],TablaSALIDA[FECHA],,0,-1))," " )</f>
        <v xml:space="preserve"> </v>
      </c>
    </row>
    <row r="1201" spans="1:21" x14ac:dyDescent="0.3">
      <c r="A1201" s="27" t="s">
        <v>3256</v>
      </c>
      <c r="B1201" s="32" t="str">
        <f>_xlfn.XLOOKUP(TablaSTOCKINV[[#This Row],[SKU]],TablaINVENTARIO[SKU],TablaINVENTARIO[DESCRIPCION])</f>
        <v xml:space="preserve">REDUCCION BUSHING TIPO BOTELLA </v>
      </c>
      <c r="C1201" s="32" t="str">
        <f>_xlfn.XLOOKUP(TablaSTOCKINV[[#This Row],[SKU]],TablaINVENTARIO[SKU],TablaINVENTARIO[MARCA])</f>
        <v>N/A</v>
      </c>
      <c r="D1201" s="33" t="str">
        <f>_xlfn.XLOOKUP(TablaSTOCKINV[[#This Row],[SKU]],TablaINVENTARIO[SKU],TablaINVENTARIO[CATEGORIA])</f>
        <v>FABRICACION</v>
      </c>
      <c r="E1201" s="33" t="str">
        <f>_xlfn.XLOOKUP(TablaSTOCKINV[[#This Row],[SKU]],TablaINVENTARIO[SKU],TablaINVENTARIO[SUBCATEGORIA])</f>
        <v>MATERIAL MECANICO</v>
      </c>
      <c r="F1201" s="33" t="str">
        <f>_xlfn.XLOOKUP(TablaSTOCKINV[[#This Row],[SKU]],TablaINVENTARIO[SKU],TablaINVENTARIO[ESTADO])</f>
        <v xml:space="preserve">NUEVO </v>
      </c>
      <c r="G1201" s="33" t="str">
        <f>_xlfn.XLOOKUP(TablaSTOCKINV[[#This Row],[SKU]],TablaINVENTARIO[SKU],TablaINVENTARIO[MEDIDA])</f>
        <v>UND</v>
      </c>
      <c r="H1201" s="33" t="str">
        <f>_xlfn.XLOOKUP(TablaSTOCKINV[[#This Row],[SKU]],TablaINVENTARIO[SKU],TablaINVENTARIO[SERIAL])</f>
        <v>N/A</v>
      </c>
      <c r="I1201" s="34">
        <f>_xlfn.XLOOKUP(TablaSTOCKINV[[#This Row],[SKU]],TablaINVENTARIO[SKU],TablaINVENTARIO[ALMACEN])</f>
        <v>0</v>
      </c>
      <c r="J1201" s="34" t="str">
        <f>_xlfn.XLOOKUP(TablaSTOCKINV[[#This Row],[SKU]],TablaINVENTARIO[SKU],TablaINVENTARIO[UBICACION])</f>
        <v>F2-1</v>
      </c>
      <c r="K1201" s="34" t="str">
        <f>_xlfn.XLOOKUP(TablaSTOCKINV[[#This Row],[SKU]],TablaINVENTARIO[SKU],TablaINVENTARIO[DPTO RESPONSABLE])</f>
        <v xml:space="preserve">OPERACIONES </v>
      </c>
      <c r="L1201" s="53">
        <f>_xlfn.XLOOKUP(TablaSTOCKINV[[#This Row],[SKU]],TablaINVENTARIO[SKU],TablaINVENTARIO[RANGO MIN])</f>
        <v>0</v>
      </c>
      <c r="M1201" s="34" cm="1">
        <f t="array" ref="M1201">_xlfn.IFS(TablaSTOCKINV[[#This Row],[CANT. TOTAL]]&lt;=0,1,TablaSTOCKINV[[#This Row],[CANT. TOTAL]]&lt;=TablaSTOCKINV[[#This Row],[MIN]],2,TablaSTOCKINV[[#This Row],[CANT. TOTAL]]&gt;TablaSTOCKINV[[#This Row],[MIN]],3)</f>
        <v>3</v>
      </c>
      <c r="N1201" s="34">
        <f>TablaSTOCKINV[[#This Row],[ENTRADAS]]-TablaSTOCKINV[[#This Row],[SALIDAS]]</f>
        <v>2</v>
      </c>
      <c r="O1201" s="35">
        <f>SUMIFS(TablaENTRADA[CANT],TablaENTRADA[SKU],TablaSTOCKINV[[#This Row],[SKU]])</f>
        <v>2</v>
      </c>
      <c r="P1201" s="35">
        <f>SUMIFS(TablaSALIDA[CANT],TablaSALIDA[SKU],TablaSTOCKINV[[#This Row],[SKU]])</f>
        <v>0</v>
      </c>
      <c r="Q1201" s="34">
        <f>_xlfn.XLOOKUP(TablaSTOCKINV[[#This Row],[SKU]],TablaINVENTARIO[SKU],TablaINVENTARIO[PRECIO])</f>
        <v>0</v>
      </c>
      <c r="R1201" s="34">
        <f>TablaSTOCKINV[[#This Row],[P.UNITARIO]]*TablaSTOCKINV[[#This Row],[CANT. TOTAL]]</f>
        <v>0</v>
      </c>
      <c r="S1201" s="44">
        <f>_xlfn.XLOOKUP(TablaSTOCKINV[[#This Row],[SKU]],TablaINVENTARIO[SKU],TablaINVENTARIO[FECHA INGRESO])</f>
        <v>46023</v>
      </c>
      <c r="T1201" s="44">
        <f>_xlfn.XLOOKUP(TablaSTOCKINV[[#This Row],[SKU]],TablaENTRADA[SKU],TablaENTRADA[FECHA],,0,-1)</f>
        <v>46023</v>
      </c>
      <c r="U1201" s="46" t="str">
        <f>IFERROR((_xlfn.XLOOKUP(TablaSTOCKINV[[#This Row],[SKU]],TablaSALIDA[SKU],TablaSALIDA[FECHA],,0,-1))," " )</f>
        <v xml:space="preserve"> </v>
      </c>
    </row>
    <row r="1202" spans="1:21" x14ac:dyDescent="0.3">
      <c r="A1202" s="27" t="s">
        <v>3259</v>
      </c>
      <c r="B1202" s="32" t="str">
        <f>_xlfn.XLOOKUP(TablaSTOCKINV[[#This Row],[SKU]],TablaINVENTARIO[SKU],TablaINVENTARIO[DESCRIPCION])</f>
        <v xml:space="preserve">VALVULA DE RETENCION 1 1/2" - 800 </v>
      </c>
      <c r="C1202" s="32" t="str">
        <f>_xlfn.XLOOKUP(TablaSTOCKINV[[#This Row],[SKU]],TablaINVENTARIO[SKU],TablaINVENTARIO[MARCA])</f>
        <v>N/A</v>
      </c>
      <c r="D1202" s="33" t="str">
        <f>_xlfn.XLOOKUP(TablaSTOCKINV[[#This Row],[SKU]],TablaINVENTARIO[SKU],TablaINVENTARIO[CATEGORIA])</f>
        <v>FABRICACION</v>
      </c>
      <c r="E1202" s="33" t="str">
        <f>_xlfn.XLOOKUP(TablaSTOCKINV[[#This Row],[SKU]],TablaINVENTARIO[SKU],TablaINVENTARIO[SUBCATEGORIA])</f>
        <v>MATERIAL MECANICO</v>
      </c>
      <c r="F1202" s="33" t="str">
        <f>_xlfn.XLOOKUP(TablaSTOCKINV[[#This Row],[SKU]],TablaINVENTARIO[SKU],TablaINVENTARIO[ESTADO])</f>
        <v xml:space="preserve">NUEVO </v>
      </c>
      <c r="G1202" s="33" t="str">
        <f>_xlfn.XLOOKUP(TablaSTOCKINV[[#This Row],[SKU]],TablaINVENTARIO[SKU],TablaINVENTARIO[MEDIDA])</f>
        <v>UND</v>
      </c>
      <c r="H1202" s="33" t="str">
        <f>_xlfn.XLOOKUP(TablaSTOCKINV[[#This Row],[SKU]],TablaINVENTARIO[SKU],TablaINVENTARIO[SERIAL])</f>
        <v>N/A</v>
      </c>
      <c r="I1202" s="34">
        <f>_xlfn.XLOOKUP(TablaSTOCKINV[[#This Row],[SKU]],TablaINVENTARIO[SKU],TablaINVENTARIO[ALMACEN])</f>
        <v>0</v>
      </c>
      <c r="J1202" s="34" t="str">
        <f>_xlfn.XLOOKUP(TablaSTOCKINV[[#This Row],[SKU]],TablaINVENTARIO[SKU],TablaINVENTARIO[UBICACION])</f>
        <v>F2-1</v>
      </c>
      <c r="K1202" s="34" t="str">
        <f>_xlfn.XLOOKUP(TablaSTOCKINV[[#This Row],[SKU]],TablaINVENTARIO[SKU],TablaINVENTARIO[DPTO RESPONSABLE])</f>
        <v xml:space="preserve">OPERACIONES </v>
      </c>
      <c r="L1202" s="53">
        <f>_xlfn.XLOOKUP(TablaSTOCKINV[[#This Row],[SKU]],TablaINVENTARIO[SKU],TablaINVENTARIO[RANGO MIN])</f>
        <v>0</v>
      </c>
      <c r="M1202" s="34" cm="1">
        <f t="array" ref="M1202">_xlfn.IFS(TablaSTOCKINV[[#This Row],[CANT. TOTAL]]&lt;=0,1,TablaSTOCKINV[[#This Row],[CANT. TOTAL]]&lt;=TablaSTOCKINV[[#This Row],[MIN]],2,TablaSTOCKINV[[#This Row],[CANT. TOTAL]]&gt;TablaSTOCKINV[[#This Row],[MIN]],3)</f>
        <v>3</v>
      </c>
      <c r="N1202" s="34">
        <f>TablaSTOCKINV[[#This Row],[ENTRADAS]]-TablaSTOCKINV[[#This Row],[SALIDAS]]</f>
        <v>10</v>
      </c>
      <c r="O1202" s="35">
        <f>SUMIFS(TablaENTRADA[CANT],TablaENTRADA[SKU],TablaSTOCKINV[[#This Row],[SKU]])</f>
        <v>10</v>
      </c>
      <c r="P1202" s="35">
        <f>SUMIFS(TablaSALIDA[CANT],TablaSALIDA[SKU],TablaSTOCKINV[[#This Row],[SKU]])</f>
        <v>0</v>
      </c>
      <c r="Q1202" s="34">
        <f>_xlfn.XLOOKUP(TablaSTOCKINV[[#This Row],[SKU]],TablaINVENTARIO[SKU],TablaINVENTARIO[PRECIO])</f>
        <v>0</v>
      </c>
      <c r="R1202" s="34">
        <f>TablaSTOCKINV[[#This Row],[P.UNITARIO]]*TablaSTOCKINV[[#This Row],[CANT. TOTAL]]</f>
        <v>0</v>
      </c>
      <c r="S1202" s="44">
        <f>_xlfn.XLOOKUP(TablaSTOCKINV[[#This Row],[SKU]],TablaINVENTARIO[SKU],TablaINVENTARIO[FECHA INGRESO])</f>
        <v>46023</v>
      </c>
      <c r="T1202" s="44">
        <f>_xlfn.XLOOKUP(TablaSTOCKINV[[#This Row],[SKU]],TablaENTRADA[SKU],TablaENTRADA[FECHA],,0,-1)</f>
        <v>46023</v>
      </c>
      <c r="U1202" s="46" t="str">
        <f>IFERROR((_xlfn.XLOOKUP(TablaSTOCKINV[[#This Row],[SKU]],TablaSALIDA[SKU],TablaSALIDA[FECHA],,0,-1))," " )</f>
        <v xml:space="preserve"> </v>
      </c>
    </row>
    <row r="1203" spans="1:21" x14ac:dyDescent="0.3">
      <c r="A1203" s="27" t="s">
        <v>3261</v>
      </c>
      <c r="B1203" s="32" t="str">
        <f>_xlfn.XLOOKUP(TablaSTOCKINV[[#This Row],[SKU]],TablaINVENTARIO[SKU],TablaINVENTARIO[DESCRIPCION])</f>
        <v xml:space="preserve">REDUCCION DE ACERO AL CARBON 2" X 3" </v>
      </c>
      <c r="C1203" s="32" t="str">
        <f>_xlfn.XLOOKUP(TablaSTOCKINV[[#This Row],[SKU]],TablaINVENTARIO[SKU],TablaINVENTARIO[MARCA])</f>
        <v>N/A</v>
      </c>
      <c r="D1203" s="33" t="str">
        <f>_xlfn.XLOOKUP(TablaSTOCKINV[[#This Row],[SKU]],TablaINVENTARIO[SKU],TablaINVENTARIO[CATEGORIA])</f>
        <v>FABRICACION</v>
      </c>
      <c r="E1203" s="33" t="str">
        <f>_xlfn.XLOOKUP(TablaSTOCKINV[[#This Row],[SKU]],TablaINVENTARIO[SKU],TablaINVENTARIO[SUBCATEGORIA])</f>
        <v>MATERIAL MECANICO</v>
      </c>
      <c r="F1203" s="33" t="str">
        <f>_xlfn.XLOOKUP(TablaSTOCKINV[[#This Row],[SKU]],TablaINVENTARIO[SKU],TablaINVENTARIO[ESTADO])</f>
        <v xml:space="preserve">NUEVO </v>
      </c>
      <c r="G1203" s="33" t="str">
        <f>_xlfn.XLOOKUP(TablaSTOCKINV[[#This Row],[SKU]],TablaINVENTARIO[SKU],TablaINVENTARIO[MEDIDA])</f>
        <v>UND</v>
      </c>
      <c r="H1203" s="33" t="str">
        <f>_xlfn.XLOOKUP(TablaSTOCKINV[[#This Row],[SKU]],TablaINVENTARIO[SKU],TablaINVENTARIO[SERIAL])</f>
        <v>N/A</v>
      </c>
      <c r="I1203" s="34">
        <f>_xlfn.XLOOKUP(TablaSTOCKINV[[#This Row],[SKU]],TablaINVENTARIO[SKU],TablaINVENTARIO[ALMACEN])</f>
        <v>0</v>
      </c>
      <c r="J1203" s="34" t="str">
        <f>_xlfn.XLOOKUP(TablaSTOCKINV[[#This Row],[SKU]],TablaINVENTARIO[SKU],TablaINVENTARIO[UBICACION])</f>
        <v>F2-1</v>
      </c>
      <c r="K1203" s="34" t="str">
        <f>_xlfn.XLOOKUP(TablaSTOCKINV[[#This Row],[SKU]],TablaINVENTARIO[SKU],TablaINVENTARIO[DPTO RESPONSABLE])</f>
        <v xml:space="preserve">OPERACIONES </v>
      </c>
      <c r="L1203" s="53">
        <f>_xlfn.XLOOKUP(TablaSTOCKINV[[#This Row],[SKU]],TablaINVENTARIO[SKU],TablaINVENTARIO[RANGO MIN])</f>
        <v>0</v>
      </c>
      <c r="M1203" s="34" cm="1">
        <f t="array" ref="M1203">_xlfn.IFS(TablaSTOCKINV[[#This Row],[CANT. TOTAL]]&lt;=0,1,TablaSTOCKINV[[#This Row],[CANT. TOTAL]]&lt;=TablaSTOCKINV[[#This Row],[MIN]],2,TablaSTOCKINV[[#This Row],[CANT. TOTAL]]&gt;TablaSTOCKINV[[#This Row],[MIN]],3)</f>
        <v>3</v>
      </c>
      <c r="N1203" s="34">
        <f>TablaSTOCKINV[[#This Row],[ENTRADAS]]-TablaSTOCKINV[[#This Row],[SALIDAS]]</f>
        <v>4</v>
      </c>
      <c r="O1203" s="35">
        <f>SUMIFS(TablaENTRADA[CANT],TablaENTRADA[SKU],TablaSTOCKINV[[#This Row],[SKU]])</f>
        <v>4</v>
      </c>
      <c r="P1203" s="35">
        <f>SUMIFS(TablaSALIDA[CANT],TablaSALIDA[SKU],TablaSTOCKINV[[#This Row],[SKU]])</f>
        <v>0</v>
      </c>
      <c r="Q1203" s="34">
        <f>_xlfn.XLOOKUP(TablaSTOCKINV[[#This Row],[SKU]],TablaINVENTARIO[SKU],TablaINVENTARIO[PRECIO])</f>
        <v>0</v>
      </c>
      <c r="R1203" s="34">
        <f>TablaSTOCKINV[[#This Row],[P.UNITARIO]]*TablaSTOCKINV[[#This Row],[CANT. TOTAL]]</f>
        <v>0</v>
      </c>
      <c r="S1203" s="44">
        <f>_xlfn.XLOOKUP(TablaSTOCKINV[[#This Row],[SKU]],TablaINVENTARIO[SKU],TablaINVENTARIO[FECHA INGRESO])</f>
        <v>46023</v>
      </c>
      <c r="T1203" s="44">
        <f>_xlfn.XLOOKUP(TablaSTOCKINV[[#This Row],[SKU]],TablaENTRADA[SKU],TablaENTRADA[FECHA],,0,-1)</f>
        <v>46023</v>
      </c>
      <c r="U1203" s="46" t="str">
        <f>IFERROR((_xlfn.XLOOKUP(TablaSTOCKINV[[#This Row],[SKU]],TablaSALIDA[SKU],TablaSALIDA[FECHA],,0,-1))," " )</f>
        <v xml:space="preserve"> </v>
      </c>
    </row>
    <row r="1204" spans="1:21" x14ac:dyDescent="0.3">
      <c r="A1204" s="27" t="s">
        <v>3263</v>
      </c>
      <c r="B1204" s="32" t="str">
        <f>_xlfn.XLOOKUP(TablaSTOCKINV[[#This Row],[SKU]],TablaINVENTARIO[SKU],TablaINVENTARIO[DESCRIPCION])</f>
        <v>REDUCCION DE ACERO AL CARBON 16-10 X 3"</v>
      </c>
      <c r="C1204" s="32" t="str">
        <f>_xlfn.XLOOKUP(TablaSTOCKINV[[#This Row],[SKU]],TablaINVENTARIO[SKU],TablaINVENTARIO[MARCA])</f>
        <v>N/A</v>
      </c>
      <c r="D1204" s="33" t="str">
        <f>_xlfn.XLOOKUP(TablaSTOCKINV[[#This Row],[SKU]],TablaINVENTARIO[SKU],TablaINVENTARIO[CATEGORIA])</f>
        <v>FABRICACION</v>
      </c>
      <c r="E1204" s="33" t="str">
        <f>_xlfn.XLOOKUP(TablaSTOCKINV[[#This Row],[SKU]],TablaINVENTARIO[SKU],TablaINVENTARIO[SUBCATEGORIA])</f>
        <v>MATERIAL MECANICO</v>
      </c>
      <c r="F1204" s="33" t="str">
        <f>_xlfn.XLOOKUP(TablaSTOCKINV[[#This Row],[SKU]],TablaINVENTARIO[SKU],TablaINVENTARIO[ESTADO])</f>
        <v xml:space="preserve">NUEVO </v>
      </c>
      <c r="G1204" s="33" t="str">
        <f>_xlfn.XLOOKUP(TablaSTOCKINV[[#This Row],[SKU]],TablaINVENTARIO[SKU],TablaINVENTARIO[MEDIDA])</f>
        <v>UND</v>
      </c>
      <c r="H1204" s="33" t="str">
        <f>_xlfn.XLOOKUP(TablaSTOCKINV[[#This Row],[SKU]],TablaINVENTARIO[SKU],TablaINVENTARIO[SERIAL])</f>
        <v>N/A</v>
      </c>
      <c r="I1204" s="34">
        <f>_xlfn.XLOOKUP(TablaSTOCKINV[[#This Row],[SKU]],TablaINVENTARIO[SKU],TablaINVENTARIO[ALMACEN])</f>
        <v>0</v>
      </c>
      <c r="J1204" s="34" t="str">
        <f>_xlfn.XLOOKUP(TablaSTOCKINV[[#This Row],[SKU]],TablaINVENTARIO[SKU],TablaINVENTARIO[UBICACION])</f>
        <v>F2-1</v>
      </c>
      <c r="K1204" s="34" t="str">
        <f>_xlfn.XLOOKUP(TablaSTOCKINV[[#This Row],[SKU]],TablaINVENTARIO[SKU],TablaINVENTARIO[DPTO RESPONSABLE])</f>
        <v xml:space="preserve">OPERACIONES </v>
      </c>
      <c r="L1204" s="53">
        <f>_xlfn.XLOOKUP(TablaSTOCKINV[[#This Row],[SKU]],TablaINVENTARIO[SKU],TablaINVENTARIO[RANGO MIN])</f>
        <v>0</v>
      </c>
      <c r="M1204" s="34" cm="1">
        <f t="array" ref="M1204">_xlfn.IFS(TablaSTOCKINV[[#This Row],[CANT. TOTAL]]&lt;=0,1,TablaSTOCKINV[[#This Row],[CANT. TOTAL]]&lt;=TablaSTOCKINV[[#This Row],[MIN]],2,TablaSTOCKINV[[#This Row],[CANT. TOTAL]]&gt;TablaSTOCKINV[[#This Row],[MIN]],3)</f>
        <v>3</v>
      </c>
      <c r="N1204" s="34">
        <f>TablaSTOCKINV[[#This Row],[ENTRADAS]]-TablaSTOCKINV[[#This Row],[SALIDAS]]</f>
        <v>17</v>
      </c>
      <c r="O1204" s="35">
        <f>SUMIFS(TablaENTRADA[CANT],TablaENTRADA[SKU],TablaSTOCKINV[[#This Row],[SKU]])</f>
        <v>17</v>
      </c>
      <c r="P1204" s="35">
        <f>SUMIFS(TablaSALIDA[CANT],TablaSALIDA[SKU],TablaSTOCKINV[[#This Row],[SKU]])</f>
        <v>0</v>
      </c>
      <c r="Q1204" s="34">
        <f>_xlfn.XLOOKUP(TablaSTOCKINV[[#This Row],[SKU]],TablaINVENTARIO[SKU],TablaINVENTARIO[PRECIO])</f>
        <v>0</v>
      </c>
      <c r="R1204" s="34">
        <f>TablaSTOCKINV[[#This Row],[P.UNITARIO]]*TablaSTOCKINV[[#This Row],[CANT. TOTAL]]</f>
        <v>0</v>
      </c>
      <c r="S1204" s="44">
        <f>_xlfn.XLOOKUP(TablaSTOCKINV[[#This Row],[SKU]],TablaINVENTARIO[SKU],TablaINVENTARIO[FECHA INGRESO])</f>
        <v>46023</v>
      </c>
      <c r="T1204" s="44">
        <f>_xlfn.XLOOKUP(TablaSTOCKINV[[#This Row],[SKU]],TablaENTRADA[SKU],TablaENTRADA[FECHA],,0,-1)</f>
        <v>46023</v>
      </c>
      <c r="U1204" s="46" t="str">
        <f>IFERROR((_xlfn.XLOOKUP(TablaSTOCKINV[[#This Row],[SKU]],TablaSALIDA[SKU],TablaSALIDA[FECHA],,0,-1))," " )</f>
        <v xml:space="preserve"> </v>
      </c>
    </row>
    <row r="1205" spans="1:21" x14ac:dyDescent="0.3">
      <c r="A1205" s="27" t="s">
        <v>3265</v>
      </c>
      <c r="B1205" s="32" t="str">
        <f>_xlfn.XLOOKUP(TablaSTOCKINV[[#This Row],[SKU]],TablaINVENTARIO[SKU],TablaINVENTARIO[DESCRIPCION])</f>
        <v xml:space="preserve">REDUCCION DE ACERO AL CARBON 4" X 2"  </v>
      </c>
      <c r="C1205" s="32" t="str">
        <f>_xlfn.XLOOKUP(TablaSTOCKINV[[#This Row],[SKU]],TablaINVENTARIO[SKU],TablaINVENTARIO[MARCA])</f>
        <v>N/A</v>
      </c>
      <c r="D1205" s="33" t="str">
        <f>_xlfn.XLOOKUP(TablaSTOCKINV[[#This Row],[SKU]],TablaINVENTARIO[SKU],TablaINVENTARIO[CATEGORIA])</f>
        <v>FABRICACION</v>
      </c>
      <c r="E1205" s="33" t="str">
        <f>_xlfn.XLOOKUP(TablaSTOCKINV[[#This Row],[SKU]],TablaINVENTARIO[SKU],TablaINVENTARIO[SUBCATEGORIA])</f>
        <v>MATERIAL MECANICO</v>
      </c>
      <c r="F1205" s="33" t="str">
        <f>_xlfn.XLOOKUP(TablaSTOCKINV[[#This Row],[SKU]],TablaINVENTARIO[SKU],TablaINVENTARIO[ESTADO])</f>
        <v xml:space="preserve">NUEVO </v>
      </c>
      <c r="G1205" s="33" t="str">
        <f>_xlfn.XLOOKUP(TablaSTOCKINV[[#This Row],[SKU]],TablaINVENTARIO[SKU],TablaINVENTARIO[MEDIDA])</f>
        <v>UND</v>
      </c>
      <c r="H1205" s="33" t="str">
        <f>_xlfn.XLOOKUP(TablaSTOCKINV[[#This Row],[SKU]],TablaINVENTARIO[SKU],TablaINVENTARIO[SERIAL])</f>
        <v>N/A</v>
      </c>
      <c r="I1205" s="34">
        <f>_xlfn.XLOOKUP(TablaSTOCKINV[[#This Row],[SKU]],TablaINVENTARIO[SKU],TablaINVENTARIO[ALMACEN])</f>
        <v>0</v>
      </c>
      <c r="J1205" s="34" t="str">
        <f>_xlfn.XLOOKUP(TablaSTOCKINV[[#This Row],[SKU]],TablaINVENTARIO[SKU],TablaINVENTARIO[UBICACION])</f>
        <v>F2-1</v>
      </c>
      <c r="K1205" s="34" t="str">
        <f>_xlfn.XLOOKUP(TablaSTOCKINV[[#This Row],[SKU]],TablaINVENTARIO[SKU],TablaINVENTARIO[DPTO RESPONSABLE])</f>
        <v xml:space="preserve">OPERACIONES </v>
      </c>
      <c r="L1205" s="53">
        <f>_xlfn.XLOOKUP(TablaSTOCKINV[[#This Row],[SKU]],TablaINVENTARIO[SKU],TablaINVENTARIO[RANGO MIN])</f>
        <v>0</v>
      </c>
      <c r="M1205" s="34" cm="1">
        <f t="array" ref="M1205">_xlfn.IFS(TablaSTOCKINV[[#This Row],[CANT. TOTAL]]&lt;=0,1,TablaSTOCKINV[[#This Row],[CANT. TOTAL]]&lt;=TablaSTOCKINV[[#This Row],[MIN]],2,TablaSTOCKINV[[#This Row],[CANT. TOTAL]]&gt;TablaSTOCKINV[[#This Row],[MIN]],3)</f>
        <v>3</v>
      </c>
      <c r="N1205" s="34">
        <f>TablaSTOCKINV[[#This Row],[ENTRADAS]]-TablaSTOCKINV[[#This Row],[SALIDAS]]</f>
        <v>4</v>
      </c>
      <c r="O1205" s="35">
        <f>SUMIFS(TablaENTRADA[CANT],TablaENTRADA[SKU],TablaSTOCKINV[[#This Row],[SKU]])</f>
        <v>4</v>
      </c>
      <c r="P1205" s="35">
        <f>SUMIFS(TablaSALIDA[CANT],TablaSALIDA[SKU],TablaSTOCKINV[[#This Row],[SKU]])</f>
        <v>0</v>
      </c>
      <c r="Q1205" s="34">
        <f>_xlfn.XLOOKUP(TablaSTOCKINV[[#This Row],[SKU]],TablaINVENTARIO[SKU],TablaINVENTARIO[PRECIO])</f>
        <v>0</v>
      </c>
      <c r="R1205" s="34">
        <f>TablaSTOCKINV[[#This Row],[P.UNITARIO]]*TablaSTOCKINV[[#This Row],[CANT. TOTAL]]</f>
        <v>0</v>
      </c>
      <c r="S1205" s="44">
        <f>_xlfn.XLOOKUP(TablaSTOCKINV[[#This Row],[SKU]],TablaINVENTARIO[SKU],TablaINVENTARIO[FECHA INGRESO])</f>
        <v>46023</v>
      </c>
      <c r="T1205" s="44">
        <f>_xlfn.XLOOKUP(TablaSTOCKINV[[#This Row],[SKU]],TablaENTRADA[SKU],TablaENTRADA[FECHA],,0,-1)</f>
        <v>46023</v>
      </c>
      <c r="U1205" s="46" t="str">
        <f>IFERROR((_xlfn.XLOOKUP(TablaSTOCKINV[[#This Row],[SKU]],TablaSALIDA[SKU],TablaSALIDA[FECHA],,0,-1))," " )</f>
        <v xml:space="preserve"> </v>
      </c>
    </row>
    <row r="1206" spans="1:21" x14ac:dyDescent="0.3">
      <c r="A1206" s="27" t="s">
        <v>3267</v>
      </c>
      <c r="B1206" s="32" t="str">
        <f>_xlfn.XLOOKUP(TablaSTOCKINV[[#This Row],[SKU]],TablaINVENTARIO[SKU],TablaINVENTARIO[DESCRIPCION])</f>
        <v xml:space="preserve">REDUCCION DE ACERO AL CARBON 3" X 2"  </v>
      </c>
      <c r="C1206" s="32" t="str">
        <f>_xlfn.XLOOKUP(TablaSTOCKINV[[#This Row],[SKU]],TablaINVENTARIO[SKU],TablaINVENTARIO[MARCA])</f>
        <v>N/A</v>
      </c>
      <c r="D1206" s="33" t="str">
        <f>_xlfn.XLOOKUP(TablaSTOCKINV[[#This Row],[SKU]],TablaINVENTARIO[SKU],TablaINVENTARIO[CATEGORIA])</f>
        <v>FABRICACION</v>
      </c>
      <c r="E1206" s="33" t="str">
        <f>_xlfn.XLOOKUP(TablaSTOCKINV[[#This Row],[SKU]],TablaINVENTARIO[SKU],TablaINVENTARIO[SUBCATEGORIA])</f>
        <v>MATERIAL MECANICO</v>
      </c>
      <c r="F1206" s="33" t="str">
        <f>_xlfn.XLOOKUP(TablaSTOCKINV[[#This Row],[SKU]],TablaINVENTARIO[SKU],TablaINVENTARIO[ESTADO])</f>
        <v xml:space="preserve">NUEVO </v>
      </c>
      <c r="G1206" s="33" t="str">
        <f>_xlfn.XLOOKUP(TablaSTOCKINV[[#This Row],[SKU]],TablaINVENTARIO[SKU],TablaINVENTARIO[MEDIDA])</f>
        <v>UND</v>
      </c>
      <c r="H1206" s="33" t="str">
        <f>_xlfn.XLOOKUP(TablaSTOCKINV[[#This Row],[SKU]],TablaINVENTARIO[SKU],TablaINVENTARIO[SERIAL])</f>
        <v>N/A</v>
      </c>
      <c r="I1206" s="34">
        <f>_xlfn.XLOOKUP(TablaSTOCKINV[[#This Row],[SKU]],TablaINVENTARIO[SKU],TablaINVENTARIO[ALMACEN])</f>
        <v>0</v>
      </c>
      <c r="J1206" s="34" t="str">
        <f>_xlfn.XLOOKUP(TablaSTOCKINV[[#This Row],[SKU]],TablaINVENTARIO[SKU],TablaINVENTARIO[UBICACION])</f>
        <v>F2-1</v>
      </c>
      <c r="K1206" s="34" t="str">
        <f>_xlfn.XLOOKUP(TablaSTOCKINV[[#This Row],[SKU]],TablaINVENTARIO[SKU],TablaINVENTARIO[DPTO RESPONSABLE])</f>
        <v xml:space="preserve">OPERACIONES </v>
      </c>
      <c r="L1206" s="53">
        <f>_xlfn.XLOOKUP(TablaSTOCKINV[[#This Row],[SKU]],TablaINVENTARIO[SKU],TablaINVENTARIO[RANGO MIN])</f>
        <v>0</v>
      </c>
      <c r="M1206" s="34" cm="1">
        <f t="array" ref="M1206">_xlfn.IFS(TablaSTOCKINV[[#This Row],[CANT. TOTAL]]&lt;=0,1,TablaSTOCKINV[[#This Row],[CANT. TOTAL]]&lt;=TablaSTOCKINV[[#This Row],[MIN]],2,TablaSTOCKINV[[#This Row],[CANT. TOTAL]]&gt;TablaSTOCKINV[[#This Row],[MIN]],3)</f>
        <v>3</v>
      </c>
      <c r="N1206" s="34">
        <f>TablaSTOCKINV[[#This Row],[ENTRADAS]]-TablaSTOCKINV[[#This Row],[SALIDAS]]</f>
        <v>4</v>
      </c>
      <c r="O1206" s="35">
        <f>SUMIFS(TablaENTRADA[CANT],TablaENTRADA[SKU],TablaSTOCKINV[[#This Row],[SKU]])</f>
        <v>4</v>
      </c>
      <c r="P1206" s="35">
        <f>SUMIFS(TablaSALIDA[CANT],TablaSALIDA[SKU],TablaSTOCKINV[[#This Row],[SKU]])</f>
        <v>0</v>
      </c>
      <c r="Q1206" s="34">
        <f>_xlfn.XLOOKUP(TablaSTOCKINV[[#This Row],[SKU]],TablaINVENTARIO[SKU],TablaINVENTARIO[PRECIO])</f>
        <v>0</v>
      </c>
      <c r="R1206" s="34">
        <f>TablaSTOCKINV[[#This Row],[P.UNITARIO]]*TablaSTOCKINV[[#This Row],[CANT. TOTAL]]</f>
        <v>0</v>
      </c>
      <c r="S1206" s="44">
        <f>_xlfn.XLOOKUP(TablaSTOCKINV[[#This Row],[SKU]],TablaINVENTARIO[SKU],TablaINVENTARIO[FECHA INGRESO])</f>
        <v>46023</v>
      </c>
      <c r="T1206" s="44">
        <f>_xlfn.XLOOKUP(TablaSTOCKINV[[#This Row],[SKU]],TablaENTRADA[SKU],TablaENTRADA[FECHA],,0,-1)</f>
        <v>46023</v>
      </c>
      <c r="U1206" s="46" t="str">
        <f>IFERROR((_xlfn.XLOOKUP(TablaSTOCKINV[[#This Row],[SKU]],TablaSALIDA[SKU],TablaSALIDA[FECHA],,0,-1))," " )</f>
        <v xml:space="preserve"> </v>
      </c>
    </row>
    <row r="1207" spans="1:21" x14ac:dyDescent="0.3">
      <c r="A1207" s="27" t="s">
        <v>3269</v>
      </c>
      <c r="B1207" s="32" t="str">
        <f>_xlfn.XLOOKUP(TablaSTOCKINV[[#This Row],[SKU]],TablaINVENTARIO[SKU],TablaINVENTARIO[DESCRIPCION])</f>
        <v>TEE DE ACERO AL CARBON 2"</v>
      </c>
      <c r="C1207" s="32" t="str">
        <f>_xlfn.XLOOKUP(TablaSTOCKINV[[#This Row],[SKU]],TablaINVENTARIO[SKU],TablaINVENTARIO[MARCA])</f>
        <v>N/A</v>
      </c>
      <c r="D1207" s="33" t="str">
        <f>_xlfn.XLOOKUP(TablaSTOCKINV[[#This Row],[SKU]],TablaINVENTARIO[SKU],TablaINVENTARIO[CATEGORIA])</f>
        <v>FABRICACION</v>
      </c>
      <c r="E1207" s="33" t="str">
        <f>_xlfn.XLOOKUP(TablaSTOCKINV[[#This Row],[SKU]],TablaINVENTARIO[SKU],TablaINVENTARIO[SUBCATEGORIA])</f>
        <v>MATERIAL MECANICO</v>
      </c>
      <c r="F1207" s="33" t="str">
        <f>_xlfn.XLOOKUP(TablaSTOCKINV[[#This Row],[SKU]],TablaINVENTARIO[SKU],TablaINVENTARIO[ESTADO])</f>
        <v xml:space="preserve">NUEVO </v>
      </c>
      <c r="G1207" s="33" t="str">
        <f>_xlfn.XLOOKUP(TablaSTOCKINV[[#This Row],[SKU]],TablaINVENTARIO[SKU],TablaINVENTARIO[MEDIDA])</f>
        <v>UND</v>
      </c>
      <c r="H1207" s="33" t="str">
        <f>_xlfn.XLOOKUP(TablaSTOCKINV[[#This Row],[SKU]],TablaINVENTARIO[SKU],TablaINVENTARIO[SERIAL])</f>
        <v>N/A</v>
      </c>
      <c r="I1207" s="34">
        <f>_xlfn.XLOOKUP(TablaSTOCKINV[[#This Row],[SKU]],TablaINVENTARIO[SKU],TablaINVENTARIO[ALMACEN])</f>
        <v>0</v>
      </c>
      <c r="J1207" s="34" t="str">
        <f>_xlfn.XLOOKUP(TablaSTOCKINV[[#This Row],[SKU]],TablaINVENTARIO[SKU],TablaINVENTARIO[UBICACION])</f>
        <v>F2-1</v>
      </c>
      <c r="K1207" s="34" t="str">
        <f>_xlfn.XLOOKUP(TablaSTOCKINV[[#This Row],[SKU]],TablaINVENTARIO[SKU],TablaINVENTARIO[DPTO RESPONSABLE])</f>
        <v xml:space="preserve">OPERACIONES </v>
      </c>
      <c r="L1207" s="53">
        <f>_xlfn.XLOOKUP(TablaSTOCKINV[[#This Row],[SKU]],TablaINVENTARIO[SKU],TablaINVENTARIO[RANGO MIN])</f>
        <v>0</v>
      </c>
      <c r="M1207" s="34" cm="1">
        <f t="array" ref="M1207">_xlfn.IFS(TablaSTOCKINV[[#This Row],[CANT. TOTAL]]&lt;=0,1,TablaSTOCKINV[[#This Row],[CANT. TOTAL]]&lt;=TablaSTOCKINV[[#This Row],[MIN]],2,TablaSTOCKINV[[#This Row],[CANT. TOTAL]]&gt;TablaSTOCKINV[[#This Row],[MIN]],3)</f>
        <v>3</v>
      </c>
      <c r="N1207" s="34">
        <f>TablaSTOCKINV[[#This Row],[ENTRADAS]]-TablaSTOCKINV[[#This Row],[SALIDAS]]</f>
        <v>3</v>
      </c>
      <c r="O1207" s="35">
        <f>SUMIFS(TablaENTRADA[CANT],TablaENTRADA[SKU],TablaSTOCKINV[[#This Row],[SKU]])</f>
        <v>3</v>
      </c>
      <c r="P1207" s="35">
        <f>SUMIFS(TablaSALIDA[CANT],TablaSALIDA[SKU],TablaSTOCKINV[[#This Row],[SKU]])</f>
        <v>0</v>
      </c>
      <c r="Q1207" s="34">
        <f>_xlfn.XLOOKUP(TablaSTOCKINV[[#This Row],[SKU]],TablaINVENTARIO[SKU],TablaINVENTARIO[PRECIO])</f>
        <v>0</v>
      </c>
      <c r="R1207" s="34">
        <f>TablaSTOCKINV[[#This Row],[P.UNITARIO]]*TablaSTOCKINV[[#This Row],[CANT. TOTAL]]</f>
        <v>0</v>
      </c>
      <c r="S1207" s="44">
        <f>_xlfn.XLOOKUP(TablaSTOCKINV[[#This Row],[SKU]],TablaINVENTARIO[SKU],TablaINVENTARIO[FECHA INGRESO])</f>
        <v>46023</v>
      </c>
      <c r="T1207" s="44">
        <f>_xlfn.XLOOKUP(TablaSTOCKINV[[#This Row],[SKU]],TablaENTRADA[SKU],TablaENTRADA[FECHA],,0,-1)</f>
        <v>46023</v>
      </c>
      <c r="U1207" s="46" t="str">
        <f>IFERROR((_xlfn.XLOOKUP(TablaSTOCKINV[[#This Row],[SKU]],TablaSALIDA[SKU],TablaSALIDA[FECHA],,0,-1))," " )</f>
        <v xml:space="preserve"> </v>
      </c>
    </row>
    <row r="1208" spans="1:21" x14ac:dyDescent="0.3">
      <c r="A1208" s="27" t="s">
        <v>3271</v>
      </c>
      <c r="B1208" s="32" t="str">
        <f>_xlfn.XLOOKUP(TablaSTOCKINV[[#This Row],[SKU]],TablaINVENTARIO[SKU],TablaINVENTARIO[DESCRIPCION])</f>
        <v xml:space="preserve">ESPACIADOR PARA OW </v>
      </c>
      <c r="C1208" s="32" t="str">
        <f>_xlfn.XLOOKUP(TablaSTOCKINV[[#This Row],[SKU]],TablaINVENTARIO[SKU],TablaINVENTARIO[MARCA])</f>
        <v>N/A</v>
      </c>
      <c r="D1208" s="33" t="str">
        <f>_xlfn.XLOOKUP(TablaSTOCKINV[[#This Row],[SKU]],TablaINVENTARIO[SKU],TablaINVENTARIO[CATEGORIA])</f>
        <v>FABRICACION</v>
      </c>
      <c r="E1208" s="33" t="str">
        <f>_xlfn.XLOOKUP(TablaSTOCKINV[[#This Row],[SKU]],TablaINVENTARIO[SKU],TablaINVENTARIO[SUBCATEGORIA])</f>
        <v>MATERIAL MECANICO</v>
      </c>
      <c r="F1208" s="33" t="str">
        <f>_xlfn.XLOOKUP(TablaSTOCKINV[[#This Row],[SKU]],TablaINVENTARIO[SKU],TablaINVENTARIO[ESTADO])</f>
        <v xml:space="preserve">NUEVO </v>
      </c>
      <c r="G1208" s="33" t="str">
        <f>_xlfn.XLOOKUP(TablaSTOCKINV[[#This Row],[SKU]],TablaINVENTARIO[SKU],TablaINVENTARIO[MEDIDA])</f>
        <v xml:space="preserve">KIT </v>
      </c>
      <c r="H1208" s="33" t="str">
        <f>_xlfn.XLOOKUP(TablaSTOCKINV[[#This Row],[SKU]],TablaINVENTARIO[SKU],TablaINVENTARIO[SERIAL])</f>
        <v>N/A</v>
      </c>
      <c r="I1208" s="34">
        <f>_xlfn.XLOOKUP(TablaSTOCKINV[[#This Row],[SKU]],TablaINVENTARIO[SKU],TablaINVENTARIO[ALMACEN])</f>
        <v>0</v>
      </c>
      <c r="J1208" s="34" t="str">
        <f>_xlfn.XLOOKUP(TablaSTOCKINV[[#This Row],[SKU]],TablaINVENTARIO[SKU],TablaINVENTARIO[UBICACION])</f>
        <v>F2-1</v>
      </c>
      <c r="K1208" s="34" t="str">
        <f>_xlfn.XLOOKUP(TablaSTOCKINV[[#This Row],[SKU]],TablaINVENTARIO[SKU],TablaINVENTARIO[DPTO RESPONSABLE])</f>
        <v xml:space="preserve">OPERACIONES </v>
      </c>
      <c r="L1208" s="53">
        <f>_xlfn.XLOOKUP(TablaSTOCKINV[[#This Row],[SKU]],TablaINVENTARIO[SKU],TablaINVENTARIO[RANGO MIN])</f>
        <v>0</v>
      </c>
      <c r="M1208" s="34" cm="1">
        <f t="array" ref="M1208">_xlfn.IFS(TablaSTOCKINV[[#This Row],[CANT. TOTAL]]&lt;=0,1,TablaSTOCKINV[[#This Row],[CANT. TOTAL]]&lt;=TablaSTOCKINV[[#This Row],[MIN]],2,TablaSTOCKINV[[#This Row],[CANT. TOTAL]]&gt;TablaSTOCKINV[[#This Row],[MIN]],3)</f>
        <v>3</v>
      </c>
      <c r="N1208" s="34">
        <f>TablaSTOCKINV[[#This Row],[ENTRADAS]]-TablaSTOCKINV[[#This Row],[SALIDAS]]</f>
        <v>1</v>
      </c>
      <c r="O1208" s="35">
        <f>SUMIFS(TablaENTRADA[CANT],TablaENTRADA[SKU],TablaSTOCKINV[[#This Row],[SKU]])</f>
        <v>1</v>
      </c>
      <c r="P1208" s="35">
        <f>SUMIFS(TablaSALIDA[CANT],TablaSALIDA[SKU],TablaSTOCKINV[[#This Row],[SKU]])</f>
        <v>0</v>
      </c>
      <c r="Q1208" s="34">
        <f>_xlfn.XLOOKUP(TablaSTOCKINV[[#This Row],[SKU]],TablaINVENTARIO[SKU],TablaINVENTARIO[PRECIO])</f>
        <v>0</v>
      </c>
      <c r="R1208" s="34">
        <f>TablaSTOCKINV[[#This Row],[P.UNITARIO]]*TablaSTOCKINV[[#This Row],[CANT. TOTAL]]</f>
        <v>0</v>
      </c>
      <c r="S1208" s="44">
        <f>_xlfn.XLOOKUP(TablaSTOCKINV[[#This Row],[SKU]],TablaINVENTARIO[SKU],TablaINVENTARIO[FECHA INGRESO])</f>
        <v>46023</v>
      </c>
      <c r="T1208" s="44">
        <f>_xlfn.XLOOKUP(TablaSTOCKINV[[#This Row],[SKU]],TablaENTRADA[SKU],TablaENTRADA[FECHA],,0,-1)</f>
        <v>46023</v>
      </c>
      <c r="U1208" s="46" t="str">
        <f>IFERROR((_xlfn.XLOOKUP(TablaSTOCKINV[[#This Row],[SKU]],TablaSALIDA[SKU],TablaSALIDA[FECHA],,0,-1))," " )</f>
        <v xml:space="preserve"> </v>
      </c>
    </row>
    <row r="1209" spans="1:21" x14ac:dyDescent="0.3">
      <c r="A1209" s="27" t="s">
        <v>3273</v>
      </c>
      <c r="B1209" s="32" t="str">
        <f>_xlfn.XLOOKUP(TablaSTOCKINV[[#This Row],[SKU]],TablaINVENTARIO[SKU],TablaINVENTARIO[DESCRIPCION])</f>
        <v xml:space="preserve">SELLO CONDUCTOR VERTICAL HORIZONTAL 2" </v>
      </c>
      <c r="C1209" s="32" t="str">
        <f>_xlfn.XLOOKUP(TablaSTOCKINV[[#This Row],[SKU]],TablaINVENTARIO[SKU],TablaINVENTARIO[MARCA])</f>
        <v>N/A</v>
      </c>
      <c r="D1209" s="33" t="str">
        <f>_xlfn.XLOOKUP(TablaSTOCKINV[[#This Row],[SKU]],TablaINVENTARIO[SKU],TablaINVENTARIO[CATEGORIA])</f>
        <v>FABRICACION</v>
      </c>
      <c r="E1209" s="33" t="str">
        <f>_xlfn.XLOOKUP(TablaSTOCKINV[[#This Row],[SKU]],TablaINVENTARIO[SKU],TablaINVENTARIO[SUBCATEGORIA])</f>
        <v>MATERIAL ELECTRICO</v>
      </c>
      <c r="F1209" s="33" t="str">
        <f>_xlfn.XLOOKUP(TablaSTOCKINV[[#This Row],[SKU]],TablaINVENTARIO[SKU],TablaINVENTARIO[ESTADO])</f>
        <v xml:space="preserve">NUEVO </v>
      </c>
      <c r="G1209" s="33" t="str">
        <f>_xlfn.XLOOKUP(TablaSTOCKINV[[#This Row],[SKU]],TablaINVENTARIO[SKU],TablaINVENTARIO[MEDIDA])</f>
        <v>UND</v>
      </c>
      <c r="H1209" s="33" t="str">
        <f>_xlfn.XLOOKUP(TablaSTOCKINV[[#This Row],[SKU]],TablaINVENTARIO[SKU],TablaINVENTARIO[SERIAL])</f>
        <v>N/A</v>
      </c>
      <c r="I1209" s="34">
        <f>_xlfn.XLOOKUP(TablaSTOCKINV[[#This Row],[SKU]],TablaINVENTARIO[SKU],TablaINVENTARIO[ALMACEN])</f>
        <v>0</v>
      </c>
      <c r="J1209" s="34" t="str">
        <f>_xlfn.XLOOKUP(TablaSTOCKINV[[#This Row],[SKU]],TablaINVENTARIO[SKU],TablaINVENTARIO[UBICACION])</f>
        <v>F2-1</v>
      </c>
      <c r="K1209" s="34" t="str">
        <f>_xlfn.XLOOKUP(TablaSTOCKINV[[#This Row],[SKU]],TablaINVENTARIO[SKU],TablaINVENTARIO[DPTO RESPONSABLE])</f>
        <v xml:space="preserve">OPERACIONES </v>
      </c>
      <c r="L1209" s="53">
        <f>_xlfn.XLOOKUP(TablaSTOCKINV[[#This Row],[SKU]],TablaINVENTARIO[SKU],TablaINVENTARIO[RANGO MIN])</f>
        <v>0</v>
      </c>
      <c r="M1209" s="34" cm="1">
        <f t="array" ref="M1209">_xlfn.IFS(TablaSTOCKINV[[#This Row],[CANT. TOTAL]]&lt;=0,1,TablaSTOCKINV[[#This Row],[CANT. TOTAL]]&lt;=TablaSTOCKINV[[#This Row],[MIN]],2,TablaSTOCKINV[[#This Row],[CANT. TOTAL]]&gt;TablaSTOCKINV[[#This Row],[MIN]],3)</f>
        <v>3</v>
      </c>
      <c r="N1209" s="34">
        <f>TablaSTOCKINV[[#This Row],[ENTRADAS]]-TablaSTOCKINV[[#This Row],[SALIDAS]]</f>
        <v>28</v>
      </c>
      <c r="O1209" s="35">
        <f>SUMIFS(TablaENTRADA[CANT],TablaENTRADA[SKU],TablaSTOCKINV[[#This Row],[SKU]])</f>
        <v>28</v>
      </c>
      <c r="P1209" s="35">
        <f>SUMIFS(TablaSALIDA[CANT],TablaSALIDA[SKU],TablaSTOCKINV[[#This Row],[SKU]])</f>
        <v>0</v>
      </c>
      <c r="Q1209" s="34">
        <f>_xlfn.XLOOKUP(TablaSTOCKINV[[#This Row],[SKU]],TablaINVENTARIO[SKU],TablaINVENTARIO[PRECIO])</f>
        <v>0</v>
      </c>
      <c r="R1209" s="34">
        <f>TablaSTOCKINV[[#This Row],[P.UNITARIO]]*TablaSTOCKINV[[#This Row],[CANT. TOTAL]]</f>
        <v>0</v>
      </c>
      <c r="S1209" s="44">
        <f>_xlfn.XLOOKUP(TablaSTOCKINV[[#This Row],[SKU]],TablaINVENTARIO[SKU],TablaINVENTARIO[FECHA INGRESO])</f>
        <v>46023</v>
      </c>
      <c r="T1209" s="44">
        <f>_xlfn.XLOOKUP(TablaSTOCKINV[[#This Row],[SKU]],TablaENTRADA[SKU],TablaENTRADA[FECHA],,0,-1)</f>
        <v>46023</v>
      </c>
      <c r="U1209" s="46" t="str">
        <f>IFERROR((_xlfn.XLOOKUP(TablaSTOCKINV[[#This Row],[SKU]],TablaSALIDA[SKU],TablaSALIDA[FECHA],,0,-1))," " )</f>
        <v xml:space="preserve"> </v>
      </c>
    </row>
    <row r="1210" spans="1:21" x14ac:dyDescent="0.3">
      <c r="A1210" s="27" t="s">
        <v>3275</v>
      </c>
      <c r="B1210" s="32" t="str">
        <f>_xlfn.XLOOKUP(TablaSTOCKINV[[#This Row],[SKU]],TablaINVENTARIO[SKU],TablaINVENTARIO[DESCRIPCION])</f>
        <v xml:space="preserve">CAJETIN DE 2 ENTRADAS 1" TIPO L </v>
      </c>
      <c r="C1210" s="32" t="str">
        <f>_xlfn.XLOOKUP(TablaSTOCKINV[[#This Row],[SKU]],TablaINVENTARIO[SKU],TablaINVENTARIO[MARCA])</f>
        <v>N/A</v>
      </c>
      <c r="D1210" s="33" t="str">
        <f>_xlfn.XLOOKUP(TablaSTOCKINV[[#This Row],[SKU]],TablaINVENTARIO[SKU],TablaINVENTARIO[CATEGORIA])</f>
        <v>FABRICACION</v>
      </c>
      <c r="E1210" s="33" t="str">
        <f>_xlfn.XLOOKUP(TablaSTOCKINV[[#This Row],[SKU]],TablaINVENTARIO[SKU],TablaINVENTARIO[SUBCATEGORIA])</f>
        <v>MATERIAL ELECTRICO</v>
      </c>
      <c r="F1210" s="33" t="str">
        <f>_xlfn.XLOOKUP(TablaSTOCKINV[[#This Row],[SKU]],TablaINVENTARIO[SKU],TablaINVENTARIO[ESTADO])</f>
        <v xml:space="preserve">NUEVO </v>
      </c>
      <c r="G1210" s="33" t="str">
        <f>_xlfn.XLOOKUP(TablaSTOCKINV[[#This Row],[SKU]],TablaINVENTARIO[SKU],TablaINVENTARIO[MEDIDA])</f>
        <v>UND</v>
      </c>
      <c r="H1210" s="33" t="str">
        <f>_xlfn.XLOOKUP(TablaSTOCKINV[[#This Row],[SKU]],TablaINVENTARIO[SKU],TablaINVENTARIO[SERIAL])</f>
        <v>N/A</v>
      </c>
      <c r="I1210" s="34">
        <f>_xlfn.XLOOKUP(TablaSTOCKINV[[#This Row],[SKU]],TablaINVENTARIO[SKU],TablaINVENTARIO[ALMACEN])</f>
        <v>0</v>
      </c>
      <c r="J1210" s="34" t="str">
        <f>_xlfn.XLOOKUP(TablaSTOCKINV[[#This Row],[SKU]],TablaINVENTARIO[SKU],TablaINVENTARIO[UBICACION])</f>
        <v>F3-2</v>
      </c>
      <c r="K1210" s="34" t="str">
        <f>_xlfn.XLOOKUP(TablaSTOCKINV[[#This Row],[SKU]],TablaINVENTARIO[SKU],TablaINVENTARIO[DPTO RESPONSABLE])</f>
        <v xml:space="preserve">OPERACIONES </v>
      </c>
      <c r="L1210" s="53">
        <f>_xlfn.XLOOKUP(TablaSTOCKINV[[#This Row],[SKU]],TablaINVENTARIO[SKU],TablaINVENTARIO[RANGO MIN])</f>
        <v>0</v>
      </c>
      <c r="M1210" s="34" cm="1">
        <f t="array" ref="M1210">_xlfn.IFS(TablaSTOCKINV[[#This Row],[CANT. TOTAL]]&lt;=0,1,TablaSTOCKINV[[#This Row],[CANT. TOTAL]]&lt;=TablaSTOCKINV[[#This Row],[MIN]],2,TablaSTOCKINV[[#This Row],[CANT. TOTAL]]&gt;TablaSTOCKINV[[#This Row],[MIN]],3)</f>
        <v>3</v>
      </c>
      <c r="N1210" s="34">
        <f>TablaSTOCKINV[[#This Row],[ENTRADAS]]-TablaSTOCKINV[[#This Row],[SALIDAS]]</f>
        <v>19</v>
      </c>
      <c r="O1210" s="35">
        <f>SUMIFS(TablaENTRADA[CANT],TablaENTRADA[SKU],TablaSTOCKINV[[#This Row],[SKU]])</f>
        <v>19</v>
      </c>
      <c r="P1210" s="35">
        <f>SUMIFS(TablaSALIDA[CANT],TablaSALIDA[SKU],TablaSTOCKINV[[#This Row],[SKU]])</f>
        <v>0</v>
      </c>
      <c r="Q1210" s="34">
        <f>_xlfn.XLOOKUP(TablaSTOCKINV[[#This Row],[SKU]],TablaINVENTARIO[SKU],TablaINVENTARIO[PRECIO])</f>
        <v>0</v>
      </c>
      <c r="R1210" s="34">
        <f>TablaSTOCKINV[[#This Row],[P.UNITARIO]]*TablaSTOCKINV[[#This Row],[CANT. TOTAL]]</f>
        <v>0</v>
      </c>
      <c r="S1210" s="44">
        <f>_xlfn.XLOOKUP(TablaSTOCKINV[[#This Row],[SKU]],TablaINVENTARIO[SKU],TablaINVENTARIO[FECHA INGRESO])</f>
        <v>46023</v>
      </c>
      <c r="T1210" s="44">
        <f>_xlfn.XLOOKUP(TablaSTOCKINV[[#This Row],[SKU]],TablaENTRADA[SKU],TablaENTRADA[FECHA],,0,-1)</f>
        <v>46023</v>
      </c>
      <c r="U1210" s="46" t="str">
        <f>IFERROR((_xlfn.XLOOKUP(TablaSTOCKINV[[#This Row],[SKU]],TablaSALIDA[SKU],TablaSALIDA[FECHA],,0,-1))," " )</f>
        <v xml:space="preserve"> </v>
      </c>
    </row>
    <row r="1211" spans="1:21" x14ac:dyDescent="0.3">
      <c r="A1211" s="27" t="s">
        <v>3278</v>
      </c>
      <c r="B1211" s="32" t="str">
        <f>_xlfn.XLOOKUP(TablaSTOCKINV[[#This Row],[SKU]],TablaINVENTARIO[SKU],TablaINVENTARIO[DESCRIPCION])</f>
        <v xml:space="preserve">CAJETIN 3  ENTRADAS TIPO T  </v>
      </c>
      <c r="C1211" s="32" t="str">
        <f>_xlfn.XLOOKUP(TablaSTOCKINV[[#This Row],[SKU]],TablaINVENTARIO[SKU],TablaINVENTARIO[MARCA])</f>
        <v>N/A</v>
      </c>
      <c r="D1211" s="33" t="str">
        <f>_xlfn.XLOOKUP(TablaSTOCKINV[[#This Row],[SKU]],TablaINVENTARIO[SKU],TablaINVENTARIO[CATEGORIA])</f>
        <v>FABRICACION</v>
      </c>
      <c r="E1211" s="33" t="str">
        <f>_xlfn.XLOOKUP(TablaSTOCKINV[[#This Row],[SKU]],TablaINVENTARIO[SKU],TablaINVENTARIO[SUBCATEGORIA])</f>
        <v>MATERIAL ELECTRICO</v>
      </c>
      <c r="F1211" s="33" t="str">
        <f>_xlfn.XLOOKUP(TablaSTOCKINV[[#This Row],[SKU]],TablaINVENTARIO[SKU],TablaINVENTARIO[ESTADO])</f>
        <v xml:space="preserve">NUEVO </v>
      </c>
      <c r="G1211" s="33" t="str">
        <f>_xlfn.XLOOKUP(TablaSTOCKINV[[#This Row],[SKU]],TablaINVENTARIO[SKU],TablaINVENTARIO[MEDIDA])</f>
        <v>UND</v>
      </c>
      <c r="H1211" s="33" t="str">
        <f>_xlfn.XLOOKUP(TablaSTOCKINV[[#This Row],[SKU]],TablaINVENTARIO[SKU],TablaINVENTARIO[SERIAL])</f>
        <v>N/A</v>
      </c>
      <c r="I1211" s="34">
        <f>_xlfn.XLOOKUP(TablaSTOCKINV[[#This Row],[SKU]],TablaINVENTARIO[SKU],TablaINVENTARIO[ALMACEN])</f>
        <v>0</v>
      </c>
      <c r="J1211" s="34" t="str">
        <f>_xlfn.XLOOKUP(TablaSTOCKINV[[#This Row],[SKU]],TablaINVENTARIO[SKU],TablaINVENTARIO[UBICACION])</f>
        <v>F3-1</v>
      </c>
      <c r="K1211" s="34" t="str">
        <f>_xlfn.XLOOKUP(TablaSTOCKINV[[#This Row],[SKU]],TablaINVENTARIO[SKU],TablaINVENTARIO[DPTO RESPONSABLE])</f>
        <v xml:space="preserve">OPERACIONES </v>
      </c>
      <c r="L1211" s="53">
        <f>_xlfn.XLOOKUP(TablaSTOCKINV[[#This Row],[SKU]],TablaINVENTARIO[SKU],TablaINVENTARIO[RANGO MIN])</f>
        <v>0</v>
      </c>
      <c r="M1211" s="34" cm="1">
        <f t="array" ref="M1211">_xlfn.IFS(TablaSTOCKINV[[#This Row],[CANT. TOTAL]]&lt;=0,1,TablaSTOCKINV[[#This Row],[CANT. TOTAL]]&lt;=TablaSTOCKINV[[#This Row],[MIN]],2,TablaSTOCKINV[[#This Row],[CANT. TOTAL]]&gt;TablaSTOCKINV[[#This Row],[MIN]],3)</f>
        <v>3</v>
      </c>
      <c r="N1211" s="34">
        <f>TablaSTOCKINV[[#This Row],[ENTRADAS]]-TablaSTOCKINV[[#This Row],[SALIDAS]]</f>
        <v>5</v>
      </c>
      <c r="O1211" s="35">
        <f>SUMIFS(TablaENTRADA[CANT],TablaENTRADA[SKU],TablaSTOCKINV[[#This Row],[SKU]])</f>
        <v>5</v>
      </c>
      <c r="P1211" s="35">
        <f>SUMIFS(TablaSALIDA[CANT],TablaSALIDA[SKU],TablaSTOCKINV[[#This Row],[SKU]])</f>
        <v>0</v>
      </c>
      <c r="Q1211" s="34">
        <f>_xlfn.XLOOKUP(TablaSTOCKINV[[#This Row],[SKU]],TablaINVENTARIO[SKU],TablaINVENTARIO[PRECIO])</f>
        <v>0</v>
      </c>
      <c r="R1211" s="34">
        <f>TablaSTOCKINV[[#This Row],[P.UNITARIO]]*TablaSTOCKINV[[#This Row],[CANT. TOTAL]]</f>
        <v>0</v>
      </c>
      <c r="S1211" s="44">
        <f>_xlfn.XLOOKUP(TablaSTOCKINV[[#This Row],[SKU]],TablaINVENTARIO[SKU],TablaINVENTARIO[FECHA INGRESO])</f>
        <v>46023</v>
      </c>
      <c r="T1211" s="44">
        <f>_xlfn.XLOOKUP(TablaSTOCKINV[[#This Row],[SKU]],TablaENTRADA[SKU],TablaENTRADA[FECHA],,0,-1)</f>
        <v>46023</v>
      </c>
      <c r="U1211" s="46" t="str">
        <f>IFERROR((_xlfn.XLOOKUP(TablaSTOCKINV[[#This Row],[SKU]],TablaSALIDA[SKU],TablaSALIDA[FECHA],,0,-1))," " )</f>
        <v xml:space="preserve"> </v>
      </c>
    </row>
    <row r="1212" spans="1:21" x14ac:dyDescent="0.3">
      <c r="A1212" s="27" t="s">
        <v>3281</v>
      </c>
      <c r="B1212" s="32" t="str">
        <f>_xlfn.XLOOKUP(TablaSTOCKINV[[#This Row],[SKU]],TablaINVENTARIO[SKU],TablaINVENTARIO[DESCRIPCION])</f>
        <v xml:space="preserve">CAJETIN TIPO LB </v>
      </c>
      <c r="C1212" s="32" t="str">
        <f>_xlfn.XLOOKUP(TablaSTOCKINV[[#This Row],[SKU]],TablaINVENTARIO[SKU],TablaINVENTARIO[MARCA])</f>
        <v>N/A</v>
      </c>
      <c r="D1212" s="33" t="str">
        <f>_xlfn.XLOOKUP(TablaSTOCKINV[[#This Row],[SKU]],TablaINVENTARIO[SKU],TablaINVENTARIO[CATEGORIA])</f>
        <v>FABRICACION</v>
      </c>
      <c r="E1212" s="33" t="str">
        <f>_xlfn.XLOOKUP(TablaSTOCKINV[[#This Row],[SKU]],TablaINVENTARIO[SKU],TablaINVENTARIO[SUBCATEGORIA])</f>
        <v>MATERIAL ELECTRICO</v>
      </c>
      <c r="F1212" s="33" t="str">
        <f>_xlfn.XLOOKUP(TablaSTOCKINV[[#This Row],[SKU]],TablaINVENTARIO[SKU],TablaINVENTARIO[ESTADO])</f>
        <v xml:space="preserve">NUEVO </v>
      </c>
      <c r="G1212" s="33" t="str">
        <f>_xlfn.XLOOKUP(TablaSTOCKINV[[#This Row],[SKU]],TablaINVENTARIO[SKU],TablaINVENTARIO[MEDIDA])</f>
        <v>UND</v>
      </c>
      <c r="H1212" s="33" t="str">
        <f>_xlfn.XLOOKUP(TablaSTOCKINV[[#This Row],[SKU]],TablaINVENTARIO[SKU],TablaINVENTARIO[SERIAL])</f>
        <v>N/A</v>
      </c>
      <c r="I1212" s="34">
        <f>_xlfn.XLOOKUP(TablaSTOCKINV[[#This Row],[SKU]],TablaINVENTARIO[SKU],TablaINVENTARIO[ALMACEN])</f>
        <v>0</v>
      </c>
      <c r="J1212" s="34" t="str">
        <f>_xlfn.XLOOKUP(TablaSTOCKINV[[#This Row],[SKU]],TablaINVENTARIO[SKU],TablaINVENTARIO[UBICACION])</f>
        <v>F3-2</v>
      </c>
      <c r="K1212" s="34" t="str">
        <f>_xlfn.XLOOKUP(TablaSTOCKINV[[#This Row],[SKU]],TablaINVENTARIO[SKU],TablaINVENTARIO[DPTO RESPONSABLE])</f>
        <v xml:space="preserve">OPERACIONES </v>
      </c>
      <c r="L1212" s="53">
        <f>_xlfn.XLOOKUP(TablaSTOCKINV[[#This Row],[SKU]],TablaINVENTARIO[SKU],TablaINVENTARIO[RANGO MIN])</f>
        <v>0</v>
      </c>
      <c r="M1212" s="34" cm="1">
        <f t="array" ref="M1212">_xlfn.IFS(TablaSTOCKINV[[#This Row],[CANT. TOTAL]]&lt;=0,1,TablaSTOCKINV[[#This Row],[CANT. TOTAL]]&lt;=TablaSTOCKINV[[#This Row],[MIN]],2,TablaSTOCKINV[[#This Row],[CANT. TOTAL]]&gt;TablaSTOCKINV[[#This Row],[MIN]],3)</f>
        <v>3</v>
      </c>
      <c r="N1212" s="34">
        <f>TablaSTOCKINV[[#This Row],[ENTRADAS]]-TablaSTOCKINV[[#This Row],[SALIDAS]]</f>
        <v>7</v>
      </c>
      <c r="O1212" s="35">
        <f>SUMIFS(TablaENTRADA[CANT],TablaENTRADA[SKU],TablaSTOCKINV[[#This Row],[SKU]])</f>
        <v>7</v>
      </c>
      <c r="P1212" s="35">
        <f>SUMIFS(TablaSALIDA[CANT],TablaSALIDA[SKU],TablaSTOCKINV[[#This Row],[SKU]])</f>
        <v>0</v>
      </c>
      <c r="Q1212" s="34">
        <f>_xlfn.XLOOKUP(TablaSTOCKINV[[#This Row],[SKU]],TablaINVENTARIO[SKU],TablaINVENTARIO[PRECIO])</f>
        <v>0</v>
      </c>
      <c r="R1212" s="34">
        <f>TablaSTOCKINV[[#This Row],[P.UNITARIO]]*TablaSTOCKINV[[#This Row],[CANT. TOTAL]]</f>
        <v>0</v>
      </c>
      <c r="S1212" s="44">
        <f>_xlfn.XLOOKUP(TablaSTOCKINV[[#This Row],[SKU]],TablaINVENTARIO[SKU],TablaINVENTARIO[FECHA INGRESO])</f>
        <v>46023</v>
      </c>
      <c r="T1212" s="44">
        <f>_xlfn.XLOOKUP(TablaSTOCKINV[[#This Row],[SKU]],TablaENTRADA[SKU],TablaENTRADA[FECHA],,0,-1)</f>
        <v>46023</v>
      </c>
      <c r="U1212" s="46" t="str">
        <f>IFERROR((_xlfn.XLOOKUP(TablaSTOCKINV[[#This Row],[SKU]],TablaSALIDA[SKU],TablaSALIDA[FECHA],,0,-1))," " )</f>
        <v xml:space="preserve"> </v>
      </c>
    </row>
    <row r="1213" spans="1:21" x14ac:dyDescent="0.3">
      <c r="A1213" s="27" t="s">
        <v>3283</v>
      </c>
      <c r="B1213" s="32" t="str">
        <f>_xlfn.XLOOKUP(TablaSTOCKINV[[#This Row],[SKU]],TablaINVENTARIO[SKU],TablaINVENTARIO[DESCRIPCION])</f>
        <v xml:space="preserve">CAJETIN TIPO T 1 1/2" </v>
      </c>
      <c r="C1213" s="32" t="str">
        <f>_xlfn.XLOOKUP(TablaSTOCKINV[[#This Row],[SKU]],TablaINVENTARIO[SKU],TablaINVENTARIO[MARCA])</f>
        <v>N/A</v>
      </c>
      <c r="D1213" s="33" t="str">
        <f>_xlfn.XLOOKUP(TablaSTOCKINV[[#This Row],[SKU]],TablaINVENTARIO[SKU],TablaINVENTARIO[CATEGORIA])</f>
        <v>FABRICACION</v>
      </c>
      <c r="E1213" s="33" t="str">
        <f>_xlfn.XLOOKUP(TablaSTOCKINV[[#This Row],[SKU]],TablaINVENTARIO[SKU],TablaINVENTARIO[SUBCATEGORIA])</f>
        <v>MATERIAL ELECTRICO</v>
      </c>
      <c r="F1213" s="33" t="str">
        <f>_xlfn.XLOOKUP(TablaSTOCKINV[[#This Row],[SKU]],TablaINVENTARIO[SKU],TablaINVENTARIO[ESTADO])</f>
        <v xml:space="preserve">NUEVO </v>
      </c>
      <c r="G1213" s="33" t="str">
        <f>_xlfn.XLOOKUP(TablaSTOCKINV[[#This Row],[SKU]],TablaINVENTARIO[SKU],TablaINVENTARIO[MEDIDA])</f>
        <v>UND</v>
      </c>
      <c r="H1213" s="33" t="str">
        <f>_xlfn.XLOOKUP(TablaSTOCKINV[[#This Row],[SKU]],TablaINVENTARIO[SKU],TablaINVENTARIO[SERIAL])</f>
        <v>N/A</v>
      </c>
      <c r="I1213" s="34">
        <f>_xlfn.XLOOKUP(TablaSTOCKINV[[#This Row],[SKU]],TablaINVENTARIO[SKU],TablaINVENTARIO[ALMACEN])</f>
        <v>0</v>
      </c>
      <c r="J1213" s="34" t="str">
        <f>_xlfn.XLOOKUP(TablaSTOCKINV[[#This Row],[SKU]],TablaINVENTARIO[SKU],TablaINVENTARIO[UBICACION])</f>
        <v>F3-2</v>
      </c>
      <c r="K1213" s="34" t="str">
        <f>_xlfn.XLOOKUP(TablaSTOCKINV[[#This Row],[SKU]],TablaINVENTARIO[SKU],TablaINVENTARIO[DPTO RESPONSABLE])</f>
        <v xml:space="preserve">OPERACIONES </v>
      </c>
      <c r="L1213" s="53">
        <f>_xlfn.XLOOKUP(TablaSTOCKINV[[#This Row],[SKU]],TablaINVENTARIO[SKU],TablaINVENTARIO[RANGO MIN])</f>
        <v>0</v>
      </c>
      <c r="M1213" s="34" cm="1">
        <f t="array" ref="M1213">_xlfn.IFS(TablaSTOCKINV[[#This Row],[CANT. TOTAL]]&lt;=0,1,TablaSTOCKINV[[#This Row],[CANT. TOTAL]]&lt;=TablaSTOCKINV[[#This Row],[MIN]],2,TablaSTOCKINV[[#This Row],[CANT. TOTAL]]&gt;TablaSTOCKINV[[#This Row],[MIN]],3)</f>
        <v>3</v>
      </c>
      <c r="N1213" s="34">
        <f>TablaSTOCKINV[[#This Row],[ENTRADAS]]-TablaSTOCKINV[[#This Row],[SALIDAS]]</f>
        <v>9</v>
      </c>
      <c r="O1213" s="35">
        <f>SUMIFS(TablaENTRADA[CANT],TablaENTRADA[SKU],TablaSTOCKINV[[#This Row],[SKU]])</f>
        <v>9</v>
      </c>
      <c r="P1213" s="35">
        <f>SUMIFS(TablaSALIDA[CANT],TablaSALIDA[SKU],TablaSTOCKINV[[#This Row],[SKU]])</f>
        <v>0</v>
      </c>
      <c r="Q1213" s="34">
        <f>_xlfn.XLOOKUP(TablaSTOCKINV[[#This Row],[SKU]],TablaINVENTARIO[SKU],TablaINVENTARIO[PRECIO])</f>
        <v>0</v>
      </c>
      <c r="R1213" s="34">
        <f>TablaSTOCKINV[[#This Row],[P.UNITARIO]]*TablaSTOCKINV[[#This Row],[CANT. TOTAL]]</f>
        <v>0</v>
      </c>
      <c r="S1213" s="44">
        <f>_xlfn.XLOOKUP(TablaSTOCKINV[[#This Row],[SKU]],TablaINVENTARIO[SKU],TablaINVENTARIO[FECHA INGRESO])</f>
        <v>46023</v>
      </c>
      <c r="T1213" s="44">
        <f>_xlfn.XLOOKUP(TablaSTOCKINV[[#This Row],[SKU]],TablaENTRADA[SKU],TablaENTRADA[FECHA],,0,-1)</f>
        <v>46023</v>
      </c>
      <c r="U1213" s="46" t="str">
        <f>IFERROR((_xlfn.XLOOKUP(TablaSTOCKINV[[#This Row],[SKU]],TablaSALIDA[SKU],TablaSALIDA[FECHA],,0,-1))," " )</f>
        <v xml:space="preserve"> </v>
      </c>
    </row>
    <row r="1214" spans="1:21" x14ac:dyDescent="0.3">
      <c r="A1214" s="27" t="s">
        <v>3285</v>
      </c>
      <c r="B1214" s="32" t="str">
        <f>_xlfn.XLOOKUP(TablaSTOCKINV[[#This Row],[SKU]],TablaINVENTARIO[SKU],TablaINVENTARIO[DESCRIPCION])</f>
        <v xml:space="preserve">CAJETIN TIPO T 1/2" </v>
      </c>
      <c r="C1214" s="32" t="str">
        <f>_xlfn.XLOOKUP(TablaSTOCKINV[[#This Row],[SKU]],TablaINVENTARIO[SKU],TablaINVENTARIO[MARCA])</f>
        <v>N/A</v>
      </c>
      <c r="D1214" s="33" t="str">
        <f>_xlfn.XLOOKUP(TablaSTOCKINV[[#This Row],[SKU]],TablaINVENTARIO[SKU],TablaINVENTARIO[CATEGORIA])</f>
        <v>FABRICACION</v>
      </c>
      <c r="E1214" s="33" t="str">
        <f>_xlfn.XLOOKUP(TablaSTOCKINV[[#This Row],[SKU]],TablaINVENTARIO[SKU],TablaINVENTARIO[SUBCATEGORIA])</f>
        <v>MATERIAL ELECTRICO</v>
      </c>
      <c r="F1214" s="33" t="str">
        <f>_xlfn.XLOOKUP(TablaSTOCKINV[[#This Row],[SKU]],TablaINVENTARIO[SKU],TablaINVENTARIO[ESTADO])</f>
        <v xml:space="preserve">NUEVO </v>
      </c>
      <c r="G1214" s="33" t="str">
        <f>_xlfn.XLOOKUP(TablaSTOCKINV[[#This Row],[SKU]],TablaINVENTARIO[SKU],TablaINVENTARIO[MEDIDA])</f>
        <v>UND</v>
      </c>
      <c r="H1214" s="33" t="str">
        <f>_xlfn.XLOOKUP(TablaSTOCKINV[[#This Row],[SKU]],TablaINVENTARIO[SKU],TablaINVENTARIO[SERIAL])</f>
        <v>N/A</v>
      </c>
      <c r="I1214" s="34">
        <f>_xlfn.XLOOKUP(TablaSTOCKINV[[#This Row],[SKU]],TablaINVENTARIO[SKU],TablaINVENTARIO[ALMACEN])</f>
        <v>0</v>
      </c>
      <c r="J1214" s="34" t="str">
        <f>_xlfn.XLOOKUP(TablaSTOCKINV[[#This Row],[SKU]],TablaINVENTARIO[SKU],TablaINVENTARIO[UBICACION])</f>
        <v>F3-1</v>
      </c>
      <c r="K1214" s="34" t="str">
        <f>_xlfn.XLOOKUP(TablaSTOCKINV[[#This Row],[SKU]],TablaINVENTARIO[SKU],TablaINVENTARIO[DPTO RESPONSABLE])</f>
        <v xml:space="preserve">OPERACIONES </v>
      </c>
      <c r="L1214" s="53">
        <f>_xlfn.XLOOKUP(TablaSTOCKINV[[#This Row],[SKU]],TablaINVENTARIO[SKU],TablaINVENTARIO[RANGO MIN])</f>
        <v>0</v>
      </c>
      <c r="M1214" s="34" cm="1">
        <f t="array" ref="M1214">_xlfn.IFS(TablaSTOCKINV[[#This Row],[CANT. TOTAL]]&lt;=0,1,TablaSTOCKINV[[#This Row],[CANT. TOTAL]]&lt;=TablaSTOCKINV[[#This Row],[MIN]],2,TablaSTOCKINV[[#This Row],[CANT. TOTAL]]&gt;TablaSTOCKINV[[#This Row],[MIN]],3)</f>
        <v>3</v>
      </c>
      <c r="N1214" s="34">
        <f>TablaSTOCKINV[[#This Row],[ENTRADAS]]-TablaSTOCKINV[[#This Row],[SALIDAS]]</f>
        <v>13</v>
      </c>
      <c r="O1214" s="35">
        <f>SUMIFS(TablaENTRADA[CANT],TablaENTRADA[SKU],TablaSTOCKINV[[#This Row],[SKU]])</f>
        <v>13</v>
      </c>
      <c r="P1214" s="35">
        <f>SUMIFS(TablaSALIDA[CANT],TablaSALIDA[SKU],TablaSTOCKINV[[#This Row],[SKU]])</f>
        <v>0</v>
      </c>
      <c r="Q1214" s="34">
        <f>_xlfn.XLOOKUP(TablaSTOCKINV[[#This Row],[SKU]],TablaINVENTARIO[SKU],TablaINVENTARIO[PRECIO])</f>
        <v>0</v>
      </c>
      <c r="R1214" s="34">
        <f>TablaSTOCKINV[[#This Row],[P.UNITARIO]]*TablaSTOCKINV[[#This Row],[CANT. TOTAL]]</f>
        <v>0</v>
      </c>
      <c r="S1214" s="44">
        <f>_xlfn.XLOOKUP(TablaSTOCKINV[[#This Row],[SKU]],TablaINVENTARIO[SKU],TablaINVENTARIO[FECHA INGRESO])</f>
        <v>46023</v>
      </c>
      <c r="T1214" s="44">
        <f>_xlfn.XLOOKUP(TablaSTOCKINV[[#This Row],[SKU]],TablaENTRADA[SKU],TablaENTRADA[FECHA],,0,-1)</f>
        <v>46023</v>
      </c>
      <c r="U1214" s="46" t="str">
        <f>IFERROR((_xlfn.XLOOKUP(TablaSTOCKINV[[#This Row],[SKU]],TablaSALIDA[SKU],TablaSALIDA[FECHA],,0,-1))," " )</f>
        <v xml:space="preserve"> </v>
      </c>
    </row>
    <row r="1215" spans="1:21" x14ac:dyDescent="0.3">
      <c r="A1215" s="27" t="s">
        <v>3287</v>
      </c>
      <c r="B1215" s="32" t="str">
        <f>_xlfn.XLOOKUP(TablaSTOCKINV[[#This Row],[SKU]],TablaINVENTARIO[SKU],TablaINVENTARIO[DESCRIPCION])</f>
        <v xml:space="preserve">CAJETIN HORIZONTAL 2 ENTRADAS TIPO C 1/2" </v>
      </c>
      <c r="C1215" s="32" t="str">
        <f>_xlfn.XLOOKUP(TablaSTOCKINV[[#This Row],[SKU]],TablaINVENTARIO[SKU],TablaINVENTARIO[MARCA])</f>
        <v>N/A</v>
      </c>
      <c r="D1215" s="33" t="str">
        <f>_xlfn.XLOOKUP(TablaSTOCKINV[[#This Row],[SKU]],TablaINVENTARIO[SKU],TablaINVENTARIO[CATEGORIA])</f>
        <v>FABRICACION</v>
      </c>
      <c r="E1215" s="33" t="str">
        <f>_xlfn.XLOOKUP(TablaSTOCKINV[[#This Row],[SKU]],TablaINVENTARIO[SKU],TablaINVENTARIO[SUBCATEGORIA])</f>
        <v>MATERIAL ELECTRICO</v>
      </c>
      <c r="F1215" s="33" t="str">
        <f>_xlfn.XLOOKUP(TablaSTOCKINV[[#This Row],[SKU]],TablaINVENTARIO[SKU],TablaINVENTARIO[ESTADO])</f>
        <v xml:space="preserve">NUEVO </v>
      </c>
      <c r="G1215" s="33" t="str">
        <f>_xlfn.XLOOKUP(TablaSTOCKINV[[#This Row],[SKU]],TablaINVENTARIO[SKU],TablaINVENTARIO[MEDIDA])</f>
        <v>UND</v>
      </c>
      <c r="H1215" s="33" t="str">
        <f>_xlfn.XLOOKUP(TablaSTOCKINV[[#This Row],[SKU]],TablaINVENTARIO[SKU],TablaINVENTARIO[SERIAL])</f>
        <v>N/A</v>
      </c>
      <c r="I1215" s="34">
        <f>_xlfn.XLOOKUP(TablaSTOCKINV[[#This Row],[SKU]],TablaINVENTARIO[SKU],TablaINVENTARIO[ALMACEN])</f>
        <v>0</v>
      </c>
      <c r="J1215" s="34" t="str">
        <f>_xlfn.XLOOKUP(TablaSTOCKINV[[#This Row],[SKU]],TablaINVENTARIO[SKU],TablaINVENTARIO[UBICACION])</f>
        <v>F3-2</v>
      </c>
      <c r="K1215" s="34" t="str">
        <f>_xlfn.XLOOKUP(TablaSTOCKINV[[#This Row],[SKU]],TablaINVENTARIO[SKU],TablaINVENTARIO[DPTO RESPONSABLE])</f>
        <v xml:space="preserve">OPERACIONES </v>
      </c>
      <c r="L1215" s="53">
        <f>_xlfn.XLOOKUP(TablaSTOCKINV[[#This Row],[SKU]],TablaINVENTARIO[SKU],TablaINVENTARIO[RANGO MIN])</f>
        <v>0</v>
      </c>
      <c r="M1215" s="34" cm="1">
        <f t="array" ref="M1215">_xlfn.IFS(TablaSTOCKINV[[#This Row],[CANT. TOTAL]]&lt;=0,1,TablaSTOCKINV[[#This Row],[CANT. TOTAL]]&lt;=TablaSTOCKINV[[#This Row],[MIN]],2,TablaSTOCKINV[[#This Row],[CANT. TOTAL]]&gt;TablaSTOCKINV[[#This Row],[MIN]],3)</f>
        <v>3</v>
      </c>
      <c r="N1215" s="34">
        <f>TablaSTOCKINV[[#This Row],[ENTRADAS]]-TablaSTOCKINV[[#This Row],[SALIDAS]]</f>
        <v>15</v>
      </c>
      <c r="O1215" s="35">
        <f>SUMIFS(TablaENTRADA[CANT],TablaENTRADA[SKU],TablaSTOCKINV[[#This Row],[SKU]])</f>
        <v>15</v>
      </c>
      <c r="P1215" s="35">
        <f>SUMIFS(TablaSALIDA[CANT],TablaSALIDA[SKU],TablaSTOCKINV[[#This Row],[SKU]])</f>
        <v>0</v>
      </c>
      <c r="Q1215" s="34">
        <f>_xlfn.XLOOKUP(TablaSTOCKINV[[#This Row],[SKU]],TablaINVENTARIO[SKU],TablaINVENTARIO[PRECIO])</f>
        <v>0</v>
      </c>
      <c r="R1215" s="34">
        <f>TablaSTOCKINV[[#This Row],[P.UNITARIO]]*TablaSTOCKINV[[#This Row],[CANT. TOTAL]]</f>
        <v>0</v>
      </c>
      <c r="S1215" s="44">
        <f>_xlfn.XLOOKUP(TablaSTOCKINV[[#This Row],[SKU]],TablaINVENTARIO[SKU],TablaINVENTARIO[FECHA INGRESO])</f>
        <v>46023</v>
      </c>
      <c r="T1215" s="44">
        <f>_xlfn.XLOOKUP(TablaSTOCKINV[[#This Row],[SKU]],TablaENTRADA[SKU],TablaENTRADA[FECHA],,0,-1)</f>
        <v>46023</v>
      </c>
      <c r="U1215" s="46" t="str">
        <f>IFERROR((_xlfn.XLOOKUP(TablaSTOCKINV[[#This Row],[SKU]],TablaSALIDA[SKU],TablaSALIDA[FECHA],,0,-1))," " )</f>
        <v xml:space="preserve"> </v>
      </c>
    </row>
    <row r="1216" spans="1:21" x14ac:dyDescent="0.3">
      <c r="A1216" s="27" t="s">
        <v>3289</v>
      </c>
      <c r="B1216" s="32" t="str">
        <f>_xlfn.XLOOKUP(TablaSTOCKINV[[#This Row],[SKU]],TablaINVENTARIO[SKU],TablaINVENTARIO[DESCRIPCION])</f>
        <v xml:space="preserve">CAJETIN METALICO HEXAGONAL </v>
      </c>
      <c r="C1216" s="32" t="str">
        <f>_xlfn.XLOOKUP(TablaSTOCKINV[[#This Row],[SKU]],TablaINVENTARIO[SKU],TablaINVENTARIO[MARCA])</f>
        <v>N/A</v>
      </c>
      <c r="D1216" s="33" t="str">
        <f>_xlfn.XLOOKUP(TablaSTOCKINV[[#This Row],[SKU]],TablaINVENTARIO[SKU],TablaINVENTARIO[CATEGORIA])</f>
        <v>FABRICACION</v>
      </c>
      <c r="E1216" s="33" t="str">
        <f>_xlfn.XLOOKUP(TablaSTOCKINV[[#This Row],[SKU]],TablaINVENTARIO[SKU],TablaINVENTARIO[SUBCATEGORIA])</f>
        <v>MATERIAL ELECTRICO</v>
      </c>
      <c r="F1216" s="33" t="str">
        <f>_xlfn.XLOOKUP(TablaSTOCKINV[[#This Row],[SKU]],TablaINVENTARIO[SKU],TablaINVENTARIO[ESTADO])</f>
        <v xml:space="preserve">NUEVO </v>
      </c>
      <c r="G1216" s="33" t="str">
        <f>_xlfn.XLOOKUP(TablaSTOCKINV[[#This Row],[SKU]],TablaINVENTARIO[SKU],TablaINVENTARIO[MEDIDA])</f>
        <v>UND</v>
      </c>
      <c r="H1216" s="33" t="str">
        <f>_xlfn.XLOOKUP(TablaSTOCKINV[[#This Row],[SKU]],TablaINVENTARIO[SKU],TablaINVENTARIO[SERIAL])</f>
        <v>N/A</v>
      </c>
      <c r="I1216" s="34">
        <f>_xlfn.XLOOKUP(TablaSTOCKINV[[#This Row],[SKU]],TablaINVENTARIO[SKU],TablaINVENTARIO[ALMACEN])</f>
        <v>0</v>
      </c>
      <c r="J1216" s="34" t="str">
        <f>_xlfn.XLOOKUP(TablaSTOCKINV[[#This Row],[SKU]],TablaINVENTARIO[SKU],TablaINVENTARIO[UBICACION])</f>
        <v>F3-1</v>
      </c>
      <c r="K1216" s="34" t="str">
        <f>_xlfn.XLOOKUP(TablaSTOCKINV[[#This Row],[SKU]],TablaINVENTARIO[SKU],TablaINVENTARIO[DPTO RESPONSABLE])</f>
        <v xml:space="preserve">OPERACIONES </v>
      </c>
      <c r="L1216" s="53">
        <f>_xlfn.XLOOKUP(TablaSTOCKINV[[#This Row],[SKU]],TablaINVENTARIO[SKU],TablaINVENTARIO[RANGO MIN])</f>
        <v>0</v>
      </c>
      <c r="M1216" s="34" cm="1">
        <f t="array" ref="M1216">_xlfn.IFS(TablaSTOCKINV[[#This Row],[CANT. TOTAL]]&lt;=0,1,TablaSTOCKINV[[#This Row],[CANT. TOTAL]]&lt;=TablaSTOCKINV[[#This Row],[MIN]],2,TablaSTOCKINV[[#This Row],[CANT. TOTAL]]&gt;TablaSTOCKINV[[#This Row],[MIN]],3)</f>
        <v>3</v>
      </c>
      <c r="N1216" s="34">
        <f>TablaSTOCKINV[[#This Row],[ENTRADAS]]-TablaSTOCKINV[[#This Row],[SALIDAS]]</f>
        <v>2</v>
      </c>
      <c r="O1216" s="35">
        <f>SUMIFS(TablaENTRADA[CANT],TablaENTRADA[SKU],TablaSTOCKINV[[#This Row],[SKU]])</f>
        <v>2</v>
      </c>
      <c r="P1216" s="35">
        <f>SUMIFS(TablaSALIDA[CANT],TablaSALIDA[SKU],TablaSTOCKINV[[#This Row],[SKU]])</f>
        <v>0</v>
      </c>
      <c r="Q1216" s="34">
        <f>_xlfn.XLOOKUP(TablaSTOCKINV[[#This Row],[SKU]],TablaINVENTARIO[SKU],TablaINVENTARIO[PRECIO])</f>
        <v>0</v>
      </c>
      <c r="R1216" s="34">
        <f>TablaSTOCKINV[[#This Row],[P.UNITARIO]]*TablaSTOCKINV[[#This Row],[CANT. TOTAL]]</f>
        <v>0</v>
      </c>
      <c r="S1216" s="44">
        <f>_xlfn.XLOOKUP(TablaSTOCKINV[[#This Row],[SKU]],TablaINVENTARIO[SKU],TablaINVENTARIO[FECHA INGRESO])</f>
        <v>46023</v>
      </c>
      <c r="T1216" s="44">
        <f>_xlfn.XLOOKUP(TablaSTOCKINV[[#This Row],[SKU]],TablaENTRADA[SKU],TablaENTRADA[FECHA],,0,-1)</f>
        <v>46023</v>
      </c>
      <c r="U1216" s="46" t="str">
        <f>IFERROR((_xlfn.XLOOKUP(TablaSTOCKINV[[#This Row],[SKU]],TablaSALIDA[SKU],TablaSALIDA[FECHA],,0,-1))," " )</f>
        <v xml:space="preserve"> </v>
      </c>
    </row>
    <row r="1217" spans="1:21" x14ac:dyDescent="0.3">
      <c r="A1217" s="27" t="s">
        <v>3291</v>
      </c>
      <c r="B1217" s="32" t="str">
        <f>_xlfn.XLOOKUP(TablaSTOCKINV[[#This Row],[SKU]],TablaINVENTARIO[SKU],TablaINVENTARIO[DESCRIPCION])</f>
        <v xml:space="preserve">CAJETIN METALICO RECTANGULAR </v>
      </c>
      <c r="C1217" s="32" t="str">
        <f>_xlfn.XLOOKUP(TablaSTOCKINV[[#This Row],[SKU]],TablaINVENTARIO[SKU],TablaINVENTARIO[MARCA])</f>
        <v>N/A</v>
      </c>
      <c r="D1217" s="33" t="str">
        <f>_xlfn.XLOOKUP(TablaSTOCKINV[[#This Row],[SKU]],TablaINVENTARIO[SKU],TablaINVENTARIO[CATEGORIA])</f>
        <v>FABRICACION</v>
      </c>
      <c r="E1217" s="33" t="str">
        <f>_xlfn.XLOOKUP(TablaSTOCKINV[[#This Row],[SKU]],TablaINVENTARIO[SKU],TablaINVENTARIO[SUBCATEGORIA])</f>
        <v>MATERIAL ELECTRICO</v>
      </c>
      <c r="F1217" s="33" t="str">
        <f>_xlfn.XLOOKUP(TablaSTOCKINV[[#This Row],[SKU]],TablaINVENTARIO[SKU],TablaINVENTARIO[ESTADO])</f>
        <v xml:space="preserve">NUEVO </v>
      </c>
      <c r="G1217" s="33" t="str">
        <f>_xlfn.XLOOKUP(TablaSTOCKINV[[#This Row],[SKU]],TablaINVENTARIO[SKU],TablaINVENTARIO[MEDIDA])</f>
        <v>UND</v>
      </c>
      <c r="H1217" s="33" t="str">
        <f>_xlfn.XLOOKUP(TablaSTOCKINV[[#This Row],[SKU]],TablaINVENTARIO[SKU],TablaINVENTARIO[SERIAL])</f>
        <v>N/A</v>
      </c>
      <c r="I1217" s="34">
        <f>_xlfn.XLOOKUP(TablaSTOCKINV[[#This Row],[SKU]],TablaINVENTARIO[SKU],TablaINVENTARIO[ALMACEN])</f>
        <v>0</v>
      </c>
      <c r="J1217" s="34" t="str">
        <f>_xlfn.XLOOKUP(TablaSTOCKINV[[#This Row],[SKU]],TablaINVENTARIO[SKU],TablaINVENTARIO[UBICACION])</f>
        <v>F3-1</v>
      </c>
      <c r="K1217" s="34" t="str">
        <f>_xlfn.XLOOKUP(TablaSTOCKINV[[#This Row],[SKU]],TablaINVENTARIO[SKU],TablaINVENTARIO[DPTO RESPONSABLE])</f>
        <v xml:space="preserve">OPERACIONES </v>
      </c>
      <c r="L1217" s="53">
        <f>_xlfn.XLOOKUP(TablaSTOCKINV[[#This Row],[SKU]],TablaINVENTARIO[SKU],TablaINVENTARIO[RANGO MIN])</f>
        <v>0</v>
      </c>
      <c r="M1217" s="34" cm="1">
        <f t="array" ref="M1217">_xlfn.IFS(TablaSTOCKINV[[#This Row],[CANT. TOTAL]]&lt;=0,1,TablaSTOCKINV[[#This Row],[CANT. TOTAL]]&lt;=TablaSTOCKINV[[#This Row],[MIN]],2,TablaSTOCKINV[[#This Row],[CANT. TOTAL]]&gt;TablaSTOCKINV[[#This Row],[MIN]],3)</f>
        <v>3</v>
      </c>
      <c r="N1217" s="34">
        <f>TablaSTOCKINV[[#This Row],[ENTRADAS]]-TablaSTOCKINV[[#This Row],[SALIDAS]]</f>
        <v>19</v>
      </c>
      <c r="O1217" s="35">
        <f>SUMIFS(TablaENTRADA[CANT],TablaENTRADA[SKU],TablaSTOCKINV[[#This Row],[SKU]])</f>
        <v>19</v>
      </c>
      <c r="P1217" s="35">
        <f>SUMIFS(TablaSALIDA[CANT],TablaSALIDA[SKU],TablaSTOCKINV[[#This Row],[SKU]])</f>
        <v>0</v>
      </c>
      <c r="Q1217" s="34">
        <f>_xlfn.XLOOKUP(TablaSTOCKINV[[#This Row],[SKU]],TablaINVENTARIO[SKU],TablaINVENTARIO[PRECIO])</f>
        <v>0</v>
      </c>
      <c r="R1217" s="34">
        <f>TablaSTOCKINV[[#This Row],[P.UNITARIO]]*TablaSTOCKINV[[#This Row],[CANT. TOTAL]]</f>
        <v>0</v>
      </c>
      <c r="S1217" s="44">
        <f>_xlfn.XLOOKUP(TablaSTOCKINV[[#This Row],[SKU]],TablaINVENTARIO[SKU],TablaINVENTARIO[FECHA INGRESO])</f>
        <v>46023</v>
      </c>
      <c r="T1217" s="44">
        <f>_xlfn.XLOOKUP(TablaSTOCKINV[[#This Row],[SKU]],TablaENTRADA[SKU],TablaENTRADA[FECHA],,0,-1)</f>
        <v>46023</v>
      </c>
      <c r="U1217" s="46" t="str">
        <f>IFERROR((_xlfn.XLOOKUP(TablaSTOCKINV[[#This Row],[SKU]],TablaSALIDA[SKU],TablaSALIDA[FECHA],,0,-1))," " )</f>
        <v xml:space="preserve"> </v>
      </c>
    </row>
    <row r="1218" spans="1:21" x14ac:dyDescent="0.3">
      <c r="A1218" s="27" t="s">
        <v>3293</v>
      </c>
      <c r="B1218" s="32" t="str">
        <f>_xlfn.XLOOKUP(TablaSTOCKINV[[#This Row],[SKU]],TablaINVENTARIO[SKU],TablaINVENTARIO[DESCRIPCION])</f>
        <v xml:space="preserve">CAJETIN 1" TIPO LR  </v>
      </c>
      <c r="C1218" s="32" t="str">
        <f>_xlfn.XLOOKUP(TablaSTOCKINV[[#This Row],[SKU]],TablaINVENTARIO[SKU],TablaINVENTARIO[MARCA])</f>
        <v>N/A</v>
      </c>
      <c r="D1218" s="33" t="str">
        <f>_xlfn.XLOOKUP(TablaSTOCKINV[[#This Row],[SKU]],TablaINVENTARIO[SKU],TablaINVENTARIO[CATEGORIA])</f>
        <v>FABRICACION</v>
      </c>
      <c r="E1218" s="33" t="str">
        <f>_xlfn.XLOOKUP(TablaSTOCKINV[[#This Row],[SKU]],TablaINVENTARIO[SKU],TablaINVENTARIO[SUBCATEGORIA])</f>
        <v>MATERIAL ELECTRICO</v>
      </c>
      <c r="F1218" s="33" t="str">
        <f>_xlfn.XLOOKUP(TablaSTOCKINV[[#This Row],[SKU]],TablaINVENTARIO[SKU],TablaINVENTARIO[ESTADO])</f>
        <v xml:space="preserve">NUEVO </v>
      </c>
      <c r="G1218" s="33" t="str">
        <f>_xlfn.XLOOKUP(TablaSTOCKINV[[#This Row],[SKU]],TablaINVENTARIO[SKU],TablaINVENTARIO[MEDIDA])</f>
        <v>UND</v>
      </c>
      <c r="H1218" s="33" t="str">
        <f>_xlfn.XLOOKUP(TablaSTOCKINV[[#This Row],[SKU]],TablaINVENTARIO[SKU],TablaINVENTARIO[SERIAL])</f>
        <v>N/A</v>
      </c>
      <c r="I1218" s="34">
        <f>_xlfn.XLOOKUP(TablaSTOCKINV[[#This Row],[SKU]],TablaINVENTARIO[SKU],TablaINVENTARIO[ALMACEN])</f>
        <v>0</v>
      </c>
      <c r="J1218" s="34" t="str">
        <f>_xlfn.XLOOKUP(TablaSTOCKINV[[#This Row],[SKU]],TablaINVENTARIO[SKU],TablaINVENTARIO[UBICACION])</f>
        <v>F3-1</v>
      </c>
      <c r="K1218" s="34" t="str">
        <f>_xlfn.XLOOKUP(TablaSTOCKINV[[#This Row],[SKU]],TablaINVENTARIO[SKU],TablaINVENTARIO[DPTO RESPONSABLE])</f>
        <v xml:space="preserve">OPERACIONES </v>
      </c>
      <c r="L1218" s="53">
        <f>_xlfn.XLOOKUP(TablaSTOCKINV[[#This Row],[SKU]],TablaINVENTARIO[SKU],TablaINVENTARIO[RANGO MIN])</f>
        <v>0</v>
      </c>
      <c r="M1218" s="34" cm="1">
        <f t="array" ref="M1218">_xlfn.IFS(TablaSTOCKINV[[#This Row],[CANT. TOTAL]]&lt;=0,1,TablaSTOCKINV[[#This Row],[CANT. TOTAL]]&lt;=TablaSTOCKINV[[#This Row],[MIN]],2,TablaSTOCKINV[[#This Row],[CANT. TOTAL]]&gt;TablaSTOCKINV[[#This Row],[MIN]],3)</f>
        <v>3</v>
      </c>
      <c r="N1218" s="34">
        <f>TablaSTOCKINV[[#This Row],[ENTRADAS]]-TablaSTOCKINV[[#This Row],[SALIDAS]]</f>
        <v>1</v>
      </c>
      <c r="O1218" s="35">
        <f>SUMIFS(TablaENTRADA[CANT],TablaENTRADA[SKU],TablaSTOCKINV[[#This Row],[SKU]])</f>
        <v>1</v>
      </c>
      <c r="P1218" s="35">
        <f>SUMIFS(TablaSALIDA[CANT],TablaSALIDA[SKU],TablaSTOCKINV[[#This Row],[SKU]])</f>
        <v>0</v>
      </c>
      <c r="Q1218" s="34">
        <f>_xlfn.XLOOKUP(TablaSTOCKINV[[#This Row],[SKU]],TablaINVENTARIO[SKU],TablaINVENTARIO[PRECIO])</f>
        <v>0</v>
      </c>
      <c r="R1218" s="34">
        <f>TablaSTOCKINV[[#This Row],[P.UNITARIO]]*TablaSTOCKINV[[#This Row],[CANT. TOTAL]]</f>
        <v>0</v>
      </c>
      <c r="S1218" s="44">
        <f>_xlfn.XLOOKUP(TablaSTOCKINV[[#This Row],[SKU]],TablaINVENTARIO[SKU],TablaINVENTARIO[FECHA INGRESO])</f>
        <v>46023</v>
      </c>
      <c r="T1218" s="44">
        <f>_xlfn.XLOOKUP(TablaSTOCKINV[[#This Row],[SKU]],TablaENTRADA[SKU],TablaENTRADA[FECHA],,0,-1)</f>
        <v>46023</v>
      </c>
      <c r="U1218" s="46" t="str">
        <f>IFERROR((_xlfn.XLOOKUP(TablaSTOCKINV[[#This Row],[SKU]],TablaSALIDA[SKU],TablaSALIDA[FECHA],,0,-1))," " )</f>
        <v xml:space="preserve"> </v>
      </c>
    </row>
    <row r="1219" spans="1:21" x14ac:dyDescent="0.3">
      <c r="A1219" s="27" t="s">
        <v>3295</v>
      </c>
      <c r="B1219" s="32" t="str">
        <f>_xlfn.XLOOKUP(TablaSTOCKINV[[#This Row],[SKU]],TablaINVENTARIO[SKU],TablaINVENTARIO[DESCRIPCION])</f>
        <v xml:space="preserve">CAJETIN LINEAL 2" </v>
      </c>
      <c r="C1219" s="32" t="str">
        <f>_xlfn.XLOOKUP(TablaSTOCKINV[[#This Row],[SKU]],TablaINVENTARIO[SKU],TablaINVENTARIO[MARCA])</f>
        <v>N/A</v>
      </c>
      <c r="D1219" s="33" t="str">
        <f>_xlfn.XLOOKUP(TablaSTOCKINV[[#This Row],[SKU]],TablaINVENTARIO[SKU],TablaINVENTARIO[CATEGORIA])</f>
        <v>FABRICACION</v>
      </c>
      <c r="E1219" s="33" t="str">
        <f>_xlfn.XLOOKUP(TablaSTOCKINV[[#This Row],[SKU]],TablaINVENTARIO[SKU],TablaINVENTARIO[SUBCATEGORIA])</f>
        <v>MATERIAL ELECTRICO</v>
      </c>
      <c r="F1219" s="33" t="str">
        <f>_xlfn.XLOOKUP(TablaSTOCKINV[[#This Row],[SKU]],TablaINVENTARIO[SKU],TablaINVENTARIO[ESTADO])</f>
        <v xml:space="preserve">NUEVO </v>
      </c>
      <c r="G1219" s="33" t="str">
        <f>_xlfn.XLOOKUP(TablaSTOCKINV[[#This Row],[SKU]],TablaINVENTARIO[SKU],TablaINVENTARIO[MEDIDA])</f>
        <v>UND</v>
      </c>
      <c r="H1219" s="33" t="str">
        <f>_xlfn.XLOOKUP(TablaSTOCKINV[[#This Row],[SKU]],TablaINVENTARIO[SKU],TablaINVENTARIO[SERIAL])</f>
        <v>N/A</v>
      </c>
      <c r="I1219" s="34">
        <f>_xlfn.XLOOKUP(TablaSTOCKINV[[#This Row],[SKU]],TablaINVENTARIO[SKU],TablaINVENTARIO[ALMACEN])</f>
        <v>0</v>
      </c>
      <c r="J1219" s="34" t="str">
        <f>_xlfn.XLOOKUP(TablaSTOCKINV[[#This Row],[SKU]],TablaINVENTARIO[SKU],TablaINVENTARIO[UBICACION])</f>
        <v>F3-1</v>
      </c>
      <c r="K1219" s="34" t="str">
        <f>_xlfn.XLOOKUP(TablaSTOCKINV[[#This Row],[SKU]],TablaINVENTARIO[SKU],TablaINVENTARIO[DPTO RESPONSABLE])</f>
        <v xml:space="preserve">OPERACIONES </v>
      </c>
      <c r="L1219" s="53">
        <f>_xlfn.XLOOKUP(TablaSTOCKINV[[#This Row],[SKU]],TablaINVENTARIO[SKU],TablaINVENTARIO[RANGO MIN])</f>
        <v>0</v>
      </c>
      <c r="M1219" s="34" cm="1">
        <f t="array" ref="M1219">_xlfn.IFS(TablaSTOCKINV[[#This Row],[CANT. TOTAL]]&lt;=0,1,TablaSTOCKINV[[#This Row],[CANT. TOTAL]]&lt;=TablaSTOCKINV[[#This Row],[MIN]],2,TablaSTOCKINV[[#This Row],[CANT. TOTAL]]&gt;TablaSTOCKINV[[#This Row],[MIN]],3)</f>
        <v>3</v>
      </c>
      <c r="N1219" s="34">
        <f>TablaSTOCKINV[[#This Row],[ENTRADAS]]-TablaSTOCKINV[[#This Row],[SALIDAS]]</f>
        <v>1</v>
      </c>
      <c r="O1219" s="35">
        <f>SUMIFS(TablaENTRADA[CANT],TablaENTRADA[SKU],TablaSTOCKINV[[#This Row],[SKU]])</f>
        <v>1</v>
      </c>
      <c r="P1219" s="35">
        <f>SUMIFS(TablaSALIDA[CANT],TablaSALIDA[SKU],TablaSTOCKINV[[#This Row],[SKU]])</f>
        <v>0</v>
      </c>
      <c r="Q1219" s="34">
        <f>_xlfn.XLOOKUP(TablaSTOCKINV[[#This Row],[SKU]],TablaINVENTARIO[SKU],TablaINVENTARIO[PRECIO])</f>
        <v>0</v>
      </c>
      <c r="R1219" s="34">
        <f>TablaSTOCKINV[[#This Row],[P.UNITARIO]]*TablaSTOCKINV[[#This Row],[CANT. TOTAL]]</f>
        <v>0</v>
      </c>
      <c r="S1219" s="44">
        <f>_xlfn.XLOOKUP(TablaSTOCKINV[[#This Row],[SKU]],TablaINVENTARIO[SKU],TablaINVENTARIO[FECHA INGRESO])</f>
        <v>46023</v>
      </c>
      <c r="T1219" s="44">
        <f>_xlfn.XLOOKUP(TablaSTOCKINV[[#This Row],[SKU]],TablaENTRADA[SKU],TablaENTRADA[FECHA],,0,-1)</f>
        <v>46023</v>
      </c>
      <c r="U1219" s="46" t="str">
        <f>IFERROR((_xlfn.XLOOKUP(TablaSTOCKINV[[#This Row],[SKU]],TablaSALIDA[SKU],TablaSALIDA[FECHA],,0,-1))," " )</f>
        <v xml:space="preserve"> </v>
      </c>
    </row>
    <row r="1220" spans="1:21" x14ac:dyDescent="0.3">
      <c r="A1220" s="27" t="s">
        <v>3297</v>
      </c>
      <c r="B1220" s="32" t="str">
        <f>_xlfn.XLOOKUP(TablaSTOCKINV[[#This Row],[SKU]],TablaINVENTARIO[SKU],TablaINVENTARIO[DESCRIPCION])</f>
        <v>ANILLO DE EMPALME 1/2"</v>
      </c>
      <c r="C1220" s="32" t="str">
        <f>_xlfn.XLOOKUP(TablaSTOCKINV[[#This Row],[SKU]],TablaINVENTARIO[SKU],TablaINVENTARIO[MARCA])</f>
        <v>N/A</v>
      </c>
      <c r="D1220" s="33" t="str">
        <f>_xlfn.XLOOKUP(TablaSTOCKINV[[#This Row],[SKU]],TablaINVENTARIO[SKU],TablaINVENTARIO[CATEGORIA])</f>
        <v>FABRICACION</v>
      </c>
      <c r="E1220" s="33" t="str">
        <f>_xlfn.XLOOKUP(TablaSTOCKINV[[#This Row],[SKU]],TablaINVENTARIO[SKU],TablaINVENTARIO[SUBCATEGORIA])</f>
        <v>MATERIAL ELECTRICO</v>
      </c>
      <c r="F1220" s="33" t="str">
        <f>_xlfn.XLOOKUP(TablaSTOCKINV[[#This Row],[SKU]],TablaINVENTARIO[SKU],TablaINVENTARIO[ESTADO])</f>
        <v xml:space="preserve">NUEVO </v>
      </c>
      <c r="G1220" s="33" t="str">
        <f>_xlfn.XLOOKUP(TablaSTOCKINV[[#This Row],[SKU]],TablaINVENTARIO[SKU],TablaINVENTARIO[MEDIDA])</f>
        <v>UND</v>
      </c>
      <c r="H1220" s="33" t="str">
        <f>_xlfn.XLOOKUP(TablaSTOCKINV[[#This Row],[SKU]],TablaINVENTARIO[SKU],TablaINVENTARIO[SERIAL])</f>
        <v>N/A</v>
      </c>
      <c r="I1220" s="34">
        <f>_xlfn.XLOOKUP(TablaSTOCKINV[[#This Row],[SKU]],TablaINVENTARIO[SKU],TablaINVENTARIO[ALMACEN])</f>
        <v>0</v>
      </c>
      <c r="J1220" s="34" t="str">
        <f>_xlfn.XLOOKUP(TablaSTOCKINV[[#This Row],[SKU]],TablaINVENTARIO[SKU],TablaINVENTARIO[UBICACION])</f>
        <v>F3-1</v>
      </c>
      <c r="K1220" s="34" t="str">
        <f>_xlfn.XLOOKUP(TablaSTOCKINV[[#This Row],[SKU]],TablaINVENTARIO[SKU],TablaINVENTARIO[DPTO RESPONSABLE])</f>
        <v xml:space="preserve">OPERACIONES </v>
      </c>
      <c r="L1220" s="53">
        <f>_xlfn.XLOOKUP(TablaSTOCKINV[[#This Row],[SKU]],TablaINVENTARIO[SKU],TablaINVENTARIO[RANGO MIN])</f>
        <v>0</v>
      </c>
      <c r="M1220" s="34" cm="1">
        <f t="array" ref="M1220">_xlfn.IFS(TablaSTOCKINV[[#This Row],[CANT. TOTAL]]&lt;=0,1,TablaSTOCKINV[[#This Row],[CANT. TOTAL]]&lt;=TablaSTOCKINV[[#This Row],[MIN]],2,TablaSTOCKINV[[#This Row],[CANT. TOTAL]]&gt;TablaSTOCKINV[[#This Row],[MIN]],3)</f>
        <v>3</v>
      </c>
      <c r="N1220" s="34">
        <f>TablaSTOCKINV[[#This Row],[ENTRADAS]]-TablaSTOCKINV[[#This Row],[SALIDAS]]</f>
        <v>35</v>
      </c>
      <c r="O1220" s="35">
        <f>SUMIFS(TablaENTRADA[CANT],TablaENTRADA[SKU],TablaSTOCKINV[[#This Row],[SKU]])</f>
        <v>35</v>
      </c>
      <c r="P1220" s="35">
        <f>SUMIFS(TablaSALIDA[CANT],TablaSALIDA[SKU],TablaSTOCKINV[[#This Row],[SKU]])</f>
        <v>0</v>
      </c>
      <c r="Q1220" s="34">
        <f>_xlfn.XLOOKUP(TablaSTOCKINV[[#This Row],[SKU]],TablaINVENTARIO[SKU],TablaINVENTARIO[PRECIO])</f>
        <v>0</v>
      </c>
      <c r="R1220" s="34">
        <f>TablaSTOCKINV[[#This Row],[P.UNITARIO]]*TablaSTOCKINV[[#This Row],[CANT. TOTAL]]</f>
        <v>0</v>
      </c>
      <c r="S1220" s="44">
        <f>_xlfn.XLOOKUP(TablaSTOCKINV[[#This Row],[SKU]],TablaINVENTARIO[SKU],TablaINVENTARIO[FECHA INGRESO])</f>
        <v>46023</v>
      </c>
      <c r="T1220" s="44">
        <f>_xlfn.XLOOKUP(TablaSTOCKINV[[#This Row],[SKU]],TablaENTRADA[SKU],TablaENTRADA[FECHA],,0,-1)</f>
        <v>46023</v>
      </c>
      <c r="U1220" s="46" t="str">
        <f>IFERROR((_xlfn.XLOOKUP(TablaSTOCKINV[[#This Row],[SKU]],TablaSALIDA[SKU],TablaSALIDA[FECHA],,0,-1))," " )</f>
        <v xml:space="preserve"> </v>
      </c>
    </row>
    <row r="1221" spans="1:21" x14ac:dyDescent="0.3">
      <c r="A1221" s="27" t="s">
        <v>3299</v>
      </c>
      <c r="B1221" s="32" t="str">
        <f>_xlfn.XLOOKUP(TablaSTOCKINV[[#This Row],[SKU]],TablaINVENTARIO[SKU],TablaINVENTARIO[DESCRIPCION])</f>
        <v>CONECTOR ELECTRICO 1"</v>
      </c>
      <c r="C1221" s="32" t="str">
        <f>_xlfn.XLOOKUP(TablaSTOCKINV[[#This Row],[SKU]],TablaINVENTARIO[SKU],TablaINVENTARIO[MARCA])</f>
        <v>N/A</v>
      </c>
      <c r="D1221" s="33" t="str">
        <f>_xlfn.XLOOKUP(TablaSTOCKINV[[#This Row],[SKU]],TablaINVENTARIO[SKU],TablaINVENTARIO[CATEGORIA])</f>
        <v>FABRICACION</v>
      </c>
      <c r="E1221" s="33" t="str">
        <f>_xlfn.XLOOKUP(TablaSTOCKINV[[#This Row],[SKU]],TablaINVENTARIO[SKU],TablaINVENTARIO[SUBCATEGORIA])</f>
        <v>MATERIAL ELECTRICO</v>
      </c>
      <c r="F1221" s="33" t="str">
        <f>_xlfn.XLOOKUP(TablaSTOCKINV[[#This Row],[SKU]],TablaINVENTARIO[SKU],TablaINVENTARIO[ESTADO])</f>
        <v xml:space="preserve">NUEVO </v>
      </c>
      <c r="G1221" s="33" t="str">
        <f>_xlfn.XLOOKUP(TablaSTOCKINV[[#This Row],[SKU]],TablaINVENTARIO[SKU],TablaINVENTARIO[MEDIDA])</f>
        <v>UND</v>
      </c>
      <c r="H1221" s="33" t="str">
        <f>_xlfn.XLOOKUP(TablaSTOCKINV[[#This Row],[SKU]],TablaINVENTARIO[SKU],TablaINVENTARIO[SERIAL])</f>
        <v>N/A</v>
      </c>
      <c r="I1221" s="34">
        <f>_xlfn.XLOOKUP(TablaSTOCKINV[[#This Row],[SKU]],TablaINVENTARIO[SKU],TablaINVENTARIO[ALMACEN])</f>
        <v>0</v>
      </c>
      <c r="J1221" s="34" t="str">
        <f>_xlfn.XLOOKUP(TablaSTOCKINV[[#This Row],[SKU]],TablaINVENTARIO[SKU],TablaINVENTARIO[UBICACION])</f>
        <v>F3-1</v>
      </c>
      <c r="K1221" s="34" t="str">
        <f>_xlfn.XLOOKUP(TablaSTOCKINV[[#This Row],[SKU]],TablaINVENTARIO[SKU],TablaINVENTARIO[DPTO RESPONSABLE])</f>
        <v xml:space="preserve">OPERACIONES </v>
      </c>
      <c r="L1221" s="53">
        <f>_xlfn.XLOOKUP(TablaSTOCKINV[[#This Row],[SKU]],TablaINVENTARIO[SKU],TablaINVENTARIO[RANGO MIN])</f>
        <v>0</v>
      </c>
      <c r="M1221" s="34" cm="1">
        <f t="array" ref="M1221">_xlfn.IFS(TablaSTOCKINV[[#This Row],[CANT. TOTAL]]&lt;=0,1,TablaSTOCKINV[[#This Row],[CANT. TOTAL]]&lt;=TablaSTOCKINV[[#This Row],[MIN]],2,TablaSTOCKINV[[#This Row],[CANT. TOTAL]]&gt;TablaSTOCKINV[[#This Row],[MIN]],3)</f>
        <v>3</v>
      </c>
      <c r="N1221" s="34">
        <f>TablaSTOCKINV[[#This Row],[ENTRADAS]]-TablaSTOCKINV[[#This Row],[SALIDAS]]</f>
        <v>23</v>
      </c>
      <c r="O1221" s="35">
        <f>SUMIFS(TablaENTRADA[CANT],TablaENTRADA[SKU],TablaSTOCKINV[[#This Row],[SKU]])</f>
        <v>23</v>
      </c>
      <c r="P1221" s="35">
        <f>SUMIFS(TablaSALIDA[CANT],TablaSALIDA[SKU],TablaSTOCKINV[[#This Row],[SKU]])</f>
        <v>0</v>
      </c>
      <c r="Q1221" s="34">
        <f>_xlfn.XLOOKUP(TablaSTOCKINV[[#This Row],[SKU]],TablaINVENTARIO[SKU],TablaINVENTARIO[PRECIO])</f>
        <v>0</v>
      </c>
      <c r="R1221" s="34">
        <f>TablaSTOCKINV[[#This Row],[P.UNITARIO]]*TablaSTOCKINV[[#This Row],[CANT. TOTAL]]</f>
        <v>0</v>
      </c>
      <c r="S1221" s="44">
        <f>_xlfn.XLOOKUP(TablaSTOCKINV[[#This Row],[SKU]],TablaINVENTARIO[SKU],TablaINVENTARIO[FECHA INGRESO])</f>
        <v>46023</v>
      </c>
      <c r="T1221" s="44">
        <f>_xlfn.XLOOKUP(TablaSTOCKINV[[#This Row],[SKU]],TablaENTRADA[SKU],TablaENTRADA[FECHA],,0,-1)</f>
        <v>46023</v>
      </c>
      <c r="U1221" s="46" t="str">
        <f>IFERROR((_xlfn.XLOOKUP(TablaSTOCKINV[[#This Row],[SKU]],TablaSALIDA[SKU],TablaSALIDA[FECHA],,0,-1))," " )</f>
        <v xml:space="preserve"> </v>
      </c>
    </row>
    <row r="1222" spans="1:21" x14ac:dyDescent="0.3">
      <c r="A1222" s="27" t="s">
        <v>3301</v>
      </c>
      <c r="B1222" s="32" t="str">
        <f>_xlfn.XLOOKUP(TablaSTOCKINV[[#This Row],[SKU]],TablaINVENTARIO[SKU],TablaINVENTARIO[DESCRIPCION])</f>
        <v>CONECTOR ELECTRICO 3/4"</v>
      </c>
      <c r="C1222" s="32" t="str">
        <f>_xlfn.XLOOKUP(TablaSTOCKINV[[#This Row],[SKU]],TablaINVENTARIO[SKU],TablaINVENTARIO[MARCA])</f>
        <v>N/A</v>
      </c>
      <c r="D1222" s="33" t="str">
        <f>_xlfn.XLOOKUP(TablaSTOCKINV[[#This Row],[SKU]],TablaINVENTARIO[SKU],TablaINVENTARIO[CATEGORIA])</f>
        <v>FABRICACION</v>
      </c>
      <c r="E1222" s="33" t="str">
        <f>_xlfn.XLOOKUP(TablaSTOCKINV[[#This Row],[SKU]],TablaINVENTARIO[SKU],TablaINVENTARIO[SUBCATEGORIA])</f>
        <v>MATERIAL ELECTRICO</v>
      </c>
      <c r="F1222" s="33" t="str">
        <f>_xlfn.XLOOKUP(TablaSTOCKINV[[#This Row],[SKU]],TablaINVENTARIO[SKU],TablaINVENTARIO[ESTADO])</f>
        <v xml:space="preserve">NUEVO </v>
      </c>
      <c r="G1222" s="33" t="str">
        <f>_xlfn.XLOOKUP(TablaSTOCKINV[[#This Row],[SKU]],TablaINVENTARIO[SKU],TablaINVENTARIO[MEDIDA])</f>
        <v>UND</v>
      </c>
      <c r="H1222" s="33" t="str">
        <f>_xlfn.XLOOKUP(TablaSTOCKINV[[#This Row],[SKU]],TablaINVENTARIO[SKU],TablaINVENTARIO[SERIAL])</f>
        <v>N/A</v>
      </c>
      <c r="I1222" s="34">
        <f>_xlfn.XLOOKUP(TablaSTOCKINV[[#This Row],[SKU]],TablaINVENTARIO[SKU],TablaINVENTARIO[ALMACEN])</f>
        <v>0</v>
      </c>
      <c r="J1222" s="34" t="str">
        <f>_xlfn.XLOOKUP(TablaSTOCKINV[[#This Row],[SKU]],TablaINVENTARIO[SKU],TablaINVENTARIO[UBICACION])</f>
        <v>F3-1</v>
      </c>
      <c r="K1222" s="34" t="str">
        <f>_xlfn.XLOOKUP(TablaSTOCKINV[[#This Row],[SKU]],TablaINVENTARIO[SKU],TablaINVENTARIO[DPTO RESPONSABLE])</f>
        <v xml:space="preserve">OPERACIONES </v>
      </c>
      <c r="L1222" s="53">
        <f>_xlfn.XLOOKUP(TablaSTOCKINV[[#This Row],[SKU]],TablaINVENTARIO[SKU],TablaINVENTARIO[RANGO MIN])</f>
        <v>0</v>
      </c>
      <c r="M1222" s="34" cm="1">
        <f t="array" ref="M1222">_xlfn.IFS(TablaSTOCKINV[[#This Row],[CANT. TOTAL]]&lt;=0,1,TablaSTOCKINV[[#This Row],[CANT. TOTAL]]&lt;=TablaSTOCKINV[[#This Row],[MIN]],2,TablaSTOCKINV[[#This Row],[CANT. TOTAL]]&gt;TablaSTOCKINV[[#This Row],[MIN]],3)</f>
        <v>3</v>
      </c>
      <c r="N1222" s="34">
        <f>TablaSTOCKINV[[#This Row],[ENTRADAS]]-TablaSTOCKINV[[#This Row],[SALIDAS]]</f>
        <v>31</v>
      </c>
      <c r="O1222" s="35">
        <f>SUMIFS(TablaENTRADA[CANT],TablaENTRADA[SKU],TablaSTOCKINV[[#This Row],[SKU]])</f>
        <v>31</v>
      </c>
      <c r="P1222" s="35">
        <f>SUMIFS(TablaSALIDA[CANT],TablaSALIDA[SKU],TablaSTOCKINV[[#This Row],[SKU]])</f>
        <v>0</v>
      </c>
      <c r="Q1222" s="34">
        <f>_xlfn.XLOOKUP(TablaSTOCKINV[[#This Row],[SKU]],TablaINVENTARIO[SKU],TablaINVENTARIO[PRECIO])</f>
        <v>0</v>
      </c>
      <c r="R1222" s="34">
        <f>TablaSTOCKINV[[#This Row],[P.UNITARIO]]*TablaSTOCKINV[[#This Row],[CANT. TOTAL]]</f>
        <v>0</v>
      </c>
      <c r="S1222" s="44">
        <f>_xlfn.XLOOKUP(TablaSTOCKINV[[#This Row],[SKU]],TablaINVENTARIO[SKU],TablaINVENTARIO[FECHA INGRESO])</f>
        <v>46023</v>
      </c>
      <c r="T1222" s="44">
        <f>_xlfn.XLOOKUP(TablaSTOCKINV[[#This Row],[SKU]],TablaENTRADA[SKU],TablaENTRADA[FECHA],,0,-1)</f>
        <v>46023</v>
      </c>
      <c r="U1222" s="46" t="str">
        <f>IFERROR((_xlfn.XLOOKUP(TablaSTOCKINV[[#This Row],[SKU]],TablaSALIDA[SKU],TablaSALIDA[FECHA],,0,-1))," " )</f>
        <v xml:space="preserve"> </v>
      </c>
    </row>
    <row r="1223" spans="1:21" x14ac:dyDescent="0.3">
      <c r="A1223" s="27" t="s">
        <v>3303</v>
      </c>
      <c r="B1223" s="32" t="str">
        <f>_xlfn.XLOOKUP(TablaSTOCKINV[[#This Row],[SKU]],TablaINVENTARIO[SKU],TablaINVENTARIO[DESCRIPCION])</f>
        <v>CONECTOR ELECTRICO 2"</v>
      </c>
      <c r="C1223" s="32" t="str">
        <f>_xlfn.XLOOKUP(TablaSTOCKINV[[#This Row],[SKU]],TablaINVENTARIO[SKU],TablaINVENTARIO[MARCA])</f>
        <v>N/A</v>
      </c>
      <c r="D1223" s="33" t="str">
        <f>_xlfn.XLOOKUP(TablaSTOCKINV[[#This Row],[SKU]],TablaINVENTARIO[SKU],TablaINVENTARIO[CATEGORIA])</f>
        <v>FABRICACION</v>
      </c>
      <c r="E1223" s="33" t="str">
        <f>_xlfn.XLOOKUP(TablaSTOCKINV[[#This Row],[SKU]],TablaINVENTARIO[SKU],TablaINVENTARIO[SUBCATEGORIA])</f>
        <v>MATERIAL ELECTRICO</v>
      </c>
      <c r="F1223" s="33" t="str">
        <f>_xlfn.XLOOKUP(TablaSTOCKINV[[#This Row],[SKU]],TablaINVENTARIO[SKU],TablaINVENTARIO[ESTADO])</f>
        <v xml:space="preserve">NUEVO </v>
      </c>
      <c r="G1223" s="33" t="str">
        <f>_xlfn.XLOOKUP(TablaSTOCKINV[[#This Row],[SKU]],TablaINVENTARIO[SKU],TablaINVENTARIO[MEDIDA])</f>
        <v>UND</v>
      </c>
      <c r="H1223" s="33" t="str">
        <f>_xlfn.XLOOKUP(TablaSTOCKINV[[#This Row],[SKU]],TablaINVENTARIO[SKU],TablaINVENTARIO[SERIAL])</f>
        <v>N/A</v>
      </c>
      <c r="I1223" s="34">
        <f>_xlfn.XLOOKUP(TablaSTOCKINV[[#This Row],[SKU]],TablaINVENTARIO[SKU],TablaINVENTARIO[ALMACEN])</f>
        <v>0</v>
      </c>
      <c r="J1223" s="34" t="str">
        <f>_xlfn.XLOOKUP(TablaSTOCKINV[[#This Row],[SKU]],TablaINVENTARIO[SKU],TablaINVENTARIO[UBICACION])</f>
        <v>F3-1</v>
      </c>
      <c r="K1223" s="34" t="str">
        <f>_xlfn.XLOOKUP(TablaSTOCKINV[[#This Row],[SKU]],TablaINVENTARIO[SKU],TablaINVENTARIO[DPTO RESPONSABLE])</f>
        <v xml:space="preserve">OPERACIONES </v>
      </c>
      <c r="L1223" s="53">
        <f>_xlfn.XLOOKUP(TablaSTOCKINV[[#This Row],[SKU]],TablaINVENTARIO[SKU],TablaINVENTARIO[RANGO MIN])</f>
        <v>0</v>
      </c>
      <c r="M1223" s="34" cm="1">
        <f t="array" ref="M1223">_xlfn.IFS(TablaSTOCKINV[[#This Row],[CANT. TOTAL]]&lt;=0,1,TablaSTOCKINV[[#This Row],[CANT. TOTAL]]&lt;=TablaSTOCKINV[[#This Row],[MIN]],2,TablaSTOCKINV[[#This Row],[CANT. TOTAL]]&gt;TablaSTOCKINV[[#This Row],[MIN]],3)</f>
        <v>3</v>
      </c>
      <c r="N1223" s="34">
        <f>TablaSTOCKINV[[#This Row],[ENTRADAS]]-TablaSTOCKINV[[#This Row],[SALIDAS]]</f>
        <v>17</v>
      </c>
      <c r="O1223" s="35">
        <f>SUMIFS(TablaENTRADA[CANT],TablaENTRADA[SKU],TablaSTOCKINV[[#This Row],[SKU]])</f>
        <v>17</v>
      </c>
      <c r="P1223" s="35">
        <f>SUMIFS(TablaSALIDA[CANT],TablaSALIDA[SKU],TablaSTOCKINV[[#This Row],[SKU]])</f>
        <v>0</v>
      </c>
      <c r="Q1223" s="34">
        <f>_xlfn.XLOOKUP(TablaSTOCKINV[[#This Row],[SKU]],TablaINVENTARIO[SKU],TablaINVENTARIO[PRECIO])</f>
        <v>0</v>
      </c>
      <c r="R1223" s="34">
        <f>TablaSTOCKINV[[#This Row],[P.UNITARIO]]*TablaSTOCKINV[[#This Row],[CANT. TOTAL]]</f>
        <v>0</v>
      </c>
      <c r="S1223" s="44">
        <f>_xlfn.XLOOKUP(TablaSTOCKINV[[#This Row],[SKU]],TablaINVENTARIO[SKU],TablaINVENTARIO[FECHA INGRESO])</f>
        <v>46023</v>
      </c>
      <c r="T1223" s="44">
        <f>_xlfn.XLOOKUP(TablaSTOCKINV[[#This Row],[SKU]],TablaENTRADA[SKU],TablaENTRADA[FECHA],,0,-1)</f>
        <v>46023</v>
      </c>
      <c r="U1223" s="46" t="str">
        <f>IFERROR((_xlfn.XLOOKUP(TablaSTOCKINV[[#This Row],[SKU]],TablaSALIDA[SKU],TablaSALIDA[FECHA],,0,-1))," " )</f>
        <v xml:space="preserve"> </v>
      </c>
    </row>
    <row r="1224" spans="1:21" x14ac:dyDescent="0.3">
      <c r="A1224" s="27" t="s">
        <v>3305</v>
      </c>
      <c r="B1224" s="32" t="str">
        <f>_xlfn.XLOOKUP(TablaSTOCKINV[[#This Row],[SKU]],TablaINVENTARIO[SKU],TablaINVENTARIO[DESCRIPCION])</f>
        <v>ANILLO GALVANIZADO 2"</v>
      </c>
      <c r="C1224" s="32" t="str">
        <f>_xlfn.XLOOKUP(TablaSTOCKINV[[#This Row],[SKU]],TablaINVENTARIO[SKU],TablaINVENTARIO[MARCA])</f>
        <v>N/A</v>
      </c>
      <c r="D1224" s="33" t="str">
        <f>_xlfn.XLOOKUP(TablaSTOCKINV[[#This Row],[SKU]],TablaINVENTARIO[SKU],TablaINVENTARIO[CATEGORIA])</f>
        <v>FABRICACION</v>
      </c>
      <c r="E1224" s="33" t="str">
        <f>_xlfn.XLOOKUP(TablaSTOCKINV[[#This Row],[SKU]],TablaINVENTARIO[SKU],TablaINVENTARIO[SUBCATEGORIA])</f>
        <v>MATERIAL ELECTRICO</v>
      </c>
      <c r="F1224" s="33" t="str">
        <f>_xlfn.XLOOKUP(TablaSTOCKINV[[#This Row],[SKU]],TablaINVENTARIO[SKU],TablaINVENTARIO[ESTADO])</f>
        <v xml:space="preserve">NUEVO </v>
      </c>
      <c r="G1224" s="33" t="str">
        <f>_xlfn.XLOOKUP(TablaSTOCKINV[[#This Row],[SKU]],TablaINVENTARIO[SKU],TablaINVENTARIO[MEDIDA])</f>
        <v>UND</v>
      </c>
      <c r="H1224" s="33" t="str">
        <f>_xlfn.XLOOKUP(TablaSTOCKINV[[#This Row],[SKU]],TablaINVENTARIO[SKU],TablaINVENTARIO[SERIAL])</f>
        <v>N/A</v>
      </c>
      <c r="I1224" s="34">
        <f>_xlfn.XLOOKUP(TablaSTOCKINV[[#This Row],[SKU]],TablaINVENTARIO[SKU],TablaINVENTARIO[ALMACEN])</f>
        <v>0</v>
      </c>
      <c r="J1224" s="34" t="str">
        <f>_xlfn.XLOOKUP(TablaSTOCKINV[[#This Row],[SKU]],TablaINVENTARIO[SKU],TablaINVENTARIO[UBICACION])</f>
        <v>F3-1</v>
      </c>
      <c r="K1224" s="34" t="str">
        <f>_xlfn.XLOOKUP(TablaSTOCKINV[[#This Row],[SKU]],TablaINVENTARIO[SKU],TablaINVENTARIO[DPTO RESPONSABLE])</f>
        <v xml:space="preserve">OPERACIONES </v>
      </c>
      <c r="L1224" s="53">
        <f>_xlfn.XLOOKUP(TablaSTOCKINV[[#This Row],[SKU]],TablaINVENTARIO[SKU],TablaINVENTARIO[RANGO MIN])</f>
        <v>0</v>
      </c>
      <c r="M1224" s="34" cm="1">
        <f t="array" ref="M1224">_xlfn.IFS(TablaSTOCKINV[[#This Row],[CANT. TOTAL]]&lt;=0,1,TablaSTOCKINV[[#This Row],[CANT. TOTAL]]&lt;=TablaSTOCKINV[[#This Row],[MIN]],2,TablaSTOCKINV[[#This Row],[CANT. TOTAL]]&gt;TablaSTOCKINV[[#This Row],[MIN]],3)</f>
        <v>3</v>
      </c>
      <c r="N1224" s="34">
        <f>TablaSTOCKINV[[#This Row],[ENTRADAS]]-TablaSTOCKINV[[#This Row],[SALIDAS]]</f>
        <v>15</v>
      </c>
      <c r="O1224" s="35">
        <f>SUMIFS(TablaENTRADA[CANT],TablaENTRADA[SKU],TablaSTOCKINV[[#This Row],[SKU]])</f>
        <v>15</v>
      </c>
      <c r="P1224" s="35">
        <f>SUMIFS(TablaSALIDA[CANT],TablaSALIDA[SKU],TablaSTOCKINV[[#This Row],[SKU]])</f>
        <v>0</v>
      </c>
      <c r="Q1224" s="34">
        <f>_xlfn.XLOOKUP(TablaSTOCKINV[[#This Row],[SKU]],TablaINVENTARIO[SKU],TablaINVENTARIO[PRECIO])</f>
        <v>0</v>
      </c>
      <c r="R1224" s="34">
        <f>TablaSTOCKINV[[#This Row],[P.UNITARIO]]*TablaSTOCKINV[[#This Row],[CANT. TOTAL]]</f>
        <v>0</v>
      </c>
      <c r="S1224" s="44">
        <f>_xlfn.XLOOKUP(TablaSTOCKINV[[#This Row],[SKU]],TablaINVENTARIO[SKU],TablaINVENTARIO[FECHA INGRESO])</f>
        <v>46023</v>
      </c>
      <c r="T1224" s="44">
        <f>_xlfn.XLOOKUP(TablaSTOCKINV[[#This Row],[SKU]],TablaENTRADA[SKU],TablaENTRADA[FECHA],,0,-1)</f>
        <v>46023</v>
      </c>
      <c r="U1224" s="46" t="str">
        <f>IFERROR((_xlfn.XLOOKUP(TablaSTOCKINV[[#This Row],[SKU]],TablaSALIDA[SKU],TablaSALIDA[FECHA],,0,-1))," " )</f>
        <v xml:space="preserve"> </v>
      </c>
    </row>
    <row r="1225" spans="1:21" x14ac:dyDescent="0.3">
      <c r="A1225" s="27" t="s">
        <v>3307</v>
      </c>
      <c r="B1225" s="32" t="str">
        <f>_xlfn.XLOOKUP(TablaSTOCKINV[[#This Row],[SKU]],TablaINVENTARIO[SKU],TablaINVENTARIO[DESCRIPCION])</f>
        <v>ANILLO GALVANIZADO DE 1" - 3/4"</v>
      </c>
      <c r="C1225" s="32" t="str">
        <f>_xlfn.XLOOKUP(TablaSTOCKINV[[#This Row],[SKU]],TablaINVENTARIO[SKU],TablaINVENTARIO[MARCA])</f>
        <v>N/A</v>
      </c>
      <c r="D1225" s="33" t="str">
        <f>_xlfn.XLOOKUP(TablaSTOCKINV[[#This Row],[SKU]],TablaINVENTARIO[SKU],TablaINVENTARIO[CATEGORIA])</f>
        <v>FABRICACION</v>
      </c>
      <c r="E1225" s="33" t="str">
        <f>_xlfn.XLOOKUP(TablaSTOCKINV[[#This Row],[SKU]],TablaINVENTARIO[SKU],TablaINVENTARIO[SUBCATEGORIA])</f>
        <v>MATERIAL ELECTRICO</v>
      </c>
      <c r="F1225" s="33" t="str">
        <f>_xlfn.XLOOKUP(TablaSTOCKINV[[#This Row],[SKU]],TablaINVENTARIO[SKU],TablaINVENTARIO[ESTADO])</f>
        <v xml:space="preserve">NUEVO </v>
      </c>
      <c r="G1225" s="33" t="str">
        <f>_xlfn.XLOOKUP(TablaSTOCKINV[[#This Row],[SKU]],TablaINVENTARIO[SKU],TablaINVENTARIO[MEDIDA])</f>
        <v>UND</v>
      </c>
      <c r="H1225" s="33" t="str">
        <f>_xlfn.XLOOKUP(TablaSTOCKINV[[#This Row],[SKU]],TablaINVENTARIO[SKU],TablaINVENTARIO[SERIAL])</f>
        <v>N/A</v>
      </c>
      <c r="I1225" s="34">
        <f>_xlfn.XLOOKUP(TablaSTOCKINV[[#This Row],[SKU]],TablaINVENTARIO[SKU],TablaINVENTARIO[ALMACEN])</f>
        <v>0</v>
      </c>
      <c r="J1225" s="34" t="str">
        <f>_xlfn.XLOOKUP(TablaSTOCKINV[[#This Row],[SKU]],TablaINVENTARIO[SKU],TablaINVENTARIO[UBICACION])</f>
        <v>F3-1</v>
      </c>
      <c r="K1225" s="34" t="str">
        <f>_xlfn.XLOOKUP(TablaSTOCKINV[[#This Row],[SKU]],TablaINVENTARIO[SKU],TablaINVENTARIO[DPTO RESPONSABLE])</f>
        <v xml:space="preserve">OPERACIONES </v>
      </c>
      <c r="L1225" s="53">
        <f>_xlfn.XLOOKUP(TablaSTOCKINV[[#This Row],[SKU]],TablaINVENTARIO[SKU],TablaINVENTARIO[RANGO MIN])</f>
        <v>0</v>
      </c>
      <c r="M1225" s="34" cm="1">
        <f t="array" ref="M1225">_xlfn.IFS(TablaSTOCKINV[[#This Row],[CANT. TOTAL]]&lt;=0,1,TablaSTOCKINV[[#This Row],[CANT. TOTAL]]&lt;=TablaSTOCKINV[[#This Row],[MIN]],2,TablaSTOCKINV[[#This Row],[CANT. TOTAL]]&gt;TablaSTOCKINV[[#This Row],[MIN]],3)</f>
        <v>3</v>
      </c>
      <c r="N1225" s="34">
        <f>TablaSTOCKINV[[#This Row],[ENTRADAS]]-TablaSTOCKINV[[#This Row],[SALIDAS]]</f>
        <v>22</v>
      </c>
      <c r="O1225" s="35">
        <f>SUMIFS(TablaENTRADA[CANT],TablaENTRADA[SKU],TablaSTOCKINV[[#This Row],[SKU]])</f>
        <v>22</v>
      </c>
      <c r="P1225" s="35">
        <f>SUMIFS(TablaSALIDA[CANT],TablaSALIDA[SKU],TablaSTOCKINV[[#This Row],[SKU]])</f>
        <v>0</v>
      </c>
      <c r="Q1225" s="34">
        <f>_xlfn.XLOOKUP(TablaSTOCKINV[[#This Row],[SKU]],TablaINVENTARIO[SKU],TablaINVENTARIO[PRECIO])</f>
        <v>0</v>
      </c>
      <c r="R1225" s="34">
        <f>TablaSTOCKINV[[#This Row],[P.UNITARIO]]*TablaSTOCKINV[[#This Row],[CANT. TOTAL]]</f>
        <v>0</v>
      </c>
      <c r="S1225" s="44">
        <f>_xlfn.XLOOKUP(TablaSTOCKINV[[#This Row],[SKU]],TablaINVENTARIO[SKU],TablaINVENTARIO[FECHA INGRESO])</f>
        <v>46023</v>
      </c>
      <c r="T1225" s="44">
        <f>_xlfn.XLOOKUP(TablaSTOCKINV[[#This Row],[SKU]],TablaENTRADA[SKU],TablaENTRADA[FECHA],,0,-1)</f>
        <v>46023</v>
      </c>
      <c r="U1225" s="46" t="str">
        <f>IFERROR((_xlfn.XLOOKUP(TablaSTOCKINV[[#This Row],[SKU]],TablaSALIDA[SKU],TablaSALIDA[FECHA],,0,-1))," " )</f>
        <v xml:space="preserve"> </v>
      </c>
    </row>
    <row r="1226" spans="1:21" x14ac:dyDescent="0.3">
      <c r="A1226" s="27" t="s">
        <v>3309</v>
      </c>
      <c r="B1226" s="32" t="str">
        <f>_xlfn.XLOOKUP(TablaSTOCKINV[[#This Row],[SKU]],TablaINVENTARIO[SKU],TablaINVENTARIO[DESCRIPCION])</f>
        <v>NIPLE COMNBINADO 1/2"</v>
      </c>
      <c r="C1226" s="32" t="str">
        <f>_xlfn.XLOOKUP(TablaSTOCKINV[[#This Row],[SKU]],TablaINVENTARIO[SKU],TablaINVENTARIO[MARCA])</f>
        <v>N/A</v>
      </c>
      <c r="D1226" s="33" t="str">
        <f>_xlfn.XLOOKUP(TablaSTOCKINV[[#This Row],[SKU]],TablaINVENTARIO[SKU],TablaINVENTARIO[CATEGORIA])</f>
        <v>FABRICACION</v>
      </c>
      <c r="E1226" s="33" t="str">
        <f>_xlfn.XLOOKUP(TablaSTOCKINV[[#This Row],[SKU]],TablaINVENTARIO[SKU],TablaINVENTARIO[SUBCATEGORIA])</f>
        <v>MATERIAL ELECTRICO</v>
      </c>
      <c r="F1226" s="33" t="str">
        <f>_xlfn.XLOOKUP(TablaSTOCKINV[[#This Row],[SKU]],TablaINVENTARIO[SKU],TablaINVENTARIO[ESTADO])</f>
        <v xml:space="preserve">NUEVO </v>
      </c>
      <c r="G1226" s="33" t="str">
        <f>_xlfn.XLOOKUP(TablaSTOCKINV[[#This Row],[SKU]],TablaINVENTARIO[SKU],TablaINVENTARIO[MEDIDA])</f>
        <v>UND</v>
      </c>
      <c r="H1226" s="33" t="str">
        <f>_xlfn.XLOOKUP(TablaSTOCKINV[[#This Row],[SKU]],TablaINVENTARIO[SKU],TablaINVENTARIO[SERIAL])</f>
        <v>N/A</v>
      </c>
      <c r="I1226" s="34">
        <f>_xlfn.XLOOKUP(TablaSTOCKINV[[#This Row],[SKU]],TablaINVENTARIO[SKU],TablaINVENTARIO[ALMACEN])</f>
        <v>0</v>
      </c>
      <c r="J1226" s="34" t="str">
        <f>_xlfn.XLOOKUP(TablaSTOCKINV[[#This Row],[SKU]],TablaINVENTARIO[SKU],TablaINVENTARIO[UBICACION])</f>
        <v>F3-1</v>
      </c>
      <c r="K1226" s="34" t="str">
        <f>_xlfn.XLOOKUP(TablaSTOCKINV[[#This Row],[SKU]],TablaINVENTARIO[SKU],TablaINVENTARIO[DPTO RESPONSABLE])</f>
        <v xml:space="preserve">OPERACIONES </v>
      </c>
      <c r="L1226" s="53">
        <f>_xlfn.XLOOKUP(TablaSTOCKINV[[#This Row],[SKU]],TablaINVENTARIO[SKU],TablaINVENTARIO[RANGO MIN])</f>
        <v>0</v>
      </c>
      <c r="M1226" s="34" cm="1">
        <f t="array" ref="M1226">_xlfn.IFS(TablaSTOCKINV[[#This Row],[CANT. TOTAL]]&lt;=0,1,TablaSTOCKINV[[#This Row],[CANT. TOTAL]]&lt;=TablaSTOCKINV[[#This Row],[MIN]],2,TablaSTOCKINV[[#This Row],[CANT. TOTAL]]&gt;TablaSTOCKINV[[#This Row],[MIN]],3)</f>
        <v>3</v>
      </c>
      <c r="N1226" s="34">
        <f>TablaSTOCKINV[[#This Row],[ENTRADAS]]-TablaSTOCKINV[[#This Row],[SALIDAS]]</f>
        <v>9</v>
      </c>
      <c r="O1226" s="35">
        <f>SUMIFS(TablaENTRADA[CANT],TablaENTRADA[SKU],TablaSTOCKINV[[#This Row],[SKU]])</f>
        <v>9</v>
      </c>
      <c r="P1226" s="35">
        <f>SUMIFS(TablaSALIDA[CANT],TablaSALIDA[SKU],TablaSTOCKINV[[#This Row],[SKU]])</f>
        <v>0</v>
      </c>
      <c r="Q1226" s="34">
        <f>_xlfn.XLOOKUP(TablaSTOCKINV[[#This Row],[SKU]],TablaINVENTARIO[SKU],TablaINVENTARIO[PRECIO])</f>
        <v>0</v>
      </c>
      <c r="R1226" s="34">
        <f>TablaSTOCKINV[[#This Row],[P.UNITARIO]]*TablaSTOCKINV[[#This Row],[CANT. TOTAL]]</f>
        <v>0</v>
      </c>
      <c r="S1226" s="44">
        <f>_xlfn.XLOOKUP(TablaSTOCKINV[[#This Row],[SKU]],TablaINVENTARIO[SKU],TablaINVENTARIO[FECHA INGRESO])</f>
        <v>46023</v>
      </c>
      <c r="T1226" s="44">
        <f>_xlfn.XLOOKUP(TablaSTOCKINV[[#This Row],[SKU]],TablaENTRADA[SKU],TablaENTRADA[FECHA],,0,-1)</f>
        <v>46023</v>
      </c>
      <c r="U1226" s="46" t="str">
        <f>IFERROR((_xlfn.XLOOKUP(TablaSTOCKINV[[#This Row],[SKU]],TablaSALIDA[SKU],TablaSALIDA[FECHA],,0,-1))," " )</f>
        <v xml:space="preserve"> </v>
      </c>
    </row>
    <row r="1227" spans="1:21" x14ac:dyDescent="0.3">
      <c r="A1227" s="27" t="s">
        <v>3311</v>
      </c>
      <c r="B1227" s="32" t="str">
        <f>_xlfn.XLOOKUP(TablaSTOCKINV[[#This Row],[SKU]],TablaINVENTARIO[SKU],TablaINVENTARIO[DESCRIPCION])</f>
        <v>ANILLO GALVANIZADO DE 1" - 1/8"</v>
      </c>
      <c r="C1227" s="32" t="str">
        <f>_xlfn.XLOOKUP(TablaSTOCKINV[[#This Row],[SKU]],TablaINVENTARIO[SKU],TablaINVENTARIO[MARCA])</f>
        <v>N/A</v>
      </c>
      <c r="D1227" s="33" t="str">
        <f>_xlfn.XLOOKUP(TablaSTOCKINV[[#This Row],[SKU]],TablaINVENTARIO[SKU],TablaINVENTARIO[CATEGORIA])</f>
        <v>FABRICACION</v>
      </c>
      <c r="E1227" s="33" t="str">
        <f>_xlfn.XLOOKUP(TablaSTOCKINV[[#This Row],[SKU]],TablaINVENTARIO[SKU],TablaINVENTARIO[SUBCATEGORIA])</f>
        <v>MATERIAL ELECTRICO</v>
      </c>
      <c r="F1227" s="33" t="str">
        <f>_xlfn.XLOOKUP(TablaSTOCKINV[[#This Row],[SKU]],TablaINVENTARIO[SKU],TablaINVENTARIO[ESTADO])</f>
        <v xml:space="preserve">NUEVO </v>
      </c>
      <c r="G1227" s="33" t="str">
        <f>_xlfn.XLOOKUP(TablaSTOCKINV[[#This Row],[SKU]],TablaINVENTARIO[SKU],TablaINVENTARIO[MEDIDA])</f>
        <v>UND</v>
      </c>
      <c r="H1227" s="33" t="str">
        <f>_xlfn.XLOOKUP(TablaSTOCKINV[[#This Row],[SKU]],TablaINVENTARIO[SKU],TablaINVENTARIO[SERIAL])</f>
        <v>N/A</v>
      </c>
      <c r="I1227" s="34">
        <f>_xlfn.XLOOKUP(TablaSTOCKINV[[#This Row],[SKU]],TablaINVENTARIO[SKU],TablaINVENTARIO[ALMACEN])</f>
        <v>0</v>
      </c>
      <c r="J1227" s="34" t="str">
        <f>_xlfn.XLOOKUP(TablaSTOCKINV[[#This Row],[SKU]],TablaINVENTARIO[SKU],TablaINVENTARIO[UBICACION])</f>
        <v>F3-1</v>
      </c>
      <c r="K1227" s="34" t="str">
        <f>_xlfn.XLOOKUP(TablaSTOCKINV[[#This Row],[SKU]],TablaINVENTARIO[SKU],TablaINVENTARIO[DPTO RESPONSABLE])</f>
        <v xml:space="preserve">OPERACIONES </v>
      </c>
      <c r="L1227" s="53">
        <f>_xlfn.XLOOKUP(TablaSTOCKINV[[#This Row],[SKU]],TablaINVENTARIO[SKU],TablaINVENTARIO[RANGO MIN])</f>
        <v>0</v>
      </c>
      <c r="M1227" s="34" cm="1">
        <f t="array" ref="M1227">_xlfn.IFS(TablaSTOCKINV[[#This Row],[CANT. TOTAL]]&lt;=0,1,TablaSTOCKINV[[#This Row],[CANT. TOTAL]]&lt;=TablaSTOCKINV[[#This Row],[MIN]],2,TablaSTOCKINV[[#This Row],[CANT. TOTAL]]&gt;TablaSTOCKINV[[#This Row],[MIN]],3)</f>
        <v>3</v>
      </c>
      <c r="N1227" s="34">
        <f>TablaSTOCKINV[[#This Row],[ENTRADAS]]-TablaSTOCKINV[[#This Row],[SALIDAS]]</f>
        <v>7</v>
      </c>
      <c r="O1227" s="35">
        <f>SUMIFS(TablaENTRADA[CANT],TablaENTRADA[SKU],TablaSTOCKINV[[#This Row],[SKU]])</f>
        <v>7</v>
      </c>
      <c r="P1227" s="35">
        <f>SUMIFS(TablaSALIDA[CANT],TablaSALIDA[SKU],TablaSTOCKINV[[#This Row],[SKU]])</f>
        <v>0</v>
      </c>
      <c r="Q1227" s="34">
        <f>_xlfn.XLOOKUP(TablaSTOCKINV[[#This Row],[SKU]],TablaINVENTARIO[SKU],TablaINVENTARIO[PRECIO])</f>
        <v>0</v>
      </c>
      <c r="R1227" s="34">
        <f>TablaSTOCKINV[[#This Row],[P.UNITARIO]]*TablaSTOCKINV[[#This Row],[CANT. TOTAL]]</f>
        <v>0</v>
      </c>
      <c r="S1227" s="44">
        <f>_xlfn.XLOOKUP(TablaSTOCKINV[[#This Row],[SKU]],TablaINVENTARIO[SKU],TablaINVENTARIO[FECHA INGRESO])</f>
        <v>46023</v>
      </c>
      <c r="T1227" s="44">
        <f>_xlfn.XLOOKUP(TablaSTOCKINV[[#This Row],[SKU]],TablaENTRADA[SKU],TablaENTRADA[FECHA],,0,-1)</f>
        <v>46023</v>
      </c>
      <c r="U1227" s="46" t="str">
        <f>IFERROR((_xlfn.XLOOKUP(TablaSTOCKINV[[#This Row],[SKU]],TablaSALIDA[SKU],TablaSALIDA[FECHA],,0,-1))," " )</f>
        <v xml:space="preserve"> </v>
      </c>
    </row>
    <row r="1228" spans="1:21" x14ac:dyDescent="0.3">
      <c r="A1228" s="27" t="s">
        <v>3313</v>
      </c>
      <c r="B1228" s="32" t="str">
        <f>_xlfn.XLOOKUP(TablaSTOCKINV[[#This Row],[SKU]],TablaINVENTARIO[SKU],TablaINVENTARIO[DESCRIPCION])</f>
        <v>CAJETIN TIPO L E 2"</v>
      </c>
      <c r="C1228" s="32" t="str">
        <f>_xlfn.XLOOKUP(TablaSTOCKINV[[#This Row],[SKU]],TablaINVENTARIO[SKU],TablaINVENTARIO[MARCA])</f>
        <v>N/A</v>
      </c>
      <c r="D1228" s="33" t="str">
        <f>_xlfn.XLOOKUP(TablaSTOCKINV[[#This Row],[SKU]],TablaINVENTARIO[SKU],TablaINVENTARIO[CATEGORIA])</f>
        <v>FABRICACION</v>
      </c>
      <c r="E1228" s="33" t="str">
        <f>_xlfn.XLOOKUP(TablaSTOCKINV[[#This Row],[SKU]],TablaINVENTARIO[SKU],TablaINVENTARIO[SUBCATEGORIA])</f>
        <v>MATERIAL ELECTRICO</v>
      </c>
      <c r="F1228" s="33" t="str">
        <f>_xlfn.XLOOKUP(TablaSTOCKINV[[#This Row],[SKU]],TablaINVENTARIO[SKU],TablaINVENTARIO[ESTADO])</f>
        <v xml:space="preserve">NUEVO </v>
      </c>
      <c r="G1228" s="33" t="str">
        <f>_xlfn.XLOOKUP(TablaSTOCKINV[[#This Row],[SKU]],TablaINVENTARIO[SKU],TablaINVENTARIO[MEDIDA])</f>
        <v>UND</v>
      </c>
      <c r="H1228" s="33" t="str">
        <f>_xlfn.XLOOKUP(TablaSTOCKINV[[#This Row],[SKU]],TablaINVENTARIO[SKU],TablaINVENTARIO[SERIAL])</f>
        <v>N/A</v>
      </c>
      <c r="I1228" s="34">
        <f>_xlfn.XLOOKUP(TablaSTOCKINV[[#This Row],[SKU]],TablaINVENTARIO[SKU],TablaINVENTARIO[ALMACEN])</f>
        <v>0</v>
      </c>
      <c r="J1228" s="34" t="str">
        <f>_xlfn.XLOOKUP(TablaSTOCKINV[[#This Row],[SKU]],TablaINVENTARIO[SKU],TablaINVENTARIO[UBICACION])</f>
        <v>F3-1</v>
      </c>
      <c r="K1228" s="34" t="str">
        <f>_xlfn.XLOOKUP(TablaSTOCKINV[[#This Row],[SKU]],TablaINVENTARIO[SKU],TablaINVENTARIO[DPTO RESPONSABLE])</f>
        <v xml:space="preserve">OPERACIONES </v>
      </c>
      <c r="L1228" s="53">
        <f>_xlfn.XLOOKUP(TablaSTOCKINV[[#This Row],[SKU]],TablaINVENTARIO[SKU],TablaINVENTARIO[RANGO MIN])</f>
        <v>0</v>
      </c>
      <c r="M1228" s="34" cm="1">
        <f t="array" ref="M1228">_xlfn.IFS(TablaSTOCKINV[[#This Row],[CANT. TOTAL]]&lt;=0,1,TablaSTOCKINV[[#This Row],[CANT. TOTAL]]&lt;=TablaSTOCKINV[[#This Row],[MIN]],2,TablaSTOCKINV[[#This Row],[CANT. TOTAL]]&gt;TablaSTOCKINV[[#This Row],[MIN]],3)</f>
        <v>3</v>
      </c>
      <c r="N1228" s="34">
        <f>TablaSTOCKINV[[#This Row],[ENTRADAS]]-TablaSTOCKINV[[#This Row],[SALIDAS]]</f>
        <v>6</v>
      </c>
      <c r="O1228" s="35">
        <f>SUMIFS(TablaENTRADA[CANT],TablaENTRADA[SKU],TablaSTOCKINV[[#This Row],[SKU]])</f>
        <v>6</v>
      </c>
      <c r="P1228" s="35">
        <f>SUMIFS(TablaSALIDA[CANT],TablaSALIDA[SKU],TablaSTOCKINV[[#This Row],[SKU]])</f>
        <v>0</v>
      </c>
      <c r="Q1228" s="34">
        <f>_xlfn.XLOOKUP(TablaSTOCKINV[[#This Row],[SKU]],TablaINVENTARIO[SKU],TablaINVENTARIO[PRECIO])</f>
        <v>0</v>
      </c>
      <c r="R1228" s="34">
        <f>TablaSTOCKINV[[#This Row],[P.UNITARIO]]*TablaSTOCKINV[[#This Row],[CANT. TOTAL]]</f>
        <v>0</v>
      </c>
      <c r="S1228" s="44">
        <f>_xlfn.XLOOKUP(TablaSTOCKINV[[#This Row],[SKU]],TablaINVENTARIO[SKU],TablaINVENTARIO[FECHA INGRESO])</f>
        <v>46023</v>
      </c>
      <c r="T1228" s="44">
        <f>_xlfn.XLOOKUP(TablaSTOCKINV[[#This Row],[SKU]],TablaENTRADA[SKU],TablaENTRADA[FECHA],,0,-1)</f>
        <v>46023</v>
      </c>
      <c r="U1228" s="46" t="str">
        <f>IFERROR((_xlfn.XLOOKUP(TablaSTOCKINV[[#This Row],[SKU]],TablaSALIDA[SKU],TablaSALIDA[FECHA],,0,-1))," " )</f>
        <v xml:space="preserve"> </v>
      </c>
    </row>
    <row r="1229" spans="1:21" x14ac:dyDescent="0.3">
      <c r="A1229" s="27" t="s">
        <v>3315</v>
      </c>
      <c r="B1229" s="32" t="str">
        <f>_xlfn.XLOOKUP(TablaSTOCKINV[[#This Row],[SKU]],TablaINVENTARIO[SKU],TablaINVENTARIO[DESCRIPCION])</f>
        <v>AISLADOR DE CERAMICA CON TORNILLOS</v>
      </c>
      <c r="C1229" s="32" t="str">
        <f>_xlfn.XLOOKUP(TablaSTOCKINV[[#This Row],[SKU]],TablaINVENTARIO[SKU],TablaINVENTARIO[MARCA])</f>
        <v>N/A</v>
      </c>
      <c r="D1229" s="33" t="str">
        <f>_xlfn.XLOOKUP(TablaSTOCKINV[[#This Row],[SKU]],TablaINVENTARIO[SKU],TablaINVENTARIO[CATEGORIA])</f>
        <v>FABRICACION</v>
      </c>
      <c r="E1229" s="33" t="str">
        <f>_xlfn.XLOOKUP(TablaSTOCKINV[[#This Row],[SKU]],TablaINVENTARIO[SKU],TablaINVENTARIO[SUBCATEGORIA])</f>
        <v>MATERIAL ELECTRICO</v>
      </c>
      <c r="F1229" s="33" t="str">
        <f>_xlfn.XLOOKUP(TablaSTOCKINV[[#This Row],[SKU]],TablaINVENTARIO[SKU],TablaINVENTARIO[ESTADO])</f>
        <v xml:space="preserve">NUEVO </v>
      </c>
      <c r="G1229" s="33" t="str">
        <f>_xlfn.XLOOKUP(TablaSTOCKINV[[#This Row],[SKU]],TablaINVENTARIO[SKU],TablaINVENTARIO[MEDIDA])</f>
        <v>UND</v>
      </c>
      <c r="H1229" s="33" t="str">
        <f>_xlfn.XLOOKUP(TablaSTOCKINV[[#This Row],[SKU]],TablaINVENTARIO[SKU],TablaINVENTARIO[SERIAL])</f>
        <v>N/A</v>
      </c>
      <c r="I1229" s="34">
        <f>_xlfn.XLOOKUP(TablaSTOCKINV[[#This Row],[SKU]],TablaINVENTARIO[SKU],TablaINVENTARIO[ALMACEN])</f>
        <v>0</v>
      </c>
      <c r="J1229" s="34" t="str">
        <f>_xlfn.XLOOKUP(TablaSTOCKINV[[#This Row],[SKU]],TablaINVENTARIO[SKU],TablaINVENTARIO[UBICACION])</f>
        <v>F3-1</v>
      </c>
      <c r="K1229" s="34" t="str">
        <f>_xlfn.XLOOKUP(TablaSTOCKINV[[#This Row],[SKU]],TablaINVENTARIO[SKU],TablaINVENTARIO[DPTO RESPONSABLE])</f>
        <v xml:space="preserve">OPERACIONES </v>
      </c>
      <c r="L1229" s="53">
        <f>_xlfn.XLOOKUP(TablaSTOCKINV[[#This Row],[SKU]],TablaINVENTARIO[SKU],TablaINVENTARIO[RANGO MIN])</f>
        <v>0</v>
      </c>
      <c r="M1229" s="34" cm="1">
        <f t="array" ref="M1229">_xlfn.IFS(TablaSTOCKINV[[#This Row],[CANT. TOTAL]]&lt;=0,1,TablaSTOCKINV[[#This Row],[CANT. TOTAL]]&lt;=TablaSTOCKINV[[#This Row],[MIN]],2,TablaSTOCKINV[[#This Row],[CANT. TOTAL]]&gt;TablaSTOCKINV[[#This Row],[MIN]],3)</f>
        <v>3</v>
      </c>
      <c r="N1229" s="34">
        <f>TablaSTOCKINV[[#This Row],[ENTRADAS]]-TablaSTOCKINV[[#This Row],[SALIDAS]]</f>
        <v>4</v>
      </c>
      <c r="O1229" s="35">
        <f>SUMIFS(TablaENTRADA[CANT],TablaENTRADA[SKU],TablaSTOCKINV[[#This Row],[SKU]])</f>
        <v>4</v>
      </c>
      <c r="P1229" s="35">
        <f>SUMIFS(TablaSALIDA[CANT],TablaSALIDA[SKU],TablaSTOCKINV[[#This Row],[SKU]])</f>
        <v>0</v>
      </c>
      <c r="Q1229" s="34">
        <f>_xlfn.XLOOKUP(TablaSTOCKINV[[#This Row],[SKU]],TablaINVENTARIO[SKU],TablaINVENTARIO[PRECIO])</f>
        <v>0</v>
      </c>
      <c r="R1229" s="34">
        <f>TablaSTOCKINV[[#This Row],[P.UNITARIO]]*TablaSTOCKINV[[#This Row],[CANT. TOTAL]]</f>
        <v>0</v>
      </c>
      <c r="S1229" s="44">
        <f>_xlfn.XLOOKUP(TablaSTOCKINV[[#This Row],[SKU]],TablaINVENTARIO[SKU],TablaINVENTARIO[FECHA INGRESO])</f>
        <v>46023</v>
      </c>
      <c r="T1229" s="44">
        <f>_xlfn.XLOOKUP(TablaSTOCKINV[[#This Row],[SKU]],TablaENTRADA[SKU],TablaENTRADA[FECHA],,0,-1)</f>
        <v>46023</v>
      </c>
      <c r="U1229" s="46" t="str">
        <f>IFERROR((_xlfn.XLOOKUP(TablaSTOCKINV[[#This Row],[SKU]],TablaSALIDA[SKU],TablaSALIDA[FECHA],,0,-1))," " )</f>
        <v xml:space="preserve"> </v>
      </c>
    </row>
    <row r="1230" spans="1:21" x14ac:dyDescent="0.3">
      <c r="A1230" s="27" t="s">
        <v>3317</v>
      </c>
      <c r="B1230" s="32" t="str">
        <f>_xlfn.XLOOKUP(TablaSTOCKINV[[#This Row],[SKU]],TablaINVENTARIO[SKU],TablaINVENTARIO[DESCRIPCION])</f>
        <v xml:space="preserve">ARNES DE SEGURIDAD </v>
      </c>
      <c r="C1230" s="32" t="str">
        <f>_xlfn.XLOOKUP(TablaSTOCKINV[[#This Row],[SKU]],TablaINVENTARIO[SKU],TablaINVENTARIO[MARCA])</f>
        <v>N/A</v>
      </c>
      <c r="D1230" s="33" t="str">
        <f>_xlfn.XLOOKUP(TablaSTOCKINV[[#This Row],[SKU]],TablaINVENTARIO[SKU],TablaINVENTARIO[CATEGORIA])</f>
        <v>FABRICACION</v>
      </c>
      <c r="E1230" s="33" t="str">
        <f>_xlfn.XLOOKUP(TablaSTOCKINV[[#This Row],[SKU]],TablaINVENTARIO[SKU],TablaINVENTARIO[SUBCATEGORIA])</f>
        <v>INSTRUMENTO DE MEDICION ELECTRICA</v>
      </c>
      <c r="F1230" s="33" t="str">
        <f>_xlfn.XLOOKUP(TablaSTOCKINV[[#This Row],[SKU]],TablaINVENTARIO[SKU],TablaINVENTARIO[ESTADO])</f>
        <v>USADO</v>
      </c>
      <c r="G1230" s="33" t="str">
        <f>_xlfn.XLOOKUP(TablaSTOCKINV[[#This Row],[SKU]],TablaINVENTARIO[SKU],TablaINVENTARIO[MEDIDA])</f>
        <v>UND</v>
      </c>
      <c r="H1230" s="33" t="str">
        <f>_xlfn.XLOOKUP(TablaSTOCKINV[[#This Row],[SKU]],TablaINVENTARIO[SKU],TablaINVENTARIO[SERIAL])</f>
        <v>N/A</v>
      </c>
      <c r="I1230" s="34">
        <f>_xlfn.XLOOKUP(TablaSTOCKINV[[#This Row],[SKU]],TablaINVENTARIO[SKU],TablaINVENTARIO[ALMACEN])</f>
        <v>0</v>
      </c>
      <c r="J1230" s="34" t="str">
        <f>_xlfn.XLOOKUP(TablaSTOCKINV[[#This Row],[SKU]],TablaINVENTARIO[SKU],TablaINVENTARIO[UBICACION])</f>
        <v>F4-2</v>
      </c>
      <c r="K1230" s="34" t="str">
        <f>_xlfn.XLOOKUP(TablaSTOCKINV[[#This Row],[SKU]],TablaINVENTARIO[SKU],TablaINVENTARIO[DPTO RESPONSABLE])</f>
        <v xml:space="preserve">OPERACIONES / MANTENIMIENTO </v>
      </c>
      <c r="L1230" s="53">
        <f>_xlfn.XLOOKUP(TablaSTOCKINV[[#This Row],[SKU]],TablaINVENTARIO[SKU],TablaINVENTARIO[RANGO MIN])</f>
        <v>0</v>
      </c>
      <c r="M1230" s="34" cm="1">
        <f t="array" ref="M1230">_xlfn.IFS(TablaSTOCKINV[[#This Row],[CANT. TOTAL]]&lt;=0,1,TablaSTOCKINV[[#This Row],[CANT. TOTAL]]&lt;=TablaSTOCKINV[[#This Row],[MIN]],2,TablaSTOCKINV[[#This Row],[CANT. TOTAL]]&gt;TablaSTOCKINV[[#This Row],[MIN]],3)</f>
        <v>3</v>
      </c>
      <c r="N1230" s="34">
        <f>TablaSTOCKINV[[#This Row],[ENTRADAS]]-TablaSTOCKINV[[#This Row],[SALIDAS]]</f>
        <v>6</v>
      </c>
      <c r="O1230" s="35">
        <f>SUMIFS(TablaENTRADA[CANT],TablaENTRADA[SKU],TablaSTOCKINV[[#This Row],[SKU]])</f>
        <v>6</v>
      </c>
      <c r="P1230" s="35">
        <f>SUMIFS(TablaSALIDA[CANT],TablaSALIDA[SKU],TablaSTOCKINV[[#This Row],[SKU]])</f>
        <v>0</v>
      </c>
      <c r="Q1230" s="34">
        <f>_xlfn.XLOOKUP(TablaSTOCKINV[[#This Row],[SKU]],TablaINVENTARIO[SKU],TablaINVENTARIO[PRECIO])</f>
        <v>0</v>
      </c>
      <c r="R1230" s="34">
        <f>TablaSTOCKINV[[#This Row],[P.UNITARIO]]*TablaSTOCKINV[[#This Row],[CANT. TOTAL]]</f>
        <v>0</v>
      </c>
      <c r="S1230" s="44">
        <f>_xlfn.XLOOKUP(TablaSTOCKINV[[#This Row],[SKU]],TablaINVENTARIO[SKU],TablaINVENTARIO[FECHA INGRESO])</f>
        <v>46023</v>
      </c>
      <c r="T1230" s="44">
        <f>_xlfn.XLOOKUP(TablaSTOCKINV[[#This Row],[SKU]],TablaENTRADA[SKU],TablaENTRADA[FECHA],,0,-1)</f>
        <v>46023</v>
      </c>
      <c r="U1230" s="46" t="str">
        <f>IFERROR((_xlfn.XLOOKUP(TablaSTOCKINV[[#This Row],[SKU]],TablaSALIDA[SKU],TablaSALIDA[FECHA],,0,-1))," " )</f>
        <v xml:space="preserve"> </v>
      </c>
    </row>
    <row r="1231" spans="1:21" x14ac:dyDescent="0.3">
      <c r="A1231" s="27" t="s">
        <v>3319</v>
      </c>
      <c r="B1231" s="32" t="str">
        <f>_xlfn.XLOOKUP(TablaSTOCKINV[[#This Row],[SKU]],TablaINVENTARIO[SKU],TablaINVENTARIO[DESCRIPCION])</f>
        <v xml:space="preserve">GANCHO DE SEGURIDAD PARA ARNES </v>
      </c>
      <c r="C1231" s="32" t="str">
        <f>_xlfn.XLOOKUP(TablaSTOCKINV[[#This Row],[SKU]],TablaINVENTARIO[SKU],TablaINVENTARIO[MARCA])</f>
        <v>N/A</v>
      </c>
      <c r="D1231" s="33" t="str">
        <f>_xlfn.XLOOKUP(TablaSTOCKINV[[#This Row],[SKU]],TablaINVENTARIO[SKU],TablaINVENTARIO[CATEGORIA])</f>
        <v>FABRICACION</v>
      </c>
      <c r="E1231" s="33" t="str">
        <f>_xlfn.XLOOKUP(TablaSTOCKINV[[#This Row],[SKU]],TablaINVENTARIO[SKU],TablaINVENTARIO[SUBCATEGORIA])</f>
        <v>INSTRUMENTO DE MEDICION ELECTRICA</v>
      </c>
      <c r="F1231" s="33" t="str">
        <f>_xlfn.XLOOKUP(TablaSTOCKINV[[#This Row],[SKU]],TablaINVENTARIO[SKU],TablaINVENTARIO[ESTADO])</f>
        <v>USADO</v>
      </c>
      <c r="G1231" s="33" t="str">
        <f>_xlfn.XLOOKUP(TablaSTOCKINV[[#This Row],[SKU]],TablaINVENTARIO[SKU],TablaINVENTARIO[MEDIDA])</f>
        <v>UND</v>
      </c>
      <c r="H1231" s="33" t="str">
        <f>_xlfn.XLOOKUP(TablaSTOCKINV[[#This Row],[SKU]],TablaINVENTARIO[SKU],TablaINVENTARIO[SERIAL])</f>
        <v>N/A</v>
      </c>
      <c r="I1231" s="34">
        <f>_xlfn.XLOOKUP(TablaSTOCKINV[[#This Row],[SKU]],TablaINVENTARIO[SKU],TablaINVENTARIO[ALMACEN])</f>
        <v>0</v>
      </c>
      <c r="J1231" s="34" t="str">
        <f>_xlfn.XLOOKUP(TablaSTOCKINV[[#This Row],[SKU]],TablaINVENTARIO[SKU],TablaINVENTARIO[UBICACION])</f>
        <v>F4-2</v>
      </c>
      <c r="K1231" s="34" t="str">
        <f>_xlfn.XLOOKUP(TablaSTOCKINV[[#This Row],[SKU]],TablaINVENTARIO[SKU],TablaINVENTARIO[DPTO RESPONSABLE])</f>
        <v xml:space="preserve">OPERACIONES / MANTENIMIENTO </v>
      </c>
      <c r="L1231" s="53">
        <f>_xlfn.XLOOKUP(TablaSTOCKINV[[#This Row],[SKU]],TablaINVENTARIO[SKU],TablaINVENTARIO[RANGO MIN])</f>
        <v>0</v>
      </c>
      <c r="M1231" s="34" cm="1">
        <f t="array" ref="M1231">_xlfn.IFS(TablaSTOCKINV[[#This Row],[CANT. TOTAL]]&lt;=0,1,TablaSTOCKINV[[#This Row],[CANT. TOTAL]]&lt;=TablaSTOCKINV[[#This Row],[MIN]],2,TablaSTOCKINV[[#This Row],[CANT. TOTAL]]&gt;TablaSTOCKINV[[#This Row],[MIN]],3)</f>
        <v>3</v>
      </c>
      <c r="N1231" s="34">
        <f>TablaSTOCKINV[[#This Row],[ENTRADAS]]-TablaSTOCKINV[[#This Row],[SALIDAS]]</f>
        <v>4</v>
      </c>
      <c r="O1231" s="35">
        <f>SUMIFS(TablaENTRADA[CANT],TablaENTRADA[SKU],TablaSTOCKINV[[#This Row],[SKU]])</f>
        <v>4</v>
      </c>
      <c r="P1231" s="35">
        <f>SUMIFS(TablaSALIDA[CANT],TablaSALIDA[SKU],TablaSTOCKINV[[#This Row],[SKU]])</f>
        <v>0</v>
      </c>
      <c r="Q1231" s="34">
        <f>_xlfn.XLOOKUP(TablaSTOCKINV[[#This Row],[SKU]],TablaINVENTARIO[SKU],TablaINVENTARIO[PRECIO])</f>
        <v>0</v>
      </c>
      <c r="R1231" s="34">
        <f>TablaSTOCKINV[[#This Row],[P.UNITARIO]]*TablaSTOCKINV[[#This Row],[CANT. TOTAL]]</f>
        <v>0</v>
      </c>
      <c r="S1231" s="44">
        <f>_xlfn.XLOOKUP(TablaSTOCKINV[[#This Row],[SKU]],TablaINVENTARIO[SKU],TablaINVENTARIO[FECHA INGRESO])</f>
        <v>46023</v>
      </c>
      <c r="T1231" s="44">
        <f>_xlfn.XLOOKUP(TablaSTOCKINV[[#This Row],[SKU]],TablaENTRADA[SKU],TablaENTRADA[FECHA],,0,-1)</f>
        <v>46023</v>
      </c>
      <c r="U1231" s="46" t="str">
        <f>IFERROR((_xlfn.XLOOKUP(TablaSTOCKINV[[#This Row],[SKU]],TablaSALIDA[SKU],TablaSALIDA[FECHA],,0,-1))," " )</f>
        <v xml:space="preserve"> </v>
      </c>
    </row>
    <row r="1232" spans="1:21" x14ac:dyDescent="0.3">
      <c r="A1232" s="27" t="s">
        <v>403</v>
      </c>
      <c r="B1232" s="32" t="str">
        <f>_xlfn.XLOOKUP(TablaSTOCKINV[[#This Row],[SKU]],TablaINVENTARIO[SKU],TablaINVENTARIO[DESCRIPCION])</f>
        <v>COLLAR CERVICAL FORMA PILA TALLA L</v>
      </c>
      <c r="C1232" s="32" t="str">
        <f>_xlfn.XLOOKUP(TablaSTOCKINV[[#This Row],[SKU]],TablaINVENTARIO[SKU],TablaINVENTARIO[MARCA])</f>
        <v xml:space="preserve">FORMA ELASTICA </v>
      </c>
      <c r="D1232" s="33" t="str">
        <f>_xlfn.XLOOKUP(TablaSTOCKINV[[#This Row],[SKU]],TablaINVENTARIO[SKU],TablaINVENTARIO[CATEGORIA])</f>
        <v>EQUIPO_MEDICO</v>
      </c>
      <c r="E1232" s="33" t="str">
        <f>_xlfn.XLOOKUP(TablaSTOCKINV[[#This Row],[SKU]],TablaINVENTARIO[SKU],TablaINVENTARIO[SUBCATEGORIA])</f>
        <v xml:space="preserve">AMBULANCIA </v>
      </c>
      <c r="F1232" s="33" t="str">
        <f>_xlfn.XLOOKUP(TablaSTOCKINV[[#This Row],[SKU]],TablaINVENTARIO[SKU],TablaINVENTARIO[ESTADO])</f>
        <v>NUEVO</v>
      </c>
      <c r="G1232" s="33" t="str">
        <f>_xlfn.XLOOKUP(TablaSTOCKINV[[#This Row],[SKU]],TablaINVENTARIO[SKU],TablaINVENTARIO[MEDIDA])</f>
        <v>UND</v>
      </c>
      <c r="H1232" s="33" t="str">
        <f>_xlfn.XLOOKUP(TablaSTOCKINV[[#This Row],[SKU]],TablaINVENTARIO[SKU],TablaINVENTARIO[SERIAL])</f>
        <v>N/A</v>
      </c>
      <c r="I1232" s="34">
        <f>_xlfn.XLOOKUP(TablaSTOCKINV[[#This Row],[SKU]],TablaINVENTARIO[SKU],TablaINVENTARIO[ALMACEN])</f>
        <v>0</v>
      </c>
      <c r="J1232" s="34" t="str">
        <f>_xlfn.XLOOKUP(TablaSTOCKINV[[#This Row],[SKU]],TablaINVENTARIO[SKU],TablaINVENTARIO[UBICACION])</f>
        <v>L3</v>
      </c>
      <c r="K1232" s="34" t="str">
        <f>_xlfn.XLOOKUP(TablaSTOCKINV[[#This Row],[SKU]],TablaINVENTARIO[SKU],TablaINVENTARIO[DPTO RESPONSABLE])</f>
        <v>OPERACIONES</v>
      </c>
      <c r="L1232" s="53">
        <f>_xlfn.XLOOKUP(TablaSTOCKINV[[#This Row],[SKU]],TablaINVENTARIO[SKU],TablaINVENTARIO[RANGO MIN])</f>
        <v>0</v>
      </c>
      <c r="M1232" s="34" cm="1">
        <f t="array" ref="M1232">_xlfn.IFS(TablaSTOCKINV[[#This Row],[CANT. TOTAL]]&lt;=0,1,TablaSTOCKINV[[#This Row],[CANT. TOTAL]]&lt;=TablaSTOCKINV[[#This Row],[MIN]],2,TablaSTOCKINV[[#This Row],[CANT. TOTAL]]&gt;TablaSTOCKINV[[#This Row],[MIN]],3)</f>
        <v>3</v>
      </c>
      <c r="N1232" s="34">
        <f>TablaSTOCKINV[[#This Row],[ENTRADAS]]-TablaSTOCKINV[[#This Row],[SALIDAS]]</f>
        <v>1</v>
      </c>
      <c r="O1232" s="35">
        <f>SUMIFS(TablaENTRADA[CANT],TablaENTRADA[SKU],TablaSTOCKINV[[#This Row],[SKU]])</f>
        <v>1</v>
      </c>
      <c r="P1232" s="35">
        <f>SUMIFS(TablaSALIDA[CANT],TablaSALIDA[SKU],TablaSTOCKINV[[#This Row],[SKU]])</f>
        <v>0</v>
      </c>
      <c r="Q1232" s="34">
        <f>_xlfn.XLOOKUP(TablaSTOCKINV[[#This Row],[SKU]],TablaINVENTARIO[SKU],TablaINVENTARIO[PRECIO])</f>
        <v>0</v>
      </c>
      <c r="R1232" s="34">
        <f>TablaSTOCKINV[[#This Row],[P.UNITARIO]]*TablaSTOCKINV[[#This Row],[CANT. TOTAL]]</f>
        <v>0</v>
      </c>
      <c r="S1232" s="44">
        <f>_xlfn.XLOOKUP(TablaSTOCKINV[[#This Row],[SKU]],TablaINVENTARIO[SKU],TablaINVENTARIO[FECHA INGRESO])</f>
        <v>46023</v>
      </c>
      <c r="T1232" s="44">
        <f>_xlfn.XLOOKUP(TablaSTOCKINV[[#This Row],[SKU]],TablaENTRADA[SKU],TablaENTRADA[FECHA],,0,-1)</f>
        <v>46023</v>
      </c>
      <c r="U1232" s="46" t="str">
        <f>IFERROR((_xlfn.XLOOKUP(TablaSTOCKINV[[#This Row],[SKU]],TablaSALIDA[SKU],TablaSALIDA[FECHA],,0,-1))," " )</f>
        <v xml:space="preserve"> </v>
      </c>
    </row>
    <row r="1233" spans="1:21" x14ac:dyDescent="0.3">
      <c r="A1233" s="27" t="s">
        <v>408</v>
      </c>
      <c r="B1233" s="32" t="str">
        <f>_xlfn.XLOOKUP(TablaSTOCKINV[[#This Row],[SKU]],TablaINVENTARIO[SKU],TablaINVENTARIO[DESCRIPCION])</f>
        <v xml:space="preserve">COLLAR CERVICAL FORMA </v>
      </c>
      <c r="C1233" s="32" t="str">
        <f>_xlfn.XLOOKUP(TablaSTOCKINV[[#This Row],[SKU]],TablaINVENTARIO[SKU],TablaINVENTARIO[MARCA])</f>
        <v>AMBU</v>
      </c>
      <c r="D1233" s="33" t="str">
        <f>_xlfn.XLOOKUP(TablaSTOCKINV[[#This Row],[SKU]],TablaINVENTARIO[SKU],TablaINVENTARIO[CATEGORIA])</f>
        <v>EQUIPO_MEDICO</v>
      </c>
      <c r="E1233" s="33" t="str">
        <f>_xlfn.XLOOKUP(TablaSTOCKINV[[#This Row],[SKU]],TablaINVENTARIO[SKU],TablaINVENTARIO[SUBCATEGORIA])</f>
        <v xml:space="preserve">AMBULANCIA </v>
      </c>
      <c r="F1233" s="33" t="str">
        <f>_xlfn.XLOOKUP(TablaSTOCKINV[[#This Row],[SKU]],TablaINVENTARIO[SKU],TablaINVENTARIO[ESTADO])</f>
        <v>NUEVO</v>
      </c>
      <c r="G1233" s="33" t="str">
        <f>_xlfn.XLOOKUP(TablaSTOCKINV[[#This Row],[SKU]],TablaINVENTARIO[SKU],TablaINVENTARIO[MEDIDA])</f>
        <v>UND</v>
      </c>
      <c r="H1233" s="33" t="str">
        <f>_xlfn.XLOOKUP(TablaSTOCKINV[[#This Row],[SKU]],TablaINVENTARIO[SKU],TablaINVENTARIO[SERIAL])</f>
        <v>N/A</v>
      </c>
      <c r="I1233" s="34">
        <f>_xlfn.XLOOKUP(TablaSTOCKINV[[#This Row],[SKU]],TablaINVENTARIO[SKU],TablaINVENTARIO[ALMACEN])</f>
        <v>0</v>
      </c>
      <c r="J1233" s="34" t="str">
        <f>_xlfn.XLOOKUP(TablaSTOCKINV[[#This Row],[SKU]],TablaINVENTARIO[SKU],TablaINVENTARIO[UBICACION])</f>
        <v>L3</v>
      </c>
      <c r="K1233" s="34" t="str">
        <f>_xlfn.XLOOKUP(TablaSTOCKINV[[#This Row],[SKU]],TablaINVENTARIO[SKU],TablaINVENTARIO[DPTO RESPONSABLE])</f>
        <v>OPERACIONES</v>
      </c>
      <c r="L1233" s="53">
        <f>_xlfn.XLOOKUP(TablaSTOCKINV[[#This Row],[SKU]],TablaINVENTARIO[SKU],TablaINVENTARIO[RANGO MIN])</f>
        <v>0</v>
      </c>
      <c r="M1233" s="34" cm="1">
        <f t="array" ref="M1233">_xlfn.IFS(TablaSTOCKINV[[#This Row],[CANT. TOTAL]]&lt;=0,1,TablaSTOCKINV[[#This Row],[CANT. TOTAL]]&lt;=TablaSTOCKINV[[#This Row],[MIN]],2,TablaSTOCKINV[[#This Row],[CANT. TOTAL]]&gt;TablaSTOCKINV[[#This Row],[MIN]],3)</f>
        <v>3</v>
      </c>
      <c r="N1233" s="34">
        <f>TablaSTOCKINV[[#This Row],[ENTRADAS]]-TablaSTOCKINV[[#This Row],[SALIDAS]]</f>
        <v>1</v>
      </c>
      <c r="O1233" s="35">
        <f>SUMIFS(TablaENTRADA[CANT],TablaENTRADA[SKU],TablaSTOCKINV[[#This Row],[SKU]])</f>
        <v>1</v>
      </c>
      <c r="P1233" s="35">
        <f>SUMIFS(TablaSALIDA[CANT],TablaSALIDA[SKU],TablaSTOCKINV[[#This Row],[SKU]])</f>
        <v>0</v>
      </c>
      <c r="Q1233" s="34">
        <f>_xlfn.XLOOKUP(TablaSTOCKINV[[#This Row],[SKU]],TablaINVENTARIO[SKU],TablaINVENTARIO[PRECIO])</f>
        <v>0</v>
      </c>
      <c r="R1233" s="34">
        <f>TablaSTOCKINV[[#This Row],[P.UNITARIO]]*TablaSTOCKINV[[#This Row],[CANT. TOTAL]]</f>
        <v>0</v>
      </c>
      <c r="S1233" s="44">
        <f>_xlfn.XLOOKUP(TablaSTOCKINV[[#This Row],[SKU]],TablaINVENTARIO[SKU],TablaINVENTARIO[FECHA INGRESO])</f>
        <v>46023</v>
      </c>
      <c r="T1233" s="44">
        <f>_xlfn.XLOOKUP(TablaSTOCKINV[[#This Row],[SKU]],TablaENTRADA[SKU],TablaENTRADA[FECHA],,0,-1)</f>
        <v>46023</v>
      </c>
      <c r="U1233" s="46" t="str">
        <f>IFERROR((_xlfn.XLOOKUP(TablaSTOCKINV[[#This Row],[SKU]],TablaSALIDA[SKU],TablaSALIDA[FECHA],,0,-1))," " )</f>
        <v xml:space="preserve"> </v>
      </c>
    </row>
    <row r="1234" spans="1:21" x14ac:dyDescent="0.3">
      <c r="A1234" s="27" t="s">
        <v>411</v>
      </c>
      <c r="B1234" s="32" t="str">
        <f>_xlfn.XLOOKUP(TablaSTOCKINV[[#This Row],[SKU]],TablaINVENTARIO[SKU],TablaINVENTARIO[DESCRIPCION])</f>
        <v xml:space="preserve">INMOVILIZADOE DE PIERNA </v>
      </c>
      <c r="C1234" s="32" t="str">
        <f>_xlfn.XLOOKUP(TablaSTOCKINV[[#This Row],[SKU]],TablaINVENTARIO[SKU],TablaINVENTARIO[MARCA])</f>
        <v>MAYFLOWER</v>
      </c>
      <c r="D1234" s="33" t="str">
        <f>_xlfn.XLOOKUP(TablaSTOCKINV[[#This Row],[SKU]],TablaINVENTARIO[SKU],TablaINVENTARIO[CATEGORIA])</f>
        <v>EQUIPO_MEDICO</v>
      </c>
      <c r="E1234" s="33" t="str">
        <f>_xlfn.XLOOKUP(TablaSTOCKINV[[#This Row],[SKU]],TablaINVENTARIO[SKU],TablaINVENTARIO[SUBCATEGORIA])</f>
        <v xml:space="preserve">AMBULANCIA </v>
      </c>
      <c r="F1234" s="33" t="str">
        <f>_xlfn.XLOOKUP(TablaSTOCKINV[[#This Row],[SKU]],TablaINVENTARIO[SKU],TablaINVENTARIO[ESTADO])</f>
        <v>NUEVO</v>
      </c>
      <c r="G1234" s="33" t="str">
        <f>_xlfn.XLOOKUP(TablaSTOCKINV[[#This Row],[SKU]],TablaINVENTARIO[SKU],TablaINVENTARIO[MEDIDA])</f>
        <v>UND</v>
      </c>
      <c r="H1234" s="33" t="str">
        <f>_xlfn.XLOOKUP(TablaSTOCKINV[[#This Row],[SKU]],TablaINVENTARIO[SKU],TablaINVENTARIO[SERIAL])</f>
        <v>N/A</v>
      </c>
      <c r="I1234" s="34">
        <f>_xlfn.XLOOKUP(TablaSTOCKINV[[#This Row],[SKU]],TablaINVENTARIO[SKU],TablaINVENTARIO[ALMACEN])</f>
        <v>0</v>
      </c>
      <c r="J1234" s="34" t="str">
        <f>_xlfn.XLOOKUP(TablaSTOCKINV[[#This Row],[SKU]],TablaINVENTARIO[SKU],TablaINVENTARIO[UBICACION])</f>
        <v>L3</v>
      </c>
      <c r="K1234" s="34" t="str">
        <f>_xlfn.XLOOKUP(TablaSTOCKINV[[#This Row],[SKU]],TablaINVENTARIO[SKU],TablaINVENTARIO[DPTO RESPONSABLE])</f>
        <v>OPERACIONES</v>
      </c>
      <c r="L1234" s="53">
        <f>_xlfn.XLOOKUP(TablaSTOCKINV[[#This Row],[SKU]],TablaINVENTARIO[SKU],TablaINVENTARIO[RANGO MIN])</f>
        <v>0</v>
      </c>
      <c r="M1234" s="34" cm="1">
        <f t="array" ref="M1234">_xlfn.IFS(TablaSTOCKINV[[#This Row],[CANT. TOTAL]]&lt;=0,1,TablaSTOCKINV[[#This Row],[CANT. TOTAL]]&lt;=TablaSTOCKINV[[#This Row],[MIN]],2,TablaSTOCKINV[[#This Row],[CANT. TOTAL]]&gt;TablaSTOCKINV[[#This Row],[MIN]],3)</f>
        <v>3</v>
      </c>
      <c r="N1234" s="34">
        <f>TablaSTOCKINV[[#This Row],[ENTRADAS]]-TablaSTOCKINV[[#This Row],[SALIDAS]]</f>
        <v>3</v>
      </c>
      <c r="O1234" s="35">
        <f>SUMIFS(TablaENTRADA[CANT],TablaENTRADA[SKU],TablaSTOCKINV[[#This Row],[SKU]])</f>
        <v>3</v>
      </c>
      <c r="P1234" s="35">
        <f>SUMIFS(TablaSALIDA[CANT],TablaSALIDA[SKU],TablaSTOCKINV[[#This Row],[SKU]])</f>
        <v>0</v>
      </c>
      <c r="Q1234" s="34">
        <f>_xlfn.XLOOKUP(TablaSTOCKINV[[#This Row],[SKU]],TablaINVENTARIO[SKU],TablaINVENTARIO[PRECIO])</f>
        <v>0</v>
      </c>
      <c r="R1234" s="34">
        <f>TablaSTOCKINV[[#This Row],[P.UNITARIO]]*TablaSTOCKINV[[#This Row],[CANT. TOTAL]]</f>
        <v>0</v>
      </c>
      <c r="S1234" s="44">
        <f>_xlfn.XLOOKUP(TablaSTOCKINV[[#This Row],[SKU]],TablaINVENTARIO[SKU],TablaINVENTARIO[FECHA INGRESO])</f>
        <v>46023</v>
      </c>
      <c r="T1234" s="44">
        <f>_xlfn.XLOOKUP(TablaSTOCKINV[[#This Row],[SKU]],TablaENTRADA[SKU],TablaENTRADA[FECHA],,0,-1)</f>
        <v>46023</v>
      </c>
      <c r="U1234" s="46" t="str">
        <f>IFERROR((_xlfn.XLOOKUP(TablaSTOCKINV[[#This Row],[SKU]],TablaSALIDA[SKU],TablaSALIDA[FECHA],,0,-1))," " )</f>
        <v xml:space="preserve"> </v>
      </c>
    </row>
    <row r="1235" spans="1:21" x14ac:dyDescent="0.3">
      <c r="A1235" s="27" t="s">
        <v>414</v>
      </c>
      <c r="B1235" s="32" t="str">
        <f>_xlfn.XLOOKUP(TablaSTOCKINV[[#This Row],[SKU]],TablaINVENTARIO[SKU],TablaINVENTARIO[DESCRIPCION])</f>
        <v xml:space="preserve">INMOVILIZADOR DE PIE </v>
      </c>
      <c r="C1235" s="32" t="str">
        <f>_xlfn.XLOOKUP(TablaSTOCKINV[[#This Row],[SKU]],TablaINVENTARIO[SKU],TablaINVENTARIO[MARCA])</f>
        <v>MAYFLOWER</v>
      </c>
      <c r="D1235" s="33" t="str">
        <f>_xlfn.XLOOKUP(TablaSTOCKINV[[#This Row],[SKU]],TablaINVENTARIO[SKU],TablaINVENTARIO[CATEGORIA])</f>
        <v>EQUIPO_MEDICO</v>
      </c>
      <c r="E1235" s="33" t="str">
        <f>_xlfn.XLOOKUP(TablaSTOCKINV[[#This Row],[SKU]],TablaINVENTARIO[SKU],TablaINVENTARIO[SUBCATEGORIA])</f>
        <v xml:space="preserve">AMBULANCIA </v>
      </c>
      <c r="F1235" s="33" t="str">
        <f>_xlfn.XLOOKUP(TablaSTOCKINV[[#This Row],[SKU]],TablaINVENTARIO[SKU],TablaINVENTARIO[ESTADO])</f>
        <v>NUEVO</v>
      </c>
      <c r="G1235" s="33" t="str">
        <f>_xlfn.XLOOKUP(TablaSTOCKINV[[#This Row],[SKU]],TablaINVENTARIO[SKU],TablaINVENTARIO[MEDIDA])</f>
        <v>UND</v>
      </c>
      <c r="H1235" s="33" t="str">
        <f>_xlfn.XLOOKUP(TablaSTOCKINV[[#This Row],[SKU]],TablaINVENTARIO[SKU],TablaINVENTARIO[SERIAL])</f>
        <v>N/A</v>
      </c>
      <c r="I1235" s="34">
        <f>_xlfn.XLOOKUP(TablaSTOCKINV[[#This Row],[SKU]],TablaINVENTARIO[SKU],TablaINVENTARIO[ALMACEN])</f>
        <v>0</v>
      </c>
      <c r="J1235" s="34" t="str">
        <f>_xlfn.XLOOKUP(TablaSTOCKINV[[#This Row],[SKU]],TablaINVENTARIO[SKU],TablaINVENTARIO[UBICACION])</f>
        <v>L3</v>
      </c>
      <c r="K1235" s="34" t="str">
        <f>_xlfn.XLOOKUP(TablaSTOCKINV[[#This Row],[SKU]],TablaINVENTARIO[SKU],TablaINVENTARIO[DPTO RESPONSABLE])</f>
        <v>OPERACIONES</v>
      </c>
      <c r="L1235" s="53">
        <f>_xlfn.XLOOKUP(TablaSTOCKINV[[#This Row],[SKU]],TablaINVENTARIO[SKU],TablaINVENTARIO[RANGO MIN])</f>
        <v>0</v>
      </c>
      <c r="M1235" s="34" cm="1">
        <f t="array" ref="M1235">_xlfn.IFS(TablaSTOCKINV[[#This Row],[CANT. TOTAL]]&lt;=0,1,TablaSTOCKINV[[#This Row],[CANT. TOTAL]]&lt;=TablaSTOCKINV[[#This Row],[MIN]],2,TablaSTOCKINV[[#This Row],[CANT. TOTAL]]&gt;TablaSTOCKINV[[#This Row],[MIN]],3)</f>
        <v>3</v>
      </c>
      <c r="N1235" s="34">
        <f>TablaSTOCKINV[[#This Row],[ENTRADAS]]-TablaSTOCKINV[[#This Row],[SALIDAS]]</f>
        <v>1</v>
      </c>
      <c r="O1235" s="35">
        <f>SUMIFS(TablaENTRADA[CANT],TablaENTRADA[SKU],TablaSTOCKINV[[#This Row],[SKU]])</f>
        <v>1</v>
      </c>
      <c r="P1235" s="35">
        <f>SUMIFS(TablaSALIDA[CANT],TablaSALIDA[SKU],TablaSTOCKINV[[#This Row],[SKU]])</f>
        <v>0</v>
      </c>
      <c r="Q1235" s="34">
        <f>_xlfn.XLOOKUP(TablaSTOCKINV[[#This Row],[SKU]],TablaINVENTARIO[SKU],TablaINVENTARIO[PRECIO])</f>
        <v>0</v>
      </c>
      <c r="R1235" s="34">
        <f>TablaSTOCKINV[[#This Row],[P.UNITARIO]]*TablaSTOCKINV[[#This Row],[CANT. TOTAL]]</f>
        <v>0</v>
      </c>
      <c r="S1235" s="44">
        <f>_xlfn.XLOOKUP(TablaSTOCKINV[[#This Row],[SKU]],TablaINVENTARIO[SKU],TablaINVENTARIO[FECHA INGRESO])</f>
        <v>46023</v>
      </c>
      <c r="T1235" s="44">
        <f>_xlfn.XLOOKUP(TablaSTOCKINV[[#This Row],[SKU]],TablaENTRADA[SKU],TablaENTRADA[FECHA],,0,-1)</f>
        <v>46023</v>
      </c>
      <c r="U1235" s="46" t="str">
        <f>IFERROR((_xlfn.XLOOKUP(TablaSTOCKINV[[#This Row],[SKU]],TablaSALIDA[SKU],TablaSALIDA[FECHA],,0,-1))," " )</f>
        <v xml:space="preserve"> </v>
      </c>
    </row>
    <row r="1236" spans="1:21" x14ac:dyDescent="0.3">
      <c r="A1236" s="27" t="s">
        <v>416</v>
      </c>
      <c r="B1236" s="32" t="str">
        <f>_xlfn.XLOOKUP(TablaSTOCKINV[[#This Row],[SKU]],TablaINVENTARIO[SKU],TablaINVENTARIO[DESCRIPCION])</f>
        <v>INMOVILIZADOR DE ANTEBRAZO</v>
      </c>
      <c r="C1236" s="32" t="str">
        <f>_xlfn.XLOOKUP(TablaSTOCKINV[[#This Row],[SKU]],TablaINVENTARIO[SKU],TablaINVENTARIO[MARCA])</f>
        <v>MAYFLOWER</v>
      </c>
      <c r="D1236" s="33" t="str">
        <f>_xlfn.XLOOKUP(TablaSTOCKINV[[#This Row],[SKU]],TablaINVENTARIO[SKU],TablaINVENTARIO[CATEGORIA])</f>
        <v>EQUIPO_MEDICO</v>
      </c>
      <c r="E1236" s="33" t="str">
        <f>_xlfn.XLOOKUP(TablaSTOCKINV[[#This Row],[SKU]],TablaINVENTARIO[SKU],TablaINVENTARIO[SUBCATEGORIA])</f>
        <v xml:space="preserve">AMBULANCIA </v>
      </c>
      <c r="F1236" s="33" t="str">
        <f>_xlfn.XLOOKUP(TablaSTOCKINV[[#This Row],[SKU]],TablaINVENTARIO[SKU],TablaINVENTARIO[ESTADO])</f>
        <v>NUEVO</v>
      </c>
      <c r="G1236" s="33" t="str">
        <f>_xlfn.XLOOKUP(TablaSTOCKINV[[#This Row],[SKU]],TablaINVENTARIO[SKU],TablaINVENTARIO[MEDIDA])</f>
        <v>UND</v>
      </c>
      <c r="H1236" s="33" t="str">
        <f>_xlfn.XLOOKUP(TablaSTOCKINV[[#This Row],[SKU]],TablaINVENTARIO[SKU],TablaINVENTARIO[SERIAL])</f>
        <v>N/A</v>
      </c>
      <c r="I1236" s="34">
        <f>_xlfn.XLOOKUP(TablaSTOCKINV[[#This Row],[SKU]],TablaINVENTARIO[SKU],TablaINVENTARIO[ALMACEN])</f>
        <v>0</v>
      </c>
      <c r="J1236" s="34" t="str">
        <f>_xlfn.XLOOKUP(TablaSTOCKINV[[#This Row],[SKU]],TablaINVENTARIO[SKU],TablaINVENTARIO[UBICACION])</f>
        <v>L3</v>
      </c>
      <c r="K1236" s="34" t="str">
        <f>_xlfn.XLOOKUP(TablaSTOCKINV[[#This Row],[SKU]],TablaINVENTARIO[SKU],TablaINVENTARIO[DPTO RESPONSABLE])</f>
        <v>OPERACIONES</v>
      </c>
      <c r="L1236" s="53">
        <f>_xlfn.XLOOKUP(TablaSTOCKINV[[#This Row],[SKU]],TablaINVENTARIO[SKU],TablaINVENTARIO[RANGO MIN])</f>
        <v>0</v>
      </c>
      <c r="M1236" s="34" cm="1">
        <f t="array" ref="M1236">_xlfn.IFS(TablaSTOCKINV[[#This Row],[CANT. TOTAL]]&lt;=0,1,TablaSTOCKINV[[#This Row],[CANT. TOTAL]]&lt;=TablaSTOCKINV[[#This Row],[MIN]],2,TablaSTOCKINV[[#This Row],[CANT. TOTAL]]&gt;TablaSTOCKINV[[#This Row],[MIN]],3)</f>
        <v>3</v>
      </c>
      <c r="N1236" s="34">
        <f>TablaSTOCKINV[[#This Row],[ENTRADAS]]-TablaSTOCKINV[[#This Row],[SALIDAS]]</f>
        <v>2</v>
      </c>
      <c r="O1236" s="35">
        <f>SUMIFS(TablaENTRADA[CANT],TablaENTRADA[SKU],TablaSTOCKINV[[#This Row],[SKU]])</f>
        <v>2</v>
      </c>
      <c r="P1236" s="35">
        <f>SUMIFS(TablaSALIDA[CANT],TablaSALIDA[SKU],TablaSTOCKINV[[#This Row],[SKU]])</f>
        <v>0</v>
      </c>
      <c r="Q1236" s="34">
        <f>_xlfn.XLOOKUP(TablaSTOCKINV[[#This Row],[SKU]],TablaINVENTARIO[SKU],TablaINVENTARIO[PRECIO])</f>
        <v>0</v>
      </c>
      <c r="R1236" s="34">
        <f>TablaSTOCKINV[[#This Row],[P.UNITARIO]]*TablaSTOCKINV[[#This Row],[CANT. TOTAL]]</f>
        <v>0</v>
      </c>
      <c r="S1236" s="44">
        <f>_xlfn.XLOOKUP(TablaSTOCKINV[[#This Row],[SKU]],TablaINVENTARIO[SKU],TablaINVENTARIO[FECHA INGRESO])</f>
        <v>46023</v>
      </c>
      <c r="T1236" s="44">
        <f>_xlfn.XLOOKUP(TablaSTOCKINV[[#This Row],[SKU]],TablaENTRADA[SKU],TablaENTRADA[FECHA],,0,-1)</f>
        <v>46023</v>
      </c>
      <c r="U1236" s="46" t="str">
        <f>IFERROR((_xlfn.XLOOKUP(TablaSTOCKINV[[#This Row],[SKU]],TablaSALIDA[SKU],TablaSALIDA[FECHA],,0,-1))," " )</f>
        <v xml:space="preserve"> </v>
      </c>
    </row>
    <row r="1237" spans="1:21" x14ac:dyDescent="0.3">
      <c r="A1237" s="27" t="s">
        <v>418</v>
      </c>
      <c r="B1237" s="32" t="str">
        <f>_xlfn.XLOOKUP(TablaSTOCKINV[[#This Row],[SKU]],TablaINVENTARIO[SKU],TablaINVENTARIO[DESCRIPCION])</f>
        <v xml:space="preserve">VASO HUMIFICADOR CON FILTRO </v>
      </c>
      <c r="C1237" s="32" t="str">
        <f>_xlfn.XLOOKUP(TablaSTOCKINV[[#This Row],[SKU]],TablaINVENTARIO[SKU],TablaINVENTARIO[MARCA])</f>
        <v>KENXYN</v>
      </c>
      <c r="D1237" s="33" t="str">
        <f>_xlfn.XLOOKUP(TablaSTOCKINV[[#This Row],[SKU]],TablaINVENTARIO[SKU],TablaINVENTARIO[CATEGORIA])</f>
        <v>EQUIPO_MEDICO</v>
      </c>
      <c r="E1237" s="33" t="str">
        <f>_xlfn.XLOOKUP(TablaSTOCKINV[[#This Row],[SKU]],TablaINVENTARIO[SKU],TablaINVENTARIO[SUBCATEGORIA])</f>
        <v xml:space="preserve">AMBULANCIA </v>
      </c>
      <c r="F1237" s="33" t="str">
        <f>_xlfn.XLOOKUP(TablaSTOCKINV[[#This Row],[SKU]],TablaINVENTARIO[SKU],TablaINVENTARIO[ESTADO])</f>
        <v>NUEVO</v>
      </c>
      <c r="G1237" s="33" t="str">
        <f>_xlfn.XLOOKUP(TablaSTOCKINV[[#This Row],[SKU]],TablaINVENTARIO[SKU],TablaINVENTARIO[MEDIDA])</f>
        <v>UND</v>
      </c>
      <c r="H1237" s="33" t="str">
        <f>_xlfn.XLOOKUP(TablaSTOCKINV[[#This Row],[SKU]],TablaINVENTARIO[SKU],TablaINVENTARIO[SERIAL])</f>
        <v>N/A</v>
      </c>
      <c r="I1237" s="34">
        <f>_xlfn.XLOOKUP(TablaSTOCKINV[[#This Row],[SKU]],TablaINVENTARIO[SKU],TablaINVENTARIO[ALMACEN])</f>
        <v>0</v>
      </c>
      <c r="J1237" s="34" t="str">
        <f>_xlfn.XLOOKUP(TablaSTOCKINV[[#This Row],[SKU]],TablaINVENTARIO[SKU],TablaINVENTARIO[UBICACION])</f>
        <v>L3</v>
      </c>
      <c r="K1237" s="34" t="str">
        <f>_xlfn.XLOOKUP(TablaSTOCKINV[[#This Row],[SKU]],TablaINVENTARIO[SKU],TablaINVENTARIO[DPTO RESPONSABLE])</f>
        <v>OPERACIONES</v>
      </c>
      <c r="L1237" s="53">
        <f>_xlfn.XLOOKUP(TablaSTOCKINV[[#This Row],[SKU]],TablaINVENTARIO[SKU],TablaINVENTARIO[RANGO MIN])</f>
        <v>0</v>
      </c>
      <c r="M1237" s="34" cm="1">
        <f t="array" ref="M1237">_xlfn.IFS(TablaSTOCKINV[[#This Row],[CANT. TOTAL]]&lt;=0,1,TablaSTOCKINV[[#This Row],[CANT. TOTAL]]&lt;=TablaSTOCKINV[[#This Row],[MIN]],2,TablaSTOCKINV[[#This Row],[CANT. TOTAL]]&gt;TablaSTOCKINV[[#This Row],[MIN]],3)</f>
        <v>3</v>
      </c>
      <c r="N1237" s="34">
        <f>TablaSTOCKINV[[#This Row],[ENTRADAS]]-TablaSTOCKINV[[#This Row],[SALIDAS]]</f>
        <v>2</v>
      </c>
      <c r="O1237" s="35">
        <f>SUMIFS(TablaENTRADA[CANT],TablaENTRADA[SKU],TablaSTOCKINV[[#This Row],[SKU]])</f>
        <v>2</v>
      </c>
      <c r="P1237" s="35">
        <f>SUMIFS(TablaSALIDA[CANT],TablaSALIDA[SKU],TablaSTOCKINV[[#This Row],[SKU]])</f>
        <v>0</v>
      </c>
      <c r="Q1237" s="34">
        <f>_xlfn.XLOOKUP(TablaSTOCKINV[[#This Row],[SKU]],TablaINVENTARIO[SKU],TablaINVENTARIO[PRECIO])</f>
        <v>0</v>
      </c>
      <c r="R1237" s="34">
        <f>TablaSTOCKINV[[#This Row],[P.UNITARIO]]*TablaSTOCKINV[[#This Row],[CANT. TOTAL]]</f>
        <v>0</v>
      </c>
      <c r="S1237" s="44">
        <f>_xlfn.XLOOKUP(TablaSTOCKINV[[#This Row],[SKU]],TablaINVENTARIO[SKU],TablaINVENTARIO[FECHA INGRESO])</f>
        <v>46023</v>
      </c>
      <c r="T1237" s="44">
        <f>_xlfn.XLOOKUP(TablaSTOCKINV[[#This Row],[SKU]],TablaENTRADA[SKU],TablaENTRADA[FECHA],,0,-1)</f>
        <v>46023</v>
      </c>
      <c r="U1237" s="46" t="str">
        <f>IFERROR((_xlfn.XLOOKUP(TablaSTOCKINV[[#This Row],[SKU]],TablaSALIDA[SKU],TablaSALIDA[FECHA],,0,-1))," " )</f>
        <v xml:space="preserve"> </v>
      </c>
    </row>
    <row r="1238" spans="1:21" x14ac:dyDescent="0.3">
      <c r="A1238" s="27" t="s">
        <v>421</v>
      </c>
      <c r="B1238" s="32" t="str">
        <f>_xlfn.XLOOKUP(TablaSTOCKINV[[#This Row],[SKU]],TablaINVENTARIO[SKU],TablaINVENTARIO[DESCRIPCION])</f>
        <v xml:space="preserve">VASO HUMIFICADOR CON FILTRO </v>
      </c>
      <c r="C1238" s="32" t="str">
        <f>_xlfn.XLOOKUP(TablaSTOCKINV[[#This Row],[SKU]],TablaINVENTARIO[SKU],TablaINVENTARIO[MARCA])</f>
        <v>AIRIAL</v>
      </c>
      <c r="D1238" s="33" t="str">
        <f>_xlfn.XLOOKUP(TablaSTOCKINV[[#This Row],[SKU]],TablaINVENTARIO[SKU],TablaINVENTARIO[CATEGORIA])</f>
        <v>EQUIPO_MEDICO</v>
      </c>
      <c r="E1238" s="33" t="str">
        <f>_xlfn.XLOOKUP(TablaSTOCKINV[[#This Row],[SKU]],TablaINVENTARIO[SKU],TablaINVENTARIO[SUBCATEGORIA])</f>
        <v xml:space="preserve">AMBULANCIA </v>
      </c>
      <c r="F1238" s="33" t="str">
        <f>_xlfn.XLOOKUP(TablaSTOCKINV[[#This Row],[SKU]],TablaINVENTARIO[SKU],TablaINVENTARIO[ESTADO])</f>
        <v>NUEVO</v>
      </c>
      <c r="G1238" s="33" t="str">
        <f>_xlfn.XLOOKUP(TablaSTOCKINV[[#This Row],[SKU]],TablaINVENTARIO[SKU],TablaINVENTARIO[MEDIDA])</f>
        <v>UND</v>
      </c>
      <c r="H1238" s="33" t="str">
        <f>_xlfn.XLOOKUP(TablaSTOCKINV[[#This Row],[SKU]],TablaINVENTARIO[SKU],TablaINVENTARIO[SERIAL])</f>
        <v>N/A</v>
      </c>
      <c r="I1238" s="34">
        <f>_xlfn.XLOOKUP(TablaSTOCKINV[[#This Row],[SKU]],TablaINVENTARIO[SKU],TablaINVENTARIO[ALMACEN])</f>
        <v>0</v>
      </c>
      <c r="J1238" s="34" t="str">
        <f>_xlfn.XLOOKUP(TablaSTOCKINV[[#This Row],[SKU]],TablaINVENTARIO[SKU],TablaINVENTARIO[UBICACION])</f>
        <v>L3</v>
      </c>
      <c r="K1238" s="34" t="str">
        <f>_xlfn.XLOOKUP(TablaSTOCKINV[[#This Row],[SKU]],TablaINVENTARIO[SKU],TablaINVENTARIO[DPTO RESPONSABLE])</f>
        <v>OPERACIONES</v>
      </c>
      <c r="L1238" s="53">
        <f>_xlfn.XLOOKUP(TablaSTOCKINV[[#This Row],[SKU]],TablaINVENTARIO[SKU],TablaINVENTARIO[RANGO MIN])</f>
        <v>0</v>
      </c>
      <c r="M1238" s="34" cm="1">
        <f t="array" ref="M1238">_xlfn.IFS(TablaSTOCKINV[[#This Row],[CANT. TOTAL]]&lt;=0,1,TablaSTOCKINV[[#This Row],[CANT. TOTAL]]&lt;=TablaSTOCKINV[[#This Row],[MIN]],2,TablaSTOCKINV[[#This Row],[CANT. TOTAL]]&gt;TablaSTOCKINV[[#This Row],[MIN]],3)</f>
        <v>3</v>
      </c>
      <c r="N1238" s="34">
        <f>TablaSTOCKINV[[#This Row],[ENTRADAS]]-TablaSTOCKINV[[#This Row],[SALIDAS]]</f>
        <v>1</v>
      </c>
      <c r="O1238" s="35">
        <f>SUMIFS(TablaENTRADA[CANT],TablaENTRADA[SKU],TablaSTOCKINV[[#This Row],[SKU]])</f>
        <v>1</v>
      </c>
      <c r="P1238" s="35">
        <f>SUMIFS(TablaSALIDA[CANT],TablaSALIDA[SKU],TablaSTOCKINV[[#This Row],[SKU]])</f>
        <v>0</v>
      </c>
      <c r="Q1238" s="34">
        <f>_xlfn.XLOOKUP(TablaSTOCKINV[[#This Row],[SKU]],TablaINVENTARIO[SKU],TablaINVENTARIO[PRECIO])</f>
        <v>0</v>
      </c>
      <c r="R1238" s="34">
        <f>TablaSTOCKINV[[#This Row],[P.UNITARIO]]*TablaSTOCKINV[[#This Row],[CANT. TOTAL]]</f>
        <v>0</v>
      </c>
      <c r="S1238" s="44">
        <f>_xlfn.XLOOKUP(TablaSTOCKINV[[#This Row],[SKU]],TablaINVENTARIO[SKU],TablaINVENTARIO[FECHA INGRESO])</f>
        <v>46023</v>
      </c>
      <c r="T1238" s="44">
        <f>_xlfn.XLOOKUP(TablaSTOCKINV[[#This Row],[SKU]],TablaENTRADA[SKU],TablaENTRADA[FECHA],,0,-1)</f>
        <v>46023</v>
      </c>
      <c r="U1238" s="46" t="str">
        <f>IFERROR((_xlfn.XLOOKUP(TablaSTOCKINV[[#This Row],[SKU]],TablaSALIDA[SKU],TablaSALIDA[FECHA],,0,-1))," " )</f>
        <v xml:space="preserve"> </v>
      </c>
    </row>
    <row r="1239" spans="1:21" x14ac:dyDescent="0.3">
      <c r="A1239" s="27" t="s">
        <v>423</v>
      </c>
      <c r="B1239" s="32" t="str">
        <f>_xlfn.XLOOKUP(TablaSTOCKINV[[#This Row],[SKU]],TablaINVENTARIO[SKU],TablaINVENTARIO[DESCRIPCION])</f>
        <v xml:space="preserve">VASO HUMIFICADOR CON FILTRO </v>
      </c>
      <c r="C1239" s="32" t="str">
        <f>_xlfn.XLOOKUP(TablaSTOCKINV[[#This Row],[SKU]],TablaINVENTARIO[SKU],TablaINVENTARIO[MARCA])</f>
        <v>MAXIUM</v>
      </c>
      <c r="D1239" s="33" t="str">
        <f>_xlfn.XLOOKUP(TablaSTOCKINV[[#This Row],[SKU]],TablaINVENTARIO[SKU],TablaINVENTARIO[CATEGORIA])</f>
        <v>EQUIPO_MEDICO</v>
      </c>
      <c r="E1239" s="33" t="str">
        <f>_xlfn.XLOOKUP(TablaSTOCKINV[[#This Row],[SKU]],TablaINVENTARIO[SKU],TablaINVENTARIO[SUBCATEGORIA])</f>
        <v xml:space="preserve">AMBULANCIA </v>
      </c>
      <c r="F1239" s="33" t="str">
        <f>_xlfn.XLOOKUP(TablaSTOCKINV[[#This Row],[SKU]],TablaINVENTARIO[SKU],TablaINVENTARIO[ESTADO])</f>
        <v>NUEVO</v>
      </c>
      <c r="G1239" s="33" t="str">
        <f>_xlfn.XLOOKUP(TablaSTOCKINV[[#This Row],[SKU]],TablaINVENTARIO[SKU],TablaINVENTARIO[MEDIDA])</f>
        <v>UND</v>
      </c>
      <c r="H1239" s="33" t="str">
        <f>_xlfn.XLOOKUP(TablaSTOCKINV[[#This Row],[SKU]],TablaINVENTARIO[SKU],TablaINVENTARIO[SERIAL])</f>
        <v>N/A</v>
      </c>
      <c r="I1239" s="34">
        <f>_xlfn.XLOOKUP(TablaSTOCKINV[[#This Row],[SKU]],TablaINVENTARIO[SKU],TablaINVENTARIO[ALMACEN])</f>
        <v>0</v>
      </c>
      <c r="J1239" s="34" t="str">
        <f>_xlfn.XLOOKUP(TablaSTOCKINV[[#This Row],[SKU]],TablaINVENTARIO[SKU],TablaINVENTARIO[UBICACION])</f>
        <v>L3</v>
      </c>
      <c r="K1239" s="34" t="str">
        <f>_xlfn.XLOOKUP(TablaSTOCKINV[[#This Row],[SKU]],TablaINVENTARIO[SKU],TablaINVENTARIO[DPTO RESPONSABLE])</f>
        <v>OPERACIONES</v>
      </c>
      <c r="L1239" s="53">
        <f>_xlfn.XLOOKUP(TablaSTOCKINV[[#This Row],[SKU]],TablaINVENTARIO[SKU],TablaINVENTARIO[RANGO MIN])</f>
        <v>0</v>
      </c>
      <c r="M1239" s="34" cm="1">
        <f t="array" ref="M1239">_xlfn.IFS(TablaSTOCKINV[[#This Row],[CANT. TOTAL]]&lt;=0,1,TablaSTOCKINV[[#This Row],[CANT. TOTAL]]&lt;=TablaSTOCKINV[[#This Row],[MIN]],2,TablaSTOCKINV[[#This Row],[CANT. TOTAL]]&gt;TablaSTOCKINV[[#This Row],[MIN]],3)</f>
        <v>3</v>
      </c>
      <c r="N1239" s="34">
        <f>TablaSTOCKINV[[#This Row],[ENTRADAS]]-TablaSTOCKINV[[#This Row],[SALIDAS]]</f>
        <v>3</v>
      </c>
      <c r="O1239" s="35">
        <f>SUMIFS(TablaENTRADA[CANT],TablaENTRADA[SKU],TablaSTOCKINV[[#This Row],[SKU]])</f>
        <v>3</v>
      </c>
      <c r="P1239" s="35">
        <f>SUMIFS(TablaSALIDA[CANT],TablaSALIDA[SKU],TablaSTOCKINV[[#This Row],[SKU]])</f>
        <v>0</v>
      </c>
      <c r="Q1239" s="34">
        <f>_xlfn.XLOOKUP(TablaSTOCKINV[[#This Row],[SKU]],TablaINVENTARIO[SKU],TablaINVENTARIO[PRECIO])</f>
        <v>0</v>
      </c>
      <c r="R1239" s="34">
        <f>TablaSTOCKINV[[#This Row],[P.UNITARIO]]*TablaSTOCKINV[[#This Row],[CANT. TOTAL]]</f>
        <v>0</v>
      </c>
      <c r="S1239" s="44">
        <f>_xlfn.XLOOKUP(TablaSTOCKINV[[#This Row],[SKU]],TablaINVENTARIO[SKU],TablaINVENTARIO[FECHA INGRESO])</f>
        <v>46023</v>
      </c>
      <c r="T1239" s="44">
        <f>_xlfn.XLOOKUP(TablaSTOCKINV[[#This Row],[SKU]],TablaENTRADA[SKU],TablaENTRADA[FECHA],,0,-1)</f>
        <v>46023</v>
      </c>
      <c r="U1239" s="46" t="str">
        <f>IFERROR((_xlfn.XLOOKUP(TablaSTOCKINV[[#This Row],[SKU]],TablaSALIDA[SKU],TablaSALIDA[FECHA],,0,-1))," " )</f>
        <v xml:space="preserve"> </v>
      </c>
    </row>
    <row r="1240" spans="1:21" x14ac:dyDescent="0.3">
      <c r="A1240" s="27" t="s">
        <v>425</v>
      </c>
      <c r="B1240" s="32" t="str">
        <f>_xlfn.XLOOKUP(TablaSTOCKINV[[#This Row],[SKU]],TablaINVENTARIO[SKU],TablaINVENTARIO[DESCRIPCION])</f>
        <v xml:space="preserve">RESPIRADOR DE RESUCITACION </v>
      </c>
      <c r="C1240" s="32" t="str">
        <f>_xlfn.XLOOKUP(TablaSTOCKINV[[#This Row],[SKU]],TablaINVENTARIO[SKU],TablaINVENTARIO[MARCA])</f>
        <v>AMBU</v>
      </c>
      <c r="D1240" s="33" t="str">
        <f>_xlfn.XLOOKUP(TablaSTOCKINV[[#This Row],[SKU]],TablaINVENTARIO[SKU],TablaINVENTARIO[CATEGORIA])</f>
        <v>EQUIPO_MEDICO</v>
      </c>
      <c r="E1240" s="33" t="str">
        <f>_xlfn.XLOOKUP(TablaSTOCKINV[[#This Row],[SKU]],TablaINVENTARIO[SKU],TablaINVENTARIO[SUBCATEGORIA])</f>
        <v xml:space="preserve">AMBULANCIA </v>
      </c>
      <c r="F1240" s="33" t="str">
        <f>_xlfn.XLOOKUP(TablaSTOCKINV[[#This Row],[SKU]],TablaINVENTARIO[SKU],TablaINVENTARIO[ESTADO])</f>
        <v>NUEVO</v>
      </c>
      <c r="G1240" s="33" t="str">
        <f>_xlfn.XLOOKUP(TablaSTOCKINV[[#This Row],[SKU]],TablaINVENTARIO[SKU],TablaINVENTARIO[MEDIDA])</f>
        <v>UND</v>
      </c>
      <c r="H1240" s="33" t="str">
        <f>_xlfn.XLOOKUP(TablaSTOCKINV[[#This Row],[SKU]],TablaINVENTARIO[SKU],TablaINVENTARIO[SERIAL])</f>
        <v>N/A</v>
      </c>
      <c r="I1240" s="34">
        <f>_xlfn.XLOOKUP(TablaSTOCKINV[[#This Row],[SKU]],TablaINVENTARIO[SKU],TablaINVENTARIO[ALMACEN])</f>
        <v>0</v>
      </c>
      <c r="J1240" s="34" t="str">
        <f>_xlfn.XLOOKUP(TablaSTOCKINV[[#This Row],[SKU]],TablaINVENTARIO[SKU],TablaINVENTARIO[UBICACION])</f>
        <v>L3</v>
      </c>
      <c r="K1240" s="34" t="str">
        <f>_xlfn.XLOOKUP(TablaSTOCKINV[[#This Row],[SKU]],TablaINVENTARIO[SKU],TablaINVENTARIO[DPTO RESPONSABLE])</f>
        <v>OPERACIONES</v>
      </c>
      <c r="L1240" s="53">
        <f>_xlfn.XLOOKUP(TablaSTOCKINV[[#This Row],[SKU]],TablaINVENTARIO[SKU],TablaINVENTARIO[RANGO MIN])</f>
        <v>0</v>
      </c>
      <c r="M1240" s="34" cm="1">
        <f t="array" ref="M1240">_xlfn.IFS(TablaSTOCKINV[[#This Row],[CANT. TOTAL]]&lt;=0,1,TablaSTOCKINV[[#This Row],[CANT. TOTAL]]&lt;=TablaSTOCKINV[[#This Row],[MIN]],2,TablaSTOCKINV[[#This Row],[CANT. TOTAL]]&gt;TablaSTOCKINV[[#This Row],[MIN]],3)</f>
        <v>3</v>
      </c>
      <c r="N1240" s="34">
        <f>TablaSTOCKINV[[#This Row],[ENTRADAS]]-TablaSTOCKINV[[#This Row],[SALIDAS]]</f>
        <v>1</v>
      </c>
      <c r="O1240" s="35">
        <f>SUMIFS(TablaENTRADA[CANT],TablaENTRADA[SKU],TablaSTOCKINV[[#This Row],[SKU]])</f>
        <v>1</v>
      </c>
      <c r="P1240" s="35">
        <f>SUMIFS(TablaSALIDA[CANT],TablaSALIDA[SKU],TablaSTOCKINV[[#This Row],[SKU]])</f>
        <v>0</v>
      </c>
      <c r="Q1240" s="34">
        <f>_xlfn.XLOOKUP(TablaSTOCKINV[[#This Row],[SKU]],TablaINVENTARIO[SKU],TablaINVENTARIO[PRECIO])</f>
        <v>0</v>
      </c>
      <c r="R1240" s="34">
        <f>TablaSTOCKINV[[#This Row],[P.UNITARIO]]*TablaSTOCKINV[[#This Row],[CANT. TOTAL]]</f>
        <v>0</v>
      </c>
      <c r="S1240" s="44">
        <f>_xlfn.XLOOKUP(TablaSTOCKINV[[#This Row],[SKU]],TablaINVENTARIO[SKU],TablaINVENTARIO[FECHA INGRESO])</f>
        <v>46023</v>
      </c>
      <c r="T1240" s="44">
        <f>_xlfn.XLOOKUP(TablaSTOCKINV[[#This Row],[SKU]],TablaENTRADA[SKU],TablaENTRADA[FECHA],,0,-1)</f>
        <v>46023</v>
      </c>
      <c r="U1240" s="46" t="str">
        <f>IFERROR((_xlfn.XLOOKUP(TablaSTOCKINV[[#This Row],[SKU]],TablaSALIDA[SKU],TablaSALIDA[FECHA],,0,-1))," " )</f>
        <v xml:space="preserve"> </v>
      </c>
    </row>
    <row r="1241" spans="1:21" x14ac:dyDescent="0.3">
      <c r="A1241" s="27" t="s">
        <v>427</v>
      </c>
      <c r="B1241" s="32" t="str">
        <f>_xlfn.XLOOKUP(TablaSTOCKINV[[#This Row],[SKU]],TablaINVENTARIO[SKU],TablaINVENTARIO[DESCRIPCION])</f>
        <v>CATETER INTRAVENOSO 18 G</v>
      </c>
      <c r="C1241" s="32" t="str">
        <f>_xlfn.XLOOKUP(TablaSTOCKINV[[#This Row],[SKU]],TablaINVENTARIO[SKU],TablaINVENTARIO[MARCA])</f>
        <v>SENSIMEDICAL</v>
      </c>
      <c r="D1241" s="33" t="str">
        <f>_xlfn.XLOOKUP(TablaSTOCKINV[[#This Row],[SKU]],TablaINVENTARIO[SKU],TablaINVENTARIO[CATEGORIA])</f>
        <v>EQUIPO_MEDICO</v>
      </c>
      <c r="E1241" s="33" t="str">
        <f>_xlfn.XLOOKUP(TablaSTOCKINV[[#This Row],[SKU]],TablaINVENTARIO[SKU],TablaINVENTARIO[SUBCATEGORIA])</f>
        <v xml:space="preserve">AMBULANCIA </v>
      </c>
      <c r="F1241" s="33" t="str">
        <f>_xlfn.XLOOKUP(TablaSTOCKINV[[#This Row],[SKU]],TablaINVENTARIO[SKU],TablaINVENTARIO[ESTADO])</f>
        <v>NUEVO</v>
      </c>
      <c r="G1241" s="33" t="str">
        <f>_xlfn.XLOOKUP(TablaSTOCKINV[[#This Row],[SKU]],TablaINVENTARIO[SKU],TablaINVENTARIO[MEDIDA])</f>
        <v>UND</v>
      </c>
      <c r="H1241" s="33" t="str">
        <f>_xlfn.XLOOKUP(TablaSTOCKINV[[#This Row],[SKU]],TablaINVENTARIO[SKU],TablaINVENTARIO[SERIAL])</f>
        <v>N/A</v>
      </c>
      <c r="I1241" s="34">
        <f>_xlfn.XLOOKUP(TablaSTOCKINV[[#This Row],[SKU]],TablaINVENTARIO[SKU],TablaINVENTARIO[ALMACEN])</f>
        <v>0</v>
      </c>
      <c r="J1241" s="34" t="str">
        <f>_xlfn.XLOOKUP(TablaSTOCKINV[[#This Row],[SKU]],TablaINVENTARIO[SKU],TablaINVENTARIO[UBICACION])</f>
        <v>L3</v>
      </c>
      <c r="K1241" s="34" t="str">
        <f>_xlfn.XLOOKUP(TablaSTOCKINV[[#This Row],[SKU]],TablaINVENTARIO[SKU],TablaINVENTARIO[DPTO RESPONSABLE])</f>
        <v>OPERACIONES</v>
      </c>
      <c r="L1241" s="53">
        <f>_xlfn.XLOOKUP(TablaSTOCKINV[[#This Row],[SKU]],TablaINVENTARIO[SKU],TablaINVENTARIO[RANGO MIN])</f>
        <v>0</v>
      </c>
      <c r="M1241" s="34" cm="1">
        <f t="array" ref="M1241">_xlfn.IFS(TablaSTOCKINV[[#This Row],[CANT. TOTAL]]&lt;=0,1,TablaSTOCKINV[[#This Row],[CANT. TOTAL]]&lt;=TablaSTOCKINV[[#This Row],[MIN]],2,TablaSTOCKINV[[#This Row],[CANT. TOTAL]]&gt;TablaSTOCKINV[[#This Row],[MIN]],3)</f>
        <v>3</v>
      </c>
      <c r="N1241" s="34">
        <f>TablaSTOCKINV[[#This Row],[ENTRADAS]]-TablaSTOCKINV[[#This Row],[SALIDAS]]</f>
        <v>6</v>
      </c>
      <c r="O1241" s="35">
        <f>SUMIFS(TablaENTRADA[CANT],TablaENTRADA[SKU],TablaSTOCKINV[[#This Row],[SKU]])</f>
        <v>6</v>
      </c>
      <c r="P1241" s="35">
        <f>SUMIFS(TablaSALIDA[CANT],TablaSALIDA[SKU],TablaSTOCKINV[[#This Row],[SKU]])</f>
        <v>0</v>
      </c>
      <c r="Q1241" s="34">
        <f>_xlfn.XLOOKUP(TablaSTOCKINV[[#This Row],[SKU]],TablaINVENTARIO[SKU],TablaINVENTARIO[PRECIO])</f>
        <v>0</v>
      </c>
      <c r="R1241" s="34">
        <f>TablaSTOCKINV[[#This Row],[P.UNITARIO]]*TablaSTOCKINV[[#This Row],[CANT. TOTAL]]</f>
        <v>0</v>
      </c>
      <c r="S1241" s="44">
        <f>_xlfn.XLOOKUP(TablaSTOCKINV[[#This Row],[SKU]],TablaINVENTARIO[SKU],TablaINVENTARIO[FECHA INGRESO])</f>
        <v>46023</v>
      </c>
      <c r="T1241" s="44">
        <f>_xlfn.XLOOKUP(TablaSTOCKINV[[#This Row],[SKU]],TablaENTRADA[SKU],TablaENTRADA[FECHA],,0,-1)</f>
        <v>46023</v>
      </c>
      <c r="U1241" s="46" t="str">
        <f>IFERROR((_xlfn.XLOOKUP(TablaSTOCKINV[[#This Row],[SKU]],TablaSALIDA[SKU],TablaSALIDA[FECHA],,0,-1))," " )</f>
        <v xml:space="preserve"> </v>
      </c>
    </row>
    <row r="1242" spans="1:21" x14ac:dyDescent="0.3">
      <c r="A1242" s="27" t="s">
        <v>430</v>
      </c>
      <c r="B1242" s="32" t="str">
        <f>_xlfn.XLOOKUP(TablaSTOCKINV[[#This Row],[SKU]],TablaINVENTARIO[SKU],TablaINVENTARIO[DESCRIPCION])</f>
        <v>CATETER INTRAVENOSO 2 G</v>
      </c>
      <c r="C1242" s="32" t="str">
        <f>_xlfn.XLOOKUP(TablaSTOCKINV[[#This Row],[SKU]],TablaINVENTARIO[SKU],TablaINVENTARIO[MARCA])</f>
        <v>NIPRO</v>
      </c>
      <c r="D1242" s="33" t="str">
        <f>_xlfn.XLOOKUP(TablaSTOCKINV[[#This Row],[SKU]],TablaINVENTARIO[SKU],TablaINVENTARIO[CATEGORIA])</f>
        <v>EQUIPO_MEDICO</v>
      </c>
      <c r="E1242" s="33" t="str">
        <f>_xlfn.XLOOKUP(TablaSTOCKINV[[#This Row],[SKU]],TablaINVENTARIO[SKU],TablaINVENTARIO[SUBCATEGORIA])</f>
        <v xml:space="preserve">AMBULANCIA </v>
      </c>
      <c r="F1242" s="33" t="str">
        <f>_xlfn.XLOOKUP(TablaSTOCKINV[[#This Row],[SKU]],TablaINVENTARIO[SKU],TablaINVENTARIO[ESTADO])</f>
        <v>NUEVO</v>
      </c>
      <c r="G1242" s="33" t="str">
        <f>_xlfn.XLOOKUP(TablaSTOCKINV[[#This Row],[SKU]],TablaINVENTARIO[SKU],TablaINVENTARIO[MEDIDA])</f>
        <v>UND</v>
      </c>
      <c r="H1242" s="33" t="str">
        <f>_xlfn.XLOOKUP(TablaSTOCKINV[[#This Row],[SKU]],TablaINVENTARIO[SKU],TablaINVENTARIO[SERIAL])</f>
        <v>N/A</v>
      </c>
      <c r="I1242" s="34">
        <f>_xlfn.XLOOKUP(TablaSTOCKINV[[#This Row],[SKU]],TablaINVENTARIO[SKU],TablaINVENTARIO[ALMACEN])</f>
        <v>0</v>
      </c>
      <c r="J1242" s="34" t="str">
        <f>_xlfn.XLOOKUP(TablaSTOCKINV[[#This Row],[SKU]],TablaINVENTARIO[SKU],TablaINVENTARIO[UBICACION])</f>
        <v>L3</v>
      </c>
      <c r="K1242" s="34" t="str">
        <f>_xlfn.XLOOKUP(TablaSTOCKINV[[#This Row],[SKU]],TablaINVENTARIO[SKU],TablaINVENTARIO[DPTO RESPONSABLE])</f>
        <v>OPERACIONES</v>
      </c>
      <c r="L1242" s="53">
        <f>_xlfn.XLOOKUP(TablaSTOCKINV[[#This Row],[SKU]],TablaINVENTARIO[SKU],TablaINVENTARIO[RANGO MIN])</f>
        <v>0</v>
      </c>
      <c r="M1242" s="34" cm="1">
        <f t="array" ref="M1242">_xlfn.IFS(TablaSTOCKINV[[#This Row],[CANT. TOTAL]]&lt;=0,1,TablaSTOCKINV[[#This Row],[CANT. TOTAL]]&lt;=TablaSTOCKINV[[#This Row],[MIN]],2,TablaSTOCKINV[[#This Row],[CANT. TOTAL]]&gt;TablaSTOCKINV[[#This Row],[MIN]],3)</f>
        <v>3</v>
      </c>
      <c r="N1242" s="34">
        <f>TablaSTOCKINV[[#This Row],[ENTRADAS]]-TablaSTOCKINV[[#This Row],[SALIDAS]]</f>
        <v>2</v>
      </c>
      <c r="O1242" s="35">
        <f>SUMIFS(TablaENTRADA[CANT],TablaENTRADA[SKU],TablaSTOCKINV[[#This Row],[SKU]])</f>
        <v>2</v>
      </c>
      <c r="P1242" s="35">
        <f>SUMIFS(TablaSALIDA[CANT],TablaSALIDA[SKU],TablaSTOCKINV[[#This Row],[SKU]])</f>
        <v>0</v>
      </c>
      <c r="Q1242" s="34">
        <f>_xlfn.XLOOKUP(TablaSTOCKINV[[#This Row],[SKU]],TablaINVENTARIO[SKU],TablaINVENTARIO[PRECIO])</f>
        <v>0</v>
      </c>
      <c r="R1242" s="34">
        <f>TablaSTOCKINV[[#This Row],[P.UNITARIO]]*TablaSTOCKINV[[#This Row],[CANT. TOTAL]]</f>
        <v>0</v>
      </c>
      <c r="S1242" s="44">
        <f>_xlfn.XLOOKUP(TablaSTOCKINV[[#This Row],[SKU]],TablaINVENTARIO[SKU],TablaINVENTARIO[FECHA INGRESO])</f>
        <v>46023</v>
      </c>
      <c r="T1242" s="44">
        <f>_xlfn.XLOOKUP(TablaSTOCKINV[[#This Row],[SKU]],TablaENTRADA[SKU],TablaENTRADA[FECHA],,0,-1)</f>
        <v>46023</v>
      </c>
      <c r="U1242" s="46" t="str">
        <f>IFERROR((_xlfn.XLOOKUP(TablaSTOCKINV[[#This Row],[SKU]],TablaSALIDA[SKU],TablaSALIDA[FECHA],,0,-1))," " )</f>
        <v xml:space="preserve"> </v>
      </c>
    </row>
    <row r="1243" spans="1:21" x14ac:dyDescent="0.3">
      <c r="A1243" s="27" t="s">
        <v>433</v>
      </c>
      <c r="B1243" s="32" t="str">
        <f>_xlfn.XLOOKUP(TablaSTOCKINV[[#This Row],[SKU]],TablaINVENTARIO[SKU],TablaINVENTARIO[DESCRIPCION])</f>
        <v>CATETER INTRAVENOSO 20G</v>
      </c>
      <c r="C1243" s="32" t="str">
        <f>_xlfn.XLOOKUP(TablaSTOCKINV[[#This Row],[SKU]],TablaINVENTARIO[SKU],TablaINVENTARIO[MARCA])</f>
        <v>ANGIOCATH</v>
      </c>
      <c r="D1243" s="33" t="str">
        <f>_xlfn.XLOOKUP(TablaSTOCKINV[[#This Row],[SKU]],TablaINVENTARIO[SKU],TablaINVENTARIO[CATEGORIA])</f>
        <v>EQUIPO_MEDICO</v>
      </c>
      <c r="E1243" s="33" t="str">
        <f>_xlfn.XLOOKUP(TablaSTOCKINV[[#This Row],[SKU]],TablaINVENTARIO[SKU],TablaINVENTARIO[SUBCATEGORIA])</f>
        <v xml:space="preserve">AMBULANCIA </v>
      </c>
      <c r="F1243" s="33" t="str">
        <f>_xlfn.XLOOKUP(TablaSTOCKINV[[#This Row],[SKU]],TablaINVENTARIO[SKU],TablaINVENTARIO[ESTADO])</f>
        <v>NUEVO</v>
      </c>
      <c r="G1243" s="33" t="str">
        <f>_xlfn.XLOOKUP(TablaSTOCKINV[[#This Row],[SKU]],TablaINVENTARIO[SKU],TablaINVENTARIO[MEDIDA])</f>
        <v>UND</v>
      </c>
      <c r="H1243" s="33" t="str">
        <f>_xlfn.XLOOKUP(TablaSTOCKINV[[#This Row],[SKU]],TablaINVENTARIO[SKU],TablaINVENTARIO[SERIAL])</f>
        <v>N/A</v>
      </c>
      <c r="I1243" s="34">
        <f>_xlfn.XLOOKUP(TablaSTOCKINV[[#This Row],[SKU]],TablaINVENTARIO[SKU],TablaINVENTARIO[ALMACEN])</f>
        <v>0</v>
      </c>
      <c r="J1243" s="34" t="str">
        <f>_xlfn.XLOOKUP(TablaSTOCKINV[[#This Row],[SKU]],TablaINVENTARIO[SKU],TablaINVENTARIO[UBICACION])</f>
        <v>L3</v>
      </c>
      <c r="K1243" s="34" t="str">
        <f>_xlfn.XLOOKUP(TablaSTOCKINV[[#This Row],[SKU]],TablaINVENTARIO[SKU],TablaINVENTARIO[DPTO RESPONSABLE])</f>
        <v>OPERACIONES</v>
      </c>
      <c r="L1243" s="53">
        <f>_xlfn.XLOOKUP(TablaSTOCKINV[[#This Row],[SKU]],TablaINVENTARIO[SKU],TablaINVENTARIO[RANGO MIN])</f>
        <v>0</v>
      </c>
      <c r="M1243" s="34" cm="1">
        <f t="array" ref="M1243">_xlfn.IFS(TablaSTOCKINV[[#This Row],[CANT. TOTAL]]&lt;=0,1,TablaSTOCKINV[[#This Row],[CANT. TOTAL]]&lt;=TablaSTOCKINV[[#This Row],[MIN]],2,TablaSTOCKINV[[#This Row],[CANT. TOTAL]]&gt;TablaSTOCKINV[[#This Row],[MIN]],3)</f>
        <v>3</v>
      </c>
      <c r="N1243" s="34">
        <f>TablaSTOCKINV[[#This Row],[ENTRADAS]]-TablaSTOCKINV[[#This Row],[SALIDAS]]</f>
        <v>5</v>
      </c>
      <c r="O1243" s="35">
        <f>SUMIFS(TablaENTRADA[CANT],TablaENTRADA[SKU],TablaSTOCKINV[[#This Row],[SKU]])</f>
        <v>5</v>
      </c>
      <c r="P1243" s="35">
        <f>SUMIFS(TablaSALIDA[CANT],TablaSALIDA[SKU],TablaSTOCKINV[[#This Row],[SKU]])</f>
        <v>0</v>
      </c>
      <c r="Q1243" s="34">
        <f>_xlfn.XLOOKUP(TablaSTOCKINV[[#This Row],[SKU]],TablaINVENTARIO[SKU],TablaINVENTARIO[PRECIO])</f>
        <v>0</v>
      </c>
      <c r="R1243" s="34">
        <f>TablaSTOCKINV[[#This Row],[P.UNITARIO]]*TablaSTOCKINV[[#This Row],[CANT. TOTAL]]</f>
        <v>0</v>
      </c>
      <c r="S1243" s="44">
        <f>_xlfn.XLOOKUP(TablaSTOCKINV[[#This Row],[SKU]],TablaINVENTARIO[SKU],TablaINVENTARIO[FECHA INGRESO])</f>
        <v>46023</v>
      </c>
      <c r="T1243" s="44">
        <f>_xlfn.XLOOKUP(TablaSTOCKINV[[#This Row],[SKU]],TablaENTRADA[SKU],TablaENTRADA[FECHA],,0,-1)</f>
        <v>46023</v>
      </c>
      <c r="U1243" s="46" t="str">
        <f>IFERROR((_xlfn.XLOOKUP(TablaSTOCKINV[[#This Row],[SKU]],TablaSALIDA[SKU],TablaSALIDA[FECHA],,0,-1))," " )</f>
        <v xml:space="preserve"> </v>
      </c>
    </row>
    <row r="1244" spans="1:21" x14ac:dyDescent="0.3">
      <c r="A1244" s="27" t="s">
        <v>436</v>
      </c>
      <c r="B1244" s="32" t="str">
        <f>_xlfn.XLOOKUP(TablaSTOCKINV[[#This Row],[SKU]],TablaINVENTARIO[SKU],TablaINVENTARIO[DESCRIPCION])</f>
        <v xml:space="preserve">GERINGA 3CC </v>
      </c>
      <c r="C1244" s="32" t="str">
        <f>_xlfn.XLOOKUP(TablaSTOCKINV[[#This Row],[SKU]],TablaINVENTARIO[SKU],TablaINVENTARIO[MARCA])</f>
        <v>ACTIMED</v>
      </c>
      <c r="D1244" s="33" t="str">
        <f>_xlfn.XLOOKUP(TablaSTOCKINV[[#This Row],[SKU]],TablaINVENTARIO[SKU],TablaINVENTARIO[CATEGORIA])</f>
        <v>EQUIPO_MEDICO</v>
      </c>
      <c r="E1244" s="33" t="str">
        <f>_xlfn.XLOOKUP(TablaSTOCKINV[[#This Row],[SKU]],TablaINVENTARIO[SKU],TablaINVENTARIO[SUBCATEGORIA])</f>
        <v xml:space="preserve">AMBULANCIA </v>
      </c>
      <c r="F1244" s="33" t="str">
        <f>_xlfn.XLOOKUP(TablaSTOCKINV[[#This Row],[SKU]],TablaINVENTARIO[SKU],TablaINVENTARIO[ESTADO])</f>
        <v>NUEVO</v>
      </c>
      <c r="G1244" s="33" t="str">
        <f>_xlfn.XLOOKUP(TablaSTOCKINV[[#This Row],[SKU]],TablaINVENTARIO[SKU],TablaINVENTARIO[MEDIDA])</f>
        <v>UND</v>
      </c>
      <c r="H1244" s="33" t="str">
        <f>_xlfn.XLOOKUP(TablaSTOCKINV[[#This Row],[SKU]],TablaINVENTARIO[SKU],TablaINVENTARIO[SERIAL])</f>
        <v>N/A</v>
      </c>
      <c r="I1244" s="34">
        <f>_xlfn.XLOOKUP(TablaSTOCKINV[[#This Row],[SKU]],TablaINVENTARIO[SKU],TablaINVENTARIO[ALMACEN])</f>
        <v>0</v>
      </c>
      <c r="J1244" s="34" t="str">
        <f>_xlfn.XLOOKUP(TablaSTOCKINV[[#This Row],[SKU]],TablaINVENTARIO[SKU],TablaINVENTARIO[UBICACION])</f>
        <v>L3</v>
      </c>
      <c r="K1244" s="34" t="str">
        <f>_xlfn.XLOOKUP(TablaSTOCKINV[[#This Row],[SKU]],TablaINVENTARIO[SKU],TablaINVENTARIO[DPTO RESPONSABLE])</f>
        <v>OPERACIONES</v>
      </c>
      <c r="L1244" s="53">
        <f>_xlfn.XLOOKUP(TablaSTOCKINV[[#This Row],[SKU]],TablaINVENTARIO[SKU],TablaINVENTARIO[RANGO MIN])</f>
        <v>0</v>
      </c>
      <c r="M1244" s="34" cm="1">
        <f t="array" ref="M1244">_xlfn.IFS(TablaSTOCKINV[[#This Row],[CANT. TOTAL]]&lt;=0,1,TablaSTOCKINV[[#This Row],[CANT. TOTAL]]&lt;=TablaSTOCKINV[[#This Row],[MIN]],2,TablaSTOCKINV[[#This Row],[CANT. TOTAL]]&gt;TablaSTOCKINV[[#This Row],[MIN]],3)</f>
        <v>3</v>
      </c>
      <c r="N1244" s="34">
        <f>TablaSTOCKINV[[#This Row],[ENTRADAS]]-TablaSTOCKINV[[#This Row],[SALIDAS]]</f>
        <v>5</v>
      </c>
      <c r="O1244" s="35">
        <f>SUMIFS(TablaENTRADA[CANT],TablaENTRADA[SKU],TablaSTOCKINV[[#This Row],[SKU]])</f>
        <v>5</v>
      </c>
      <c r="P1244" s="35">
        <f>SUMIFS(TablaSALIDA[CANT],TablaSALIDA[SKU],TablaSTOCKINV[[#This Row],[SKU]])</f>
        <v>0</v>
      </c>
      <c r="Q1244" s="34">
        <f>_xlfn.XLOOKUP(TablaSTOCKINV[[#This Row],[SKU]],TablaINVENTARIO[SKU],TablaINVENTARIO[PRECIO])</f>
        <v>0</v>
      </c>
      <c r="R1244" s="34">
        <f>TablaSTOCKINV[[#This Row],[P.UNITARIO]]*TablaSTOCKINV[[#This Row],[CANT. TOTAL]]</f>
        <v>0</v>
      </c>
      <c r="S1244" s="44">
        <f>_xlfn.XLOOKUP(TablaSTOCKINV[[#This Row],[SKU]],TablaINVENTARIO[SKU],TablaINVENTARIO[FECHA INGRESO])</f>
        <v>46023</v>
      </c>
      <c r="T1244" s="44">
        <f>_xlfn.XLOOKUP(TablaSTOCKINV[[#This Row],[SKU]],TablaENTRADA[SKU],TablaENTRADA[FECHA],,0,-1)</f>
        <v>46023</v>
      </c>
      <c r="U1244" s="46" t="str">
        <f>IFERROR((_xlfn.XLOOKUP(TablaSTOCKINV[[#This Row],[SKU]],TablaSALIDA[SKU],TablaSALIDA[FECHA],,0,-1))," " )</f>
        <v xml:space="preserve"> </v>
      </c>
    </row>
    <row r="1245" spans="1:21" x14ac:dyDescent="0.3">
      <c r="A1245" s="27" t="s">
        <v>439</v>
      </c>
      <c r="B1245" s="32" t="str">
        <f>_xlfn.XLOOKUP(TablaSTOCKINV[[#This Row],[SKU]],TablaINVENTARIO[SKU],TablaINVENTARIO[DESCRIPCION])</f>
        <v xml:space="preserve">GERINGA 1CC </v>
      </c>
      <c r="C1245" s="32" t="str">
        <f>_xlfn.XLOOKUP(TablaSTOCKINV[[#This Row],[SKU]],TablaINVENTARIO[SKU],TablaINVENTARIO[MARCA])</f>
        <v>GAESCA</v>
      </c>
      <c r="D1245" s="33" t="str">
        <f>_xlfn.XLOOKUP(TablaSTOCKINV[[#This Row],[SKU]],TablaINVENTARIO[SKU],TablaINVENTARIO[CATEGORIA])</f>
        <v>EQUIPO_MEDICO</v>
      </c>
      <c r="E1245" s="33" t="str">
        <f>_xlfn.XLOOKUP(TablaSTOCKINV[[#This Row],[SKU]],TablaINVENTARIO[SKU],TablaINVENTARIO[SUBCATEGORIA])</f>
        <v xml:space="preserve">AMBULANCIA </v>
      </c>
      <c r="F1245" s="33" t="str">
        <f>_xlfn.XLOOKUP(TablaSTOCKINV[[#This Row],[SKU]],TablaINVENTARIO[SKU],TablaINVENTARIO[ESTADO])</f>
        <v>NUEVO</v>
      </c>
      <c r="G1245" s="33" t="str">
        <f>_xlfn.XLOOKUP(TablaSTOCKINV[[#This Row],[SKU]],TablaINVENTARIO[SKU],TablaINVENTARIO[MEDIDA])</f>
        <v>UND</v>
      </c>
      <c r="H1245" s="33" t="str">
        <f>_xlfn.XLOOKUP(TablaSTOCKINV[[#This Row],[SKU]],TablaINVENTARIO[SKU],TablaINVENTARIO[SERIAL])</f>
        <v>N/A</v>
      </c>
      <c r="I1245" s="34">
        <f>_xlfn.XLOOKUP(TablaSTOCKINV[[#This Row],[SKU]],TablaINVENTARIO[SKU],TablaINVENTARIO[ALMACEN])</f>
        <v>0</v>
      </c>
      <c r="J1245" s="34" t="str">
        <f>_xlfn.XLOOKUP(TablaSTOCKINV[[#This Row],[SKU]],TablaINVENTARIO[SKU],TablaINVENTARIO[UBICACION])</f>
        <v>L3</v>
      </c>
      <c r="K1245" s="34" t="str">
        <f>_xlfn.XLOOKUP(TablaSTOCKINV[[#This Row],[SKU]],TablaINVENTARIO[SKU],TablaINVENTARIO[DPTO RESPONSABLE])</f>
        <v>OPERACIONES</v>
      </c>
      <c r="L1245" s="53">
        <f>_xlfn.XLOOKUP(TablaSTOCKINV[[#This Row],[SKU]],TablaINVENTARIO[SKU],TablaINVENTARIO[RANGO MIN])</f>
        <v>0</v>
      </c>
      <c r="M1245" s="34" cm="1">
        <f t="array" ref="M1245">_xlfn.IFS(TablaSTOCKINV[[#This Row],[CANT. TOTAL]]&lt;=0,1,TablaSTOCKINV[[#This Row],[CANT. TOTAL]]&lt;=TablaSTOCKINV[[#This Row],[MIN]],2,TablaSTOCKINV[[#This Row],[CANT. TOTAL]]&gt;TablaSTOCKINV[[#This Row],[MIN]],3)</f>
        <v>3</v>
      </c>
      <c r="N1245" s="34">
        <f>TablaSTOCKINV[[#This Row],[ENTRADAS]]-TablaSTOCKINV[[#This Row],[SALIDAS]]</f>
        <v>4</v>
      </c>
      <c r="O1245" s="35">
        <f>SUMIFS(TablaENTRADA[CANT],TablaENTRADA[SKU],TablaSTOCKINV[[#This Row],[SKU]])</f>
        <v>4</v>
      </c>
      <c r="P1245" s="35">
        <f>SUMIFS(TablaSALIDA[CANT],TablaSALIDA[SKU],TablaSTOCKINV[[#This Row],[SKU]])</f>
        <v>0</v>
      </c>
      <c r="Q1245" s="34">
        <f>_xlfn.XLOOKUP(TablaSTOCKINV[[#This Row],[SKU]],TablaINVENTARIO[SKU],TablaINVENTARIO[PRECIO])</f>
        <v>0</v>
      </c>
      <c r="R1245" s="34">
        <f>TablaSTOCKINV[[#This Row],[P.UNITARIO]]*TablaSTOCKINV[[#This Row],[CANT. TOTAL]]</f>
        <v>0</v>
      </c>
      <c r="S1245" s="44">
        <f>_xlfn.XLOOKUP(TablaSTOCKINV[[#This Row],[SKU]],TablaINVENTARIO[SKU],TablaINVENTARIO[FECHA INGRESO])</f>
        <v>46023</v>
      </c>
      <c r="T1245" s="44">
        <f>_xlfn.XLOOKUP(TablaSTOCKINV[[#This Row],[SKU]],TablaENTRADA[SKU],TablaENTRADA[FECHA],,0,-1)</f>
        <v>46023</v>
      </c>
      <c r="U1245" s="46" t="str">
        <f>IFERROR((_xlfn.XLOOKUP(TablaSTOCKINV[[#This Row],[SKU]],TablaSALIDA[SKU],TablaSALIDA[FECHA],,0,-1))," " )</f>
        <v xml:space="preserve"> </v>
      </c>
    </row>
    <row r="1246" spans="1:21" x14ac:dyDescent="0.3">
      <c r="A1246" s="27" t="s">
        <v>442</v>
      </c>
      <c r="B1246" s="32" t="str">
        <f>_xlfn.XLOOKUP(TablaSTOCKINV[[#This Row],[SKU]],TablaINVENTARIO[SKU],TablaINVENTARIO[DESCRIPCION])</f>
        <v xml:space="preserve">GERINGA 10CC </v>
      </c>
      <c r="C1246" s="32" t="str">
        <f>_xlfn.XLOOKUP(TablaSTOCKINV[[#This Row],[SKU]],TablaINVENTARIO[SKU],TablaINVENTARIO[MARCA])</f>
        <v>KXMEDICAL</v>
      </c>
      <c r="D1246" s="33" t="str">
        <f>_xlfn.XLOOKUP(TablaSTOCKINV[[#This Row],[SKU]],TablaINVENTARIO[SKU],TablaINVENTARIO[CATEGORIA])</f>
        <v>EQUIPO_MEDICO</v>
      </c>
      <c r="E1246" s="33" t="str">
        <f>_xlfn.XLOOKUP(TablaSTOCKINV[[#This Row],[SKU]],TablaINVENTARIO[SKU],TablaINVENTARIO[SUBCATEGORIA])</f>
        <v xml:space="preserve">AMBULANCIA </v>
      </c>
      <c r="F1246" s="33" t="str">
        <f>_xlfn.XLOOKUP(TablaSTOCKINV[[#This Row],[SKU]],TablaINVENTARIO[SKU],TablaINVENTARIO[ESTADO])</f>
        <v>NUEVO</v>
      </c>
      <c r="G1246" s="33" t="str">
        <f>_xlfn.XLOOKUP(TablaSTOCKINV[[#This Row],[SKU]],TablaINVENTARIO[SKU],TablaINVENTARIO[MEDIDA])</f>
        <v>UND</v>
      </c>
      <c r="H1246" s="33" t="str">
        <f>_xlfn.XLOOKUP(TablaSTOCKINV[[#This Row],[SKU]],TablaINVENTARIO[SKU],TablaINVENTARIO[SERIAL])</f>
        <v>N/A</v>
      </c>
      <c r="I1246" s="34">
        <f>_xlfn.XLOOKUP(TablaSTOCKINV[[#This Row],[SKU]],TablaINVENTARIO[SKU],TablaINVENTARIO[ALMACEN])</f>
        <v>0</v>
      </c>
      <c r="J1246" s="34" t="str">
        <f>_xlfn.XLOOKUP(TablaSTOCKINV[[#This Row],[SKU]],TablaINVENTARIO[SKU],TablaINVENTARIO[UBICACION])</f>
        <v>L3</v>
      </c>
      <c r="K1246" s="34" t="str">
        <f>_xlfn.XLOOKUP(TablaSTOCKINV[[#This Row],[SKU]],TablaINVENTARIO[SKU],TablaINVENTARIO[DPTO RESPONSABLE])</f>
        <v>OPERACIONES</v>
      </c>
      <c r="L1246" s="53">
        <f>_xlfn.XLOOKUP(TablaSTOCKINV[[#This Row],[SKU]],TablaINVENTARIO[SKU],TablaINVENTARIO[RANGO MIN])</f>
        <v>0</v>
      </c>
      <c r="M1246" s="34" cm="1">
        <f t="array" ref="M1246">_xlfn.IFS(TablaSTOCKINV[[#This Row],[CANT. TOTAL]]&lt;=0,1,TablaSTOCKINV[[#This Row],[CANT. TOTAL]]&lt;=TablaSTOCKINV[[#This Row],[MIN]],2,TablaSTOCKINV[[#This Row],[CANT. TOTAL]]&gt;TablaSTOCKINV[[#This Row],[MIN]],3)</f>
        <v>3</v>
      </c>
      <c r="N1246" s="34">
        <f>TablaSTOCKINV[[#This Row],[ENTRADAS]]-TablaSTOCKINV[[#This Row],[SALIDAS]]</f>
        <v>2</v>
      </c>
      <c r="O1246" s="35">
        <f>SUMIFS(TablaENTRADA[CANT],TablaENTRADA[SKU],TablaSTOCKINV[[#This Row],[SKU]])</f>
        <v>2</v>
      </c>
      <c r="P1246" s="35">
        <f>SUMIFS(TablaSALIDA[CANT],TablaSALIDA[SKU],TablaSTOCKINV[[#This Row],[SKU]])</f>
        <v>0</v>
      </c>
      <c r="Q1246" s="34">
        <f>_xlfn.XLOOKUP(TablaSTOCKINV[[#This Row],[SKU]],TablaINVENTARIO[SKU],TablaINVENTARIO[PRECIO])</f>
        <v>0</v>
      </c>
      <c r="R1246" s="34">
        <f>TablaSTOCKINV[[#This Row],[P.UNITARIO]]*TablaSTOCKINV[[#This Row],[CANT. TOTAL]]</f>
        <v>0</v>
      </c>
      <c r="S1246" s="44">
        <f>_xlfn.XLOOKUP(TablaSTOCKINV[[#This Row],[SKU]],TablaINVENTARIO[SKU],TablaINVENTARIO[FECHA INGRESO])</f>
        <v>46023</v>
      </c>
      <c r="T1246" s="44">
        <f>_xlfn.XLOOKUP(TablaSTOCKINV[[#This Row],[SKU]],TablaENTRADA[SKU],TablaENTRADA[FECHA],,0,-1)</f>
        <v>46023</v>
      </c>
      <c r="U1246" s="46" t="str">
        <f>IFERROR((_xlfn.XLOOKUP(TablaSTOCKINV[[#This Row],[SKU]],TablaSALIDA[SKU],TablaSALIDA[FECHA],,0,-1))," " )</f>
        <v xml:space="preserve"> </v>
      </c>
    </row>
    <row r="1247" spans="1:21" x14ac:dyDescent="0.3">
      <c r="A1247" s="27" t="s">
        <v>445</v>
      </c>
      <c r="B1247" s="32" t="str">
        <f>_xlfn.XLOOKUP(TablaSTOCKINV[[#This Row],[SKU]],TablaINVENTARIO[SKU],TablaINVENTARIO[DESCRIPCION])</f>
        <v>GERINGA 25CC</v>
      </c>
      <c r="C1247" s="32" t="str">
        <f>_xlfn.XLOOKUP(TablaSTOCKINV[[#This Row],[SKU]],TablaINVENTARIO[SKU],TablaINVENTARIO[MARCA])</f>
        <v>GAESCA</v>
      </c>
      <c r="D1247" s="33" t="str">
        <f>_xlfn.XLOOKUP(TablaSTOCKINV[[#This Row],[SKU]],TablaINVENTARIO[SKU],TablaINVENTARIO[CATEGORIA])</f>
        <v>EQUIPO_MEDICO</v>
      </c>
      <c r="E1247" s="33" t="str">
        <f>_xlfn.XLOOKUP(TablaSTOCKINV[[#This Row],[SKU]],TablaINVENTARIO[SKU],TablaINVENTARIO[SUBCATEGORIA])</f>
        <v xml:space="preserve">AMBULANCIA </v>
      </c>
      <c r="F1247" s="33" t="str">
        <f>_xlfn.XLOOKUP(TablaSTOCKINV[[#This Row],[SKU]],TablaINVENTARIO[SKU],TablaINVENTARIO[ESTADO])</f>
        <v>NUEVO</v>
      </c>
      <c r="G1247" s="33" t="str">
        <f>_xlfn.XLOOKUP(TablaSTOCKINV[[#This Row],[SKU]],TablaINVENTARIO[SKU],TablaINVENTARIO[MEDIDA])</f>
        <v>UND</v>
      </c>
      <c r="H1247" s="33" t="str">
        <f>_xlfn.XLOOKUP(TablaSTOCKINV[[#This Row],[SKU]],TablaINVENTARIO[SKU],TablaINVENTARIO[SERIAL])</f>
        <v>N/A</v>
      </c>
      <c r="I1247" s="34">
        <f>_xlfn.XLOOKUP(TablaSTOCKINV[[#This Row],[SKU]],TablaINVENTARIO[SKU],TablaINVENTARIO[ALMACEN])</f>
        <v>0</v>
      </c>
      <c r="J1247" s="34" t="str">
        <f>_xlfn.XLOOKUP(TablaSTOCKINV[[#This Row],[SKU]],TablaINVENTARIO[SKU],TablaINVENTARIO[UBICACION])</f>
        <v>L3</v>
      </c>
      <c r="K1247" s="34" t="str">
        <f>_xlfn.XLOOKUP(TablaSTOCKINV[[#This Row],[SKU]],TablaINVENTARIO[SKU],TablaINVENTARIO[DPTO RESPONSABLE])</f>
        <v>OPERACIONES</v>
      </c>
      <c r="L1247" s="53">
        <f>_xlfn.XLOOKUP(TablaSTOCKINV[[#This Row],[SKU]],TablaINVENTARIO[SKU],TablaINVENTARIO[RANGO MIN])</f>
        <v>0</v>
      </c>
      <c r="M1247" s="34" cm="1">
        <f t="array" ref="M1247">_xlfn.IFS(TablaSTOCKINV[[#This Row],[CANT. TOTAL]]&lt;=0,1,TablaSTOCKINV[[#This Row],[CANT. TOTAL]]&lt;=TablaSTOCKINV[[#This Row],[MIN]],2,TablaSTOCKINV[[#This Row],[CANT. TOTAL]]&gt;TablaSTOCKINV[[#This Row],[MIN]],3)</f>
        <v>3</v>
      </c>
      <c r="N1247" s="34">
        <f>TablaSTOCKINV[[#This Row],[ENTRADAS]]-TablaSTOCKINV[[#This Row],[SALIDAS]]</f>
        <v>1</v>
      </c>
      <c r="O1247" s="35">
        <f>SUMIFS(TablaENTRADA[CANT],TablaENTRADA[SKU],TablaSTOCKINV[[#This Row],[SKU]])</f>
        <v>1</v>
      </c>
      <c r="P1247" s="35">
        <f>SUMIFS(TablaSALIDA[CANT],TablaSALIDA[SKU],TablaSTOCKINV[[#This Row],[SKU]])</f>
        <v>0</v>
      </c>
      <c r="Q1247" s="34">
        <f>_xlfn.XLOOKUP(TablaSTOCKINV[[#This Row],[SKU]],TablaINVENTARIO[SKU],TablaINVENTARIO[PRECIO])</f>
        <v>0</v>
      </c>
      <c r="R1247" s="34">
        <f>TablaSTOCKINV[[#This Row],[P.UNITARIO]]*TablaSTOCKINV[[#This Row],[CANT. TOTAL]]</f>
        <v>0</v>
      </c>
      <c r="S1247" s="44">
        <f>_xlfn.XLOOKUP(TablaSTOCKINV[[#This Row],[SKU]],TablaINVENTARIO[SKU],TablaINVENTARIO[FECHA INGRESO])</f>
        <v>46023</v>
      </c>
      <c r="T1247" s="44">
        <f>_xlfn.XLOOKUP(TablaSTOCKINV[[#This Row],[SKU]],TablaENTRADA[SKU],TablaENTRADA[FECHA],,0,-1)</f>
        <v>46023</v>
      </c>
      <c r="U1247" s="46" t="str">
        <f>IFERROR((_xlfn.XLOOKUP(TablaSTOCKINV[[#This Row],[SKU]],TablaSALIDA[SKU],TablaSALIDA[FECHA],,0,-1))," " )</f>
        <v xml:space="preserve"> </v>
      </c>
    </row>
    <row r="1248" spans="1:21" x14ac:dyDescent="0.3">
      <c r="A1248" s="27" t="s">
        <v>447</v>
      </c>
      <c r="B1248" s="32" t="str">
        <f>_xlfn.XLOOKUP(TablaSTOCKINV[[#This Row],[SKU]],TablaINVENTARIO[SKU],TablaINVENTARIO[DESCRIPCION])</f>
        <v xml:space="preserve">MASCARA PARA NEBULIZAR </v>
      </c>
      <c r="C1248" s="32" t="str">
        <f>_xlfn.XLOOKUP(TablaSTOCKINV[[#This Row],[SKU]],TablaINVENTARIO[SKU],TablaINVENTARIO[MARCA])</f>
        <v>N/A</v>
      </c>
      <c r="D1248" s="33" t="str">
        <f>_xlfn.XLOOKUP(TablaSTOCKINV[[#This Row],[SKU]],TablaINVENTARIO[SKU],TablaINVENTARIO[CATEGORIA])</f>
        <v>EQUIPO_MEDICO</v>
      </c>
      <c r="E1248" s="33" t="str">
        <f>_xlfn.XLOOKUP(TablaSTOCKINV[[#This Row],[SKU]],TablaINVENTARIO[SKU],TablaINVENTARIO[SUBCATEGORIA])</f>
        <v xml:space="preserve">AMBULANCIA </v>
      </c>
      <c r="F1248" s="33" t="str">
        <f>_xlfn.XLOOKUP(TablaSTOCKINV[[#This Row],[SKU]],TablaINVENTARIO[SKU],TablaINVENTARIO[ESTADO])</f>
        <v>NUEVO</v>
      </c>
      <c r="G1248" s="33" t="str">
        <f>_xlfn.XLOOKUP(TablaSTOCKINV[[#This Row],[SKU]],TablaINVENTARIO[SKU],TablaINVENTARIO[MEDIDA])</f>
        <v>UND</v>
      </c>
      <c r="H1248" s="33" t="str">
        <f>_xlfn.XLOOKUP(TablaSTOCKINV[[#This Row],[SKU]],TablaINVENTARIO[SKU],TablaINVENTARIO[SERIAL])</f>
        <v>N/A</v>
      </c>
      <c r="I1248" s="34">
        <f>_xlfn.XLOOKUP(TablaSTOCKINV[[#This Row],[SKU]],TablaINVENTARIO[SKU],TablaINVENTARIO[ALMACEN])</f>
        <v>0</v>
      </c>
      <c r="J1248" s="34" t="str">
        <f>_xlfn.XLOOKUP(TablaSTOCKINV[[#This Row],[SKU]],TablaINVENTARIO[SKU],TablaINVENTARIO[UBICACION])</f>
        <v>L3</v>
      </c>
      <c r="K1248" s="34" t="str">
        <f>_xlfn.XLOOKUP(TablaSTOCKINV[[#This Row],[SKU]],TablaINVENTARIO[SKU],TablaINVENTARIO[DPTO RESPONSABLE])</f>
        <v>OPERACIONES</v>
      </c>
      <c r="L1248" s="53">
        <f>_xlfn.XLOOKUP(TablaSTOCKINV[[#This Row],[SKU]],TablaINVENTARIO[SKU],TablaINVENTARIO[RANGO MIN])</f>
        <v>0</v>
      </c>
      <c r="M1248" s="34" cm="1">
        <f t="array" ref="M1248">_xlfn.IFS(TablaSTOCKINV[[#This Row],[CANT. TOTAL]]&lt;=0,1,TablaSTOCKINV[[#This Row],[CANT. TOTAL]]&lt;=TablaSTOCKINV[[#This Row],[MIN]],2,TablaSTOCKINV[[#This Row],[CANT. TOTAL]]&gt;TablaSTOCKINV[[#This Row],[MIN]],3)</f>
        <v>3</v>
      </c>
      <c r="N1248" s="34">
        <f>TablaSTOCKINV[[#This Row],[ENTRADAS]]-TablaSTOCKINV[[#This Row],[SALIDAS]]</f>
        <v>2</v>
      </c>
      <c r="O1248" s="35">
        <f>SUMIFS(TablaENTRADA[CANT],TablaENTRADA[SKU],TablaSTOCKINV[[#This Row],[SKU]])</f>
        <v>2</v>
      </c>
      <c r="P1248" s="35">
        <f>SUMIFS(TablaSALIDA[CANT],TablaSALIDA[SKU],TablaSTOCKINV[[#This Row],[SKU]])</f>
        <v>0</v>
      </c>
      <c r="Q1248" s="34">
        <f>_xlfn.XLOOKUP(TablaSTOCKINV[[#This Row],[SKU]],TablaINVENTARIO[SKU],TablaINVENTARIO[PRECIO])</f>
        <v>0</v>
      </c>
      <c r="R1248" s="34">
        <f>TablaSTOCKINV[[#This Row],[P.UNITARIO]]*TablaSTOCKINV[[#This Row],[CANT. TOTAL]]</f>
        <v>0</v>
      </c>
      <c r="S1248" s="44">
        <f>_xlfn.XLOOKUP(TablaSTOCKINV[[#This Row],[SKU]],TablaINVENTARIO[SKU],TablaINVENTARIO[FECHA INGRESO])</f>
        <v>46023</v>
      </c>
      <c r="T1248" s="44">
        <f>_xlfn.XLOOKUP(TablaSTOCKINV[[#This Row],[SKU]],TablaENTRADA[SKU],TablaENTRADA[FECHA],,0,-1)</f>
        <v>46023</v>
      </c>
      <c r="U1248" s="46" t="str">
        <f>IFERROR((_xlfn.XLOOKUP(TablaSTOCKINV[[#This Row],[SKU]],TablaSALIDA[SKU],TablaSALIDA[FECHA],,0,-1))," " )</f>
        <v xml:space="preserve"> </v>
      </c>
    </row>
    <row r="1249" spans="1:21" x14ac:dyDescent="0.3">
      <c r="A1249" s="27" t="s">
        <v>449</v>
      </c>
      <c r="B1249" s="32" t="str">
        <f>_xlfn.XLOOKUP(TablaSTOCKINV[[#This Row],[SKU]],TablaINVENTARIO[SKU],TablaINVENTARIO[DESCRIPCION])</f>
        <v xml:space="preserve">CANULA NASAL </v>
      </c>
      <c r="C1249" s="32" t="str">
        <f>_xlfn.XLOOKUP(TablaSTOCKINV[[#This Row],[SKU]],TablaINVENTARIO[SKU],TablaINVENTARIO[MARCA])</f>
        <v>AIRIAL</v>
      </c>
      <c r="D1249" s="33" t="str">
        <f>_xlfn.XLOOKUP(TablaSTOCKINV[[#This Row],[SKU]],TablaINVENTARIO[SKU],TablaINVENTARIO[CATEGORIA])</f>
        <v>EQUIPO_MEDICO</v>
      </c>
      <c r="E1249" s="33" t="str">
        <f>_xlfn.XLOOKUP(TablaSTOCKINV[[#This Row],[SKU]],TablaINVENTARIO[SKU],TablaINVENTARIO[SUBCATEGORIA])</f>
        <v xml:space="preserve">AMBULANCIA </v>
      </c>
      <c r="F1249" s="33" t="str">
        <f>_xlfn.XLOOKUP(TablaSTOCKINV[[#This Row],[SKU]],TablaINVENTARIO[SKU],TablaINVENTARIO[ESTADO])</f>
        <v>NUEVO</v>
      </c>
      <c r="G1249" s="33" t="str">
        <f>_xlfn.XLOOKUP(TablaSTOCKINV[[#This Row],[SKU]],TablaINVENTARIO[SKU],TablaINVENTARIO[MEDIDA])</f>
        <v>UND</v>
      </c>
      <c r="H1249" s="33" t="str">
        <f>_xlfn.XLOOKUP(TablaSTOCKINV[[#This Row],[SKU]],TablaINVENTARIO[SKU],TablaINVENTARIO[SERIAL])</f>
        <v>N/A</v>
      </c>
      <c r="I1249" s="34">
        <f>_xlfn.XLOOKUP(TablaSTOCKINV[[#This Row],[SKU]],TablaINVENTARIO[SKU],TablaINVENTARIO[ALMACEN])</f>
        <v>0</v>
      </c>
      <c r="J1249" s="34" t="str">
        <f>_xlfn.XLOOKUP(TablaSTOCKINV[[#This Row],[SKU]],TablaINVENTARIO[SKU],TablaINVENTARIO[UBICACION])</f>
        <v>L3</v>
      </c>
      <c r="K1249" s="34" t="str">
        <f>_xlfn.XLOOKUP(TablaSTOCKINV[[#This Row],[SKU]],TablaINVENTARIO[SKU],TablaINVENTARIO[DPTO RESPONSABLE])</f>
        <v>OPERACIONES</v>
      </c>
      <c r="L1249" s="53">
        <f>_xlfn.XLOOKUP(TablaSTOCKINV[[#This Row],[SKU]],TablaINVENTARIO[SKU],TablaINVENTARIO[RANGO MIN])</f>
        <v>0</v>
      </c>
      <c r="M1249" s="34" cm="1">
        <f t="array" ref="M1249">_xlfn.IFS(TablaSTOCKINV[[#This Row],[CANT. TOTAL]]&lt;=0,1,TablaSTOCKINV[[#This Row],[CANT. TOTAL]]&lt;=TablaSTOCKINV[[#This Row],[MIN]],2,TablaSTOCKINV[[#This Row],[CANT. TOTAL]]&gt;TablaSTOCKINV[[#This Row],[MIN]],3)</f>
        <v>3</v>
      </c>
      <c r="N1249" s="34">
        <f>TablaSTOCKINV[[#This Row],[ENTRADAS]]-TablaSTOCKINV[[#This Row],[SALIDAS]]</f>
        <v>1</v>
      </c>
      <c r="O1249" s="35">
        <f>SUMIFS(TablaENTRADA[CANT],TablaENTRADA[SKU],TablaSTOCKINV[[#This Row],[SKU]])</f>
        <v>1</v>
      </c>
      <c r="P1249" s="35">
        <f>SUMIFS(TablaSALIDA[CANT],TablaSALIDA[SKU],TablaSTOCKINV[[#This Row],[SKU]])</f>
        <v>0</v>
      </c>
      <c r="Q1249" s="34">
        <f>_xlfn.XLOOKUP(TablaSTOCKINV[[#This Row],[SKU]],TablaINVENTARIO[SKU],TablaINVENTARIO[PRECIO])</f>
        <v>0</v>
      </c>
      <c r="R1249" s="34">
        <f>TablaSTOCKINV[[#This Row],[P.UNITARIO]]*TablaSTOCKINV[[#This Row],[CANT. TOTAL]]</f>
        <v>0</v>
      </c>
      <c r="S1249" s="44">
        <f>_xlfn.XLOOKUP(TablaSTOCKINV[[#This Row],[SKU]],TablaINVENTARIO[SKU],TablaINVENTARIO[FECHA INGRESO])</f>
        <v>46023</v>
      </c>
      <c r="T1249" s="44">
        <f>_xlfn.XLOOKUP(TablaSTOCKINV[[#This Row],[SKU]],TablaENTRADA[SKU],TablaENTRADA[FECHA],,0,-1)</f>
        <v>46023</v>
      </c>
      <c r="U1249" s="46" t="str">
        <f>IFERROR((_xlfn.XLOOKUP(TablaSTOCKINV[[#This Row],[SKU]],TablaSALIDA[SKU],TablaSALIDA[FECHA],,0,-1))," " )</f>
        <v xml:space="preserve"> </v>
      </c>
    </row>
    <row r="1250" spans="1:21" x14ac:dyDescent="0.3">
      <c r="A1250" s="27" t="s">
        <v>451</v>
      </c>
      <c r="B1250" s="32" t="str">
        <f>_xlfn.XLOOKUP(TablaSTOCKINV[[#This Row],[SKU]],TablaINVENTARIO[SKU],TablaINVENTARIO[DESCRIPCION])</f>
        <v>MICROGOTERO</v>
      </c>
      <c r="C1250" s="32" t="str">
        <f>_xlfn.XLOOKUP(TablaSTOCKINV[[#This Row],[SKU]],TablaINVENTARIO[SKU],TablaINVENTARIO[MARCA])</f>
        <v>KXSENSIMEDICAL</v>
      </c>
      <c r="D1250" s="33" t="str">
        <f>_xlfn.XLOOKUP(TablaSTOCKINV[[#This Row],[SKU]],TablaINVENTARIO[SKU],TablaINVENTARIO[CATEGORIA])</f>
        <v>EQUIPO_MEDICO</v>
      </c>
      <c r="E1250" s="33" t="str">
        <f>_xlfn.XLOOKUP(TablaSTOCKINV[[#This Row],[SKU]],TablaINVENTARIO[SKU],TablaINVENTARIO[SUBCATEGORIA])</f>
        <v xml:space="preserve">AMBULANCIA </v>
      </c>
      <c r="F1250" s="33" t="str">
        <f>_xlfn.XLOOKUP(TablaSTOCKINV[[#This Row],[SKU]],TablaINVENTARIO[SKU],TablaINVENTARIO[ESTADO])</f>
        <v>NUEVO</v>
      </c>
      <c r="G1250" s="33" t="str">
        <f>_xlfn.XLOOKUP(TablaSTOCKINV[[#This Row],[SKU]],TablaINVENTARIO[SKU],TablaINVENTARIO[MEDIDA])</f>
        <v>UND</v>
      </c>
      <c r="H1250" s="33" t="str">
        <f>_xlfn.XLOOKUP(TablaSTOCKINV[[#This Row],[SKU]],TablaINVENTARIO[SKU],TablaINVENTARIO[SERIAL])</f>
        <v>N/A</v>
      </c>
      <c r="I1250" s="34">
        <f>_xlfn.XLOOKUP(TablaSTOCKINV[[#This Row],[SKU]],TablaINVENTARIO[SKU],TablaINVENTARIO[ALMACEN])</f>
        <v>0</v>
      </c>
      <c r="J1250" s="34" t="str">
        <f>_xlfn.XLOOKUP(TablaSTOCKINV[[#This Row],[SKU]],TablaINVENTARIO[SKU],TablaINVENTARIO[UBICACION])</f>
        <v>L3</v>
      </c>
      <c r="K1250" s="34" t="str">
        <f>_xlfn.XLOOKUP(TablaSTOCKINV[[#This Row],[SKU]],TablaINVENTARIO[SKU],TablaINVENTARIO[DPTO RESPONSABLE])</f>
        <v>OPERACIONES</v>
      </c>
      <c r="L1250" s="53">
        <f>_xlfn.XLOOKUP(TablaSTOCKINV[[#This Row],[SKU]],TablaINVENTARIO[SKU],TablaINVENTARIO[RANGO MIN])</f>
        <v>0</v>
      </c>
      <c r="M1250" s="34" cm="1">
        <f t="array" ref="M1250">_xlfn.IFS(TablaSTOCKINV[[#This Row],[CANT. TOTAL]]&lt;=0,1,TablaSTOCKINV[[#This Row],[CANT. TOTAL]]&lt;=TablaSTOCKINV[[#This Row],[MIN]],2,TablaSTOCKINV[[#This Row],[CANT. TOTAL]]&gt;TablaSTOCKINV[[#This Row],[MIN]],3)</f>
        <v>3</v>
      </c>
      <c r="N1250" s="34">
        <f>TablaSTOCKINV[[#This Row],[ENTRADAS]]-TablaSTOCKINV[[#This Row],[SALIDAS]]</f>
        <v>4</v>
      </c>
      <c r="O1250" s="35">
        <f>SUMIFS(TablaENTRADA[CANT],TablaENTRADA[SKU],TablaSTOCKINV[[#This Row],[SKU]])</f>
        <v>4</v>
      </c>
      <c r="P1250" s="35">
        <f>SUMIFS(TablaSALIDA[CANT],TablaSALIDA[SKU],TablaSTOCKINV[[#This Row],[SKU]])</f>
        <v>0</v>
      </c>
      <c r="Q1250" s="34">
        <f>_xlfn.XLOOKUP(TablaSTOCKINV[[#This Row],[SKU]],TablaINVENTARIO[SKU],TablaINVENTARIO[PRECIO])</f>
        <v>0</v>
      </c>
      <c r="R1250" s="34">
        <f>TablaSTOCKINV[[#This Row],[P.UNITARIO]]*TablaSTOCKINV[[#This Row],[CANT. TOTAL]]</f>
        <v>0</v>
      </c>
      <c r="S1250" s="44">
        <f>_xlfn.XLOOKUP(TablaSTOCKINV[[#This Row],[SKU]],TablaINVENTARIO[SKU],TablaINVENTARIO[FECHA INGRESO])</f>
        <v>46023</v>
      </c>
      <c r="T1250" s="44">
        <f>_xlfn.XLOOKUP(TablaSTOCKINV[[#This Row],[SKU]],TablaENTRADA[SKU],TablaENTRADA[FECHA],,0,-1)</f>
        <v>46023</v>
      </c>
      <c r="U1250" s="46" t="str">
        <f>IFERROR((_xlfn.XLOOKUP(TablaSTOCKINV[[#This Row],[SKU]],TablaSALIDA[SKU],TablaSALIDA[FECHA],,0,-1))," " )</f>
        <v xml:space="preserve"> </v>
      </c>
    </row>
    <row r="1251" spans="1:21" x14ac:dyDescent="0.3">
      <c r="A1251" s="27" t="s">
        <v>454</v>
      </c>
      <c r="B1251" s="32" t="str">
        <f>_xlfn.XLOOKUP(TablaSTOCKINV[[#This Row],[SKU]],TablaINVENTARIO[SKU],TablaINVENTARIO[DESCRIPCION])</f>
        <v>MICROGOTERO  Y</v>
      </c>
      <c r="C1251" s="32" t="str">
        <f>_xlfn.XLOOKUP(TablaSTOCKINV[[#This Row],[SKU]],TablaINVENTARIO[SKU],TablaINVENTARIO[MARCA])</f>
        <v>KXSENSIMEDICAL</v>
      </c>
      <c r="D1251" s="33" t="str">
        <f>_xlfn.XLOOKUP(TablaSTOCKINV[[#This Row],[SKU]],TablaINVENTARIO[SKU],TablaINVENTARIO[CATEGORIA])</f>
        <v>EQUIPO_MEDICO</v>
      </c>
      <c r="E1251" s="33" t="str">
        <f>_xlfn.XLOOKUP(TablaSTOCKINV[[#This Row],[SKU]],TablaINVENTARIO[SKU],TablaINVENTARIO[SUBCATEGORIA])</f>
        <v xml:space="preserve">AMBULANCIA </v>
      </c>
      <c r="F1251" s="33" t="str">
        <f>_xlfn.XLOOKUP(TablaSTOCKINV[[#This Row],[SKU]],TablaINVENTARIO[SKU],TablaINVENTARIO[ESTADO])</f>
        <v>NUEVO</v>
      </c>
      <c r="G1251" s="33" t="str">
        <f>_xlfn.XLOOKUP(TablaSTOCKINV[[#This Row],[SKU]],TablaINVENTARIO[SKU],TablaINVENTARIO[MEDIDA])</f>
        <v>UND</v>
      </c>
      <c r="H1251" s="33" t="str">
        <f>_xlfn.XLOOKUP(TablaSTOCKINV[[#This Row],[SKU]],TablaINVENTARIO[SKU],TablaINVENTARIO[SERIAL])</f>
        <v>N/A</v>
      </c>
      <c r="I1251" s="34">
        <f>_xlfn.XLOOKUP(TablaSTOCKINV[[#This Row],[SKU]],TablaINVENTARIO[SKU],TablaINVENTARIO[ALMACEN])</f>
        <v>0</v>
      </c>
      <c r="J1251" s="34" t="str">
        <f>_xlfn.XLOOKUP(TablaSTOCKINV[[#This Row],[SKU]],TablaINVENTARIO[SKU],TablaINVENTARIO[UBICACION])</f>
        <v>L3</v>
      </c>
      <c r="K1251" s="34" t="str">
        <f>_xlfn.XLOOKUP(TablaSTOCKINV[[#This Row],[SKU]],TablaINVENTARIO[SKU],TablaINVENTARIO[DPTO RESPONSABLE])</f>
        <v>OPERACIONES</v>
      </c>
      <c r="L1251" s="53">
        <f>_xlfn.XLOOKUP(TablaSTOCKINV[[#This Row],[SKU]],TablaINVENTARIO[SKU],TablaINVENTARIO[RANGO MIN])</f>
        <v>0</v>
      </c>
      <c r="M1251" s="34" cm="1">
        <f t="array" ref="M1251">_xlfn.IFS(TablaSTOCKINV[[#This Row],[CANT. TOTAL]]&lt;=0,1,TablaSTOCKINV[[#This Row],[CANT. TOTAL]]&lt;=TablaSTOCKINV[[#This Row],[MIN]],2,TablaSTOCKINV[[#This Row],[CANT. TOTAL]]&gt;TablaSTOCKINV[[#This Row],[MIN]],3)</f>
        <v>3</v>
      </c>
      <c r="N1251" s="34">
        <f>TablaSTOCKINV[[#This Row],[ENTRADAS]]-TablaSTOCKINV[[#This Row],[SALIDAS]]</f>
        <v>2</v>
      </c>
      <c r="O1251" s="35">
        <f>SUMIFS(TablaENTRADA[CANT],TablaENTRADA[SKU],TablaSTOCKINV[[#This Row],[SKU]])</f>
        <v>2</v>
      </c>
      <c r="P1251" s="35">
        <f>SUMIFS(TablaSALIDA[CANT],TablaSALIDA[SKU],TablaSTOCKINV[[#This Row],[SKU]])</f>
        <v>0</v>
      </c>
      <c r="Q1251" s="34">
        <f>_xlfn.XLOOKUP(TablaSTOCKINV[[#This Row],[SKU]],TablaINVENTARIO[SKU],TablaINVENTARIO[PRECIO])</f>
        <v>0</v>
      </c>
      <c r="R1251" s="34">
        <f>TablaSTOCKINV[[#This Row],[P.UNITARIO]]*TablaSTOCKINV[[#This Row],[CANT. TOTAL]]</f>
        <v>0</v>
      </c>
      <c r="S1251" s="44">
        <f>_xlfn.XLOOKUP(TablaSTOCKINV[[#This Row],[SKU]],TablaINVENTARIO[SKU],TablaINVENTARIO[FECHA INGRESO])</f>
        <v>46023</v>
      </c>
      <c r="T1251" s="44">
        <f>_xlfn.XLOOKUP(TablaSTOCKINV[[#This Row],[SKU]],TablaENTRADA[SKU],TablaENTRADA[FECHA],,0,-1)</f>
        <v>46023</v>
      </c>
      <c r="U1251" s="46" t="str">
        <f>IFERROR((_xlfn.XLOOKUP(TablaSTOCKINV[[#This Row],[SKU]],TablaSALIDA[SKU],TablaSALIDA[FECHA],,0,-1))," " )</f>
        <v xml:space="preserve"> </v>
      </c>
    </row>
    <row r="1252" spans="1:21" x14ac:dyDescent="0.3">
      <c r="A1252" s="27" t="s">
        <v>456</v>
      </c>
      <c r="B1252" s="32" t="str">
        <f>_xlfn.XLOOKUP(TablaSTOCKINV[[#This Row],[SKU]],TablaINVENTARIO[SKU],TablaINVENTARIO[DESCRIPCION])</f>
        <v xml:space="preserve">FRASCO RECOLECTOR DE ORINA </v>
      </c>
      <c r="C1252" s="32" t="str">
        <f>_xlfn.XLOOKUP(TablaSTOCKINV[[#This Row],[SKU]],TablaINVENTARIO[SKU],TablaINVENTARIO[MARCA])</f>
        <v>DEXX</v>
      </c>
      <c r="D1252" s="33" t="str">
        <f>_xlfn.XLOOKUP(TablaSTOCKINV[[#This Row],[SKU]],TablaINVENTARIO[SKU],TablaINVENTARIO[CATEGORIA])</f>
        <v>EQUIPO_MEDICO</v>
      </c>
      <c r="E1252" s="33" t="str">
        <f>_xlfn.XLOOKUP(TablaSTOCKINV[[#This Row],[SKU]],TablaINVENTARIO[SKU],TablaINVENTARIO[SUBCATEGORIA])</f>
        <v xml:space="preserve">RECOLECTOR </v>
      </c>
      <c r="F1252" s="33" t="str">
        <f>_xlfn.XLOOKUP(TablaSTOCKINV[[#This Row],[SKU]],TablaINVENTARIO[SKU],TablaINVENTARIO[ESTADO])</f>
        <v>NUEVO</v>
      </c>
      <c r="G1252" s="33" t="str">
        <f>_xlfn.XLOOKUP(TablaSTOCKINV[[#This Row],[SKU]],TablaINVENTARIO[SKU],TablaINVENTARIO[MEDIDA])</f>
        <v>UND</v>
      </c>
      <c r="H1252" s="33" t="str">
        <f>_xlfn.XLOOKUP(TablaSTOCKINV[[#This Row],[SKU]],TablaINVENTARIO[SKU],TablaINVENTARIO[SERIAL])</f>
        <v>N/A</v>
      </c>
      <c r="I1252" s="34">
        <f>_xlfn.XLOOKUP(TablaSTOCKINV[[#This Row],[SKU]],TablaINVENTARIO[SKU],TablaINVENTARIO[ALMACEN])</f>
        <v>0</v>
      </c>
      <c r="J1252" s="34" t="str">
        <f>_xlfn.XLOOKUP(TablaSTOCKINV[[#This Row],[SKU]],TablaINVENTARIO[SKU],TablaINVENTARIO[UBICACION])</f>
        <v>L4</v>
      </c>
      <c r="K1252" s="34" t="str">
        <f>_xlfn.XLOOKUP(TablaSTOCKINV[[#This Row],[SKU]],TablaINVENTARIO[SKU],TablaINVENTARIO[DPTO RESPONSABLE])</f>
        <v>OPERACIONES</v>
      </c>
      <c r="L1252" s="53">
        <f>_xlfn.XLOOKUP(TablaSTOCKINV[[#This Row],[SKU]],TablaINVENTARIO[SKU],TablaINVENTARIO[RANGO MIN])</f>
        <v>0</v>
      </c>
      <c r="M1252" s="34" cm="1">
        <f t="array" ref="M1252">_xlfn.IFS(TablaSTOCKINV[[#This Row],[CANT. TOTAL]]&lt;=0,1,TablaSTOCKINV[[#This Row],[CANT. TOTAL]]&lt;=TablaSTOCKINV[[#This Row],[MIN]],2,TablaSTOCKINV[[#This Row],[CANT. TOTAL]]&gt;TablaSTOCKINV[[#This Row],[MIN]],3)</f>
        <v>3</v>
      </c>
      <c r="N1252" s="34">
        <f>TablaSTOCKINV[[#This Row],[ENTRADAS]]-TablaSTOCKINV[[#This Row],[SALIDAS]]</f>
        <v>119</v>
      </c>
      <c r="O1252" s="35">
        <f>SUMIFS(TablaENTRADA[CANT],TablaENTRADA[SKU],TablaSTOCKINV[[#This Row],[SKU]])</f>
        <v>119</v>
      </c>
      <c r="P1252" s="35">
        <f>SUMIFS(TablaSALIDA[CANT],TablaSALIDA[SKU],TablaSTOCKINV[[#This Row],[SKU]])</f>
        <v>0</v>
      </c>
      <c r="Q1252" s="34">
        <f>_xlfn.XLOOKUP(TablaSTOCKINV[[#This Row],[SKU]],TablaINVENTARIO[SKU],TablaINVENTARIO[PRECIO])</f>
        <v>0</v>
      </c>
      <c r="R1252" s="34">
        <f>TablaSTOCKINV[[#This Row],[P.UNITARIO]]*TablaSTOCKINV[[#This Row],[CANT. TOTAL]]</f>
        <v>0</v>
      </c>
      <c r="S1252" s="44">
        <f>_xlfn.XLOOKUP(TablaSTOCKINV[[#This Row],[SKU]],TablaINVENTARIO[SKU],TablaINVENTARIO[FECHA INGRESO])</f>
        <v>46023</v>
      </c>
      <c r="T1252" s="44">
        <f>_xlfn.XLOOKUP(TablaSTOCKINV[[#This Row],[SKU]],TablaENTRADA[SKU],TablaENTRADA[FECHA],,0,-1)</f>
        <v>46023</v>
      </c>
      <c r="U1252" s="46" t="str">
        <f>IFERROR((_xlfn.XLOOKUP(TablaSTOCKINV[[#This Row],[SKU]],TablaSALIDA[SKU],TablaSALIDA[FECHA],,0,-1))," " )</f>
        <v xml:space="preserve"> </v>
      </c>
    </row>
    <row r="1253" spans="1:21" x14ac:dyDescent="0.3">
      <c r="A1253" s="27" t="s">
        <v>460</v>
      </c>
      <c r="B1253" s="32" t="str">
        <f>_xlfn.XLOOKUP(TablaSTOCKINV[[#This Row],[SKU]],TablaINVENTARIO[SKU],TablaINVENTARIO[DESCRIPCION])</f>
        <v>PANTALLA PARA PROTECCION FACIAL</v>
      </c>
      <c r="C1253" s="32" t="str">
        <f>_xlfn.XLOOKUP(TablaSTOCKINV[[#This Row],[SKU]],TablaINVENTARIO[SKU],TablaINVENTARIO[MARCA])</f>
        <v>SAFE WORK</v>
      </c>
      <c r="D1253" s="33" t="str">
        <f>_xlfn.XLOOKUP(TablaSTOCKINV[[#This Row],[SKU]],TablaINVENTARIO[SKU],TablaINVENTARIO[CATEGORIA])</f>
        <v>EQUIPO_MEDICO</v>
      </c>
      <c r="E1253" s="33" t="str">
        <f>_xlfn.XLOOKUP(TablaSTOCKINV[[#This Row],[SKU]],TablaINVENTARIO[SKU],TablaINVENTARIO[SUBCATEGORIA])</f>
        <v xml:space="preserve">CARETA </v>
      </c>
      <c r="F1253" s="33" t="str">
        <f>_xlfn.XLOOKUP(TablaSTOCKINV[[#This Row],[SKU]],TablaINVENTARIO[SKU],TablaINVENTARIO[ESTADO])</f>
        <v xml:space="preserve">NUEVO </v>
      </c>
      <c r="G1253" s="33" t="str">
        <f>_xlfn.XLOOKUP(TablaSTOCKINV[[#This Row],[SKU]],TablaINVENTARIO[SKU],TablaINVENTARIO[MEDIDA])</f>
        <v>UND</v>
      </c>
      <c r="H1253" s="33" t="str">
        <f>_xlfn.XLOOKUP(TablaSTOCKINV[[#This Row],[SKU]],TablaINVENTARIO[SKU],TablaINVENTARIO[SERIAL])</f>
        <v>N/A</v>
      </c>
      <c r="I1253" s="34">
        <f>_xlfn.XLOOKUP(TablaSTOCKINV[[#This Row],[SKU]],TablaINVENTARIO[SKU],TablaINVENTARIO[ALMACEN])</f>
        <v>0</v>
      </c>
      <c r="J1253" s="34" t="str">
        <f>_xlfn.XLOOKUP(TablaSTOCKINV[[#This Row],[SKU]],TablaINVENTARIO[SKU],TablaINVENTARIO[UBICACION])</f>
        <v>3I</v>
      </c>
      <c r="K1253" s="34" t="str">
        <f>_xlfn.XLOOKUP(TablaSTOCKINV[[#This Row],[SKU]],TablaINVENTARIO[SKU],TablaINVENTARIO[DPTO RESPONSABLE])</f>
        <v>OPERACIONES / MANTENIMIENTO</v>
      </c>
      <c r="L1253" s="53">
        <f>_xlfn.XLOOKUP(TablaSTOCKINV[[#This Row],[SKU]],TablaINVENTARIO[SKU],TablaINVENTARIO[RANGO MIN])</f>
        <v>0</v>
      </c>
      <c r="M1253" s="34" cm="1">
        <f t="array" ref="M1253">_xlfn.IFS(TablaSTOCKINV[[#This Row],[CANT. TOTAL]]&lt;=0,1,TablaSTOCKINV[[#This Row],[CANT. TOTAL]]&lt;=TablaSTOCKINV[[#This Row],[MIN]],2,TablaSTOCKINV[[#This Row],[CANT. TOTAL]]&gt;TablaSTOCKINV[[#This Row],[MIN]],3)</f>
        <v>3</v>
      </c>
      <c r="N1253" s="34">
        <f>TablaSTOCKINV[[#This Row],[ENTRADAS]]-TablaSTOCKINV[[#This Row],[SALIDAS]]</f>
        <v>1</v>
      </c>
      <c r="O1253" s="35">
        <f>SUMIFS(TablaENTRADA[CANT],TablaENTRADA[SKU],TablaSTOCKINV[[#This Row],[SKU]])</f>
        <v>1</v>
      </c>
      <c r="P1253" s="35">
        <f>SUMIFS(TablaSALIDA[CANT],TablaSALIDA[SKU],TablaSTOCKINV[[#This Row],[SKU]])</f>
        <v>0</v>
      </c>
      <c r="Q1253" s="34">
        <f>_xlfn.XLOOKUP(TablaSTOCKINV[[#This Row],[SKU]],TablaINVENTARIO[SKU],TablaINVENTARIO[PRECIO])</f>
        <v>0</v>
      </c>
      <c r="R1253" s="34">
        <f>TablaSTOCKINV[[#This Row],[P.UNITARIO]]*TablaSTOCKINV[[#This Row],[CANT. TOTAL]]</f>
        <v>0</v>
      </c>
      <c r="S1253" s="44">
        <f>_xlfn.XLOOKUP(TablaSTOCKINV[[#This Row],[SKU]],TablaINVENTARIO[SKU],TablaINVENTARIO[FECHA INGRESO])</f>
        <v>46023</v>
      </c>
      <c r="T1253" s="44">
        <f>_xlfn.XLOOKUP(TablaSTOCKINV[[#This Row],[SKU]],TablaENTRADA[SKU],TablaENTRADA[FECHA],,0,-1)</f>
        <v>46023</v>
      </c>
      <c r="U1253" s="46" t="str">
        <f>IFERROR((_xlfn.XLOOKUP(TablaSTOCKINV[[#This Row],[SKU]],TablaSALIDA[SKU],TablaSALIDA[FECHA],,0,-1))," " )</f>
        <v xml:space="preserve"> </v>
      </c>
    </row>
    <row r="1254" spans="1:21" x14ac:dyDescent="0.3">
      <c r="A1254" s="27" t="s">
        <v>317</v>
      </c>
      <c r="B1254" s="32" t="str">
        <f>_xlfn.XLOOKUP(TablaSTOCKINV[[#This Row],[SKU]],TablaINVENTARIO[SKU],TablaINVENTARIO[DESCRIPCION])</f>
        <v>CHALECO SALVAVIDAS TIPO V</v>
      </c>
      <c r="C1254" s="32" t="str">
        <f>_xlfn.XLOOKUP(TablaSTOCKINV[[#This Row],[SKU]],TablaINVENTARIO[SKU],TablaINVENTARIO[MARCA])</f>
        <v>N/A</v>
      </c>
      <c r="D1254" s="33" t="str">
        <f>_xlfn.XLOOKUP(TablaSTOCKINV[[#This Row],[SKU]],TablaINVENTARIO[SKU],TablaINVENTARIO[CATEGORIA])</f>
        <v>EPP</v>
      </c>
      <c r="E1254" s="33" t="str">
        <f>_xlfn.XLOOKUP(TablaSTOCKINV[[#This Row],[SKU]],TablaINVENTARIO[SKU],TablaINVENTARIO[SUBCATEGORIA])</f>
        <v xml:space="preserve">EQUIPO DE PROTECCION ACUATICO </v>
      </c>
      <c r="F1254" s="33" t="str">
        <f>_xlfn.XLOOKUP(TablaSTOCKINV[[#This Row],[SKU]],TablaINVENTARIO[SKU],TablaINVENTARIO[ESTADO])</f>
        <v>USADO</v>
      </c>
      <c r="G1254" s="33" t="str">
        <f>_xlfn.XLOOKUP(TablaSTOCKINV[[#This Row],[SKU]],TablaINVENTARIO[SKU],TablaINVENTARIO[MEDIDA])</f>
        <v>UND</v>
      </c>
      <c r="H1254" s="33" t="str">
        <f>_xlfn.XLOOKUP(TablaSTOCKINV[[#This Row],[SKU]],TablaINVENTARIO[SKU],TablaINVENTARIO[SERIAL])</f>
        <v>N/A</v>
      </c>
      <c r="I1254" s="34">
        <f>_xlfn.XLOOKUP(TablaSTOCKINV[[#This Row],[SKU]],TablaINVENTARIO[SKU],TablaINVENTARIO[ALMACEN])</f>
        <v>0</v>
      </c>
      <c r="J1254" s="34" t="str">
        <f>_xlfn.XLOOKUP(TablaSTOCKINV[[#This Row],[SKU]],TablaINVENTARIO[SKU],TablaINVENTARIO[UBICACION])</f>
        <v>L1</v>
      </c>
      <c r="K1254" s="34" t="str">
        <f>_xlfn.XLOOKUP(TablaSTOCKINV[[#This Row],[SKU]],TablaINVENTARIO[SKU],TablaINVENTARIO[DPTO RESPONSABLE])</f>
        <v>OPERACIONES</v>
      </c>
      <c r="L1254" s="53">
        <f>_xlfn.XLOOKUP(TablaSTOCKINV[[#This Row],[SKU]],TablaINVENTARIO[SKU],TablaINVENTARIO[RANGO MIN])</f>
        <v>0</v>
      </c>
      <c r="M1254" s="34" cm="1">
        <f t="array" ref="M1254">_xlfn.IFS(TablaSTOCKINV[[#This Row],[CANT. TOTAL]]&lt;=0,1,TablaSTOCKINV[[#This Row],[CANT. TOTAL]]&lt;=TablaSTOCKINV[[#This Row],[MIN]],2,TablaSTOCKINV[[#This Row],[CANT. TOTAL]]&gt;TablaSTOCKINV[[#This Row],[MIN]],3)</f>
        <v>3</v>
      </c>
      <c r="N1254" s="34">
        <f>TablaSTOCKINV[[#This Row],[ENTRADAS]]-TablaSTOCKINV[[#This Row],[SALIDAS]]</f>
        <v>5</v>
      </c>
      <c r="O1254" s="35">
        <f>SUMIFS(TablaENTRADA[CANT],TablaENTRADA[SKU],TablaSTOCKINV[[#This Row],[SKU]])</f>
        <v>5</v>
      </c>
      <c r="P1254" s="35">
        <f>SUMIFS(TablaSALIDA[CANT],TablaSALIDA[SKU],TablaSTOCKINV[[#This Row],[SKU]])</f>
        <v>0</v>
      </c>
      <c r="Q1254" s="34">
        <f>_xlfn.XLOOKUP(TablaSTOCKINV[[#This Row],[SKU]],TablaINVENTARIO[SKU],TablaINVENTARIO[PRECIO])</f>
        <v>0</v>
      </c>
      <c r="R1254" s="34">
        <f>TablaSTOCKINV[[#This Row],[P.UNITARIO]]*TablaSTOCKINV[[#This Row],[CANT. TOTAL]]</f>
        <v>0</v>
      </c>
      <c r="S1254" s="44">
        <f>_xlfn.XLOOKUP(TablaSTOCKINV[[#This Row],[SKU]],TablaINVENTARIO[SKU],TablaINVENTARIO[FECHA INGRESO])</f>
        <v>46023</v>
      </c>
      <c r="T1254" s="44">
        <f>_xlfn.XLOOKUP(TablaSTOCKINV[[#This Row],[SKU]],TablaENTRADA[SKU],TablaENTRADA[FECHA],,0,-1)</f>
        <v>46023</v>
      </c>
      <c r="U1254" s="46" t="str">
        <f>IFERROR((_xlfn.XLOOKUP(TablaSTOCKINV[[#This Row],[SKU]],TablaSALIDA[SKU],TablaSALIDA[FECHA],,0,-1))," " )</f>
        <v xml:space="preserve"> </v>
      </c>
    </row>
    <row r="1255" spans="1:21" x14ac:dyDescent="0.3">
      <c r="A1255" s="27" t="s">
        <v>322</v>
      </c>
      <c r="B1255" s="32" t="str">
        <f>_xlfn.XLOOKUP(TablaSTOCKINV[[#This Row],[SKU]],TablaINVENTARIO[SKU],TablaINVENTARIO[DESCRIPCION])</f>
        <v xml:space="preserve">IMPERMEABLE AMARILLO </v>
      </c>
      <c r="C1255" s="32" t="str">
        <f>_xlfn.XLOOKUP(TablaSTOCKINV[[#This Row],[SKU]],TablaINVENTARIO[SKU],TablaINVENTARIO[MARCA])</f>
        <v>N/A</v>
      </c>
      <c r="D1255" s="33" t="str">
        <f>_xlfn.XLOOKUP(TablaSTOCKINV[[#This Row],[SKU]],TablaINVENTARIO[SKU],TablaINVENTARIO[CATEGORIA])</f>
        <v>EPP</v>
      </c>
      <c r="E1255" s="33" t="str">
        <f>_xlfn.XLOOKUP(TablaSTOCKINV[[#This Row],[SKU]],TablaINVENTARIO[SKU],TablaINVENTARIO[SUBCATEGORIA])</f>
        <v xml:space="preserve">PROTECCION CORPORAL </v>
      </c>
      <c r="F1255" s="33" t="str">
        <f>_xlfn.XLOOKUP(TablaSTOCKINV[[#This Row],[SKU]],TablaINVENTARIO[SKU],TablaINVENTARIO[ESTADO])</f>
        <v>USADO</v>
      </c>
      <c r="G1255" s="33" t="str">
        <f>_xlfn.XLOOKUP(TablaSTOCKINV[[#This Row],[SKU]],TablaINVENTARIO[SKU],TablaINVENTARIO[MEDIDA])</f>
        <v>UND</v>
      </c>
      <c r="H1255" s="33" t="str">
        <f>_xlfn.XLOOKUP(TablaSTOCKINV[[#This Row],[SKU]],TablaINVENTARIO[SKU],TablaINVENTARIO[SERIAL])</f>
        <v>N/A</v>
      </c>
      <c r="I1255" s="34">
        <f>_xlfn.XLOOKUP(TablaSTOCKINV[[#This Row],[SKU]],TablaINVENTARIO[SKU],TablaINVENTARIO[ALMACEN])</f>
        <v>0</v>
      </c>
      <c r="J1255" s="34" t="str">
        <f>_xlfn.XLOOKUP(TablaSTOCKINV[[#This Row],[SKU]],TablaINVENTARIO[SKU],TablaINVENTARIO[UBICACION])</f>
        <v>L1</v>
      </c>
      <c r="K1255" s="34" t="str">
        <f>_xlfn.XLOOKUP(TablaSTOCKINV[[#This Row],[SKU]],TablaINVENTARIO[SKU],TablaINVENTARIO[DPTO RESPONSABLE])</f>
        <v>OPERACIONES / MANTENIMIENTO</v>
      </c>
      <c r="L1255" s="53">
        <f>_xlfn.XLOOKUP(TablaSTOCKINV[[#This Row],[SKU]],TablaINVENTARIO[SKU],TablaINVENTARIO[RANGO MIN])</f>
        <v>0</v>
      </c>
      <c r="M1255" s="34" cm="1">
        <f t="array" ref="M1255">_xlfn.IFS(TablaSTOCKINV[[#This Row],[CANT. TOTAL]]&lt;=0,1,TablaSTOCKINV[[#This Row],[CANT. TOTAL]]&lt;=TablaSTOCKINV[[#This Row],[MIN]],2,TablaSTOCKINV[[#This Row],[CANT. TOTAL]]&gt;TablaSTOCKINV[[#This Row],[MIN]],3)</f>
        <v>3</v>
      </c>
      <c r="N1255" s="34">
        <f>TablaSTOCKINV[[#This Row],[ENTRADAS]]-TablaSTOCKINV[[#This Row],[SALIDAS]]</f>
        <v>7</v>
      </c>
      <c r="O1255" s="35">
        <f>SUMIFS(TablaENTRADA[CANT],TablaENTRADA[SKU],TablaSTOCKINV[[#This Row],[SKU]])</f>
        <v>7</v>
      </c>
      <c r="P1255" s="35">
        <f>SUMIFS(TablaSALIDA[CANT],TablaSALIDA[SKU],TablaSTOCKINV[[#This Row],[SKU]])</f>
        <v>0</v>
      </c>
      <c r="Q1255" s="34">
        <f>_xlfn.XLOOKUP(TablaSTOCKINV[[#This Row],[SKU]],TablaINVENTARIO[SKU],TablaINVENTARIO[PRECIO])</f>
        <v>0</v>
      </c>
      <c r="R1255" s="34">
        <f>TablaSTOCKINV[[#This Row],[P.UNITARIO]]*TablaSTOCKINV[[#This Row],[CANT. TOTAL]]</f>
        <v>0</v>
      </c>
      <c r="S1255" s="44">
        <f>_xlfn.XLOOKUP(TablaSTOCKINV[[#This Row],[SKU]],TablaINVENTARIO[SKU],TablaINVENTARIO[FECHA INGRESO])</f>
        <v>46023</v>
      </c>
      <c r="T1255" s="44">
        <f>_xlfn.XLOOKUP(TablaSTOCKINV[[#This Row],[SKU]],TablaENTRADA[SKU],TablaENTRADA[FECHA],,0,-1)</f>
        <v>46023</v>
      </c>
      <c r="U1255" s="46" t="str">
        <f>IFERROR((_xlfn.XLOOKUP(TablaSTOCKINV[[#This Row],[SKU]],TablaSALIDA[SKU],TablaSALIDA[FECHA],,0,-1))," " )</f>
        <v xml:space="preserve"> </v>
      </c>
    </row>
    <row r="1256" spans="1:21" x14ac:dyDescent="0.3">
      <c r="A1256" s="27" t="s">
        <v>326</v>
      </c>
      <c r="B1256" s="32" t="str">
        <f>_xlfn.XLOOKUP(TablaSTOCKINV[[#This Row],[SKU]],TablaINVENTARIO[SKU],TablaINVENTARIO[DESCRIPCION])</f>
        <v xml:space="preserve">DELANTAL DE LABORATORIO </v>
      </c>
      <c r="C1256" s="32" t="str">
        <f>_xlfn.XLOOKUP(TablaSTOCKINV[[#This Row],[SKU]],TablaINVENTARIO[SKU],TablaINVENTARIO[MARCA])</f>
        <v>N/A</v>
      </c>
      <c r="D1256" s="33" t="str">
        <f>_xlfn.XLOOKUP(TablaSTOCKINV[[#This Row],[SKU]],TablaINVENTARIO[SKU],TablaINVENTARIO[CATEGORIA])</f>
        <v>EPP</v>
      </c>
      <c r="E1256" s="33" t="str">
        <f>_xlfn.XLOOKUP(TablaSTOCKINV[[#This Row],[SKU]],TablaINVENTARIO[SKU],TablaINVENTARIO[SUBCATEGORIA])</f>
        <v xml:space="preserve">PROTECCION CORPORAL </v>
      </c>
      <c r="F1256" s="33" t="str">
        <f>_xlfn.XLOOKUP(TablaSTOCKINV[[#This Row],[SKU]],TablaINVENTARIO[SKU],TablaINVENTARIO[ESTADO])</f>
        <v>USADO</v>
      </c>
      <c r="G1256" s="33" t="str">
        <f>_xlfn.XLOOKUP(TablaSTOCKINV[[#This Row],[SKU]],TablaINVENTARIO[SKU],TablaINVENTARIO[MEDIDA])</f>
        <v>UND</v>
      </c>
      <c r="H1256" s="33" t="str">
        <f>_xlfn.XLOOKUP(TablaSTOCKINV[[#This Row],[SKU]],TablaINVENTARIO[SKU],TablaINVENTARIO[SERIAL])</f>
        <v>N/A</v>
      </c>
      <c r="I1256" s="34">
        <f>_xlfn.XLOOKUP(TablaSTOCKINV[[#This Row],[SKU]],TablaINVENTARIO[SKU],TablaINVENTARIO[ALMACEN])</f>
        <v>0</v>
      </c>
      <c r="J1256" s="34" t="str">
        <f>_xlfn.XLOOKUP(TablaSTOCKINV[[#This Row],[SKU]],TablaINVENTARIO[SKU],TablaINVENTARIO[UBICACION])</f>
        <v>L2</v>
      </c>
      <c r="K1256" s="34" t="str">
        <f>_xlfn.XLOOKUP(TablaSTOCKINV[[#This Row],[SKU]],TablaINVENTARIO[SKU],TablaINVENTARIO[DPTO RESPONSABLE])</f>
        <v>OPERACIONES</v>
      </c>
      <c r="L1256" s="53">
        <f>_xlfn.XLOOKUP(TablaSTOCKINV[[#This Row],[SKU]],TablaINVENTARIO[SKU],TablaINVENTARIO[RANGO MIN])</f>
        <v>0</v>
      </c>
      <c r="M1256" s="34" cm="1">
        <f t="array" ref="M1256">_xlfn.IFS(TablaSTOCKINV[[#This Row],[CANT. TOTAL]]&lt;=0,1,TablaSTOCKINV[[#This Row],[CANT. TOTAL]]&lt;=TablaSTOCKINV[[#This Row],[MIN]],2,TablaSTOCKINV[[#This Row],[CANT. TOTAL]]&gt;TablaSTOCKINV[[#This Row],[MIN]],3)</f>
        <v>3</v>
      </c>
      <c r="N1256" s="34">
        <f>TablaSTOCKINV[[#This Row],[ENTRADAS]]-TablaSTOCKINV[[#This Row],[SALIDAS]]</f>
        <v>2</v>
      </c>
      <c r="O1256" s="35">
        <f>SUMIFS(TablaENTRADA[CANT],TablaENTRADA[SKU],TablaSTOCKINV[[#This Row],[SKU]])</f>
        <v>2</v>
      </c>
      <c r="P1256" s="35">
        <f>SUMIFS(TablaSALIDA[CANT],TablaSALIDA[SKU],TablaSTOCKINV[[#This Row],[SKU]])</f>
        <v>0</v>
      </c>
      <c r="Q1256" s="34">
        <f>_xlfn.XLOOKUP(TablaSTOCKINV[[#This Row],[SKU]],TablaINVENTARIO[SKU],TablaINVENTARIO[PRECIO])</f>
        <v>0</v>
      </c>
      <c r="R1256" s="34">
        <f>TablaSTOCKINV[[#This Row],[P.UNITARIO]]*TablaSTOCKINV[[#This Row],[CANT. TOTAL]]</f>
        <v>0</v>
      </c>
      <c r="S1256" s="44">
        <f>_xlfn.XLOOKUP(TablaSTOCKINV[[#This Row],[SKU]],TablaINVENTARIO[SKU],TablaINVENTARIO[FECHA INGRESO])</f>
        <v>46023</v>
      </c>
      <c r="T1256" s="44">
        <f>_xlfn.XLOOKUP(TablaSTOCKINV[[#This Row],[SKU]],TablaENTRADA[SKU],TablaENTRADA[FECHA],,0,-1)</f>
        <v>46023</v>
      </c>
      <c r="U1256" s="46" t="str">
        <f>IFERROR((_xlfn.XLOOKUP(TablaSTOCKINV[[#This Row],[SKU]],TablaSALIDA[SKU],TablaSALIDA[FECHA],,0,-1))," " )</f>
        <v xml:space="preserve"> </v>
      </c>
    </row>
    <row r="1257" spans="1:21" x14ac:dyDescent="0.3">
      <c r="A1257" s="27" t="s">
        <v>329</v>
      </c>
      <c r="B1257" s="32" t="str">
        <f>_xlfn.XLOOKUP(TablaSTOCKINV[[#This Row],[SKU]],TablaINVENTARIO[SKU],TablaINVENTARIO[DESCRIPCION])</f>
        <v xml:space="preserve">DELANTAL DE LABORATORIO </v>
      </c>
      <c r="C1257" s="32" t="str">
        <f>_xlfn.XLOOKUP(TablaSTOCKINV[[#This Row],[SKU]],TablaINVENTARIO[SKU],TablaINVENTARIO[MARCA])</f>
        <v>N/A</v>
      </c>
      <c r="D1257" s="33" t="str">
        <f>_xlfn.XLOOKUP(TablaSTOCKINV[[#This Row],[SKU]],TablaINVENTARIO[SKU],TablaINVENTARIO[CATEGORIA])</f>
        <v>EPP</v>
      </c>
      <c r="E1257" s="33" t="str">
        <f>_xlfn.XLOOKUP(TablaSTOCKINV[[#This Row],[SKU]],TablaINVENTARIO[SKU],TablaINVENTARIO[SUBCATEGORIA])</f>
        <v xml:space="preserve">PROTECCION CORPORAL </v>
      </c>
      <c r="F1257" s="33" t="str">
        <f>_xlfn.XLOOKUP(TablaSTOCKINV[[#This Row],[SKU]],TablaINVENTARIO[SKU],TablaINVENTARIO[ESTADO])</f>
        <v>NUEVO</v>
      </c>
      <c r="G1257" s="33" t="str">
        <f>_xlfn.XLOOKUP(TablaSTOCKINV[[#This Row],[SKU]],TablaINVENTARIO[SKU],TablaINVENTARIO[MEDIDA])</f>
        <v>UND</v>
      </c>
      <c r="H1257" s="33" t="str">
        <f>_xlfn.XLOOKUP(TablaSTOCKINV[[#This Row],[SKU]],TablaINVENTARIO[SKU],TablaINVENTARIO[SERIAL])</f>
        <v>N/A</v>
      </c>
      <c r="I1257" s="34">
        <f>_xlfn.XLOOKUP(TablaSTOCKINV[[#This Row],[SKU]],TablaINVENTARIO[SKU],TablaINVENTARIO[ALMACEN])</f>
        <v>0</v>
      </c>
      <c r="J1257" s="34" t="str">
        <f>_xlfn.XLOOKUP(TablaSTOCKINV[[#This Row],[SKU]],TablaINVENTARIO[SKU],TablaINVENTARIO[UBICACION])</f>
        <v>L2</v>
      </c>
      <c r="K1257" s="34" t="str">
        <f>_xlfn.XLOOKUP(TablaSTOCKINV[[#This Row],[SKU]],TablaINVENTARIO[SKU],TablaINVENTARIO[DPTO RESPONSABLE])</f>
        <v>OPERACIONES</v>
      </c>
      <c r="L1257" s="53">
        <f>_xlfn.XLOOKUP(TablaSTOCKINV[[#This Row],[SKU]],TablaINVENTARIO[SKU],TablaINVENTARIO[RANGO MIN])</f>
        <v>0</v>
      </c>
      <c r="M1257" s="34" cm="1">
        <f t="array" ref="M1257">_xlfn.IFS(TablaSTOCKINV[[#This Row],[CANT. TOTAL]]&lt;=0,1,TablaSTOCKINV[[#This Row],[CANT. TOTAL]]&lt;=TablaSTOCKINV[[#This Row],[MIN]],2,TablaSTOCKINV[[#This Row],[CANT. TOTAL]]&gt;TablaSTOCKINV[[#This Row],[MIN]],3)</f>
        <v>3</v>
      </c>
      <c r="N1257" s="34">
        <f>TablaSTOCKINV[[#This Row],[ENTRADAS]]-TablaSTOCKINV[[#This Row],[SALIDAS]]</f>
        <v>3</v>
      </c>
      <c r="O1257" s="35">
        <f>SUMIFS(TablaENTRADA[CANT],TablaENTRADA[SKU],TablaSTOCKINV[[#This Row],[SKU]])</f>
        <v>3</v>
      </c>
      <c r="P1257" s="35">
        <f>SUMIFS(TablaSALIDA[CANT],TablaSALIDA[SKU],TablaSTOCKINV[[#This Row],[SKU]])</f>
        <v>0</v>
      </c>
      <c r="Q1257" s="34">
        <f>_xlfn.XLOOKUP(TablaSTOCKINV[[#This Row],[SKU]],TablaINVENTARIO[SKU],TablaINVENTARIO[PRECIO])</f>
        <v>0</v>
      </c>
      <c r="R1257" s="34">
        <f>TablaSTOCKINV[[#This Row],[P.UNITARIO]]*TablaSTOCKINV[[#This Row],[CANT. TOTAL]]</f>
        <v>0</v>
      </c>
      <c r="S1257" s="44">
        <f>_xlfn.XLOOKUP(TablaSTOCKINV[[#This Row],[SKU]],TablaINVENTARIO[SKU],TablaINVENTARIO[FECHA INGRESO])</f>
        <v>46023</v>
      </c>
      <c r="T1257" s="44">
        <f>_xlfn.XLOOKUP(TablaSTOCKINV[[#This Row],[SKU]],TablaENTRADA[SKU],TablaENTRADA[FECHA],,0,-1)</f>
        <v>46023</v>
      </c>
      <c r="U1257" s="46" t="str">
        <f>IFERROR((_xlfn.XLOOKUP(TablaSTOCKINV[[#This Row],[SKU]],TablaSALIDA[SKU],TablaSALIDA[FECHA],,0,-1))," " )</f>
        <v xml:space="preserve"> </v>
      </c>
    </row>
    <row r="1258" spans="1:21" x14ac:dyDescent="0.3">
      <c r="A1258" s="27" t="s">
        <v>330</v>
      </c>
      <c r="B1258" s="32" t="str">
        <f>_xlfn.XLOOKUP(TablaSTOCKINV[[#This Row],[SKU]],TablaINVENTARIO[SKU],TablaINVENTARIO[DESCRIPCION])</f>
        <v>MASCARA MEDIA CARA MODELO: 6200</v>
      </c>
      <c r="C1258" s="32" t="str">
        <f>_xlfn.XLOOKUP(TablaSTOCKINV[[#This Row],[SKU]],TablaINVENTARIO[SKU],TablaINVENTARIO[MARCA])</f>
        <v>3M</v>
      </c>
      <c r="D1258" s="33" t="str">
        <f>_xlfn.XLOOKUP(TablaSTOCKINV[[#This Row],[SKU]],TablaINVENTARIO[SKU],TablaINVENTARIO[CATEGORIA])</f>
        <v>EPP</v>
      </c>
      <c r="E1258" s="33" t="str">
        <f>_xlfn.XLOOKUP(TablaSTOCKINV[[#This Row],[SKU]],TablaINVENTARIO[SKU],TablaINVENTARIO[SUBCATEGORIA])</f>
        <v>PROTECCIÓN FACIAL</v>
      </c>
      <c r="F1258" s="33" t="str">
        <f>_xlfn.XLOOKUP(TablaSTOCKINV[[#This Row],[SKU]],TablaINVENTARIO[SKU],TablaINVENTARIO[ESTADO])</f>
        <v>USADO</v>
      </c>
      <c r="G1258" s="33" t="str">
        <f>_xlfn.XLOOKUP(TablaSTOCKINV[[#This Row],[SKU]],TablaINVENTARIO[SKU],TablaINVENTARIO[MEDIDA])</f>
        <v>UND</v>
      </c>
      <c r="H1258" s="33" t="str">
        <f>_xlfn.XLOOKUP(TablaSTOCKINV[[#This Row],[SKU]],TablaINVENTARIO[SKU],TablaINVENTARIO[SERIAL])</f>
        <v>N/A</v>
      </c>
      <c r="I1258" s="34">
        <f>_xlfn.XLOOKUP(TablaSTOCKINV[[#This Row],[SKU]],TablaINVENTARIO[SKU],TablaINVENTARIO[ALMACEN])</f>
        <v>0</v>
      </c>
      <c r="J1258" s="34" t="str">
        <f>_xlfn.XLOOKUP(TablaSTOCKINV[[#This Row],[SKU]],TablaINVENTARIO[SKU],TablaINVENTARIO[UBICACION])</f>
        <v>L3</v>
      </c>
      <c r="K1258" s="34" t="str">
        <f>_xlfn.XLOOKUP(TablaSTOCKINV[[#This Row],[SKU]],TablaINVENTARIO[SKU],TablaINVENTARIO[DPTO RESPONSABLE])</f>
        <v>OPERACIONES</v>
      </c>
      <c r="L1258" s="53">
        <f>_xlfn.XLOOKUP(TablaSTOCKINV[[#This Row],[SKU]],TablaINVENTARIO[SKU],TablaINVENTARIO[RANGO MIN])</f>
        <v>0</v>
      </c>
      <c r="M1258" s="34" cm="1">
        <f t="array" ref="M1258">_xlfn.IFS(TablaSTOCKINV[[#This Row],[CANT. TOTAL]]&lt;=0,1,TablaSTOCKINV[[#This Row],[CANT. TOTAL]]&lt;=TablaSTOCKINV[[#This Row],[MIN]],2,TablaSTOCKINV[[#This Row],[CANT. TOTAL]]&gt;TablaSTOCKINV[[#This Row],[MIN]],3)</f>
        <v>3</v>
      </c>
      <c r="N1258" s="34">
        <f>TablaSTOCKINV[[#This Row],[ENTRADAS]]-TablaSTOCKINV[[#This Row],[SALIDAS]]</f>
        <v>3</v>
      </c>
      <c r="O1258" s="35">
        <f>SUMIFS(TablaENTRADA[CANT],TablaENTRADA[SKU],TablaSTOCKINV[[#This Row],[SKU]])</f>
        <v>3</v>
      </c>
      <c r="P1258" s="35">
        <f>SUMIFS(TablaSALIDA[CANT],TablaSALIDA[SKU],TablaSTOCKINV[[#This Row],[SKU]])</f>
        <v>0</v>
      </c>
      <c r="Q1258" s="34">
        <f>_xlfn.XLOOKUP(TablaSTOCKINV[[#This Row],[SKU]],TablaINVENTARIO[SKU],TablaINVENTARIO[PRECIO])</f>
        <v>0</v>
      </c>
      <c r="R1258" s="34">
        <f>TablaSTOCKINV[[#This Row],[P.UNITARIO]]*TablaSTOCKINV[[#This Row],[CANT. TOTAL]]</f>
        <v>0</v>
      </c>
      <c r="S1258" s="44">
        <f>_xlfn.XLOOKUP(TablaSTOCKINV[[#This Row],[SKU]],TablaINVENTARIO[SKU],TablaINVENTARIO[FECHA INGRESO])</f>
        <v>46023</v>
      </c>
      <c r="T1258" s="44">
        <f>_xlfn.XLOOKUP(TablaSTOCKINV[[#This Row],[SKU]],TablaENTRADA[SKU],TablaENTRADA[FECHA],,0,-1)</f>
        <v>46023</v>
      </c>
      <c r="U1258" s="46" t="str">
        <f>IFERROR((_xlfn.XLOOKUP(TablaSTOCKINV[[#This Row],[SKU]],TablaSALIDA[SKU],TablaSALIDA[FECHA],,0,-1))," " )</f>
        <v xml:space="preserve"> </v>
      </c>
    </row>
    <row r="1259" spans="1:21" x14ac:dyDescent="0.3">
      <c r="A1259" s="27" t="s">
        <v>335</v>
      </c>
      <c r="B1259" s="32" t="str">
        <f>_xlfn.XLOOKUP(TablaSTOCKINV[[#This Row],[SKU]],TablaINVENTARIO[SKU],TablaINVENTARIO[DESCRIPCION])</f>
        <v>CINTURON ANTICAIDAS</v>
      </c>
      <c r="C1259" s="32" t="str">
        <f>_xlfn.XLOOKUP(TablaSTOCKINV[[#This Row],[SKU]],TablaINVENTARIO[SKU],TablaINVENTARIO[MARCA])</f>
        <v>PRODUMIN</v>
      </c>
      <c r="D1259" s="33" t="str">
        <f>_xlfn.XLOOKUP(TablaSTOCKINV[[#This Row],[SKU]],TablaINVENTARIO[SKU],TablaINVENTARIO[CATEGORIA])</f>
        <v>EPP</v>
      </c>
      <c r="E1259" s="33" t="str">
        <f>_xlfn.XLOOKUP(TablaSTOCKINV[[#This Row],[SKU]],TablaINVENTARIO[SKU],TablaINVENTARIO[SUBCATEGORIA])</f>
        <v xml:space="preserve">PROTECCION CORPORAL </v>
      </c>
      <c r="F1259" s="33" t="str">
        <f>_xlfn.XLOOKUP(TablaSTOCKINV[[#This Row],[SKU]],TablaINVENTARIO[SKU],TablaINVENTARIO[ESTADO])</f>
        <v>NUEVO</v>
      </c>
      <c r="G1259" s="33" t="str">
        <f>_xlfn.XLOOKUP(TablaSTOCKINV[[#This Row],[SKU]],TablaINVENTARIO[SKU],TablaINVENTARIO[MEDIDA])</f>
        <v xml:space="preserve">UND </v>
      </c>
      <c r="H1259" s="33" t="str">
        <f>_xlfn.XLOOKUP(TablaSTOCKINV[[#This Row],[SKU]],TablaINVENTARIO[SKU],TablaINVENTARIO[SERIAL])</f>
        <v>N/A</v>
      </c>
      <c r="I1259" s="34">
        <f>_xlfn.XLOOKUP(TablaSTOCKINV[[#This Row],[SKU]],TablaINVENTARIO[SKU],TablaINVENTARIO[ALMACEN])</f>
        <v>0</v>
      </c>
      <c r="J1259" s="34" t="str">
        <f>_xlfn.XLOOKUP(TablaSTOCKINV[[#This Row],[SKU]],TablaINVENTARIO[SKU],TablaINVENTARIO[UBICACION])</f>
        <v>L3</v>
      </c>
      <c r="K1259" s="34" t="str">
        <f>_xlfn.XLOOKUP(TablaSTOCKINV[[#This Row],[SKU]],TablaINVENTARIO[SKU],TablaINVENTARIO[DPTO RESPONSABLE])</f>
        <v>OPERACIONES</v>
      </c>
      <c r="L1259" s="53">
        <f>_xlfn.XLOOKUP(TablaSTOCKINV[[#This Row],[SKU]],TablaINVENTARIO[SKU],TablaINVENTARIO[RANGO MIN])</f>
        <v>0</v>
      </c>
      <c r="M1259" s="34" cm="1">
        <f t="array" ref="M1259">_xlfn.IFS(TablaSTOCKINV[[#This Row],[CANT. TOTAL]]&lt;=0,1,TablaSTOCKINV[[#This Row],[CANT. TOTAL]]&lt;=TablaSTOCKINV[[#This Row],[MIN]],2,TablaSTOCKINV[[#This Row],[CANT. TOTAL]]&gt;TablaSTOCKINV[[#This Row],[MIN]],3)</f>
        <v>3</v>
      </c>
      <c r="N1259" s="34">
        <f>TablaSTOCKINV[[#This Row],[ENTRADAS]]-TablaSTOCKINV[[#This Row],[SALIDAS]]</f>
        <v>1</v>
      </c>
      <c r="O1259" s="35">
        <f>SUMIFS(TablaENTRADA[CANT],TablaENTRADA[SKU],TablaSTOCKINV[[#This Row],[SKU]])</f>
        <v>1</v>
      </c>
      <c r="P1259" s="35">
        <f>SUMIFS(TablaSALIDA[CANT],TablaSALIDA[SKU],TablaSTOCKINV[[#This Row],[SKU]])</f>
        <v>0</v>
      </c>
      <c r="Q1259" s="34">
        <f>_xlfn.XLOOKUP(TablaSTOCKINV[[#This Row],[SKU]],TablaINVENTARIO[SKU],TablaINVENTARIO[PRECIO])</f>
        <v>0</v>
      </c>
      <c r="R1259" s="34">
        <f>TablaSTOCKINV[[#This Row],[P.UNITARIO]]*TablaSTOCKINV[[#This Row],[CANT. TOTAL]]</f>
        <v>0</v>
      </c>
      <c r="S1259" s="44">
        <f>_xlfn.XLOOKUP(TablaSTOCKINV[[#This Row],[SKU]],TablaINVENTARIO[SKU],TablaINVENTARIO[FECHA INGRESO])</f>
        <v>46023</v>
      </c>
      <c r="T1259" s="44">
        <f>_xlfn.XLOOKUP(TablaSTOCKINV[[#This Row],[SKU]],TablaENTRADA[SKU],TablaENTRADA[FECHA],,0,-1)</f>
        <v>46023</v>
      </c>
      <c r="U1259" s="46" t="str">
        <f>IFERROR((_xlfn.XLOOKUP(TablaSTOCKINV[[#This Row],[SKU]],TablaSALIDA[SKU],TablaSALIDA[FECHA],,0,-1))," " )</f>
        <v xml:space="preserve"> </v>
      </c>
    </row>
    <row r="1260" spans="1:21" x14ac:dyDescent="0.3">
      <c r="A1260" s="27" t="s">
        <v>338</v>
      </c>
      <c r="B1260" s="32" t="str">
        <f>_xlfn.XLOOKUP(TablaSTOCKINV[[#This Row],[SKU]],TablaINVENTARIO[SKU],TablaINVENTARIO[DESCRIPCION])</f>
        <v>TAPONES AUDITIVOS DE ESPONJA 1100</v>
      </c>
      <c r="C1260" s="32" t="str">
        <f>_xlfn.XLOOKUP(TablaSTOCKINV[[#This Row],[SKU]],TablaINVENTARIO[SKU],TablaINVENTARIO[MARCA])</f>
        <v>3M</v>
      </c>
      <c r="D1260" s="33" t="str">
        <f>_xlfn.XLOOKUP(TablaSTOCKINV[[#This Row],[SKU]],TablaINVENTARIO[SKU],TablaINVENTARIO[CATEGORIA])</f>
        <v>EPP</v>
      </c>
      <c r="E1260" s="33" t="str">
        <f>_xlfn.XLOOKUP(TablaSTOCKINV[[#This Row],[SKU]],TablaINVENTARIO[SKU],TablaINVENTARIO[SUBCATEGORIA])</f>
        <v>PROTECCIÓN AUDITIVA</v>
      </c>
      <c r="F1260" s="33" t="str">
        <f>_xlfn.XLOOKUP(TablaSTOCKINV[[#This Row],[SKU]],TablaINVENTARIO[SKU],TablaINVENTARIO[ESTADO])</f>
        <v>NUEVO</v>
      </c>
      <c r="G1260" s="33" t="str">
        <f>_xlfn.XLOOKUP(TablaSTOCKINV[[#This Row],[SKU]],TablaINVENTARIO[SKU],TablaINVENTARIO[MEDIDA])</f>
        <v>PAR</v>
      </c>
      <c r="H1260" s="33" t="str">
        <f>_xlfn.XLOOKUP(TablaSTOCKINV[[#This Row],[SKU]],TablaINVENTARIO[SKU],TablaINVENTARIO[SERIAL])</f>
        <v>N/A</v>
      </c>
      <c r="I1260" s="34">
        <f>_xlfn.XLOOKUP(TablaSTOCKINV[[#This Row],[SKU]],TablaINVENTARIO[SKU],TablaINVENTARIO[ALMACEN])</f>
        <v>0</v>
      </c>
      <c r="J1260" s="34" t="str">
        <f>_xlfn.XLOOKUP(TablaSTOCKINV[[#This Row],[SKU]],TablaINVENTARIO[SKU],TablaINVENTARIO[UBICACION])</f>
        <v>L4</v>
      </c>
      <c r="K1260" s="34" t="str">
        <f>_xlfn.XLOOKUP(TablaSTOCKINV[[#This Row],[SKU]],TablaINVENTARIO[SKU],TablaINVENTARIO[DPTO RESPONSABLE])</f>
        <v>OPERACIONES</v>
      </c>
      <c r="L1260" s="53">
        <f>_xlfn.XLOOKUP(TablaSTOCKINV[[#This Row],[SKU]],TablaINVENTARIO[SKU],TablaINVENTARIO[RANGO MIN])</f>
        <v>0</v>
      </c>
      <c r="M1260" s="34" cm="1">
        <f t="array" ref="M1260">_xlfn.IFS(TablaSTOCKINV[[#This Row],[CANT. TOTAL]]&lt;=0,1,TablaSTOCKINV[[#This Row],[CANT. TOTAL]]&lt;=TablaSTOCKINV[[#This Row],[MIN]],2,TablaSTOCKINV[[#This Row],[CANT. TOTAL]]&gt;TablaSTOCKINV[[#This Row],[MIN]],3)</f>
        <v>3</v>
      </c>
      <c r="N1260" s="34">
        <f>TablaSTOCKINV[[#This Row],[ENTRADAS]]-TablaSTOCKINV[[#This Row],[SALIDAS]]</f>
        <v>46</v>
      </c>
      <c r="O1260" s="35">
        <f>SUMIFS(TablaENTRADA[CANT],TablaENTRADA[SKU],TablaSTOCKINV[[#This Row],[SKU]])</f>
        <v>46</v>
      </c>
      <c r="P1260" s="35">
        <f>SUMIFS(TablaSALIDA[CANT],TablaSALIDA[SKU],TablaSTOCKINV[[#This Row],[SKU]])</f>
        <v>0</v>
      </c>
      <c r="Q1260" s="34">
        <f>_xlfn.XLOOKUP(TablaSTOCKINV[[#This Row],[SKU]],TablaINVENTARIO[SKU],TablaINVENTARIO[PRECIO])</f>
        <v>0</v>
      </c>
      <c r="R1260" s="34">
        <f>TablaSTOCKINV[[#This Row],[P.UNITARIO]]*TablaSTOCKINV[[#This Row],[CANT. TOTAL]]</f>
        <v>0</v>
      </c>
      <c r="S1260" s="44">
        <f>_xlfn.XLOOKUP(TablaSTOCKINV[[#This Row],[SKU]],TablaINVENTARIO[SKU],TablaINVENTARIO[FECHA INGRESO])</f>
        <v>46023</v>
      </c>
      <c r="T1260" s="44">
        <f>_xlfn.XLOOKUP(TablaSTOCKINV[[#This Row],[SKU]],TablaENTRADA[SKU],TablaENTRADA[FECHA],,0,-1)</f>
        <v>46023</v>
      </c>
      <c r="U1260" s="46" t="str">
        <f>IFERROR((_xlfn.XLOOKUP(TablaSTOCKINV[[#This Row],[SKU]],TablaSALIDA[SKU],TablaSALIDA[FECHA],,0,-1))," " )</f>
        <v xml:space="preserve"> </v>
      </c>
    </row>
    <row r="1261" spans="1:21" x14ac:dyDescent="0.3">
      <c r="A1261" s="27" t="s">
        <v>342</v>
      </c>
      <c r="B1261" s="32" t="str">
        <f>_xlfn.XLOOKUP(TablaSTOCKINV[[#This Row],[SKU]],TablaINVENTARIO[SKU],TablaINVENTARIO[DESCRIPCION])</f>
        <v xml:space="preserve">BRAGA IMPERMEABLE PARA PINTAR </v>
      </c>
      <c r="C1261" s="32" t="str">
        <f>_xlfn.XLOOKUP(TablaSTOCKINV[[#This Row],[SKU]],TablaINVENTARIO[SKU],TablaINVENTARIO[MARCA])</f>
        <v xml:space="preserve">SAFE WORK </v>
      </c>
      <c r="D1261" s="33" t="str">
        <f>_xlfn.XLOOKUP(TablaSTOCKINV[[#This Row],[SKU]],TablaINVENTARIO[SKU],TablaINVENTARIO[CATEGORIA])</f>
        <v>EPP</v>
      </c>
      <c r="E1261" s="33" t="str">
        <f>_xlfn.XLOOKUP(TablaSTOCKINV[[#This Row],[SKU]],TablaINVENTARIO[SKU],TablaINVENTARIO[SUBCATEGORIA])</f>
        <v xml:space="preserve">PROTECCION CORPORAL </v>
      </c>
      <c r="F1261" s="33" t="str">
        <f>_xlfn.XLOOKUP(TablaSTOCKINV[[#This Row],[SKU]],TablaINVENTARIO[SKU],TablaINVENTARIO[ESTADO])</f>
        <v>NUEVO</v>
      </c>
      <c r="G1261" s="33" t="str">
        <f>_xlfn.XLOOKUP(TablaSTOCKINV[[#This Row],[SKU]],TablaINVENTARIO[SKU],TablaINVENTARIO[MEDIDA])</f>
        <v xml:space="preserve">UND </v>
      </c>
      <c r="H1261" s="33" t="str">
        <f>_xlfn.XLOOKUP(TablaSTOCKINV[[#This Row],[SKU]],TablaINVENTARIO[SKU],TablaINVENTARIO[SERIAL])</f>
        <v>N/A</v>
      </c>
      <c r="I1261" s="34">
        <f>_xlfn.XLOOKUP(TablaSTOCKINV[[#This Row],[SKU]],TablaINVENTARIO[SKU],TablaINVENTARIO[ALMACEN])</f>
        <v>0</v>
      </c>
      <c r="J1261" s="34" t="str">
        <f>_xlfn.XLOOKUP(TablaSTOCKINV[[#This Row],[SKU]],TablaINVENTARIO[SKU],TablaINVENTARIO[UBICACION])</f>
        <v xml:space="preserve">CUARTO DE ALMACENAMIENTO </v>
      </c>
      <c r="K1261" s="34" t="str">
        <f>_xlfn.XLOOKUP(TablaSTOCKINV[[#This Row],[SKU]],TablaINVENTARIO[SKU],TablaINVENTARIO[DPTO RESPONSABLE])</f>
        <v xml:space="preserve">CONSUMO GENERAL </v>
      </c>
      <c r="L1261" s="53">
        <f>_xlfn.XLOOKUP(TablaSTOCKINV[[#This Row],[SKU]],TablaINVENTARIO[SKU],TablaINVENTARIO[RANGO MIN])</f>
        <v>0</v>
      </c>
      <c r="M1261" s="34" cm="1">
        <f t="array" ref="M1261">_xlfn.IFS(TablaSTOCKINV[[#This Row],[CANT. TOTAL]]&lt;=0,1,TablaSTOCKINV[[#This Row],[CANT. TOTAL]]&lt;=TablaSTOCKINV[[#This Row],[MIN]],2,TablaSTOCKINV[[#This Row],[CANT. TOTAL]]&gt;TablaSTOCKINV[[#This Row],[MIN]],3)</f>
        <v>3</v>
      </c>
      <c r="N1261" s="34">
        <f>TablaSTOCKINV[[#This Row],[ENTRADAS]]-TablaSTOCKINV[[#This Row],[SALIDAS]]</f>
        <v>8</v>
      </c>
      <c r="O1261" s="35">
        <f>SUMIFS(TablaENTRADA[CANT],TablaENTRADA[SKU],TablaSTOCKINV[[#This Row],[SKU]])</f>
        <v>8</v>
      </c>
      <c r="P1261" s="35">
        <f>SUMIFS(TablaSALIDA[CANT],TablaSALIDA[SKU],TablaSTOCKINV[[#This Row],[SKU]])</f>
        <v>0</v>
      </c>
      <c r="Q1261" s="34">
        <f>_xlfn.XLOOKUP(TablaSTOCKINV[[#This Row],[SKU]],TablaINVENTARIO[SKU],TablaINVENTARIO[PRECIO])</f>
        <v>0</v>
      </c>
      <c r="R1261" s="34">
        <f>TablaSTOCKINV[[#This Row],[P.UNITARIO]]*TablaSTOCKINV[[#This Row],[CANT. TOTAL]]</f>
        <v>0</v>
      </c>
      <c r="S1261" s="44">
        <f>_xlfn.XLOOKUP(TablaSTOCKINV[[#This Row],[SKU]],TablaINVENTARIO[SKU],TablaINVENTARIO[FECHA INGRESO])</f>
        <v>46023</v>
      </c>
      <c r="T1261" s="44">
        <f>_xlfn.XLOOKUP(TablaSTOCKINV[[#This Row],[SKU]],TablaENTRADA[SKU],TablaENTRADA[FECHA],,0,-1)</f>
        <v>46023</v>
      </c>
      <c r="U1261" s="46" t="str">
        <f>IFERROR((_xlfn.XLOOKUP(TablaSTOCKINV[[#This Row],[SKU]],TablaSALIDA[SKU],TablaSALIDA[FECHA],,0,-1))," " )</f>
        <v xml:space="preserve"> </v>
      </c>
    </row>
    <row r="1262" spans="1:21" x14ac:dyDescent="0.3">
      <c r="A1262" s="27" t="s">
        <v>345</v>
      </c>
      <c r="B1262" s="32" t="str">
        <f>_xlfn.XLOOKUP(TablaSTOCKINV[[#This Row],[SKU]],TablaINVENTARIO[SKU],TablaINVENTARIO[DESCRIPCION])</f>
        <v xml:space="preserve">MACARILLA MEDIA CARA MODELO: 6200 </v>
      </c>
      <c r="C1262" s="32" t="str">
        <f>_xlfn.XLOOKUP(TablaSTOCKINV[[#This Row],[SKU]],TablaINVENTARIO[SKU],TablaINVENTARIO[MARCA])</f>
        <v xml:space="preserve">3M </v>
      </c>
      <c r="D1262" s="33" t="str">
        <f>_xlfn.XLOOKUP(TablaSTOCKINV[[#This Row],[SKU]],TablaINVENTARIO[SKU],TablaINVENTARIO[CATEGORIA])</f>
        <v>EPP</v>
      </c>
      <c r="E1262" s="33" t="str">
        <f>_xlfn.XLOOKUP(TablaSTOCKINV[[#This Row],[SKU]],TablaINVENTARIO[SKU],TablaINVENTARIO[SUBCATEGORIA])</f>
        <v>PROTECCIÓN FACIAL</v>
      </c>
      <c r="F1262" s="33" t="str">
        <f>_xlfn.XLOOKUP(TablaSTOCKINV[[#This Row],[SKU]],TablaINVENTARIO[SKU],TablaINVENTARIO[ESTADO])</f>
        <v>NUEVO</v>
      </c>
      <c r="G1262" s="33" t="str">
        <f>_xlfn.XLOOKUP(TablaSTOCKINV[[#This Row],[SKU]],TablaINVENTARIO[SKU],TablaINVENTARIO[MEDIDA])</f>
        <v xml:space="preserve">UND </v>
      </c>
      <c r="H1262" s="33" t="str">
        <f>_xlfn.XLOOKUP(TablaSTOCKINV[[#This Row],[SKU]],TablaINVENTARIO[SKU],TablaINVENTARIO[SERIAL])</f>
        <v>N/A</v>
      </c>
      <c r="I1262" s="34">
        <f>_xlfn.XLOOKUP(TablaSTOCKINV[[#This Row],[SKU]],TablaINVENTARIO[SKU],TablaINVENTARIO[ALMACEN])</f>
        <v>0</v>
      </c>
      <c r="J1262" s="34" t="str">
        <f>_xlfn.XLOOKUP(TablaSTOCKINV[[#This Row],[SKU]],TablaINVENTARIO[SKU],TablaINVENTARIO[UBICACION])</f>
        <v>G2</v>
      </c>
      <c r="K1262" s="34" t="str">
        <f>_xlfn.XLOOKUP(TablaSTOCKINV[[#This Row],[SKU]],TablaINVENTARIO[SKU],TablaINVENTARIO[DPTO RESPONSABLE])</f>
        <v xml:space="preserve">OPERACIONES </v>
      </c>
      <c r="L1262" s="53">
        <f>_xlfn.XLOOKUP(TablaSTOCKINV[[#This Row],[SKU]],TablaINVENTARIO[SKU],TablaINVENTARIO[RANGO MIN])</f>
        <v>0</v>
      </c>
      <c r="M1262" s="34" cm="1">
        <f t="array" ref="M1262">_xlfn.IFS(TablaSTOCKINV[[#This Row],[CANT. TOTAL]]&lt;=0,1,TablaSTOCKINV[[#This Row],[CANT. TOTAL]]&lt;=TablaSTOCKINV[[#This Row],[MIN]],2,TablaSTOCKINV[[#This Row],[CANT. TOTAL]]&gt;TablaSTOCKINV[[#This Row],[MIN]],3)</f>
        <v>3</v>
      </c>
      <c r="N1262" s="34">
        <f>TablaSTOCKINV[[#This Row],[ENTRADAS]]-TablaSTOCKINV[[#This Row],[SALIDAS]]</f>
        <v>5</v>
      </c>
      <c r="O1262" s="35">
        <f>SUMIFS(TablaENTRADA[CANT],TablaENTRADA[SKU],TablaSTOCKINV[[#This Row],[SKU]])</f>
        <v>5</v>
      </c>
      <c r="P1262" s="35">
        <f>SUMIFS(TablaSALIDA[CANT],TablaSALIDA[SKU],TablaSTOCKINV[[#This Row],[SKU]])</f>
        <v>0</v>
      </c>
      <c r="Q1262" s="34">
        <f>_xlfn.XLOOKUP(TablaSTOCKINV[[#This Row],[SKU]],TablaINVENTARIO[SKU],TablaINVENTARIO[PRECIO])</f>
        <v>0</v>
      </c>
      <c r="R1262" s="34">
        <f>TablaSTOCKINV[[#This Row],[P.UNITARIO]]*TablaSTOCKINV[[#This Row],[CANT. TOTAL]]</f>
        <v>0</v>
      </c>
      <c r="S1262" s="44">
        <f>_xlfn.XLOOKUP(TablaSTOCKINV[[#This Row],[SKU]],TablaINVENTARIO[SKU],TablaINVENTARIO[FECHA INGRESO])</f>
        <v>46023</v>
      </c>
      <c r="T1262" s="44">
        <f>_xlfn.XLOOKUP(TablaSTOCKINV[[#This Row],[SKU]],TablaENTRADA[SKU],TablaENTRADA[FECHA],,0,-1)</f>
        <v>46023</v>
      </c>
      <c r="U1262" s="46" t="str">
        <f>IFERROR((_xlfn.XLOOKUP(TablaSTOCKINV[[#This Row],[SKU]],TablaSALIDA[SKU],TablaSALIDA[FECHA],,0,-1))," " )</f>
        <v xml:space="preserve"> </v>
      </c>
    </row>
    <row r="1263" spans="1:21" x14ac:dyDescent="0.3">
      <c r="A1263" s="27" t="s">
        <v>349</v>
      </c>
      <c r="B1263" s="32" t="str">
        <f>_xlfn.XLOOKUP(TablaSTOCKINV[[#This Row],[SKU]],TablaINVENTARIO[SKU],TablaINVENTARIO[DESCRIPCION])</f>
        <v xml:space="preserve">CARTUCHO PARA VAPORES ORGANICOS Y GASES ACIDOS MODELO: 6003 </v>
      </c>
      <c r="C1263" s="32" t="str">
        <f>_xlfn.XLOOKUP(TablaSTOCKINV[[#This Row],[SKU]],TablaINVENTARIO[SKU],TablaINVENTARIO[MARCA])</f>
        <v xml:space="preserve">3M </v>
      </c>
      <c r="D1263" s="33" t="str">
        <f>_xlfn.XLOOKUP(TablaSTOCKINV[[#This Row],[SKU]],TablaINVENTARIO[SKU],TablaINVENTARIO[CATEGORIA])</f>
        <v>EPP</v>
      </c>
      <c r="E1263" s="33" t="str">
        <f>_xlfn.XLOOKUP(TablaSTOCKINV[[#This Row],[SKU]],TablaINVENTARIO[SKU],TablaINVENTARIO[SUBCATEGORIA])</f>
        <v>PROTECCIÓN FACIAL</v>
      </c>
      <c r="F1263" s="33" t="str">
        <f>_xlfn.XLOOKUP(TablaSTOCKINV[[#This Row],[SKU]],TablaINVENTARIO[SKU],TablaINVENTARIO[ESTADO])</f>
        <v>NUEVO</v>
      </c>
      <c r="G1263" s="33" t="str">
        <f>_xlfn.XLOOKUP(TablaSTOCKINV[[#This Row],[SKU]],TablaINVENTARIO[SKU],TablaINVENTARIO[MEDIDA])</f>
        <v>PAR</v>
      </c>
      <c r="H1263" s="33" t="str">
        <f>_xlfn.XLOOKUP(TablaSTOCKINV[[#This Row],[SKU]],TablaINVENTARIO[SKU],TablaINVENTARIO[SERIAL])</f>
        <v>N/A</v>
      </c>
      <c r="I1263" s="34">
        <f>_xlfn.XLOOKUP(TablaSTOCKINV[[#This Row],[SKU]],TablaINVENTARIO[SKU],TablaINVENTARIO[ALMACEN])</f>
        <v>0</v>
      </c>
      <c r="J1263" s="34" t="str">
        <f>_xlfn.XLOOKUP(TablaSTOCKINV[[#This Row],[SKU]],TablaINVENTARIO[SKU],TablaINVENTARIO[UBICACION])</f>
        <v>G2</v>
      </c>
      <c r="K1263" s="34" t="str">
        <f>_xlfn.XLOOKUP(TablaSTOCKINV[[#This Row],[SKU]],TablaINVENTARIO[SKU],TablaINVENTARIO[DPTO RESPONSABLE])</f>
        <v xml:space="preserve">OPERACIONES / MANTENIMIENTO </v>
      </c>
      <c r="L1263" s="53">
        <f>_xlfn.XLOOKUP(TablaSTOCKINV[[#This Row],[SKU]],TablaINVENTARIO[SKU],TablaINVENTARIO[RANGO MIN])</f>
        <v>0</v>
      </c>
      <c r="M1263" s="34" cm="1">
        <f t="array" ref="M1263">_xlfn.IFS(TablaSTOCKINV[[#This Row],[CANT. TOTAL]]&lt;=0,1,TablaSTOCKINV[[#This Row],[CANT. TOTAL]]&lt;=TablaSTOCKINV[[#This Row],[MIN]],2,TablaSTOCKINV[[#This Row],[CANT. TOTAL]]&gt;TablaSTOCKINV[[#This Row],[MIN]],3)</f>
        <v>3</v>
      </c>
      <c r="N1263" s="34">
        <f>TablaSTOCKINV[[#This Row],[ENTRADAS]]-TablaSTOCKINV[[#This Row],[SALIDAS]]</f>
        <v>16</v>
      </c>
      <c r="O1263" s="35">
        <f>SUMIFS(TablaENTRADA[CANT],TablaENTRADA[SKU],TablaSTOCKINV[[#This Row],[SKU]])</f>
        <v>16</v>
      </c>
      <c r="P1263" s="35">
        <f>SUMIFS(TablaSALIDA[CANT],TablaSALIDA[SKU],TablaSTOCKINV[[#This Row],[SKU]])</f>
        <v>0</v>
      </c>
      <c r="Q1263" s="34">
        <f>_xlfn.XLOOKUP(TablaSTOCKINV[[#This Row],[SKU]],TablaINVENTARIO[SKU],TablaINVENTARIO[PRECIO])</f>
        <v>0</v>
      </c>
      <c r="R1263" s="34">
        <f>TablaSTOCKINV[[#This Row],[P.UNITARIO]]*TablaSTOCKINV[[#This Row],[CANT. TOTAL]]</f>
        <v>0</v>
      </c>
      <c r="S1263" s="44">
        <f>_xlfn.XLOOKUP(TablaSTOCKINV[[#This Row],[SKU]],TablaINVENTARIO[SKU],TablaINVENTARIO[FECHA INGRESO])</f>
        <v>46023</v>
      </c>
      <c r="T1263" s="44">
        <f>_xlfn.XLOOKUP(TablaSTOCKINV[[#This Row],[SKU]],TablaENTRADA[SKU],TablaENTRADA[FECHA],,0,-1)</f>
        <v>46023</v>
      </c>
      <c r="U1263" s="46" t="str">
        <f>IFERROR((_xlfn.XLOOKUP(TablaSTOCKINV[[#This Row],[SKU]],TablaSALIDA[SKU],TablaSALIDA[FECHA],,0,-1))," " )</f>
        <v xml:space="preserve"> </v>
      </c>
    </row>
    <row r="1264" spans="1:21" x14ac:dyDescent="0.3">
      <c r="A1264" s="27" t="s">
        <v>351</v>
      </c>
      <c r="B1264" s="32" t="str">
        <f>_xlfn.XLOOKUP(TablaSTOCKINV[[#This Row],[SKU]],TablaINVENTARIO[SKU],TablaINVENTARIO[DESCRIPCION])</f>
        <v xml:space="preserve">LENTES DE SEGURIDAD TIPO AVISPA CLAROS </v>
      </c>
      <c r="C1264" s="32" t="str">
        <f>_xlfn.XLOOKUP(TablaSTOCKINV[[#This Row],[SKU]],TablaINVENTARIO[SKU],TablaINVENTARIO[MARCA])</f>
        <v>N/A</v>
      </c>
      <c r="D1264" s="33" t="str">
        <f>_xlfn.XLOOKUP(TablaSTOCKINV[[#This Row],[SKU]],TablaINVENTARIO[SKU],TablaINVENTARIO[CATEGORIA])</f>
        <v>EPP</v>
      </c>
      <c r="E1264" s="33" t="str">
        <f>_xlfn.XLOOKUP(TablaSTOCKINV[[#This Row],[SKU]],TablaINVENTARIO[SKU],TablaINVENTARIO[SUBCATEGORIA])</f>
        <v>PROTECCIÓN VISUAL</v>
      </c>
      <c r="F1264" s="33" t="str">
        <f>_xlfn.XLOOKUP(TablaSTOCKINV[[#This Row],[SKU]],TablaINVENTARIO[SKU],TablaINVENTARIO[ESTADO])</f>
        <v>NUEVO</v>
      </c>
      <c r="G1264" s="33" t="str">
        <f>_xlfn.XLOOKUP(TablaSTOCKINV[[#This Row],[SKU]],TablaINVENTARIO[SKU],TablaINVENTARIO[MEDIDA])</f>
        <v>PAR</v>
      </c>
      <c r="H1264" s="33" t="str">
        <f>_xlfn.XLOOKUP(TablaSTOCKINV[[#This Row],[SKU]],TablaINVENTARIO[SKU],TablaINVENTARIO[SERIAL])</f>
        <v>N/A</v>
      </c>
      <c r="I1264" s="34">
        <f>_xlfn.XLOOKUP(TablaSTOCKINV[[#This Row],[SKU]],TablaINVENTARIO[SKU],TablaINVENTARIO[ALMACEN])</f>
        <v>0</v>
      </c>
      <c r="J1264" s="34" t="str">
        <f>_xlfn.XLOOKUP(TablaSTOCKINV[[#This Row],[SKU]],TablaINVENTARIO[SKU],TablaINVENTARIO[UBICACION])</f>
        <v>G2</v>
      </c>
      <c r="K1264" s="34" t="str">
        <f>_xlfn.XLOOKUP(TablaSTOCKINV[[#This Row],[SKU]],TablaINVENTARIO[SKU],TablaINVENTARIO[DPTO RESPONSABLE])</f>
        <v>OPERACIONES</v>
      </c>
      <c r="L1264" s="53">
        <f>_xlfn.XLOOKUP(TablaSTOCKINV[[#This Row],[SKU]],TablaINVENTARIO[SKU],TablaINVENTARIO[RANGO MIN])</f>
        <v>0</v>
      </c>
      <c r="M1264" s="34" cm="1">
        <f t="array" ref="M1264">_xlfn.IFS(TablaSTOCKINV[[#This Row],[CANT. TOTAL]]&lt;=0,1,TablaSTOCKINV[[#This Row],[CANT. TOTAL]]&lt;=TablaSTOCKINV[[#This Row],[MIN]],2,TablaSTOCKINV[[#This Row],[CANT. TOTAL]]&gt;TablaSTOCKINV[[#This Row],[MIN]],3)</f>
        <v>3</v>
      </c>
      <c r="N1264" s="34">
        <f>TablaSTOCKINV[[#This Row],[ENTRADAS]]-TablaSTOCKINV[[#This Row],[SALIDAS]]</f>
        <v>12</v>
      </c>
      <c r="O1264" s="35">
        <f>SUMIFS(TablaENTRADA[CANT],TablaENTRADA[SKU],TablaSTOCKINV[[#This Row],[SKU]])</f>
        <v>12</v>
      </c>
      <c r="P1264" s="35">
        <f>SUMIFS(TablaSALIDA[CANT],TablaSALIDA[SKU],TablaSTOCKINV[[#This Row],[SKU]])</f>
        <v>0</v>
      </c>
      <c r="Q1264" s="34">
        <f>_xlfn.XLOOKUP(TablaSTOCKINV[[#This Row],[SKU]],TablaINVENTARIO[SKU],TablaINVENTARIO[PRECIO])</f>
        <v>0</v>
      </c>
      <c r="R1264" s="34">
        <f>TablaSTOCKINV[[#This Row],[P.UNITARIO]]*TablaSTOCKINV[[#This Row],[CANT. TOTAL]]</f>
        <v>0</v>
      </c>
      <c r="S1264" s="44">
        <f>_xlfn.XLOOKUP(TablaSTOCKINV[[#This Row],[SKU]],TablaINVENTARIO[SKU],TablaINVENTARIO[FECHA INGRESO])</f>
        <v>46023</v>
      </c>
      <c r="T1264" s="44">
        <f>_xlfn.XLOOKUP(TablaSTOCKINV[[#This Row],[SKU]],TablaENTRADA[SKU],TablaENTRADA[FECHA],,0,-1)</f>
        <v>46023</v>
      </c>
      <c r="U1264" s="46" t="str">
        <f>IFERROR((_xlfn.XLOOKUP(TablaSTOCKINV[[#This Row],[SKU]],TablaSALIDA[SKU],TablaSALIDA[FECHA],,0,-1))," " )</f>
        <v xml:space="preserve"> </v>
      </c>
    </row>
    <row r="1265" spans="1:21" x14ac:dyDescent="0.3">
      <c r="A1265" s="27" t="s">
        <v>354</v>
      </c>
      <c r="B1265" s="32" t="str">
        <f>_xlfn.XLOOKUP(TablaSTOCKINV[[#This Row],[SKU]],TablaINVENTARIO[SKU],TablaINVENTARIO[DESCRIPCION])</f>
        <v>LENTES DE SEGURIDAD TIPO AVISPA OSCUROS</v>
      </c>
      <c r="C1265" s="32" t="str">
        <f>_xlfn.XLOOKUP(TablaSTOCKINV[[#This Row],[SKU]],TablaINVENTARIO[SKU],TablaINVENTARIO[MARCA])</f>
        <v>N/A</v>
      </c>
      <c r="D1265" s="33" t="str">
        <f>_xlfn.XLOOKUP(TablaSTOCKINV[[#This Row],[SKU]],TablaINVENTARIO[SKU],TablaINVENTARIO[CATEGORIA])</f>
        <v>EPP</v>
      </c>
      <c r="E1265" s="33" t="str">
        <f>_xlfn.XLOOKUP(TablaSTOCKINV[[#This Row],[SKU]],TablaINVENTARIO[SKU],TablaINVENTARIO[SUBCATEGORIA])</f>
        <v>PROTECCIÓN VISUAL</v>
      </c>
      <c r="F1265" s="33" t="str">
        <f>_xlfn.XLOOKUP(TablaSTOCKINV[[#This Row],[SKU]],TablaINVENTARIO[SKU],TablaINVENTARIO[ESTADO])</f>
        <v>NUEVO</v>
      </c>
      <c r="G1265" s="33" t="str">
        <f>_xlfn.XLOOKUP(TablaSTOCKINV[[#This Row],[SKU]],TablaINVENTARIO[SKU],TablaINVENTARIO[MEDIDA])</f>
        <v>PAR</v>
      </c>
      <c r="H1265" s="33" t="str">
        <f>_xlfn.XLOOKUP(TablaSTOCKINV[[#This Row],[SKU]],TablaINVENTARIO[SKU],TablaINVENTARIO[SERIAL])</f>
        <v>N/A</v>
      </c>
      <c r="I1265" s="34">
        <f>_xlfn.XLOOKUP(TablaSTOCKINV[[#This Row],[SKU]],TablaINVENTARIO[SKU],TablaINVENTARIO[ALMACEN])</f>
        <v>0</v>
      </c>
      <c r="J1265" s="34" t="str">
        <f>_xlfn.XLOOKUP(TablaSTOCKINV[[#This Row],[SKU]],TablaINVENTARIO[SKU],TablaINVENTARIO[UBICACION])</f>
        <v>G2</v>
      </c>
      <c r="K1265" s="34" t="str">
        <f>_xlfn.XLOOKUP(TablaSTOCKINV[[#This Row],[SKU]],TablaINVENTARIO[SKU],TablaINVENTARIO[DPTO RESPONSABLE])</f>
        <v>OPERACIONES</v>
      </c>
      <c r="L1265" s="53">
        <f>_xlfn.XLOOKUP(TablaSTOCKINV[[#This Row],[SKU]],TablaINVENTARIO[SKU],TablaINVENTARIO[RANGO MIN])</f>
        <v>0</v>
      </c>
      <c r="M1265" s="34" cm="1">
        <f t="array" ref="M1265">_xlfn.IFS(TablaSTOCKINV[[#This Row],[CANT. TOTAL]]&lt;=0,1,TablaSTOCKINV[[#This Row],[CANT. TOTAL]]&lt;=TablaSTOCKINV[[#This Row],[MIN]],2,TablaSTOCKINV[[#This Row],[CANT. TOTAL]]&gt;TablaSTOCKINV[[#This Row],[MIN]],3)</f>
        <v>3</v>
      </c>
      <c r="N1265" s="34">
        <f>TablaSTOCKINV[[#This Row],[ENTRADAS]]-TablaSTOCKINV[[#This Row],[SALIDAS]]</f>
        <v>24</v>
      </c>
      <c r="O1265" s="35">
        <f>SUMIFS(TablaENTRADA[CANT],TablaENTRADA[SKU],TablaSTOCKINV[[#This Row],[SKU]])</f>
        <v>24</v>
      </c>
      <c r="P1265" s="35">
        <f>SUMIFS(TablaSALIDA[CANT],TablaSALIDA[SKU],TablaSTOCKINV[[#This Row],[SKU]])</f>
        <v>0</v>
      </c>
      <c r="Q1265" s="34">
        <f>_xlfn.XLOOKUP(TablaSTOCKINV[[#This Row],[SKU]],TablaINVENTARIO[SKU],TablaINVENTARIO[PRECIO])</f>
        <v>0</v>
      </c>
      <c r="R1265" s="34">
        <f>TablaSTOCKINV[[#This Row],[P.UNITARIO]]*TablaSTOCKINV[[#This Row],[CANT. TOTAL]]</f>
        <v>0</v>
      </c>
      <c r="S1265" s="44">
        <f>_xlfn.XLOOKUP(TablaSTOCKINV[[#This Row],[SKU]],TablaINVENTARIO[SKU],TablaINVENTARIO[FECHA INGRESO])</f>
        <v>46023</v>
      </c>
      <c r="T1265" s="44">
        <f>_xlfn.XLOOKUP(TablaSTOCKINV[[#This Row],[SKU]],TablaENTRADA[SKU],TablaENTRADA[FECHA],,0,-1)</f>
        <v>46023</v>
      </c>
      <c r="U1265" s="46" t="str">
        <f>IFERROR((_xlfn.XLOOKUP(TablaSTOCKINV[[#This Row],[SKU]],TablaSALIDA[SKU],TablaSALIDA[FECHA],,0,-1))," " )</f>
        <v xml:space="preserve"> </v>
      </c>
    </row>
    <row r="1266" spans="1:21" x14ac:dyDescent="0.3">
      <c r="A1266" s="27" t="s">
        <v>356</v>
      </c>
      <c r="B1266" s="32" t="str">
        <f>_xlfn.XLOOKUP(TablaSTOCKINV[[#This Row],[SKU]],TablaINVENTARIO[SKU],TablaINVENTARIO[DESCRIPCION])</f>
        <v>FILTRO 5N11</v>
      </c>
      <c r="C1266" s="32" t="str">
        <f>_xlfn.XLOOKUP(TablaSTOCKINV[[#This Row],[SKU]],TablaINVENTARIO[SKU],TablaINVENTARIO[MARCA])</f>
        <v xml:space="preserve">3M </v>
      </c>
      <c r="D1266" s="33" t="str">
        <f>_xlfn.XLOOKUP(TablaSTOCKINV[[#This Row],[SKU]],TablaINVENTARIO[SKU],TablaINVENTARIO[CATEGORIA])</f>
        <v>EPP</v>
      </c>
      <c r="E1266" s="33" t="str">
        <f>_xlfn.XLOOKUP(TablaSTOCKINV[[#This Row],[SKU]],TablaINVENTARIO[SKU],TablaINVENTARIO[SUBCATEGORIA])</f>
        <v>PROTECCIÓN FACIAL</v>
      </c>
      <c r="F1266" s="33" t="str">
        <f>_xlfn.XLOOKUP(TablaSTOCKINV[[#This Row],[SKU]],TablaINVENTARIO[SKU],TablaINVENTARIO[ESTADO])</f>
        <v>NUEVO</v>
      </c>
      <c r="G1266" s="33" t="str">
        <f>_xlfn.XLOOKUP(TablaSTOCKINV[[#This Row],[SKU]],TablaINVENTARIO[SKU],TablaINVENTARIO[MEDIDA])</f>
        <v xml:space="preserve">UND </v>
      </c>
      <c r="H1266" s="33" t="str">
        <f>_xlfn.XLOOKUP(TablaSTOCKINV[[#This Row],[SKU]],TablaINVENTARIO[SKU],TablaINVENTARIO[SERIAL])</f>
        <v>N/A</v>
      </c>
      <c r="I1266" s="34">
        <f>_xlfn.XLOOKUP(TablaSTOCKINV[[#This Row],[SKU]],TablaINVENTARIO[SKU],TablaINVENTARIO[ALMACEN])</f>
        <v>0</v>
      </c>
      <c r="J1266" s="34" t="str">
        <f>_xlfn.XLOOKUP(TablaSTOCKINV[[#This Row],[SKU]],TablaINVENTARIO[SKU],TablaINVENTARIO[UBICACION])</f>
        <v>G2</v>
      </c>
      <c r="K1266" s="34" t="str">
        <f>_xlfn.XLOOKUP(TablaSTOCKINV[[#This Row],[SKU]],TablaINVENTARIO[SKU],TablaINVENTARIO[DPTO RESPONSABLE])</f>
        <v xml:space="preserve">OPERACIONES </v>
      </c>
      <c r="L1266" s="53">
        <f>_xlfn.XLOOKUP(TablaSTOCKINV[[#This Row],[SKU]],TablaINVENTARIO[SKU],TablaINVENTARIO[RANGO MIN])</f>
        <v>0</v>
      </c>
      <c r="M1266" s="34" cm="1">
        <f t="array" ref="M1266">_xlfn.IFS(TablaSTOCKINV[[#This Row],[CANT. TOTAL]]&lt;=0,1,TablaSTOCKINV[[#This Row],[CANT. TOTAL]]&lt;=TablaSTOCKINV[[#This Row],[MIN]],2,TablaSTOCKINV[[#This Row],[CANT. TOTAL]]&gt;TablaSTOCKINV[[#This Row],[MIN]],3)</f>
        <v>3</v>
      </c>
      <c r="N1266" s="34">
        <f>TablaSTOCKINV[[#This Row],[ENTRADAS]]-TablaSTOCKINV[[#This Row],[SALIDAS]]</f>
        <v>70</v>
      </c>
      <c r="O1266" s="35">
        <f>SUMIFS(TablaENTRADA[CANT],TablaENTRADA[SKU],TablaSTOCKINV[[#This Row],[SKU]])</f>
        <v>70</v>
      </c>
      <c r="P1266" s="35">
        <f>SUMIFS(TablaSALIDA[CANT],TablaSALIDA[SKU],TablaSTOCKINV[[#This Row],[SKU]])</f>
        <v>0</v>
      </c>
      <c r="Q1266" s="34">
        <f>_xlfn.XLOOKUP(TablaSTOCKINV[[#This Row],[SKU]],TablaINVENTARIO[SKU],TablaINVENTARIO[PRECIO])</f>
        <v>0</v>
      </c>
      <c r="R1266" s="34">
        <f>TablaSTOCKINV[[#This Row],[P.UNITARIO]]*TablaSTOCKINV[[#This Row],[CANT. TOTAL]]</f>
        <v>0</v>
      </c>
      <c r="S1266" s="44">
        <f>_xlfn.XLOOKUP(TablaSTOCKINV[[#This Row],[SKU]],TablaINVENTARIO[SKU],TablaINVENTARIO[FECHA INGRESO])</f>
        <v>46023</v>
      </c>
      <c r="T1266" s="44">
        <f>_xlfn.XLOOKUP(TablaSTOCKINV[[#This Row],[SKU]],TablaENTRADA[SKU],TablaENTRADA[FECHA],,0,-1)</f>
        <v>46023</v>
      </c>
      <c r="U1266" s="46" t="str">
        <f>IFERROR((_xlfn.XLOOKUP(TablaSTOCKINV[[#This Row],[SKU]],TablaSALIDA[SKU],TablaSALIDA[FECHA],,0,-1))," " )</f>
        <v xml:space="preserve"> </v>
      </c>
    </row>
    <row r="1267" spans="1:21" x14ac:dyDescent="0.3">
      <c r="A1267" s="27" t="s">
        <v>358</v>
      </c>
      <c r="B1267" s="32" t="str">
        <f>_xlfn.XLOOKUP(TablaSTOCKINV[[#This Row],[SKU]],TablaINVENTARIO[SKU],TablaINVENTARIO[DESCRIPCION])</f>
        <v>RETENEDOR 0086</v>
      </c>
      <c r="C1267" s="32" t="str">
        <f>_xlfn.XLOOKUP(TablaSTOCKINV[[#This Row],[SKU]],TablaINVENTARIO[SKU],TablaINVENTARIO[MARCA])</f>
        <v xml:space="preserve">3M </v>
      </c>
      <c r="D1267" s="33" t="str">
        <f>_xlfn.XLOOKUP(TablaSTOCKINV[[#This Row],[SKU]],TablaINVENTARIO[SKU],TablaINVENTARIO[CATEGORIA])</f>
        <v>EPP</v>
      </c>
      <c r="E1267" s="33" t="str">
        <f>_xlfn.XLOOKUP(TablaSTOCKINV[[#This Row],[SKU]],TablaINVENTARIO[SKU],TablaINVENTARIO[SUBCATEGORIA])</f>
        <v>PROTECCIÓN FACIAL</v>
      </c>
      <c r="F1267" s="33" t="str">
        <f>_xlfn.XLOOKUP(TablaSTOCKINV[[#This Row],[SKU]],TablaINVENTARIO[SKU],TablaINVENTARIO[ESTADO])</f>
        <v>NUEVO</v>
      </c>
      <c r="G1267" s="33" t="str">
        <f>_xlfn.XLOOKUP(TablaSTOCKINV[[#This Row],[SKU]],TablaINVENTARIO[SKU],TablaINVENTARIO[MEDIDA])</f>
        <v xml:space="preserve">UND </v>
      </c>
      <c r="H1267" s="33" t="str">
        <f>_xlfn.XLOOKUP(TablaSTOCKINV[[#This Row],[SKU]],TablaINVENTARIO[SKU],TablaINVENTARIO[SERIAL])</f>
        <v>N/A</v>
      </c>
      <c r="I1267" s="34">
        <f>_xlfn.XLOOKUP(TablaSTOCKINV[[#This Row],[SKU]],TablaINVENTARIO[SKU],TablaINVENTARIO[ALMACEN])</f>
        <v>0</v>
      </c>
      <c r="J1267" s="34" t="str">
        <f>_xlfn.XLOOKUP(TablaSTOCKINV[[#This Row],[SKU]],TablaINVENTARIO[SKU],TablaINVENTARIO[UBICACION])</f>
        <v>G2</v>
      </c>
      <c r="K1267" s="34" t="str">
        <f>_xlfn.XLOOKUP(TablaSTOCKINV[[#This Row],[SKU]],TablaINVENTARIO[SKU],TablaINVENTARIO[DPTO RESPONSABLE])</f>
        <v xml:space="preserve">OPERACIONES </v>
      </c>
      <c r="L1267" s="53">
        <f>_xlfn.XLOOKUP(TablaSTOCKINV[[#This Row],[SKU]],TablaINVENTARIO[SKU],TablaINVENTARIO[RANGO MIN])</f>
        <v>0</v>
      </c>
      <c r="M1267" s="34" cm="1">
        <f t="array" ref="M1267">_xlfn.IFS(TablaSTOCKINV[[#This Row],[CANT. TOTAL]]&lt;=0,1,TablaSTOCKINV[[#This Row],[CANT. TOTAL]]&lt;=TablaSTOCKINV[[#This Row],[MIN]],2,TablaSTOCKINV[[#This Row],[CANT. TOTAL]]&gt;TablaSTOCKINV[[#This Row],[MIN]],3)</f>
        <v>3</v>
      </c>
      <c r="N1267" s="34">
        <f>TablaSTOCKINV[[#This Row],[ENTRADAS]]-TablaSTOCKINV[[#This Row],[SALIDAS]]</f>
        <v>10</v>
      </c>
      <c r="O1267" s="35">
        <f>SUMIFS(TablaENTRADA[CANT],TablaENTRADA[SKU],TablaSTOCKINV[[#This Row],[SKU]])</f>
        <v>10</v>
      </c>
      <c r="P1267" s="35">
        <f>SUMIFS(TablaSALIDA[CANT],TablaSALIDA[SKU],TablaSTOCKINV[[#This Row],[SKU]])</f>
        <v>0</v>
      </c>
      <c r="Q1267" s="34">
        <f>_xlfn.XLOOKUP(TablaSTOCKINV[[#This Row],[SKU]],TablaINVENTARIO[SKU],TablaINVENTARIO[PRECIO])</f>
        <v>0</v>
      </c>
      <c r="R1267" s="34">
        <f>TablaSTOCKINV[[#This Row],[P.UNITARIO]]*TablaSTOCKINV[[#This Row],[CANT. TOTAL]]</f>
        <v>0</v>
      </c>
      <c r="S1267" s="44">
        <f>_xlfn.XLOOKUP(TablaSTOCKINV[[#This Row],[SKU]],TablaINVENTARIO[SKU],TablaINVENTARIO[FECHA INGRESO])</f>
        <v>46023</v>
      </c>
      <c r="T1267" s="44">
        <f>_xlfn.XLOOKUP(TablaSTOCKINV[[#This Row],[SKU]],TablaENTRADA[SKU],TablaENTRADA[FECHA],,0,-1)</f>
        <v>46023</v>
      </c>
      <c r="U1267" s="46" t="str">
        <f>IFERROR((_xlfn.XLOOKUP(TablaSTOCKINV[[#This Row],[SKU]],TablaSALIDA[SKU],TablaSALIDA[FECHA],,0,-1))," " )</f>
        <v xml:space="preserve"> </v>
      </c>
    </row>
    <row r="1268" spans="1:21" x14ac:dyDescent="0.3">
      <c r="A1268" s="27" t="s">
        <v>360</v>
      </c>
      <c r="B1268" s="32" t="str">
        <f>_xlfn.XLOOKUP(TablaSTOCKINV[[#This Row],[SKU]],TablaINVENTARIO[SKU],TablaINVENTARIO[DESCRIPCION])</f>
        <v>BOTAS DE SEGURIDAD MEDIA CAÑA T: 43</v>
      </c>
      <c r="C1268" s="32" t="str">
        <f>_xlfn.XLOOKUP(TablaSTOCKINV[[#This Row],[SKU]],TablaINVENTARIO[SKU],TablaINVENTARIO[MARCA])</f>
        <v xml:space="preserve">RED WING SHOES </v>
      </c>
      <c r="D1268" s="33" t="str">
        <f>_xlfn.XLOOKUP(TablaSTOCKINV[[#This Row],[SKU]],TablaINVENTARIO[SKU],TablaINVENTARIO[CATEGORIA])</f>
        <v>EPP</v>
      </c>
      <c r="E1268" s="33" t="str">
        <f>_xlfn.XLOOKUP(TablaSTOCKINV[[#This Row],[SKU]],TablaINVENTARIO[SKU],TablaINVENTARIO[SUBCATEGORIA])</f>
        <v xml:space="preserve">PROTECCIÓN DE PIES </v>
      </c>
      <c r="F1268" s="33" t="str">
        <f>_xlfn.XLOOKUP(TablaSTOCKINV[[#This Row],[SKU]],TablaINVENTARIO[SKU],TablaINVENTARIO[ESTADO])</f>
        <v>NUEVO</v>
      </c>
      <c r="G1268" s="33" t="str">
        <f>_xlfn.XLOOKUP(TablaSTOCKINV[[#This Row],[SKU]],TablaINVENTARIO[SKU],TablaINVENTARIO[MEDIDA])</f>
        <v>PAR</v>
      </c>
      <c r="H1268" s="33" t="str">
        <f>_xlfn.XLOOKUP(TablaSTOCKINV[[#This Row],[SKU]],TablaINVENTARIO[SKU],TablaINVENTARIO[SERIAL])</f>
        <v>N/A</v>
      </c>
      <c r="I1268" s="34">
        <f>_xlfn.XLOOKUP(TablaSTOCKINV[[#This Row],[SKU]],TablaINVENTARIO[SKU],TablaINVENTARIO[ALMACEN])</f>
        <v>0</v>
      </c>
      <c r="J1268" s="34" t="str">
        <f>_xlfn.XLOOKUP(TablaSTOCKINV[[#This Row],[SKU]],TablaINVENTARIO[SKU],TablaINVENTARIO[UBICACION])</f>
        <v>G3</v>
      </c>
      <c r="K1268" s="34" t="str">
        <f>_xlfn.XLOOKUP(TablaSTOCKINV[[#This Row],[SKU]],TablaINVENTARIO[SKU],TablaINVENTARIO[DPTO RESPONSABLE])</f>
        <v xml:space="preserve">OPERACIONES </v>
      </c>
      <c r="L1268" s="53">
        <f>_xlfn.XLOOKUP(TablaSTOCKINV[[#This Row],[SKU]],TablaINVENTARIO[SKU],TablaINVENTARIO[RANGO MIN])</f>
        <v>0</v>
      </c>
      <c r="M1268" s="34" cm="1">
        <f t="array" ref="M1268">_xlfn.IFS(TablaSTOCKINV[[#This Row],[CANT. TOTAL]]&lt;=0,1,TablaSTOCKINV[[#This Row],[CANT. TOTAL]]&lt;=TablaSTOCKINV[[#This Row],[MIN]],2,TablaSTOCKINV[[#This Row],[CANT. TOTAL]]&gt;TablaSTOCKINV[[#This Row],[MIN]],3)</f>
        <v>3</v>
      </c>
      <c r="N1268" s="34">
        <f>TablaSTOCKINV[[#This Row],[ENTRADAS]]-TablaSTOCKINV[[#This Row],[SALIDAS]]</f>
        <v>2</v>
      </c>
      <c r="O1268" s="35">
        <f>SUMIFS(TablaENTRADA[CANT],TablaENTRADA[SKU],TablaSTOCKINV[[#This Row],[SKU]])</f>
        <v>2</v>
      </c>
      <c r="P1268" s="35">
        <f>SUMIFS(TablaSALIDA[CANT],TablaSALIDA[SKU],TablaSTOCKINV[[#This Row],[SKU]])</f>
        <v>0</v>
      </c>
      <c r="Q1268" s="34">
        <f>_xlfn.XLOOKUP(TablaSTOCKINV[[#This Row],[SKU]],TablaINVENTARIO[SKU],TablaINVENTARIO[PRECIO])</f>
        <v>0</v>
      </c>
      <c r="R1268" s="34">
        <f>TablaSTOCKINV[[#This Row],[P.UNITARIO]]*TablaSTOCKINV[[#This Row],[CANT. TOTAL]]</f>
        <v>0</v>
      </c>
      <c r="S1268" s="44">
        <f>_xlfn.XLOOKUP(TablaSTOCKINV[[#This Row],[SKU]],TablaINVENTARIO[SKU],TablaINVENTARIO[FECHA INGRESO])</f>
        <v>46023</v>
      </c>
      <c r="T1268" s="44">
        <f>_xlfn.XLOOKUP(TablaSTOCKINV[[#This Row],[SKU]],TablaENTRADA[SKU],TablaENTRADA[FECHA],,0,-1)</f>
        <v>46023</v>
      </c>
      <c r="U1268" s="46" t="str">
        <f>IFERROR((_xlfn.XLOOKUP(TablaSTOCKINV[[#This Row],[SKU]],TablaSALIDA[SKU],TablaSALIDA[FECHA],,0,-1))," " )</f>
        <v xml:space="preserve"> </v>
      </c>
    </row>
    <row r="1269" spans="1:21" x14ac:dyDescent="0.3">
      <c r="A1269" s="27" t="s">
        <v>365</v>
      </c>
      <c r="B1269" s="32" t="str">
        <f>_xlfn.XLOOKUP(TablaSTOCKINV[[#This Row],[SKU]],TablaINVENTARIO[SKU],TablaINVENTARIO[DESCRIPCION])</f>
        <v>BOTAS DE SEGURIDAD MEDIA CAÑA T: 44</v>
      </c>
      <c r="C1269" s="32" t="str">
        <f>_xlfn.XLOOKUP(TablaSTOCKINV[[#This Row],[SKU]],TablaINVENTARIO[SKU],TablaINVENTARIO[MARCA])</f>
        <v xml:space="preserve">RED WING SHOES </v>
      </c>
      <c r="D1269" s="33" t="str">
        <f>_xlfn.XLOOKUP(TablaSTOCKINV[[#This Row],[SKU]],TablaINVENTARIO[SKU],TablaINVENTARIO[CATEGORIA])</f>
        <v>EPP</v>
      </c>
      <c r="E1269" s="33" t="str">
        <f>_xlfn.XLOOKUP(TablaSTOCKINV[[#This Row],[SKU]],TablaINVENTARIO[SKU],TablaINVENTARIO[SUBCATEGORIA])</f>
        <v xml:space="preserve">PROTECCIÓN DE PIES </v>
      </c>
      <c r="F1269" s="33" t="str">
        <f>_xlfn.XLOOKUP(TablaSTOCKINV[[#This Row],[SKU]],TablaINVENTARIO[SKU],TablaINVENTARIO[ESTADO])</f>
        <v>NUEVO</v>
      </c>
      <c r="G1269" s="33" t="str">
        <f>_xlfn.XLOOKUP(TablaSTOCKINV[[#This Row],[SKU]],TablaINVENTARIO[SKU],TablaINVENTARIO[MEDIDA])</f>
        <v>PAR</v>
      </c>
      <c r="H1269" s="33" t="str">
        <f>_xlfn.XLOOKUP(TablaSTOCKINV[[#This Row],[SKU]],TablaINVENTARIO[SKU],TablaINVENTARIO[SERIAL])</f>
        <v>N/A</v>
      </c>
      <c r="I1269" s="34">
        <f>_xlfn.XLOOKUP(TablaSTOCKINV[[#This Row],[SKU]],TablaINVENTARIO[SKU],TablaINVENTARIO[ALMACEN])</f>
        <v>0</v>
      </c>
      <c r="J1269" s="34" t="str">
        <f>_xlfn.XLOOKUP(TablaSTOCKINV[[#This Row],[SKU]],TablaINVENTARIO[SKU],TablaINVENTARIO[UBICACION])</f>
        <v>G3</v>
      </c>
      <c r="K1269" s="34" t="str">
        <f>_xlfn.XLOOKUP(TablaSTOCKINV[[#This Row],[SKU]],TablaINVENTARIO[SKU],TablaINVENTARIO[DPTO RESPONSABLE])</f>
        <v xml:space="preserve">OPERACIONES </v>
      </c>
      <c r="L1269" s="53">
        <f>_xlfn.XLOOKUP(TablaSTOCKINV[[#This Row],[SKU]],TablaINVENTARIO[SKU],TablaINVENTARIO[RANGO MIN])</f>
        <v>0</v>
      </c>
      <c r="M1269" s="34" cm="1">
        <f t="array" ref="M1269">_xlfn.IFS(TablaSTOCKINV[[#This Row],[CANT. TOTAL]]&lt;=0,1,TablaSTOCKINV[[#This Row],[CANT. TOTAL]]&lt;=TablaSTOCKINV[[#This Row],[MIN]],2,TablaSTOCKINV[[#This Row],[CANT. TOTAL]]&gt;TablaSTOCKINV[[#This Row],[MIN]],3)</f>
        <v>3</v>
      </c>
      <c r="N1269" s="34">
        <f>TablaSTOCKINV[[#This Row],[ENTRADAS]]-TablaSTOCKINV[[#This Row],[SALIDAS]]</f>
        <v>2</v>
      </c>
      <c r="O1269" s="35">
        <f>SUMIFS(TablaENTRADA[CANT],TablaENTRADA[SKU],TablaSTOCKINV[[#This Row],[SKU]])</f>
        <v>2</v>
      </c>
      <c r="P1269" s="35">
        <f>SUMIFS(TablaSALIDA[CANT],TablaSALIDA[SKU],TablaSTOCKINV[[#This Row],[SKU]])</f>
        <v>0</v>
      </c>
      <c r="Q1269" s="34">
        <f>_xlfn.XLOOKUP(TablaSTOCKINV[[#This Row],[SKU]],TablaINVENTARIO[SKU],TablaINVENTARIO[PRECIO])</f>
        <v>0</v>
      </c>
      <c r="R1269" s="34">
        <f>TablaSTOCKINV[[#This Row],[P.UNITARIO]]*TablaSTOCKINV[[#This Row],[CANT. TOTAL]]</f>
        <v>0</v>
      </c>
      <c r="S1269" s="44">
        <f>_xlfn.XLOOKUP(TablaSTOCKINV[[#This Row],[SKU]],TablaINVENTARIO[SKU],TablaINVENTARIO[FECHA INGRESO])</f>
        <v>46023</v>
      </c>
      <c r="T1269" s="44">
        <f>_xlfn.XLOOKUP(TablaSTOCKINV[[#This Row],[SKU]],TablaENTRADA[SKU],TablaENTRADA[FECHA],,0,-1)</f>
        <v>46023</v>
      </c>
      <c r="U1269" s="46" t="str">
        <f>IFERROR((_xlfn.XLOOKUP(TablaSTOCKINV[[#This Row],[SKU]],TablaSALIDA[SKU],TablaSALIDA[FECHA],,0,-1))," " )</f>
        <v xml:space="preserve"> </v>
      </c>
    </row>
    <row r="1270" spans="1:21" x14ac:dyDescent="0.3">
      <c r="A1270" s="27" t="s">
        <v>367</v>
      </c>
      <c r="B1270" s="32" t="str">
        <f>_xlfn.XLOOKUP(TablaSTOCKINV[[#This Row],[SKU]],TablaINVENTARIO[SKU],TablaINVENTARIO[DESCRIPCION])</f>
        <v>MASCARA DE ESCAPE 3100</v>
      </c>
      <c r="C1270" s="32" t="str">
        <f>_xlfn.XLOOKUP(TablaSTOCKINV[[#This Row],[SKU]],TablaINVENTARIO[SKU],TablaINVENTARIO[MARCA])</f>
        <v>DRAGER</v>
      </c>
      <c r="D1270" s="33" t="str">
        <f>_xlfn.XLOOKUP(TablaSTOCKINV[[#This Row],[SKU]],TablaINVENTARIO[SKU],TablaINVENTARIO[CATEGORIA])</f>
        <v>EPP</v>
      </c>
      <c r="E1270" s="33" t="str">
        <f>_xlfn.XLOOKUP(TablaSTOCKINV[[#This Row],[SKU]],TablaINVENTARIO[SKU],TablaINVENTARIO[SUBCATEGORIA])</f>
        <v>PROTECCIÓN FACIAL</v>
      </c>
      <c r="F1270" s="33" t="str">
        <f>_xlfn.XLOOKUP(TablaSTOCKINV[[#This Row],[SKU]],TablaINVENTARIO[SKU],TablaINVENTARIO[ESTADO])</f>
        <v>NUEVO</v>
      </c>
      <c r="G1270" s="33" t="str">
        <f>_xlfn.XLOOKUP(TablaSTOCKINV[[#This Row],[SKU]],TablaINVENTARIO[SKU],TablaINVENTARIO[MEDIDA])</f>
        <v xml:space="preserve">UND </v>
      </c>
      <c r="H1270" s="33" t="str">
        <f>_xlfn.XLOOKUP(TablaSTOCKINV[[#This Row],[SKU]],TablaINVENTARIO[SKU],TablaINVENTARIO[SERIAL])</f>
        <v>N/A</v>
      </c>
      <c r="I1270" s="34">
        <f>_xlfn.XLOOKUP(TablaSTOCKINV[[#This Row],[SKU]],TablaINVENTARIO[SKU],TablaINVENTARIO[ALMACEN])</f>
        <v>0</v>
      </c>
      <c r="J1270" s="34" t="str">
        <f>_xlfn.XLOOKUP(TablaSTOCKINV[[#This Row],[SKU]],TablaINVENTARIO[SKU],TablaINVENTARIO[UBICACION])</f>
        <v>G3</v>
      </c>
      <c r="K1270" s="34" t="str">
        <f>_xlfn.XLOOKUP(TablaSTOCKINV[[#This Row],[SKU]],TablaINVENTARIO[SKU],TablaINVENTARIO[DPTO RESPONSABLE])</f>
        <v xml:space="preserve">OPERACIONES </v>
      </c>
      <c r="L1270" s="53">
        <f>_xlfn.XLOOKUP(TablaSTOCKINV[[#This Row],[SKU]],TablaINVENTARIO[SKU],TablaINVENTARIO[RANGO MIN])</f>
        <v>0</v>
      </c>
      <c r="M1270" s="34" cm="1">
        <f t="array" ref="M1270">_xlfn.IFS(TablaSTOCKINV[[#This Row],[CANT. TOTAL]]&lt;=0,1,TablaSTOCKINV[[#This Row],[CANT. TOTAL]]&lt;=TablaSTOCKINV[[#This Row],[MIN]],2,TablaSTOCKINV[[#This Row],[CANT. TOTAL]]&gt;TablaSTOCKINV[[#This Row],[MIN]],3)</f>
        <v>3</v>
      </c>
      <c r="N1270" s="34">
        <f>TablaSTOCKINV[[#This Row],[ENTRADAS]]-TablaSTOCKINV[[#This Row],[SALIDAS]]</f>
        <v>6</v>
      </c>
      <c r="O1270" s="35">
        <f>SUMIFS(TablaENTRADA[CANT],TablaENTRADA[SKU],TablaSTOCKINV[[#This Row],[SKU]])</f>
        <v>6</v>
      </c>
      <c r="P1270" s="35">
        <f>SUMIFS(TablaSALIDA[CANT],TablaSALIDA[SKU],TablaSTOCKINV[[#This Row],[SKU]])</f>
        <v>0</v>
      </c>
      <c r="Q1270" s="34">
        <f>_xlfn.XLOOKUP(TablaSTOCKINV[[#This Row],[SKU]],TablaINVENTARIO[SKU],TablaINVENTARIO[PRECIO])</f>
        <v>0</v>
      </c>
      <c r="R1270" s="34">
        <f>TablaSTOCKINV[[#This Row],[P.UNITARIO]]*TablaSTOCKINV[[#This Row],[CANT. TOTAL]]</f>
        <v>0</v>
      </c>
      <c r="S1270" s="44">
        <f>_xlfn.XLOOKUP(TablaSTOCKINV[[#This Row],[SKU]],TablaINVENTARIO[SKU],TablaINVENTARIO[FECHA INGRESO])</f>
        <v>46023</v>
      </c>
      <c r="T1270" s="44">
        <f>_xlfn.XLOOKUP(TablaSTOCKINV[[#This Row],[SKU]],TablaENTRADA[SKU],TablaENTRADA[FECHA],,0,-1)</f>
        <v>46023</v>
      </c>
      <c r="U1270" s="46" t="str">
        <f>IFERROR((_xlfn.XLOOKUP(TablaSTOCKINV[[#This Row],[SKU]],TablaSALIDA[SKU],TablaSALIDA[FECHA],,0,-1))," " )</f>
        <v xml:space="preserve"> </v>
      </c>
    </row>
    <row r="1271" spans="1:21" x14ac:dyDescent="0.3">
      <c r="A1271" s="27" t="s">
        <v>370</v>
      </c>
      <c r="B1271" s="32" t="str">
        <f>_xlfn.XLOOKUP(TablaSTOCKINV[[#This Row],[SKU]],TablaINVENTARIO[SKU],TablaINVENTARIO[DESCRIPCION])</f>
        <v xml:space="preserve">PROTECTOR AUDITIVO PARA CASCO </v>
      </c>
      <c r="C1271" s="32" t="str">
        <f>_xlfn.XLOOKUP(TablaSTOCKINV[[#This Row],[SKU]],TablaINVENTARIO[SKU],TablaINVENTARIO[MARCA])</f>
        <v>BARCKLY</v>
      </c>
      <c r="D1271" s="33" t="str">
        <f>_xlfn.XLOOKUP(TablaSTOCKINV[[#This Row],[SKU]],TablaINVENTARIO[SKU],TablaINVENTARIO[CATEGORIA])</f>
        <v>EPP</v>
      </c>
      <c r="E1271" s="33" t="str">
        <f>_xlfn.XLOOKUP(TablaSTOCKINV[[#This Row],[SKU]],TablaINVENTARIO[SKU],TablaINVENTARIO[SUBCATEGORIA])</f>
        <v>PROTECCIÓN AUDITIVA</v>
      </c>
      <c r="F1271" s="33" t="str">
        <f>_xlfn.XLOOKUP(TablaSTOCKINV[[#This Row],[SKU]],TablaINVENTARIO[SKU],TablaINVENTARIO[ESTADO])</f>
        <v>NUEVO</v>
      </c>
      <c r="G1271" s="33" t="str">
        <f>_xlfn.XLOOKUP(TablaSTOCKINV[[#This Row],[SKU]],TablaINVENTARIO[SKU],TablaINVENTARIO[MEDIDA])</f>
        <v>PAR</v>
      </c>
      <c r="H1271" s="33" t="str">
        <f>_xlfn.XLOOKUP(TablaSTOCKINV[[#This Row],[SKU]],TablaINVENTARIO[SKU],TablaINVENTARIO[SERIAL])</f>
        <v>N/A</v>
      </c>
      <c r="I1271" s="34">
        <f>_xlfn.XLOOKUP(TablaSTOCKINV[[#This Row],[SKU]],TablaINVENTARIO[SKU],TablaINVENTARIO[ALMACEN])</f>
        <v>0</v>
      </c>
      <c r="J1271" s="34" t="str">
        <f>_xlfn.XLOOKUP(TablaSTOCKINV[[#This Row],[SKU]],TablaINVENTARIO[SKU],TablaINVENTARIO[UBICACION])</f>
        <v>G3</v>
      </c>
      <c r="K1271" s="34" t="str">
        <f>_xlfn.XLOOKUP(TablaSTOCKINV[[#This Row],[SKU]],TablaINVENTARIO[SKU],TablaINVENTARIO[DPTO RESPONSABLE])</f>
        <v xml:space="preserve">OPERACIONES </v>
      </c>
      <c r="L1271" s="53">
        <f>_xlfn.XLOOKUP(TablaSTOCKINV[[#This Row],[SKU]],TablaINVENTARIO[SKU],TablaINVENTARIO[RANGO MIN])</f>
        <v>0</v>
      </c>
      <c r="M1271" s="34" cm="1">
        <f t="array" ref="M1271">_xlfn.IFS(TablaSTOCKINV[[#This Row],[CANT. TOTAL]]&lt;=0,1,TablaSTOCKINV[[#This Row],[CANT. TOTAL]]&lt;=TablaSTOCKINV[[#This Row],[MIN]],2,TablaSTOCKINV[[#This Row],[CANT. TOTAL]]&gt;TablaSTOCKINV[[#This Row],[MIN]],3)</f>
        <v>3</v>
      </c>
      <c r="N1271" s="34">
        <f>TablaSTOCKINV[[#This Row],[ENTRADAS]]-TablaSTOCKINV[[#This Row],[SALIDAS]]</f>
        <v>2</v>
      </c>
      <c r="O1271" s="35">
        <f>SUMIFS(TablaENTRADA[CANT],TablaENTRADA[SKU],TablaSTOCKINV[[#This Row],[SKU]])</f>
        <v>2</v>
      </c>
      <c r="P1271" s="35">
        <f>SUMIFS(TablaSALIDA[CANT],TablaSALIDA[SKU],TablaSTOCKINV[[#This Row],[SKU]])</f>
        <v>0</v>
      </c>
      <c r="Q1271" s="34">
        <f>_xlfn.XLOOKUP(TablaSTOCKINV[[#This Row],[SKU]],TablaINVENTARIO[SKU],TablaINVENTARIO[PRECIO])</f>
        <v>0</v>
      </c>
      <c r="R1271" s="34">
        <f>TablaSTOCKINV[[#This Row],[P.UNITARIO]]*TablaSTOCKINV[[#This Row],[CANT. TOTAL]]</f>
        <v>0</v>
      </c>
      <c r="S1271" s="44">
        <f>_xlfn.XLOOKUP(TablaSTOCKINV[[#This Row],[SKU]],TablaINVENTARIO[SKU],TablaINVENTARIO[FECHA INGRESO])</f>
        <v>46023</v>
      </c>
      <c r="T1271" s="44">
        <f>_xlfn.XLOOKUP(TablaSTOCKINV[[#This Row],[SKU]],TablaENTRADA[SKU],TablaENTRADA[FECHA],,0,-1)</f>
        <v>46023</v>
      </c>
      <c r="U1271" s="46" t="str">
        <f>IFERROR((_xlfn.XLOOKUP(TablaSTOCKINV[[#This Row],[SKU]],TablaSALIDA[SKU],TablaSALIDA[FECHA],,0,-1))," " )</f>
        <v xml:space="preserve"> </v>
      </c>
    </row>
    <row r="1272" spans="1:21" x14ac:dyDescent="0.3">
      <c r="A1272" s="27" t="s">
        <v>373</v>
      </c>
      <c r="B1272" s="32" t="str">
        <f>_xlfn.XLOOKUP(TablaSTOCKINV[[#This Row],[SKU]],TablaINVENTARIO[SKU],TablaINVENTARIO[DESCRIPCION])</f>
        <v>BOTAS MEDIA CAÑA T: 42</v>
      </c>
      <c r="C1272" s="32" t="str">
        <f>_xlfn.XLOOKUP(TablaSTOCKINV[[#This Row],[SKU]],TablaINVENTARIO[SKU],TablaINVENTARIO[MARCA])</f>
        <v>SICURA</v>
      </c>
      <c r="D1272" s="33" t="str">
        <f>_xlfn.XLOOKUP(TablaSTOCKINV[[#This Row],[SKU]],TablaINVENTARIO[SKU],TablaINVENTARIO[CATEGORIA])</f>
        <v>EPP</v>
      </c>
      <c r="E1272" s="33" t="str">
        <f>_xlfn.XLOOKUP(TablaSTOCKINV[[#This Row],[SKU]],TablaINVENTARIO[SKU],TablaINVENTARIO[SUBCATEGORIA])</f>
        <v xml:space="preserve">PROTECCIÓN DE PIES </v>
      </c>
      <c r="F1272" s="33" t="str">
        <f>_xlfn.XLOOKUP(TablaSTOCKINV[[#This Row],[SKU]],TablaINVENTARIO[SKU],TablaINVENTARIO[ESTADO])</f>
        <v>NUEVO</v>
      </c>
      <c r="G1272" s="33" t="str">
        <f>_xlfn.XLOOKUP(TablaSTOCKINV[[#This Row],[SKU]],TablaINVENTARIO[SKU],TablaINVENTARIO[MEDIDA])</f>
        <v>PAR</v>
      </c>
      <c r="H1272" s="33" t="str">
        <f>_xlfn.XLOOKUP(TablaSTOCKINV[[#This Row],[SKU]],TablaINVENTARIO[SKU],TablaINVENTARIO[SERIAL])</f>
        <v>N/A</v>
      </c>
      <c r="I1272" s="34">
        <f>_xlfn.XLOOKUP(TablaSTOCKINV[[#This Row],[SKU]],TablaINVENTARIO[SKU],TablaINVENTARIO[ALMACEN])</f>
        <v>0</v>
      </c>
      <c r="J1272" s="34" t="str">
        <f>_xlfn.XLOOKUP(TablaSTOCKINV[[#This Row],[SKU]],TablaINVENTARIO[SKU],TablaINVENTARIO[UBICACION])</f>
        <v>G4</v>
      </c>
      <c r="K1272" s="34" t="str">
        <f>_xlfn.XLOOKUP(TablaSTOCKINV[[#This Row],[SKU]],TablaINVENTARIO[SKU],TablaINVENTARIO[DPTO RESPONSABLE])</f>
        <v xml:space="preserve">OPERACIONES </v>
      </c>
      <c r="L1272" s="53">
        <f>_xlfn.XLOOKUP(TablaSTOCKINV[[#This Row],[SKU]],TablaINVENTARIO[SKU],TablaINVENTARIO[RANGO MIN])</f>
        <v>0</v>
      </c>
      <c r="M1272" s="34" cm="1">
        <f t="array" ref="M1272">_xlfn.IFS(TablaSTOCKINV[[#This Row],[CANT. TOTAL]]&lt;=0,1,TablaSTOCKINV[[#This Row],[CANT. TOTAL]]&lt;=TablaSTOCKINV[[#This Row],[MIN]],2,TablaSTOCKINV[[#This Row],[CANT. TOTAL]]&gt;TablaSTOCKINV[[#This Row],[MIN]],3)</f>
        <v>3</v>
      </c>
      <c r="N1272" s="34">
        <f>TablaSTOCKINV[[#This Row],[ENTRADAS]]-TablaSTOCKINV[[#This Row],[SALIDAS]]</f>
        <v>2</v>
      </c>
      <c r="O1272" s="35">
        <f>SUMIFS(TablaENTRADA[CANT],TablaENTRADA[SKU],TablaSTOCKINV[[#This Row],[SKU]])</f>
        <v>2</v>
      </c>
      <c r="P1272" s="35">
        <f>SUMIFS(TablaSALIDA[CANT],TablaSALIDA[SKU],TablaSTOCKINV[[#This Row],[SKU]])</f>
        <v>0</v>
      </c>
      <c r="Q1272" s="34">
        <f>_xlfn.XLOOKUP(TablaSTOCKINV[[#This Row],[SKU]],TablaINVENTARIO[SKU],TablaINVENTARIO[PRECIO])</f>
        <v>0</v>
      </c>
      <c r="R1272" s="34">
        <f>TablaSTOCKINV[[#This Row],[P.UNITARIO]]*TablaSTOCKINV[[#This Row],[CANT. TOTAL]]</f>
        <v>0</v>
      </c>
      <c r="S1272" s="44">
        <f>_xlfn.XLOOKUP(TablaSTOCKINV[[#This Row],[SKU]],TablaINVENTARIO[SKU],TablaINVENTARIO[FECHA INGRESO])</f>
        <v>46023</v>
      </c>
      <c r="T1272" s="44">
        <f>_xlfn.XLOOKUP(TablaSTOCKINV[[#This Row],[SKU]],TablaENTRADA[SKU],TablaENTRADA[FECHA],,0,-1)</f>
        <v>46023</v>
      </c>
      <c r="U1272" s="46" t="str">
        <f>IFERROR((_xlfn.XLOOKUP(TablaSTOCKINV[[#This Row],[SKU]],TablaSALIDA[SKU],TablaSALIDA[FECHA],,0,-1))," " )</f>
        <v xml:space="preserve"> </v>
      </c>
    </row>
    <row r="1273" spans="1:21" x14ac:dyDescent="0.3">
      <c r="A1273" s="27" t="s">
        <v>376</v>
      </c>
      <c r="B1273" s="32" t="str">
        <f>_xlfn.XLOOKUP(TablaSTOCKINV[[#This Row],[SKU]],TablaINVENTARIO[SKU],TablaINVENTARIO[DESCRIPCION])</f>
        <v>BOTAS MEDIA CAÑA T: 43</v>
      </c>
      <c r="C1273" s="32" t="str">
        <f>_xlfn.XLOOKUP(TablaSTOCKINV[[#This Row],[SKU]],TablaINVENTARIO[SKU],TablaINVENTARIO[MARCA])</f>
        <v>SICURA</v>
      </c>
      <c r="D1273" s="33" t="str">
        <f>_xlfn.XLOOKUP(TablaSTOCKINV[[#This Row],[SKU]],TablaINVENTARIO[SKU],TablaINVENTARIO[CATEGORIA])</f>
        <v>EPP</v>
      </c>
      <c r="E1273" s="33" t="str">
        <f>_xlfn.XLOOKUP(TablaSTOCKINV[[#This Row],[SKU]],TablaINVENTARIO[SKU],TablaINVENTARIO[SUBCATEGORIA])</f>
        <v xml:space="preserve">PROTECCIÓN DE PIES </v>
      </c>
      <c r="F1273" s="33" t="str">
        <f>_xlfn.XLOOKUP(TablaSTOCKINV[[#This Row],[SKU]],TablaINVENTARIO[SKU],TablaINVENTARIO[ESTADO])</f>
        <v>NUEVO</v>
      </c>
      <c r="G1273" s="33" t="str">
        <f>_xlfn.XLOOKUP(TablaSTOCKINV[[#This Row],[SKU]],TablaINVENTARIO[SKU],TablaINVENTARIO[MEDIDA])</f>
        <v>PAR</v>
      </c>
      <c r="H1273" s="33" t="str">
        <f>_xlfn.XLOOKUP(TablaSTOCKINV[[#This Row],[SKU]],TablaINVENTARIO[SKU],TablaINVENTARIO[SERIAL])</f>
        <v>N/A</v>
      </c>
      <c r="I1273" s="34">
        <f>_xlfn.XLOOKUP(TablaSTOCKINV[[#This Row],[SKU]],TablaINVENTARIO[SKU],TablaINVENTARIO[ALMACEN])</f>
        <v>0</v>
      </c>
      <c r="J1273" s="34" t="str">
        <f>_xlfn.XLOOKUP(TablaSTOCKINV[[#This Row],[SKU]],TablaINVENTARIO[SKU],TablaINVENTARIO[UBICACION])</f>
        <v>G4</v>
      </c>
      <c r="K1273" s="34" t="str">
        <f>_xlfn.XLOOKUP(TablaSTOCKINV[[#This Row],[SKU]],TablaINVENTARIO[SKU],TablaINVENTARIO[DPTO RESPONSABLE])</f>
        <v xml:space="preserve">OPERACIONES </v>
      </c>
      <c r="L1273" s="53">
        <f>_xlfn.XLOOKUP(TablaSTOCKINV[[#This Row],[SKU]],TablaINVENTARIO[SKU],TablaINVENTARIO[RANGO MIN])</f>
        <v>0</v>
      </c>
      <c r="M1273" s="34" cm="1">
        <f t="array" ref="M1273">_xlfn.IFS(TablaSTOCKINV[[#This Row],[CANT. TOTAL]]&lt;=0,1,TablaSTOCKINV[[#This Row],[CANT. TOTAL]]&lt;=TablaSTOCKINV[[#This Row],[MIN]],2,TablaSTOCKINV[[#This Row],[CANT. TOTAL]]&gt;TablaSTOCKINV[[#This Row],[MIN]],3)</f>
        <v>3</v>
      </c>
      <c r="N1273" s="34">
        <f>TablaSTOCKINV[[#This Row],[ENTRADAS]]-TablaSTOCKINV[[#This Row],[SALIDAS]]</f>
        <v>1</v>
      </c>
      <c r="O1273" s="35">
        <f>SUMIFS(TablaENTRADA[CANT],TablaENTRADA[SKU],TablaSTOCKINV[[#This Row],[SKU]])</f>
        <v>1</v>
      </c>
      <c r="P1273" s="35">
        <f>SUMIFS(TablaSALIDA[CANT],TablaSALIDA[SKU],TablaSTOCKINV[[#This Row],[SKU]])</f>
        <v>0</v>
      </c>
      <c r="Q1273" s="34">
        <f>_xlfn.XLOOKUP(TablaSTOCKINV[[#This Row],[SKU]],TablaINVENTARIO[SKU],TablaINVENTARIO[PRECIO])</f>
        <v>0</v>
      </c>
      <c r="R1273" s="34">
        <f>TablaSTOCKINV[[#This Row],[P.UNITARIO]]*TablaSTOCKINV[[#This Row],[CANT. TOTAL]]</f>
        <v>0</v>
      </c>
      <c r="S1273" s="44">
        <f>_xlfn.XLOOKUP(TablaSTOCKINV[[#This Row],[SKU]],TablaINVENTARIO[SKU],TablaINVENTARIO[FECHA INGRESO])</f>
        <v>46023</v>
      </c>
      <c r="T1273" s="44">
        <f>_xlfn.XLOOKUP(TablaSTOCKINV[[#This Row],[SKU]],TablaENTRADA[SKU],TablaENTRADA[FECHA],,0,-1)</f>
        <v>46023</v>
      </c>
      <c r="U1273" s="46" t="str">
        <f>IFERROR((_xlfn.XLOOKUP(TablaSTOCKINV[[#This Row],[SKU]],TablaSALIDA[SKU],TablaSALIDA[FECHA],,0,-1))," " )</f>
        <v xml:space="preserve"> </v>
      </c>
    </row>
    <row r="1274" spans="1:21" x14ac:dyDescent="0.3">
      <c r="A1274" s="27" t="s">
        <v>378</v>
      </c>
      <c r="B1274" s="32" t="str">
        <f>_xlfn.XLOOKUP(TablaSTOCKINV[[#This Row],[SKU]],TablaINVENTARIO[SKU],TablaINVENTARIO[DESCRIPCION])</f>
        <v>BOTIN DE SEGURIDAD T: 38</v>
      </c>
      <c r="C1274" s="32" t="str">
        <f>_xlfn.XLOOKUP(TablaSTOCKINV[[#This Row],[SKU]],TablaINVENTARIO[SKU],TablaINVENTARIO[MARCA])</f>
        <v>SICURA</v>
      </c>
      <c r="D1274" s="33" t="str">
        <f>_xlfn.XLOOKUP(TablaSTOCKINV[[#This Row],[SKU]],TablaINVENTARIO[SKU],TablaINVENTARIO[CATEGORIA])</f>
        <v>EPP</v>
      </c>
      <c r="E1274" s="33" t="str">
        <f>_xlfn.XLOOKUP(TablaSTOCKINV[[#This Row],[SKU]],TablaINVENTARIO[SKU],TablaINVENTARIO[SUBCATEGORIA])</f>
        <v xml:space="preserve">PROTECCIÓN DE PIES </v>
      </c>
      <c r="F1274" s="33" t="str">
        <f>_xlfn.XLOOKUP(TablaSTOCKINV[[#This Row],[SKU]],TablaINVENTARIO[SKU],TablaINVENTARIO[ESTADO])</f>
        <v>NUEVO</v>
      </c>
      <c r="G1274" s="33" t="str">
        <f>_xlfn.XLOOKUP(TablaSTOCKINV[[#This Row],[SKU]],TablaINVENTARIO[SKU],TablaINVENTARIO[MEDIDA])</f>
        <v>PAR</v>
      </c>
      <c r="H1274" s="33" t="str">
        <f>_xlfn.XLOOKUP(TablaSTOCKINV[[#This Row],[SKU]],TablaINVENTARIO[SKU],TablaINVENTARIO[SERIAL])</f>
        <v>N/A</v>
      </c>
      <c r="I1274" s="34">
        <f>_xlfn.XLOOKUP(TablaSTOCKINV[[#This Row],[SKU]],TablaINVENTARIO[SKU],TablaINVENTARIO[ALMACEN])</f>
        <v>0</v>
      </c>
      <c r="J1274" s="34" t="str">
        <f>_xlfn.XLOOKUP(TablaSTOCKINV[[#This Row],[SKU]],TablaINVENTARIO[SKU],TablaINVENTARIO[UBICACION])</f>
        <v>G4</v>
      </c>
      <c r="K1274" s="34" t="str">
        <f>_xlfn.XLOOKUP(TablaSTOCKINV[[#This Row],[SKU]],TablaINVENTARIO[SKU],TablaINVENTARIO[DPTO RESPONSABLE])</f>
        <v xml:space="preserve">OPERACIONES </v>
      </c>
      <c r="L1274" s="53">
        <f>_xlfn.XLOOKUP(TablaSTOCKINV[[#This Row],[SKU]],TablaINVENTARIO[SKU],TablaINVENTARIO[RANGO MIN])</f>
        <v>0</v>
      </c>
      <c r="M1274" s="34" cm="1">
        <f t="array" ref="M1274">_xlfn.IFS(TablaSTOCKINV[[#This Row],[CANT. TOTAL]]&lt;=0,1,TablaSTOCKINV[[#This Row],[CANT. TOTAL]]&lt;=TablaSTOCKINV[[#This Row],[MIN]],2,TablaSTOCKINV[[#This Row],[CANT. TOTAL]]&gt;TablaSTOCKINV[[#This Row],[MIN]],3)</f>
        <v>3</v>
      </c>
      <c r="N1274" s="34">
        <f>TablaSTOCKINV[[#This Row],[ENTRADAS]]-TablaSTOCKINV[[#This Row],[SALIDAS]]</f>
        <v>1</v>
      </c>
      <c r="O1274" s="35">
        <f>SUMIFS(TablaENTRADA[CANT],TablaENTRADA[SKU],TablaSTOCKINV[[#This Row],[SKU]])</f>
        <v>1</v>
      </c>
      <c r="P1274" s="35">
        <f>SUMIFS(TablaSALIDA[CANT],TablaSALIDA[SKU],TablaSTOCKINV[[#This Row],[SKU]])</f>
        <v>0</v>
      </c>
      <c r="Q1274" s="34">
        <f>_xlfn.XLOOKUP(TablaSTOCKINV[[#This Row],[SKU]],TablaINVENTARIO[SKU],TablaINVENTARIO[PRECIO])</f>
        <v>0</v>
      </c>
      <c r="R1274" s="34">
        <f>TablaSTOCKINV[[#This Row],[P.UNITARIO]]*TablaSTOCKINV[[#This Row],[CANT. TOTAL]]</f>
        <v>0</v>
      </c>
      <c r="S1274" s="44">
        <f>_xlfn.XLOOKUP(TablaSTOCKINV[[#This Row],[SKU]],TablaINVENTARIO[SKU],TablaINVENTARIO[FECHA INGRESO])</f>
        <v>46023</v>
      </c>
      <c r="T1274" s="44">
        <f>_xlfn.XLOOKUP(TablaSTOCKINV[[#This Row],[SKU]],TablaENTRADA[SKU],TablaENTRADA[FECHA],,0,-1)</f>
        <v>46023</v>
      </c>
      <c r="U1274" s="46" t="str">
        <f>IFERROR((_xlfn.XLOOKUP(TablaSTOCKINV[[#This Row],[SKU]],TablaSALIDA[SKU],TablaSALIDA[FECHA],,0,-1))," " )</f>
        <v xml:space="preserve"> </v>
      </c>
    </row>
    <row r="1275" spans="1:21" x14ac:dyDescent="0.3">
      <c r="A1275" s="27" t="s">
        <v>380</v>
      </c>
      <c r="B1275" s="32" t="str">
        <f>_xlfn.XLOOKUP(TablaSTOCKINV[[#This Row],[SKU]],TablaINVENTARIO[SKU],TablaINVENTARIO[DESCRIPCION])</f>
        <v>BOTIN DE SEGURIDAD T: 36</v>
      </c>
      <c r="C1275" s="32" t="str">
        <f>_xlfn.XLOOKUP(TablaSTOCKINV[[#This Row],[SKU]],TablaINVENTARIO[SKU],TablaINVENTARIO[MARCA])</f>
        <v>SICURA</v>
      </c>
      <c r="D1275" s="33" t="str">
        <f>_xlfn.XLOOKUP(TablaSTOCKINV[[#This Row],[SKU]],TablaINVENTARIO[SKU],TablaINVENTARIO[CATEGORIA])</f>
        <v>EPP</v>
      </c>
      <c r="E1275" s="33" t="str">
        <f>_xlfn.XLOOKUP(TablaSTOCKINV[[#This Row],[SKU]],TablaINVENTARIO[SKU],TablaINVENTARIO[SUBCATEGORIA])</f>
        <v xml:space="preserve">PROTECCIÓN DE PIES </v>
      </c>
      <c r="F1275" s="33" t="str">
        <f>_xlfn.XLOOKUP(TablaSTOCKINV[[#This Row],[SKU]],TablaINVENTARIO[SKU],TablaINVENTARIO[ESTADO])</f>
        <v>NUEVO</v>
      </c>
      <c r="G1275" s="33" t="str">
        <f>_xlfn.XLOOKUP(TablaSTOCKINV[[#This Row],[SKU]],TablaINVENTARIO[SKU],TablaINVENTARIO[MEDIDA])</f>
        <v>PAR</v>
      </c>
      <c r="H1275" s="33" t="str">
        <f>_xlfn.XLOOKUP(TablaSTOCKINV[[#This Row],[SKU]],TablaINVENTARIO[SKU],TablaINVENTARIO[SERIAL])</f>
        <v>N/A</v>
      </c>
      <c r="I1275" s="34">
        <f>_xlfn.XLOOKUP(TablaSTOCKINV[[#This Row],[SKU]],TablaINVENTARIO[SKU],TablaINVENTARIO[ALMACEN])</f>
        <v>0</v>
      </c>
      <c r="J1275" s="34" t="str">
        <f>_xlfn.XLOOKUP(TablaSTOCKINV[[#This Row],[SKU]],TablaINVENTARIO[SKU],TablaINVENTARIO[UBICACION])</f>
        <v>G4</v>
      </c>
      <c r="K1275" s="34" t="str">
        <f>_xlfn.XLOOKUP(TablaSTOCKINV[[#This Row],[SKU]],TablaINVENTARIO[SKU],TablaINVENTARIO[DPTO RESPONSABLE])</f>
        <v xml:space="preserve">OPERACIONES </v>
      </c>
      <c r="L1275" s="53">
        <f>_xlfn.XLOOKUP(TablaSTOCKINV[[#This Row],[SKU]],TablaINVENTARIO[SKU],TablaINVENTARIO[RANGO MIN])</f>
        <v>0</v>
      </c>
      <c r="M1275" s="34" cm="1">
        <f t="array" ref="M1275">_xlfn.IFS(TablaSTOCKINV[[#This Row],[CANT. TOTAL]]&lt;=0,1,TablaSTOCKINV[[#This Row],[CANT. TOTAL]]&lt;=TablaSTOCKINV[[#This Row],[MIN]],2,TablaSTOCKINV[[#This Row],[CANT. TOTAL]]&gt;TablaSTOCKINV[[#This Row],[MIN]],3)</f>
        <v>3</v>
      </c>
      <c r="N1275" s="34">
        <f>TablaSTOCKINV[[#This Row],[ENTRADAS]]-TablaSTOCKINV[[#This Row],[SALIDAS]]</f>
        <v>1</v>
      </c>
      <c r="O1275" s="35">
        <f>SUMIFS(TablaENTRADA[CANT],TablaENTRADA[SKU],TablaSTOCKINV[[#This Row],[SKU]])</f>
        <v>1</v>
      </c>
      <c r="P1275" s="35">
        <f>SUMIFS(TablaSALIDA[CANT],TablaSALIDA[SKU],TablaSTOCKINV[[#This Row],[SKU]])</f>
        <v>0</v>
      </c>
      <c r="Q1275" s="34">
        <f>_xlfn.XLOOKUP(TablaSTOCKINV[[#This Row],[SKU]],TablaINVENTARIO[SKU],TablaINVENTARIO[PRECIO])</f>
        <v>0</v>
      </c>
      <c r="R1275" s="34">
        <f>TablaSTOCKINV[[#This Row],[P.UNITARIO]]*TablaSTOCKINV[[#This Row],[CANT. TOTAL]]</f>
        <v>0</v>
      </c>
      <c r="S1275" s="44">
        <f>_xlfn.XLOOKUP(TablaSTOCKINV[[#This Row],[SKU]],TablaINVENTARIO[SKU],TablaINVENTARIO[FECHA INGRESO])</f>
        <v>46023</v>
      </c>
      <c r="T1275" s="44">
        <f>_xlfn.XLOOKUP(TablaSTOCKINV[[#This Row],[SKU]],TablaENTRADA[SKU],TablaENTRADA[FECHA],,0,-1)</f>
        <v>46023</v>
      </c>
      <c r="U1275" s="46" t="str">
        <f>IFERROR((_xlfn.XLOOKUP(TablaSTOCKINV[[#This Row],[SKU]],TablaSALIDA[SKU],TablaSALIDA[FECHA],,0,-1))," " )</f>
        <v xml:space="preserve"> </v>
      </c>
    </row>
    <row r="1276" spans="1:21" x14ac:dyDescent="0.3">
      <c r="A1276" s="27" t="s">
        <v>382</v>
      </c>
      <c r="B1276" s="32" t="str">
        <f>_xlfn.XLOOKUP(TablaSTOCKINV[[#This Row],[SKU]],TablaINVENTARIO[SKU],TablaINVENTARIO[DESCRIPCION])</f>
        <v>BOTIN DE SEGURIDAD T: 44</v>
      </c>
      <c r="C1276" s="32" t="str">
        <f>_xlfn.XLOOKUP(TablaSTOCKINV[[#This Row],[SKU]],TablaINVENTARIO[SKU],TablaINVENTARIO[MARCA])</f>
        <v>SICURA</v>
      </c>
      <c r="D1276" s="33" t="str">
        <f>_xlfn.XLOOKUP(TablaSTOCKINV[[#This Row],[SKU]],TablaINVENTARIO[SKU],TablaINVENTARIO[CATEGORIA])</f>
        <v>EPP</v>
      </c>
      <c r="E1276" s="33" t="str">
        <f>_xlfn.XLOOKUP(TablaSTOCKINV[[#This Row],[SKU]],TablaINVENTARIO[SKU],TablaINVENTARIO[SUBCATEGORIA])</f>
        <v xml:space="preserve">PROTECCIÓN DE PIES </v>
      </c>
      <c r="F1276" s="33" t="str">
        <f>_xlfn.XLOOKUP(TablaSTOCKINV[[#This Row],[SKU]],TablaINVENTARIO[SKU],TablaINVENTARIO[ESTADO])</f>
        <v>NUEVO</v>
      </c>
      <c r="G1276" s="33" t="str">
        <f>_xlfn.XLOOKUP(TablaSTOCKINV[[#This Row],[SKU]],TablaINVENTARIO[SKU],TablaINVENTARIO[MEDIDA])</f>
        <v>PAR</v>
      </c>
      <c r="H1276" s="33" t="str">
        <f>_xlfn.XLOOKUP(TablaSTOCKINV[[#This Row],[SKU]],TablaINVENTARIO[SKU],TablaINVENTARIO[SERIAL])</f>
        <v>N/A</v>
      </c>
      <c r="I1276" s="34">
        <f>_xlfn.XLOOKUP(TablaSTOCKINV[[#This Row],[SKU]],TablaINVENTARIO[SKU],TablaINVENTARIO[ALMACEN])</f>
        <v>0</v>
      </c>
      <c r="J1276" s="34" t="str">
        <f>_xlfn.XLOOKUP(TablaSTOCKINV[[#This Row],[SKU]],TablaINVENTARIO[SKU],TablaINVENTARIO[UBICACION])</f>
        <v>G5</v>
      </c>
      <c r="K1276" s="34" t="str">
        <f>_xlfn.XLOOKUP(TablaSTOCKINV[[#This Row],[SKU]],TablaINVENTARIO[SKU],TablaINVENTARIO[DPTO RESPONSABLE])</f>
        <v xml:space="preserve">OPERACIONES </v>
      </c>
      <c r="L1276" s="53">
        <f>_xlfn.XLOOKUP(TablaSTOCKINV[[#This Row],[SKU]],TablaINVENTARIO[SKU],TablaINVENTARIO[RANGO MIN])</f>
        <v>0</v>
      </c>
      <c r="M1276" s="34" cm="1">
        <f t="array" ref="M1276">_xlfn.IFS(TablaSTOCKINV[[#This Row],[CANT. TOTAL]]&lt;=0,1,TablaSTOCKINV[[#This Row],[CANT. TOTAL]]&lt;=TablaSTOCKINV[[#This Row],[MIN]],2,TablaSTOCKINV[[#This Row],[CANT. TOTAL]]&gt;TablaSTOCKINV[[#This Row],[MIN]],3)</f>
        <v>3</v>
      </c>
      <c r="N1276" s="34">
        <f>TablaSTOCKINV[[#This Row],[ENTRADAS]]-TablaSTOCKINV[[#This Row],[SALIDAS]]</f>
        <v>1</v>
      </c>
      <c r="O1276" s="35">
        <f>SUMIFS(TablaENTRADA[CANT],TablaENTRADA[SKU],TablaSTOCKINV[[#This Row],[SKU]])</f>
        <v>1</v>
      </c>
      <c r="P1276" s="35">
        <f>SUMIFS(TablaSALIDA[CANT],TablaSALIDA[SKU],TablaSTOCKINV[[#This Row],[SKU]])</f>
        <v>0</v>
      </c>
      <c r="Q1276" s="34">
        <f>_xlfn.XLOOKUP(TablaSTOCKINV[[#This Row],[SKU]],TablaINVENTARIO[SKU],TablaINVENTARIO[PRECIO])</f>
        <v>0</v>
      </c>
      <c r="R1276" s="34">
        <f>TablaSTOCKINV[[#This Row],[P.UNITARIO]]*TablaSTOCKINV[[#This Row],[CANT. TOTAL]]</f>
        <v>0</v>
      </c>
      <c r="S1276" s="44">
        <f>_xlfn.XLOOKUP(TablaSTOCKINV[[#This Row],[SKU]],TablaINVENTARIO[SKU],TablaINVENTARIO[FECHA INGRESO])</f>
        <v>46023</v>
      </c>
      <c r="T1276" s="44">
        <f>_xlfn.XLOOKUP(TablaSTOCKINV[[#This Row],[SKU]],TablaENTRADA[SKU],TablaENTRADA[FECHA],,0,-1)</f>
        <v>46023</v>
      </c>
      <c r="U1276" s="46" t="str">
        <f>IFERROR((_xlfn.XLOOKUP(TablaSTOCKINV[[#This Row],[SKU]],TablaSALIDA[SKU],TablaSALIDA[FECHA],,0,-1))," " )</f>
        <v xml:space="preserve"> </v>
      </c>
    </row>
    <row r="1277" spans="1:21" x14ac:dyDescent="0.3">
      <c r="A1277" s="27" t="s">
        <v>384</v>
      </c>
      <c r="B1277" s="32" t="str">
        <f>_xlfn.XLOOKUP(TablaSTOCKINV[[#This Row],[SKU]],TablaINVENTARIO[SKU],TablaINVENTARIO[DESCRIPCION])</f>
        <v>BOTIN DE SEGURIDAD T: 44</v>
      </c>
      <c r="C1277" s="32" t="str">
        <f>_xlfn.XLOOKUP(TablaSTOCKINV[[#This Row],[SKU]],TablaINVENTARIO[SKU],TablaINVENTARIO[MARCA])</f>
        <v xml:space="preserve">INVENSICA </v>
      </c>
      <c r="D1277" s="33" t="str">
        <f>_xlfn.XLOOKUP(TablaSTOCKINV[[#This Row],[SKU]],TablaINVENTARIO[SKU],TablaINVENTARIO[CATEGORIA])</f>
        <v>EPP</v>
      </c>
      <c r="E1277" s="33" t="str">
        <f>_xlfn.XLOOKUP(TablaSTOCKINV[[#This Row],[SKU]],TablaINVENTARIO[SKU],TablaINVENTARIO[SUBCATEGORIA])</f>
        <v xml:space="preserve">PROTECCIÓN DE PIES </v>
      </c>
      <c r="F1277" s="33" t="str">
        <f>_xlfn.XLOOKUP(TablaSTOCKINV[[#This Row],[SKU]],TablaINVENTARIO[SKU],TablaINVENTARIO[ESTADO])</f>
        <v>NUEVO</v>
      </c>
      <c r="G1277" s="33" t="str">
        <f>_xlfn.XLOOKUP(TablaSTOCKINV[[#This Row],[SKU]],TablaINVENTARIO[SKU],TablaINVENTARIO[MEDIDA])</f>
        <v>PAR</v>
      </c>
      <c r="H1277" s="33" t="str">
        <f>_xlfn.XLOOKUP(TablaSTOCKINV[[#This Row],[SKU]],TablaINVENTARIO[SKU],TablaINVENTARIO[SERIAL])</f>
        <v>N/A</v>
      </c>
      <c r="I1277" s="34">
        <f>_xlfn.XLOOKUP(TablaSTOCKINV[[#This Row],[SKU]],TablaINVENTARIO[SKU],TablaINVENTARIO[ALMACEN])</f>
        <v>0</v>
      </c>
      <c r="J1277" s="34" t="str">
        <f>_xlfn.XLOOKUP(TablaSTOCKINV[[#This Row],[SKU]],TablaINVENTARIO[SKU],TablaINVENTARIO[UBICACION])</f>
        <v>G5</v>
      </c>
      <c r="K1277" s="34" t="str">
        <f>_xlfn.XLOOKUP(TablaSTOCKINV[[#This Row],[SKU]],TablaINVENTARIO[SKU],TablaINVENTARIO[DPTO RESPONSABLE])</f>
        <v xml:space="preserve">OPERACIONES </v>
      </c>
      <c r="L1277" s="53">
        <f>_xlfn.XLOOKUP(TablaSTOCKINV[[#This Row],[SKU]],TablaINVENTARIO[SKU],TablaINVENTARIO[RANGO MIN])</f>
        <v>0</v>
      </c>
      <c r="M1277" s="34" cm="1">
        <f t="array" ref="M1277">_xlfn.IFS(TablaSTOCKINV[[#This Row],[CANT. TOTAL]]&lt;=0,1,TablaSTOCKINV[[#This Row],[CANT. TOTAL]]&lt;=TablaSTOCKINV[[#This Row],[MIN]],2,TablaSTOCKINV[[#This Row],[CANT. TOTAL]]&gt;TablaSTOCKINV[[#This Row],[MIN]],3)</f>
        <v>3</v>
      </c>
      <c r="N1277" s="34">
        <f>TablaSTOCKINV[[#This Row],[ENTRADAS]]-TablaSTOCKINV[[#This Row],[SALIDAS]]</f>
        <v>1</v>
      </c>
      <c r="O1277" s="35">
        <f>SUMIFS(TablaENTRADA[CANT],TablaENTRADA[SKU],TablaSTOCKINV[[#This Row],[SKU]])</f>
        <v>1</v>
      </c>
      <c r="P1277" s="35">
        <f>SUMIFS(TablaSALIDA[CANT],TablaSALIDA[SKU],TablaSTOCKINV[[#This Row],[SKU]])</f>
        <v>0</v>
      </c>
      <c r="Q1277" s="34">
        <f>_xlfn.XLOOKUP(TablaSTOCKINV[[#This Row],[SKU]],TablaINVENTARIO[SKU],TablaINVENTARIO[PRECIO])</f>
        <v>0</v>
      </c>
      <c r="R1277" s="34">
        <f>TablaSTOCKINV[[#This Row],[P.UNITARIO]]*TablaSTOCKINV[[#This Row],[CANT. TOTAL]]</f>
        <v>0</v>
      </c>
      <c r="S1277" s="44">
        <f>_xlfn.XLOOKUP(TablaSTOCKINV[[#This Row],[SKU]],TablaINVENTARIO[SKU],TablaINVENTARIO[FECHA INGRESO])</f>
        <v>46023</v>
      </c>
      <c r="T1277" s="44">
        <f>_xlfn.XLOOKUP(TablaSTOCKINV[[#This Row],[SKU]],TablaENTRADA[SKU],TablaENTRADA[FECHA],,0,-1)</f>
        <v>46023</v>
      </c>
      <c r="U1277" s="46" t="str">
        <f>IFERROR((_xlfn.XLOOKUP(TablaSTOCKINV[[#This Row],[SKU]],TablaSALIDA[SKU],TablaSALIDA[FECHA],,0,-1))," " )</f>
        <v xml:space="preserve"> </v>
      </c>
    </row>
    <row r="1278" spans="1:21" x14ac:dyDescent="0.3">
      <c r="A1278" s="27" t="s">
        <v>386</v>
      </c>
      <c r="B1278" s="32" t="str">
        <f>_xlfn.XLOOKUP(TablaSTOCKINV[[#This Row],[SKU]],TablaINVENTARIO[SKU],TablaINVENTARIO[DESCRIPCION])</f>
        <v>BOTA DE SEGURIDAD MEDIA CAÑA T: 43</v>
      </c>
      <c r="C1278" s="32" t="str">
        <f>_xlfn.XLOOKUP(TablaSTOCKINV[[#This Row],[SKU]],TablaINVENTARIO[SKU],TablaINVENTARIO[MARCA])</f>
        <v>BERRENDO</v>
      </c>
      <c r="D1278" s="33" t="str">
        <f>_xlfn.XLOOKUP(TablaSTOCKINV[[#This Row],[SKU]],TablaINVENTARIO[SKU],TablaINVENTARIO[CATEGORIA])</f>
        <v>EPP</v>
      </c>
      <c r="E1278" s="33" t="str">
        <f>_xlfn.XLOOKUP(TablaSTOCKINV[[#This Row],[SKU]],TablaINVENTARIO[SKU],TablaINVENTARIO[SUBCATEGORIA])</f>
        <v xml:space="preserve">PROTECCIÓN DE PIES </v>
      </c>
      <c r="F1278" s="33" t="str">
        <f>_xlfn.XLOOKUP(TablaSTOCKINV[[#This Row],[SKU]],TablaINVENTARIO[SKU],TablaINVENTARIO[ESTADO])</f>
        <v>NUEVO</v>
      </c>
      <c r="G1278" s="33" t="str">
        <f>_xlfn.XLOOKUP(TablaSTOCKINV[[#This Row],[SKU]],TablaINVENTARIO[SKU],TablaINVENTARIO[MEDIDA])</f>
        <v>PAR</v>
      </c>
      <c r="H1278" s="33" t="str">
        <f>_xlfn.XLOOKUP(TablaSTOCKINV[[#This Row],[SKU]],TablaINVENTARIO[SKU],TablaINVENTARIO[SERIAL])</f>
        <v>N/A</v>
      </c>
      <c r="I1278" s="34">
        <f>_xlfn.XLOOKUP(TablaSTOCKINV[[#This Row],[SKU]],TablaINVENTARIO[SKU],TablaINVENTARIO[ALMACEN])</f>
        <v>0</v>
      </c>
      <c r="J1278" s="34" t="str">
        <f>_xlfn.XLOOKUP(TablaSTOCKINV[[#This Row],[SKU]],TablaINVENTARIO[SKU],TablaINVENTARIO[UBICACION])</f>
        <v>G5</v>
      </c>
      <c r="K1278" s="34" t="str">
        <f>_xlfn.XLOOKUP(TablaSTOCKINV[[#This Row],[SKU]],TablaINVENTARIO[SKU],TablaINVENTARIO[DPTO RESPONSABLE])</f>
        <v xml:space="preserve">OPERACIONES </v>
      </c>
      <c r="L1278" s="53">
        <f>_xlfn.XLOOKUP(TablaSTOCKINV[[#This Row],[SKU]],TablaINVENTARIO[SKU],TablaINVENTARIO[RANGO MIN])</f>
        <v>0</v>
      </c>
      <c r="M1278" s="34" cm="1">
        <f t="array" ref="M1278">_xlfn.IFS(TablaSTOCKINV[[#This Row],[CANT. TOTAL]]&lt;=0,1,TablaSTOCKINV[[#This Row],[CANT. TOTAL]]&lt;=TablaSTOCKINV[[#This Row],[MIN]],2,TablaSTOCKINV[[#This Row],[CANT. TOTAL]]&gt;TablaSTOCKINV[[#This Row],[MIN]],3)</f>
        <v>3</v>
      </c>
      <c r="N1278" s="34">
        <f>TablaSTOCKINV[[#This Row],[ENTRADAS]]-TablaSTOCKINV[[#This Row],[SALIDAS]]</f>
        <v>1</v>
      </c>
      <c r="O1278" s="35">
        <f>SUMIFS(TablaENTRADA[CANT],TablaENTRADA[SKU],TablaSTOCKINV[[#This Row],[SKU]])</f>
        <v>1</v>
      </c>
      <c r="P1278" s="35">
        <f>SUMIFS(TablaSALIDA[CANT],TablaSALIDA[SKU],TablaSTOCKINV[[#This Row],[SKU]])</f>
        <v>0</v>
      </c>
      <c r="Q1278" s="34">
        <f>_xlfn.XLOOKUP(TablaSTOCKINV[[#This Row],[SKU]],TablaINVENTARIO[SKU],TablaINVENTARIO[PRECIO])</f>
        <v>0</v>
      </c>
      <c r="R1278" s="34">
        <f>TablaSTOCKINV[[#This Row],[P.UNITARIO]]*TablaSTOCKINV[[#This Row],[CANT. TOTAL]]</f>
        <v>0</v>
      </c>
      <c r="S1278" s="44">
        <f>_xlfn.XLOOKUP(TablaSTOCKINV[[#This Row],[SKU]],TablaINVENTARIO[SKU],TablaINVENTARIO[FECHA INGRESO])</f>
        <v>46023</v>
      </c>
      <c r="T1278" s="44">
        <f>_xlfn.XLOOKUP(TablaSTOCKINV[[#This Row],[SKU]],TablaENTRADA[SKU],TablaENTRADA[FECHA],,0,-1)</f>
        <v>46023</v>
      </c>
      <c r="U1278" s="46" t="str">
        <f>IFERROR((_xlfn.XLOOKUP(TablaSTOCKINV[[#This Row],[SKU]],TablaSALIDA[SKU],TablaSALIDA[FECHA],,0,-1))," " )</f>
        <v xml:space="preserve"> </v>
      </c>
    </row>
    <row r="1279" spans="1:21" x14ac:dyDescent="0.3">
      <c r="A1279" s="27" t="s">
        <v>389</v>
      </c>
      <c r="B1279" s="32" t="str">
        <f>_xlfn.XLOOKUP(TablaSTOCKINV[[#This Row],[SKU]],TablaINVENTARIO[SKU],TablaINVENTARIO[DESCRIPCION])</f>
        <v>BOTA DE SEGURIDAD MEDIA CAÑA T: 40</v>
      </c>
      <c r="C1279" s="32" t="str">
        <f>_xlfn.XLOOKUP(TablaSTOCKINV[[#This Row],[SKU]],TablaINVENTARIO[SKU],TablaINVENTARIO[MARCA])</f>
        <v>BERRENDO</v>
      </c>
      <c r="D1279" s="33" t="str">
        <f>_xlfn.XLOOKUP(TablaSTOCKINV[[#This Row],[SKU]],TablaINVENTARIO[SKU],TablaINVENTARIO[CATEGORIA])</f>
        <v>EPP</v>
      </c>
      <c r="E1279" s="33" t="str">
        <f>_xlfn.XLOOKUP(TablaSTOCKINV[[#This Row],[SKU]],TablaINVENTARIO[SKU],TablaINVENTARIO[SUBCATEGORIA])</f>
        <v xml:space="preserve">PROTECCIÓN DE PIES </v>
      </c>
      <c r="F1279" s="33" t="str">
        <f>_xlfn.XLOOKUP(TablaSTOCKINV[[#This Row],[SKU]],TablaINVENTARIO[SKU],TablaINVENTARIO[ESTADO])</f>
        <v>NUEVO</v>
      </c>
      <c r="G1279" s="33" t="str">
        <f>_xlfn.XLOOKUP(TablaSTOCKINV[[#This Row],[SKU]],TablaINVENTARIO[SKU],TablaINVENTARIO[MEDIDA])</f>
        <v>PAR</v>
      </c>
      <c r="H1279" s="33" t="str">
        <f>_xlfn.XLOOKUP(TablaSTOCKINV[[#This Row],[SKU]],TablaINVENTARIO[SKU],TablaINVENTARIO[SERIAL])</f>
        <v>N/A</v>
      </c>
      <c r="I1279" s="34">
        <f>_xlfn.XLOOKUP(TablaSTOCKINV[[#This Row],[SKU]],TablaINVENTARIO[SKU],TablaINVENTARIO[ALMACEN])</f>
        <v>0</v>
      </c>
      <c r="J1279" s="34" t="str">
        <f>_xlfn.XLOOKUP(TablaSTOCKINV[[#This Row],[SKU]],TablaINVENTARIO[SKU],TablaINVENTARIO[UBICACION])</f>
        <v>G5</v>
      </c>
      <c r="K1279" s="34" t="str">
        <f>_xlfn.XLOOKUP(TablaSTOCKINV[[#This Row],[SKU]],TablaINVENTARIO[SKU],TablaINVENTARIO[DPTO RESPONSABLE])</f>
        <v xml:space="preserve">OPERACIONES </v>
      </c>
      <c r="L1279" s="53">
        <f>_xlfn.XLOOKUP(TablaSTOCKINV[[#This Row],[SKU]],TablaINVENTARIO[SKU],TablaINVENTARIO[RANGO MIN])</f>
        <v>0</v>
      </c>
      <c r="M1279" s="34" cm="1">
        <f t="array" ref="M1279">_xlfn.IFS(TablaSTOCKINV[[#This Row],[CANT. TOTAL]]&lt;=0,1,TablaSTOCKINV[[#This Row],[CANT. TOTAL]]&lt;=TablaSTOCKINV[[#This Row],[MIN]],2,TablaSTOCKINV[[#This Row],[CANT. TOTAL]]&gt;TablaSTOCKINV[[#This Row],[MIN]],3)</f>
        <v>3</v>
      </c>
      <c r="N1279" s="34">
        <f>TablaSTOCKINV[[#This Row],[ENTRADAS]]-TablaSTOCKINV[[#This Row],[SALIDAS]]</f>
        <v>1</v>
      </c>
      <c r="O1279" s="35">
        <f>SUMIFS(TablaENTRADA[CANT],TablaENTRADA[SKU],TablaSTOCKINV[[#This Row],[SKU]])</f>
        <v>1</v>
      </c>
      <c r="P1279" s="35">
        <f>SUMIFS(TablaSALIDA[CANT],TablaSALIDA[SKU],TablaSTOCKINV[[#This Row],[SKU]])</f>
        <v>0</v>
      </c>
      <c r="Q1279" s="34">
        <f>_xlfn.XLOOKUP(TablaSTOCKINV[[#This Row],[SKU]],TablaINVENTARIO[SKU],TablaINVENTARIO[PRECIO])</f>
        <v>0</v>
      </c>
      <c r="R1279" s="34">
        <f>TablaSTOCKINV[[#This Row],[P.UNITARIO]]*TablaSTOCKINV[[#This Row],[CANT. TOTAL]]</f>
        <v>0</v>
      </c>
      <c r="S1279" s="44">
        <f>_xlfn.XLOOKUP(TablaSTOCKINV[[#This Row],[SKU]],TablaINVENTARIO[SKU],TablaINVENTARIO[FECHA INGRESO])</f>
        <v>46023</v>
      </c>
      <c r="T1279" s="44">
        <f>_xlfn.XLOOKUP(TablaSTOCKINV[[#This Row],[SKU]],TablaENTRADA[SKU],TablaENTRADA[FECHA],,0,-1)</f>
        <v>46023</v>
      </c>
      <c r="U1279" s="46" t="str">
        <f>IFERROR((_xlfn.XLOOKUP(TablaSTOCKINV[[#This Row],[SKU]],TablaSALIDA[SKU],TablaSALIDA[FECHA],,0,-1))," " )</f>
        <v xml:space="preserve"> </v>
      </c>
    </row>
    <row r="1280" spans="1:21" x14ac:dyDescent="0.3">
      <c r="A1280" s="27" t="s">
        <v>391</v>
      </c>
      <c r="B1280" s="32" t="str">
        <f>_xlfn.XLOOKUP(TablaSTOCKINV[[#This Row],[SKU]],TablaINVENTARIO[SKU],TablaINVENTARIO[DESCRIPCION])</f>
        <v>BOTA DE SEGURIDAD MEDIA CAÑA T: 39</v>
      </c>
      <c r="C1280" s="32" t="str">
        <f>_xlfn.XLOOKUP(TablaSTOCKINV[[#This Row],[SKU]],TablaINVENTARIO[SKU],TablaINVENTARIO[MARCA])</f>
        <v>BERRENDO</v>
      </c>
      <c r="D1280" s="33" t="str">
        <f>_xlfn.XLOOKUP(TablaSTOCKINV[[#This Row],[SKU]],TablaINVENTARIO[SKU],TablaINVENTARIO[CATEGORIA])</f>
        <v>EPP</v>
      </c>
      <c r="E1280" s="33" t="str">
        <f>_xlfn.XLOOKUP(TablaSTOCKINV[[#This Row],[SKU]],TablaINVENTARIO[SKU],TablaINVENTARIO[SUBCATEGORIA])</f>
        <v xml:space="preserve">PROTECCIÓN DE PIES </v>
      </c>
      <c r="F1280" s="33" t="str">
        <f>_xlfn.XLOOKUP(TablaSTOCKINV[[#This Row],[SKU]],TablaINVENTARIO[SKU],TablaINVENTARIO[ESTADO])</f>
        <v>NUEVO</v>
      </c>
      <c r="G1280" s="33" t="str">
        <f>_xlfn.XLOOKUP(TablaSTOCKINV[[#This Row],[SKU]],TablaINVENTARIO[SKU],TablaINVENTARIO[MEDIDA])</f>
        <v>PAR</v>
      </c>
      <c r="H1280" s="33" t="str">
        <f>_xlfn.XLOOKUP(TablaSTOCKINV[[#This Row],[SKU]],TablaINVENTARIO[SKU],TablaINVENTARIO[SERIAL])</f>
        <v>N/A</v>
      </c>
      <c r="I1280" s="34">
        <f>_xlfn.XLOOKUP(TablaSTOCKINV[[#This Row],[SKU]],TablaINVENTARIO[SKU],TablaINVENTARIO[ALMACEN])</f>
        <v>0</v>
      </c>
      <c r="J1280" s="34" t="str">
        <f>_xlfn.XLOOKUP(TablaSTOCKINV[[#This Row],[SKU]],TablaINVENTARIO[SKU],TablaINVENTARIO[UBICACION])</f>
        <v>G5</v>
      </c>
      <c r="K1280" s="34" t="str">
        <f>_xlfn.XLOOKUP(TablaSTOCKINV[[#This Row],[SKU]],TablaINVENTARIO[SKU],TablaINVENTARIO[DPTO RESPONSABLE])</f>
        <v xml:space="preserve">OPERACIONES </v>
      </c>
      <c r="L1280" s="53">
        <f>_xlfn.XLOOKUP(TablaSTOCKINV[[#This Row],[SKU]],TablaINVENTARIO[SKU],TablaINVENTARIO[RANGO MIN])</f>
        <v>0</v>
      </c>
      <c r="M1280" s="34" cm="1">
        <f t="array" ref="M1280">_xlfn.IFS(TablaSTOCKINV[[#This Row],[CANT. TOTAL]]&lt;=0,1,TablaSTOCKINV[[#This Row],[CANT. TOTAL]]&lt;=TablaSTOCKINV[[#This Row],[MIN]],2,TablaSTOCKINV[[#This Row],[CANT. TOTAL]]&gt;TablaSTOCKINV[[#This Row],[MIN]],3)</f>
        <v>3</v>
      </c>
      <c r="N1280" s="34">
        <f>TablaSTOCKINV[[#This Row],[ENTRADAS]]-TablaSTOCKINV[[#This Row],[SALIDAS]]</f>
        <v>1</v>
      </c>
      <c r="O1280" s="35">
        <f>SUMIFS(TablaENTRADA[CANT],TablaENTRADA[SKU],TablaSTOCKINV[[#This Row],[SKU]])</f>
        <v>1</v>
      </c>
      <c r="P1280" s="35">
        <f>SUMIFS(TablaSALIDA[CANT],TablaSALIDA[SKU],TablaSTOCKINV[[#This Row],[SKU]])</f>
        <v>0</v>
      </c>
      <c r="Q1280" s="34">
        <f>_xlfn.XLOOKUP(TablaSTOCKINV[[#This Row],[SKU]],TablaINVENTARIO[SKU],TablaINVENTARIO[PRECIO])</f>
        <v>0</v>
      </c>
      <c r="R1280" s="34">
        <f>TablaSTOCKINV[[#This Row],[P.UNITARIO]]*TablaSTOCKINV[[#This Row],[CANT. TOTAL]]</f>
        <v>0</v>
      </c>
      <c r="S1280" s="44">
        <f>_xlfn.XLOOKUP(TablaSTOCKINV[[#This Row],[SKU]],TablaINVENTARIO[SKU],TablaINVENTARIO[FECHA INGRESO])</f>
        <v>46023</v>
      </c>
      <c r="T1280" s="44">
        <f>_xlfn.XLOOKUP(TablaSTOCKINV[[#This Row],[SKU]],TablaENTRADA[SKU],TablaENTRADA[FECHA],,0,-1)</f>
        <v>46023</v>
      </c>
      <c r="U1280" s="46" t="str">
        <f>IFERROR((_xlfn.XLOOKUP(TablaSTOCKINV[[#This Row],[SKU]],TablaSALIDA[SKU],TablaSALIDA[FECHA],,0,-1))," " )</f>
        <v xml:space="preserve"> </v>
      </c>
    </row>
    <row r="1281" spans="1:21" x14ac:dyDescent="0.3">
      <c r="A1281" s="27" t="s">
        <v>393</v>
      </c>
      <c r="B1281" s="32" t="str">
        <f>_xlfn.XLOOKUP(TablaSTOCKINV[[#This Row],[SKU]],TablaINVENTARIO[SKU],TablaINVENTARIO[DESCRIPCION])</f>
        <v>BRAGA EJECUTIVA AZUL REY T: 38</v>
      </c>
      <c r="C1281" s="32" t="str">
        <f>_xlfn.XLOOKUP(TablaSTOCKINV[[#This Row],[SKU]],TablaINVENTARIO[SKU],TablaINVENTARIO[MARCA])</f>
        <v>N/A</v>
      </c>
      <c r="D1281" s="33" t="str">
        <f>_xlfn.XLOOKUP(TablaSTOCKINV[[#This Row],[SKU]],TablaINVENTARIO[SKU],TablaINVENTARIO[CATEGORIA])</f>
        <v>EPP</v>
      </c>
      <c r="E1281" s="33" t="str">
        <f>_xlfn.XLOOKUP(TablaSTOCKINV[[#This Row],[SKU]],TablaINVENTARIO[SKU],TablaINVENTARIO[SUBCATEGORIA])</f>
        <v xml:space="preserve">PROTECCION CORPORAL </v>
      </c>
      <c r="F1281" s="33" t="str">
        <f>_xlfn.XLOOKUP(TablaSTOCKINV[[#This Row],[SKU]],TablaINVENTARIO[SKU],TablaINVENTARIO[ESTADO])</f>
        <v>NUEVO</v>
      </c>
      <c r="G1281" s="33" t="str">
        <f>_xlfn.XLOOKUP(TablaSTOCKINV[[#This Row],[SKU]],TablaINVENTARIO[SKU],TablaINVENTARIO[MEDIDA])</f>
        <v xml:space="preserve">UND </v>
      </c>
      <c r="H1281" s="33" t="str">
        <f>_xlfn.XLOOKUP(TablaSTOCKINV[[#This Row],[SKU]],TablaINVENTARIO[SKU],TablaINVENTARIO[SERIAL])</f>
        <v>N/A</v>
      </c>
      <c r="I1281" s="34">
        <f>_xlfn.XLOOKUP(TablaSTOCKINV[[#This Row],[SKU]],TablaINVENTARIO[SKU],TablaINVENTARIO[ALMACEN])</f>
        <v>0</v>
      </c>
      <c r="J1281" s="34" t="str">
        <f>_xlfn.XLOOKUP(TablaSTOCKINV[[#This Row],[SKU]],TablaINVENTARIO[SKU],TablaINVENTARIO[UBICACION])</f>
        <v>G5</v>
      </c>
      <c r="K1281" s="34" t="str">
        <f>_xlfn.XLOOKUP(TablaSTOCKINV[[#This Row],[SKU]],TablaINVENTARIO[SKU],TablaINVENTARIO[DPTO RESPONSABLE])</f>
        <v>SIHO</v>
      </c>
      <c r="L1281" s="53">
        <f>_xlfn.XLOOKUP(TablaSTOCKINV[[#This Row],[SKU]],TablaINVENTARIO[SKU],TablaINVENTARIO[RANGO MIN])</f>
        <v>0</v>
      </c>
      <c r="M1281" s="34" cm="1">
        <f t="array" ref="M1281">_xlfn.IFS(TablaSTOCKINV[[#This Row],[CANT. TOTAL]]&lt;=0,1,TablaSTOCKINV[[#This Row],[CANT. TOTAL]]&lt;=TablaSTOCKINV[[#This Row],[MIN]],2,TablaSTOCKINV[[#This Row],[CANT. TOTAL]]&gt;TablaSTOCKINV[[#This Row],[MIN]],3)</f>
        <v>3</v>
      </c>
      <c r="N1281" s="34">
        <f>TablaSTOCKINV[[#This Row],[ENTRADAS]]-TablaSTOCKINV[[#This Row],[SALIDAS]]</f>
        <v>1</v>
      </c>
      <c r="O1281" s="35">
        <f>SUMIFS(TablaENTRADA[CANT],TablaENTRADA[SKU],TablaSTOCKINV[[#This Row],[SKU]])</f>
        <v>1</v>
      </c>
      <c r="P1281" s="35">
        <f>SUMIFS(TablaSALIDA[CANT],TablaSALIDA[SKU],TablaSTOCKINV[[#This Row],[SKU]])</f>
        <v>0</v>
      </c>
      <c r="Q1281" s="34">
        <f>_xlfn.XLOOKUP(TablaSTOCKINV[[#This Row],[SKU]],TablaINVENTARIO[SKU],TablaINVENTARIO[PRECIO])</f>
        <v>0</v>
      </c>
      <c r="R1281" s="34">
        <f>TablaSTOCKINV[[#This Row],[P.UNITARIO]]*TablaSTOCKINV[[#This Row],[CANT. TOTAL]]</f>
        <v>0</v>
      </c>
      <c r="S1281" s="44">
        <f>_xlfn.XLOOKUP(TablaSTOCKINV[[#This Row],[SKU]],TablaINVENTARIO[SKU],TablaINVENTARIO[FECHA INGRESO])</f>
        <v>46023</v>
      </c>
      <c r="T1281" s="44">
        <f>_xlfn.XLOOKUP(TablaSTOCKINV[[#This Row],[SKU]],TablaENTRADA[SKU],TablaENTRADA[FECHA],,0,-1)</f>
        <v>46023</v>
      </c>
      <c r="U1281" s="46" t="str">
        <f>IFERROR((_xlfn.XLOOKUP(TablaSTOCKINV[[#This Row],[SKU]],TablaSALIDA[SKU],TablaSALIDA[FECHA],,0,-1))," " )</f>
        <v xml:space="preserve"> </v>
      </c>
    </row>
    <row r="1282" spans="1:21" x14ac:dyDescent="0.3">
      <c r="A1282" s="27" t="s">
        <v>396</v>
      </c>
      <c r="B1282" s="32" t="str">
        <f>_xlfn.XLOOKUP(TablaSTOCKINV[[#This Row],[SKU]],TablaINVENTARIO[SKU],TablaINVENTARIO[DESCRIPCION])</f>
        <v>BRAGA TELA IGNIFUGA AZUL MARINO T: 42</v>
      </c>
      <c r="C1282" s="32" t="str">
        <f>_xlfn.XLOOKUP(TablaSTOCKINV[[#This Row],[SKU]],TablaINVENTARIO[SKU],TablaINVENTARIO[MARCA])</f>
        <v>CAROL</v>
      </c>
      <c r="D1282" s="33" t="str">
        <f>_xlfn.XLOOKUP(TablaSTOCKINV[[#This Row],[SKU]],TablaINVENTARIO[SKU],TablaINVENTARIO[CATEGORIA])</f>
        <v>EPP</v>
      </c>
      <c r="E1282" s="33" t="str">
        <f>_xlfn.XLOOKUP(TablaSTOCKINV[[#This Row],[SKU]],TablaINVENTARIO[SKU],TablaINVENTARIO[SUBCATEGORIA])</f>
        <v xml:space="preserve">PROTECCION CORPORAL </v>
      </c>
      <c r="F1282" s="33" t="str">
        <f>_xlfn.XLOOKUP(TablaSTOCKINV[[#This Row],[SKU]],TablaINVENTARIO[SKU],TablaINVENTARIO[ESTADO])</f>
        <v>NUEVO</v>
      </c>
      <c r="G1282" s="33" t="str">
        <f>_xlfn.XLOOKUP(TablaSTOCKINV[[#This Row],[SKU]],TablaINVENTARIO[SKU],TablaINVENTARIO[MEDIDA])</f>
        <v xml:space="preserve">UND </v>
      </c>
      <c r="H1282" s="33" t="str">
        <f>_xlfn.XLOOKUP(TablaSTOCKINV[[#This Row],[SKU]],TablaINVENTARIO[SKU],TablaINVENTARIO[SERIAL])</f>
        <v>N/A</v>
      </c>
      <c r="I1282" s="34">
        <f>_xlfn.XLOOKUP(TablaSTOCKINV[[#This Row],[SKU]],TablaINVENTARIO[SKU],TablaINVENTARIO[ALMACEN])</f>
        <v>0</v>
      </c>
      <c r="J1282" s="34" t="str">
        <f>_xlfn.XLOOKUP(TablaSTOCKINV[[#This Row],[SKU]],TablaINVENTARIO[SKU],TablaINVENTARIO[UBICACION])</f>
        <v>G5</v>
      </c>
      <c r="K1282" s="34" t="str">
        <f>_xlfn.XLOOKUP(TablaSTOCKINV[[#This Row],[SKU]],TablaINVENTARIO[SKU],TablaINVENTARIO[DPTO RESPONSABLE])</f>
        <v>SIHO</v>
      </c>
      <c r="L1282" s="53">
        <f>_xlfn.XLOOKUP(TablaSTOCKINV[[#This Row],[SKU]],TablaINVENTARIO[SKU],TablaINVENTARIO[RANGO MIN])</f>
        <v>0</v>
      </c>
      <c r="M1282" s="34" cm="1">
        <f t="array" ref="M1282">_xlfn.IFS(TablaSTOCKINV[[#This Row],[CANT. TOTAL]]&lt;=0,1,TablaSTOCKINV[[#This Row],[CANT. TOTAL]]&lt;=TablaSTOCKINV[[#This Row],[MIN]],2,TablaSTOCKINV[[#This Row],[CANT. TOTAL]]&gt;TablaSTOCKINV[[#This Row],[MIN]],3)</f>
        <v>3</v>
      </c>
      <c r="N1282" s="34">
        <f>TablaSTOCKINV[[#This Row],[ENTRADAS]]-TablaSTOCKINV[[#This Row],[SALIDAS]]</f>
        <v>1</v>
      </c>
      <c r="O1282" s="35">
        <f>SUMIFS(TablaENTRADA[CANT],TablaENTRADA[SKU],TablaSTOCKINV[[#This Row],[SKU]])</f>
        <v>1</v>
      </c>
      <c r="P1282" s="35">
        <f>SUMIFS(TablaSALIDA[CANT],TablaSALIDA[SKU],TablaSTOCKINV[[#This Row],[SKU]])</f>
        <v>0</v>
      </c>
      <c r="Q1282" s="34">
        <f>_xlfn.XLOOKUP(TablaSTOCKINV[[#This Row],[SKU]],TablaINVENTARIO[SKU],TablaINVENTARIO[PRECIO])</f>
        <v>0</v>
      </c>
      <c r="R1282" s="34">
        <f>TablaSTOCKINV[[#This Row],[P.UNITARIO]]*TablaSTOCKINV[[#This Row],[CANT. TOTAL]]</f>
        <v>0</v>
      </c>
      <c r="S1282" s="44">
        <f>_xlfn.XLOOKUP(TablaSTOCKINV[[#This Row],[SKU]],TablaINVENTARIO[SKU],TablaINVENTARIO[FECHA INGRESO])</f>
        <v>46023</v>
      </c>
      <c r="T1282" s="44">
        <f>_xlfn.XLOOKUP(TablaSTOCKINV[[#This Row],[SKU]],TablaENTRADA[SKU],TablaENTRADA[FECHA],,0,-1)</f>
        <v>46023</v>
      </c>
      <c r="U1282" s="46" t="str">
        <f>IFERROR((_xlfn.XLOOKUP(TablaSTOCKINV[[#This Row],[SKU]],TablaSALIDA[SKU],TablaSALIDA[FECHA],,0,-1))," " )</f>
        <v xml:space="preserve"> </v>
      </c>
    </row>
    <row r="1283" spans="1:21" x14ac:dyDescent="0.3">
      <c r="A1283" s="27" t="s">
        <v>399</v>
      </c>
      <c r="B1283" s="32" t="str">
        <f>_xlfn.XLOOKUP(TablaSTOCKINV[[#This Row],[SKU]],TablaINVENTARIO[SKU],TablaINVENTARIO[DESCRIPCION])</f>
        <v>BRAGA EJECUTIVA AZUL REY T: 40</v>
      </c>
      <c r="C1283" s="32" t="str">
        <f>_xlfn.XLOOKUP(TablaSTOCKINV[[#This Row],[SKU]],TablaINVENTARIO[SKU],TablaINVENTARIO[MARCA])</f>
        <v>CAROL</v>
      </c>
      <c r="D1283" s="33" t="str">
        <f>_xlfn.XLOOKUP(TablaSTOCKINV[[#This Row],[SKU]],TablaINVENTARIO[SKU],TablaINVENTARIO[CATEGORIA])</f>
        <v>EPP</v>
      </c>
      <c r="E1283" s="33" t="str">
        <f>_xlfn.XLOOKUP(TablaSTOCKINV[[#This Row],[SKU]],TablaINVENTARIO[SKU],TablaINVENTARIO[SUBCATEGORIA])</f>
        <v xml:space="preserve">PROTECCION CORPORAL </v>
      </c>
      <c r="F1283" s="33" t="str">
        <f>_xlfn.XLOOKUP(TablaSTOCKINV[[#This Row],[SKU]],TablaINVENTARIO[SKU],TablaINVENTARIO[ESTADO])</f>
        <v>NUEVO</v>
      </c>
      <c r="G1283" s="33" t="str">
        <f>_xlfn.XLOOKUP(TablaSTOCKINV[[#This Row],[SKU]],TablaINVENTARIO[SKU],TablaINVENTARIO[MEDIDA])</f>
        <v xml:space="preserve">UND </v>
      </c>
      <c r="H1283" s="33" t="str">
        <f>_xlfn.XLOOKUP(TablaSTOCKINV[[#This Row],[SKU]],TablaINVENTARIO[SKU],TablaINVENTARIO[SERIAL])</f>
        <v>N/A</v>
      </c>
      <c r="I1283" s="34">
        <f>_xlfn.XLOOKUP(TablaSTOCKINV[[#This Row],[SKU]],TablaINVENTARIO[SKU],TablaINVENTARIO[ALMACEN])</f>
        <v>0</v>
      </c>
      <c r="J1283" s="34" t="str">
        <f>_xlfn.XLOOKUP(TablaSTOCKINV[[#This Row],[SKU]],TablaINVENTARIO[SKU],TablaINVENTARIO[UBICACION])</f>
        <v>G5</v>
      </c>
      <c r="K1283" s="34" t="str">
        <f>_xlfn.XLOOKUP(TablaSTOCKINV[[#This Row],[SKU]],TablaINVENTARIO[SKU],TablaINVENTARIO[DPTO RESPONSABLE])</f>
        <v>SIHO</v>
      </c>
      <c r="L1283" s="53">
        <f>_xlfn.XLOOKUP(TablaSTOCKINV[[#This Row],[SKU]],TablaINVENTARIO[SKU],TablaINVENTARIO[RANGO MIN])</f>
        <v>0</v>
      </c>
      <c r="M1283" s="34" cm="1">
        <f t="array" ref="M1283">_xlfn.IFS(TablaSTOCKINV[[#This Row],[CANT. TOTAL]]&lt;=0,1,TablaSTOCKINV[[#This Row],[CANT. TOTAL]]&lt;=TablaSTOCKINV[[#This Row],[MIN]],2,TablaSTOCKINV[[#This Row],[CANT. TOTAL]]&gt;TablaSTOCKINV[[#This Row],[MIN]],3)</f>
        <v>3</v>
      </c>
      <c r="N1283" s="34">
        <f>TablaSTOCKINV[[#This Row],[ENTRADAS]]-TablaSTOCKINV[[#This Row],[SALIDAS]]</f>
        <v>1</v>
      </c>
      <c r="O1283" s="35">
        <f>SUMIFS(TablaENTRADA[CANT],TablaENTRADA[SKU],TablaSTOCKINV[[#This Row],[SKU]])</f>
        <v>1</v>
      </c>
      <c r="P1283" s="35">
        <f>SUMIFS(TablaSALIDA[CANT],TablaSALIDA[SKU],TablaSTOCKINV[[#This Row],[SKU]])</f>
        <v>0</v>
      </c>
      <c r="Q1283" s="34">
        <f>_xlfn.XLOOKUP(TablaSTOCKINV[[#This Row],[SKU]],TablaINVENTARIO[SKU],TablaINVENTARIO[PRECIO])</f>
        <v>0</v>
      </c>
      <c r="R1283" s="34">
        <f>TablaSTOCKINV[[#This Row],[P.UNITARIO]]*TablaSTOCKINV[[#This Row],[CANT. TOTAL]]</f>
        <v>0</v>
      </c>
      <c r="S1283" s="44">
        <f>_xlfn.XLOOKUP(TablaSTOCKINV[[#This Row],[SKU]],TablaINVENTARIO[SKU],TablaINVENTARIO[FECHA INGRESO])</f>
        <v>46023</v>
      </c>
      <c r="T1283" s="44">
        <f>_xlfn.XLOOKUP(TablaSTOCKINV[[#This Row],[SKU]],TablaENTRADA[SKU],TablaENTRADA[FECHA],,0,-1)</f>
        <v>46023</v>
      </c>
      <c r="U1283" s="46" t="str">
        <f>IFERROR((_xlfn.XLOOKUP(TablaSTOCKINV[[#This Row],[SKU]],TablaSALIDA[SKU],TablaSALIDA[FECHA],,0,-1))," " )</f>
        <v xml:space="preserve"> </v>
      </c>
    </row>
    <row r="1284" spans="1:21" x14ac:dyDescent="0.3">
      <c r="A1284" s="27" t="s">
        <v>401</v>
      </c>
      <c r="B1284" s="32" t="str">
        <f>_xlfn.XLOOKUP(TablaSTOCKINV[[#This Row],[SKU]],TablaINVENTARIO[SKU],TablaINVENTARIO[DESCRIPCION])</f>
        <v>BRAGA EJECUTIVA AZUL MARINO T: 36</v>
      </c>
      <c r="C1284" s="32" t="str">
        <f>_xlfn.XLOOKUP(TablaSTOCKINV[[#This Row],[SKU]],TablaINVENTARIO[SKU],TablaINVENTARIO[MARCA])</f>
        <v>N/A</v>
      </c>
      <c r="D1284" s="33" t="str">
        <f>_xlfn.XLOOKUP(TablaSTOCKINV[[#This Row],[SKU]],TablaINVENTARIO[SKU],TablaINVENTARIO[CATEGORIA])</f>
        <v>EPP</v>
      </c>
      <c r="E1284" s="33" t="str">
        <f>_xlfn.XLOOKUP(TablaSTOCKINV[[#This Row],[SKU]],TablaINVENTARIO[SKU],TablaINVENTARIO[SUBCATEGORIA])</f>
        <v xml:space="preserve">PROTECCION CORPORAL </v>
      </c>
      <c r="F1284" s="33" t="str">
        <f>_xlfn.XLOOKUP(TablaSTOCKINV[[#This Row],[SKU]],TablaINVENTARIO[SKU],TablaINVENTARIO[ESTADO])</f>
        <v>NUEVO</v>
      </c>
      <c r="G1284" s="33" t="str">
        <f>_xlfn.XLOOKUP(TablaSTOCKINV[[#This Row],[SKU]],TablaINVENTARIO[SKU],TablaINVENTARIO[MEDIDA])</f>
        <v xml:space="preserve">UND </v>
      </c>
      <c r="H1284" s="33" t="str">
        <f>_xlfn.XLOOKUP(TablaSTOCKINV[[#This Row],[SKU]],TablaINVENTARIO[SKU],TablaINVENTARIO[SERIAL])</f>
        <v>N/A</v>
      </c>
      <c r="I1284" s="34">
        <f>_xlfn.XLOOKUP(TablaSTOCKINV[[#This Row],[SKU]],TablaINVENTARIO[SKU],TablaINVENTARIO[ALMACEN])</f>
        <v>0</v>
      </c>
      <c r="J1284" s="34" t="str">
        <f>_xlfn.XLOOKUP(TablaSTOCKINV[[#This Row],[SKU]],TablaINVENTARIO[SKU],TablaINVENTARIO[UBICACION])</f>
        <v>G5</v>
      </c>
      <c r="K1284" s="34" t="str">
        <f>_xlfn.XLOOKUP(TablaSTOCKINV[[#This Row],[SKU]],TablaINVENTARIO[SKU],TablaINVENTARIO[DPTO RESPONSABLE])</f>
        <v>SIHO</v>
      </c>
      <c r="L1284" s="53">
        <f>_xlfn.XLOOKUP(TablaSTOCKINV[[#This Row],[SKU]],TablaINVENTARIO[SKU],TablaINVENTARIO[RANGO MIN])</f>
        <v>0</v>
      </c>
      <c r="M1284" s="34" cm="1">
        <f t="array" ref="M1284">_xlfn.IFS(TablaSTOCKINV[[#This Row],[CANT. TOTAL]]&lt;=0,1,TablaSTOCKINV[[#This Row],[CANT. TOTAL]]&lt;=TablaSTOCKINV[[#This Row],[MIN]],2,TablaSTOCKINV[[#This Row],[CANT. TOTAL]]&gt;TablaSTOCKINV[[#This Row],[MIN]],3)</f>
        <v>3</v>
      </c>
      <c r="N1284" s="34">
        <f>TablaSTOCKINV[[#This Row],[ENTRADAS]]-TablaSTOCKINV[[#This Row],[SALIDAS]]</f>
        <v>1</v>
      </c>
      <c r="O1284" s="35">
        <f>SUMIFS(TablaENTRADA[CANT],TablaENTRADA[SKU],TablaSTOCKINV[[#This Row],[SKU]])</f>
        <v>1</v>
      </c>
      <c r="P1284" s="35">
        <f>SUMIFS(TablaSALIDA[CANT],TablaSALIDA[SKU],TablaSTOCKINV[[#This Row],[SKU]])</f>
        <v>0</v>
      </c>
      <c r="Q1284" s="34">
        <f>_xlfn.XLOOKUP(TablaSTOCKINV[[#This Row],[SKU]],TablaINVENTARIO[SKU],TablaINVENTARIO[PRECIO])</f>
        <v>0</v>
      </c>
      <c r="R1284" s="34">
        <f>TablaSTOCKINV[[#This Row],[P.UNITARIO]]*TablaSTOCKINV[[#This Row],[CANT. TOTAL]]</f>
        <v>0</v>
      </c>
      <c r="S1284" s="44">
        <f>_xlfn.XLOOKUP(TablaSTOCKINV[[#This Row],[SKU]],TablaINVENTARIO[SKU],TablaINVENTARIO[FECHA INGRESO])</f>
        <v>46023</v>
      </c>
      <c r="T1284" s="44">
        <f>_xlfn.XLOOKUP(TablaSTOCKINV[[#This Row],[SKU]],TablaENTRADA[SKU],TablaENTRADA[FECHA],,0,-1)</f>
        <v>46023</v>
      </c>
      <c r="U1284" s="46" t="str">
        <f>IFERROR((_xlfn.XLOOKUP(TablaSTOCKINV[[#This Row],[SKU]],TablaSALIDA[SKU],TablaSALIDA[FECHA],,0,-1))," " )</f>
        <v xml:space="preserve"> </v>
      </c>
    </row>
    <row r="1285" spans="1:21" x14ac:dyDescent="0.3">
      <c r="A1285" s="27" t="s">
        <v>291</v>
      </c>
      <c r="B1285" s="32" t="str">
        <f>_xlfn.XLOOKUP(TablaSTOCKINV[[#This Row],[SKU]],TablaINVENTARIO[SKU],TablaINVENTARIO[DESCRIPCION])</f>
        <v>TELEVISOR 32"</v>
      </c>
      <c r="C1285" s="32" t="str">
        <f>_xlfn.XLOOKUP(TablaSTOCKINV[[#This Row],[SKU]],TablaINVENTARIO[SKU],TablaINVENTARIO[MARCA])</f>
        <v xml:space="preserve">PANASONIC </v>
      </c>
      <c r="D1285" s="33" t="str">
        <f>_xlfn.XLOOKUP(TablaSTOCKINV[[#This Row],[SKU]],TablaINVENTARIO[SKU],TablaINVENTARIO[CATEGORIA])</f>
        <v>ELECTRONICA_DE_CONSUMO</v>
      </c>
      <c r="E1285" s="33" t="str">
        <f>_xlfn.XLOOKUP(TablaSTOCKINV[[#This Row],[SKU]],TablaINVENTARIO[SKU],TablaINVENTARIO[SUBCATEGORIA])</f>
        <v xml:space="preserve">TELEVISOR </v>
      </c>
      <c r="F1285" s="33" t="str">
        <f>_xlfn.XLOOKUP(TablaSTOCKINV[[#This Row],[SKU]],TablaINVENTARIO[SKU],TablaINVENTARIO[ESTADO])</f>
        <v>USADO</v>
      </c>
      <c r="G1285" s="33" t="str">
        <f>_xlfn.XLOOKUP(TablaSTOCKINV[[#This Row],[SKU]],TablaINVENTARIO[SKU],TablaINVENTARIO[MEDIDA])</f>
        <v xml:space="preserve">UND </v>
      </c>
      <c r="H1285" s="33" t="str">
        <f>_xlfn.XLOOKUP(TablaSTOCKINV[[#This Row],[SKU]],TablaINVENTARIO[SKU],TablaINVENTARIO[SERIAL])</f>
        <v>EXEB41038126</v>
      </c>
      <c r="I1285" s="34">
        <f>_xlfn.XLOOKUP(TablaSTOCKINV[[#This Row],[SKU]],TablaINVENTARIO[SKU],TablaINVENTARIO[ALMACEN])</f>
        <v>0</v>
      </c>
      <c r="J1285" s="34" t="str">
        <f>_xlfn.XLOOKUP(TablaSTOCKINV[[#This Row],[SKU]],TablaINVENTARIO[SKU],TablaINVENTARIO[UBICACION])</f>
        <v xml:space="preserve">CUARTO DE ALMACENAMIENTO </v>
      </c>
      <c r="K1285" s="34" t="str">
        <f>_xlfn.XLOOKUP(TablaSTOCKINV[[#This Row],[SKU]],TablaINVENTARIO[SKU],TablaINVENTARIO[DPTO RESPONSABLE])</f>
        <v xml:space="preserve">CONSUMO GENERAL </v>
      </c>
      <c r="L1285" s="53">
        <f>_xlfn.XLOOKUP(TablaSTOCKINV[[#This Row],[SKU]],TablaINVENTARIO[SKU],TablaINVENTARIO[RANGO MIN])</f>
        <v>0</v>
      </c>
      <c r="M1285" s="34" cm="1">
        <f t="array" ref="M1285">_xlfn.IFS(TablaSTOCKINV[[#This Row],[CANT. TOTAL]]&lt;=0,1,TablaSTOCKINV[[#This Row],[CANT. TOTAL]]&lt;=TablaSTOCKINV[[#This Row],[MIN]],2,TablaSTOCKINV[[#This Row],[CANT. TOTAL]]&gt;TablaSTOCKINV[[#This Row],[MIN]],3)</f>
        <v>3</v>
      </c>
      <c r="N1285" s="34">
        <f>TablaSTOCKINV[[#This Row],[ENTRADAS]]-TablaSTOCKINV[[#This Row],[SALIDAS]]</f>
        <v>1</v>
      </c>
      <c r="O1285" s="35">
        <f>SUMIFS(TablaENTRADA[CANT],TablaENTRADA[SKU],TablaSTOCKINV[[#This Row],[SKU]])</f>
        <v>1</v>
      </c>
      <c r="P1285" s="35">
        <f>SUMIFS(TablaSALIDA[CANT],TablaSALIDA[SKU],TablaSTOCKINV[[#This Row],[SKU]])</f>
        <v>0</v>
      </c>
      <c r="Q1285" s="34">
        <f>_xlfn.XLOOKUP(TablaSTOCKINV[[#This Row],[SKU]],TablaINVENTARIO[SKU],TablaINVENTARIO[PRECIO])</f>
        <v>0</v>
      </c>
      <c r="R1285" s="34">
        <f>TablaSTOCKINV[[#This Row],[P.UNITARIO]]*TablaSTOCKINV[[#This Row],[CANT. TOTAL]]</f>
        <v>0</v>
      </c>
      <c r="S1285" s="44">
        <f>_xlfn.XLOOKUP(TablaSTOCKINV[[#This Row],[SKU]],TablaINVENTARIO[SKU],TablaINVENTARIO[FECHA INGRESO])</f>
        <v>46023</v>
      </c>
      <c r="T1285" s="44">
        <f>_xlfn.XLOOKUP(TablaSTOCKINV[[#This Row],[SKU]],TablaENTRADA[SKU],TablaENTRADA[FECHA],,0,-1)</f>
        <v>46023</v>
      </c>
      <c r="U1285" s="46" t="str">
        <f>IFERROR((_xlfn.XLOOKUP(TablaSTOCKINV[[#This Row],[SKU]],TablaSALIDA[SKU],TablaSALIDA[FECHA],,0,-1))," " )</f>
        <v xml:space="preserve"> </v>
      </c>
    </row>
    <row r="1286" spans="1:21" x14ac:dyDescent="0.3">
      <c r="A1286" s="27" t="s">
        <v>297</v>
      </c>
      <c r="B1286" s="32" t="str">
        <f>_xlfn.XLOOKUP(TablaSTOCKINV[[#This Row],[SKU]],TablaINVENTARIO[SKU],TablaINVENTARIO[DESCRIPCION])</f>
        <v>TELEVISOR 32"</v>
      </c>
      <c r="C1286" s="32" t="str">
        <f>_xlfn.XLOOKUP(TablaSTOCKINV[[#This Row],[SKU]],TablaINVENTARIO[SKU],TablaINVENTARIO[MARCA])</f>
        <v xml:space="preserve">PANASONIC </v>
      </c>
      <c r="D1286" s="33" t="str">
        <f>_xlfn.XLOOKUP(TablaSTOCKINV[[#This Row],[SKU]],TablaINVENTARIO[SKU],TablaINVENTARIO[CATEGORIA])</f>
        <v>ELECTRONICA_DE_CONSUMO</v>
      </c>
      <c r="E1286" s="33" t="str">
        <f>_xlfn.XLOOKUP(TablaSTOCKINV[[#This Row],[SKU]],TablaINVENTARIO[SKU],TablaINVENTARIO[SUBCATEGORIA])</f>
        <v xml:space="preserve">TELEVISOR </v>
      </c>
      <c r="F1286" s="33" t="str">
        <f>_xlfn.XLOOKUP(TablaSTOCKINV[[#This Row],[SKU]],TablaINVENTARIO[SKU],TablaINVENTARIO[ESTADO])</f>
        <v>USADO</v>
      </c>
      <c r="G1286" s="33" t="str">
        <f>_xlfn.XLOOKUP(TablaSTOCKINV[[#This Row],[SKU]],TablaINVENTARIO[SKU],TablaINVENTARIO[MEDIDA])</f>
        <v xml:space="preserve">UND </v>
      </c>
      <c r="H1286" s="33" t="str">
        <f>_xlfn.XLOOKUP(TablaSTOCKINV[[#This Row],[SKU]],TablaINVENTARIO[SKU],TablaINVENTARIO[SERIAL])</f>
        <v>EXBB41029485</v>
      </c>
      <c r="I1286" s="34">
        <f>_xlfn.XLOOKUP(TablaSTOCKINV[[#This Row],[SKU]],TablaINVENTARIO[SKU],TablaINVENTARIO[ALMACEN])</f>
        <v>0</v>
      </c>
      <c r="J1286" s="34" t="str">
        <f>_xlfn.XLOOKUP(TablaSTOCKINV[[#This Row],[SKU]],TablaINVENTARIO[SKU],TablaINVENTARIO[UBICACION])</f>
        <v xml:space="preserve">CUARTO DE ALMACENAMIENTO </v>
      </c>
      <c r="K1286" s="34" t="str">
        <f>_xlfn.XLOOKUP(TablaSTOCKINV[[#This Row],[SKU]],TablaINVENTARIO[SKU],TablaINVENTARIO[DPTO RESPONSABLE])</f>
        <v xml:space="preserve">CONSUMO GENERAL </v>
      </c>
      <c r="L1286" s="53">
        <f>_xlfn.XLOOKUP(TablaSTOCKINV[[#This Row],[SKU]],TablaINVENTARIO[SKU],TablaINVENTARIO[RANGO MIN])</f>
        <v>0</v>
      </c>
      <c r="M1286" s="34" cm="1">
        <f t="array" ref="M1286">_xlfn.IFS(TablaSTOCKINV[[#This Row],[CANT. TOTAL]]&lt;=0,1,TablaSTOCKINV[[#This Row],[CANT. TOTAL]]&lt;=TablaSTOCKINV[[#This Row],[MIN]],2,TablaSTOCKINV[[#This Row],[CANT. TOTAL]]&gt;TablaSTOCKINV[[#This Row],[MIN]],3)</f>
        <v>3</v>
      </c>
      <c r="N1286" s="34">
        <f>TablaSTOCKINV[[#This Row],[ENTRADAS]]-TablaSTOCKINV[[#This Row],[SALIDAS]]</f>
        <v>1</v>
      </c>
      <c r="O1286" s="35">
        <f>SUMIFS(TablaENTRADA[CANT],TablaENTRADA[SKU],TablaSTOCKINV[[#This Row],[SKU]])</f>
        <v>1</v>
      </c>
      <c r="P1286" s="35">
        <f>SUMIFS(TablaSALIDA[CANT],TablaSALIDA[SKU],TablaSTOCKINV[[#This Row],[SKU]])</f>
        <v>0</v>
      </c>
      <c r="Q1286" s="34">
        <f>_xlfn.XLOOKUP(TablaSTOCKINV[[#This Row],[SKU]],TablaINVENTARIO[SKU],TablaINVENTARIO[PRECIO])</f>
        <v>0</v>
      </c>
      <c r="R1286" s="34">
        <f>TablaSTOCKINV[[#This Row],[P.UNITARIO]]*TablaSTOCKINV[[#This Row],[CANT. TOTAL]]</f>
        <v>0</v>
      </c>
      <c r="S1286" s="44">
        <f>_xlfn.XLOOKUP(TablaSTOCKINV[[#This Row],[SKU]],TablaINVENTARIO[SKU],TablaINVENTARIO[FECHA INGRESO])</f>
        <v>46023</v>
      </c>
      <c r="T1286" s="44">
        <f>_xlfn.XLOOKUP(TablaSTOCKINV[[#This Row],[SKU]],TablaENTRADA[SKU],TablaENTRADA[FECHA],,0,-1)</f>
        <v>46023</v>
      </c>
      <c r="U1286" s="46" t="str">
        <f>IFERROR((_xlfn.XLOOKUP(TablaSTOCKINV[[#This Row],[SKU]],TablaSALIDA[SKU],TablaSALIDA[FECHA],,0,-1))," " )</f>
        <v xml:space="preserve"> </v>
      </c>
    </row>
    <row r="1287" spans="1:21" x14ac:dyDescent="0.3">
      <c r="A1287" s="27" t="s">
        <v>299</v>
      </c>
      <c r="B1287" s="32" t="str">
        <f>_xlfn.XLOOKUP(TablaSTOCKINV[[#This Row],[SKU]],TablaINVENTARIO[SKU],TablaINVENTARIO[DESCRIPCION])</f>
        <v xml:space="preserve">CORNETA DE SONIDO MODELO: MX-T50 </v>
      </c>
      <c r="C1287" s="32" t="str">
        <f>_xlfn.XLOOKUP(TablaSTOCKINV[[#This Row],[SKU]],TablaINVENTARIO[SKU],TablaINVENTARIO[MARCA])</f>
        <v xml:space="preserve">SAMSUNG </v>
      </c>
      <c r="D1287" s="33" t="str">
        <f>_xlfn.XLOOKUP(TablaSTOCKINV[[#This Row],[SKU]],TablaINVENTARIO[SKU],TablaINVENTARIO[CATEGORIA])</f>
        <v>ELECTRONICA_DE_CONSUMO</v>
      </c>
      <c r="E1287" s="33" t="str">
        <f>_xlfn.XLOOKUP(TablaSTOCKINV[[#This Row],[SKU]],TablaINVENTARIO[SKU],TablaINVENTARIO[SUBCATEGORIA])</f>
        <v xml:space="preserve">EQUIPO DE SONIDO </v>
      </c>
      <c r="F1287" s="33" t="str">
        <f>_xlfn.XLOOKUP(TablaSTOCKINV[[#This Row],[SKU]],TablaINVENTARIO[SKU],TablaINVENTARIO[ESTADO])</f>
        <v>USADO</v>
      </c>
      <c r="G1287" s="33" t="str">
        <f>_xlfn.XLOOKUP(TablaSTOCKINV[[#This Row],[SKU]],TablaINVENTARIO[SKU],TablaINVENTARIO[MEDIDA])</f>
        <v xml:space="preserve">UND </v>
      </c>
      <c r="H1287" s="33" t="str">
        <f>_xlfn.XLOOKUP(TablaSTOCKINV[[#This Row],[SKU]],TablaINVENTARIO[SKU],TablaINVENTARIO[SERIAL])</f>
        <v>CWEF14CX400398V</v>
      </c>
      <c r="I1287" s="34">
        <f>_xlfn.XLOOKUP(TablaSTOCKINV[[#This Row],[SKU]],TablaINVENTARIO[SKU],TablaINVENTARIO[ALMACEN])</f>
        <v>0</v>
      </c>
      <c r="J1287" s="34" t="str">
        <f>_xlfn.XLOOKUP(TablaSTOCKINV[[#This Row],[SKU]],TablaINVENTARIO[SKU],TablaINVENTARIO[UBICACION])</f>
        <v xml:space="preserve">CUARTO DE ALMACENAMIENTO </v>
      </c>
      <c r="K1287" s="34" t="str">
        <f>_xlfn.XLOOKUP(TablaSTOCKINV[[#This Row],[SKU]],TablaINVENTARIO[SKU],TablaINVENTARIO[DPTO RESPONSABLE])</f>
        <v xml:space="preserve">CONSUMO GENERAL </v>
      </c>
      <c r="L1287" s="53">
        <f>_xlfn.XLOOKUP(TablaSTOCKINV[[#This Row],[SKU]],TablaINVENTARIO[SKU],TablaINVENTARIO[RANGO MIN])</f>
        <v>0</v>
      </c>
      <c r="M1287" s="34" cm="1">
        <f t="array" ref="M1287">_xlfn.IFS(TablaSTOCKINV[[#This Row],[CANT. TOTAL]]&lt;=0,1,TablaSTOCKINV[[#This Row],[CANT. TOTAL]]&lt;=TablaSTOCKINV[[#This Row],[MIN]],2,TablaSTOCKINV[[#This Row],[CANT. TOTAL]]&gt;TablaSTOCKINV[[#This Row],[MIN]],3)</f>
        <v>3</v>
      </c>
      <c r="N1287" s="34">
        <f>TablaSTOCKINV[[#This Row],[ENTRADAS]]-TablaSTOCKINV[[#This Row],[SALIDAS]]</f>
        <v>1</v>
      </c>
      <c r="O1287" s="35">
        <f>SUMIFS(TablaENTRADA[CANT],TablaENTRADA[SKU],TablaSTOCKINV[[#This Row],[SKU]])</f>
        <v>1</v>
      </c>
      <c r="P1287" s="35">
        <f>SUMIFS(TablaSALIDA[CANT],TablaSALIDA[SKU],TablaSTOCKINV[[#This Row],[SKU]])</f>
        <v>0</v>
      </c>
      <c r="Q1287" s="34">
        <f>_xlfn.XLOOKUP(TablaSTOCKINV[[#This Row],[SKU]],TablaINVENTARIO[SKU],TablaINVENTARIO[PRECIO])</f>
        <v>0</v>
      </c>
      <c r="R1287" s="34">
        <f>TablaSTOCKINV[[#This Row],[P.UNITARIO]]*TablaSTOCKINV[[#This Row],[CANT. TOTAL]]</f>
        <v>0</v>
      </c>
      <c r="S1287" s="44">
        <f>_xlfn.XLOOKUP(TablaSTOCKINV[[#This Row],[SKU]],TablaINVENTARIO[SKU],TablaINVENTARIO[FECHA INGRESO])</f>
        <v>46023</v>
      </c>
      <c r="T1287" s="44">
        <f>_xlfn.XLOOKUP(TablaSTOCKINV[[#This Row],[SKU]],TablaENTRADA[SKU],TablaENTRADA[FECHA],,0,-1)</f>
        <v>46023</v>
      </c>
      <c r="U1287" s="46" t="str">
        <f>IFERROR((_xlfn.XLOOKUP(TablaSTOCKINV[[#This Row],[SKU]],TablaSALIDA[SKU],TablaSALIDA[FECHA],,0,-1))," " )</f>
        <v xml:space="preserve"> </v>
      </c>
    </row>
    <row r="1288" spans="1:21" x14ac:dyDescent="0.3">
      <c r="A1288" s="27" t="s">
        <v>304</v>
      </c>
      <c r="B1288" s="32" t="str">
        <f>_xlfn.XLOOKUP(TablaSTOCKINV[[#This Row],[SKU]],TablaINVENTARIO[SKU],TablaINVENTARIO[DESCRIPCION])</f>
        <v>FUENTE DE ALIMENTACION INDUSTRIAL PARA CARRIL DIN MODELO: DRA 240-24A</v>
      </c>
      <c r="C1288" s="32" t="str">
        <f>_xlfn.XLOOKUP(TablaSTOCKINV[[#This Row],[SKU]],TablaINVENTARIO[SKU],TablaINVENTARIO[MARCA])</f>
        <v>CHINFA</v>
      </c>
      <c r="D1288" s="33" t="str">
        <f>_xlfn.XLOOKUP(TablaSTOCKINV[[#This Row],[SKU]],TablaINVENTARIO[SKU],TablaINVENTARIO[CATEGORIA])</f>
        <v>ELECTRONICA_DE_CONSUMO</v>
      </c>
      <c r="E1288" s="33" t="str">
        <f>_xlfn.XLOOKUP(TablaSTOCKINV[[#This Row],[SKU]],TablaINVENTARIO[SKU],TablaINVENTARIO[SUBCATEGORIA])</f>
        <v xml:space="preserve">FUENTE DE PODER </v>
      </c>
      <c r="F1288" s="33" t="str">
        <f>_xlfn.XLOOKUP(TablaSTOCKINV[[#This Row],[SKU]],TablaINVENTARIO[SKU],TablaINVENTARIO[ESTADO])</f>
        <v>USADO</v>
      </c>
      <c r="G1288" s="33" t="str">
        <f>_xlfn.XLOOKUP(TablaSTOCKINV[[#This Row],[SKU]],TablaINVENTARIO[SKU],TablaINVENTARIO[MEDIDA])</f>
        <v>UND</v>
      </c>
      <c r="H1288" s="33" t="str">
        <f>_xlfn.XLOOKUP(TablaSTOCKINV[[#This Row],[SKU]],TablaINVENTARIO[SKU],TablaINVENTARIO[SERIAL])</f>
        <v>N/A</v>
      </c>
      <c r="I1288" s="34">
        <f>_xlfn.XLOOKUP(TablaSTOCKINV[[#This Row],[SKU]],TablaINVENTARIO[SKU],TablaINVENTARIO[ALMACEN])</f>
        <v>0</v>
      </c>
      <c r="J1288" s="34" t="str">
        <f>_xlfn.XLOOKUP(TablaSTOCKINV[[#This Row],[SKU]],TablaINVENTARIO[SKU],TablaINVENTARIO[UBICACION])</f>
        <v>I3-2</v>
      </c>
      <c r="K1288" s="34" t="str">
        <f>_xlfn.XLOOKUP(TablaSTOCKINV[[#This Row],[SKU]],TablaINVENTARIO[SKU],TablaINVENTARIO[DPTO RESPONSABLE])</f>
        <v>OPERACIONES</v>
      </c>
      <c r="L1288" s="53">
        <f>_xlfn.XLOOKUP(TablaSTOCKINV[[#This Row],[SKU]],TablaINVENTARIO[SKU],TablaINVENTARIO[RANGO MIN])</f>
        <v>0</v>
      </c>
      <c r="M1288" s="34" cm="1">
        <f t="array" ref="M1288">_xlfn.IFS(TablaSTOCKINV[[#This Row],[CANT. TOTAL]]&lt;=0,1,TablaSTOCKINV[[#This Row],[CANT. TOTAL]]&lt;=TablaSTOCKINV[[#This Row],[MIN]],2,TablaSTOCKINV[[#This Row],[CANT. TOTAL]]&gt;TablaSTOCKINV[[#This Row],[MIN]],3)</f>
        <v>3</v>
      </c>
      <c r="N1288" s="34">
        <f>TablaSTOCKINV[[#This Row],[ENTRADAS]]-TablaSTOCKINV[[#This Row],[SALIDAS]]</f>
        <v>1</v>
      </c>
      <c r="O1288" s="35">
        <f>SUMIFS(TablaENTRADA[CANT],TablaENTRADA[SKU],TablaSTOCKINV[[#This Row],[SKU]])</f>
        <v>1</v>
      </c>
      <c r="P1288" s="35">
        <f>SUMIFS(TablaSALIDA[CANT],TablaSALIDA[SKU],TablaSTOCKINV[[#This Row],[SKU]])</f>
        <v>0</v>
      </c>
      <c r="Q1288" s="34">
        <f>_xlfn.XLOOKUP(TablaSTOCKINV[[#This Row],[SKU]],TablaINVENTARIO[SKU],TablaINVENTARIO[PRECIO])</f>
        <v>0</v>
      </c>
      <c r="R1288" s="34">
        <f>TablaSTOCKINV[[#This Row],[P.UNITARIO]]*TablaSTOCKINV[[#This Row],[CANT. TOTAL]]</f>
        <v>0</v>
      </c>
      <c r="S1288" s="44">
        <f>_xlfn.XLOOKUP(TablaSTOCKINV[[#This Row],[SKU]],TablaINVENTARIO[SKU],TablaINVENTARIO[FECHA INGRESO])</f>
        <v>46023</v>
      </c>
      <c r="T1288" s="44">
        <f>_xlfn.XLOOKUP(TablaSTOCKINV[[#This Row],[SKU]],TablaENTRADA[SKU],TablaENTRADA[FECHA],,0,-1)</f>
        <v>46023</v>
      </c>
      <c r="U1288" s="46" t="str">
        <f>IFERROR((_xlfn.XLOOKUP(TablaSTOCKINV[[#This Row],[SKU]],TablaSALIDA[SKU],TablaSALIDA[FECHA],,0,-1))," " )</f>
        <v xml:space="preserve"> </v>
      </c>
    </row>
    <row r="1289" spans="1:21" x14ac:dyDescent="0.3">
      <c r="A1289" s="27" t="s">
        <v>310</v>
      </c>
      <c r="B1289" s="32" t="str">
        <f>_xlfn.XLOOKUP(TablaSTOCKINV[[#This Row],[SKU]],TablaINVENTARIO[SKU],TablaINVENTARIO[DESCRIPCION])</f>
        <v xml:space="preserve">CAMARA FOTOGRAFICA </v>
      </c>
      <c r="C1289" s="32" t="str">
        <f>_xlfn.XLOOKUP(TablaSTOCKINV[[#This Row],[SKU]],TablaINVENTARIO[SKU],TablaINVENTARIO[MARCA])</f>
        <v xml:space="preserve">SONY </v>
      </c>
      <c r="D1289" s="33" t="str">
        <f>_xlfn.XLOOKUP(TablaSTOCKINV[[#This Row],[SKU]],TablaINVENTARIO[SKU],TablaINVENTARIO[CATEGORIA])</f>
        <v>ELECTRONICA_DE_CONSUMO</v>
      </c>
      <c r="E1289" s="33" t="str">
        <f>_xlfn.XLOOKUP(TablaSTOCKINV[[#This Row],[SKU]],TablaINVENTARIO[SKU],TablaINVENTARIO[SUBCATEGORIA])</f>
        <v xml:space="preserve">EQUIPO DE VIDEO </v>
      </c>
      <c r="F1289" s="33" t="str">
        <f>_xlfn.XLOOKUP(TablaSTOCKINV[[#This Row],[SKU]],TablaINVENTARIO[SKU],TablaINVENTARIO[ESTADO])</f>
        <v>USADO</v>
      </c>
      <c r="G1289" s="33" t="str">
        <f>_xlfn.XLOOKUP(TablaSTOCKINV[[#This Row],[SKU]],TablaINVENTARIO[SKU],TablaINVENTARIO[MEDIDA])</f>
        <v xml:space="preserve">UND </v>
      </c>
      <c r="H1289" s="33">
        <f>_xlfn.XLOOKUP(TablaSTOCKINV[[#This Row],[SKU]],TablaINVENTARIO[SKU],TablaINVENTARIO[SERIAL])</f>
        <v>699005</v>
      </c>
      <c r="I1289" s="34">
        <f>_xlfn.XLOOKUP(TablaSTOCKINV[[#This Row],[SKU]],TablaINVENTARIO[SKU],TablaINVENTARIO[ALMACEN])</f>
        <v>0</v>
      </c>
      <c r="J1289" s="34" t="str">
        <f>_xlfn.XLOOKUP(TablaSTOCKINV[[#This Row],[SKU]],TablaINVENTARIO[SKU],TablaINVENTARIO[UBICACION])</f>
        <v>1E</v>
      </c>
      <c r="K1289" s="34" t="str">
        <f>_xlfn.XLOOKUP(TablaSTOCKINV[[#This Row],[SKU]],TablaINVENTARIO[SKU],TablaINVENTARIO[DPTO RESPONSABLE])</f>
        <v xml:space="preserve">CONSUMO GENERAL </v>
      </c>
      <c r="L1289" s="53">
        <f>_xlfn.XLOOKUP(TablaSTOCKINV[[#This Row],[SKU]],TablaINVENTARIO[SKU],TablaINVENTARIO[RANGO MIN])</f>
        <v>0</v>
      </c>
      <c r="M1289" s="34" cm="1">
        <f t="array" ref="M1289">_xlfn.IFS(TablaSTOCKINV[[#This Row],[CANT. TOTAL]]&lt;=0,1,TablaSTOCKINV[[#This Row],[CANT. TOTAL]]&lt;=TablaSTOCKINV[[#This Row],[MIN]],2,TablaSTOCKINV[[#This Row],[CANT. TOTAL]]&gt;TablaSTOCKINV[[#This Row],[MIN]],3)</f>
        <v>3</v>
      </c>
      <c r="N1289" s="34">
        <f>TablaSTOCKINV[[#This Row],[ENTRADAS]]-TablaSTOCKINV[[#This Row],[SALIDAS]]</f>
        <v>1</v>
      </c>
      <c r="O1289" s="35">
        <f>SUMIFS(TablaENTRADA[CANT],TablaENTRADA[SKU],TablaSTOCKINV[[#This Row],[SKU]])</f>
        <v>1</v>
      </c>
      <c r="P1289" s="35">
        <f>SUMIFS(TablaSALIDA[CANT],TablaSALIDA[SKU],TablaSTOCKINV[[#This Row],[SKU]])</f>
        <v>0</v>
      </c>
      <c r="Q1289" s="34">
        <f>_xlfn.XLOOKUP(TablaSTOCKINV[[#This Row],[SKU]],TablaINVENTARIO[SKU],TablaINVENTARIO[PRECIO])</f>
        <v>0</v>
      </c>
      <c r="R1289" s="34">
        <f>TablaSTOCKINV[[#This Row],[P.UNITARIO]]*TablaSTOCKINV[[#This Row],[CANT. TOTAL]]</f>
        <v>0</v>
      </c>
      <c r="S1289" s="44">
        <f>_xlfn.XLOOKUP(TablaSTOCKINV[[#This Row],[SKU]],TablaINVENTARIO[SKU],TablaINVENTARIO[FECHA INGRESO])</f>
        <v>46023</v>
      </c>
      <c r="T1289" s="44">
        <f>_xlfn.XLOOKUP(TablaSTOCKINV[[#This Row],[SKU]],TablaENTRADA[SKU],TablaENTRADA[FECHA],,0,-1)</f>
        <v>46023</v>
      </c>
      <c r="U1289" s="46" t="str">
        <f>IFERROR((_xlfn.XLOOKUP(TablaSTOCKINV[[#This Row],[SKU]],TablaSALIDA[SKU],TablaSALIDA[FECHA],,0,-1))," " )</f>
        <v xml:space="preserve"> </v>
      </c>
    </row>
    <row r="1290" spans="1:21" x14ac:dyDescent="0.3">
      <c r="A1290" s="27" t="s">
        <v>315</v>
      </c>
      <c r="B1290" s="32" t="str">
        <f>_xlfn.XLOOKUP(TablaSTOCKINV[[#This Row],[SKU]],TablaINVENTARIO[SKU],TablaINVENTARIO[DESCRIPCION])</f>
        <v xml:space="preserve">CAMARA FOTOGRAFICA </v>
      </c>
      <c r="C1290" s="32" t="str">
        <f>_xlfn.XLOOKUP(TablaSTOCKINV[[#This Row],[SKU]],TablaINVENTARIO[SKU],TablaINVENTARIO[MARCA])</f>
        <v>OLYMPUS</v>
      </c>
      <c r="D1290" s="33" t="str">
        <f>_xlfn.XLOOKUP(TablaSTOCKINV[[#This Row],[SKU]],TablaINVENTARIO[SKU],TablaINVENTARIO[CATEGORIA])</f>
        <v>ELECTRONICA_DE_CONSUMO</v>
      </c>
      <c r="E1290" s="33" t="str">
        <f>_xlfn.XLOOKUP(TablaSTOCKINV[[#This Row],[SKU]],TablaINVENTARIO[SKU],TablaINVENTARIO[SUBCATEGORIA])</f>
        <v xml:space="preserve">EQUIPO DE VIDEO </v>
      </c>
      <c r="F1290" s="33" t="str">
        <f>_xlfn.XLOOKUP(TablaSTOCKINV[[#This Row],[SKU]],TablaINVENTARIO[SKU],TablaINVENTARIO[ESTADO])</f>
        <v>USADO</v>
      </c>
      <c r="G1290" s="33" t="str">
        <f>_xlfn.XLOOKUP(TablaSTOCKINV[[#This Row],[SKU]],TablaINVENTARIO[SKU],TablaINVENTARIO[MEDIDA])</f>
        <v xml:space="preserve">UND </v>
      </c>
      <c r="H1290" s="33">
        <f>_xlfn.XLOOKUP(TablaSTOCKINV[[#This Row],[SKU]],TablaINVENTARIO[SKU],TablaINVENTARIO[SERIAL])</f>
        <v>100106738</v>
      </c>
      <c r="I1290" s="34">
        <f>_xlfn.XLOOKUP(TablaSTOCKINV[[#This Row],[SKU]],TablaINVENTARIO[SKU],TablaINVENTARIO[ALMACEN])</f>
        <v>0</v>
      </c>
      <c r="J1290" s="34" t="str">
        <f>_xlfn.XLOOKUP(TablaSTOCKINV[[#This Row],[SKU]],TablaINVENTARIO[SKU],TablaINVENTARIO[UBICACION])</f>
        <v>1E</v>
      </c>
      <c r="K1290" s="34" t="str">
        <f>_xlfn.XLOOKUP(TablaSTOCKINV[[#This Row],[SKU]],TablaINVENTARIO[SKU],TablaINVENTARIO[DPTO RESPONSABLE])</f>
        <v xml:space="preserve">CONSUMO GENERAL </v>
      </c>
      <c r="L1290" s="53">
        <f>_xlfn.XLOOKUP(TablaSTOCKINV[[#This Row],[SKU]],TablaINVENTARIO[SKU],TablaINVENTARIO[RANGO MIN])</f>
        <v>0</v>
      </c>
      <c r="M1290" s="34" cm="1">
        <f t="array" ref="M1290">_xlfn.IFS(TablaSTOCKINV[[#This Row],[CANT. TOTAL]]&lt;=0,1,TablaSTOCKINV[[#This Row],[CANT. TOTAL]]&lt;=TablaSTOCKINV[[#This Row],[MIN]],2,TablaSTOCKINV[[#This Row],[CANT. TOTAL]]&gt;TablaSTOCKINV[[#This Row],[MIN]],3)</f>
        <v>3</v>
      </c>
      <c r="N1290" s="34">
        <f>TablaSTOCKINV[[#This Row],[ENTRADAS]]-TablaSTOCKINV[[#This Row],[SALIDAS]]</f>
        <v>1</v>
      </c>
      <c r="O1290" s="35">
        <f>SUMIFS(TablaENTRADA[CANT],TablaENTRADA[SKU],TablaSTOCKINV[[#This Row],[SKU]])</f>
        <v>1</v>
      </c>
      <c r="P1290" s="35">
        <f>SUMIFS(TablaSALIDA[CANT],TablaSALIDA[SKU],TablaSTOCKINV[[#This Row],[SKU]])</f>
        <v>0</v>
      </c>
      <c r="Q1290" s="34">
        <f>_xlfn.XLOOKUP(TablaSTOCKINV[[#This Row],[SKU]],TablaINVENTARIO[SKU],TablaINVENTARIO[PRECIO])</f>
        <v>0</v>
      </c>
      <c r="R1290" s="34">
        <f>TablaSTOCKINV[[#This Row],[P.UNITARIO]]*TablaSTOCKINV[[#This Row],[CANT. TOTAL]]</f>
        <v>0</v>
      </c>
      <c r="S1290" s="44">
        <f>_xlfn.XLOOKUP(TablaSTOCKINV[[#This Row],[SKU]],TablaINVENTARIO[SKU],TablaINVENTARIO[FECHA INGRESO])</f>
        <v>46023</v>
      </c>
      <c r="T1290" s="44">
        <f>_xlfn.XLOOKUP(TablaSTOCKINV[[#This Row],[SKU]],TablaENTRADA[SKU],TablaENTRADA[FECHA],,0,-1)</f>
        <v>46023</v>
      </c>
      <c r="U1290" s="46" t="str">
        <f>IFERROR((_xlfn.XLOOKUP(TablaSTOCKINV[[#This Row],[SKU]],TablaSALIDA[SKU],TablaSALIDA[FECHA],,0,-1))," " )</f>
        <v xml:space="preserve"> </v>
      </c>
    </row>
    <row r="1291" spans="1:21" x14ac:dyDescent="0.3">
      <c r="A1291" s="27" t="s">
        <v>3321</v>
      </c>
      <c r="B1291" s="32" t="str">
        <f>_xlfn.XLOOKUP(TablaSTOCKINV[[#This Row],[SKU]],TablaINVENTARIO[SKU],TablaINVENTARIO[DESCRIPCION])</f>
        <v xml:space="preserve">PANEL SOLAR 40-W </v>
      </c>
      <c r="C1291" s="32" t="str">
        <f>_xlfn.XLOOKUP(TablaSTOCKINV[[#This Row],[SKU]],TablaINVENTARIO[SKU],TablaINVENTARIO[MARCA])</f>
        <v>N/A</v>
      </c>
      <c r="D1291" s="33" t="str">
        <f>_xlfn.XLOOKUP(TablaSTOCKINV[[#This Row],[SKU]],TablaINVENTARIO[SKU],TablaINVENTARIO[CATEGORIA])</f>
        <v>ELECTRONICA_DE_CONSUMO</v>
      </c>
      <c r="E1291" s="33" t="str">
        <f>_xlfn.XLOOKUP(TablaSTOCKINV[[#This Row],[SKU]],TablaINVENTARIO[SKU],TablaINVENTARIO[SUBCATEGORIA])</f>
        <v xml:space="preserve">FUENTE DE PODER </v>
      </c>
      <c r="F1291" s="33" t="str">
        <f>_xlfn.XLOOKUP(TablaSTOCKINV[[#This Row],[SKU]],TablaINVENTARIO[SKU],TablaINVENTARIO[ESTADO])</f>
        <v>USADO</v>
      </c>
      <c r="G1291" s="33" t="str">
        <f>_xlfn.XLOOKUP(TablaSTOCKINV[[#This Row],[SKU]],TablaINVENTARIO[SKU],TablaINVENTARIO[MEDIDA])</f>
        <v>UND</v>
      </c>
      <c r="H1291" s="33" t="str">
        <f>_xlfn.XLOOKUP(TablaSTOCKINV[[#This Row],[SKU]],TablaINVENTARIO[SKU],TablaINVENTARIO[SERIAL])</f>
        <v>N/A</v>
      </c>
      <c r="I1291" s="34">
        <f>_xlfn.XLOOKUP(TablaSTOCKINV[[#This Row],[SKU]],TablaINVENTARIO[SKU],TablaINVENTARIO[ALMACEN])</f>
        <v>0</v>
      </c>
      <c r="J1291" s="34" t="str">
        <f>_xlfn.XLOOKUP(TablaSTOCKINV[[#This Row],[SKU]],TablaINVENTARIO[SKU],TablaINVENTARIO[UBICACION])</f>
        <v>DA-1</v>
      </c>
      <c r="K1291" s="34" t="str">
        <f>_xlfn.XLOOKUP(TablaSTOCKINV[[#This Row],[SKU]],TablaINVENTARIO[SKU],TablaINVENTARIO[DPTO RESPONSABLE])</f>
        <v xml:space="preserve">CONSUMO GENERAL </v>
      </c>
      <c r="L1291" s="53">
        <f>_xlfn.XLOOKUP(TablaSTOCKINV[[#This Row],[SKU]],TablaINVENTARIO[SKU],TablaINVENTARIO[RANGO MIN])</f>
        <v>0</v>
      </c>
      <c r="M1291" s="34" cm="1">
        <f t="array" ref="M1291">_xlfn.IFS(TablaSTOCKINV[[#This Row],[CANT. TOTAL]]&lt;=0,1,TablaSTOCKINV[[#This Row],[CANT. TOTAL]]&lt;=TablaSTOCKINV[[#This Row],[MIN]],2,TablaSTOCKINV[[#This Row],[CANT. TOTAL]]&gt;TablaSTOCKINV[[#This Row],[MIN]],3)</f>
        <v>3</v>
      </c>
      <c r="N1291" s="34">
        <f>TablaSTOCKINV[[#This Row],[ENTRADAS]]-TablaSTOCKINV[[#This Row],[SALIDAS]]</f>
        <v>1</v>
      </c>
      <c r="O1291" s="35">
        <f>SUMIFS(TablaENTRADA[CANT],TablaENTRADA[SKU],TablaSTOCKINV[[#This Row],[SKU]])</f>
        <v>1</v>
      </c>
      <c r="P1291" s="35">
        <f>SUMIFS(TablaSALIDA[CANT],TablaSALIDA[SKU],TablaSTOCKINV[[#This Row],[SKU]])</f>
        <v>0</v>
      </c>
      <c r="Q1291" s="34">
        <f>_xlfn.XLOOKUP(TablaSTOCKINV[[#This Row],[SKU]],TablaINVENTARIO[SKU],TablaINVENTARIO[PRECIO])</f>
        <v>0</v>
      </c>
      <c r="R1291" s="34">
        <f>TablaSTOCKINV[[#This Row],[P.UNITARIO]]*TablaSTOCKINV[[#This Row],[CANT. TOTAL]]</f>
        <v>0</v>
      </c>
      <c r="S1291" s="44">
        <f>_xlfn.XLOOKUP(TablaSTOCKINV[[#This Row],[SKU]],TablaINVENTARIO[SKU],TablaINVENTARIO[FECHA INGRESO])</f>
        <v>46023</v>
      </c>
      <c r="T1291" s="44">
        <f>_xlfn.XLOOKUP(TablaSTOCKINV[[#This Row],[SKU]],TablaENTRADA[SKU],TablaENTRADA[FECHA],,0,-1)</f>
        <v>46023</v>
      </c>
      <c r="U1291" s="46" t="str">
        <f>IFERROR((_xlfn.XLOOKUP(TablaSTOCKINV[[#This Row],[SKU]],TablaSALIDA[SKU],TablaSALIDA[FECHA],,0,-1))," " )</f>
        <v xml:space="preserve"> </v>
      </c>
    </row>
    <row r="1292" spans="1:21" x14ac:dyDescent="0.3">
      <c r="A1292" s="27" t="s">
        <v>3324</v>
      </c>
      <c r="B1292" s="32" t="str">
        <f>_xlfn.XLOOKUP(TablaSTOCKINV[[#This Row],[SKU]],TablaINVENTARIO[SKU],TablaINVENTARIO[DESCRIPCION])</f>
        <v>ESTACION DE PODER PORTATIL MODELO: HP500</v>
      </c>
      <c r="C1292" s="32" t="str">
        <f>_xlfn.XLOOKUP(TablaSTOCKINV[[#This Row],[SKU]],TablaINVENTARIO[SKU],TablaINVENTARIO[MARCA])</f>
        <v>N/A</v>
      </c>
      <c r="D1292" s="33" t="str">
        <f>_xlfn.XLOOKUP(TablaSTOCKINV[[#This Row],[SKU]],TablaINVENTARIO[SKU],TablaINVENTARIO[CATEGORIA])</f>
        <v>ELECTRONICA_DE_CONSUMO</v>
      </c>
      <c r="E1292" s="33" t="str">
        <f>_xlfn.XLOOKUP(TablaSTOCKINV[[#This Row],[SKU]],TablaINVENTARIO[SKU],TablaINVENTARIO[SUBCATEGORIA])</f>
        <v xml:space="preserve">FUENTE DE PODER </v>
      </c>
      <c r="F1292" s="33" t="str">
        <f>_xlfn.XLOOKUP(TablaSTOCKINV[[#This Row],[SKU]],TablaINVENTARIO[SKU],TablaINVENTARIO[ESTADO])</f>
        <v>USADO</v>
      </c>
      <c r="G1292" s="33" t="str">
        <f>_xlfn.XLOOKUP(TablaSTOCKINV[[#This Row],[SKU]],TablaINVENTARIO[SKU],TablaINVENTARIO[MEDIDA])</f>
        <v>UND</v>
      </c>
      <c r="H1292" s="33" t="str">
        <f>_xlfn.XLOOKUP(TablaSTOCKINV[[#This Row],[SKU]],TablaINVENTARIO[SKU],TablaINVENTARIO[SERIAL])</f>
        <v>N/A</v>
      </c>
      <c r="I1292" s="34">
        <f>_xlfn.XLOOKUP(TablaSTOCKINV[[#This Row],[SKU]],TablaINVENTARIO[SKU],TablaINVENTARIO[ALMACEN])</f>
        <v>0</v>
      </c>
      <c r="J1292" s="34" t="str">
        <f>_xlfn.XLOOKUP(TablaSTOCKINV[[#This Row],[SKU]],TablaINVENTARIO[SKU],TablaINVENTARIO[UBICACION])</f>
        <v>D4-1</v>
      </c>
      <c r="K1292" s="34" t="str">
        <f>_xlfn.XLOOKUP(TablaSTOCKINV[[#This Row],[SKU]],TablaINVENTARIO[SKU],TablaINVENTARIO[DPTO RESPONSABLE])</f>
        <v xml:space="preserve">CONSUMO GENERAL </v>
      </c>
      <c r="L1292" s="53">
        <f>_xlfn.XLOOKUP(TablaSTOCKINV[[#This Row],[SKU]],TablaINVENTARIO[SKU],TablaINVENTARIO[RANGO MIN])</f>
        <v>0</v>
      </c>
      <c r="M1292" s="34" cm="1">
        <f t="array" ref="M1292">_xlfn.IFS(TablaSTOCKINV[[#This Row],[CANT. TOTAL]]&lt;=0,1,TablaSTOCKINV[[#This Row],[CANT. TOTAL]]&lt;=TablaSTOCKINV[[#This Row],[MIN]],2,TablaSTOCKINV[[#This Row],[CANT. TOTAL]]&gt;TablaSTOCKINV[[#This Row],[MIN]],3)</f>
        <v>3</v>
      </c>
      <c r="N1292" s="34">
        <f>TablaSTOCKINV[[#This Row],[ENTRADAS]]-TablaSTOCKINV[[#This Row],[SALIDAS]]</f>
        <v>1</v>
      </c>
      <c r="O1292" s="35">
        <f>SUMIFS(TablaENTRADA[CANT],TablaENTRADA[SKU],TablaSTOCKINV[[#This Row],[SKU]])</f>
        <v>1</v>
      </c>
      <c r="P1292" s="35">
        <f>SUMIFS(TablaSALIDA[CANT],TablaSALIDA[SKU],TablaSTOCKINV[[#This Row],[SKU]])</f>
        <v>0</v>
      </c>
      <c r="Q1292" s="34">
        <f>_xlfn.XLOOKUP(TablaSTOCKINV[[#This Row],[SKU]],TablaINVENTARIO[SKU],TablaINVENTARIO[PRECIO])</f>
        <v>0</v>
      </c>
      <c r="R1292" s="34">
        <f>TablaSTOCKINV[[#This Row],[P.UNITARIO]]*TablaSTOCKINV[[#This Row],[CANT. TOTAL]]</f>
        <v>0</v>
      </c>
      <c r="S1292" s="44">
        <f>_xlfn.XLOOKUP(TablaSTOCKINV[[#This Row],[SKU]],TablaINVENTARIO[SKU],TablaINVENTARIO[FECHA INGRESO])</f>
        <v>46023</v>
      </c>
      <c r="T1292" s="44">
        <f>_xlfn.XLOOKUP(TablaSTOCKINV[[#This Row],[SKU]],TablaENTRADA[SKU],TablaENTRADA[FECHA],,0,-1)</f>
        <v>46023</v>
      </c>
      <c r="U1292" s="46" t="str">
        <f>IFERROR((_xlfn.XLOOKUP(TablaSTOCKINV[[#This Row],[SKU]],TablaSALIDA[SKU],TablaSALIDA[FECHA],,0,-1))," " )</f>
        <v xml:space="preserve"> </v>
      </c>
    </row>
    <row r="1293" spans="1:21" x14ac:dyDescent="0.3">
      <c r="A1293" s="27" t="s">
        <v>3326</v>
      </c>
      <c r="B1293" s="32" t="str">
        <f>_xlfn.XLOOKUP(TablaSTOCKINV[[#This Row],[SKU]],TablaINVENTARIO[SKU],TablaINVENTARIO[DESCRIPCION])</f>
        <v xml:space="preserve">MICROFONO </v>
      </c>
      <c r="C1293" s="32" t="str">
        <f>_xlfn.XLOOKUP(TablaSTOCKINV[[#This Row],[SKU]],TablaINVENTARIO[SKU],TablaINVENTARIO[MARCA])</f>
        <v>UNIXON</v>
      </c>
      <c r="D1293" s="33" t="str">
        <f>_xlfn.XLOOKUP(TablaSTOCKINV[[#This Row],[SKU]],TablaINVENTARIO[SKU],TablaINVENTARIO[CATEGORIA])</f>
        <v>ELECTRONICA_DE_CONSUMO</v>
      </c>
      <c r="E1293" s="33" t="str">
        <f>_xlfn.XLOOKUP(TablaSTOCKINV[[#This Row],[SKU]],TablaINVENTARIO[SKU],TablaINVENTARIO[SUBCATEGORIA])</f>
        <v xml:space="preserve">EQUIPO DE SONIDO </v>
      </c>
      <c r="F1293" s="33" t="str">
        <f>_xlfn.XLOOKUP(TablaSTOCKINV[[#This Row],[SKU]],TablaINVENTARIO[SKU],TablaINVENTARIO[ESTADO])</f>
        <v xml:space="preserve">USADO </v>
      </c>
      <c r="G1293" s="33" t="str">
        <f>_xlfn.XLOOKUP(TablaSTOCKINV[[#This Row],[SKU]],TablaINVENTARIO[SKU],TablaINVENTARIO[MEDIDA])</f>
        <v>UND</v>
      </c>
      <c r="H1293" s="33" t="str">
        <f>_xlfn.XLOOKUP(TablaSTOCKINV[[#This Row],[SKU]],TablaINVENTARIO[SKU],TablaINVENTARIO[SERIAL])</f>
        <v>N/A</v>
      </c>
      <c r="I1293" s="34">
        <f>_xlfn.XLOOKUP(TablaSTOCKINV[[#This Row],[SKU]],TablaINVENTARIO[SKU],TablaINVENTARIO[ALMACEN])</f>
        <v>0</v>
      </c>
      <c r="J1293" s="34" t="str">
        <f>_xlfn.XLOOKUP(TablaSTOCKINV[[#This Row],[SKU]],TablaINVENTARIO[SKU],TablaINVENTARIO[UBICACION])</f>
        <v>D2-1</v>
      </c>
      <c r="K1293" s="34" t="str">
        <f>_xlfn.XLOOKUP(TablaSTOCKINV[[#This Row],[SKU]],TablaINVENTARIO[SKU],TablaINVENTARIO[DPTO RESPONSABLE])</f>
        <v xml:space="preserve">CONSUMO GENERAL </v>
      </c>
      <c r="L1293" s="53">
        <f>_xlfn.XLOOKUP(TablaSTOCKINV[[#This Row],[SKU]],TablaINVENTARIO[SKU],TablaINVENTARIO[RANGO MIN])</f>
        <v>0</v>
      </c>
      <c r="M1293" s="34" cm="1">
        <f t="array" ref="M1293">_xlfn.IFS(TablaSTOCKINV[[#This Row],[CANT. TOTAL]]&lt;=0,1,TablaSTOCKINV[[#This Row],[CANT. TOTAL]]&lt;=TablaSTOCKINV[[#This Row],[MIN]],2,TablaSTOCKINV[[#This Row],[CANT. TOTAL]]&gt;TablaSTOCKINV[[#This Row],[MIN]],3)</f>
        <v>3</v>
      </c>
      <c r="N1293" s="34">
        <f>TablaSTOCKINV[[#This Row],[ENTRADAS]]-TablaSTOCKINV[[#This Row],[SALIDAS]]</f>
        <v>1</v>
      </c>
      <c r="O1293" s="35">
        <f>SUMIFS(TablaENTRADA[CANT],TablaENTRADA[SKU],TablaSTOCKINV[[#This Row],[SKU]])</f>
        <v>1</v>
      </c>
      <c r="P1293" s="35">
        <f>SUMIFS(TablaSALIDA[CANT],TablaSALIDA[SKU],TablaSTOCKINV[[#This Row],[SKU]])</f>
        <v>0</v>
      </c>
      <c r="Q1293" s="34">
        <f>_xlfn.XLOOKUP(TablaSTOCKINV[[#This Row],[SKU]],TablaINVENTARIO[SKU],TablaINVENTARIO[PRECIO])</f>
        <v>0</v>
      </c>
      <c r="R1293" s="34">
        <f>TablaSTOCKINV[[#This Row],[P.UNITARIO]]*TablaSTOCKINV[[#This Row],[CANT. TOTAL]]</f>
        <v>0</v>
      </c>
      <c r="S1293" s="44">
        <f>_xlfn.XLOOKUP(TablaSTOCKINV[[#This Row],[SKU]],TablaINVENTARIO[SKU],TablaINVENTARIO[FECHA INGRESO])</f>
        <v>46023</v>
      </c>
      <c r="T1293" s="44">
        <f>_xlfn.XLOOKUP(TablaSTOCKINV[[#This Row],[SKU]],TablaENTRADA[SKU],TablaENTRADA[FECHA],,0,-1)</f>
        <v>46023</v>
      </c>
      <c r="U1293" s="46" t="str">
        <f>IFERROR((_xlfn.XLOOKUP(TablaSTOCKINV[[#This Row],[SKU]],TablaSALIDA[SKU],TablaSALIDA[FECHA],,0,-1))," " )</f>
        <v xml:space="preserve"> </v>
      </c>
    </row>
    <row r="1294" spans="1:21" x14ac:dyDescent="0.3">
      <c r="A1294" s="27" t="s">
        <v>3329</v>
      </c>
      <c r="B1294" s="32" t="str">
        <f>_xlfn.XLOOKUP(TablaSTOCKINV[[#This Row],[SKU]],TablaINVENTARIO[SKU],TablaINVENTARIO[DESCRIPCION])</f>
        <v xml:space="preserve">PROYECTOR DE VIDEO </v>
      </c>
      <c r="C1294" s="32" t="str">
        <f>_xlfn.XLOOKUP(TablaSTOCKINV[[#This Row],[SKU]],TablaINVENTARIO[SKU],TablaINVENTARIO[MARCA])</f>
        <v>INFOCUS</v>
      </c>
      <c r="D1294" s="33" t="str">
        <f>_xlfn.XLOOKUP(TablaSTOCKINV[[#This Row],[SKU]],TablaINVENTARIO[SKU],TablaINVENTARIO[CATEGORIA])</f>
        <v>ELECTRONICA_DE_CONSUMO</v>
      </c>
      <c r="E1294" s="33" t="str">
        <f>_xlfn.XLOOKUP(TablaSTOCKINV[[#This Row],[SKU]],TablaINVENTARIO[SKU],TablaINVENTARIO[SUBCATEGORIA])</f>
        <v xml:space="preserve">EQUIPO DE VIDEO </v>
      </c>
      <c r="F1294" s="33" t="str">
        <f>_xlfn.XLOOKUP(TablaSTOCKINV[[#This Row],[SKU]],TablaINVENTARIO[SKU],TablaINVENTARIO[ESTADO])</f>
        <v>DAÑADO</v>
      </c>
      <c r="G1294" s="33" t="str">
        <f>_xlfn.XLOOKUP(TablaSTOCKINV[[#This Row],[SKU]],TablaINVENTARIO[SKU],TablaINVENTARIO[MEDIDA])</f>
        <v>UND</v>
      </c>
      <c r="H1294" s="33" t="str">
        <f>_xlfn.XLOOKUP(TablaSTOCKINV[[#This Row],[SKU]],TablaINVENTARIO[SKU],TablaINVENTARIO[SERIAL])</f>
        <v>3GW94800229</v>
      </c>
      <c r="I1294" s="34">
        <f>_xlfn.XLOOKUP(TablaSTOCKINV[[#This Row],[SKU]],TablaINVENTARIO[SKU],TablaINVENTARIO[ALMACEN])</f>
        <v>0</v>
      </c>
      <c r="J1294" s="34" t="str">
        <f>_xlfn.XLOOKUP(TablaSTOCKINV[[#This Row],[SKU]],TablaINVENTARIO[SKU],TablaINVENTARIO[UBICACION])</f>
        <v>D2-3</v>
      </c>
      <c r="K1294" s="34" t="str">
        <f>_xlfn.XLOOKUP(TablaSTOCKINV[[#This Row],[SKU]],TablaINVENTARIO[SKU],TablaINVENTARIO[DPTO RESPONSABLE])</f>
        <v>AIT</v>
      </c>
      <c r="L1294" s="53">
        <f>_xlfn.XLOOKUP(TablaSTOCKINV[[#This Row],[SKU]],TablaINVENTARIO[SKU],TablaINVENTARIO[RANGO MIN])</f>
        <v>0</v>
      </c>
      <c r="M1294" s="34" cm="1">
        <f t="array" ref="M1294">_xlfn.IFS(TablaSTOCKINV[[#This Row],[CANT. TOTAL]]&lt;=0,1,TablaSTOCKINV[[#This Row],[CANT. TOTAL]]&lt;=TablaSTOCKINV[[#This Row],[MIN]],2,TablaSTOCKINV[[#This Row],[CANT. TOTAL]]&gt;TablaSTOCKINV[[#This Row],[MIN]],3)</f>
        <v>3</v>
      </c>
      <c r="N1294" s="34">
        <f>TablaSTOCKINV[[#This Row],[ENTRADAS]]-TablaSTOCKINV[[#This Row],[SALIDAS]]</f>
        <v>1</v>
      </c>
      <c r="O1294" s="35">
        <f>SUMIFS(TablaENTRADA[CANT],TablaENTRADA[SKU],TablaSTOCKINV[[#This Row],[SKU]])</f>
        <v>1</v>
      </c>
      <c r="P1294" s="35">
        <f>SUMIFS(TablaSALIDA[CANT],TablaSALIDA[SKU],TablaSTOCKINV[[#This Row],[SKU]])</f>
        <v>0</v>
      </c>
      <c r="Q1294" s="34">
        <f>_xlfn.XLOOKUP(TablaSTOCKINV[[#This Row],[SKU]],TablaINVENTARIO[SKU],TablaINVENTARIO[PRECIO])</f>
        <v>0</v>
      </c>
      <c r="R1294" s="34">
        <f>TablaSTOCKINV[[#This Row],[P.UNITARIO]]*TablaSTOCKINV[[#This Row],[CANT. TOTAL]]</f>
        <v>0</v>
      </c>
      <c r="S1294" s="44">
        <f>_xlfn.XLOOKUP(TablaSTOCKINV[[#This Row],[SKU]],TablaINVENTARIO[SKU],TablaINVENTARIO[FECHA INGRESO])</f>
        <v>46023</v>
      </c>
      <c r="T1294" s="44">
        <f>_xlfn.XLOOKUP(TablaSTOCKINV[[#This Row],[SKU]],TablaENTRADA[SKU],TablaENTRADA[FECHA],,0,-1)</f>
        <v>46023</v>
      </c>
      <c r="U1294" s="46" t="str">
        <f>IFERROR((_xlfn.XLOOKUP(TablaSTOCKINV[[#This Row],[SKU]],TablaSALIDA[SKU],TablaSALIDA[FECHA],,0,-1))," " )</f>
        <v xml:space="preserve"> </v>
      </c>
    </row>
    <row r="1295" spans="1:21" x14ac:dyDescent="0.3">
      <c r="A1295" s="27" t="s">
        <v>3333</v>
      </c>
      <c r="B1295" s="32" t="str">
        <f>_xlfn.XLOOKUP(TablaSTOCKINV[[#This Row],[SKU]],TablaINVENTARIO[SKU],TablaINVENTARIO[DESCRIPCION])</f>
        <v xml:space="preserve">REGULADOR DE VOLTAJE ELECTRICO 115VAC 8 PUERTOS </v>
      </c>
      <c r="C1295" s="32" t="str">
        <f>_xlfn.XLOOKUP(TablaSTOCKINV[[#This Row],[SKU]],TablaINVENTARIO[SKU],TablaINVENTARIO[MARCA])</f>
        <v>TECAM</v>
      </c>
      <c r="D1295" s="33" t="str">
        <f>_xlfn.XLOOKUP(TablaSTOCKINV[[#This Row],[SKU]],TablaINVENTARIO[SKU],TablaINVENTARIO[CATEGORIA])</f>
        <v>ELECTRONICA_DE_CONSUMO</v>
      </c>
      <c r="E1295" s="33" t="str">
        <f>_xlfn.XLOOKUP(TablaSTOCKINV[[#This Row],[SKU]],TablaINVENTARIO[SKU],TablaINVENTARIO[SUBCATEGORIA])</f>
        <v xml:space="preserve">FUENTE DE PODER </v>
      </c>
      <c r="F1295" s="33" t="str">
        <f>_xlfn.XLOOKUP(TablaSTOCKINV[[#This Row],[SKU]],TablaINVENTARIO[SKU],TablaINVENTARIO[ESTADO])</f>
        <v>USADO</v>
      </c>
      <c r="G1295" s="33" t="str">
        <f>_xlfn.XLOOKUP(TablaSTOCKINV[[#This Row],[SKU]],TablaINVENTARIO[SKU],TablaINVENTARIO[MEDIDA])</f>
        <v>UND</v>
      </c>
      <c r="H1295" s="33" t="str">
        <f>_xlfn.XLOOKUP(TablaSTOCKINV[[#This Row],[SKU]],TablaINVENTARIO[SKU],TablaINVENTARIO[SERIAL])</f>
        <v>WZ4125216411</v>
      </c>
      <c r="I1295" s="34">
        <f>_xlfn.XLOOKUP(TablaSTOCKINV[[#This Row],[SKU]],TablaINVENTARIO[SKU],TablaINVENTARIO[ALMACEN])</f>
        <v>0</v>
      </c>
      <c r="J1295" s="34" t="str">
        <f>_xlfn.XLOOKUP(TablaSTOCKINV[[#This Row],[SKU]],TablaINVENTARIO[SKU],TablaINVENTARIO[UBICACION])</f>
        <v>D1-2</v>
      </c>
      <c r="K1295" s="34" t="str">
        <f>_xlfn.XLOOKUP(TablaSTOCKINV[[#This Row],[SKU]],TablaINVENTARIO[SKU],TablaINVENTARIO[DPTO RESPONSABLE])</f>
        <v>AIT</v>
      </c>
      <c r="L1295" s="53">
        <f>_xlfn.XLOOKUP(TablaSTOCKINV[[#This Row],[SKU]],TablaINVENTARIO[SKU],TablaINVENTARIO[RANGO MIN])</f>
        <v>0</v>
      </c>
      <c r="M1295" s="34" cm="1">
        <f t="array" ref="M1295">_xlfn.IFS(TablaSTOCKINV[[#This Row],[CANT. TOTAL]]&lt;=0,1,TablaSTOCKINV[[#This Row],[CANT. TOTAL]]&lt;=TablaSTOCKINV[[#This Row],[MIN]],2,TablaSTOCKINV[[#This Row],[CANT. TOTAL]]&gt;TablaSTOCKINV[[#This Row],[MIN]],3)</f>
        <v>3</v>
      </c>
      <c r="N1295" s="34">
        <f>TablaSTOCKINV[[#This Row],[ENTRADAS]]-TablaSTOCKINV[[#This Row],[SALIDAS]]</f>
        <v>1</v>
      </c>
      <c r="O1295" s="35">
        <f>SUMIFS(TablaENTRADA[CANT],TablaENTRADA[SKU],TablaSTOCKINV[[#This Row],[SKU]])</f>
        <v>1</v>
      </c>
      <c r="P1295" s="35">
        <f>SUMIFS(TablaSALIDA[CANT],TablaSALIDA[SKU],TablaSTOCKINV[[#This Row],[SKU]])</f>
        <v>0</v>
      </c>
      <c r="Q1295" s="34">
        <f>_xlfn.XLOOKUP(TablaSTOCKINV[[#This Row],[SKU]],TablaINVENTARIO[SKU],TablaINVENTARIO[PRECIO])</f>
        <v>0</v>
      </c>
      <c r="R1295" s="34">
        <f>TablaSTOCKINV[[#This Row],[P.UNITARIO]]*TablaSTOCKINV[[#This Row],[CANT. TOTAL]]</f>
        <v>0</v>
      </c>
      <c r="S1295" s="44">
        <f>_xlfn.XLOOKUP(TablaSTOCKINV[[#This Row],[SKU]],TablaINVENTARIO[SKU],TablaINVENTARIO[FECHA INGRESO])</f>
        <v>46023</v>
      </c>
      <c r="T1295" s="44">
        <f>_xlfn.XLOOKUP(TablaSTOCKINV[[#This Row],[SKU]],TablaENTRADA[SKU],TablaENTRADA[FECHA],,0,-1)</f>
        <v>46023</v>
      </c>
      <c r="U1295" s="46" t="str">
        <f>IFERROR((_xlfn.XLOOKUP(TablaSTOCKINV[[#This Row],[SKU]],TablaSALIDA[SKU],TablaSALIDA[FECHA],,0,-1))," " )</f>
        <v xml:space="preserve"> </v>
      </c>
    </row>
    <row r="1296" spans="1:21" x14ac:dyDescent="0.3">
      <c r="A1296" s="27" t="s">
        <v>3337</v>
      </c>
      <c r="B1296" s="32" t="str">
        <f>_xlfn.XLOOKUP(TablaSTOCKINV[[#This Row],[SKU]],TablaINVENTARIO[SKU],TablaINVENTARIO[DESCRIPCION])</f>
        <v>UNIDAD DE DISTRIBUCION DE ENERGIA MODELO: LP-RU70-107PDU</v>
      </c>
      <c r="C1296" s="32" t="str">
        <f>_xlfn.XLOOKUP(TablaSTOCKINV[[#This Row],[SKU]],TablaINVENTARIO[SKU],TablaINVENTARIO[MARCA])</f>
        <v>LANPRO</v>
      </c>
      <c r="D1296" s="33" t="str">
        <f>_xlfn.XLOOKUP(TablaSTOCKINV[[#This Row],[SKU]],TablaINVENTARIO[SKU],TablaINVENTARIO[CATEGORIA])</f>
        <v>ELECTRONICA_DE_CONSUMO</v>
      </c>
      <c r="E1296" s="33" t="str">
        <f>_xlfn.XLOOKUP(TablaSTOCKINV[[#This Row],[SKU]],TablaINVENTARIO[SKU],TablaINVENTARIO[SUBCATEGORIA])</f>
        <v xml:space="preserve">FUENTE DE PODER </v>
      </c>
      <c r="F1296" s="33" t="str">
        <f>_xlfn.XLOOKUP(TablaSTOCKINV[[#This Row],[SKU]],TablaINVENTARIO[SKU],TablaINVENTARIO[ESTADO])</f>
        <v>USADO</v>
      </c>
      <c r="G1296" s="33" t="str">
        <f>_xlfn.XLOOKUP(TablaSTOCKINV[[#This Row],[SKU]],TablaINVENTARIO[SKU],TablaINVENTARIO[MEDIDA])</f>
        <v>UND</v>
      </c>
      <c r="H1296" s="33" t="str">
        <f>_xlfn.XLOOKUP(TablaSTOCKINV[[#This Row],[SKU]],TablaINVENTARIO[SKU],TablaINVENTARIO[SERIAL])</f>
        <v>N/A</v>
      </c>
      <c r="I1296" s="34">
        <f>_xlfn.XLOOKUP(TablaSTOCKINV[[#This Row],[SKU]],TablaINVENTARIO[SKU],TablaINVENTARIO[ALMACEN])</f>
        <v>0</v>
      </c>
      <c r="J1296" s="34" t="str">
        <f>_xlfn.XLOOKUP(TablaSTOCKINV[[#This Row],[SKU]],TablaINVENTARIO[SKU],TablaINVENTARIO[UBICACION])</f>
        <v>D1-3</v>
      </c>
      <c r="K1296" s="34" t="str">
        <f>_xlfn.XLOOKUP(TablaSTOCKINV[[#This Row],[SKU]],TablaINVENTARIO[SKU],TablaINVENTARIO[DPTO RESPONSABLE])</f>
        <v>AIT</v>
      </c>
      <c r="L1296" s="53">
        <f>_xlfn.XLOOKUP(TablaSTOCKINV[[#This Row],[SKU]],TablaINVENTARIO[SKU],TablaINVENTARIO[RANGO MIN])</f>
        <v>0</v>
      </c>
      <c r="M1296" s="34" cm="1">
        <f t="array" ref="M1296">_xlfn.IFS(TablaSTOCKINV[[#This Row],[CANT. TOTAL]]&lt;=0,1,TablaSTOCKINV[[#This Row],[CANT. TOTAL]]&lt;=TablaSTOCKINV[[#This Row],[MIN]],2,TablaSTOCKINV[[#This Row],[CANT. TOTAL]]&gt;TablaSTOCKINV[[#This Row],[MIN]],3)</f>
        <v>3</v>
      </c>
      <c r="N1296" s="34">
        <f>TablaSTOCKINV[[#This Row],[ENTRADAS]]-TablaSTOCKINV[[#This Row],[SALIDAS]]</f>
        <v>1</v>
      </c>
      <c r="O1296" s="35">
        <f>SUMIFS(TablaENTRADA[CANT],TablaENTRADA[SKU],TablaSTOCKINV[[#This Row],[SKU]])</f>
        <v>1</v>
      </c>
      <c r="P1296" s="35">
        <f>SUMIFS(TablaSALIDA[CANT],TablaSALIDA[SKU],TablaSTOCKINV[[#This Row],[SKU]])</f>
        <v>0</v>
      </c>
      <c r="Q1296" s="34">
        <f>_xlfn.XLOOKUP(TablaSTOCKINV[[#This Row],[SKU]],TablaINVENTARIO[SKU],TablaINVENTARIO[PRECIO])</f>
        <v>0</v>
      </c>
      <c r="R1296" s="34">
        <f>TablaSTOCKINV[[#This Row],[P.UNITARIO]]*TablaSTOCKINV[[#This Row],[CANT. TOTAL]]</f>
        <v>0</v>
      </c>
      <c r="S1296" s="44">
        <f>_xlfn.XLOOKUP(TablaSTOCKINV[[#This Row],[SKU]],TablaINVENTARIO[SKU],TablaINVENTARIO[FECHA INGRESO])</f>
        <v>46023</v>
      </c>
      <c r="T1296" s="44">
        <f>_xlfn.XLOOKUP(TablaSTOCKINV[[#This Row],[SKU]],TablaENTRADA[SKU],TablaENTRADA[FECHA],,0,-1)</f>
        <v>46023</v>
      </c>
      <c r="U1296" s="46" t="str">
        <f>IFERROR((_xlfn.XLOOKUP(TablaSTOCKINV[[#This Row],[SKU]],TablaSALIDA[SKU],TablaSALIDA[FECHA],,0,-1))," " )</f>
        <v xml:space="preserve"> </v>
      </c>
    </row>
    <row r="1297" spans="1:21" x14ac:dyDescent="0.3">
      <c r="A1297" s="27" t="s">
        <v>54</v>
      </c>
      <c r="B1297" s="32" t="str">
        <f>_xlfn.XLOOKUP(TablaSTOCKINV[[#This Row],[SKU]],TablaINVENTARIO[SKU],TablaINVENTARIO[DESCRIPCION])</f>
        <v xml:space="preserve">AGUA 355 ML </v>
      </c>
      <c r="C1297" s="32" t="str">
        <f>_xlfn.XLOOKUP(TablaSTOCKINV[[#This Row],[SKU]],TablaINVENTARIO[SKU],TablaINVENTARIO[MARCA])</f>
        <v xml:space="preserve">MINALBA </v>
      </c>
      <c r="D1297" s="33" t="str">
        <f>_xlfn.XLOOKUP(TablaSTOCKINV[[#This Row],[SKU]],TablaINVENTARIO[SKU],TablaINVENTARIO[CATEGORIA])</f>
        <v>CONSUMIBLES</v>
      </c>
      <c r="E1297" s="33" t="str">
        <f>_xlfn.XLOOKUP(TablaSTOCKINV[[#This Row],[SKU]],TablaINVENTARIO[SKU],TablaINVENTARIO[SUBCATEGORIA])</f>
        <v xml:space="preserve">ALIMENTOS </v>
      </c>
      <c r="F1297" s="33" t="str">
        <f>_xlfn.XLOOKUP(TablaSTOCKINV[[#This Row],[SKU]],TablaINVENTARIO[SKU],TablaINVENTARIO[ESTADO])</f>
        <v>NUEVO</v>
      </c>
      <c r="G1297" s="33" t="str">
        <f>_xlfn.XLOOKUP(TablaSTOCKINV[[#This Row],[SKU]],TablaINVENTARIO[SKU],TablaINVENTARIO[MEDIDA])</f>
        <v xml:space="preserve">UND </v>
      </c>
      <c r="H1297" s="33" t="str">
        <f>_xlfn.XLOOKUP(TablaSTOCKINV[[#This Row],[SKU]],TablaINVENTARIO[SKU],TablaINVENTARIO[SERIAL])</f>
        <v>N/A</v>
      </c>
      <c r="I1297" s="34">
        <f>_xlfn.XLOOKUP(TablaSTOCKINV[[#This Row],[SKU]],TablaINVENTARIO[SKU],TablaINVENTARIO[ALMACEN])</f>
        <v>0</v>
      </c>
      <c r="J1297" s="34" t="str">
        <f>_xlfn.XLOOKUP(TablaSTOCKINV[[#This Row],[SKU]],TablaINVENTARIO[SKU],TablaINVENTARIO[UBICACION])</f>
        <v xml:space="preserve">CUARTO DE ALMACENAMIENTO </v>
      </c>
      <c r="K1297" s="34" t="str">
        <f>_xlfn.XLOOKUP(TablaSTOCKINV[[#This Row],[SKU]],TablaINVENTARIO[SKU],TablaINVENTARIO[DPTO RESPONSABLE])</f>
        <v xml:space="preserve">CONSUMO GENERAL </v>
      </c>
      <c r="L1297" s="53">
        <f>_xlfn.XLOOKUP(TablaSTOCKINV[[#This Row],[SKU]],TablaINVENTARIO[SKU],TablaINVENTARIO[RANGO MIN])</f>
        <v>0</v>
      </c>
      <c r="M1297" s="34" cm="1">
        <f t="array" ref="M1297">_xlfn.IFS(TablaSTOCKINV[[#This Row],[CANT. TOTAL]]&lt;=0,1,TablaSTOCKINV[[#This Row],[CANT. TOTAL]]&lt;=TablaSTOCKINV[[#This Row],[MIN]],2,TablaSTOCKINV[[#This Row],[CANT. TOTAL]]&gt;TablaSTOCKINV[[#This Row],[MIN]],3)</f>
        <v>3</v>
      </c>
      <c r="N1297" s="34">
        <f>TablaSTOCKINV[[#This Row],[ENTRADAS]]-TablaSTOCKINV[[#This Row],[SALIDAS]]</f>
        <v>88</v>
      </c>
      <c r="O1297" s="35">
        <f>SUMIFS(TablaENTRADA[CANT],TablaENTRADA[SKU],TablaSTOCKINV[[#This Row],[SKU]])</f>
        <v>88</v>
      </c>
      <c r="P1297" s="35">
        <f>SUMIFS(TablaSALIDA[CANT],TablaSALIDA[SKU],TablaSTOCKINV[[#This Row],[SKU]])</f>
        <v>0</v>
      </c>
      <c r="Q1297" s="34">
        <f>_xlfn.XLOOKUP(TablaSTOCKINV[[#This Row],[SKU]],TablaINVENTARIO[SKU],TablaINVENTARIO[PRECIO])</f>
        <v>0</v>
      </c>
      <c r="R1297" s="34">
        <f>TablaSTOCKINV[[#This Row],[P.UNITARIO]]*TablaSTOCKINV[[#This Row],[CANT. TOTAL]]</f>
        <v>0</v>
      </c>
      <c r="S1297" s="44">
        <f>_xlfn.XLOOKUP(TablaSTOCKINV[[#This Row],[SKU]],TablaINVENTARIO[SKU],TablaINVENTARIO[FECHA INGRESO])</f>
        <v>46023</v>
      </c>
      <c r="T1297" s="44">
        <f>_xlfn.XLOOKUP(TablaSTOCKINV[[#This Row],[SKU]],TablaENTRADA[SKU],TablaENTRADA[FECHA],,0,-1)</f>
        <v>46023</v>
      </c>
      <c r="U1297" s="46" t="str">
        <f>IFERROR((_xlfn.XLOOKUP(TablaSTOCKINV[[#This Row],[SKU]],TablaSALIDA[SKU],TablaSALIDA[FECHA],,0,-1))," " )</f>
        <v xml:space="preserve"> </v>
      </c>
    </row>
    <row r="1298" spans="1:21" x14ac:dyDescent="0.3">
      <c r="A1298" s="27" t="s">
        <v>64</v>
      </c>
      <c r="B1298" s="32" t="str">
        <f>_xlfn.XLOOKUP(TablaSTOCKINV[[#This Row],[SKU]],TablaINVENTARIO[SKU],TablaINVENTARIO[DESCRIPCION])</f>
        <v xml:space="preserve">AGUA 600 ML </v>
      </c>
      <c r="C1298" s="32" t="str">
        <f>_xlfn.XLOOKUP(TablaSTOCKINV[[#This Row],[SKU]],TablaINVENTARIO[SKU],TablaINVENTARIO[MARCA])</f>
        <v xml:space="preserve">MINALBA </v>
      </c>
      <c r="D1298" s="33" t="str">
        <f>_xlfn.XLOOKUP(TablaSTOCKINV[[#This Row],[SKU]],TablaINVENTARIO[SKU],TablaINVENTARIO[CATEGORIA])</f>
        <v>CONSUMIBLES</v>
      </c>
      <c r="E1298" s="33" t="str">
        <f>_xlfn.XLOOKUP(TablaSTOCKINV[[#This Row],[SKU]],TablaINVENTARIO[SKU],TablaINVENTARIO[SUBCATEGORIA])</f>
        <v xml:space="preserve">ALIMENTOS </v>
      </c>
      <c r="F1298" s="33" t="str">
        <f>_xlfn.XLOOKUP(TablaSTOCKINV[[#This Row],[SKU]],TablaINVENTARIO[SKU],TablaINVENTARIO[ESTADO])</f>
        <v>NUEVO</v>
      </c>
      <c r="G1298" s="33" t="str">
        <f>_xlfn.XLOOKUP(TablaSTOCKINV[[#This Row],[SKU]],TablaINVENTARIO[SKU],TablaINVENTARIO[MEDIDA])</f>
        <v xml:space="preserve">UND </v>
      </c>
      <c r="H1298" s="33" t="str">
        <f>_xlfn.XLOOKUP(TablaSTOCKINV[[#This Row],[SKU]],TablaINVENTARIO[SKU],TablaINVENTARIO[SERIAL])</f>
        <v>N/A</v>
      </c>
      <c r="I1298" s="34">
        <f>_xlfn.XLOOKUP(TablaSTOCKINV[[#This Row],[SKU]],TablaINVENTARIO[SKU],TablaINVENTARIO[ALMACEN])</f>
        <v>0</v>
      </c>
      <c r="J1298" s="34" t="str">
        <f>_xlfn.XLOOKUP(TablaSTOCKINV[[#This Row],[SKU]],TablaINVENTARIO[SKU],TablaINVENTARIO[UBICACION])</f>
        <v xml:space="preserve">CUARTO DE ALMACENAMIENTO </v>
      </c>
      <c r="K1298" s="34" t="str">
        <f>_xlfn.XLOOKUP(TablaSTOCKINV[[#This Row],[SKU]],TablaINVENTARIO[SKU],TablaINVENTARIO[DPTO RESPONSABLE])</f>
        <v xml:space="preserve">CONSUMO GENERAL </v>
      </c>
      <c r="L1298" s="53">
        <f>_xlfn.XLOOKUP(TablaSTOCKINV[[#This Row],[SKU]],TablaINVENTARIO[SKU],TablaINVENTARIO[RANGO MIN])</f>
        <v>0</v>
      </c>
      <c r="M1298" s="34" cm="1">
        <f t="array" ref="M1298">_xlfn.IFS(TablaSTOCKINV[[#This Row],[CANT. TOTAL]]&lt;=0,1,TablaSTOCKINV[[#This Row],[CANT. TOTAL]]&lt;=TablaSTOCKINV[[#This Row],[MIN]],2,TablaSTOCKINV[[#This Row],[CANT. TOTAL]]&gt;TablaSTOCKINV[[#This Row],[MIN]],3)</f>
        <v>3</v>
      </c>
      <c r="N1298" s="34">
        <f>TablaSTOCKINV[[#This Row],[ENTRADAS]]-TablaSTOCKINV[[#This Row],[SALIDAS]]</f>
        <v>2</v>
      </c>
      <c r="O1298" s="35">
        <f>SUMIFS(TablaENTRADA[CANT],TablaENTRADA[SKU],TablaSTOCKINV[[#This Row],[SKU]])</f>
        <v>2</v>
      </c>
      <c r="P1298" s="35">
        <f>SUMIFS(TablaSALIDA[CANT],TablaSALIDA[SKU],TablaSTOCKINV[[#This Row],[SKU]])</f>
        <v>0</v>
      </c>
      <c r="Q1298" s="34">
        <f>_xlfn.XLOOKUP(TablaSTOCKINV[[#This Row],[SKU]],TablaINVENTARIO[SKU],TablaINVENTARIO[PRECIO])</f>
        <v>0</v>
      </c>
      <c r="R1298" s="34">
        <f>TablaSTOCKINV[[#This Row],[P.UNITARIO]]*TablaSTOCKINV[[#This Row],[CANT. TOTAL]]</f>
        <v>0</v>
      </c>
      <c r="S1298" s="44">
        <f>_xlfn.XLOOKUP(TablaSTOCKINV[[#This Row],[SKU]],TablaINVENTARIO[SKU],TablaINVENTARIO[FECHA INGRESO])</f>
        <v>46023</v>
      </c>
      <c r="T1298" s="44">
        <f>_xlfn.XLOOKUP(TablaSTOCKINV[[#This Row],[SKU]],TablaENTRADA[SKU],TablaENTRADA[FECHA],,0,-1)</f>
        <v>46023</v>
      </c>
      <c r="U1298" s="46" t="str">
        <f>IFERROR((_xlfn.XLOOKUP(TablaSTOCKINV[[#This Row],[SKU]],TablaSALIDA[SKU],TablaSALIDA[FECHA],,0,-1))," " )</f>
        <v xml:space="preserve"> </v>
      </c>
    </row>
    <row r="1299" spans="1:21" x14ac:dyDescent="0.3">
      <c r="A1299" s="27" t="s">
        <v>66</v>
      </c>
      <c r="B1299" s="32" t="str">
        <f>_xlfn.XLOOKUP(TablaSTOCKINV[[#This Row],[SKU]],TablaINVENTARIO[SKU],TablaINVENTARIO[DESCRIPCION])</f>
        <v xml:space="preserve">AGUA 600 ML </v>
      </c>
      <c r="C1299" s="32" t="str">
        <f>_xlfn.XLOOKUP(TablaSTOCKINV[[#This Row],[SKU]],TablaINVENTARIO[SKU],TablaINVENTARIO[MARCA])</f>
        <v xml:space="preserve">NEVADA </v>
      </c>
      <c r="D1299" s="33" t="str">
        <f>_xlfn.XLOOKUP(TablaSTOCKINV[[#This Row],[SKU]],TablaINVENTARIO[SKU],TablaINVENTARIO[CATEGORIA])</f>
        <v>CONSUMIBLES</v>
      </c>
      <c r="E1299" s="33" t="str">
        <f>_xlfn.XLOOKUP(TablaSTOCKINV[[#This Row],[SKU]],TablaINVENTARIO[SKU],TablaINVENTARIO[SUBCATEGORIA])</f>
        <v xml:space="preserve">ALIMENTOS </v>
      </c>
      <c r="F1299" s="33" t="str">
        <f>_xlfn.XLOOKUP(TablaSTOCKINV[[#This Row],[SKU]],TablaINVENTARIO[SKU],TablaINVENTARIO[ESTADO])</f>
        <v>NUEVO</v>
      </c>
      <c r="G1299" s="33" t="str">
        <f>_xlfn.XLOOKUP(TablaSTOCKINV[[#This Row],[SKU]],TablaINVENTARIO[SKU],TablaINVENTARIO[MEDIDA])</f>
        <v xml:space="preserve">UND </v>
      </c>
      <c r="H1299" s="33" t="str">
        <f>_xlfn.XLOOKUP(TablaSTOCKINV[[#This Row],[SKU]],TablaINVENTARIO[SKU],TablaINVENTARIO[SERIAL])</f>
        <v>N/A</v>
      </c>
      <c r="I1299" s="34">
        <f>_xlfn.XLOOKUP(TablaSTOCKINV[[#This Row],[SKU]],TablaINVENTARIO[SKU],TablaINVENTARIO[ALMACEN])</f>
        <v>0</v>
      </c>
      <c r="J1299" s="34" t="str">
        <f>_xlfn.XLOOKUP(TablaSTOCKINV[[#This Row],[SKU]],TablaINVENTARIO[SKU],TablaINVENTARIO[UBICACION])</f>
        <v xml:space="preserve">CUARTO DE ALMACENAMIENTO </v>
      </c>
      <c r="K1299" s="34" t="str">
        <f>_xlfn.XLOOKUP(TablaSTOCKINV[[#This Row],[SKU]],TablaINVENTARIO[SKU],TablaINVENTARIO[DPTO RESPONSABLE])</f>
        <v xml:space="preserve">CONSUMO GENERAL </v>
      </c>
      <c r="L1299" s="53">
        <f>_xlfn.XLOOKUP(TablaSTOCKINV[[#This Row],[SKU]],TablaINVENTARIO[SKU],TablaINVENTARIO[RANGO MIN])</f>
        <v>0</v>
      </c>
      <c r="M1299" s="34" cm="1">
        <f t="array" ref="M1299">_xlfn.IFS(TablaSTOCKINV[[#This Row],[CANT. TOTAL]]&lt;=0,1,TablaSTOCKINV[[#This Row],[CANT. TOTAL]]&lt;=TablaSTOCKINV[[#This Row],[MIN]],2,TablaSTOCKINV[[#This Row],[CANT. TOTAL]]&gt;TablaSTOCKINV[[#This Row],[MIN]],3)</f>
        <v>3</v>
      </c>
      <c r="N1299" s="34">
        <f>TablaSTOCKINV[[#This Row],[ENTRADAS]]-TablaSTOCKINV[[#This Row],[SALIDAS]]</f>
        <v>2</v>
      </c>
      <c r="O1299" s="35">
        <f>SUMIFS(TablaENTRADA[CANT],TablaENTRADA[SKU],TablaSTOCKINV[[#This Row],[SKU]])</f>
        <v>2</v>
      </c>
      <c r="P1299" s="35">
        <f>SUMIFS(TablaSALIDA[CANT],TablaSALIDA[SKU],TablaSTOCKINV[[#This Row],[SKU]])</f>
        <v>0</v>
      </c>
      <c r="Q1299" s="34">
        <f>_xlfn.XLOOKUP(TablaSTOCKINV[[#This Row],[SKU]],TablaINVENTARIO[SKU],TablaINVENTARIO[PRECIO])</f>
        <v>0</v>
      </c>
      <c r="R1299" s="34">
        <f>TablaSTOCKINV[[#This Row],[P.UNITARIO]]*TablaSTOCKINV[[#This Row],[CANT. TOTAL]]</f>
        <v>0</v>
      </c>
      <c r="S1299" s="44">
        <f>_xlfn.XLOOKUP(TablaSTOCKINV[[#This Row],[SKU]],TablaINVENTARIO[SKU],TablaINVENTARIO[FECHA INGRESO])</f>
        <v>46023</v>
      </c>
      <c r="T1299" s="44">
        <f>_xlfn.XLOOKUP(TablaSTOCKINV[[#This Row],[SKU]],TablaENTRADA[SKU],TablaENTRADA[FECHA],,0,-1)</f>
        <v>46023</v>
      </c>
      <c r="U1299" s="46" t="str">
        <f>IFERROR((_xlfn.XLOOKUP(TablaSTOCKINV[[#This Row],[SKU]],TablaSALIDA[SKU],TablaSALIDA[FECHA],,0,-1))," " )</f>
        <v xml:space="preserve"> </v>
      </c>
    </row>
    <row r="1300" spans="1:21" x14ac:dyDescent="0.3">
      <c r="A1300" s="27" t="s">
        <v>68</v>
      </c>
      <c r="B1300" s="32" t="str">
        <f>_xlfn.XLOOKUP(TablaSTOCKINV[[#This Row],[SKU]],TablaINVENTARIO[SKU],TablaINVENTARIO[DESCRIPCION])</f>
        <v xml:space="preserve">JUGO DE MANZANA 250 ML </v>
      </c>
      <c r="C1300" s="32" t="str">
        <f>_xlfn.XLOOKUP(TablaSTOCKINV[[#This Row],[SKU]],TablaINVENTARIO[SKU],TablaINVENTARIO[MARCA])</f>
        <v>YUKERY</v>
      </c>
      <c r="D1300" s="33" t="str">
        <f>_xlfn.XLOOKUP(TablaSTOCKINV[[#This Row],[SKU]],TablaINVENTARIO[SKU],TablaINVENTARIO[CATEGORIA])</f>
        <v>CONSUMIBLES</v>
      </c>
      <c r="E1300" s="33" t="str">
        <f>_xlfn.XLOOKUP(TablaSTOCKINV[[#This Row],[SKU]],TablaINVENTARIO[SKU],TablaINVENTARIO[SUBCATEGORIA])</f>
        <v xml:space="preserve">ALIMENTOS </v>
      </c>
      <c r="F1300" s="33" t="str">
        <f>_xlfn.XLOOKUP(TablaSTOCKINV[[#This Row],[SKU]],TablaINVENTARIO[SKU],TablaINVENTARIO[ESTADO])</f>
        <v>NUEVO</v>
      </c>
      <c r="G1300" s="33" t="str">
        <f>_xlfn.XLOOKUP(TablaSTOCKINV[[#This Row],[SKU]],TablaINVENTARIO[SKU],TablaINVENTARIO[MEDIDA])</f>
        <v xml:space="preserve">UND </v>
      </c>
      <c r="H1300" s="33" t="str">
        <f>_xlfn.XLOOKUP(TablaSTOCKINV[[#This Row],[SKU]],TablaINVENTARIO[SKU],TablaINVENTARIO[SERIAL])</f>
        <v>N/A</v>
      </c>
      <c r="I1300" s="34">
        <f>_xlfn.XLOOKUP(TablaSTOCKINV[[#This Row],[SKU]],TablaINVENTARIO[SKU],TablaINVENTARIO[ALMACEN])</f>
        <v>0</v>
      </c>
      <c r="J1300" s="34" t="str">
        <f>_xlfn.XLOOKUP(TablaSTOCKINV[[#This Row],[SKU]],TablaINVENTARIO[SKU],TablaINVENTARIO[UBICACION])</f>
        <v xml:space="preserve">CUARTO DE ALMACENAMIENTO </v>
      </c>
      <c r="K1300" s="34" t="str">
        <f>_xlfn.XLOOKUP(TablaSTOCKINV[[#This Row],[SKU]],TablaINVENTARIO[SKU],TablaINVENTARIO[DPTO RESPONSABLE])</f>
        <v xml:space="preserve">CONSUMO GENERAL </v>
      </c>
      <c r="L1300" s="53">
        <f>_xlfn.XLOOKUP(TablaSTOCKINV[[#This Row],[SKU]],TablaINVENTARIO[SKU],TablaINVENTARIO[RANGO MIN])</f>
        <v>0</v>
      </c>
      <c r="M1300" s="34" cm="1">
        <f t="array" ref="M1300">_xlfn.IFS(TablaSTOCKINV[[#This Row],[CANT. TOTAL]]&lt;=0,1,TablaSTOCKINV[[#This Row],[CANT. TOTAL]]&lt;=TablaSTOCKINV[[#This Row],[MIN]],2,TablaSTOCKINV[[#This Row],[CANT. TOTAL]]&gt;TablaSTOCKINV[[#This Row],[MIN]],3)</f>
        <v>3</v>
      </c>
      <c r="N1300" s="34">
        <f>TablaSTOCKINV[[#This Row],[ENTRADAS]]-TablaSTOCKINV[[#This Row],[SALIDAS]]</f>
        <v>12</v>
      </c>
      <c r="O1300" s="35">
        <f>SUMIFS(TablaENTRADA[CANT],TablaENTRADA[SKU],TablaSTOCKINV[[#This Row],[SKU]])</f>
        <v>12</v>
      </c>
      <c r="P1300" s="35">
        <f>SUMIFS(TablaSALIDA[CANT],TablaSALIDA[SKU],TablaSTOCKINV[[#This Row],[SKU]])</f>
        <v>0</v>
      </c>
      <c r="Q1300" s="34">
        <f>_xlfn.XLOOKUP(TablaSTOCKINV[[#This Row],[SKU]],TablaINVENTARIO[SKU],TablaINVENTARIO[PRECIO])</f>
        <v>0</v>
      </c>
      <c r="R1300" s="34">
        <f>TablaSTOCKINV[[#This Row],[P.UNITARIO]]*TablaSTOCKINV[[#This Row],[CANT. TOTAL]]</f>
        <v>0</v>
      </c>
      <c r="S1300" s="44">
        <f>_xlfn.XLOOKUP(TablaSTOCKINV[[#This Row],[SKU]],TablaINVENTARIO[SKU],TablaINVENTARIO[FECHA INGRESO])</f>
        <v>46023</v>
      </c>
      <c r="T1300" s="44">
        <f>_xlfn.XLOOKUP(TablaSTOCKINV[[#This Row],[SKU]],TablaENTRADA[SKU],TablaENTRADA[FECHA],,0,-1)</f>
        <v>46023</v>
      </c>
      <c r="U1300" s="46" t="str">
        <f>IFERROR((_xlfn.XLOOKUP(TablaSTOCKINV[[#This Row],[SKU]],TablaSALIDA[SKU],TablaSALIDA[FECHA],,0,-1))," " )</f>
        <v xml:space="preserve"> </v>
      </c>
    </row>
    <row r="1301" spans="1:21" x14ac:dyDescent="0.3">
      <c r="A1301" s="27" t="s">
        <v>71</v>
      </c>
      <c r="B1301" s="32" t="str">
        <f>_xlfn.XLOOKUP(TablaSTOCKINV[[#This Row],[SKU]],TablaINVENTARIO[SKU],TablaINVENTARIO[DESCRIPCION])</f>
        <v xml:space="preserve">JUGO DE DURAZNO 250 ML </v>
      </c>
      <c r="C1301" s="32" t="str">
        <f>_xlfn.XLOOKUP(TablaSTOCKINV[[#This Row],[SKU]],TablaINVENTARIO[SKU],TablaINVENTARIO[MARCA])</f>
        <v>YUKERY</v>
      </c>
      <c r="D1301" s="33" t="str">
        <f>_xlfn.XLOOKUP(TablaSTOCKINV[[#This Row],[SKU]],TablaINVENTARIO[SKU],TablaINVENTARIO[CATEGORIA])</f>
        <v>CONSUMIBLES</v>
      </c>
      <c r="E1301" s="33" t="str">
        <f>_xlfn.XLOOKUP(TablaSTOCKINV[[#This Row],[SKU]],TablaINVENTARIO[SKU],TablaINVENTARIO[SUBCATEGORIA])</f>
        <v xml:space="preserve">ALIMENTOS </v>
      </c>
      <c r="F1301" s="33" t="str">
        <f>_xlfn.XLOOKUP(TablaSTOCKINV[[#This Row],[SKU]],TablaINVENTARIO[SKU],TablaINVENTARIO[ESTADO])</f>
        <v>NUEVO</v>
      </c>
      <c r="G1301" s="33" t="str">
        <f>_xlfn.XLOOKUP(TablaSTOCKINV[[#This Row],[SKU]],TablaINVENTARIO[SKU],TablaINVENTARIO[MEDIDA])</f>
        <v xml:space="preserve">UND </v>
      </c>
      <c r="H1301" s="33" t="str">
        <f>_xlfn.XLOOKUP(TablaSTOCKINV[[#This Row],[SKU]],TablaINVENTARIO[SKU],TablaINVENTARIO[SERIAL])</f>
        <v>N/A</v>
      </c>
      <c r="I1301" s="34">
        <f>_xlfn.XLOOKUP(TablaSTOCKINV[[#This Row],[SKU]],TablaINVENTARIO[SKU],TablaINVENTARIO[ALMACEN])</f>
        <v>0</v>
      </c>
      <c r="J1301" s="34" t="str">
        <f>_xlfn.XLOOKUP(TablaSTOCKINV[[#This Row],[SKU]],TablaINVENTARIO[SKU],TablaINVENTARIO[UBICACION])</f>
        <v xml:space="preserve">CUARTO DE ALMACENAMIENTO </v>
      </c>
      <c r="K1301" s="34" t="str">
        <f>_xlfn.XLOOKUP(TablaSTOCKINV[[#This Row],[SKU]],TablaINVENTARIO[SKU],TablaINVENTARIO[DPTO RESPONSABLE])</f>
        <v xml:space="preserve">CONSUMO GENERAL </v>
      </c>
      <c r="L1301" s="53">
        <f>_xlfn.XLOOKUP(TablaSTOCKINV[[#This Row],[SKU]],TablaINVENTARIO[SKU],TablaINVENTARIO[RANGO MIN])</f>
        <v>0</v>
      </c>
      <c r="M1301" s="34" cm="1">
        <f t="array" ref="M1301">_xlfn.IFS(TablaSTOCKINV[[#This Row],[CANT. TOTAL]]&lt;=0,1,TablaSTOCKINV[[#This Row],[CANT. TOTAL]]&lt;=TablaSTOCKINV[[#This Row],[MIN]],2,TablaSTOCKINV[[#This Row],[CANT. TOTAL]]&gt;TablaSTOCKINV[[#This Row],[MIN]],3)</f>
        <v>3</v>
      </c>
      <c r="N1301" s="34">
        <f>TablaSTOCKINV[[#This Row],[ENTRADAS]]-TablaSTOCKINV[[#This Row],[SALIDAS]]</f>
        <v>11</v>
      </c>
      <c r="O1301" s="35">
        <f>SUMIFS(TablaENTRADA[CANT],TablaENTRADA[SKU],TablaSTOCKINV[[#This Row],[SKU]])</f>
        <v>11</v>
      </c>
      <c r="P1301" s="35">
        <f>SUMIFS(TablaSALIDA[CANT],TablaSALIDA[SKU],TablaSTOCKINV[[#This Row],[SKU]])</f>
        <v>0</v>
      </c>
      <c r="Q1301" s="34">
        <f>_xlfn.XLOOKUP(TablaSTOCKINV[[#This Row],[SKU]],TablaINVENTARIO[SKU],TablaINVENTARIO[PRECIO])</f>
        <v>0</v>
      </c>
      <c r="R1301" s="34">
        <f>TablaSTOCKINV[[#This Row],[P.UNITARIO]]*TablaSTOCKINV[[#This Row],[CANT. TOTAL]]</f>
        <v>0</v>
      </c>
      <c r="S1301" s="44">
        <f>_xlfn.XLOOKUP(TablaSTOCKINV[[#This Row],[SKU]],TablaINVENTARIO[SKU],TablaINVENTARIO[FECHA INGRESO])</f>
        <v>46023</v>
      </c>
      <c r="T1301" s="44">
        <f>_xlfn.XLOOKUP(TablaSTOCKINV[[#This Row],[SKU]],TablaENTRADA[SKU],TablaENTRADA[FECHA],,0,-1)</f>
        <v>46023</v>
      </c>
      <c r="U1301" s="46" t="str">
        <f>IFERROR((_xlfn.XLOOKUP(TablaSTOCKINV[[#This Row],[SKU]],TablaSALIDA[SKU],TablaSALIDA[FECHA],,0,-1))," " )</f>
        <v xml:space="preserve"> </v>
      </c>
    </row>
    <row r="1302" spans="1:21" x14ac:dyDescent="0.3">
      <c r="A1302" s="27" t="s">
        <v>73</v>
      </c>
      <c r="B1302" s="32" t="str">
        <f>_xlfn.XLOOKUP(TablaSTOCKINV[[#This Row],[SKU]],TablaINVENTARIO[SKU],TablaINVENTARIO[DESCRIPCION])</f>
        <v xml:space="preserve">JUGO DE PERA 250 ML </v>
      </c>
      <c r="C1302" s="32" t="str">
        <f>_xlfn.XLOOKUP(TablaSTOCKINV[[#This Row],[SKU]],TablaINVENTARIO[SKU],TablaINVENTARIO[MARCA])</f>
        <v>YUKERY</v>
      </c>
      <c r="D1302" s="33" t="str">
        <f>_xlfn.XLOOKUP(TablaSTOCKINV[[#This Row],[SKU]],TablaINVENTARIO[SKU],TablaINVENTARIO[CATEGORIA])</f>
        <v>CONSUMIBLES</v>
      </c>
      <c r="E1302" s="33" t="str">
        <f>_xlfn.XLOOKUP(TablaSTOCKINV[[#This Row],[SKU]],TablaINVENTARIO[SKU],TablaINVENTARIO[SUBCATEGORIA])</f>
        <v xml:space="preserve">ALIMENTOS </v>
      </c>
      <c r="F1302" s="33" t="str">
        <f>_xlfn.XLOOKUP(TablaSTOCKINV[[#This Row],[SKU]],TablaINVENTARIO[SKU],TablaINVENTARIO[ESTADO])</f>
        <v>NUEVO</v>
      </c>
      <c r="G1302" s="33" t="str">
        <f>_xlfn.XLOOKUP(TablaSTOCKINV[[#This Row],[SKU]],TablaINVENTARIO[SKU],TablaINVENTARIO[MEDIDA])</f>
        <v xml:space="preserve">UND </v>
      </c>
      <c r="H1302" s="33" t="str">
        <f>_xlfn.XLOOKUP(TablaSTOCKINV[[#This Row],[SKU]],TablaINVENTARIO[SKU],TablaINVENTARIO[SERIAL])</f>
        <v>N/A</v>
      </c>
      <c r="I1302" s="34">
        <f>_xlfn.XLOOKUP(TablaSTOCKINV[[#This Row],[SKU]],TablaINVENTARIO[SKU],TablaINVENTARIO[ALMACEN])</f>
        <v>0</v>
      </c>
      <c r="J1302" s="34" t="str">
        <f>_xlfn.XLOOKUP(TablaSTOCKINV[[#This Row],[SKU]],TablaINVENTARIO[SKU],TablaINVENTARIO[UBICACION])</f>
        <v xml:space="preserve">CUARTO DE ALMACENAMIENTO </v>
      </c>
      <c r="K1302" s="34" t="str">
        <f>_xlfn.XLOOKUP(TablaSTOCKINV[[#This Row],[SKU]],TablaINVENTARIO[SKU],TablaINVENTARIO[DPTO RESPONSABLE])</f>
        <v xml:space="preserve">CONSUMO GENERAL </v>
      </c>
      <c r="L1302" s="53">
        <f>_xlfn.XLOOKUP(TablaSTOCKINV[[#This Row],[SKU]],TablaINVENTARIO[SKU],TablaINVENTARIO[RANGO MIN])</f>
        <v>0</v>
      </c>
      <c r="M1302" s="34" cm="1">
        <f t="array" ref="M1302">_xlfn.IFS(TablaSTOCKINV[[#This Row],[CANT. TOTAL]]&lt;=0,1,TablaSTOCKINV[[#This Row],[CANT. TOTAL]]&lt;=TablaSTOCKINV[[#This Row],[MIN]],2,TablaSTOCKINV[[#This Row],[CANT. TOTAL]]&gt;TablaSTOCKINV[[#This Row],[MIN]],3)</f>
        <v>3</v>
      </c>
      <c r="N1302" s="34">
        <f>TablaSTOCKINV[[#This Row],[ENTRADAS]]-TablaSTOCKINV[[#This Row],[SALIDAS]]</f>
        <v>9</v>
      </c>
      <c r="O1302" s="35">
        <f>SUMIFS(TablaENTRADA[CANT],TablaENTRADA[SKU],TablaSTOCKINV[[#This Row],[SKU]])</f>
        <v>9</v>
      </c>
      <c r="P1302" s="35">
        <f>SUMIFS(TablaSALIDA[CANT],TablaSALIDA[SKU],TablaSTOCKINV[[#This Row],[SKU]])</f>
        <v>0</v>
      </c>
      <c r="Q1302" s="34">
        <f>_xlfn.XLOOKUP(TablaSTOCKINV[[#This Row],[SKU]],TablaINVENTARIO[SKU],TablaINVENTARIO[PRECIO])</f>
        <v>0</v>
      </c>
      <c r="R1302" s="34">
        <f>TablaSTOCKINV[[#This Row],[P.UNITARIO]]*TablaSTOCKINV[[#This Row],[CANT. TOTAL]]</f>
        <v>0</v>
      </c>
      <c r="S1302" s="44">
        <f>_xlfn.XLOOKUP(TablaSTOCKINV[[#This Row],[SKU]],TablaINVENTARIO[SKU],TablaINVENTARIO[FECHA INGRESO])</f>
        <v>46023</v>
      </c>
      <c r="T1302" s="44">
        <f>_xlfn.XLOOKUP(TablaSTOCKINV[[#This Row],[SKU]],TablaENTRADA[SKU],TablaENTRADA[FECHA],,0,-1)</f>
        <v>46023</v>
      </c>
      <c r="U1302" s="46" t="str">
        <f>IFERROR((_xlfn.XLOOKUP(TablaSTOCKINV[[#This Row],[SKU]],TablaSALIDA[SKU],TablaSALIDA[FECHA],,0,-1))," " )</f>
        <v xml:space="preserve"> </v>
      </c>
    </row>
    <row r="1303" spans="1:21" x14ac:dyDescent="0.3">
      <c r="A1303" s="27" t="s">
        <v>75</v>
      </c>
      <c r="B1303" s="32" t="str">
        <f>_xlfn.XLOOKUP(TablaSTOCKINV[[#This Row],[SKU]],TablaINVENTARIO[SKU],TablaINVENTARIO[DESCRIPCION])</f>
        <v xml:space="preserve">JABON LAVA MANOS </v>
      </c>
      <c r="C1303" s="32" t="str">
        <f>_xlfn.XLOOKUP(TablaSTOCKINV[[#This Row],[SKU]],TablaINVENTARIO[SKU],TablaINVENTARIO[MARCA])</f>
        <v>AQUACID</v>
      </c>
      <c r="D1303" s="33" t="str">
        <f>_xlfn.XLOOKUP(TablaSTOCKINV[[#This Row],[SKU]],TablaINVENTARIO[SKU],TablaINVENTARIO[CATEGORIA])</f>
        <v>CONSUMIBLES</v>
      </c>
      <c r="E1303" s="33" t="str">
        <f>_xlfn.XLOOKUP(TablaSTOCKINV[[#This Row],[SKU]],TablaINVENTARIO[SKU],TablaINVENTARIO[SUBCATEGORIA])</f>
        <v>PRODUCTO DE LIMPIEZA</v>
      </c>
      <c r="F1303" s="33" t="str">
        <f>_xlfn.XLOOKUP(TablaSTOCKINV[[#This Row],[SKU]],TablaINVENTARIO[SKU],TablaINVENTARIO[ESTADO])</f>
        <v>NUEVO</v>
      </c>
      <c r="G1303" s="33" t="str">
        <f>_xlfn.XLOOKUP(TablaSTOCKINV[[#This Row],[SKU]],TablaINVENTARIO[SKU],TablaINVENTARIO[MEDIDA])</f>
        <v>LTS</v>
      </c>
      <c r="H1303" s="33" t="str">
        <f>_xlfn.XLOOKUP(TablaSTOCKINV[[#This Row],[SKU]],TablaINVENTARIO[SKU],TablaINVENTARIO[SERIAL])</f>
        <v>N/A</v>
      </c>
      <c r="I1303" s="34">
        <f>_xlfn.XLOOKUP(TablaSTOCKINV[[#This Row],[SKU]],TablaINVENTARIO[SKU],TablaINVENTARIO[ALMACEN])</f>
        <v>0</v>
      </c>
      <c r="J1303" s="34" t="str">
        <f>_xlfn.XLOOKUP(TablaSTOCKINV[[#This Row],[SKU]],TablaINVENTARIO[SKU],TablaINVENTARIO[UBICACION])</f>
        <v xml:space="preserve">CUARTO DE ALMACENAMIENTO </v>
      </c>
      <c r="K1303" s="34" t="str">
        <f>_xlfn.XLOOKUP(TablaSTOCKINV[[#This Row],[SKU]],TablaINVENTARIO[SKU],TablaINVENTARIO[DPTO RESPONSABLE])</f>
        <v xml:space="preserve">CONSUMO GENERAL </v>
      </c>
      <c r="L1303" s="53">
        <f>_xlfn.XLOOKUP(TablaSTOCKINV[[#This Row],[SKU]],TablaINVENTARIO[SKU],TablaINVENTARIO[RANGO MIN])</f>
        <v>0</v>
      </c>
      <c r="M1303" s="34" cm="1">
        <f t="array" ref="M1303">_xlfn.IFS(TablaSTOCKINV[[#This Row],[CANT. TOTAL]]&lt;=0,1,TablaSTOCKINV[[#This Row],[CANT. TOTAL]]&lt;=TablaSTOCKINV[[#This Row],[MIN]],2,TablaSTOCKINV[[#This Row],[CANT. TOTAL]]&gt;TablaSTOCKINV[[#This Row],[MIN]],3)</f>
        <v>3</v>
      </c>
      <c r="N1303" s="34">
        <f>TablaSTOCKINV[[#This Row],[ENTRADAS]]-TablaSTOCKINV[[#This Row],[SALIDAS]]</f>
        <v>28</v>
      </c>
      <c r="O1303" s="35">
        <f>SUMIFS(TablaENTRADA[CANT],TablaENTRADA[SKU],TablaSTOCKINV[[#This Row],[SKU]])</f>
        <v>28</v>
      </c>
      <c r="P1303" s="35">
        <f>SUMIFS(TablaSALIDA[CANT],TablaSALIDA[SKU],TablaSTOCKINV[[#This Row],[SKU]])</f>
        <v>0</v>
      </c>
      <c r="Q1303" s="34">
        <f>_xlfn.XLOOKUP(TablaSTOCKINV[[#This Row],[SKU]],TablaINVENTARIO[SKU],TablaINVENTARIO[PRECIO])</f>
        <v>0</v>
      </c>
      <c r="R1303" s="34">
        <f>TablaSTOCKINV[[#This Row],[P.UNITARIO]]*TablaSTOCKINV[[#This Row],[CANT. TOTAL]]</f>
        <v>0</v>
      </c>
      <c r="S1303" s="44">
        <f>_xlfn.XLOOKUP(TablaSTOCKINV[[#This Row],[SKU]],TablaINVENTARIO[SKU],TablaINVENTARIO[FECHA INGRESO])</f>
        <v>46023</v>
      </c>
      <c r="T1303" s="44">
        <f>_xlfn.XLOOKUP(TablaSTOCKINV[[#This Row],[SKU]],TablaENTRADA[SKU],TablaENTRADA[FECHA],,0,-1)</f>
        <v>46023</v>
      </c>
      <c r="U1303" s="46" t="str">
        <f>IFERROR((_xlfn.XLOOKUP(TablaSTOCKINV[[#This Row],[SKU]],TablaSALIDA[SKU],TablaSALIDA[FECHA],,0,-1))," " )</f>
        <v xml:space="preserve"> </v>
      </c>
    </row>
    <row r="1304" spans="1:21" x14ac:dyDescent="0.3">
      <c r="A1304" s="27" t="s">
        <v>80</v>
      </c>
      <c r="B1304" s="32" t="str">
        <f>_xlfn.XLOOKUP(TablaSTOCKINV[[#This Row],[SKU]],TablaINVENTARIO[SKU],TablaINVENTARIO[DESCRIPCION])</f>
        <v xml:space="preserve">DESENGRASANTE </v>
      </c>
      <c r="C1304" s="32" t="str">
        <f>_xlfn.XLOOKUP(TablaSTOCKINV[[#This Row],[SKU]],TablaINVENTARIO[SKU],TablaINVENTARIO[MARCA])</f>
        <v>AQUACID</v>
      </c>
      <c r="D1304" s="33" t="str">
        <f>_xlfn.XLOOKUP(TablaSTOCKINV[[#This Row],[SKU]],TablaINVENTARIO[SKU],TablaINVENTARIO[CATEGORIA])</f>
        <v>CONSUMIBLES</v>
      </c>
      <c r="E1304" s="33" t="str">
        <f>_xlfn.XLOOKUP(TablaSTOCKINV[[#This Row],[SKU]],TablaINVENTARIO[SKU],TablaINVENTARIO[SUBCATEGORIA])</f>
        <v>PRODUCTO DE LIMPIEZA</v>
      </c>
      <c r="F1304" s="33" t="str">
        <f>_xlfn.XLOOKUP(TablaSTOCKINV[[#This Row],[SKU]],TablaINVENTARIO[SKU],TablaINVENTARIO[ESTADO])</f>
        <v>NUEVO</v>
      </c>
      <c r="G1304" s="33" t="str">
        <f>_xlfn.XLOOKUP(TablaSTOCKINV[[#This Row],[SKU]],TablaINVENTARIO[SKU],TablaINVENTARIO[MEDIDA])</f>
        <v>LTS</v>
      </c>
      <c r="H1304" s="33" t="str">
        <f>_xlfn.XLOOKUP(TablaSTOCKINV[[#This Row],[SKU]],TablaINVENTARIO[SKU],TablaINVENTARIO[SERIAL])</f>
        <v>N/A</v>
      </c>
      <c r="I1304" s="34">
        <f>_xlfn.XLOOKUP(TablaSTOCKINV[[#This Row],[SKU]],TablaINVENTARIO[SKU],TablaINVENTARIO[ALMACEN])</f>
        <v>0</v>
      </c>
      <c r="J1304" s="34" t="str">
        <f>_xlfn.XLOOKUP(TablaSTOCKINV[[#This Row],[SKU]],TablaINVENTARIO[SKU],TablaINVENTARIO[UBICACION])</f>
        <v xml:space="preserve">CUARTO DE ALMACENAMIENTO </v>
      </c>
      <c r="K1304" s="34" t="str">
        <f>_xlfn.XLOOKUP(TablaSTOCKINV[[#This Row],[SKU]],TablaINVENTARIO[SKU],TablaINVENTARIO[DPTO RESPONSABLE])</f>
        <v xml:space="preserve">CONSUMO GENERAL </v>
      </c>
      <c r="L1304" s="53">
        <f>_xlfn.XLOOKUP(TablaSTOCKINV[[#This Row],[SKU]],TablaINVENTARIO[SKU],TablaINVENTARIO[RANGO MIN])</f>
        <v>0</v>
      </c>
      <c r="M1304" s="34" cm="1">
        <f t="array" ref="M1304">_xlfn.IFS(TablaSTOCKINV[[#This Row],[CANT. TOTAL]]&lt;=0,1,TablaSTOCKINV[[#This Row],[CANT. TOTAL]]&lt;=TablaSTOCKINV[[#This Row],[MIN]],2,TablaSTOCKINV[[#This Row],[CANT. TOTAL]]&gt;TablaSTOCKINV[[#This Row],[MIN]],3)</f>
        <v>3</v>
      </c>
      <c r="N1304" s="34">
        <f>TablaSTOCKINV[[#This Row],[ENTRADAS]]-TablaSTOCKINV[[#This Row],[SALIDAS]]</f>
        <v>48</v>
      </c>
      <c r="O1304" s="35">
        <f>SUMIFS(TablaENTRADA[CANT],TablaENTRADA[SKU],TablaSTOCKINV[[#This Row],[SKU]])</f>
        <v>48</v>
      </c>
      <c r="P1304" s="35">
        <f>SUMIFS(TablaSALIDA[CANT],TablaSALIDA[SKU],TablaSTOCKINV[[#This Row],[SKU]])</f>
        <v>0</v>
      </c>
      <c r="Q1304" s="34">
        <f>_xlfn.XLOOKUP(TablaSTOCKINV[[#This Row],[SKU]],TablaINVENTARIO[SKU],TablaINVENTARIO[PRECIO])</f>
        <v>0</v>
      </c>
      <c r="R1304" s="34">
        <f>TablaSTOCKINV[[#This Row],[P.UNITARIO]]*TablaSTOCKINV[[#This Row],[CANT. TOTAL]]</f>
        <v>0</v>
      </c>
      <c r="S1304" s="44">
        <f>_xlfn.XLOOKUP(TablaSTOCKINV[[#This Row],[SKU]],TablaINVENTARIO[SKU],TablaINVENTARIO[FECHA INGRESO])</f>
        <v>46023</v>
      </c>
      <c r="T1304" s="44">
        <f>_xlfn.XLOOKUP(TablaSTOCKINV[[#This Row],[SKU]],TablaENTRADA[SKU],TablaENTRADA[FECHA],,0,-1)</f>
        <v>46023</v>
      </c>
      <c r="U1304" s="46" t="str">
        <f>IFERROR((_xlfn.XLOOKUP(TablaSTOCKINV[[#This Row],[SKU]],TablaSALIDA[SKU],TablaSALIDA[FECHA],,0,-1))," " )</f>
        <v xml:space="preserve"> </v>
      </c>
    </row>
    <row r="1305" spans="1:21" x14ac:dyDescent="0.3">
      <c r="A1305" s="27" t="s">
        <v>82</v>
      </c>
      <c r="B1305" s="32" t="str">
        <f>_xlfn.XLOOKUP(TablaSTOCKINV[[#This Row],[SKU]],TablaINVENTARIO[SKU],TablaINVENTARIO[DESCRIPCION])</f>
        <v xml:space="preserve">JABON LAVA PLATOS </v>
      </c>
      <c r="C1305" s="32" t="str">
        <f>_xlfn.XLOOKUP(TablaSTOCKINV[[#This Row],[SKU]],TablaINVENTARIO[SKU],TablaINVENTARIO[MARCA])</f>
        <v>AQUACID</v>
      </c>
      <c r="D1305" s="33" t="str">
        <f>_xlfn.XLOOKUP(TablaSTOCKINV[[#This Row],[SKU]],TablaINVENTARIO[SKU],TablaINVENTARIO[CATEGORIA])</f>
        <v>CONSUMIBLES</v>
      </c>
      <c r="E1305" s="33" t="str">
        <f>_xlfn.XLOOKUP(TablaSTOCKINV[[#This Row],[SKU]],TablaINVENTARIO[SKU],TablaINVENTARIO[SUBCATEGORIA])</f>
        <v>PRODUCTO DE LIMPIEZA</v>
      </c>
      <c r="F1305" s="33" t="str">
        <f>_xlfn.XLOOKUP(TablaSTOCKINV[[#This Row],[SKU]],TablaINVENTARIO[SKU],TablaINVENTARIO[ESTADO])</f>
        <v>NUEVO</v>
      </c>
      <c r="G1305" s="33" t="str">
        <f>_xlfn.XLOOKUP(TablaSTOCKINV[[#This Row],[SKU]],TablaINVENTARIO[SKU],TablaINVENTARIO[MEDIDA])</f>
        <v>LTS</v>
      </c>
      <c r="H1305" s="33" t="str">
        <f>_xlfn.XLOOKUP(TablaSTOCKINV[[#This Row],[SKU]],TablaINVENTARIO[SKU],TablaINVENTARIO[SERIAL])</f>
        <v>N/A</v>
      </c>
      <c r="I1305" s="34">
        <f>_xlfn.XLOOKUP(TablaSTOCKINV[[#This Row],[SKU]],TablaINVENTARIO[SKU],TablaINVENTARIO[ALMACEN])</f>
        <v>0</v>
      </c>
      <c r="J1305" s="34" t="str">
        <f>_xlfn.XLOOKUP(TablaSTOCKINV[[#This Row],[SKU]],TablaINVENTARIO[SKU],TablaINVENTARIO[UBICACION])</f>
        <v xml:space="preserve">CUARTO DE ALMACENAMIENTO </v>
      </c>
      <c r="K1305" s="34" t="str">
        <f>_xlfn.XLOOKUP(TablaSTOCKINV[[#This Row],[SKU]],TablaINVENTARIO[SKU],TablaINVENTARIO[DPTO RESPONSABLE])</f>
        <v xml:space="preserve">CONSUMO GENERAL </v>
      </c>
      <c r="L1305" s="53">
        <f>_xlfn.XLOOKUP(TablaSTOCKINV[[#This Row],[SKU]],TablaINVENTARIO[SKU],TablaINVENTARIO[RANGO MIN])</f>
        <v>0</v>
      </c>
      <c r="M1305" s="34" cm="1">
        <f t="array" ref="M1305">_xlfn.IFS(TablaSTOCKINV[[#This Row],[CANT. TOTAL]]&lt;=0,1,TablaSTOCKINV[[#This Row],[CANT. TOTAL]]&lt;=TablaSTOCKINV[[#This Row],[MIN]],2,TablaSTOCKINV[[#This Row],[CANT. TOTAL]]&gt;TablaSTOCKINV[[#This Row],[MIN]],3)</f>
        <v>3</v>
      </c>
      <c r="N1305" s="34">
        <f>TablaSTOCKINV[[#This Row],[ENTRADAS]]-TablaSTOCKINV[[#This Row],[SALIDAS]]</f>
        <v>48</v>
      </c>
      <c r="O1305" s="35">
        <f>SUMIFS(TablaENTRADA[CANT],TablaENTRADA[SKU],TablaSTOCKINV[[#This Row],[SKU]])</f>
        <v>48</v>
      </c>
      <c r="P1305" s="35">
        <f>SUMIFS(TablaSALIDA[CANT],TablaSALIDA[SKU],TablaSTOCKINV[[#This Row],[SKU]])</f>
        <v>0</v>
      </c>
      <c r="Q1305" s="34">
        <f>_xlfn.XLOOKUP(TablaSTOCKINV[[#This Row],[SKU]],TablaINVENTARIO[SKU],TablaINVENTARIO[PRECIO])</f>
        <v>0</v>
      </c>
      <c r="R1305" s="34">
        <f>TablaSTOCKINV[[#This Row],[P.UNITARIO]]*TablaSTOCKINV[[#This Row],[CANT. TOTAL]]</f>
        <v>0</v>
      </c>
      <c r="S1305" s="44">
        <f>_xlfn.XLOOKUP(TablaSTOCKINV[[#This Row],[SKU]],TablaINVENTARIO[SKU],TablaINVENTARIO[FECHA INGRESO])</f>
        <v>46023</v>
      </c>
      <c r="T1305" s="44">
        <f>_xlfn.XLOOKUP(TablaSTOCKINV[[#This Row],[SKU]],TablaENTRADA[SKU],TablaENTRADA[FECHA],,0,-1)</f>
        <v>46023</v>
      </c>
      <c r="U1305" s="46" t="str">
        <f>IFERROR((_xlfn.XLOOKUP(TablaSTOCKINV[[#This Row],[SKU]],TablaSALIDA[SKU],TablaSALIDA[FECHA],,0,-1))," " )</f>
        <v xml:space="preserve"> </v>
      </c>
    </row>
    <row r="1306" spans="1:21" x14ac:dyDescent="0.3">
      <c r="A1306" s="27" t="s">
        <v>84</v>
      </c>
      <c r="B1306" s="32" t="str">
        <f>_xlfn.XLOOKUP(TablaSTOCKINV[[#This Row],[SKU]],TablaINVENTARIO[SKU],TablaINVENTARIO[DESCRIPCION])</f>
        <v>PAPEL HIGIENICO 9"</v>
      </c>
      <c r="C1306" s="32" t="str">
        <f>_xlfn.XLOOKUP(TablaSTOCKINV[[#This Row],[SKU]],TablaINVENTARIO[SKU],TablaINVENTARIO[MARCA])</f>
        <v>SANITISU</v>
      </c>
      <c r="D1306" s="33" t="str">
        <f>_xlfn.XLOOKUP(TablaSTOCKINV[[#This Row],[SKU]],TablaINVENTARIO[SKU],TablaINVENTARIO[CATEGORIA])</f>
        <v>CONSUMIBLES</v>
      </c>
      <c r="E1306" s="33" t="str">
        <f>_xlfn.XLOOKUP(TablaSTOCKINV[[#This Row],[SKU]],TablaINVENTARIO[SKU],TablaINVENTARIO[SUBCATEGORIA])</f>
        <v>PRODUCTO DE LIMPIEZA</v>
      </c>
      <c r="F1306" s="33" t="str">
        <f>_xlfn.XLOOKUP(TablaSTOCKINV[[#This Row],[SKU]],TablaINVENTARIO[SKU],TablaINVENTARIO[ESTADO])</f>
        <v>NUEVO</v>
      </c>
      <c r="G1306" s="33" t="str">
        <f>_xlfn.XLOOKUP(TablaSTOCKINV[[#This Row],[SKU]],TablaINVENTARIO[SKU],TablaINVENTARIO[MEDIDA])</f>
        <v xml:space="preserve">ROLLO </v>
      </c>
      <c r="H1306" s="33" t="str">
        <f>_xlfn.XLOOKUP(TablaSTOCKINV[[#This Row],[SKU]],TablaINVENTARIO[SKU],TablaINVENTARIO[SERIAL])</f>
        <v>N/A</v>
      </c>
      <c r="I1306" s="34">
        <f>_xlfn.XLOOKUP(TablaSTOCKINV[[#This Row],[SKU]],TablaINVENTARIO[SKU],TablaINVENTARIO[ALMACEN])</f>
        <v>0</v>
      </c>
      <c r="J1306" s="34" t="str">
        <f>_xlfn.XLOOKUP(TablaSTOCKINV[[#This Row],[SKU]],TablaINVENTARIO[SKU],TablaINVENTARIO[UBICACION])</f>
        <v xml:space="preserve">CUARTO DE ALMACENAMIENTO </v>
      </c>
      <c r="K1306" s="34" t="str">
        <f>_xlfn.XLOOKUP(TablaSTOCKINV[[#This Row],[SKU]],TablaINVENTARIO[SKU],TablaINVENTARIO[DPTO RESPONSABLE])</f>
        <v xml:space="preserve">CONSUMO GENERAL </v>
      </c>
      <c r="L1306" s="53">
        <f>_xlfn.XLOOKUP(TablaSTOCKINV[[#This Row],[SKU]],TablaINVENTARIO[SKU],TablaINVENTARIO[RANGO MIN])</f>
        <v>0</v>
      </c>
      <c r="M1306" s="34" cm="1">
        <f t="array" ref="M1306">_xlfn.IFS(TablaSTOCKINV[[#This Row],[CANT. TOTAL]]&lt;=0,1,TablaSTOCKINV[[#This Row],[CANT. TOTAL]]&lt;=TablaSTOCKINV[[#This Row],[MIN]],2,TablaSTOCKINV[[#This Row],[CANT. TOTAL]]&gt;TablaSTOCKINV[[#This Row],[MIN]],3)</f>
        <v>3</v>
      </c>
      <c r="N1306" s="34">
        <f>TablaSTOCKINV[[#This Row],[ENTRADAS]]-TablaSTOCKINV[[#This Row],[SALIDAS]]</f>
        <v>24</v>
      </c>
      <c r="O1306" s="35">
        <f>SUMIFS(TablaENTRADA[CANT],TablaENTRADA[SKU],TablaSTOCKINV[[#This Row],[SKU]])</f>
        <v>24</v>
      </c>
      <c r="P1306" s="35">
        <f>SUMIFS(TablaSALIDA[CANT],TablaSALIDA[SKU],TablaSTOCKINV[[#This Row],[SKU]])</f>
        <v>0</v>
      </c>
      <c r="Q1306" s="34">
        <f>_xlfn.XLOOKUP(TablaSTOCKINV[[#This Row],[SKU]],TablaINVENTARIO[SKU],TablaINVENTARIO[PRECIO])</f>
        <v>0</v>
      </c>
      <c r="R1306" s="34">
        <f>TablaSTOCKINV[[#This Row],[P.UNITARIO]]*TablaSTOCKINV[[#This Row],[CANT. TOTAL]]</f>
        <v>0</v>
      </c>
      <c r="S1306" s="44">
        <f>_xlfn.XLOOKUP(TablaSTOCKINV[[#This Row],[SKU]],TablaINVENTARIO[SKU],TablaINVENTARIO[FECHA INGRESO])</f>
        <v>46023</v>
      </c>
      <c r="T1306" s="44">
        <f>_xlfn.XLOOKUP(TablaSTOCKINV[[#This Row],[SKU]],TablaENTRADA[SKU],TablaENTRADA[FECHA],,0,-1)</f>
        <v>46023</v>
      </c>
      <c r="U1306" s="46" t="str">
        <f>IFERROR((_xlfn.XLOOKUP(TablaSTOCKINV[[#This Row],[SKU]],TablaSALIDA[SKU],TablaSALIDA[FECHA],,0,-1))," " )</f>
        <v xml:space="preserve"> </v>
      </c>
    </row>
    <row r="1307" spans="1:21" x14ac:dyDescent="0.3">
      <c r="A1307" s="27" t="s">
        <v>88</v>
      </c>
      <c r="B1307" s="32" t="str">
        <f>_xlfn.XLOOKUP(TablaSTOCKINV[[#This Row],[SKU]],TablaINVENTARIO[SKU],TablaINVENTARIO[DESCRIPCION])</f>
        <v xml:space="preserve">BOLSA DE BASURA 40 KG </v>
      </c>
      <c r="C1307" s="32" t="str">
        <f>_xlfn.XLOOKUP(TablaSTOCKINV[[#This Row],[SKU]],TablaINVENTARIO[SKU],TablaINVENTARIO[MARCA])</f>
        <v>N/A</v>
      </c>
      <c r="D1307" s="33" t="str">
        <f>_xlfn.XLOOKUP(TablaSTOCKINV[[#This Row],[SKU]],TablaINVENTARIO[SKU],TablaINVENTARIO[CATEGORIA])</f>
        <v>CONSUMIBLES</v>
      </c>
      <c r="E1307" s="33" t="str">
        <f>_xlfn.XLOOKUP(TablaSTOCKINV[[#This Row],[SKU]],TablaINVENTARIO[SKU],TablaINVENTARIO[SUBCATEGORIA])</f>
        <v>PRODUCTO DE LIMPIEZA</v>
      </c>
      <c r="F1307" s="33" t="str">
        <f>_xlfn.XLOOKUP(TablaSTOCKINV[[#This Row],[SKU]],TablaINVENTARIO[SKU],TablaINVENTARIO[ESTADO])</f>
        <v>NUEVO</v>
      </c>
      <c r="G1307" s="33" t="str">
        <f>_xlfn.XLOOKUP(TablaSTOCKINV[[#This Row],[SKU]],TablaINVENTARIO[SKU],TablaINVENTARIO[MEDIDA])</f>
        <v xml:space="preserve">UND </v>
      </c>
      <c r="H1307" s="33" t="str">
        <f>_xlfn.XLOOKUP(TablaSTOCKINV[[#This Row],[SKU]],TablaINVENTARIO[SKU],TablaINVENTARIO[SERIAL])</f>
        <v>N/A</v>
      </c>
      <c r="I1307" s="34">
        <f>_xlfn.XLOOKUP(TablaSTOCKINV[[#This Row],[SKU]],TablaINVENTARIO[SKU],TablaINVENTARIO[ALMACEN])</f>
        <v>0</v>
      </c>
      <c r="J1307" s="34" t="str">
        <f>_xlfn.XLOOKUP(TablaSTOCKINV[[#This Row],[SKU]],TablaINVENTARIO[SKU],TablaINVENTARIO[UBICACION])</f>
        <v xml:space="preserve">CUARTO DE ALMACENAMIENTO </v>
      </c>
      <c r="K1307" s="34" t="str">
        <f>_xlfn.XLOOKUP(TablaSTOCKINV[[#This Row],[SKU]],TablaINVENTARIO[SKU],TablaINVENTARIO[DPTO RESPONSABLE])</f>
        <v xml:space="preserve">CONSUMO GENERAL </v>
      </c>
      <c r="L1307" s="53">
        <f>_xlfn.XLOOKUP(TablaSTOCKINV[[#This Row],[SKU]],TablaINVENTARIO[SKU],TablaINVENTARIO[RANGO MIN])</f>
        <v>0</v>
      </c>
      <c r="M1307" s="34" cm="1">
        <f t="array" ref="M1307">_xlfn.IFS(TablaSTOCKINV[[#This Row],[CANT. TOTAL]]&lt;=0,1,TablaSTOCKINV[[#This Row],[CANT. TOTAL]]&lt;=TablaSTOCKINV[[#This Row],[MIN]],2,TablaSTOCKINV[[#This Row],[CANT. TOTAL]]&gt;TablaSTOCKINV[[#This Row],[MIN]],3)</f>
        <v>3</v>
      </c>
      <c r="N1307" s="34">
        <f>TablaSTOCKINV[[#This Row],[ENTRADAS]]-TablaSTOCKINV[[#This Row],[SALIDAS]]</f>
        <v>540</v>
      </c>
      <c r="O1307" s="35">
        <f>SUMIFS(TablaENTRADA[CANT],TablaENTRADA[SKU],TablaSTOCKINV[[#This Row],[SKU]])</f>
        <v>540</v>
      </c>
      <c r="P1307" s="35">
        <f>SUMIFS(TablaSALIDA[CANT],TablaSALIDA[SKU],TablaSTOCKINV[[#This Row],[SKU]])</f>
        <v>0</v>
      </c>
      <c r="Q1307" s="34">
        <f>_xlfn.XLOOKUP(TablaSTOCKINV[[#This Row],[SKU]],TablaINVENTARIO[SKU],TablaINVENTARIO[PRECIO])</f>
        <v>0</v>
      </c>
      <c r="R1307" s="34">
        <f>TablaSTOCKINV[[#This Row],[P.UNITARIO]]*TablaSTOCKINV[[#This Row],[CANT. TOTAL]]</f>
        <v>0</v>
      </c>
      <c r="S1307" s="44">
        <f>_xlfn.XLOOKUP(TablaSTOCKINV[[#This Row],[SKU]],TablaINVENTARIO[SKU],TablaINVENTARIO[FECHA INGRESO])</f>
        <v>46023</v>
      </c>
      <c r="T1307" s="44">
        <f>_xlfn.XLOOKUP(TablaSTOCKINV[[#This Row],[SKU]],TablaENTRADA[SKU],TablaENTRADA[FECHA],,0,-1)</f>
        <v>46023</v>
      </c>
      <c r="U1307" s="46" t="str">
        <f>IFERROR((_xlfn.XLOOKUP(TablaSTOCKINV[[#This Row],[SKU]],TablaSALIDA[SKU],TablaSALIDA[FECHA],,0,-1))," " )</f>
        <v xml:space="preserve"> </v>
      </c>
    </row>
    <row r="1308" spans="1:21" x14ac:dyDescent="0.3">
      <c r="A1308" s="27" t="s">
        <v>90</v>
      </c>
      <c r="B1308" s="32" t="str">
        <f>_xlfn.XLOOKUP(TablaSTOCKINV[[#This Row],[SKU]],TablaINVENTARIO[SKU],TablaINVENTARIO[DESCRIPCION])</f>
        <v xml:space="preserve">BOLSA DE BASURA 30 KG </v>
      </c>
      <c r="C1308" s="32" t="str">
        <f>_xlfn.XLOOKUP(TablaSTOCKINV[[#This Row],[SKU]],TablaINVENTARIO[SKU],TablaINVENTARIO[MARCA])</f>
        <v>N/A</v>
      </c>
      <c r="D1308" s="33" t="str">
        <f>_xlfn.XLOOKUP(TablaSTOCKINV[[#This Row],[SKU]],TablaINVENTARIO[SKU],TablaINVENTARIO[CATEGORIA])</f>
        <v>CONSUMIBLES</v>
      </c>
      <c r="E1308" s="33" t="str">
        <f>_xlfn.XLOOKUP(TablaSTOCKINV[[#This Row],[SKU]],TablaINVENTARIO[SKU],TablaINVENTARIO[SUBCATEGORIA])</f>
        <v>PRODUCTO DE LIMPIEZA</v>
      </c>
      <c r="F1308" s="33" t="str">
        <f>_xlfn.XLOOKUP(TablaSTOCKINV[[#This Row],[SKU]],TablaINVENTARIO[SKU],TablaINVENTARIO[ESTADO])</f>
        <v>NUEVO</v>
      </c>
      <c r="G1308" s="33" t="str">
        <f>_xlfn.XLOOKUP(TablaSTOCKINV[[#This Row],[SKU]],TablaINVENTARIO[SKU],TablaINVENTARIO[MEDIDA])</f>
        <v xml:space="preserve">UND </v>
      </c>
      <c r="H1308" s="33" t="str">
        <f>_xlfn.XLOOKUP(TablaSTOCKINV[[#This Row],[SKU]],TablaINVENTARIO[SKU],TablaINVENTARIO[SERIAL])</f>
        <v>N/A</v>
      </c>
      <c r="I1308" s="34">
        <f>_xlfn.XLOOKUP(TablaSTOCKINV[[#This Row],[SKU]],TablaINVENTARIO[SKU],TablaINVENTARIO[ALMACEN])</f>
        <v>0</v>
      </c>
      <c r="J1308" s="34" t="str">
        <f>_xlfn.XLOOKUP(TablaSTOCKINV[[#This Row],[SKU]],TablaINVENTARIO[SKU],TablaINVENTARIO[UBICACION])</f>
        <v xml:space="preserve">CUARTO DE ALMACENAMIENTO </v>
      </c>
      <c r="K1308" s="34" t="str">
        <f>_xlfn.XLOOKUP(TablaSTOCKINV[[#This Row],[SKU]],TablaINVENTARIO[SKU],TablaINVENTARIO[DPTO RESPONSABLE])</f>
        <v xml:space="preserve">CONSUMO GENERAL </v>
      </c>
      <c r="L1308" s="53">
        <f>_xlfn.XLOOKUP(TablaSTOCKINV[[#This Row],[SKU]],TablaINVENTARIO[SKU],TablaINVENTARIO[RANGO MIN])</f>
        <v>0</v>
      </c>
      <c r="M1308" s="34" cm="1">
        <f t="array" ref="M1308">_xlfn.IFS(TablaSTOCKINV[[#This Row],[CANT. TOTAL]]&lt;=0,1,TablaSTOCKINV[[#This Row],[CANT. TOTAL]]&lt;=TablaSTOCKINV[[#This Row],[MIN]],2,TablaSTOCKINV[[#This Row],[CANT. TOTAL]]&gt;TablaSTOCKINV[[#This Row],[MIN]],3)</f>
        <v>3</v>
      </c>
      <c r="N1308" s="34">
        <f>TablaSTOCKINV[[#This Row],[ENTRADAS]]-TablaSTOCKINV[[#This Row],[SALIDAS]]</f>
        <v>200</v>
      </c>
      <c r="O1308" s="35">
        <f>SUMIFS(TablaENTRADA[CANT],TablaENTRADA[SKU],TablaSTOCKINV[[#This Row],[SKU]])</f>
        <v>200</v>
      </c>
      <c r="P1308" s="35">
        <f>SUMIFS(TablaSALIDA[CANT],TablaSALIDA[SKU],TablaSTOCKINV[[#This Row],[SKU]])</f>
        <v>0</v>
      </c>
      <c r="Q1308" s="34">
        <f>_xlfn.XLOOKUP(TablaSTOCKINV[[#This Row],[SKU]],TablaINVENTARIO[SKU],TablaINVENTARIO[PRECIO])</f>
        <v>0</v>
      </c>
      <c r="R1308" s="34">
        <f>TablaSTOCKINV[[#This Row],[P.UNITARIO]]*TablaSTOCKINV[[#This Row],[CANT. TOTAL]]</f>
        <v>0</v>
      </c>
      <c r="S1308" s="44">
        <f>_xlfn.XLOOKUP(TablaSTOCKINV[[#This Row],[SKU]],TablaINVENTARIO[SKU],TablaINVENTARIO[FECHA INGRESO])</f>
        <v>46023</v>
      </c>
      <c r="T1308" s="44">
        <f>_xlfn.XLOOKUP(TablaSTOCKINV[[#This Row],[SKU]],TablaENTRADA[SKU],TablaENTRADA[FECHA],,0,-1)</f>
        <v>46023</v>
      </c>
      <c r="U1308" s="46" t="str">
        <f>IFERROR((_xlfn.XLOOKUP(TablaSTOCKINV[[#This Row],[SKU]],TablaSALIDA[SKU],TablaSALIDA[FECHA],,0,-1))," " )</f>
        <v xml:space="preserve"> </v>
      </c>
    </row>
    <row r="1309" spans="1:21" x14ac:dyDescent="0.3">
      <c r="A1309" s="27" t="s">
        <v>92</v>
      </c>
      <c r="B1309" s="32" t="str">
        <f>_xlfn.XLOOKUP(TablaSTOCKINV[[#This Row],[SKU]],TablaINVENTARIO[SKU],TablaINVENTARIO[DESCRIPCION])</f>
        <v xml:space="preserve">BOLSA DE PAPELEA 30 LTS </v>
      </c>
      <c r="C1309" s="32" t="str">
        <f>_xlfn.XLOOKUP(TablaSTOCKINV[[#This Row],[SKU]],TablaINVENTARIO[SKU],TablaINVENTARIO[MARCA])</f>
        <v>N/A</v>
      </c>
      <c r="D1309" s="33" t="str">
        <f>_xlfn.XLOOKUP(TablaSTOCKINV[[#This Row],[SKU]],TablaINVENTARIO[SKU],TablaINVENTARIO[CATEGORIA])</f>
        <v>CONSUMIBLES</v>
      </c>
      <c r="E1309" s="33" t="str">
        <f>_xlfn.XLOOKUP(TablaSTOCKINV[[#This Row],[SKU]],TablaINVENTARIO[SKU],TablaINVENTARIO[SUBCATEGORIA])</f>
        <v>PRODUCTO DE LIMPIEZA</v>
      </c>
      <c r="F1309" s="33" t="str">
        <f>_xlfn.XLOOKUP(TablaSTOCKINV[[#This Row],[SKU]],TablaINVENTARIO[SKU],TablaINVENTARIO[ESTADO])</f>
        <v>NUEVO</v>
      </c>
      <c r="G1309" s="33" t="str">
        <f>_xlfn.XLOOKUP(TablaSTOCKINV[[#This Row],[SKU]],TablaINVENTARIO[SKU],TablaINVENTARIO[MEDIDA])</f>
        <v xml:space="preserve">UND </v>
      </c>
      <c r="H1309" s="33" t="str">
        <f>_xlfn.XLOOKUP(TablaSTOCKINV[[#This Row],[SKU]],TablaINVENTARIO[SKU],TablaINVENTARIO[SERIAL])</f>
        <v>N/A</v>
      </c>
      <c r="I1309" s="34">
        <f>_xlfn.XLOOKUP(TablaSTOCKINV[[#This Row],[SKU]],TablaINVENTARIO[SKU],TablaINVENTARIO[ALMACEN])</f>
        <v>0</v>
      </c>
      <c r="J1309" s="34" t="str">
        <f>_xlfn.XLOOKUP(TablaSTOCKINV[[#This Row],[SKU]],TablaINVENTARIO[SKU],TablaINVENTARIO[UBICACION])</f>
        <v xml:space="preserve">CUARTO DE ALMACENAMIENTO </v>
      </c>
      <c r="K1309" s="34" t="str">
        <f>_xlfn.XLOOKUP(TablaSTOCKINV[[#This Row],[SKU]],TablaINVENTARIO[SKU],TablaINVENTARIO[DPTO RESPONSABLE])</f>
        <v xml:space="preserve">CONSUMO GENERAL </v>
      </c>
      <c r="L1309" s="53">
        <f>_xlfn.XLOOKUP(TablaSTOCKINV[[#This Row],[SKU]],TablaINVENTARIO[SKU],TablaINVENTARIO[RANGO MIN])</f>
        <v>0</v>
      </c>
      <c r="M1309" s="34" cm="1">
        <f t="array" ref="M1309">_xlfn.IFS(TablaSTOCKINV[[#This Row],[CANT. TOTAL]]&lt;=0,1,TablaSTOCKINV[[#This Row],[CANT. TOTAL]]&lt;=TablaSTOCKINV[[#This Row],[MIN]],2,TablaSTOCKINV[[#This Row],[CANT. TOTAL]]&gt;TablaSTOCKINV[[#This Row],[MIN]],3)</f>
        <v>3</v>
      </c>
      <c r="N1309" s="34">
        <f>TablaSTOCKINV[[#This Row],[ENTRADAS]]-TablaSTOCKINV[[#This Row],[SALIDAS]]</f>
        <v>1500</v>
      </c>
      <c r="O1309" s="35">
        <f>SUMIFS(TablaENTRADA[CANT],TablaENTRADA[SKU],TablaSTOCKINV[[#This Row],[SKU]])</f>
        <v>1500</v>
      </c>
      <c r="P1309" s="35">
        <f>SUMIFS(TablaSALIDA[CANT],TablaSALIDA[SKU],TablaSTOCKINV[[#This Row],[SKU]])</f>
        <v>0</v>
      </c>
      <c r="Q1309" s="34">
        <f>_xlfn.XLOOKUP(TablaSTOCKINV[[#This Row],[SKU]],TablaINVENTARIO[SKU],TablaINVENTARIO[PRECIO])</f>
        <v>0</v>
      </c>
      <c r="R1309" s="34">
        <f>TablaSTOCKINV[[#This Row],[P.UNITARIO]]*TablaSTOCKINV[[#This Row],[CANT. TOTAL]]</f>
        <v>0</v>
      </c>
      <c r="S1309" s="44">
        <f>_xlfn.XLOOKUP(TablaSTOCKINV[[#This Row],[SKU]],TablaINVENTARIO[SKU],TablaINVENTARIO[FECHA INGRESO])</f>
        <v>46023</v>
      </c>
      <c r="T1309" s="44">
        <f>_xlfn.XLOOKUP(TablaSTOCKINV[[#This Row],[SKU]],TablaENTRADA[SKU],TablaENTRADA[FECHA],,0,-1)</f>
        <v>46023</v>
      </c>
      <c r="U1309" s="46" t="str">
        <f>IFERROR((_xlfn.XLOOKUP(TablaSTOCKINV[[#This Row],[SKU]],TablaSALIDA[SKU],TablaSALIDA[FECHA],,0,-1))," " )</f>
        <v xml:space="preserve"> </v>
      </c>
    </row>
    <row r="1310" spans="1:21" x14ac:dyDescent="0.3">
      <c r="A1310" s="27" t="s">
        <v>94</v>
      </c>
      <c r="B1310" s="32" t="str">
        <f>_xlfn.XLOOKUP(TablaSTOCKINV[[#This Row],[SKU]],TablaINVENTARIO[SKU],TablaINVENTARIO[DESCRIPCION])</f>
        <v xml:space="preserve">BOLSA CON ASA 30 LTS </v>
      </c>
      <c r="C1310" s="32" t="str">
        <f>_xlfn.XLOOKUP(TablaSTOCKINV[[#This Row],[SKU]],TablaINVENTARIO[SKU],TablaINVENTARIO[MARCA])</f>
        <v>N/A</v>
      </c>
      <c r="D1310" s="33" t="str">
        <f>_xlfn.XLOOKUP(TablaSTOCKINV[[#This Row],[SKU]],TablaINVENTARIO[SKU],TablaINVENTARIO[CATEGORIA])</f>
        <v>CONSUMIBLES</v>
      </c>
      <c r="E1310" s="33" t="str">
        <f>_xlfn.XLOOKUP(TablaSTOCKINV[[#This Row],[SKU]],TablaINVENTARIO[SKU],TablaINVENTARIO[SUBCATEGORIA])</f>
        <v>PRODUCTO DE LIMPIEZA</v>
      </c>
      <c r="F1310" s="33" t="str">
        <f>_xlfn.XLOOKUP(TablaSTOCKINV[[#This Row],[SKU]],TablaINVENTARIO[SKU],TablaINVENTARIO[ESTADO])</f>
        <v>NUEVO</v>
      </c>
      <c r="G1310" s="33" t="str">
        <f>_xlfn.XLOOKUP(TablaSTOCKINV[[#This Row],[SKU]],TablaINVENTARIO[SKU],TablaINVENTARIO[MEDIDA])</f>
        <v xml:space="preserve">UND </v>
      </c>
      <c r="H1310" s="33" t="str">
        <f>_xlfn.XLOOKUP(TablaSTOCKINV[[#This Row],[SKU]],TablaINVENTARIO[SKU],TablaINVENTARIO[SERIAL])</f>
        <v>N/A</v>
      </c>
      <c r="I1310" s="34">
        <f>_xlfn.XLOOKUP(TablaSTOCKINV[[#This Row],[SKU]],TablaINVENTARIO[SKU],TablaINVENTARIO[ALMACEN])</f>
        <v>0</v>
      </c>
      <c r="J1310" s="34" t="str">
        <f>_xlfn.XLOOKUP(TablaSTOCKINV[[#This Row],[SKU]],TablaINVENTARIO[SKU],TablaINVENTARIO[UBICACION])</f>
        <v xml:space="preserve">CUARTO DE ALMACENAMIENTO </v>
      </c>
      <c r="K1310" s="34" t="str">
        <f>_xlfn.XLOOKUP(TablaSTOCKINV[[#This Row],[SKU]],TablaINVENTARIO[SKU],TablaINVENTARIO[DPTO RESPONSABLE])</f>
        <v xml:space="preserve">CONSUMO GENERAL </v>
      </c>
      <c r="L1310" s="53">
        <f>_xlfn.XLOOKUP(TablaSTOCKINV[[#This Row],[SKU]],TablaINVENTARIO[SKU],TablaINVENTARIO[RANGO MIN])</f>
        <v>0</v>
      </c>
      <c r="M1310" s="34" cm="1">
        <f t="array" ref="M1310">_xlfn.IFS(TablaSTOCKINV[[#This Row],[CANT. TOTAL]]&lt;=0,1,TablaSTOCKINV[[#This Row],[CANT. TOTAL]]&lt;=TablaSTOCKINV[[#This Row],[MIN]],2,TablaSTOCKINV[[#This Row],[CANT. TOTAL]]&gt;TablaSTOCKINV[[#This Row],[MIN]],3)</f>
        <v>3</v>
      </c>
      <c r="N1310" s="34">
        <f>TablaSTOCKINV[[#This Row],[ENTRADAS]]-TablaSTOCKINV[[#This Row],[SALIDAS]]</f>
        <v>1500</v>
      </c>
      <c r="O1310" s="35">
        <f>SUMIFS(TablaENTRADA[CANT],TablaENTRADA[SKU],TablaSTOCKINV[[#This Row],[SKU]])</f>
        <v>1500</v>
      </c>
      <c r="P1310" s="35">
        <f>SUMIFS(TablaSALIDA[CANT],TablaSALIDA[SKU],TablaSTOCKINV[[#This Row],[SKU]])</f>
        <v>0</v>
      </c>
      <c r="Q1310" s="34">
        <f>_xlfn.XLOOKUP(TablaSTOCKINV[[#This Row],[SKU]],TablaINVENTARIO[SKU],TablaINVENTARIO[PRECIO])</f>
        <v>0</v>
      </c>
      <c r="R1310" s="34">
        <f>TablaSTOCKINV[[#This Row],[P.UNITARIO]]*TablaSTOCKINV[[#This Row],[CANT. TOTAL]]</f>
        <v>0</v>
      </c>
      <c r="S1310" s="44">
        <f>_xlfn.XLOOKUP(TablaSTOCKINV[[#This Row],[SKU]],TablaINVENTARIO[SKU],TablaINVENTARIO[FECHA INGRESO])</f>
        <v>46023</v>
      </c>
      <c r="T1310" s="44">
        <f>_xlfn.XLOOKUP(TablaSTOCKINV[[#This Row],[SKU]],TablaENTRADA[SKU],TablaENTRADA[FECHA],,0,-1)</f>
        <v>46023</v>
      </c>
      <c r="U1310" s="46" t="str">
        <f>IFERROR((_xlfn.XLOOKUP(TablaSTOCKINV[[#This Row],[SKU]],TablaSALIDA[SKU],TablaSALIDA[FECHA],,0,-1))," " )</f>
        <v xml:space="preserve"> </v>
      </c>
    </row>
    <row r="1311" spans="1:21" x14ac:dyDescent="0.3">
      <c r="A1311" s="27" t="s">
        <v>96</v>
      </c>
      <c r="B1311" s="32" t="str">
        <f>_xlfn.XLOOKUP(TablaSTOCKINV[[#This Row],[SKU]],TablaINVENTARIO[SKU],TablaINVENTARIO[DESCRIPCION])</f>
        <v xml:space="preserve">ESPONJA BRILLO DE JABON </v>
      </c>
      <c r="C1311" s="32" t="str">
        <f>_xlfn.XLOOKUP(TablaSTOCKINV[[#This Row],[SKU]],TablaINVENTARIO[SKU],TablaINVENTARIO[MARCA])</f>
        <v xml:space="preserve">IZY CLEAN </v>
      </c>
      <c r="D1311" s="33" t="str">
        <f>_xlfn.XLOOKUP(TablaSTOCKINV[[#This Row],[SKU]],TablaINVENTARIO[SKU],TablaINVENTARIO[CATEGORIA])</f>
        <v>CONSUMIBLES</v>
      </c>
      <c r="E1311" s="33" t="str">
        <f>_xlfn.XLOOKUP(TablaSTOCKINV[[#This Row],[SKU]],TablaINVENTARIO[SKU],TablaINVENTARIO[SUBCATEGORIA])</f>
        <v>PRODUCTO DE LIMPIEZA</v>
      </c>
      <c r="F1311" s="33" t="str">
        <f>_xlfn.XLOOKUP(TablaSTOCKINV[[#This Row],[SKU]],TablaINVENTARIO[SKU],TablaINVENTARIO[ESTADO])</f>
        <v>NUEVO</v>
      </c>
      <c r="G1311" s="33" t="str">
        <f>_xlfn.XLOOKUP(TablaSTOCKINV[[#This Row],[SKU]],TablaINVENTARIO[SKU],TablaINVENTARIO[MEDIDA])</f>
        <v xml:space="preserve">UND </v>
      </c>
      <c r="H1311" s="33" t="str">
        <f>_xlfn.XLOOKUP(TablaSTOCKINV[[#This Row],[SKU]],TablaINVENTARIO[SKU],TablaINVENTARIO[SERIAL])</f>
        <v>N/A</v>
      </c>
      <c r="I1311" s="34">
        <f>_xlfn.XLOOKUP(TablaSTOCKINV[[#This Row],[SKU]],TablaINVENTARIO[SKU],TablaINVENTARIO[ALMACEN])</f>
        <v>0</v>
      </c>
      <c r="J1311" s="34" t="str">
        <f>_xlfn.XLOOKUP(TablaSTOCKINV[[#This Row],[SKU]],TablaINVENTARIO[SKU],TablaINVENTARIO[UBICACION])</f>
        <v xml:space="preserve">CUARTO DE ALMACENAMIENTO </v>
      </c>
      <c r="K1311" s="34" t="str">
        <f>_xlfn.XLOOKUP(TablaSTOCKINV[[#This Row],[SKU]],TablaINVENTARIO[SKU],TablaINVENTARIO[DPTO RESPONSABLE])</f>
        <v xml:space="preserve">CONSUMO GENERAL </v>
      </c>
      <c r="L1311" s="53">
        <f>_xlfn.XLOOKUP(TablaSTOCKINV[[#This Row],[SKU]],TablaINVENTARIO[SKU],TablaINVENTARIO[RANGO MIN])</f>
        <v>0</v>
      </c>
      <c r="M1311" s="34" cm="1">
        <f t="array" ref="M1311">_xlfn.IFS(TablaSTOCKINV[[#This Row],[CANT. TOTAL]]&lt;=0,1,TablaSTOCKINV[[#This Row],[CANT. TOTAL]]&lt;=TablaSTOCKINV[[#This Row],[MIN]],2,TablaSTOCKINV[[#This Row],[CANT. TOTAL]]&gt;TablaSTOCKINV[[#This Row],[MIN]],3)</f>
        <v>3</v>
      </c>
      <c r="N1311" s="34">
        <f>TablaSTOCKINV[[#This Row],[ENTRADAS]]-TablaSTOCKINV[[#This Row],[SALIDAS]]</f>
        <v>21</v>
      </c>
      <c r="O1311" s="35">
        <f>SUMIFS(TablaENTRADA[CANT],TablaENTRADA[SKU],TablaSTOCKINV[[#This Row],[SKU]])</f>
        <v>21</v>
      </c>
      <c r="P1311" s="35">
        <f>SUMIFS(TablaSALIDA[CANT],TablaSALIDA[SKU],TablaSTOCKINV[[#This Row],[SKU]])</f>
        <v>0</v>
      </c>
      <c r="Q1311" s="34">
        <f>_xlfn.XLOOKUP(TablaSTOCKINV[[#This Row],[SKU]],TablaINVENTARIO[SKU],TablaINVENTARIO[PRECIO])</f>
        <v>0</v>
      </c>
      <c r="R1311" s="34">
        <f>TablaSTOCKINV[[#This Row],[P.UNITARIO]]*TablaSTOCKINV[[#This Row],[CANT. TOTAL]]</f>
        <v>0</v>
      </c>
      <c r="S1311" s="44">
        <f>_xlfn.XLOOKUP(TablaSTOCKINV[[#This Row],[SKU]],TablaINVENTARIO[SKU],TablaINVENTARIO[FECHA INGRESO])</f>
        <v>46023</v>
      </c>
      <c r="T1311" s="44">
        <f>_xlfn.XLOOKUP(TablaSTOCKINV[[#This Row],[SKU]],TablaENTRADA[SKU],TablaENTRADA[FECHA],,0,-1)</f>
        <v>46023</v>
      </c>
      <c r="U1311" s="46" t="str">
        <f>IFERROR((_xlfn.XLOOKUP(TablaSTOCKINV[[#This Row],[SKU]],TablaSALIDA[SKU],TablaSALIDA[FECHA],,0,-1))," " )</f>
        <v xml:space="preserve"> </v>
      </c>
    </row>
    <row r="1312" spans="1:21" x14ac:dyDescent="0.3">
      <c r="A1312" s="27" t="s">
        <v>99</v>
      </c>
      <c r="B1312" s="32" t="str">
        <f>_xlfn.XLOOKUP(TablaSTOCKINV[[#This Row],[SKU]],TablaINVENTARIO[SKU],TablaINVENTARIO[DESCRIPCION])</f>
        <v xml:space="preserve">PAÑO TODO USO </v>
      </c>
      <c r="C1312" s="32" t="str">
        <f>_xlfn.XLOOKUP(TablaSTOCKINV[[#This Row],[SKU]],TablaINVENTARIO[SKU],TablaINVENTARIO[MARCA])</f>
        <v xml:space="preserve">IZY CLEAN </v>
      </c>
      <c r="D1312" s="33" t="str">
        <f>_xlfn.XLOOKUP(TablaSTOCKINV[[#This Row],[SKU]],TablaINVENTARIO[SKU],TablaINVENTARIO[CATEGORIA])</f>
        <v>CONSUMIBLES</v>
      </c>
      <c r="E1312" s="33" t="str">
        <f>_xlfn.XLOOKUP(TablaSTOCKINV[[#This Row],[SKU]],TablaINVENTARIO[SKU],TablaINVENTARIO[SUBCATEGORIA])</f>
        <v>PRODUCTO DE LIMPIEZA</v>
      </c>
      <c r="F1312" s="33" t="str">
        <f>_xlfn.XLOOKUP(TablaSTOCKINV[[#This Row],[SKU]],TablaINVENTARIO[SKU],TablaINVENTARIO[ESTADO])</f>
        <v>NUEVO</v>
      </c>
      <c r="G1312" s="33" t="str">
        <f>_xlfn.XLOOKUP(TablaSTOCKINV[[#This Row],[SKU]],TablaINVENTARIO[SKU],TablaINVENTARIO[MEDIDA])</f>
        <v xml:space="preserve">UND </v>
      </c>
      <c r="H1312" s="33" t="str">
        <f>_xlfn.XLOOKUP(TablaSTOCKINV[[#This Row],[SKU]],TablaINVENTARIO[SKU],TablaINVENTARIO[SERIAL])</f>
        <v>N/A</v>
      </c>
      <c r="I1312" s="34">
        <f>_xlfn.XLOOKUP(TablaSTOCKINV[[#This Row],[SKU]],TablaINVENTARIO[SKU],TablaINVENTARIO[ALMACEN])</f>
        <v>0</v>
      </c>
      <c r="J1312" s="34" t="str">
        <f>_xlfn.XLOOKUP(TablaSTOCKINV[[#This Row],[SKU]],TablaINVENTARIO[SKU],TablaINVENTARIO[UBICACION])</f>
        <v xml:space="preserve">CUARTO DE ALMACENAMIENTO </v>
      </c>
      <c r="K1312" s="34" t="str">
        <f>_xlfn.XLOOKUP(TablaSTOCKINV[[#This Row],[SKU]],TablaINVENTARIO[SKU],TablaINVENTARIO[DPTO RESPONSABLE])</f>
        <v xml:space="preserve">CONSUMO GENERAL </v>
      </c>
      <c r="L1312" s="53">
        <f>_xlfn.XLOOKUP(TablaSTOCKINV[[#This Row],[SKU]],TablaINVENTARIO[SKU],TablaINVENTARIO[RANGO MIN])</f>
        <v>0</v>
      </c>
      <c r="M1312" s="34" cm="1">
        <f t="array" ref="M1312">_xlfn.IFS(TablaSTOCKINV[[#This Row],[CANT. TOTAL]]&lt;=0,1,TablaSTOCKINV[[#This Row],[CANT. TOTAL]]&lt;=TablaSTOCKINV[[#This Row],[MIN]],2,TablaSTOCKINV[[#This Row],[CANT. TOTAL]]&gt;TablaSTOCKINV[[#This Row],[MIN]],3)</f>
        <v>3</v>
      </c>
      <c r="N1312" s="34">
        <f>TablaSTOCKINV[[#This Row],[ENTRADAS]]-TablaSTOCKINV[[#This Row],[SALIDAS]]</f>
        <v>2</v>
      </c>
      <c r="O1312" s="35">
        <f>SUMIFS(TablaENTRADA[CANT],TablaENTRADA[SKU],TablaSTOCKINV[[#This Row],[SKU]])</f>
        <v>2</v>
      </c>
      <c r="P1312" s="35">
        <f>SUMIFS(TablaSALIDA[CANT],TablaSALIDA[SKU],TablaSTOCKINV[[#This Row],[SKU]])</f>
        <v>0</v>
      </c>
      <c r="Q1312" s="34">
        <f>_xlfn.XLOOKUP(TablaSTOCKINV[[#This Row],[SKU]],TablaINVENTARIO[SKU],TablaINVENTARIO[PRECIO])</f>
        <v>0</v>
      </c>
      <c r="R1312" s="34">
        <f>TablaSTOCKINV[[#This Row],[P.UNITARIO]]*TablaSTOCKINV[[#This Row],[CANT. TOTAL]]</f>
        <v>0</v>
      </c>
      <c r="S1312" s="44">
        <f>_xlfn.XLOOKUP(TablaSTOCKINV[[#This Row],[SKU]],TablaINVENTARIO[SKU],TablaINVENTARIO[FECHA INGRESO])</f>
        <v>46023</v>
      </c>
      <c r="T1312" s="44">
        <f>_xlfn.XLOOKUP(TablaSTOCKINV[[#This Row],[SKU]],TablaENTRADA[SKU],TablaENTRADA[FECHA],,0,-1)</f>
        <v>46023</v>
      </c>
      <c r="U1312" s="46" t="str">
        <f>IFERROR((_xlfn.XLOOKUP(TablaSTOCKINV[[#This Row],[SKU]],TablaSALIDA[SKU],TablaSALIDA[FECHA],,0,-1))," " )</f>
        <v xml:space="preserve"> </v>
      </c>
    </row>
    <row r="1313" spans="1:21" x14ac:dyDescent="0.3">
      <c r="A1313" s="27" t="s">
        <v>101</v>
      </c>
      <c r="B1313" s="32" t="str">
        <f>_xlfn.XLOOKUP(TablaSTOCKINV[[#This Row],[SKU]],TablaINVENTARIO[SKU],TablaINVENTARIO[DESCRIPCION])</f>
        <v xml:space="preserve">ESPONJA CUIDA UÑAS </v>
      </c>
      <c r="C1313" s="32" t="str">
        <f>_xlfn.XLOOKUP(TablaSTOCKINV[[#This Row],[SKU]],TablaINVENTARIO[SKU],TablaINVENTARIO[MARCA])</f>
        <v xml:space="preserve">IZY CLEAN </v>
      </c>
      <c r="D1313" s="33" t="str">
        <f>_xlfn.XLOOKUP(TablaSTOCKINV[[#This Row],[SKU]],TablaINVENTARIO[SKU],TablaINVENTARIO[CATEGORIA])</f>
        <v>CONSUMIBLES</v>
      </c>
      <c r="E1313" s="33" t="str">
        <f>_xlfn.XLOOKUP(TablaSTOCKINV[[#This Row],[SKU]],TablaINVENTARIO[SKU],TablaINVENTARIO[SUBCATEGORIA])</f>
        <v>PRODUCTO DE LIMPIEZA</v>
      </c>
      <c r="F1313" s="33" t="str">
        <f>_xlfn.XLOOKUP(TablaSTOCKINV[[#This Row],[SKU]],TablaINVENTARIO[SKU],TablaINVENTARIO[ESTADO])</f>
        <v>NUEVO</v>
      </c>
      <c r="G1313" s="33" t="str">
        <f>_xlfn.XLOOKUP(TablaSTOCKINV[[#This Row],[SKU]],TablaINVENTARIO[SKU],TablaINVENTARIO[MEDIDA])</f>
        <v xml:space="preserve">UND </v>
      </c>
      <c r="H1313" s="33" t="str">
        <f>_xlfn.XLOOKUP(TablaSTOCKINV[[#This Row],[SKU]],TablaINVENTARIO[SKU],TablaINVENTARIO[SERIAL])</f>
        <v>N/A</v>
      </c>
      <c r="I1313" s="34">
        <f>_xlfn.XLOOKUP(TablaSTOCKINV[[#This Row],[SKU]],TablaINVENTARIO[SKU],TablaINVENTARIO[ALMACEN])</f>
        <v>0</v>
      </c>
      <c r="J1313" s="34" t="str">
        <f>_xlfn.XLOOKUP(TablaSTOCKINV[[#This Row],[SKU]],TablaINVENTARIO[SKU],TablaINVENTARIO[UBICACION])</f>
        <v xml:space="preserve">CUARTO DE ALMACENAMIENTO </v>
      </c>
      <c r="K1313" s="34" t="str">
        <f>_xlfn.XLOOKUP(TablaSTOCKINV[[#This Row],[SKU]],TablaINVENTARIO[SKU],TablaINVENTARIO[DPTO RESPONSABLE])</f>
        <v xml:space="preserve">CONSUMO GENERAL </v>
      </c>
      <c r="L1313" s="53">
        <f>_xlfn.XLOOKUP(TablaSTOCKINV[[#This Row],[SKU]],TablaINVENTARIO[SKU],TablaINVENTARIO[RANGO MIN])</f>
        <v>0</v>
      </c>
      <c r="M1313" s="34" cm="1">
        <f t="array" ref="M1313">_xlfn.IFS(TablaSTOCKINV[[#This Row],[CANT. TOTAL]]&lt;=0,1,TablaSTOCKINV[[#This Row],[CANT. TOTAL]]&lt;=TablaSTOCKINV[[#This Row],[MIN]],2,TablaSTOCKINV[[#This Row],[CANT. TOTAL]]&gt;TablaSTOCKINV[[#This Row],[MIN]],3)</f>
        <v>3</v>
      </c>
      <c r="N1313" s="34">
        <f>TablaSTOCKINV[[#This Row],[ENTRADAS]]-TablaSTOCKINV[[#This Row],[SALIDAS]]</f>
        <v>3</v>
      </c>
      <c r="O1313" s="35">
        <f>SUMIFS(TablaENTRADA[CANT],TablaENTRADA[SKU],TablaSTOCKINV[[#This Row],[SKU]])</f>
        <v>3</v>
      </c>
      <c r="P1313" s="35">
        <f>SUMIFS(TablaSALIDA[CANT],TablaSALIDA[SKU],TablaSTOCKINV[[#This Row],[SKU]])</f>
        <v>0</v>
      </c>
      <c r="Q1313" s="34">
        <f>_xlfn.XLOOKUP(TablaSTOCKINV[[#This Row],[SKU]],TablaINVENTARIO[SKU],TablaINVENTARIO[PRECIO])</f>
        <v>0</v>
      </c>
      <c r="R1313" s="34">
        <f>TablaSTOCKINV[[#This Row],[P.UNITARIO]]*TablaSTOCKINV[[#This Row],[CANT. TOTAL]]</f>
        <v>0</v>
      </c>
      <c r="S1313" s="44">
        <f>_xlfn.XLOOKUP(TablaSTOCKINV[[#This Row],[SKU]],TablaINVENTARIO[SKU],TablaINVENTARIO[FECHA INGRESO])</f>
        <v>46023</v>
      </c>
      <c r="T1313" s="44">
        <f>_xlfn.XLOOKUP(TablaSTOCKINV[[#This Row],[SKU]],TablaENTRADA[SKU],TablaENTRADA[FECHA],,0,-1)</f>
        <v>46023</v>
      </c>
      <c r="U1313" s="46" t="str">
        <f>IFERROR((_xlfn.XLOOKUP(TablaSTOCKINV[[#This Row],[SKU]],TablaSALIDA[SKU],TablaSALIDA[FECHA],,0,-1))," " )</f>
        <v xml:space="preserve"> </v>
      </c>
    </row>
    <row r="1314" spans="1:21" x14ac:dyDescent="0.3">
      <c r="A1314" s="27" t="s">
        <v>103</v>
      </c>
      <c r="B1314" s="32" t="str">
        <f>_xlfn.XLOOKUP(TablaSTOCKINV[[#This Row],[SKU]],TablaINVENTARIO[SKU],TablaINVENTARIO[DESCRIPCION])</f>
        <v xml:space="preserve">PANEL DECORATIVO ADHESIVO </v>
      </c>
      <c r="C1314" s="32" t="str">
        <f>_xlfn.XLOOKUP(TablaSTOCKINV[[#This Row],[SKU]],TablaINVENTARIO[SKU],TablaINVENTARIO[MARCA])</f>
        <v>N/A</v>
      </c>
      <c r="D1314" s="33" t="str">
        <f>_xlfn.XLOOKUP(TablaSTOCKINV[[#This Row],[SKU]],TablaINVENTARIO[SKU],TablaINVENTARIO[CATEGORIA])</f>
        <v>CONSUMIBLES</v>
      </c>
      <c r="E1314" s="33" t="str">
        <f>_xlfn.XLOOKUP(TablaSTOCKINV[[#This Row],[SKU]],TablaINVENTARIO[SKU],TablaINVENTARIO[SUBCATEGORIA])</f>
        <v xml:space="preserve">DECORACIÓN </v>
      </c>
      <c r="F1314" s="33" t="str">
        <f>_xlfn.XLOOKUP(TablaSTOCKINV[[#This Row],[SKU]],TablaINVENTARIO[SKU],TablaINVENTARIO[ESTADO])</f>
        <v>NUEVO</v>
      </c>
      <c r="G1314" s="33" t="str">
        <f>_xlfn.XLOOKUP(TablaSTOCKINV[[#This Row],[SKU]],TablaINVENTARIO[SKU],TablaINVENTARIO[MEDIDA])</f>
        <v>MTS</v>
      </c>
      <c r="H1314" s="33" t="str">
        <f>_xlfn.XLOOKUP(TablaSTOCKINV[[#This Row],[SKU]],TablaINVENTARIO[SKU],TablaINVENTARIO[SERIAL])</f>
        <v>N/A</v>
      </c>
      <c r="I1314" s="34">
        <f>_xlfn.XLOOKUP(TablaSTOCKINV[[#This Row],[SKU]],TablaINVENTARIO[SKU],TablaINVENTARIO[ALMACEN])</f>
        <v>0</v>
      </c>
      <c r="J1314" s="34" t="str">
        <f>_xlfn.XLOOKUP(TablaSTOCKINV[[#This Row],[SKU]],TablaINVENTARIO[SKU],TablaINVENTARIO[UBICACION])</f>
        <v xml:space="preserve">CUARTO DE ALMACENAMIENTO </v>
      </c>
      <c r="K1314" s="34" t="str">
        <f>_xlfn.XLOOKUP(TablaSTOCKINV[[#This Row],[SKU]],TablaINVENTARIO[SKU],TablaINVENTARIO[DPTO RESPONSABLE])</f>
        <v xml:space="preserve">CONSUMO GENERAL </v>
      </c>
      <c r="L1314" s="53">
        <f>_xlfn.XLOOKUP(TablaSTOCKINV[[#This Row],[SKU]],TablaINVENTARIO[SKU],TablaINVENTARIO[RANGO MIN])</f>
        <v>0</v>
      </c>
      <c r="M1314" s="34" cm="1">
        <f t="array" ref="M1314">_xlfn.IFS(TablaSTOCKINV[[#This Row],[CANT. TOTAL]]&lt;=0,1,TablaSTOCKINV[[#This Row],[CANT. TOTAL]]&lt;=TablaSTOCKINV[[#This Row],[MIN]],2,TablaSTOCKINV[[#This Row],[CANT. TOTAL]]&gt;TablaSTOCKINV[[#This Row],[MIN]],3)</f>
        <v>3</v>
      </c>
      <c r="N1314" s="34">
        <f>TablaSTOCKINV[[#This Row],[ENTRADAS]]-TablaSTOCKINV[[#This Row],[SALIDAS]]</f>
        <v>9</v>
      </c>
      <c r="O1314" s="35">
        <f>SUMIFS(TablaENTRADA[CANT],TablaENTRADA[SKU],TablaSTOCKINV[[#This Row],[SKU]])</f>
        <v>9</v>
      </c>
      <c r="P1314" s="35">
        <f>SUMIFS(TablaSALIDA[CANT],TablaSALIDA[SKU],TablaSTOCKINV[[#This Row],[SKU]])</f>
        <v>0</v>
      </c>
      <c r="Q1314" s="34">
        <f>_xlfn.XLOOKUP(TablaSTOCKINV[[#This Row],[SKU]],TablaINVENTARIO[SKU],TablaINVENTARIO[PRECIO])</f>
        <v>0</v>
      </c>
      <c r="R1314" s="34">
        <f>TablaSTOCKINV[[#This Row],[P.UNITARIO]]*TablaSTOCKINV[[#This Row],[CANT. TOTAL]]</f>
        <v>0</v>
      </c>
      <c r="S1314" s="44">
        <f>_xlfn.XLOOKUP(TablaSTOCKINV[[#This Row],[SKU]],TablaINVENTARIO[SKU],TablaINVENTARIO[FECHA INGRESO])</f>
        <v>46023</v>
      </c>
      <c r="T1314" s="44">
        <f>_xlfn.XLOOKUP(TablaSTOCKINV[[#This Row],[SKU]],TablaENTRADA[SKU],TablaENTRADA[FECHA],,0,-1)</f>
        <v>46023</v>
      </c>
      <c r="U1314" s="46" t="str">
        <f>IFERROR((_xlfn.XLOOKUP(TablaSTOCKINV[[#This Row],[SKU]],TablaSALIDA[SKU],TablaSALIDA[FECHA],,0,-1))," " )</f>
        <v xml:space="preserve"> </v>
      </c>
    </row>
    <row r="1315" spans="1:21" x14ac:dyDescent="0.3">
      <c r="A1315" s="27" t="s">
        <v>107</v>
      </c>
      <c r="B1315" s="32" t="str">
        <f>_xlfn.XLOOKUP(TablaSTOCKINV[[#This Row],[SKU]],TablaINVENTARIO[SKU],TablaINVENTARIO[DESCRIPCION])</f>
        <v>PASTILLA DE CLORO</v>
      </c>
      <c r="C1315" s="32" t="str">
        <f>_xlfn.XLOOKUP(TablaSTOCKINV[[#This Row],[SKU]],TablaINVENTARIO[SKU],TablaINVENTARIO[MARCA])</f>
        <v>N/A</v>
      </c>
      <c r="D1315" s="33" t="str">
        <f>_xlfn.XLOOKUP(TablaSTOCKINV[[#This Row],[SKU]],TablaINVENTARIO[SKU],TablaINVENTARIO[CATEGORIA])</f>
        <v>CONSUMIBLES</v>
      </c>
      <c r="E1315" s="33" t="str">
        <f>_xlfn.XLOOKUP(TablaSTOCKINV[[#This Row],[SKU]],TablaINVENTARIO[SKU],TablaINVENTARIO[SUBCATEGORIA])</f>
        <v>PRODUCTO DE LIMPIEZA</v>
      </c>
      <c r="F1315" s="33" t="str">
        <f>_xlfn.XLOOKUP(TablaSTOCKINV[[#This Row],[SKU]],TablaINVENTARIO[SKU],TablaINVENTARIO[ESTADO])</f>
        <v>NUEVO</v>
      </c>
      <c r="G1315" s="33" t="str">
        <f>_xlfn.XLOOKUP(TablaSTOCKINV[[#This Row],[SKU]],TablaINVENTARIO[SKU],TablaINVENTARIO[MEDIDA])</f>
        <v xml:space="preserve">UND </v>
      </c>
      <c r="H1315" s="33" t="str">
        <f>_xlfn.XLOOKUP(TablaSTOCKINV[[#This Row],[SKU]],TablaINVENTARIO[SKU],TablaINVENTARIO[SERIAL])</f>
        <v>N/A</v>
      </c>
      <c r="I1315" s="34">
        <f>_xlfn.XLOOKUP(TablaSTOCKINV[[#This Row],[SKU]],TablaINVENTARIO[SKU],TablaINVENTARIO[ALMACEN])</f>
        <v>0</v>
      </c>
      <c r="J1315" s="34" t="str">
        <f>_xlfn.XLOOKUP(TablaSTOCKINV[[#This Row],[SKU]],TablaINVENTARIO[SKU],TablaINVENTARIO[UBICACION])</f>
        <v xml:space="preserve">CUARTO DE ALMACENAMIENTO </v>
      </c>
      <c r="K1315" s="34" t="str">
        <f>_xlfn.XLOOKUP(TablaSTOCKINV[[#This Row],[SKU]],TablaINVENTARIO[SKU],TablaINVENTARIO[DPTO RESPONSABLE])</f>
        <v xml:space="preserve">CONSUMO GENERAL </v>
      </c>
      <c r="L1315" s="53">
        <f>_xlfn.XLOOKUP(TablaSTOCKINV[[#This Row],[SKU]],TablaINVENTARIO[SKU],TablaINVENTARIO[RANGO MIN])</f>
        <v>0</v>
      </c>
      <c r="M1315" s="34" cm="1">
        <f t="array" ref="M1315">_xlfn.IFS(TablaSTOCKINV[[#This Row],[CANT. TOTAL]]&lt;=0,1,TablaSTOCKINV[[#This Row],[CANT. TOTAL]]&lt;=TablaSTOCKINV[[#This Row],[MIN]],2,TablaSTOCKINV[[#This Row],[CANT. TOTAL]]&gt;TablaSTOCKINV[[#This Row],[MIN]],3)</f>
        <v>3</v>
      </c>
      <c r="N1315" s="34">
        <f>TablaSTOCKINV[[#This Row],[ENTRADAS]]-TablaSTOCKINV[[#This Row],[SALIDAS]]</f>
        <v>5</v>
      </c>
      <c r="O1315" s="35">
        <f>SUMIFS(TablaENTRADA[CANT],TablaENTRADA[SKU],TablaSTOCKINV[[#This Row],[SKU]])</f>
        <v>5</v>
      </c>
      <c r="P1315" s="35">
        <f>SUMIFS(TablaSALIDA[CANT],TablaSALIDA[SKU],TablaSTOCKINV[[#This Row],[SKU]])</f>
        <v>0</v>
      </c>
      <c r="Q1315" s="34">
        <f>_xlfn.XLOOKUP(TablaSTOCKINV[[#This Row],[SKU]],TablaINVENTARIO[SKU],TablaINVENTARIO[PRECIO])</f>
        <v>0</v>
      </c>
      <c r="R1315" s="34">
        <f>TablaSTOCKINV[[#This Row],[P.UNITARIO]]*TablaSTOCKINV[[#This Row],[CANT. TOTAL]]</f>
        <v>0</v>
      </c>
      <c r="S1315" s="44">
        <f>_xlfn.XLOOKUP(TablaSTOCKINV[[#This Row],[SKU]],TablaINVENTARIO[SKU],TablaINVENTARIO[FECHA INGRESO])</f>
        <v>46023</v>
      </c>
      <c r="T1315" s="44">
        <f>_xlfn.XLOOKUP(TablaSTOCKINV[[#This Row],[SKU]],TablaENTRADA[SKU],TablaENTRADA[FECHA],,0,-1)</f>
        <v>46023</v>
      </c>
      <c r="U1315" s="46" t="str">
        <f>IFERROR((_xlfn.XLOOKUP(TablaSTOCKINV[[#This Row],[SKU]],TablaSALIDA[SKU],TablaSALIDA[FECHA],,0,-1))," " )</f>
        <v xml:space="preserve"> </v>
      </c>
    </row>
    <row r="1316" spans="1:21" x14ac:dyDescent="0.3">
      <c r="A1316" s="27" t="s">
        <v>109</v>
      </c>
      <c r="B1316" s="32" t="str">
        <f>_xlfn.XLOOKUP(TablaSTOCKINV[[#This Row],[SKU]],TablaINVENTARIO[SKU],TablaINVENTARIO[DESCRIPCION])</f>
        <v xml:space="preserve">TRAPOS MIXTOS </v>
      </c>
      <c r="C1316" s="32" t="str">
        <f>_xlfn.XLOOKUP(TablaSTOCKINV[[#This Row],[SKU]],TablaINVENTARIO[SKU],TablaINVENTARIO[MARCA])</f>
        <v>N/A</v>
      </c>
      <c r="D1316" s="33" t="str">
        <f>_xlfn.XLOOKUP(TablaSTOCKINV[[#This Row],[SKU]],TablaINVENTARIO[SKU],TablaINVENTARIO[CATEGORIA])</f>
        <v>CONSUMIBLES</v>
      </c>
      <c r="E1316" s="33" t="str">
        <f>_xlfn.XLOOKUP(TablaSTOCKINV[[#This Row],[SKU]],TablaINVENTARIO[SKU],TablaINVENTARIO[SUBCATEGORIA])</f>
        <v>PRODUCTO DE LIMPIEZA</v>
      </c>
      <c r="F1316" s="33" t="str">
        <f>_xlfn.XLOOKUP(TablaSTOCKINV[[#This Row],[SKU]],TablaINVENTARIO[SKU],TablaINVENTARIO[ESTADO])</f>
        <v>NUEVO</v>
      </c>
      <c r="G1316" s="33" t="str">
        <f>_xlfn.XLOOKUP(TablaSTOCKINV[[#This Row],[SKU]],TablaINVENTARIO[SKU],TablaINVENTARIO[MEDIDA])</f>
        <v xml:space="preserve">KG </v>
      </c>
      <c r="H1316" s="33" t="str">
        <f>_xlfn.XLOOKUP(TablaSTOCKINV[[#This Row],[SKU]],TablaINVENTARIO[SKU],TablaINVENTARIO[SERIAL])</f>
        <v>N/A</v>
      </c>
      <c r="I1316" s="34">
        <f>_xlfn.XLOOKUP(TablaSTOCKINV[[#This Row],[SKU]],TablaINVENTARIO[SKU],TablaINVENTARIO[ALMACEN])</f>
        <v>0</v>
      </c>
      <c r="J1316" s="34" t="str">
        <f>_xlfn.XLOOKUP(TablaSTOCKINV[[#This Row],[SKU]],TablaINVENTARIO[SKU],TablaINVENTARIO[UBICACION])</f>
        <v xml:space="preserve">CUARTO DE ALMACENAMIENTO </v>
      </c>
      <c r="K1316" s="34" t="str">
        <f>_xlfn.XLOOKUP(TablaSTOCKINV[[#This Row],[SKU]],TablaINVENTARIO[SKU],TablaINVENTARIO[DPTO RESPONSABLE])</f>
        <v xml:space="preserve">OPERACIONES / MANTENIMIENTO </v>
      </c>
      <c r="L1316" s="53">
        <f>_xlfn.XLOOKUP(TablaSTOCKINV[[#This Row],[SKU]],TablaINVENTARIO[SKU],TablaINVENTARIO[RANGO MIN])</f>
        <v>0</v>
      </c>
      <c r="M1316" s="34" cm="1">
        <f t="array" ref="M1316">_xlfn.IFS(TablaSTOCKINV[[#This Row],[CANT. TOTAL]]&lt;=0,1,TablaSTOCKINV[[#This Row],[CANT. TOTAL]]&lt;=TablaSTOCKINV[[#This Row],[MIN]],2,TablaSTOCKINV[[#This Row],[CANT. TOTAL]]&gt;TablaSTOCKINV[[#This Row],[MIN]],3)</f>
        <v>3</v>
      </c>
      <c r="N1316" s="34">
        <f>TablaSTOCKINV[[#This Row],[ENTRADAS]]-TablaSTOCKINV[[#This Row],[SALIDAS]]</f>
        <v>160</v>
      </c>
      <c r="O1316" s="35">
        <f>SUMIFS(TablaENTRADA[CANT],TablaENTRADA[SKU],TablaSTOCKINV[[#This Row],[SKU]])</f>
        <v>160</v>
      </c>
      <c r="P1316" s="35">
        <f>SUMIFS(TablaSALIDA[CANT],TablaSALIDA[SKU],TablaSTOCKINV[[#This Row],[SKU]])</f>
        <v>0</v>
      </c>
      <c r="Q1316" s="34">
        <f>_xlfn.XLOOKUP(TablaSTOCKINV[[#This Row],[SKU]],TablaINVENTARIO[SKU],TablaINVENTARIO[PRECIO])</f>
        <v>0</v>
      </c>
      <c r="R1316" s="34">
        <f>TablaSTOCKINV[[#This Row],[P.UNITARIO]]*TablaSTOCKINV[[#This Row],[CANT. TOTAL]]</f>
        <v>0</v>
      </c>
      <c r="S1316" s="44">
        <f>_xlfn.XLOOKUP(TablaSTOCKINV[[#This Row],[SKU]],TablaINVENTARIO[SKU],TablaINVENTARIO[FECHA INGRESO])</f>
        <v>46023</v>
      </c>
      <c r="T1316" s="44">
        <f>_xlfn.XLOOKUP(TablaSTOCKINV[[#This Row],[SKU]],TablaENTRADA[SKU],TablaENTRADA[FECHA],,0,-1)</f>
        <v>46023</v>
      </c>
      <c r="U1316" s="46" t="str">
        <f>IFERROR((_xlfn.XLOOKUP(TablaSTOCKINV[[#This Row],[SKU]],TablaSALIDA[SKU],TablaSALIDA[FECHA],,0,-1))," " )</f>
        <v xml:space="preserve"> </v>
      </c>
    </row>
    <row r="1317" spans="1:21" x14ac:dyDescent="0.3">
      <c r="A1317" s="27" t="s">
        <v>113</v>
      </c>
      <c r="B1317" s="32" t="str">
        <f>_xlfn.XLOOKUP(TablaSTOCKINV[[#This Row],[SKU]],TablaINVENTARIO[SKU],TablaINVENTARIO[DESCRIPCION])</f>
        <v xml:space="preserve">CARTELERA DE CORCHO </v>
      </c>
      <c r="C1317" s="32" t="str">
        <f>_xlfn.XLOOKUP(TablaSTOCKINV[[#This Row],[SKU]],TablaINVENTARIO[SKU],TablaINVENTARIO[MARCA])</f>
        <v>N/A</v>
      </c>
      <c r="D1317" s="33" t="str">
        <f>_xlfn.XLOOKUP(TablaSTOCKINV[[#This Row],[SKU]],TablaINVENTARIO[SKU],TablaINVENTARIO[CATEGORIA])</f>
        <v>CONSUMIBLES</v>
      </c>
      <c r="E1317" s="33" t="str">
        <f>_xlfn.XLOOKUP(TablaSTOCKINV[[#This Row],[SKU]],TablaINVENTARIO[SKU],TablaINVENTARIO[SUBCATEGORIA])</f>
        <v>PAPELERIA</v>
      </c>
      <c r="F1317" s="33" t="str">
        <f>_xlfn.XLOOKUP(TablaSTOCKINV[[#This Row],[SKU]],TablaINVENTARIO[SKU],TablaINVENTARIO[ESTADO])</f>
        <v>USADO</v>
      </c>
      <c r="G1317" s="33" t="str">
        <f>_xlfn.XLOOKUP(TablaSTOCKINV[[#This Row],[SKU]],TablaINVENTARIO[SKU],TablaINVENTARIO[MEDIDA])</f>
        <v xml:space="preserve">UND </v>
      </c>
      <c r="H1317" s="33" t="str">
        <f>_xlfn.XLOOKUP(TablaSTOCKINV[[#This Row],[SKU]],TablaINVENTARIO[SKU],TablaINVENTARIO[SERIAL])</f>
        <v>N/A</v>
      </c>
      <c r="I1317" s="34">
        <f>_xlfn.XLOOKUP(TablaSTOCKINV[[#This Row],[SKU]],TablaINVENTARIO[SKU],TablaINVENTARIO[ALMACEN])</f>
        <v>0</v>
      </c>
      <c r="J1317" s="34" t="str">
        <f>_xlfn.XLOOKUP(TablaSTOCKINV[[#This Row],[SKU]],TablaINVENTARIO[SKU],TablaINVENTARIO[UBICACION])</f>
        <v xml:space="preserve">CUARTO DE ALMACENAMIENTO </v>
      </c>
      <c r="K1317" s="34" t="str">
        <f>_xlfn.XLOOKUP(TablaSTOCKINV[[#This Row],[SKU]],TablaINVENTARIO[SKU],TablaINVENTARIO[DPTO RESPONSABLE])</f>
        <v xml:space="preserve">CONSUMO GENERAL </v>
      </c>
      <c r="L1317" s="53">
        <f>_xlfn.XLOOKUP(TablaSTOCKINV[[#This Row],[SKU]],TablaINVENTARIO[SKU],TablaINVENTARIO[RANGO MIN])</f>
        <v>0</v>
      </c>
      <c r="M1317" s="34" cm="1">
        <f t="array" ref="M1317">_xlfn.IFS(TablaSTOCKINV[[#This Row],[CANT. TOTAL]]&lt;=0,1,TablaSTOCKINV[[#This Row],[CANT. TOTAL]]&lt;=TablaSTOCKINV[[#This Row],[MIN]],2,TablaSTOCKINV[[#This Row],[CANT. TOTAL]]&gt;TablaSTOCKINV[[#This Row],[MIN]],3)</f>
        <v>3</v>
      </c>
      <c r="N1317" s="34">
        <f>TablaSTOCKINV[[#This Row],[ENTRADAS]]-TablaSTOCKINV[[#This Row],[SALIDAS]]</f>
        <v>1</v>
      </c>
      <c r="O1317" s="35">
        <f>SUMIFS(TablaENTRADA[CANT],TablaENTRADA[SKU],TablaSTOCKINV[[#This Row],[SKU]])</f>
        <v>1</v>
      </c>
      <c r="P1317" s="35">
        <f>SUMIFS(TablaSALIDA[CANT],TablaSALIDA[SKU],TablaSTOCKINV[[#This Row],[SKU]])</f>
        <v>0</v>
      </c>
      <c r="Q1317" s="34">
        <f>_xlfn.XLOOKUP(TablaSTOCKINV[[#This Row],[SKU]],TablaINVENTARIO[SKU],TablaINVENTARIO[PRECIO])</f>
        <v>0</v>
      </c>
      <c r="R1317" s="34">
        <f>TablaSTOCKINV[[#This Row],[P.UNITARIO]]*TablaSTOCKINV[[#This Row],[CANT. TOTAL]]</f>
        <v>0</v>
      </c>
      <c r="S1317" s="44">
        <f>_xlfn.XLOOKUP(TablaSTOCKINV[[#This Row],[SKU]],TablaINVENTARIO[SKU],TablaINVENTARIO[FECHA INGRESO])</f>
        <v>46023</v>
      </c>
      <c r="T1317" s="44">
        <f>_xlfn.XLOOKUP(TablaSTOCKINV[[#This Row],[SKU]],TablaENTRADA[SKU],TablaENTRADA[FECHA],,0,-1)</f>
        <v>46023</v>
      </c>
      <c r="U1317" s="46" t="str">
        <f>IFERROR((_xlfn.XLOOKUP(TablaSTOCKINV[[#This Row],[SKU]],TablaSALIDA[SKU],TablaSALIDA[FECHA],,0,-1))," " )</f>
        <v xml:space="preserve"> </v>
      </c>
    </row>
    <row r="1318" spans="1:21" x14ac:dyDescent="0.3">
      <c r="A1318" s="27" t="s">
        <v>117</v>
      </c>
      <c r="B1318" s="32" t="str">
        <f>_xlfn.XLOOKUP(TablaSTOCKINV[[#This Row],[SKU]],TablaINVENTARIO[SKU],TablaINVENTARIO[DESCRIPCION])</f>
        <v xml:space="preserve">CORTINA DE TRAILER COLOR AZUL MARINO </v>
      </c>
      <c r="C1318" s="32" t="str">
        <f>_xlfn.XLOOKUP(TablaSTOCKINV[[#This Row],[SKU]],TablaINVENTARIO[SKU],TablaINVENTARIO[MARCA])</f>
        <v>N/A</v>
      </c>
      <c r="D1318" s="33" t="str">
        <f>_xlfn.XLOOKUP(TablaSTOCKINV[[#This Row],[SKU]],TablaINVENTARIO[SKU],TablaINVENTARIO[CATEGORIA])</f>
        <v>CONSUMIBLES</v>
      </c>
      <c r="E1318" s="33" t="str">
        <f>_xlfn.XLOOKUP(TablaSTOCKINV[[#This Row],[SKU]],TablaINVENTARIO[SKU],TablaINVENTARIO[SUBCATEGORIA])</f>
        <v xml:space="preserve">DECORACIÓN </v>
      </c>
      <c r="F1318" s="33" t="str">
        <f>_xlfn.XLOOKUP(TablaSTOCKINV[[#This Row],[SKU]],TablaINVENTARIO[SKU],TablaINVENTARIO[ESTADO])</f>
        <v>USADO</v>
      </c>
      <c r="G1318" s="33" t="str">
        <f>_xlfn.XLOOKUP(TablaSTOCKINV[[#This Row],[SKU]],TablaINVENTARIO[SKU],TablaINVENTARIO[MEDIDA])</f>
        <v xml:space="preserve">UND </v>
      </c>
      <c r="H1318" s="33" t="str">
        <f>_xlfn.XLOOKUP(TablaSTOCKINV[[#This Row],[SKU]],TablaINVENTARIO[SKU],TablaINVENTARIO[SERIAL])</f>
        <v>N/A</v>
      </c>
      <c r="I1318" s="34">
        <f>_xlfn.XLOOKUP(TablaSTOCKINV[[#This Row],[SKU]],TablaINVENTARIO[SKU],TablaINVENTARIO[ALMACEN])</f>
        <v>0</v>
      </c>
      <c r="J1318" s="34" t="str">
        <f>_xlfn.XLOOKUP(TablaSTOCKINV[[#This Row],[SKU]],TablaINVENTARIO[SKU],TablaINVENTARIO[UBICACION])</f>
        <v xml:space="preserve">CUARTO DE ALMACENAMIENTO </v>
      </c>
      <c r="K1318" s="34" t="str">
        <f>_xlfn.XLOOKUP(TablaSTOCKINV[[#This Row],[SKU]],TablaINVENTARIO[SKU],TablaINVENTARIO[DPTO RESPONSABLE])</f>
        <v xml:space="preserve">CONSUMO GENERAL </v>
      </c>
      <c r="L1318" s="53">
        <f>_xlfn.XLOOKUP(TablaSTOCKINV[[#This Row],[SKU]],TablaINVENTARIO[SKU],TablaINVENTARIO[RANGO MIN])</f>
        <v>0</v>
      </c>
      <c r="M1318" s="34" cm="1">
        <f t="array" ref="M1318">_xlfn.IFS(TablaSTOCKINV[[#This Row],[CANT. TOTAL]]&lt;=0,1,TablaSTOCKINV[[#This Row],[CANT. TOTAL]]&lt;=TablaSTOCKINV[[#This Row],[MIN]],2,TablaSTOCKINV[[#This Row],[CANT. TOTAL]]&gt;TablaSTOCKINV[[#This Row],[MIN]],3)</f>
        <v>3</v>
      </c>
      <c r="N1318" s="34">
        <f>TablaSTOCKINV[[#This Row],[ENTRADAS]]-TablaSTOCKINV[[#This Row],[SALIDAS]]</f>
        <v>8</v>
      </c>
      <c r="O1318" s="35">
        <f>SUMIFS(TablaENTRADA[CANT],TablaENTRADA[SKU],TablaSTOCKINV[[#This Row],[SKU]])</f>
        <v>8</v>
      </c>
      <c r="P1318" s="35">
        <f>SUMIFS(TablaSALIDA[CANT],TablaSALIDA[SKU],TablaSTOCKINV[[#This Row],[SKU]])</f>
        <v>0</v>
      </c>
      <c r="Q1318" s="34">
        <f>_xlfn.XLOOKUP(TablaSTOCKINV[[#This Row],[SKU]],TablaINVENTARIO[SKU],TablaINVENTARIO[PRECIO])</f>
        <v>0</v>
      </c>
      <c r="R1318" s="34">
        <f>TablaSTOCKINV[[#This Row],[P.UNITARIO]]*TablaSTOCKINV[[#This Row],[CANT. TOTAL]]</f>
        <v>0</v>
      </c>
      <c r="S1318" s="44">
        <f>_xlfn.XLOOKUP(TablaSTOCKINV[[#This Row],[SKU]],TablaINVENTARIO[SKU],TablaINVENTARIO[FECHA INGRESO])</f>
        <v>46023</v>
      </c>
      <c r="T1318" s="44">
        <f>_xlfn.XLOOKUP(TablaSTOCKINV[[#This Row],[SKU]],TablaENTRADA[SKU],TablaENTRADA[FECHA],,0,-1)</f>
        <v>46023</v>
      </c>
      <c r="U1318" s="46" t="str">
        <f>IFERROR((_xlfn.XLOOKUP(TablaSTOCKINV[[#This Row],[SKU]],TablaSALIDA[SKU],TablaSALIDA[FECHA],,0,-1))," " )</f>
        <v xml:space="preserve"> </v>
      </c>
    </row>
    <row r="1319" spans="1:21" x14ac:dyDescent="0.3">
      <c r="A1319" s="27" t="s">
        <v>119</v>
      </c>
      <c r="B1319" s="32" t="str">
        <f>_xlfn.XLOOKUP(TablaSTOCKINV[[#This Row],[SKU]],TablaINVENTARIO[SKU],TablaINVENTARIO[DESCRIPCION])</f>
        <v xml:space="preserve">CORTINA DE TRAILER COLRO AZUL MARINO CON CIERRE MAGICO </v>
      </c>
      <c r="C1319" s="32" t="str">
        <f>_xlfn.XLOOKUP(TablaSTOCKINV[[#This Row],[SKU]],TablaINVENTARIO[SKU],TablaINVENTARIO[MARCA])</f>
        <v>N/A</v>
      </c>
      <c r="D1319" s="33" t="str">
        <f>_xlfn.XLOOKUP(TablaSTOCKINV[[#This Row],[SKU]],TablaINVENTARIO[SKU],TablaINVENTARIO[CATEGORIA])</f>
        <v>CONSUMIBLES</v>
      </c>
      <c r="E1319" s="33" t="str">
        <f>_xlfn.XLOOKUP(TablaSTOCKINV[[#This Row],[SKU]],TablaINVENTARIO[SKU],TablaINVENTARIO[SUBCATEGORIA])</f>
        <v xml:space="preserve">DECORACIÓN </v>
      </c>
      <c r="F1319" s="33" t="str">
        <f>_xlfn.XLOOKUP(TablaSTOCKINV[[#This Row],[SKU]],TablaINVENTARIO[SKU],TablaINVENTARIO[ESTADO])</f>
        <v>USADO</v>
      </c>
      <c r="G1319" s="33" t="str">
        <f>_xlfn.XLOOKUP(TablaSTOCKINV[[#This Row],[SKU]],TablaINVENTARIO[SKU],TablaINVENTARIO[MEDIDA])</f>
        <v xml:space="preserve">UND </v>
      </c>
      <c r="H1319" s="33" t="str">
        <f>_xlfn.XLOOKUP(TablaSTOCKINV[[#This Row],[SKU]],TablaINVENTARIO[SKU],TablaINVENTARIO[SERIAL])</f>
        <v>N/A</v>
      </c>
      <c r="I1319" s="34">
        <f>_xlfn.XLOOKUP(TablaSTOCKINV[[#This Row],[SKU]],TablaINVENTARIO[SKU],TablaINVENTARIO[ALMACEN])</f>
        <v>0</v>
      </c>
      <c r="J1319" s="34" t="str">
        <f>_xlfn.XLOOKUP(TablaSTOCKINV[[#This Row],[SKU]],TablaINVENTARIO[SKU],TablaINVENTARIO[UBICACION])</f>
        <v xml:space="preserve">CUARTO DE ALMACENAMIENTO </v>
      </c>
      <c r="K1319" s="34" t="str">
        <f>_xlfn.XLOOKUP(TablaSTOCKINV[[#This Row],[SKU]],TablaINVENTARIO[SKU],TablaINVENTARIO[DPTO RESPONSABLE])</f>
        <v xml:space="preserve">CONSUMO GENERAL </v>
      </c>
      <c r="L1319" s="53">
        <f>_xlfn.XLOOKUP(TablaSTOCKINV[[#This Row],[SKU]],TablaINVENTARIO[SKU],TablaINVENTARIO[RANGO MIN])</f>
        <v>0</v>
      </c>
      <c r="M1319" s="34" cm="1">
        <f t="array" ref="M1319">_xlfn.IFS(TablaSTOCKINV[[#This Row],[CANT. TOTAL]]&lt;=0,1,TablaSTOCKINV[[#This Row],[CANT. TOTAL]]&lt;=TablaSTOCKINV[[#This Row],[MIN]],2,TablaSTOCKINV[[#This Row],[CANT. TOTAL]]&gt;TablaSTOCKINV[[#This Row],[MIN]],3)</f>
        <v>3</v>
      </c>
      <c r="N1319" s="34">
        <f>TablaSTOCKINV[[#This Row],[ENTRADAS]]-TablaSTOCKINV[[#This Row],[SALIDAS]]</f>
        <v>3</v>
      </c>
      <c r="O1319" s="35">
        <f>SUMIFS(TablaENTRADA[CANT],TablaENTRADA[SKU],TablaSTOCKINV[[#This Row],[SKU]])</f>
        <v>3</v>
      </c>
      <c r="P1319" s="35">
        <f>SUMIFS(TablaSALIDA[CANT],TablaSALIDA[SKU],TablaSTOCKINV[[#This Row],[SKU]])</f>
        <v>0</v>
      </c>
      <c r="Q1319" s="34">
        <f>_xlfn.XLOOKUP(TablaSTOCKINV[[#This Row],[SKU]],TablaINVENTARIO[SKU],TablaINVENTARIO[PRECIO])</f>
        <v>0</v>
      </c>
      <c r="R1319" s="34">
        <f>TablaSTOCKINV[[#This Row],[P.UNITARIO]]*TablaSTOCKINV[[#This Row],[CANT. TOTAL]]</f>
        <v>0</v>
      </c>
      <c r="S1319" s="44">
        <f>_xlfn.XLOOKUP(TablaSTOCKINV[[#This Row],[SKU]],TablaINVENTARIO[SKU],TablaINVENTARIO[FECHA INGRESO])</f>
        <v>46023</v>
      </c>
      <c r="T1319" s="44">
        <f>_xlfn.XLOOKUP(TablaSTOCKINV[[#This Row],[SKU]],TablaENTRADA[SKU],TablaENTRADA[FECHA],,0,-1)</f>
        <v>46023</v>
      </c>
      <c r="U1319" s="46" t="str">
        <f>IFERROR((_xlfn.XLOOKUP(TablaSTOCKINV[[#This Row],[SKU]],TablaSALIDA[SKU],TablaSALIDA[FECHA],,0,-1))," " )</f>
        <v xml:space="preserve"> </v>
      </c>
    </row>
    <row r="1320" spans="1:21" x14ac:dyDescent="0.3">
      <c r="A1320" s="27" t="s">
        <v>121</v>
      </c>
      <c r="B1320" s="32" t="str">
        <f>_xlfn.XLOOKUP(TablaSTOCKINV[[#This Row],[SKU]],TablaINVENTARIO[SKU],TablaINVENTARIO[DESCRIPCION])</f>
        <v xml:space="preserve">FORRO DE COLCHON TRAILER </v>
      </c>
      <c r="C1320" s="32" t="str">
        <f>_xlfn.XLOOKUP(TablaSTOCKINV[[#This Row],[SKU]],TablaINVENTARIO[SKU],TablaINVENTARIO[MARCA])</f>
        <v>N/A</v>
      </c>
      <c r="D1320" s="33" t="str">
        <f>_xlfn.XLOOKUP(TablaSTOCKINV[[#This Row],[SKU]],TablaINVENTARIO[SKU],TablaINVENTARIO[CATEGORIA])</f>
        <v>CONSUMIBLES</v>
      </c>
      <c r="E1320" s="33" t="str">
        <f>_xlfn.XLOOKUP(TablaSTOCKINV[[#This Row],[SKU]],TablaINVENTARIO[SKU],TablaINVENTARIO[SUBCATEGORIA])</f>
        <v xml:space="preserve">DECORACIÓN </v>
      </c>
      <c r="F1320" s="33" t="str">
        <f>_xlfn.XLOOKUP(TablaSTOCKINV[[#This Row],[SKU]],TablaINVENTARIO[SKU],TablaINVENTARIO[ESTADO])</f>
        <v>USADO</v>
      </c>
      <c r="G1320" s="33" t="str">
        <f>_xlfn.XLOOKUP(TablaSTOCKINV[[#This Row],[SKU]],TablaINVENTARIO[SKU],TablaINVENTARIO[MEDIDA])</f>
        <v xml:space="preserve">UND </v>
      </c>
      <c r="H1320" s="33" t="str">
        <f>_xlfn.XLOOKUP(TablaSTOCKINV[[#This Row],[SKU]],TablaINVENTARIO[SKU],TablaINVENTARIO[SERIAL])</f>
        <v>N/A</v>
      </c>
      <c r="I1320" s="34">
        <f>_xlfn.XLOOKUP(TablaSTOCKINV[[#This Row],[SKU]],TablaINVENTARIO[SKU],TablaINVENTARIO[ALMACEN])</f>
        <v>0</v>
      </c>
      <c r="J1320" s="34" t="str">
        <f>_xlfn.XLOOKUP(TablaSTOCKINV[[#This Row],[SKU]],TablaINVENTARIO[SKU],TablaINVENTARIO[UBICACION])</f>
        <v xml:space="preserve">CUARTO DE ALMACENAMIENTO </v>
      </c>
      <c r="K1320" s="34" t="str">
        <f>_xlfn.XLOOKUP(TablaSTOCKINV[[#This Row],[SKU]],TablaINVENTARIO[SKU],TablaINVENTARIO[DPTO RESPONSABLE])</f>
        <v xml:space="preserve">CONSUMO GENERAL </v>
      </c>
      <c r="L1320" s="53">
        <f>_xlfn.XLOOKUP(TablaSTOCKINV[[#This Row],[SKU]],TablaINVENTARIO[SKU],TablaINVENTARIO[RANGO MIN])</f>
        <v>0</v>
      </c>
      <c r="M1320" s="34" cm="1">
        <f t="array" ref="M1320">_xlfn.IFS(TablaSTOCKINV[[#This Row],[CANT. TOTAL]]&lt;=0,1,TablaSTOCKINV[[#This Row],[CANT. TOTAL]]&lt;=TablaSTOCKINV[[#This Row],[MIN]],2,TablaSTOCKINV[[#This Row],[CANT. TOTAL]]&gt;TablaSTOCKINV[[#This Row],[MIN]],3)</f>
        <v>3</v>
      </c>
      <c r="N1320" s="34">
        <f>TablaSTOCKINV[[#This Row],[ENTRADAS]]-TablaSTOCKINV[[#This Row],[SALIDAS]]</f>
        <v>10</v>
      </c>
      <c r="O1320" s="35">
        <f>SUMIFS(TablaENTRADA[CANT],TablaENTRADA[SKU],TablaSTOCKINV[[#This Row],[SKU]])</f>
        <v>10</v>
      </c>
      <c r="P1320" s="35">
        <f>SUMIFS(TablaSALIDA[CANT],TablaSALIDA[SKU],TablaSTOCKINV[[#This Row],[SKU]])</f>
        <v>0</v>
      </c>
      <c r="Q1320" s="34">
        <f>_xlfn.XLOOKUP(TablaSTOCKINV[[#This Row],[SKU]],TablaINVENTARIO[SKU],TablaINVENTARIO[PRECIO])</f>
        <v>0</v>
      </c>
      <c r="R1320" s="34">
        <f>TablaSTOCKINV[[#This Row],[P.UNITARIO]]*TablaSTOCKINV[[#This Row],[CANT. TOTAL]]</f>
        <v>0</v>
      </c>
      <c r="S1320" s="44">
        <f>_xlfn.XLOOKUP(TablaSTOCKINV[[#This Row],[SKU]],TablaINVENTARIO[SKU],TablaINVENTARIO[FECHA INGRESO])</f>
        <v>46023</v>
      </c>
      <c r="T1320" s="44">
        <f>_xlfn.XLOOKUP(TablaSTOCKINV[[#This Row],[SKU]],TablaENTRADA[SKU],TablaENTRADA[FECHA],,0,-1)</f>
        <v>46023</v>
      </c>
      <c r="U1320" s="46" t="str">
        <f>IFERROR((_xlfn.XLOOKUP(TablaSTOCKINV[[#This Row],[SKU]],TablaSALIDA[SKU],TablaSALIDA[FECHA],,0,-1))," " )</f>
        <v xml:space="preserve"> </v>
      </c>
    </row>
    <row r="1321" spans="1:21" x14ac:dyDescent="0.3">
      <c r="A1321" s="27" t="s">
        <v>123</v>
      </c>
      <c r="B1321" s="32" t="str">
        <f>_xlfn.XLOOKUP(TablaSTOCKINV[[#This Row],[SKU]],TablaINVENTARIO[SKU],TablaINVENTARIO[DESCRIPCION])</f>
        <v xml:space="preserve">GUANTES C/ BAÑO DE LATEX ANTICORTE  </v>
      </c>
      <c r="C1321" s="32" t="str">
        <f>_xlfn.XLOOKUP(TablaSTOCKINV[[#This Row],[SKU]],TablaINVENTARIO[SKU],TablaINVENTARIO[MARCA])</f>
        <v xml:space="preserve">RAYO FLEX </v>
      </c>
      <c r="D1321" s="33" t="str">
        <f>_xlfn.XLOOKUP(TablaSTOCKINV[[#This Row],[SKU]],TablaINVENTARIO[SKU],TablaINVENTARIO[CATEGORIA])</f>
        <v>CONSUMIBLES</v>
      </c>
      <c r="E1321" s="33" t="str">
        <f>_xlfn.XLOOKUP(TablaSTOCKINV[[#This Row],[SKU]],TablaINVENTARIO[SKU],TablaINVENTARIO[SUBCATEGORIA])</f>
        <v xml:space="preserve">EQUIPOS DE PROTECCIÓN DE USO DIARIO </v>
      </c>
      <c r="F1321" s="33" t="str">
        <f>_xlfn.XLOOKUP(TablaSTOCKINV[[#This Row],[SKU]],TablaINVENTARIO[SKU],TablaINVENTARIO[ESTADO])</f>
        <v>NUEVO</v>
      </c>
      <c r="G1321" s="33" t="str">
        <f>_xlfn.XLOOKUP(TablaSTOCKINV[[#This Row],[SKU]],TablaINVENTARIO[SKU],TablaINVENTARIO[MEDIDA])</f>
        <v>PAR</v>
      </c>
      <c r="H1321" s="33" t="str">
        <f>_xlfn.XLOOKUP(TablaSTOCKINV[[#This Row],[SKU]],TablaINVENTARIO[SKU],TablaINVENTARIO[SERIAL])</f>
        <v>N/A</v>
      </c>
      <c r="I1321" s="34">
        <f>_xlfn.XLOOKUP(TablaSTOCKINV[[#This Row],[SKU]],TablaINVENTARIO[SKU],TablaINVENTARIO[ALMACEN])</f>
        <v>0</v>
      </c>
      <c r="J1321" s="34" t="str">
        <f>_xlfn.XLOOKUP(TablaSTOCKINV[[#This Row],[SKU]],TablaINVENTARIO[SKU],TablaINVENTARIO[UBICACION])</f>
        <v>G4</v>
      </c>
      <c r="K1321" s="34" t="str">
        <f>_xlfn.XLOOKUP(TablaSTOCKINV[[#This Row],[SKU]],TablaINVENTARIO[SKU],TablaINVENTARIO[DPTO RESPONSABLE])</f>
        <v xml:space="preserve">OPERACIONES </v>
      </c>
      <c r="L1321" s="53">
        <f>_xlfn.XLOOKUP(TablaSTOCKINV[[#This Row],[SKU]],TablaINVENTARIO[SKU],TablaINVENTARIO[RANGO MIN])</f>
        <v>0</v>
      </c>
      <c r="M1321" s="34" cm="1">
        <f t="array" ref="M1321">_xlfn.IFS(TablaSTOCKINV[[#This Row],[CANT. TOTAL]]&lt;=0,1,TablaSTOCKINV[[#This Row],[CANT. TOTAL]]&lt;=TablaSTOCKINV[[#This Row],[MIN]],2,TablaSTOCKINV[[#This Row],[CANT. TOTAL]]&gt;TablaSTOCKINV[[#This Row],[MIN]],3)</f>
        <v>3</v>
      </c>
      <c r="N1321" s="34">
        <f>TablaSTOCKINV[[#This Row],[ENTRADAS]]-TablaSTOCKINV[[#This Row],[SALIDAS]]</f>
        <v>48</v>
      </c>
      <c r="O1321" s="35">
        <f>SUMIFS(TablaENTRADA[CANT],TablaENTRADA[SKU],TablaSTOCKINV[[#This Row],[SKU]])</f>
        <v>48</v>
      </c>
      <c r="P1321" s="35">
        <f>SUMIFS(TablaSALIDA[CANT],TablaSALIDA[SKU],TablaSTOCKINV[[#This Row],[SKU]])</f>
        <v>0</v>
      </c>
      <c r="Q1321" s="34">
        <f>_xlfn.XLOOKUP(TablaSTOCKINV[[#This Row],[SKU]],TablaINVENTARIO[SKU],TablaINVENTARIO[PRECIO])</f>
        <v>0</v>
      </c>
      <c r="R1321" s="34">
        <f>TablaSTOCKINV[[#This Row],[P.UNITARIO]]*TablaSTOCKINV[[#This Row],[CANT. TOTAL]]</f>
        <v>0</v>
      </c>
      <c r="S1321" s="44">
        <f>_xlfn.XLOOKUP(TablaSTOCKINV[[#This Row],[SKU]],TablaINVENTARIO[SKU],TablaINVENTARIO[FECHA INGRESO])</f>
        <v>46023</v>
      </c>
      <c r="T1321" s="44">
        <f>_xlfn.XLOOKUP(TablaSTOCKINV[[#This Row],[SKU]],TablaENTRADA[SKU],TablaENTRADA[FECHA],,0,-1)</f>
        <v>46023</v>
      </c>
      <c r="U1321" s="46" t="str">
        <f>IFERROR((_xlfn.XLOOKUP(TablaSTOCKINV[[#This Row],[SKU]],TablaSALIDA[SKU],TablaSALIDA[FECHA],,0,-1))," " )</f>
        <v xml:space="preserve"> </v>
      </c>
    </row>
    <row r="1322" spans="1:21" x14ac:dyDescent="0.3">
      <c r="A1322" s="27" t="s">
        <v>130</v>
      </c>
      <c r="B1322" s="32" t="str">
        <f>_xlfn.XLOOKUP(TablaSTOCKINV[[#This Row],[SKU]],TablaINVENTARIO[SKU],TablaINVENTARIO[DESCRIPCION])</f>
        <v xml:space="preserve">GUANTES DE CARNAZA PARA SOLDADOR </v>
      </c>
      <c r="C1322" s="32" t="str">
        <f>_xlfn.XLOOKUP(TablaSTOCKINV[[#This Row],[SKU]],TablaINVENTARIO[SKU],TablaINVENTARIO[MARCA])</f>
        <v>INTOOL</v>
      </c>
      <c r="D1322" s="33" t="str">
        <f>_xlfn.XLOOKUP(TablaSTOCKINV[[#This Row],[SKU]],TablaINVENTARIO[SKU],TablaINVENTARIO[CATEGORIA])</f>
        <v>CONSUMIBLES</v>
      </c>
      <c r="E1322" s="33" t="str">
        <f>_xlfn.XLOOKUP(TablaSTOCKINV[[#This Row],[SKU]],TablaINVENTARIO[SKU],TablaINVENTARIO[SUBCATEGORIA])</f>
        <v xml:space="preserve">EQUIPOS DE PROTECCIÓN DE USO DIARIO </v>
      </c>
      <c r="F1322" s="33" t="str">
        <f>_xlfn.XLOOKUP(TablaSTOCKINV[[#This Row],[SKU]],TablaINVENTARIO[SKU],TablaINVENTARIO[ESTADO])</f>
        <v>NUEVO</v>
      </c>
      <c r="G1322" s="33" t="str">
        <f>_xlfn.XLOOKUP(TablaSTOCKINV[[#This Row],[SKU]],TablaINVENTARIO[SKU],TablaINVENTARIO[MEDIDA])</f>
        <v>PAR</v>
      </c>
      <c r="H1322" s="33" t="str">
        <f>_xlfn.XLOOKUP(TablaSTOCKINV[[#This Row],[SKU]],TablaINVENTARIO[SKU],TablaINVENTARIO[SERIAL])</f>
        <v>N/A</v>
      </c>
      <c r="I1322" s="34">
        <f>_xlfn.XLOOKUP(TablaSTOCKINV[[#This Row],[SKU]],TablaINVENTARIO[SKU],TablaINVENTARIO[ALMACEN])</f>
        <v>0</v>
      </c>
      <c r="J1322" s="34" t="str">
        <f>_xlfn.XLOOKUP(TablaSTOCKINV[[#This Row],[SKU]],TablaINVENTARIO[SKU],TablaINVENTARIO[UBICACION])</f>
        <v>G4</v>
      </c>
      <c r="K1322" s="34" t="str">
        <f>_xlfn.XLOOKUP(TablaSTOCKINV[[#This Row],[SKU]],TablaINVENTARIO[SKU],TablaINVENTARIO[DPTO RESPONSABLE])</f>
        <v xml:space="preserve">OPERACIONES </v>
      </c>
      <c r="L1322" s="53">
        <f>_xlfn.XLOOKUP(TablaSTOCKINV[[#This Row],[SKU]],TablaINVENTARIO[SKU],TablaINVENTARIO[RANGO MIN])</f>
        <v>0</v>
      </c>
      <c r="M1322" s="34" cm="1">
        <f t="array" ref="M1322">_xlfn.IFS(TablaSTOCKINV[[#This Row],[CANT. TOTAL]]&lt;=0,1,TablaSTOCKINV[[#This Row],[CANT. TOTAL]]&lt;=TablaSTOCKINV[[#This Row],[MIN]],2,TablaSTOCKINV[[#This Row],[CANT. TOTAL]]&gt;TablaSTOCKINV[[#This Row],[MIN]],3)</f>
        <v>3</v>
      </c>
      <c r="N1322" s="34">
        <f>TablaSTOCKINV[[#This Row],[ENTRADAS]]-TablaSTOCKINV[[#This Row],[SALIDAS]]</f>
        <v>49</v>
      </c>
      <c r="O1322" s="35">
        <f>SUMIFS(TablaENTRADA[CANT],TablaENTRADA[SKU],TablaSTOCKINV[[#This Row],[SKU]])</f>
        <v>49</v>
      </c>
      <c r="P1322" s="35">
        <f>SUMIFS(TablaSALIDA[CANT],TablaSALIDA[SKU],TablaSTOCKINV[[#This Row],[SKU]])</f>
        <v>0</v>
      </c>
      <c r="Q1322" s="34">
        <f>_xlfn.XLOOKUP(TablaSTOCKINV[[#This Row],[SKU]],TablaINVENTARIO[SKU],TablaINVENTARIO[PRECIO])</f>
        <v>0</v>
      </c>
      <c r="R1322" s="34">
        <f>TablaSTOCKINV[[#This Row],[P.UNITARIO]]*TablaSTOCKINV[[#This Row],[CANT. TOTAL]]</f>
        <v>0</v>
      </c>
      <c r="S1322" s="44">
        <f>_xlfn.XLOOKUP(TablaSTOCKINV[[#This Row],[SKU]],TablaINVENTARIO[SKU],TablaINVENTARIO[FECHA INGRESO])</f>
        <v>46023</v>
      </c>
      <c r="T1322" s="44">
        <f>_xlfn.XLOOKUP(TablaSTOCKINV[[#This Row],[SKU]],TablaENTRADA[SKU],TablaENTRADA[FECHA],,0,-1)</f>
        <v>46023</v>
      </c>
      <c r="U1322" s="46" t="str">
        <f>IFERROR((_xlfn.XLOOKUP(TablaSTOCKINV[[#This Row],[SKU]],TablaSALIDA[SKU],TablaSALIDA[FECHA],,0,-1))," " )</f>
        <v xml:space="preserve"> </v>
      </c>
    </row>
    <row r="1323" spans="1:21" x14ac:dyDescent="0.3">
      <c r="A1323" s="27" t="s">
        <v>133</v>
      </c>
      <c r="B1323" s="32" t="str">
        <f>_xlfn.XLOOKUP(TablaSTOCKINV[[#This Row],[SKU]],TablaINVENTARIO[SKU],TablaINVENTARIO[DESCRIPCION])</f>
        <v>ZAPATOS DE SOFTBOL T: 45</v>
      </c>
      <c r="C1323" s="32" t="str">
        <f>_xlfn.XLOOKUP(TablaSTOCKINV[[#This Row],[SKU]],TablaINVENTARIO[SKU],TablaINVENTARIO[MARCA])</f>
        <v>EASTON</v>
      </c>
      <c r="D1323" s="33" t="str">
        <f>_xlfn.XLOOKUP(TablaSTOCKINV[[#This Row],[SKU]],TablaINVENTARIO[SKU],TablaINVENTARIO[CATEGORIA])</f>
        <v>CONSUMIBLES</v>
      </c>
      <c r="E1323" s="33" t="str">
        <f>_xlfn.XLOOKUP(TablaSTOCKINV[[#This Row],[SKU]],TablaINVENTARIO[SKU],TablaINVENTARIO[SUBCATEGORIA])</f>
        <v xml:space="preserve">JUEGOS </v>
      </c>
      <c r="F1323" s="33" t="str">
        <f>_xlfn.XLOOKUP(TablaSTOCKINV[[#This Row],[SKU]],TablaINVENTARIO[SKU],TablaINVENTARIO[ESTADO])</f>
        <v>NUEVO</v>
      </c>
      <c r="G1323" s="33" t="str">
        <f>_xlfn.XLOOKUP(TablaSTOCKINV[[#This Row],[SKU]],TablaINVENTARIO[SKU],TablaINVENTARIO[MEDIDA])</f>
        <v>PAR</v>
      </c>
      <c r="H1323" s="33" t="str">
        <f>_xlfn.XLOOKUP(TablaSTOCKINV[[#This Row],[SKU]],TablaINVENTARIO[SKU],TablaINVENTARIO[SERIAL])</f>
        <v>N/A</v>
      </c>
      <c r="I1323" s="34">
        <f>_xlfn.XLOOKUP(TablaSTOCKINV[[#This Row],[SKU]],TablaINVENTARIO[SKU],TablaINVENTARIO[ALMACEN])</f>
        <v>0</v>
      </c>
      <c r="J1323" s="34" t="str">
        <f>_xlfn.XLOOKUP(TablaSTOCKINV[[#This Row],[SKU]],TablaINVENTARIO[SKU],TablaINVENTARIO[UBICACION])</f>
        <v>G5</v>
      </c>
      <c r="K1323" s="34" t="str">
        <f>_xlfn.XLOOKUP(TablaSTOCKINV[[#This Row],[SKU]],TablaINVENTARIO[SKU],TablaINVENTARIO[DPTO RESPONSABLE])</f>
        <v xml:space="preserve">OPERACIONES </v>
      </c>
      <c r="L1323" s="53">
        <f>_xlfn.XLOOKUP(TablaSTOCKINV[[#This Row],[SKU]],TablaINVENTARIO[SKU],TablaINVENTARIO[RANGO MIN])</f>
        <v>0</v>
      </c>
      <c r="M1323" s="34" cm="1">
        <f t="array" ref="M1323">_xlfn.IFS(TablaSTOCKINV[[#This Row],[CANT. TOTAL]]&lt;=0,1,TablaSTOCKINV[[#This Row],[CANT. TOTAL]]&lt;=TablaSTOCKINV[[#This Row],[MIN]],2,TablaSTOCKINV[[#This Row],[CANT. TOTAL]]&gt;TablaSTOCKINV[[#This Row],[MIN]],3)</f>
        <v>3</v>
      </c>
      <c r="N1323" s="34">
        <f>TablaSTOCKINV[[#This Row],[ENTRADAS]]-TablaSTOCKINV[[#This Row],[SALIDAS]]</f>
        <v>1</v>
      </c>
      <c r="O1323" s="35">
        <f>SUMIFS(TablaENTRADA[CANT],TablaENTRADA[SKU],TablaSTOCKINV[[#This Row],[SKU]])</f>
        <v>1</v>
      </c>
      <c r="P1323" s="35">
        <f>SUMIFS(TablaSALIDA[CANT],TablaSALIDA[SKU],TablaSTOCKINV[[#This Row],[SKU]])</f>
        <v>0</v>
      </c>
      <c r="Q1323" s="34">
        <f>_xlfn.XLOOKUP(TablaSTOCKINV[[#This Row],[SKU]],TablaINVENTARIO[SKU],TablaINVENTARIO[PRECIO])</f>
        <v>0</v>
      </c>
      <c r="R1323" s="34">
        <f>TablaSTOCKINV[[#This Row],[P.UNITARIO]]*TablaSTOCKINV[[#This Row],[CANT. TOTAL]]</f>
        <v>0</v>
      </c>
      <c r="S1323" s="44">
        <f>_xlfn.XLOOKUP(TablaSTOCKINV[[#This Row],[SKU]],TablaINVENTARIO[SKU],TablaINVENTARIO[FECHA INGRESO])</f>
        <v>46023</v>
      </c>
      <c r="T1323" s="44">
        <f>_xlfn.XLOOKUP(TablaSTOCKINV[[#This Row],[SKU]],TablaENTRADA[SKU],TablaENTRADA[FECHA],,0,-1)</f>
        <v>46023</v>
      </c>
      <c r="U1323" s="46" t="str">
        <f>IFERROR((_xlfn.XLOOKUP(TablaSTOCKINV[[#This Row],[SKU]],TablaSALIDA[SKU],TablaSALIDA[FECHA],,0,-1))," " )</f>
        <v xml:space="preserve"> </v>
      </c>
    </row>
    <row r="1324" spans="1:21" x14ac:dyDescent="0.3">
      <c r="A1324" s="27" t="s">
        <v>138</v>
      </c>
      <c r="B1324" s="32" t="str">
        <f>_xlfn.XLOOKUP(TablaSTOCKINV[[#This Row],[SKU]],TablaINVENTARIO[SKU],TablaINVENTARIO[DESCRIPCION])</f>
        <v>ZAPATOS DE SOFTBOL T: 46</v>
      </c>
      <c r="C1324" s="32" t="str">
        <f>_xlfn.XLOOKUP(TablaSTOCKINV[[#This Row],[SKU]],TablaINVENTARIO[SKU],TablaINVENTARIO[MARCA])</f>
        <v>EASTON</v>
      </c>
      <c r="D1324" s="33" t="str">
        <f>_xlfn.XLOOKUP(TablaSTOCKINV[[#This Row],[SKU]],TablaINVENTARIO[SKU],TablaINVENTARIO[CATEGORIA])</f>
        <v>CONSUMIBLES</v>
      </c>
      <c r="E1324" s="33" t="str">
        <f>_xlfn.XLOOKUP(TablaSTOCKINV[[#This Row],[SKU]],TablaINVENTARIO[SKU],TablaINVENTARIO[SUBCATEGORIA])</f>
        <v xml:space="preserve">JUEGOS </v>
      </c>
      <c r="F1324" s="33" t="str">
        <f>_xlfn.XLOOKUP(TablaSTOCKINV[[#This Row],[SKU]],TablaINVENTARIO[SKU],TablaINVENTARIO[ESTADO])</f>
        <v>NUEVO</v>
      </c>
      <c r="G1324" s="33" t="str">
        <f>_xlfn.XLOOKUP(TablaSTOCKINV[[#This Row],[SKU]],TablaINVENTARIO[SKU],TablaINVENTARIO[MEDIDA])</f>
        <v>PAR</v>
      </c>
      <c r="H1324" s="33" t="str">
        <f>_xlfn.XLOOKUP(TablaSTOCKINV[[#This Row],[SKU]],TablaINVENTARIO[SKU],TablaINVENTARIO[SERIAL])</f>
        <v>N/A</v>
      </c>
      <c r="I1324" s="34">
        <f>_xlfn.XLOOKUP(TablaSTOCKINV[[#This Row],[SKU]],TablaINVENTARIO[SKU],TablaINVENTARIO[ALMACEN])</f>
        <v>0</v>
      </c>
      <c r="J1324" s="34" t="str">
        <f>_xlfn.XLOOKUP(TablaSTOCKINV[[#This Row],[SKU]],TablaINVENTARIO[SKU],TablaINVENTARIO[UBICACION])</f>
        <v>G5</v>
      </c>
      <c r="K1324" s="34" t="str">
        <f>_xlfn.XLOOKUP(TablaSTOCKINV[[#This Row],[SKU]],TablaINVENTARIO[SKU],TablaINVENTARIO[DPTO RESPONSABLE])</f>
        <v xml:space="preserve">OPERACIONES </v>
      </c>
      <c r="L1324" s="53">
        <f>_xlfn.XLOOKUP(TablaSTOCKINV[[#This Row],[SKU]],TablaINVENTARIO[SKU],TablaINVENTARIO[RANGO MIN])</f>
        <v>0</v>
      </c>
      <c r="M1324" s="34" cm="1">
        <f t="array" ref="M1324">_xlfn.IFS(TablaSTOCKINV[[#This Row],[CANT. TOTAL]]&lt;=0,1,TablaSTOCKINV[[#This Row],[CANT. TOTAL]]&lt;=TablaSTOCKINV[[#This Row],[MIN]],2,TablaSTOCKINV[[#This Row],[CANT. TOTAL]]&gt;TablaSTOCKINV[[#This Row],[MIN]],3)</f>
        <v>3</v>
      </c>
      <c r="N1324" s="34">
        <f>TablaSTOCKINV[[#This Row],[ENTRADAS]]-TablaSTOCKINV[[#This Row],[SALIDAS]]</f>
        <v>1</v>
      </c>
      <c r="O1324" s="35">
        <f>SUMIFS(TablaENTRADA[CANT],TablaENTRADA[SKU],TablaSTOCKINV[[#This Row],[SKU]])</f>
        <v>1</v>
      </c>
      <c r="P1324" s="35">
        <f>SUMIFS(TablaSALIDA[CANT],TablaSALIDA[SKU],TablaSTOCKINV[[#This Row],[SKU]])</f>
        <v>0</v>
      </c>
      <c r="Q1324" s="34">
        <f>_xlfn.XLOOKUP(TablaSTOCKINV[[#This Row],[SKU]],TablaINVENTARIO[SKU],TablaINVENTARIO[PRECIO])</f>
        <v>0</v>
      </c>
      <c r="R1324" s="34">
        <f>TablaSTOCKINV[[#This Row],[P.UNITARIO]]*TablaSTOCKINV[[#This Row],[CANT. TOTAL]]</f>
        <v>0</v>
      </c>
      <c r="S1324" s="44">
        <f>_xlfn.XLOOKUP(TablaSTOCKINV[[#This Row],[SKU]],TablaINVENTARIO[SKU],TablaINVENTARIO[FECHA INGRESO])</f>
        <v>46023</v>
      </c>
      <c r="T1324" s="44">
        <f>_xlfn.XLOOKUP(TablaSTOCKINV[[#This Row],[SKU]],TablaENTRADA[SKU],TablaENTRADA[FECHA],,0,-1)</f>
        <v>46023</v>
      </c>
      <c r="U1324" s="46" t="str">
        <f>IFERROR((_xlfn.XLOOKUP(TablaSTOCKINV[[#This Row],[SKU]],TablaSALIDA[SKU],TablaSALIDA[FECHA],,0,-1))," " )</f>
        <v xml:space="preserve"> </v>
      </c>
    </row>
    <row r="1325" spans="1:21" x14ac:dyDescent="0.3">
      <c r="A1325" s="27" t="s">
        <v>140</v>
      </c>
      <c r="B1325" s="32" t="str">
        <f>_xlfn.XLOOKUP(TablaSTOCKINV[[#This Row],[SKU]],TablaINVENTARIO[SKU],TablaINVENTARIO[DESCRIPCION])</f>
        <v xml:space="preserve">PEGALOKA </v>
      </c>
      <c r="C1325" s="32" t="str">
        <f>_xlfn.XLOOKUP(TablaSTOCKINV[[#This Row],[SKU]],TablaINVENTARIO[SKU],TablaINVENTARIO[MARCA])</f>
        <v>FERCO</v>
      </c>
      <c r="D1325" s="33" t="str">
        <f>_xlfn.XLOOKUP(TablaSTOCKINV[[#This Row],[SKU]],TablaINVENTARIO[SKU],TablaINVENTARIO[CATEGORIA])</f>
        <v>CONSUMIBLES</v>
      </c>
      <c r="E1325" s="33" t="str">
        <f>_xlfn.XLOOKUP(TablaSTOCKINV[[#This Row],[SKU]],TablaINVENTARIO[SKU],TablaINVENTARIO[SUBCATEGORIA])</f>
        <v>PAPELERIA</v>
      </c>
      <c r="F1325" s="33" t="str">
        <f>_xlfn.XLOOKUP(TablaSTOCKINV[[#This Row],[SKU]],TablaINVENTARIO[SKU],TablaINVENTARIO[ESTADO])</f>
        <v xml:space="preserve">NUEVO </v>
      </c>
      <c r="G1325" s="33" t="str">
        <f>_xlfn.XLOOKUP(TablaSTOCKINV[[#This Row],[SKU]],TablaINVENTARIO[SKU],TablaINVENTARIO[MEDIDA])</f>
        <v>UND</v>
      </c>
      <c r="H1325" s="33" t="str">
        <f>_xlfn.XLOOKUP(TablaSTOCKINV[[#This Row],[SKU]],TablaINVENTARIO[SKU],TablaINVENTARIO[SERIAL])</f>
        <v>N/A</v>
      </c>
      <c r="I1325" s="34">
        <f>_xlfn.XLOOKUP(TablaSTOCKINV[[#This Row],[SKU]],TablaINVENTARIO[SKU],TablaINVENTARIO[ALMACEN])</f>
        <v>0</v>
      </c>
      <c r="J1325" s="34" t="str">
        <f>_xlfn.XLOOKUP(TablaSTOCKINV[[#This Row],[SKU]],TablaINVENTARIO[SKU],TablaINVENTARIO[UBICACION])</f>
        <v>3D</v>
      </c>
      <c r="K1325" s="34" t="str">
        <f>_xlfn.XLOOKUP(TablaSTOCKINV[[#This Row],[SKU]],TablaINVENTARIO[SKU],TablaINVENTARIO[DPTO RESPONSABLE])</f>
        <v>CONSUMO GENERAL</v>
      </c>
      <c r="L1325" s="53">
        <f>_xlfn.XLOOKUP(TablaSTOCKINV[[#This Row],[SKU]],TablaINVENTARIO[SKU],TablaINVENTARIO[RANGO MIN])</f>
        <v>0</v>
      </c>
      <c r="M1325" s="34" cm="1">
        <f t="array" ref="M1325">_xlfn.IFS(TablaSTOCKINV[[#This Row],[CANT. TOTAL]]&lt;=0,1,TablaSTOCKINV[[#This Row],[CANT. TOTAL]]&lt;=TablaSTOCKINV[[#This Row],[MIN]],2,TablaSTOCKINV[[#This Row],[CANT. TOTAL]]&gt;TablaSTOCKINV[[#This Row],[MIN]],3)</f>
        <v>3</v>
      </c>
      <c r="N1325" s="34">
        <f>TablaSTOCKINV[[#This Row],[ENTRADAS]]-TablaSTOCKINV[[#This Row],[SALIDAS]]</f>
        <v>6</v>
      </c>
      <c r="O1325" s="35">
        <f>SUMIFS(TablaENTRADA[CANT],TablaENTRADA[SKU],TablaSTOCKINV[[#This Row],[SKU]])</f>
        <v>6</v>
      </c>
      <c r="P1325" s="35">
        <f>SUMIFS(TablaSALIDA[CANT],TablaSALIDA[SKU],TablaSTOCKINV[[#This Row],[SKU]])</f>
        <v>0</v>
      </c>
      <c r="Q1325" s="34">
        <f>_xlfn.XLOOKUP(TablaSTOCKINV[[#This Row],[SKU]],TablaINVENTARIO[SKU],TablaINVENTARIO[PRECIO])</f>
        <v>0</v>
      </c>
      <c r="R1325" s="34">
        <f>TablaSTOCKINV[[#This Row],[P.UNITARIO]]*TablaSTOCKINV[[#This Row],[CANT. TOTAL]]</f>
        <v>0</v>
      </c>
      <c r="S1325" s="44">
        <f>_xlfn.XLOOKUP(TablaSTOCKINV[[#This Row],[SKU]],TablaINVENTARIO[SKU],TablaINVENTARIO[FECHA INGRESO])</f>
        <v>46023</v>
      </c>
      <c r="T1325" s="44">
        <f>_xlfn.XLOOKUP(TablaSTOCKINV[[#This Row],[SKU]],TablaENTRADA[SKU],TablaENTRADA[FECHA],,0,-1)</f>
        <v>46023</v>
      </c>
      <c r="U1325" s="46" t="str">
        <f>IFERROR((_xlfn.XLOOKUP(TablaSTOCKINV[[#This Row],[SKU]],TablaSALIDA[SKU],TablaSALIDA[FECHA],,0,-1))," " )</f>
        <v xml:space="preserve"> </v>
      </c>
    </row>
    <row r="1326" spans="1:21" x14ac:dyDescent="0.3">
      <c r="A1326" s="27" t="s">
        <v>147</v>
      </c>
      <c r="B1326" s="32" t="str">
        <f>_xlfn.XLOOKUP(TablaSTOCKINV[[#This Row],[SKU]],TablaINVENTARIO[SKU],TablaINVENTARIO[DESCRIPCION])</f>
        <v xml:space="preserve">BOLIGRAFO AZUL </v>
      </c>
      <c r="C1326" s="32" t="str">
        <f>_xlfn.XLOOKUP(TablaSTOCKINV[[#This Row],[SKU]],TablaINVENTARIO[SKU],TablaINVENTARIO[MARCA])</f>
        <v xml:space="preserve">BALL POINT </v>
      </c>
      <c r="D1326" s="33" t="str">
        <f>_xlfn.XLOOKUP(TablaSTOCKINV[[#This Row],[SKU]],TablaINVENTARIO[SKU],TablaINVENTARIO[CATEGORIA])</f>
        <v>CONSUMIBLES</v>
      </c>
      <c r="E1326" s="33" t="str">
        <f>_xlfn.XLOOKUP(TablaSTOCKINV[[#This Row],[SKU]],TablaINVENTARIO[SKU],TablaINVENTARIO[SUBCATEGORIA])</f>
        <v>PAPELERIA</v>
      </c>
      <c r="F1326" s="33" t="str">
        <f>_xlfn.XLOOKUP(TablaSTOCKINV[[#This Row],[SKU]],TablaINVENTARIO[SKU],TablaINVENTARIO[ESTADO])</f>
        <v xml:space="preserve">NUEVO </v>
      </c>
      <c r="G1326" s="33" t="str">
        <f>_xlfn.XLOOKUP(TablaSTOCKINV[[#This Row],[SKU]],TablaINVENTARIO[SKU],TablaINVENTARIO[MEDIDA])</f>
        <v xml:space="preserve">UND </v>
      </c>
      <c r="H1326" s="33" t="str">
        <f>_xlfn.XLOOKUP(TablaSTOCKINV[[#This Row],[SKU]],TablaINVENTARIO[SKU],TablaINVENTARIO[SERIAL])</f>
        <v>N/A</v>
      </c>
      <c r="I1326" s="34">
        <f>_xlfn.XLOOKUP(TablaSTOCKINV[[#This Row],[SKU]],TablaINVENTARIO[SKU],TablaINVENTARIO[ALMACEN])</f>
        <v>0</v>
      </c>
      <c r="J1326" s="34" t="str">
        <f>_xlfn.XLOOKUP(TablaSTOCKINV[[#This Row],[SKU]],TablaINVENTARIO[SKU],TablaINVENTARIO[UBICACION])</f>
        <v>1B</v>
      </c>
      <c r="K1326" s="34" t="str">
        <f>_xlfn.XLOOKUP(TablaSTOCKINV[[#This Row],[SKU]],TablaINVENTARIO[SKU],TablaINVENTARIO[DPTO RESPONSABLE])</f>
        <v xml:space="preserve">CONSUMO GENERAL </v>
      </c>
      <c r="L1326" s="53">
        <f>_xlfn.XLOOKUP(TablaSTOCKINV[[#This Row],[SKU]],TablaINVENTARIO[SKU],TablaINVENTARIO[RANGO MIN])</f>
        <v>0</v>
      </c>
      <c r="M1326" s="34" cm="1">
        <f t="array" ref="M1326">_xlfn.IFS(TablaSTOCKINV[[#This Row],[CANT. TOTAL]]&lt;=0,1,TablaSTOCKINV[[#This Row],[CANT. TOTAL]]&lt;=TablaSTOCKINV[[#This Row],[MIN]],2,TablaSTOCKINV[[#This Row],[CANT. TOTAL]]&gt;TablaSTOCKINV[[#This Row],[MIN]],3)</f>
        <v>3</v>
      </c>
      <c r="N1326" s="34">
        <f>TablaSTOCKINV[[#This Row],[ENTRADAS]]-TablaSTOCKINV[[#This Row],[SALIDAS]]</f>
        <v>38</v>
      </c>
      <c r="O1326" s="35">
        <f>SUMIFS(TablaENTRADA[CANT],TablaENTRADA[SKU],TablaSTOCKINV[[#This Row],[SKU]])</f>
        <v>38</v>
      </c>
      <c r="P1326" s="35">
        <f>SUMIFS(TablaSALIDA[CANT],TablaSALIDA[SKU],TablaSTOCKINV[[#This Row],[SKU]])</f>
        <v>0</v>
      </c>
      <c r="Q1326" s="34">
        <f>_xlfn.XLOOKUP(TablaSTOCKINV[[#This Row],[SKU]],TablaINVENTARIO[SKU],TablaINVENTARIO[PRECIO])</f>
        <v>0</v>
      </c>
      <c r="R1326" s="34">
        <f>TablaSTOCKINV[[#This Row],[P.UNITARIO]]*TablaSTOCKINV[[#This Row],[CANT. TOTAL]]</f>
        <v>0</v>
      </c>
      <c r="S1326" s="44">
        <f>_xlfn.XLOOKUP(TablaSTOCKINV[[#This Row],[SKU]],TablaINVENTARIO[SKU],TablaINVENTARIO[FECHA INGRESO])</f>
        <v>46023</v>
      </c>
      <c r="T1326" s="44">
        <f>_xlfn.XLOOKUP(TablaSTOCKINV[[#This Row],[SKU]],TablaENTRADA[SKU],TablaENTRADA[FECHA],,0,-1)</f>
        <v>46023</v>
      </c>
      <c r="U1326" s="46" t="str">
        <f>IFERROR((_xlfn.XLOOKUP(TablaSTOCKINV[[#This Row],[SKU]],TablaSALIDA[SKU],TablaSALIDA[FECHA],,0,-1))," " )</f>
        <v xml:space="preserve"> </v>
      </c>
    </row>
    <row r="1327" spans="1:21" x14ac:dyDescent="0.3">
      <c r="A1327" s="27" t="s">
        <v>151</v>
      </c>
      <c r="B1327" s="32" t="str">
        <f>_xlfn.XLOOKUP(TablaSTOCKINV[[#This Row],[SKU]],TablaINVENTARIO[SKU],TablaINVENTARIO[DESCRIPCION])</f>
        <v>MARCADOR ACRILICO NEGRO</v>
      </c>
      <c r="C1327" s="32" t="str">
        <f>_xlfn.XLOOKUP(TablaSTOCKINV[[#This Row],[SKU]],TablaINVENTARIO[SKU],TablaINVENTARIO[MARCA])</f>
        <v>OFIMAK</v>
      </c>
      <c r="D1327" s="33" t="str">
        <f>_xlfn.XLOOKUP(TablaSTOCKINV[[#This Row],[SKU]],TablaINVENTARIO[SKU],TablaINVENTARIO[CATEGORIA])</f>
        <v>CONSUMIBLES</v>
      </c>
      <c r="E1327" s="33" t="str">
        <f>_xlfn.XLOOKUP(TablaSTOCKINV[[#This Row],[SKU]],TablaINVENTARIO[SKU],TablaINVENTARIO[SUBCATEGORIA])</f>
        <v>PAPELERIA</v>
      </c>
      <c r="F1327" s="33" t="str">
        <f>_xlfn.XLOOKUP(TablaSTOCKINV[[#This Row],[SKU]],TablaINVENTARIO[SKU],TablaINVENTARIO[ESTADO])</f>
        <v xml:space="preserve">NUEVO </v>
      </c>
      <c r="G1327" s="33" t="str">
        <f>_xlfn.XLOOKUP(TablaSTOCKINV[[#This Row],[SKU]],TablaINVENTARIO[SKU],TablaINVENTARIO[MEDIDA])</f>
        <v xml:space="preserve">UND </v>
      </c>
      <c r="H1327" s="33" t="str">
        <f>_xlfn.XLOOKUP(TablaSTOCKINV[[#This Row],[SKU]],TablaINVENTARIO[SKU],TablaINVENTARIO[SERIAL])</f>
        <v>N/A</v>
      </c>
      <c r="I1327" s="34">
        <f>_xlfn.XLOOKUP(TablaSTOCKINV[[#This Row],[SKU]],TablaINVENTARIO[SKU],TablaINVENTARIO[ALMACEN])</f>
        <v>0</v>
      </c>
      <c r="J1327" s="34" t="str">
        <f>_xlfn.XLOOKUP(TablaSTOCKINV[[#This Row],[SKU]],TablaINVENTARIO[SKU],TablaINVENTARIO[UBICACION])</f>
        <v>1B</v>
      </c>
      <c r="K1327" s="34" t="str">
        <f>_xlfn.XLOOKUP(TablaSTOCKINV[[#This Row],[SKU]],TablaINVENTARIO[SKU],TablaINVENTARIO[DPTO RESPONSABLE])</f>
        <v xml:space="preserve">CONSUMO GENERAL </v>
      </c>
      <c r="L1327" s="53">
        <f>_xlfn.XLOOKUP(TablaSTOCKINV[[#This Row],[SKU]],TablaINVENTARIO[SKU],TablaINVENTARIO[RANGO MIN])</f>
        <v>0</v>
      </c>
      <c r="M1327" s="34" cm="1">
        <f t="array" ref="M1327">_xlfn.IFS(TablaSTOCKINV[[#This Row],[CANT. TOTAL]]&lt;=0,1,TablaSTOCKINV[[#This Row],[CANT. TOTAL]]&lt;=TablaSTOCKINV[[#This Row],[MIN]],2,TablaSTOCKINV[[#This Row],[CANT. TOTAL]]&gt;TablaSTOCKINV[[#This Row],[MIN]],3)</f>
        <v>3</v>
      </c>
      <c r="N1327" s="34">
        <f>TablaSTOCKINV[[#This Row],[ENTRADAS]]-TablaSTOCKINV[[#This Row],[SALIDAS]]</f>
        <v>17</v>
      </c>
      <c r="O1327" s="35">
        <f>SUMIFS(TablaENTRADA[CANT],TablaENTRADA[SKU],TablaSTOCKINV[[#This Row],[SKU]])</f>
        <v>17</v>
      </c>
      <c r="P1327" s="35">
        <f>SUMIFS(TablaSALIDA[CANT],TablaSALIDA[SKU],TablaSTOCKINV[[#This Row],[SKU]])</f>
        <v>0</v>
      </c>
      <c r="Q1327" s="34">
        <f>_xlfn.XLOOKUP(TablaSTOCKINV[[#This Row],[SKU]],TablaINVENTARIO[SKU],TablaINVENTARIO[PRECIO])</f>
        <v>0</v>
      </c>
      <c r="R1327" s="34">
        <f>TablaSTOCKINV[[#This Row],[P.UNITARIO]]*TablaSTOCKINV[[#This Row],[CANT. TOTAL]]</f>
        <v>0</v>
      </c>
      <c r="S1327" s="44">
        <f>_xlfn.XLOOKUP(TablaSTOCKINV[[#This Row],[SKU]],TablaINVENTARIO[SKU],TablaINVENTARIO[FECHA INGRESO])</f>
        <v>46023</v>
      </c>
      <c r="T1327" s="44">
        <f>_xlfn.XLOOKUP(TablaSTOCKINV[[#This Row],[SKU]],TablaENTRADA[SKU],TablaENTRADA[FECHA],,0,-1)</f>
        <v>46023</v>
      </c>
      <c r="U1327" s="46" t="str">
        <f>IFERROR((_xlfn.XLOOKUP(TablaSTOCKINV[[#This Row],[SKU]],TablaSALIDA[SKU],TablaSALIDA[FECHA],,0,-1))," " )</f>
        <v xml:space="preserve"> </v>
      </c>
    </row>
    <row r="1328" spans="1:21" x14ac:dyDescent="0.3">
      <c r="A1328" s="27" t="s">
        <v>154</v>
      </c>
      <c r="B1328" s="32" t="str">
        <f>_xlfn.XLOOKUP(TablaSTOCKINV[[#This Row],[SKU]],TablaINVENTARIO[SKU],TablaINVENTARIO[DESCRIPCION])</f>
        <v xml:space="preserve">MARCADOR ACRILICO AZUL </v>
      </c>
      <c r="C1328" s="32" t="str">
        <f>_xlfn.XLOOKUP(TablaSTOCKINV[[#This Row],[SKU]],TablaINVENTARIO[SKU],TablaINVENTARIO[MARCA])</f>
        <v xml:space="preserve">ICONO </v>
      </c>
      <c r="D1328" s="33" t="str">
        <f>_xlfn.XLOOKUP(TablaSTOCKINV[[#This Row],[SKU]],TablaINVENTARIO[SKU],TablaINVENTARIO[CATEGORIA])</f>
        <v>CONSUMIBLES</v>
      </c>
      <c r="E1328" s="33" t="str">
        <f>_xlfn.XLOOKUP(TablaSTOCKINV[[#This Row],[SKU]],TablaINVENTARIO[SKU],TablaINVENTARIO[SUBCATEGORIA])</f>
        <v>PAPELERIA</v>
      </c>
      <c r="F1328" s="33" t="str">
        <f>_xlfn.XLOOKUP(TablaSTOCKINV[[#This Row],[SKU]],TablaINVENTARIO[SKU],TablaINVENTARIO[ESTADO])</f>
        <v xml:space="preserve">NUEVO </v>
      </c>
      <c r="G1328" s="33" t="str">
        <f>_xlfn.XLOOKUP(TablaSTOCKINV[[#This Row],[SKU]],TablaINVENTARIO[SKU],TablaINVENTARIO[MEDIDA])</f>
        <v xml:space="preserve">UND </v>
      </c>
      <c r="H1328" s="33" t="str">
        <f>_xlfn.XLOOKUP(TablaSTOCKINV[[#This Row],[SKU]],TablaINVENTARIO[SKU],TablaINVENTARIO[SERIAL])</f>
        <v>N/A</v>
      </c>
      <c r="I1328" s="34">
        <f>_xlfn.XLOOKUP(TablaSTOCKINV[[#This Row],[SKU]],TablaINVENTARIO[SKU],TablaINVENTARIO[ALMACEN])</f>
        <v>0</v>
      </c>
      <c r="J1328" s="34" t="str">
        <f>_xlfn.XLOOKUP(TablaSTOCKINV[[#This Row],[SKU]],TablaINVENTARIO[SKU],TablaINVENTARIO[UBICACION])</f>
        <v>1B</v>
      </c>
      <c r="K1328" s="34" t="str">
        <f>_xlfn.XLOOKUP(TablaSTOCKINV[[#This Row],[SKU]],TablaINVENTARIO[SKU],TablaINVENTARIO[DPTO RESPONSABLE])</f>
        <v xml:space="preserve">CONSUMO GENERAL </v>
      </c>
      <c r="L1328" s="53">
        <f>_xlfn.XLOOKUP(TablaSTOCKINV[[#This Row],[SKU]],TablaINVENTARIO[SKU],TablaINVENTARIO[RANGO MIN])</f>
        <v>0</v>
      </c>
      <c r="M1328" s="34" cm="1">
        <f t="array" ref="M1328">_xlfn.IFS(TablaSTOCKINV[[#This Row],[CANT. TOTAL]]&lt;=0,1,TablaSTOCKINV[[#This Row],[CANT. TOTAL]]&lt;=TablaSTOCKINV[[#This Row],[MIN]],2,TablaSTOCKINV[[#This Row],[CANT. TOTAL]]&gt;TablaSTOCKINV[[#This Row],[MIN]],3)</f>
        <v>3</v>
      </c>
      <c r="N1328" s="34">
        <f>TablaSTOCKINV[[#This Row],[ENTRADAS]]-TablaSTOCKINV[[#This Row],[SALIDAS]]</f>
        <v>13</v>
      </c>
      <c r="O1328" s="35">
        <f>SUMIFS(TablaENTRADA[CANT],TablaENTRADA[SKU],TablaSTOCKINV[[#This Row],[SKU]])</f>
        <v>13</v>
      </c>
      <c r="P1328" s="35">
        <f>SUMIFS(TablaSALIDA[CANT],TablaSALIDA[SKU],TablaSTOCKINV[[#This Row],[SKU]])</f>
        <v>0</v>
      </c>
      <c r="Q1328" s="34">
        <f>_xlfn.XLOOKUP(TablaSTOCKINV[[#This Row],[SKU]],TablaINVENTARIO[SKU],TablaINVENTARIO[PRECIO])</f>
        <v>0</v>
      </c>
      <c r="R1328" s="34">
        <f>TablaSTOCKINV[[#This Row],[P.UNITARIO]]*TablaSTOCKINV[[#This Row],[CANT. TOTAL]]</f>
        <v>0</v>
      </c>
      <c r="S1328" s="44">
        <f>_xlfn.XLOOKUP(TablaSTOCKINV[[#This Row],[SKU]],TablaINVENTARIO[SKU],TablaINVENTARIO[FECHA INGRESO])</f>
        <v>46023</v>
      </c>
      <c r="T1328" s="44">
        <f>_xlfn.XLOOKUP(TablaSTOCKINV[[#This Row],[SKU]],TablaENTRADA[SKU],TablaENTRADA[FECHA],,0,-1)</f>
        <v>46023</v>
      </c>
      <c r="U1328" s="46" t="str">
        <f>IFERROR((_xlfn.XLOOKUP(TablaSTOCKINV[[#This Row],[SKU]],TablaSALIDA[SKU],TablaSALIDA[FECHA],,0,-1))," " )</f>
        <v xml:space="preserve"> </v>
      </c>
    </row>
    <row r="1329" spans="1:21" x14ac:dyDescent="0.3">
      <c r="A1329" s="27" t="s">
        <v>157</v>
      </c>
      <c r="B1329" s="32" t="str">
        <f>_xlfn.XLOOKUP(TablaSTOCKINV[[#This Row],[SKU]],TablaINVENTARIO[SKU],TablaINVENTARIO[DESCRIPCION])</f>
        <v xml:space="preserve">RESALTADOR VERDE </v>
      </c>
      <c r="C1329" s="32" t="str">
        <f>_xlfn.XLOOKUP(TablaSTOCKINV[[#This Row],[SKU]],TablaINVENTARIO[SKU],TablaINVENTARIO[MARCA])</f>
        <v xml:space="preserve">OFIMAK </v>
      </c>
      <c r="D1329" s="33" t="str">
        <f>_xlfn.XLOOKUP(TablaSTOCKINV[[#This Row],[SKU]],TablaINVENTARIO[SKU],TablaINVENTARIO[CATEGORIA])</f>
        <v>CONSUMIBLES</v>
      </c>
      <c r="E1329" s="33" t="str">
        <f>_xlfn.XLOOKUP(TablaSTOCKINV[[#This Row],[SKU]],TablaINVENTARIO[SKU],TablaINVENTARIO[SUBCATEGORIA])</f>
        <v>PAPELERIA</v>
      </c>
      <c r="F1329" s="33" t="str">
        <f>_xlfn.XLOOKUP(TablaSTOCKINV[[#This Row],[SKU]],TablaINVENTARIO[SKU],TablaINVENTARIO[ESTADO])</f>
        <v xml:space="preserve">NUEVO </v>
      </c>
      <c r="G1329" s="33" t="str">
        <f>_xlfn.XLOOKUP(TablaSTOCKINV[[#This Row],[SKU]],TablaINVENTARIO[SKU],TablaINVENTARIO[MEDIDA])</f>
        <v xml:space="preserve">UND </v>
      </c>
      <c r="H1329" s="33" t="str">
        <f>_xlfn.XLOOKUP(TablaSTOCKINV[[#This Row],[SKU]],TablaINVENTARIO[SKU],TablaINVENTARIO[SERIAL])</f>
        <v>N/A</v>
      </c>
      <c r="I1329" s="34">
        <f>_xlfn.XLOOKUP(TablaSTOCKINV[[#This Row],[SKU]],TablaINVENTARIO[SKU],TablaINVENTARIO[ALMACEN])</f>
        <v>0</v>
      </c>
      <c r="J1329" s="34" t="str">
        <f>_xlfn.XLOOKUP(TablaSTOCKINV[[#This Row],[SKU]],TablaINVENTARIO[SKU],TablaINVENTARIO[UBICACION])</f>
        <v>1B</v>
      </c>
      <c r="K1329" s="34" t="str">
        <f>_xlfn.XLOOKUP(TablaSTOCKINV[[#This Row],[SKU]],TablaINVENTARIO[SKU],TablaINVENTARIO[DPTO RESPONSABLE])</f>
        <v xml:space="preserve">CONSUMO GENERAL </v>
      </c>
      <c r="L1329" s="53">
        <f>_xlfn.XLOOKUP(TablaSTOCKINV[[#This Row],[SKU]],TablaINVENTARIO[SKU],TablaINVENTARIO[RANGO MIN])</f>
        <v>0</v>
      </c>
      <c r="M1329" s="34" cm="1">
        <f t="array" ref="M1329">_xlfn.IFS(TablaSTOCKINV[[#This Row],[CANT. TOTAL]]&lt;=0,1,TablaSTOCKINV[[#This Row],[CANT. TOTAL]]&lt;=TablaSTOCKINV[[#This Row],[MIN]],2,TablaSTOCKINV[[#This Row],[CANT. TOTAL]]&gt;TablaSTOCKINV[[#This Row],[MIN]],3)</f>
        <v>3</v>
      </c>
      <c r="N1329" s="34">
        <f>TablaSTOCKINV[[#This Row],[ENTRADAS]]-TablaSTOCKINV[[#This Row],[SALIDAS]]</f>
        <v>6</v>
      </c>
      <c r="O1329" s="35">
        <f>SUMIFS(TablaENTRADA[CANT],TablaENTRADA[SKU],TablaSTOCKINV[[#This Row],[SKU]])</f>
        <v>6</v>
      </c>
      <c r="P1329" s="35">
        <f>SUMIFS(TablaSALIDA[CANT],TablaSALIDA[SKU],TablaSTOCKINV[[#This Row],[SKU]])</f>
        <v>0</v>
      </c>
      <c r="Q1329" s="34">
        <f>_xlfn.XLOOKUP(TablaSTOCKINV[[#This Row],[SKU]],TablaINVENTARIO[SKU],TablaINVENTARIO[PRECIO])</f>
        <v>0</v>
      </c>
      <c r="R1329" s="34">
        <f>TablaSTOCKINV[[#This Row],[P.UNITARIO]]*TablaSTOCKINV[[#This Row],[CANT. TOTAL]]</f>
        <v>0</v>
      </c>
      <c r="S1329" s="44">
        <f>_xlfn.XLOOKUP(TablaSTOCKINV[[#This Row],[SKU]],TablaINVENTARIO[SKU],TablaINVENTARIO[FECHA INGRESO])</f>
        <v>46023</v>
      </c>
      <c r="T1329" s="44">
        <f>_xlfn.XLOOKUP(TablaSTOCKINV[[#This Row],[SKU]],TablaENTRADA[SKU],TablaENTRADA[FECHA],,0,-1)</f>
        <v>46023</v>
      </c>
      <c r="U1329" s="46" t="str">
        <f>IFERROR((_xlfn.XLOOKUP(TablaSTOCKINV[[#This Row],[SKU]],TablaSALIDA[SKU],TablaSALIDA[FECHA],,0,-1))," " )</f>
        <v xml:space="preserve"> </v>
      </c>
    </row>
    <row r="1330" spans="1:21" x14ac:dyDescent="0.3">
      <c r="A1330" s="27" t="s">
        <v>160</v>
      </c>
      <c r="B1330" s="32" t="str">
        <f>_xlfn.XLOOKUP(TablaSTOCKINV[[#This Row],[SKU]],TablaINVENTARIO[SKU],TablaINVENTARIO[DESCRIPCION])</f>
        <v xml:space="preserve">RESALTADOR NARANJA </v>
      </c>
      <c r="C1330" s="32" t="str">
        <f>_xlfn.XLOOKUP(TablaSTOCKINV[[#This Row],[SKU]],TablaINVENTARIO[SKU],TablaINVENTARIO[MARCA])</f>
        <v xml:space="preserve">OFIMAK </v>
      </c>
      <c r="D1330" s="33" t="str">
        <f>_xlfn.XLOOKUP(TablaSTOCKINV[[#This Row],[SKU]],TablaINVENTARIO[SKU],TablaINVENTARIO[CATEGORIA])</f>
        <v>CONSUMIBLES</v>
      </c>
      <c r="E1330" s="33" t="str">
        <f>_xlfn.XLOOKUP(TablaSTOCKINV[[#This Row],[SKU]],TablaINVENTARIO[SKU],TablaINVENTARIO[SUBCATEGORIA])</f>
        <v>PAPELERIA</v>
      </c>
      <c r="F1330" s="33" t="str">
        <f>_xlfn.XLOOKUP(TablaSTOCKINV[[#This Row],[SKU]],TablaINVENTARIO[SKU],TablaINVENTARIO[ESTADO])</f>
        <v xml:space="preserve">NUEVO </v>
      </c>
      <c r="G1330" s="33" t="str">
        <f>_xlfn.XLOOKUP(TablaSTOCKINV[[#This Row],[SKU]],TablaINVENTARIO[SKU],TablaINVENTARIO[MEDIDA])</f>
        <v xml:space="preserve">UND </v>
      </c>
      <c r="H1330" s="33" t="str">
        <f>_xlfn.XLOOKUP(TablaSTOCKINV[[#This Row],[SKU]],TablaINVENTARIO[SKU],TablaINVENTARIO[SERIAL])</f>
        <v>N/A</v>
      </c>
      <c r="I1330" s="34">
        <f>_xlfn.XLOOKUP(TablaSTOCKINV[[#This Row],[SKU]],TablaINVENTARIO[SKU],TablaINVENTARIO[ALMACEN])</f>
        <v>0</v>
      </c>
      <c r="J1330" s="34" t="str">
        <f>_xlfn.XLOOKUP(TablaSTOCKINV[[#This Row],[SKU]],TablaINVENTARIO[SKU],TablaINVENTARIO[UBICACION])</f>
        <v>1B</v>
      </c>
      <c r="K1330" s="34" t="str">
        <f>_xlfn.XLOOKUP(TablaSTOCKINV[[#This Row],[SKU]],TablaINVENTARIO[SKU],TablaINVENTARIO[DPTO RESPONSABLE])</f>
        <v xml:space="preserve">CONSUMO GENERAL </v>
      </c>
      <c r="L1330" s="53">
        <f>_xlfn.XLOOKUP(TablaSTOCKINV[[#This Row],[SKU]],TablaINVENTARIO[SKU],TablaINVENTARIO[RANGO MIN])</f>
        <v>0</v>
      </c>
      <c r="M1330" s="34" cm="1">
        <f t="array" ref="M1330">_xlfn.IFS(TablaSTOCKINV[[#This Row],[CANT. TOTAL]]&lt;=0,1,TablaSTOCKINV[[#This Row],[CANT. TOTAL]]&lt;=TablaSTOCKINV[[#This Row],[MIN]],2,TablaSTOCKINV[[#This Row],[CANT. TOTAL]]&gt;TablaSTOCKINV[[#This Row],[MIN]],3)</f>
        <v>3</v>
      </c>
      <c r="N1330" s="34">
        <f>TablaSTOCKINV[[#This Row],[ENTRADAS]]-TablaSTOCKINV[[#This Row],[SALIDAS]]</f>
        <v>5</v>
      </c>
      <c r="O1330" s="35">
        <f>SUMIFS(TablaENTRADA[CANT],TablaENTRADA[SKU],TablaSTOCKINV[[#This Row],[SKU]])</f>
        <v>5</v>
      </c>
      <c r="P1330" s="35">
        <f>SUMIFS(TablaSALIDA[CANT],TablaSALIDA[SKU],TablaSTOCKINV[[#This Row],[SKU]])</f>
        <v>0</v>
      </c>
      <c r="Q1330" s="34">
        <f>_xlfn.XLOOKUP(TablaSTOCKINV[[#This Row],[SKU]],TablaINVENTARIO[SKU],TablaINVENTARIO[PRECIO])</f>
        <v>0</v>
      </c>
      <c r="R1330" s="34">
        <f>TablaSTOCKINV[[#This Row],[P.UNITARIO]]*TablaSTOCKINV[[#This Row],[CANT. TOTAL]]</f>
        <v>0</v>
      </c>
      <c r="S1330" s="44">
        <f>_xlfn.XLOOKUP(TablaSTOCKINV[[#This Row],[SKU]],TablaINVENTARIO[SKU],TablaINVENTARIO[FECHA INGRESO])</f>
        <v>46023</v>
      </c>
      <c r="T1330" s="44">
        <f>_xlfn.XLOOKUP(TablaSTOCKINV[[#This Row],[SKU]],TablaENTRADA[SKU],TablaENTRADA[FECHA],,0,-1)</f>
        <v>46023</v>
      </c>
      <c r="U1330" s="46" t="str">
        <f>IFERROR((_xlfn.XLOOKUP(TablaSTOCKINV[[#This Row],[SKU]],TablaSALIDA[SKU],TablaSALIDA[FECHA],,0,-1))," " )</f>
        <v xml:space="preserve"> </v>
      </c>
    </row>
    <row r="1331" spans="1:21" x14ac:dyDescent="0.3">
      <c r="A1331" s="27" t="s">
        <v>162</v>
      </c>
      <c r="B1331" s="32" t="str">
        <f>_xlfn.XLOOKUP(TablaSTOCKINV[[#This Row],[SKU]],TablaINVENTARIO[SKU],TablaINVENTARIO[DESCRIPCION])</f>
        <v xml:space="preserve">MARCADOR PERMANENTE AZUL  </v>
      </c>
      <c r="C1331" s="32" t="str">
        <f>_xlfn.XLOOKUP(TablaSTOCKINV[[#This Row],[SKU]],TablaINVENTARIO[SKU],TablaINVENTARIO[MARCA])</f>
        <v xml:space="preserve">SHARPIE </v>
      </c>
      <c r="D1331" s="33" t="str">
        <f>_xlfn.XLOOKUP(TablaSTOCKINV[[#This Row],[SKU]],TablaINVENTARIO[SKU],TablaINVENTARIO[CATEGORIA])</f>
        <v>CONSUMIBLES</v>
      </c>
      <c r="E1331" s="33" t="str">
        <f>_xlfn.XLOOKUP(TablaSTOCKINV[[#This Row],[SKU]],TablaINVENTARIO[SKU],TablaINVENTARIO[SUBCATEGORIA])</f>
        <v>PAPELERIA</v>
      </c>
      <c r="F1331" s="33" t="str">
        <f>_xlfn.XLOOKUP(TablaSTOCKINV[[#This Row],[SKU]],TablaINVENTARIO[SKU],TablaINVENTARIO[ESTADO])</f>
        <v xml:space="preserve">NUEVO </v>
      </c>
      <c r="G1331" s="33" t="str">
        <f>_xlfn.XLOOKUP(TablaSTOCKINV[[#This Row],[SKU]],TablaINVENTARIO[SKU],TablaINVENTARIO[MEDIDA])</f>
        <v xml:space="preserve">UND </v>
      </c>
      <c r="H1331" s="33" t="str">
        <f>_xlfn.XLOOKUP(TablaSTOCKINV[[#This Row],[SKU]],TablaINVENTARIO[SKU],TablaINVENTARIO[SERIAL])</f>
        <v>N/A</v>
      </c>
      <c r="I1331" s="34">
        <f>_xlfn.XLOOKUP(TablaSTOCKINV[[#This Row],[SKU]],TablaINVENTARIO[SKU],TablaINVENTARIO[ALMACEN])</f>
        <v>0</v>
      </c>
      <c r="J1331" s="34" t="str">
        <f>_xlfn.XLOOKUP(TablaSTOCKINV[[#This Row],[SKU]],TablaINVENTARIO[SKU],TablaINVENTARIO[UBICACION])</f>
        <v>1B</v>
      </c>
      <c r="K1331" s="34" t="str">
        <f>_xlfn.XLOOKUP(TablaSTOCKINV[[#This Row],[SKU]],TablaINVENTARIO[SKU],TablaINVENTARIO[DPTO RESPONSABLE])</f>
        <v xml:space="preserve">CONSUMO GENERAL </v>
      </c>
      <c r="L1331" s="53">
        <f>_xlfn.XLOOKUP(TablaSTOCKINV[[#This Row],[SKU]],TablaINVENTARIO[SKU],TablaINVENTARIO[RANGO MIN])</f>
        <v>0</v>
      </c>
      <c r="M1331" s="34" cm="1">
        <f t="array" ref="M1331">_xlfn.IFS(TablaSTOCKINV[[#This Row],[CANT. TOTAL]]&lt;=0,1,TablaSTOCKINV[[#This Row],[CANT. TOTAL]]&lt;=TablaSTOCKINV[[#This Row],[MIN]],2,TablaSTOCKINV[[#This Row],[CANT. TOTAL]]&gt;TablaSTOCKINV[[#This Row],[MIN]],3)</f>
        <v>3</v>
      </c>
      <c r="N1331" s="34">
        <f>TablaSTOCKINV[[#This Row],[ENTRADAS]]-TablaSTOCKINV[[#This Row],[SALIDAS]]</f>
        <v>5</v>
      </c>
      <c r="O1331" s="35">
        <f>SUMIFS(TablaENTRADA[CANT],TablaENTRADA[SKU],TablaSTOCKINV[[#This Row],[SKU]])</f>
        <v>5</v>
      </c>
      <c r="P1331" s="35">
        <f>SUMIFS(TablaSALIDA[CANT],TablaSALIDA[SKU],TablaSTOCKINV[[#This Row],[SKU]])</f>
        <v>0</v>
      </c>
      <c r="Q1331" s="34">
        <f>_xlfn.XLOOKUP(TablaSTOCKINV[[#This Row],[SKU]],TablaINVENTARIO[SKU],TablaINVENTARIO[PRECIO])</f>
        <v>0</v>
      </c>
      <c r="R1331" s="34">
        <f>TablaSTOCKINV[[#This Row],[P.UNITARIO]]*TablaSTOCKINV[[#This Row],[CANT. TOTAL]]</f>
        <v>0</v>
      </c>
      <c r="S1331" s="44">
        <f>_xlfn.XLOOKUP(TablaSTOCKINV[[#This Row],[SKU]],TablaINVENTARIO[SKU],TablaINVENTARIO[FECHA INGRESO])</f>
        <v>46023</v>
      </c>
      <c r="T1331" s="44">
        <f>_xlfn.XLOOKUP(TablaSTOCKINV[[#This Row],[SKU]],TablaENTRADA[SKU],TablaENTRADA[FECHA],,0,-1)</f>
        <v>46023</v>
      </c>
      <c r="U1331" s="46" t="str">
        <f>IFERROR((_xlfn.XLOOKUP(TablaSTOCKINV[[#This Row],[SKU]],TablaSALIDA[SKU],TablaSALIDA[FECHA],,0,-1))," " )</f>
        <v xml:space="preserve"> </v>
      </c>
    </row>
    <row r="1332" spans="1:21" x14ac:dyDescent="0.3">
      <c r="A1332" s="27" t="s">
        <v>165</v>
      </c>
      <c r="B1332" s="32" t="str">
        <f>_xlfn.XLOOKUP(TablaSTOCKINV[[#This Row],[SKU]],TablaINVENTARIO[SKU],TablaINVENTARIO[DESCRIPCION])</f>
        <v xml:space="preserve">LAPIZ DE GRAFITO </v>
      </c>
      <c r="C1332" s="32" t="str">
        <f>_xlfn.XLOOKUP(TablaSTOCKINV[[#This Row],[SKU]],TablaINVENTARIO[SKU],TablaINVENTARIO[MARCA])</f>
        <v xml:space="preserve">KORES </v>
      </c>
      <c r="D1332" s="33" t="str">
        <f>_xlfn.XLOOKUP(TablaSTOCKINV[[#This Row],[SKU]],TablaINVENTARIO[SKU],TablaINVENTARIO[CATEGORIA])</f>
        <v>CONSUMIBLES</v>
      </c>
      <c r="E1332" s="33" t="str">
        <f>_xlfn.XLOOKUP(TablaSTOCKINV[[#This Row],[SKU]],TablaINVENTARIO[SKU],TablaINVENTARIO[SUBCATEGORIA])</f>
        <v>PAPELERIA</v>
      </c>
      <c r="F1332" s="33" t="str">
        <f>_xlfn.XLOOKUP(TablaSTOCKINV[[#This Row],[SKU]],TablaINVENTARIO[SKU],TablaINVENTARIO[ESTADO])</f>
        <v xml:space="preserve">NUEVO </v>
      </c>
      <c r="G1332" s="33" t="str">
        <f>_xlfn.XLOOKUP(TablaSTOCKINV[[#This Row],[SKU]],TablaINVENTARIO[SKU],TablaINVENTARIO[MEDIDA])</f>
        <v xml:space="preserve">UND </v>
      </c>
      <c r="H1332" s="33" t="str">
        <f>_xlfn.XLOOKUP(TablaSTOCKINV[[#This Row],[SKU]],TablaINVENTARIO[SKU],TablaINVENTARIO[SERIAL])</f>
        <v>N/A</v>
      </c>
      <c r="I1332" s="34">
        <f>_xlfn.XLOOKUP(TablaSTOCKINV[[#This Row],[SKU]],TablaINVENTARIO[SKU],TablaINVENTARIO[ALMACEN])</f>
        <v>0</v>
      </c>
      <c r="J1332" s="34" t="str">
        <f>_xlfn.XLOOKUP(TablaSTOCKINV[[#This Row],[SKU]],TablaINVENTARIO[SKU],TablaINVENTARIO[UBICACION])</f>
        <v>1B</v>
      </c>
      <c r="K1332" s="34" t="str">
        <f>_xlfn.XLOOKUP(TablaSTOCKINV[[#This Row],[SKU]],TablaINVENTARIO[SKU],TablaINVENTARIO[DPTO RESPONSABLE])</f>
        <v xml:space="preserve">CONSUMO GENERAL </v>
      </c>
      <c r="L1332" s="53">
        <f>_xlfn.XLOOKUP(TablaSTOCKINV[[#This Row],[SKU]],TablaINVENTARIO[SKU],TablaINVENTARIO[RANGO MIN])</f>
        <v>0</v>
      </c>
      <c r="M1332" s="34" cm="1">
        <f t="array" ref="M1332">_xlfn.IFS(TablaSTOCKINV[[#This Row],[CANT. TOTAL]]&lt;=0,1,TablaSTOCKINV[[#This Row],[CANT. TOTAL]]&lt;=TablaSTOCKINV[[#This Row],[MIN]],2,TablaSTOCKINV[[#This Row],[CANT. TOTAL]]&gt;TablaSTOCKINV[[#This Row],[MIN]],3)</f>
        <v>3</v>
      </c>
      <c r="N1332" s="34">
        <f>TablaSTOCKINV[[#This Row],[ENTRADAS]]-TablaSTOCKINV[[#This Row],[SALIDAS]]</f>
        <v>92</v>
      </c>
      <c r="O1332" s="35">
        <f>SUMIFS(TablaENTRADA[CANT],TablaENTRADA[SKU],TablaSTOCKINV[[#This Row],[SKU]])</f>
        <v>92</v>
      </c>
      <c r="P1332" s="35">
        <f>SUMIFS(TablaSALIDA[CANT],TablaSALIDA[SKU],TablaSTOCKINV[[#This Row],[SKU]])</f>
        <v>0</v>
      </c>
      <c r="Q1332" s="34">
        <f>_xlfn.XLOOKUP(TablaSTOCKINV[[#This Row],[SKU]],TablaINVENTARIO[SKU],TablaINVENTARIO[PRECIO])</f>
        <v>0</v>
      </c>
      <c r="R1332" s="34">
        <f>TablaSTOCKINV[[#This Row],[P.UNITARIO]]*TablaSTOCKINV[[#This Row],[CANT. TOTAL]]</f>
        <v>0</v>
      </c>
      <c r="S1332" s="44">
        <f>_xlfn.XLOOKUP(TablaSTOCKINV[[#This Row],[SKU]],TablaINVENTARIO[SKU],TablaINVENTARIO[FECHA INGRESO])</f>
        <v>46023</v>
      </c>
      <c r="T1332" s="44">
        <f>_xlfn.XLOOKUP(TablaSTOCKINV[[#This Row],[SKU]],TablaENTRADA[SKU],TablaENTRADA[FECHA],,0,-1)</f>
        <v>46023</v>
      </c>
      <c r="U1332" s="46" t="str">
        <f>IFERROR((_xlfn.XLOOKUP(TablaSTOCKINV[[#This Row],[SKU]],TablaSALIDA[SKU],TablaSALIDA[FECHA],,0,-1))," " )</f>
        <v xml:space="preserve"> </v>
      </c>
    </row>
    <row r="1333" spans="1:21" x14ac:dyDescent="0.3">
      <c r="A1333" s="27" t="s">
        <v>168</v>
      </c>
      <c r="B1333" s="32" t="str">
        <f>_xlfn.XLOOKUP(TablaSTOCKINV[[#This Row],[SKU]],TablaINVENTARIO[SKU],TablaINVENTARIO[DESCRIPCION])</f>
        <v>HOJAS AUTOADHESIVAS 76MM X 76MM</v>
      </c>
      <c r="C1333" s="32" t="str">
        <f>_xlfn.XLOOKUP(TablaSTOCKINV[[#This Row],[SKU]],TablaINVENTARIO[SKU],TablaINVENTARIO[MARCA])</f>
        <v xml:space="preserve">CRISVI </v>
      </c>
      <c r="D1333" s="33" t="str">
        <f>_xlfn.XLOOKUP(TablaSTOCKINV[[#This Row],[SKU]],TablaINVENTARIO[SKU],TablaINVENTARIO[CATEGORIA])</f>
        <v>CONSUMIBLES</v>
      </c>
      <c r="E1333" s="33" t="str">
        <f>_xlfn.XLOOKUP(TablaSTOCKINV[[#This Row],[SKU]],TablaINVENTARIO[SKU],TablaINVENTARIO[SUBCATEGORIA])</f>
        <v>PAPELERIA</v>
      </c>
      <c r="F1333" s="33" t="str">
        <f>_xlfn.XLOOKUP(TablaSTOCKINV[[#This Row],[SKU]],TablaINVENTARIO[SKU],TablaINVENTARIO[ESTADO])</f>
        <v xml:space="preserve">NUEVO </v>
      </c>
      <c r="G1333" s="33" t="str">
        <f>_xlfn.XLOOKUP(TablaSTOCKINV[[#This Row],[SKU]],TablaINVENTARIO[SKU],TablaINVENTARIO[MEDIDA])</f>
        <v xml:space="preserve">UND </v>
      </c>
      <c r="H1333" s="33" t="str">
        <f>_xlfn.XLOOKUP(TablaSTOCKINV[[#This Row],[SKU]],TablaINVENTARIO[SKU],TablaINVENTARIO[SERIAL])</f>
        <v>N/A</v>
      </c>
      <c r="I1333" s="34">
        <f>_xlfn.XLOOKUP(TablaSTOCKINV[[#This Row],[SKU]],TablaINVENTARIO[SKU],TablaINVENTARIO[ALMACEN])</f>
        <v>0</v>
      </c>
      <c r="J1333" s="34" t="str">
        <f>_xlfn.XLOOKUP(TablaSTOCKINV[[#This Row],[SKU]],TablaINVENTARIO[SKU],TablaINVENTARIO[UBICACION])</f>
        <v>1B</v>
      </c>
      <c r="K1333" s="34" t="str">
        <f>_xlfn.XLOOKUP(TablaSTOCKINV[[#This Row],[SKU]],TablaINVENTARIO[SKU],TablaINVENTARIO[DPTO RESPONSABLE])</f>
        <v xml:space="preserve">CONSUMO GENERAL </v>
      </c>
      <c r="L1333" s="53">
        <f>_xlfn.XLOOKUP(TablaSTOCKINV[[#This Row],[SKU]],TablaINVENTARIO[SKU],TablaINVENTARIO[RANGO MIN])</f>
        <v>0</v>
      </c>
      <c r="M1333" s="34" cm="1">
        <f t="array" ref="M1333">_xlfn.IFS(TablaSTOCKINV[[#This Row],[CANT. TOTAL]]&lt;=0,1,TablaSTOCKINV[[#This Row],[CANT. TOTAL]]&lt;=TablaSTOCKINV[[#This Row],[MIN]],2,TablaSTOCKINV[[#This Row],[CANT. TOTAL]]&gt;TablaSTOCKINV[[#This Row],[MIN]],3)</f>
        <v>3</v>
      </c>
      <c r="N1333" s="34">
        <f>TablaSTOCKINV[[#This Row],[ENTRADAS]]-TablaSTOCKINV[[#This Row],[SALIDAS]]</f>
        <v>36</v>
      </c>
      <c r="O1333" s="35">
        <f>SUMIFS(TablaENTRADA[CANT],TablaENTRADA[SKU],TablaSTOCKINV[[#This Row],[SKU]])</f>
        <v>36</v>
      </c>
      <c r="P1333" s="35">
        <f>SUMIFS(TablaSALIDA[CANT],TablaSALIDA[SKU],TablaSTOCKINV[[#This Row],[SKU]])</f>
        <v>0</v>
      </c>
      <c r="Q1333" s="34">
        <f>_xlfn.XLOOKUP(TablaSTOCKINV[[#This Row],[SKU]],TablaINVENTARIO[SKU],TablaINVENTARIO[PRECIO])</f>
        <v>0</v>
      </c>
      <c r="R1333" s="34">
        <f>TablaSTOCKINV[[#This Row],[P.UNITARIO]]*TablaSTOCKINV[[#This Row],[CANT. TOTAL]]</f>
        <v>0</v>
      </c>
      <c r="S1333" s="44">
        <f>_xlfn.XLOOKUP(TablaSTOCKINV[[#This Row],[SKU]],TablaINVENTARIO[SKU],TablaINVENTARIO[FECHA INGRESO])</f>
        <v>46023</v>
      </c>
      <c r="T1333" s="44">
        <f>_xlfn.XLOOKUP(TablaSTOCKINV[[#This Row],[SKU]],TablaENTRADA[SKU],TablaENTRADA[FECHA],,0,-1)</f>
        <v>46023</v>
      </c>
      <c r="U1333" s="46" t="str">
        <f>IFERROR((_xlfn.XLOOKUP(TablaSTOCKINV[[#This Row],[SKU]],TablaSALIDA[SKU],TablaSALIDA[FECHA],,0,-1))," " )</f>
        <v xml:space="preserve"> </v>
      </c>
    </row>
    <row r="1334" spans="1:21" x14ac:dyDescent="0.3">
      <c r="A1334" s="27" t="s">
        <v>171</v>
      </c>
      <c r="B1334" s="32" t="str">
        <f>_xlfn.XLOOKUP(TablaSTOCKINV[[#This Row],[SKU]],TablaINVENTARIO[SKU],TablaINVENTARIO[DESCRIPCION])</f>
        <v>HOJAS AUTOADHESIVAS 50MM X 50MM</v>
      </c>
      <c r="C1334" s="32" t="str">
        <f>_xlfn.XLOOKUP(TablaSTOCKINV[[#This Row],[SKU]],TablaINVENTARIO[SKU],TablaINVENTARIO[MARCA])</f>
        <v xml:space="preserve">KORES </v>
      </c>
      <c r="D1334" s="33" t="str">
        <f>_xlfn.XLOOKUP(TablaSTOCKINV[[#This Row],[SKU]],TablaINVENTARIO[SKU],TablaINVENTARIO[CATEGORIA])</f>
        <v>CONSUMIBLES</v>
      </c>
      <c r="E1334" s="33" t="str">
        <f>_xlfn.XLOOKUP(TablaSTOCKINV[[#This Row],[SKU]],TablaINVENTARIO[SKU],TablaINVENTARIO[SUBCATEGORIA])</f>
        <v>PAPELERIA</v>
      </c>
      <c r="F1334" s="33" t="str">
        <f>_xlfn.XLOOKUP(TablaSTOCKINV[[#This Row],[SKU]],TablaINVENTARIO[SKU],TablaINVENTARIO[ESTADO])</f>
        <v xml:space="preserve">NUEVO </v>
      </c>
      <c r="G1334" s="33" t="str">
        <f>_xlfn.XLOOKUP(TablaSTOCKINV[[#This Row],[SKU]],TablaINVENTARIO[SKU],TablaINVENTARIO[MEDIDA])</f>
        <v xml:space="preserve">UND </v>
      </c>
      <c r="H1334" s="33" t="str">
        <f>_xlfn.XLOOKUP(TablaSTOCKINV[[#This Row],[SKU]],TablaINVENTARIO[SKU],TablaINVENTARIO[SERIAL])</f>
        <v>N/A</v>
      </c>
      <c r="I1334" s="34">
        <f>_xlfn.XLOOKUP(TablaSTOCKINV[[#This Row],[SKU]],TablaINVENTARIO[SKU],TablaINVENTARIO[ALMACEN])</f>
        <v>0</v>
      </c>
      <c r="J1334" s="34" t="str">
        <f>_xlfn.XLOOKUP(TablaSTOCKINV[[#This Row],[SKU]],TablaINVENTARIO[SKU],TablaINVENTARIO[UBICACION])</f>
        <v>1B</v>
      </c>
      <c r="K1334" s="34" t="str">
        <f>_xlfn.XLOOKUP(TablaSTOCKINV[[#This Row],[SKU]],TablaINVENTARIO[SKU],TablaINVENTARIO[DPTO RESPONSABLE])</f>
        <v xml:space="preserve">CONSUMO GENERAL </v>
      </c>
      <c r="L1334" s="53">
        <f>_xlfn.XLOOKUP(TablaSTOCKINV[[#This Row],[SKU]],TablaINVENTARIO[SKU],TablaINVENTARIO[RANGO MIN])</f>
        <v>0</v>
      </c>
      <c r="M1334" s="34" cm="1">
        <f t="array" ref="M1334">_xlfn.IFS(TablaSTOCKINV[[#This Row],[CANT. TOTAL]]&lt;=0,1,TablaSTOCKINV[[#This Row],[CANT. TOTAL]]&lt;=TablaSTOCKINV[[#This Row],[MIN]],2,TablaSTOCKINV[[#This Row],[CANT. TOTAL]]&gt;TablaSTOCKINV[[#This Row],[MIN]],3)</f>
        <v>3</v>
      </c>
      <c r="N1334" s="34">
        <f>TablaSTOCKINV[[#This Row],[ENTRADAS]]-TablaSTOCKINV[[#This Row],[SALIDAS]]</f>
        <v>9</v>
      </c>
      <c r="O1334" s="35">
        <f>SUMIFS(TablaENTRADA[CANT],TablaENTRADA[SKU],TablaSTOCKINV[[#This Row],[SKU]])</f>
        <v>9</v>
      </c>
      <c r="P1334" s="35">
        <f>SUMIFS(TablaSALIDA[CANT],TablaSALIDA[SKU],TablaSTOCKINV[[#This Row],[SKU]])</f>
        <v>0</v>
      </c>
      <c r="Q1334" s="34">
        <f>_xlfn.XLOOKUP(TablaSTOCKINV[[#This Row],[SKU]],TablaINVENTARIO[SKU],TablaINVENTARIO[PRECIO])</f>
        <v>0</v>
      </c>
      <c r="R1334" s="34">
        <f>TablaSTOCKINV[[#This Row],[P.UNITARIO]]*TablaSTOCKINV[[#This Row],[CANT. TOTAL]]</f>
        <v>0</v>
      </c>
      <c r="S1334" s="44">
        <f>_xlfn.XLOOKUP(TablaSTOCKINV[[#This Row],[SKU]],TablaINVENTARIO[SKU],TablaINVENTARIO[FECHA INGRESO])</f>
        <v>46023</v>
      </c>
      <c r="T1334" s="44">
        <f>_xlfn.XLOOKUP(TablaSTOCKINV[[#This Row],[SKU]],TablaENTRADA[SKU],TablaENTRADA[FECHA],,0,-1)</f>
        <v>46023</v>
      </c>
      <c r="U1334" s="46" t="str">
        <f>IFERROR((_xlfn.XLOOKUP(TablaSTOCKINV[[#This Row],[SKU]],TablaSALIDA[SKU],TablaSALIDA[FECHA],,0,-1))," " )</f>
        <v xml:space="preserve"> </v>
      </c>
    </row>
    <row r="1335" spans="1:21" x14ac:dyDescent="0.3">
      <c r="A1335" s="27" t="s">
        <v>173</v>
      </c>
      <c r="B1335" s="32" t="str">
        <f>_xlfn.XLOOKUP(TablaSTOCKINV[[#This Row],[SKU]],TablaINVENTARIO[SKU],TablaINVENTARIO[DESCRIPCION])</f>
        <v>BORRADOR DE GOMA</v>
      </c>
      <c r="C1335" s="32" t="str">
        <f>_xlfn.XLOOKUP(TablaSTOCKINV[[#This Row],[SKU]],TablaINVENTARIO[SKU],TablaINVENTARIO[MARCA])</f>
        <v xml:space="preserve">OFIMAK </v>
      </c>
      <c r="D1335" s="33" t="str">
        <f>_xlfn.XLOOKUP(TablaSTOCKINV[[#This Row],[SKU]],TablaINVENTARIO[SKU],TablaINVENTARIO[CATEGORIA])</f>
        <v>CONSUMIBLES</v>
      </c>
      <c r="E1335" s="33" t="str">
        <f>_xlfn.XLOOKUP(TablaSTOCKINV[[#This Row],[SKU]],TablaINVENTARIO[SKU],TablaINVENTARIO[SUBCATEGORIA])</f>
        <v>PAPELERIA</v>
      </c>
      <c r="F1335" s="33" t="str">
        <f>_xlfn.XLOOKUP(TablaSTOCKINV[[#This Row],[SKU]],TablaINVENTARIO[SKU],TablaINVENTARIO[ESTADO])</f>
        <v xml:space="preserve">NUEVO </v>
      </c>
      <c r="G1335" s="33" t="str">
        <f>_xlfn.XLOOKUP(TablaSTOCKINV[[#This Row],[SKU]],TablaINVENTARIO[SKU],TablaINVENTARIO[MEDIDA])</f>
        <v xml:space="preserve">UND </v>
      </c>
      <c r="H1335" s="33" t="str">
        <f>_xlfn.XLOOKUP(TablaSTOCKINV[[#This Row],[SKU]],TablaINVENTARIO[SKU],TablaINVENTARIO[SERIAL])</f>
        <v>N/A</v>
      </c>
      <c r="I1335" s="34">
        <f>_xlfn.XLOOKUP(TablaSTOCKINV[[#This Row],[SKU]],TablaINVENTARIO[SKU],TablaINVENTARIO[ALMACEN])</f>
        <v>0</v>
      </c>
      <c r="J1335" s="34" t="str">
        <f>_xlfn.XLOOKUP(TablaSTOCKINV[[#This Row],[SKU]],TablaINVENTARIO[SKU],TablaINVENTARIO[UBICACION])</f>
        <v>1B</v>
      </c>
      <c r="K1335" s="34" t="str">
        <f>_xlfn.XLOOKUP(TablaSTOCKINV[[#This Row],[SKU]],TablaINVENTARIO[SKU],TablaINVENTARIO[DPTO RESPONSABLE])</f>
        <v xml:space="preserve">CONSUMO GENERAL </v>
      </c>
      <c r="L1335" s="53">
        <f>_xlfn.XLOOKUP(TablaSTOCKINV[[#This Row],[SKU]],TablaINVENTARIO[SKU],TablaINVENTARIO[RANGO MIN])</f>
        <v>0</v>
      </c>
      <c r="M1335" s="34" cm="1">
        <f t="array" ref="M1335">_xlfn.IFS(TablaSTOCKINV[[#This Row],[CANT. TOTAL]]&lt;=0,1,TablaSTOCKINV[[#This Row],[CANT. TOTAL]]&lt;=TablaSTOCKINV[[#This Row],[MIN]],2,TablaSTOCKINV[[#This Row],[CANT. TOTAL]]&gt;TablaSTOCKINV[[#This Row],[MIN]],3)</f>
        <v>3</v>
      </c>
      <c r="N1335" s="34">
        <f>TablaSTOCKINV[[#This Row],[ENTRADAS]]-TablaSTOCKINV[[#This Row],[SALIDAS]]</f>
        <v>14</v>
      </c>
      <c r="O1335" s="35">
        <f>SUMIFS(TablaENTRADA[CANT],TablaENTRADA[SKU],TablaSTOCKINV[[#This Row],[SKU]])</f>
        <v>14</v>
      </c>
      <c r="P1335" s="35">
        <f>SUMIFS(TablaSALIDA[CANT],TablaSALIDA[SKU],TablaSTOCKINV[[#This Row],[SKU]])</f>
        <v>0</v>
      </c>
      <c r="Q1335" s="34">
        <f>_xlfn.XLOOKUP(TablaSTOCKINV[[#This Row],[SKU]],TablaINVENTARIO[SKU],TablaINVENTARIO[PRECIO])</f>
        <v>0</v>
      </c>
      <c r="R1335" s="34">
        <f>TablaSTOCKINV[[#This Row],[P.UNITARIO]]*TablaSTOCKINV[[#This Row],[CANT. TOTAL]]</f>
        <v>0</v>
      </c>
      <c r="S1335" s="44">
        <f>_xlfn.XLOOKUP(TablaSTOCKINV[[#This Row],[SKU]],TablaINVENTARIO[SKU],TablaINVENTARIO[FECHA INGRESO])</f>
        <v>46023</v>
      </c>
      <c r="T1335" s="44">
        <f>_xlfn.XLOOKUP(TablaSTOCKINV[[#This Row],[SKU]],TablaENTRADA[SKU],TablaENTRADA[FECHA],,0,-1)</f>
        <v>46023</v>
      </c>
      <c r="U1335" s="46" t="str">
        <f>IFERROR((_xlfn.XLOOKUP(TablaSTOCKINV[[#This Row],[SKU]],TablaSALIDA[SKU],TablaSALIDA[FECHA],,0,-1))," " )</f>
        <v xml:space="preserve"> </v>
      </c>
    </row>
    <row r="1336" spans="1:21" x14ac:dyDescent="0.3">
      <c r="A1336" s="27" t="s">
        <v>175</v>
      </c>
      <c r="B1336" s="32" t="str">
        <f>_xlfn.XLOOKUP(TablaSTOCKINV[[#This Row],[SKU]],TablaINVENTARIO[SKU],TablaINVENTARIO[DESCRIPCION])</f>
        <v>SACA GRAPAS</v>
      </c>
      <c r="C1336" s="32" t="str">
        <f>_xlfn.XLOOKUP(TablaSTOCKINV[[#This Row],[SKU]],TablaINVENTARIO[SKU],TablaINVENTARIO[MARCA])</f>
        <v>WEIBO</v>
      </c>
      <c r="D1336" s="33" t="str">
        <f>_xlfn.XLOOKUP(TablaSTOCKINV[[#This Row],[SKU]],TablaINVENTARIO[SKU],TablaINVENTARIO[CATEGORIA])</f>
        <v>CONSUMIBLES</v>
      </c>
      <c r="E1336" s="33" t="str">
        <f>_xlfn.XLOOKUP(TablaSTOCKINV[[#This Row],[SKU]],TablaINVENTARIO[SKU],TablaINVENTARIO[SUBCATEGORIA])</f>
        <v>PAPELERIA</v>
      </c>
      <c r="F1336" s="33" t="str">
        <f>_xlfn.XLOOKUP(TablaSTOCKINV[[#This Row],[SKU]],TablaINVENTARIO[SKU],TablaINVENTARIO[ESTADO])</f>
        <v xml:space="preserve">NUEVO </v>
      </c>
      <c r="G1336" s="33" t="str">
        <f>_xlfn.XLOOKUP(TablaSTOCKINV[[#This Row],[SKU]],TablaINVENTARIO[SKU],TablaINVENTARIO[MEDIDA])</f>
        <v xml:space="preserve">UND </v>
      </c>
      <c r="H1336" s="33" t="str">
        <f>_xlfn.XLOOKUP(TablaSTOCKINV[[#This Row],[SKU]],TablaINVENTARIO[SKU],TablaINVENTARIO[SERIAL])</f>
        <v>N/A</v>
      </c>
      <c r="I1336" s="34">
        <f>_xlfn.XLOOKUP(TablaSTOCKINV[[#This Row],[SKU]],TablaINVENTARIO[SKU],TablaINVENTARIO[ALMACEN])</f>
        <v>0</v>
      </c>
      <c r="J1336" s="34" t="str">
        <f>_xlfn.XLOOKUP(TablaSTOCKINV[[#This Row],[SKU]],TablaINVENTARIO[SKU],TablaINVENTARIO[UBICACION])</f>
        <v>1B</v>
      </c>
      <c r="K1336" s="34" t="str">
        <f>_xlfn.XLOOKUP(TablaSTOCKINV[[#This Row],[SKU]],TablaINVENTARIO[SKU],TablaINVENTARIO[DPTO RESPONSABLE])</f>
        <v xml:space="preserve">CONSUMO GENERAL </v>
      </c>
      <c r="L1336" s="53">
        <f>_xlfn.XLOOKUP(TablaSTOCKINV[[#This Row],[SKU]],TablaINVENTARIO[SKU],TablaINVENTARIO[RANGO MIN])</f>
        <v>0</v>
      </c>
      <c r="M1336" s="34" cm="1">
        <f t="array" ref="M1336">_xlfn.IFS(TablaSTOCKINV[[#This Row],[CANT. TOTAL]]&lt;=0,1,TablaSTOCKINV[[#This Row],[CANT. TOTAL]]&lt;=TablaSTOCKINV[[#This Row],[MIN]],2,TablaSTOCKINV[[#This Row],[CANT. TOTAL]]&gt;TablaSTOCKINV[[#This Row],[MIN]],3)</f>
        <v>3</v>
      </c>
      <c r="N1336" s="34">
        <f>TablaSTOCKINV[[#This Row],[ENTRADAS]]-TablaSTOCKINV[[#This Row],[SALIDAS]]</f>
        <v>6</v>
      </c>
      <c r="O1336" s="35">
        <f>SUMIFS(TablaENTRADA[CANT],TablaENTRADA[SKU],TablaSTOCKINV[[#This Row],[SKU]])</f>
        <v>6</v>
      </c>
      <c r="P1336" s="35">
        <f>SUMIFS(TablaSALIDA[CANT],TablaSALIDA[SKU],TablaSTOCKINV[[#This Row],[SKU]])</f>
        <v>0</v>
      </c>
      <c r="Q1336" s="34">
        <f>_xlfn.XLOOKUP(TablaSTOCKINV[[#This Row],[SKU]],TablaINVENTARIO[SKU],TablaINVENTARIO[PRECIO])</f>
        <v>0</v>
      </c>
      <c r="R1336" s="34">
        <f>TablaSTOCKINV[[#This Row],[P.UNITARIO]]*TablaSTOCKINV[[#This Row],[CANT. TOTAL]]</f>
        <v>0</v>
      </c>
      <c r="S1336" s="44">
        <f>_xlfn.XLOOKUP(TablaSTOCKINV[[#This Row],[SKU]],TablaINVENTARIO[SKU],TablaINVENTARIO[FECHA INGRESO])</f>
        <v>46023</v>
      </c>
      <c r="T1336" s="44">
        <f>_xlfn.XLOOKUP(TablaSTOCKINV[[#This Row],[SKU]],TablaENTRADA[SKU],TablaENTRADA[FECHA],,0,-1)</f>
        <v>46023</v>
      </c>
      <c r="U1336" s="46" t="str">
        <f>IFERROR((_xlfn.XLOOKUP(TablaSTOCKINV[[#This Row],[SKU]],TablaSALIDA[SKU],TablaSALIDA[FECHA],,0,-1))," " )</f>
        <v xml:space="preserve"> </v>
      </c>
    </row>
    <row r="1337" spans="1:21" x14ac:dyDescent="0.3">
      <c r="A1337" s="27" t="s">
        <v>178</v>
      </c>
      <c r="B1337" s="32" t="str">
        <f>_xlfn.XLOOKUP(TablaSTOCKINV[[#This Row],[SKU]],TablaINVENTARIO[SKU],TablaINVENTARIO[DESCRIPCION])</f>
        <v>HUELLERO</v>
      </c>
      <c r="C1337" s="32" t="str">
        <f>_xlfn.XLOOKUP(TablaSTOCKINV[[#This Row],[SKU]],TablaINVENTARIO[SKU],TablaINVENTARIO[MARCA])</f>
        <v>WEIBO</v>
      </c>
      <c r="D1337" s="33" t="str">
        <f>_xlfn.XLOOKUP(TablaSTOCKINV[[#This Row],[SKU]],TablaINVENTARIO[SKU],TablaINVENTARIO[CATEGORIA])</f>
        <v>CONSUMIBLES</v>
      </c>
      <c r="E1337" s="33" t="str">
        <f>_xlfn.XLOOKUP(TablaSTOCKINV[[#This Row],[SKU]],TablaINVENTARIO[SKU],TablaINVENTARIO[SUBCATEGORIA])</f>
        <v>PAPELERIA</v>
      </c>
      <c r="F1337" s="33" t="str">
        <f>_xlfn.XLOOKUP(TablaSTOCKINV[[#This Row],[SKU]],TablaINVENTARIO[SKU],TablaINVENTARIO[ESTADO])</f>
        <v xml:space="preserve">NUEVO </v>
      </c>
      <c r="G1337" s="33" t="str">
        <f>_xlfn.XLOOKUP(TablaSTOCKINV[[#This Row],[SKU]],TablaINVENTARIO[SKU],TablaINVENTARIO[MEDIDA])</f>
        <v xml:space="preserve">UND </v>
      </c>
      <c r="H1337" s="33" t="str">
        <f>_xlfn.XLOOKUP(TablaSTOCKINV[[#This Row],[SKU]],TablaINVENTARIO[SKU],TablaINVENTARIO[SERIAL])</f>
        <v>N/A</v>
      </c>
      <c r="I1337" s="34">
        <f>_xlfn.XLOOKUP(TablaSTOCKINV[[#This Row],[SKU]],TablaINVENTARIO[SKU],TablaINVENTARIO[ALMACEN])</f>
        <v>0</v>
      </c>
      <c r="J1337" s="34" t="str">
        <f>_xlfn.XLOOKUP(TablaSTOCKINV[[#This Row],[SKU]],TablaINVENTARIO[SKU],TablaINVENTARIO[UBICACION])</f>
        <v>1B</v>
      </c>
      <c r="K1337" s="34" t="str">
        <f>_xlfn.XLOOKUP(TablaSTOCKINV[[#This Row],[SKU]],TablaINVENTARIO[SKU],TablaINVENTARIO[DPTO RESPONSABLE])</f>
        <v xml:space="preserve">CONSUMO GENERAL </v>
      </c>
      <c r="L1337" s="53">
        <f>_xlfn.XLOOKUP(TablaSTOCKINV[[#This Row],[SKU]],TablaINVENTARIO[SKU],TablaINVENTARIO[RANGO MIN])</f>
        <v>0</v>
      </c>
      <c r="M1337" s="34" cm="1">
        <f t="array" ref="M1337">_xlfn.IFS(TablaSTOCKINV[[#This Row],[CANT. TOTAL]]&lt;=0,1,TablaSTOCKINV[[#This Row],[CANT. TOTAL]]&lt;=TablaSTOCKINV[[#This Row],[MIN]],2,TablaSTOCKINV[[#This Row],[CANT. TOTAL]]&gt;TablaSTOCKINV[[#This Row],[MIN]],3)</f>
        <v>3</v>
      </c>
      <c r="N1337" s="34">
        <f>TablaSTOCKINV[[#This Row],[ENTRADAS]]-TablaSTOCKINV[[#This Row],[SALIDAS]]</f>
        <v>6</v>
      </c>
      <c r="O1337" s="35">
        <f>SUMIFS(TablaENTRADA[CANT],TablaENTRADA[SKU],TablaSTOCKINV[[#This Row],[SKU]])</f>
        <v>6</v>
      </c>
      <c r="P1337" s="35">
        <f>SUMIFS(TablaSALIDA[CANT],TablaSALIDA[SKU],TablaSTOCKINV[[#This Row],[SKU]])</f>
        <v>0</v>
      </c>
      <c r="Q1337" s="34">
        <f>_xlfn.XLOOKUP(TablaSTOCKINV[[#This Row],[SKU]],TablaINVENTARIO[SKU],TablaINVENTARIO[PRECIO])</f>
        <v>0</v>
      </c>
      <c r="R1337" s="34">
        <f>TablaSTOCKINV[[#This Row],[P.UNITARIO]]*TablaSTOCKINV[[#This Row],[CANT. TOTAL]]</f>
        <v>0</v>
      </c>
      <c r="S1337" s="44">
        <f>_xlfn.XLOOKUP(TablaSTOCKINV[[#This Row],[SKU]],TablaINVENTARIO[SKU],TablaINVENTARIO[FECHA INGRESO])</f>
        <v>46023</v>
      </c>
      <c r="T1337" s="44">
        <f>_xlfn.XLOOKUP(TablaSTOCKINV[[#This Row],[SKU]],TablaENTRADA[SKU],TablaENTRADA[FECHA],,0,-1)</f>
        <v>46023</v>
      </c>
      <c r="U1337" s="46" t="str">
        <f>IFERROR((_xlfn.XLOOKUP(TablaSTOCKINV[[#This Row],[SKU]],TablaSALIDA[SKU],TablaSALIDA[FECHA],,0,-1))," " )</f>
        <v xml:space="preserve"> </v>
      </c>
    </row>
    <row r="1338" spans="1:21" x14ac:dyDescent="0.3">
      <c r="A1338" s="27" t="s">
        <v>180</v>
      </c>
      <c r="B1338" s="32" t="str">
        <f>_xlfn.XLOOKUP(TablaSTOCKINV[[#This Row],[SKU]],TablaINVENTARIO[SKU],TablaINVENTARIO[DESCRIPCION])</f>
        <v>TINTA PARA ALMOHADILLA 24ML</v>
      </c>
      <c r="C1338" s="32" t="str">
        <f>_xlfn.XLOOKUP(TablaSTOCKINV[[#This Row],[SKU]],TablaINVENTARIO[SKU],TablaINVENTARIO[MARCA])</f>
        <v>OFIART</v>
      </c>
      <c r="D1338" s="33" t="str">
        <f>_xlfn.XLOOKUP(TablaSTOCKINV[[#This Row],[SKU]],TablaINVENTARIO[SKU],TablaINVENTARIO[CATEGORIA])</f>
        <v>CONSUMIBLES</v>
      </c>
      <c r="E1338" s="33" t="str">
        <f>_xlfn.XLOOKUP(TablaSTOCKINV[[#This Row],[SKU]],TablaINVENTARIO[SKU],TablaINVENTARIO[SUBCATEGORIA])</f>
        <v>PAPELERIA</v>
      </c>
      <c r="F1338" s="33" t="str">
        <f>_xlfn.XLOOKUP(TablaSTOCKINV[[#This Row],[SKU]],TablaINVENTARIO[SKU],TablaINVENTARIO[ESTADO])</f>
        <v xml:space="preserve">NUEVO </v>
      </c>
      <c r="G1338" s="33" t="str">
        <f>_xlfn.XLOOKUP(TablaSTOCKINV[[#This Row],[SKU]],TablaINVENTARIO[SKU],TablaINVENTARIO[MEDIDA])</f>
        <v xml:space="preserve">UND </v>
      </c>
      <c r="H1338" s="33" t="str">
        <f>_xlfn.XLOOKUP(TablaSTOCKINV[[#This Row],[SKU]],TablaINVENTARIO[SKU],TablaINVENTARIO[SERIAL])</f>
        <v>N/A</v>
      </c>
      <c r="I1338" s="34">
        <f>_xlfn.XLOOKUP(TablaSTOCKINV[[#This Row],[SKU]],TablaINVENTARIO[SKU],TablaINVENTARIO[ALMACEN])</f>
        <v>0</v>
      </c>
      <c r="J1338" s="34" t="str">
        <f>_xlfn.XLOOKUP(TablaSTOCKINV[[#This Row],[SKU]],TablaINVENTARIO[SKU],TablaINVENTARIO[UBICACION])</f>
        <v>1B</v>
      </c>
      <c r="K1338" s="34" t="str">
        <f>_xlfn.XLOOKUP(TablaSTOCKINV[[#This Row],[SKU]],TablaINVENTARIO[SKU],TablaINVENTARIO[DPTO RESPONSABLE])</f>
        <v xml:space="preserve">CONSUMO GENERAL </v>
      </c>
      <c r="L1338" s="53">
        <f>_xlfn.XLOOKUP(TablaSTOCKINV[[#This Row],[SKU]],TablaINVENTARIO[SKU],TablaINVENTARIO[RANGO MIN])</f>
        <v>0</v>
      </c>
      <c r="M1338" s="34" cm="1">
        <f t="array" ref="M1338">_xlfn.IFS(TablaSTOCKINV[[#This Row],[CANT. TOTAL]]&lt;=0,1,TablaSTOCKINV[[#This Row],[CANT. TOTAL]]&lt;=TablaSTOCKINV[[#This Row],[MIN]],2,TablaSTOCKINV[[#This Row],[CANT. TOTAL]]&gt;TablaSTOCKINV[[#This Row],[MIN]],3)</f>
        <v>3</v>
      </c>
      <c r="N1338" s="34">
        <f>TablaSTOCKINV[[#This Row],[ENTRADAS]]-TablaSTOCKINV[[#This Row],[SALIDAS]]</f>
        <v>2</v>
      </c>
      <c r="O1338" s="35">
        <f>SUMIFS(TablaENTRADA[CANT],TablaENTRADA[SKU],TablaSTOCKINV[[#This Row],[SKU]])</f>
        <v>2</v>
      </c>
      <c r="P1338" s="35">
        <f>SUMIFS(TablaSALIDA[CANT],TablaSALIDA[SKU],TablaSTOCKINV[[#This Row],[SKU]])</f>
        <v>0</v>
      </c>
      <c r="Q1338" s="34">
        <f>_xlfn.XLOOKUP(TablaSTOCKINV[[#This Row],[SKU]],TablaINVENTARIO[SKU],TablaINVENTARIO[PRECIO])</f>
        <v>0</v>
      </c>
      <c r="R1338" s="34">
        <f>TablaSTOCKINV[[#This Row],[P.UNITARIO]]*TablaSTOCKINV[[#This Row],[CANT. TOTAL]]</f>
        <v>0</v>
      </c>
      <c r="S1338" s="44">
        <f>_xlfn.XLOOKUP(TablaSTOCKINV[[#This Row],[SKU]],TablaINVENTARIO[SKU],TablaINVENTARIO[FECHA INGRESO])</f>
        <v>46023</v>
      </c>
      <c r="T1338" s="44">
        <f>_xlfn.XLOOKUP(TablaSTOCKINV[[#This Row],[SKU]],TablaENTRADA[SKU],TablaENTRADA[FECHA],,0,-1)</f>
        <v>46023</v>
      </c>
      <c r="U1338" s="46" t="str">
        <f>IFERROR((_xlfn.XLOOKUP(TablaSTOCKINV[[#This Row],[SKU]],TablaSALIDA[SKU],TablaSALIDA[FECHA],,0,-1))," " )</f>
        <v xml:space="preserve"> </v>
      </c>
    </row>
    <row r="1339" spans="1:21" x14ac:dyDescent="0.3">
      <c r="A1339" s="27" t="s">
        <v>183</v>
      </c>
      <c r="B1339" s="32" t="str">
        <f>_xlfn.XLOOKUP(TablaSTOCKINV[[#This Row],[SKU]],TablaINVENTARIO[SKU],TablaINVENTARIO[DESCRIPCION])</f>
        <v xml:space="preserve">BANDERINES DE INDICE </v>
      </c>
      <c r="C1339" s="32" t="str">
        <f>_xlfn.XLOOKUP(TablaSTOCKINV[[#This Row],[SKU]],TablaINVENTARIO[SKU],TablaINVENTARIO[MARCA])</f>
        <v xml:space="preserve">POINTER </v>
      </c>
      <c r="D1339" s="33" t="str">
        <f>_xlfn.XLOOKUP(TablaSTOCKINV[[#This Row],[SKU]],TablaINVENTARIO[SKU],TablaINVENTARIO[CATEGORIA])</f>
        <v>CONSUMIBLES</v>
      </c>
      <c r="E1339" s="33" t="str">
        <f>_xlfn.XLOOKUP(TablaSTOCKINV[[#This Row],[SKU]],TablaINVENTARIO[SKU],TablaINVENTARIO[SUBCATEGORIA])</f>
        <v>PAPELERIA</v>
      </c>
      <c r="F1339" s="33" t="str">
        <f>_xlfn.XLOOKUP(TablaSTOCKINV[[#This Row],[SKU]],TablaINVENTARIO[SKU],TablaINVENTARIO[ESTADO])</f>
        <v xml:space="preserve">NUEVO </v>
      </c>
      <c r="G1339" s="33" t="str">
        <f>_xlfn.XLOOKUP(TablaSTOCKINV[[#This Row],[SKU]],TablaINVENTARIO[SKU],TablaINVENTARIO[MEDIDA])</f>
        <v xml:space="preserve">UND </v>
      </c>
      <c r="H1339" s="33" t="str">
        <f>_xlfn.XLOOKUP(TablaSTOCKINV[[#This Row],[SKU]],TablaINVENTARIO[SKU],TablaINVENTARIO[SERIAL])</f>
        <v>N/A</v>
      </c>
      <c r="I1339" s="34">
        <f>_xlfn.XLOOKUP(TablaSTOCKINV[[#This Row],[SKU]],TablaINVENTARIO[SKU],TablaINVENTARIO[ALMACEN])</f>
        <v>0</v>
      </c>
      <c r="J1339" s="34" t="str">
        <f>_xlfn.XLOOKUP(TablaSTOCKINV[[#This Row],[SKU]],TablaINVENTARIO[SKU],TablaINVENTARIO[UBICACION])</f>
        <v>1B</v>
      </c>
      <c r="K1339" s="34" t="str">
        <f>_xlfn.XLOOKUP(TablaSTOCKINV[[#This Row],[SKU]],TablaINVENTARIO[SKU],TablaINVENTARIO[DPTO RESPONSABLE])</f>
        <v xml:space="preserve">CONSUMO GENERAL </v>
      </c>
      <c r="L1339" s="53">
        <f>_xlfn.XLOOKUP(TablaSTOCKINV[[#This Row],[SKU]],TablaINVENTARIO[SKU],TablaINVENTARIO[RANGO MIN])</f>
        <v>0</v>
      </c>
      <c r="M1339" s="34" cm="1">
        <f t="array" ref="M1339">_xlfn.IFS(TablaSTOCKINV[[#This Row],[CANT. TOTAL]]&lt;=0,1,TablaSTOCKINV[[#This Row],[CANT. TOTAL]]&lt;=TablaSTOCKINV[[#This Row],[MIN]],2,TablaSTOCKINV[[#This Row],[CANT. TOTAL]]&gt;TablaSTOCKINV[[#This Row],[MIN]],3)</f>
        <v>3</v>
      </c>
      <c r="N1339" s="34">
        <f>TablaSTOCKINV[[#This Row],[ENTRADAS]]-TablaSTOCKINV[[#This Row],[SALIDAS]]</f>
        <v>3</v>
      </c>
      <c r="O1339" s="35">
        <f>SUMIFS(TablaENTRADA[CANT],TablaENTRADA[SKU],TablaSTOCKINV[[#This Row],[SKU]])</f>
        <v>3</v>
      </c>
      <c r="P1339" s="35">
        <f>SUMIFS(TablaSALIDA[CANT],TablaSALIDA[SKU],TablaSTOCKINV[[#This Row],[SKU]])</f>
        <v>0</v>
      </c>
      <c r="Q1339" s="34">
        <f>_xlfn.XLOOKUP(TablaSTOCKINV[[#This Row],[SKU]],TablaINVENTARIO[SKU],TablaINVENTARIO[PRECIO])</f>
        <v>0</v>
      </c>
      <c r="R1339" s="34">
        <f>TablaSTOCKINV[[#This Row],[P.UNITARIO]]*TablaSTOCKINV[[#This Row],[CANT. TOTAL]]</f>
        <v>0</v>
      </c>
      <c r="S1339" s="44">
        <f>_xlfn.XLOOKUP(TablaSTOCKINV[[#This Row],[SKU]],TablaINVENTARIO[SKU],TablaINVENTARIO[FECHA INGRESO])</f>
        <v>46023</v>
      </c>
      <c r="T1339" s="44">
        <f>_xlfn.XLOOKUP(TablaSTOCKINV[[#This Row],[SKU]],TablaENTRADA[SKU],TablaENTRADA[FECHA],,0,-1)</f>
        <v>46023</v>
      </c>
      <c r="U1339" s="46" t="str">
        <f>IFERROR((_xlfn.XLOOKUP(TablaSTOCKINV[[#This Row],[SKU]],TablaSALIDA[SKU],TablaSALIDA[FECHA],,0,-1))," " )</f>
        <v xml:space="preserve"> </v>
      </c>
    </row>
    <row r="1340" spans="1:21" x14ac:dyDescent="0.3">
      <c r="A1340" s="27" t="s">
        <v>186</v>
      </c>
      <c r="B1340" s="32" t="str">
        <f>_xlfn.XLOOKUP(TablaSTOCKINV[[#This Row],[SKU]],TablaINVENTARIO[SKU],TablaINVENTARIO[DESCRIPCION])</f>
        <v xml:space="preserve">GRAPAS ONDULADAS </v>
      </c>
      <c r="C1340" s="32" t="str">
        <f>_xlfn.XLOOKUP(TablaSTOCKINV[[#This Row],[SKU]],TablaINVENTARIO[SKU],TablaINVENTARIO[MARCA])</f>
        <v>FANAGRA</v>
      </c>
      <c r="D1340" s="33" t="str">
        <f>_xlfn.XLOOKUP(TablaSTOCKINV[[#This Row],[SKU]],TablaINVENTARIO[SKU],TablaINVENTARIO[CATEGORIA])</f>
        <v>CONSUMIBLES</v>
      </c>
      <c r="E1340" s="33" t="str">
        <f>_xlfn.XLOOKUP(TablaSTOCKINV[[#This Row],[SKU]],TablaINVENTARIO[SKU],TablaINVENTARIO[SUBCATEGORIA])</f>
        <v>PAPELERIA</v>
      </c>
      <c r="F1340" s="33" t="str">
        <f>_xlfn.XLOOKUP(TablaSTOCKINV[[#This Row],[SKU]],TablaINVENTARIO[SKU],TablaINVENTARIO[ESTADO])</f>
        <v xml:space="preserve">NUEVO </v>
      </c>
      <c r="G1340" s="33" t="str">
        <f>_xlfn.XLOOKUP(TablaSTOCKINV[[#This Row],[SKU]],TablaINVENTARIO[SKU],TablaINVENTARIO[MEDIDA])</f>
        <v xml:space="preserve">UND </v>
      </c>
      <c r="H1340" s="33" t="str">
        <f>_xlfn.XLOOKUP(TablaSTOCKINV[[#This Row],[SKU]],TablaINVENTARIO[SKU],TablaINVENTARIO[SERIAL])</f>
        <v>N/A</v>
      </c>
      <c r="I1340" s="34">
        <f>_xlfn.XLOOKUP(TablaSTOCKINV[[#This Row],[SKU]],TablaINVENTARIO[SKU],TablaINVENTARIO[ALMACEN])</f>
        <v>0</v>
      </c>
      <c r="J1340" s="34" t="str">
        <f>_xlfn.XLOOKUP(TablaSTOCKINV[[#This Row],[SKU]],TablaINVENTARIO[SKU],TablaINVENTARIO[UBICACION])</f>
        <v>1B</v>
      </c>
      <c r="K1340" s="34" t="str">
        <f>_xlfn.XLOOKUP(TablaSTOCKINV[[#This Row],[SKU]],TablaINVENTARIO[SKU],TablaINVENTARIO[DPTO RESPONSABLE])</f>
        <v xml:space="preserve">CONSUMO GENERAL </v>
      </c>
      <c r="L1340" s="53">
        <f>_xlfn.XLOOKUP(TablaSTOCKINV[[#This Row],[SKU]],TablaINVENTARIO[SKU],TablaINVENTARIO[RANGO MIN])</f>
        <v>0</v>
      </c>
      <c r="M1340" s="34" cm="1">
        <f t="array" ref="M1340">_xlfn.IFS(TablaSTOCKINV[[#This Row],[CANT. TOTAL]]&lt;=0,1,TablaSTOCKINV[[#This Row],[CANT. TOTAL]]&lt;=TablaSTOCKINV[[#This Row],[MIN]],2,TablaSTOCKINV[[#This Row],[CANT. TOTAL]]&gt;TablaSTOCKINV[[#This Row],[MIN]],3)</f>
        <v>3</v>
      </c>
      <c r="N1340" s="34">
        <f>TablaSTOCKINV[[#This Row],[ENTRADAS]]-TablaSTOCKINV[[#This Row],[SALIDAS]]</f>
        <v>60</v>
      </c>
      <c r="O1340" s="35">
        <f>SUMIFS(TablaENTRADA[CANT],TablaENTRADA[SKU],TablaSTOCKINV[[#This Row],[SKU]])</f>
        <v>60</v>
      </c>
      <c r="P1340" s="35">
        <f>SUMIFS(TablaSALIDA[CANT],TablaSALIDA[SKU],TablaSTOCKINV[[#This Row],[SKU]])</f>
        <v>0</v>
      </c>
      <c r="Q1340" s="34">
        <f>_xlfn.XLOOKUP(TablaSTOCKINV[[#This Row],[SKU]],TablaINVENTARIO[SKU],TablaINVENTARIO[PRECIO])</f>
        <v>0</v>
      </c>
      <c r="R1340" s="34">
        <f>TablaSTOCKINV[[#This Row],[P.UNITARIO]]*TablaSTOCKINV[[#This Row],[CANT. TOTAL]]</f>
        <v>0</v>
      </c>
      <c r="S1340" s="44">
        <f>_xlfn.XLOOKUP(TablaSTOCKINV[[#This Row],[SKU]],TablaINVENTARIO[SKU],TablaINVENTARIO[FECHA INGRESO])</f>
        <v>46023</v>
      </c>
      <c r="T1340" s="44">
        <f>_xlfn.XLOOKUP(TablaSTOCKINV[[#This Row],[SKU]],TablaENTRADA[SKU],TablaENTRADA[FECHA],,0,-1)</f>
        <v>46023</v>
      </c>
      <c r="U1340" s="46" t="str">
        <f>IFERROR((_xlfn.XLOOKUP(TablaSTOCKINV[[#This Row],[SKU]],TablaSALIDA[SKU],TablaSALIDA[FECHA],,0,-1))," " )</f>
        <v xml:space="preserve"> </v>
      </c>
    </row>
    <row r="1341" spans="1:21" x14ac:dyDescent="0.3">
      <c r="A1341" s="27" t="s">
        <v>189</v>
      </c>
      <c r="B1341" s="32" t="str">
        <f>_xlfn.XLOOKUP(TablaSTOCKINV[[#This Row],[SKU]],TablaINVENTARIO[SKU],TablaINVENTARIO[DESCRIPCION])</f>
        <v xml:space="preserve">CLIP JUMBO </v>
      </c>
      <c r="C1341" s="32" t="str">
        <f>_xlfn.XLOOKUP(TablaSTOCKINV[[#This Row],[SKU]],TablaINVENTARIO[SKU],TablaINVENTARIO[MARCA])</f>
        <v>FIXO</v>
      </c>
      <c r="D1341" s="33" t="str">
        <f>_xlfn.XLOOKUP(TablaSTOCKINV[[#This Row],[SKU]],TablaINVENTARIO[SKU],TablaINVENTARIO[CATEGORIA])</f>
        <v>CONSUMIBLES</v>
      </c>
      <c r="E1341" s="33" t="str">
        <f>_xlfn.XLOOKUP(TablaSTOCKINV[[#This Row],[SKU]],TablaINVENTARIO[SKU],TablaINVENTARIO[SUBCATEGORIA])</f>
        <v>PAPELERIA</v>
      </c>
      <c r="F1341" s="33" t="str">
        <f>_xlfn.XLOOKUP(TablaSTOCKINV[[#This Row],[SKU]],TablaINVENTARIO[SKU],TablaINVENTARIO[ESTADO])</f>
        <v xml:space="preserve">NUEVO </v>
      </c>
      <c r="G1341" s="33" t="str">
        <f>_xlfn.XLOOKUP(TablaSTOCKINV[[#This Row],[SKU]],TablaINVENTARIO[SKU],TablaINVENTARIO[MEDIDA])</f>
        <v xml:space="preserve">UND </v>
      </c>
      <c r="H1341" s="33" t="str">
        <f>_xlfn.XLOOKUP(TablaSTOCKINV[[#This Row],[SKU]],TablaINVENTARIO[SKU],TablaINVENTARIO[SERIAL])</f>
        <v>N/A</v>
      </c>
      <c r="I1341" s="34">
        <f>_xlfn.XLOOKUP(TablaSTOCKINV[[#This Row],[SKU]],TablaINVENTARIO[SKU],TablaINVENTARIO[ALMACEN])</f>
        <v>0</v>
      </c>
      <c r="J1341" s="34" t="str">
        <f>_xlfn.XLOOKUP(TablaSTOCKINV[[#This Row],[SKU]],TablaINVENTARIO[SKU],TablaINVENTARIO[UBICACION])</f>
        <v>1B</v>
      </c>
      <c r="K1341" s="34" t="str">
        <f>_xlfn.XLOOKUP(TablaSTOCKINV[[#This Row],[SKU]],TablaINVENTARIO[SKU],TablaINVENTARIO[DPTO RESPONSABLE])</f>
        <v xml:space="preserve">CONSUMO GENERAL </v>
      </c>
      <c r="L1341" s="53">
        <f>_xlfn.XLOOKUP(TablaSTOCKINV[[#This Row],[SKU]],TablaINVENTARIO[SKU],TablaINVENTARIO[RANGO MIN])</f>
        <v>0</v>
      </c>
      <c r="M1341" s="34" cm="1">
        <f t="array" ref="M1341">_xlfn.IFS(TablaSTOCKINV[[#This Row],[CANT. TOTAL]]&lt;=0,1,TablaSTOCKINV[[#This Row],[CANT. TOTAL]]&lt;=TablaSTOCKINV[[#This Row],[MIN]],2,TablaSTOCKINV[[#This Row],[CANT. TOTAL]]&gt;TablaSTOCKINV[[#This Row],[MIN]],3)</f>
        <v>3</v>
      </c>
      <c r="N1341" s="34">
        <f>TablaSTOCKINV[[#This Row],[ENTRADAS]]-TablaSTOCKINV[[#This Row],[SALIDAS]]</f>
        <v>94</v>
      </c>
      <c r="O1341" s="35">
        <f>SUMIFS(TablaENTRADA[CANT],TablaENTRADA[SKU],TablaSTOCKINV[[#This Row],[SKU]])</f>
        <v>94</v>
      </c>
      <c r="P1341" s="35">
        <f>SUMIFS(TablaSALIDA[CANT],TablaSALIDA[SKU],TablaSTOCKINV[[#This Row],[SKU]])</f>
        <v>0</v>
      </c>
      <c r="Q1341" s="34">
        <f>_xlfn.XLOOKUP(TablaSTOCKINV[[#This Row],[SKU]],TablaINVENTARIO[SKU],TablaINVENTARIO[PRECIO])</f>
        <v>0</v>
      </c>
      <c r="R1341" s="34">
        <f>TablaSTOCKINV[[#This Row],[P.UNITARIO]]*TablaSTOCKINV[[#This Row],[CANT. TOTAL]]</f>
        <v>0</v>
      </c>
      <c r="S1341" s="44">
        <f>_xlfn.XLOOKUP(TablaSTOCKINV[[#This Row],[SKU]],TablaINVENTARIO[SKU],TablaINVENTARIO[FECHA INGRESO])</f>
        <v>46023</v>
      </c>
      <c r="T1341" s="44">
        <f>_xlfn.XLOOKUP(TablaSTOCKINV[[#This Row],[SKU]],TablaENTRADA[SKU],TablaENTRADA[FECHA],,0,-1)</f>
        <v>46023</v>
      </c>
      <c r="U1341" s="46" t="str">
        <f>IFERROR((_xlfn.XLOOKUP(TablaSTOCKINV[[#This Row],[SKU]],TablaSALIDA[SKU],TablaSALIDA[FECHA],,0,-1))," " )</f>
        <v xml:space="preserve"> </v>
      </c>
    </row>
    <row r="1342" spans="1:21" x14ac:dyDescent="0.3">
      <c r="A1342" s="27" t="s">
        <v>192</v>
      </c>
      <c r="B1342" s="32" t="str">
        <f>_xlfn.XLOOKUP(TablaSTOCKINV[[#This Row],[SKU]],TablaINVENTARIO[SKU],TablaINVENTARIO[DESCRIPCION])</f>
        <v xml:space="preserve">CLIP MARIPOSA #2 </v>
      </c>
      <c r="C1342" s="32" t="str">
        <f>_xlfn.XLOOKUP(TablaSTOCKINV[[#This Row],[SKU]],TablaINVENTARIO[SKU],TablaINVENTARIO[MARCA])</f>
        <v>OFIMAK</v>
      </c>
      <c r="D1342" s="33" t="str">
        <f>_xlfn.XLOOKUP(TablaSTOCKINV[[#This Row],[SKU]],TablaINVENTARIO[SKU],TablaINVENTARIO[CATEGORIA])</f>
        <v>CONSUMIBLES</v>
      </c>
      <c r="E1342" s="33" t="str">
        <f>_xlfn.XLOOKUP(TablaSTOCKINV[[#This Row],[SKU]],TablaINVENTARIO[SKU],TablaINVENTARIO[SUBCATEGORIA])</f>
        <v>PAPELERIA</v>
      </c>
      <c r="F1342" s="33" t="str">
        <f>_xlfn.XLOOKUP(TablaSTOCKINV[[#This Row],[SKU]],TablaINVENTARIO[SKU],TablaINVENTARIO[ESTADO])</f>
        <v xml:space="preserve">NUEVO </v>
      </c>
      <c r="G1342" s="33" t="str">
        <f>_xlfn.XLOOKUP(TablaSTOCKINV[[#This Row],[SKU]],TablaINVENTARIO[SKU],TablaINVENTARIO[MEDIDA])</f>
        <v xml:space="preserve">UND </v>
      </c>
      <c r="H1342" s="33" t="str">
        <f>_xlfn.XLOOKUP(TablaSTOCKINV[[#This Row],[SKU]],TablaINVENTARIO[SKU],TablaINVENTARIO[SERIAL])</f>
        <v>N/A</v>
      </c>
      <c r="I1342" s="34">
        <f>_xlfn.XLOOKUP(TablaSTOCKINV[[#This Row],[SKU]],TablaINVENTARIO[SKU],TablaINVENTARIO[ALMACEN])</f>
        <v>0</v>
      </c>
      <c r="J1342" s="34" t="str">
        <f>_xlfn.XLOOKUP(TablaSTOCKINV[[#This Row],[SKU]],TablaINVENTARIO[SKU],TablaINVENTARIO[UBICACION])</f>
        <v>1B</v>
      </c>
      <c r="K1342" s="34" t="str">
        <f>_xlfn.XLOOKUP(TablaSTOCKINV[[#This Row],[SKU]],TablaINVENTARIO[SKU],TablaINVENTARIO[DPTO RESPONSABLE])</f>
        <v xml:space="preserve">CONSUMO GENERAL </v>
      </c>
      <c r="L1342" s="53">
        <f>_xlfn.XLOOKUP(TablaSTOCKINV[[#This Row],[SKU]],TablaINVENTARIO[SKU],TablaINVENTARIO[RANGO MIN])</f>
        <v>0</v>
      </c>
      <c r="M1342" s="34" cm="1">
        <f t="array" ref="M1342">_xlfn.IFS(TablaSTOCKINV[[#This Row],[CANT. TOTAL]]&lt;=0,1,TablaSTOCKINV[[#This Row],[CANT. TOTAL]]&lt;=TablaSTOCKINV[[#This Row],[MIN]],2,TablaSTOCKINV[[#This Row],[CANT. TOTAL]]&gt;TablaSTOCKINV[[#This Row],[MIN]],3)</f>
        <v>3</v>
      </c>
      <c r="N1342" s="34">
        <f>TablaSTOCKINV[[#This Row],[ENTRADAS]]-TablaSTOCKINV[[#This Row],[SALIDAS]]</f>
        <v>297</v>
      </c>
      <c r="O1342" s="35">
        <f>SUMIFS(TablaENTRADA[CANT],TablaENTRADA[SKU],TablaSTOCKINV[[#This Row],[SKU]])</f>
        <v>297</v>
      </c>
      <c r="P1342" s="35">
        <f>SUMIFS(TablaSALIDA[CANT],TablaSALIDA[SKU],TablaSTOCKINV[[#This Row],[SKU]])</f>
        <v>0</v>
      </c>
      <c r="Q1342" s="34">
        <f>_xlfn.XLOOKUP(TablaSTOCKINV[[#This Row],[SKU]],TablaINVENTARIO[SKU],TablaINVENTARIO[PRECIO])</f>
        <v>0</v>
      </c>
      <c r="R1342" s="34">
        <f>TablaSTOCKINV[[#This Row],[P.UNITARIO]]*TablaSTOCKINV[[#This Row],[CANT. TOTAL]]</f>
        <v>0</v>
      </c>
      <c r="S1342" s="44">
        <f>_xlfn.XLOOKUP(TablaSTOCKINV[[#This Row],[SKU]],TablaINVENTARIO[SKU],TablaINVENTARIO[FECHA INGRESO])</f>
        <v>46023</v>
      </c>
      <c r="T1342" s="44">
        <f>_xlfn.XLOOKUP(TablaSTOCKINV[[#This Row],[SKU]],TablaENTRADA[SKU],TablaENTRADA[FECHA],,0,-1)</f>
        <v>46023</v>
      </c>
      <c r="U1342" s="46" t="str">
        <f>IFERROR((_xlfn.XLOOKUP(TablaSTOCKINV[[#This Row],[SKU]],TablaSALIDA[SKU],TablaSALIDA[FECHA],,0,-1))," " )</f>
        <v xml:space="preserve"> </v>
      </c>
    </row>
    <row r="1343" spans="1:21" x14ac:dyDescent="0.3">
      <c r="A1343" s="27" t="s">
        <v>194</v>
      </c>
      <c r="B1343" s="32" t="str">
        <f>_xlfn.XLOOKUP(TablaSTOCKINV[[#This Row],[SKU]],TablaINVENTARIO[SKU],TablaINVENTARIO[DESCRIPCION])</f>
        <v xml:space="preserve">MARCA PAGINAS </v>
      </c>
      <c r="C1343" s="32" t="str">
        <f>_xlfn.XLOOKUP(TablaSTOCKINV[[#This Row],[SKU]],TablaINVENTARIO[SKU],TablaINVENTARIO[MARCA])</f>
        <v xml:space="preserve">POINTER </v>
      </c>
      <c r="D1343" s="33" t="str">
        <f>_xlfn.XLOOKUP(TablaSTOCKINV[[#This Row],[SKU]],TablaINVENTARIO[SKU],TablaINVENTARIO[CATEGORIA])</f>
        <v>CONSUMIBLES</v>
      </c>
      <c r="E1343" s="33" t="str">
        <f>_xlfn.XLOOKUP(TablaSTOCKINV[[#This Row],[SKU]],TablaINVENTARIO[SKU],TablaINVENTARIO[SUBCATEGORIA])</f>
        <v>PAPELERIA</v>
      </c>
      <c r="F1343" s="33" t="str">
        <f>_xlfn.XLOOKUP(TablaSTOCKINV[[#This Row],[SKU]],TablaINVENTARIO[SKU],TablaINVENTARIO[ESTADO])</f>
        <v xml:space="preserve">NUEVO </v>
      </c>
      <c r="G1343" s="33" t="str">
        <f>_xlfn.XLOOKUP(TablaSTOCKINV[[#This Row],[SKU]],TablaINVENTARIO[SKU],TablaINVENTARIO[MEDIDA])</f>
        <v xml:space="preserve">UND </v>
      </c>
      <c r="H1343" s="33" t="str">
        <f>_xlfn.XLOOKUP(TablaSTOCKINV[[#This Row],[SKU]],TablaINVENTARIO[SKU],TablaINVENTARIO[SERIAL])</f>
        <v>N/A</v>
      </c>
      <c r="I1343" s="34">
        <f>_xlfn.XLOOKUP(TablaSTOCKINV[[#This Row],[SKU]],TablaINVENTARIO[SKU],TablaINVENTARIO[ALMACEN])</f>
        <v>0</v>
      </c>
      <c r="J1343" s="34" t="str">
        <f>_xlfn.XLOOKUP(TablaSTOCKINV[[#This Row],[SKU]],TablaINVENTARIO[SKU],TablaINVENTARIO[UBICACION])</f>
        <v>1B</v>
      </c>
      <c r="K1343" s="34" t="str">
        <f>_xlfn.XLOOKUP(TablaSTOCKINV[[#This Row],[SKU]],TablaINVENTARIO[SKU],TablaINVENTARIO[DPTO RESPONSABLE])</f>
        <v xml:space="preserve">CONSUMO GENERAL </v>
      </c>
      <c r="L1343" s="53">
        <f>_xlfn.XLOOKUP(TablaSTOCKINV[[#This Row],[SKU]],TablaINVENTARIO[SKU],TablaINVENTARIO[RANGO MIN])</f>
        <v>0</v>
      </c>
      <c r="M1343" s="34" cm="1">
        <f t="array" ref="M1343">_xlfn.IFS(TablaSTOCKINV[[#This Row],[CANT. TOTAL]]&lt;=0,1,TablaSTOCKINV[[#This Row],[CANT. TOTAL]]&lt;=TablaSTOCKINV[[#This Row],[MIN]],2,TablaSTOCKINV[[#This Row],[CANT. TOTAL]]&gt;TablaSTOCKINV[[#This Row],[MIN]],3)</f>
        <v>3</v>
      </c>
      <c r="N1343" s="34">
        <f>TablaSTOCKINV[[#This Row],[ENTRADAS]]-TablaSTOCKINV[[#This Row],[SALIDAS]]</f>
        <v>3</v>
      </c>
      <c r="O1343" s="35">
        <f>SUMIFS(TablaENTRADA[CANT],TablaENTRADA[SKU],TablaSTOCKINV[[#This Row],[SKU]])</f>
        <v>3</v>
      </c>
      <c r="P1343" s="35">
        <f>SUMIFS(TablaSALIDA[CANT],TablaSALIDA[SKU],TablaSTOCKINV[[#This Row],[SKU]])</f>
        <v>0</v>
      </c>
      <c r="Q1343" s="34">
        <f>_xlfn.XLOOKUP(TablaSTOCKINV[[#This Row],[SKU]],TablaINVENTARIO[SKU],TablaINVENTARIO[PRECIO])</f>
        <v>0</v>
      </c>
      <c r="R1343" s="34">
        <f>TablaSTOCKINV[[#This Row],[P.UNITARIO]]*TablaSTOCKINV[[#This Row],[CANT. TOTAL]]</f>
        <v>0</v>
      </c>
      <c r="S1343" s="44">
        <f>_xlfn.XLOOKUP(TablaSTOCKINV[[#This Row],[SKU]],TablaINVENTARIO[SKU],TablaINVENTARIO[FECHA INGRESO])</f>
        <v>46023</v>
      </c>
      <c r="T1343" s="44">
        <f>_xlfn.XLOOKUP(TablaSTOCKINV[[#This Row],[SKU]],TablaENTRADA[SKU],TablaENTRADA[FECHA],,0,-1)</f>
        <v>46023</v>
      </c>
      <c r="U1343" s="46" t="str">
        <f>IFERROR((_xlfn.XLOOKUP(TablaSTOCKINV[[#This Row],[SKU]],TablaSALIDA[SKU],TablaSALIDA[FECHA],,0,-1))," " )</f>
        <v xml:space="preserve"> </v>
      </c>
    </row>
    <row r="1344" spans="1:21" x14ac:dyDescent="0.3">
      <c r="A1344" s="27" t="s">
        <v>196</v>
      </c>
      <c r="B1344" s="32" t="str">
        <f>_xlfn.XLOOKUP(TablaSTOCKINV[[#This Row],[SKU]],TablaINVENTARIO[SKU],TablaINVENTARIO[DESCRIPCION])</f>
        <v xml:space="preserve">GRAPAS CORONA PLANA </v>
      </c>
      <c r="C1344" s="32" t="str">
        <f>_xlfn.XLOOKUP(TablaSTOCKINV[[#This Row],[SKU]],TablaINVENTARIO[SKU],TablaINVENTARIO[MARCA])</f>
        <v xml:space="preserve">POINTER </v>
      </c>
      <c r="D1344" s="33" t="str">
        <f>_xlfn.XLOOKUP(TablaSTOCKINV[[#This Row],[SKU]],TablaINVENTARIO[SKU],TablaINVENTARIO[CATEGORIA])</f>
        <v>CONSUMIBLES</v>
      </c>
      <c r="E1344" s="33" t="str">
        <f>_xlfn.XLOOKUP(TablaSTOCKINV[[#This Row],[SKU]],TablaINVENTARIO[SKU],TablaINVENTARIO[SUBCATEGORIA])</f>
        <v>PAPELERIA</v>
      </c>
      <c r="F1344" s="33" t="str">
        <f>_xlfn.XLOOKUP(TablaSTOCKINV[[#This Row],[SKU]],TablaINVENTARIO[SKU],TablaINVENTARIO[ESTADO])</f>
        <v xml:space="preserve">NUEVO </v>
      </c>
      <c r="G1344" s="33" t="str">
        <f>_xlfn.XLOOKUP(TablaSTOCKINV[[#This Row],[SKU]],TablaINVENTARIO[SKU],TablaINVENTARIO[MEDIDA])</f>
        <v xml:space="preserve">UND </v>
      </c>
      <c r="H1344" s="33" t="str">
        <f>_xlfn.XLOOKUP(TablaSTOCKINV[[#This Row],[SKU]],TablaINVENTARIO[SKU],TablaINVENTARIO[SERIAL])</f>
        <v>N/A</v>
      </c>
      <c r="I1344" s="34">
        <f>_xlfn.XLOOKUP(TablaSTOCKINV[[#This Row],[SKU]],TablaINVENTARIO[SKU],TablaINVENTARIO[ALMACEN])</f>
        <v>0</v>
      </c>
      <c r="J1344" s="34" t="str">
        <f>_xlfn.XLOOKUP(TablaSTOCKINV[[#This Row],[SKU]],TablaINVENTARIO[SKU],TablaINVENTARIO[UBICACION])</f>
        <v>1B</v>
      </c>
      <c r="K1344" s="34" t="str">
        <f>_xlfn.XLOOKUP(TablaSTOCKINV[[#This Row],[SKU]],TablaINVENTARIO[SKU],TablaINVENTARIO[DPTO RESPONSABLE])</f>
        <v xml:space="preserve">CONSUMO GENERAL </v>
      </c>
      <c r="L1344" s="53">
        <f>_xlfn.XLOOKUP(TablaSTOCKINV[[#This Row],[SKU]],TablaINVENTARIO[SKU],TablaINVENTARIO[RANGO MIN])</f>
        <v>0</v>
      </c>
      <c r="M1344" s="34" cm="1">
        <f t="array" ref="M1344">_xlfn.IFS(TablaSTOCKINV[[#This Row],[CANT. TOTAL]]&lt;=0,1,TablaSTOCKINV[[#This Row],[CANT. TOTAL]]&lt;=TablaSTOCKINV[[#This Row],[MIN]],2,TablaSTOCKINV[[#This Row],[CANT. TOTAL]]&gt;TablaSTOCKINV[[#This Row],[MIN]],3)</f>
        <v>3</v>
      </c>
      <c r="N1344" s="34">
        <f>TablaSTOCKINV[[#This Row],[ENTRADAS]]-TablaSTOCKINV[[#This Row],[SALIDAS]]</f>
        <v>23</v>
      </c>
      <c r="O1344" s="35">
        <f>SUMIFS(TablaENTRADA[CANT],TablaENTRADA[SKU],TablaSTOCKINV[[#This Row],[SKU]])</f>
        <v>23</v>
      </c>
      <c r="P1344" s="35">
        <f>SUMIFS(TablaSALIDA[CANT],TablaSALIDA[SKU],TablaSTOCKINV[[#This Row],[SKU]])</f>
        <v>0</v>
      </c>
      <c r="Q1344" s="34">
        <f>_xlfn.XLOOKUP(TablaSTOCKINV[[#This Row],[SKU]],TablaINVENTARIO[SKU],TablaINVENTARIO[PRECIO])</f>
        <v>0</v>
      </c>
      <c r="R1344" s="34">
        <f>TablaSTOCKINV[[#This Row],[P.UNITARIO]]*TablaSTOCKINV[[#This Row],[CANT. TOTAL]]</f>
        <v>0</v>
      </c>
      <c r="S1344" s="44">
        <f>_xlfn.XLOOKUP(TablaSTOCKINV[[#This Row],[SKU]],TablaINVENTARIO[SKU],TablaINVENTARIO[FECHA INGRESO])</f>
        <v>46023</v>
      </c>
      <c r="T1344" s="44">
        <f>_xlfn.XLOOKUP(TablaSTOCKINV[[#This Row],[SKU]],TablaENTRADA[SKU],TablaENTRADA[FECHA],,0,-1)</f>
        <v>46023</v>
      </c>
      <c r="U1344" s="46" t="str">
        <f>IFERROR((_xlfn.XLOOKUP(TablaSTOCKINV[[#This Row],[SKU]],TablaSALIDA[SKU],TablaSALIDA[FECHA],,0,-1))," " )</f>
        <v xml:space="preserve"> </v>
      </c>
    </row>
    <row r="1345" spans="1:21" x14ac:dyDescent="0.3">
      <c r="A1345" s="27" t="s">
        <v>198</v>
      </c>
      <c r="B1345" s="32" t="str">
        <f>_xlfn.XLOOKUP(TablaSTOCKINV[[#This Row],[SKU]],TablaINVENTARIO[SKU],TablaINVENTARIO[DESCRIPCION])</f>
        <v xml:space="preserve">ENGRAPADORA </v>
      </c>
      <c r="C1345" s="32" t="str">
        <f>_xlfn.XLOOKUP(TablaSTOCKINV[[#This Row],[SKU]],TablaINVENTARIO[SKU],TablaINVENTARIO[MARCA])</f>
        <v xml:space="preserve">OFIMAK </v>
      </c>
      <c r="D1345" s="33" t="str">
        <f>_xlfn.XLOOKUP(TablaSTOCKINV[[#This Row],[SKU]],TablaINVENTARIO[SKU],TablaINVENTARIO[CATEGORIA])</f>
        <v>CONSUMIBLES</v>
      </c>
      <c r="E1345" s="33" t="str">
        <f>_xlfn.XLOOKUP(TablaSTOCKINV[[#This Row],[SKU]],TablaINVENTARIO[SKU],TablaINVENTARIO[SUBCATEGORIA])</f>
        <v>PAPELERIA</v>
      </c>
      <c r="F1345" s="33" t="str">
        <f>_xlfn.XLOOKUP(TablaSTOCKINV[[#This Row],[SKU]],TablaINVENTARIO[SKU],TablaINVENTARIO[ESTADO])</f>
        <v xml:space="preserve">NUEVO </v>
      </c>
      <c r="G1345" s="33" t="str">
        <f>_xlfn.XLOOKUP(TablaSTOCKINV[[#This Row],[SKU]],TablaINVENTARIO[SKU],TablaINVENTARIO[MEDIDA])</f>
        <v xml:space="preserve">UND </v>
      </c>
      <c r="H1345" s="33" t="str">
        <f>_xlfn.XLOOKUP(TablaSTOCKINV[[#This Row],[SKU]],TablaINVENTARIO[SKU],TablaINVENTARIO[SERIAL])</f>
        <v>N/A</v>
      </c>
      <c r="I1345" s="34">
        <f>_xlfn.XLOOKUP(TablaSTOCKINV[[#This Row],[SKU]],TablaINVENTARIO[SKU],TablaINVENTARIO[ALMACEN])</f>
        <v>0</v>
      </c>
      <c r="J1345" s="34" t="str">
        <f>_xlfn.XLOOKUP(TablaSTOCKINV[[#This Row],[SKU]],TablaINVENTARIO[SKU],TablaINVENTARIO[UBICACION])</f>
        <v>1B</v>
      </c>
      <c r="K1345" s="34" t="str">
        <f>_xlfn.XLOOKUP(TablaSTOCKINV[[#This Row],[SKU]],TablaINVENTARIO[SKU],TablaINVENTARIO[DPTO RESPONSABLE])</f>
        <v xml:space="preserve">CONSUMO GENERAL </v>
      </c>
      <c r="L1345" s="53">
        <f>_xlfn.XLOOKUP(TablaSTOCKINV[[#This Row],[SKU]],TablaINVENTARIO[SKU],TablaINVENTARIO[RANGO MIN])</f>
        <v>0</v>
      </c>
      <c r="M1345" s="34" cm="1">
        <f t="array" ref="M1345">_xlfn.IFS(TablaSTOCKINV[[#This Row],[CANT. TOTAL]]&lt;=0,1,TablaSTOCKINV[[#This Row],[CANT. TOTAL]]&lt;=TablaSTOCKINV[[#This Row],[MIN]],2,TablaSTOCKINV[[#This Row],[CANT. TOTAL]]&gt;TablaSTOCKINV[[#This Row],[MIN]],3)</f>
        <v>3</v>
      </c>
      <c r="N1345" s="34">
        <f>TablaSTOCKINV[[#This Row],[ENTRADAS]]-TablaSTOCKINV[[#This Row],[SALIDAS]]</f>
        <v>1</v>
      </c>
      <c r="O1345" s="35">
        <f>SUMIFS(TablaENTRADA[CANT],TablaENTRADA[SKU],TablaSTOCKINV[[#This Row],[SKU]])</f>
        <v>1</v>
      </c>
      <c r="P1345" s="35">
        <f>SUMIFS(TablaSALIDA[CANT],TablaSALIDA[SKU],TablaSTOCKINV[[#This Row],[SKU]])</f>
        <v>0</v>
      </c>
      <c r="Q1345" s="34">
        <f>_xlfn.XLOOKUP(TablaSTOCKINV[[#This Row],[SKU]],TablaINVENTARIO[SKU],TablaINVENTARIO[PRECIO])</f>
        <v>0</v>
      </c>
      <c r="R1345" s="34">
        <f>TablaSTOCKINV[[#This Row],[P.UNITARIO]]*TablaSTOCKINV[[#This Row],[CANT. TOTAL]]</f>
        <v>0</v>
      </c>
      <c r="S1345" s="44">
        <f>_xlfn.XLOOKUP(TablaSTOCKINV[[#This Row],[SKU]],TablaINVENTARIO[SKU],TablaINVENTARIO[FECHA INGRESO])</f>
        <v>46023</v>
      </c>
      <c r="T1345" s="44">
        <f>_xlfn.XLOOKUP(TablaSTOCKINV[[#This Row],[SKU]],TablaENTRADA[SKU],TablaENTRADA[FECHA],,0,-1)</f>
        <v>46023</v>
      </c>
      <c r="U1345" s="46" t="str">
        <f>IFERROR((_xlfn.XLOOKUP(TablaSTOCKINV[[#This Row],[SKU]],TablaSALIDA[SKU],TablaSALIDA[FECHA],,0,-1))," " )</f>
        <v xml:space="preserve"> </v>
      </c>
    </row>
    <row r="1346" spans="1:21" x14ac:dyDescent="0.3">
      <c r="A1346" s="27" t="s">
        <v>200</v>
      </c>
      <c r="B1346" s="32" t="str">
        <f>_xlfn.XLOOKUP(TablaSTOCKINV[[#This Row],[SKU]],TablaINVENTARIO[SKU],TablaINVENTARIO[DESCRIPCION])</f>
        <v>BORRADOR DE PIZARRA ACRILICO</v>
      </c>
      <c r="C1346" s="32" t="str">
        <f>_xlfn.XLOOKUP(TablaSTOCKINV[[#This Row],[SKU]],TablaINVENTARIO[SKU],TablaINVENTARIO[MARCA])</f>
        <v>OFIMAK</v>
      </c>
      <c r="D1346" s="33" t="str">
        <f>_xlfn.XLOOKUP(TablaSTOCKINV[[#This Row],[SKU]],TablaINVENTARIO[SKU],TablaINVENTARIO[CATEGORIA])</f>
        <v>CONSUMIBLES</v>
      </c>
      <c r="E1346" s="33" t="str">
        <f>_xlfn.XLOOKUP(TablaSTOCKINV[[#This Row],[SKU]],TablaINVENTARIO[SKU],TablaINVENTARIO[SUBCATEGORIA])</f>
        <v>PAPELERIA</v>
      </c>
      <c r="F1346" s="33" t="str">
        <f>_xlfn.XLOOKUP(TablaSTOCKINV[[#This Row],[SKU]],TablaINVENTARIO[SKU],TablaINVENTARIO[ESTADO])</f>
        <v xml:space="preserve">NUEVO </v>
      </c>
      <c r="G1346" s="33" t="str">
        <f>_xlfn.XLOOKUP(TablaSTOCKINV[[#This Row],[SKU]],TablaINVENTARIO[SKU],TablaINVENTARIO[MEDIDA])</f>
        <v xml:space="preserve">UND </v>
      </c>
      <c r="H1346" s="33" t="str">
        <f>_xlfn.XLOOKUP(TablaSTOCKINV[[#This Row],[SKU]],TablaINVENTARIO[SKU],TablaINVENTARIO[SERIAL])</f>
        <v>N/A</v>
      </c>
      <c r="I1346" s="34">
        <f>_xlfn.XLOOKUP(TablaSTOCKINV[[#This Row],[SKU]],TablaINVENTARIO[SKU],TablaINVENTARIO[ALMACEN])</f>
        <v>0</v>
      </c>
      <c r="J1346" s="34" t="str">
        <f>_xlfn.XLOOKUP(TablaSTOCKINV[[#This Row],[SKU]],TablaINVENTARIO[SKU],TablaINVENTARIO[UBICACION])</f>
        <v>1B</v>
      </c>
      <c r="K1346" s="34" t="str">
        <f>_xlfn.XLOOKUP(TablaSTOCKINV[[#This Row],[SKU]],TablaINVENTARIO[SKU],TablaINVENTARIO[DPTO RESPONSABLE])</f>
        <v xml:space="preserve">CONSUMO GENERAL </v>
      </c>
      <c r="L1346" s="53">
        <f>_xlfn.XLOOKUP(TablaSTOCKINV[[#This Row],[SKU]],TablaINVENTARIO[SKU],TablaINVENTARIO[RANGO MIN])</f>
        <v>0</v>
      </c>
      <c r="M1346" s="34" cm="1">
        <f t="array" ref="M1346">_xlfn.IFS(TablaSTOCKINV[[#This Row],[CANT. TOTAL]]&lt;=0,1,TablaSTOCKINV[[#This Row],[CANT. TOTAL]]&lt;=TablaSTOCKINV[[#This Row],[MIN]],2,TablaSTOCKINV[[#This Row],[CANT. TOTAL]]&gt;TablaSTOCKINV[[#This Row],[MIN]],3)</f>
        <v>3</v>
      </c>
      <c r="N1346" s="34">
        <f>TablaSTOCKINV[[#This Row],[ENTRADAS]]-TablaSTOCKINV[[#This Row],[SALIDAS]]</f>
        <v>2</v>
      </c>
      <c r="O1346" s="35">
        <f>SUMIFS(TablaENTRADA[CANT],TablaENTRADA[SKU],TablaSTOCKINV[[#This Row],[SKU]])</f>
        <v>2</v>
      </c>
      <c r="P1346" s="35">
        <f>SUMIFS(TablaSALIDA[CANT],TablaSALIDA[SKU],TablaSTOCKINV[[#This Row],[SKU]])</f>
        <v>0</v>
      </c>
      <c r="Q1346" s="34">
        <f>_xlfn.XLOOKUP(TablaSTOCKINV[[#This Row],[SKU]],TablaINVENTARIO[SKU],TablaINVENTARIO[PRECIO])</f>
        <v>0</v>
      </c>
      <c r="R1346" s="34">
        <f>TablaSTOCKINV[[#This Row],[P.UNITARIO]]*TablaSTOCKINV[[#This Row],[CANT. TOTAL]]</f>
        <v>0</v>
      </c>
      <c r="S1346" s="44">
        <f>_xlfn.XLOOKUP(TablaSTOCKINV[[#This Row],[SKU]],TablaINVENTARIO[SKU],TablaINVENTARIO[FECHA INGRESO])</f>
        <v>46023</v>
      </c>
      <c r="T1346" s="44">
        <f>_xlfn.XLOOKUP(TablaSTOCKINV[[#This Row],[SKU]],TablaENTRADA[SKU],TablaENTRADA[FECHA],,0,-1)</f>
        <v>46023</v>
      </c>
      <c r="U1346" s="46" t="str">
        <f>IFERROR((_xlfn.XLOOKUP(TablaSTOCKINV[[#This Row],[SKU]],TablaSALIDA[SKU],TablaSALIDA[FECHA],,0,-1))," " )</f>
        <v xml:space="preserve"> </v>
      </c>
    </row>
    <row r="1347" spans="1:21" x14ac:dyDescent="0.3">
      <c r="A1347" s="27" t="s">
        <v>202</v>
      </c>
      <c r="B1347" s="32" t="str">
        <f>_xlfn.XLOOKUP(TablaSTOCKINV[[#This Row],[SKU]],TablaINVENTARIO[SKU],TablaINVENTARIO[DESCRIPCION])</f>
        <v>BORRADOR DE PIZARRA ACRILICO</v>
      </c>
      <c r="C1347" s="32" t="str">
        <f>_xlfn.XLOOKUP(TablaSTOCKINV[[#This Row],[SKU]],TablaINVENTARIO[SKU],TablaINVENTARIO[MARCA])</f>
        <v>PRIMUS</v>
      </c>
      <c r="D1347" s="33" t="str">
        <f>_xlfn.XLOOKUP(TablaSTOCKINV[[#This Row],[SKU]],TablaINVENTARIO[SKU],TablaINVENTARIO[CATEGORIA])</f>
        <v>CONSUMIBLES</v>
      </c>
      <c r="E1347" s="33" t="str">
        <f>_xlfn.XLOOKUP(TablaSTOCKINV[[#This Row],[SKU]],TablaINVENTARIO[SKU],TablaINVENTARIO[SUBCATEGORIA])</f>
        <v>PAPELERIA</v>
      </c>
      <c r="F1347" s="33" t="str">
        <f>_xlfn.XLOOKUP(TablaSTOCKINV[[#This Row],[SKU]],TablaINVENTARIO[SKU],TablaINVENTARIO[ESTADO])</f>
        <v xml:space="preserve">NUEVO </v>
      </c>
      <c r="G1347" s="33" t="str">
        <f>_xlfn.XLOOKUP(TablaSTOCKINV[[#This Row],[SKU]],TablaINVENTARIO[SKU],TablaINVENTARIO[MEDIDA])</f>
        <v xml:space="preserve">UND </v>
      </c>
      <c r="H1347" s="33" t="str">
        <f>_xlfn.XLOOKUP(TablaSTOCKINV[[#This Row],[SKU]],TablaINVENTARIO[SKU],TablaINVENTARIO[SERIAL])</f>
        <v>N/A</v>
      </c>
      <c r="I1347" s="34">
        <f>_xlfn.XLOOKUP(TablaSTOCKINV[[#This Row],[SKU]],TablaINVENTARIO[SKU],TablaINVENTARIO[ALMACEN])</f>
        <v>0</v>
      </c>
      <c r="J1347" s="34" t="str">
        <f>_xlfn.XLOOKUP(TablaSTOCKINV[[#This Row],[SKU]],TablaINVENTARIO[SKU],TablaINVENTARIO[UBICACION])</f>
        <v>1B</v>
      </c>
      <c r="K1347" s="34" t="str">
        <f>_xlfn.XLOOKUP(TablaSTOCKINV[[#This Row],[SKU]],TablaINVENTARIO[SKU],TablaINVENTARIO[DPTO RESPONSABLE])</f>
        <v xml:space="preserve">CONSUMO GENERAL </v>
      </c>
      <c r="L1347" s="53">
        <f>_xlfn.XLOOKUP(TablaSTOCKINV[[#This Row],[SKU]],TablaINVENTARIO[SKU],TablaINVENTARIO[RANGO MIN])</f>
        <v>0</v>
      </c>
      <c r="M1347" s="34" cm="1">
        <f t="array" ref="M1347">_xlfn.IFS(TablaSTOCKINV[[#This Row],[CANT. TOTAL]]&lt;=0,1,TablaSTOCKINV[[#This Row],[CANT. TOTAL]]&lt;=TablaSTOCKINV[[#This Row],[MIN]],2,TablaSTOCKINV[[#This Row],[CANT. TOTAL]]&gt;TablaSTOCKINV[[#This Row],[MIN]],3)</f>
        <v>3</v>
      </c>
      <c r="N1347" s="34">
        <f>TablaSTOCKINV[[#This Row],[ENTRADAS]]-TablaSTOCKINV[[#This Row],[SALIDAS]]</f>
        <v>1</v>
      </c>
      <c r="O1347" s="35">
        <f>SUMIFS(TablaENTRADA[CANT],TablaENTRADA[SKU],TablaSTOCKINV[[#This Row],[SKU]])</f>
        <v>1</v>
      </c>
      <c r="P1347" s="35">
        <f>SUMIFS(TablaSALIDA[CANT],TablaSALIDA[SKU],TablaSTOCKINV[[#This Row],[SKU]])</f>
        <v>0</v>
      </c>
      <c r="Q1347" s="34">
        <f>_xlfn.XLOOKUP(TablaSTOCKINV[[#This Row],[SKU]],TablaINVENTARIO[SKU],TablaINVENTARIO[PRECIO])</f>
        <v>0</v>
      </c>
      <c r="R1347" s="34">
        <f>TablaSTOCKINV[[#This Row],[P.UNITARIO]]*TablaSTOCKINV[[#This Row],[CANT. TOTAL]]</f>
        <v>0</v>
      </c>
      <c r="S1347" s="44">
        <f>_xlfn.XLOOKUP(TablaSTOCKINV[[#This Row],[SKU]],TablaINVENTARIO[SKU],TablaINVENTARIO[FECHA INGRESO])</f>
        <v>46023</v>
      </c>
      <c r="T1347" s="44">
        <f>_xlfn.XLOOKUP(TablaSTOCKINV[[#This Row],[SKU]],TablaENTRADA[SKU],TablaENTRADA[FECHA],,0,-1)</f>
        <v>46023</v>
      </c>
      <c r="U1347" s="46" t="str">
        <f>IFERROR((_xlfn.XLOOKUP(TablaSTOCKINV[[#This Row],[SKU]],TablaSALIDA[SKU],TablaSALIDA[FECHA],,0,-1))," " )</f>
        <v xml:space="preserve"> </v>
      </c>
    </row>
    <row r="1348" spans="1:21" x14ac:dyDescent="0.3">
      <c r="A1348" s="27" t="s">
        <v>204</v>
      </c>
      <c r="B1348" s="32" t="str">
        <f>_xlfn.XLOOKUP(TablaSTOCKINV[[#This Row],[SKU]],TablaINVENTARIO[SKU],TablaINVENTARIO[DESCRIPCION])</f>
        <v xml:space="preserve"> SACAPUNTAS CON DEPOSITO</v>
      </c>
      <c r="C1348" s="32" t="str">
        <f>_xlfn.XLOOKUP(TablaSTOCKINV[[#This Row],[SKU]],TablaINVENTARIO[SKU],TablaINVENTARIO[MARCA])</f>
        <v>SMOKY COLOR</v>
      </c>
      <c r="D1348" s="33" t="str">
        <f>_xlfn.XLOOKUP(TablaSTOCKINV[[#This Row],[SKU]],TablaINVENTARIO[SKU],TablaINVENTARIO[CATEGORIA])</f>
        <v>CONSUMIBLES</v>
      </c>
      <c r="E1348" s="33" t="str">
        <f>_xlfn.XLOOKUP(TablaSTOCKINV[[#This Row],[SKU]],TablaINVENTARIO[SKU],TablaINVENTARIO[SUBCATEGORIA])</f>
        <v>PAPELERIA</v>
      </c>
      <c r="F1348" s="33" t="str">
        <f>_xlfn.XLOOKUP(TablaSTOCKINV[[#This Row],[SKU]],TablaINVENTARIO[SKU],TablaINVENTARIO[ESTADO])</f>
        <v xml:space="preserve">NUEVO </v>
      </c>
      <c r="G1348" s="33" t="str">
        <f>_xlfn.XLOOKUP(TablaSTOCKINV[[#This Row],[SKU]],TablaINVENTARIO[SKU],TablaINVENTARIO[MEDIDA])</f>
        <v xml:space="preserve">UND </v>
      </c>
      <c r="H1348" s="33" t="str">
        <f>_xlfn.XLOOKUP(TablaSTOCKINV[[#This Row],[SKU]],TablaINVENTARIO[SKU],TablaINVENTARIO[SERIAL])</f>
        <v>N/A</v>
      </c>
      <c r="I1348" s="34">
        <f>_xlfn.XLOOKUP(TablaSTOCKINV[[#This Row],[SKU]],TablaINVENTARIO[SKU],TablaINVENTARIO[ALMACEN])</f>
        <v>0</v>
      </c>
      <c r="J1348" s="34" t="str">
        <f>_xlfn.XLOOKUP(TablaSTOCKINV[[#This Row],[SKU]],TablaINVENTARIO[SKU],TablaINVENTARIO[UBICACION])</f>
        <v>1B</v>
      </c>
      <c r="K1348" s="34" t="str">
        <f>_xlfn.XLOOKUP(TablaSTOCKINV[[#This Row],[SKU]],TablaINVENTARIO[SKU],TablaINVENTARIO[DPTO RESPONSABLE])</f>
        <v xml:space="preserve">CONSUMO GENERAL </v>
      </c>
      <c r="L1348" s="53">
        <f>_xlfn.XLOOKUP(TablaSTOCKINV[[#This Row],[SKU]],TablaINVENTARIO[SKU],TablaINVENTARIO[RANGO MIN])</f>
        <v>0</v>
      </c>
      <c r="M1348" s="34" cm="1">
        <f t="array" ref="M1348">_xlfn.IFS(TablaSTOCKINV[[#This Row],[CANT. TOTAL]]&lt;=0,1,TablaSTOCKINV[[#This Row],[CANT. TOTAL]]&lt;=TablaSTOCKINV[[#This Row],[MIN]],2,TablaSTOCKINV[[#This Row],[CANT. TOTAL]]&gt;TablaSTOCKINV[[#This Row],[MIN]],3)</f>
        <v>3</v>
      </c>
      <c r="N1348" s="34">
        <f>TablaSTOCKINV[[#This Row],[ENTRADAS]]-TablaSTOCKINV[[#This Row],[SALIDAS]]</f>
        <v>2</v>
      </c>
      <c r="O1348" s="35">
        <f>SUMIFS(TablaENTRADA[CANT],TablaENTRADA[SKU],TablaSTOCKINV[[#This Row],[SKU]])</f>
        <v>2</v>
      </c>
      <c r="P1348" s="35">
        <f>SUMIFS(TablaSALIDA[CANT],TablaSALIDA[SKU],TablaSTOCKINV[[#This Row],[SKU]])</f>
        <v>0</v>
      </c>
      <c r="Q1348" s="34">
        <f>_xlfn.XLOOKUP(TablaSTOCKINV[[#This Row],[SKU]],TablaINVENTARIO[SKU],TablaINVENTARIO[PRECIO])</f>
        <v>0</v>
      </c>
      <c r="R1348" s="34">
        <f>TablaSTOCKINV[[#This Row],[P.UNITARIO]]*TablaSTOCKINV[[#This Row],[CANT. TOTAL]]</f>
        <v>0</v>
      </c>
      <c r="S1348" s="44">
        <f>_xlfn.XLOOKUP(TablaSTOCKINV[[#This Row],[SKU]],TablaINVENTARIO[SKU],TablaINVENTARIO[FECHA INGRESO])</f>
        <v>46023</v>
      </c>
      <c r="T1348" s="44">
        <f>_xlfn.XLOOKUP(TablaSTOCKINV[[#This Row],[SKU]],TablaENTRADA[SKU],TablaENTRADA[FECHA],,0,-1)</f>
        <v>46023</v>
      </c>
      <c r="U1348" s="46" t="str">
        <f>IFERROR((_xlfn.XLOOKUP(TablaSTOCKINV[[#This Row],[SKU]],TablaSALIDA[SKU],TablaSALIDA[FECHA],,0,-1))," " )</f>
        <v xml:space="preserve"> </v>
      </c>
    </row>
    <row r="1349" spans="1:21" x14ac:dyDescent="0.3">
      <c r="A1349" s="27" t="s">
        <v>207</v>
      </c>
      <c r="B1349" s="32" t="str">
        <f>_xlfn.XLOOKUP(TablaSTOCKINV[[#This Row],[SKU]],TablaINVENTARIO[SKU],TablaINVENTARIO[DESCRIPCION])</f>
        <v xml:space="preserve"> SACAPUNTAS CON DEPOSITO</v>
      </c>
      <c r="C1349" s="32" t="str">
        <f>_xlfn.XLOOKUP(TablaSTOCKINV[[#This Row],[SKU]],TablaINVENTARIO[SKU],TablaINVENTARIO[MARCA])</f>
        <v>N/A</v>
      </c>
      <c r="D1349" s="33" t="str">
        <f>_xlfn.XLOOKUP(TablaSTOCKINV[[#This Row],[SKU]],TablaINVENTARIO[SKU],TablaINVENTARIO[CATEGORIA])</f>
        <v>CONSUMIBLES</v>
      </c>
      <c r="E1349" s="33" t="str">
        <f>_xlfn.XLOOKUP(TablaSTOCKINV[[#This Row],[SKU]],TablaINVENTARIO[SKU],TablaINVENTARIO[SUBCATEGORIA])</f>
        <v>PAPELERIA</v>
      </c>
      <c r="F1349" s="33" t="str">
        <f>_xlfn.XLOOKUP(TablaSTOCKINV[[#This Row],[SKU]],TablaINVENTARIO[SKU],TablaINVENTARIO[ESTADO])</f>
        <v xml:space="preserve">NUEVO </v>
      </c>
      <c r="G1349" s="33" t="str">
        <f>_xlfn.XLOOKUP(TablaSTOCKINV[[#This Row],[SKU]],TablaINVENTARIO[SKU],TablaINVENTARIO[MEDIDA])</f>
        <v xml:space="preserve">UND </v>
      </c>
      <c r="H1349" s="33" t="str">
        <f>_xlfn.XLOOKUP(TablaSTOCKINV[[#This Row],[SKU]],TablaINVENTARIO[SKU],TablaINVENTARIO[SERIAL])</f>
        <v>N/A</v>
      </c>
      <c r="I1349" s="34">
        <f>_xlfn.XLOOKUP(TablaSTOCKINV[[#This Row],[SKU]],TablaINVENTARIO[SKU],TablaINVENTARIO[ALMACEN])</f>
        <v>0</v>
      </c>
      <c r="J1349" s="34" t="str">
        <f>_xlfn.XLOOKUP(TablaSTOCKINV[[#This Row],[SKU]],TablaINVENTARIO[SKU],TablaINVENTARIO[UBICACION])</f>
        <v>1B</v>
      </c>
      <c r="K1349" s="34" t="str">
        <f>_xlfn.XLOOKUP(TablaSTOCKINV[[#This Row],[SKU]],TablaINVENTARIO[SKU],TablaINVENTARIO[DPTO RESPONSABLE])</f>
        <v xml:space="preserve">CONSUMO GENERAL </v>
      </c>
      <c r="L1349" s="53">
        <f>_xlfn.XLOOKUP(TablaSTOCKINV[[#This Row],[SKU]],TablaINVENTARIO[SKU],TablaINVENTARIO[RANGO MIN])</f>
        <v>0</v>
      </c>
      <c r="M1349" s="34" cm="1">
        <f t="array" ref="M1349">_xlfn.IFS(TablaSTOCKINV[[#This Row],[CANT. TOTAL]]&lt;=0,1,TablaSTOCKINV[[#This Row],[CANT. TOTAL]]&lt;=TablaSTOCKINV[[#This Row],[MIN]],2,TablaSTOCKINV[[#This Row],[CANT. TOTAL]]&gt;TablaSTOCKINV[[#This Row],[MIN]],3)</f>
        <v>3</v>
      </c>
      <c r="N1349" s="34">
        <f>TablaSTOCKINV[[#This Row],[ENTRADAS]]-TablaSTOCKINV[[#This Row],[SALIDAS]]</f>
        <v>1</v>
      </c>
      <c r="O1349" s="35">
        <f>SUMIFS(TablaENTRADA[CANT],TablaENTRADA[SKU],TablaSTOCKINV[[#This Row],[SKU]])</f>
        <v>1</v>
      </c>
      <c r="P1349" s="35">
        <f>SUMIFS(TablaSALIDA[CANT],TablaSALIDA[SKU],TablaSTOCKINV[[#This Row],[SKU]])</f>
        <v>0</v>
      </c>
      <c r="Q1349" s="34">
        <f>_xlfn.XLOOKUP(TablaSTOCKINV[[#This Row],[SKU]],TablaINVENTARIO[SKU],TablaINVENTARIO[PRECIO])</f>
        <v>0</v>
      </c>
      <c r="R1349" s="34">
        <f>TablaSTOCKINV[[#This Row],[P.UNITARIO]]*TablaSTOCKINV[[#This Row],[CANT. TOTAL]]</f>
        <v>0</v>
      </c>
      <c r="S1349" s="44">
        <f>_xlfn.XLOOKUP(TablaSTOCKINV[[#This Row],[SKU]],TablaINVENTARIO[SKU],TablaINVENTARIO[FECHA INGRESO])</f>
        <v>46023</v>
      </c>
      <c r="T1349" s="44">
        <f>_xlfn.XLOOKUP(TablaSTOCKINV[[#This Row],[SKU]],TablaENTRADA[SKU],TablaENTRADA[FECHA],,0,-1)</f>
        <v>46023</v>
      </c>
      <c r="U1349" s="46" t="str">
        <f>IFERROR((_xlfn.XLOOKUP(TablaSTOCKINV[[#This Row],[SKU]],TablaSALIDA[SKU],TablaSALIDA[FECHA],,0,-1))," " )</f>
        <v xml:space="preserve"> </v>
      </c>
    </row>
    <row r="1350" spans="1:21" x14ac:dyDescent="0.3">
      <c r="A1350" s="27" t="s">
        <v>208</v>
      </c>
      <c r="B1350" s="32" t="str">
        <f>_xlfn.XLOOKUP(TablaSTOCKINV[[#This Row],[SKU]],TablaINVENTARIO[SKU],TablaINVENTARIO[DESCRIPCION])</f>
        <v>PEGA EN BARRA</v>
      </c>
      <c r="C1350" s="32" t="str">
        <f>_xlfn.XLOOKUP(TablaSTOCKINV[[#This Row],[SKU]],TablaINVENTARIO[SKU],TablaINVENTARIO[MARCA])</f>
        <v>CORES</v>
      </c>
      <c r="D1350" s="33" t="str">
        <f>_xlfn.XLOOKUP(TablaSTOCKINV[[#This Row],[SKU]],TablaINVENTARIO[SKU],TablaINVENTARIO[CATEGORIA])</f>
        <v>CONSUMIBLES</v>
      </c>
      <c r="E1350" s="33" t="str">
        <f>_xlfn.XLOOKUP(TablaSTOCKINV[[#This Row],[SKU]],TablaINVENTARIO[SKU],TablaINVENTARIO[SUBCATEGORIA])</f>
        <v>PAPELERIA</v>
      </c>
      <c r="F1350" s="33" t="str">
        <f>_xlfn.XLOOKUP(TablaSTOCKINV[[#This Row],[SKU]],TablaINVENTARIO[SKU],TablaINVENTARIO[ESTADO])</f>
        <v xml:space="preserve">NUEVO </v>
      </c>
      <c r="G1350" s="33" t="str">
        <f>_xlfn.XLOOKUP(TablaSTOCKINV[[#This Row],[SKU]],TablaINVENTARIO[SKU],TablaINVENTARIO[MEDIDA])</f>
        <v xml:space="preserve">UND </v>
      </c>
      <c r="H1350" s="33" t="str">
        <f>_xlfn.XLOOKUP(TablaSTOCKINV[[#This Row],[SKU]],TablaINVENTARIO[SKU],TablaINVENTARIO[SERIAL])</f>
        <v>N/A</v>
      </c>
      <c r="I1350" s="34">
        <f>_xlfn.XLOOKUP(TablaSTOCKINV[[#This Row],[SKU]],TablaINVENTARIO[SKU],TablaINVENTARIO[ALMACEN])</f>
        <v>0</v>
      </c>
      <c r="J1350" s="34" t="str">
        <f>_xlfn.XLOOKUP(TablaSTOCKINV[[#This Row],[SKU]],TablaINVENTARIO[SKU],TablaINVENTARIO[UBICACION])</f>
        <v>1B</v>
      </c>
      <c r="K1350" s="34" t="str">
        <f>_xlfn.XLOOKUP(TablaSTOCKINV[[#This Row],[SKU]],TablaINVENTARIO[SKU],TablaINVENTARIO[DPTO RESPONSABLE])</f>
        <v xml:space="preserve">CONSUMO GENERAL </v>
      </c>
      <c r="L1350" s="53">
        <f>_xlfn.XLOOKUP(TablaSTOCKINV[[#This Row],[SKU]],TablaINVENTARIO[SKU],TablaINVENTARIO[RANGO MIN])</f>
        <v>0</v>
      </c>
      <c r="M1350" s="34" cm="1">
        <f t="array" ref="M1350">_xlfn.IFS(TablaSTOCKINV[[#This Row],[CANT. TOTAL]]&lt;=0,1,TablaSTOCKINV[[#This Row],[CANT. TOTAL]]&lt;=TablaSTOCKINV[[#This Row],[MIN]],2,TablaSTOCKINV[[#This Row],[CANT. TOTAL]]&gt;TablaSTOCKINV[[#This Row],[MIN]],3)</f>
        <v>3</v>
      </c>
      <c r="N1350" s="34">
        <f>TablaSTOCKINV[[#This Row],[ENTRADAS]]-TablaSTOCKINV[[#This Row],[SALIDAS]]</f>
        <v>2</v>
      </c>
      <c r="O1350" s="35">
        <f>SUMIFS(TablaENTRADA[CANT],TablaENTRADA[SKU],TablaSTOCKINV[[#This Row],[SKU]])</f>
        <v>2</v>
      </c>
      <c r="P1350" s="35">
        <f>SUMIFS(TablaSALIDA[CANT],TablaSALIDA[SKU],TablaSTOCKINV[[#This Row],[SKU]])</f>
        <v>0</v>
      </c>
      <c r="Q1350" s="34">
        <f>_xlfn.XLOOKUP(TablaSTOCKINV[[#This Row],[SKU]],TablaINVENTARIO[SKU],TablaINVENTARIO[PRECIO])</f>
        <v>0</v>
      </c>
      <c r="R1350" s="34">
        <f>TablaSTOCKINV[[#This Row],[P.UNITARIO]]*TablaSTOCKINV[[#This Row],[CANT. TOTAL]]</f>
        <v>0</v>
      </c>
      <c r="S1350" s="44">
        <f>_xlfn.XLOOKUP(TablaSTOCKINV[[#This Row],[SKU]],TablaINVENTARIO[SKU],TablaINVENTARIO[FECHA INGRESO])</f>
        <v>46023</v>
      </c>
      <c r="T1350" s="44">
        <f>_xlfn.XLOOKUP(TablaSTOCKINV[[#This Row],[SKU]],TablaENTRADA[SKU],TablaENTRADA[FECHA],,0,-1)</f>
        <v>46023</v>
      </c>
      <c r="U1350" s="46" t="str">
        <f>IFERROR((_xlfn.XLOOKUP(TablaSTOCKINV[[#This Row],[SKU]],TablaSALIDA[SKU],TablaSALIDA[FECHA],,0,-1))," " )</f>
        <v xml:space="preserve"> </v>
      </c>
    </row>
    <row r="1351" spans="1:21" x14ac:dyDescent="0.3">
      <c r="A1351" s="27" t="s">
        <v>211</v>
      </c>
      <c r="B1351" s="32" t="str">
        <f>_xlfn.XLOOKUP(TablaSTOCKINV[[#This Row],[SKU]],TablaINVENTARIO[SKU],TablaINVENTARIO[DESCRIPCION])</f>
        <v>LAMINA DE PLASTIUFICAR 80X110 MM</v>
      </c>
      <c r="C1351" s="32" t="str">
        <f>_xlfn.XLOOKUP(TablaSTOCKINV[[#This Row],[SKU]],TablaINVENTARIO[SKU],TablaINVENTARIO[MARCA])</f>
        <v xml:space="preserve">POINTER </v>
      </c>
      <c r="D1351" s="33" t="str">
        <f>_xlfn.XLOOKUP(TablaSTOCKINV[[#This Row],[SKU]],TablaINVENTARIO[SKU],TablaINVENTARIO[CATEGORIA])</f>
        <v>CONSUMIBLES</v>
      </c>
      <c r="E1351" s="33" t="str">
        <f>_xlfn.XLOOKUP(TablaSTOCKINV[[#This Row],[SKU]],TablaINVENTARIO[SKU],TablaINVENTARIO[SUBCATEGORIA])</f>
        <v>PAPELERIA</v>
      </c>
      <c r="F1351" s="33" t="str">
        <f>_xlfn.XLOOKUP(TablaSTOCKINV[[#This Row],[SKU]],TablaINVENTARIO[SKU],TablaINVENTARIO[ESTADO])</f>
        <v xml:space="preserve">NUEVO </v>
      </c>
      <c r="G1351" s="33" t="str">
        <f>_xlfn.XLOOKUP(TablaSTOCKINV[[#This Row],[SKU]],TablaINVENTARIO[SKU],TablaINVENTARIO[MEDIDA])</f>
        <v xml:space="preserve">UND </v>
      </c>
      <c r="H1351" s="33" t="str">
        <f>_xlfn.XLOOKUP(TablaSTOCKINV[[#This Row],[SKU]],TablaINVENTARIO[SKU],TablaINVENTARIO[SERIAL])</f>
        <v>N/A</v>
      </c>
      <c r="I1351" s="34">
        <f>_xlfn.XLOOKUP(TablaSTOCKINV[[#This Row],[SKU]],TablaINVENTARIO[SKU],TablaINVENTARIO[ALMACEN])</f>
        <v>0</v>
      </c>
      <c r="J1351" s="34" t="str">
        <f>_xlfn.XLOOKUP(TablaSTOCKINV[[#This Row],[SKU]],TablaINVENTARIO[SKU],TablaINVENTARIO[UBICACION])</f>
        <v>1B</v>
      </c>
      <c r="K1351" s="34" t="str">
        <f>_xlfn.XLOOKUP(TablaSTOCKINV[[#This Row],[SKU]],TablaINVENTARIO[SKU],TablaINVENTARIO[DPTO RESPONSABLE])</f>
        <v xml:space="preserve">CONSUMO GENERAL </v>
      </c>
      <c r="L1351" s="53">
        <f>_xlfn.XLOOKUP(TablaSTOCKINV[[#This Row],[SKU]],TablaINVENTARIO[SKU],TablaINVENTARIO[RANGO MIN])</f>
        <v>0</v>
      </c>
      <c r="M1351" s="34" cm="1">
        <f t="array" ref="M1351">_xlfn.IFS(TablaSTOCKINV[[#This Row],[CANT. TOTAL]]&lt;=0,1,TablaSTOCKINV[[#This Row],[CANT. TOTAL]]&lt;=TablaSTOCKINV[[#This Row],[MIN]],2,TablaSTOCKINV[[#This Row],[CANT. TOTAL]]&gt;TablaSTOCKINV[[#This Row],[MIN]],3)</f>
        <v>3</v>
      </c>
      <c r="N1351" s="34">
        <f>TablaSTOCKINV[[#This Row],[ENTRADAS]]-TablaSTOCKINV[[#This Row],[SALIDAS]]</f>
        <v>94</v>
      </c>
      <c r="O1351" s="35">
        <f>SUMIFS(TablaENTRADA[CANT],TablaENTRADA[SKU],TablaSTOCKINV[[#This Row],[SKU]])</f>
        <v>94</v>
      </c>
      <c r="P1351" s="35">
        <f>SUMIFS(TablaSALIDA[CANT],TablaSALIDA[SKU],TablaSTOCKINV[[#This Row],[SKU]])</f>
        <v>0</v>
      </c>
      <c r="Q1351" s="34">
        <f>_xlfn.XLOOKUP(TablaSTOCKINV[[#This Row],[SKU]],TablaINVENTARIO[SKU],TablaINVENTARIO[PRECIO])</f>
        <v>0</v>
      </c>
      <c r="R1351" s="34">
        <f>TablaSTOCKINV[[#This Row],[P.UNITARIO]]*TablaSTOCKINV[[#This Row],[CANT. TOTAL]]</f>
        <v>0</v>
      </c>
      <c r="S1351" s="44">
        <f>_xlfn.XLOOKUP(TablaSTOCKINV[[#This Row],[SKU]],TablaINVENTARIO[SKU],TablaINVENTARIO[FECHA INGRESO])</f>
        <v>46023</v>
      </c>
      <c r="T1351" s="44">
        <f>_xlfn.XLOOKUP(TablaSTOCKINV[[#This Row],[SKU]],TablaENTRADA[SKU],TablaENTRADA[FECHA],,0,-1)</f>
        <v>46023</v>
      </c>
      <c r="U1351" s="46" t="str">
        <f>IFERROR((_xlfn.XLOOKUP(TablaSTOCKINV[[#This Row],[SKU]],TablaSALIDA[SKU],TablaSALIDA[FECHA],,0,-1))," " )</f>
        <v xml:space="preserve"> </v>
      </c>
    </row>
    <row r="1352" spans="1:21" x14ac:dyDescent="0.3">
      <c r="A1352" s="27" t="s">
        <v>213</v>
      </c>
      <c r="B1352" s="32" t="str">
        <f>_xlfn.XLOOKUP(TablaSTOCKINV[[#This Row],[SKU]],TablaINVENTARIO[SKU],TablaINVENTARIO[DESCRIPCION])</f>
        <v>CLIP DE COLORES 50 MM</v>
      </c>
      <c r="C1352" s="32" t="str">
        <f>_xlfn.XLOOKUP(TablaSTOCKINV[[#This Row],[SKU]],TablaINVENTARIO[SKU],TablaINVENTARIO[MARCA])</f>
        <v>WEIBO</v>
      </c>
      <c r="D1352" s="33" t="str">
        <f>_xlfn.XLOOKUP(TablaSTOCKINV[[#This Row],[SKU]],TablaINVENTARIO[SKU],TablaINVENTARIO[CATEGORIA])</f>
        <v>CONSUMIBLES</v>
      </c>
      <c r="E1352" s="33" t="str">
        <f>_xlfn.XLOOKUP(TablaSTOCKINV[[#This Row],[SKU]],TablaINVENTARIO[SKU],TablaINVENTARIO[SUBCATEGORIA])</f>
        <v>PAPELERIA</v>
      </c>
      <c r="F1352" s="33" t="str">
        <f>_xlfn.XLOOKUP(TablaSTOCKINV[[#This Row],[SKU]],TablaINVENTARIO[SKU],TablaINVENTARIO[ESTADO])</f>
        <v xml:space="preserve">NUEVO </v>
      </c>
      <c r="G1352" s="33" t="str">
        <f>_xlfn.XLOOKUP(TablaSTOCKINV[[#This Row],[SKU]],TablaINVENTARIO[SKU],TablaINVENTARIO[MEDIDA])</f>
        <v xml:space="preserve">UND </v>
      </c>
      <c r="H1352" s="33" t="str">
        <f>_xlfn.XLOOKUP(TablaSTOCKINV[[#This Row],[SKU]],TablaINVENTARIO[SKU],TablaINVENTARIO[SERIAL])</f>
        <v>N/A</v>
      </c>
      <c r="I1352" s="34">
        <f>_xlfn.XLOOKUP(TablaSTOCKINV[[#This Row],[SKU]],TablaINVENTARIO[SKU],TablaINVENTARIO[ALMACEN])</f>
        <v>0</v>
      </c>
      <c r="J1352" s="34" t="str">
        <f>_xlfn.XLOOKUP(TablaSTOCKINV[[#This Row],[SKU]],TablaINVENTARIO[SKU],TablaINVENTARIO[UBICACION])</f>
        <v>1B</v>
      </c>
      <c r="K1352" s="34" t="str">
        <f>_xlfn.XLOOKUP(TablaSTOCKINV[[#This Row],[SKU]],TablaINVENTARIO[SKU],TablaINVENTARIO[DPTO RESPONSABLE])</f>
        <v xml:space="preserve">CONSUMO GENERAL </v>
      </c>
      <c r="L1352" s="53">
        <f>_xlfn.XLOOKUP(TablaSTOCKINV[[#This Row],[SKU]],TablaINVENTARIO[SKU],TablaINVENTARIO[RANGO MIN])</f>
        <v>0</v>
      </c>
      <c r="M1352" s="34" cm="1">
        <f t="array" ref="M1352">_xlfn.IFS(TablaSTOCKINV[[#This Row],[CANT. TOTAL]]&lt;=0,1,TablaSTOCKINV[[#This Row],[CANT. TOTAL]]&lt;=TablaSTOCKINV[[#This Row],[MIN]],2,TablaSTOCKINV[[#This Row],[CANT. TOTAL]]&gt;TablaSTOCKINV[[#This Row],[MIN]],3)</f>
        <v>3</v>
      </c>
      <c r="N1352" s="34">
        <f>TablaSTOCKINV[[#This Row],[ENTRADAS]]-TablaSTOCKINV[[#This Row],[SALIDAS]]</f>
        <v>270</v>
      </c>
      <c r="O1352" s="35">
        <f>SUMIFS(TablaENTRADA[CANT],TablaENTRADA[SKU],TablaSTOCKINV[[#This Row],[SKU]])</f>
        <v>270</v>
      </c>
      <c r="P1352" s="35">
        <f>SUMIFS(TablaSALIDA[CANT],TablaSALIDA[SKU],TablaSTOCKINV[[#This Row],[SKU]])</f>
        <v>0</v>
      </c>
      <c r="Q1352" s="34">
        <f>_xlfn.XLOOKUP(TablaSTOCKINV[[#This Row],[SKU]],TablaINVENTARIO[SKU],TablaINVENTARIO[PRECIO])</f>
        <v>0</v>
      </c>
      <c r="R1352" s="34">
        <f>TablaSTOCKINV[[#This Row],[P.UNITARIO]]*TablaSTOCKINV[[#This Row],[CANT. TOTAL]]</f>
        <v>0</v>
      </c>
      <c r="S1352" s="44">
        <f>_xlfn.XLOOKUP(TablaSTOCKINV[[#This Row],[SKU]],TablaINVENTARIO[SKU],TablaINVENTARIO[FECHA INGRESO])</f>
        <v>46023</v>
      </c>
      <c r="T1352" s="44">
        <f>_xlfn.XLOOKUP(TablaSTOCKINV[[#This Row],[SKU]],TablaENTRADA[SKU],TablaENTRADA[FECHA],,0,-1)</f>
        <v>46023</v>
      </c>
      <c r="U1352" s="46" t="str">
        <f>IFERROR((_xlfn.XLOOKUP(TablaSTOCKINV[[#This Row],[SKU]],TablaSALIDA[SKU],TablaSALIDA[FECHA],,0,-1))," " )</f>
        <v xml:space="preserve"> </v>
      </c>
    </row>
    <row r="1353" spans="1:21" x14ac:dyDescent="0.3">
      <c r="A1353" s="27" t="s">
        <v>215</v>
      </c>
      <c r="B1353" s="32" t="str">
        <f>_xlfn.XLOOKUP(TablaSTOCKINV[[#This Row],[SKU]],TablaINVENTARIO[SKU],TablaINVENTARIO[DESCRIPCION])</f>
        <v>CLIP DE COLORES 33 MM (120PCS)</v>
      </c>
      <c r="C1353" s="32" t="str">
        <f>_xlfn.XLOOKUP(TablaSTOCKINV[[#This Row],[SKU]],TablaINVENTARIO[SKU],TablaINVENTARIO[MARCA])</f>
        <v>WEIBO</v>
      </c>
      <c r="D1353" s="33" t="str">
        <f>_xlfn.XLOOKUP(TablaSTOCKINV[[#This Row],[SKU]],TablaINVENTARIO[SKU],TablaINVENTARIO[CATEGORIA])</f>
        <v>CONSUMIBLES</v>
      </c>
      <c r="E1353" s="33" t="str">
        <f>_xlfn.XLOOKUP(TablaSTOCKINV[[#This Row],[SKU]],TablaINVENTARIO[SKU],TablaINVENTARIO[SUBCATEGORIA])</f>
        <v>PAPELERIA</v>
      </c>
      <c r="F1353" s="33" t="str">
        <f>_xlfn.XLOOKUP(TablaSTOCKINV[[#This Row],[SKU]],TablaINVENTARIO[SKU],TablaINVENTARIO[ESTADO])</f>
        <v xml:space="preserve">NUEVO </v>
      </c>
      <c r="G1353" s="33" t="str">
        <f>_xlfn.XLOOKUP(TablaSTOCKINV[[#This Row],[SKU]],TablaINVENTARIO[SKU],TablaINVENTARIO[MEDIDA])</f>
        <v>CAJA</v>
      </c>
      <c r="H1353" s="33" t="str">
        <f>_xlfn.XLOOKUP(TablaSTOCKINV[[#This Row],[SKU]],TablaINVENTARIO[SKU],TablaINVENTARIO[SERIAL])</f>
        <v>N/A</v>
      </c>
      <c r="I1353" s="34">
        <f>_xlfn.XLOOKUP(TablaSTOCKINV[[#This Row],[SKU]],TablaINVENTARIO[SKU],TablaINVENTARIO[ALMACEN])</f>
        <v>0</v>
      </c>
      <c r="J1353" s="34" t="str">
        <f>_xlfn.XLOOKUP(TablaSTOCKINV[[#This Row],[SKU]],TablaINVENTARIO[SKU],TablaINVENTARIO[UBICACION])</f>
        <v>1B</v>
      </c>
      <c r="K1353" s="34" t="str">
        <f>_xlfn.XLOOKUP(TablaSTOCKINV[[#This Row],[SKU]],TablaINVENTARIO[SKU],TablaINVENTARIO[DPTO RESPONSABLE])</f>
        <v xml:space="preserve">CONSUMO GENERAL </v>
      </c>
      <c r="L1353" s="53">
        <f>_xlfn.XLOOKUP(TablaSTOCKINV[[#This Row],[SKU]],TablaINVENTARIO[SKU],TablaINVENTARIO[RANGO MIN])</f>
        <v>0</v>
      </c>
      <c r="M1353" s="34" cm="1">
        <f t="array" ref="M1353">_xlfn.IFS(TablaSTOCKINV[[#This Row],[CANT. TOTAL]]&lt;=0,1,TablaSTOCKINV[[#This Row],[CANT. TOTAL]]&lt;=TablaSTOCKINV[[#This Row],[MIN]],2,TablaSTOCKINV[[#This Row],[CANT. TOTAL]]&gt;TablaSTOCKINV[[#This Row],[MIN]],3)</f>
        <v>3</v>
      </c>
      <c r="N1353" s="34">
        <f>TablaSTOCKINV[[#This Row],[ENTRADAS]]-TablaSTOCKINV[[#This Row],[SALIDAS]]</f>
        <v>6</v>
      </c>
      <c r="O1353" s="35">
        <f>SUMIFS(TablaENTRADA[CANT],TablaENTRADA[SKU],TablaSTOCKINV[[#This Row],[SKU]])</f>
        <v>6</v>
      </c>
      <c r="P1353" s="35">
        <f>SUMIFS(TablaSALIDA[CANT],TablaSALIDA[SKU],TablaSTOCKINV[[#This Row],[SKU]])</f>
        <v>0</v>
      </c>
      <c r="Q1353" s="34">
        <f>_xlfn.XLOOKUP(TablaSTOCKINV[[#This Row],[SKU]],TablaINVENTARIO[SKU],TablaINVENTARIO[PRECIO])</f>
        <v>0</v>
      </c>
      <c r="R1353" s="34">
        <f>TablaSTOCKINV[[#This Row],[P.UNITARIO]]*TablaSTOCKINV[[#This Row],[CANT. TOTAL]]</f>
        <v>0</v>
      </c>
      <c r="S1353" s="44">
        <f>_xlfn.XLOOKUP(TablaSTOCKINV[[#This Row],[SKU]],TablaINVENTARIO[SKU],TablaINVENTARIO[FECHA INGRESO])</f>
        <v>46023</v>
      </c>
      <c r="T1353" s="44">
        <f>_xlfn.XLOOKUP(TablaSTOCKINV[[#This Row],[SKU]],TablaENTRADA[SKU],TablaENTRADA[FECHA],,0,-1)</f>
        <v>46023</v>
      </c>
      <c r="U1353" s="46" t="str">
        <f>IFERROR((_xlfn.XLOOKUP(TablaSTOCKINV[[#This Row],[SKU]],TablaSALIDA[SKU],TablaSALIDA[FECHA],,0,-1))," " )</f>
        <v xml:space="preserve"> </v>
      </c>
    </row>
    <row r="1354" spans="1:21" x14ac:dyDescent="0.3">
      <c r="A1354" s="27" t="s">
        <v>218</v>
      </c>
      <c r="B1354" s="32" t="str">
        <f>_xlfn.XLOOKUP(TablaSTOCKINV[[#This Row],[SKU]],TablaINVENTARIO[SKU],TablaINVENTARIO[DESCRIPCION])</f>
        <v>CLIP DE COLORES 33 MM (100PCS)</v>
      </c>
      <c r="C1354" s="32" t="str">
        <f>_xlfn.XLOOKUP(TablaSTOCKINV[[#This Row],[SKU]],TablaINVENTARIO[SKU],TablaINVENTARIO[MARCA])</f>
        <v>WEIBO</v>
      </c>
      <c r="D1354" s="33" t="str">
        <f>_xlfn.XLOOKUP(TablaSTOCKINV[[#This Row],[SKU]],TablaINVENTARIO[SKU],TablaINVENTARIO[CATEGORIA])</f>
        <v>CONSUMIBLES</v>
      </c>
      <c r="E1354" s="33" t="str">
        <f>_xlfn.XLOOKUP(TablaSTOCKINV[[#This Row],[SKU]],TablaINVENTARIO[SKU],TablaINVENTARIO[SUBCATEGORIA])</f>
        <v>PAPELERIA</v>
      </c>
      <c r="F1354" s="33" t="str">
        <f>_xlfn.XLOOKUP(TablaSTOCKINV[[#This Row],[SKU]],TablaINVENTARIO[SKU],TablaINVENTARIO[ESTADO])</f>
        <v xml:space="preserve">NUEVO </v>
      </c>
      <c r="G1354" s="33" t="str">
        <f>_xlfn.XLOOKUP(TablaSTOCKINV[[#This Row],[SKU]],TablaINVENTARIO[SKU],TablaINVENTARIO[MEDIDA])</f>
        <v>CAJA</v>
      </c>
      <c r="H1354" s="33" t="str">
        <f>_xlfn.XLOOKUP(TablaSTOCKINV[[#This Row],[SKU]],TablaINVENTARIO[SKU],TablaINVENTARIO[SERIAL])</f>
        <v>N/A</v>
      </c>
      <c r="I1354" s="34">
        <f>_xlfn.XLOOKUP(TablaSTOCKINV[[#This Row],[SKU]],TablaINVENTARIO[SKU],TablaINVENTARIO[ALMACEN])</f>
        <v>0</v>
      </c>
      <c r="J1354" s="34" t="str">
        <f>_xlfn.XLOOKUP(TablaSTOCKINV[[#This Row],[SKU]],TablaINVENTARIO[SKU],TablaINVENTARIO[UBICACION])</f>
        <v>1B</v>
      </c>
      <c r="K1354" s="34" t="str">
        <f>_xlfn.XLOOKUP(TablaSTOCKINV[[#This Row],[SKU]],TablaINVENTARIO[SKU],TablaINVENTARIO[DPTO RESPONSABLE])</f>
        <v xml:space="preserve">CONSUMO GENERAL </v>
      </c>
      <c r="L1354" s="53">
        <f>_xlfn.XLOOKUP(TablaSTOCKINV[[#This Row],[SKU]],TablaINVENTARIO[SKU],TablaINVENTARIO[RANGO MIN])</f>
        <v>0</v>
      </c>
      <c r="M1354" s="34" cm="1">
        <f t="array" ref="M1354">_xlfn.IFS(TablaSTOCKINV[[#This Row],[CANT. TOTAL]]&lt;=0,1,TablaSTOCKINV[[#This Row],[CANT. TOTAL]]&lt;=TablaSTOCKINV[[#This Row],[MIN]],2,TablaSTOCKINV[[#This Row],[CANT. TOTAL]]&gt;TablaSTOCKINV[[#This Row],[MIN]],3)</f>
        <v>3</v>
      </c>
      <c r="N1354" s="34">
        <f>TablaSTOCKINV[[#This Row],[ENTRADAS]]-TablaSTOCKINV[[#This Row],[SALIDAS]]</f>
        <v>3</v>
      </c>
      <c r="O1354" s="35">
        <f>SUMIFS(TablaENTRADA[CANT],TablaENTRADA[SKU],TablaSTOCKINV[[#This Row],[SKU]])</f>
        <v>3</v>
      </c>
      <c r="P1354" s="35">
        <f>SUMIFS(TablaSALIDA[CANT],TablaSALIDA[SKU],TablaSTOCKINV[[#This Row],[SKU]])</f>
        <v>0</v>
      </c>
      <c r="Q1354" s="34">
        <f>_xlfn.XLOOKUP(TablaSTOCKINV[[#This Row],[SKU]],TablaINVENTARIO[SKU],TablaINVENTARIO[PRECIO])</f>
        <v>0</v>
      </c>
      <c r="R1354" s="34">
        <f>TablaSTOCKINV[[#This Row],[P.UNITARIO]]*TablaSTOCKINV[[#This Row],[CANT. TOTAL]]</f>
        <v>0</v>
      </c>
      <c r="S1354" s="44">
        <f>_xlfn.XLOOKUP(TablaSTOCKINV[[#This Row],[SKU]],TablaINVENTARIO[SKU],TablaINVENTARIO[FECHA INGRESO])</f>
        <v>46023</v>
      </c>
      <c r="T1354" s="44">
        <f>_xlfn.XLOOKUP(TablaSTOCKINV[[#This Row],[SKU]],TablaENTRADA[SKU],TablaENTRADA[FECHA],,0,-1)</f>
        <v>46023</v>
      </c>
      <c r="U1354" s="46" t="str">
        <f>IFERROR((_xlfn.XLOOKUP(TablaSTOCKINV[[#This Row],[SKU]],TablaSALIDA[SKU],TablaSALIDA[FECHA],,0,-1))," " )</f>
        <v xml:space="preserve"> </v>
      </c>
    </row>
    <row r="1355" spans="1:21" x14ac:dyDescent="0.3">
      <c r="A1355" s="27" t="s">
        <v>220</v>
      </c>
      <c r="B1355" s="32" t="str">
        <f>_xlfn.XLOOKUP(TablaSTOCKINV[[#This Row],[SKU]],TablaINVENTARIO[SKU],TablaINVENTARIO[DESCRIPCION])</f>
        <v xml:space="preserve">CINTA AHDESIBA </v>
      </c>
      <c r="C1355" s="32" t="str">
        <f>_xlfn.XLOOKUP(TablaSTOCKINV[[#This Row],[SKU]],TablaINVENTARIO[SKU],TablaINVENTARIO[MARCA])</f>
        <v>N/A</v>
      </c>
      <c r="D1355" s="33" t="str">
        <f>_xlfn.XLOOKUP(TablaSTOCKINV[[#This Row],[SKU]],TablaINVENTARIO[SKU],TablaINVENTARIO[CATEGORIA])</f>
        <v>CONSUMIBLES</v>
      </c>
      <c r="E1355" s="33" t="str">
        <f>_xlfn.XLOOKUP(TablaSTOCKINV[[#This Row],[SKU]],TablaINVENTARIO[SKU],TablaINVENTARIO[SUBCATEGORIA])</f>
        <v>PAPELERIA</v>
      </c>
      <c r="F1355" s="33" t="str">
        <f>_xlfn.XLOOKUP(TablaSTOCKINV[[#This Row],[SKU]],TablaINVENTARIO[SKU],TablaINVENTARIO[ESTADO])</f>
        <v xml:space="preserve">NUEVO </v>
      </c>
      <c r="G1355" s="33" t="str">
        <f>_xlfn.XLOOKUP(TablaSTOCKINV[[#This Row],[SKU]],TablaINVENTARIO[SKU],TablaINVENTARIO[MEDIDA])</f>
        <v xml:space="preserve">UND </v>
      </c>
      <c r="H1355" s="33" t="str">
        <f>_xlfn.XLOOKUP(TablaSTOCKINV[[#This Row],[SKU]],TablaINVENTARIO[SKU],TablaINVENTARIO[SERIAL])</f>
        <v>N/A</v>
      </c>
      <c r="I1355" s="34">
        <f>_xlfn.XLOOKUP(TablaSTOCKINV[[#This Row],[SKU]],TablaINVENTARIO[SKU],TablaINVENTARIO[ALMACEN])</f>
        <v>0</v>
      </c>
      <c r="J1355" s="34" t="str">
        <f>_xlfn.XLOOKUP(TablaSTOCKINV[[#This Row],[SKU]],TablaINVENTARIO[SKU],TablaINVENTARIO[UBICACION])</f>
        <v>1B</v>
      </c>
      <c r="K1355" s="34" t="str">
        <f>_xlfn.XLOOKUP(TablaSTOCKINV[[#This Row],[SKU]],TablaINVENTARIO[SKU],TablaINVENTARIO[DPTO RESPONSABLE])</f>
        <v xml:space="preserve">CONSUMO GENERAL </v>
      </c>
      <c r="L1355" s="53">
        <f>_xlfn.XLOOKUP(TablaSTOCKINV[[#This Row],[SKU]],TablaINVENTARIO[SKU],TablaINVENTARIO[RANGO MIN])</f>
        <v>0</v>
      </c>
      <c r="M1355" s="34" cm="1">
        <f t="array" ref="M1355">_xlfn.IFS(TablaSTOCKINV[[#This Row],[CANT. TOTAL]]&lt;=0,1,TablaSTOCKINV[[#This Row],[CANT. TOTAL]]&lt;=TablaSTOCKINV[[#This Row],[MIN]],2,TablaSTOCKINV[[#This Row],[CANT. TOTAL]]&gt;TablaSTOCKINV[[#This Row],[MIN]],3)</f>
        <v>3</v>
      </c>
      <c r="N1355" s="34">
        <f>TablaSTOCKINV[[#This Row],[ENTRADAS]]-TablaSTOCKINV[[#This Row],[SALIDAS]]</f>
        <v>19</v>
      </c>
      <c r="O1355" s="35">
        <f>SUMIFS(TablaENTRADA[CANT],TablaENTRADA[SKU],TablaSTOCKINV[[#This Row],[SKU]])</f>
        <v>19</v>
      </c>
      <c r="P1355" s="35">
        <f>SUMIFS(TablaSALIDA[CANT],TablaSALIDA[SKU],TablaSTOCKINV[[#This Row],[SKU]])</f>
        <v>0</v>
      </c>
      <c r="Q1355" s="34">
        <f>_xlfn.XLOOKUP(TablaSTOCKINV[[#This Row],[SKU]],TablaINVENTARIO[SKU],TablaINVENTARIO[PRECIO])</f>
        <v>0</v>
      </c>
      <c r="R1355" s="34">
        <f>TablaSTOCKINV[[#This Row],[P.UNITARIO]]*TablaSTOCKINV[[#This Row],[CANT. TOTAL]]</f>
        <v>0</v>
      </c>
      <c r="S1355" s="44">
        <f>_xlfn.XLOOKUP(TablaSTOCKINV[[#This Row],[SKU]],TablaINVENTARIO[SKU],TablaINVENTARIO[FECHA INGRESO])</f>
        <v>46023</v>
      </c>
      <c r="T1355" s="44">
        <f>_xlfn.XLOOKUP(TablaSTOCKINV[[#This Row],[SKU]],TablaENTRADA[SKU],TablaENTRADA[FECHA],,0,-1)</f>
        <v>46023</v>
      </c>
      <c r="U1355" s="46" t="str">
        <f>IFERROR((_xlfn.XLOOKUP(TablaSTOCKINV[[#This Row],[SKU]],TablaSALIDA[SKU],TablaSALIDA[FECHA],,0,-1))," " )</f>
        <v xml:space="preserve"> </v>
      </c>
    </row>
    <row r="1356" spans="1:21" x14ac:dyDescent="0.3">
      <c r="A1356" s="27" t="s">
        <v>222</v>
      </c>
      <c r="B1356" s="32" t="str">
        <f>_xlfn.XLOOKUP(TablaSTOCKINV[[#This Row],[SKU]],TablaINVENTARIO[SKU],TablaINVENTARIO[DESCRIPCION])</f>
        <v xml:space="preserve">GANCHO PARA CARPETA </v>
      </c>
      <c r="C1356" s="32" t="str">
        <f>_xlfn.XLOOKUP(TablaSTOCKINV[[#This Row],[SKU]],TablaINVENTARIO[SKU],TablaINVENTARIO[MARCA])</f>
        <v>N/A</v>
      </c>
      <c r="D1356" s="33" t="str">
        <f>_xlfn.XLOOKUP(TablaSTOCKINV[[#This Row],[SKU]],TablaINVENTARIO[SKU],TablaINVENTARIO[CATEGORIA])</f>
        <v>CONSUMIBLES</v>
      </c>
      <c r="E1356" s="33" t="str">
        <f>_xlfn.XLOOKUP(TablaSTOCKINV[[#This Row],[SKU]],TablaINVENTARIO[SKU],TablaINVENTARIO[SUBCATEGORIA])</f>
        <v>PAPELERIA</v>
      </c>
      <c r="F1356" s="33" t="str">
        <f>_xlfn.XLOOKUP(TablaSTOCKINV[[#This Row],[SKU]],TablaINVENTARIO[SKU],TablaINVENTARIO[ESTADO])</f>
        <v xml:space="preserve">NUEVO </v>
      </c>
      <c r="G1356" s="33" t="str">
        <f>_xlfn.XLOOKUP(TablaSTOCKINV[[#This Row],[SKU]],TablaINVENTARIO[SKU],TablaINVENTARIO[MEDIDA])</f>
        <v xml:space="preserve">UND </v>
      </c>
      <c r="H1356" s="33" t="str">
        <f>_xlfn.XLOOKUP(TablaSTOCKINV[[#This Row],[SKU]],TablaINVENTARIO[SKU],TablaINVENTARIO[SERIAL])</f>
        <v>N/A</v>
      </c>
      <c r="I1356" s="34">
        <f>_xlfn.XLOOKUP(TablaSTOCKINV[[#This Row],[SKU]],TablaINVENTARIO[SKU],TablaINVENTARIO[ALMACEN])</f>
        <v>0</v>
      </c>
      <c r="J1356" s="34" t="str">
        <f>_xlfn.XLOOKUP(TablaSTOCKINV[[#This Row],[SKU]],TablaINVENTARIO[SKU],TablaINVENTARIO[UBICACION])</f>
        <v>1B</v>
      </c>
      <c r="K1356" s="34" t="str">
        <f>_xlfn.XLOOKUP(TablaSTOCKINV[[#This Row],[SKU]],TablaINVENTARIO[SKU],TablaINVENTARIO[DPTO RESPONSABLE])</f>
        <v xml:space="preserve">CONSUMO GENERAL </v>
      </c>
      <c r="L1356" s="53">
        <f>_xlfn.XLOOKUP(TablaSTOCKINV[[#This Row],[SKU]],TablaINVENTARIO[SKU],TablaINVENTARIO[RANGO MIN])</f>
        <v>0</v>
      </c>
      <c r="M1356" s="34" cm="1">
        <f t="array" ref="M1356">_xlfn.IFS(TablaSTOCKINV[[#This Row],[CANT. TOTAL]]&lt;=0,1,TablaSTOCKINV[[#This Row],[CANT. TOTAL]]&lt;=TablaSTOCKINV[[#This Row],[MIN]],2,TablaSTOCKINV[[#This Row],[CANT. TOTAL]]&gt;TablaSTOCKINV[[#This Row],[MIN]],3)</f>
        <v>3</v>
      </c>
      <c r="N1356" s="34">
        <f>TablaSTOCKINV[[#This Row],[ENTRADAS]]-TablaSTOCKINV[[#This Row],[SALIDAS]]</f>
        <v>139</v>
      </c>
      <c r="O1356" s="35">
        <f>SUMIFS(TablaENTRADA[CANT],TablaENTRADA[SKU],TablaSTOCKINV[[#This Row],[SKU]])</f>
        <v>139</v>
      </c>
      <c r="P1356" s="35">
        <f>SUMIFS(TablaSALIDA[CANT],TablaSALIDA[SKU],TablaSTOCKINV[[#This Row],[SKU]])</f>
        <v>0</v>
      </c>
      <c r="Q1356" s="34">
        <f>_xlfn.XLOOKUP(TablaSTOCKINV[[#This Row],[SKU]],TablaINVENTARIO[SKU],TablaINVENTARIO[PRECIO])</f>
        <v>0</v>
      </c>
      <c r="R1356" s="34">
        <f>TablaSTOCKINV[[#This Row],[P.UNITARIO]]*TablaSTOCKINV[[#This Row],[CANT. TOTAL]]</f>
        <v>0</v>
      </c>
      <c r="S1356" s="44">
        <f>_xlfn.XLOOKUP(TablaSTOCKINV[[#This Row],[SKU]],TablaINVENTARIO[SKU],TablaINVENTARIO[FECHA INGRESO])</f>
        <v>46023</v>
      </c>
      <c r="T1356" s="44">
        <f>_xlfn.XLOOKUP(TablaSTOCKINV[[#This Row],[SKU]],TablaENTRADA[SKU],TablaENTRADA[FECHA],,0,-1)</f>
        <v>46023</v>
      </c>
      <c r="U1356" s="46" t="str">
        <f>IFERROR((_xlfn.XLOOKUP(TablaSTOCKINV[[#This Row],[SKU]],TablaSALIDA[SKU],TablaSALIDA[FECHA],,0,-1))," " )</f>
        <v xml:space="preserve"> </v>
      </c>
    </row>
    <row r="1357" spans="1:21" x14ac:dyDescent="0.3">
      <c r="A1357" s="27" t="s">
        <v>224</v>
      </c>
      <c r="B1357" s="32" t="str">
        <f>_xlfn.XLOOKUP(TablaSTOCKINV[[#This Row],[SKU]],TablaINVENTARIO[SKU],TablaINVENTARIO[DESCRIPCION])</f>
        <v xml:space="preserve">BARRA SUJETADORA PLASTICA PARA CARPETA TRANSPARENTE </v>
      </c>
      <c r="C1357" s="32" t="str">
        <f>_xlfn.XLOOKUP(TablaSTOCKINV[[#This Row],[SKU]],TablaINVENTARIO[SKU],TablaINVENTARIO[MARCA])</f>
        <v>N/A</v>
      </c>
      <c r="D1357" s="33" t="str">
        <f>_xlfn.XLOOKUP(TablaSTOCKINV[[#This Row],[SKU]],TablaINVENTARIO[SKU],TablaINVENTARIO[CATEGORIA])</f>
        <v>CONSUMIBLES</v>
      </c>
      <c r="E1357" s="33" t="str">
        <f>_xlfn.XLOOKUP(TablaSTOCKINV[[#This Row],[SKU]],TablaINVENTARIO[SKU],TablaINVENTARIO[SUBCATEGORIA])</f>
        <v>PAPELERIA</v>
      </c>
      <c r="F1357" s="33" t="str">
        <f>_xlfn.XLOOKUP(TablaSTOCKINV[[#This Row],[SKU]],TablaINVENTARIO[SKU],TablaINVENTARIO[ESTADO])</f>
        <v xml:space="preserve">NUEVO </v>
      </c>
      <c r="G1357" s="33" t="str">
        <f>_xlfn.XLOOKUP(TablaSTOCKINV[[#This Row],[SKU]],TablaINVENTARIO[SKU],TablaINVENTARIO[MEDIDA])</f>
        <v xml:space="preserve">UND </v>
      </c>
      <c r="H1357" s="33" t="str">
        <f>_xlfn.XLOOKUP(TablaSTOCKINV[[#This Row],[SKU]],TablaINVENTARIO[SKU],TablaINVENTARIO[SERIAL])</f>
        <v>N/A</v>
      </c>
      <c r="I1357" s="34">
        <f>_xlfn.XLOOKUP(TablaSTOCKINV[[#This Row],[SKU]],TablaINVENTARIO[SKU],TablaINVENTARIO[ALMACEN])</f>
        <v>0</v>
      </c>
      <c r="J1357" s="34" t="str">
        <f>_xlfn.XLOOKUP(TablaSTOCKINV[[#This Row],[SKU]],TablaINVENTARIO[SKU],TablaINVENTARIO[UBICACION])</f>
        <v>1B</v>
      </c>
      <c r="K1357" s="34" t="str">
        <f>_xlfn.XLOOKUP(TablaSTOCKINV[[#This Row],[SKU]],TablaINVENTARIO[SKU],TablaINVENTARIO[DPTO RESPONSABLE])</f>
        <v xml:space="preserve">CONSUMO GENERAL </v>
      </c>
      <c r="L1357" s="53">
        <f>_xlfn.XLOOKUP(TablaSTOCKINV[[#This Row],[SKU]],TablaINVENTARIO[SKU],TablaINVENTARIO[RANGO MIN])</f>
        <v>0</v>
      </c>
      <c r="M1357" s="34" cm="1">
        <f t="array" ref="M1357">_xlfn.IFS(TablaSTOCKINV[[#This Row],[CANT. TOTAL]]&lt;=0,1,TablaSTOCKINV[[#This Row],[CANT. TOTAL]]&lt;=TablaSTOCKINV[[#This Row],[MIN]],2,TablaSTOCKINV[[#This Row],[CANT. TOTAL]]&gt;TablaSTOCKINV[[#This Row],[MIN]],3)</f>
        <v>3</v>
      </c>
      <c r="N1357" s="34">
        <f>TablaSTOCKINV[[#This Row],[ENTRADAS]]-TablaSTOCKINV[[#This Row],[SALIDAS]]</f>
        <v>34</v>
      </c>
      <c r="O1357" s="35">
        <f>SUMIFS(TablaENTRADA[CANT],TablaENTRADA[SKU],TablaSTOCKINV[[#This Row],[SKU]])</f>
        <v>34</v>
      </c>
      <c r="P1357" s="35">
        <f>SUMIFS(TablaSALIDA[CANT],TablaSALIDA[SKU],TablaSTOCKINV[[#This Row],[SKU]])</f>
        <v>0</v>
      </c>
      <c r="Q1357" s="34">
        <f>_xlfn.XLOOKUP(TablaSTOCKINV[[#This Row],[SKU]],TablaINVENTARIO[SKU],TablaINVENTARIO[PRECIO])</f>
        <v>0</v>
      </c>
      <c r="R1357" s="34">
        <f>TablaSTOCKINV[[#This Row],[P.UNITARIO]]*TablaSTOCKINV[[#This Row],[CANT. TOTAL]]</f>
        <v>0</v>
      </c>
      <c r="S1357" s="44">
        <f>_xlfn.XLOOKUP(TablaSTOCKINV[[#This Row],[SKU]],TablaINVENTARIO[SKU],TablaINVENTARIO[FECHA INGRESO])</f>
        <v>46023</v>
      </c>
      <c r="T1357" s="44">
        <f>_xlfn.XLOOKUP(TablaSTOCKINV[[#This Row],[SKU]],TablaENTRADA[SKU],TablaENTRADA[FECHA],,0,-1)</f>
        <v>46023</v>
      </c>
      <c r="U1357" s="46" t="str">
        <f>IFERROR((_xlfn.XLOOKUP(TablaSTOCKINV[[#This Row],[SKU]],TablaSALIDA[SKU],TablaSALIDA[FECHA],,0,-1))," " )</f>
        <v xml:space="preserve"> </v>
      </c>
    </row>
    <row r="1358" spans="1:21" x14ac:dyDescent="0.3">
      <c r="A1358" s="27" t="s">
        <v>226</v>
      </c>
      <c r="B1358" s="32" t="str">
        <f>_xlfn.XLOOKUP(TablaSTOCKINV[[#This Row],[SKU]],TablaINVENTARIO[SKU],TablaINVENTARIO[DESCRIPCION])</f>
        <v xml:space="preserve">CINTA DE EMBALAJE GRANDE </v>
      </c>
      <c r="C1358" s="32" t="str">
        <f>_xlfn.XLOOKUP(TablaSTOCKINV[[#This Row],[SKU]],TablaINVENTARIO[SKU],TablaINVENTARIO[MARCA])</f>
        <v>N/A</v>
      </c>
      <c r="D1358" s="33" t="str">
        <f>_xlfn.XLOOKUP(TablaSTOCKINV[[#This Row],[SKU]],TablaINVENTARIO[SKU],TablaINVENTARIO[CATEGORIA])</f>
        <v>CONSUMIBLES</v>
      </c>
      <c r="E1358" s="33" t="str">
        <f>_xlfn.XLOOKUP(TablaSTOCKINV[[#This Row],[SKU]],TablaINVENTARIO[SKU],TablaINVENTARIO[SUBCATEGORIA])</f>
        <v>PAPELERIA</v>
      </c>
      <c r="F1358" s="33" t="str">
        <f>_xlfn.XLOOKUP(TablaSTOCKINV[[#This Row],[SKU]],TablaINVENTARIO[SKU],TablaINVENTARIO[ESTADO])</f>
        <v xml:space="preserve">NUEVO </v>
      </c>
      <c r="G1358" s="33" t="str">
        <f>_xlfn.XLOOKUP(TablaSTOCKINV[[#This Row],[SKU]],TablaINVENTARIO[SKU],TablaINVENTARIO[MEDIDA])</f>
        <v>ROLLO</v>
      </c>
      <c r="H1358" s="33" t="str">
        <f>_xlfn.XLOOKUP(TablaSTOCKINV[[#This Row],[SKU]],TablaINVENTARIO[SKU],TablaINVENTARIO[SERIAL])</f>
        <v>N/A</v>
      </c>
      <c r="I1358" s="34">
        <f>_xlfn.XLOOKUP(TablaSTOCKINV[[#This Row],[SKU]],TablaINVENTARIO[SKU],TablaINVENTARIO[ALMACEN])</f>
        <v>0</v>
      </c>
      <c r="J1358" s="34" t="str">
        <f>_xlfn.XLOOKUP(TablaSTOCKINV[[#This Row],[SKU]],TablaINVENTARIO[SKU],TablaINVENTARIO[UBICACION])</f>
        <v>1B</v>
      </c>
      <c r="K1358" s="34" t="str">
        <f>_xlfn.XLOOKUP(TablaSTOCKINV[[#This Row],[SKU]],TablaINVENTARIO[SKU],TablaINVENTARIO[DPTO RESPONSABLE])</f>
        <v xml:space="preserve">CONSUMO GENERAL </v>
      </c>
      <c r="L1358" s="53">
        <f>_xlfn.XLOOKUP(TablaSTOCKINV[[#This Row],[SKU]],TablaINVENTARIO[SKU],TablaINVENTARIO[RANGO MIN])</f>
        <v>0</v>
      </c>
      <c r="M1358" s="34" cm="1">
        <f t="array" ref="M1358">_xlfn.IFS(TablaSTOCKINV[[#This Row],[CANT. TOTAL]]&lt;=0,1,TablaSTOCKINV[[#This Row],[CANT. TOTAL]]&lt;=TablaSTOCKINV[[#This Row],[MIN]],2,TablaSTOCKINV[[#This Row],[CANT. TOTAL]]&gt;TablaSTOCKINV[[#This Row],[MIN]],3)</f>
        <v>3</v>
      </c>
      <c r="N1358" s="34">
        <f>TablaSTOCKINV[[#This Row],[ENTRADAS]]-TablaSTOCKINV[[#This Row],[SALIDAS]]</f>
        <v>5</v>
      </c>
      <c r="O1358" s="35">
        <f>SUMIFS(TablaENTRADA[CANT],TablaENTRADA[SKU],TablaSTOCKINV[[#This Row],[SKU]])</f>
        <v>5</v>
      </c>
      <c r="P1358" s="35">
        <f>SUMIFS(TablaSALIDA[CANT],TablaSALIDA[SKU],TablaSTOCKINV[[#This Row],[SKU]])</f>
        <v>0</v>
      </c>
      <c r="Q1358" s="34">
        <f>_xlfn.XLOOKUP(TablaSTOCKINV[[#This Row],[SKU]],TablaINVENTARIO[SKU],TablaINVENTARIO[PRECIO])</f>
        <v>0</v>
      </c>
      <c r="R1358" s="34">
        <f>TablaSTOCKINV[[#This Row],[P.UNITARIO]]*TablaSTOCKINV[[#This Row],[CANT. TOTAL]]</f>
        <v>0</v>
      </c>
      <c r="S1358" s="44">
        <f>_xlfn.XLOOKUP(TablaSTOCKINV[[#This Row],[SKU]],TablaINVENTARIO[SKU],TablaINVENTARIO[FECHA INGRESO])</f>
        <v>46023</v>
      </c>
      <c r="T1358" s="44">
        <f>_xlfn.XLOOKUP(TablaSTOCKINV[[#This Row],[SKU]],TablaENTRADA[SKU],TablaENTRADA[FECHA],,0,-1)</f>
        <v>46023</v>
      </c>
      <c r="U1358" s="46" t="str">
        <f>IFERROR((_xlfn.XLOOKUP(TablaSTOCKINV[[#This Row],[SKU]],TablaSALIDA[SKU],TablaSALIDA[FECHA],,0,-1))," " )</f>
        <v xml:space="preserve"> </v>
      </c>
    </row>
    <row r="1359" spans="1:21" x14ac:dyDescent="0.3">
      <c r="A1359" s="27" t="s">
        <v>229</v>
      </c>
      <c r="B1359" s="32" t="str">
        <f>_xlfn.XLOOKUP(TablaSTOCKINV[[#This Row],[SKU]],TablaINVENTARIO[SKU],TablaINVENTARIO[DESCRIPCION])</f>
        <v>LIBRO DE ACTAS (100 PAG)</v>
      </c>
      <c r="C1359" s="32" t="str">
        <f>_xlfn.XLOOKUP(TablaSTOCKINV[[#This Row],[SKU]],TablaINVENTARIO[SKU],TablaINVENTARIO[MARCA])</f>
        <v>N/A</v>
      </c>
      <c r="D1359" s="33" t="str">
        <f>_xlfn.XLOOKUP(TablaSTOCKINV[[#This Row],[SKU]],TablaINVENTARIO[SKU],TablaINVENTARIO[CATEGORIA])</f>
        <v>CONSUMIBLES</v>
      </c>
      <c r="E1359" s="33" t="str">
        <f>_xlfn.XLOOKUP(TablaSTOCKINV[[#This Row],[SKU]],TablaINVENTARIO[SKU],TablaINVENTARIO[SUBCATEGORIA])</f>
        <v>PAPELERIA</v>
      </c>
      <c r="F1359" s="33" t="str">
        <f>_xlfn.XLOOKUP(TablaSTOCKINV[[#This Row],[SKU]],TablaINVENTARIO[SKU],TablaINVENTARIO[ESTADO])</f>
        <v xml:space="preserve">NUEVO </v>
      </c>
      <c r="G1359" s="33" t="str">
        <f>_xlfn.XLOOKUP(TablaSTOCKINV[[#This Row],[SKU]],TablaINVENTARIO[SKU],TablaINVENTARIO[MEDIDA])</f>
        <v xml:space="preserve">UND </v>
      </c>
      <c r="H1359" s="33" t="str">
        <f>_xlfn.XLOOKUP(TablaSTOCKINV[[#This Row],[SKU]],TablaINVENTARIO[SKU],TablaINVENTARIO[SERIAL])</f>
        <v>N/A</v>
      </c>
      <c r="I1359" s="34">
        <f>_xlfn.XLOOKUP(TablaSTOCKINV[[#This Row],[SKU]],TablaINVENTARIO[SKU],TablaINVENTARIO[ALMACEN])</f>
        <v>0</v>
      </c>
      <c r="J1359" s="34" t="str">
        <f>_xlfn.XLOOKUP(TablaSTOCKINV[[#This Row],[SKU]],TablaINVENTARIO[SKU],TablaINVENTARIO[UBICACION])</f>
        <v>1B</v>
      </c>
      <c r="K1359" s="34" t="str">
        <f>_xlfn.XLOOKUP(TablaSTOCKINV[[#This Row],[SKU]],TablaINVENTARIO[SKU],TablaINVENTARIO[DPTO RESPONSABLE])</f>
        <v xml:space="preserve">CONSUMO GENERAL </v>
      </c>
      <c r="L1359" s="53">
        <f>_xlfn.XLOOKUP(TablaSTOCKINV[[#This Row],[SKU]],TablaINVENTARIO[SKU],TablaINVENTARIO[RANGO MIN])</f>
        <v>0</v>
      </c>
      <c r="M1359" s="34" cm="1">
        <f t="array" ref="M1359">_xlfn.IFS(TablaSTOCKINV[[#This Row],[CANT. TOTAL]]&lt;=0,1,TablaSTOCKINV[[#This Row],[CANT. TOTAL]]&lt;=TablaSTOCKINV[[#This Row],[MIN]],2,TablaSTOCKINV[[#This Row],[CANT. TOTAL]]&gt;TablaSTOCKINV[[#This Row],[MIN]],3)</f>
        <v>3</v>
      </c>
      <c r="N1359" s="34">
        <f>TablaSTOCKINV[[#This Row],[ENTRADAS]]-TablaSTOCKINV[[#This Row],[SALIDAS]]</f>
        <v>5</v>
      </c>
      <c r="O1359" s="35">
        <f>SUMIFS(TablaENTRADA[CANT],TablaENTRADA[SKU],TablaSTOCKINV[[#This Row],[SKU]])</f>
        <v>5</v>
      </c>
      <c r="P1359" s="35">
        <f>SUMIFS(TablaSALIDA[CANT],TablaSALIDA[SKU],TablaSTOCKINV[[#This Row],[SKU]])</f>
        <v>0</v>
      </c>
      <c r="Q1359" s="34">
        <f>_xlfn.XLOOKUP(TablaSTOCKINV[[#This Row],[SKU]],TablaINVENTARIO[SKU],TablaINVENTARIO[PRECIO])</f>
        <v>0</v>
      </c>
      <c r="R1359" s="34">
        <f>TablaSTOCKINV[[#This Row],[P.UNITARIO]]*TablaSTOCKINV[[#This Row],[CANT. TOTAL]]</f>
        <v>0</v>
      </c>
      <c r="S1359" s="44">
        <f>_xlfn.XLOOKUP(TablaSTOCKINV[[#This Row],[SKU]],TablaINVENTARIO[SKU],TablaINVENTARIO[FECHA INGRESO])</f>
        <v>46023</v>
      </c>
      <c r="T1359" s="44">
        <f>_xlfn.XLOOKUP(TablaSTOCKINV[[#This Row],[SKU]],TablaENTRADA[SKU],TablaENTRADA[FECHA],,0,-1)</f>
        <v>46023</v>
      </c>
      <c r="U1359" s="46" t="str">
        <f>IFERROR((_xlfn.XLOOKUP(TablaSTOCKINV[[#This Row],[SKU]],TablaSALIDA[SKU],TablaSALIDA[FECHA],,0,-1))," " )</f>
        <v xml:space="preserve"> </v>
      </c>
    </row>
    <row r="1360" spans="1:21" x14ac:dyDescent="0.3">
      <c r="A1360" s="27" t="s">
        <v>231</v>
      </c>
      <c r="B1360" s="32" t="str">
        <f>_xlfn.XLOOKUP(TablaSTOCKINV[[#This Row],[SKU]],TablaINVENTARIO[SKU],TablaINVENTARIO[DESCRIPCION])</f>
        <v>CUADERNO DE UNA LINEA 100 H</v>
      </c>
      <c r="C1360" s="32" t="str">
        <f>_xlfn.XLOOKUP(TablaSTOCKINV[[#This Row],[SKU]],TablaINVENTARIO[SKU],TablaINVENTARIO[MARCA])</f>
        <v xml:space="preserve">FAMA </v>
      </c>
      <c r="D1360" s="33" t="str">
        <f>_xlfn.XLOOKUP(TablaSTOCKINV[[#This Row],[SKU]],TablaINVENTARIO[SKU],TablaINVENTARIO[CATEGORIA])</f>
        <v>CONSUMIBLES</v>
      </c>
      <c r="E1360" s="33" t="str">
        <f>_xlfn.XLOOKUP(TablaSTOCKINV[[#This Row],[SKU]],TablaINVENTARIO[SKU],TablaINVENTARIO[SUBCATEGORIA])</f>
        <v>PAPELERIA</v>
      </c>
      <c r="F1360" s="33" t="str">
        <f>_xlfn.XLOOKUP(TablaSTOCKINV[[#This Row],[SKU]],TablaINVENTARIO[SKU],TablaINVENTARIO[ESTADO])</f>
        <v xml:space="preserve">NUEVO </v>
      </c>
      <c r="G1360" s="33" t="str">
        <f>_xlfn.XLOOKUP(TablaSTOCKINV[[#This Row],[SKU]],TablaINVENTARIO[SKU],TablaINVENTARIO[MEDIDA])</f>
        <v xml:space="preserve">UND </v>
      </c>
      <c r="H1360" s="33" t="str">
        <f>_xlfn.XLOOKUP(TablaSTOCKINV[[#This Row],[SKU]],TablaINVENTARIO[SKU],TablaINVENTARIO[SERIAL])</f>
        <v>N/A</v>
      </c>
      <c r="I1360" s="34">
        <f>_xlfn.XLOOKUP(TablaSTOCKINV[[#This Row],[SKU]],TablaINVENTARIO[SKU],TablaINVENTARIO[ALMACEN])</f>
        <v>0</v>
      </c>
      <c r="J1360" s="34" t="str">
        <f>_xlfn.XLOOKUP(TablaSTOCKINV[[#This Row],[SKU]],TablaINVENTARIO[SKU],TablaINVENTARIO[UBICACION])</f>
        <v>1B</v>
      </c>
      <c r="K1360" s="34" t="str">
        <f>_xlfn.XLOOKUP(TablaSTOCKINV[[#This Row],[SKU]],TablaINVENTARIO[SKU],TablaINVENTARIO[DPTO RESPONSABLE])</f>
        <v xml:space="preserve">CONSUMO GENERAL </v>
      </c>
      <c r="L1360" s="53">
        <f>_xlfn.XLOOKUP(TablaSTOCKINV[[#This Row],[SKU]],TablaINVENTARIO[SKU],TablaINVENTARIO[RANGO MIN])</f>
        <v>0</v>
      </c>
      <c r="M1360" s="34" cm="1">
        <f t="array" ref="M1360">_xlfn.IFS(TablaSTOCKINV[[#This Row],[CANT. TOTAL]]&lt;=0,1,TablaSTOCKINV[[#This Row],[CANT. TOTAL]]&lt;=TablaSTOCKINV[[#This Row],[MIN]],2,TablaSTOCKINV[[#This Row],[CANT. TOTAL]]&gt;TablaSTOCKINV[[#This Row],[MIN]],3)</f>
        <v>3</v>
      </c>
      <c r="N1360" s="34">
        <f>TablaSTOCKINV[[#This Row],[ENTRADAS]]-TablaSTOCKINV[[#This Row],[SALIDAS]]</f>
        <v>3</v>
      </c>
      <c r="O1360" s="35">
        <f>SUMIFS(TablaENTRADA[CANT],TablaENTRADA[SKU],TablaSTOCKINV[[#This Row],[SKU]])</f>
        <v>3</v>
      </c>
      <c r="P1360" s="35">
        <f>SUMIFS(TablaSALIDA[CANT],TablaSALIDA[SKU],TablaSTOCKINV[[#This Row],[SKU]])</f>
        <v>0</v>
      </c>
      <c r="Q1360" s="34">
        <f>_xlfn.XLOOKUP(TablaSTOCKINV[[#This Row],[SKU]],TablaINVENTARIO[SKU],TablaINVENTARIO[PRECIO])</f>
        <v>0</v>
      </c>
      <c r="R1360" s="34">
        <f>TablaSTOCKINV[[#This Row],[P.UNITARIO]]*TablaSTOCKINV[[#This Row],[CANT. TOTAL]]</f>
        <v>0</v>
      </c>
      <c r="S1360" s="44">
        <f>_xlfn.XLOOKUP(TablaSTOCKINV[[#This Row],[SKU]],TablaINVENTARIO[SKU],TablaINVENTARIO[FECHA INGRESO])</f>
        <v>46023</v>
      </c>
      <c r="T1360" s="44">
        <f>_xlfn.XLOOKUP(TablaSTOCKINV[[#This Row],[SKU]],TablaENTRADA[SKU],TablaENTRADA[FECHA],,0,-1)</f>
        <v>46023</v>
      </c>
      <c r="U1360" s="46" t="str">
        <f>IFERROR((_xlfn.XLOOKUP(TablaSTOCKINV[[#This Row],[SKU]],TablaSALIDA[SKU],TablaSALIDA[FECHA],,0,-1))," " )</f>
        <v xml:space="preserve"> </v>
      </c>
    </row>
    <row r="1361" spans="1:21" x14ac:dyDescent="0.3">
      <c r="A1361" s="27" t="s">
        <v>234</v>
      </c>
      <c r="B1361" s="32" t="str">
        <f>_xlfn.XLOOKUP(TablaSTOCKINV[[#This Row],[SKU]],TablaINVENTARIO[SKU],TablaINVENTARIO[DESCRIPCION])</f>
        <v>COLORES (36 UND)</v>
      </c>
      <c r="C1361" s="32" t="str">
        <f>_xlfn.XLOOKUP(TablaSTOCKINV[[#This Row],[SKU]],TablaINVENTARIO[SKU],TablaINVENTARIO[MARCA])</f>
        <v xml:space="preserve">POINTER </v>
      </c>
      <c r="D1361" s="33" t="str">
        <f>_xlfn.XLOOKUP(TablaSTOCKINV[[#This Row],[SKU]],TablaINVENTARIO[SKU],TablaINVENTARIO[CATEGORIA])</f>
        <v>CONSUMIBLES</v>
      </c>
      <c r="E1361" s="33" t="str">
        <f>_xlfn.XLOOKUP(TablaSTOCKINV[[#This Row],[SKU]],TablaINVENTARIO[SKU],TablaINVENTARIO[SUBCATEGORIA])</f>
        <v>PAPELERIA</v>
      </c>
      <c r="F1361" s="33" t="str">
        <f>_xlfn.XLOOKUP(TablaSTOCKINV[[#This Row],[SKU]],TablaINVENTARIO[SKU],TablaINVENTARIO[ESTADO])</f>
        <v xml:space="preserve">NUEVO </v>
      </c>
      <c r="G1361" s="33" t="str">
        <f>_xlfn.XLOOKUP(TablaSTOCKINV[[#This Row],[SKU]],TablaINVENTARIO[SKU],TablaINVENTARIO[MEDIDA])</f>
        <v>CAJA</v>
      </c>
      <c r="H1361" s="33" t="str">
        <f>_xlfn.XLOOKUP(TablaSTOCKINV[[#This Row],[SKU]],TablaINVENTARIO[SKU],TablaINVENTARIO[SERIAL])</f>
        <v>N/A</v>
      </c>
      <c r="I1361" s="34">
        <f>_xlfn.XLOOKUP(TablaSTOCKINV[[#This Row],[SKU]],TablaINVENTARIO[SKU],TablaINVENTARIO[ALMACEN])</f>
        <v>0</v>
      </c>
      <c r="J1361" s="34" t="str">
        <f>_xlfn.XLOOKUP(TablaSTOCKINV[[#This Row],[SKU]],TablaINVENTARIO[SKU],TablaINVENTARIO[UBICACION])</f>
        <v>1B</v>
      </c>
      <c r="K1361" s="34" t="str">
        <f>_xlfn.XLOOKUP(TablaSTOCKINV[[#This Row],[SKU]],TablaINVENTARIO[SKU],TablaINVENTARIO[DPTO RESPONSABLE])</f>
        <v xml:space="preserve">CONSUMO GENERAL </v>
      </c>
      <c r="L1361" s="53">
        <f>_xlfn.XLOOKUP(TablaSTOCKINV[[#This Row],[SKU]],TablaINVENTARIO[SKU],TablaINVENTARIO[RANGO MIN])</f>
        <v>0</v>
      </c>
      <c r="M1361" s="34" cm="1">
        <f t="array" ref="M1361">_xlfn.IFS(TablaSTOCKINV[[#This Row],[CANT. TOTAL]]&lt;=0,1,TablaSTOCKINV[[#This Row],[CANT. TOTAL]]&lt;=TablaSTOCKINV[[#This Row],[MIN]],2,TablaSTOCKINV[[#This Row],[CANT. TOTAL]]&gt;TablaSTOCKINV[[#This Row],[MIN]],3)</f>
        <v>3</v>
      </c>
      <c r="N1361" s="34">
        <f>TablaSTOCKINV[[#This Row],[ENTRADAS]]-TablaSTOCKINV[[#This Row],[SALIDAS]]</f>
        <v>2</v>
      </c>
      <c r="O1361" s="35">
        <f>SUMIFS(TablaENTRADA[CANT],TablaENTRADA[SKU],TablaSTOCKINV[[#This Row],[SKU]])</f>
        <v>2</v>
      </c>
      <c r="P1361" s="35">
        <f>SUMIFS(TablaSALIDA[CANT],TablaSALIDA[SKU],TablaSTOCKINV[[#This Row],[SKU]])</f>
        <v>0</v>
      </c>
      <c r="Q1361" s="34">
        <f>_xlfn.XLOOKUP(TablaSTOCKINV[[#This Row],[SKU]],TablaINVENTARIO[SKU],TablaINVENTARIO[PRECIO])</f>
        <v>0</v>
      </c>
      <c r="R1361" s="34">
        <f>TablaSTOCKINV[[#This Row],[P.UNITARIO]]*TablaSTOCKINV[[#This Row],[CANT. TOTAL]]</f>
        <v>0</v>
      </c>
      <c r="S1361" s="44">
        <f>_xlfn.XLOOKUP(TablaSTOCKINV[[#This Row],[SKU]],TablaINVENTARIO[SKU],TablaINVENTARIO[FECHA INGRESO])</f>
        <v>46023</v>
      </c>
      <c r="T1361" s="44">
        <f>_xlfn.XLOOKUP(TablaSTOCKINV[[#This Row],[SKU]],TablaENTRADA[SKU],TablaENTRADA[FECHA],,0,-1)</f>
        <v>46023</v>
      </c>
      <c r="U1361" s="46" t="str">
        <f>IFERROR((_xlfn.XLOOKUP(TablaSTOCKINV[[#This Row],[SKU]],TablaSALIDA[SKU],TablaSALIDA[FECHA],,0,-1))," " )</f>
        <v xml:space="preserve"> </v>
      </c>
    </row>
    <row r="1362" spans="1:21" x14ac:dyDescent="0.3">
      <c r="A1362" s="27" t="s">
        <v>236</v>
      </c>
      <c r="B1362" s="32" t="str">
        <f>_xlfn.XLOOKUP(TablaSTOCKINV[[#This Row],[SKU]],TablaINVENTARIO[SKU],TablaINVENTARIO[DESCRIPCION])</f>
        <v xml:space="preserve">CHINCHETA </v>
      </c>
      <c r="C1362" s="32" t="str">
        <f>_xlfn.XLOOKUP(TablaSTOCKINV[[#This Row],[SKU]],TablaINVENTARIO[SKU],TablaINVENTARIO[MARCA])</f>
        <v>WEIBO</v>
      </c>
      <c r="D1362" s="33" t="str">
        <f>_xlfn.XLOOKUP(TablaSTOCKINV[[#This Row],[SKU]],TablaINVENTARIO[SKU],TablaINVENTARIO[CATEGORIA])</f>
        <v>CONSUMIBLES</v>
      </c>
      <c r="E1362" s="33" t="str">
        <f>_xlfn.XLOOKUP(TablaSTOCKINV[[#This Row],[SKU]],TablaINVENTARIO[SKU],TablaINVENTARIO[SUBCATEGORIA])</f>
        <v>PAPELERIA</v>
      </c>
      <c r="F1362" s="33" t="str">
        <f>_xlfn.XLOOKUP(TablaSTOCKINV[[#This Row],[SKU]],TablaINVENTARIO[SKU],TablaINVENTARIO[ESTADO])</f>
        <v xml:space="preserve">NUEVO </v>
      </c>
      <c r="G1362" s="33" t="str">
        <f>_xlfn.XLOOKUP(TablaSTOCKINV[[#This Row],[SKU]],TablaINVENTARIO[SKU],TablaINVENTARIO[MEDIDA])</f>
        <v xml:space="preserve">UND </v>
      </c>
      <c r="H1362" s="33" t="str">
        <f>_xlfn.XLOOKUP(TablaSTOCKINV[[#This Row],[SKU]],TablaINVENTARIO[SKU],TablaINVENTARIO[SERIAL])</f>
        <v>N/A</v>
      </c>
      <c r="I1362" s="34">
        <f>_xlfn.XLOOKUP(TablaSTOCKINV[[#This Row],[SKU]],TablaINVENTARIO[SKU],TablaINVENTARIO[ALMACEN])</f>
        <v>0</v>
      </c>
      <c r="J1362" s="34" t="str">
        <f>_xlfn.XLOOKUP(TablaSTOCKINV[[#This Row],[SKU]],TablaINVENTARIO[SKU],TablaINVENTARIO[UBICACION])</f>
        <v>1B</v>
      </c>
      <c r="K1362" s="34" t="str">
        <f>_xlfn.XLOOKUP(TablaSTOCKINV[[#This Row],[SKU]],TablaINVENTARIO[SKU],TablaINVENTARIO[DPTO RESPONSABLE])</f>
        <v xml:space="preserve">CONSUMO GENERAL </v>
      </c>
      <c r="L1362" s="53">
        <f>_xlfn.XLOOKUP(TablaSTOCKINV[[#This Row],[SKU]],TablaINVENTARIO[SKU],TablaINVENTARIO[RANGO MIN])</f>
        <v>0</v>
      </c>
      <c r="M1362" s="34" cm="1">
        <f t="array" ref="M1362">_xlfn.IFS(TablaSTOCKINV[[#This Row],[CANT. TOTAL]]&lt;=0,1,TablaSTOCKINV[[#This Row],[CANT. TOTAL]]&lt;=TablaSTOCKINV[[#This Row],[MIN]],2,TablaSTOCKINV[[#This Row],[CANT. TOTAL]]&gt;TablaSTOCKINV[[#This Row],[MIN]],3)</f>
        <v>3</v>
      </c>
      <c r="N1362" s="34">
        <f>TablaSTOCKINV[[#This Row],[ENTRADAS]]-TablaSTOCKINV[[#This Row],[SALIDAS]]</f>
        <v>164</v>
      </c>
      <c r="O1362" s="35">
        <f>SUMIFS(TablaENTRADA[CANT],TablaENTRADA[SKU],TablaSTOCKINV[[#This Row],[SKU]])</f>
        <v>164</v>
      </c>
      <c r="P1362" s="35">
        <f>SUMIFS(TablaSALIDA[CANT],TablaSALIDA[SKU],TablaSTOCKINV[[#This Row],[SKU]])</f>
        <v>0</v>
      </c>
      <c r="Q1362" s="34">
        <f>_xlfn.XLOOKUP(TablaSTOCKINV[[#This Row],[SKU]],TablaINVENTARIO[SKU],TablaINVENTARIO[PRECIO])</f>
        <v>0</v>
      </c>
      <c r="R1362" s="34">
        <f>TablaSTOCKINV[[#This Row],[P.UNITARIO]]*TablaSTOCKINV[[#This Row],[CANT. TOTAL]]</f>
        <v>0</v>
      </c>
      <c r="S1362" s="44">
        <f>_xlfn.XLOOKUP(TablaSTOCKINV[[#This Row],[SKU]],TablaINVENTARIO[SKU],TablaINVENTARIO[FECHA INGRESO])</f>
        <v>46023</v>
      </c>
      <c r="T1362" s="44">
        <f>_xlfn.XLOOKUP(TablaSTOCKINV[[#This Row],[SKU]],TablaENTRADA[SKU],TablaENTRADA[FECHA],,0,-1)</f>
        <v>46023</v>
      </c>
      <c r="U1362" s="46" t="str">
        <f>IFERROR((_xlfn.XLOOKUP(TablaSTOCKINV[[#This Row],[SKU]],TablaSALIDA[SKU],TablaSALIDA[FECHA],,0,-1))," " )</f>
        <v xml:space="preserve"> </v>
      </c>
    </row>
    <row r="1363" spans="1:21" x14ac:dyDescent="0.3">
      <c r="A1363" s="27" t="s">
        <v>238</v>
      </c>
      <c r="B1363" s="32" t="str">
        <f>_xlfn.XLOOKUP(TablaSTOCKINV[[#This Row],[SKU]],TablaINVENTARIO[SKU],TablaINVENTARIO[DESCRIPCION])</f>
        <v>CARPETA MARRON TIPO CARTA</v>
      </c>
      <c r="C1363" s="32" t="str">
        <f>_xlfn.XLOOKUP(TablaSTOCKINV[[#This Row],[SKU]],TablaINVENTARIO[SKU],TablaINVENTARIO[MARCA])</f>
        <v>N/A</v>
      </c>
      <c r="D1363" s="33" t="str">
        <f>_xlfn.XLOOKUP(TablaSTOCKINV[[#This Row],[SKU]],TablaINVENTARIO[SKU],TablaINVENTARIO[CATEGORIA])</f>
        <v>CONSUMIBLES</v>
      </c>
      <c r="E1363" s="33" t="str">
        <f>_xlfn.XLOOKUP(TablaSTOCKINV[[#This Row],[SKU]],TablaINVENTARIO[SKU],TablaINVENTARIO[SUBCATEGORIA])</f>
        <v>PAPELERIA</v>
      </c>
      <c r="F1363" s="33" t="str">
        <f>_xlfn.XLOOKUP(TablaSTOCKINV[[#This Row],[SKU]],TablaINVENTARIO[SKU],TablaINVENTARIO[ESTADO])</f>
        <v xml:space="preserve">NUEVO </v>
      </c>
      <c r="G1363" s="33" t="str">
        <f>_xlfn.XLOOKUP(TablaSTOCKINV[[#This Row],[SKU]],TablaINVENTARIO[SKU],TablaINVENTARIO[MEDIDA])</f>
        <v xml:space="preserve">UND </v>
      </c>
      <c r="H1363" s="33" t="str">
        <f>_xlfn.XLOOKUP(TablaSTOCKINV[[#This Row],[SKU]],TablaINVENTARIO[SKU],TablaINVENTARIO[SERIAL])</f>
        <v>N/A</v>
      </c>
      <c r="I1363" s="34">
        <f>_xlfn.XLOOKUP(TablaSTOCKINV[[#This Row],[SKU]],TablaINVENTARIO[SKU],TablaINVENTARIO[ALMACEN])</f>
        <v>0</v>
      </c>
      <c r="J1363" s="34" t="str">
        <f>_xlfn.XLOOKUP(TablaSTOCKINV[[#This Row],[SKU]],TablaINVENTARIO[SKU],TablaINVENTARIO[UBICACION])</f>
        <v>1C</v>
      </c>
      <c r="K1363" s="34" t="str">
        <f>_xlfn.XLOOKUP(TablaSTOCKINV[[#This Row],[SKU]],TablaINVENTARIO[SKU],TablaINVENTARIO[DPTO RESPONSABLE])</f>
        <v xml:space="preserve">CONSUMO GENERAL </v>
      </c>
      <c r="L1363" s="53">
        <f>_xlfn.XLOOKUP(TablaSTOCKINV[[#This Row],[SKU]],TablaINVENTARIO[SKU],TablaINVENTARIO[RANGO MIN])</f>
        <v>0</v>
      </c>
      <c r="M1363" s="34" cm="1">
        <f t="array" ref="M1363">_xlfn.IFS(TablaSTOCKINV[[#This Row],[CANT. TOTAL]]&lt;=0,1,TablaSTOCKINV[[#This Row],[CANT. TOTAL]]&lt;=TablaSTOCKINV[[#This Row],[MIN]],2,TablaSTOCKINV[[#This Row],[CANT. TOTAL]]&gt;TablaSTOCKINV[[#This Row],[MIN]],3)</f>
        <v>3</v>
      </c>
      <c r="N1363" s="34">
        <f>TablaSTOCKINV[[#This Row],[ENTRADAS]]-TablaSTOCKINV[[#This Row],[SALIDAS]]</f>
        <v>18</v>
      </c>
      <c r="O1363" s="35">
        <f>SUMIFS(TablaENTRADA[CANT],TablaENTRADA[SKU],TablaSTOCKINV[[#This Row],[SKU]])</f>
        <v>18</v>
      </c>
      <c r="P1363" s="35">
        <f>SUMIFS(TablaSALIDA[CANT],TablaSALIDA[SKU],TablaSTOCKINV[[#This Row],[SKU]])</f>
        <v>0</v>
      </c>
      <c r="Q1363" s="34">
        <f>_xlfn.XLOOKUP(TablaSTOCKINV[[#This Row],[SKU]],TablaINVENTARIO[SKU],TablaINVENTARIO[PRECIO])</f>
        <v>0</v>
      </c>
      <c r="R1363" s="34">
        <f>TablaSTOCKINV[[#This Row],[P.UNITARIO]]*TablaSTOCKINV[[#This Row],[CANT. TOTAL]]</f>
        <v>0</v>
      </c>
      <c r="S1363" s="44">
        <f>_xlfn.XLOOKUP(TablaSTOCKINV[[#This Row],[SKU]],TablaINVENTARIO[SKU],TablaINVENTARIO[FECHA INGRESO])</f>
        <v>46023</v>
      </c>
      <c r="T1363" s="44">
        <f>_xlfn.XLOOKUP(TablaSTOCKINV[[#This Row],[SKU]],TablaENTRADA[SKU],TablaENTRADA[FECHA],,0,-1)</f>
        <v>46023</v>
      </c>
      <c r="U1363" s="46" t="str">
        <f>IFERROR((_xlfn.XLOOKUP(TablaSTOCKINV[[#This Row],[SKU]],TablaSALIDA[SKU],TablaSALIDA[FECHA],,0,-1))," " )</f>
        <v xml:space="preserve"> </v>
      </c>
    </row>
    <row r="1364" spans="1:21" x14ac:dyDescent="0.3">
      <c r="A1364" s="27" t="s">
        <v>241</v>
      </c>
      <c r="B1364" s="32" t="str">
        <f>_xlfn.XLOOKUP(TablaSTOCKINV[[#This Row],[SKU]],TablaINVENTARIO[SKU],TablaINVENTARIO[DESCRIPCION])</f>
        <v>PAPEL FOTOGRAFICO</v>
      </c>
      <c r="C1364" s="32" t="str">
        <f>_xlfn.XLOOKUP(TablaSTOCKINV[[#This Row],[SKU]],TablaINVENTARIO[SKU],TablaINVENTARIO[MARCA])</f>
        <v xml:space="preserve">POINTER </v>
      </c>
      <c r="D1364" s="33" t="str">
        <f>_xlfn.XLOOKUP(TablaSTOCKINV[[#This Row],[SKU]],TablaINVENTARIO[SKU],TablaINVENTARIO[CATEGORIA])</f>
        <v>CONSUMIBLES</v>
      </c>
      <c r="E1364" s="33" t="str">
        <f>_xlfn.XLOOKUP(TablaSTOCKINV[[#This Row],[SKU]],TablaINVENTARIO[SKU],TablaINVENTARIO[SUBCATEGORIA])</f>
        <v>PAPELERIA</v>
      </c>
      <c r="F1364" s="33" t="str">
        <f>_xlfn.XLOOKUP(TablaSTOCKINV[[#This Row],[SKU]],TablaINVENTARIO[SKU],TablaINVENTARIO[ESTADO])</f>
        <v xml:space="preserve">NUEVO </v>
      </c>
      <c r="G1364" s="33" t="str">
        <f>_xlfn.XLOOKUP(TablaSTOCKINV[[#This Row],[SKU]],TablaINVENTARIO[SKU],TablaINVENTARIO[MEDIDA])</f>
        <v xml:space="preserve">UND </v>
      </c>
      <c r="H1364" s="33" t="str">
        <f>_xlfn.XLOOKUP(TablaSTOCKINV[[#This Row],[SKU]],TablaINVENTARIO[SKU],TablaINVENTARIO[SERIAL])</f>
        <v>N/A</v>
      </c>
      <c r="I1364" s="34">
        <f>_xlfn.XLOOKUP(TablaSTOCKINV[[#This Row],[SKU]],TablaINVENTARIO[SKU],TablaINVENTARIO[ALMACEN])</f>
        <v>0</v>
      </c>
      <c r="J1364" s="34" t="str">
        <f>_xlfn.XLOOKUP(TablaSTOCKINV[[#This Row],[SKU]],TablaINVENTARIO[SKU],TablaINVENTARIO[UBICACION])</f>
        <v>1C</v>
      </c>
      <c r="K1364" s="34" t="str">
        <f>_xlfn.XLOOKUP(TablaSTOCKINV[[#This Row],[SKU]],TablaINVENTARIO[SKU],TablaINVENTARIO[DPTO RESPONSABLE])</f>
        <v xml:space="preserve">CONSUMO GENERAL </v>
      </c>
      <c r="L1364" s="53">
        <f>_xlfn.XLOOKUP(TablaSTOCKINV[[#This Row],[SKU]],TablaINVENTARIO[SKU],TablaINVENTARIO[RANGO MIN])</f>
        <v>0</v>
      </c>
      <c r="M1364" s="34" cm="1">
        <f t="array" ref="M1364">_xlfn.IFS(TablaSTOCKINV[[#This Row],[CANT. TOTAL]]&lt;=0,1,TablaSTOCKINV[[#This Row],[CANT. TOTAL]]&lt;=TablaSTOCKINV[[#This Row],[MIN]],2,TablaSTOCKINV[[#This Row],[CANT. TOTAL]]&gt;TablaSTOCKINV[[#This Row],[MIN]],3)</f>
        <v>3</v>
      </c>
      <c r="N1364" s="34">
        <f>TablaSTOCKINV[[#This Row],[ENTRADAS]]-TablaSTOCKINV[[#This Row],[SALIDAS]]</f>
        <v>10</v>
      </c>
      <c r="O1364" s="35">
        <f>SUMIFS(TablaENTRADA[CANT],TablaENTRADA[SKU],TablaSTOCKINV[[#This Row],[SKU]])</f>
        <v>10</v>
      </c>
      <c r="P1364" s="35">
        <f>SUMIFS(TablaSALIDA[CANT],TablaSALIDA[SKU],TablaSTOCKINV[[#This Row],[SKU]])</f>
        <v>0</v>
      </c>
      <c r="Q1364" s="34">
        <f>_xlfn.XLOOKUP(TablaSTOCKINV[[#This Row],[SKU]],TablaINVENTARIO[SKU],TablaINVENTARIO[PRECIO])</f>
        <v>0</v>
      </c>
      <c r="R1364" s="34">
        <f>TablaSTOCKINV[[#This Row],[P.UNITARIO]]*TablaSTOCKINV[[#This Row],[CANT. TOTAL]]</f>
        <v>0</v>
      </c>
      <c r="S1364" s="44">
        <f>_xlfn.XLOOKUP(TablaSTOCKINV[[#This Row],[SKU]],TablaINVENTARIO[SKU],TablaINVENTARIO[FECHA INGRESO])</f>
        <v>46023</v>
      </c>
      <c r="T1364" s="44">
        <f>_xlfn.XLOOKUP(TablaSTOCKINV[[#This Row],[SKU]],TablaENTRADA[SKU],TablaENTRADA[FECHA],,0,-1)</f>
        <v>46023</v>
      </c>
      <c r="U1364" s="46" t="str">
        <f>IFERROR((_xlfn.XLOOKUP(TablaSTOCKINV[[#This Row],[SKU]],TablaSALIDA[SKU],TablaSALIDA[FECHA],,0,-1))," " )</f>
        <v xml:space="preserve"> </v>
      </c>
    </row>
    <row r="1365" spans="1:21" x14ac:dyDescent="0.3">
      <c r="A1365" s="27" t="s">
        <v>243</v>
      </c>
      <c r="B1365" s="32" t="str">
        <f>_xlfn.XLOOKUP(TablaSTOCKINV[[#This Row],[SKU]],TablaINVENTARIO[SKU],TablaINVENTARIO[DESCRIPCION])</f>
        <v>PAPEL FOTOGRAFICO ADHESIVO</v>
      </c>
      <c r="C1365" s="32" t="str">
        <f>_xlfn.XLOOKUP(TablaSTOCKINV[[#This Row],[SKU]],TablaINVENTARIO[SKU],TablaINVENTARIO[MARCA])</f>
        <v>CRI SVI</v>
      </c>
      <c r="D1365" s="33" t="str">
        <f>_xlfn.XLOOKUP(TablaSTOCKINV[[#This Row],[SKU]],TablaINVENTARIO[SKU],TablaINVENTARIO[CATEGORIA])</f>
        <v>CONSUMIBLES</v>
      </c>
      <c r="E1365" s="33" t="str">
        <f>_xlfn.XLOOKUP(TablaSTOCKINV[[#This Row],[SKU]],TablaINVENTARIO[SKU],TablaINVENTARIO[SUBCATEGORIA])</f>
        <v>PAPELERIA</v>
      </c>
      <c r="F1365" s="33" t="str">
        <f>_xlfn.XLOOKUP(TablaSTOCKINV[[#This Row],[SKU]],TablaINVENTARIO[SKU],TablaINVENTARIO[ESTADO])</f>
        <v xml:space="preserve">NUEVO </v>
      </c>
      <c r="G1365" s="33" t="str">
        <f>_xlfn.XLOOKUP(TablaSTOCKINV[[#This Row],[SKU]],TablaINVENTARIO[SKU],TablaINVENTARIO[MEDIDA])</f>
        <v xml:space="preserve">UND </v>
      </c>
      <c r="H1365" s="33" t="str">
        <f>_xlfn.XLOOKUP(TablaSTOCKINV[[#This Row],[SKU]],TablaINVENTARIO[SKU],TablaINVENTARIO[SERIAL])</f>
        <v>N/A</v>
      </c>
      <c r="I1365" s="34">
        <f>_xlfn.XLOOKUP(TablaSTOCKINV[[#This Row],[SKU]],TablaINVENTARIO[SKU],TablaINVENTARIO[ALMACEN])</f>
        <v>0</v>
      </c>
      <c r="J1365" s="34" t="str">
        <f>_xlfn.XLOOKUP(TablaSTOCKINV[[#This Row],[SKU]],TablaINVENTARIO[SKU],TablaINVENTARIO[UBICACION])</f>
        <v>1C</v>
      </c>
      <c r="K1365" s="34" t="str">
        <f>_xlfn.XLOOKUP(TablaSTOCKINV[[#This Row],[SKU]],TablaINVENTARIO[SKU],TablaINVENTARIO[DPTO RESPONSABLE])</f>
        <v xml:space="preserve">CONSUMO GENERAL </v>
      </c>
      <c r="L1365" s="53">
        <f>_xlfn.XLOOKUP(TablaSTOCKINV[[#This Row],[SKU]],TablaINVENTARIO[SKU],TablaINVENTARIO[RANGO MIN])</f>
        <v>0</v>
      </c>
      <c r="M1365" s="34" cm="1">
        <f t="array" ref="M1365">_xlfn.IFS(TablaSTOCKINV[[#This Row],[CANT. TOTAL]]&lt;=0,1,TablaSTOCKINV[[#This Row],[CANT. TOTAL]]&lt;=TablaSTOCKINV[[#This Row],[MIN]],2,TablaSTOCKINV[[#This Row],[CANT. TOTAL]]&gt;TablaSTOCKINV[[#This Row],[MIN]],3)</f>
        <v>3</v>
      </c>
      <c r="N1365" s="34">
        <f>TablaSTOCKINV[[#This Row],[ENTRADAS]]-TablaSTOCKINV[[#This Row],[SALIDAS]]</f>
        <v>38</v>
      </c>
      <c r="O1365" s="35">
        <f>SUMIFS(TablaENTRADA[CANT],TablaENTRADA[SKU],TablaSTOCKINV[[#This Row],[SKU]])</f>
        <v>38</v>
      </c>
      <c r="P1365" s="35">
        <f>SUMIFS(TablaSALIDA[CANT],TablaSALIDA[SKU],TablaSTOCKINV[[#This Row],[SKU]])</f>
        <v>0</v>
      </c>
      <c r="Q1365" s="34">
        <f>_xlfn.XLOOKUP(TablaSTOCKINV[[#This Row],[SKU]],TablaINVENTARIO[SKU],TablaINVENTARIO[PRECIO])</f>
        <v>0</v>
      </c>
      <c r="R1365" s="34">
        <f>TablaSTOCKINV[[#This Row],[P.UNITARIO]]*TablaSTOCKINV[[#This Row],[CANT. TOTAL]]</f>
        <v>0</v>
      </c>
      <c r="S1365" s="44">
        <f>_xlfn.XLOOKUP(TablaSTOCKINV[[#This Row],[SKU]],TablaINVENTARIO[SKU],TablaINVENTARIO[FECHA INGRESO])</f>
        <v>46023</v>
      </c>
      <c r="T1365" s="44">
        <f>_xlfn.XLOOKUP(TablaSTOCKINV[[#This Row],[SKU]],TablaENTRADA[SKU],TablaENTRADA[FECHA],,0,-1)</f>
        <v>46023</v>
      </c>
      <c r="U1365" s="46" t="str">
        <f>IFERROR((_xlfn.XLOOKUP(TablaSTOCKINV[[#This Row],[SKU]],TablaSALIDA[SKU],TablaSALIDA[FECHA],,0,-1))," " )</f>
        <v xml:space="preserve"> </v>
      </c>
    </row>
    <row r="1366" spans="1:21" x14ac:dyDescent="0.3">
      <c r="A1366" s="27" t="s">
        <v>246</v>
      </c>
      <c r="B1366" s="32" t="str">
        <f>_xlfn.XLOOKUP(TablaSTOCKINV[[#This Row],[SKU]],TablaINVENTARIO[SKU],TablaINVENTARIO[DESCRIPCION])</f>
        <v xml:space="preserve">PAPEL FOTOGRAFICO </v>
      </c>
      <c r="C1366" s="32" t="str">
        <f>_xlfn.XLOOKUP(TablaSTOCKINV[[#This Row],[SKU]],TablaINVENTARIO[SKU],TablaINVENTARIO[MARCA])</f>
        <v>CORES</v>
      </c>
      <c r="D1366" s="33" t="str">
        <f>_xlfn.XLOOKUP(TablaSTOCKINV[[#This Row],[SKU]],TablaINVENTARIO[SKU],TablaINVENTARIO[CATEGORIA])</f>
        <v>CONSUMIBLES</v>
      </c>
      <c r="E1366" s="33" t="str">
        <f>_xlfn.XLOOKUP(TablaSTOCKINV[[#This Row],[SKU]],TablaINVENTARIO[SKU],TablaINVENTARIO[SUBCATEGORIA])</f>
        <v>PAPELERIA</v>
      </c>
      <c r="F1366" s="33" t="str">
        <f>_xlfn.XLOOKUP(TablaSTOCKINV[[#This Row],[SKU]],TablaINVENTARIO[SKU],TablaINVENTARIO[ESTADO])</f>
        <v xml:space="preserve">NUEVO </v>
      </c>
      <c r="G1366" s="33" t="str">
        <f>_xlfn.XLOOKUP(TablaSTOCKINV[[#This Row],[SKU]],TablaINVENTARIO[SKU],TablaINVENTARIO[MEDIDA])</f>
        <v xml:space="preserve">UND </v>
      </c>
      <c r="H1366" s="33" t="str">
        <f>_xlfn.XLOOKUP(TablaSTOCKINV[[#This Row],[SKU]],TablaINVENTARIO[SKU],TablaINVENTARIO[SERIAL])</f>
        <v>N/A</v>
      </c>
      <c r="I1366" s="34">
        <f>_xlfn.XLOOKUP(TablaSTOCKINV[[#This Row],[SKU]],TablaINVENTARIO[SKU],TablaINVENTARIO[ALMACEN])</f>
        <v>0</v>
      </c>
      <c r="J1366" s="34" t="str">
        <f>_xlfn.XLOOKUP(TablaSTOCKINV[[#This Row],[SKU]],TablaINVENTARIO[SKU],TablaINVENTARIO[UBICACION])</f>
        <v>1C</v>
      </c>
      <c r="K1366" s="34" t="str">
        <f>_xlfn.XLOOKUP(TablaSTOCKINV[[#This Row],[SKU]],TablaINVENTARIO[SKU],TablaINVENTARIO[DPTO RESPONSABLE])</f>
        <v xml:space="preserve">CONSUMO GENERAL </v>
      </c>
      <c r="L1366" s="53">
        <f>_xlfn.XLOOKUP(TablaSTOCKINV[[#This Row],[SKU]],TablaINVENTARIO[SKU],TablaINVENTARIO[RANGO MIN])</f>
        <v>0</v>
      </c>
      <c r="M1366" s="34" cm="1">
        <f t="array" ref="M1366">_xlfn.IFS(TablaSTOCKINV[[#This Row],[CANT. TOTAL]]&lt;=0,1,TablaSTOCKINV[[#This Row],[CANT. TOTAL]]&lt;=TablaSTOCKINV[[#This Row],[MIN]],2,TablaSTOCKINV[[#This Row],[CANT. TOTAL]]&gt;TablaSTOCKINV[[#This Row],[MIN]],3)</f>
        <v>3</v>
      </c>
      <c r="N1366" s="34">
        <f>TablaSTOCKINV[[#This Row],[ENTRADAS]]-TablaSTOCKINV[[#This Row],[SALIDAS]]</f>
        <v>34</v>
      </c>
      <c r="O1366" s="35">
        <f>SUMIFS(TablaENTRADA[CANT],TablaENTRADA[SKU],TablaSTOCKINV[[#This Row],[SKU]])</f>
        <v>34</v>
      </c>
      <c r="P1366" s="35">
        <f>SUMIFS(TablaSALIDA[CANT],TablaSALIDA[SKU],TablaSTOCKINV[[#This Row],[SKU]])</f>
        <v>0</v>
      </c>
      <c r="Q1366" s="34">
        <f>_xlfn.XLOOKUP(TablaSTOCKINV[[#This Row],[SKU]],TablaINVENTARIO[SKU],TablaINVENTARIO[PRECIO])</f>
        <v>0</v>
      </c>
      <c r="R1366" s="34">
        <f>TablaSTOCKINV[[#This Row],[P.UNITARIO]]*TablaSTOCKINV[[#This Row],[CANT. TOTAL]]</f>
        <v>0</v>
      </c>
      <c r="S1366" s="44">
        <f>_xlfn.XLOOKUP(TablaSTOCKINV[[#This Row],[SKU]],TablaINVENTARIO[SKU],TablaINVENTARIO[FECHA INGRESO])</f>
        <v>46023</v>
      </c>
      <c r="T1366" s="44">
        <f>_xlfn.XLOOKUP(TablaSTOCKINV[[#This Row],[SKU]],TablaENTRADA[SKU],TablaENTRADA[FECHA],,0,-1)</f>
        <v>46023</v>
      </c>
      <c r="U1366" s="46" t="str">
        <f>IFERROR((_xlfn.XLOOKUP(TablaSTOCKINV[[#This Row],[SKU]],TablaSALIDA[SKU],TablaSALIDA[FECHA],,0,-1))," " )</f>
        <v xml:space="preserve"> </v>
      </c>
    </row>
    <row r="1367" spans="1:21" x14ac:dyDescent="0.3">
      <c r="A1367" s="27" t="s">
        <v>248</v>
      </c>
      <c r="B1367" s="32" t="str">
        <f>_xlfn.XLOOKUP(TablaSTOCKINV[[#This Row],[SKU]],TablaINVENTARIO[SKU],TablaINVENTARIO[DESCRIPCION])</f>
        <v>LAMINA DE PLASTIFICAR 229  X 222MM</v>
      </c>
      <c r="C1367" s="32" t="str">
        <f>_xlfn.XLOOKUP(TablaSTOCKINV[[#This Row],[SKU]],TablaINVENTARIO[SKU],TablaINVENTARIO[MARCA])</f>
        <v xml:space="preserve">POINTER </v>
      </c>
      <c r="D1367" s="33" t="str">
        <f>_xlfn.XLOOKUP(TablaSTOCKINV[[#This Row],[SKU]],TablaINVENTARIO[SKU],TablaINVENTARIO[CATEGORIA])</f>
        <v>CONSUMIBLES</v>
      </c>
      <c r="E1367" s="33" t="str">
        <f>_xlfn.XLOOKUP(TablaSTOCKINV[[#This Row],[SKU]],TablaINVENTARIO[SKU],TablaINVENTARIO[SUBCATEGORIA])</f>
        <v>PAPELERIA</v>
      </c>
      <c r="F1367" s="33" t="str">
        <f>_xlfn.XLOOKUP(TablaSTOCKINV[[#This Row],[SKU]],TablaINVENTARIO[SKU],TablaINVENTARIO[ESTADO])</f>
        <v xml:space="preserve">NUEVO </v>
      </c>
      <c r="G1367" s="33" t="str">
        <f>_xlfn.XLOOKUP(TablaSTOCKINV[[#This Row],[SKU]],TablaINVENTARIO[SKU],TablaINVENTARIO[MEDIDA])</f>
        <v xml:space="preserve">UND </v>
      </c>
      <c r="H1367" s="33" t="str">
        <f>_xlfn.XLOOKUP(TablaSTOCKINV[[#This Row],[SKU]],TablaINVENTARIO[SKU],TablaINVENTARIO[SERIAL])</f>
        <v>N/A</v>
      </c>
      <c r="I1367" s="34">
        <f>_xlfn.XLOOKUP(TablaSTOCKINV[[#This Row],[SKU]],TablaINVENTARIO[SKU],TablaINVENTARIO[ALMACEN])</f>
        <v>0</v>
      </c>
      <c r="J1367" s="34" t="str">
        <f>_xlfn.XLOOKUP(TablaSTOCKINV[[#This Row],[SKU]],TablaINVENTARIO[SKU],TablaINVENTARIO[UBICACION])</f>
        <v>1C</v>
      </c>
      <c r="K1367" s="34" t="str">
        <f>_xlfn.XLOOKUP(TablaSTOCKINV[[#This Row],[SKU]],TablaINVENTARIO[SKU],TablaINVENTARIO[DPTO RESPONSABLE])</f>
        <v xml:space="preserve">CONSUMO GENERAL </v>
      </c>
      <c r="L1367" s="53">
        <f>_xlfn.XLOOKUP(TablaSTOCKINV[[#This Row],[SKU]],TablaINVENTARIO[SKU],TablaINVENTARIO[RANGO MIN])</f>
        <v>0</v>
      </c>
      <c r="M1367" s="34" cm="1">
        <f t="array" ref="M1367">_xlfn.IFS(TablaSTOCKINV[[#This Row],[CANT. TOTAL]]&lt;=0,1,TablaSTOCKINV[[#This Row],[CANT. TOTAL]]&lt;=TablaSTOCKINV[[#This Row],[MIN]],2,TablaSTOCKINV[[#This Row],[CANT. TOTAL]]&gt;TablaSTOCKINV[[#This Row],[MIN]],3)</f>
        <v>3</v>
      </c>
      <c r="N1367" s="34">
        <f>TablaSTOCKINV[[#This Row],[ENTRADAS]]-TablaSTOCKINV[[#This Row],[SALIDAS]]</f>
        <v>68</v>
      </c>
      <c r="O1367" s="35">
        <f>SUMIFS(TablaENTRADA[CANT],TablaENTRADA[SKU],TablaSTOCKINV[[#This Row],[SKU]])</f>
        <v>68</v>
      </c>
      <c r="P1367" s="35">
        <f>SUMIFS(TablaSALIDA[CANT],TablaSALIDA[SKU],TablaSTOCKINV[[#This Row],[SKU]])</f>
        <v>0</v>
      </c>
      <c r="Q1367" s="34">
        <f>_xlfn.XLOOKUP(TablaSTOCKINV[[#This Row],[SKU]],TablaINVENTARIO[SKU],TablaINVENTARIO[PRECIO])</f>
        <v>0</v>
      </c>
      <c r="R1367" s="34">
        <f>TablaSTOCKINV[[#This Row],[P.UNITARIO]]*TablaSTOCKINV[[#This Row],[CANT. TOTAL]]</f>
        <v>0</v>
      </c>
      <c r="S1367" s="44">
        <f>_xlfn.XLOOKUP(TablaSTOCKINV[[#This Row],[SKU]],TablaINVENTARIO[SKU],TablaINVENTARIO[FECHA INGRESO])</f>
        <v>46023</v>
      </c>
      <c r="T1367" s="44">
        <f>_xlfn.XLOOKUP(TablaSTOCKINV[[#This Row],[SKU]],TablaENTRADA[SKU],TablaENTRADA[FECHA],,0,-1)</f>
        <v>46023</v>
      </c>
      <c r="U1367" s="46" t="str">
        <f>IFERROR((_xlfn.XLOOKUP(TablaSTOCKINV[[#This Row],[SKU]],TablaSALIDA[SKU],TablaSALIDA[FECHA],,0,-1))," " )</f>
        <v xml:space="preserve"> </v>
      </c>
    </row>
    <row r="1368" spans="1:21" x14ac:dyDescent="0.3">
      <c r="A1368" s="27" t="s">
        <v>250</v>
      </c>
      <c r="B1368" s="32" t="str">
        <f>_xlfn.XLOOKUP(TablaSTOCKINV[[#This Row],[SKU]],TablaINVENTARIO[SKU],TablaINVENTARIO[DESCRIPCION])</f>
        <v xml:space="preserve">CARTULINA OPALINA TIPO CARTA </v>
      </c>
      <c r="C1368" s="32" t="str">
        <f>_xlfn.XLOOKUP(TablaSTOCKINV[[#This Row],[SKU]],TablaINVENTARIO[SKU],TablaINVENTARIO[MARCA])</f>
        <v>N/A</v>
      </c>
      <c r="D1368" s="33" t="str">
        <f>_xlfn.XLOOKUP(TablaSTOCKINV[[#This Row],[SKU]],TablaINVENTARIO[SKU],TablaINVENTARIO[CATEGORIA])</f>
        <v>CONSUMIBLES</v>
      </c>
      <c r="E1368" s="33" t="str">
        <f>_xlfn.XLOOKUP(TablaSTOCKINV[[#This Row],[SKU]],TablaINVENTARIO[SKU],TablaINVENTARIO[SUBCATEGORIA])</f>
        <v>PAPELERIA</v>
      </c>
      <c r="F1368" s="33" t="str">
        <f>_xlfn.XLOOKUP(TablaSTOCKINV[[#This Row],[SKU]],TablaINVENTARIO[SKU],TablaINVENTARIO[ESTADO])</f>
        <v xml:space="preserve">NUEVO </v>
      </c>
      <c r="G1368" s="33" t="str">
        <f>_xlfn.XLOOKUP(TablaSTOCKINV[[#This Row],[SKU]],TablaINVENTARIO[SKU],TablaINVENTARIO[MEDIDA])</f>
        <v xml:space="preserve">UND </v>
      </c>
      <c r="H1368" s="33" t="str">
        <f>_xlfn.XLOOKUP(TablaSTOCKINV[[#This Row],[SKU]],TablaINVENTARIO[SKU],TablaINVENTARIO[SERIAL])</f>
        <v>N/A</v>
      </c>
      <c r="I1368" s="34">
        <f>_xlfn.XLOOKUP(TablaSTOCKINV[[#This Row],[SKU]],TablaINVENTARIO[SKU],TablaINVENTARIO[ALMACEN])</f>
        <v>0</v>
      </c>
      <c r="J1368" s="34" t="str">
        <f>_xlfn.XLOOKUP(TablaSTOCKINV[[#This Row],[SKU]],TablaINVENTARIO[SKU],TablaINVENTARIO[UBICACION])</f>
        <v>1C</v>
      </c>
      <c r="K1368" s="34" t="str">
        <f>_xlfn.XLOOKUP(TablaSTOCKINV[[#This Row],[SKU]],TablaINVENTARIO[SKU],TablaINVENTARIO[DPTO RESPONSABLE])</f>
        <v xml:space="preserve">CONSUMO GENERAL </v>
      </c>
      <c r="L1368" s="53">
        <f>_xlfn.XLOOKUP(TablaSTOCKINV[[#This Row],[SKU]],TablaINVENTARIO[SKU],TablaINVENTARIO[RANGO MIN])</f>
        <v>0</v>
      </c>
      <c r="M1368" s="34" cm="1">
        <f t="array" ref="M1368">_xlfn.IFS(TablaSTOCKINV[[#This Row],[CANT. TOTAL]]&lt;=0,1,TablaSTOCKINV[[#This Row],[CANT. TOTAL]]&lt;=TablaSTOCKINV[[#This Row],[MIN]],2,TablaSTOCKINV[[#This Row],[CANT. TOTAL]]&gt;TablaSTOCKINV[[#This Row],[MIN]],3)</f>
        <v>3</v>
      </c>
      <c r="N1368" s="34">
        <f>TablaSTOCKINV[[#This Row],[ENTRADAS]]-TablaSTOCKINV[[#This Row],[SALIDAS]]</f>
        <v>534</v>
      </c>
      <c r="O1368" s="35">
        <f>SUMIFS(TablaENTRADA[CANT],TablaENTRADA[SKU],TablaSTOCKINV[[#This Row],[SKU]])</f>
        <v>534</v>
      </c>
      <c r="P1368" s="35">
        <f>SUMIFS(TablaSALIDA[CANT],TablaSALIDA[SKU],TablaSTOCKINV[[#This Row],[SKU]])</f>
        <v>0</v>
      </c>
      <c r="Q1368" s="34">
        <f>_xlfn.XLOOKUP(TablaSTOCKINV[[#This Row],[SKU]],TablaINVENTARIO[SKU],TablaINVENTARIO[PRECIO])</f>
        <v>0</v>
      </c>
      <c r="R1368" s="34">
        <f>TablaSTOCKINV[[#This Row],[P.UNITARIO]]*TablaSTOCKINV[[#This Row],[CANT. TOTAL]]</f>
        <v>0</v>
      </c>
      <c r="S1368" s="44">
        <f>_xlfn.XLOOKUP(TablaSTOCKINV[[#This Row],[SKU]],TablaINVENTARIO[SKU],TablaINVENTARIO[FECHA INGRESO])</f>
        <v>46023</v>
      </c>
      <c r="T1368" s="44">
        <f>_xlfn.XLOOKUP(TablaSTOCKINV[[#This Row],[SKU]],TablaENTRADA[SKU],TablaENTRADA[FECHA],,0,-1)</f>
        <v>46023</v>
      </c>
      <c r="U1368" s="46" t="str">
        <f>IFERROR((_xlfn.XLOOKUP(TablaSTOCKINV[[#This Row],[SKU]],TablaSALIDA[SKU],TablaSALIDA[FECHA],,0,-1))," " )</f>
        <v xml:space="preserve"> </v>
      </c>
    </row>
    <row r="1369" spans="1:21" x14ac:dyDescent="0.3">
      <c r="A1369" s="27" t="s">
        <v>252</v>
      </c>
      <c r="B1369" s="32" t="str">
        <f>_xlfn.XLOOKUP(TablaSTOCKINV[[#This Row],[SKU]],TablaINVENTARIO[SKU],TablaINVENTARIO[DESCRIPCION])</f>
        <v xml:space="preserve">CARPETA MANILA TIPO CARTA </v>
      </c>
      <c r="C1369" s="32" t="str">
        <f>_xlfn.XLOOKUP(TablaSTOCKINV[[#This Row],[SKU]],TablaINVENTARIO[SKU],TablaINVENTARIO[MARCA])</f>
        <v>N/A</v>
      </c>
      <c r="D1369" s="33" t="str">
        <f>_xlfn.XLOOKUP(TablaSTOCKINV[[#This Row],[SKU]],TablaINVENTARIO[SKU],TablaINVENTARIO[CATEGORIA])</f>
        <v>CONSUMIBLES</v>
      </c>
      <c r="E1369" s="33" t="str">
        <f>_xlfn.XLOOKUP(TablaSTOCKINV[[#This Row],[SKU]],TablaINVENTARIO[SKU],TablaINVENTARIO[SUBCATEGORIA])</f>
        <v>PAPELERIA</v>
      </c>
      <c r="F1369" s="33" t="str">
        <f>_xlfn.XLOOKUP(TablaSTOCKINV[[#This Row],[SKU]],TablaINVENTARIO[SKU],TablaINVENTARIO[ESTADO])</f>
        <v xml:space="preserve">NUEVO </v>
      </c>
      <c r="G1369" s="33" t="str">
        <f>_xlfn.XLOOKUP(TablaSTOCKINV[[#This Row],[SKU]],TablaINVENTARIO[SKU],TablaINVENTARIO[MEDIDA])</f>
        <v xml:space="preserve">UND </v>
      </c>
      <c r="H1369" s="33" t="str">
        <f>_xlfn.XLOOKUP(TablaSTOCKINV[[#This Row],[SKU]],TablaINVENTARIO[SKU],TablaINVENTARIO[SERIAL])</f>
        <v>N/A</v>
      </c>
      <c r="I1369" s="34">
        <f>_xlfn.XLOOKUP(TablaSTOCKINV[[#This Row],[SKU]],TablaINVENTARIO[SKU],TablaINVENTARIO[ALMACEN])</f>
        <v>0</v>
      </c>
      <c r="J1369" s="34" t="str">
        <f>_xlfn.XLOOKUP(TablaSTOCKINV[[#This Row],[SKU]],TablaINVENTARIO[SKU],TablaINVENTARIO[UBICACION])</f>
        <v>1C</v>
      </c>
      <c r="K1369" s="34" t="str">
        <f>_xlfn.XLOOKUP(TablaSTOCKINV[[#This Row],[SKU]],TablaINVENTARIO[SKU],TablaINVENTARIO[DPTO RESPONSABLE])</f>
        <v xml:space="preserve">CONSUMO GENERAL </v>
      </c>
      <c r="L1369" s="53">
        <f>_xlfn.XLOOKUP(TablaSTOCKINV[[#This Row],[SKU]],TablaINVENTARIO[SKU],TablaINVENTARIO[RANGO MIN])</f>
        <v>0</v>
      </c>
      <c r="M1369" s="34" cm="1">
        <f t="array" ref="M1369">_xlfn.IFS(TablaSTOCKINV[[#This Row],[CANT. TOTAL]]&lt;=0,1,TablaSTOCKINV[[#This Row],[CANT. TOTAL]]&lt;=TablaSTOCKINV[[#This Row],[MIN]],2,TablaSTOCKINV[[#This Row],[CANT. TOTAL]]&gt;TablaSTOCKINV[[#This Row],[MIN]],3)</f>
        <v>3</v>
      </c>
      <c r="N1369" s="34">
        <f>TablaSTOCKINV[[#This Row],[ENTRADAS]]-TablaSTOCKINV[[#This Row],[SALIDAS]]</f>
        <v>81</v>
      </c>
      <c r="O1369" s="35">
        <f>SUMIFS(TablaENTRADA[CANT],TablaENTRADA[SKU],TablaSTOCKINV[[#This Row],[SKU]])</f>
        <v>81</v>
      </c>
      <c r="P1369" s="35">
        <f>SUMIFS(TablaSALIDA[CANT],TablaSALIDA[SKU],TablaSTOCKINV[[#This Row],[SKU]])</f>
        <v>0</v>
      </c>
      <c r="Q1369" s="34">
        <f>_xlfn.XLOOKUP(TablaSTOCKINV[[#This Row],[SKU]],TablaINVENTARIO[SKU],TablaINVENTARIO[PRECIO])</f>
        <v>0</v>
      </c>
      <c r="R1369" s="34">
        <f>TablaSTOCKINV[[#This Row],[P.UNITARIO]]*TablaSTOCKINV[[#This Row],[CANT. TOTAL]]</f>
        <v>0</v>
      </c>
      <c r="S1369" s="44">
        <f>_xlfn.XLOOKUP(TablaSTOCKINV[[#This Row],[SKU]],TablaINVENTARIO[SKU],TablaINVENTARIO[FECHA INGRESO])</f>
        <v>46023</v>
      </c>
      <c r="T1369" s="44">
        <f>_xlfn.XLOOKUP(TablaSTOCKINV[[#This Row],[SKU]],TablaENTRADA[SKU],TablaENTRADA[FECHA],,0,-1)</f>
        <v>46023</v>
      </c>
      <c r="U1369" s="46" t="str">
        <f>IFERROR((_xlfn.XLOOKUP(TablaSTOCKINV[[#This Row],[SKU]],TablaSALIDA[SKU],TablaSALIDA[FECHA],,0,-1))," " )</f>
        <v xml:space="preserve"> </v>
      </c>
    </row>
    <row r="1370" spans="1:21" x14ac:dyDescent="0.3">
      <c r="A1370" s="27" t="s">
        <v>254</v>
      </c>
      <c r="B1370" s="32" t="str">
        <f>_xlfn.XLOOKUP(TablaSTOCKINV[[#This Row],[SKU]],TablaINVENTARIO[SKU],TablaINVENTARIO[DESCRIPCION])</f>
        <v xml:space="preserve">SOBRE MANILA TIPO CARTA </v>
      </c>
      <c r="C1370" s="32" t="str">
        <f>_xlfn.XLOOKUP(TablaSTOCKINV[[#This Row],[SKU]],TablaINVENTARIO[SKU],TablaINVENTARIO[MARCA])</f>
        <v>N/A</v>
      </c>
      <c r="D1370" s="33" t="str">
        <f>_xlfn.XLOOKUP(TablaSTOCKINV[[#This Row],[SKU]],TablaINVENTARIO[SKU],TablaINVENTARIO[CATEGORIA])</f>
        <v>CONSUMIBLES</v>
      </c>
      <c r="E1370" s="33" t="str">
        <f>_xlfn.XLOOKUP(TablaSTOCKINV[[#This Row],[SKU]],TablaINVENTARIO[SKU],TablaINVENTARIO[SUBCATEGORIA])</f>
        <v>PAPELERIA</v>
      </c>
      <c r="F1370" s="33" t="str">
        <f>_xlfn.XLOOKUP(TablaSTOCKINV[[#This Row],[SKU]],TablaINVENTARIO[SKU],TablaINVENTARIO[ESTADO])</f>
        <v xml:space="preserve">NUEVO </v>
      </c>
      <c r="G1370" s="33" t="str">
        <f>_xlfn.XLOOKUP(TablaSTOCKINV[[#This Row],[SKU]],TablaINVENTARIO[SKU],TablaINVENTARIO[MEDIDA])</f>
        <v xml:space="preserve">UND </v>
      </c>
      <c r="H1370" s="33" t="str">
        <f>_xlfn.XLOOKUP(TablaSTOCKINV[[#This Row],[SKU]],TablaINVENTARIO[SKU],TablaINVENTARIO[SERIAL])</f>
        <v>N/A</v>
      </c>
      <c r="I1370" s="34">
        <f>_xlfn.XLOOKUP(TablaSTOCKINV[[#This Row],[SKU]],TablaINVENTARIO[SKU],TablaINVENTARIO[ALMACEN])</f>
        <v>0</v>
      </c>
      <c r="J1370" s="34" t="str">
        <f>_xlfn.XLOOKUP(TablaSTOCKINV[[#This Row],[SKU]],TablaINVENTARIO[SKU],TablaINVENTARIO[UBICACION])</f>
        <v>1C</v>
      </c>
      <c r="K1370" s="34" t="str">
        <f>_xlfn.XLOOKUP(TablaSTOCKINV[[#This Row],[SKU]],TablaINVENTARIO[SKU],TablaINVENTARIO[DPTO RESPONSABLE])</f>
        <v xml:space="preserve">CONSUMO GENERAL </v>
      </c>
      <c r="L1370" s="53">
        <f>_xlfn.XLOOKUP(TablaSTOCKINV[[#This Row],[SKU]],TablaINVENTARIO[SKU],TablaINVENTARIO[RANGO MIN])</f>
        <v>0</v>
      </c>
      <c r="M1370" s="34" cm="1">
        <f t="array" ref="M1370">_xlfn.IFS(TablaSTOCKINV[[#This Row],[CANT. TOTAL]]&lt;=0,1,TablaSTOCKINV[[#This Row],[CANT. TOTAL]]&lt;=TablaSTOCKINV[[#This Row],[MIN]],2,TablaSTOCKINV[[#This Row],[CANT. TOTAL]]&gt;TablaSTOCKINV[[#This Row],[MIN]],3)</f>
        <v>3</v>
      </c>
      <c r="N1370" s="34">
        <f>TablaSTOCKINV[[#This Row],[ENTRADAS]]-TablaSTOCKINV[[#This Row],[SALIDAS]]</f>
        <v>64</v>
      </c>
      <c r="O1370" s="35">
        <f>SUMIFS(TablaENTRADA[CANT],TablaENTRADA[SKU],TablaSTOCKINV[[#This Row],[SKU]])</f>
        <v>64</v>
      </c>
      <c r="P1370" s="35">
        <f>SUMIFS(TablaSALIDA[CANT],TablaSALIDA[SKU],TablaSTOCKINV[[#This Row],[SKU]])</f>
        <v>0</v>
      </c>
      <c r="Q1370" s="34">
        <f>_xlfn.XLOOKUP(TablaSTOCKINV[[#This Row],[SKU]],TablaINVENTARIO[SKU],TablaINVENTARIO[PRECIO])</f>
        <v>0</v>
      </c>
      <c r="R1370" s="34">
        <f>TablaSTOCKINV[[#This Row],[P.UNITARIO]]*TablaSTOCKINV[[#This Row],[CANT. TOTAL]]</f>
        <v>0</v>
      </c>
      <c r="S1370" s="44">
        <f>_xlfn.XLOOKUP(TablaSTOCKINV[[#This Row],[SKU]],TablaINVENTARIO[SKU],TablaINVENTARIO[FECHA INGRESO])</f>
        <v>46023</v>
      </c>
      <c r="T1370" s="44">
        <f>_xlfn.XLOOKUP(TablaSTOCKINV[[#This Row],[SKU]],TablaENTRADA[SKU],TablaENTRADA[FECHA],,0,-1)</f>
        <v>46023</v>
      </c>
      <c r="U1370" s="46" t="str">
        <f>IFERROR((_xlfn.XLOOKUP(TablaSTOCKINV[[#This Row],[SKU]],TablaSALIDA[SKU],TablaSALIDA[FECHA],,0,-1))," " )</f>
        <v xml:space="preserve"> </v>
      </c>
    </row>
    <row r="1371" spans="1:21" x14ac:dyDescent="0.3">
      <c r="A1371" s="27" t="s">
        <v>256</v>
      </c>
      <c r="B1371" s="32" t="str">
        <f>_xlfn.XLOOKUP(TablaSTOCKINV[[#This Row],[SKU]],TablaINVENTARIO[SKU],TablaINVENTARIO[DESCRIPCION])</f>
        <v>SEPARADORES DE COLORES (8 UND)</v>
      </c>
      <c r="C1371" s="32" t="str">
        <f>_xlfn.XLOOKUP(TablaSTOCKINV[[#This Row],[SKU]],TablaINVENTARIO[SKU],TablaINVENTARIO[MARCA])</f>
        <v>N/A</v>
      </c>
      <c r="D1371" s="33" t="str">
        <f>_xlfn.XLOOKUP(TablaSTOCKINV[[#This Row],[SKU]],TablaINVENTARIO[SKU],TablaINVENTARIO[CATEGORIA])</f>
        <v>CONSUMIBLES</v>
      </c>
      <c r="E1371" s="33" t="str">
        <f>_xlfn.XLOOKUP(TablaSTOCKINV[[#This Row],[SKU]],TablaINVENTARIO[SKU],TablaINVENTARIO[SUBCATEGORIA])</f>
        <v>PAPELERIA</v>
      </c>
      <c r="F1371" s="33" t="str">
        <f>_xlfn.XLOOKUP(TablaSTOCKINV[[#This Row],[SKU]],TablaINVENTARIO[SKU],TablaINVENTARIO[ESTADO])</f>
        <v xml:space="preserve">NUEVO </v>
      </c>
      <c r="G1371" s="33" t="str">
        <f>_xlfn.XLOOKUP(TablaSTOCKINV[[#This Row],[SKU]],TablaINVENTARIO[SKU],TablaINVENTARIO[MEDIDA])</f>
        <v>SET</v>
      </c>
      <c r="H1371" s="33" t="str">
        <f>_xlfn.XLOOKUP(TablaSTOCKINV[[#This Row],[SKU]],TablaINVENTARIO[SKU],TablaINVENTARIO[SERIAL])</f>
        <v>N/A</v>
      </c>
      <c r="I1371" s="34">
        <f>_xlfn.XLOOKUP(TablaSTOCKINV[[#This Row],[SKU]],TablaINVENTARIO[SKU],TablaINVENTARIO[ALMACEN])</f>
        <v>0</v>
      </c>
      <c r="J1371" s="34" t="str">
        <f>_xlfn.XLOOKUP(TablaSTOCKINV[[#This Row],[SKU]],TablaINVENTARIO[SKU],TablaINVENTARIO[UBICACION])</f>
        <v>1C</v>
      </c>
      <c r="K1371" s="34" t="str">
        <f>_xlfn.XLOOKUP(TablaSTOCKINV[[#This Row],[SKU]],TablaINVENTARIO[SKU],TablaINVENTARIO[DPTO RESPONSABLE])</f>
        <v xml:space="preserve">CONSUMO GENERAL </v>
      </c>
      <c r="L1371" s="53">
        <f>_xlfn.XLOOKUP(TablaSTOCKINV[[#This Row],[SKU]],TablaINVENTARIO[SKU],TablaINVENTARIO[RANGO MIN])</f>
        <v>0</v>
      </c>
      <c r="M1371" s="34" cm="1">
        <f t="array" ref="M1371">_xlfn.IFS(TablaSTOCKINV[[#This Row],[CANT. TOTAL]]&lt;=0,1,TablaSTOCKINV[[#This Row],[CANT. TOTAL]]&lt;=TablaSTOCKINV[[#This Row],[MIN]],2,TablaSTOCKINV[[#This Row],[CANT. TOTAL]]&gt;TablaSTOCKINV[[#This Row],[MIN]],3)</f>
        <v>3</v>
      </c>
      <c r="N1371" s="34">
        <f>TablaSTOCKINV[[#This Row],[ENTRADAS]]-TablaSTOCKINV[[#This Row],[SALIDAS]]</f>
        <v>98</v>
      </c>
      <c r="O1371" s="35">
        <f>SUMIFS(TablaENTRADA[CANT],TablaENTRADA[SKU],TablaSTOCKINV[[#This Row],[SKU]])</f>
        <v>98</v>
      </c>
      <c r="P1371" s="35">
        <f>SUMIFS(TablaSALIDA[CANT],TablaSALIDA[SKU],TablaSTOCKINV[[#This Row],[SKU]])</f>
        <v>0</v>
      </c>
      <c r="Q1371" s="34">
        <f>_xlfn.XLOOKUP(TablaSTOCKINV[[#This Row],[SKU]],TablaINVENTARIO[SKU],TablaINVENTARIO[PRECIO])</f>
        <v>0</v>
      </c>
      <c r="R1371" s="34">
        <f>TablaSTOCKINV[[#This Row],[P.UNITARIO]]*TablaSTOCKINV[[#This Row],[CANT. TOTAL]]</f>
        <v>0</v>
      </c>
      <c r="S1371" s="44">
        <f>_xlfn.XLOOKUP(TablaSTOCKINV[[#This Row],[SKU]],TablaINVENTARIO[SKU],TablaINVENTARIO[FECHA INGRESO])</f>
        <v>46023</v>
      </c>
      <c r="T1371" s="44">
        <f>_xlfn.XLOOKUP(TablaSTOCKINV[[#This Row],[SKU]],TablaENTRADA[SKU],TablaENTRADA[FECHA],,0,-1)</f>
        <v>46023</v>
      </c>
      <c r="U1371" s="46" t="str">
        <f>IFERROR((_xlfn.XLOOKUP(TablaSTOCKINV[[#This Row],[SKU]],TablaSALIDA[SKU],TablaSALIDA[FECHA],,0,-1))," " )</f>
        <v xml:space="preserve"> </v>
      </c>
    </row>
    <row r="1372" spans="1:21" x14ac:dyDescent="0.3">
      <c r="A1372" s="27" t="s">
        <v>259</v>
      </c>
      <c r="B1372" s="32" t="str">
        <f>_xlfn.XLOOKUP(TablaSTOCKINV[[#This Row],[SKU]],TablaINVENTARIO[SKU],TablaINVENTARIO[DESCRIPCION])</f>
        <v xml:space="preserve">CARTA GRAFICA CIRCULAR PARA BARTON </v>
      </c>
      <c r="C1372" s="32" t="str">
        <f>_xlfn.XLOOKUP(TablaSTOCKINV[[#This Row],[SKU]],TablaINVENTARIO[SKU],TablaINVENTARIO[MARCA])</f>
        <v>N/A</v>
      </c>
      <c r="D1372" s="33" t="str">
        <f>_xlfn.XLOOKUP(TablaSTOCKINV[[#This Row],[SKU]],TablaINVENTARIO[SKU],TablaINVENTARIO[CATEGORIA])</f>
        <v>CONSUMIBLES</v>
      </c>
      <c r="E1372" s="33" t="str">
        <f>_xlfn.XLOOKUP(TablaSTOCKINV[[#This Row],[SKU]],TablaINVENTARIO[SKU],TablaINVENTARIO[SUBCATEGORIA])</f>
        <v>PAPELERIA</v>
      </c>
      <c r="F1372" s="33" t="str">
        <f>_xlfn.XLOOKUP(TablaSTOCKINV[[#This Row],[SKU]],TablaINVENTARIO[SKU],TablaINVENTARIO[ESTADO])</f>
        <v xml:space="preserve">NUEVO </v>
      </c>
      <c r="G1372" s="33" t="str">
        <f>_xlfn.XLOOKUP(TablaSTOCKINV[[#This Row],[SKU]],TablaINVENTARIO[SKU],TablaINVENTARIO[MEDIDA])</f>
        <v xml:space="preserve">UND </v>
      </c>
      <c r="H1372" s="33" t="str">
        <f>_xlfn.XLOOKUP(TablaSTOCKINV[[#This Row],[SKU]],TablaINVENTARIO[SKU],TablaINVENTARIO[SERIAL])</f>
        <v>N/A</v>
      </c>
      <c r="I1372" s="34">
        <f>_xlfn.XLOOKUP(TablaSTOCKINV[[#This Row],[SKU]],TablaINVENTARIO[SKU],TablaINVENTARIO[ALMACEN])</f>
        <v>0</v>
      </c>
      <c r="J1372" s="34" t="str">
        <f>_xlfn.XLOOKUP(TablaSTOCKINV[[#This Row],[SKU]],TablaINVENTARIO[SKU],TablaINVENTARIO[UBICACION])</f>
        <v>1C</v>
      </c>
      <c r="K1372" s="34" t="str">
        <f>_xlfn.XLOOKUP(TablaSTOCKINV[[#This Row],[SKU]],TablaINVENTARIO[SKU],TablaINVENTARIO[DPTO RESPONSABLE])</f>
        <v xml:space="preserve">CONSUMO GENERAL </v>
      </c>
      <c r="L1372" s="53">
        <f>_xlfn.XLOOKUP(TablaSTOCKINV[[#This Row],[SKU]],TablaINVENTARIO[SKU],TablaINVENTARIO[RANGO MIN])</f>
        <v>0</v>
      </c>
      <c r="M1372" s="34" cm="1">
        <f t="array" ref="M1372">_xlfn.IFS(TablaSTOCKINV[[#This Row],[CANT. TOTAL]]&lt;=0,1,TablaSTOCKINV[[#This Row],[CANT. TOTAL]]&lt;=TablaSTOCKINV[[#This Row],[MIN]],2,TablaSTOCKINV[[#This Row],[CANT. TOTAL]]&gt;TablaSTOCKINV[[#This Row],[MIN]],3)</f>
        <v>3</v>
      </c>
      <c r="N1372" s="34">
        <f>TablaSTOCKINV[[#This Row],[ENTRADAS]]-TablaSTOCKINV[[#This Row],[SALIDAS]]</f>
        <v>167</v>
      </c>
      <c r="O1372" s="35">
        <f>SUMIFS(TablaENTRADA[CANT],TablaENTRADA[SKU],TablaSTOCKINV[[#This Row],[SKU]])</f>
        <v>167</v>
      </c>
      <c r="P1372" s="35">
        <f>SUMIFS(TablaSALIDA[CANT],TablaSALIDA[SKU],TablaSTOCKINV[[#This Row],[SKU]])</f>
        <v>0</v>
      </c>
      <c r="Q1372" s="34">
        <f>_xlfn.XLOOKUP(TablaSTOCKINV[[#This Row],[SKU]],TablaINVENTARIO[SKU],TablaINVENTARIO[PRECIO])</f>
        <v>0</v>
      </c>
      <c r="R1372" s="34">
        <f>TablaSTOCKINV[[#This Row],[P.UNITARIO]]*TablaSTOCKINV[[#This Row],[CANT. TOTAL]]</f>
        <v>0</v>
      </c>
      <c r="S1372" s="44">
        <f>_xlfn.XLOOKUP(TablaSTOCKINV[[#This Row],[SKU]],TablaINVENTARIO[SKU],TablaINVENTARIO[FECHA INGRESO])</f>
        <v>46023</v>
      </c>
      <c r="T1372" s="44">
        <f>_xlfn.XLOOKUP(TablaSTOCKINV[[#This Row],[SKU]],TablaENTRADA[SKU],TablaENTRADA[FECHA],,0,-1)</f>
        <v>46023</v>
      </c>
      <c r="U1372" s="46" t="str">
        <f>IFERROR((_xlfn.XLOOKUP(TablaSTOCKINV[[#This Row],[SKU]],TablaSALIDA[SKU],TablaSALIDA[FECHA],,0,-1))," " )</f>
        <v xml:space="preserve"> </v>
      </c>
    </row>
    <row r="1373" spans="1:21" x14ac:dyDescent="0.3">
      <c r="A1373" s="27" t="s">
        <v>261</v>
      </c>
      <c r="B1373" s="32" t="str">
        <f>_xlfn.XLOOKUP(TablaSTOCKINV[[#This Row],[SKU]],TablaINVENTARIO[SKU],TablaINVENTARIO[DESCRIPCION])</f>
        <v>FUNDAS PROTECTORAS TIPO CARTA</v>
      </c>
      <c r="C1373" s="32" t="str">
        <f>_xlfn.XLOOKUP(TablaSTOCKINV[[#This Row],[SKU]],TablaINVENTARIO[SKU],TablaINVENTARIO[MARCA])</f>
        <v>STUDMARK</v>
      </c>
      <c r="D1373" s="33" t="str">
        <f>_xlfn.XLOOKUP(TablaSTOCKINV[[#This Row],[SKU]],TablaINVENTARIO[SKU],TablaINVENTARIO[CATEGORIA])</f>
        <v>CONSUMIBLES</v>
      </c>
      <c r="E1373" s="33" t="str">
        <f>_xlfn.XLOOKUP(TablaSTOCKINV[[#This Row],[SKU]],TablaINVENTARIO[SKU],TablaINVENTARIO[SUBCATEGORIA])</f>
        <v>PAPELERIA</v>
      </c>
      <c r="F1373" s="33" t="str">
        <f>_xlfn.XLOOKUP(TablaSTOCKINV[[#This Row],[SKU]],TablaINVENTARIO[SKU],TablaINVENTARIO[ESTADO])</f>
        <v xml:space="preserve">NUEVO </v>
      </c>
      <c r="G1373" s="33" t="str">
        <f>_xlfn.XLOOKUP(TablaSTOCKINV[[#This Row],[SKU]],TablaINVENTARIO[SKU],TablaINVENTARIO[MEDIDA])</f>
        <v xml:space="preserve">UND </v>
      </c>
      <c r="H1373" s="33" t="str">
        <f>_xlfn.XLOOKUP(TablaSTOCKINV[[#This Row],[SKU]],TablaINVENTARIO[SKU],TablaINVENTARIO[SERIAL])</f>
        <v>N/A</v>
      </c>
      <c r="I1373" s="34">
        <f>_xlfn.XLOOKUP(TablaSTOCKINV[[#This Row],[SKU]],TablaINVENTARIO[SKU],TablaINVENTARIO[ALMACEN])</f>
        <v>0</v>
      </c>
      <c r="J1373" s="34" t="str">
        <f>_xlfn.XLOOKUP(TablaSTOCKINV[[#This Row],[SKU]],TablaINVENTARIO[SKU],TablaINVENTARIO[UBICACION])</f>
        <v>1C</v>
      </c>
      <c r="K1373" s="34" t="str">
        <f>_xlfn.XLOOKUP(TablaSTOCKINV[[#This Row],[SKU]],TablaINVENTARIO[SKU],TablaINVENTARIO[DPTO RESPONSABLE])</f>
        <v xml:space="preserve">CONSUMO GENERAL </v>
      </c>
      <c r="L1373" s="53">
        <f>_xlfn.XLOOKUP(TablaSTOCKINV[[#This Row],[SKU]],TablaINVENTARIO[SKU],TablaINVENTARIO[RANGO MIN])</f>
        <v>0</v>
      </c>
      <c r="M1373" s="34" cm="1">
        <f t="array" ref="M1373">_xlfn.IFS(TablaSTOCKINV[[#This Row],[CANT. TOTAL]]&lt;=0,1,TablaSTOCKINV[[#This Row],[CANT. TOTAL]]&lt;=TablaSTOCKINV[[#This Row],[MIN]],2,TablaSTOCKINV[[#This Row],[CANT. TOTAL]]&gt;TablaSTOCKINV[[#This Row],[MIN]],3)</f>
        <v>3</v>
      </c>
      <c r="N1373" s="34">
        <f>TablaSTOCKINV[[#This Row],[ENTRADAS]]-TablaSTOCKINV[[#This Row],[SALIDAS]]</f>
        <v>606</v>
      </c>
      <c r="O1373" s="35">
        <f>SUMIFS(TablaENTRADA[CANT],TablaENTRADA[SKU],TablaSTOCKINV[[#This Row],[SKU]])</f>
        <v>606</v>
      </c>
      <c r="P1373" s="35">
        <f>SUMIFS(TablaSALIDA[CANT],TablaSALIDA[SKU],TablaSTOCKINV[[#This Row],[SKU]])</f>
        <v>0</v>
      </c>
      <c r="Q1373" s="34">
        <f>_xlfn.XLOOKUP(TablaSTOCKINV[[#This Row],[SKU]],TablaINVENTARIO[SKU],TablaINVENTARIO[PRECIO])</f>
        <v>0</v>
      </c>
      <c r="R1373" s="34">
        <f>TablaSTOCKINV[[#This Row],[P.UNITARIO]]*TablaSTOCKINV[[#This Row],[CANT. TOTAL]]</f>
        <v>0</v>
      </c>
      <c r="S1373" s="44">
        <f>_xlfn.XLOOKUP(TablaSTOCKINV[[#This Row],[SKU]],TablaINVENTARIO[SKU],TablaINVENTARIO[FECHA INGRESO])</f>
        <v>46023</v>
      </c>
      <c r="T1373" s="44">
        <f>_xlfn.XLOOKUP(TablaSTOCKINV[[#This Row],[SKU]],TablaENTRADA[SKU],TablaENTRADA[FECHA],,0,-1)</f>
        <v>46023</v>
      </c>
      <c r="U1373" s="46" t="str">
        <f>IFERROR((_xlfn.XLOOKUP(TablaSTOCKINV[[#This Row],[SKU]],TablaSALIDA[SKU],TablaSALIDA[FECHA],,0,-1))," " )</f>
        <v xml:space="preserve"> </v>
      </c>
    </row>
    <row r="1374" spans="1:21" x14ac:dyDescent="0.3">
      <c r="A1374" s="27" t="s">
        <v>264</v>
      </c>
      <c r="B1374" s="32" t="str">
        <f>_xlfn.XLOOKUP(TablaSTOCKINV[[#This Row],[SKU]],TablaINVENTARIO[SKU],TablaINVENTARIO[DESCRIPCION])</f>
        <v xml:space="preserve">CARTULINA DE HILO </v>
      </c>
      <c r="C1374" s="32" t="str">
        <f>_xlfn.XLOOKUP(TablaSTOCKINV[[#This Row],[SKU]],TablaINVENTARIO[SKU],TablaINVENTARIO[MARCA])</f>
        <v>N/A</v>
      </c>
      <c r="D1374" s="33" t="str">
        <f>_xlfn.XLOOKUP(TablaSTOCKINV[[#This Row],[SKU]],TablaINVENTARIO[SKU],TablaINVENTARIO[CATEGORIA])</f>
        <v>CONSUMIBLES</v>
      </c>
      <c r="E1374" s="33" t="str">
        <f>_xlfn.XLOOKUP(TablaSTOCKINV[[#This Row],[SKU]],TablaINVENTARIO[SKU],TablaINVENTARIO[SUBCATEGORIA])</f>
        <v>PAPELERIA</v>
      </c>
      <c r="F1374" s="33" t="str">
        <f>_xlfn.XLOOKUP(TablaSTOCKINV[[#This Row],[SKU]],TablaINVENTARIO[SKU],TablaINVENTARIO[ESTADO])</f>
        <v xml:space="preserve">NUEVO </v>
      </c>
      <c r="G1374" s="33" t="str">
        <f>_xlfn.XLOOKUP(TablaSTOCKINV[[#This Row],[SKU]],TablaINVENTARIO[SKU],TablaINVENTARIO[MEDIDA])</f>
        <v xml:space="preserve">UND </v>
      </c>
      <c r="H1374" s="33" t="str">
        <f>_xlfn.XLOOKUP(TablaSTOCKINV[[#This Row],[SKU]],TablaINVENTARIO[SKU],TablaINVENTARIO[SERIAL])</f>
        <v>N/A</v>
      </c>
      <c r="I1374" s="34">
        <f>_xlfn.XLOOKUP(TablaSTOCKINV[[#This Row],[SKU]],TablaINVENTARIO[SKU],TablaINVENTARIO[ALMACEN])</f>
        <v>0</v>
      </c>
      <c r="J1374" s="34" t="str">
        <f>_xlfn.XLOOKUP(TablaSTOCKINV[[#This Row],[SKU]],TablaINVENTARIO[SKU],TablaINVENTARIO[UBICACION])</f>
        <v>1D</v>
      </c>
      <c r="K1374" s="34" t="str">
        <f>_xlfn.XLOOKUP(TablaSTOCKINV[[#This Row],[SKU]],TablaINVENTARIO[SKU],TablaINVENTARIO[DPTO RESPONSABLE])</f>
        <v xml:space="preserve">CONSUMO GENERAL </v>
      </c>
      <c r="L1374" s="53">
        <f>_xlfn.XLOOKUP(TablaSTOCKINV[[#This Row],[SKU]],TablaINVENTARIO[SKU],TablaINVENTARIO[RANGO MIN])</f>
        <v>0</v>
      </c>
      <c r="M1374" s="34" cm="1">
        <f t="array" ref="M1374">_xlfn.IFS(TablaSTOCKINV[[#This Row],[CANT. TOTAL]]&lt;=0,1,TablaSTOCKINV[[#This Row],[CANT. TOTAL]]&lt;=TablaSTOCKINV[[#This Row],[MIN]],2,TablaSTOCKINV[[#This Row],[CANT. TOTAL]]&gt;TablaSTOCKINV[[#This Row],[MIN]],3)</f>
        <v>3</v>
      </c>
      <c r="N1374" s="34">
        <f>TablaSTOCKINV[[#This Row],[ENTRADAS]]-TablaSTOCKINV[[#This Row],[SALIDAS]]</f>
        <v>146</v>
      </c>
      <c r="O1374" s="35">
        <f>SUMIFS(TablaENTRADA[CANT],TablaENTRADA[SKU],TablaSTOCKINV[[#This Row],[SKU]])</f>
        <v>146</v>
      </c>
      <c r="P1374" s="35">
        <f>SUMIFS(TablaSALIDA[CANT],TablaSALIDA[SKU],TablaSTOCKINV[[#This Row],[SKU]])</f>
        <v>0</v>
      </c>
      <c r="Q1374" s="34">
        <f>_xlfn.XLOOKUP(TablaSTOCKINV[[#This Row],[SKU]],TablaINVENTARIO[SKU],TablaINVENTARIO[PRECIO])</f>
        <v>0</v>
      </c>
      <c r="R1374" s="34">
        <f>TablaSTOCKINV[[#This Row],[P.UNITARIO]]*TablaSTOCKINV[[#This Row],[CANT. TOTAL]]</f>
        <v>0</v>
      </c>
      <c r="S1374" s="44">
        <f>_xlfn.XLOOKUP(TablaSTOCKINV[[#This Row],[SKU]],TablaINVENTARIO[SKU],TablaINVENTARIO[FECHA INGRESO])</f>
        <v>46023</v>
      </c>
      <c r="T1374" s="44">
        <f>_xlfn.XLOOKUP(TablaSTOCKINV[[#This Row],[SKU]],TablaENTRADA[SKU],TablaENTRADA[FECHA],,0,-1)</f>
        <v>46023</v>
      </c>
      <c r="U1374" s="46" t="str">
        <f>IFERROR((_xlfn.XLOOKUP(TablaSTOCKINV[[#This Row],[SKU]],TablaSALIDA[SKU],TablaSALIDA[FECHA],,0,-1))," " )</f>
        <v xml:space="preserve"> </v>
      </c>
    </row>
    <row r="1375" spans="1:21" x14ac:dyDescent="0.3">
      <c r="A1375" s="27" t="s">
        <v>267</v>
      </c>
      <c r="B1375" s="32" t="str">
        <f>_xlfn.XLOOKUP(TablaSTOCKINV[[#This Row],[SKU]],TablaINVENTARIO[SKU],TablaINVENTARIO[DESCRIPCION])</f>
        <v xml:space="preserve">CARPETA MANILA TIPO OFICIO </v>
      </c>
      <c r="C1375" s="32" t="str">
        <f>_xlfn.XLOOKUP(TablaSTOCKINV[[#This Row],[SKU]],TablaINVENTARIO[SKU],TablaINVENTARIO[MARCA])</f>
        <v>N/A</v>
      </c>
      <c r="D1375" s="33" t="str">
        <f>_xlfn.XLOOKUP(TablaSTOCKINV[[#This Row],[SKU]],TablaINVENTARIO[SKU],TablaINVENTARIO[CATEGORIA])</f>
        <v>CONSUMIBLES</v>
      </c>
      <c r="E1375" s="33" t="str">
        <f>_xlfn.XLOOKUP(TablaSTOCKINV[[#This Row],[SKU]],TablaINVENTARIO[SKU],TablaINVENTARIO[SUBCATEGORIA])</f>
        <v>PAPELERIA</v>
      </c>
      <c r="F1375" s="33" t="str">
        <f>_xlfn.XLOOKUP(TablaSTOCKINV[[#This Row],[SKU]],TablaINVENTARIO[SKU],TablaINVENTARIO[ESTADO])</f>
        <v xml:space="preserve">NUEVO </v>
      </c>
      <c r="G1375" s="33" t="str">
        <f>_xlfn.XLOOKUP(TablaSTOCKINV[[#This Row],[SKU]],TablaINVENTARIO[SKU],TablaINVENTARIO[MEDIDA])</f>
        <v xml:space="preserve">UND </v>
      </c>
      <c r="H1375" s="33" t="str">
        <f>_xlfn.XLOOKUP(TablaSTOCKINV[[#This Row],[SKU]],TablaINVENTARIO[SKU],TablaINVENTARIO[SERIAL])</f>
        <v>N/A</v>
      </c>
      <c r="I1375" s="34">
        <f>_xlfn.XLOOKUP(TablaSTOCKINV[[#This Row],[SKU]],TablaINVENTARIO[SKU],TablaINVENTARIO[ALMACEN])</f>
        <v>0</v>
      </c>
      <c r="J1375" s="34" t="str">
        <f>_xlfn.XLOOKUP(TablaSTOCKINV[[#This Row],[SKU]],TablaINVENTARIO[SKU],TablaINVENTARIO[UBICACION])</f>
        <v>1D</v>
      </c>
      <c r="K1375" s="34" t="str">
        <f>_xlfn.XLOOKUP(TablaSTOCKINV[[#This Row],[SKU]],TablaINVENTARIO[SKU],TablaINVENTARIO[DPTO RESPONSABLE])</f>
        <v xml:space="preserve">CONSUMO GENERAL </v>
      </c>
      <c r="L1375" s="53">
        <f>_xlfn.XLOOKUP(TablaSTOCKINV[[#This Row],[SKU]],TablaINVENTARIO[SKU],TablaINVENTARIO[RANGO MIN])</f>
        <v>0</v>
      </c>
      <c r="M1375" s="34" cm="1">
        <f t="array" ref="M1375">_xlfn.IFS(TablaSTOCKINV[[#This Row],[CANT. TOTAL]]&lt;=0,1,TablaSTOCKINV[[#This Row],[CANT. TOTAL]]&lt;=TablaSTOCKINV[[#This Row],[MIN]],2,TablaSTOCKINV[[#This Row],[CANT. TOTAL]]&gt;TablaSTOCKINV[[#This Row],[MIN]],3)</f>
        <v>3</v>
      </c>
      <c r="N1375" s="34">
        <f>TablaSTOCKINV[[#This Row],[ENTRADAS]]-TablaSTOCKINV[[#This Row],[SALIDAS]]</f>
        <v>88</v>
      </c>
      <c r="O1375" s="35">
        <f>SUMIFS(TablaENTRADA[CANT],TablaENTRADA[SKU],TablaSTOCKINV[[#This Row],[SKU]])</f>
        <v>88</v>
      </c>
      <c r="P1375" s="35">
        <f>SUMIFS(TablaSALIDA[CANT],TablaSALIDA[SKU],TablaSTOCKINV[[#This Row],[SKU]])</f>
        <v>0</v>
      </c>
      <c r="Q1375" s="34">
        <f>_xlfn.XLOOKUP(TablaSTOCKINV[[#This Row],[SKU]],TablaINVENTARIO[SKU],TablaINVENTARIO[PRECIO])</f>
        <v>0</v>
      </c>
      <c r="R1375" s="34">
        <f>TablaSTOCKINV[[#This Row],[P.UNITARIO]]*TablaSTOCKINV[[#This Row],[CANT. TOTAL]]</f>
        <v>0</v>
      </c>
      <c r="S1375" s="44">
        <f>_xlfn.XLOOKUP(TablaSTOCKINV[[#This Row],[SKU]],TablaINVENTARIO[SKU],TablaINVENTARIO[FECHA INGRESO])</f>
        <v>46023</v>
      </c>
      <c r="T1375" s="44">
        <f>_xlfn.XLOOKUP(TablaSTOCKINV[[#This Row],[SKU]],TablaENTRADA[SKU],TablaENTRADA[FECHA],,0,-1)</f>
        <v>46023</v>
      </c>
      <c r="U1375" s="46" t="str">
        <f>IFERROR((_xlfn.XLOOKUP(TablaSTOCKINV[[#This Row],[SKU]],TablaSALIDA[SKU],TablaSALIDA[FECHA],,0,-1))," " )</f>
        <v xml:space="preserve"> </v>
      </c>
    </row>
    <row r="1376" spans="1:21" x14ac:dyDescent="0.3">
      <c r="A1376" s="27" t="s">
        <v>269</v>
      </c>
      <c r="B1376" s="32" t="str">
        <f>_xlfn.XLOOKUP(TablaSTOCKINV[[#This Row],[SKU]],TablaINVENTARIO[SKU],TablaINVENTARIO[DESCRIPCION])</f>
        <v xml:space="preserve">SOBRE MANILA TIPO OFICIO </v>
      </c>
      <c r="C1376" s="32" t="str">
        <f>_xlfn.XLOOKUP(TablaSTOCKINV[[#This Row],[SKU]],TablaINVENTARIO[SKU],TablaINVENTARIO[MARCA])</f>
        <v>N/A</v>
      </c>
      <c r="D1376" s="33" t="str">
        <f>_xlfn.XLOOKUP(TablaSTOCKINV[[#This Row],[SKU]],TablaINVENTARIO[SKU],TablaINVENTARIO[CATEGORIA])</f>
        <v>CONSUMIBLES</v>
      </c>
      <c r="E1376" s="33" t="str">
        <f>_xlfn.XLOOKUP(TablaSTOCKINV[[#This Row],[SKU]],TablaINVENTARIO[SKU],TablaINVENTARIO[SUBCATEGORIA])</f>
        <v>PAPELERIA</v>
      </c>
      <c r="F1376" s="33" t="str">
        <f>_xlfn.XLOOKUP(TablaSTOCKINV[[#This Row],[SKU]],TablaINVENTARIO[SKU],TablaINVENTARIO[ESTADO])</f>
        <v xml:space="preserve">NUEVO </v>
      </c>
      <c r="G1376" s="33" t="str">
        <f>_xlfn.XLOOKUP(TablaSTOCKINV[[#This Row],[SKU]],TablaINVENTARIO[SKU],TablaINVENTARIO[MEDIDA])</f>
        <v xml:space="preserve">UND </v>
      </c>
      <c r="H1376" s="33" t="str">
        <f>_xlfn.XLOOKUP(TablaSTOCKINV[[#This Row],[SKU]],TablaINVENTARIO[SKU],TablaINVENTARIO[SERIAL])</f>
        <v>N/A</v>
      </c>
      <c r="I1376" s="34">
        <f>_xlfn.XLOOKUP(TablaSTOCKINV[[#This Row],[SKU]],TablaINVENTARIO[SKU],TablaINVENTARIO[ALMACEN])</f>
        <v>0</v>
      </c>
      <c r="J1376" s="34" t="str">
        <f>_xlfn.XLOOKUP(TablaSTOCKINV[[#This Row],[SKU]],TablaINVENTARIO[SKU],TablaINVENTARIO[UBICACION])</f>
        <v>1D</v>
      </c>
      <c r="K1376" s="34" t="str">
        <f>_xlfn.XLOOKUP(TablaSTOCKINV[[#This Row],[SKU]],TablaINVENTARIO[SKU],TablaINVENTARIO[DPTO RESPONSABLE])</f>
        <v xml:space="preserve">CONSUMO GENERAL </v>
      </c>
      <c r="L1376" s="53">
        <f>_xlfn.XLOOKUP(TablaSTOCKINV[[#This Row],[SKU]],TablaINVENTARIO[SKU],TablaINVENTARIO[RANGO MIN])</f>
        <v>0</v>
      </c>
      <c r="M1376" s="34" cm="1">
        <f t="array" ref="M1376">_xlfn.IFS(TablaSTOCKINV[[#This Row],[CANT. TOTAL]]&lt;=0,1,TablaSTOCKINV[[#This Row],[CANT. TOTAL]]&lt;=TablaSTOCKINV[[#This Row],[MIN]],2,TablaSTOCKINV[[#This Row],[CANT. TOTAL]]&gt;TablaSTOCKINV[[#This Row],[MIN]],3)</f>
        <v>3</v>
      </c>
      <c r="N1376" s="34">
        <f>TablaSTOCKINV[[#This Row],[ENTRADAS]]-TablaSTOCKINV[[#This Row],[SALIDAS]]</f>
        <v>183</v>
      </c>
      <c r="O1376" s="35">
        <f>SUMIFS(TablaENTRADA[CANT],TablaENTRADA[SKU],TablaSTOCKINV[[#This Row],[SKU]])</f>
        <v>183</v>
      </c>
      <c r="P1376" s="35">
        <f>SUMIFS(TablaSALIDA[CANT],TablaSALIDA[SKU],TablaSTOCKINV[[#This Row],[SKU]])</f>
        <v>0</v>
      </c>
      <c r="Q1376" s="34">
        <f>_xlfn.XLOOKUP(TablaSTOCKINV[[#This Row],[SKU]],TablaINVENTARIO[SKU],TablaINVENTARIO[PRECIO])</f>
        <v>0</v>
      </c>
      <c r="R1376" s="34">
        <f>TablaSTOCKINV[[#This Row],[P.UNITARIO]]*TablaSTOCKINV[[#This Row],[CANT. TOTAL]]</f>
        <v>0</v>
      </c>
      <c r="S1376" s="44">
        <f>_xlfn.XLOOKUP(TablaSTOCKINV[[#This Row],[SKU]],TablaINVENTARIO[SKU],TablaINVENTARIO[FECHA INGRESO])</f>
        <v>46023</v>
      </c>
      <c r="T1376" s="44">
        <f>_xlfn.XLOOKUP(TablaSTOCKINV[[#This Row],[SKU]],TablaENTRADA[SKU],TablaENTRADA[FECHA],,0,-1)</f>
        <v>46023</v>
      </c>
      <c r="U1376" s="46" t="str">
        <f>IFERROR((_xlfn.XLOOKUP(TablaSTOCKINV[[#This Row],[SKU]],TablaSALIDA[SKU],TablaSALIDA[FECHA],,0,-1))," " )</f>
        <v xml:space="preserve"> </v>
      </c>
    </row>
    <row r="1377" spans="1:21" x14ac:dyDescent="0.3">
      <c r="A1377" s="27" t="s">
        <v>271</v>
      </c>
      <c r="B1377" s="32" t="str">
        <f>_xlfn.XLOOKUP(TablaSTOCKINV[[#This Row],[SKU]],TablaINVENTARIO[SKU],TablaINVENTARIO[DESCRIPCION])</f>
        <v xml:space="preserve">CARPETA MARRON TIPO OFICIO </v>
      </c>
      <c r="C1377" s="32" t="str">
        <f>_xlfn.XLOOKUP(TablaSTOCKINV[[#This Row],[SKU]],TablaINVENTARIO[SKU],TablaINVENTARIO[MARCA])</f>
        <v>N/A</v>
      </c>
      <c r="D1377" s="33" t="str">
        <f>_xlfn.XLOOKUP(TablaSTOCKINV[[#This Row],[SKU]],TablaINVENTARIO[SKU],TablaINVENTARIO[CATEGORIA])</f>
        <v>CONSUMIBLES</v>
      </c>
      <c r="E1377" s="33" t="str">
        <f>_xlfn.XLOOKUP(TablaSTOCKINV[[#This Row],[SKU]],TablaINVENTARIO[SKU],TablaINVENTARIO[SUBCATEGORIA])</f>
        <v>PAPELERIA</v>
      </c>
      <c r="F1377" s="33" t="str">
        <f>_xlfn.XLOOKUP(TablaSTOCKINV[[#This Row],[SKU]],TablaINVENTARIO[SKU],TablaINVENTARIO[ESTADO])</f>
        <v xml:space="preserve">NUEVO </v>
      </c>
      <c r="G1377" s="33" t="str">
        <f>_xlfn.XLOOKUP(TablaSTOCKINV[[#This Row],[SKU]],TablaINVENTARIO[SKU],TablaINVENTARIO[MEDIDA])</f>
        <v xml:space="preserve">UND </v>
      </c>
      <c r="H1377" s="33" t="str">
        <f>_xlfn.XLOOKUP(TablaSTOCKINV[[#This Row],[SKU]],TablaINVENTARIO[SKU],TablaINVENTARIO[SERIAL])</f>
        <v>N/A</v>
      </c>
      <c r="I1377" s="34">
        <f>_xlfn.XLOOKUP(TablaSTOCKINV[[#This Row],[SKU]],TablaINVENTARIO[SKU],TablaINVENTARIO[ALMACEN])</f>
        <v>0</v>
      </c>
      <c r="J1377" s="34" t="str">
        <f>_xlfn.XLOOKUP(TablaSTOCKINV[[#This Row],[SKU]],TablaINVENTARIO[SKU],TablaINVENTARIO[UBICACION])</f>
        <v>1D</v>
      </c>
      <c r="K1377" s="34" t="str">
        <f>_xlfn.XLOOKUP(TablaSTOCKINV[[#This Row],[SKU]],TablaINVENTARIO[SKU],TablaINVENTARIO[DPTO RESPONSABLE])</f>
        <v xml:space="preserve">CONSUMO GENERAL </v>
      </c>
      <c r="L1377" s="53">
        <f>_xlfn.XLOOKUP(TablaSTOCKINV[[#This Row],[SKU]],TablaINVENTARIO[SKU],TablaINVENTARIO[RANGO MIN])</f>
        <v>0</v>
      </c>
      <c r="M1377" s="34" cm="1">
        <f t="array" ref="M1377">_xlfn.IFS(TablaSTOCKINV[[#This Row],[CANT. TOTAL]]&lt;=0,1,TablaSTOCKINV[[#This Row],[CANT. TOTAL]]&lt;=TablaSTOCKINV[[#This Row],[MIN]],2,TablaSTOCKINV[[#This Row],[CANT. TOTAL]]&gt;TablaSTOCKINV[[#This Row],[MIN]],3)</f>
        <v>3</v>
      </c>
      <c r="N1377" s="34">
        <f>TablaSTOCKINV[[#This Row],[ENTRADAS]]-TablaSTOCKINV[[#This Row],[SALIDAS]]</f>
        <v>85</v>
      </c>
      <c r="O1377" s="35">
        <f>SUMIFS(TablaENTRADA[CANT],TablaENTRADA[SKU],TablaSTOCKINV[[#This Row],[SKU]])</f>
        <v>85</v>
      </c>
      <c r="P1377" s="35">
        <f>SUMIFS(TablaSALIDA[CANT],TablaSALIDA[SKU],TablaSTOCKINV[[#This Row],[SKU]])</f>
        <v>0</v>
      </c>
      <c r="Q1377" s="34">
        <f>_xlfn.XLOOKUP(TablaSTOCKINV[[#This Row],[SKU]],TablaINVENTARIO[SKU],TablaINVENTARIO[PRECIO])</f>
        <v>0</v>
      </c>
      <c r="R1377" s="34">
        <f>TablaSTOCKINV[[#This Row],[P.UNITARIO]]*TablaSTOCKINV[[#This Row],[CANT. TOTAL]]</f>
        <v>0</v>
      </c>
      <c r="S1377" s="44">
        <f>_xlfn.XLOOKUP(TablaSTOCKINV[[#This Row],[SKU]],TablaINVENTARIO[SKU],TablaINVENTARIO[FECHA INGRESO])</f>
        <v>46023</v>
      </c>
      <c r="T1377" s="44">
        <f>_xlfn.XLOOKUP(TablaSTOCKINV[[#This Row],[SKU]],TablaENTRADA[SKU],TablaENTRADA[FECHA],,0,-1)</f>
        <v>46023</v>
      </c>
      <c r="U1377" s="46" t="str">
        <f>IFERROR((_xlfn.XLOOKUP(TablaSTOCKINV[[#This Row],[SKU]],TablaSALIDA[SKU],TablaSALIDA[FECHA],,0,-1))," " )</f>
        <v xml:space="preserve"> </v>
      </c>
    </row>
    <row r="1378" spans="1:21" x14ac:dyDescent="0.3">
      <c r="A1378" s="27" t="s">
        <v>273</v>
      </c>
      <c r="B1378" s="32" t="str">
        <f>_xlfn.XLOOKUP(TablaSTOCKINV[[#This Row],[SKU]],TablaINVENTARIO[SKU],TablaINVENTARIO[DESCRIPCION])</f>
        <v xml:space="preserve">PAPEL CARBON </v>
      </c>
      <c r="C1378" s="32" t="str">
        <f>_xlfn.XLOOKUP(TablaSTOCKINV[[#This Row],[SKU]],TablaINVENTARIO[SKU],TablaINVENTARIO[MARCA])</f>
        <v xml:space="preserve">KORES </v>
      </c>
      <c r="D1378" s="33" t="str">
        <f>_xlfn.XLOOKUP(TablaSTOCKINV[[#This Row],[SKU]],TablaINVENTARIO[SKU],TablaINVENTARIO[CATEGORIA])</f>
        <v>CONSUMIBLES</v>
      </c>
      <c r="E1378" s="33" t="str">
        <f>_xlfn.XLOOKUP(TablaSTOCKINV[[#This Row],[SKU]],TablaINVENTARIO[SKU],TablaINVENTARIO[SUBCATEGORIA])</f>
        <v>PAPELERIA</v>
      </c>
      <c r="F1378" s="33" t="str">
        <f>_xlfn.XLOOKUP(TablaSTOCKINV[[#This Row],[SKU]],TablaINVENTARIO[SKU],TablaINVENTARIO[ESTADO])</f>
        <v xml:space="preserve">NUEVO </v>
      </c>
      <c r="G1378" s="33" t="str">
        <f>_xlfn.XLOOKUP(TablaSTOCKINV[[#This Row],[SKU]],TablaINVENTARIO[SKU],TablaINVENTARIO[MEDIDA])</f>
        <v xml:space="preserve">UND </v>
      </c>
      <c r="H1378" s="33" t="str">
        <f>_xlfn.XLOOKUP(TablaSTOCKINV[[#This Row],[SKU]],TablaINVENTARIO[SKU],TablaINVENTARIO[SERIAL])</f>
        <v>N/A</v>
      </c>
      <c r="I1378" s="34">
        <f>_xlfn.XLOOKUP(TablaSTOCKINV[[#This Row],[SKU]],TablaINVENTARIO[SKU],TablaINVENTARIO[ALMACEN])</f>
        <v>0</v>
      </c>
      <c r="J1378" s="34" t="str">
        <f>_xlfn.XLOOKUP(TablaSTOCKINV[[#This Row],[SKU]],TablaINVENTARIO[SKU],TablaINVENTARIO[UBICACION])</f>
        <v>1D</v>
      </c>
      <c r="K1378" s="34" t="str">
        <f>_xlfn.XLOOKUP(TablaSTOCKINV[[#This Row],[SKU]],TablaINVENTARIO[SKU],TablaINVENTARIO[DPTO RESPONSABLE])</f>
        <v xml:space="preserve">CONSUMO GENERAL </v>
      </c>
      <c r="L1378" s="53">
        <f>_xlfn.XLOOKUP(TablaSTOCKINV[[#This Row],[SKU]],TablaINVENTARIO[SKU],TablaINVENTARIO[RANGO MIN])</f>
        <v>0</v>
      </c>
      <c r="M1378" s="34" cm="1">
        <f t="array" ref="M1378">_xlfn.IFS(TablaSTOCKINV[[#This Row],[CANT. TOTAL]]&lt;=0,1,TablaSTOCKINV[[#This Row],[CANT. TOTAL]]&lt;=TablaSTOCKINV[[#This Row],[MIN]],2,TablaSTOCKINV[[#This Row],[CANT. TOTAL]]&gt;TablaSTOCKINV[[#This Row],[MIN]],3)</f>
        <v>3</v>
      </c>
      <c r="N1378" s="34">
        <f>TablaSTOCKINV[[#This Row],[ENTRADAS]]-TablaSTOCKINV[[#This Row],[SALIDAS]]</f>
        <v>4</v>
      </c>
      <c r="O1378" s="35">
        <f>SUMIFS(TablaENTRADA[CANT],TablaENTRADA[SKU],TablaSTOCKINV[[#This Row],[SKU]])</f>
        <v>4</v>
      </c>
      <c r="P1378" s="35">
        <f>SUMIFS(TablaSALIDA[CANT],TablaSALIDA[SKU],TablaSTOCKINV[[#This Row],[SKU]])</f>
        <v>0</v>
      </c>
      <c r="Q1378" s="34">
        <f>_xlfn.XLOOKUP(TablaSTOCKINV[[#This Row],[SKU]],TablaINVENTARIO[SKU],TablaINVENTARIO[PRECIO])</f>
        <v>0</v>
      </c>
      <c r="R1378" s="34">
        <f>TablaSTOCKINV[[#This Row],[P.UNITARIO]]*TablaSTOCKINV[[#This Row],[CANT. TOTAL]]</f>
        <v>0</v>
      </c>
      <c r="S1378" s="44">
        <f>_xlfn.XLOOKUP(TablaSTOCKINV[[#This Row],[SKU]],TablaINVENTARIO[SKU],TablaINVENTARIO[FECHA INGRESO])</f>
        <v>46023</v>
      </c>
      <c r="T1378" s="44">
        <f>_xlfn.XLOOKUP(TablaSTOCKINV[[#This Row],[SKU]],TablaENTRADA[SKU],TablaENTRADA[FECHA],,0,-1)</f>
        <v>46023</v>
      </c>
      <c r="U1378" s="46" t="str">
        <f>IFERROR((_xlfn.XLOOKUP(TablaSTOCKINV[[#This Row],[SKU]],TablaSALIDA[SKU],TablaSALIDA[FECHA],,0,-1))," " )</f>
        <v xml:space="preserve"> </v>
      </c>
    </row>
    <row r="1379" spans="1:21" x14ac:dyDescent="0.3">
      <c r="A1379" s="27" t="s">
        <v>275</v>
      </c>
      <c r="B1379" s="32" t="str">
        <f>_xlfn.XLOOKUP(TablaSTOCKINV[[#This Row],[SKU]],TablaINVENTARIO[SKU],TablaINVENTARIO[DESCRIPCION])</f>
        <v xml:space="preserve">FUNDAS PROTECTORAS TIPO CARTA </v>
      </c>
      <c r="C1379" s="32" t="str">
        <f>_xlfn.XLOOKUP(TablaSTOCKINV[[#This Row],[SKU]],TablaINVENTARIO[SKU],TablaINVENTARIO[MARCA])</f>
        <v xml:space="preserve">CRISVI </v>
      </c>
      <c r="D1379" s="33" t="str">
        <f>_xlfn.XLOOKUP(TablaSTOCKINV[[#This Row],[SKU]],TablaINVENTARIO[SKU],TablaINVENTARIO[CATEGORIA])</f>
        <v>CONSUMIBLES</v>
      </c>
      <c r="E1379" s="33" t="str">
        <f>_xlfn.XLOOKUP(TablaSTOCKINV[[#This Row],[SKU]],TablaINVENTARIO[SKU],TablaINVENTARIO[SUBCATEGORIA])</f>
        <v>PAPELERIA</v>
      </c>
      <c r="F1379" s="33" t="str">
        <f>_xlfn.XLOOKUP(TablaSTOCKINV[[#This Row],[SKU]],TablaINVENTARIO[SKU],TablaINVENTARIO[ESTADO])</f>
        <v xml:space="preserve">NUEVO </v>
      </c>
      <c r="G1379" s="33" t="str">
        <f>_xlfn.XLOOKUP(TablaSTOCKINV[[#This Row],[SKU]],TablaINVENTARIO[SKU],TablaINVENTARIO[MEDIDA])</f>
        <v xml:space="preserve">UND </v>
      </c>
      <c r="H1379" s="33" t="str">
        <f>_xlfn.XLOOKUP(TablaSTOCKINV[[#This Row],[SKU]],TablaINVENTARIO[SKU],TablaINVENTARIO[SERIAL])</f>
        <v>N/A</v>
      </c>
      <c r="I1379" s="34">
        <f>_xlfn.XLOOKUP(TablaSTOCKINV[[#This Row],[SKU]],TablaINVENTARIO[SKU],TablaINVENTARIO[ALMACEN])</f>
        <v>0</v>
      </c>
      <c r="J1379" s="34" t="str">
        <f>_xlfn.XLOOKUP(TablaSTOCKINV[[#This Row],[SKU]],TablaINVENTARIO[SKU],TablaINVENTARIO[UBICACION])</f>
        <v>1D</v>
      </c>
      <c r="K1379" s="34" t="str">
        <f>_xlfn.XLOOKUP(TablaSTOCKINV[[#This Row],[SKU]],TablaINVENTARIO[SKU],TablaINVENTARIO[DPTO RESPONSABLE])</f>
        <v xml:space="preserve">CONSUMO GENERAL </v>
      </c>
      <c r="L1379" s="53">
        <f>_xlfn.XLOOKUP(TablaSTOCKINV[[#This Row],[SKU]],TablaINVENTARIO[SKU],TablaINVENTARIO[RANGO MIN])</f>
        <v>0</v>
      </c>
      <c r="M1379" s="34" cm="1">
        <f t="array" ref="M1379">_xlfn.IFS(TablaSTOCKINV[[#This Row],[CANT. TOTAL]]&lt;=0,1,TablaSTOCKINV[[#This Row],[CANT. TOTAL]]&lt;=TablaSTOCKINV[[#This Row],[MIN]],2,TablaSTOCKINV[[#This Row],[CANT. TOTAL]]&gt;TablaSTOCKINV[[#This Row],[MIN]],3)</f>
        <v>3</v>
      </c>
      <c r="N1379" s="34">
        <f>TablaSTOCKINV[[#This Row],[ENTRADAS]]-TablaSTOCKINV[[#This Row],[SALIDAS]]</f>
        <v>200</v>
      </c>
      <c r="O1379" s="35">
        <f>SUMIFS(TablaENTRADA[CANT],TablaENTRADA[SKU],TablaSTOCKINV[[#This Row],[SKU]])</f>
        <v>200</v>
      </c>
      <c r="P1379" s="35">
        <f>SUMIFS(TablaSALIDA[CANT],TablaSALIDA[SKU],TablaSTOCKINV[[#This Row],[SKU]])</f>
        <v>0</v>
      </c>
      <c r="Q1379" s="34">
        <f>_xlfn.XLOOKUP(TablaSTOCKINV[[#This Row],[SKU]],TablaINVENTARIO[SKU],TablaINVENTARIO[PRECIO])</f>
        <v>0</v>
      </c>
      <c r="R1379" s="34">
        <f>TablaSTOCKINV[[#This Row],[P.UNITARIO]]*TablaSTOCKINV[[#This Row],[CANT. TOTAL]]</f>
        <v>0</v>
      </c>
      <c r="S1379" s="44">
        <f>_xlfn.XLOOKUP(TablaSTOCKINV[[#This Row],[SKU]],TablaINVENTARIO[SKU],TablaINVENTARIO[FECHA INGRESO])</f>
        <v>46023</v>
      </c>
      <c r="T1379" s="44">
        <f>_xlfn.XLOOKUP(TablaSTOCKINV[[#This Row],[SKU]],TablaENTRADA[SKU],TablaENTRADA[FECHA],,0,-1)</f>
        <v>46023</v>
      </c>
      <c r="U1379" s="46" t="str">
        <f>IFERROR((_xlfn.XLOOKUP(TablaSTOCKINV[[#This Row],[SKU]],TablaSALIDA[SKU],TablaSALIDA[FECHA],,0,-1))," " )</f>
        <v xml:space="preserve"> </v>
      </c>
    </row>
    <row r="1380" spans="1:21" x14ac:dyDescent="0.3">
      <c r="A1380" s="27" t="s">
        <v>277</v>
      </c>
      <c r="B1380" s="32" t="str">
        <f>_xlfn.XLOOKUP(TablaSTOCKINV[[#This Row],[SKU]],TablaINVENTARIO[SKU],TablaINVENTARIO[DESCRIPCION])</f>
        <v>PORTA CARNET 5,5 X 8,5 CM</v>
      </c>
      <c r="C1380" s="32" t="str">
        <f>_xlfn.XLOOKUP(TablaSTOCKINV[[#This Row],[SKU]],TablaINVENTARIO[SKU],TablaINVENTARIO[MARCA])</f>
        <v xml:space="preserve">POINTER </v>
      </c>
      <c r="D1380" s="33" t="str">
        <f>_xlfn.XLOOKUP(TablaSTOCKINV[[#This Row],[SKU]],TablaINVENTARIO[SKU],TablaINVENTARIO[CATEGORIA])</f>
        <v>CONSUMIBLES</v>
      </c>
      <c r="E1380" s="33" t="str">
        <f>_xlfn.XLOOKUP(TablaSTOCKINV[[#This Row],[SKU]],TablaINVENTARIO[SKU],TablaINVENTARIO[SUBCATEGORIA])</f>
        <v>PAPELERIA</v>
      </c>
      <c r="F1380" s="33" t="str">
        <f>_xlfn.XLOOKUP(TablaSTOCKINV[[#This Row],[SKU]],TablaINVENTARIO[SKU],TablaINVENTARIO[ESTADO])</f>
        <v xml:space="preserve">NUEVO </v>
      </c>
      <c r="G1380" s="33" t="str">
        <f>_xlfn.XLOOKUP(TablaSTOCKINV[[#This Row],[SKU]],TablaINVENTARIO[SKU],TablaINVENTARIO[MEDIDA])</f>
        <v xml:space="preserve">UND </v>
      </c>
      <c r="H1380" s="33" t="str">
        <f>_xlfn.XLOOKUP(TablaSTOCKINV[[#This Row],[SKU]],TablaINVENTARIO[SKU],TablaINVENTARIO[SERIAL])</f>
        <v>N/A</v>
      </c>
      <c r="I1380" s="34">
        <f>_xlfn.XLOOKUP(TablaSTOCKINV[[#This Row],[SKU]],TablaINVENTARIO[SKU],TablaINVENTARIO[ALMACEN])</f>
        <v>0</v>
      </c>
      <c r="J1380" s="34" t="str">
        <f>_xlfn.XLOOKUP(TablaSTOCKINV[[#This Row],[SKU]],TablaINVENTARIO[SKU],TablaINVENTARIO[UBICACION])</f>
        <v>1D</v>
      </c>
      <c r="K1380" s="34" t="str">
        <f>_xlfn.XLOOKUP(TablaSTOCKINV[[#This Row],[SKU]],TablaINVENTARIO[SKU],TablaINVENTARIO[DPTO RESPONSABLE])</f>
        <v xml:space="preserve">CONSUMO GENERAL </v>
      </c>
      <c r="L1380" s="53">
        <f>_xlfn.XLOOKUP(TablaSTOCKINV[[#This Row],[SKU]],TablaINVENTARIO[SKU],TablaINVENTARIO[RANGO MIN])</f>
        <v>0</v>
      </c>
      <c r="M1380" s="34" cm="1">
        <f t="array" ref="M1380">_xlfn.IFS(TablaSTOCKINV[[#This Row],[CANT. TOTAL]]&lt;=0,1,TablaSTOCKINV[[#This Row],[CANT. TOTAL]]&lt;=TablaSTOCKINV[[#This Row],[MIN]],2,TablaSTOCKINV[[#This Row],[CANT. TOTAL]]&gt;TablaSTOCKINV[[#This Row],[MIN]],3)</f>
        <v>3</v>
      </c>
      <c r="N1380" s="34">
        <f>TablaSTOCKINV[[#This Row],[ENTRADAS]]-TablaSTOCKINV[[#This Row],[SALIDAS]]</f>
        <v>42</v>
      </c>
      <c r="O1380" s="35">
        <f>SUMIFS(TablaENTRADA[CANT],TablaENTRADA[SKU],TablaSTOCKINV[[#This Row],[SKU]])</f>
        <v>42</v>
      </c>
      <c r="P1380" s="35">
        <f>SUMIFS(TablaSALIDA[CANT],TablaSALIDA[SKU],TablaSTOCKINV[[#This Row],[SKU]])</f>
        <v>0</v>
      </c>
      <c r="Q1380" s="34">
        <f>_xlfn.XLOOKUP(TablaSTOCKINV[[#This Row],[SKU]],TablaINVENTARIO[SKU],TablaINVENTARIO[PRECIO])</f>
        <v>0</v>
      </c>
      <c r="R1380" s="34">
        <f>TablaSTOCKINV[[#This Row],[P.UNITARIO]]*TablaSTOCKINV[[#This Row],[CANT. TOTAL]]</f>
        <v>0</v>
      </c>
      <c r="S1380" s="44">
        <f>_xlfn.XLOOKUP(TablaSTOCKINV[[#This Row],[SKU]],TablaINVENTARIO[SKU],TablaINVENTARIO[FECHA INGRESO])</f>
        <v>46023</v>
      </c>
      <c r="T1380" s="44">
        <f>_xlfn.XLOOKUP(TablaSTOCKINV[[#This Row],[SKU]],TablaENTRADA[SKU],TablaENTRADA[FECHA],,0,-1)</f>
        <v>46023</v>
      </c>
      <c r="U1380" s="46" t="str">
        <f>IFERROR((_xlfn.XLOOKUP(TablaSTOCKINV[[#This Row],[SKU]],TablaSALIDA[SKU],TablaSALIDA[FECHA],,0,-1))," " )</f>
        <v xml:space="preserve"> </v>
      </c>
    </row>
    <row r="1381" spans="1:21" x14ac:dyDescent="0.3">
      <c r="A1381" s="27" t="s">
        <v>279</v>
      </c>
      <c r="B1381" s="32" t="str">
        <f>_xlfn.XLOOKUP(TablaSTOCKINV[[#This Row],[SKU]],TablaINVENTARIO[SKU],TablaINVENTARIO[DESCRIPCION])</f>
        <v xml:space="preserve">CINTA PARA PORTA CARNET </v>
      </c>
      <c r="C1381" s="32" t="str">
        <f>_xlfn.XLOOKUP(TablaSTOCKINV[[#This Row],[SKU]],TablaINVENTARIO[SKU],TablaINVENTARIO[MARCA])</f>
        <v>N/A</v>
      </c>
      <c r="D1381" s="33" t="str">
        <f>_xlfn.XLOOKUP(TablaSTOCKINV[[#This Row],[SKU]],TablaINVENTARIO[SKU],TablaINVENTARIO[CATEGORIA])</f>
        <v>CONSUMIBLES</v>
      </c>
      <c r="E1381" s="33" t="str">
        <f>_xlfn.XLOOKUP(TablaSTOCKINV[[#This Row],[SKU]],TablaINVENTARIO[SKU],TablaINVENTARIO[SUBCATEGORIA])</f>
        <v>PAPELERIA</v>
      </c>
      <c r="F1381" s="33" t="str">
        <f>_xlfn.XLOOKUP(TablaSTOCKINV[[#This Row],[SKU]],TablaINVENTARIO[SKU],TablaINVENTARIO[ESTADO])</f>
        <v xml:space="preserve">NUEVO </v>
      </c>
      <c r="G1381" s="33" t="str">
        <f>_xlfn.XLOOKUP(TablaSTOCKINV[[#This Row],[SKU]],TablaINVENTARIO[SKU],TablaINVENTARIO[MEDIDA])</f>
        <v xml:space="preserve">UND </v>
      </c>
      <c r="H1381" s="33" t="str">
        <f>_xlfn.XLOOKUP(TablaSTOCKINV[[#This Row],[SKU]],TablaINVENTARIO[SKU],TablaINVENTARIO[SERIAL])</f>
        <v>N/A</v>
      </c>
      <c r="I1381" s="34">
        <f>_xlfn.XLOOKUP(TablaSTOCKINV[[#This Row],[SKU]],TablaINVENTARIO[SKU],TablaINVENTARIO[ALMACEN])</f>
        <v>0</v>
      </c>
      <c r="J1381" s="34" t="str">
        <f>_xlfn.XLOOKUP(TablaSTOCKINV[[#This Row],[SKU]],TablaINVENTARIO[SKU],TablaINVENTARIO[UBICACION])</f>
        <v>1D</v>
      </c>
      <c r="K1381" s="34" t="str">
        <f>_xlfn.XLOOKUP(TablaSTOCKINV[[#This Row],[SKU]],TablaINVENTARIO[SKU],TablaINVENTARIO[DPTO RESPONSABLE])</f>
        <v xml:space="preserve">CONSUMO GENERAL </v>
      </c>
      <c r="L1381" s="53">
        <f>_xlfn.XLOOKUP(TablaSTOCKINV[[#This Row],[SKU]],TablaINVENTARIO[SKU],TablaINVENTARIO[RANGO MIN])</f>
        <v>0</v>
      </c>
      <c r="M1381" s="34" cm="1">
        <f t="array" ref="M1381">_xlfn.IFS(TablaSTOCKINV[[#This Row],[CANT. TOTAL]]&lt;=0,1,TablaSTOCKINV[[#This Row],[CANT. TOTAL]]&lt;=TablaSTOCKINV[[#This Row],[MIN]],2,TablaSTOCKINV[[#This Row],[CANT. TOTAL]]&gt;TablaSTOCKINV[[#This Row],[MIN]],3)</f>
        <v>3</v>
      </c>
      <c r="N1381" s="34">
        <f>TablaSTOCKINV[[#This Row],[ENTRADAS]]-TablaSTOCKINV[[#This Row],[SALIDAS]]</f>
        <v>42</v>
      </c>
      <c r="O1381" s="35">
        <f>SUMIFS(TablaENTRADA[CANT],TablaENTRADA[SKU],TablaSTOCKINV[[#This Row],[SKU]])</f>
        <v>42</v>
      </c>
      <c r="P1381" s="35">
        <f>SUMIFS(TablaSALIDA[CANT],TablaSALIDA[SKU],TablaSTOCKINV[[#This Row],[SKU]])</f>
        <v>0</v>
      </c>
      <c r="Q1381" s="34">
        <f>_xlfn.XLOOKUP(TablaSTOCKINV[[#This Row],[SKU]],TablaINVENTARIO[SKU],TablaINVENTARIO[PRECIO])</f>
        <v>0</v>
      </c>
      <c r="R1381" s="34">
        <f>TablaSTOCKINV[[#This Row],[P.UNITARIO]]*TablaSTOCKINV[[#This Row],[CANT. TOTAL]]</f>
        <v>0</v>
      </c>
      <c r="S1381" s="44">
        <f>_xlfn.XLOOKUP(TablaSTOCKINV[[#This Row],[SKU]],TablaINVENTARIO[SKU],TablaINVENTARIO[FECHA INGRESO])</f>
        <v>46023</v>
      </c>
      <c r="T1381" s="44">
        <f>_xlfn.XLOOKUP(TablaSTOCKINV[[#This Row],[SKU]],TablaENTRADA[SKU],TablaENTRADA[FECHA],,0,-1)</f>
        <v>46023</v>
      </c>
      <c r="U1381" s="46" t="str">
        <f>IFERROR((_xlfn.XLOOKUP(TablaSTOCKINV[[#This Row],[SKU]],TablaSALIDA[SKU],TablaSALIDA[FECHA],,0,-1))," " )</f>
        <v xml:space="preserve"> </v>
      </c>
    </row>
    <row r="1382" spans="1:21" x14ac:dyDescent="0.3">
      <c r="A1382" s="27" t="s">
        <v>281</v>
      </c>
      <c r="B1382" s="32" t="str">
        <f>_xlfn.XLOOKUP(TablaSTOCKINV[[#This Row],[SKU]],TablaINVENTARIO[SKU],TablaINVENTARIO[DESCRIPCION])</f>
        <v xml:space="preserve">BRAZALETE PORTA CARNET FLUORESCENTE </v>
      </c>
      <c r="C1382" s="32" t="str">
        <f>_xlfn.XLOOKUP(TablaSTOCKINV[[#This Row],[SKU]],TablaINVENTARIO[SKU],TablaINVENTARIO[MARCA])</f>
        <v>N/A</v>
      </c>
      <c r="D1382" s="33" t="str">
        <f>_xlfn.XLOOKUP(TablaSTOCKINV[[#This Row],[SKU]],TablaINVENTARIO[SKU],TablaINVENTARIO[CATEGORIA])</f>
        <v>CONSUMIBLES</v>
      </c>
      <c r="E1382" s="33" t="str">
        <f>_xlfn.XLOOKUP(TablaSTOCKINV[[#This Row],[SKU]],TablaINVENTARIO[SKU],TablaINVENTARIO[SUBCATEGORIA])</f>
        <v>PAPELERIA</v>
      </c>
      <c r="F1382" s="33" t="str">
        <f>_xlfn.XLOOKUP(TablaSTOCKINV[[#This Row],[SKU]],TablaINVENTARIO[SKU],TablaINVENTARIO[ESTADO])</f>
        <v xml:space="preserve">NUEVO </v>
      </c>
      <c r="G1382" s="33" t="str">
        <f>_xlfn.XLOOKUP(TablaSTOCKINV[[#This Row],[SKU]],TablaINVENTARIO[SKU],TablaINVENTARIO[MEDIDA])</f>
        <v xml:space="preserve">UND </v>
      </c>
      <c r="H1382" s="33" t="str">
        <f>_xlfn.XLOOKUP(TablaSTOCKINV[[#This Row],[SKU]],TablaINVENTARIO[SKU],TablaINVENTARIO[SERIAL])</f>
        <v>N/A</v>
      </c>
      <c r="I1382" s="34">
        <f>_xlfn.XLOOKUP(TablaSTOCKINV[[#This Row],[SKU]],TablaINVENTARIO[SKU],TablaINVENTARIO[ALMACEN])</f>
        <v>0</v>
      </c>
      <c r="J1382" s="34" t="str">
        <f>_xlfn.XLOOKUP(TablaSTOCKINV[[#This Row],[SKU]],TablaINVENTARIO[SKU],TablaINVENTARIO[UBICACION])</f>
        <v>1D</v>
      </c>
      <c r="K1382" s="34" t="str">
        <f>_xlfn.XLOOKUP(TablaSTOCKINV[[#This Row],[SKU]],TablaINVENTARIO[SKU],TablaINVENTARIO[DPTO RESPONSABLE])</f>
        <v xml:space="preserve">CONSUMO GENERAL </v>
      </c>
      <c r="L1382" s="53">
        <f>_xlfn.XLOOKUP(TablaSTOCKINV[[#This Row],[SKU]],TablaINVENTARIO[SKU],TablaINVENTARIO[RANGO MIN])</f>
        <v>0</v>
      </c>
      <c r="M1382" s="34" cm="1">
        <f t="array" ref="M1382">_xlfn.IFS(TablaSTOCKINV[[#This Row],[CANT. TOTAL]]&lt;=0,1,TablaSTOCKINV[[#This Row],[CANT. TOTAL]]&lt;=TablaSTOCKINV[[#This Row],[MIN]],2,TablaSTOCKINV[[#This Row],[CANT. TOTAL]]&gt;TablaSTOCKINV[[#This Row],[MIN]],3)</f>
        <v>3</v>
      </c>
      <c r="N1382" s="34">
        <f>TablaSTOCKINV[[#This Row],[ENTRADAS]]-TablaSTOCKINV[[#This Row],[SALIDAS]]</f>
        <v>20</v>
      </c>
      <c r="O1382" s="35">
        <f>SUMIFS(TablaENTRADA[CANT],TablaENTRADA[SKU],TablaSTOCKINV[[#This Row],[SKU]])</f>
        <v>20</v>
      </c>
      <c r="P1382" s="35">
        <f>SUMIFS(TablaSALIDA[CANT],TablaSALIDA[SKU],TablaSTOCKINV[[#This Row],[SKU]])</f>
        <v>0</v>
      </c>
      <c r="Q1382" s="34">
        <f>_xlfn.XLOOKUP(TablaSTOCKINV[[#This Row],[SKU]],TablaINVENTARIO[SKU],TablaINVENTARIO[PRECIO])</f>
        <v>0</v>
      </c>
      <c r="R1382" s="34">
        <f>TablaSTOCKINV[[#This Row],[P.UNITARIO]]*TablaSTOCKINV[[#This Row],[CANT. TOTAL]]</f>
        <v>0</v>
      </c>
      <c r="S1382" s="44">
        <f>_xlfn.XLOOKUP(TablaSTOCKINV[[#This Row],[SKU]],TablaINVENTARIO[SKU],TablaINVENTARIO[FECHA INGRESO])</f>
        <v>46023</v>
      </c>
      <c r="T1382" s="44">
        <f>_xlfn.XLOOKUP(TablaSTOCKINV[[#This Row],[SKU]],TablaENTRADA[SKU],TablaENTRADA[FECHA],,0,-1)</f>
        <v>46023</v>
      </c>
      <c r="U1382" s="46" t="str">
        <f>IFERROR((_xlfn.XLOOKUP(TablaSTOCKINV[[#This Row],[SKU]],TablaSALIDA[SKU],TablaSALIDA[FECHA],,0,-1))," " )</f>
        <v xml:space="preserve"> </v>
      </c>
    </row>
    <row r="1383" spans="1:21" x14ac:dyDescent="0.3">
      <c r="A1383" s="27" t="s">
        <v>283</v>
      </c>
      <c r="B1383" s="32" t="str">
        <f>_xlfn.XLOOKUP(TablaSTOCKINV[[#This Row],[SKU]],TablaINVENTARIO[SKU],TablaINVENTARIO[DESCRIPCION])</f>
        <v xml:space="preserve">BRAZALETE PORTA CARNET FLUORESCENTE </v>
      </c>
      <c r="C1383" s="32" t="str">
        <f>_xlfn.XLOOKUP(TablaSTOCKINV[[#This Row],[SKU]],TablaINVENTARIO[SKU],TablaINVENTARIO[MARCA])</f>
        <v>N/A</v>
      </c>
      <c r="D1383" s="33" t="str">
        <f>_xlfn.XLOOKUP(TablaSTOCKINV[[#This Row],[SKU]],TablaINVENTARIO[SKU],TablaINVENTARIO[CATEGORIA])</f>
        <v>CONSUMIBLES</v>
      </c>
      <c r="E1383" s="33" t="str">
        <f>_xlfn.XLOOKUP(TablaSTOCKINV[[#This Row],[SKU]],TablaINVENTARIO[SKU],TablaINVENTARIO[SUBCATEGORIA])</f>
        <v>PAPELERIA</v>
      </c>
      <c r="F1383" s="33" t="str">
        <f>_xlfn.XLOOKUP(TablaSTOCKINV[[#This Row],[SKU]],TablaINVENTARIO[SKU],TablaINVENTARIO[ESTADO])</f>
        <v>USADO</v>
      </c>
      <c r="G1383" s="33" t="str">
        <f>_xlfn.XLOOKUP(TablaSTOCKINV[[#This Row],[SKU]],TablaINVENTARIO[SKU],TablaINVENTARIO[MEDIDA])</f>
        <v xml:space="preserve">UND </v>
      </c>
      <c r="H1383" s="33" t="str">
        <f>_xlfn.XLOOKUP(TablaSTOCKINV[[#This Row],[SKU]],TablaINVENTARIO[SKU],TablaINVENTARIO[SERIAL])</f>
        <v>N/A</v>
      </c>
      <c r="I1383" s="34">
        <f>_xlfn.XLOOKUP(TablaSTOCKINV[[#This Row],[SKU]],TablaINVENTARIO[SKU],TablaINVENTARIO[ALMACEN])</f>
        <v>0</v>
      </c>
      <c r="J1383" s="34" t="str">
        <f>_xlfn.XLOOKUP(TablaSTOCKINV[[#This Row],[SKU]],TablaINVENTARIO[SKU],TablaINVENTARIO[UBICACION])</f>
        <v>1D</v>
      </c>
      <c r="K1383" s="34" t="str">
        <f>_xlfn.XLOOKUP(TablaSTOCKINV[[#This Row],[SKU]],TablaINVENTARIO[SKU],TablaINVENTARIO[DPTO RESPONSABLE])</f>
        <v xml:space="preserve">CONSUMO GENERAL </v>
      </c>
      <c r="L1383" s="53">
        <f>_xlfn.XLOOKUP(TablaSTOCKINV[[#This Row],[SKU]],TablaINVENTARIO[SKU],TablaINVENTARIO[RANGO MIN])</f>
        <v>0</v>
      </c>
      <c r="M1383" s="34" cm="1">
        <f t="array" ref="M1383">_xlfn.IFS(TablaSTOCKINV[[#This Row],[CANT. TOTAL]]&lt;=0,1,TablaSTOCKINV[[#This Row],[CANT. TOTAL]]&lt;=TablaSTOCKINV[[#This Row],[MIN]],2,TablaSTOCKINV[[#This Row],[CANT. TOTAL]]&gt;TablaSTOCKINV[[#This Row],[MIN]],3)</f>
        <v>3</v>
      </c>
      <c r="N1383" s="34">
        <f>TablaSTOCKINV[[#This Row],[ENTRADAS]]-TablaSTOCKINV[[#This Row],[SALIDAS]]</f>
        <v>11</v>
      </c>
      <c r="O1383" s="35">
        <f>SUMIFS(TablaENTRADA[CANT],TablaENTRADA[SKU],TablaSTOCKINV[[#This Row],[SKU]])</f>
        <v>11</v>
      </c>
      <c r="P1383" s="35">
        <f>SUMIFS(TablaSALIDA[CANT],TablaSALIDA[SKU],TablaSTOCKINV[[#This Row],[SKU]])</f>
        <v>0</v>
      </c>
      <c r="Q1383" s="34">
        <f>_xlfn.XLOOKUP(TablaSTOCKINV[[#This Row],[SKU]],TablaINVENTARIO[SKU],TablaINVENTARIO[PRECIO])</f>
        <v>0</v>
      </c>
      <c r="R1383" s="34">
        <f>TablaSTOCKINV[[#This Row],[P.UNITARIO]]*TablaSTOCKINV[[#This Row],[CANT. TOTAL]]</f>
        <v>0</v>
      </c>
      <c r="S1383" s="44">
        <f>_xlfn.XLOOKUP(TablaSTOCKINV[[#This Row],[SKU]],TablaINVENTARIO[SKU],TablaINVENTARIO[FECHA INGRESO])</f>
        <v>46023</v>
      </c>
      <c r="T1383" s="44">
        <f>_xlfn.XLOOKUP(TablaSTOCKINV[[#This Row],[SKU]],TablaENTRADA[SKU],TablaENTRADA[FECHA],,0,-1)</f>
        <v>46023</v>
      </c>
      <c r="U1383" s="46" t="str">
        <f>IFERROR((_xlfn.XLOOKUP(TablaSTOCKINV[[#This Row],[SKU]],TablaSALIDA[SKU],TablaSALIDA[FECHA],,0,-1))," " )</f>
        <v xml:space="preserve"> </v>
      </c>
    </row>
    <row r="1384" spans="1:21" x14ac:dyDescent="0.3">
      <c r="A1384" s="27" t="s">
        <v>284</v>
      </c>
      <c r="B1384" s="32" t="str">
        <f>_xlfn.XLOOKUP(TablaSTOCKINV[[#This Row],[SKU]],TablaINVENTARIO[SKU],TablaINVENTARIO[DESCRIPCION])</f>
        <v>PORTA CARNET AZUL</v>
      </c>
      <c r="C1384" s="32" t="str">
        <f>_xlfn.XLOOKUP(TablaSTOCKINV[[#This Row],[SKU]],TablaINVENTARIO[SKU],TablaINVENTARIO[MARCA])</f>
        <v>N/A</v>
      </c>
      <c r="D1384" s="33" t="str">
        <f>_xlfn.XLOOKUP(TablaSTOCKINV[[#This Row],[SKU]],TablaINVENTARIO[SKU],TablaINVENTARIO[CATEGORIA])</f>
        <v>CONSUMIBLES</v>
      </c>
      <c r="E1384" s="33" t="str">
        <f>_xlfn.XLOOKUP(TablaSTOCKINV[[#This Row],[SKU]],TablaINVENTARIO[SKU],TablaINVENTARIO[SUBCATEGORIA])</f>
        <v>PAPELERIA</v>
      </c>
      <c r="F1384" s="33" t="str">
        <f>_xlfn.XLOOKUP(TablaSTOCKINV[[#This Row],[SKU]],TablaINVENTARIO[SKU],TablaINVENTARIO[ESTADO])</f>
        <v xml:space="preserve">NUEVO </v>
      </c>
      <c r="G1384" s="33" t="str">
        <f>_xlfn.XLOOKUP(TablaSTOCKINV[[#This Row],[SKU]],TablaINVENTARIO[SKU],TablaINVENTARIO[MEDIDA])</f>
        <v xml:space="preserve">UND </v>
      </c>
      <c r="H1384" s="33" t="str">
        <f>_xlfn.XLOOKUP(TablaSTOCKINV[[#This Row],[SKU]],TablaINVENTARIO[SKU],TablaINVENTARIO[SERIAL])</f>
        <v>N/A</v>
      </c>
      <c r="I1384" s="34">
        <f>_xlfn.XLOOKUP(TablaSTOCKINV[[#This Row],[SKU]],TablaINVENTARIO[SKU],TablaINVENTARIO[ALMACEN])</f>
        <v>0</v>
      </c>
      <c r="J1384" s="34" t="str">
        <f>_xlfn.XLOOKUP(TablaSTOCKINV[[#This Row],[SKU]],TablaINVENTARIO[SKU],TablaINVENTARIO[UBICACION])</f>
        <v>1D</v>
      </c>
      <c r="K1384" s="34" t="str">
        <f>_xlfn.XLOOKUP(TablaSTOCKINV[[#This Row],[SKU]],TablaINVENTARIO[SKU],TablaINVENTARIO[DPTO RESPONSABLE])</f>
        <v xml:space="preserve">CONSUMO GENERAL </v>
      </c>
      <c r="L1384" s="53">
        <f>_xlfn.XLOOKUP(TablaSTOCKINV[[#This Row],[SKU]],TablaINVENTARIO[SKU],TablaINVENTARIO[RANGO MIN])</f>
        <v>0</v>
      </c>
      <c r="M1384" s="34" cm="1">
        <f t="array" ref="M1384">_xlfn.IFS(TablaSTOCKINV[[#This Row],[CANT. TOTAL]]&lt;=0,1,TablaSTOCKINV[[#This Row],[CANT. TOTAL]]&lt;=TablaSTOCKINV[[#This Row],[MIN]],2,TablaSTOCKINV[[#This Row],[CANT. TOTAL]]&gt;TablaSTOCKINV[[#This Row],[MIN]],3)</f>
        <v>3</v>
      </c>
      <c r="N1384" s="34">
        <f>TablaSTOCKINV[[#This Row],[ENTRADAS]]-TablaSTOCKINV[[#This Row],[SALIDAS]]</f>
        <v>28</v>
      </c>
      <c r="O1384" s="35">
        <f>SUMIFS(TablaENTRADA[CANT],TablaENTRADA[SKU],TablaSTOCKINV[[#This Row],[SKU]])</f>
        <v>28</v>
      </c>
      <c r="P1384" s="35">
        <f>SUMIFS(TablaSALIDA[CANT],TablaSALIDA[SKU],TablaSTOCKINV[[#This Row],[SKU]])</f>
        <v>0</v>
      </c>
      <c r="Q1384" s="34">
        <f>_xlfn.XLOOKUP(TablaSTOCKINV[[#This Row],[SKU]],TablaINVENTARIO[SKU],TablaINVENTARIO[PRECIO])</f>
        <v>0</v>
      </c>
      <c r="R1384" s="34">
        <f>TablaSTOCKINV[[#This Row],[P.UNITARIO]]*TablaSTOCKINV[[#This Row],[CANT. TOTAL]]</f>
        <v>0</v>
      </c>
      <c r="S1384" s="44">
        <f>_xlfn.XLOOKUP(TablaSTOCKINV[[#This Row],[SKU]],TablaINVENTARIO[SKU],TablaINVENTARIO[FECHA INGRESO])</f>
        <v>46023</v>
      </c>
      <c r="T1384" s="44">
        <f>_xlfn.XLOOKUP(TablaSTOCKINV[[#This Row],[SKU]],TablaENTRADA[SKU],TablaENTRADA[FECHA],,0,-1)</f>
        <v>46023</v>
      </c>
      <c r="U1384" s="46" t="str">
        <f>IFERROR((_xlfn.XLOOKUP(TablaSTOCKINV[[#This Row],[SKU]],TablaSALIDA[SKU],TablaSALIDA[FECHA],,0,-1))," " )</f>
        <v xml:space="preserve"> </v>
      </c>
    </row>
    <row r="1385" spans="1:21" x14ac:dyDescent="0.3">
      <c r="A1385" s="27" t="s">
        <v>286</v>
      </c>
      <c r="B1385" s="32" t="str">
        <f>_xlfn.XLOOKUP(TablaSTOCKINV[[#This Row],[SKU]],TablaINVENTARIO[SKU],TablaINVENTARIO[DESCRIPCION])</f>
        <v xml:space="preserve">PORTA CARNET NEGRO </v>
      </c>
      <c r="C1385" s="32" t="str">
        <f>_xlfn.XLOOKUP(TablaSTOCKINV[[#This Row],[SKU]],TablaINVENTARIO[SKU],TablaINVENTARIO[MARCA])</f>
        <v>N/A</v>
      </c>
      <c r="D1385" s="33" t="str">
        <f>_xlfn.XLOOKUP(TablaSTOCKINV[[#This Row],[SKU]],TablaINVENTARIO[SKU],TablaINVENTARIO[CATEGORIA])</f>
        <v>CONSUMIBLES</v>
      </c>
      <c r="E1385" s="33" t="str">
        <f>_xlfn.XLOOKUP(TablaSTOCKINV[[#This Row],[SKU]],TablaINVENTARIO[SKU],TablaINVENTARIO[SUBCATEGORIA])</f>
        <v>PAPELERIA</v>
      </c>
      <c r="F1385" s="33" t="str">
        <f>_xlfn.XLOOKUP(TablaSTOCKINV[[#This Row],[SKU]],TablaINVENTARIO[SKU],TablaINVENTARIO[ESTADO])</f>
        <v xml:space="preserve">NUEVO </v>
      </c>
      <c r="G1385" s="33" t="str">
        <f>_xlfn.XLOOKUP(TablaSTOCKINV[[#This Row],[SKU]],TablaINVENTARIO[SKU],TablaINVENTARIO[MEDIDA])</f>
        <v xml:space="preserve">UND </v>
      </c>
      <c r="H1385" s="33" t="str">
        <f>_xlfn.XLOOKUP(TablaSTOCKINV[[#This Row],[SKU]],TablaINVENTARIO[SKU],TablaINVENTARIO[SERIAL])</f>
        <v>N/A</v>
      </c>
      <c r="I1385" s="34">
        <f>_xlfn.XLOOKUP(TablaSTOCKINV[[#This Row],[SKU]],TablaINVENTARIO[SKU],TablaINVENTARIO[ALMACEN])</f>
        <v>0</v>
      </c>
      <c r="J1385" s="34" t="str">
        <f>_xlfn.XLOOKUP(TablaSTOCKINV[[#This Row],[SKU]],TablaINVENTARIO[SKU],TablaINVENTARIO[UBICACION])</f>
        <v>1D</v>
      </c>
      <c r="K1385" s="34" t="str">
        <f>_xlfn.XLOOKUP(TablaSTOCKINV[[#This Row],[SKU]],TablaINVENTARIO[SKU],TablaINVENTARIO[DPTO RESPONSABLE])</f>
        <v xml:space="preserve">CONSUMO GENERAL </v>
      </c>
      <c r="L1385" s="53">
        <f>_xlfn.XLOOKUP(TablaSTOCKINV[[#This Row],[SKU]],TablaINVENTARIO[SKU],TablaINVENTARIO[RANGO MIN])</f>
        <v>0</v>
      </c>
      <c r="M1385" s="34" cm="1">
        <f t="array" ref="M1385">_xlfn.IFS(TablaSTOCKINV[[#This Row],[CANT. TOTAL]]&lt;=0,1,TablaSTOCKINV[[#This Row],[CANT. TOTAL]]&lt;=TablaSTOCKINV[[#This Row],[MIN]],2,TablaSTOCKINV[[#This Row],[CANT. TOTAL]]&gt;TablaSTOCKINV[[#This Row],[MIN]],3)</f>
        <v>3</v>
      </c>
      <c r="N1385" s="34">
        <f>TablaSTOCKINV[[#This Row],[ENTRADAS]]-TablaSTOCKINV[[#This Row],[SALIDAS]]</f>
        <v>7</v>
      </c>
      <c r="O1385" s="35">
        <f>SUMIFS(TablaENTRADA[CANT],TablaENTRADA[SKU],TablaSTOCKINV[[#This Row],[SKU]])</f>
        <v>7</v>
      </c>
      <c r="P1385" s="35">
        <f>SUMIFS(TablaSALIDA[CANT],TablaSALIDA[SKU],TablaSTOCKINV[[#This Row],[SKU]])</f>
        <v>0</v>
      </c>
      <c r="Q1385" s="34">
        <f>_xlfn.XLOOKUP(TablaSTOCKINV[[#This Row],[SKU]],TablaINVENTARIO[SKU],TablaINVENTARIO[PRECIO])</f>
        <v>0</v>
      </c>
      <c r="R1385" s="34">
        <f>TablaSTOCKINV[[#This Row],[P.UNITARIO]]*TablaSTOCKINV[[#This Row],[CANT. TOTAL]]</f>
        <v>0</v>
      </c>
      <c r="S1385" s="44">
        <f>_xlfn.XLOOKUP(TablaSTOCKINV[[#This Row],[SKU]],TablaINVENTARIO[SKU],TablaINVENTARIO[FECHA INGRESO])</f>
        <v>46023</v>
      </c>
      <c r="T1385" s="44">
        <f>_xlfn.XLOOKUP(TablaSTOCKINV[[#This Row],[SKU]],TablaENTRADA[SKU],TablaENTRADA[FECHA],,0,-1)</f>
        <v>46023</v>
      </c>
      <c r="U1385" s="46" t="str">
        <f>IFERROR((_xlfn.XLOOKUP(TablaSTOCKINV[[#This Row],[SKU]],TablaSALIDA[SKU],TablaSALIDA[FECHA],,0,-1))," " )</f>
        <v xml:space="preserve"> </v>
      </c>
    </row>
    <row r="1386" spans="1:21" x14ac:dyDescent="0.3">
      <c r="A1386" s="27" t="s">
        <v>288</v>
      </c>
      <c r="B1386" s="32" t="str">
        <f>_xlfn.XLOOKUP(TablaSTOCKINV[[#This Row],[SKU]],TablaINVENTARIO[SKU],TablaINVENTARIO[DESCRIPCION])</f>
        <v>PAPEL CONTACT</v>
      </c>
      <c r="C1386" s="32" t="str">
        <f>_xlfn.XLOOKUP(TablaSTOCKINV[[#This Row],[SKU]],TablaINVENTARIO[SKU],TablaINVENTARIO[MARCA])</f>
        <v>N/A</v>
      </c>
      <c r="D1386" s="33" t="str">
        <f>_xlfn.XLOOKUP(TablaSTOCKINV[[#This Row],[SKU]],TablaINVENTARIO[SKU],TablaINVENTARIO[CATEGORIA])</f>
        <v>CONSUMIBLES</v>
      </c>
      <c r="E1386" s="33" t="str">
        <f>_xlfn.XLOOKUP(TablaSTOCKINV[[#This Row],[SKU]],TablaINVENTARIO[SKU],TablaINVENTARIO[SUBCATEGORIA])</f>
        <v>PAPELERIA</v>
      </c>
      <c r="F1386" s="33" t="str">
        <f>_xlfn.XLOOKUP(TablaSTOCKINV[[#This Row],[SKU]],TablaINVENTARIO[SKU],TablaINVENTARIO[ESTADO])</f>
        <v xml:space="preserve">NUEVO </v>
      </c>
      <c r="G1386" s="33" t="str">
        <f>_xlfn.XLOOKUP(TablaSTOCKINV[[#This Row],[SKU]],TablaINVENTARIO[SKU],TablaINVENTARIO[MEDIDA])</f>
        <v>CENTIMETROS</v>
      </c>
      <c r="H1386" s="33" t="str">
        <f>_xlfn.XLOOKUP(TablaSTOCKINV[[#This Row],[SKU]],TablaINVENTARIO[SKU],TablaINVENTARIO[SERIAL])</f>
        <v>N/A</v>
      </c>
      <c r="I1386" s="34">
        <f>_xlfn.XLOOKUP(TablaSTOCKINV[[#This Row],[SKU]],TablaINVENTARIO[SKU],TablaINVENTARIO[ALMACEN])</f>
        <v>0</v>
      </c>
      <c r="J1386" s="34" t="str">
        <f>_xlfn.XLOOKUP(TablaSTOCKINV[[#This Row],[SKU]],TablaINVENTARIO[SKU],TablaINVENTARIO[UBICACION])</f>
        <v>1D</v>
      </c>
      <c r="K1386" s="34" t="str">
        <f>_xlfn.XLOOKUP(TablaSTOCKINV[[#This Row],[SKU]],TablaINVENTARIO[SKU],TablaINVENTARIO[DPTO RESPONSABLE])</f>
        <v xml:space="preserve">CONSUMO GENERAL </v>
      </c>
      <c r="L1386" s="53">
        <f>_xlfn.XLOOKUP(TablaSTOCKINV[[#This Row],[SKU]],TablaINVENTARIO[SKU],TablaINVENTARIO[RANGO MIN])</f>
        <v>0</v>
      </c>
      <c r="M1386" s="34" cm="1">
        <f t="array" ref="M1386">_xlfn.IFS(TablaSTOCKINV[[#This Row],[CANT. TOTAL]]&lt;=0,1,TablaSTOCKINV[[#This Row],[CANT. TOTAL]]&lt;=TablaSTOCKINV[[#This Row],[MIN]],2,TablaSTOCKINV[[#This Row],[CANT. TOTAL]]&gt;TablaSTOCKINV[[#This Row],[MIN]],3)</f>
        <v>3</v>
      </c>
      <c r="N1386" s="34">
        <f>TablaSTOCKINV[[#This Row],[ENTRADAS]]-TablaSTOCKINV[[#This Row],[SALIDAS]]</f>
        <v>800</v>
      </c>
      <c r="O1386" s="35">
        <f>SUMIFS(TablaENTRADA[CANT],TablaENTRADA[SKU],TablaSTOCKINV[[#This Row],[SKU]])</f>
        <v>800</v>
      </c>
      <c r="P1386" s="35">
        <f>SUMIFS(TablaSALIDA[CANT],TablaSALIDA[SKU],TablaSTOCKINV[[#This Row],[SKU]])</f>
        <v>0</v>
      </c>
      <c r="Q1386" s="34">
        <f>_xlfn.XLOOKUP(TablaSTOCKINV[[#This Row],[SKU]],TablaINVENTARIO[SKU],TablaINVENTARIO[PRECIO])</f>
        <v>0</v>
      </c>
      <c r="R1386" s="34">
        <f>TablaSTOCKINV[[#This Row],[P.UNITARIO]]*TablaSTOCKINV[[#This Row],[CANT. TOTAL]]</f>
        <v>0</v>
      </c>
      <c r="S1386" s="44">
        <f>_xlfn.XLOOKUP(TablaSTOCKINV[[#This Row],[SKU]],TablaINVENTARIO[SKU],TablaINVENTARIO[FECHA INGRESO])</f>
        <v>46023</v>
      </c>
      <c r="T1386" s="44">
        <f>_xlfn.XLOOKUP(TablaSTOCKINV[[#This Row],[SKU]],TablaENTRADA[SKU],TablaENTRADA[FECHA],,0,-1)</f>
        <v>46023</v>
      </c>
      <c r="U1386" s="46" t="str">
        <f>IFERROR((_xlfn.XLOOKUP(TablaSTOCKINV[[#This Row],[SKU]],TablaSALIDA[SKU],TablaSALIDA[FECHA],,0,-1))," " )</f>
        <v xml:space="preserve"> </v>
      </c>
    </row>
    <row r="1387" spans="1:21" x14ac:dyDescent="0.3">
      <c r="A1387" s="27" t="s">
        <v>3339</v>
      </c>
      <c r="B1387" s="32" t="str">
        <f>_xlfn.XLOOKUP(TablaSTOCKINV[[#This Row],[SKU]],TablaINVENTARIO[SKU],TablaINVENTARIO[DESCRIPCION])</f>
        <v>BALON DE KICKINGBALL</v>
      </c>
      <c r="C1387" s="32" t="str">
        <f>_xlfn.XLOOKUP(TablaSTOCKINV[[#This Row],[SKU]],TablaINVENTARIO[SKU],TablaINVENTARIO[MARCA])</f>
        <v xml:space="preserve">TAMANACO </v>
      </c>
      <c r="D1387" s="33" t="str">
        <f>_xlfn.XLOOKUP(TablaSTOCKINV[[#This Row],[SKU]],TablaINVENTARIO[SKU],TablaINVENTARIO[CATEGORIA])</f>
        <v>CONSUMIBLES</v>
      </c>
      <c r="E1387" s="33" t="str">
        <f>_xlfn.XLOOKUP(TablaSTOCKINV[[#This Row],[SKU]],TablaINVENTARIO[SKU],TablaINVENTARIO[SUBCATEGORIA])</f>
        <v xml:space="preserve">JUEGOS </v>
      </c>
      <c r="F1387" s="33" t="str">
        <f>_xlfn.XLOOKUP(TablaSTOCKINV[[#This Row],[SKU]],TablaINVENTARIO[SKU],TablaINVENTARIO[ESTADO])</f>
        <v>USADO</v>
      </c>
      <c r="G1387" s="33" t="str">
        <f>_xlfn.XLOOKUP(TablaSTOCKINV[[#This Row],[SKU]],TablaINVENTARIO[SKU],TablaINVENTARIO[MEDIDA])</f>
        <v>UND</v>
      </c>
      <c r="H1387" s="33" t="str">
        <f>_xlfn.XLOOKUP(TablaSTOCKINV[[#This Row],[SKU]],TablaINVENTARIO[SKU],TablaINVENTARIO[SERIAL])</f>
        <v>N/A</v>
      </c>
      <c r="I1387" s="34">
        <f>_xlfn.XLOOKUP(TablaSTOCKINV[[#This Row],[SKU]],TablaINVENTARIO[SKU],TablaINVENTARIO[ALMACEN])</f>
        <v>0</v>
      </c>
      <c r="J1387" s="34" t="str">
        <f>_xlfn.XLOOKUP(TablaSTOCKINV[[#This Row],[SKU]],TablaINVENTARIO[SKU],TablaINVENTARIO[UBICACION])</f>
        <v>A4</v>
      </c>
      <c r="K1387" s="34" t="str">
        <f>_xlfn.XLOOKUP(TablaSTOCKINV[[#This Row],[SKU]],TablaINVENTARIO[SKU],TablaINVENTARIO[DPTO RESPONSABLE])</f>
        <v xml:space="preserve">CONSUMO GENERAL </v>
      </c>
      <c r="L1387" s="53">
        <f>_xlfn.XLOOKUP(TablaSTOCKINV[[#This Row],[SKU]],TablaINVENTARIO[SKU],TablaINVENTARIO[RANGO MIN])</f>
        <v>0</v>
      </c>
      <c r="M1387" s="34" cm="1">
        <f t="array" ref="M1387">_xlfn.IFS(TablaSTOCKINV[[#This Row],[CANT. TOTAL]]&lt;=0,1,TablaSTOCKINV[[#This Row],[CANT. TOTAL]]&lt;=TablaSTOCKINV[[#This Row],[MIN]],2,TablaSTOCKINV[[#This Row],[CANT. TOTAL]]&gt;TablaSTOCKINV[[#This Row],[MIN]],3)</f>
        <v>3</v>
      </c>
      <c r="N1387" s="34">
        <f>TablaSTOCKINV[[#This Row],[ENTRADAS]]-TablaSTOCKINV[[#This Row],[SALIDAS]]</f>
        <v>1</v>
      </c>
      <c r="O1387" s="35">
        <f>SUMIFS(TablaENTRADA[CANT],TablaENTRADA[SKU],TablaSTOCKINV[[#This Row],[SKU]])</f>
        <v>1</v>
      </c>
      <c r="P1387" s="35">
        <f>SUMIFS(TablaSALIDA[CANT],TablaSALIDA[SKU],TablaSTOCKINV[[#This Row],[SKU]])</f>
        <v>0</v>
      </c>
      <c r="Q1387" s="34">
        <f>_xlfn.XLOOKUP(TablaSTOCKINV[[#This Row],[SKU]],TablaINVENTARIO[SKU],TablaINVENTARIO[PRECIO])</f>
        <v>0</v>
      </c>
      <c r="R1387" s="34">
        <f>TablaSTOCKINV[[#This Row],[P.UNITARIO]]*TablaSTOCKINV[[#This Row],[CANT. TOTAL]]</f>
        <v>0</v>
      </c>
      <c r="S1387" s="44">
        <f>_xlfn.XLOOKUP(TablaSTOCKINV[[#This Row],[SKU]],TablaINVENTARIO[SKU],TablaINVENTARIO[FECHA INGRESO])</f>
        <v>46023</v>
      </c>
      <c r="T1387" s="44">
        <f>_xlfn.XLOOKUP(TablaSTOCKINV[[#This Row],[SKU]],TablaENTRADA[SKU],TablaENTRADA[FECHA],,0,-1)</f>
        <v>46023</v>
      </c>
      <c r="U1387" s="46" t="str">
        <f>IFERROR((_xlfn.XLOOKUP(TablaSTOCKINV[[#This Row],[SKU]],TablaSALIDA[SKU],TablaSALIDA[FECHA],,0,-1))," " )</f>
        <v xml:space="preserve"> </v>
      </c>
    </row>
    <row r="1388" spans="1:21" x14ac:dyDescent="0.3">
      <c r="A1388" s="27" t="s">
        <v>3343</v>
      </c>
      <c r="B1388" s="32" t="str">
        <f>_xlfn.XLOOKUP(TablaSTOCKINV[[#This Row],[SKU]],TablaINVENTARIO[SKU],TablaINVENTARIO[DESCRIPCION])</f>
        <v>BALON DE KICKINGBALL</v>
      </c>
      <c r="C1388" s="32" t="str">
        <f>_xlfn.XLOOKUP(TablaSTOCKINV[[#This Row],[SKU]],TablaINVENTARIO[SKU],TablaINVENTARIO[MARCA])</f>
        <v xml:space="preserve">MAC GREGOR </v>
      </c>
      <c r="D1388" s="33" t="str">
        <f>_xlfn.XLOOKUP(TablaSTOCKINV[[#This Row],[SKU]],TablaINVENTARIO[SKU],TablaINVENTARIO[CATEGORIA])</f>
        <v>CONSUMIBLES</v>
      </c>
      <c r="E1388" s="33" t="str">
        <f>_xlfn.XLOOKUP(TablaSTOCKINV[[#This Row],[SKU]],TablaINVENTARIO[SKU],TablaINVENTARIO[SUBCATEGORIA])</f>
        <v xml:space="preserve">JUEGOS </v>
      </c>
      <c r="F1388" s="33" t="str">
        <f>_xlfn.XLOOKUP(TablaSTOCKINV[[#This Row],[SKU]],TablaINVENTARIO[SKU],TablaINVENTARIO[ESTADO])</f>
        <v>USADO</v>
      </c>
      <c r="G1388" s="33" t="str">
        <f>_xlfn.XLOOKUP(TablaSTOCKINV[[#This Row],[SKU]],TablaINVENTARIO[SKU],TablaINVENTARIO[MEDIDA])</f>
        <v>UND</v>
      </c>
      <c r="H1388" s="33" t="str">
        <f>_xlfn.XLOOKUP(TablaSTOCKINV[[#This Row],[SKU]],TablaINVENTARIO[SKU],TablaINVENTARIO[SERIAL])</f>
        <v>N/A</v>
      </c>
      <c r="I1388" s="34">
        <f>_xlfn.XLOOKUP(TablaSTOCKINV[[#This Row],[SKU]],TablaINVENTARIO[SKU],TablaINVENTARIO[ALMACEN])</f>
        <v>0</v>
      </c>
      <c r="J1388" s="34" t="str">
        <f>_xlfn.XLOOKUP(TablaSTOCKINV[[#This Row],[SKU]],TablaINVENTARIO[SKU],TablaINVENTARIO[UBICACION])</f>
        <v>A4</v>
      </c>
      <c r="K1388" s="34" t="str">
        <f>_xlfn.XLOOKUP(TablaSTOCKINV[[#This Row],[SKU]],TablaINVENTARIO[SKU],TablaINVENTARIO[DPTO RESPONSABLE])</f>
        <v xml:space="preserve">CONSUMO GENERAL </v>
      </c>
      <c r="L1388" s="53">
        <f>_xlfn.XLOOKUP(TablaSTOCKINV[[#This Row],[SKU]],TablaINVENTARIO[SKU],TablaINVENTARIO[RANGO MIN])</f>
        <v>0</v>
      </c>
      <c r="M1388" s="34" cm="1">
        <f t="array" ref="M1388">_xlfn.IFS(TablaSTOCKINV[[#This Row],[CANT. TOTAL]]&lt;=0,1,TablaSTOCKINV[[#This Row],[CANT. TOTAL]]&lt;=TablaSTOCKINV[[#This Row],[MIN]],2,TablaSTOCKINV[[#This Row],[CANT. TOTAL]]&gt;TablaSTOCKINV[[#This Row],[MIN]],3)</f>
        <v>3</v>
      </c>
      <c r="N1388" s="34">
        <f>TablaSTOCKINV[[#This Row],[ENTRADAS]]-TablaSTOCKINV[[#This Row],[SALIDAS]]</f>
        <v>1</v>
      </c>
      <c r="O1388" s="35">
        <f>SUMIFS(TablaENTRADA[CANT],TablaENTRADA[SKU],TablaSTOCKINV[[#This Row],[SKU]])</f>
        <v>1</v>
      </c>
      <c r="P1388" s="35">
        <f>SUMIFS(TablaSALIDA[CANT],TablaSALIDA[SKU],TablaSTOCKINV[[#This Row],[SKU]])</f>
        <v>0</v>
      </c>
      <c r="Q1388" s="34">
        <f>_xlfn.XLOOKUP(TablaSTOCKINV[[#This Row],[SKU]],TablaINVENTARIO[SKU],TablaINVENTARIO[PRECIO])</f>
        <v>0</v>
      </c>
      <c r="R1388" s="34">
        <f>TablaSTOCKINV[[#This Row],[P.UNITARIO]]*TablaSTOCKINV[[#This Row],[CANT. TOTAL]]</f>
        <v>0</v>
      </c>
      <c r="S1388" s="44">
        <f>_xlfn.XLOOKUP(TablaSTOCKINV[[#This Row],[SKU]],TablaINVENTARIO[SKU],TablaINVENTARIO[FECHA INGRESO])</f>
        <v>46023</v>
      </c>
      <c r="T1388" s="44">
        <f>_xlfn.XLOOKUP(TablaSTOCKINV[[#This Row],[SKU]],TablaENTRADA[SKU],TablaENTRADA[FECHA],,0,-1)</f>
        <v>46023</v>
      </c>
      <c r="U1388" s="46" t="str">
        <f>IFERROR((_xlfn.XLOOKUP(TablaSTOCKINV[[#This Row],[SKU]],TablaSALIDA[SKU],TablaSALIDA[FECHA],,0,-1))," " )</f>
        <v xml:space="preserve"> </v>
      </c>
    </row>
    <row r="1389" spans="1:21" x14ac:dyDescent="0.3">
      <c r="A1389" s="27" t="s">
        <v>3345</v>
      </c>
      <c r="B1389" s="32" t="str">
        <f>_xlfn.XLOOKUP(TablaSTOCKINV[[#This Row],[SKU]],TablaINVENTARIO[SKU],TablaINVENTARIO[DESCRIPCION])</f>
        <v>BALON DE KICKINGBALL</v>
      </c>
      <c r="C1389" s="32" t="str">
        <f>_xlfn.XLOOKUP(TablaSTOCKINV[[#This Row],[SKU]],TablaINVENTARIO[SKU],TablaINVENTARIO[MARCA])</f>
        <v>JOGGER</v>
      </c>
      <c r="D1389" s="33" t="str">
        <f>_xlfn.XLOOKUP(TablaSTOCKINV[[#This Row],[SKU]],TablaINVENTARIO[SKU],TablaINVENTARIO[CATEGORIA])</f>
        <v>CONSUMIBLES</v>
      </c>
      <c r="E1389" s="33" t="str">
        <f>_xlfn.XLOOKUP(TablaSTOCKINV[[#This Row],[SKU]],TablaINVENTARIO[SKU],TablaINVENTARIO[SUBCATEGORIA])</f>
        <v xml:space="preserve">JUEGOS </v>
      </c>
      <c r="F1389" s="33" t="str">
        <f>_xlfn.XLOOKUP(TablaSTOCKINV[[#This Row],[SKU]],TablaINVENTARIO[SKU],TablaINVENTARIO[ESTADO])</f>
        <v>USADO</v>
      </c>
      <c r="G1389" s="33" t="str">
        <f>_xlfn.XLOOKUP(TablaSTOCKINV[[#This Row],[SKU]],TablaINVENTARIO[SKU],TablaINVENTARIO[MEDIDA])</f>
        <v>UND</v>
      </c>
      <c r="H1389" s="33" t="str">
        <f>_xlfn.XLOOKUP(TablaSTOCKINV[[#This Row],[SKU]],TablaINVENTARIO[SKU],TablaINVENTARIO[SERIAL])</f>
        <v>N/A</v>
      </c>
      <c r="I1389" s="34">
        <f>_xlfn.XLOOKUP(TablaSTOCKINV[[#This Row],[SKU]],TablaINVENTARIO[SKU],TablaINVENTARIO[ALMACEN])</f>
        <v>0</v>
      </c>
      <c r="J1389" s="34" t="str">
        <f>_xlfn.XLOOKUP(TablaSTOCKINV[[#This Row],[SKU]],TablaINVENTARIO[SKU],TablaINVENTARIO[UBICACION])</f>
        <v>A4</v>
      </c>
      <c r="K1389" s="34" t="str">
        <f>_xlfn.XLOOKUP(TablaSTOCKINV[[#This Row],[SKU]],TablaINVENTARIO[SKU],TablaINVENTARIO[DPTO RESPONSABLE])</f>
        <v xml:space="preserve">CONSUMO GENERAL </v>
      </c>
      <c r="L1389" s="53">
        <f>_xlfn.XLOOKUP(TablaSTOCKINV[[#This Row],[SKU]],TablaINVENTARIO[SKU],TablaINVENTARIO[RANGO MIN])</f>
        <v>0</v>
      </c>
      <c r="M1389" s="34" cm="1">
        <f t="array" ref="M1389">_xlfn.IFS(TablaSTOCKINV[[#This Row],[CANT. TOTAL]]&lt;=0,1,TablaSTOCKINV[[#This Row],[CANT. TOTAL]]&lt;=TablaSTOCKINV[[#This Row],[MIN]],2,TablaSTOCKINV[[#This Row],[CANT. TOTAL]]&gt;TablaSTOCKINV[[#This Row],[MIN]],3)</f>
        <v>3</v>
      </c>
      <c r="N1389" s="34">
        <f>TablaSTOCKINV[[#This Row],[ENTRADAS]]-TablaSTOCKINV[[#This Row],[SALIDAS]]</f>
        <v>1</v>
      </c>
      <c r="O1389" s="35">
        <f>SUMIFS(TablaENTRADA[CANT],TablaENTRADA[SKU],TablaSTOCKINV[[#This Row],[SKU]])</f>
        <v>1</v>
      </c>
      <c r="P1389" s="35">
        <f>SUMIFS(TablaSALIDA[CANT],TablaSALIDA[SKU],TablaSTOCKINV[[#This Row],[SKU]])</f>
        <v>0</v>
      </c>
      <c r="Q1389" s="34">
        <f>_xlfn.XLOOKUP(TablaSTOCKINV[[#This Row],[SKU]],TablaINVENTARIO[SKU],TablaINVENTARIO[PRECIO])</f>
        <v>0</v>
      </c>
      <c r="R1389" s="34">
        <f>TablaSTOCKINV[[#This Row],[P.UNITARIO]]*TablaSTOCKINV[[#This Row],[CANT. TOTAL]]</f>
        <v>0</v>
      </c>
      <c r="S1389" s="44">
        <f>_xlfn.XLOOKUP(TablaSTOCKINV[[#This Row],[SKU]],TablaINVENTARIO[SKU],TablaINVENTARIO[FECHA INGRESO])</f>
        <v>46023</v>
      </c>
      <c r="T1389" s="44">
        <f>_xlfn.XLOOKUP(TablaSTOCKINV[[#This Row],[SKU]],TablaENTRADA[SKU],TablaENTRADA[FECHA],,0,-1)</f>
        <v>46023</v>
      </c>
      <c r="U1389" s="46" t="str">
        <f>IFERROR((_xlfn.XLOOKUP(TablaSTOCKINV[[#This Row],[SKU]],TablaSALIDA[SKU],TablaSALIDA[FECHA],,0,-1))," " )</f>
        <v xml:space="preserve"> </v>
      </c>
    </row>
    <row r="1390" spans="1:21" x14ac:dyDescent="0.3">
      <c r="A1390" s="27" t="s">
        <v>3347</v>
      </c>
      <c r="B1390" s="32" t="str">
        <f>_xlfn.XLOOKUP(TablaSTOCKINV[[#This Row],[SKU]],TablaINVENTARIO[SKU],TablaINVENTARIO[DESCRIPCION])</f>
        <v xml:space="preserve">BALON DE VOLEYBALL </v>
      </c>
      <c r="C1390" s="32" t="str">
        <f>_xlfn.XLOOKUP(TablaSTOCKINV[[#This Row],[SKU]],TablaINVENTARIO[SKU],TablaINVENTARIO[MARCA])</f>
        <v xml:space="preserve">TAMANACO </v>
      </c>
      <c r="D1390" s="33" t="str">
        <f>_xlfn.XLOOKUP(TablaSTOCKINV[[#This Row],[SKU]],TablaINVENTARIO[SKU],TablaINVENTARIO[CATEGORIA])</f>
        <v>CONSUMIBLES</v>
      </c>
      <c r="E1390" s="33" t="str">
        <f>_xlfn.XLOOKUP(TablaSTOCKINV[[#This Row],[SKU]],TablaINVENTARIO[SKU],TablaINVENTARIO[SUBCATEGORIA])</f>
        <v xml:space="preserve">JUEGOS </v>
      </c>
      <c r="F1390" s="33" t="str">
        <f>_xlfn.XLOOKUP(TablaSTOCKINV[[#This Row],[SKU]],TablaINVENTARIO[SKU],TablaINVENTARIO[ESTADO])</f>
        <v>USADO</v>
      </c>
      <c r="G1390" s="33" t="str">
        <f>_xlfn.XLOOKUP(TablaSTOCKINV[[#This Row],[SKU]],TablaINVENTARIO[SKU],TablaINVENTARIO[MEDIDA])</f>
        <v>UND</v>
      </c>
      <c r="H1390" s="33" t="str">
        <f>_xlfn.XLOOKUP(TablaSTOCKINV[[#This Row],[SKU]],TablaINVENTARIO[SKU],TablaINVENTARIO[SERIAL])</f>
        <v>N/A</v>
      </c>
      <c r="I1390" s="34">
        <f>_xlfn.XLOOKUP(TablaSTOCKINV[[#This Row],[SKU]],TablaINVENTARIO[SKU],TablaINVENTARIO[ALMACEN])</f>
        <v>0</v>
      </c>
      <c r="J1390" s="34" t="str">
        <f>_xlfn.XLOOKUP(TablaSTOCKINV[[#This Row],[SKU]],TablaINVENTARIO[SKU],TablaINVENTARIO[UBICACION])</f>
        <v>A4</v>
      </c>
      <c r="K1390" s="34" t="str">
        <f>_xlfn.XLOOKUP(TablaSTOCKINV[[#This Row],[SKU]],TablaINVENTARIO[SKU],TablaINVENTARIO[DPTO RESPONSABLE])</f>
        <v xml:space="preserve">CONSUMO GENERAL </v>
      </c>
      <c r="L1390" s="53">
        <f>_xlfn.XLOOKUP(TablaSTOCKINV[[#This Row],[SKU]],TablaINVENTARIO[SKU],TablaINVENTARIO[RANGO MIN])</f>
        <v>0</v>
      </c>
      <c r="M1390" s="34" cm="1">
        <f t="array" ref="M1390">_xlfn.IFS(TablaSTOCKINV[[#This Row],[CANT. TOTAL]]&lt;=0,1,TablaSTOCKINV[[#This Row],[CANT. TOTAL]]&lt;=TablaSTOCKINV[[#This Row],[MIN]],2,TablaSTOCKINV[[#This Row],[CANT. TOTAL]]&gt;TablaSTOCKINV[[#This Row],[MIN]],3)</f>
        <v>3</v>
      </c>
      <c r="N1390" s="34">
        <f>TablaSTOCKINV[[#This Row],[ENTRADAS]]-TablaSTOCKINV[[#This Row],[SALIDAS]]</f>
        <v>1</v>
      </c>
      <c r="O1390" s="35">
        <f>SUMIFS(TablaENTRADA[CANT],TablaENTRADA[SKU],TablaSTOCKINV[[#This Row],[SKU]])</f>
        <v>1</v>
      </c>
      <c r="P1390" s="35">
        <f>SUMIFS(TablaSALIDA[CANT],TablaSALIDA[SKU],TablaSTOCKINV[[#This Row],[SKU]])</f>
        <v>0</v>
      </c>
      <c r="Q1390" s="34">
        <f>_xlfn.XLOOKUP(TablaSTOCKINV[[#This Row],[SKU]],TablaINVENTARIO[SKU],TablaINVENTARIO[PRECIO])</f>
        <v>0</v>
      </c>
      <c r="R1390" s="34">
        <f>TablaSTOCKINV[[#This Row],[P.UNITARIO]]*TablaSTOCKINV[[#This Row],[CANT. TOTAL]]</f>
        <v>0</v>
      </c>
      <c r="S1390" s="44">
        <f>_xlfn.XLOOKUP(TablaSTOCKINV[[#This Row],[SKU]],TablaINVENTARIO[SKU],TablaINVENTARIO[FECHA INGRESO])</f>
        <v>46023</v>
      </c>
      <c r="T1390" s="44">
        <f>_xlfn.XLOOKUP(TablaSTOCKINV[[#This Row],[SKU]],TablaENTRADA[SKU],TablaENTRADA[FECHA],,0,-1)</f>
        <v>46023</v>
      </c>
      <c r="U1390" s="46" t="str">
        <f>IFERROR((_xlfn.XLOOKUP(TablaSTOCKINV[[#This Row],[SKU]],TablaSALIDA[SKU],TablaSALIDA[FECHA],,0,-1))," " )</f>
        <v xml:space="preserve"> </v>
      </c>
    </row>
    <row r="1391" spans="1:21" x14ac:dyDescent="0.3">
      <c r="A1391" s="27" t="s">
        <v>3349</v>
      </c>
      <c r="B1391" s="32" t="str">
        <f>_xlfn.XLOOKUP(TablaSTOCKINV[[#This Row],[SKU]],TablaINVENTARIO[SKU],TablaINVENTARIO[DESCRIPCION])</f>
        <v xml:space="preserve">BALON DE VOLEYBALL </v>
      </c>
      <c r="C1391" s="32" t="str">
        <f>_xlfn.XLOOKUP(TablaSTOCKINV[[#This Row],[SKU]],TablaINVENTARIO[SKU],TablaINVENTARIO[MARCA])</f>
        <v xml:space="preserve">POINT REGENT </v>
      </c>
      <c r="D1391" s="33" t="str">
        <f>_xlfn.XLOOKUP(TablaSTOCKINV[[#This Row],[SKU]],TablaINVENTARIO[SKU],TablaINVENTARIO[CATEGORIA])</f>
        <v>CONSUMIBLES</v>
      </c>
      <c r="E1391" s="33" t="str">
        <f>_xlfn.XLOOKUP(TablaSTOCKINV[[#This Row],[SKU]],TablaINVENTARIO[SKU],TablaINVENTARIO[SUBCATEGORIA])</f>
        <v xml:space="preserve">JUEGOS </v>
      </c>
      <c r="F1391" s="33" t="str">
        <f>_xlfn.XLOOKUP(TablaSTOCKINV[[#This Row],[SKU]],TablaINVENTARIO[SKU],TablaINVENTARIO[ESTADO])</f>
        <v>USADO</v>
      </c>
      <c r="G1391" s="33" t="str">
        <f>_xlfn.XLOOKUP(TablaSTOCKINV[[#This Row],[SKU]],TablaINVENTARIO[SKU],TablaINVENTARIO[MEDIDA])</f>
        <v>UND</v>
      </c>
      <c r="H1391" s="33" t="str">
        <f>_xlfn.XLOOKUP(TablaSTOCKINV[[#This Row],[SKU]],TablaINVENTARIO[SKU],TablaINVENTARIO[SERIAL])</f>
        <v>N/A</v>
      </c>
      <c r="I1391" s="34">
        <f>_xlfn.XLOOKUP(TablaSTOCKINV[[#This Row],[SKU]],TablaINVENTARIO[SKU],TablaINVENTARIO[ALMACEN])</f>
        <v>0</v>
      </c>
      <c r="J1391" s="34" t="str">
        <f>_xlfn.XLOOKUP(TablaSTOCKINV[[#This Row],[SKU]],TablaINVENTARIO[SKU],TablaINVENTARIO[UBICACION])</f>
        <v>A4</v>
      </c>
      <c r="K1391" s="34" t="str">
        <f>_xlfn.XLOOKUP(TablaSTOCKINV[[#This Row],[SKU]],TablaINVENTARIO[SKU],TablaINVENTARIO[DPTO RESPONSABLE])</f>
        <v xml:space="preserve">CONSUMO GENERAL </v>
      </c>
      <c r="L1391" s="53">
        <f>_xlfn.XLOOKUP(TablaSTOCKINV[[#This Row],[SKU]],TablaINVENTARIO[SKU],TablaINVENTARIO[RANGO MIN])</f>
        <v>0</v>
      </c>
      <c r="M1391" s="34" cm="1">
        <f t="array" ref="M1391">_xlfn.IFS(TablaSTOCKINV[[#This Row],[CANT. TOTAL]]&lt;=0,1,TablaSTOCKINV[[#This Row],[CANT. TOTAL]]&lt;=TablaSTOCKINV[[#This Row],[MIN]],2,TablaSTOCKINV[[#This Row],[CANT. TOTAL]]&gt;TablaSTOCKINV[[#This Row],[MIN]],3)</f>
        <v>3</v>
      </c>
      <c r="N1391" s="34">
        <f>TablaSTOCKINV[[#This Row],[ENTRADAS]]-TablaSTOCKINV[[#This Row],[SALIDAS]]</f>
        <v>1</v>
      </c>
      <c r="O1391" s="35">
        <f>SUMIFS(TablaENTRADA[CANT],TablaENTRADA[SKU],TablaSTOCKINV[[#This Row],[SKU]])</f>
        <v>1</v>
      </c>
      <c r="P1391" s="35">
        <f>SUMIFS(TablaSALIDA[CANT],TablaSALIDA[SKU],TablaSTOCKINV[[#This Row],[SKU]])</f>
        <v>0</v>
      </c>
      <c r="Q1391" s="34">
        <f>_xlfn.XLOOKUP(TablaSTOCKINV[[#This Row],[SKU]],TablaINVENTARIO[SKU],TablaINVENTARIO[PRECIO])</f>
        <v>0</v>
      </c>
      <c r="R1391" s="34">
        <f>TablaSTOCKINV[[#This Row],[P.UNITARIO]]*TablaSTOCKINV[[#This Row],[CANT. TOTAL]]</f>
        <v>0</v>
      </c>
      <c r="S1391" s="44">
        <f>_xlfn.XLOOKUP(TablaSTOCKINV[[#This Row],[SKU]],TablaINVENTARIO[SKU],TablaINVENTARIO[FECHA INGRESO])</f>
        <v>46023</v>
      </c>
      <c r="T1391" s="44">
        <f>_xlfn.XLOOKUP(TablaSTOCKINV[[#This Row],[SKU]],TablaENTRADA[SKU],TablaENTRADA[FECHA],,0,-1)</f>
        <v>46023</v>
      </c>
      <c r="U1391" s="46" t="str">
        <f>IFERROR((_xlfn.XLOOKUP(TablaSTOCKINV[[#This Row],[SKU]],TablaSALIDA[SKU],TablaSALIDA[FECHA],,0,-1))," " )</f>
        <v xml:space="preserve"> </v>
      </c>
    </row>
    <row r="1392" spans="1:21" x14ac:dyDescent="0.3">
      <c r="A1392" s="27" t="s">
        <v>3351</v>
      </c>
      <c r="B1392" s="32" t="str">
        <f>_xlfn.XLOOKUP(TablaSTOCKINV[[#This Row],[SKU]],TablaINVENTARIO[SKU],TablaINVENTARIO[DESCRIPCION])</f>
        <v xml:space="preserve">JENGA MINI </v>
      </c>
      <c r="C1392" s="32" t="str">
        <f>_xlfn.XLOOKUP(TablaSTOCKINV[[#This Row],[SKU]],TablaINVENTARIO[SKU],TablaINVENTARIO[MARCA])</f>
        <v>N/A</v>
      </c>
      <c r="D1392" s="33" t="str">
        <f>_xlfn.XLOOKUP(TablaSTOCKINV[[#This Row],[SKU]],TablaINVENTARIO[SKU],TablaINVENTARIO[CATEGORIA])</f>
        <v>CONSUMIBLES</v>
      </c>
      <c r="E1392" s="33" t="str">
        <f>_xlfn.XLOOKUP(TablaSTOCKINV[[#This Row],[SKU]],TablaINVENTARIO[SKU],TablaINVENTARIO[SUBCATEGORIA])</f>
        <v xml:space="preserve">JUEGOS </v>
      </c>
      <c r="F1392" s="33" t="str">
        <f>_xlfn.XLOOKUP(TablaSTOCKINV[[#This Row],[SKU]],TablaINVENTARIO[SKU],TablaINVENTARIO[ESTADO])</f>
        <v>USADO</v>
      </c>
      <c r="G1392" s="33" t="str">
        <f>_xlfn.XLOOKUP(TablaSTOCKINV[[#This Row],[SKU]],TablaINVENTARIO[SKU],TablaINVENTARIO[MEDIDA])</f>
        <v>UND</v>
      </c>
      <c r="H1392" s="33" t="str">
        <f>_xlfn.XLOOKUP(TablaSTOCKINV[[#This Row],[SKU]],TablaINVENTARIO[SKU],TablaINVENTARIO[SERIAL])</f>
        <v>N/A</v>
      </c>
      <c r="I1392" s="34">
        <f>_xlfn.XLOOKUP(TablaSTOCKINV[[#This Row],[SKU]],TablaINVENTARIO[SKU],TablaINVENTARIO[ALMACEN])</f>
        <v>0</v>
      </c>
      <c r="J1392" s="34" t="str">
        <f>_xlfn.XLOOKUP(TablaSTOCKINV[[#This Row],[SKU]],TablaINVENTARIO[SKU],TablaINVENTARIO[UBICACION])</f>
        <v>A4</v>
      </c>
      <c r="K1392" s="34" t="str">
        <f>_xlfn.XLOOKUP(TablaSTOCKINV[[#This Row],[SKU]],TablaINVENTARIO[SKU],TablaINVENTARIO[DPTO RESPONSABLE])</f>
        <v xml:space="preserve">CONSUMO GENERAL </v>
      </c>
      <c r="L1392" s="53">
        <f>_xlfn.XLOOKUP(TablaSTOCKINV[[#This Row],[SKU]],TablaINVENTARIO[SKU],TablaINVENTARIO[RANGO MIN])</f>
        <v>0</v>
      </c>
      <c r="M1392" s="34" cm="1">
        <f t="array" ref="M1392">_xlfn.IFS(TablaSTOCKINV[[#This Row],[CANT. TOTAL]]&lt;=0,1,TablaSTOCKINV[[#This Row],[CANT. TOTAL]]&lt;=TablaSTOCKINV[[#This Row],[MIN]],2,TablaSTOCKINV[[#This Row],[CANT. TOTAL]]&gt;TablaSTOCKINV[[#This Row],[MIN]],3)</f>
        <v>3</v>
      </c>
      <c r="N1392" s="34">
        <f>TablaSTOCKINV[[#This Row],[ENTRADAS]]-TablaSTOCKINV[[#This Row],[SALIDAS]]</f>
        <v>1</v>
      </c>
      <c r="O1392" s="35">
        <f>SUMIFS(TablaENTRADA[CANT],TablaENTRADA[SKU],TablaSTOCKINV[[#This Row],[SKU]])</f>
        <v>1</v>
      </c>
      <c r="P1392" s="35">
        <f>SUMIFS(TablaSALIDA[CANT],TablaSALIDA[SKU],TablaSTOCKINV[[#This Row],[SKU]])</f>
        <v>0</v>
      </c>
      <c r="Q1392" s="34">
        <f>_xlfn.XLOOKUP(TablaSTOCKINV[[#This Row],[SKU]],TablaINVENTARIO[SKU],TablaINVENTARIO[PRECIO])</f>
        <v>0</v>
      </c>
      <c r="R1392" s="34">
        <f>TablaSTOCKINV[[#This Row],[P.UNITARIO]]*TablaSTOCKINV[[#This Row],[CANT. TOTAL]]</f>
        <v>0</v>
      </c>
      <c r="S1392" s="44">
        <f>_xlfn.XLOOKUP(TablaSTOCKINV[[#This Row],[SKU]],TablaINVENTARIO[SKU],TablaINVENTARIO[FECHA INGRESO])</f>
        <v>46023</v>
      </c>
      <c r="T1392" s="44">
        <f>_xlfn.XLOOKUP(TablaSTOCKINV[[#This Row],[SKU]],TablaENTRADA[SKU],TablaENTRADA[FECHA],,0,-1)</f>
        <v>46023</v>
      </c>
      <c r="U1392" s="46" t="str">
        <f>IFERROR((_xlfn.XLOOKUP(TablaSTOCKINV[[#This Row],[SKU]],TablaSALIDA[SKU],TablaSALIDA[FECHA],,0,-1))," " )</f>
        <v xml:space="preserve"> </v>
      </c>
    </row>
    <row r="1393" spans="1:21" x14ac:dyDescent="0.3">
      <c r="A1393" s="27" t="s">
        <v>3353</v>
      </c>
      <c r="B1393" s="32" t="str">
        <f>_xlfn.XLOOKUP(TablaSTOCKINV[[#This Row],[SKU]],TablaINVENTARIO[SKU],TablaINVENTARIO[DESCRIPCION])</f>
        <v xml:space="preserve">CARTAS DE NAIPES </v>
      </c>
      <c r="C1393" s="32" t="str">
        <f>_xlfn.XLOOKUP(TablaSTOCKINV[[#This Row],[SKU]],TablaINVENTARIO[SKU],TablaINVENTARIO[MARCA])</f>
        <v xml:space="preserve">FOURNIER </v>
      </c>
      <c r="D1393" s="33" t="str">
        <f>_xlfn.XLOOKUP(TablaSTOCKINV[[#This Row],[SKU]],TablaINVENTARIO[SKU],TablaINVENTARIO[CATEGORIA])</f>
        <v>CONSUMIBLES</v>
      </c>
      <c r="E1393" s="33" t="str">
        <f>_xlfn.XLOOKUP(TablaSTOCKINV[[#This Row],[SKU]],TablaINVENTARIO[SKU],TablaINVENTARIO[SUBCATEGORIA])</f>
        <v xml:space="preserve">JUEGOS </v>
      </c>
      <c r="F1393" s="33" t="str">
        <f>_xlfn.XLOOKUP(TablaSTOCKINV[[#This Row],[SKU]],TablaINVENTARIO[SKU],TablaINVENTARIO[ESTADO])</f>
        <v>USADO</v>
      </c>
      <c r="G1393" s="33" t="str">
        <f>_xlfn.XLOOKUP(TablaSTOCKINV[[#This Row],[SKU]],TablaINVENTARIO[SKU],TablaINVENTARIO[MEDIDA])</f>
        <v>UND</v>
      </c>
      <c r="H1393" s="33" t="str">
        <f>_xlfn.XLOOKUP(TablaSTOCKINV[[#This Row],[SKU]],TablaINVENTARIO[SKU],TablaINVENTARIO[SERIAL])</f>
        <v>N/A</v>
      </c>
      <c r="I1393" s="34">
        <f>_xlfn.XLOOKUP(TablaSTOCKINV[[#This Row],[SKU]],TablaINVENTARIO[SKU],TablaINVENTARIO[ALMACEN])</f>
        <v>0</v>
      </c>
      <c r="J1393" s="34" t="str">
        <f>_xlfn.XLOOKUP(TablaSTOCKINV[[#This Row],[SKU]],TablaINVENTARIO[SKU],TablaINVENTARIO[UBICACION])</f>
        <v>A4</v>
      </c>
      <c r="K1393" s="34" t="str">
        <f>_xlfn.XLOOKUP(TablaSTOCKINV[[#This Row],[SKU]],TablaINVENTARIO[SKU],TablaINVENTARIO[DPTO RESPONSABLE])</f>
        <v xml:space="preserve">CONSUMO GENERAL </v>
      </c>
      <c r="L1393" s="53">
        <f>_xlfn.XLOOKUP(TablaSTOCKINV[[#This Row],[SKU]],TablaINVENTARIO[SKU],TablaINVENTARIO[RANGO MIN])</f>
        <v>0</v>
      </c>
      <c r="M1393" s="34" cm="1">
        <f t="array" ref="M1393">_xlfn.IFS(TablaSTOCKINV[[#This Row],[CANT. TOTAL]]&lt;=0,1,TablaSTOCKINV[[#This Row],[CANT. TOTAL]]&lt;=TablaSTOCKINV[[#This Row],[MIN]],2,TablaSTOCKINV[[#This Row],[CANT. TOTAL]]&gt;TablaSTOCKINV[[#This Row],[MIN]],3)</f>
        <v>3</v>
      </c>
      <c r="N1393" s="34">
        <f>TablaSTOCKINV[[#This Row],[ENTRADAS]]-TablaSTOCKINV[[#This Row],[SALIDAS]]</f>
        <v>3</v>
      </c>
      <c r="O1393" s="35">
        <f>SUMIFS(TablaENTRADA[CANT],TablaENTRADA[SKU],TablaSTOCKINV[[#This Row],[SKU]])</f>
        <v>3</v>
      </c>
      <c r="P1393" s="35">
        <f>SUMIFS(TablaSALIDA[CANT],TablaSALIDA[SKU],TablaSTOCKINV[[#This Row],[SKU]])</f>
        <v>0</v>
      </c>
      <c r="Q1393" s="34">
        <f>_xlfn.XLOOKUP(TablaSTOCKINV[[#This Row],[SKU]],TablaINVENTARIO[SKU],TablaINVENTARIO[PRECIO])</f>
        <v>0</v>
      </c>
      <c r="R1393" s="34">
        <f>TablaSTOCKINV[[#This Row],[P.UNITARIO]]*TablaSTOCKINV[[#This Row],[CANT. TOTAL]]</f>
        <v>0</v>
      </c>
      <c r="S1393" s="44">
        <f>_xlfn.XLOOKUP(TablaSTOCKINV[[#This Row],[SKU]],TablaINVENTARIO[SKU],TablaINVENTARIO[FECHA INGRESO])</f>
        <v>46023</v>
      </c>
      <c r="T1393" s="44">
        <f>_xlfn.XLOOKUP(TablaSTOCKINV[[#This Row],[SKU]],TablaENTRADA[SKU],TablaENTRADA[FECHA],,0,-1)</f>
        <v>46023</v>
      </c>
      <c r="U1393" s="46" t="str">
        <f>IFERROR((_xlfn.XLOOKUP(TablaSTOCKINV[[#This Row],[SKU]],TablaSALIDA[SKU],TablaSALIDA[FECHA],,0,-1))," " )</f>
        <v xml:space="preserve"> </v>
      </c>
    </row>
    <row r="1394" spans="1:21" x14ac:dyDescent="0.3">
      <c r="A1394" s="27" t="s">
        <v>3356</v>
      </c>
      <c r="B1394" s="32" t="str">
        <f>_xlfn.XLOOKUP(TablaSTOCKINV[[#This Row],[SKU]],TablaINVENTARIO[SKU],TablaINVENTARIO[DESCRIPCION])</f>
        <v xml:space="preserve">CARTAS DE UNO </v>
      </c>
      <c r="C1394" s="32" t="str">
        <f>_xlfn.XLOOKUP(TablaSTOCKINV[[#This Row],[SKU]],TablaINVENTARIO[SKU],TablaINVENTARIO[MARCA])</f>
        <v>N/A</v>
      </c>
      <c r="D1394" s="33" t="str">
        <f>_xlfn.XLOOKUP(TablaSTOCKINV[[#This Row],[SKU]],TablaINVENTARIO[SKU],TablaINVENTARIO[CATEGORIA])</f>
        <v>CONSUMIBLES</v>
      </c>
      <c r="E1394" s="33" t="str">
        <f>_xlfn.XLOOKUP(TablaSTOCKINV[[#This Row],[SKU]],TablaINVENTARIO[SKU],TablaINVENTARIO[SUBCATEGORIA])</f>
        <v xml:space="preserve">JUEGOS </v>
      </c>
      <c r="F1394" s="33" t="str">
        <f>_xlfn.XLOOKUP(TablaSTOCKINV[[#This Row],[SKU]],TablaINVENTARIO[SKU],TablaINVENTARIO[ESTADO])</f>
        <v>USADO</v>
      </c>
      <c r="G1394" s="33" t="str">
        <f>_xlfn.XLOOKUP(TablaSTOCKINV[[#This Row],[SKU]],TablaINVENTARIO[SKU],TablaINVENTARIO[MEDIDA])</f>
        <v>UND</v>
      </c>
      <c r="H1394" s="33" t="str">
        <f>_xlfn.XLOOKUP(TablaSTOCKINV[[#This Row],[SKU]],TablaINVENTARIO[SKU],TablaINVENTARIO[SERIAL])</f>
        <v>N/A</v>
      </c>
      <c r="I1394" s="34">
        <f>_xlfn.XLOOKUP(TablaSTOCKINV[[#This Row],[SKU]],TablaINVENTARIO[SKU],TablaINVENTARIO[ALMACEN])</f>
        <v>0</v>
      </c>
      <c r="J1394" s="34" t="str">
        <f>_xlfn.XLOOKUP(TablaSTOCKINV[[#This Row],[SKU]],TablaINVENTARIO[SKU],TablaINVENTARIO[UBICACION])</f>
        <v>A4</v>
      </c>
      <c r="K1394" s="34" t="str">
        <f>_xlfn.XLOOKUP(TablaSTOCKINV[[#This Row],[SKU]],TablaINVENTARIO[SKU],TablaINVENTARIO[DPTO RESPONSABLE])</f>
        <v xml:space="preserve">CONSUMO GENERAL </v>
      </c>
      <c r="L1394" s="53">
        <f>_xlfn.XLOOKUP(TablaSTOCKINV[[#This Row],[SKU]],TablaINVENTARIO[SKU],TablaINVENTARIO[RANGO MIN])</f>
        <v>0</v>
      </c>
      <c r="M1394" s="34" cm="1">
        <f t="array" ref="M1394">_xlfn.IFS(TablaSTOCKINV[[#This Row],[CANT. TOTAL]]&lt;=0,1,TablaSTOCKINV[[#This Row],[CANT. TOTAL]]&lt;=TablaSTOCKINV[[#This Row],[MIN]],2,TablaSTOCKINV[[#This Row],[CANT. TOTAL]]&gt;TablaSTOCKINV[[#This Row],[MIN]],3)</f>
        <v>3</v>
      </c>
      <c r="N1394" s="34">
        <f>TablaSTOCKINV[[#This Row],[ENTRADAS]]-TablaSTOCKINV[[#This Row],[SALIDAS]]</f>
        <v>1</v>
      </c>
      <c r="O1394" s="35">
        <f>SUMIFS(TablaENTRADA[CANT],TablaENTRADA[SKU],TablaSTOCKINV[[#This Row],[SKU]])</f>
        <v>1</v>
      </c>
      <c r="P1394" s="35">
        <f>SUMIFS(TablaSALIDA[CANT],TablaSALIDA[SKU],TablaSTOCKINV[[#This Row],[SKU]])</f>
        <v>0</v>
      </c>
      <c r="Q1394" s="34">
        <f>_xlfn.XLOOKUP(TablaSTOCKINV[[#This Row],[SKU]],TablaINVENTARIO[SKU],TablaINVENTARIO[PRECIO])</f>
        <v>0</v>
      </c>
      <c r="R1394" s="34">
        <f>TablaSTOCKINV[[#This Row],[P.UNITARIO]]*TablaSTOCKINV[[#This Row],[CANT. TOTAL]]</f>
        <v>0</v>
      </c>
      <c r="S1394" s="44">
        <f>_xlfn.XLOOKUP(TablaSTOCKINV[[#This Row],[SKU]],TablaINVENTARIO[SKU],TablaINVENTARIO[FECHA INGRESO])</f>
        <v>46023</v>
      </c>
      <c r="T1394" s="44">
        <f>_xlfn.XLOOKUP(TablaSTOCKINV[[#This Row],[SKU]],TablaENTRADA[SKU],TablaENTRADA[FECHA],,0,-1)</f>
        <v>46023</v>
      </c>
      <c r="U1394" s="46" t="str">
        <f>IFERROR((_xlfn.XLOOKUP(TablaSTOCKINV[[#This Row],[SKU]],TablaSALIDA[SKU],TablaSALIDA[FECHA],,0,-1))," " )</f>
        <v xml:space="preserve"> </v>
      </c>
    </row>
    <row r="1395" spans="1:21" x14ac:dyDescent="0.3">
      <c r="A1395" s="27" t="s">
        <v>3358</v>
      </c>
      <c r="B1395" s="32" t="str">
        <f>_xlfn.XLOOKUP(TablaSTOCKINV[[#This Row],[SKU]],TablaINVENTARIO[SKU],TablaINVENTARIO[DESCRIPCION])</f>
        <v xml:space="preserve">RAQUETA DE PING PONG </v>
      </c>
      <c r="C1395" s="32" t="str">
        <f>_xlfn.XLOOKUP(TablaSTOCKINV[[#This Row],[SKU]],TablaINVENTARIO[SKU],TablaINVENTARIO[MARCA])</f>
        <v>VICTORY</v>
      </c>
      <c r="D1395" s="33" t="str">
        <f>_xlfn.XLOOKUP(TablaSTOCKINV[[#This Row],[SKU]],TablaINVENTARIO[SKU],TablaINVENTARIO[CATEGORIA])</f>
        <v>CONSUMIBLES</v>
      </c>
      <c r="E1395" s="33" t="str">
        <f>_xlfn.XLOOKUP(TablaSTOCKINV[[#This Row],[SKU]],TablaINVENTARIO[SKU],TablaINVENTARIO[SUBCATEGORIA])</f>
        <v xml:space="preserve">JUEGOS </v>
      </c>
      <c r="F1395" s="33" t="str">
        <f>_xlfn.XLOOKUP(TablaSTOCKINV[[#This Row],[SKU]],TablaINVENTARIO[SKU],TablaINVENTARIO[ESTADO])</f>
        <v>USADO</v>
      </c>
      <c r="G1395" s="33" t="str">
        <f>_xlfn.XLOOKUP(TablaSTOCKINV[[#This Row],[SKU]],TablaINVENTARIO[SKU],TablaINVENTARIO[MEDIDA])</f>
        <v>UND</v>
      </c>
      <c r="H1395" s="33" t="str">
        <f>_xlfn.XLOOKUP(TablaSTOCKINV[[#This Row],[SKU]],TablaINVENTARIO[SKU],TablaINVENTARIO[SERIAL])</f>
        <v>N/A</v>
      </c>
      <c r="I1395" s="34">
        <f>_xlfn.XLOOKUP(TablaSTOCKINV[[#This Row],[SKU]],TablaINVENTARIO[SKU],TablaINVENTARIO[ALMACEN])</f>
        <v>0</v>
      </c>
      <c r="J1395" s="34" t="str">
        <f>_xlfn.XLOOKUP(TablaSTOCKINV[[#This Row],[SKU]],TablaINVENTARIO[SKU],TablaINVENTARIO[UBICACION])</f>
        <v>A4</v>
      </c>
      <c r="K1395" s="34" t="str">
        <f>_xlfn.XLOOKUP(TablaSTOCKINV[[#This Row],[SKU]],TablaINVENTARIO[SKU],TablaINVENTARIO[DPTO RESPONSABLE])</f>
        <v xml:space="preserve">CONSUMO GENERAL </v>
      </c>
      <c r="L1395" s="53">
        <f>_xlfn.XLOOKUP(TablaSTOCKINV[[#This Row],[SKU]],TablaINVENTARIO[SKU],TablaINVENTARIO[RANGO MIN])</f>
        <v>0</v>
      </c>
      <c r="M1395" s="34" cm="1">
        <f t="array" ref="M1395">_xlfn.IFS(TablaSTOCKINV[[#This Row],[CANT. TOTAL]]&lt;=0,1,TablaSTOCKINV[[#This Row],[CANT. TOTAL]]&lt;=TablaSTOCKINV[[#This Row],[MIN]],2,TablaSTOCKINV[[#This Row],[CANT. TOTAL]]&gt;TablaSTOCKINV[[#This Row],[MIN]],3)</f>
        <v>3</v>
      </c>
      <c r="N1395" s="34">
        <f>TablaSTOCKINV[[#This Row],[ENTRADAS]]-TablaSTOCKINV[[#This Row],[SALIDAS]]</f>
        <v>2</v>
      </c>
      <c r="O1395" s="35">
        <f>SUMIFS(TablaENTRADA[CANT],TablaENTRADA[SKU],TablaSTOCKINV[[#This Row],[SKU]])</f>
        <v>2</v>
      </c>
      <c r="P1395" s="35">
        <f>SUMIFS(TablaSALIDA[CANT],TablaSALIDA[SKU],TablaSTOCKINV[[#This Row],[SKU]])</f>
        <v>0</v>
      </c>
      <c r="Q1395" s="34">
        <f>_xlfn.XLOOKUP(TablaSTOCKINV[[#This Row],[SKU]],TablaINVENTARIO[SKU],TablaINVENTARIO[PRECIO])</f>
        <v>0</v>
      </c>
      <c r="R1395" s="34">
        <f>TablaSTOCKINV[[#This Row],[P.UNITARIO]]*TablaSTOCKINV[[#This Row],[CANT. TOTAL]]</f>
        <v>0</v>
      </c>
      <c r="S1395" s="44">
        <f>_xlfn.XLOOKUP(TablaSTOCKINV[[#This Row],[SKU]],TablaINVENTARIO[SKU],TablaINVENTARIO[FECHA INGRESO])</f>
        <v>46023</v>
      </c>
      <c r="T1395" s="44">
        <f>_xlfn.XLOOKUP(TablaSTOCKINV[[#This Row],[SKU]],TablaENTRADA[SKU],TablaENTRADA[FECHA],,0,-1)</f>
        <v>46023</v>
      </c>
      <c r="U1395" s="46" t="str">
        <f>IFERROR((_xlfn.XLOOKUP(TablaSTOCKINV[[#This Row],[SKU]],TablaSALIDA[SKU],TablaSALIDA[FECHA],,0,-1))," " )</f>
        <v xml:space="preserve"> </v>
      </c>
    </row>
    <row r="1396" spans="1:21" x14ac:dyDescent="0.3">
      <c r="A1396" s="27" t="s">
        <v>3361</v>
      </c>
      <c r="B1396" s="32" t="str">
        <f>_xlfn.XLOOKUP(TablaSTOCKINV[[#This Row],[SKU]],TablaINVENTARIO[SKU],TablaINVENTARIO[DESCRIPCION])</f>
        <v xml:space="preserve">MALLA DE PING PONG </v>
      </c>
      <c r="C1396" s="32" t="str">
        <f>_xlfn.XLOOKUP(TablaSTOCKINV[[#This Row],[SKU]],TablaINVENTARIO[SKU],TablaINVENTARIO[MARCA])</f>
        <v>N/A</v>
      </c>
      <c r="D1396" s="33" t="str">
        <f>_xlfn.XLOOKUP(TablaSTOCKINV[[#This Row],[SKU]],TablaINVENTARIO[SKU],TablaINVENTARIO[CATEGORIA])</f>
        <v>CONSUMIBLES</v>
      </c>
      <c r="E1396" s="33" t="str">
        <f>_xlfn.XLOOKUP(TablaSTOCKINV[[#This Row],[SKU]],TablaINVENTARIO[SKU],TablaINVENTARIO[SUBCATEGORIA])</f>
        <v xml:space="preserve">JUEGOS </v>
      </c>
      <c r="F1396" s="33" t="str">
        <f>_xlfn.XLOOKUP(TablaSTOCKINV[[#This Row],[SKU]],TablaINVENTARIO[SKU],TablaINVENTARIO[ESTADO])</f>
        <v>USADO</v>
      </c>
      <c r="G1396" s="33" t="str">
        <f>_xlfn.XLOOKUP(TablaSTOCKINV[[#This Row],[SKU]],TablaINVENTARIO[SKU],TablaINVENTARIO[MEDIDA])</f>
        <v>UND</v>
      </c>
      <c r="H1396" s="33" t="str">
        <f>_xlfn.XLOOKUP(TablaSTOCKINV[[#This Row],[SKU]],TablaINVENTARIO[SKU],TablaINVENTARIO[SERIAL])</f>
        <v>N/A</v>
      </c>
      <c r="I1396" s="34">
        <f>_xlfn.XLOOKUP(TablaSTOCKINV[[#This Row],[SKU]],TablaINVENTARIO[SKU],TablaINVENTARIO[ALMACEN])</f>
        <v>0</v>
      </c>
      <c r="J1396" s="34" t="str">
        <f>_xlfn.XLOOKUP(TablaSTOCKINV[[#This Row],[SKU]],TablaINVENTARIO[SKU],TablaINVENTARIO[UBICACION])</f>
        <v>A4</v>
      </c>
      <c r="K1396" s="34" t="str">
        <f>_xlfn.XLOOKUP(TablaSTOCKINV[[#This Row],[SKU]],TablaINVENTARIO[SKU],TablaINVENTARIO[DPTO RESPONSABLE])</f>
        <v xml:space="preserve">CONSUMO GENERAL </v>
      </c>
      <c r="L1396" s="53">
        <f>_xlfn.XLOOKUP(TablaSTOCKINV[[#This Row],[SKU]],TablaINVENTARIO[SKU],TablaINVENTARIO[RANGO MIN])</f>
        <v>0</v>
      </c>
      <c r="M1396" s="34" cm="1">
        <f t="array" ref="M1396">_xlfn.IFS(TablaSTOCKINV[[#This Row],[CANT. TOTAL]]&lt;=0,1,TablaSTOCKINV[[#This Row],[CANT. TOTAL]]&lt;=TablaSTOCKINV[[#This Row],[MIN]],2,TablaSTOCKINV[[#This Row],[CANT. TOTAL]]&gt;TablaSTOCKINV[[#This Row],[MIN]],3)</f>
        <v>3</v>
      </c>
      <c r="N1396" s="34">
        <f>TablaSTOCKINV[[#This Row],[ENTRADAS]]-TablaSTOCKINV[[#This Row],[SALIDAS]]</f>
        <v>1</v>
      </c>
      <c r="O1396" s="35">
        <f>SUMIFS(TablaENTRADA[CANT],TablaENTRADA[SKU],TablaSTOCKINV[[#This Row],[SKU]])</f>
        <v>1</v>
      </c>
      <c r="P1396" s="35">
        <f>SUMIFS(TablaSALIDA[CANT],TablaSALIDA[SKU],TablaSTOCKINV[[#This Row],[SKU]])</f>
        <v>0</v>
      </c>
      <c r="Q1396" s="34">
        <f>_xlfn.XLOOKUP(TablaSTOCKINV[[#This Row],[SKU]],TablaINVENTARIO[SKU],TablaINVENTARIO[PRECIO])</f>
        <v>0</v>
      </c>
      <c r="R1396" s="34">
        <f>TablaSTOCKINV[[#This Row],[P.UNITARIO]]*TablaSTOCKINV[[#This Row],[CANT. TOTAL]]</f>
        <v>0</v>
      </c>
      <c r="S1396" s="44">
        <f>_xlfn.XLOOKUP(TablaSTOCKINV[[#This Row],[SKU]],TablaINVENTARIO[SKU],TablaINVENTARIO[FECHA INGRESO])</f>
        <v>46023</v>
      </c>
      <c r="T1396" s="44">
        <f>_xlfn.XLOOKUP(TablaSTOCKINV[[#This Row],[SKU]],TablaENTRADA[SKU],TablaENTRADA[FECHA],,0,-1)</f>
        <v>46023</v>
      </c>
      <c r="U1396" s="46" t="str">
        <f>IFERROR((_xlfn.XLOOKUP(TablaSTOCKINV[[#This Row],[SKU]],TablaSALIDA[SKU],TablaSALIDA[FECHA],,0,-1))," " )</f>
        <v xml:space="preserve"> </v>
      </c>
    </row>
    <row r="1397" spans="1:21" x14ac:dyDescent="0.3">
      <c r="A1397" s="27" t="s">
        <v>3363</v>
      </c>
      <c r="B1397" s="32" t="str">
        <f>_xlfn.XLOOKUP(TablaSTOCKINV[[#This Row],[SKU]],TablaINVENTARIO[SKU],TablaINVENTARIO[DESCRIPCION])</f>
        <v xml:space="preserve">BINGO 100 CARTONES </v>
      </c>
      <c r="C1397" s="32" t="str">
        <f>_xlfn.XLOOKUP(TablaSTOCKINV[[#This Row],[SKU]],TablaINVENTARIO[SKU],TablaINVENTARIO[MARCA])</f>
        <v>N/A</v>
      </c>
      <c r="D1397" s="33" t="str">
        <f>_xlfn.XLOOKUP(TablaSTOCKINV[[#This Row],[SKU]],TablaINVENTARIO[SKU],TablaINVENTARIO[CATEGORIA])</f>
        <v>CONSUMIBLES</v>
      </c>
      <c r="E1397" s="33" t="str">
        <f>_xlfn.XLOOKUP(TablaSTOCKINV[[#This Row],[SKU]],TablaINVENTARIO[SKU],TablaINVENTARIO[SUBCATEGORIA])</f>
        <v xml:space="preserve">JUEGOS </v>
      </c>
      <c r="F1397" s="33" t="str">
        <f>_xlfn.XLOOKUP(TablaSTOCKINV[[#This Row],[SKU]],TablaINVENTARIO[SKU],TablaINVENTARIO[ESTADO])</f>
        <v>USADO</v>
      </c>
      <c r="G1397" s="33" t="str">
        <f>_xlfn.XLOOKUP(TablaSTOCKINV[[#This Row],[SKU]],TablaINVENTARIO[SKU],TablaINVENTARIO[MEDIDA])</f>
        <v>UND</v>
      </c>
      <c r="H1397" s="33" t="str">
        <f>_xlfn.XLOOKUP(TablaSTOCKINV[[#This Row],[SKU]],TablaINVENTARIO[SKU],TablaINVENTARIO[SERIAL])</f>
        <v>N/A</v>
      </c>
      <c r="I1397" s="34">
        <f>_xlfn.XLOOKUP(TablaSTOCKINV[[#This Row],[SKU]],TablaINVENTARIO[SKU],TablaINVENTARIO[ALMACEN])</f>
        <v>0</v>
      </c>
      <c r="J1397" s="34" t="str">
        <f>_xlfn.XLOOKUP(TablaSTOCKINV[[#This Row],[SKU]],TablaINVENTARIO[SKU],TablaINVENTARIO[UBICACION])</f>
        <v>A4</v>
      </c>
      <c r="K1397" s="34" t="str">
        <f>_xlfn.XLOOKUP(TablaSTOCKINV[[#This Row],[SKU]],TablaINVENTARIO[SKU],TablaINVENTARIO[DPTO RESPONSABLE])</f>
        <v xml:space="preserve">CONSUMO GENERAL </v>
      </c>
      <c r="L1397" s="53">
        <f>_xlfn.XLOOKUP(TablaSTOCKINV[[#This Row],[SKU]],TablaINVENTARIO[SKU],TablaINVENTARIO[RANGO MIN])</f>
        <v>0</v>
      </c>
      <c r="M1397" s="34" cm="1">
        <f t="array" ref="M1397">_xlfn.IFS(TablaSTOCKINV[[#This Row],[CANT. TOTAL]]&lt;=0,1,TablaSTOCKINV[[#This Row],[CANT. TOTAL]]&lt;=TablaSTOCKINV[[#This Row],[MIN]],2,TablaSTOCKINV[[#This Row],[CANT. TOTAL]]&gt;TablaSTOCKINV[[#This Row],[MIN]],3)</f>
        <v>3</v>
      </c>
      <c r="N1397" s="34">
        <f>TablaSTOCKINV[[#This Row],[ENTRADAS]]-TablaSTOCKINV[[#This Row],[SALIDAS]]</f>
        <v>1</v>
      </c>
      <c r="O1397" s="35">
        <f>SUMIFS(TablaENTRADA[CANT],TablaENTRADA[SKU],TablaSTOCKINV[[#This Row],[SKU]])</f>
        <v>1</v>
      </c>
      <c r="P1397" s="35">
        <f>SUMIFS(TablaSALIDA[CANT],TablaSALIDA[SKU],TablaSTOCKINV[[#This Row],[SKU]])</f>
        <v>0</v>
      </c>
      <c r="Q1397" s="34">
        <f>_xlfn.XLOOKUP(TablaSTOCKINV[[#This Row],[SKU]],TablaINVENTARIO[SKU],TablaINVENTARIO[PRECIO])</f>
        <v>0</v>
      </c>
      <c r="R1397" s="34">
        <f>TablaSTOCKINV[[#This Row],[P.UNITARIO]]*TablaSTOCKINV[[#This Row],[CANT. TOTAL]]</f>
        <v>0</v>
      </c>
      <c r="S1397" s="44">
        <f>_xlfn.XLOOKUP(TablaSTOCKINV[[#This Row],[SKU]],TablaINVENTARIO[SKU],TablaINVENTARIO[FECHA INGRESO])</f>
        <v>46023</v>
      </c>
      <c r="T1397" s="44">
        <f>_xlfn.XLOOKUP(TablaSTOCKINV[[#This Row],[SKU]],TablaENTRADA[SKU],TablaENTRADA[FECHA],,0,-1)</f>
        <v>46023</v>
      </c>
      <c r="U1397" s="46" t="str">
        <f>IFERROR((_xlfn.XLOOKUP(TablaSTOCKINV[[#This Row],[SKU]],TablaSALIDA[SKU],TablaSALIDA[FECHA],,0,-1))," " )</f>
        <v xml:space="preserve"> </v>
      </c>
    </row>
    <row r="1398" spans="1:21" x14ac:dyDescent="0.3">
      <c r="A1398" s="27" t="s">
        <v>3365</v>
      </c>
      <c r="B1398" s="32" t="str">
        <f>_xlfn.XLOOKUP(TablaSTOCKINV[[#This Row],[SKU]],TablaINVENTARIO[SKU],TablaINVENTARIO[DESCRIPCION])</f>
        <v xml:space="preserve">BOLAS CRIOLLAS </v>
      </c>
      <c r="C1398" s="32" t="str">
        <f>_xlfn.XLOOKUP(TablaSTOCKINV[[#This Row],[SKU]],TablaINVENTARIO[SKU],TablaINVENTARIO[MARCA])</f>
        <v>FABOCCA</v>
      </c>
      <c r="D1398" s="33" t="str">
        <f>_xlfn.XLOOKUP(TablaSTOCKINV[[#This Row],[SKU]],TablaINVENTARIO[SKU],TablaINVENTARIO[CATEGORIA])</f>
        <v>CONSUMIBLES</v>
      </c>
      <c r="E1398" s="33" t="str">
        <f>_xlfn.XLOOKUP(TablaSTOCKINV[[#This Row],[SKU]],TablaINVENTARIO[SKU],TablaINVENTARIO[SUBCATEGORIA])</f>
        <v xml:space="preserve">JUEGOS </v>
      </c>
      <c r="F1398" s="33" t="str">
        <f>_xlfn.XLOOKUP(TablaSTOCKINV[[#This Row],[SKU]],TablaINVENTARIO[SKU],TablaINVENTARIO[ESTADO])</f>
        <v>USADO</v>
      </c>
      <c r="G1398" s="33" t="str">
        <f>_xlfn.XLOOKUP(TablaSTOCKINV[[#This Row],[SKU]],TablaINVENTARIO[SKU],TablaINVENTARIO[MEDIDA])</f>
        <v>UND</v>
      </c>
      <c r="H1398" s="33" t="str">
        <f>_xlfn.XLOOKUP(TablaSTOCKINV[[#This Row],[SKU]],TablaINVENTARIO[SKU],TablaINVENTARIO[SERIAL])</f>
        <v>N/A</v>
      </c>
      <c r="I1398" s="34">
        <f>_xlfn.XLOOKUP(TablaSTOCKINV[[#This Row],[SKU]],TablaINVENTARIO[SKU],TablaINVENTARIO[ALMACEN])</f>
        <v>0</v>
      </c>
      <c r="J1398" s="34" t="str">
        <f>_xlfn.XLOOKUP(TablaSTOCKINV[[#This Row],[SKU]],TablaINVENTARIO[SKU],TablaINVENTARIO[UBICACION])</f>
        <v>A4</v>
      </c>
      <c r="K1398" s="34" t="str">
        <f>_xlfn.XLOOKUP(TablaSTOCKINV[[#This Row],[SKU]],TablaINVENTARIO[SKU],TablaINVENTARIO[DPTO RESPONSABLE])</f>
        <v xml:space="preserve">CONSUMO GENERAL </v>
      </c>
      <c r="L1398" s="53">
        <f>_xlfn.XLOOKUP(TablaSTOCKINV[[#This Row],[SKU]],TablaINVENTARIO[SKU],TablaINVENTARIO[RANGO MIN])</f>
        <v>0</v>
      </c>
      <c r="M1398" s="34" cm="1">
        <f t="array" ref="M1398">_xlfn.IFS(TablaSTOCKINV[[#This Row],[CANT. TOTAL]]&lt;=0,1,TablaSTOCKINV[[#This Row],[CANT. TOTAL]]&lt;=TablaSTOCKINV[[#This Row],[MIN]],2,TablaSTOCKINV[[#This Row],[CANT. TOTAL]]&gt;TablaSTOCKINV[[#This Row],[MIN]],3)</f>
        <v>3</v>
      </c>
      <c r="N1398" s="34">
        <f>TablaSTOCKINV[[#This Row],[ENTRADAS]]-TablaSTOCKINV[[#This Row],[SALIDAS]]</f>
        <v>8</v>
      </c>
      <c r="O1398" s="35">
        <f>SUMIFS(TablaENTRADA[CANT],TablaENTRADA[SKU],TablaSTOCKINV[[#This Row],[SKU]])</f>
        <v>8</v>
      </c>
      <c r="P1398" s="35">
        <f>SUMIFS(TablaSALIDA[CANT],TablaSALIDA[SKU],TablaSTOCKINV[[#This Row],[SKU]])</f>
        <v>0</v>
      </c>
      <c r="Q1398" s="34">
        <f>_xlfn.XLOOKUP(TablaSTOCKINV[[#This Row],[SKU]],TablaINVENTARIO[SKU],TablaINVENTARIO[PRECIO])</f>
        <v>0</v>
      </c>
      <c r="R1398" s="34">
        <f>TablaSTOCKINV[[#This Row],[P.UNITARIO]]*TablaSTOCKINV[[#This Row],[CANT. TOTAL]]</f>
        <v>0</v>
      </c>
      <c r="S1398" s="44">
        <f>_xlfn.XLOOKUP(TablaSTOCKINV[[#This Row],[SKU]],TablaINVENTARIO[SKU],TablaINVENTARIO[FECHA INGRESO])</f>
        <v>46023</v>
      </c>
      <c r="T1398" s="44">
        <f>_xlfn.XLOOKUP(TablaSTOCKINV[[#This Row],[SKU]],TablaENTRADA[SKU],TablaENTRADA[FECHA],,0,-1)</f>
        <v>46023</v>
      </c>
      <c r="U1398" s="46" t="str">
        <f>IFERROR((_xlfn.XLOOKUP(TablaSTOCKINV[[#This Row],[SKU]],TablaSALIDA[SKU],TablaSALIDA[FECHA],,0,-1))," " )</f>
        <v xml:space="preserve"> </v>
      </c>
    </row>
    <row r="1399" spans="1:21" x14ac:dyDescent="0.3">
      <c r="A1399" s="27" t="s">
        <v>3368</v>
      </c>
      <c r="B1399" s="32" t="str">
        <f>_xlfn.XLOOKUP(TablaSTOCKINV[[#This Row],[SKU]],TablaINVENTARIO[SKU],TablaINVENTARIO[DESCRIPCION])</f>
        <v>PROTECTOR DE INGLE</v>
      </c>
      <c r="C1399" s="32" t="str">
        <f>_xlfn.XLOOKUP(TablaSTOCKINV[[#This Row],[SKU]],TablaINVENTARIO[SKU],TablaINVENTARIO[MARCA])</f>
        <v>EASTON</v>
      </c>
      <c r="D1399" s="33" t="str">
        <f>_xlfn.XLOOKUP(TablaSTOCKINV[[#This Row],[SKU]],TablaINVENTARIO[SKU],TablaINVENTARIO[CATEGORIA])</f>
        <v>CONSUMIBLES</v>
      </c>
      <c r="E1399" s="33" t="str">
        <f>_xlfn.XLOOKUP(TablaSTOCKINV[[#This Row],[SKU]],TablaINVENTARIO[SKU],TablaINVENTARIO[SUBCATEGORIA])</f>
        <v xml:space="preserve">JUEGOS </v>
      </c>
      <c r="F1399" s="33" t="str">
        <f>_xlfn.XLOOKUP(TablaSTOCKINV[[#This Row],[SKU]],TablaINVENTARIO[SKU],TablaINVENTARIO[ESTADO])</f>
        <v>USADO</v>
      </c>
      <c r="G1399" s="33" t="str">
        <f>_xlfn.XLOOKUP(TablaSTOCKINV[[#This Row],[SKU]],TablaINVENTARIO[SKU],TablaINVENTARIO[MEDIDA])</f>
        <v>UND</v>
      </c>
      <c r="H1399" s="33" t="str">
        <f>_xlfn.XLOOKUP(TablaSTOCKINV[[#This Row],[SKU]],TablaINVENTARIO[SKU],TablaINVENTARIO[SERIAL])</f>
        <v>N/A</v>
      </c>
      <c r="I1399" s="34">
        <f>_xlfn.XLOOKUP(TablaSTOCKINV[[#This Row],[SKU]],TablaINVENTARIO[SKU],TablaINVENTARIO[ALMACEN])</f>
        <v>0</v>
      </c>
      <c r="J1399" s="34" t="str">
        <f>_xlfn.XLOOKUP(TablaSTOCKINV[[#This Row],[SKU]],TablaINVENTARIO[SKU],TablaINVENTARIO[UBICACION])</f>
        <v>A4</v>
      </c>
      <c r="K1399" s="34" t="str">
        <f>_xlfn.XLOOKUP(TablaSTOCKINV[[#This Row],[SKU]],TablaINVENTARIO[SKU],TablaINVENTARIO[DPTO RESPONSABLE])</f>
        <v xml:space="preserve">CONSUMO GENERAL </v>
      </c>
      <c r="L1399" s="53">
        <f>_xlfn.XLOOKUP(TablaSTOCKINV[[#This Row],[SKU]],TablaINVENTARIO[SKU],TablaINVENTARIO[RANGO MIN])</f>
        <v>0</v>
      </c>
      <c r="M1399" s="34" cm="1">
        <f t="array" ref="M1399">_xlfn.IFS(TablaSTOCKINV[[#This Row],[CANT. TOTAL]]&lt;=0,1,TablaSTOCKINV[[#This Row],[CANT. TOTAL]]&lt;=TablaSTOCKINV[[#This Row],[MIN]],2,TablaSTOCKINV[[#This Row],[CANT. TOTAL]]&gt;TablaSTOCKINV[[#This Row],[MIN]],3)</f>
        <v>3</v>
      </c>
      <c r="N1399" s="34">
        <f>TablaSTOCKINV[[#This Row],[ENTRADAS]]-TablaSTOCKINV[[#This Row],[SALIDAS]]</f>
        <v>2</v>
      </c>
      <c r="O1399" s="35">
        <f>SUMIFS(TablaENTRADA[CANT],TablaENTRADA[SKU],TablaSTOCKINV[[#This Row],[SKU]])</f>
        <v>2</v>
      </c>
      <c r="P1399" s="35">
        <f>SUMIFS(TablaSALIDA[CANT],TablaSALIDA[SKU],TablaSTOCKINV[[#This Row],[SKU]])</f>
        <v>0</v>
      </c>
      <c r="Q1399" s="34">
        <f>_xlfn.XLOOKUP(TablaSTOCKINV[[#This Row],[SKU]],TablaINVENTARIO[SKU],TablaINVENTARIO[PRECIO])</f>
        <v>0</v>
      </c>
      <c r="R1399" s="34">
        <f>TablaSTOCKINV[[#This Row],[P.UNITARIO]]*TablaSTOCKINV[[#This Row],[CANT. TOTAL]]</f>
        <v>0</v>
      </c>
      <c r="S1399" s="44">
        <f>_xlfn.XLOOKUP(TablaSTOCKINV[[#This Row],[SKU]],TablaINVENTARIO[SKU],TablaINVENTARIO[FECHA INGRESO])</f>
        <v>46023</v>
      </c>
      <c r="T1399" s="44">
        <f>_xlfn.XLOOKUP(TablaSTOCKINV[[#This Row],[SKU]],TablaENTRADA[SKU],TablaENTRADA[FECHA],,0,-1)</f>
        <v>46023</v>
      </c>
      <c r="U1399" s="46" t="str">
        <f>IFERROR((_xlfn.XLOOKUP(TablaSTOCKINV[[#This Row],[SKU]],TablaSALIDA[SKU],TablaSALIDA[FECHA],,0,-1))," " )</f>
        <v xml:space="preserve"> </v>
      </c>
    </row>
    <row r="1400" spans="1:21" x14ac:dyDescent="0.3">
      <c r="A1400" s="27" t="s">
        <v>3370</v>
      </c>
      <c r="B1400" s="32" t="str">
        <f>_xlfn.XLOOKUP(TablaSTOCKINV[[#This Row],[SKU]],TablaINVENTARIO[SKU],TablaINVENTARIO[DESCRIPCION])</f>
        <v>CARPETA BLANCA 3 AROS 3"</v>
      </c>
      <c r="C1400" s="32" t="str">
        <f>_xlfn.XLOOKUP(TablaSTOCKINV[[#This Row],[SKU]],TablaINVENTARIO[SKU],TablaINVENTARIO[MARCA])</f>
        <v>ESFER</v>
      </c>
      <c r="D1400" s="33" t="str">
        <f>_xlfn.XLOOKUP(TablaSTOCKINV[[#This Row],[SKU]],TablaINVENTARIO[SKU],TablaINVENTARIO[CATEGORIA])</f>
        <v>CONSUMIBLES</v>
      </c>
      <c r="E1400" s="33" t="str">
        <f>_xlfn.XLOOKUP(TablaSTOCKINV[[#This Row],[SKU]],TablaINVENTARIO[SKU],TablaINVENTARIO[SUBCATEGORIA])</f>
        <v xml:space="preserve">PAPELERIA </v>
      </c>
      <c r="F1400" s="33" t="str">
        <f>_xlfn.XLOOKUP(TablaSTOCKINV[[#This Row],[SKU]],TablaINVENTARIO[SKU],TablaINVENTARIO[ESTADO])</f>
        <v xml:space="preserve">NUEVO </v>
      </c>
      <c r="G1400" s="33" t="str">
        <f>_xlfn.XLOOKUP(TablaSTOCKINV[[#This Row],[SKU]],TablaINVENTARIO[SKU],TablaINVENTARIO[MEDIDA])</f>
        <v>UND</v>
      </c>
      <c r="H1400" s="33" t="str">
        <f>_xlfn.XLOOKUP(TablaSTOCKINV[[#This Row],[SKU]],TablaINVENTARIO[SKU],TablaINVENTARIO[SERIAL])</f>
        <v>N/A</v>
      </c>
      <c r="I1400" s="34">
        <f>_xlfn.XLOOKUP(TablaSTOCKINV[[#This Row],[SKU]],TablaINVENTARIO[SKU],TablaINVENTARIO[ALMACEN])</f>
        <v>0</v>
      </c>
      <c r="J1400" s="34" t="str">
        <f>_xlfn.XLOOKUP(TablaSTOCKINV[[#This Row],[SKU]],TablaINVENTARIO[SKU],TablaINVENTARIO[UBICACION])</f>
        <v>B2</v>
      </c>
      <c r="K1400" s="34" t="str">
        <f>_xlfn.XLOOKUP(TablaSTOCKINV[[#This Row],[SKU]],TablaINVENTARIO[SKU],TablaINVENTARIO[DPTO RESPONSABLE])</f>
        <v xml:space="preserve">CONSUMO GENERAL </v>
      </c>
      <c r="L1400" s="53">
        <f>_xlfn.XLOOKUP(TablaSTOCKINV[[#This Row],[SKU]],TablaINVENTARIO[SKU],TablaINVENTARIO[RANGO MIN])</f>
        <v>0</v>
      </c>
      <c r="M1400" s="34" cm="1">
        <f t="array" ref="M1400">_xlfn.IFS(TablaSTOCKINV[[#This Row],[CANT. TOTAL]]&lt;=0,1,TablaSTOCKINV[[#This Row],[CANT. TOTAL]]&lt;=TablaSTOCKINV[[#This Row],[MIN]],2,TablaSTOCKINV[[#This Row],[CANT. TOTAL]]&gt;TablaSTOCKINV[[#This Row],[MIN]],3)</f>
        <v>3</v>
      </c>
      <c r="N1400" s="34">
        <f>TablaSTOCKINV[[#This Row],[ENTRADAS]]-TablaSTOCKINV[[#This Row],[SALIDAS]]</f>
        <v>4</v>
      </c>
      <c r="O1400" s="35">
        <f>SUMIFS(TablaENTRADA[CANT],TablaENTRADA[SKU],TablaSTOCKINV[[#This Row],[SKU]])</f>
        <v>4</v>
      </c>
      <c r="P1400" s="35">
        <f>SUMIFS(TablaSALIDA[CANT],TablaSALIDA[SKU],TablaSTOCKINV[[#This Row],[SKU]])</f>
        <v>0</v>
      </c>
      <c r="Q1400" s="34">
        <f>_xlfn.XLOOKUP(TablaSTOCKINV[[#This Row],[SKU]],TablaINVENTARIO[SKU],TablaINVENTARIO[PRECIO])</f>
        <v>0</v>
      </c>
      <c r="R1400" s="34">
        <f>TablaSTOCKINV[[#This Row],[P.UNITARIO]]*TablaSTOCKINV[[#This Row],[CANT. TOTAL]]</f>
        <v>0</v>
      </c>
      <c r="S1400" s="44">
        <f>_xlfn.XLOOKUP(TablaSTOCKINV[[#This Row],[SKU]],TablaINVENTARIO[SKU],TablaINVENTARIO[FECHA INGRESO])</f>
        <v>46023</v>
      </c>
      <c r="T1400" s="44">
        <f>_xlfn.XLOOKUP(TablaSTOCKINV[[#This Row],[SKU]],TablaENTRADA[SKU],TablaENTRADA[FECHA],,0,-1)</f>
        <v>46023</v>
      </c>
      <c r="U1400" s="46" t="str">
        <f>IFERROR((_xlfn.XLOOKUP(TablaSTOCKINV[[#This Row],[SKU]],TablaSALIDA[SKU],TablaSALIDA[FECHA],,0,-1))," " )</f>
        <v xml:space="preserve"> </v>
      </c>
    </row>
    <row r="1401" spans="1:21" x14ac:dyDescent="0.3">
      <c r="A1401" s="27" t="s">
        <v>3375</v>
      </c>
      <c r="B1401" s="32" t="str">
        <f>_xlfn.XLOOKUP(TablaSTOCKINV[[#This Row],[SKU]],TablaINVENTARIO[SKU],TablaINVENTARIO[DESCRIPCION])</f>
        <v>CARPETA BLANCA 3 AROS 2"</v>
      </c>
      <c r="C1401" s="32" t="str">
        <f>_xlfn.XLOOKUP(TablaSTOCKINV[[#This Row],[SKU]],TablaINVENTARIO[SKU],TablaINVENTARIO[MARCA])</f>
        <v>ESFER</v>
      </c>
      <c r="D1401" s="33" t="str">
        <f>_xlfn.XLOOKUP(TablaSTOCKINV[[#This Row],[SKU]],TablaINVENTARIO[SKU],TablaINVENTARIO[CATEGORIA])</f>
        <v>CONSUMIBLES</v>
      </c>
      <c r="E1401" s="33" t="str">
        <f>_xlfn.XLOOKUP(TablaSTOCKINV[[#This Row],[SKU]],TablaINVENTARIO[SKU],TablaINVENTARIO[SUBCATEGORIA])</f>
        <v xml:space="preserve">PAPELERIA </v>
      </c>
      <c r="F1401" s="33" t="str">
        <f>_xlfn.XLOOKUP(TablaSTOCKINV[[#This Row],[SKU]],TablaINVENTARIO[SKU],TablaINVENTARIO[ESTADO])</f>
        <v xml:space="preserve">NUEVO </v>
      </c>
      <c r="G1401" s="33" t="str">
        <f>_xlfn.XLOOKUP(TablaSTOCKINV[[#This Row],[SKU]],TablaINVENTARIO[SKU],TablaINVENTARIO[MEDIDA])</f>
        <v>UND</v>
      </c>
      <c r="H1401" s="33" t="str">
        <f>_xlfn.XLOOKUP(TablaSTOCKINV[[#This Row],[SKU]],TablaINVENTARIO[SKU],TablaINVENTARIO[SERIAL])</f>
        <v>N/A</v>
      </c>
      <c r="I1401" s="34">
        <f>_xlfn.XLOOKUP(TablaSTOCKINV[[#This Row],[SKU]],TablaINVENTARIO[SKU],TablaINVENTARIO[ALMACEN])</f>
        <v>0</v>
      </c>
      <c r="J1401" s="34" t="str">
        <f>_xlfn.XLOOKUP(TablaSTOCKINV[[#This Row],[SKU]],TablaINVENTARIO[SKU],TablaINVENTARIO[UBICACION])</f>
        <v>B2</v>
      </c>
      <c r="K1401" s="34" t="str">
        <f>_xlfn.XLOOKUP(TablaSTOCKINV[[#This Row],[SKU]],TablaINVENTARIO[SKU],TablaINVENTARIO[DPTO RESPONSABLE])</f>
        <v xml:space="preserve">CONSUMO GENERAL </v>
      </c>
      <c r="L1401" s="53">
        <f>_xlfn.XLOOKUP(TablaSTOCKINV[[#This Row],[SKU]],TablaINVENTARIO[SKU],TablaINVENTARIO[RANGO MIN])</f>
        <v>0</v>
      </c>
      <c r="M1401" s="34" cm="1">
        <f t="array" ref="M1401">_xlfn.IFS(TablaSTOCKINV[[#This Row],[CANT. TOTAL]]&lt;=0,1,TablaSTOCKINV[[#This Row],[CANT. TOTAL]]&lt;=TablaSTOCKINV[[#This Row],[MIN]],2,TablaSTOCKINV[[#This Row],[CANT. TOTAL]]&gt;TablaSTOCKINV[[#This Row],[MIN]],3)</f>
        <v>3</v>
      </c>
      <c r="N1401" s="34">
        <f>TablaSTOCKINV[[#This Row],[ENTRADAS]]-TablaSTOCKINV[[#This Row],[SALIDAS]]</f>
        <v>4</v>
      </c>
      <c r="O1401" s="35">
        <f>SUMIFS(TablaENTRADA[CANT],TablaENTRADA[SKU],TablaSTOCKINV[[#This Row],[SKU]])</f>
        <v>4</v>
      </c>
      <c r="P1401" s="35">
        <f>SUMIFS(TablaSALIDA[CANT],TablaSALIDA[SKU],TablaSTOCKINV[[#This Row],[SKU]])</f>
        <v>0</v>
      </c>
      <c r="Q1401" s="34">
        <f>_xlfn.XLOOKUP(TablaSTOCKINV[[#This Row],[SKU]],TablaINVENTARIO[SKU],TablaINVENTARIO[PRECIO])</f>
        <v>0</v>
      </c>
      <c r="R1401" s="34">
        <f>TablaSTOCKINV[[#This Row],[P.UNITARIO]]*TablaSTOCKINV[[#This Row],[CANT. TOTAL]]</f>
        <v>0</v>
      </c>
      <c r="S1401" s="44">
        <f>_xlfn.XLOOKUP(TablaSTOCKINV[[#This Row],[SKU]],TablaINVENTARIO[SKU],TablaINVENTARIO[FECHA INGRESO])</f>
        <v>46023</v>
      </c>
      <c r="T1401" s="44">
        <f>_xlfn.XLOOKUP(TablaSTOCKINV[[#This Row],[SKU]],TablaENTRADA[SKU],TablaENTRADA[FECHA],,0,-1)</f>
        <v>46023</v>
      </c>
      <c r="U1401" s="46" t="str">
        <f>IFERROR((_xlfn.XLOOKUP(TablaSTOCKINV[[#This Row],[SKU]],TablaSALIDA[SKU],TablaSALIDA[FECHA],,0,-1))," " )</f>
        <v xml:space="preserve"> </v>
      </c>
    </row>
    <row r="1402" spans="1:21" x14ac:dyDescent="0.3">
      <c r="A1402" s="27" t="s">
        <v>3377</v>
      </c>
      <c r="B1402" s="32" t="str">
        <f>_xlfn.XLOOKUP(TablaSTOCKINV[[#This Row],[SKU]],TablaINVENTARIO[SKU],TablaINVENTARIO[DESCRIPCION])</f>
        <v>CARPETA BLANCA 3 AROS 1-1/2"</v>
      </c>
      <c r="C1402" s="32" t="str">
        <f>_xlfn.XLOOKUP(TablaSTOCKINV[[#This Row],[SKU]],TablaINVENTARIO[SKU],TablaINVENTARIO[MARCA])</f>
        <v>ESFER</v>
      </c>
      <c r="D1402" s="33" t="str">
        <f>_xlfn.XLOOKUP(TablaSTOCKINV[[#This Row],[SKU]],TablaINVENTARIO[SKU],TablaINVENTARIO[CATEGORIA])</f>
        <v>CONSUMIBLES</v>
      </c>
      <c r="E1402" s="33" t="str">
        <f>_xlfn.XLOOKUP(TablaSTOCKINV[[#This Row],[SKU]],TablaINVENTARIO[SKU],TablaINVENTARIO[SUBCATEGORIA])</f>
        <v xml:space="preserve">PAPELERIA </v>
      </c>
      <c r="F1402" s="33" t="str">
        <f>_xlfn.XLOOKUP(TablaSTOCKINV[[#This Row],[SKU]],TablaINVENTARIO[SKU],TablaINVENTARIO[ESTADO])</f>
        <v xml:space="preserve">NUEVO </v>
      </c>
      <c r="G1402" s="33" t="str">
        <f>_xlfn.XLOOKUP(TablaSTOCKINV[[#This Row],[SKU]],TablaINVENTARIO[SKU],TablaINVENTARIO[MEDIDA])</f>
        <v>UND</v>
      </c>
      <c r="H1402" s="33" t="str">
        <f>_xlfn.XLOOKUP(TablaSTOCKINV[[#This Row],[SKU]],TablaINVENTARIO[SKU],TablaINVENTARIO[SERIAL])</f>
        <v>N/A</v>
      </c>
      <c r="I1402" s="34">
        <f>_xlfn.XLOOKUP(TablaSTOCKINV[[#This Row],[SKU]],TablaINVENTARIO[SKU],TablaINVENTARIO[ALMACEN])</f>
        <v>0</v>
      </c>
      <c r="J1402" s="34" t="str">
        <f>_xlfn.XLOOKUP(TablaSTOCKINV[[#This Row],[SKU]],TablaINVENTARIO[SKU],TablaINVENTARIO[UBICACION])</f>
        <v>B2</v>
      </c>
      <c r="K1402" s="34" t="str">
        <f>_xlfn.XLOOKUP(TablaSTOCKINV[[#This Row],[SKU]],TablaINVENTARIO[SKU],TablaINVENTARIO[DPTO RESPONSABLE])</f>
        <v xml:space="preserve">CONSUMO GENERAL </v>
      </c>
      <c r="L1402" s="53">
        <f>_xlfn.XLOOKUP(TablaSTOCKINV[[#This Row],[SKU]],TablaINVENTARIO[SKU],TablaINVENTARIO[RANGO MIN])</f>
        <v>0</v>
      </c>
      <c r="M1402" s="34" cm="1">
        <f t="array" ref="M1402">_xlfn.IFS(TablaSTOCKINV[[#This Row],[CANT. TOTAL]]&lt;=0,1,TablaSTOCKINV[[#This Row],[CANT. TOTAL]]&lt;=TablaSTOCKINV[[#This Row],[MIN]],2,TablaSTOCKINV[[#This Row],[CANT. TOTAL]]&gt;TablaSTOCKINV[[#This Row],[MIN]],3)</f>
        <v>3</v>
      </c>
      <c r="N1402" s="34">
        <f>TablaSTOCKINV[[#This Row],[ENTRADAS]]-TablaSTOCKINV[[#This Row],[SALIDAS]]</f>
        <v>3</v>
      </c>
      <c r="O1402" s="35">
        <f>SUMIFS(TablaENTRADA[CANT],TablaENTRADA[SKU],TablaSTOCKINV[[#This Row],[SKU]])</f>
        <v>3</v>
      </c>
      <c r="P1402" s="35">
        <f>SUMIFS(TablaSALIDA[CANT],TablaSALIDA[SKU],TablaSTOCKINV[[#This Row],[SKU]])</f>
        <v>0</v>
      </c>
      <c r="Q1402" s="34">
        <f>_xlfn.XLOOKUP(TablaSTOCKINV[[#This Row],[SKU]],TablaINVENTARIO[SKU],TablaINVENTARIO[PRECIO])</f>
        <v>0</v>
      </c>
      <c r="R1402" s="34">
        <f>TablaSTOCKINV[[#This Row],[P.UNITARIO]]*TablaSTOCKINV[[#This Row],[CANT. TOTAL]]</f>
        <v>0</v>
      </c>
      <c r="S1402" s="44">
        <f>_xlfn.XLOOKUP(TablaSTOCKINV[[#This Row],[SKU]],TablaINVENTARIO[SKU],TablaINVENTARIO[FECHA INGRESO])</f>
        <v>46023</v>
      </c>
      <c r="T1402" s="44">
        <f>_xlfn.XLOOKUP(TablaSTOCKINV[[#This Row],[SKU]],TablaENTRADA[SKU],TablaENTRADA[FECHA],,0,-1)</f>
        <v>46023</v>
      </c>
      <c r="U1402" s="46" t="str">
        <f>IFERROR((_xlfn.XLOOKUP(TablaSTOCKINV[[#This Row],[SKU]],TablaSALIDA[SKU],TablaSALIDA[FECHA],,0,-1))," " )</f>
        <v xml:space="preserve"> </v>
      </c>
    </row>
    <row r="1403" spans="1:21" x14ac:dyDescent="0.3">
      <c r="A1403" s="27" t="s">
        <v>3379</v>
      </c>
      <c r="B1403" s="32" t="str">
        <f>_xlfn.XLOOKUP(TablaSTOCKINV[[#This Row],[SKU]],TablaINVENTARIO[SKU],TablaINVENTARIO[DESCRIPCION])</f>
        <v>CARPETA BLANCA 3 AROS 1"</v>
      </c>
      <c r="C1403" s="32" t="str">
        <f>_xlfn.XLOOKUP(TablaSTOCKINV[[#This Row],[SKU]],TablaINVENTARIO[SKU],TablaINVENTARIO[MARCA])</f>
        <v>ESFER</v>
      </c>
      <c r="D1403" s="33" t="str">
        <f>_xlfn.XLOOKUP(TablaSTOCKINV[[#This Row],[SKU]],TablaINVENTARIO[SKU],TablaINVENTARIO[CATEGORIA])</f>
        <v>CONSUMIBLES</v>
      </c>
      <c r="E1403" s="33" t="str">
        <f>_xlfn.XLOOKUP(TablaSTOCKINV[[#This Row],[SKU]],TablaINVENTARIO[SKU],TablaINVENTARIO[SUBCATEGORIA])</f>
        <v xml:space="preserve">PAPELERIA </v>
      </c>
      <c r="F1403" s="33" t="str">
        <f>_xlfn.XLOOKUP(TablaSTOCKINV[[#This Row],[SKU]],TablaINVENTARIO[SKU],TablaINVENTARIO[ESTADO])</f>
        <v xml:space="preserve">NUEVO </v>
      </c>
      <c r="G1403" s="33" t="str">
        <f>_xlfn.XLOOKUP(TablaSTOCKINV[[#This Row],[SKU]],TablaINVENTARIO[SKU],TablaINVENTARIO[MEDIDA])</f>
        <v>UND</v>
      </c>
      <c r="H1403" s="33" t="str">
        <f>_xlfn.XLOOKUP(TablaSTOCKINV[[#This Row],[SKU]],TablaINVENTARIO[SKU],TablaINVENTARIO[SERIAL])</f>
        <v>N/A</v>
      </c>
      <c r="I1403" s="34">
        <f>_xlfn.XLOOKUP(TablaSTOCKINV[[#This Row],[SKU]],TablaINVENTARIO[SKU],TablaINVENTARIO[ALMACEN])</f>
        <v>0</v>
      </c>
      <c r="J1403" s="34" t="str">
        <f>_xlfn.XLOOKUP(TablaSTOCKINV[[#This Row],[SKU]],TablaINVENTARIO[SKU],TablaINVENTARIO[UBICACION])</f>
        <v>B2</v>
      </c>
      <c r="K1403" s="34" t="str">
        <f>_xlfn.XLOOKUP(TablaSTOCKINV[[#This Row],[SKU]],TablaINVENTARIO[SKU],TablaINVENTARIO[DPTO RESPONSABLE])</f>
        <v xml:space="preserve">CONSUMO GENERAL </v>
      </c>
      <c r="L1403" s="53">
        <f>_xlfn.XLOOKUP(TablaSTOCKINV[[#This Row],[SKU]],TablaINVENTARIO[SKU],TablaINVENTARIO[RANGO MIN])</f>
        <v>0</v>
      </c>
      <c r="M1403" s="34" cm="1">
        <f t="array" ref="M1403">_xlfn.IFS(TablaSTOCKINV[[#This Row],[CANT. TOTAL]]&lt;=0,1,TablaSTOCKINV[[#This Row],[CANT. TOTAL]]&lt;=TablaSTOCKINV[[#This Row],[MIN]],2,TablaSTOCKINV[[#This Row],[CANT. TOTAL]]&gt;TablaSTOCKINV[[#This Row],[MIN]],3)</f>
        <v>3</v>
      </c>
      <c r="N1403" s="34">
        <f>TablaSTOCKINV[[#This Row],[ENTRADAS]]-TablaSTOCKINV[[#This Row],[SALIDAS]]</f>
        <v>1</v>
      </c>
      <c r="O1403" s="35">
        <f>SUMIFS(TablaENTRADA[CANT],TablaENTRADA[SKU],TablaSTOCKINV[[#This Row],[SKU]])</f>
        <v>1</v>
      </c>
      <c r="P1403" s="35">
        <f>SUMIFS(TablaSALIDA[CANT],TablaSALIDA[SKU],TablaSTOCKINV[[#This Row],[SKU]])</f>
        <v>0</v>
      </c>
      <c r="Q1403" s="34">
        <f>_xlfn.XLOOKUP(TablaSTOCKINV[[#This Row],[SKU]],TablaINVENTARIO[SKU],TablaINVENTARIO[PRECIO])</f>
        <v>0</v>
      </c>
      <c r="R1403" s="34">
        <f>TablaSTOCKINV[[#This Row],[P.UNITARIO]]*TablaSTOCKINV[[#This Row],[CANT. TOTAL]]</f>
        <v>0</v>
      </c>
      <c r="S1403" s="44">
        <f>_xlfn.XLOOKUP(TablaSTOCKINV[[#This Row],[SKU]],TablaINVENTARIO[SKU],TablaINVENTARIO[FECHA INGRESO])</f>
        <v>46023</v>
      </c>
      <c r="T1403" s="44">
        <f>_xlfn.XLOOKUP(TablaSTOCKINV[[#This Row],[SKU]],TablaENTRADA[SKU],TablaENTRADA[FECHA],,0,-1)</f>
        <v>46023</v>
      </c>
      <c r="U1403" s="46" t="str">
        <f>IFERROR((_xlfn.XLOOKUP(TablaSTOCKINV[[#This Row],[SKU]],TablaSALIDA[SKU],TablaSALIDA[FECHA],,0,-1))," " )</f>
        <v xml:space="preserve"> </v>
      </c>
    </row>
    <row r="1404" spans="1:21" x14ac:dyDescent="0.3">
      <c r="A1404" s="27" t="s">
        <v>3381</v>
      </c>
      <c r="B1404" s="32" t="str">
        <f>_xlfn.XLOOKUP(TablaSTOCKINV[[#This Row],[SKU]],TablaINVENTARIO[SKU],TablaINVENTARIO[DESCRIPCION])</f>
        <v>CARPETA NEGRA TIPO CARTA</v>
      </c>
      <c r="C1404" s="32" t="str">
        <f>_xlfn.XLOOKUP(TablaSTOCKINV[[#This Row],[SKU]],TablaINVENTARIO[SKU],TablaINVENTARIO[MARCA])</f>
        <v>KAISER</v>
      </c>
      <c r="D1404" s="33" t="str">
        <f>_xlfn.XLOOKUP(TablaSTOCKINV[[#This Row],[SKU]],TablaINVENTARIO[SKU],TablaINVENTARIO[CATEGORIA])</f>
        <v>CONSUMIBLES</v>
      </c>
      <c r="E1404" s="33" t="str">
        <f>_xlfn.XLOOKUP(TablaSTOCKINV[[#This Row],[SKU]],TablaINVENTARIO[SKU],TablaINVENTARIO[SUBCATEGORIA])</f>
        <v xml:space="preserve">PAPELERIA </v>
      </c>
      <c r="F1404" s="33" t="str">
        <f>_xlfn.XLOOKUP(TablaSTOCKINV[[#This Row],[SKU]],TablaINVENTARIO[SKU],TablaINVENTARIO[ESTADO])</f>
        <v xml:space="preserve">NUEVO </v>
      </c>
      <c r="G1404" s="33" t="str">
        <f>_xlfn.XLOOKUP(TablaSTOCKINV[[#This Row],[SKU]],TablaINVENTARIO[SKU],TablaINVENTARIO[MEDIDA])</f>
        <v>UND</v>
      </c>
      <c r="H1404" s="33" t="str">
        <f>_xlfn.XLOOKUP(TablaSTOCKINV[[#This Row],[SKU]],TablaINVENTARIO[SKU],TablaINVENTARIO[SERIAL])</f>
        <v>N/A</v>
      </c>
      <c r="I1404" s="34">
        <f>_xlfn.XLOOKUP(TablaSTOCKINV[[#This Row],[SKU]],TablaINVENTARIO[SKU],TablaINVENTARIO[ALMACEN])</f>
        <v>0</v>
      </c>
      <c r="J1404" s="34" t="str">
        <f>_xlfn.XLOOKUP(TablaSTOCKINV[[#This Row],[SKU]],TablaINVENTARIO[SKU],TablaINVENTARIO[UBICACION])</f>
        <v>B5</v>
      </c>
      <c r="K1404" s="34" t="str">
        <f>_xlfn.XLOOKUP(TablaSTOCKINV[[#This Row],[SKU]],TablaINVENTARIO[SKU],TablaINVENTARIO[DPTO RESPONSABLE])</f>
        <v xml:space="preserve">FINANZAS </v>
      </c>
      <c r="L1404" s="53">
        <f>_xlfn.XLOOKUP(TablaSTOCKINV[[#This Row],[SKU]],TablaINVENTARIO[SKU],TablaINVENTARIO[RANGO MIN])</f>
        <v>0</v>
      </c>
      <c r="M1404" s="34" cm="1">
        <f t="array" ref="M1404">_xlfn.IFS(TablaSTOCKINV[[#This Row],[CANT. TOTAL]]&lt;=0,1,TablaSTOCKINV[[#This Row],[CANT. TOTAL]]&lt;=TablaSTOCKINV[[#This Row],[MIN]],2,TablaSTOCKINV[[#This Row],[CANT. TOTAL]]&gt;TablaSTOCKINV[[#This Row],[MIN]],3)</f>
        <v>3</v>
      </c>
      <c r="N1404" s="34">
        <f>TablaSTOCKINV[[#This Row],[ENTRADAS]]-TablaSTOCKINV[[#This Row],[SALIDAS]]</f>
        <v>2</v>
      </c>
      <c r="O1404" s="35">
        <f>SUMIFS(TablaENTRADA[CANT],TablaENTRADA[SKU],TablaSTOCKINV[[#This Row],[SKU]])</f>
        <v>2</v>
      </c>
      <c r="P1404" s="35">
        <f>SUMIFS(TablaSALIDA[CANT],TablaSALIDA[SKU],TablaSTOCKINV[[#This Row],[SKU]])</f>
        <v>0</v>
      </c>
      <c r="Q1404" s="34">
        <f>_xlfn.XLOOKUP(TablaSTOCKINV[[#This Row],[SKU]],TablaINVENTARIO[SKU],TablaINVENTARIO[PRECIO])</f>
        <v>0</v>
      </c>
      <c r="R1404" s="34">
        <f>TablaSTOCKINV[[#This Row],[P.UNITARIO]]*TablaSTOCKINV[[#This Row],[CANT. TOTAL]]</f>
        <v>0</v>
      </c>
      <c r="S1404" s="44">
        <f>_xlfn.XLOOKUP(TablaSTOCKINV[[#This Row],[SKU]],TablaINVENTARIO[SKU],TablaINVENTARIO[FECHA INGRESO])</f>
        <v>46023</v>
      </c>
      <c r="T1404" s="44">
        <f>_xlfn.XLOOKUP(TablaSTOCKINV[[#This Row],[SKU]],TablaENTRADA[SKU],TablaENTRADA[FECHA],,0,-1)</f>
        <v>46023</v>
      </c>
      <c r="U1404" s="46" t="str">
        <f>IFERROR((_xlfn.XLOOKUP(TablaSTOCKINV[[#This Row],[SKU]],TablaSALIDA[SKU],TablaSALIDA[FECHA],,0,-1))," " )</f>
        <v xml:space="preserve"> </v>
      </c>
    </row>
    <row r="1405" spans="1:21" x14ac:dyDescent="0.3">
      <c r="A1405" s="27" t="s">
        <v>3386</v>
      </c>
      <c r="B1405" s="32" t="str">
        <f>_xlfn.XLOOKUP(TablaSTOCKINV[[#This Row],[SKU]],TablaINVENTARIO[SKU],TablaINVENTARIO[DESCRIPCION])</f>
        <v>TONER NEGRO CE314A</v>
      </c>
      <c r="C1405" s="32" t="str">
        <f>_xlfn.XLOOKUP(TablaSTOCKINV[[#This Row],[SKU]],TablaINVENTARIO[SKU],TablaINVENTARIO[MARCA])</f>
        <v xml:space="preserve">STAMPRINT </v>
      </c>
      <c r="D1405" s="33" t="str">
        <f>_xlfn.XLOOKUP(TablaSTOCKINV[[#This Row],[SKU]],TablaINVENTARIO[SKU],TablaINVENTARIO[CATEGORIA])</f>
        <v>CONSUMIBLES</v>
      </c>
      <c r="E1405" s="33" t="str">
        <f>_xlfn.XLOOKUP(TablaSTOCKINV[[#This Row],[SKU]],TablaINVENTARIO[SKU],TablaINVENTARIO[SUBCATEGORIA])</f>
        <v xml:space="preserve">PAPELERIA </v>
      </c>
      <c r="F1405" s="33" t="str">
        <f>_xlfn.XLOOKUP(TablaSTOCKINV[[#This Row],[SKU]],TablaINVENTARIO[SKU],TablaINVENTARIO[ESTADO])</f>
        <v xml:space="preserve">NUEVO </v>
      </c>
      <c r="G1405" s="33" t="str">
        <f>_xlfn.XLOOKUP(TablaSTOCKINV[[#This Row],[SKU]],TablaINVENTARIO[SKU],TablaINVENTARIO[MEDIDA])</f>
        <v>UND</v>
      </c>
      <c r="H1405" s="33" t="str">
        <f>_xlfn.XLOOKUP(TablaSTOCKINV[[#This Row],[SKU]],TablaINVENTARIO[SKU],TablaINVENTARIO[SERIAL])</f>
        <v>N/A</v>
      </c>
      <c r="I1405" s="34">
        <f>_xlfn.XLOOKUP(TablaSTOCKINV[[#This Row],[SKU]],TablaINVENTARIO[SKU],TablaINVENTARIO[ALMACEN])</f>
        <v>0</v>
      </c>
      <c r="J1405" s="34" t="str">
        <f>_xlfn.XLOOKUP(TablaSTOCKINV[[#This Row],[SKU]],TablaINVENTARIO[SKU],TablaINVENTARIO[UBICACION])</f>
        <v>C1</v>
      </c>
      <c r="K1405" s="34" t="str">
        <f>_xlfn.XLOOKUP(TablaSTOCKINV[[#This Row],[SKU]],TablaINVENTARIO[SKU],TablaINVENTARIO[DPTO RESPONSABLE])</f>
        <v>AIT</v>
      </c>
      <c r="L1405" s="53">
        <f>_xlfn.XLOOKUP(TablaSTOCKINV[[#This Row],[SKU]],TablaINVENTARIO[SKU],TablaINVENTARIO[RANGO MIN])</f>
        <v>0</v>
      </c>
      <c r="M1405" s="34" cm="1">
        <f t="array" ref="M1405">_xlfn.IFS(TablaSTOCKINV[[#This Row],[CANT. TOTAL]]&lt;=0,1,TablaSTOCKINV[[#This Row],[CANT. TOTAL]]&lt;=TablaSTOCKINV[[#This Row],[MIN]],2,TablaSTOCKINV[[#This Row],[CANT. TOTAL]]&gt;TablaSTOCKINV[[#This Row],[MIN]],3)</f>
        <v>3</v>
      </c>
      <c r="N1405" s="34">
        <f>TablaSTOCKINV[[#This Row],[ENTRADAS]]-TablaSTOCKINV[[#This Row],[SALIDAS]]</f>
        <v>1</v>
      </c>
      <c r="O1405" s="35">
        <f>SUMIFS(TablaENTRADA[CANT],TablaENTRADA[SKU],TablaSTOCKINV[[#This Row],[SKU]])</f>
        <v>1</v>
      </c>
      <c r="P1405" s="35">
        <f>SUMIFS(TablaSALIDA[CANT],TablaSALIDA[SKU],TablaSTOCKINV[[#This Row],[SKU]])</f>
        <v>0</v>
      </c>
      <c r="Q1405" s="34">
        <f>_xlfn.XLOOKUP(TablaSTOCKINV[[#This Row],[SKU]],TablaINVENTARIO[SKU],TablaINVENTARIO[PRECIO])</f>
        <v>0</v>
      </c>
      <c r="R1405" s="34">
        <f>TablaSTOCKINV[[#This Row],[P.UNITARIO]]*TablaSTOCKINV[[#This Row],[CANT. TOTAL]]</f>
        <v>0</v>
      </c>
      <c r="S1405" s="44">
        <f>_xlfn.XLOOKUP(TablaSTOCKINV[[#This Row],[SKU]],TablaINVENTARIO[SKU],TablaINVENTARIO[FECHA INGRESO])</f>
        <v>46023</v>
      </c>
      <c r="T1405" s="44">
        <f>_xlfn.XLOOKUP(TablaSTOCKINV[[#This Row],[SKU]],TablaENTRADA[SKU],TablaENTRADA[FECHA],,0,-1)</f>
        <v>46023</v>
      </c>
      <c r="U1405" s="46" t="str">
        <f>IFERROR((_xlfn.XLOOKUP(TablaSTOCKINV[[#This Row],[SKU]],TablaSALIDA[SKU],TablaSALIDA[FECHA],,0,-1))," " )</f>
        <v xml:space="preserve"> </v>
      </c>
    </row>
    <row r="1406" spans="1:21" x14ac:dyDescent="0.3">
      <c r="A1406" s="27" t="s">
        <v>3390</v>
      </c>
      <c r="B1406" s="32" t="str">
        <f>_xlfn.XLOOKUP(TablaSTOCKINV[[#This Row],[SKU]],TablaINVENTARIO[SKU],TablaINVENTARIO[DESCRIPCION])</f>
        <v>TONER NEGRO 53A</v>
      </c>
      <c r="C1406" s="32" t="str">
        <f>_xlfn.XLOOKUP(TablaSTOCKINV[[#This Row],[SKU]],TablaINVENTARIO[SKU],TablaINVENTARIO[MARCA])</f>
        <v>HP</v>
      </c>
      <c r="D1406" s="33" t="str">
        <f>_xlfn.XLOOKUP(TablaSTOCKINV[[#This Row],[SKU]],TablaINVENTARIO[SKU],TablaINVENTARIO[CATEGORIA])</f>
        <v>CONSUMIBLES</v>
      </c>
      <c r="E1406" s="33" t="str">
        <f>_xlfn.XLOOKUP(TablaSTOCKINV[[#This Row],[SKU]],TablaINVENTARIO[SKU],TablaINVENTARIO[SUBCATEGORIA])</f>
        <v xml:space="preserve">PAPELERIA </v>
      </c>
      <c r="F1406" s="33" t="str">
        <f>_xlfn.XLOOKUP(TablaSTOCKINV[[#This Row],[SKU]],TablaINVENTARIO[SKU],TablaINVENTARIO[ESTADO])</f>
        <v xml:space="preserve">NUEVO </v>
      </c>
      <c r="G1406" s="33" t="str">
        <f>_xlfn.XLOOKUP(TablaSTOCKINV[[#This Row],[SKU]],TablaINVENTARIO[SKU],TablaINVENTARIO[MEDIDA])</f>
        <v>UND</v>
      </c>
      <c r="H1406" s="33" t="str">
        <f>_xlfn.XLOOKUP(TablaSTOCKINV[[#This Row],[SKU]],TablaINVENTARIO[SKU],TablaINVENTARIO[SERIAL])</f>
        <v>N/A</v>
      </c>
      <c r="I1406" s="34">
        <f>_xlfn.XLOOKUP(TablaSTOCKINV[[#This Row],[SKU]],TablaINVENTARIO[SKU],TablaINVENTARIO[ALMACEN])</f>
        <v>0</v>
      </c>
      <c r="J1406" s="34" t="str">
        <f>_xlfn.XLOOKUP(TablaSTOCKINV[[#This Row],[SKU]],TablaINVENTARIO[SKU],TablaINVENTARIO[UBICACION])</f>
        <v>C1</v>
      </c>
      <c r="K1406" s="34" t="str">
        <f>_xlfn.XLOOKUP(TablaSTOCKINV[[#This Row],[SKU]],TablaINVENTARIO[SKU],TablaINVENTARIO[DPTO RESPONSABLE])</f>
        <v>AIT</v>
      </c>
      <c r="L1406" s="53">
        <f>_xlfn.XLOOKUP(TablaSTOCKINV[[#This Row],[SKU]],TablaINVENTARIO[SKU],TablaINVENTARIO[RANGO MIN])</f>
        <v>0</v>
      </c>
      <c r="M1406" s="34" cm="1">
        <f t="array" ref="M1406">_xlfn.IFS(TablaSTOCKINV[[#This Row],[CANT. TOTAL]]&lt;=0,1,TablaSTOCKINV[[#This Row],[CANT. TOTAL]]&lt;=TablaSTOCKINV[[#This Row],[MIN]],2,TablaSTOCKINV[[#This Row],[CANT. TOTAL]]&gt;TablaSTOCKINV[[#This Row],[MIN]],3)</f>
        <v>3</v>
      </c>
      <c r="N1406" s="34">
        <f>TablaSTOCKINV[[#This Row],[ENTRADAS]]-TablaSTOCKINV[[#This Row],[SALIDAS]]</f>
        <v>1</v>
      </c>
      <c r="O1406" s="35">
        <f>SUMIFS(TablaENTRADA[CANT],TablaENTRADA[SKU],TablaSTOCKINV[[#This Row],[SKU]])</f>
        <v>1</v>
      </c>
      <c r="P1406" s="35">
        <f>SUMIFS(TablaSALIDA[CANT],TablaSALIDA[SKU],TablaSTOCKINV[[#This Row],[SKU]])</f>
        <v>0</v>
      </c>
      <c r="Q1406" s="34">
        <f>_xlfn.XLOOKUP(TablaSTOCKINV[[#This Row],[SKU]],TablaINVENTARIO[SKU],TablaINVENTARIO[PRECIO])</f>
        <v>0</v>
      </c>
      <c r="R1406" s="34">
        <f>TablaSTOCKINV[[#This Row],[P.UNITARIO]]*TablaSTOCKINV[[#This Row],[CANT. TOTAL]]</f>
        <v>0</v>
      </c>
      <c r="S1406" s="44">
        <f>_xlfn.XLOOKUP(TablaSTOCKINV[[#This Row],[SKU]],TablaINVENTARIO[SKU],TablaINVENTARIO[FECHA INGRESO])</f>
        <v>46023</v>
      </c>
      <c r="T1406" s="44">
        <f>_xlfn.XLOOKUP(TablaSTOCKINV[[#This Row],[SKU]],TablaENTRADA[SKU],TablaENTRADA[FECHA],,0,-1)</f>
        <v>46023</v>
      </c>
      <c r="U1406" s="46" t="str">
        <f>IFERROR((_xlfn.XLOOKUP(TablaSTOCKINV[[#This Row],[SKU]],TablaSALIDA[SKU],TablaSALIDA[FECHA],,0,-1))," " )</f>
        <v xml:space="preserve"> </v>
      </c>
    </row>
    <row r="1407" spans="1:21" x14ac:dyDescent="0.3">
      <c r="A1407" s="27" t="s">
        <v>3392</v>
      </c>
      <c r="B1407" s="32" t="str">
        <f>_xlfn.XLOOKUP(TablaSTOCKINV[[#This Row],[SKU]],TablaINVENTARIO[SKU],TablaINVENTARIO[DESCRIPCION])</f>
        <v xml:space="preserve">TONER NEGRO 35A </v>
      </c>
      <c r="C1407" s="32" t="str">
        <f>_xlfn.XLOOKUP(TablaSTOCKINV[[#This Row],[SKU]],TablaINVENTARIO[SKU],TablaINVENTARIO[MARCA])</f>
        <v>HP</v>
      </c>
      <c r="D1407" s="33" t="str">
        <f>_xlfn.XLOOKUP(TablaSTOCKINV[[#This Row],[SKU]],TablaINVENTARIO[SKU],TablaINVENTARIO[CATEGORIA])</f>
        <v>CONSUMIBLES</v>
      </c>
      <c r="E1407" s="33" t="str">
        <f>_xlfn.XLOOKUP(TablaSTOCKINV[[#This Row],[SKU]],TablaINVENTARIO[SKU],TablaINVENTARIO[SUBCATEGORIA])</f>
        <v xml:space="preserve">PAPELERIA </v>
      </c>
      <c r="F1407" s="33" t="str">
        <f>_xlfn.XLOOKUP(TablaSTOCKINV[[#This Row],[SKU]],TablaINVENTARIO[SKU],TablaINVENTARIO[ESTADO])</f>
        <v xml:space="preserve">NUEVO </v>
      </c>
      <c r="G1407" s="33" t="str">
        <f>_xlfn.XLOOKUP(TablaSTOCKINV[[#This Row],[SKU]],TablaINVENTARIO[SKU],TablaINVENTARIO[MEDIDA])</f>
        <v>UND</v>
      </c>
      <c r="H1407" s="33" t="str">
        <f>_xlfn.XLOOKUP(TablaSTOCKINV[[#This Row],[SKU]],TablaINVENTARIO[SKU],TablaINVENTARIO[SERIAL])</f>
        <v>N/A</v>
      </c>
      <c r="I1407" s="34">
        <f>_xlfn.XLOOKUP(TablaSTOCKINV[[#This Row],[SKU]],TablaINVENTARIO[SKU],TablaINVENTARIO[ALMACEN])</f>
        <v>0</v>
      </c>
      <c r="J1407" s="34" t="str">
        <f>_xlfn.XLOOKUP(TablaSTOCKINV[[#This Row],[SKU]],TablaINVENTARIO[SKU],TablaINVENTARIO[UBICACION])</f>
        <v>C1</v>
      </c>
      <c r="K1407" s="34" t="str">
        <f>_xlfn.XLOOKUP(TablaSTOCKINV[[#This Row],[SKU]],TablaINVENTARIO[SKU],TablaINVENTARIO[DPTO RESPONSABLE])</f>
        <v>AIT</v>
      </c>
      <c r="L1407" s="53">
        <f>_xlfn.XLOOKUP(TablaSTOCKINV[[#This Row],[SKU]],TablaINVENTARIO[SKU],TablaINVENTARIO[RANGO MIN])</f>
        <v>0</v>
      </c>
      <c r="M1407" s="34" cm="1">
        <f t="array" ref="M1407">_xlfn.IFS(TablaSTOCKINV[[#This Row],[CANT. TOTAL]]&lt;=0,1,TablaSTOCKINV[[#This Row],[CANT. TOTAL]]&lt;=TablaSTOCKINV[[#This Row],[MIN]],2,TablaSTOCKINV[[#This Row],[CANT. TOTAL]]&gt;TablaSTOCKINV[[#This Row],[MIN]],3)</f>
        <v>3</v>
      </c>
      <c r="N1407" s="34">
        <f>TablaSTOCKINV[[#This Row],[ENTRADAS]]-TablaSTOCKINV[[#This Row],[SALIDAS]]</f>
        <v>1</v>
      </c>
      <c r="O1407" s="35">
        <f>SUMIFS(TablaENTRADA[CANT],TablaENTRADA[SKU],TablaSTOCKINV[[#This Row],[SKU]])</f>
        <v>1</v>
      </c>
      <c r="P1407" s="35">
        <f>SUMIFS(TablaSALIDA[CANT],TablaSALIDA[SKU],TablaSTOCKINV[[#This Row],[SKU]])</f>
        <v>0</v>
      </c>
      <c r="Q1407" s="34">
        <f>_xlfn.XLOOKUP(TablaSTOCKINV[[#This Row],[SKU]],TablaINVENTARIO[SKU],TablaINVENTARIO[PRECIO])</f>
        <v>0</v>
      </c>
      <c r="R1407" s="34">
        <f>TablaSTOCKINV[[#This Row],[P.UNITARIO]]*TablaSTOCKINV[[#This Row],[CANT. TOTAL]]</f>
        <v>0</v>
      </c>
      <c r="S1407" s="44">
        <f>_xlfn.XLOOKUP(TablaSTOCKINV[[#This Row],[SKU]],TablaINVENTARIO[SKU],TablaINVENTARIO[FECHA INGRESO])</f>
        <v>46023</v>
      </c>
      <c r="T1407" s="44">
        <f>_xlfn.XLOOKUP(TablaSTOCKINV[[#This Row],[SKU]],TablaENTRADA[SKU],TablaENTRADA[FECHA],,0,-1)</f>
        <v>46023</v>
      </c>
      <c r="U1407" s="46" t="str">
        <f>IFERROR((_xlfn.XLOOKUP(TablaSTOCKINV[[#This Row],[SKU]],TablaSALIDA[SKU],TablaSALIDA[FECHA],,0,-1))," " )</f>
        <v xml:space="preserve"> </v>
      </c>
    </row>
    <row r="1408" spans="1:21" x14ac:dyDescent="0.3">
      <c r="A1408" s="27" t="s">
        <v>3394</v>
      </c>
      <c r="B1408" s="32" t="str">
        <f>_xlfn.XLOOKUP(TablaSTOCKINV[[#This Row],[SKU]],TablaINVENTARIO[SKU],TablaINVENTARIO[DESCRIPCION])</f>
        <v>TONER YELLOW 201A/202A/045/054</v>
      </c>
      <c r="C1408" s="32" t="str">
        <f>_xlfn.XLOOKUP(TablaSTOCKINV[[#This Row],[SKU]],TablaINVENTARIO[SKU],TablaINVENTARIO[MARCA])</f>
        <v xml:space="preserve">MAXIPRINT </v>
      </c>
      <c r="D1408" s="33" t="str">
        <f>_xlfn.XLOOKUP(TablaSTOCKINV[[#This Row],[SKU]],TablaINVENTARIO[SKU],TablaINVENTARIO[CATEGORIA])</f>
        <v>CONSUMIBLES</v>
      </c>
      <c r="E1408" s="33" t="str">
        <f>_xlfn.XLOOKUP(TablaSTOCKINV[[#This Row],[SKU]],TablaINVENTARIO[SKU],TablaINVENTARIO[SUBCATEGORIA])</f>
        <v xml:space="preserve">PAPELERIA </v>
      </c>
      <c r="F1408" s="33" t="str">
        <f>_xlfn.XLOOKUP(TablaSTOCKINV[[#This Row],[SKU]],TablaINVENTARIO[SKU],TablaINVENTARIO[ESTADO])</f>
        <v xml:space="preserve">NUEVO </v>
      </c>
      <c r="G1408" s="33" t="str">
        <f>_xlfn.XLOOKUP(TablaSTOCKINV[[#This Row],[SKU]],TablaINVENTARIO[SKU],TablaINVENTARIO[MEDIDA])</f>
        <v>UND</v>
      </c>
      <c r="H1408" s="33" t="str">
        <f>_xlfn.XLOOKUP(TablaSTOCKINV[[#This Row],[SKU]],TablaINVENTARIO[SKU],TablaINVENTARIO[SERIAL])</f>
        <v>N/A</v>
      </c>
      <c r="I1408" s="34">
        <f>_xlfn.XLOOKUP(TablaSTOCKINV[[#This Row],[SKU]],TablaINVENTARIO[SKU],TablaINVENTARIO[ALMACEN])</f>
        <v>0</v>
      </c>
      <c r="J1408" s="34" t="str">
        <f>_xlfn.XLOOKUP(TablaSTOCKINV[[#This Row],[SKU]],TablaINVENTARIO[SKU],TablaINVENTARIO[UBICACION])</f>
        <v>C1</v>
      </c>
      <c r="K1408" s="34" t="str">
        <f>_xlfn.XLOOKUP(TablaSTOCKINV[[#This Row],[SKU]],TablaINVENTARIO[SKU],TablaINVENTARIO[DPTO RESPONSABLE])</f>
        <v>AIT</v>
      </c>
      <c r="L1408" s="53">
        <f>_xlfn.XLOOKUP(TablaSTOCKINV[[#This Row],[SKU]],TablaINVENTARIO[SKU],TablaINVENTARIO[RANGO MIN])</f>
        <v>0</v>
      </c>
      <c r="M1408" s="34" cm="1">
        <f t="array" ref="M1408">_xlfn.IFS(TablaSTOCKINV[[#This Row],[CANT. TOTAL]]&lt;=0,1,TablaSTOCKINV[[#This Row],[CANT. TOTAL]]&lt;=TablaSTOCKINV[[#This Row],[MIN]],2,TablaSTOCKINV[[#This Row],[CANT. TOTAL]]&gt;TablaSTOCKINV[[#This Row],[MIN]],3)</f>
        <v>3</v>
      </c>
      <c r="N1408" s="34">
        <f>TablaSTOCKINV[[#This Row],[ENTRADAS]]-TablaSTOCKINV[[#This Row],[SALIDAS]]</f>
        <v>1</v>
      </c>
      <c r="O1408" s="35">
        <f>SUMIFS(TablaENTRADA[CANT],TablaENTRADA[SKU],TablaSTOCKINV[[#This Row],[SKU]])</f>
        <v>1</v>
      </c>
      <c r="P1408" s="35">
        <f>SUMIFS(TablaSALIDA[CANT],TablaSALIDA[SKU],TablaSTOCKINV[[#This Row],[SKU]])</f>
        <v>0</v>
      </c>
      <c r="Q1408" s="34">
        <f>_xlfn.XLOOKUP(TablaSTOCKINV[[#This Row],[SKU]],TablaINVENTARIO[SKU],TablaINVENTARIO[PRECIO])</f>
        <v>0</v>
      </c>
      <c r="R1408" s="34">
        <f>TablaSTOCKINV[[#This Row],[P.UNITARIO]]*TablaSTOCKINV[[#This Row],[CANT. TOTAL]]</f>
        <v>0</v>
      </c>
      <c r="S1408" s="44">
        <f>_xlfn.XLOOKUP(TablaSTOCKINV[[#This Row],[SKU]],TablaINVENTARIO[SKU],TablaINVENTARIO[FECHA INGRESO])</f>
        <v>46023</v>
      </c>
      <c r="T1408" s="44">
        <f>_xlfn.XLOOKUP(TablaSTOCKINV[[#This Row],[SKU]],TablaENTRADA[SKU],TablaENTRADA[FECHA],,0,-1)</f>
        <v>46023</v>
      </c>
      <c r="U1408" s="46" t="str">
        <f>IFERROR((_xlfn.XLOOKUP(TablaSTOCKINV[[#This Row],[SKU]],TablaSALIDA[SKU],TablaSALIDA[FECHA],,0,-1))," " )</f>
        <v xml:space="preserve"> </v>
      </c>
    </row>
    <row r="1409" spans="1:21" x14ac:dyDescent="0.3">
      <c r="A1409" s="27" t="s">
        <v>3397</v>
      </c>
      <c r="B1409" s="32" t="str">
        <f>_xlfn.XLOOKUP(TablaSTOCKINV[[#This Row],[SKU]],TablaINVENTARIO[SKU],TablaINVENTARIO[DESCRIPCION])</f>
        <v>TONER MAGENTA 201A/202A/045/054</v>
      </c>
      <c r="C1409" s="32" t="str">
        <f>_xlfn.XLOOKUP(TablaSTOCKINV[[#This Row],[SKU]],TablaINVENTARIO[SKU],TablaINVENTARIO[MARCA])</f>
        <v xml:space="preserve">MAXIPRINT </v>
      </c>
      <c r="D1409" s="33" t="str">
        <f>_xlfn.XLOOKUP(TablaSTOCKINV[[#This Row],[SKU]],TablaINVENTARIO[SKU],TablaINVENTARIO[CATEGORIA])</f>
        <v>CONSUMIBLES</v>
      </c>
      <c r="E1409" s="33" t="str">
        <f>_xlfn.XLOOKUP(TablaSTOCKINV[[#This Row],[SKU]],TablaINVENTARIO[SKU],TablaINVENTARIO[SUBCATEGORIA])</f>
        <v xml:space="preserve">PAPELERIA </v>
      </c>
      <c r="F1409" s="33" t="str">
        <f>_xlfn.XLOOKUP(TablaSTOCKINV[[#This Row],[SKU]],TablaINVENTARIO[SKU],TablaINVENTARIO[ESTADO])</f>
        <v xml:space="preserve">NUEVO </v>
      </c>
      <c r="G1409" s="33" t="str">
        <f>_xlfn.XLOOKUP(TablaSTOCKINV[[#This Row],[SKU]],TablaINVENTARIO[SKU],TablaINVENTARIO[MEDIDA])</f>
        <v>UND</v>
      </c>
      <c r="H1409" s="33" t="str">
        <f>_xlfn.XLOOKUP(TablaSTOCKINV[[#This Row],[SKU]],TablaINVENTARIO[SKU],TablaINVENTARIO[SERIAL])</f>
        <v>N/A</v>
      </c>
      <c r="I1409" s="34">
        <f>_xlfn.XLOOKUP(TablaSTOCKINV[[#This Row],[SKU]],TablaINVENTARIO[SKU],TablaINVENTARIO[ALMACEN])</f>
        <v>0</v>
      </c>
      <c r="J1409" s="34" t="str">
        <f>_xlfn.XLOOKUP(TablaSTOCKINV[[#This Row],[SKU]],TablaINVENTARIO[SKU],TablaINVENTARIO[UBICACION])</f>
        <v>C1</v>
      </c>
      <c r="K1409" s="34" t="str">
        <f>_xlfn.XLOOKUP(TablaSTOCKINV[[#This Row],[SKU]],TablaINVENTARIO[SKU],TablaINVENTARIO[DPTO RESPONSABLE])</f>
        <v>AIT</v>
      </c>
      <c r="L1409" s="53">
        <f>_xlfn.XLOOKUP(TablaSTOCKINV[[#This Row],[SKU]],TablaINVENTARIO[SKU],TablaINVENTARIO[RANGO MIN])</f>
        <v>0</v>
      </c>
      <c r="M1409" s="34" cm="1">
        <f t="array" ref="M1409">_xlfn.IFS(TablaSTOCKINV[[#This Row],[CANT. TOTAL]]&lt;=0,1,TablaSTOCKINV[[#This Row],[CANT. TOTAL]]&lt;=TablaSTOCKINV[[#This Row],[MIN]],2,TablaSTOCKINV[[#This Row],[CANT. TOTAL]]&gt;TablaSTOCKINV[[#This Row],[MIN]],3)</f>
        <v>3</v>
      </c>
      <c r="N1409" s="34">
        <f>TablaSTOCKINV[[#This Row],[ENTRADAS]]-TablaSTOCKINV[[#This Row],[SALIDAS]]</f>
        <v>1</v>
      </c>
      <c r="O1409" s="35">
        <f>SUMIFS(TablaENTRADA[CANT],TablaENTRADA[SKU],TablaSTOCKINV[[#This Row],[SKU]])</f>
        <v>1</v>
      </c>
      <c r="P1409" s="35">
        <f>SUMIFS(TablaSALIDA[CANT],TablaSALIDA[SKU],TablaSTOCKINV[[#This Row],[SKU]])</f>
        <v>0</v>
      </c>
      <c r="Q1409" s="34">
        <f>_xlfn.XLOOKUP(TablaSTOCKINV[[#This Row],[SKU]],TablaINVENTARIO[SKU],TablaINVENTARIO[PRECIO])</f>
        <v>0</v>
      </c>
      <c r="R1409" s="34">
        <f>TablaSTOCKINV[[#This Row],[P.UNITARIO]]*TablaSTOCKINV[[#This Row],[CANT. TOTAL]]</f>
        <v>0</v>
      </c>
      <c r="S1409" s="44">
        <f>_xlfn.XLOOKUP(TablaSTOCKINV[[#This Row],[SKU]],TablaINVENTARIO[SKU],TablaINVENTARIO[FECHA INGRESO])</f>
        <v>46023</v>
      </c>
      <c r="T1409" s="44">
        <f>_xlfn.XLOOKUP(TablaSTOCKINV[[#This Row],[SKU]],TablaENTRADA[SKU],TablaENTRADA[FECHA],,0,-1)</f>
        <v>46023</v>
      </c>
      <c r="U1409" s="46" t="str">
        <f>IFERROR((_xlfn.XLOOKUP(TablaSTOCKINV[[#This Row],[SKU]],TablaSALIDA[SKU],TablaSALIDA[FECHA],,0,-1))," " )</f>
        <v xml:space="preserve"> </v>
      </c>
    </row>
    <row r="1410" spans="1:21" x14ac:dyDescent="0.3">
      <c r="A1410" s="27" t="s">
        <v>3399</v>
      </c>
      <c r="B1410" s="32" t="str">
        <f>_xlfn.XLOOKUP(TablaSTOCKINV[[#This Row],[SKU]],TablaINVENTARIO[SKU],TablaINVENTARIO[DESCRIPCION])</f>
        <v>TONER MAGENTA CF503A/202</v>
      </c>
      <c r="C1410" s="32" t="str">
        <f>_xlfn.XLOOKUP(TablaSTOCKINV[[#This Row],[SKU]],TablaINVENTARIO[SKU],TablaINVENTARIO[MARCA])</f>
        <v xml:space="preserve">PRINTLINE </v>
      </c>
      <c r="D1410" s="33" t="str">
        <f>_xlfn.XLOOKUP(TablaSTOCKINV[[#This Row],[SKU]],TablaINVENTARIO[SKU],TablaINVENTARIO[CATEGORIA])</f>
        <v>CONSUMIBLES</v>
      </c>
      <c r="E1410" s="33" t="str">
        <f>_xlfn.XLOOKUP(TablaSTOCKINV[[#This Row],[SKU]],TablaINVENTARIO[SKU],TablaINVENTARIO[SUBCATEGORIA])</f>
        <v xml:space="preserve">PAPELERIA </v>
      </c>
      <c r="F1410" s="33" t="str">
        <f>_xlfn.XLOOKUP(TablaSTOCKINV[[#This Row],[SKU]],TablaINVENTARIO[SKU],TablaINVENTARIO[ESTADO])</f>
        <v xml:space="preserve">NUEVO </v>
      </c>
      <c r="G1410" s="33" t="str">
        <f>_xlfn.XLOOKUP(TablaSTOCKINV[[#This Row],[SKU]],TablaINVENTARIO[SKU],TablaINVENTARIO[MEDIDA])</f>
        <v>UND</v>
      </c>
      <c r="H1410" s="33" t="str">
        <f>_xlfn.XLOOKUP(TablaSTOCKINV[[#This Row],[SKU]],TablaINVENTARIO[SKU],TablaINVENTARIO[SERIAL])</f>
        <v>N/A</v>
      </c>
      <c r="I1410" s="34">
        <f>_xlfn.XLOOKUP(TablaSTOCKINV[[#This Row],[SKU]],TablaINVENTARIO[SKU],TablaINVENTARIO[ALMACEN])</f>
        <v>0</v>
      </c>
      <c r="J1410" s="34" t="str">
        <f>_xlfn.XLOOKUP(TablaSTOCKINV[[#This Row],[SKU]],TablaINVENTARIO[SKU],TablaINVENTARIO[UBICACION])</f>
        <v>C1</v>
      </c>
      <c r="K1410" s="34" t="str">
        <f>_xlfn.XLOOKUP(TablaSTOCKINV[[#This Row],[SKU]],TablaINVENTARIO[SKU],TablaINVENTARIO[DPTO RESPONSABLE])</f>
        <v>AIT</v>
      </c>
      <c r="L1410" s="53">
        <f>_xlfn.XLOOKUP(TablaSTOCKINV[[#This Row],[SKU]],TablaINVENTARIO[SKU],TablaINVENTARIO[RANGO MIN])</f>
        <v>0</v>
      </c>
      <c r="M1410" s="34" cm="1">
        <f t="array" ref="M1410">_xlfn.IFS(TablaSTOCKINV[[#This Row],[CANT. TOTAL]]&lt;=0,1,TablaSTOCKINV[[#This Row],[CANT. TOTAL]]&lt;=TablaSTOCKINV[[#This Row],[MIN]],2,TablaSTOCKINV[[#This Row],[CANT. TOTAL]]&gt;TablaSTOCKINV[[#This Row],[MIN]],3)</f>
        <v>3</v>
      </c>
      <c r="N1410" s="34">
        <f>TablaSTOCKINV[[#This Row],[ENTRADAS]]-TablaSTOCKINV[[#This Row],[SALIDAS]]</f>
        <v>1</v>
      </c>
      <c r="O1410" s="35">
        <f>SUMIFS(TablaENTRADA[CANT],TablaENTRADA[SKU],TablaSTOCKINV[[#This Row],[SKU]])</f>
        <v>1</v>
      </c>
      <c r="P1410" s="35">
        <f>SUMIFS(TablaSALIDA[CANT],TablaSALIDA[SKU],TablaSTOCKINV[[#This Row],[SKU]])</f>
        <v>0</v>
      </c>
      <c r="Q1410" s="34">
        <f>_xlfn.XLOOKUP(TablaSTOCKINV[[#This Row],[SKU]],TablaINVENTARIO[SKU],TablaINVENTARIO[PRECIO])</f>
        <v>0</v>
      </c>
      <c r="R1410" s="34">
        <f>TablaSTOCKINV[[#This Row],[P.UNITARIO]]*TablaSTOCKINV[[#This Row],[CANT. TOTAL]]</f>
        <v>0</v>
      </c>
      <c r="S1410" s="44">
        <f>_xlfn.XLOOKUP(TablaSTOCKINV[[#This Row],[SKU]],TablaINVENTARIO[SKU],TablaINVENTARIO[FECHA INGRESO])</f>
        <v>46023</v>
      </c>
      <c r="T1410" s="44">
        <f>_xlfn.XLOOKUP(TablaSTOCKINV[[#This Row],[SKU]],TablaENTRADA[SKU],TablaENTRADA[FECHA],,0,-1)</f>
        <v>46023</v>
      </c>
      <c r="U1410" s="46" t="str">
        <f>IFERROR((_xlfn.XLOOKUP(TablaSTOCKINV[[#This Row],[SKU]],TablaSALIDA[SKU],TablaSALIDA[FECHA],,0,-1))," " )</f>
        <v xml:space="preserve"> </v>
      </c>
    </row>
    <row r="1411" spans="1:21" x14ac:dyDescent="0.3">
      <c r="A1411" s="27" t="s">
        <v>3402</v>
      </c>
      <c r="B1411" s="32" t="str">
        <f>_xlfn.XLOOKUP(TablaSTOCKINV[[#This Row],[SKU]],TablaINVENTARIO[SKU],TablaINVENTARIO[DESCRIPCION])</f>
        <v>TONER YELOW CF502A.202</v>
      </c>
      <c r="C1411" s="32" t="str">
        <f>_xlfn.XLOOKUP(TablaSTOCKINV[[#This Row],[SKU]],TablaINVENTARIO[SKU],TablaINVENTARIO[MARCA])</f>
        <v xml:space="preserve">PRINTLINE </v>
      </c>
      <c r="D1411" s="33" t="str">
        <f>_xlfn.XLOOKUP(TablaSTOCKINV[[#This Row],[SKU]],TablaINVENTARIO[SKU],TablaINVENTARIO[CATEGORIA])</f>
        <v>CONSUMIBLES</v>
      </c>
      <c r="E1411" s="33" t="str">
        <f>_xlfn.XLOOKUP(TablaSTOCKINV[[#This Row],[SKU]],TablaINVENTARIO[SKU],TablaINVENTARIO[SUBCATEGORIA])</f>
        <v xml:space="preserve">PAPELERIA </v>
      </c>
      <c r="F1411" s="33" t="str">
        <f>_xlfn.XLOOKUP(TablaSTOCKINV[[#This Row],[SKU]],TablaINVENTARIO[SKU],TablaINVENTARIO[ESTADO])</f>
        <v xml:space="preserve">NUEVO </v>
      </c>
      <c r="G1411" s="33" t="str">
        <f>_xlfn.XLOOKUP(TablaSTOCKINV[[#This Row],[SKU]],TablaINVENTARIO[SKU],TablaINVENTARIO[MEDIDA])</f>
        <v>UND</v>
      </c>
      <c r="H1411" s="33" t="str">
        <f>_xlfn.XLOOKUP(TablaSTOCKINV[[#This Row],[SKU]],TablaINVENTARIO[SKU],TablaINVENTARIO[SERIAL])</f>
        <v>N/A</v>
      </c>
      <c r="I1411" s="34">
        <f>_xlfn.XLOOKUP(TablaSTOCKINV[[#This Row],[SKU]],TablaINVENTARIO[SKU],TablaINVENTARIO[ALMACEN])</f>
        <v>0</v>
      </c>
      <c r="J1411" s="34" t="str">
        <f>_xlfn.XLOOKUP(TablaSTOCKINV[[#This Row],[SKU]],TablaINVENTARIO[SKU],TablaINVENTARIO[UBICACION])</f>
        <v>C1</v>
      </c>
      <c r="K1411" s="34" t="str">
        <f>_xlfn.XLOOKUP(TablaSTOCKINV[[#This Row],[SKU]],TablaINVENTARIO[SKU],TablaINVENTARIO[DPTO RESPONSABLE])</f>
        <v>AIT</v>
      </c>
      <c r="L1411" s="53">
        <f>_xlfn.XLOOKUP(TablaSTOCKINV[[#This Row],[SKU]],TablaINVENTARIO[SKU],TablaINVENTARIO[RANGO MIN])</f>
        <v>0</v>
      </c>
      <c r="M1411" s="34" cm="1">
        <f t="array" ref="M1411">_xlfn.IFS(TablaSTOCKINV[[#This Row],[CANT. TOTAL]]&lt;=0,1,TablaSTOCKINV[[#This Row],[CANT. TOTAL]]&lt;=TablaSTOCKINV[[#This Row],[MIN]],2,TablaSTOCKINV[[#This Row],[CANT. TOTAL]]&gt;TablaSTOCKINV[[#This Row],[MIN]],3)</f>
        <v>3</v>
      </c>
      <c r="N1411" s="34">
        <f>TablaSTOCKINV[[#This Row],[ENTRADAS]]-TablaSTOCKINV[[#This Row],[SALIDAS]]</f>
        <v>1</v>
      </c>
      <c r="O1411" s="35">
        <f>SUMIFS(TablaENTRADA[CANT],TablaENTRADA[SKU],TablaSTOCKINV[[#This Row],[SKU]])</f>
        <v>1</v>
      </c>
      <c r="P1411" s="35">
        <f>SUMIFS(TablaSALIDA[CANT],TablaSALIDA[SKU],TablaSTOCKINV[[#This Row],[SKU]])</f>
        <v>0</v>
      </c>
      <c r="Q1411" s="34">
        <f>_xlfn.XLOOKUP(TablaSTOCKINV[[#This Row],[SKU]],TablaINVENTARIO[SKU],TablaINVENTARIO[PRECIO])</f>
        <v>0</v>
      </c>
      <c r="R1411" s="34">
        <f>TablaSTOCKINV[[#This Row],[P.UNITARIO]]*TablaSTOCKINV[[#This Row],[CANT. TOTAL]]</f>
        <v>0</v>
      </c>
      <c r="S1411" s="44">
        <f>_xlfn.XLOOKUP(TablaSTOCKINV[[#This Row],[SKU]],TablaINVENTARIO[SKU],TablaINVENTARIO[FECHA INGRESO])</f>
        <v>46023</v>
      </c>
      <c r="T1411" s="44">
        <f>_xlfn.XLOOKUP(TablaSTOCKINV[[#This Row],[SKU]],TablaENTRADA[SKU],TablaENTRADA[FECHA],,0,-1)</f>
        <v>46023</v>
      </c>
      <c r="U1411" s="46" t="str">
        <f>IFERROR((_xlfn.XLOOKUP(TablaSTOCKINV[[#This Row],[SKU]],TablaSALIDA[SKU],TablaSALIDA[FECHA],,0,-1))," " )</f>
        <v xml:space="preserve"> </v>
      </c>
    </row>
    <row r="1412" spans="1:21" x14ac:dyDescent="0.3">
      <c r="A1412" s="27" t="s">
        <v>3404</v>
      </c>
      <c r="B1412" s="32" t="str">
        <f>_xlfn.XLOOKUP(TablaSTOCKINV[[#This Row],[SKU]],TablaINVENTARIO[SKU],TablaINVENTARIO[DESCRIPCION])</f>
        <v>TONER BLACK CF500A.CRG054</v>
      </c>
      <c r="C1412" s="32" t="str">
        <f>_xlfn.XLOOKUP(TablaSTOCKINV[[#This Row],[SKU]],TablaINVENTARIO[SKU],TablaINVENTARIO[MARCA])</f>
        <v xml:space="preserve">PRINTLINE </v>
      </c>
      <c r="D1412" s="33" t="str">
        <f>_xlfn.XLOOKUP(TablaSTOCKINV[[#This Row],[SKU]],TablaINVENTARIO[SKU],TablaINVENTARIO[CATEGORIA])</f>
        <v>CONSUMIBLES</v>
      </c>
      <c r="E1412" s="33" t="str">
        <f>_xlfn.XLOOKUP(TablaSTOCKINV[[#This Row],[SKU]],TablaINVENTARIO[SKU],TablaINVENTARIO[SUBCATEGORIA])</f>
        <v xml:space="preserve">PAPELERIA </v>
      </c>
      <c r="F1412" s="33" t="str">
        <f>_xlfn.XLOOKUP(TablaSTOCKINV[[#This Row],[SKU]],TablaINVENTARIO[SKU],TablaINVENTARIO[ESTADO])</f>
        <v xml:space="preserve">NUEVO </v>
      </c>
      <c r="G1412" s="33" t="str">
        <f>_xlfn.XLOOKUP(TablaSTOCKINV[[#This Row],[SKU]],TablaINVENTARIO[SKU],TablaINVENTARIO[MEDIDA])</f>
        <v>UND</v>
      </c>
      <c r="H1412" s="33" t="str">
        <f>_xlfn.XLOOKUP(TablaSTOCKINV[[#This Row],[SKU]],TablaINVENTARIO[SKU],TablaINVENTARIO[SERIAL])</f>
        <v>N/A</v>
      </c>
      <c r="I1412" s="34">
        <f>_xlfn.XLOOKUP(TablaSTOCKINV[[#This Row],[SKU]],TablaINVENTARIO[SKU],TablaINVENTARIO[ALMACEN])</f>
        <v>0</v>
      </c>
      <c r="J1412" s="34" t="str">
        <f>_xlfn.XLOOKUP(TablaSTOCKINV[[#This Row],[SKU]],TablaINVENTARIO[SKU],TablaINVENTARIO[UBICACION])</f>
        <v>C1</v>
      </c>
      <c r="K1412" s="34" t="str">
        <f>_xlfn.XLOOKUP(TablaSTOCKINV[[#This Row],[SKU]],TablaINVENTARIO[SKU],TablaINVENTARIO[DPTO RESPONSABLE])</f>
        <v>AIT</v>
      </c>
      <c r="L1412" s="53">
        <f>_xlfn.XLOOKUP(TablaSTOCKINV[[#This Row],[SKU]],TablaINVENTARIO[SKU],TablaINVENTARIO[RANGO MIN])</f>
        <v>0</v>
      </c>
      <c r="M1412" s="34" cm="1">
        <f t="array" ref="M1412">_xlfn.IFS(TablaSTOCKINV[[#This Row],[CANT. TOTAL]]&lt;=0,1,TablaSTOCKINV[[#This Row],[CANT. TOTAL]]&lt;=TablaSTOCKINV[[#This Row],[MIN]],2,TablaSTOCKINV[[#This Row],[CANT. TOTAL]]&gt;TablaSTOCKINV[[#This Row],[MIN]],3)</f>
        <v>3</v>
      </c>
      <c r="N1412" s="34">
        <f>TablaSTOCKINV[[#This Row],[ENTRADAS]]-TablaSTOCKINV[[#This Row],[SALIDAS]]</f>
        <v>1</v>
      </c>
      <c r="O1412" s="35">
        <f>SUMIFS(TablaENTRADA[CANT],TablaENTRADA[SKU],TablaSTOCKINV[[#This Row],[SKU]])</f>
        <v>1</v>
      </c>
      <c r="P1412" s="35">
        <f>SUMIFS(TablaSALIDA[CANT],TablaSALIDA[SKU],TablaSTOCKINV[[#This Row],[SKU]])</f>
        <v>0</v>
      </c>
      <c r="Q1412" s="34">
        <f>_xlfn.XLOOKUP(TablaSTOCKINV[[#This Row],[SKU]],TablaINVENTARIO[SKU],TablaINVENTARIO[PRECIO])</f>
        <v>0</v>
      </c>
      <c r="R1412" s="34">
        <f>TablaSTOCKINV[[#This Row],[P.UNITARIO]]*TablaSTOCKINV[[#This Row],[CANT. TOTAL]]</f>
        <v>0</v>
      </c>
      <c r="S1412" s="44">
        <f>_xlfn.XLOOKUP(TablaSTOCKINV[[#This Row],[SKU]],TablaINVENTARIO[SKU],TablaINVENTARIO[FECHA INGRESO])</f>
        <v>46023</v>
      </c>
      <c r="T1412" s="44">
        <f>_xlfn.XLOOKUP(TablaSTOCKINV[[#This Row],[SKU]],TablaENTRADA[SKU],TablaENTRADA[FECHA],,0,-1)</f>
        <v>46023</v>
      </c>
      <c r="U1412" s="46" t="str">
        <f>IFERROR((_xlfn.XLOOKUP(TablaSTOCKINV[[#This Row],[SKU]],TablaSALIDA[SKU],TablaSALIDA[FECHA],,0,-1))," " )</f>
        <v xml:space="preserve"> </v>
      </c>
    </row>
    <row r="1413" spans="1:21" x14ac:dyDescent="0.3">
      <c r="A1413" s="27" t="s">
        <v>3406</v>
      </c>
      <c r="B1413" s="32" t="str">
        <f>_xlfn.XLOOKUP(TablaSTOCKINV[[#This Row],[SKU]],TablaINVENTARIO[SKU],TablaINVENTARIO[DESCRIPCION])</f>
        <v xml:space="preserve">CARTUCHO DE TINTA MAGENTA 920 XL </v>
      </c>
      <c r="C1413" s="32" t="str">
        <f>_xlfn.XLOOKUP(TablaSTOCKINV[[#This Row],[SKU]],TablaINVENTARIO[SKU],TablaINVENTARIO[MARCA])</f>
        <v>HP</v>
      </c>
      <c r="D1413" s="33" t="str">
        <f>_xlfn.XLOOKUP(TablaSTOCKINV[[#This Row],[SKU]],TablaINVENTARIO[SKU],TablaINVENTARIO[CATEGORIA])</f>
        <v>CONSUMIBLES</v>
      </c>
      <c r="E1413" s="33" t="str">
        <f>_xlfn.XLOOKUP(TablaSTOCKINV[[#This Row],[SKU]],TablaINVENTARIO[SKU],TablaINVENTARIO[SUBCATEGORIA])</f>
        <v xml:space="preserve">PAPELERIA </v>
      </c>
      <c r="F1413" s="33" t="str">
        <f>_xlfn.XLOOKUP(TablaSTOCKINV[[#This Row],[SKU]],TablaINVENTARIO[SKU],TablaINVENTARIO[ESTADO])</f>
        <v xml:space="preserve">NUEVO </v>
      </c>
      <c r="G1413" s="33" t="str">
        <f>_xlfn.XLOOKUP(TablaSTOCKINV[[#This Row],[SKU]],TablaINVENTARIO[SKU],TablaINVENTARIO[MEDIDA])</f>
        <v>UND</v>
      </c>
      <c r="H1413" s="33" t="str">
        <f>_xlfn.XLOOKUP(TablaSTOCKINV[[#This Row],[SKU]],TablaINVENTARIO[SKU],TablaINVENTARIO[SERIAL])</f>
        <v>N/A</v>
      </c>
      <c r="I1413" s="34">
        <f>_xlfn.XLOOKUP(TablaSTOCKINV[[#This Row],[SKU]],TablaINVENTARIO[SKU],TablaINVENTARIO[ALMACEN])</f>
        <v>0</v>
      </c>
      <c r="J1413" s="34" t="str">
        <f>_xlfn.XLOOKUP(TablaSTOCKINV[[#This Row],[SKU]],TablaINVENTARIO[SKU],TablaINVENTARIO[UBICACION])</f>
        <v>C1</v>
      </c>
      <c r="K1413" s="34" t="str">
        <f>_xlfn.XLOOKUP(TablaSTOCKINV[[#This Row],[SKU]],TablaINVENTARIO[SKU],TablaINVENTARIO[DPTO RESPONSABLE])</f>
        <v>AIT</v>
      </c>
      <c r="L1413" s="53">
        <f>_xlfn.XLOOKUP(TablaSTOCKINV[[#This Row],[SKU]],TablaINVENTARIO[SKU],TablaINVENTARIO[RANGO MIN])</f>
        <v>0</v>
      </c>
      <c r="M1413" s="34" cm="1">
        <f t="array" ref="M1413">_xlfn.IFS(TablaSTOCKINV[[#This Row],[CANT. TOTAL]]&lt;=0,1,TablaSTOCKINV[[#This Row],[CANT. TOTAL]]&lt;=TablaSTOCKINV[[#This Row],[MIN]],2,TablaSTOCKINV[[#This Row],[CANT. TOTAL]]&gt;TablaSTOCKINV[[#This Row],[MIN]],3)</f>
        <v>3</v>
      </c>
      <c r="N1413" s="34">
        <f>TablaSTOCKINV[[#This Row],[ENTRADAS]]-TablaSTOCKINV[[#This Row],[SALIDAS]]</f>
        <v>6</v>
      </c>
      <c r="O1413" s="35">
        <f>SUMIFS(TablaENTRADA[CANT],TablaENTRADA[SKU],TablaSTOCKINV[[#This Row],[SKU]])</f>
        <v>6</v>
      </c>
      <c r="P1413" s="35">
        <f>SUMIFS(TablaSALIDA[CANT],TablaSALIDA[SKU],TablaSTOCKINV[[#This Row],[SKU]])</f>
        <v>0</v>
      </c>
      <c r="Q1413" s="34">
        <f>_xlfn.XLOOKUP(TablaSTOCKINV[[#This Row],[SKU]],TablaINVENTARIO[SKU],TablaINVENTARIO[PRECIO])</f>
        <v>0</v>
      </c>
      <c r="R1413" s="34">
        <f>TablaSTOCKINV[[#This Row],[P.UNITARIO]]*TablaSTOCKINV[[#This Row],[CANT. TOTAL]]</f>
        <v>0</v>
      </c>
      <c r="S1413" s="44">
        <f>_xlfn.XLOOKUP(TablaSTOCKINV[[#This Row],[SKU]],TablaINVENTARIO[SKU],TablaINVENTARIO[FECHA INGRESO])</f>
        <v>46023</v>
      </c>
      <c r="T1413" s="44">
        <f>_xlfn.XLOOKUP(TablaSTOCKINV[[#This Row],[SKU]],TablaENTRADA[SKU],TablaENTRADA[FECHA],,0,-1)</f>
        <v>46023</v>
      </c>
      <c r="U1413" s="46" t="str">
        <f>IFERROR((_xlfn.XLOOKUP(TablaSTOCKINV[[#This Row],[SKU]],TablaSALIDA[SKU],TablaSALIDA[FECHA],,0,-1))," " )</f>
        <v xml:space="preserve"> </v>
      </c>
    </row>
    <row r="1414" spans="1:21" x14ac:dyDescent="0.3">
      <c r="A1414" s="27" t="s">
        <v>3408</v>
      </c>
      <c r="B1414" s="32" t="str">
        <f>_xlfn.XLOOKUP(TablaSTOCKINV[[#This Row],[SKU]],TablaINVENTARIO[SKU],TablaINVENTARIO[DESCRIPCION])</f>
        <v xml:space="preserve">CARTUCHO DE TINTA CIAN 920 XL </v>
      </c>
      <c r="C1414" s="32" t="str">
        <f>_xlfn.XLOOKUP(TablaSTOCKINV[[#This Row],[SKU]],TablaINVENTARIO[SKU],TablaINVENTARIO[MARCA])</f>
        <v>HP</v>
      </c>
      <c r="D1414" s="33" t="str">
        <f>_xlfn.XLOOKUP(TablaSTOCKINV[[#This Row],[SKU]],TablaINVENTARIO[SKU],TablaINVENTARIO[CATEGORIA])</f>
        <v>CONSUMIBLES</v>
      </c>
      <c r="E1414" s="33" t="str">
        <f>_xlfn.XLOOKUP(TablaSTOCKINV[[#This Row],[SKU]],TablaINVENTARIO[SKU],TablaINVENTARIO[SUBCATEGORIA])</f>
        <v xml:space="preserve">PAPELERIA </v>
      </c>
      <c r="F1414" s="33" t="str">
        <f>_xlfn.XLOOKUP(TablaSTOCKINV[[#This Row],[SKU]],TablaINVENTARIO[SKU],TablaINVENTARIO[ESTADO])</f>
        <v xml:space="preserve">NUEVO </v>
      </c>
      <c r="G1414" s="33" t="str">
        <f>_xlfn.XLOOKUP(TablaSTOCKINV[[#This Row],[SKU]],TablaINVENTARIO[SKU],TablaINVENTARIO[MEDIDA])</f>
        <v>UND</v>
      </c>
      <c r="H1414" s="33" t="str">
        <f>_xlfn.XLOOKUP(TablaSTOCKINV[[#This Row],[SKU]],TablaINVENTARIO[SKU],TablaINVENTARIO[SERIAL])</f>
        <v>N/A</v>
      </c>
      <c r="I1414" s="34">
        <f>_xlfn.XLOOKUP(TablaSTOCKINV[[#This Row],[SKU]],TablaINVENTARIO[SKU],TablaINVENTARIO[ALMACEN])</f>
        <v>0</v>
      </c>
      <c r="J1414" s="34" t="str">
        <f>_xlfn.XLOOKUP(TablaSTOCKINV[[#This Row],[SKU]],TablaINVENTARIO[SKU],TablaINVENTARIO[UBICACION])</f>
        <v>C1</v>
      </c>
      <c r="K1414" s="34" t="str">
        <f>_xlfn.XLOOKUP(TablaSTOCKINV[[#This Row],[SKU]],TablaINVENTARIO[SKU],TablaINVENTARIO[DPTO RESPONSABLE])</f>
        <v>AIT</v>
      </c>
      <c r="L1414" s="53">
        <f>_xlfn.XLOOKUP(TablaSTOCKINV[[#This Row],[SKU]],TablaINVENTARIO[SKU],TablaINVENTARIO[RANGO MIN])</f>
        <v>0</v>
      </c>
      <c r="M1414" s="34" cm="1">
        <f t="array" ref="M1414">_xlfn.IFS(TablaSTOCKINV[[#This Row],[CANT. TOTAL]]&lt;=0,1,TablaSTOCKINV[[#This Row],[CANT. TOTAL]]&lt;=TablaSTOCKINV[[#This Row],[MIN]],2,TablaSTOCKINV[[#This Row],[CANT. TOTAL]]&gt;TablaSTOCKINV[[#This Row],[MIN]],3)</f>
        <v>3</v>
      </c>
      <c r="N1414" s="34">
        <f>TablaSTOCKINV[[#This Row],[ENTRADAS]]-TablaSTOCKINV[[#This Row],[SALIDAS]]</f>
        <v>3</v>
      </c>
      <c r="O1414" s="35">
        <f>SUMIFS(TablaENTRADA[CANT],TablaENTRADA[SKU],TablaSTOCKINV[[#This Row],[SKU]])</f>
        <v>3</v>
      </c>
      <c r="P1414" s="35">
        <f>SUMIFS(TablaSALIDA[CANT],TablaSALIDA[SKU],TablaSTOCKINV[[#This Row],[SKU]])</f>
        <v>0</v>
      </c>
      <c r="Q1414" s="34">
        <f>_xlfn.XLOOKUP(TablaSTOCKINV[[#This Row],[SKU]],TablaINVENTARIO[SKU],TablaINVENTARIO[PRECIO])</f>
        <v>0</v>
      </c>
      <c r="R1414" s="34">
        <f>TablaSTOCKINV[[#This Row],[P.UNITARIO]]*TablaSTOCKINV[[#This Row],[CANT. TOTAL]]</f>
        <v>0</v>
      </c>
      <c r="S1414" s="44">
        <f>_xlfn.XLOOKUP(TablaSTOCKINV[[#This Row],[SKU]],TablaINVENTARIO[SKU],TablaINVENTARIO[FECHA INGRESO])</f>
        <v>46023</v>
      </c>
      <c r="T1414" s="44">
        <f>_xlfn.XLOOKUP(TablaSTOCKINV[[#This Row],[SKU]],TablaENTRADA[SKU],TablaENTRADA[FECHA],,0,-1)</f>
        <v>46023</v>
      </c>
      <c r="U1414" s="46" t="str">
        <f>IFERROR((_xlfn.XLOOKUP(TablaSTOCKINV[[#This Row],[SKU]],TablaSALIDA[SKU],TablaSALIDA[FECHA],,0,-1))," " )</f>
        <v xml:space="preserve"> </v>
      </c>
    </row>
    <row r="1415" spans="1:21" x14ac:dyDescent="0.3">
      <c r="A1415" s="27" t="s">
        <v>3410</v>
      </c>
      <c r="B1415" s="32" t="str">
        <f>_xlfn.XLOOKUP(TablaSTOCKINV[[#This Row],[SKU]],TablaINVENTARIO[SKU],TablaINVENTARIO[DESCRIPCION])</f>
        <v xml:space="preserve">CARTUCHO DE TINTA YELLOW 920 XL </v>
      </c>
      <c r="C1415" s="32" t="str">
        <f>_xlfn.XLOOKUP(TablaSTOCKINV[[#This Row],[SKU]],TablaINVENTARIO[SKU],TablaINVENTARIO[MARCA])</f>
        <v>HP</v>
      </c>
      <c r="D1415" s="33" t="str">
        <f>_xlfn.XLOOKUP(TablaSTOCKINV[[#This Row],[SKU]],TablaINVENTARIO[SKU],TablaINVENTARIO[CATEGORIA])</f>
        <v>CONSUMIBLES</v>
      </c>
      <c r="E1415" s="33" t="str">
        <f>_xlfn.XLOOKUP(TablaSTOCKINV[[#This Row],[SKU]],TablaINVENTARIO[SKU],TablaINVENTARIO[SUBCATEGORIA])</f>
        <v xml:space="preserve">PAPELERIA </v>
      </c>
      <c r="F1415" s="33" t="str">
        <f>_xlfn.XLOOKUP(TablaSTOCKINV[[#This Row],[SKU]],TablaINVENTARIO[SKU],TablaINVENTARIO[ESTADO])</f>
        <v xml:space="preserve">NUEVO </v>
      </c>
      <c r="G1415" s="33" t="str">
        <f>_xlfn.XLOOKUP(TablaSTOCKINV[[#This Row],[SKU]],TablaINVENTARIO[SKU],TablaINVENTARIO[MEDIDA])</f>
        <v>UND</v>
      </c>
      <c r="H1415" s="33" t="str">
        <f>_xlfn.XLOOKUP(TablaSTOCKINV[[#This Row],[SKU]],TablaINVENTARIO[SKU],TablaINVENTARIO[SERIAL])</f>
        <v>N/A</v>
      </c>
      <c r="I1415" s="34">
        <f>_xlfn.XLOOKUP(TablaSTOCKINV[[#This Row],[SKU]],TablaINVENTARIO[SKU],TablaINVENTARIO[ALMACEN])</f>
        <v>0</v>
      </c>
      <c r="J1415" s="34" t="str">
        <f>_xlfn.XLOOKUP(TablaSTOCKINV[[#This Row],[SKU]],TablaINVENTARIO[SKU],TablaINVENTARIO[UBICACION])</f>
        <v>C1</v>
      </c>
      <c r="K1415" s="34" t="str">
        <f>_xlfn.XLOOKUP(TablaSTOCKINV[[#This Row],[SKU]],TablaINVENTARIO[SKU],TablaINVENTARIO[DPTO RESPONSABLE])</f>
        <v>AIT</v>
      </c>
      <c r="L1415" s="53">
        <f>_xlfn.XLOOKUP(TablaSTOCKINV[[#This Row],[SKU]],TablaINVENTARIO[SKU],TablaINVENTARIO[RANGO MIN])</f>
        <v>0</v>
      </c>
      <c r="M1415" s="34" cm="1">
        <f t="array" ref="M1415">_xlfn.IFS(TablaSTOCKINV[[#This Row],[CANT. TOTAL]]&lt;=0,1,TablaSTOCKINV[[#This Row],[CANT. TOTAL]]&lt;=TablaSTOCKINV[[#This Row],[MIN]],2,TablaSTOCKINV[[#This Row],[CANT. TOTAL]]&gt;TablaSTOCKINV[[#This Row],[MIN]],3)</f>
        <v>3</v>
      </c>
      <c r="N1415" s="34">
        <f>TablaSTOCKINV[[#This Row],[ENTRADAS]]-TablaSTOCKINV[[#This Row],[SALIDAS]]</f>
        <v>3</v>
      </c>
      <c r="O1415" s="35">
        <f>SUMIFS(TablaENTRADA[CANT],TablaENTRADA[SKU],TablaSTOCKINV[[#This Row],[SKU]])</f>
        <v>3</v>
      </c>
      <c r="P1415" s="35">
        <f>SUMIFS(TablaSALIDA[CANT],TablaSALIDA[SKU],TablaSTOCKINV[[#This Row],[SKU]])</f>
        <v>0</v>
      </c>
      <c r="Q1415" s="34">
        <f>_xlfn.XLOOKUP(TablaSTOCKINV[[#This Row],[SKU]],TablaINVENTARIO[SKU],TablaINVENTARIO[PRECIO])</f>
        <v>0</v>
      </c>
      <c r="R1415" s="34">
        <f>TablaSTOCKINV[[#This Row],[P.UNITARIO]]*TablaSTOCKINV[[#This Row],[CANT. TOTAL]]</f>
        <v>0</v>
      </c>
      <c r="S1415" s="44">
        <f>_xlfn.XLOOKUP(TablaSTOCKINV[[#This Row],[SKU]],TablaINVENTARIO[SKU],TablaINVENTARIO[FECHA INGRESO])</f>
        <v>46023</v>
      </c>
      <c r="T1415" s="44">
        <f>_xlfn.XLOOKUP(TablaSTOCKINV[[#This Row],[SKU]],TablaENTRADA[SKU],TablaENTRADA[FECHA],,0,-1)</f>
        <v>46023</v>
      </c>
      <c r="U1415" s="46" t="str">
        <f>IFERROR((_xlfn.XLOOKUP(TablaSTOCKINV[[#This Row],[SKU]],TablaSALIDA[SKU],TablaSALIDA[FECHA],,0,-1))," " )</f>
        <v xml:space="preserve"> </v>
      </c>
    </row>
    <row r="1416" spans="1:21" x14ac:dyDescent="0.3">
      <c r="A1416" s="27" t="s">
        <v>3412</v>
      </c>
      <c r="B1416" s="32" t="str">
        <f>_xlfn.XLOOKUP(TablaSTOCKINV[[#This Row],[SKU]],TablaINVENTARIO[SKU],TablaINVENTARIO[DESCRIPCION])</f>
        <v xml:space="preserve">CARTUCHO DE TINTA BLACK 920 XL </v>
      </c>
      <c r="C1416" s="32" t="str">
        <f>_xlfn.XLOOKUP(TablaSTOCKINV[[#This Row],[SKU]],TablaINVENTARIO[SKU],TablaINVENTARIO[MARCA])</f>
        <v>HP</v>
      </c>
      <c r="D1416" s="33" t="str">
        <f>_xlfn.XLOOKUP(TablaSTOCKINV[[#This Row],[SKU]],TablaINVENTARIO[SKU],TablaINVENTARIO[CATEGORIA])</f>
        <v>CONSUMIBLES</v>
      </c>
      <c r="E1416" s="33" t="str">
        <f>_xlfn.XLOOKUP(TablaSTOCKINV[[#This Row],[SKU]],TablaINVENTARIO[SKU],TablaINVENTARIO[SUBCATEGORIA])</f>
        <v xml:space="preserve">PAPELERIA </v>
      </c>
      <c r="F1416" s="33" t="str">
        <f>_xlfn.XLOOKUP(TablaSTOCKINV[[#This Row],[SKU]],TablaINVENTARIO[SKU],TablaINVENTARIO[ESTADO])</f>
        <v xml:space="preserve">NUEVO </v>
      </c>
      <c r="G1416" s="33" t="str">
        <f>_xlfn.XLOOKUP(TablaSTOCKINV[[#This Row],[SKU]],TablaINVENTARIO[SKU],TablaINVENTARIO[MEDIDA])</f>
        <v>UND</v>
      </c>
      <c r="H1416" s="33" t="str">
        <f>_xlfn.XLOOKUP(TablaSTOCKINV[[#This Row],[SKU]],TablaINVENTARIO[SKU],TablaINVENTARIO[SERIAL])</f>
        <v>N/A</v>
      </c>
      <c r="I1416" s="34">
        <f>_xlfn.XLOOKUP(TablaSTOCKINV[[#This Row],[SKU]],TablaINVENTARIO[SKU],TablaINVENTARIO[ALMACEN])</f>
        <v>0</v>
      </c>
      <c r="J1416" s="34" t="str">
        <f>_xlfn.XLOOKUP(TablaSTOCKINV[[#This Row],[SKU]],TablaINVENTARIO[SKU],TablaINVENTARIO[UBICACION])</f>
        <v>C1</v>
      </c>
      <c r="K1416" s="34" t="str">
        <f>_xlfn.XLOOKUP(TablaSTOCKINV[[#This Row],[SKU]],TablaINVENTARIO[SKU],TablaINVENTARIO[DPTO RESPONSABLE])</f>
        <v>AIT</v>
      </c>
      <c r="L1416" s="53">
        <f>_xlfn.XLOOKUP(TablaSTOCKINV[[#This Row],[SKU]],TablaINVENTARIO[SKU],TablaINVENTARIO[RANGO MIN])</f>
        <v>0</v>
      </c>
      <c r="M1416" s="34" cm="1">
        <f t="array" ref="M1416">_xlfn.IFS(TablaSTOCKINV[[#This Row],[CANT. TOTAL]]&lt;=0,1,TablaSTOCKINV[[#This Row],[CANT. TOTAL]]&lt;=TablaSTOCKINV[[#This Row],[MIN]],2,TablaSTOCKINV[[#This Row],[CANT. TOTAL]]&gt;TablaSTOCKINV[[#This Row],[MIN]],3)</f>
        <v>3</v>
      </c>
      <c r="N1416" s="34">
        <f>TablaSTOCKINV[[#This Row],[ENTRADAS]]-TablaSTOCKINV[[#This Row],[SALIDAS]]</f>
        <v>4</v>
      </c>
      <c r="O1416" s="35">
        <f>SUMIFS(TablaENTRADA[CANT],TablaENTRADA[SKU],TablaSTOCKINV[[#This Row],[SKU]])</f>
        <v>4</v>
      </c>
      <c r="P1416" s="35">
        <f>SUMIFS(TablaSALIDA[CANT],TablaSALIDA[SKU],TablaSTOCKINV[[#This Row],[SKU]])</f>
        <v>0</v>
      </c>
      <c r="Q1416" s="34">
        <f>_xlfn.XLOOKUP(TablaSTOCKINV[[#This Row],[SKU]],TablaINVENTARIO[SKU],TablaINVENTARIO[PRECIO])</f>
        <v>0</v>
      </c>
      <c r="R1416" s="34">
        <f>TablaSTOCKINV[[#This Row],[P.UNITARIO]]*TablaSTOCKINV[[#This Row],[CANT. TOTAL]]</f>
        <v>0</v>
      </c>
      <c r="S1416" s="44">
        <f>_xlfn.XLOOKUP(TablaSTOCKINV[[#This Row],[SKU]],TablaINVENTARIO[SKU],TablaINVENTARIO[FECHA INGRESO])</f>
        <v>46023</v>
      </c>
      <c r="T1416" s="44">
        <f>_xlfn.XLOOKUP(TablaSTOCKINV[[#This Row],[SKU]],TablaENTRADA[SKU],TablaENTRADA[FECHA],,0,-1)</f>
        <v>46023</v>
      </c>
      <c r="U1416" s="46" t="str">
        <f>IFERROR((_xlfn.XLOOKUP(TablaSTOCKINV[[#This Row],[SKU]],TablaSALIDA[SKU],TablaSALIDA[FECHA],,0,-1))," " )</f>
        <v xml:space="preserve"> </v>
      </c>
    </row>
    <row r="1417" spans="1:21" x14ac:dyDescent="0.3">
      <c r="A1417" s="27" t="s">
        <v>3414</v>
      </c>
      <c r="B1417" s="32" t="str">
        <f>_xlfn.XLOOKUP(TablaSTOCKINV[[#This Row],[SKU]],TablaINVENTARIO[SKU],TablaINVENTARIO[DESCRIPCION])</f>
        <v>CARTUCHO DE TINTA TRICOLOR 122</v>
      </c>
      <c r="C1417" s="32" t="str">
        <f>_xlfn.XLOOKUP(TablaSTOCKINV[[#This Row],[SKU]],TablaINVENTARIO[SKU],TablaINVENTARIO[MARCA])</f>
        <v>HP</v>
      </c>
      <c r="D1417" s="33" t="str">
        <f>_xlfn.XLOOKUP(TablaSTOCKINV[[#This Row],[SKU]],TablaINVENTARIO[SKU],TablaINVENTARIO[CATEGORIA])</f>
        <v>CONSUMIBLES</v>
      </c>
      <c r="E1417" s="33" t="str">
        <f>_xlfn.XLOOKUP(TablaSTOCKINV[[#This Row],[SKU]],TablaINVENTARIO[SKU],TablaINVENTARIO[SUBCATEGORIA])</f>
        <v xml:space="preserve">PAPELERIA </v>
      </c>
      <c r="F1417" s="33" t="str">
        <f>_xlfn.XLOOKUP(TablaSTOCKINV[[#This Row],[SKU]],TablaINVENTARIO[SKU],TablaINVENTARIO[ESTADO])</f>
        <v xml:space="preserve">NUEVO </v>
      </c>
      <c r="G1417" s="33" t="str">
        <f>_xlfn.XLOOKUP(TablaSTOCKINV[[#This Row],[SKU]],TablaINVENTARIO[SKU],TablaINVENTARIO[MEDIDA])</f>
        <v>UND</v>
      </c>
      <c r="H1417" s="33" t="str">
        <f>_xlfn.XLOOKUP(TablaSTOCKINV[[#This Row],[SKU]],TablaINVENTARIO[SKU],TablaINVENTARIO[SERIAL])</f>
        <v>N/A</v>
      </c>
      <c r="I1417" s="34">
        <f>_xlfn.XLOOKUP(TablaSTOCKINV[[#This Row],[SKU]],TablaINVENTARIO[SKU],TablaINVENTARIO[ALMACEN])</f>
        <v>0</v>
      </c>
      <c r="J1417" s="34" t="str">
        <f>_xlfn.XLOOKUP(TablaSTOCKINV[[#This Row],[SKU]],TablaINVENTARIO[SKU],TablaINVENTARIO[UBICACION])</f>
        <v>C1</v>
      </c>
      <c r="K1417" s="34" t="str">
        <f>_xlfn.XLOOKUP(TablaSTOCKINV[[#This Row],[SKU]],TablaINVENTARIO[SKU],TablaINVENTARIO[DPTO RESPONSABLE])</f>
        <v>AIT</v>
      </c>
      <c r="L1417" s="53">
        <f>_xlfn.XLOOKUP(TablaSTOCKINV[[#This Row],[SKU]],TablaINVENTARIO[SKU],TablaINVENTARIO[RANGO MIN])</f>
        <v>0</v>
      </c>
      <c r="M1417" s="34" cm="1">
        <f t="array" ref="M1417">_xlfn.IFS(TablaSTOCKINV[[#This Row],[CANT. TOTAL]]&lt;=0,1,TablaSTOCKINV[[#This Row],[CANT. TOTAL]]&lt;=TablaSTOCKINV[[#This Row],[MIN]],2,TablaSTOCKINV[[#This Row],[CANT. TOTAL]]&gt;TablaSTOCKINV[[#This Row],[MIN]],3)</f>
        <v>3</v>
      </c>
      <c r="N1417" s="34">
        <f>TablaSTOCKINV[[#This Row],[ENTRADAS]]-TablaSTOCKINV[[#This Row],[SALIDAS]]</f>
        <v>1</v>
      </c>
      <c r="O1417" s="35">
        <f>SUMIFS(TablaENTRADA[CANT],TablaENTRADA[SKU],TablaSTOCKINV[[#This Row],[SKU]])</f>
        <v>1</v>
      </c>
      <c r="P1417" s="35">
        <f>SUMIFS(TablaSALIDA[CANT],TablaSALIDA[SKU],TablaSTOCKINV[[#This Row],[SKU]])</f>
        <v>0</v>
      </c>
      <c r="Q1417" s="34">
        <f>_xlfn.XLOOKUP(TablaSTOCKINV[[#This Row],[SKU]],TablaINVENTARIO[SKU],TablaINVENTARIO[PRECIO])</f>
        <v>0</v>
      </c>
      <c r="R1417" s="34">
        <f>TablaSTOCKINV[[#This Row],[P.UNITARIO]]*TablaSTOCKINV[[#This Row],[CANT. TOTAL]]</f>
        <v>0</v>
      </c>
      <c r="S1417" s="44">
        <f>_xlfn.XLOOKUP(TablaSTOCKINV[[#This Row],[SKU]],TablaINVENTARIO[SKU],TablaINVENTARIO[FECHA INGRESO])</f>
        <v>46023</v>
      </c>
      <c r="T1417" s="44">
        <f>_xlfn.XLOOKUP(TablaSTOCKINV[[#This Row],[SKU]],TablaENTRADA[SKU],TablaENTRADA[FECHA],,0,-1)</f>
        <v>46023</v>
      </c>
      <c r="U1417" s="46" t="str">
        <f>IFERROR((_xlfn.XLOOKUP(TablaSTOCKINV[[#This Row],[SKU]],TablaSALIDA[SKU],TablaSALIDA[FECHA],,0,-1))," " )</f>
        <v xml:space="preserve"> </v>
      </c>
    </row>
    <row r="1418" spans="1:21" x14ac:dyDescent="0.3">
      <c r="A1418" s="27" t="s">
        <v>3416</v>
      </c>
      <c r="B1418" s="32" t="str">
        <f>_xlfn.XLOOKUP(TablaSTOCKINV[[#This Row],[SKU]],TablaINVENTARIO[SKU],TablaINVENTARIO[DESCRIPCION])</f>
        <v>CARTUCHO DE TINTA TRICOLOR 22</v>
      </c>
      <c r="C1418" s="32" t="str">
        <f>_xlfn.XLOOKUP(TablaSTOCKINV[[#This Row],[SKU]],TablaINVENTARIO[SKU],TablaINVENTARIO[MARCA])</f>
        <v>HP</v>
      </c>
      <c r="D1418" s="33" t="str">
        <f>_xlfn.XLOOKUP(TablaSTOCKINV[[#This Row],[SKU]],TablaINVENTARIO[SKU],TablaINVENTARIO[CATEGORIA])</f>
        <v>CONSUMIBLES</v>
      </c>
      <c r="E1418" s="33" t="str">
        <f>_xlfn.XLOOKUP(TablaSTOCKINV[[#This Row],[SKU]],TablaINVENTARIO[SKU],TablaINVENTARIO[SUBCATEGORIA])</f>
        <v xml:space="preserve">PAPELERIA </v>
      </c>
      <c r="F1418" s="33" t="str">
        <f>_xlfn.XLOOKUP(TablaSTOCKINV[[#This Row],[SKU]],TablaINVENTARIO[SKU],TablaINVENTARIO[ESTADO])</f>
        <v xml:space="preserve">NUEVO </v>
      </c>
      <c r="G1418" s="33" t="str">
        <f>_xlfn.XLOOKUP(TablaSTOCKINV[[#This Row],[SKU]],TablaINVENTARIO[SKU],TablaINVENTARIO[MEDIDA])</f>
        <v>UND</v>
      </c>
      <c r="H1418" s="33" t="str">
        <f>_xlfn.XLOOKUP(TablaSTOCKINV[[#This Row],[SKU]],TablaINVENTARIO[SKU],TablaINVENTARIO[SERIAL])</f>
        <v>N/A</v>
      </c>
      <c r="I1418" s="34">
        <f>_xlfn.XLOOKUP(TablaSTOCKINV[[#This Row],[SKU]],TablaINVENTARIO[SKU],TablaINVENTARIO[ALMACEN])</f>
        <v>0</v>
      </c>
      <c r="J1418" s="34" t="str">
        <f>_xlfn.XLOOKUP(TablaSTOCKINV[[#This Row],[SKU]],TablaINVENTARIO[SKU],TablaINVENTARIO[UBICACION])</f>
        <v>C1</v>
      </c>
      <c r="K1418" s="34" t="str">
        <f>_xlfn.XLOOKUP(TablaSTOCKINV[[#This Row],[SKU]],TablaINVENTARIO[SKU],TablaINVENTARIO[DPTO RESPONSABLE])</f>
        <v>AIT</v>
      </c>
      <c r="L1418" s="53">
        <f>_xlfn.XLOOKUP(TablaSTOCKINV[[#This Row],[SKU]],TablaINVENTARIO[SKU],TablaINVENTARIO[RANGO MIN])</f>
        <v>0</v>
      </c>
      <c r="M1418" s="34" cm="1">
        <f t="array" ref="M1418">_xlfn.IFS(TablaSTOCKINV[[#This Row],[CANT. TOTAL]]&lt;=0,1,TablaSTOCKINV[[#This Row],[CANT. TOTAL]]&lt;=TablaSTOCKINV[[#This Row],[MIN]],2,TablaSTOCKINV[[#This Row],[CANT. TOTAL]]&gt;TablaSTOCKINV[[#This Row],[MIN]],3)</f>
        <v>3</v>
      </c>
      <c r="N1418" s="34">
        <f>TablaSTOCKINV[[#This Row],[ENTRADAS]]-TablaSTOCKINV[[#This Row],[SALIDAS]]</f>
        <v>1</v>
      </c>
      <c r="O1418" s="35">
        <f>SUMIFS(TablaENTRADA[CANT],TablaENTRADA[SKU],TablaSTOCKINV[[#This Row],[SKU]])</f>
        <v>1</v>
      </c>
      <c r="P1418" s="35">
        <f>SUMIFS(TablaSALIDA[CANT],TablaSALIDA[SKU],TablaSTOCKINV[[#This Row],[SKU]])</f>
        <v>0</v>
      </c>
      <c r="Q1418" s="34">
        <f>_xlfn.XLOOKUP(TablaSTOCKINV[[#This Row],[SKU]],TablaINVENTARIO[SKU],TablaINVENTARIO[PRECIO])</f>
        <v>0</v>
      </c>
      <c r="R1418" s="34">
        <f>TablaSTOCKINV[[#This Row],[P.UNITARIO]]*TablaSTOCKINV[[#This Row],[CANT. TOTAL]]</f>
        <v>0</v>
      </c>
      <c r="S1418" s="44">
        <f>_xlfn.XLOOKUP(TablaSTOCKINV[[#This Row],[SKU]],TablaINVENTARIO[SKU],TablaINVENTARIO[FECHA INGRESO])</f>
        <v>46023</v>
      </c>
      <c r="T1418" s="44">
        <f>_xlfn.XLOOKUP(TablaSTOCKINV[[#This Row],[SKU]],TablaENTRADA[SKU],TablaENTRADA[FECHA],,0,-1)</f>
        <v>46023</v>
      </c>
      <c r="U1418" s="46" t="str">
        <f>IFERROR((_xlfn.XLOOKUP(TablaSTOCKINV[[#This Row],[SKU]],TablaSALIDA[SKU],TablaSALIDA[FECHA],,0,-1))," " )</f>
        <v xml:space="preserve"> </v>
      </c>
    </row>
    <row r="1419" spans="1:21" x14ac:dyDescent="0.3">
      <c r="A1419" s="27" t="s">
        <v>3418</v>
      </c>
      <c r="B1419" s="32" t="str">
        <f>_xlfn.XLOOKUP(TablaSTOCKINV[[#This Row],[SKU]],TablaINVENTARIO[SKU],TablaINVENTARIO[DESCRIPCION])</f>
        <v>CARTUCHO DE TINTA BLACK 122</v>
      </c>
      <c r="C1419" s="32" t="str">
        <f>_xlfn.XLOOKUP(TablaSTOCKINV[[#This Row],[SKU]],TablaINVENTARIO[SKU],TablaINVENTARIO[MARCA])</f>
        <v>HP</v>
      </c>
      <c r="D1419" s="33" t="str">
        <f>_xlfn.XLOOKUP(TablaSTOCKINV[[#This Row],[SKU]],TablaINVENTARIO[SKU],TablaINVENTARIO[CATEGORIA])</f>
        <v>CONSUMIBLES</v>
      </c>
      <c r="E1419" s="33" t="str">
        <f>_xlfn.XLOOKUP(TablaSTOCKINV[[#This Row],[SKU]],TablaINVENTARIO[SKU],TablaINVENTARIO[SUBCATEGORIA])</f>
        <v xml:space="preserve">PAPELERIA </v>
      </c>
      <c r="F1419" s="33" t="str">
        <f>_xlfn.XLOOKUP(TablaSTOCKINV[[#This Row],[SKU]],TablaINVENTARIO[SKU],TablaINVENTARIO[ESTADO])</f>
        <v xml:space="preserve">NUEVO </v>
      </c>
      <c r="G1419" s="33" t="str">
        <f>_xlfn.XLOOKUP(TablaSTOCKINV[[#This Row],[SKU]],TablaINVENTARIO[SKU],TablaINVENTARIO[MEDIDA])</f>
        <v>UND</v>
      </c>
      <c r="H1419" s="33" t="str">
        <f>_xlfn.XLOOKUP(TablaSTOCKINV[[#This Row],[SKU]],TablaINVENTARIO[SKU],TablaINVENTARIO[SERIAL])</f>
        <v>N/A</v>
      </c>
      <c r="I1419" s="34">
        <f>_xlfn.XLOOKUP(TablaSTOCKINV[[#This Row],[SKU]],TablaINVENTARIO[SKU],TablaINVENTARIO[ALMACEN])</f>
        <v>0</v>
      </c>
      <c r="J1419" s="34" t="str">
        <f>_xlfn.XLOOKUP(TablaSTOCKINV[[#This Row],[SKU]],TablaINVENTARIO[SKU],TablaINVENTARIO[UBICACION])</f>
        <v>C1</v>
      </c>
      <c r="K1419" s="34" t="str">
        <f>_xlfn.XLOOKUP(TablaSTOCKINV[[#This Row],[SKU]],TablaINVENTARIO[SKU],TablaINVENTARIO[DPTO RESPONSABLE])</f>
        <v>AIT</v>
      </c>
      <c r="L1419" s="53">
        <f>_xlfn.XLOOKUP(TablaSTOCKINV[[#This Row],[SKU]],TablaINVENTARIO[SKU],TablaINVENTARIO[RANGO MIN])</f>
        <v>0</v>
      </c>
      <c r="M1419" s="34" cm="1">
        <f t="array" ref="M1419">_xlfn.IFS(TablaSTOCKINV[[#This Row],[CANT. TOTAL]]&lt;=0,1,TablaSTOCKINV[[#This Row],[CANT. TOTAL]]&lt;=TablaSTOCKINV[[#This Row],[MIN]],2,TablaSTOCKINV[[#This Row],[CANT. TOTAL]]&gt;TablaSTOCKINV[[#This Row],[MIN]],3)</f>
        <v>3</v>
      </c>
      <c r="N1419" s="34">
        <f>TablaSTOCKINV[[#This Row],[ENTRADAS]]-TablaSTOCKINV[[#This Row],[SALIDAS]]</f>
        <v>1</v>
      </c>
      <c r="O1419" s="35">
        <f>SUMIFS(TablaENTRADA[CANT],TablaENTRADA[SKU],TablaSTOCKINV[[#This Row],[SKU]])</f>
        <v>1</v>
      </c>
      <c r="P1419" s="35">
        <f>SUMIFS(TablaSALIDA[CANT],TablaSALIDA[SKU],TablaSTOCKINV[[#This Row],[SKU]])</f>
        <v>0</v>
      </c>
      <c r="Q1419" s="34">
        <f>_xlfn.XLOOKUP(TablaSTOCKINV[[#This Row],[SKU]],TablaINVENTARIO[SKU],TablaINVENTARIO[PRECIO])</f>
        <v>0</v>
      </c>
      <c r="R1419" s="34">
        <f>TablaSTOCKINV[[#This Row],[P.UNITARIO]]*TablaSTOCKINV[[#This Row],[CANT. TOTAL]]</f>
        <v>0</v>
      </c>
      <c r="S1419" s="44">
        <f>_xlfn.XLOOKUP(TablaSTOCKINV[[#This Row],[SKU]],TablaINVENTARIO[SKU],TablaINVENTARIO[FECHA INGRESO])</f>
        <v>46023</v>
      </c>
      <c r="T1419" s="44">
        <f>_xlfn.XLOOKUP(TablaSTOCKINV[[#This Row],[SKU]],TablaENTRADA[SKU],TablaENTRADA[FECHA],,0,-1)</f>
        <v>46023</v>
      </c>
      <c r="U1419" s="46" t="str">
        <f>IFERROR((_xlfn.XLOOKUP(TablaSTOCKINV[[#This Row],[SKU]],TablaSALIDA[SKU],TablaSALIDA[FECHA],,0,-1))," " )</f>
        <v xml:space="preserve"> </v>
      </c>
    </row>
    <row r="1420" spans="1:21" x14ac:dyDescent="0.3">
      <c r="A1420" s="27" t="s">
        <v>3420</v>
      </c>
      <c r="B1420" s="32" t="str">
        <f>_xlfn.XLOOKUP(TablaSTOCKINV[[#This Row],[SKU]],TablaINVENTARIO[SKU],TablaINVENTARIO[DESCRIPCION])</f>
        <v>CARTUCHO DE TINTA MAGENTA 81N</v>
      </c>
      <c r="C1420" s="32" t="str">
        <f>_xlfn.XLOOKUP(TablaSTOCKINV[[#This Row],[SKU]],TablaINVENTARIO[SKU],TablaINVENTARIO[MARCA])</f>
        <v>EPSON</v>
      </c>
      <c r="D1420" s="33" t="str">
        <f>_xlfn.XLOOKUP(TablaSTOCKINV[[#This Row],[SKU]],TablaINVENTARIO[SKU],TablaINVENTARIO[CATEGORIA])</f>
        <v>CONSUMIBLES</v>
      </c>
      <c r="E1420" s="33" t="str">
        <f>_xlfn.XLOOKUP(TablaSTOCKINV[[#This Row],[SKU]],TablaINVENTARIO[SKU],TablaINVENTARIO[SUBCATEGORIA])</f>
        <v xml:space="preserve">PAPELERIA </v>
      </c>
      <c r="F1420" s="33" t="str">
        <f>_xlfn.XLOOKUP(TablaSTOCKINV[[#This Row],[SKU]],TablaINVENTARIO[SKU],TablaINVENTARIO[ESTADO])</f>
        <v xml:space="preserve">NUEVO </v>
      </c>
      <c r="G1420" s="33" t="str">
        <f>_xlfn.XLOOKUP(TablaSTOCKINV[[#This Row],[SKU]],TablaINVENTARIO[SKU],TablaINVENTARIO[MEDIDA])</f>
        <v>UND</v>
      </c>
      <c r="H1420" s="33" t="str">
        <f>_xlfn.XLOOKUP(TablaSTOCKINV[[#This Row],[SKU]],TablaINVENTARIO[SKU],TablaINVENTARIO[SERIAL])</f>
        <v>N/A</v>
      </c>
      <c r="I1420" s="34">
        <f>_xlfn.XLOOKUP(TablaSTOCKINV[[#This Row],[SKU]],TablaINVENTARIO[SKU],TablaINVENTARIO[ALMACEN])</f>
        <v>0</v>
      </c>
      <c r="J1420" s="34" t="str">
        <f>_xlfn.XLOOKUP(TablaSTOCKINV[[#This Row],[SKU]],TablaINVENTARIO[SKU],TablaINVENTARIO[UBICACION])</f>
        <v>C1</v>
      </c>
      <c r="K1420" s="34" t="str">
        <f>_xlfn.XLOOKUP(TablaSTOCKINV[[#This Row],[SKU]],TablaINVENTARIO[SKU],TablaINVENTARIO[DPTO RESPONSABLE])</f>
        <v>AIT</v>
      </c>
      <c r="L1420" s="53">
        <f>_xlfn.XLOOKUP(TablaSTOCKINV[[#This Row],[SKU]],TablaINVENTARIO[SKU],TablaINVENTARIO[RANGO MIN])</f>
        <v>0</v>
      </c>
      <c r="M1420" s="34" cm="1">
        <f t="array" ref="M1420">_xlfn.IFS(TablaSTOCKINV[[#This Row],[CANT. TOTAL]]&lt;=0,1,TablaSTOCKINV[[#This Row],[CANT. TOTAL]]&lt;=TablaSTOCKINV[[#This Row],[MIN]],2,TablaSTOCKINV[[#This Row],[CANT. TOTAL]]&gt;TablaSTOCKINV[[#This Row],[MIN]],3)</f>
        <v>3</v>
      </c>
      <c r="N1420" s="34">
        <f>TablaSTOCKINV[[#This Row],[ENTRADAS]]-TablaSTOCKINV[[#This Row],[SALIDAS]]</f>
        <v>1</v>
      </c>
      <c r="O1420" s="35">
        <f>SUMIFS(TablaENTRADA[CANT],TablaENTRADA[SKU],TablaSTOCKINV[[#This Row],[SKU]])</f>
        <v>1</v>
      </c>
      <c r="P1420" s="35">
        <f>SUMIFS(TablaSALIDA[CANT],TablaSALIDA[SKU],TablaSTOCKINV[[#This Row],[SKU]])</f>
        <v>0</v>
      </c>
      <c r="Q1420" s="34">
        <f>_xlfn.XLOOKUP(TablaSTOCKINV[[#This Row],[SKU]],TablaINVENTARIO[SKU],TablaINVENTARIO[PRECIO])</f>
        <v>0</v>
      </c>
      <c r="R1420" s="34">
        <f>TablaSTOCKINV[[#This Row],[P.UNITARIO]]*TablaSTOCKINV[[#This Row],[CANT. TOTAL]]</f>
        <v>0</v>
      </c>
      <c r="S1420" s="44">
        <f>_xlfn.XLOOKUP(TablaSTOCKINV[[#This Row],[SKU]],TablaINVENTARIO[SKU],TablaINVENTARIO[FECHA INGRESO])</f>
        <v>46023</v>
      </c>
      <c r="T1420" s="44">
        <f>_xlfn.XLOOKUP(TablaSTOCKINV[[#This Row],[SKU]],TablaENTRADA[SKU],TablaENTRADA[FECHA],,0,-1)</f>
        <v>46023</v>
      </c>
      <c r="U1420" s="46" t="str">
        <f>IFERROR((_xlfn.XLOOKUP(TablaSTOCKINV[[#This Row],[SKU]],TablaSALIDA[SKU],TablaSALIDA[FECHA],,0,-1))," " )</f>
        <v xml:space="preserve"> </v>
      </c>
    </row>
    <row r="1421" spans="1:21" x14ac:dyDescent="0.3">
      <c r="A1421" s="27" t="s">
        <v>3422</v>
      </c>
      <c r="B1421" s="32" t="str">
        <f>_xlfn.XLOOKUP(TablaSTOCKINV[[#This Row],[SKU]],TablaINVENTARIO[SKU],TablaINVENTARIO[DESCRIPCION])</f>
        <v>CARTUCHO DE TINTA MAGENTA 81N</v>
      </c>
      <c r="C1421" s="32" t="str">
        <f>_xlfn.XLOOKUP(TablaSTOCKINV[[#This Row],[SKU]],TablaINVENTARIO[SKU],TablaINVENTARIO[MARCA])</f>
        <v>EPSON</v>
      </c>
      <c r="D1421" s="33" t="str">
        <f>_xlfn.XLOOKUP(TablaSTOCKINV[[#This Row],[SKU]],TablaINVENTARIO[SKU],TablaINVENTARIO[CATEGORIA])</f>
        <v>CONSUMIBLES</v>
      </c>
      <c r="E1421" s="33" t="str">
        <f>_xlfn.XLOOKUP(TablaSTOCKINV[[#This Row],[SKU]],TablaINVENTARIO[SKU],TablaINVENTARIO[SUBCATEGORIA])</f>
        <v xml:space="preserve">PAPELERIA </v>
      </c>
      <c r="F1421" s="33" t="str">
        <f>_xlfn.XLOOKUP(TablaSTOCKINV[[#This Row],[SKU]],TablaINVENTARIO[SKU],TablaINVENTARIO[ESTADO])</f>
        <v xml:space="preserve">NUEVO </v>
      </c>
      <c r="G1421" s="33" t="str">
        <f>_xlfn.XLOOKUP(TablaSTOCKINV[[#This Row],[SKU]],TablaINVENTARIO[SKU],TablaINVENTARIO[MEDIDA])</f>
        <v>UND</v>
      </c>
      <c r="H1421" s="33" t="str">
        <f>_xlfn.XLOOKUP(TablaSTOCKINV[[#This Row],[SKU]],TablaINVENTARIO[SKU],TablaINVENTARIO[SERIAL])</f>
        <v>N/A</v>
      </c>
      <c r="I1421" s="34">
        <f>_xlfn.XLOOKUP(TablaSTOCKINV[[#This Row],[SKU]],TablaINVENTARIO[SKU],TablaINVENTARIO[ALMACEN])</f>
        <v>0</v>
      </c>
      <c r="J1421" s="34" t="str">
        <f>_xlfn.XLOOKUP(TablaSTOCKINV[[#This Row],[SKU]],TablaINVENTARIO[SKU],TablaINVENTARIO[UBICACION])</f>
        <v>C1</v>
      </c>
      <c r="K1421" s="34" t="str">
        <f>_xlfn.XLOOKUP(TablaSTOCKINV[[#This Row],[SKU]],TablaINVENTARIO[SKU],TablaINVENTARIO[DPTO RESPONSABLE])</f>
        <v>AIT</v>
      </c>
      <c r="L1421" s="53">
        <f>_xlfn.XLOOKUP(TablaSTOCKINV[[#This Row],[SKU]],TablaINVENTARIO[SKU],TablaINVENTARIO[RANGO MIN])</f>
        <v>0</v>
      </c>
      <c r="M1421" s="34" cm="1">
        <f t="array" ref="M1421">_xlfn.IFS(TablaSTOCKINV[[#This Row],[CANT. TOTAL]]&lt;=0,1,TablaSTOCKINV[[#This Row],[CANT. TOTAL]]&lt;=TablaSTOCKINV[[#This Row],[MIN]],2,TablaSTOCKINV[[#This Row],[CANT. TOTAL]]&gt;TablaSTOCKINV[[#This Row],[MIN]],3)</f>
        <v>3</v>
      </c>
      <c r="N1421" s="34">
        <f>TablaSTOCKINV[[#This Row],[ENTRADAS]]-TablaSTOCKINV[[#This Row],[SALIDAS]]</f>
        <v>1</v>
      </c>
      <c r="O1421" s="35">
        <f>SUMIFS(TablaENTRADA[CANT],TablaENTRADA[SKU],TablaSTOCKINV[[#This Row],[SKU]])</f>
        <v>1</v>
      </c>
      <c r="P1421" s="35">
        <f>SUMIFS(TablaSALIDA[CANT],TablaSALIDA[SKU],TablaSTOCKINV[[#This Row],[SKU]])</f>
        <v>0</v>
      </c>
      <c r="Q1421" s="34">
        <f>_xlfn.XLOOKUP(TablaSTOCKINV[[#This Row],[SKU]],TablaINVENTARIO[SKU],TablaINVENTARIO[PRECIO])</f>
        <v>0</v>
      </c>
      <c r="R1421" s="34">
        <f>TablaSTOCKINV[[#This Row],[P.UNITARIO]]*TablaSTOCKINV[[#This Row],[CANT. TOTAL]]</f>
        <v>0</v>
      </c>
      <c r="S1421" s="44">
        <f>_xlfn.XLOOKUP(TablaSTOCKINV[[#This Row],[SKU]],TablaINVENTARIO[SKU],TablaINVENTARIO[FECHA INGRESO])</f>
        <v>46023</v>
      </c>
      <c r="T1421" s="44">
        <f>_xlfn.XLOOKUP(TablaSTOCKINV[[#This Row],[SKU]],TablaENTRADA[SKU],TablaENTRADA[FECHA],,0,-1)</f>
        <v>46023</v>
      </c>
      <c r="U1421" s="46" t="str">
        <f>IFERROR((_xlfn.XLOOKUP(TablaSTOCKINV[[#This Row],[SKU]],TablaSALIDA[SKU],TablaSALIDA[FECHA],,0,-1))," " )</f>
        <v xml:space="preserve"> </v>
      </c>
    </row>
    <row r="1422" spans="1:21" x14ac:dyDescent="0.3">
      <c r="A1422" s="27" t="s">
        <v>3423</v>
      </c>
      <c r="B1422" s="32" t="str">
        <f>_xlfn.XLOOKUP(TablaSTOCKINV[[#This Row],[SKU]],TablaINVENTARIO[SKU],TablaINVENTARIO[DESCRIPCION])</f>
        <v>CARTUCHO DE TINTA MAGENTA 195-I</v>
      </c>
      <c r="C1422" s="32" t="str">
        <f>_xlfn.XLOOKUP(TablaSTOCKINV[[#This Row],[SKU]],TablaINVENTARIO[SKU],TablaINVENTARIO[MARCA])</f>
        <v>EPSON</v>
      </c>
      <c r="D1422" s="33" t="str">
        <f>_xlfn.XLOOKUP(TablaSTOCKINV[[#This Row],[SKU]],TablaINVENTARIO[SKU],TablaINVENTARIO[CATEGORIA])</f>
        <v>CONSUMIBLES</v>
      </c>
      <c r="E1422" s="33" t="str">
        <f>_xlfn.XLOOKUP(TablaSTOCKINV[[#This Row],[SKU]],TablaINVENTARIO[SKU],TablaINVENTARIO[SUBCATEGORIA])</f>
        <v xml:space="preserve">PAPELERIA </v>
      </c>
      <c r="F1422" s="33" t="str">
        <f>_xlfn.XLOOKUP(TablaSTOCKINV[[#This Row],[SKU]],TablaINVENTARIO[SKU],TablaINVENTARIO[ESTADO])</f>
        <v xml:space="preserve">NUEVO </v>
      </c>
      <c r="G1422" s="33" t="str">
        <f>_xlfn.XLOOKUP(TablaSTOCKINV[[#This Row],[SKU]],TablaINVENTARIO[SKU],TablaINVENTARIO[MEDIDA])</f>
        <v>UND</v>
      </c>
      <c r="H1422" s="33" t="str">
        <f>_xlfn.XLOOKUP(TablaSTOCKINV[[#This Row],[SKU]],TablaINVENTARIO[SKU],TablaINVENTARIO[SERIAL])</f>
        <v>N/A</v>
      </c>
      <c r="I1422" s="34">
        <f>_xlfn.XLOOKUP(TablaSTOCKINV[[#This Row],[SKU]],TablaINVENTARIO[SKU],TablaINVENTARIO[ALMACEN])</f>
        <v>0</v>
      </c>
      <c r="J1422" s="34" t="str">
        <f>_xlfn.XLOOKUP(TablaSTOCKINV[[#This Row],[SKU]],TablaINVENTARIO[SKU],TablaINVENTARIO[UBICACION])</f>
        <v>C1</v>
      </c>
      <c r="K1422" s="34" t="str">
        <f>_xlfn.XLOOKUP(TablaSTOCKINV[[#This Row],[SKU]],TablaINVENTARIO[SKU],TablaINVENTARIO[DPTO RESPONSABLE])</f>
        <v>AIT</v>
      </c>
      <c r="L1422" s="53">
        <f>_xlfn.XLOOKUP(TablaSTOCKINV[[#This Row],[SKU]],TablaINVENTARIO[SKU],TablaINVENTARIO[RANGO MIN])</f>
        <v>0</v>
      </c>
      <c r="M1422" s="34" cm="1">
        <f t="array" ref="M1422">_xlfn.IFS(TablaSTOCKINV[[#This Row],[CANT. TOTAL]]&lt;=0,1,TablaSTOCKINV[[#This Row],[CANT. TOTAL]]&lt;=TablaSTOCKINV[[#This Row],[MIN]],2,TablaSTOCKINV[[#This Row],[CANT. TOTAL]]&gt;TablaSTOCKINV[[#This Row],[MIN]],3)</f>
        <v>3</v>
      </c>
      <c r="N1422" s="34">
        <f>TablaSTOCKINV[[#This Row],[ENTRADAS]]-TablaSTOCKINV[[#This Row],[SALIDAS]]</f>
        <v>1</v>
      </c>
      <c r="O1422" s="35">
        <f>SUMIFS(TablaENTRADA[CANT],TablaENTRADA[SKU],TablaSTOCKINV[[#This Row],[SKU]])</f>
        <v>1</v>
      </c>
      <c r="P1422" s="35">
        <f>SUMIFS(TablaSALIDA[CANT],TablaSALIDA[SKU],TablaSTOCKINV[[#This Row],[SKU]])</f>
        <v>0</v>
      </c>
      <c r="Q1422" s="34">
        <f>_xlfn.XLOOKUP(TablaSTOCKINV[[#This Row],[SKU]],TablaINVENTARIO[SKU],TablaINVENTARIO[PRECIO])</f>
        <v>0</v>
      </c>
      <c r="R1422" s="34">
        <f>TablaSTOCKINV[[#This Row],[P.UNITARIO]]*TablaSTOCKINV[[#This Row],[CANT. TOTAL]]</f>
        <v>0</v>
      </c>
      <c r="S1422" s="44">
        <f>_xlfn.XLOOKUP(TablaSTOCKINV[[#This Row],[SKU]],TablaINVENTARIO[SKU],TablaINVENTARIO[FECHA INGRESO])</f>
        <v>46023</v>
      </c>
      <c r="T1422" s="44">
        <f>_xlfn.XLOOKUP(TablaSTOCKINV[[#This Row],[SKU]],TablaENTRADA[SKU],TablaENTRADA[FECHA],,0,-1)</f>
        <v>46023</v>
      </c>
      <c r="U1422" s="46" t="str">
        <f>IFERROR((_xlfn.XLOOKUP(TablaSTOCKINV[[#This Row],[SKU]],TablaSALIDA[SKU],TablaSALIDA[FECHA],,0,-1))," " )</f>
        <v xml:space="preserve"> </v>
      </c>
    </row>
    <row r="1423" spans="1:21" x14ac:dyDescent="0.3">
      <c r="A1423" s="27" t="s">
        <v>3425</v>
      </c>
      <c r="B1423" s="32" t="str">
        <f>_xlfn.XLOOKUP(TablaSTOCKINV[[#This Row],[SKU]],TablaINVENTARIO[SKU],TablaINVENTARIO[DESCRIPCION])</f>
        <v>CARTUCHO DE TINTA BLACK 195-I</v>
      </c>
      <c r="C1423" s="32" t="str">
        <f>_xlfn.XLOOKUP(TablaSTOCKINV[[#This Row],[SKU]],TablaINVENTARIO[SKU],TablaINVENTARIO[MARCA])</f>
        <v>EPSON</v>
      </c>
      <c r="D1423" s="33" t="str">
        <f>_xlfn.XLOOKUP(TablaSTOCKINV[[#This Row],[SKU]],TablaINVENTARIO[SKU],TablaINVENTARIO[CATEGORIA])</f>
        <v>CONSUMIBLES</v>
      </c>
      <c r="E1423" s="33" t="str">
        <f>_xlfn.XLOOKUP(TablaSTOCKINV[[#This Row],[SKU]],TablaINVENTARIO[SKU],TablaINVENTARIO[SUBCATEGORIA])</f>
        <v xml:space="preserve">PAPELERIA </v>
      </c>
      <c r="F1423" s="33" t="str">
        <f>_xlfn.XLOOKUP(TablaSTOCKINV[[#This Row],[SKU]],TablaINVENTARIO[SKU],TablaINVENTARIO[ESTADO])</f>
        <v xml:space="preserve">NUEVO </v>
      </c>
      <c r="G1423" s="33" t="str">
        <f>_xlfn.XLOOKUP(TablaSTOCKINV[[#This Row],[SKU]],TablaINVENTARIO[SKU],TablaINVENTARIO[MEDIDA])</f>
        <v>UND</v>
      </c>
      <c r="H1423" s="33" t="str">
        <f>_xlfn.XLOOKUP(TablaSTOCKINV[[#This Row],[SKU]],TablaINVENTARIO[SKU],TablaINVENTARIO[SERIAL])</f>
        <v>N/A</v>
      </c>
      <c r="I1423" s="34">
        <f>_xlfn.XLOOKUP(TablaSTOCKINV[[#This Row],[SKU]],TablaINVENTARIO[SKU],TablaINVENTARIO[ALMACEN])</f>
        <v>0</v>
      </c>
      <c r="J1423" s="34" t="str">
        <f>_xlfn.XLOOKUP(TablaSTOCKINV[[#This Row],[SKU]],TablaINVENTARIO[SKU],TablaINVENTARIO[UBICACION])</f>
        <v>C1</v>
      </c>
      <c r="K1423" s="34" t="str">
        <f>_xlfn.XLOOKUP(TablaSTOCKINV[[#This Row],[SKU]],TablaINVENTARIO[SKU],TablaINVENTARIO[DPTO RESPONSABLE])</f>
        <v>AIT</v>
      </c>
      <c r="L1423" s="53">
        <f>_xlfn.XLOOKUP(TablaSTOCKINV[[#This Row],[SKU]],TablaINVENTARIO[SKU],TablaINVENTARIO[RANGO MIN])</f>
        <v>0</v>
      </c>
      <c r="M1423" s="34" cm="1">
        <f t="array" ref="M1423">_xlfn.IFS(TablaSTOCKINV[[#This Row],[CANT. TOTAL]]&lt;=0,1,TablaSTOCKINV[[#This Row],[CANT. TOTAL]]&lt;=TablaSTOCKINV[[#This Row],[MIN]],2,TablaSTOCKINV[[#This Row],[CANT. TOTAL]]&gt;TablaSTOCKINV[[#This Row],[MIN]],3)</f>
        <v>3</v>
      </c>
      <c r="N1423" s="34">
        <f>TablaSTOCKINV[[#This Row],[ENTRADAS]]-TablaSTOCKINV[[#This Row],[SALIDAS]]</f>
        <v>1</v>
      </c>
      <c r="O1423" s="35">
        <f>SUMIFS(TablaENTRADA[CANT],TablaENTRADA[SKU],TablaSTOCKINV[[#This Row],[SKU]])</f>
        <v>1</v>
      </c>
      <c r="P1423" s="35">
        <f>SUMIFS(TablaSALIDA[CANT],TablaSALIDA[SKU],TablaSTOCKINV[[#This Row],[SKU]])</f>
        <v>0</v>
      </c>
      <c r="Q1423" s="34">
        <f>_xlfn.XLOOKUP(TablaSTOCKINV[[#This Row],[SKU]],TablaINVENTARIO[SKU],TablaINVENTARIO[PRECIO])</f>
        <v>0</v>
      </c>
      <c r="R1423" s="34">
        <f>TablaSTOCKINV[[#This Row],[P.UNITARIO]]*TablaSTOCKINV[[#This Row],[CANT. TOTAL]]</f>
        <v>0</v>
      </c>
      <c r="S1423" s="44">
        <f>_xlfn.XLOOKUP(TablaSTOCKINV[[#This Row],[SKU]],TablaINVENTARIO[SKU],TablaINVENTARIO[FECHA INGRESO])</f>
        <v>46023</v>
      </c>
      <c r="T1423" s="44">
        <f>_xlfn.XLOOKUP(TablaSTOCKINV[[#This Row],[SKU]],TablaENTRADA[SKU],TablaENTRADA[FECHA],,0,-1)</f>
        <v>46023</v>
      </c>
      <c r="U1423" s="46" t="str">
        <f>IFERROR((_xlfn.XLOOKUP(TablaSTOCKINV[[#This Row],[SKU]],TablaSALIDA[SKU],TablaSALIDA[FECHA],,0,-1))," " )</f>
        <v xml:space="preserve"> </v>
      </c>
    </row>
    <row r="1424" spans="1:21" x14ac:dyDescent="0.3">
      <c r="A1424" s="27" t="s">
        <v>3427</v>
      </c>
      <c r="B1424" s="32" t="str">
        <f>_xlfn.XLOOKUP(TablaSTOCKINV[[#This Row],[SKU]],TablaINVENTARIO[SKU],TablaINVENTARIO[DESCRIPCION])</f>
        <v>CARTUCHO DE TINTA CYAN 195-I</v>
      </c>
      <c r="C1424" s="32" t="str">
        <f>_xlfn.XLOOKUP(TablaSTOCKINV[[#This Row],[SKU]],TablaINVENTARIO[SKU],TablaINVENTARIO[MARCA])</f>
        <v>EPSON</v>
      </c>
      <c r="D1424" s="33" t="str">
        <f>_xlfn.XLOOKUP(TablaSTOCKINV[[#This Row],[SKU]],TablaINVENTARIO[SKU],TablaINVENTARIO[CATEGORIA])</f>
        <v>CONSUMIBLES</v>
      </c>
      <c r="E1424" s="33" t="str">
        <f>_xlfn.XLOOKUP(TablaSTOCKINV[[#This Row],[SKU]],TablaINVENTARIO[SKU],TablaINVENTARIO[SUBCATEGORIA])</f>
        <v xml:space="preserve">PAPELERIA </v>
      </c>
      <c r="F1424" s="33" t="str">
        <f>_xlfn.XLOOKUP(TablaSTOCKINV[[#This Row],[SKU]],TablaINVENTARIO[SKU],TablaINVENTARIO[ESTADO])</f>
        <v xml:space="preserve">NUEVO </v>
      </c>
      <c r="G1424" s="33" t="str">
        <f>_xlfn.XLOOKUP(TablaSTOCKINV[[#This Row],[SKU]],TablaINVENTARIO[SKU],TablaINVENTARIO[MEDIDA])</f>
        <v>UND</v>
      </c>
      <c r="H1424" s="33" t="str">
        <f>_xlfn.XLOOKUP(TablaSTOCKINV[[#This Row],[SKU]],TablaINVENTARIO[SKU],TablaINVENTARIO[SERIAL])</f>
        <v>N/A</v>
      </c>
      <c r="I1424" s="34">
        <f>_xlfn.XLOOKUP(TablaSTOCKINV[[#This Row],[SKU]],TablaINVENTARIO[SKU],TablaINVENTARIO[ALMACEN])</f>
        <v>0</v>
      </c>
      <c r="J1424" s="34" t="str">
        <f>_xlfn.XLOOKUP(TablaSTOCKINV[[#This Row],[SKU]],TablaINVENTARIO[SKU],TablaINVENTARIO[UBICACION])</f>
        <v>C1</v>
      </c>
      <c r="K1424" s="34" t="str">
        <f>_xlfn.XLOOKUP(TablaSTOCKINV[[#This Row],[SKU]],TablaINVENTARIO[SKU],TablaINVENTARIO[DPTO RESPONSABLE])</f>
        <v>AIT</v>
      </c>
      <c r="L1424" s="53">
        <f>_xlfn.XLOOKUP(TablaSTOCKINV[[#This Row],[SKU]],TablaINVENTARIO[SKU],TablaINVENTARIO[RANGO MIN])</f>
        <v>0</v>
      </c>
      <c r="M1424" s="34" cm="1">
        <f t="array" ref="M1424">_xlfn.IFS(TablaSTOCKINV[[#This Row],[CANT. TOTAL]]&lt;=0,1,TablaSTOCKINV[[#This Row],[CANT. TOTAL]]&lt;=TablaSTOCKINV[[#This Row],[MIN]],2,TablaSTOCKINV[[#This Row],[CANT. TOTAL]]&gt;TablaSTOCKINV[[#This Row],[MIN]],3)</f>
        <v>3</v>
      </c>
      <c r="N1424" s="34">
        <f>TablaSTOCKINV[[#This Row],[ENTRADAS]]-TablaSTOCKINV[[#This Row],[SALIDAS]]</f>
        <v>1</v>
      </c>
      <c r="O1424" s="35">
        <f>SUMIFS(TablaENTRADA[CANT],TablaENTRADA[SKU],TablaSTOCKINV[[#This Row],[SKU]])</f>
        <v>1</v>
      </c>
      <c r="P1424" s="35">
        <f>SUMIFS(TablaSALIDA[CANT],TablaSALIDA[SKU],TablaSTOCKINV[[#This Row],[SKU]])</f>
        <v>0</v>
      </c>
      <c r="Q1424" s="34">
        <f>_xlfn.XLOOKUP(TablaSTOCKINV[[#This Row],[SKU]],TablaINVENTARIO[SKU],TablaINVENTARIO[PRECIO])</f>
        <v>0</v>
      </c>
      <c r="R1424" s="34">
        <f>TablaSTOCKINV[[#This Row],[P.UNITARIO]]*TablaSTOCKINV[[#This Row],[CANT. TOTAL]]</f>
        <v>0</v>
      </c>
      <c r="S1424" s="44">
        <f>_xlfn.XLOOKUP(TablaSTOCKINV[[#This Row],[SKU]],TablaINVENTARIO[SKU],TablaINVENTARIO[FECHA INGRESO])</f>
        <v>46023</v>
      </c>
      <c r="T1424" s="44">
        <f>_xlfn.XLOOKUP(TablaSTOCKINV[[#This Row],[SKU]],TablaENTRADA[SKU],TablaENTRADA[FECHA],,0,-1)</f>
        <v>46023</v>
      </c>
      <c r="U1424" s="46" t="str">
        <f>IFERROR((_xlfn.XLOOKUP(TablaSTOCKINV[[#This Row],[SKU]],TablaSALIDA[SKU],TablaSALIDA[FECHA],,0,-1))," " )</f>
        <v xml:space="preserve"> </v>
      </c>
    </row>
    <row r="1425" spans="1:21" x14ac:dyDescent="0.3">
      <c r="A1425" s="27" t="s">
        <v>3429</v>
      </c>
      <c r="B1425" s="32" t="str">
        <f>_xlfn.XLOOKUP(TablaSTOCKINV[[#This Row],[SKU]],TablaINVENTARIO[SKU],TablaINVENTARIO[DESCRIPCION])</f>
        <v>CARTUCHO DE TINTA YELLOW 195-I</v>
      </c>
      <c r="C1425" s="32" t="str">
        <f>_xlfn.XLOOKUP(TablaSTOCKINV[[#This Row],[SKU]],TablaINVENTARIO[SKU],TablaINVENTARIO[MARCA])</f>
        <v>EPSON</v>
      </c>
      <c r="D1425" s="33" t="str">
        <f>_xlfn.XLOOKUP(TablaSTOCKINV[[#This Row],[SKU]],TablaINVENTARIO[SKU],TablaINVENTARIO[CATEGORIA])</f>
        <v>CONSUMIBLES</v>
      </c>
      <c r="E1425" s="33" t="str">
        <f>_xlfn.XLOOKUP(TablaSTOCKINV[[#This Row],[SKU]],TablaINVENTARIO[SKU],TablaINVENTARIO[SUBCATEGORIA])</f>
        <v xml:space="preserve">PAPELERIA </v>
      </c>
      <c r="F1425" s="33" t="str">
        <f>_xlfn.XLOOKUP(TablaSTOCKINV[[#This Row],[SKU]],TablaINVENTARIO[SKU],TablaINVENTARIO[ESTADO])</f>
        <v xml:space="preserve">NUEVO </v>
      </c>
      <c r="G1425" s="33" t="str">
        <f>_xlfn.XLOOKUP(TablaSTOCKINV[[#This Row],[SKU]],TablaINVENTARIO[SKU],TablaINVENTARIO[MEDIDA])</f>
        <v>UND</v>
      </c>
      <c r="H1425" s="33" t="str">
        <f>_xlfn.XLOOKUP(TablaSTOCKINV[[#This Row],[SKU]],TablaINVENTARIO[SKU],TablaINVENTARIO[SERIAL])</f>
        <v>N/A</v>
      </c>
      <c r="I1425" s="34">
        <f>_xlfn.XLOOKUP(TablaSTOCKINV[[#This Row],[SKU]],TablaINVENTARIO[SKU],TablaINVENTARIO[ALMACEN])</f>
        <v>0</v>
      </c>
      <c r="J1425" s="34" t="str">
        <f>_xlfn.XLOOKUP(TablaSTOCKINV[[#This Row],[SKU]],TablaINVENTARIO[SKU],TablaINVENTARIO[UBICACION])</f>
        <v>C1</v>
      </c>
      <c r="K1425" s="34" t="str">
        <f>_xlfn.XLOOKUP(TablaSTOCKINV[[#This Row],[SKU]],TablaINVENTARIO[SKU],TablaINVENTARIO[DPTO RESPONSABLE])</f>
        <v>AIT</v>
      </c>
      <c r="L1425" s="53">
        <f>_xlfn.XLOOKUP(TablaSTOCKINV[[#This Row],[SKU]],TablaINVENTARIO[SKU],TablaINVENTARIO[RANGO MIN])</f>
        <v>0</v>
      </c>
      <c r="M1425" s="34" cm="1">
        <f t="array" ref="M1425">_xlfn.IFS(TablaSTOCKINV[[#This Row],[CANT. TOTAL]]&lt;=0,1,TablaSTOCKINV[[#This Row],[CANT. TOTAL]]&lt;=TablaSTOCKINV[[#This Row],[MIN]],2,TablaSTOCKINV[[#This Row],[CANT. TOTAL]]&gt;TablaSTOCKINV[[#This Row],[MIN]],3)</f>
        <v>3</v>
      </c>
      <c r="N1425" s="34">
        <f>TablaSTOCKINV[[#This Row],[ENTRADAS]]-TablaSTOCKINV[[#This Row],[SALIDAS]]</f>
        <v>1</v>
      </c>
      <c r="O1425" s="35">
        <f>SUMIFS(TablaENTRADA[CANT],TablaENTRADA[SKU],TablaSTOCKINV[[#This Row],[SKU]])</f>
        <v>1</v>
      </c>
      <c r="P1425" s="35">
        <f>SUMIFS(TablaSALIDA[CANT],TablaSALIDA[SKU],TablaSTOCKINV[[#This Row],[SKU]])</f>
        <v>0</v>
      </c>
      <c r="Q1425" s="34">
        <f>_xlfn.XLOOKUP(TablaSTOCKINV[[#This Row],[SKU]],TablaINVENTARIO[SKU],TablaINVENTARIO[PRECIO])</f>
        <v>0</v>
      </c>
      <c r="R1425" s="34">
        <f>TablaSTOCKINV[[#This Row],[P.UNITARIO]]*TablaSTOCKINV[[#This Row],[CANT. TOTAL]]</f>
        <v>0</v>
      </c>
      <c r="S1425" s="44">
        <f>_xlfn.XLOOKUP(TablaSTOCKINV[[#This Row],[SKU]],TablaINVENTARIO[SKU],TablaINVENTARIO[FECHA INGRESO])</f>
        <v>46023</v>
      </c>
      <c r="T1425" s="44">
        <f>_xlfn.XLOOKUP(TablaSTOCKINV[[#This Row],[SKU]],TablaENTRADA[SKU],TablaENTRADA[FECHA],,0,-1)</f>
        <v>46023</v>
      </c>
      <c r="U1425" s="46" t="str">
        <f>IFERROR((_xlfn.XLOOKUP(TablaSTOCKINV[[#This Row],[SKU]],TablaSALIDA[SKU],TablaSALIDA[FECHA],,0,-1))," " )</f>
        <v xml:space="preserve"> </v>
      </c>
    </row>
    <row r="1426" spans="1:21" x14ac:dyDescent="0.3">
      <c r="A1426" s="27" t="s">
        <v>3431</v>
      </c>
      <c r="B1426" s="32" t="str">
        <f>_xlfn.XLOOKUP(TablaSTOCKINV[[#This Row],[SKU]],TablaINVENTARIO[SKU],TablaINVENTARIO[DESCRIPCION])</f>
        <v>CARTUCHO DE TINTA BLACK 21</v>
      </c>
      <c r="C1426" s="32" t="str">
        <f>_xlfn.XLOOKUP(TablaSTOCKINV[[#This Row],[SKU]],TablaINVENTARIO[SKU],TablaINVENTARIO[MARCA])</f>
        <v>PRINTON</v>
      </c>
      <c r="D1426" s="33" t="str">
        <f>_xlfn.XLOOKUP(TablaSTOCKINV[[#This Row],[SKU]],TablaINVENTARIO[SKU],TablaINVENTARIO[CATEGORIA])</f>
        <v>CONSUMIBLES</v>
      </c>
      <c r="E1426" s="33" t="str">
        <f>_xlfn.XLOOKUP(TablaSTOCKINV[[#This Row],[SKU]],TablaINVENTARIO[SKU],TablaINVENTARIO[SUBCATEGORIA])</f>
        <v xml:space="preserve">PAPELERIA </v>
      </c>
      <c r="F1426" s="33" t="str">
        <f>_xlfn.XLOOKUP(TablaSTOCKINV[[#This Row],[SKU]],TablaINVENTARIO[SKU],TablaINVENTARIO[ESTADO])</f>
        <v xml:space="preserve">NUEVO </v>
      </c>
      <c r="G1426" s="33" t="str">
        <f>_xlfn.XLOOKUP(TablaSTOCKINV[[#This Row],[SKU]],TablaINVENTARIO[SKU],TablaINVENTARIO[MEDIDA])</f>
        <v>UND</v>
      </c>
      <c r="H1426" s="33" t="str">
        <f>_xlfn.XLOOKUP(TablaSTOCKINV[[#This Row],[SKU]],TablaINVENTARIO[SKU],TablaINVENTARIO[SERIAL])</f>
        <v>N/A</v>
      </c>
      <c r="I1426" s="34">
        <f>_xlfn.XLOOKUP(TablaSTOCKINV[[#This Row],[SKU]],TablaINVENTARIO[SKU],TablaINVENTARIO[ALMACEN])</f>
        <v>0</v>
      </c>
      <c r="J1426" s="34" t="str">
        <f>_xlfn.XLOOKUP(TablaSTOCKINV[[#This Row],[SKU]],TablaINVENTARIO[SKU],TablaINVENTARIO[UBICACION])</f>
        <v>C1</v>
      </c>
      <c r="K1426" s="34" t="str">
        <f>_xlfn.XLOOKUP(TablaSTOCKINV[[#This Row],[SKU]],TablaINVENTARIO[SKU],TablaINVENTARIO[DPTO RESPONSABLE])</f>
        <v>AIT</v>
      </c>
      <c r="L1426" s="53">
        <f>_xlfn.XLOOKUP(TablaSTOCKINV[[#This Row],[SKU]],TablaINVENTARIO[SKU],TablaINVENTARIO[RANGO MIN])</f>
        <v>0</v>
      </c>
      <c r="M1426" s="34" cm="1">
        <f t="array" ref="M1426">_xlfn.IFS(TablaSTOCKINV[[#This Row],[CANT. TOTAL]]&lt;=0,1,TablaSTOCKINV[[#This Row],[CANT. TOTAL]]&lt;=TablaSTOCKINV[[#This Row],[MIN]],2,TablaSTOCKINV[[#This Row],[CANT. TOTAL]]&gt;TablaSTOCKINV[[#This Row],[MIN]],3)</f>
        <v>3</v>
      </c>
      <c r="N1426" s="34">
        <f>TablaSTOCKINV[[#This Row],[ENTRADAS]]-TablaSTOCKINV[[#This Row],[SALIDAS]]</f>
        <v>2</v>
      </c>
      <c r="O1426" s="35">
        <f>SUMIFS(TablaENTRADA[CANT],TablaENTRADA[SKU],TablaSTOCKINV[[#This Row],[SKU]])</f>
        <v>2</v>
      </c>
      <c r="P1426" s="35">
        <f>SUMIFS(TablaSALIDA[CANT],TablaSALIDA[SKU],TablaSTOCKINV[[#This Row],[SKU]])</f>
        <v>0</v>
      </c>
      <c r="Q1426" s="34">
        <f>_xlfn.XLOOKUP(TablaSTOCKINV[[#This Row],[SKU]],TablaINVENTARIO[SKU],TablaINVENTARIO[PRECIO])</f>
        <v>0</v>
      </c>
      <c r="R1426" s="34">
        <f>TablaSTOCKINV[[#This Row],[P.UNITARIO]]*TablaSTOCKINV[[#This Row],[CANT. TOTAL]]</f>
        <v>0</v>
      </c>
      <c r="S1426" s="44">
        <f>_xlfn.XLOOKUP(TablaSTOCKINV[[#This Row],[SKU]],TablaINVENTARIO[SKU],TablaINVENTARIO[FECHA INGRESO])</f>
        <v>46023</v>
      </c>
      <c r="T1426" s="44">
        <f>_xlfn.XLOOKUP(TablaSTOCKINV[[#This Row],[SKU]],TablaENTRADA[SKU],TablaENTRADA[FECHA],,0,-1)</f>
        <v>46023</v>
      </c>
      <c r="U1426" s="46" t="str">
        <f>IFERROR((_xlfn.XLOOKUP(TablaSTOCKINV[[#This Row],[SKU]],TablaSALIDA[SKU],TablaSALIDA[FECHA],,0,-1))," " )</f>
        <v xml:space="preserve"> </v>
      </c>
    </row>
    <row r="1427" spans="1:21" x14ac:dyDescent="0.3">
      <c r="A1427" s="27" t="s">
        <v>3434</v>
      </c>
      <c r="B1427" s="32" t="str">
        <f>_xlfn.XLOOKUP(TablaSTOCKINV[[#This Row],[SKU]],TablaINVENTARIO[SKU],TablaINVENTARIO[DESCRIPCION])</f>
        <v>CARTUCHO DE TINTA TRICOLOR 22</v>
      </c>
      <c r="C1427" s="32" t="str">
        <f>_xlfn.XLOOKUP(TablaSTOCKINV[[#This Row],[SKU]],TablaINVENTARIO[SKU],TablaINVENTARIO[MARCA])</f>
        <v>PRINTON</v>
      </c>
      <c r="D1427" s="33" t="str">
        <f>_xlfn.XLOOKUP(TablaSTOCKINV[[#This Row],[SKU]],TablaINVENTARIO[SKU],TablaINVENTARIO[CATEGORIA])</f>
        <v>CONSUMIBLES</v>
      </c>
      <c r="E1427" s="33" t="str">
        <f>_xlfn.XLOOKUP(TablaSTOCKINV[[#This Row],[SKU]],TablaINVENTARIO[SKU],TablaINVENTARIO[SUBCATEGORIA])</f>
        <v xml:space="preserve">PAPELERIA </v>
      </c>
      <c r="F1427" s="33" t="str">
        <f>_xlfn.XLOOKUP(TablaSTOCKINV[[#This Row],[SKU]],TablaINVENTARIO[SKU],TablaINVENTARIO[ESTADO])</f>
        <v xml:space="preserve">NUEVO </v>
      </c>
      <c r="G1427" s="33" t="str">
        <f>_xlfn.XLOOKUP(TablaSTOCKINV[[#This Row],[SKU]],TablaINVENTARIO[SKU],TablaINVENTARIO[MEDIDA])</f>
        <v>UND</v>
      </c>
      <c r="H1427" s="33" t="str">
        <f>_xlfn.XLOOKUP(TablaSTOCKINV[[#This Row],[SKU]],TablaINVENTARIO[SKU],TablaINVENTARIO[SERIAL])</f>
        <v>N/A</v>
      </c>
      <c r="I1427" s="34">
        <f>_xlfn.XLOOKUP(TablaSTOCKINV[[#This Row],[SKU]],TablaINVENTARIO[SKU],TablaINVENTARIO[ALMACEN])</f>
        <v>0</v>
      </c>
      <c r="J1427" s="34" t="str">
        <f>_xlfn.XLOOKUP(TablaSTOCKINV[[#This Row],[SKU]],TablaINVENTARIO[SKU],TablaINVENTARIO[UBICACION])</f>
        <v>C1</v>
      </c>
      <c r="K1427" s="34" t="str">
        <f>_xlfn.XLOOKUP(TablaSTOCKINV[[#This Row],[SKU]],TablaINVENTARIO[SKU],TablaINVENTARIO[DPTO RESPONSABLE])</f>
        <v>AIT</v>
      </c>
      <c r="L1427" s="53">
        <f>_xlfn.XLOOKUP(TablaSTOCKINV[[#This Row],[SKU]],TablaINVENTARIO[SKU],TablaINVENTARIO[RANGO MIN])</f>
        <v>0</v>
      </c>
      <c r="M1427" s="34" cm="1">
        <f t="array" ref="M1427">_xlfn.IFS(TablaSTOCKINV[[#This Row],[CANT. TOTAL]]&lt;=0,1,TablaSTOCKINV[[#This Row],[CANT. TOTAL]]&lt;=TablaSTOCKINV[[#This Row],[MIN]],2,TablaSTOCKINV[[#This Row],[CANT. TOTAL]]&gt;TablaSTOCKINV[[#This Row],[MIN]],3)</f>
        <v>3</v>
      </c>
      <c r="N1427" s="34">
        <f>TablaSTOCKINV[[#This Row],[ENTRADAS]]-TablaSTOCKINV[[#This Row],[SALIDAS]]</f>
        <v>3</v>
      </c>
      <c r="O1427" s="35">
        <f>SUMIFS(TablaENTRADA[CANT],TablaENTRADA[SKU],TablaSTOCKINV[[#This Row],[SKU]])</f>
        <v>3</v>
      </c>
      <c r="P1427" s="35">
        <f>SUMIFS(TablaSALIDA[CANT],TablaSALIDA[SKU],TablaSTOCKINV[[#This Row],[SKU]])</f>
        <v>0</v>
      </c>
      <c r="Q1427" s="34">
        <f>_xlfn.XLOOKUP(TablaSTOCKINV[[#This Row],[SKU]],TablaINVENTARIO[SKU],TablaINVENTARIO[PRECIO])</f>
        <v>0</v>
      </c>
      <c r="R1427" s="34">
        <f>TablaSTOCKINV[[#This Row],[P.UNITARIO]]*TablaSTOCKINV[[#This Row],[CANT. TOTAL]]</f>
        <v>0</v>
      </c>
      <c r="S1427" s="44">
        <f>_xlfn.XLOOKUP(TablaSTOCKINV[[#This Row],[SKU]],TablaINVENTARIO[SKU],TablaINVENTARIO[FECHA INGRESO])</f>
        <v>46023</v>
      </c>
      <c r="T1427" s="44">
        <f>_xlfn.XLOOKUP(TablaSTOCKINV[[#This Row],[SKU]],TablaENTRADA[SKU],TablaENTRADA[FECHA],,0,-1)</f>
        <v>46023</v>
      </c>
      <c r="U1427" s="46" t="str">
        <f>IFERROR((_xlfn.XLOOKUP(TablaSTOCKINV[[#This Row],[SKU]],TablaSALIDA[SKU],TablaSALIDA[FECHA],,0,-1))," " )</f>
        <v xml:space="preserve"> </v>
      </c>
    </row>
    <row r="1428" spans="1:21" x14ac:dyDescent="0.3">
      <c r="A1428" s="27" t="s">
        <v>3435</v>
      </c>
      <c r="B1428" s="32" t="str">
        <f>_xlfn.XLOOKUP(TablaSTOCKINV[[#This Row],[SKU]],TablaINVENTARIO[SKU],TablaINVENTARIO[DESCRIPCION])</f>
        <v xml:space="preserve">CARTUCHO DE TINTA LIGHT MAGENTA </v>
      </c>
      <c r="C1428" s="32" t="str">
        <f>_xlfn.XLOOKUP(TablaSTOCKINV[[#This Row],[SKU]],TablaINVENTARIO[SKU],TablaINVENTARIO[MARCA])</f>
        <v>N/A</v>
      </c>
      <c r="D1428" s="33" t="str">
        <f>_xlfn.XLOOKUP(TablaSTOCKINV[[#This Row],[SKU]],TablaINVENTARIO[SKU],TablaINVENTARIO[CATEGORIA])</f>
        <v>CONSUMIBLES</v>
      </c>
      <c r="E1428" s="33" t="str">
        <f>_xlfn.XLOOKUP(TablaSTOCKINV[[#This Row],[SKU]],TablaINVENTARIO[SKU],TablaINVENTARIO[SUBCATEGORIA])</f>
        <v xml:space="preserve">PAPELERIA </v>
      </c>
      <c r="F1428" s="33" t="str">
        <f>_xlfn.XLOOKUP(TablaSTOCKINV[[#This Row],[SKU]],TablaINVENTARIO[SKU],TablaINVENTARIO[ESTADO])</f>
        <v xml:space="preserve">NUEVO </v>
      </c>
      <c r="G1428" s="33" t="str">
        <f>_xlfn.XLOOKUP(TablaSTOCKINV[[#This Row],[SKU]],TablaINVENTARIO[SKU],TablaINVENTARIO[MEDIDA])</f>
        <v>UND</v>
      </c>
      <c r="H1428" s="33" t="str">
        <f>_xlfn.XLOOKUP(TablaSTOCKINV[[#This Row],[SKU]],TablaINVENTARIO[SKU],TablaINVENTARIO[SERIAL])</f>
        <v>N/A</v>
      </c>
      <c r="I1428" s="34">
        <f>_xlfn.XLOOKUP(TablaSTOCKINV[[#This Row],[SKU]],TablaINVENTARIO[SKU],TablaINVENTARIO[ALMACEN])</f>
        <v>0</v>
      </c>
      <c r="J1428" s="34" t="str">
        <f>_xlfn.XLOOKUP(TablaSTOCKINV[[#This Row],[SKU]],TablaINVENTARIO[SKU],TablaINVENTARIO[UBICACION])</f>
        <v>C1</v>
      </c>
      <c r="K1428" s="34" t="str">
        <f>_xlfn.XLOOKUP(TablaSTOCKINV[[#This Row],[SKU]],TablaINVENTARIO[SKU],TablaINVENTARIO[DPTO RESPONSABLE])</f>
        <v>AIT</v>
      </c>
      <c r="L1428" s="53">
        <f>_xlfn.XLOOKUP(TablaSTOCKINV[[#This Row],[SKU]],TablaINVENTARIO[SKU],TablaINVENTARIO[RANGO MIN])</f>
        <v>0</v>
      </c>
      <c r="M1428" s="34" cm="1">
        <f t="array" ref="M1428">_xlfn.IFS(TablaSTOCKINV[[#This Row],[CANT. TOTAL]]&lt;=0,1,TablaSTOCKINV[[#This Row],[CANT. TOTAL]]&lt;=TablaSTOCKINV[[#This Row],[MIN]],2,TablaSTOCKINV[[#This Row],[CANT. TOTAL]]&gt;TablaSTOCKINV[[#This Row],[MIN]],3)</f>
        <v>3</v>
      </c>
      <c r="N1428" s="34">
        <f>TablaSTOCKINV[[#This Row],[ENTRADAS]]-TablaSTOCKINV[[#This Row],[SALIDAS]]</f>
        <v>1</v>
      </c>
      <c r="O1428" s="35">
        <f>SUMIFS(TablaENTRADA[CANT],TablaENTRADA[SKU],TablaSTOCKINV[[#This Row],[SKU]])</f>
        <v>1</v>
      </c>
      <c r="P1428" s="35">
        <f>SUMIFS(TablaSALIDA[CANT],TablaSALIDA[SKU],TablaSTOCKINV[[#This Row],[SKU]])</f>
        <v>0</v>
      </c>
      <c r="Q1428" s="34">
        <f>_xlfn.XLOOKUP(TablaSTOCKINV[[#This Row],[SKU]],TablaINVENTARIO[SKU],TablaINVENTARIO[PRECIO])</f>
        <v>0</v>
      </c>
      <c r="R1428" s="34">
        <f>TablaSTOCKINV[[#This Row],[P.UNITARIO]]*TablaSTOCKINV[[#This Row],[CANT. TOTAL]]</f>
        <v>0</v>
      </c>
      <c r="S1428" s="44">
        <f>_xlfn.XLOOKUP(TablaSTOCKINV[[#This Row],[SKU]],TablaINVENTARIO[SKU],TablaINVENTARIO[FECHA INGRESO])</f>
        <v>46023</v>
      </c>
      <c r="T1428" s="44">
        <f>_xlfn.XLOOKUP(TablaSTOCKINV[[#This Row],[SKU]],TablaENTRADA[SKU],TablaENTRADA[FECHA],,0,-1)</f>
        <v>46023</v>
      </c>
      <c r="U1428" s="46" t="str">
        <f>IFERROR((_xlfn.XLOOKUP(TablaSTOCKINV[[#This Row],[SKU]],TablaSALIDA[SKU],TablaSALIDA[FECHA],,0,-1))," " )</f>
        <v xml:space="preserve"> </v>
      </c>
    </row>
    <row r="1429" spans="1:21" x14ac:dyDescent="0.3">
      <c r="A1429" s="27" t="s">
        <v>3437</v>
      </c>
      <c r="B1429" s="32" t="str">
        <f>_xlfn.XLOOKUP(TablaSTOCKINV[[#This Row],[SKU]],TablaINVENTARIO[SKU],TablaINVENTARIO[DESCRIPCION])</f>
        <v>CARTUCHO DE TINTA CYAN</v>
      </c>
      <c r="C1429" s="32" t="str">
        <f>_xlfn.XLOOKUP(TablaSTOCKINV[[#This Row],[SKU]],TablaINVENTARIO[SKU],TablaINVENTARIO[MARCA])</f>
        <v>N/A</v>
      </c>
      <c r="D1429" s="33" t="str">
        <f>_xlfn.XLOOKUP(TablaSTOCKINV[[#This Row],[SKU]],TablaINVENTARIO[SKU],TablaINVENTARIO[CATEGORIA])</f>
        <v>CONSUMIBLES</v>
      </c>
      <c r="E1429" s="33" t="str">
        <f>_xlfn.XLOOKUP(TablaSTOCKINV[[#This Row],[SKU]],TablaINVENTARIO[SKU],TablaINVENTARIO[SUBCATEGORIA])</f>
        <v xml:space="preserve">PAPELERIA </v>
      </c>
      <c r="F1429" s="33" t="str">
        <f>_xlfn.XLOOKUP(TablaSTOCKINV[[#This Row],[SKU]],TablaINVENTARIO[SKU],TablaINVENTARIO[ESTADO])</f>
        <v xml:space="preserve">NUEVO </v>
      </c>
      <c r="G1429" s="33" t="str">
        <f>_xlfn.XLOOKUP(TablaSTOCKINV[[#This Row],[SKU]],TablaINVENTARIO[SKU],TablaINVENTARIO[MEDIDA])</f>
        <v>UND</v>
      </c>
      <c r="H1429" s="33" t="str">
        <f>_xlfn.XLOOKUP(TablaSTOCKINV[[#This Row],[SKU]],TablaINVENTARIO[SKU],TablaINVENTARIO[SERIAL])</f>
        <v>N/A</v>
      </c>
      <c r="I1429" s="34">
        <f>_xlfn.XLOOKUP(TablaSTOCKINV[[#This Row],[SKU]],TablaINVENTARIO[SKU],TablaINVENTARIO[ALMACEN])</f>
        <v>0</v>
      </c>
      <c r="J1429" s="34" t="str">
        <f>_xlfn.XLOOKUP(TablaSTOCKINV[[#This Row],[SKU]],TablaINVENTARIO[SKU],TablaINVENTARIO[UBICACION])</f>
        <v>C1</v>
      </c>
      <c r="K1429" s="34" t="str">
        <f>_xlfn.XLOOKUP(TablaSTOCKINV[[#This Row],[SKU]],TablaINVENTARIO[SKU],TablaINVENTARIO[DPTO RESPONSABLE])</f>
        <v>AIT</v>
      </c>
      <c r="L1429" s="53">
        <f>_xlfn.XLOOKUP(TablaSTOCKINV[[#This Row],[SKU]],TablaINVENTARIO[SKU],TablaINVENTARIO[RANGO MIN])</f>
        <v>0</v>
      </c>
      <c r="M1429" s="34" cm="1">
        <f t="array" ref="M1429">_xlfn.IFS(TablaSTOCKINV[[#This Row],[CANT. TOTAL]]&lt;=0,1,TablaSTOCKINV[[#This Row],[CANT. TOTAL]]&lt;=TablaSTOCKINV[[#This Row],[MIN]],2,TablaSTOCKINV[[#This Row],[CANT. TOTAL]]&gt;TablaSTOCKINV[[#This Row],[MIN]],3)</f>
        <v>3</v>
      </c>
      <c r="N1429" s="34">
        <f>TablaSTOCKINV[[#This Row],[ENTRADAS]]-TablaSTOCKINV[[#This Row],[SALIDAS]]</f>
        <v>1</v>
      </c>
      <c r="O1429" s="35">
        <f>SUMIFS(TablaENTRADA[CANT],TablaENTRADA[SKU],TablaSTOCKINV[[#This Row],[SKU]])</f>
        <v>1</v>
      </c>
      <c r="P1429" s="35">
        <f>SUMIFS(TablaSALIDA[CANT],TablaSALIDA[SKU],TablaSTOCKINV[[#This Row],[SKU]])</f>
        <v>0</v>
      </c>
      <c r="Q1429" s="34">
        <f>_xlfn.XLOOKUP(TablaSTOCKINV[[#This Row],[SKU]],TablaINVENTARIO[SKU],TablaINVENTARIO[PRECIO])</f>
        <v>0</v>
      </c>
      <c r="R1429" s="34">
        <f>TablaSTOCKINV[[#This Row],[P.UNITARIO]]*TablaSTOCKINV[[#This Row],[CANT. TOTAL]]</f>
        <v>0</v>
      </c>
      <c r="S1429" s="44">
        <f>_xlfn.XLOOKUP(TablaSTOCKINV[[#This Row],[SKU]],TablaINVENTARIO[SKU],TablaINVENTARIO[FECHA INGRESO])</f>
        <v>46023</v>
      </c>
      <c r="T1429" s="44">
        <f>_xlfn.XLOOKUP(TablaSTOCKINV[[#This Row],[SKU]],TablaENTRADA[SKU],TablaENTRADA[FECHA],,0,-1)</f>
        <v>46023</v>
      </c>
      <c r="U1429" s="46" t="str">
        <f>IFERROR((_xlfn.XLOOKUP(TablaSTOCKINV[[#This Row],[SKU]],TablaSALIDA[SKU],TablaSALIDA[FECHA],,0,-1))," " )</f>
        <v xml:space="preserve"> </v>
      </c>
    </row>
    <row r="1430" spans="1:21" x14ac:dyDescent="0.3">
      <c r="A1430" s="27" t="s">
        <v>3439</v>
      </c>
      <c r="B1430" s="32" t="str">
        <f>_xlfn.XLOOKUP(TablaSTOCKINV[[#This Row],[SKU]],TablaINVENTARIO[SKU],TablaINVENTARIO[DESCRIPCION])</f>
        <v xml:space="preserve">TINTA COLOR BLACK </v>
      </c>
      <c r="C1430" s="32" t="str">
        <f>_xlfn.XLOOKUP(TablaSTOCKINV[[#This Row],[SKU]],TablaINVENTARIO[SKU],TablaINVENTARIO[MARCA])</f>
        <v xml:space="preserve">UV INK </v>
      </c>
      <c r="D1430" s="33" t="str">
        <f>_xlfn.XLOOKUP(TablaSTOCKINV[[#This Row],[SKU]],TablaINVENTARIO[SKU],TablaINVENTARIO[CATEGORIA])</f>
        <v>CONSUMIBLES</v>
      </c>
      <c r="E1430" s="33" t="str">
        <f>_xlfn.XLOOKUP(TablaSTOCKINV[[#This Row],[SKU]],TablaINVENTARIO[SKU],TablaINVENTARIO[SUBCATEGORIA])</f>
        <v xml:space="preserve">PAPELERIA </v>
      </c>
      <c r="F1430" s="33" t="str">
        <f>_xlfn.XLOOKUP(TablaSTOCKINV[[#This Row],[SKU]],TablaINVENTARIO[SKU],TablaINVENTARIO[ESTADO])</f>
        <v xml:space="preserve">NUEVO </v>
      </c>
      <c r="G1430" s="33" t="str">
        <f>_xlfn.XLOOKUP(TablaSTOCKINV[[#This Row],[SKU]],TablaINVENTARIO[SKU],TablaINVENTARIO[MEDIDA])</f>
        <v>UND</v>
      </c>
      <c r="H1430" s="33" t="str">
        <f>_xlfn.XLOOKUP(TablaSTOCKINV[[#This Row],[SKU]],TablaINVENTARIO[SKU],TablaINVENTARIO[SERIAL])</f>
        <v>N/A</v>
      </c>
      <c r="I1430" s="34">
        <f>_xlfn.XLOOKUP(TablaSTOCKINV[[#This Row],[SKU]],TablaINVENTARIO[SKU],TablaINVENTARIO[ALMACEN])</f>
        <v>0</v>
      </c>
      <c r="J1430" s="34" t="str">
        <f>_xlfn.XLOOKUP(TablaSTOCKINV[[#This Row],[SKU]],TablaINVENTARIO[SKU],TablaINVENTARIO[UBICACION])</f>
        <v>C2</v>
      </c>
      <c r="K1430" s="34" t="str">
        <f>_xlfn.XLOOKUP(TablaSTOCKINV[[#This Row],[SKU]],TablaINVENTARIO[SKU],TablaINVENTARIO[DPTO RESPONSABLE])</f>
        <v>AIT</v>
      </c>
      <c r="L1430" s="53">
        <f>_xlfn.XLOOKUP(TablaSTOCKINV[[#This Row],[SKU]],TablaINVENTARIO[SKU],TablaINVENTARIO[RANGO MIN])</f>
        <v>0</v>
      </c>
      <c r="M1430" s="34" cm="1">
        <f t="array" ref="M1430">_xlfn.IFS(TablaSTOCKINV[[#This Row],[CANT. TOTAL]]&lt;=0,1,TablaSTOCKINV[[#This Row],[CANT. TOTAL]]&lt;=TablaSTOCKINV[[#This Row],[MIN]],2,TablaSTOCKINV[[#This Row],[CANT. TOTAL]]&gt;TablaSTOCKINV[[#This Row],[MIN]],3)</f>
        <v>3</v>
      </c>
      <c r="N1430" s="34">
        <f>TablaSTOCKINV[[#This Row],[ENTRADAS]]-TablaSTOCKINV[[#This Row],[SALIDAS]]</f>
        <v>1</v>
      </c>
      <c r="O1430" s="35">
        <f>SUMIFS(TablaENTRADA[CANT],TablaENTRADA[SKU],TablaSTOCKINV[[#This Row],[SKU]])</f>
        <v>1</v>
      </c>
      <c r="P1430" s="35">
        <f>SUMIFS(TablaSALIDA[CANT],TablaSALIDA[SKU],TablaSTOCKINV[[#This Row],[SKU]])</f>
        <v>0</v>
      </c>
      <c r="Q1430" s="34">
        <f>_xlfn.XLOOKUP(TablaSTOCKINV[[#This Row],[SKU]],TablaINVENTARIO[SKU],TablaINVENTARIO[PRECIO])</f>
        <v>0</v>
      </c>
      <c r="R1430" s="34">
        <f>TablaSTOCKINV[[#This Row],[P.UNITARIO]]*TablaSTOCKINV[[#This Row],[CANT. TOTAL]]</f>
        <v>0</v>
      </c>
      <c r="S1430" s="44">
        <f>_xlfn.XLOOKUP(TablaSTOCKINV[[#This Row],[SKU]],TablaINVENTARIO[SKU],TablaINVENTARIO[FECHA INGRESO])</f>
        <v>46023</v>
      </c>
      <c r="T1430" s="44">
        <f>_xlfn.XLOOKUP(TablaSTOCKINV[[#This Row],[SKU]],TablaENTRADA[SKU],TablaENTRADA[FECHA],,0,-1)</f>
        <v>46023</v>
      </c>
      <c r="U1430" s="46" t="str">
        <f>IFERROR((_xlfn.XLOOKUP(TablaSTOCKINV[[#This Row],[SKU]],TablaSALIDA[SKU],TablaSALIDA[FECHA],,0,-1))," " )</f>
        <v xml:space="preserve"> </v>
      </c>
    </row>
    <row r="1431" spans="1:21" x14ac:dyDescent="0.3">
      <c r="A1431" s="27" t="s">
        <v>3442</v>
      </c>
      <c r="B1431" s="32" t="str">
        <f>_xlfn.XLOOKUP(TablaSTOCKINV[[#This Row],[SKU]],TablaINVENTARIO[SKU],TablaINVENTARIO[DESCRIPCION])</f>
        <v xml:space="preserve">TINTA COLOR YELLOW </v>
      </c>
      <c r="C1431" s="32" t="str">
        <f>_xlfn.XLOOKUP(TablaSTOCKINV[[#This Row],[SKU]],TablaINVENTARIO[SKU],TablaINVENTARIO[MARCA])</f>
        <v xml:space="preserve">UV INK </v>
      </c>
      <c r="D1431" s="33" t="str">
        <f>_xlfn.XLOOKUP(TablaSTOCKINV[[#This Row],[SKU]],TablaINVENTARIO[SKU],TablaINVENTARIO[CATEGORIA])</f>
        <v>CONSUMIBLES</v>
      </c>
      <c r="E1431" s="33" t="str">
        <f>_xlfn.XLOOKUP(TablaSTOCKINV[[#This Row],[SKU]],TablaINVENTARIO[SKU],TablaINVENTARIO[SUBCATEGORIA])</f>
        <v xml:space="preserve">PAPELERIA </v>
      </c>
      <c r="F1431" s="33" t="str">
        <f>_xlfn.XLOOKUP(TablaSTOCKINV[[#This Row],[SKU]],TablaINVENTARIO[SKU],TablaINVENTARIO[ESTADO])</f>
        <v xml:space="preserve">NUEVO </v>
      </c>
      <c r="G1431" s="33" t="str">
        <f>_xlfn.XLOOKUP(TablaSTOCKINV[[#This Row],[SKU]],TablaINVENTARIO[SKU],TablaINVENTARIO[MEDIDA])</f>
        <v>UND</v>
      </c>
      <c r="H1431" s="33" t="str">
        <f>_xlfn.XLOOKUP(TablaSTOCKINV[[#This Row],[SKU]],TablaINVENTARIO[SKU],TablaINVENTARIO[SERIAL])</f>
        <v>N/A</v>
      </c>
      <c r="I1431" s="34">
        <f>_xlfn.XLOOKUP(TablaSTOCKINV[[#This Row],[SKU]],TablaINVENTARIO[SKU],TablaINVENTARIO[ALMACEN])</f>
        <v>0</v>
      </c>
      <c r="J1431" s="34" t="str">
        <f>_xlfn.XLOOKUP(TablaSTOCKINV[[#This Row],[SKU]],TablaINVENTARIO[SKU],TablaINVENTARIO[UBICACION])</f>
        <v>C2</v>
      </c>
      <c r="K1431" s="34" t="str">
        <f>_xlfn.XLOOKUP(TablaSTOCKINV[[#This Row],[SKU]],TablaINVENTARIO[SKU],TablaINVENTARIO[DPTO RESPONSABLE])</f>
        <v>AIT</v>
      </c>
      <c r="L1431" s="53">
        <f>_xlfn.XLOOKUP(TablaSTOCKINV[[#This Row],[SKU]],TablaINVENTARIO[SKU],TablaINVENTARIO[RANGO MIN])</f>
        <v>0</v>
      </c>
      <c r="M1431" s="34" cm="1">
        <f t="array" ref="M1431">_xlfn.IFS(TablaSTOCKINV[[#This Row],[CANT. TOTAL]]&lt;=0,1,TablaSTOCKINV[[#This Row],[CANT. TOTAL]]&lt;=TablaSTOCKINV[[#This Row],[MIN]],2,TablaSTOCKINV[[#This Row],[CANT. TOTAL]]&gt;TablaSTOCKINV[[#This Row],[MIN]],3)</f>
        <v>3</v>
      </c>
      <c r="N1431" s="34">
        <f>TablaSTOCKINV[[#This Row],[ENTRADAS]]-TablaSTOCKINV[[#This Row],[SALIDAS]]</f>
        <v>2</v>
      </c>
      <c r="O1431" s="35">
        <f>SUMIFS(TablaENTRADA[CANT],TablaENTRADA[SKU],TablaSTOCKINV[[#This Row],[SKU]])</f>
        <v>2</v>
      </c>
      <c r="P1431" s="35">
        <f>SUMIFS(TablaSALIDA[CANT],TablaSALIDA[SKU],TablaSTOCKINV[[#This Row],[SKU]])</f>
        <v>0</v>
      </c>
      <c r="Q1431" s="34">
        <f>_xlfn.XLOOKUP(TablaSTOCKINV[[#This Row],[SKU]],TablaINVENTARIO[SKU],TablaINVENTARIO[PRECIO])</f>
        <v>0</v>
      </c>
      <c r="R1431" s="34">
        <f>TablaSTOCKINV[[#This Row],[P.UNITARIO]]*TablaSTOCKINV[[#This Row],[CANT. TOTAL]]</f>
        <v>0</v>
      </c>
      <c r="S1431" s="44">
        <f>_xlfn.XLOOKUP(TablaSTOCKINV[[#This Row],[SKU]],TablaINVENTARIO[SKU],TablaINVENTARIO[FECHA INGRESO])</f>
        <v>46023</v>
      </c>
      <c r="T1431" s="44">
        <f>_xlfn.XLOOKUP(TablaSTOCKINV[[#This Row],[SKU]],TablaENTRADA[SKU],TablaENTRADA[FECHA],,0,-1)</f>
        <v>46023</v>
      </c>
      <c r="U1431" s="46" t="str">
        <f>IFERROR((_xlfn.XLOOKUP(TablaSTOCKINV[[#This Row],[SKU]],TablaSALIDA[SKU],TablaSALIDA[FECHA],,0,-1))," " )</f>
        <v xml:space="preserve"> </v>
      </c>
    </row>
    <row r="1432" spans="1:21" x14ac:dyDescent="0.3">
      <c r="A1432" s="27" t="s">
        <v>3444</v>
      </c>
      <c r="B1432" s="32" t="str">
        <f>_xlfn.XLOOKUP(TablaSTOCKINV[[#This Row],[SKU]],TablaINVENTARIO[SKU],TablaINVENTARIO[DESCRIPCION])</f>
        <v xml:space="preserve">TINTA COLOR MAGENTA </v>
      </c>
      <c r="C1432" s="32" t="str">
        <f>_xlfn.XLOOKUP(TablaSTOCKINV[[#This Row],[SKU]],TablaINVENTARIO[SKU],TablaINVENTARIO[MARCA])</f>
        <v xml:space="preserve">UV INK </v>
      </c>
      <c r="D1432" s="33" t="str">
        <f>_xlfn.XLOOKUP(TablaSTOCKINV[[#This Row],[SKU]],TablaINVENTARIO[SKU],TablaINVENTARIO[CATEGORIA])</f>
        <v>CONSUMIBLES</v>
      </c>
      <c r="E1432" s="33" t="str">
        <f>_xlfn.XLOOKUP(TablaSTOCKINV[[#This Row],[SKU]],TablaINVENTARIO[SKU],TablaINVENTARIO[SUBCATEGORIA])</f>
        <v xml:space="preserve">PAPELERIA </v>
      </c>
      <c r="F1432" s="33" t="str">
        <f>_xlfn.XLOOKUP(TablaSTOCKINV[[#This Row],[SKU]],TablaINVENTARIO[SKU],TablaINVENTARIO[ESTADO])</f>
        <v xml:space="preserve">NUEVO </v>
      </c>
      <c r="G1432" s="33" t="str">
        <f>_xlfn.XLOOKUP(TablaSTOCKINV[[#This Row],[SKU]],TablaINVENTARIO[SKU],TablaINVENTARIO[MEDIDA])</f>
        <v>UND</v>
      </c>
      <c r="H1432" s="33" t="str">
        <f>_xlfn.XLOOKUP(TablaSTOCKINV[[#This Row],[SKU]],TablaINVENTARIO[SKU],TablaINVENTARIO[SERIAL])</f>
        <v>N/A</v>
      </c>
      <c r="I1432" s="34">
        <f>_xlfn.XLOOKUP(TablaSTOCKINV[[#This Row],[SKU]],TablaINVENTARIO[SKU],TablaINVENTARIO[ALMACEN])</f>
        <v>0</v>
      </c>
      <c r="J1432" s="34" t="str">
        <f>_xlfn.XLOOKUP(TablaSTOCKINV[[#This Row],[SKU]],TablaINVENTARIO[SKU],TablaINVENTARIO[UBICACION])</f>
        <v>C2</v>
      </c>
      <c r="K1432" s="34" t="str">
        <f>_xlfn.XLOOKUP(TablaSTOCKINV[[#This Row],[SKU]],TablaINVENTARIO[SKU],TablaINVENTARIO[DPTO RESPONSABLE])</f>
        <v>AIT</v>
      </c>
      <c r="L1432" s="53">
        <f>_xlfn.XLOOKUP(TablaSTOCKINV[[#This Row],[SKU]],TablaINVENTARIO[SKU],TablaINVENTARIO[RANGO MIN])</f>
        <v>0</v>
      </c>
      <c r="M1432" s="34" cm="1">
        <f t="array" ref="M1432">_xlfn.IFS(TablaSTOCKINV[[#This Row],[CANT. TOTAL]]&lt;=0,1,TablaSTOCKINV[[#This Row],[CANT. TOTAL]]&lt;=TablaSTOCKINV[[#This Row],[MIN]],2,TablaSTOCKINV[[#This Row],[CANT. TOTAL]]&gt;TablaSTOCKINV[[#This Row],[MIN]],3)</f>
        <v>3</v>
      </c>
      <c r="N1432" s="34">
        <f>TablaSTOCKINV[[#This Row],[ENTRADAS]]-TablaSTOCKINV[[#This Row],[SALIDAS]]</f>
        <v>3</v>
      </c>
      <c r="O1432" s="35">
        <f>SUMIFS(TablaENTRADA[CANT],TablaENTRADA[SKU],TablaSTOCKINV[[#This Row],[SKU]])</f>
        <v>3</v>
      </c>
      <c r="P1432" s="35">
        <f>SUMIFS(TablaSALIDA[CANT],TablaSALIDA[SKU],TablaSTOCKINV[[#This Row],[SKU]])</f>
        <v>0</v>
      </c>
      <c r="Q1432" s="34">
        <f>_xlfn.XLOOKUP(TablaSTOCKINV[[#This Row],[SKU]],TablaINVENTARIO[SKU],TablaINVENTARIO[PRECIO])</f>
        <v>0</v>
      </c>
      <c r="R1432" s="34">
        <f>TablaSTOCKINV[[#This Row],[P.UNITARIO]]*TablaSTOCKINV[[#This Row],[CANT. TOTAL]]</f>
        <v>0</v>
      </c>
      <c r="S1432" s="44">
        <f>_xlfn.XLOOKUP(TablaSTOCKINV[[#This Row],[SKU]],TablaINVENTARIO[SKU],TablaINVENTARIO[FECHA INGRESO])</f>
        <v>46023</v>
      </c>
      <c r="T1432" s="44">
        <f>_xlfn.XLOOKUP(TablaSTOCKINV[[#This Row],[SKU]],TablaENTRADA[SKU],TablaENTRADA[FECHA],,0,-1)</f>
        <v>46023</v>
      </c>
      <c r="U1432" s="46" t="str">
        <f>IFERROR((_xlfn.XLOOKUP(TablaSTOCKINV[[#This Row],[SKU]],TablaSALIDA[SKU],TablaSALIDA[FECHA],,0,-1))," " )</f>
        <v xml:space="preserve"> </v>
      </c>
    </row>
    <row r="1433" spans="1:21" x14ac:dyDescent="0.3">
      <c r="A1433" s="27" t="s">
        <v>3446</v>
      </c>
      <c r="B1433" s="32" t="str">
        <f>_xlfn.XLOOKUP(TablaSTOCKINV[[#This Row],[SKU]],TablaINVENTARIO[SKU],TablaINVENTARIO[DESCRIPCION])</f>
        <v xml:space="preserve">TINTA COLOR CYAN </v>
      </c>
      <c r="C1433" s="32" t="str">
        <f>_xlfn.XLOOKUP(TablaSTOCKINV[[#This Row],[SKU]],TablaINVENTARIO[SKU],TablaINVENTARIO[MARCA])</f>
        <v xml:space="preserve">UV INK </v>
      </c>
      <c r="D1433" s="33" t="str">
        <f>_xlfn.XLOOKUP(TablaSTOCKINV[[#This Row],[SKU]],TablaINVENTARIO[SKU],TablaINVENTARIO[CATEGORIA])</f>
        <v>CONSUMIBLES</v>
      </c>
      <c r="E1433" s="33" t="str">
        <f>_xlfn.XLOOKUP(TablaSTOCKINV[[#This Row],[SKU]],TablaINVENTARIO[SKU],TablaINVENTARIO[SUBCATEGORIA])</f>
        <v xml:space="preserve">PAPELERIA </v>
      </c>
      <c r="F1433" s="33" t="str">
        <f>_xlfn.XLOOKUP(TablaSTOCKINV[[#This Row],[SKU]],TablaINVENTARIO[SKU],TablaINVENTARIO[ESTADO])</f>
        <v xml:space="preserve">NUEVO </v>
      </c>
      <c r="G1433" s="33" t="str">
        <f>_xlfn.XLOOKUP(TablaSTOCKINV[[#This Row],[SKU]],TablaINVENTARIO[SKU],TablaINVENTARIO[MEDIDA])</f>
        <v>UND</v>
      </c>
      <c r="H1433" s="33" t="str">
        <f>_xlfn.XLOOKUP(TablaSTOCKINV[[#This Row],[SKU]],TablaINVENTARIO[SKU],TablaINVENTARIO[SERIAL])</f>
        <v>N/A</v>
      </c>
      <c r="I1433" s="34">
        <f>_xlfn.XLOOKUP(TablaSTOCKINV[[#This Row],[SKU]],TablaINVENTARIO[SKU],TablaINVENTARIO[ALMACEN])</f>
        <v>0</v>
      </c>
      <c r="J1433" s="34" t="str">
        <f>_xlfn.XLOOKUP(TablaSTOCKINV[[#This Row],[SKU]],TablaINVENTARIO[SKU],TablaINVENTARIO[UBICACION])</f>
        <v>C2</v>
      </c>
      <c r="K1433" s="34" t="str">
        <f>_xlfn.XLOOKUP(TablaSTOCKINV[[#This Row],[SKU]],TablaINVENTARIO[SKU],TablaINVENTARIO[DPTO RESPONSABLE])</f>
        <v>AIT</v>
      </c>
      <c r="L1433" s="53">
        <f>_xlfn.XLOOKUP(TablaSTOCKINV[[#This Row],[SKU]],TablaINVENTARIO[SKU],TablaINVENTARIO[RANGO MIN])</f>
        <v>0</v>
      </c>
      <c r="M1433" s="34" cm="1">
        <f t="array" ref="M1433">_xlfn.IFS(TablaSTOCKINV[[#This Row],[CANT. TOTAL]]&lt;=0,1,TablaSTOCKINV[[#This Row],[CANT. TOTAL]]&lt;=TablaSTOCKINV[[#This Row],[MIN]],2,TablaSTOCKINV[[#This Row],[CANT. TOTAL]]&gt;TablaSTOCKINV[[#This Row],[MIN]],3)</f>
        <v>3</v>
      </c>
      <c r="N1433" s="34">
        <f>TablaSTOCKINV[[#This Row],[ENTRADAS]]-TablaSTOCKINV[[#This Row],[SALIDAS]]</f>
        <v>3</v>
      </c>
      <c r="O1433" s="35">
        <f>SUMIFS(TablaENTRADA[CANT],TablaENTRADA[SKU],TablaSTOCKINV[[#This Row],[SKU]])</f>
        <v>3</v>
      </c>
      <c r="P1433" s="35">
        <f>SUMIFS(TablaSALIDA[CANT],TablaSALIDA[SKU],TablaSTOCKINV[[#This Row],[SKU]])</f>
        <v>0</v>
      </c>
      <c r="Q1433" s="34">
        <f>_xlfn.XLOOKUP(TablaSTOCKINV[[#This Row],[SKU]],TablaINVENTARIO[SKU],TablaINVENTARIO[PRECIO])</f>
        <v>0</v>
      </c>
      <c r="R1433" s="34">
        <f>TablaSTOCKINV[[#This Row],[P.UNITARIO]]*TablaSTOCKINV[[#This Row],[CANT. TOTAL]]</f>
        <v>0</v>
      </c>
      <c r="S1433" s="44">
        <f>_xlfn.XLOOKUP(TablaSTOCKINV[[#This Row],[SKU]],TablaINVENTARIO[SKU],TablaINVENTARIO[FECHA INGRESO])</f>
        <v>46023</v>
      </c>
      <c r="T1433" s="44">
        <f>_xlfn.XLOOKUP(TablaSTOCKINV[[#This Row],[SKU]],TablaENTRADA[SKU],TablaENTRADA[FECHA],,0,-1)</f>
        <v>46023</v>
      </c>
      <c r="U1433" s="46" t="str">
        <f>IFERROR((_xlfn.XLOOKUP(TablaSTOCKINV[[#This Row],[SKU]],TablaSALIDA[SKU],TablaSALIDA[FECHA],,0,-1))," " )</f>
        <v xml:space="preserve"> </v>
      </c>
    </row>
    <row r="1434" spans="1:21" x14ac:dyDescent="0.3">
      <c r="A1434" s="27" t="s">
        <v>3448</v>
      </c>
      <c r="B1434" s="32" t="str">
        <f>_xlfn.XLOOKUP(TablaSTOCKINV[[#This Row],[SKU]],TablaINVENTARIO[SKU],TablaINVENTARIO[DESCRIPCION])</f>
        <v>TINTA COLOR CYAN T6642</v>
      </c>
      <c r="C1434" s="32" t="str">
        <f>_xlfn.XLOOKUP(TablaSTOCKINV[[#This Row],[SKU]],TablaINVENTARIO[SKU],TablaINVENTARIO[MARCA])</f>
        <v>VENSPEED</v>
      </c>
      <c r="D1434" s="33" t="str">
        <f>_xlfn.XLOOKUP(TablaSTOCKINV[[#This Row],[SKU]],TablaINVENTARIO[SKU],TablaINVENTARIO[CATEGORIA])</f>
        <v>CONSUMIBLES</v>
      </c>
      <c r="E1434" s="33" t="str">
        <f>_xlfn.XLOOKUP(TablaSTOCKINV[[#This Row],[SKU]],TablaINVENTARIO[SKU],TablaINVENTARIO[SUBCATEGORIA])</f>
        <v xml:space="preserve">PAPELERIA </v>
      </c>
      <c r="F1434" s="33" t="str">
        <f>_xlfn.XLOOKUP(TablaSTOCKINV[[#This Row],[SKU]],TablaINVENTARIO[SKU],TablaINVENTARIO[ESTADO])</f>
        <v xml:space="preserve">NUEVO </v>
      </c>
      <c r="G1434" s="33" t="str">
        <f>_xlfn.XLOOKUP(TablaSTOCKINV[[#This Row],[SKU]],TablaINVENTARIO[SKU],TablaINVENTARIO[MEDIDA])</f>
        <v>UND</v>
      </c>
      <c r="H1434" s="33" t="str">
        <f>_xlfn.XLOOKUP(TablaSTOCKINV[[#This Row],[SKU]],TablaINVENTARIO[SKU],TablaINVENTARIO[SERIAL])</f>
        <v>N/A</v>
      </c>
      <c r="I1434" s="34">
        <f>_xlfn.XLOOKUP(TablaSTOCKINV[[#This Row],[SKU]],TablaINVENTARIO[SKU],TablaINVENTARIO[ALMACEN])</f>
        <v>0</v>
      </c>
      <c r="J1434" s="34" t="str">
        <f>_xlfn.XLOOKUP(TablaSTOCKINV[[#This Row],[SKU]],TablaINVENTARIO[SKU],TablaINVENTARIO[UBICACION])</f>
        <v>C2</v>
      </c>
      <c r="K1434" s="34" t="str">
        <f>_xlfn.XLOOKUP(TablaSTOCKINV[[#This Row],[SKU]],TablaINVENTARIO[SKU],TablaINVENTARIO[DPTO RESPONSABLE])</f>
        <v>AIT</v>
      </c>
      <c r="L1434" s="53">
        <f>_xlfn.XLOOKUP(TablaSTOCKINV[[#This Row],[SKU]],TablaINVENTARIO[SKU],TablaINVENTARIO[RANGO MIN])</f>
        <v>0</v>
      </c>
      <c r="M1434" s="34" cm="1">
        <f t="array" ref="M1434">_xlfn.IFS(TablaSTOCKINV[[#This Row],[CANT. TOTAL]]&lt;=0,1,TablaSTOCKINV[[#This Row],[CANT. TOTAL]]&lt;=TablaSTOCKINV[[#This Row],[MIN]],2,TablaSTOCKINV[[#This Row],[CANT. TOTAL]]&gt;TablaSTOCKINV[[#This Row],[MIN]],3)</f>
        <v>3</v>
      </c>
      <c r="N1434" s="34">
        <f>TablaSTOCKINV[[#This Row],[ENTRADAS]]-TablaSTOCKINV[[#This Row],[SALIDAS]]</f>
        <v>1</v>
      </c>
      <c r="O1434" s="35">
        <f>SUMIFS(TablaENTRADA[CANT],TablaENTRADA[SKU],TablaSTOCKINV[[#This Row],[SKU]])</f>
        <v>1</v>
      </c>
      <c r="P1434" s="35">
        <f>SUMIFS(TablaSALIDA[CANT],TablaSALIDA[SKU],TablaSTOCKINV[[#This Row],[SKU]])</f>
        <v>0</v>
      </c>
      <c r="Q1434" s="34">
        <f>_xlfn.XLOOKUP(TablaSTOCKINV[[#This Row],[SKU]],TablaINVENTARIO[SKU],TablaINVENTARIO[PRECIO])</f>
        <v>0</v>
      </c>
      <c r="R1434" s="34">
        <f>TablaSTOCKINV[[#This Row],[P.UNITARIO]]*TablaSTOCKINV[[#This Row],[CANT. TOTAL]]</f>
        <v>0</v>
      </c>
      <c r="S1434" s="44">
        <f>_xlfn.XLOOKUP(TablaSTOCKINV[[#This Row],[SKU]],TablaINVENTARIO[SKU],TablaINVENTARIO[FECHA INGRESO])</f>
        <v>46023</v>
      </c>
      <c r="T1434" s="44">
        <f>_xlfn.XLOOKUP(TablaSTOCKINV[[#This Row],[SKU]],TablaENTRADA[SKU],TablaENTRADA[FECHA],,0,-1)</f>
        <v>46023</v>
      </c>
      <c r="U1434" s="46" t="str">
        <f>IFERROR((_xlfn.XLOOKUP(TablaSTOCKINV[[#This Row],[SKU]],TablaSALIDA[SKU],TablaSALIDA[FECHA],,0,-1))," " )</f>
        <v xml:space="preserve"> </v>
      </c>
    </row>
    <row r="1435" spans="1:21" x14ac:dyDescent="0.3">
      <c r="A1435" s="27" t="s">
        <v>3451</v>
      </c>
      <c r="B1435" s="32" t="str">
        <f>_xlfn.XLOOKUP(TablaSTOCKINV[[#This Row],[SKU]],TablaINVENTARIO[SKU],TablaINVENTARIO[DESCRIPCION])</f>
        <v>TINTA COLOR MAGENTA T6643</v>
      </c>
      <c r="C1435" s="32" t="str">
        <f>_xlfn.XLOOKUP(TablaSTOCKINV[[#This Row],[SKU]],TablaINVENTARIO[SKU],TablaINVENTARIO[MARCA])</f>
        <v>VENSPEED</v>
      </c>
      <c r="D1435" s="33" t="str">
        <f>_xlfn.XLOOKUP(TablaSTOCKINV[[#This Row],[SKU]],TablaINVENTARIO[SKU],TablaINVENTARIO[CATEGORIA])</f>
        <v>CONSUMIBLES</v>
      </c>
      <c r="E1435" s="33" t="str">
        <f>_xlfn.XLOOKUP(TablaSTOCKINV[[#This Row],[SKU]],TablaINVENTARIO[SKU],TablaINVENTARIO[SUBCATEGORIA])</f>
        <v xml:space="preserve">PAPELERIA </v>
      </c>
      <c r="F1435" s="33" t="str">
        <f>_xlfn.XLOOKUP(TablaSTOCKINV[[#This Row],[SKU]],TablaINVENTARIO[SKU],TablaINVENTARIO[ESTADO])</f>
        <v xml:space="preserve">NUEVO </v>
      </c>
      <c r="G1435" s="33" t="str">
        <f>_xlfn.XLOOKUP(TablaSTOCKINV[[#This Row],[SKU]],TablaINVENTARIO[SKU],TablaINVENTARIO[MEDIDA])</f>
        <v>UND</v>
      </c>
      <c r="H1435" s="33" t="str">
        <f>_xlfn.XLOOKUP(TablaSTOCKINV[[#This Row],[SKU]],TablaINVENTARIO[SKU],TablaINVENTARIO[SERIAL])</f>
        <v>N/A</v>
      </c>
      <c r="I1435" s="34">
        <f>_xlfn.XLOOKUP(TablaSTOCKINV[[#This Row],[SKU]],TablaINVENTARIO[SKU],TablaINVENTARIO[ALMACEN])</f>
        <v>0</v>
      </c>
      <c r="J1435" s="34" t="str">
        <f>_xlfn.XLOOKUP(TablaSTOCKINV[[#This Row],[SKU]],TablaINVENTARIO[SKU],TablaINVENTARIO[UBICACION])</f>
        <v>C2</v>
      </c>
      <c r="K1435" s="34" t="str">
        <f>_xlfn.XLOOKUP(TablaSTOCKINV[[#This Row],[SKU]],TablaINVENTARIO[SKU],TablaINVENTARIO[DPTO RESPONSABLE])</f>
        <v>AIT</v>
      </c>
      <c r="L1435" s="53">
        <f>_xlfn.XLOOKUP(TablaSTOCKINV[[#This Row],[SKU]],TablaINVENTARIO[SKU],TablaINVENTARIO[RANGO MIN])</f>
        <v>0</v>
      </c>
      <c r="M1435" s="34" cm="1">
        <f t="array" ref="M1435">_xlfn.IFS(TablaSTOCKINV[[#This Row],[CANT. TOTAL]]&lt;=0,1,TablaSTOCKINV[[#This Row],[CANT. TOTAL]]&lt;=TablaSTOCKINV[[#This Row],[MIN]],2,TablaSTOCKINV[[#This Row],[CANT. TOTAL]]&gt;TablaSTOCKINV[[#This Row],[MIN]],3)</f>
        <v>3</v>
      </c>
      <c r="N1435" s="34">
        <f>TablaSTOCKINV[[#This Row],[ENTRADAS]]-TablaSTOCKINV[[#This Row],[SALIDAS]]</f>
        <v>1</v>
      </c>
      <c r="O1435" s="35">
        <f>SUMIFS(TablaENTRADA[CANT],TablaENTRADA[SKU],TablaSTOCKINV[[#This Row],[SKU]])</f>
        <v>1</v>
      </c>
      <c r="P1435" s="35">
        <f>SUMIFS(TablaSALIDA[CANT],TablaSALIDA[SKU],TablaSTOCKINV[[#This Row],[SKU]])</f>
        <v>0</v>
      </c>
      <c r="Q1435" s="34">
        <f>_xlfn.XLOOKUP(TablaSTOCKINV[[#This Row],[SKU]],TablaINVENTARIO[SKU],TablaINVENTARIO[PRECIO])</f>
        <v>0</v>
      </c>
      <c r="R1435" s="34">
        <f>TablaSTOCKINV[[#This Row],[P.UNITARIO]]*TablaSTOCKINV[[#This Row],[CANT. TOTAL]]</f>
        <v>0</v>
      </c>
      <c r="S1435" s="44">
        <f>_xlfn.XLOOKUP(TablaSTOCKINV[[#This Row],[SKU]],TablaINVENTARIO[SKU],TablaINVENTARIO[FECHA INGRESO])</f>
        <v>46023</v>
      </c>
      <c r="T1435" s="44">
        <f>_xlfn.XLOOKUP(TablaSTOCKINV[[#This Row],[SKU]],TablaENTRADA[SKU],TablaENTRADA[FECHA],,0,-1)</f>
        <v>46023</v>
      </c>
      <c r="U1435" s="46" t="str">
        <f>IFERROR((_xlfn.XLOOKUP(TablaSTOCKINV[[#This Row],[SKU]],TablaSALIDA[SKU],TablaSALIDA[FECHA],,0,-1))," " )</f>
        <v xml:space="preserve"> </v>
      </c>
    </row>
    <row r="1436" spans="1:21" x14ac:dyDescent="0.3">
      <c r="A1436" s="27" t="s">
        <v>3453</v>
      </c>
      <c r="B1436" s="32" t="str">
        <f>_xlfn.XLOOKUP(TablaSTOCKINV[[#This Row],[SKU]],TablaINVENTARIO[SKU],TablaINVENTARIO[DESCRIPCION])</f>
        <v>TINTA COLOR YELLOW T6644</v>
      </c>
      <c r="C1436" s="32" t="str">
        <f>_xlfn.XLOOKUP(TablaSTOCKINV[[#This Row],[SKU]],TablaINVENTARIO[SKU],TablaINVENTARIO[MARCA])</f>
        <v>VENSPEED</v>
      </c>
      <c r="D1436" s="33" t="str">
        <f>_xlfn.XLOOKUP(TablaSTOCKINV[[#This Row],[SKU]],TablaINVENTARIO[SKU],TablaINVENTARIO[CATEGORIA])</f>
        <v>CONSUMIBLES</v>
      </c>
      <c r="E1436" s="33" t="str">
        <f>_xlfn.XLOOKUP(TablaSTOCKINV[[#This Row],[SKU]],TablaINVENTARIO[SKU],TablaINVENTARIO[SUBCATEGORIA])</f>
        <v xml:space="preserve">PAPELERIA </v>
      </c>
      <c r="F1436" s="33" t="str">
        <f>_xlfn.XLOOKUP(TablaSTOCKINV[[#This Row],[SKU]],TablaINVENTARIO[SKU],TablaINVENTARIO[ESTADO])</f>
        <v xml:space="preserve">NUEVO </v>
      </c>
      <c r="G1436" s="33" t="str">
        <f>_xlfn.XLOOKUP(TablaSTOCKINV[[#This Row],[SKU]],TablaINVENTARIO[SKU],TablaINVENTARIO[MEDIDA])</f>
        <v>UND</v>
      </c>
      <c r="H1436" s="33" t="str">
        <f>_xlfn.XLOOKUP(TablaSTOCKINV[[#This Row],[SKU]],TablaINVENTARIO[SKU],TablaINVENTARIO[SERIAL])</f>
        <v>N/A</v>
      </c>
      <c r="I1436" s="34">
        <f>_xlfn.XLOOKUP(TablaSTOCKINV[[#This Row],[SKU]],TablaINVENTARIO[SKU],TablaINVENTARIO[ALMACEN])</f>
        <v>0</v>
      </c>
      <c r="J1436" s="34" t="str">
        <f>_xlfn.XLOOKUP(TablaSTOCKINV[[#This Row],[SKU]],TablaINVENTARIO[SKU],TablaINVENTARIO[UBICACION])</f>
        <v>C2</v>
      </c>
      <c r="K1436" s="34" t="str">
        <f>_xlfn.XLOOKUP(TablaSTOCKINV[[#This Row],[SKU]],TablaINVENTARIO[SKU],TablaINVENTARIO[DPTO RESPONSABLE])</f>
        <v>AIT</v>
      </c>
      <c r="L1436" s="53">
        <f>_xlfn.XLOOKUP(TablaSTOCKINV[[#This Row],[SKU]],TablaINVENTARIO[SKU],TablaINVENTARIO[RANGO MIN])</f>
        <v>0</v>
      </c>
      <c r="M1436" s="34" cm="1">
        <f t="array" ref="M1436">_xlfn.IFS(TablaSTOCKINV[[#This Row],[CANT. TOTAL]]&lt;=0,1,TablaSTOCKINV[[#This Row],[CANT. TOTAL]]&lt;=TablaSTOCKINV[[#This Row],[MIN]],2,TablaSTOCKINV[[#This Row],[CANT. TOTAL]]&gt;TablaSTOCKINV[[#This Row],[MIN]],3)</f>
        <v>3</v>
      </c>
      <c r="N1436" s="34">
        <f>TablaSTOCKINV[[#This Row],[ENTRADAS]]-TablaSTOCKINV[[#This Row],[SALIDAS]]</f>
        <v>1</v>
      </c>
      <c r="O1436" s="35">
        <f>SUMIFS(TablaENTRADA[CANT],TablaENTRADA[SKU],TablaSTOCKINV[[#This Row],[SKU]])</f>
        <v>1</v>
      </c>
      <c r="P1436" s="35">
        <f>SUMIFS(TablaSALIDA[CANT],TablaSALIDA[SKU],TablaSTOCKINV[[#This Row],[SKU]])</f>
        <v>0</v>
      </c>
      <c r="Q1436" s="34">
        <f>_xlfn.XLOOKUP(TablaSTOCKINV[[#This Row],[SKU]],TablaINVENTARIO[SKU],TablaINVENTARIO[PRECIO])</f>
        <v>0</v>
      </c>
      <c r="R1436" s="34">
        <f>TablaSTOCKINV[[#This Row],[P.UNITARIO]]*TablaSTOCKINV[[#This Row],[CANT. TOTAL]]</f>
        <v>0</v>
      </c>
      <c r="S1436" s="44">
        <f>_xlfn.XLOOKUP(TablaSTOCKINV[[#This Row],[SKU]],TablaINVENTARIO[SKU],TablaINVENTARIO[FECHA INGRESO])</f>
        <v>46023</v>
      </c>
      <c r="T1436" s="44">
        <f>_xlfn.XLOOKUP(TablaSTOCKINV[[#This Row],[SKU]],TablaENTRADA[SKU],TablaENTRADA[FECHA],,0,-1)</f>
        <v>46023</v>
      </c>
      <c r="U1436" s="46" t="str">
        <f>IFERROR((_xlfn.XLOOKUP(TablaSTOCKINV[[#This Row],[SKU]],TablaSALIDA[SKU],TablaSALIDA[FECHA],,0,-1))," " )</f>
        <v xml:space="preserve"> </v>
      </c>
    </row>
    <row r="1437" spans="1:21" x14ac:dyDescent="0.3">
      <c r="A1437" s="27" t="s">
        <v>3455</v>
      </c>
      <c r="B1437" s="32" t="str">
        <f>_xlfn.XLOOKUP(TablaSTOCKINV[[#This Row],[SKU]],TablaINVENTARIO[SKU],TablaINVENTARIO[DESCRIPCION])</f>
        <v>TINTA COLOR CYAN T6642</v>
      </c>
      <c r="C1437" s="32" t="str">
        <f>_xlfn.XLOOKUP(TablaSTOCKINV[[#This Row],[SKU]],TablaINVENTARIO[SKU],TablaINVENTARIO[MARCA])</f>
        <v xml:space="preserve">EPSON </v>
      </c>
      <c r="D1437" s="33" t="str">
        <f>_xlfn.XLOOKUP(TablaSTOCKINV[[#This Row],[SKU]],TablaINVENTARIO[SKU],TablaINVENTARIO[CATEGORIA])</f>
        <v>CONSUMIBLES</v>
      </c>
      <c r="E1437" s="33" t="str">
        <f>_xlfn.XLOOKUP(TablaSTOCKINV[[#This Row],[SKU]],TablaINVENTARIO[SKU],TablaINVENTARIO[SUBCATEGORIA])</f>
        <v xml:space="preserve">PAPELERIA </v>
      </c>
      <c r="F1437" s="33" t="str">
        <f>_xlfn.XLOOKUP(TablaSTOCKINV[[#This Row],[SKU]],TablaINVENTARIO[SKU],TablaINVENTARIO[ESTADO])</f>
        <v>USADA</v>
      </c>
      <c r="G1437" s="33" t="str">
        <f>_xlfn.XLOOKUP(TablaSTOCKINV[[#This Row],[SKU]],TablaINVENTARIO[SKU],TablaINVENTARIO[MEDIDA])</f>
        <v>UND</v>
      </c>
      <c r="H1437" s="33" t="str">
        <f>_xlfn.XLOOKUP(TablaSTOCKINV[[#This Row],[SKU]],TablaINVENTARIO[SKU],TablaINVENTARIO[SERIAL])</f>
        <v>N/A</v>
      </c>
      <c r="I1437" s="34">
        <f>_xlfn.XLOOKUP(TablaSTOCKINV[[#This Row],[SKU]],TablaINVENTARIO[SKU],TablaINVENTARIO[ALMACEN])</f>
        <v>0</v>
      </c>
      <c r="J1437" s="34" t="str">
        <f>_xlfn.XLOOKUP(TablaSTOCKINV[[#This Row],[SKU]],TablaINVENTARIO[SKU],TablaINVENTARIO[UBICACION])</f>
        <v>C2</v>
      </c>
      <c r="K1437" s="34" t="str">
        <f>_xlfn.XLOOKUP(TablaSTOCKINV[[#This Row],[SKU]],TablaINVENTARIO[SKU],TablaINVENTARIO[DPTO RESPONSABLE])</f>
        <v>AIT</v>
      </c>
      <c r="L1437" s="53">
        <f>_xlfn.XLOOKUP(TablaSTOCKINV[[#This Row],[SKU]],TablaINVENTARIO[SKU],TablaINVENTARIO[RANGO MIN])</f>
        <v>0</v>
      </c>
      <c r="M1437" s="34" cm="1">
        <f t="array" ref="M1437">_xlfn.IFS(TablaSTOCKINV[[#This Row],[CANT. TOTAL]]&lt;=0,1,TablaSTOCKINV[[#This Row],[CANT. TOTAL]]&lt;=TablaSTOCKINV[[#This Row],[MIN]],2,TablaSTOCKINV[[#This Row],[CANT. TOTAL]]&gt;TablaSTOCKINV[[#This Row],[MIN]],3)</f>
        <v>3</v>
      </c>
      <c r="N1437" s="34">
        <f>TablaSTOCKINV[[#This Row],[ENTRADAS]]-TablaSTOCKINV[[#This Row],[SALIDAS]]</f>
        <v>1</v>
      </c>
      <c r="O1437" s="35">
        <f>SUMIFS(TablaENTRADA[CANT],TablaENTRADA[SKU],TablaSTOCKINV[[#This Row],[SKU]])</f>
        <v>1</v>
      </c>
      <c r="P1437" s="35">
        <f>SUMIFS(TablaSALIDA[CANT],TablaSALIDA[SKU],TablaSTOCKINV[[#This Row],[SKU]])</f>
        <v>0</v>
      </c>
      <c r="Q1437" s="34">
        <f>_xlfn.XLOOKUP(TablaSTOCKINV[[#This Row],[SKU]],TablaINVENTARIO[SKU],TablaINVENTARIO[PRECIO])</f>
        <v>0</v>
      </c>
      <c r="R1437" s="34">
        <f>TablaSTOCKINV[[#This Row],[P.UNITARIO]]*TablaSTOCKINV[[#This Row],[CANT. TOTAL]]</f>
        <v>0</v>
      </c>
      <c r="S1437" s="44">
        <f>_xlfn.XLOOKUP(TablaSTOCKINV[[#This Row],[SKU]],TablaINVENTARIO[SKU],TablaINVENTARIO[FECHA INGRESO])</f>
        <v>46023</v>
      </c>
      <c r="T1437" s="44">
        <f>_xlfn.XLOOKUP(TablaSTOCKINV[[#This Row],[SKU]],TablaENTRADA[SKU],TablaENTRADA[FECHA],,0,-1)</f>
        <v>46023</v>
      </c>
      <c r="U1437" s="46" t="str">
        <f>IFERROR((_xlfn.XLOOKUP(TablaSTOCKINV[[#This Row],[SKU]],TablaSALIDA[SKU],TablaSALIDA[FECHA],,0,-1))," " )</f>
        <v xml:space="preserve"> </v>
      </c>
    </row>
    <row r="1438" spans="1:21" x14ac:dyDescent="0.3">
      <c r="A1438" s="27" t="s">
        <v>3457</v>
      </c>
      <c r="B1438" s="32" t="str">
        <f>_xlfn.XLOOKUP(TablaSTOCKINV[[#This Row],[SKU]],TablaINVENTARIO[SKU],TablaINVENTARIO[DESCRIPCION])</f>
        <v xml:space="preserve">TINTA COLOR YELLOW </v>
      </c>
      <c r="C1438" s="32" t="str">
        <f>_xlfn.XLOOKUP(TablaSTOCKINV[[#This Row],[SKU]],TablaINVENTARIO[SKU],TablaINVENTARIO[MARCA])</f>
        <v xml:space="preserve">UV INK </v>
      </c>
      <c r="D1438" s="33" t="str">
        <f>_xlfn.XLOOKUP(TablaSTOCKINV[[#This Row],[SKU]],TablaINVENTARIO[SKU],TablaINVENTARIO[CATEGORIA])</f>
        <v>CONSUMIBLES</v>
      </c>
      <c r="E1438" s="33" t="str">
        <f>_xlfn.XLOOKUP(TablaSTOCKINV[[#This Row],[SKU]],TablaINVENTARIO[SKU],TablaINVENTARIO[SUBCATEGORIA])</f>
        <v xml:space="preserve">PAPELERIA </v>
      </c>
      <c r="F1438" s="33" t="str">
        <f>_xlfn.XLOOKUP(TablaSTOCKINV[[#This Row],[SKU]],TablaINVENTARIO[SKU],TablaINVENTARIO[ESTADO])</f>
        <v>USADA</v>
      </c>
      <c r="G1438" s="33" t="str">
        <f>_xlfn.XLOOKUP(TablaSTOCKINV[[#This Row],[SKU]],TablaINVENTARIO[SKU],TablaINVENTARIO[MEDIDA])</f>
        <v>UND</v>
      </c>
      <c r="H1438" s="33" t="str">
        <f>_xlfn.XLOOKUP(TablaSTOCKINV[[#This Row],[SKU]],TablaINVENTARIO[SKU],TablaINVENTARIO[SERIAL])</f>
        <v>N/A</v>
      </c>
      <c r="I1438" s="34">
        <f>_xlfn.XLOOKUP(TablaSTOCKINV[[#This Row],[SKU]],TablaINVENTARIO[SKU],TablaINVENTARIO[ALMACEN])</f>
        <v>0</v>
      </c>
      <c r="J1438" s="34" t="str">
        <f>_xlfn.XLOOKUP(TablaSTOCKINV[[#This Row],[SKU]],TablaINVENTARIO[SKU],TablaINVENTARIO[UBICACION])</f>
        <v>C2</v>
      </c>
      <c r="K1438" s="34" t="str">
        <f>_xlfn.XLOOKUP(TablaSTOCKINV[[#This Row],[SKU]],TablaINVENTARIO[SKU],TablaINVENTARIO[DPTO RESPONSABLE])</f>
        <v>AIT</v>
      </c>
      <c r="L1438" s="53">
        <f>_xlfn.XLOOKUP(TablaSTOCKINV[[#This Row],[SKU]],TablaINVENTARIO[SKU],TablaINVENTARIO[RANGO MIN])</f>
        <v>0</v>
      </c>
      <c r="M1438" s="34" cm="1">
        <f t="array" ref="M1438">_xlfn.IFS(TablaSTOCKINV[[#This Row],[CANT. TOTAL]]&lt;=0,1,TablaSTOCKINV[[#This Row],[CANT. TOTAL]]&lt;=TablaSTOCKINV[[#This Row],[MIN]],2,TablaSTOCKINV[[#This Row],[CANT. TOTAL]]&gt;TablaSTOCKINV[[#This Row],[MIN]],3)</f>
        <v>3</v>
      </c>
      <c r="N1438" s="34">
        <f>TablaSTOCKINV[[#This Row],[ENTRADAS]]-TablaSTOCKINV[[#This Row],[SALIDAS]]</f>
        <v>1</v>
      </c>
      <c r="O1438" s="35">
        <f>SUMIFS(TablaENTRADA[CANT],TablaENTRADA[SKU],TablaSTOCKINV[[#This Row],[SKU]])</f>
        <v>1</v>
      </c>
      <c r="P1438" s="35">
        <f>SUMIFS(TablaSALIDA[CANT],TablaSALIDA[SKU],TablaSTOCKINV[[#This Row],[SKU]])</f>
        <v>0</v>
      </c>
      <c r="Q1438" s="34">
        <f>_xlfn.XLOOKUP(TablaSTOCKINV[[#This Row],[SKU]],TablaINVENTARIO[SKU],TablaINVENTARIO[PRECIO])</f>
        <v>0</v>
      </c>
      <c r="R1438" s="34">
        <f>TablaSTOCKINV[[#This Row],[P.UNITARIO]]*TablaSTOCKINV[[#This Row],[CANT. TOTAL]]</f>
        <v>0</v>
      </c>
      <c r="S1438" s="44">
        <f>_xlfn.XLOOKUP(TablaSTOCKINV[[#This Row],[SKU]],TablaINVENTARIO[SKU],TablaINVENTARIO[FECHA INGRESO])</f>
        <v>46023</v>
      </c>
      <c r="T1438" s="44">
        <f>_xlfn.XLOOKUP(TablaSTOCKINV[[#This Row],[SKU]],TablaENTRADA[SKU],TablaENTRADA[FECHA],,0,-1)</f>
        <v>46023</v>
      </c>
      <c r="U1438" s="46" t="str">
        <f>IFERROR((_xlfn.XLOOKUP(TablaSTOCKINV[[#This Row],[SKU]],TablaSALIDA[SKU],TablaSALIDA[FECHA],,0,-1))," " )</f>
        <v xml:space="preserve"> </v>
      </c>
    </row>
    <row r="1439" spans="1:21" x14ac:dyDescent="0.3">
      <c r="A1439" s="27" t="s">
        <v>3458</v>
      </c>
      <c r="B1439" s="32" t="str">
        <f>_xlfn.XLOOKUP(TablaSTOCKINV[[#This Row],[SKU]],TablaINVENTARIO[SKU],TablaINVENTARIO[DESCRIPCION])</f>
        <v xml:space="preserve">TINTA COLOR YELLOW </v>
      </c>
      <c r="C1439" s="32" t="str">
        <f>_xlfn.XLOOKUP(TablaSTOCKINV[[#This Row],[SKU]],TablaINVENTARIO[SKU],TablaINVENTARIO[MARCA])</f>
        <v xml:space="preserve">BULK INK </v>
      </c>
      <c r="D1439" s="33" t="str">
        <f>_xlfn.XLOOKUP(TablaSTOCKINV[[#This Row],[SKU]],TablaINVENTARIO[SKU],TablaINVENTARIO[CATEGORIA])</f>
        <v>CONSUMIBLES</v>
      </c>
      <c r="E1439" s="33" t="str">
        <f>_xlfn.XLOOKUP(TablaSTOCKINV[[#This Row],[SKU]],TablaINVENTARIO[SKU],TablaINVENTARIO[SUBCATEGORIA])</f>
        <v xml:space="preserve">PAPELERIA </v>
      </c>
      <c r="F1439" s="33" t="str">
        <f>_xlfn.XLOOKUP(TablaSTOCKINV[[#This Row],[SKU]],TablaINVENTARIO[SKU],TablaINVENTARIO[ESTADO])</f>
        <v>USADA</v>
      </c>
      <c r="G1439" s="33" t="str">
        <f>_xlfn.XLOOKUP(TablaSTOCKINV[[#This Row],[SKU]],TablaINVENTARIO[SKU],TablaINVENTARIO[MEDIDA])</f>
        <v>UND</v>
      </c>
      <c r="H1439" s="33" t="str">
        <f>_xlfn.XLOOKUP(TablaSTOCKINV[[#This Row],[SKU]],TablaINVENTARIO[SKU],TablaINVENTARIO[SERIAL])</f>
        <v>N/A</v>
      </c>
      <c r="I1439" s="34">
        <f>_xlfn.XLOOKUP(TablaSTOCKINV[[#This Row],[SKU]],TablaINVENTARIO[SKU],TablaINVENTARIO[ALMACEN])</f>
        <v>0</v>
      </c>
      <c r="J1439" s="34" t="str">
        <f>_xlfn.XLOOKUP(TablaSTOCKINV[[#This Row],[SKU]],TablaINVENTARIO[SKU],TablaINVENTARIO[UBICACION])</f>
        <v>C2</v>
      </c>
      <c r="K1439" s="34" t="str">
        <f>_xlfn.XLOOKUP(TablaSTOCKINV[[#This Row],[SKU]],TablaINVENTARIO[SKU],TablaINVENTARIO[DPTO RESPONSABLE])</f>
        <v>AIT</v>
      </c>
      <c r="L1439" s="53">
        <f>_xlfn.XLOOKUP(TablaSTOCKINV[[#This Row],[SKU]],TablaINVENTARIO[SKU],TablaINVENTARIO[RANGO MIN])</f>
        <v>0</v>
      </c>
      <c r="M1439" s="34" cm="1">
        <f t="array" ref="M1439">_xlfn.IFS(TablaSTOCKINV[[#This Row],[CANT. TOTAL]]&lt;=0,1,TablaSTOCKINV[[#This Row],[CANT. TOTAL]]&lt;=TablaSTOCKINV[[#This Row],[MIN]],2,TablaSTOCKINV[[#This Row],[CANT. TOTAL]]&gt;TablaSTOCKINV[[#This Row],[MIN]],3)</f>
        <v>3</v>
      </c>
      <c r="N1439" s="34">
        <f>TablaSTOCKINV[[#This Row],[ENTRADAS]]-TablaSTOCKINV[[#This Row],[SALIDAS]]</f>
        <v>1</v>
      </c>
      <c r="O1439" s="35">
        <f>SUMIFS(TablaENTRADA[CANT],TablaENTRADA[SKU],TablaSTOCKINV[[#This Row],[SKU]])</f>
        <v>1</v>
      </c>
      <c r="P1439" s="35">
        <f>SUMIFS(TablaSALIDA[CANT],TablaSALIDA[SKU],TablaSTOCKINV[[#This Row],[SKU]])</f>
        <v>0</v>
      </c>
      <c r="Q1439" s="34">
        <f>_xlfn.XLOOKUP(TablaSTOCKINV[[#This Row],[SKU]],TablaINVENTARIO[SKU],TablaINVENTARIO[PRECIO])</f>
        <v>0</v>
      </c>
      <c r="R1439" s="34">
        <f>TablaSTOCKINV[[#This Row],[P.UNITARIO]]*TablaSTOCKINV[[#This Row],[CANT. TOTAL]]</f>
        <v>0</v>
      </c>
      <c r="S1439" s="44">
        <f>_xlfn.XLOOKUP(TablaSTOCKINV[[#This Row],[SKU]],TablaINVENTARIO[SKU],TablaINVENTARIO[FECHA INGRESO])</f>
        <v>46023</v>
      </c>
      <c r="T1439" s="44">
        <f>_xlfn.XLOOKUP(TablaSTOCKINV[[#This Row],[SKU]],TablaENTRADA[SKU],TablaENTRADA[FECHA],,0,-1)</f>
        <v>46023</v>
      </c>
      <c r="U1439" s="46" t="str">
        <f>IFERROR((_xlfn.XLOOKUP(TablaSTOCKINV[[#This Row],[SKU]],TablaSALIDA[SKU],TablaSALIDA[FECHA],,0,-1))," " )</f>
        <v xml:space="preserve"> </v>
      </c>
    </row>
    <row r="1440" spans="1:21" x14ac:dyDescent="0.3">
      <c r="A1440" s="27" t="s">
        <v>3460</v>
      </c>
      <c r="B1440" s="32" t="str">
        <f>_xlfn.XLOOKUP(TablaSTOCKINV[[#This Row],[SKU]],TablaINVENTARIO[SKU],TablaINVENTARIO[DESCRIPCION])</f>
        <v xml:space="preserve">TINTA COLOR CYAN </v>
      </c>
      <c r="C1440" s="32" t="str">
        <f>_xlfn.XLOOKUP(TablaSTOCKINV[[#This Row],[SKU]],TablaINVENTARIO[SKU],TablaINVENTARIO[MARCA])</f>
        <v>PRINTON</v>
      </c>
      <c r="D1440" s="33" t="str">
        <f>_xlfn.XLOOKUP(TablaSTOCKINV[[#This Row],[SKU]],TablaINVENTARIO[SKU],TablaINVENTARIO[CATEGORIA])</f>
        <v>CONSUMIBLES</v>
      </c>
      <c r="E1440" s="33" t="str">
        <f>_xlfn.XLOOKUP(TablaSTOCKINV[[#This Row],[SKU]],TablaINVENTARIO[SKU],TablaINVENTARIO[SUBCATEGORIA])</f>
        <v xml:space="preserve">PAPELERIA </v>
      </c>
      <c r="F1440" s="33" t="str">
        <f>_xlfn.XLOOKUP(TablaSTOCKINV[[#This Row],[SKU]],TablaINVENTARIO[SKU],TablaINVENTARIO[ESTADO])</f>
        <v>USADA</v>
      </c>
      <c r="G1440" s="33" t="str">
        <f>_xlfn.XLOOKUP(TablaSTOCKINV[[#This Row],[SKU]],TablaINVENTARIO[SKU],TablaINVENTARIO[MEDIDA])</f>
        <v>UND</v>
      </c>
      <c r="H1440" s="33" t="str">
        <f>_xlfn.XLOOKUP(TablaSTOCKINV[[#This Row],[SKU]],TablaINVENTARIO[SKU],TablaINVENTARIO[SERIAL])</f>
        <v>N/A</v>
      </c>
      <c r="I1440" s="34">
        <f>_xlfn.XLOOKUP(TablaSTOCKINV[[#This Row],[SKU]],TablaINVENTARIO[SKU],TablaINVENTARIO[ALMACEN])</f>
        <v>0</v>
      </c>
      <c r="J1440" s="34" t="str">
        <f>_xlfn.XLOOKUP(TablaSTOCKINV[[#This Row],[SKU]],TablaINVENTARIO[SKU],TablaINVENTARIO[UBICACION])</f>
        <v>C2</v>
      </c>
      <c r="K1440" s="34" t="str">
        <f>_xlfn.XLOOKUP(TablaSTOCKINV[[#This Row],[SKU]],TablaINVENTARIO[SKU],TablaINVENTARIO[DPTO RESPONSABLE])</f>
        <v>AIT</v>
      </c>
      <c r="L1440" s="53">
        <f>_xlfn.XLOOKUP(TablaSTOCKINV[[#This Row],[SKU]],TablaINVENTARIO[SKU],TablaINVENTARIO[RANGO MIN])</f>
        <v>0</v>
      </c>
      <c r="M1440" s="34" cm="1">
        <f t="array" ref="M1440">_xlfn.IFS(TablaSTOCKINV[[#This Row],[CANT. TOTAL]]&lt;=0,1,TablaSTOCKINV[[#This Row],[CANT. TOTAL]]&lt;=TablaSTOCKINV[[#This Row],[MIN]],2,TablaSTOCKINV[[#This Row],[CANT. TOTAL]]&gt;TablaSTOCKINV[[#This Row],[MIN]],3)</f>
        <v>3</v>
      </c>
      <c r="N1440" s="34">
        <f>TablaSTOCKINV[[#This Row],[ENTRADAS]]-TablaSTOCKINV[[#This Row],[SALIDAS]]</f>
        <v>1</v>
      </c>
      <c r="O1440" s="35">
        <f>SUMIFS(TablaENTRADA[CANT],TablaENTRADA[SKU],TablaSTOCKINV[[#This Row],[SKU]])</f>
        <v>1</v>
      </c>
      <c r="P1440" s="35">
        <f>SUMIFS(TablaSALIDA[CANT],TablaSALIDA[SKU],TablaSTOCKINV[[#This Row],[SKU]])</f>
        <v>0</v>
      </c>
      <c r="Q1440" s="34">
        <f>_xlfn.XLOOKUP(TablaSTOCKINV[[#This Row],[SKU]],TablaINVENTARIO[SKU],TablaINVENTARIO[PRECIO])</f>
        <v>0</v>
      </c>
      <c r="R1440" s="34">
        <f>TablaSTOCKINV[[#This Row],[P.UNITARIO]]*TablaSTOCKINV[[#This Row],[CANT. TOTAL]]</f>
        <v>0</v>
      </c>
      <c r="S1440" s="44">
        <f>_xlfn.XLOOKUP(TablaSTOCKINV[[#This Row],[SKU]],TablaINVENTARIO[SKU],TablaINVENTARIO[FECHA INGRESO])</f>
        <v>46023</v>
      </c>
      <c r="T1440" s="44">
        <f>_xlfn.XLOOKUP(TablaSTOCKINV[[#This Row],[SKU]],TablaENTRADA[SKU],TablaENTRADA[FECHA],,0,-1)</f>
        <v>46023</v>
      </c>
      <c r="U1440" s="46" t="str">
        <f>IFERROR((_xlfn.XLOOKUP(TablaSTOCKINV[[#This Row],[SKU]],TablaSALIDA[SKU],TablaSALIDA[FECHA],,0,-1))," " )</f>
        <v xml:space="preserve"> </v>
      </c>
    </row>
    <row r="1441" spans="1:21" x14ac:dyDescent="0.3">
      <c r="A1441" s="27" t="s">
        <v>3461</v>
      </c>
      <c r="B1441" s="32" t="str">
        <f>_xlfn.XLOOKUP(TablaSTOCKINV[[#This Row],[SKU]],TablaINVENTARIO[SKU],TablaINVENTARIO[DESCRIPCION])</f>
        <v xml:space="preserve">TINTA COLOR CYAN </v>
      </c>
      <c r="C1441" s="32" t="str">
        <f>_xlfn.XLOOKUP(TablaSTOCKINV[[#This Row],[SKU]],TablaINVENTARIO[SKU],TablaINVENTARIO[MARCA])</f>
        <v xml:space="preserve">BULK INK </v>
      </c>
      <c r="D1441" s="33" t="str">
        <f>_xlfn.XLOOKUP(TablaSTOCKINV[[#This Row],[SKU]],TablaINVENTARIO[SKU],TablaINVENTARIO[CATEGORIA])</f>
        <v>CONSUMIBLES</v>
      </c>
      <c r="E1441" s="33" t="str">
        <f>_xlfn.XLOOKUP(TablaSTOCKINV[[#This Row],[SKU]],TablaINVENTARIO[SKU],TablaINVENTARIO[SUBCATEGORIA])</f>
        <v xml:space="preserve">PAPELERIA </v>
      </c>
      <c r="F1441" s="33" t="str">
        <f>_xlfn.XLOOKUP(TablaSTOCKINV[[#This Row],[SKU]],TablaINVENTARIO[SKU],TablaINVENTARIO[ESTADO])</f>
        <v>USADA</v>
      </c>
      <c r="G1441" s="33" t="str">
        <f>_xlfn.XLOOKUP(TablaSTOCKINV[[#This Row],[SKU]],TablaINVENTARIO[SKU],TablaINVENTARIO[MEDIDA])</f>
        <v>UND</v>
      </c>
      <c r="H1441" s="33" t="str">
        <f>_xlfn.XLOOKUP(TablaSTOCKINV[[#This Row],[SKU]],TablaINVENTARIO[SKU],TablaINVENTARIO[SERIAL])</f>
        <v>N/A</v>
      </c>
      <c r="I1441" s="34">
        <f>_xlfn.XLOOKUP(TablaSTOCKINV[[#This Row],[SKU]],TablaINVENTARIO[SKU],TablaINVENTARIO[ALMACEN])</f>
        <v>0</v>
      </c>
      <c r="J1441" s="34" t="str">
        <f>_xlfn.XLOOKUP(TablaSTOCKINV[[#This Row],[SKU]],TablaINVENTARIO[SKU],TablaINVENTARIO[UBICACION])</f>
        <v>C2</v>
      </c>
      <c r="K1441" s="34" t="str">
        <f>_xlfn.XLOOKUP(TablaSTOCKINV[[#This Row],[SKU]],TablaINVENTARIO[SKU],TablaINVENTARIO[DPTO RESPONSABLE])</f>
        <v>AIT</v>
      </c>
      <c r="L1441" s="53">
        <f>_xlfn.XLOOKUP(TablaSTOCKINV[[#This Row],[SKU]],TablaINVENTARIO[SKU],TablaINVENTARIO[RANGO MIN])</f>
        <v>0</v>
      </c>
      <c r="M1441" s="34" cm="1">
        <f t="array" ref="M1441">_xlfn.IFS(TablaSTOCKINV[[#This Row],[CANT. TOTAL]]&lt;=0,1,TablaSTOCKINV[[#This Row],[CANT. TOTAL]]&lt;=TablaSTOCKINV[[#This Row],[MIN]],2,TablaSTOCKINV[[#This Row],[CANT. TOTAL]]&gt;TablaSTOCKINV[[#This Row],[MIN]],3)</f>
        <v>3</v>
      </c>
      <c r="N1441" s="34">
        <f>TablaSTOCKINV[[#This Row],[ENTRADAS]]-TablaSTOCKINV[[#This Row],[SALIDAS]]</f>
        <v>1</v>
      </c>
      <c r="O1441" s="35">
        <f>SUMIFS(TablaENTRADA[CANT],TablaENTRADA[SKU],TablaSTOCKINV[[#This Row],[SKU]])</f>
        <v>1</v>
      </c>
      <c r="P1441" s="35">
        <f>SUMIFS(TablaSALIDA[CANT],TablaSALIDA[SKU],TablaSTOCKINV[[#This Row],[SKU]])</f>
        <v>0</v>
      </c>
      <c r="Q1441" s="34">
        <f>_xlfn.XLOOKUP(TablaSTOCKINV[[#This Row],[SKU]],TablaINVENTARIO[SKU],TablaINVENTARIO[PRECIO])</f>
        <v>0</v>
      </c>
      <c r="R1441" s="34">
        <f>TablaSTOCKINV[[#This Row],[P.UNITARIO]]*TablaSTOCKINV[[#This Row],[CANT. TOTAL]]</f>
        <v>0</v>
      </c>
      <c r="S1441" s="44">
        <f>_xlfn.XLOOKUP(TablaSTOCKINV[[#This Row],[SKU]],TablaINVENTARIO[SKU],TablaINVENTARIO[FECHA INGRESO])</f>
        <v>46023</v>
      </c>
      <c r="T1441" s="44">
        <f>_xlfn.XLOOKUP(TablaSTOCKINV[[#This Row],[SKU]],TablaENTRADA[SKU],TablaENTRADA[FECHA],,0,-1)</f>
        <v>46023</v>
      </c>
      <c r="U1441" s="46" t="str">
        <f>IFERROR((_xlfn.XLOOKUP(TablaSTOCKINV[[#This Row],[SKU]],TablaSALIDA[SKU],TablaSALIDA[FECHA],,0,-1))," " )</f>
        <v xml:space="preserve"> </v>
      </c>
    </row>
    <row r="1442" spans="1:21" x14ac:dyDescent="0.3">
      <c r="A1442" s="27" t="s">
        <v>3462</v>
      </c>
      <c r="B1442" s="32" t="str">
        <f>_xlfn.XLOOKUP(TablaSTOCKINV[[#This Row],[SKU]],TablaINVENTARIO[SKU],TablaINVENTARIO[DESCRIPCION])</f>
        <v xml:space="preserve">TINTA COLOR LIGHT CYAN </v>
      </c>
      <c r="C1442" s="32" t="str">
        <f>_xlfn.XLOOKUP(TablaSTOCKINV[[#This Row],[SKU]],TablaINVENTARIO[SKU],TablaINVENTARIO[MARCA])</f>
        <v xml:space="preserve">BULK INK </v>
      </c>
      <c r="D1442" s="33" t="str">
        <f>_xlfn.XLOOKUP(TablaSTOCKINV[[#This Row],[SKU]],TablaINVENTARIO[SKU],TablaINVENTARIO[CATEGORIA])</f>
        <v>CONSUMIBLES</v>
      </c>
      <c r="E1442" s="33" t="str">
        <f>_xlfn.XLOOKUP(TablaSTOCKINV[[#This Row],[SKU]],TablaINVENTARIO[SKU],TablaINVENTARIO[SUBCATEGORIA])</f>
        <v xml:space="preserve">PAPELERIA </v>
      </c>
      <c r="F1442" s="33" t="str">
        <f>_xlfn.XLOOKUP(TablaSTOCKINV[[#This Row],[SKU]],TablaINVENTARIO[SKU],TablaINVENTARIO[ESTADO])</f>
        <v>USADA</v>
      </c>
      <c r="G1442" s="33" t="str">
        <f>_xlfn.XLOOKUP(TablaSTOCKINV[[#This Row],[SKU]],TablaINVENTARIO[SKU],TablaINVENTARIO[MEDIDA])</f>
        <v>UND</v>
      </c>
      <c r="H1442" s="33" t="str">
        <f>_xlfn.XLOOKUP(TablaSTOCKINV[[#This Row],[SKU]],TablaINVENTARIO[SKU],TablaINVENTARIO[SERIAL])</f>
        <v>N/A</v>
      </c>
      <c r="I1442" s="34">
        <f>_xlfn.XLOOKUP(TablaSTOCKINV[[#This Row],[SKU]],TablaINVENTARIO[SKU],TablaINVENTARIO[ALMACEN])</f>
        <v>0</v>
      </c>
      <c r="J1442" s="34" t="str">
        <f>_xlfn.XLOOKUP(TablaSTOCKINV[[#This Row],[SKU]],TablaINVENTARIO[SKU],TablaINVENTARIO[UBICACION])</f>
        <v>C2</v>
      </c>
      <c r="K1442" s="34" t="str">
        <f>_xlfn.XLOOKUP(TablaSTOCKINV[[#This Row],[SKU]],TablaINVENTARIO[SKU],TablaINVENTARIO[DPTO RESPONSABLE])</f>
        <v>AIT</v>
      </c>
      <c r="L1442" s="53">
        <f>_xlfn.XLOOKUP(TablaSTOCKINV[[#This Row],[SKU]],TablaINVENTARIO[SKU],TablaINVENTARIO[RANGO MIN])</f>
        <v>0</v>
      </c>
      <c r="M1442" s="34" cm="1">
        <f t="array" ref="M1442">_xlfn.IFS(TablaSTOCKINV[[#This Row],[CANT. TOTAL]]&lt;=0,1,TablaSTOCKINV[[#This Row],[CANT. TOTAL]]&lt;=TablaSTOCKINV[[#This Row],[MIN]],2,TablaSTOCKINV[[#This Row],[CANT. TOTAL]]&gt;TablaSTOCKINV[[#This Row],[MIN]],3)</f>
        <v>3</v>
      </c>
      <c r="N1442" s="34">
        <f>TablaSTOCKINV[[#This Row],[ENTRADAS]]-TablaSTOCKINV[[#This Row],[SALIDAS]]</f>
        <v>1</v>
      </c>
      <c r="O1442" s="35">
        <f>SUMIFS(TablaENTRADA[CANT],TablaENTRADA[SKU],TablaSTOCKINV[[#This Row],[SKU]])</f>
        <v>1</v>
      </c>
      <c r="P1442" s="35">
        <f>SUMIFS(TablaSALIDA[CANT],TablaSALIDA[SKU],TablaSTOCKINV[[#This Row],[SKU]])</f>
        <v>0</v>
      </c>
      <c r="Q1442" s="34">
        <f>_xlfn.XLOOKUP(TablaSTOCKINV[[#This Row],[SKU]],TablaINVENTARIO[SKU],TablaINVENTARIO[PRECIO])</f>
        <v>0</v>
      </c>
      <c r="R1442" s="34">
        <f>TablaSTOCKINV[[#This Row],[P.UNITARIO]]*TablaSTOCKINV[[#This Row],[CANT. TOTAL]]</f>
        <v>0</v>
      </c>
      <c r="S1442" s="44">
        <f>_xlfn.XLOOKUP(TablaSTOCKINV[[#This Row],[SKU]],TablaINVENTARIO[SKU],TablaINVENTARIO[FECHA INGRESO])</f>
        <v>46023</v>
      </c>
      <c r="T1442" s="44">
        <f>_xlfn.XLOOKUP(TablaSTOCKINV[[#This Row],[SKU]],TablaENTRADA[SKU],TablaENTRADA[FECHA],,0,-1)</f>
        <v>46023</v>
      </c>
      <c r="U1442" s="46" t="str">
        <f>IFERROR((_xlfn.XLOOKUP(TablaSTOCKINV[[#This Row],[SKU]],TablaSALIDA[SKU],TablaSALIDA[FECHA],,0,-1))," " )</f>
        <v xml:space="preserve"> </v>
      </c>
    </row>
    <row r="1443" spans="1:21" x14ac:dyDescent="0.3">
      <c r="A1443" s="27" t="s">
        <v>3464</v>
      </c>
      <c r="B1443" s="32" t="str">
        <f>_xlfn.XLOOKUP(TablaSTOCKINV[[#This Row],[SKU]],TablaINVENTARIO[SKU],TablaINVENTARIO[DESCRIPCION])</f>
        <v>TINTA COLOR MAGENTA</v>
      </c>
      <c r="C1443" s="32" t="str">
        <f>_xlfn.XLOOKUP(TablaSTOCKINV[[#This Row],[SKU]],TablaINVENTARIO[SKU],TablaINVENTARIO[MARCA])</f>
        <v xml:space="preserve">PRINTON </v>
      </c>
      <c r="D1443" s="33" t="str">
        <f>_xlfn.XLOOKUP(TablaSTOCKINV[[#This Row],[SKU]],TablaINVENTARIO[SKU],TablaINVENTARIO[CATEGORIA])</f>
        <v>CONSUMIBLES</v>
      </c>
      <c r="E1443" s="33" t="str">
        <f>_xlfn.XLOOKUP(TablaSTOCKINV[[#This Row],[SKU]],TablaINVENTARIO[SKU],TablaINVENTARIO[SUBCATEGORIA])</f>
        <v xml:space="preserve">PAPELERIA </v>
      </c>
      <c r="F1443" s="33" t="str">
        <f>_xlfn.XLOOKUP(TablaSTOCKINV[[#This Row],[SKU]],TablaINVENTARIO[SKU],TablaINVENTARIO[ESTADO])</f>
        <v>USADA</v>
      </c>
      <c r="G1443" s="33" t="str">
        <f>_xlfn.XLOOKUP(TablaSTOCKINV[[#This Row],[SKU]],TablaINVENTARIO[SKU],TablaINVENTARIO[MEDIDA])</f>
        <v>UND</v>
      </c>
      <c r="H1443" s="33" t="str">
        <f>_xlfn.XLOOKUP(TablaSTOCKINV[[#This Row],[SKU]],TablaINVENTARIO[SKU],TablaINVENTARIO[SERIAL])</f>
        <v>N/A</v>
      </c>
      <c r="I1443" s="34">
        <f>_xlfn.XLOOKUP(TablaSTOCKINV[[#This Row],[SKU]],TablaINVENTARIO[SKU],TablaINVENTARIO[ALMACEN])</f>
        <v>0</v>
      </c>
      <c r="J1443" s="34" t="str">
        <f>_xlfn.XLOOKUP(TablaSTOCKINV[[#This Row],[SKU]],TablaINVENTARIO[SKU],TablaINVENTARIO[UBICACION])</f>
        <v>C2</v>
      </c>
      <c r="K1443" s="34" t="str">
        <f>_xlfn.XLOOKUP(TablaSTOCKINV[[#This Row],[SKU]],TablaINVENTARIO[SKU],TablaINVENTARIO[DPTO RESPONSABLE])</f>
        <v>AIT</v>
      </c>
      <c r="L1443" s="53">
        <f>_xlfn.XLOOKUP(TablaSTOCKINV[[#This Row],[SKU]],TablaINVENTARIO[SKU],TablaINVENTARIO[RANGO MIN])</f>
        <v>0</v>
      </c>
      <c r="M1443" s="34" cm="1">
        <f t="array" ref="M1443">_xlfn.IFS(TablaSTOCKINV[[#This Row],[CANT. TOTAL]]&lt;=0,1,TablaSTOCKINV[[#This Row],[CANT. TOTAL]]&lt;=TablaSTOCKINV[[#This Row],[MIN]],2,TablaSTOCKINV[[#This Row],[CANT. TOTAL]]&gt;TablaSTOCKINV[[#This Row],[MIN]],3)</f>
        <v>3</v>
      </c>
      <c r="N1443" s="34">
        <f>TablaSTOCKINV[[#This Row],[ENTRADAS]]-TablaSTOCKINV[[#This Row],[SALIDAS]]</f>
        <v>1</v>
      </c>
      <c r="O1443" s="35">
        <f>SUMIFS(TablaENTRADA[CANT],TablaENTRADA[SKU],TablaSTOCKINV[[#This Row],[SKU]])</f>
        <v>1</v>
      </c>
      <c r="P1443" s="35">
        <f>SUMIFS(TablaSALIDA[CANT],TablaSALIDA[SKU],TablaSTOCKINV[[#This Row],[SKU]])</f>
        <v>0</v>
      </c>
      <c r="Q1443" s="34">
        <f>_xlfn.XLOOKUP(TablaSTOCKINV[[#This Row],[SKU]],TablaINVENTARIO[SKU],TablaINVENTARIO[PRECIO])</f>
        <v>0</v>
      </c>
      <c r="R1443" s="34">
        <f>TablaSTOCKINV[[#This Row],[P.UNITARIO]]*TablaSTOCKINV[[#This Row],[CANT. TOTAL]]</f>
        <v>0</v>
      </c>
      <c r="S1443" s="44">
        <f>_xlfn.XLOOKUP(TablaSTOCKINV[[#This Row],[SKU]],TablaINVENTARIO[SKU],TablaINVENTARIO[FECHA INGRESO])</f>
        <v>46023</v>
      </c>
      <c r="T1443" s="44">
        <f>_xlfn.XLOOKUP(TablaSTOCKINV[[#This Row],[SKU]],TablaENTRADA[SKU],TablaENTRADA[FECHA],,0,-1)</f>
        <v>46023</v>
      </c>
      <c r="U1443" s="46" t="str">
        <f>IFERROR((_xlfn.XLOOKUP(TablaSTOCKINV[[#This Row],[SKU]],TablaSALIDA[SKU],TablaSALIDA[FECHA],,0,-1))," " )</f>
        <v xml:space="preserve"> </v>
      </c>
    </row>
    <row r="1444" spans="1:21" x14ac:dyDescent="0.3">
      <c r="A1444" s="27" t="s">
        <v>3467</v>
      </c>
      <c r="B1444" s="32" t="str">
        <f>_xlfn.XLOOKUP(TablaSTOCKINV[[#This Row],[SKU]],TablaINVENTARIO[SKU],TablaINVENTARIO[DESCRIPCION])</f>
        <v>TINTA COLOR MAGENTA</v>
      </c>
      <c r="C1444" s="32" t="str">
        <f>_xlfn.XLOOKUP(TablaSTOCKINV[[#This Row],[SKU]],TablaINVENTARIO[SKU],TablaINVENTARIO[MARCA])</f>
        <v xml:space="preserve">BULK INK </v>
      </c>
      <c r="D1444" s="33" t="str">
        <f>_xlfn.XLOOKUP(TablaSTOCKINV[[#This Row],[SKU]],TablaINVENTARIO[SKU],TablaINVENTARIO[CATEGORIA])</f>
        <v>CONSUMIBLES</v>
      </c>
      <c r="E1444" s="33" t="str">
        <f>_xlfn.XLOOKUP(TablaSTOCKINV[[#This Row],[SKU]],TablaINVENTARIO[SKU],TablaINVENTARIO[SUBCATEGORIA])</f>
        <v xml:space="preserve">PAPELERIA </v>
      </c>
      <c r="F1444" s="33" t="str">
        <f>_xlfn.XLOOKUP(TablaSTOCKINV[[#This Row],[SKU]],TablaINVENTARIO[SKU],TablaINVENTARIO[ESTADO])</f>
        <v>USADA</v>
      </c>
      <c r="G1444" s="33" t="str">
        <f>_xlfn.XLOOKUP(TablaSTOCKINV[[#This Row],[SKU]],TablaINVENTARIO[SKU],TablaINVENTARIO[MEDIDA])</f>
        <v>UND</v>
      </c>
      <c r="H1444" s="33" t="str">
        <f>_xlfn.XLOOKUP(TablaSTOCKINV[[#This Row],[SKU]],TablaINVENTARIO[SKU],TablaINVENTARIO[SERIAL])</f>
        <v>N/A</v>
      </c>
      <c r="I1444" s="34">
        <f>_xlfn.XLOOKUP(TablaSTOCKINV[[#This Row],[SKU]],TablaINVENTARIO[SKU],TablaINVENTARIO[ALMACEN])</f>
        <v>0</v>
      </c>
      <c r="J1444" s="34" t="str">
        <f>_xlfn.XLOOKUP(TablaSTOCKINV[[#This Row],[SKU]],TablaINVENTARIO[SKU],TablaINVENTARIO[UBICACION])</f>
        <v>C2</v>
      </c>
      <c r="K1444" s="34" t="str">
        <f>_xlfn.XLOOKUP(TablaSTOCKINV[[#This Row],[SKU]],TablaINVENTARIO[SKU],TablaINVENTARIO[DPTO RESPONSABLE])</f>
        <v>AIT</v>
      </c>
      <c r="L1444" s="53">
        <f>_xlfn.XLOOKUP(TablaSTOCKINV[[#This Row],[SKU]],TablaINVENTARIO[SKU],TablaINVENTARIO[RANGO MIN])</f>
        <v>0</v>
      </c>
      <c r="M1444" s="34" cm="1">
        <f t="array" ref="M1444">_xlfn.IFS(TablaSTOCKINV[[#This Row],[CANT. TOTAL]]&lt;=0,1,TablaSTOCKINV[[#This Row],[CANT. TOTAL]]&lt;=TablaSTOCKINV[[#This Row],[MIN]],2,TablaSTOCKINV[[#This Row],[CANT. TOTAL]]&gt;TablaSTOCKINV[[#This Row],[MIN]],3)</f>
        <v>3</v>
      </c>
      <c r="N1444" s="34">
        <f>TablaSTOCKINV[[#This Row],[ENTRADAS]]-TablaSTOCKINV[[#This Row],[SALIDAS]]</f>
        <v>1</v>
      </c>
      <c r="O1444" s="35">
        <f>SUMIFS(TablaENTRADA[CANT],TablaENTRADA[SKU],TablaSTOCKINV[[#This Row],[SKU]])</f>
        <v>1</v>
      </c>
      <c r="P1444" s="35">
        <f>SUMIFS(TablaSALIDA[CANT],TablaSALIDA[SKU],TablaSTOCKINV[[#This Row],[SKU]])</f>
        <v>0</v>
      </c>
      <c r="Q1444" s="34">
        <f>_xlfn.XLOOKUP(TablaSTOCKINV[[#This Row],[SKU]],TablaINVENTARIO[SKU],TablaINVENTARIO[PRECIO])</f>
        <v>0</v>
      </c>
      <c r="R1444" s="34">
        <f>TablaSTOCKINV[[#This Row],[P.UNITARIO]]*TablaSTOCKINV[[#This Row],[CANT. TOTAL]]</f>
        <v>0</v>
      </c>
      <c r="S1444" s="44">
        <f>_xlfn.XLOOKUP(TablaSTOCKINV[[#This Row],[SKU]],TablaINVENTARIO[SKU],TablaINVENTARIO[FECHA INGRESO])</f>
        <v>46023</v>
      </c>
      <c r="T1444" s="44">
        <f>_xlfn.XLOOKUP(TablaSTOCKINV[[#This Row],[SKU]],TablaENTRADA[SKU],TablaENTRADA[FECHA],,0,-1)</f>
        <v>46023</v>
      </c>
      <c r="U1444" s="46" t="str">
        <f>IFERROR((_xlfn.XLOOKUP(TablaSTOCKINV[[#This Row],[SKU]],TablaSALIDA[SKU],TablaSALIDA[FECHA],,0,-1))," " )</f>
        <v xml:space="preserve"> </v>
      </c>
    </row>
    <row r="1445" spans="1:21" x14ac:dyDescent="0.3">
      <c r="A1445" s="27" t="s">
        <v>3468</v>
      </c>
      <c r="B1445" s="32" t="str">
        <f>_xlfn.XLOOKUP(TablaSTOCKINV[[#This Row],[SKU]],TablaINVENTARIO[SKU],TablaINVENTARIO[DESCRIPCION])</f>
        <v xml:space="preserve">TINTA COLOR LIGHT MAGENTA </v>
      </c>
      <c r="C1445" s="32" t="str">
        <f>_xlfn.XLOOKUP(TablaSTOCKINV[[#This Row],[SKU]],TablaINVENTARIO[SKU],TablaINVENTARIO[MARCA])</f>
        <v xml:space="preserve">BULK INK </v>
      </c>
      <c r="D1445" s="33" t="str">
        <f>_xlfn.XLOOKUP(TablaSTOCKINV[[#This Row],[SKU]],TablaINVENTARIO[SKU],TablaINVENTARIO[CATEGORIA])</f>
        <v>CONSUMIBLES</v>
      </c>
      <c r="E1445" s="33" t="str">
        <f>_xlfn.XLOOKUP(TablaSTOCKINV[[#This Row],[SKU]],TablaINVENTARIO[SKU],TablaINVENTARIO[SUBCATEGORIA])</f>
        <v xml:space="preserve">PAPELERIA </v>
      </c>
      <c r="F1445" s="33" t="str">
        <f>_xlfn.XLOOKUP(TablaSTOCKINV[[#This Row],[SKU]],TablaINVENTARIO[SKU],TablaINVENTARIO[ESTADO])</f>
        <v>USADA</v>
      </c>
      <c r="G1445" s="33" t="str">
        <f>_xlfn.XLOOKUP(TablaSTOCKINV[[#This Row],[SKU]],TablaINVENTARIO[SKU],TablaINVENTARIO[MEDIDA])</f>
        <v>UND</v>
      </c>
      <c r="H1445" s="33" t="str">
        <f>_xlfn.XLOOKUP(TablaSTOCKINV[[#This Row],[SKU]],TablaINVENTARIO[SKU],TablaINVENTARIO[SERIAL])</f>
        <v>N/A</v>
      </c>
      <c r="I1445" s="34">
        <f>_xlfn.XLOOKUP(TablaSTOCKINV[[#This Row],[SKU]],TablaINVENTARIO[SKU],TablaINVENTARIO[ALMACEN])</f>
        <v>0</v>
      </c>
      <c r="J1445" s="34" t="str">
        <f>_xlfn.XLOOKUP(TablaSTOCKINV[[#This Row],[SKU]],TablaINVENTARIO[SKU],TablaINVENTARIO[UBICACION])</f>
        <v>C2</v>
      </c>
      <c r="K1445" s="34" t="str">
        <f>_xlfn.XLOOKUP(TablaSTOCKINV[[#This Row],[SKU]],TablaINVENTARIO[SKU],TablaINVENTARIO[DPTO RESPONSABLE])</f>
        <v>AIT</v>
      </c>
      <c r="L1445" s="53">
        <f>_xlfn.XLOOKUP(TablaSTOCKINV[[#This Row],[SKU]],TablaINVENTARIO[SKU],TablaINVENTARIO[RANGO MIN])</f>
        <v>0</v>
      </c>
      <c r="M1445" s="34" cm="1">
        <f t="array" ref="M1445">_xlfn.IFS(TablaSTOCKINV[[#This Row],[CANT. TOTAL]]&lt;=0,1,TablaSTOCKINV[[#This Row],[CANT. TOTAL]]&lt;=TablaSTOCKINV[[#This Row],[MIN]],2,TablaSTOCKINV[[#This Row],[CANT. TOTAL]]&gt;TablaSTOCKINV[[#This Row],[MIN]],3)</f>
        <v>3</v>
      </c>
      <c r="N1445" s="34">
        <f>TablaSTOCKINV[[#This Row],[ENTRADAS]]-TablaSTOCKINV[[#This Row],[SALIDAS]]</f>
        <v>1</v>
      </c>
      <c r="O1445" s="35">
        <f>SUMIFS(TablaENTRADA[CANT],TablaENTRADA[SKU],TablaSTOCKINV[[#This Row],[SKU]])</f>
        <v>1</v>
      </c>
      <c r="P1445" s="35">
        <f>SUMIFS(TablaSALIDA[CANT],TablaSALIDA[SKU],TablaSTOCKINV[[#This Row],[SKU]])</f>
        <v>0</v>
      </c>
      <c r="Q1445" s="34">
        <f>_xlfn.XLOOKUP(TablaSTOCKINV[[#This Row],[SKU]],TablaINVENTARIO[SKU],TablaINVENTARIO[PRECIO])</f>
        <v>0</v>
      </c>
      <c r="R1445" s="34">
        <f>TablaSTOCKINV[[#This Row],[P.UNITARIO]]*TablaSTOCKINV[[#This Row],[CANT. TOTAL]]</f>
        <v>0</v>
      </c>
      <c r="S1445" s="44">
        <f>_xlfn.XLOOKUP(TablaSTOCKINV[[#This Row],[SKU]],TablaINVENTARIO[SKU],TablaINVENTARIO[FECHA INGRESO])</f>
        <v>46023</v>
      </c>
      <c r="T1445" s="44">
        <f>_xlfn.XLOOKUP(TablaSTOCKINV[[#This Row],[SKU]],TablaENTRADA[SKU],TablaENTRADA[FECHA],,0,-1)</f>
        <v>46023</v>
      </c>
      <c r="U1445" s="46" t="str">
        <f>IFERROR((_xlfn.XLOOKUP(TablaSTOCKINV[[#This Row],[SKU]],TablaSALIDA[SKU],TablaSALIDA[FECHA],,0,-1))," " )</f>
        <v xml:space="preserve"> </v>
      </c>
    </row>
    <row r="1446" spans="1:21" x14ac:dyDescent="0.3">
      <c r="A1446" s="27" t="s">
        <v>3470</v>
      </c>
      <c r="B1446" s="32" t="str">
        <f>_xlfn.XLOOKUP(TablaSTOCKINV[[#This Row],[SKU]],TablaINVENTARIO[SKU],TablaINVENTARIO[DESCRIPCION])</f>
        <v xml:space="preserve">TINTA DE RECAMBIO MAGENTA 504 </v>
      </c>
      <c r="C1446" s="32" t="str">
        <f>_xlfn.XLOOKUP(TablaSTOCKINV[[#This Row],[SKU]],TablaINVENTARIO[SKU],TablaINVENTARIO[MARCA])</f>
        <v xml:space="preserve">MAXIPRINT </v>
      </c>
      <c r="D1446" s="33" t="str">
        <f>_xlfn.XLOOKUP(TablaSTOCKINV[[#This Row],[SKU]],TablaINVENTARIO[SKU],TablaINVENTARIO[CATEGORIA])</f>
        <v>CONSUMIBLES</v>
      </c>
      <c r="E1446" s="33" t="str">
        <f>_xlfn.XLOOKUP(TablaSTOCKINV[[#This Row],[SKU]],TablaINVENTARIO[SKU],TablaINVENTARIO[SUBCATEGORIA])</f>
        <v xml:space="preserve">PAPELERIA </v>
      </c>
      <c r="F1446" s="33" t="str">
        <f>_xlfn.XLOOKUP(TablaSTOCKINV[[#This Row],[SKU]],TablaINVENTARIO[SKU],TablaINVENTARIO[ESTADO])</f>
        <v xml:space="preserve">NUEVO </v>
      </c>
      <c r="G1446" s="33" t="str">
        <f>_xlfn.XLOOKUP(TablaSTOCKINV[[#This Row],[SKU]],TablaINVENTARIO[SKU],TablaINVENTARIO[MEDIDA])</f>
        <v>UND</v>
      </c>
      <c r="H1446" s="33" t="str">
        <f>_xlfn.XLOOKUP(TablaSTOCKINV[[#This Row],[SKU]],TablaINVENTARIO[SKU],TablaINVENTARIO[SERIAL])</f>
        <v>N/A</v>
      </c>
      <c r="I1446" s="34">
        <f>_xlfn.XLOOKUP(TablaSTOCKINV[[#This Row],[SKU]],TablaINVENTARIO[SKU],TablaINVENTARIO[ALMACEN])</f>
        <v>0</v>
      </c>
      <c r="J1446" s="34" t="str">
        <f>_xlfn.XLOOKUP(TablaSTOCKINV[[#This Row],[SKU]],TablaINVENTARIO[SKU],TablaINVENTARIO[UBICACION])</f>
        <v>C3</v>
      </c>
      <c r="K1446" s="34" t="str">
        <f>_xlfn.XLOOKUP(TablaSTOCKINV[[#This Row],[SKU]],TablaINVENTARIO[SKU],TablaINVENTARIO[DPTO RESPONSABLE])</f>
        <v>AIT</v>
      </c>
      <c r="L1446" s="53">
        <f>_xlfn.XLOOKUP(TablaSTOCKINV[[#This Row],[SKU]],TablaINVENTARIO[SKU],TablaINVENTARIO[RANGO MIN])</f>
        <v>0</v>
      </c>
      <c r="M1446" s="34" cm="1">
        <f t="array" ref="M1446">_xlfn.IFS(TablaSTOCKINV[[#This Row],[CANT. TOTAL]]&lt;=0,1,TablaSTOCKINV[[#This Row],[CANT. TOTAL]]&lt;=TablaSTOCKINV[[#This Row],[MIN]],2,TablaSTOCKINV[[#This Row],[CANT. TOTAL]]&gt;TablaSTOCKINV[[#This Row],[MIN]],3)</f>
        <v>3</v>
      </c>
      <c r="N1446" s="34">
        <f>TablaSTOCKINV[[#This Row],[ENTRADAS]]-TablaSTOCKINV[[#This Row],[SALIDAS]]</f>
        <v>1</v>
      </c>
      <c r="O1446" s="35">
        <f>SUMIFS(TablaENTRADA[CANT],TablaENTRADA[SKU],TablaSTOCKINV[[#This Row],[SKU]])</f>
        <v>1</v>
      </c>
      <c r="P1446" s="35">
        <f>SUMIFS(TablaSALIDA[CANT],TablaSALIDA[SKU],TablaSTOCKINV[[#This Row],[SKU]])</f>
        <v>0</v>
      </c>
      <c r="Q1446" s="34">
        <f>_xlfn.XLOOKUP(TablaSTOCKINV[[#This Row],[SKU]],TablaINVENTARIO[SKU],TablaINVENTARIO[PRECIO])</f>
        <v>0</v>
      </c>
      <c r="R1446" s="34">
        <f>TablaSTOCKINV[[#This Row],[P.UNITARIO]]*TablaSTOCKINV[[#This Row],[CANT. TOTAL]]</f>
        <v>0</v>
      </c>
      <c r="S1446" s="44">
        <f>_xlfn.XLOOKUP(TablaSTOCKINV[[#This Row],[SKU]],TablaINVENTARIO[SKU],TablaINVENTARIO[FECHA INGRESO])</f>
        <v>46023</v>
      </c>
      <c r="T1446" s="44">
        <f>_xlfn.XLOOKUP(TablaSTOCKINV[[#This Row],[SKU]],TablaENTRADA[SKU],TablaENTRADA[FECHA],,0,-1)</f>
        <v>46023</v>
      </c>
      <c r="U1446" s="46" t="str">
        <f>IFERROR((_xlfn.XLOOKUP(TablaSTOCKINV[[#This Row],[SKU]],TablaSALIDA[SKU],TablaSALIDA[FECHA],,0,-1))," " )</f>
        <v xml:space="preserve"> </v>
      </c>
    </row>
    <row r="1447" spans="1:21" x14ac:dyDescent="0.3">
      <c r="A1447" s="27" t="s">
        <v>3472</v>
      </c>
      <c r="B1447" s="32" t="str">
        <f>_xlfn.XLOOKUP(TablaSTOCKINV[[#This Row],[SKU]],TablaINVENTARIO[SKU],TablaINVENTARIO[DESCRIPCION])</f>
        <v xml:space="preserve">TINTA DE RECAMBIO YELLOW 504 </v>
      </c>
      <c r="C1447" s="32" t="str">
        <f>_xlfn.XLOOKUP(TablaSTOCKINV[[#This Row],[SKU]],TablaINVENTARIO[SKU],TablaINVENTARIO[MARCA])</f>
        <v xml:space="preserve">MAXIPRINT </v>
      </c>
      <c r="D1447" s="33" t="str">
        <f>_xlfn.XLOOKUP(TablaSTOCKINV[[#This Row],[SKU]],TablaINVENTARIO[SKU],TablaINVENTARIO[CATEGORIA])</f>
        <v>CONSUMIBLES</v>
      </c>
      <c r="E1447" s="33" t="str">
        <f>_xlfn.XLOOKUP(TablaSTOCKINV[[#This Row],[SKU]],TablaINVENTARIO[SKU],TablaINVENTARIO[SUBCATEGORIA])</f>
        <v xml:space="preserve">PAPELERIA </v>
      </c>
      <c r="F1447" s="33" t="str">
        <f>_xlfn.XLOOKUP(TablaSTOCKINV[[#This Row],[SKU]],TablaINVENTARIO[SKU],TablaINVENTARIO[ESTADO])</f>
        <v xml:space="preserve">NUEVO </v>
      </c>
      <c r="G1447" s="33" t="str">
        <f>_xlfn.XLOOKUP(TablaSTOCKINV[[#This Row],[SKU]],TablaINVENTARIO[SKU],TablaINVENTARIO[MEDIDA])</f>
        <v>UND</v>
      </c>
      <c r="H1447" s="33" t="str">
        <f>_xlfn.XLOOKUP(TablaSTOCKINV[[#This Row],[SKU]],TablaINVENTARIO[SKU],TablaINVENTARIO[SERIAL])</f>
        <v>N/A</v>
      </c>
      <c r="I1447" s="34">
        <f>_xlfn.XLOOKUP(TablaSTOCKINV[[#This Row],[SKU]],TablaINVENTARIO[SKU],TablaINVENTARIO[ALMACEN])</f>
        <v>0</v>
      </c>
      <c r="J1447" s="34" t="str">
        <f>_xlfn.XLOOKUP(TablaSTOCKINV[[#This Row],[SKU]],TablaINVENTARIO[SKU],TablaINVENTARIO[UBICACION])</f>
        <v>C3</v>
      </c>
      <c r="K1447" s="34" t="str">
        <f>_xlfn.XLOOKUP(TablaSTOCKINV[[#This Row],[SKU]],TablaINVENTARIO[SKU],TablaINVENTARIO[DPTO RESPONSABLE])</f>
        <v>AIT</v>
      </c>
      <c r="L1447" s="53">
        <f>_xlfn.XLOOKUP(TablaSTOCKINV[[#This Row],[SKU]],TablaINVENTARIO[SKU],TablaINVENTARIO[RANGO MIN])</f>
        <v>0</v>
      </c>
      <c r="M1447" s="34" cm="1">
        <f t="array" ref="M1447">_xlfn.IFS(TablaSTOCKINV[[#This Row],[CANT. TOTAL]]&lt;=0,1,TablaSTOCKINV[[#This Row],[CANT. TOTAL]]&lt;=TablaSTOCKINV[[#This Row],[MIN]],2,TablaSTOCKINV[[#This Row],[CANT. TOTAL]]&gt;TablaSTOCKINV[[#This Row],[MIN]],3)</f>
        <v>3</v>
      </c>
      <c r="N1447" s="34">
        <f>TablaSTOCKINV[[#This Row],[ENTRADAS]]-TablaSTOCKINV[[#This Row],[SALIDAS]]</f>
        <v>2</v>
      </c>
      <c r="O1447" s="35">
        <f>SUMIFS(TablaENTRADA[CANT],TablaENTRADA[SKU],TablaSTOCKINV[[#This Row],[SKU]])</f>
        <v>2</v>
      </c>
      <c r="P1447" s="35">
        <f>SUMIFS(TablaSALIDA[CANT],TablaSALIDA[SKU],TablaSTOCKINV[[#This Row],[SKU]])</f>
        <v>0</v>
      </c>
      <c r="Q1447" s="34">
        <f>_xlfn.XLOOKUP(TablaSTOCKINV[[#This Row],[SKU]],TablaINVENTARIO[SKU],TablaINVENTARIO[PRECIO])</f>
        <v>0</v>
      </c>
      <c r="R1447" s="34">
        <f>TablaSTOCKINV[[#This Row],[P.UNITARIO]]*TablaSTOCKINV[[#This Row],[CANT. TOTAL]]</f>
        <v>0</v>
      </c>
      <c r="S1447" s="44">
        <f>_xlfn.XLOOKUP(TablaSTOCKINV[[#This Row],[SKU]],TablaINVENTARIO[SKU],TablaINVENTARIO[FECHA INGRESO])</f>
        <v>46023</v>
      </c>
      <c r="T1447" s="44">
        <f>_xlfn.XLOOKUP(TablaSTOCKINV[[#This Row],[SKU]],TablaENTRADA[SKU],TablaENTRADA[FECHA],,0,-1)</f>
        <v>46023</v>
      </c>
      <c r="U1447" s="46" t="str">
        <f>IFERROR((_xlfn.XLOOKUP(TablaSTOCKINV[[#This Row],[SKU]],TablaSALIDA[SKU],TablaSALIDA[FECHA],,0,-1))," " )</f>
        <v xml:space="preserve"> </v>
      </c>
    </row>
    <row r="1448" spans="1:21" x14ac:dyDescent="0.3">
      <c r="A1448" s="27" t="s">
        <v>3474</v>
      </c>
      <c r="B1448" s="32" t="str">
        <f>_xlfn.XLOOKUP(TablaSTOCKINV[[#This Row],[SKU]],TablaINVENTARIO[SKU],TablaINVENTARIO[DESCRIPCION])</f>
        <v xml:space="preserve">TINTA DE RECAMBIO CYAN 504 </v>
      </c>
      <c r="C1448" s="32" t="str">
        <f>_xlfn.XLOOKUP(TablaSTOCKINV[[#This Row],[SKU]],TablaINVENTARIO[SKU],TablaINVENTARIO[MARCA])</f>
        <v xml:space="preserve">MAXIPRINT </v>
      </c>
      <c r="D1448" s="33" t="str">
        <f>_xlfn.XLOOKUP(TablaSTOCKINV[[#This Row],[SKU]],TablaINVENTARIO[SKU],TablaINVENTARIO[CATEGORIA])</f>
        <v>CONSUMIBLES</v>
      </c>
      <c r="E1448" s="33" t="str">
        <f>_xlfn.XLOOKUP(TablaSTOCKINV[[#This Row],[SKU]],TablaINVENTARIO[SKU],TablaINVENTARIO[SUBCATEGORIA])</f>
        <v xml:space="preserve">PAPELERIA </v>
      </c>
      <c r="F1448" s="33" t="str">
        <f>_xlfn.XLOOKUP(TablaSTOCKINV[[#This Row],[SKU]],TablaINVENTARIO[SKU],TablaINVENTARIO[ESTADO])</f>
        <v xml:space="preserve">NUEVO </v>
      </c>
      <c r="G1448" s="33" t="str">
        <f>_xlfn.XLOOKUP(TablaSTOCKINV[[#This Row],[SKU]],TablaINVENTARIO[SKU],TablaINVENTARIO[MEDIDA])</f>
        <v>UND</v>
      </c>
      <c r="H1448" s="33" t="str">
        <f>_xlfn.XLOOKUP(TablaSTOCKINV[[#This Row],[SKU]],TablaINVENTARIO[SKU],TablaINVENTARIO[SERIAL])</f>
        <v>N/A</v>
      </c>
      <c r="I1448" s="34">
        <f>_xlfn.XLOOKUP(TablaSTOCKINV[[#This Row],[SKU]],TablaINVENTARIO[SKU],TablaINVENTARIO[ALMACEN])</f>
        <v>0</v>
      </c>
      <c r="J1448" s="34" t="str">
        <f>_xlfn.XLOOKUP(TablaSTOCKINV[[#This Row],[SKU]],TablaINVENTARIO[SKU],TablaINVENTARIO[UBICACION])</f>
        <v>C3</v>
      </c>
      <c r="K1448" s="34" t="str">
        <f>_xlfn.XLOOKUP(TablaSTOCKINV[[#This Row],[SKU]],TablaINVENTARIO[SKU],TablaINVENTARIO[DPTO RESPONSABLE])</f>
        <v>AIT</v>
      </c>
      <c r="L1448" s="53">
        <f>_xlfn.XLOOKUP(TablaSTOCKINV[[#This Row],[SKU]],TablaINVENTARIO[SKU],TablaINVENTARIO[RANGO MIN])</f>
        <v>0</v>
      </c>
      <c r="M1448" s="34" cm="1">
        <f t="array" ref="M1448">_xlfn.IFS(TablaSTOCKINV[[#This Row],[CANT. TOTAL]]&lt;=0,1,TablaSTOCKINV[[#This Row],[CANT. TOTAL]]&lt;=TablaSTOCKINV[[#This Row],[MIN]],2,TablaSTOCKINV[[#This Row],[CANT. TOTAL]]&gt;TablaSTOCKINV[[#This Row],[MIN]],3)</f>
        <v>3</v>
      </c>
      <c r="N1448" s="34">
        <f>TablaSTOCKINV[[#This Row],[ENTRADAS]]-TablaSTOCKINV[[#This Row],[SALIDAS]]</f>
        <v>2</v>
      </c>
      <c r="O1448" s="35">
        <f>SUMIFS(TablaENTRADA[CANT],TablaENTRADA[SKU],TablaSTOCKINV[[#This Row],[SKU]])</f>
        <v>2</v>
      </c>
      <c r="P1448" s="35">
        <f>SUMIFS(TablaSALIDA[CANT],TablaSALIDA[SKU],TablaSTOCKINV[[#This Row],[SKU]])</f>
        <v>0</v>
      </c>
      <c r="Q1448" s="34">
        <f>_xlfn.XLOOKUP(TablaSTOCKINV[[#This Row],[SKU]],TablaINVENTARIO[SKU],TablaINVENTARIO[PRECIO])</f>
        <v>0</v>
      </c>
      <c r="R1448" s="34">
        <f>TablaSTOCKINV[[#This Row],[P.UNITARIO]]*TablaSTOCKINV[[#This Row],[CANT. TOTAL]]</f>
        <v>0</v>
      </c>
      <c r="S1448" s="44">
        <f>_xlfn.XLOOKUP(TablaSTOCKINV[[#This Row],[SKU]],TablaINVENTARIO[SKU],TablaINVENTARIO[FECHA INGRESO])</f>
        <v>46023</v>
      </c>
      <c r="T1448" s="44">
        <f>_xlfn.XLOOKUP(TablaSTOCKINV[[#This Row],[SKU]],TablaENTRADA[SKU],TablaENTRADA[FECHA],,0,-1)</f>
        <v>46023</v>
      </c>
      <c r="U1448" s="46" t="str">
        <f>IFERROR((_xlfn.XLOOKUP(TablaSTOCKINV[[#This Row],[SKU]],TablaSALIDA[SKU],TablaSALIDA[FECHA],,0,-1))," " )</f>
        <v xml:space="preserve"> </v>
      </c>
    </row>
    <row r="1449" spans="1:21" x14ac:dyDescent="0.3">
      <c r="A1449" s="27" t="s">
        <v>3476</v>
      </c>
      <c r="B1449" s="32" t="str">
        <f>_xlfn.XLOOKUP(TablaSTOCKINV[[#This Row],[SKU]],TablaINVENTARIO[SKU],TablaINVENTARIO[DESCRIPCION])</f>
        <v xml:space="preserve">TINTA DE RECAMBIO BLACK 504 </v>
      </c>
      <c r="C1449" s="32" t="str">
        <f>_xlfn.XLOOKUP(TablaSTOCKINV[[#This Row],[SKU]],TablaINVENTARIO[SKU],TablaINVENTARIO[MARCA])</f>
        <v xml:space="preserve">MAXIPRINT </v>
      </c>
      <c r="D1449" s="33" t="str">
        <f>_xlfn.XLOOKUP(TablaSTOCKINV[[#This Row],[SKU]],TablaINVENTARIO[SKU],TablaINVENTARIO[CATEGORIA])</f>
        <v>CONSUMIBLES</v>
      </c>
      <c r="E1449" s="33" t="str">
        <f>_xlfn.XLOOKUP(TablaSTOCKINV[[#This Row],[SKU]],TablaINVENTARIO[SKU],TablaINVENTARIO[SUBCATEGORIA])</f>
        <v xml:space="preserve">PAPELERIA </v>
      </c>
      <c r="F1449" s="33" t="str">
        <f>_xlfn.XLOOKUP(TablaSTOCKINV[[#This Row],[SKU]],TablaINVENTARIO[SKU],TablaINVENTARIO[ESTADO])</f>
        <v xml:space="preserve">NUEVO </v>
      </c>
      <c r="G1449" s="33" t="str">
        <f>_xlfn.XLOOKUP(TablaSTOCKINV[[#This Row],[SKU]],TablaINVENTARIO[SKU],TablaINVENTARIO[MEDIDA])</f>
        <v>UND</v>
      </c>
      <c r="H1449" s="33" t="str">
        <f>_xlfn.XLOOKUP(TablaSTOCKINV[[#This Row],[SKU]],TablaINVENTARIO[SKU],TablaINVENTARIO[SERIAL])</f>
        <v>N/A</v>
      </c>
      <c r="I1449" s="34">
        <f>_xlfn.XLOOKUP(TablaSTOCKINV[[#This Row],[SKU]],TablaINVENTARIO[SKU],TablaINVENTARIO[ALMACEN])</f>
        <v>0</v>
      </c>
      <c r="J1449" s="34" t="str">
        <f>_xlfn.XLOOKUP(TablaSTOCKINV[[#This Row],[SKU]],TablaINVENTARIO[SKU],TablaINVENTARIO[UBICACION])</f>
        <v>C3</v>
      </c>
      <c r="K1449" s="34" t="str">
        <f>_xlfn.XLOOKUP(TablaSTOCKINV[[#This Row],[SKU]],TablaINVENTARIO[SKU],TablaINVENTARIO[DPTO RESPONSABLE])</f>
        <v>AIT</v>
      </c>
      <c r="L1449" s="53">
        <f>_xlfn.XLOOKUP(TablaSTOCKINV[[#This Row],[SKU]],TablaINVENTARIO[SKU],TablaINVENTARIO[RANGO MIN])</f>
        <v>0</v>
      </c>
      <c r="M1449" s="34" cm="1">
        <f t="array" ref="M1449">_xlfn.IFS(TablaSTOCKINV[[#This Row],[CANT. TOTAL]]&lt;=0,1,TablaSTOCKINV[[#This Row],[CANT. TOTAL]]&lt;=TablaSTOCKINV[[#This Row],[MIN]],2,TablaSTOCKINV[[#This Row],[CANT. TOTAL]]&gt;TablaSTOCKINV[[#This Row],[MIN]],3)</f>
        <v>3</v>
      </c>
      <c r="N1449" s="34">
        <f>TablaSTOCKINV[[#This Row],[ENTRADAS]]-TablaSTOCKINV[[#This Row],[SALIDAS]]</f>
        <v>1</v>
      </c>
      <c r="O1449" s="35">
        <f>SUMIFS(TablaENTRADA[CANT],TablaENTRADA[SKU],TablaSTOCKINV[[#This Row],[SKU]])</f>
        <v>1</v>
      </c>
      <c r="P1449" s="35">
        <f>SUMIFS(TablaSALIDA[CANT],TablaSALIDA[SKU],TablaSTOCKINV[[#This Row],[SKU]])</f>
        <v>0</v>
      </c>
      <c r="Q1449" s="34">
        <f>_xlfn.XLOOKUP(TablaSTOCKINV[[#This Row],[SKU]],TablaINVENTARIO[SKU],TablaINVENTARIO[PRECIO])</f>
        <v>0</v>
      </c>
      <c r="R1449" s="34">
        <f>TablaSTOCKINV[[#This Row],[P.UNITARIO]]*TablaSTOCKINV[[#This Row],[CANT. TOTAL]]</f>
        <v>0</v>
      </c>
      <c r="S1449" s="44">
        <f>_xlfn.XLOOKUP(TablaSTOCKINV[[#This Row],[SKU]],TablaINVENTARIO[SKU],TablaINVENTARIO[FECHA INGRESO])</f>
        <v>46023</v>
      </c>
      <c r="T1449" s="44">
        <f>_xlfn.XLOOKUP(TablaSTOCKINV[[#This Row],[SKU]],TablaENTRADA[SKU],TablaENTRADA[FECHA],,0,-1)</f>
        <v>46023</v>
      </c>
      <c r="U1449" s="46" t="str">
        <f>IFERROR((_xlfn.XLOOKUP(TablaSTOCKINV[[#This Row],[SKU]],TablaSALIDA[SKU],TablaSALIDA[FECHA],,0,-1))," " )</f>
        <v xml:space="preserve"> </v>
      </c>
    </row>
    <row r="1450" spans="1:21" x14ac:dyDescent="0.3">
      <c r="A1450" s="27" t="s">
        <v>3478</v>
      </c>
      <c r="B1450" s="32" t="str">
        <f>_xlfn.XLOOKUP(TablaSTOCKINV[[#This Row],[SKU]],TablaINVENTARIO[SKU],TablaINVENTARIO[DESCRIPCION])</f>
        <v>BATERIA 9V</v>
      </c>
      <c r="C1450" s="32" t="str">
        <f>_xlfn.XLOOKUP(TablaSTOCKINV[[#This Row],[SKU]],TablaINVENTARIO[SKU],TablaINVENTARIO[MARCA])</f>
        <v xml:space="preserve">LUMISTAR </v>
      </c>
      <c r="D1450" s="33" t="str">
        <f>_xlfn.XLOOKUP(TablaSTOCKINV[[#This Row],[SKU]],TablaINVENTARIO[SKU],TablaINVENTARIO[CATEGORIA])</f>
        <v>CONSUMIBLES</v>
      </c>
      <c r="E1450" s="33" t="str">
        <f>_xlfn.XLOOKUP(TablaSTOCKINV[[#This Row],[SKU]],TablaINVENTARIO[SKU],TablaINVENTARIO[SUBCATEGORIA])</f>
        <v>PILAS</v>
      </c>
      <c r="F1450" s="33" t="str">
        <f>_xlfn.XLOOKUP(TablaSTOCKINV[[#This Row],[SKU]],TablaINVENTARIO[SKU],TablaINVENTARIO[ESTADO])</f>
        <v xml:space="preserve">NUEVO </v>
      </c>
      <c r="G1450" s="33" t="str">
        <f>_xlfn.XLOOKUP(TablaSTOCKINV[[#This Row],[SKU]],TablaINVENTARIO[SKU],TablaINVENTARIO[MEDIDA])</f>
        <v>UND</v>
      </c>
      <c r="H1450" s="33" t="str">
        <f>_xlfn.XLOOKUP(TablaSTOCKINV[[#This Row],[SKU]],TablaINVENTARIO[SKU],TablaINVENTARIO[SERIAL])</f>
        <v>N/A</v>
      </c>
      <c r="I1450" s="34">
        <f>_xlfn.XLOOKUP(TablaSTOCKINV[[#This Row],[SKU]],TablaINVENTARIO[SKU],TablaINVENTARIO[ALMACEN])</f>
        <v>0</v>
      </c>
      <c r="J1450" s="34" t="str">
        <f>_xlfn.XLOOKUP(TablaSTOCKINV[[#This Row],[SKU]],TablaINVENTARIO[SKU],TablaINVENTARIO[UBICACION])</f>
        <v>C4</v>
      </c>
      <c r="K1450" s="34" t="str">
        <f>_xlfn.XLOOKUP(TablaSTOCKINV[[#This Row],[SKU]],TablaINVENTARIO[SKU],TablaINVENTARIO[DPTO RESPONSABLE])</f>
        <v xml:space="preserve">CONSUMO GENERAL </v>
      </c>
      <c r="L1450" s="53">
        <f>_xlfn.XLOOKUP(TablaSTOCKINV[[#This Row],[SKU]],TablaINVENTARIO[SKU],TablaINVENTARIO[RANGO MIN])</f>
        <v>0</v>
      </c>
      <c r="M1450" s="34" cm="1">
        <f t="array" ref="M1450">_xlfn.IFS(TablaSTOCKINV[[#This Row],[CANT. TOTAL]]&lt;=0,1,TablaSTOCKINV[[#This Row],[CANT. TOTAL]]&lt;=TablaSTOCKINV[[#This Row],[MIN]],2,TablaSTOCKINV[[#This Row],[CANT. TOTAL]]&gt;TablaSTOCKINV[[#This Row],[MIN]],3)</f>
        <v>3</v>
      </c>
      <c r="N1450" s="34">
        <f>TablaSTOCKINV[[#This Row],[ENTRADAS]]-TablaSTOCKINV[[#This Row],[SALIDAS]]</f>
        <v>5</v>
      </c>
      <c r="O1450" s="35">
        <f>SUMIFS(TablaENTRADA[CANT],TablaENTRADA[SKU],TablaSTOCKINV[[#This Row],[SKU]])</f>
        <v>5</v>
      </c>
      <c r="P1450" s="35">
        <f>SUMIFS(TablaSALIDA[CANT],TablaSALIDA[SKU],TablaSTOCKINV[[#This Row],[SKU]])</f>
        <v>0</v>
      </c>
      <c r="Q1450" s="34">
        <f>_xlfn.XLOOKUP(TablaSTOCKINV[[#This Row],[SKU]],TablaINVENTARIO[SKU],TablaINVENTARIO[PRECIO])</f>
        <v>0</v>
      </c>
      <c r="R1450" s="34">
        <f>TablaSTOCKINV[[#This Row],[P.UNITARIO]]*TablaSTOCKINV[[#This Row],[CANT. TOTAL]]</f>
        <v>0</v>
      </c>
      <c r="S1450" s="44">
        <f>_xlfn.XLOOKUP(TablaSTOCKINV[[#This Row],[SKU]],TablaINVENTARIO[SKU],TablaINVENTARIO[FECHA INGRESO])</f>
        <v>46023</v>
      </c>
      <c r="T1450" s="44">
        <f>_xlfn.XLOOKUP(TablaSTOCKINV[[#This Row],[SKU]],TablaENTRADA[SKU],TablaENTRADA[FECHA],,0,-1)</f>
        <v>46023</v>
      </c>
      <c r="U1450" s="46" t="str">
        <f>IFERROR((_xlfn.XLOOKUP(TablaSTOCKINV[[#This Row],[SKU]],TablaSALIDA[SKU],TablaSALIDA[FECHA],,0,-1))," " )</f>
        <v xml:space="preserve"> </v>
      </c>
    </row>
    <row r="1451" spans="1:21" x14ac:dyDescent="0.3">
      <c r="A1451" s="27" t="s">
        <v>3482</v>
      </c>
      <c r="B1451" s="32" t="str">
        <f>_xlfn.XLOOKUP(TablaSTOCKINV[[#This Row],[SKU]],TablaINVENTARIO[SKU],TablaINVENTARIO[DESCRIPCION])</f>
        <v xml:space="preserve">BATERIA 9V </v>
      </c>
      <c r="C1451" s="32" t="str">
        <f>_xlfn.XLOOKUP(TablaSTOCKINV[[#This Row],[SKU]],TablaINVENTARIO[SKU],TablaINVENTARIO[MARCA])</f>
        <v>EBL</v>
      </c>
      <c r="D1451" s="33" t="str">
        <f>_xlfn.XLOOKUP(TablaSTOCKINV[[#This Row],[SKU]],TablaINVENTARIO[SKU],TablaINVENTARIO[CATEGORIA])</f>
        <v>CONSUMIBLES</v>
      </c>
      <c r="E1451" s="33" t="str">
        <f>_xlfn.XLOOKUP(TablaSTOCKINV[[#This Row],[SKU]],TablaINVENTARIO[SKU],TablaINVENTARIO[SUBCATEGORIA])</f>
        <v>PILAS</v>
      </c>
      <c r="F1451" s="33" t="str">
        <f>_xlfn.XLOOKUP(TablaSTOCKINV[[#This Row],[SKU]],TablaINVENTARIO[SKU],TablaINVENTARIO[ESTADO])</f>
        <v xml:space="preserve">NUEVO </v>
      </c>
      <c r="G1451" s="33" t="str">
        <f>_xlfn.XLOOKUP(TablaSTOCKINV[[#This Row],[SKU]],TablaINVENTARIO[SKU],TablaINVENTARIO[MEDIDA])</f>
        <v>UND</v>
      </c>
      <c r="H1451" s="33" t="str">
        <f>_xlfn.XLOOKUP(TablaSTOCKINV[[#This Row],[SKU]],TablaINVENTARIO[SKU],TablaINVENTARIO[SERIAL])</f>
        <v>N/A</v>
      </c>
      <c r="I1451" s="34">
        <f>_xlfn.XLOOKUP(TablaSTOCKINV[[#This Row],[SKU]],TablaINVENTARIO[SKU],TablaINVENTARIO[ALMACEN])</f>
        <v>0</v>
      </c>
      <c r="J1451" s="34" t="str">
        <f>_xlfn.XLOOKUP(TablaSTOCKINV[[#This Row],[SKU]],TablaINVENTARIO[SKU],TablaINVENTARIO[UBICACION])</f>
        <v>C4</v>
      </c>
      <c r="K1451" s="34" t="str">
        <f>_xlfn.XLOOKUP(TablaSTOCKINV[[#This Row],[SKU]],TablaINVENTARIO[SKU],TablaINVENTARIO[DPTO RESPONSABLE])</f>
        <v xml:space="preserve">CONSUMO GENERAL </v>
      </c>
      <c r="L1451" s="53">
        <f>_xlfn.XLOOKUP(TablaSTOCKINV[[#This Row],[SKU]],TablaINVENTARIO[SKU],TablaINVENTARIO[RANGO MIN])</f>
        <v>0</v>
      </c>
      <c r="M1451" s="34" cm="1">
        <f t="array" ref="M1451">_xlfn.IFS(TablaSTOCKINV[[#This Row],[CANT. TOTAL]]&lt;=0,1,TablaSTOCKINV[[#This Row],[CANT. TOTAL]]&lt;=TablaSTOCKINV[[#This Row],[MIN]],2,TablaSTOCKINV[[#This Row],[CANT. TOTAL]]&gt;TablaSTOCKINV[[#This Row],[MIN]],3)</f>
        <v>3</v>
      </c>
      <c r="N1451" s="34">
        <f>TablaSTOCKINV[[#This Row],[ENTRADAS]]-TablaSTOCKINV[[#This Row],[SALIDAS]]</f>
        <v>1</v>
      </c>
      <c r="O1451" s="35">
        <f>SUMIFS(TablaENTRADA[CANT],TablaENTRADA[SKU],TablaSTOCKINV[[#This Row],[SKU]])</f>
        <v>1</v>
      </c>
      <c r="P1451" s="35">
        <f>SUMIFS(TablaSALIDA[CANT],TablaSALIDA[SKU],TablaSTOCKINV[[#This Row],[SKU]])</f>
        <v>0</v>
      </c>
      <c r="Q1451" s="34">
        <f>_xlfn.XLOOKUP(TablaSTOCKINV[[#This Row],[SKU]],TablaINVENTARIO[SKU],TablaINVENTARIO[PRECIO])</f>
        <v>0</v>
      </c>
      <c r="R1451" s="34">
        <f>TablaSTOCKINV[[#This Row],[P.UNITARIO]]*TablaSTOCKINV[[#This Row],[CANT. TOTAL]]</f>
        <v>0</v>
      </c>
      <c r="S1451" s="44">
        <f>_xlfn.XLOOKUP(TablaSTOCKINV[[#This Row],[SKU]],TablaINVENTARIO[SKU],TablaINVENTARIO[FECHA INGRESO])</f>
        <v>46023</v>
      </c>
      <c r="T1451" s="44">
        <f>_xlfn.XLOOKUP(TablaSTOCKINV[[#This Row],[SKU]],TablaENTRADA[SKU],TablaENTRADA[FECHA],,0,-1)</f>
        <v>46023</v>
      </c>
      <c r="U1451" s="46" t="str">
        <f>IFERROR((_xlfn.XLOOKUP(TablaSTOCKINV[[#This Row],[SKU]],TablaSALIDA[SKU],TablaSALIDA[FECHA],,0,-1))," " )</f>
        <v xml:space="preserve"> </v>
      </c>
    </row>
    <row r="1452" spans="1:21" x14ac:dyDescent="0.3">
      <c r="A1452" s="27" t="s">
        <v>3485</v>
      </c>
      <c r="B1452" s="32" t="str">
        <f>_xlfn.XLOOKUP(TablaSTOCKINV[[#This Row],[SKU]],TablaINVENTARIO[SKU],TablaINVENTARIO[DESCRIPCION])</f>
        <v>PILA TAMAÑO D 13A - 1.5V</v>
      </c>
      <c r="C1452" s="32" t="str">
        <f>_xlfn.XLOOKUP(TablaSTOCKINV[[#This Row],[SKU]],TablaINVENTARIO[SKU],TablaINVENTARIO[MARCA])</f>
        <v xml:space="preserve">GP </v>
      </c>
      <c r="D1452" s="33" t="str">
        <f>_xlfn.XLOOKUP(TablaSTOCKINV[[#This Row],[SKU]],TablaINVENTARIO[SKU],TablaINVENTARIO[CATEGORIA])</f>
        <v>CONSUMIBLES</v>
      </c>
      <c r="E1452" s="33" t="str">
        <f>_xlfn.XLOOKUP(TablaSTOCKINV[[#This Row],[SKU]],TablaINVENTARIO[SKU],TablaINVENTARIO[SUBCATEGORIA])</f>
        <v>PILAS</v>
      </c>
      <c r="F1452" s="33" t="str">
        <f>_xlfn.XLOOKUP(TablaSTOCKINV[[#This Row],[SKU]],TablaINVENTARIO[SKU],TablaINVENTARIO[ESTADO])</f>
        <v xml:space="preserve">NUEVO </v>
      </c>
      <c r="G1452" s="33" t="str">
        <f>_xlfn.XLOOKUP(TablaSTOCKINV[[#This Row],[SKU]],TablaINVENTARIO[SKU],TablaINVENTARIO[MEDIDA])</f>
        <v>UND</v>
      </c>
      <c r="H1452" s="33" t="str">
        <f>_xlfn.XLOOKUP(TablaSTOCKINV[[#This Row],[SKU]],TablaINVENTARIO[SKU],TablaINVENTARIO[SERIAL])</f>
        <v>N/A</v>
      </c>
      <c r="I1452" s="34">
        <f>_xlfn.XLOOKUP(TablaSTOCKINV[[#This Row],[SKU]],TablaINVENTARIO[SKU],TablaINVENTARIO[ALMACEN])</f>
        <v>0</v>
      </c>
      <c r="J1452" s="34" t="str">
        <f>_xlfn.XLOOKUP(TablaSTOCKINV[[#This Row],[SKU]],TablaINVENTARIO[SKU],TablaINVENTARIO[UBICACION])</f>
        <v>C4</v>
      </c>
      <c r="K1452" s="34" t="str">
        <f>_xlfn.XLOOKUP(TablaSTOCKINV[[#This Row],[SKU]],TablaINVENTARIO[SKU],TablaINVENTARIO[DPTO RESPONSABLE])</f>
        <v xml:space="preserve">CONSUMO GENERAL </v>
      </c>
      <c r="L1452" s="53">
        <f>_xlfn.XLOOKUP(TablaSTOCKINV[[#This Row],[SKU]],TablaINVENTARIO[SKU],TablaINVENTARIO[RANGO MIN])</f>
        <v>0</v>
      </c>
      <c r="M1452" s="34" cm="1">
        <f t="array" ref="M1452">_xlfn.IFS(TablaSTOCKINV[[#This Row],[CANT. TOTAL]]&lt;=0,1,TablaSTOCKINV[[#This Row],[CANT. TOTAL]]&lt;=TablaSTOCKINV[[#This Row],[MIN]],2,TablaSTOCKINV[[#This Row],[CANT. TOTAL]]&gt;TablaSTOCKINV[[#This Row],[MIN]],3)</f>
        <v>3</v>
      </c>
      <c r="N1452" s="34">
        <f>TablaSTOCKINV[[#This Row],[ENTRADAS]]-TablaSTOCKINV[[#This Row],[SALIDAS]]</f>
        <v>6</v>
      </c>
      <c r="O1452" s="35">
        <f>SUMIFS(TablaENTRADA[CANT],TablaENTRADA[SKU],TablaSTOCKINV[[#This Row],[SKU]])</f>
        <v>6</v>
      </c>
      <c r="P1452" s="35">
        <f>SUMIFS(TablaSALIDA[CANT],TablaSALIDA[SKU],TablaSTOCKINV[[#This Row],[SKU]])</f>
        <v>0</v>
      </c>
      <c r="Q1452" s="34">
        <f>_xlfn.XLOOKUP(TablaSTOCKINV[[#This Row],[SKU]],TablaINVENTARIO[SKU],TablaINVENTARIO[PRECIO])</f>
        <v>0</v>
      </c>
      <c r="R1452" s="34">
        <f>TablaSTOCKINV[[#This Row],[P.UNITARIO]]*TablaSTOCKINV[[#This Row],[CANT. TOTAL]]</f>
        <v>0</v>
      </c>
      <c r="S1452" s="44">
        <f>_xlfn.XLOOKUP(TablaSTOCKINV[[#This Row],[SKU]],TablaINVENTARIO[SKU],TablaINVENTARIO[FECHA INGRESO])</f>
        <v>46023</v>
      </c>
      <c r="T1452" s="44">
        <f>_xlfn.XLOOKUP(TablaSTOCKINV[[#This Row],[SKU]],TablaENTRADA[SKU],TablaENTRADA[FECHA],,0,-1)</f>
        <v>46023</v>
      </c>
      <c r="U1452" s="46" t="str">
        <f>IFERROR((_xlfn.XLOOKUP(TablaSTOCKINV[[#This Row],[SKU]],TablaSALIDA[SKU],TablaSALIDA[FECHA],,0,-1))," " )</f>
        <v xml:space="preserve"> </v>
      </c>
    </row>
    <row r="1453" spans="1:21" x14ac:dyDescent="0.3">
      <c r="A1453" s="27" t="s">
        <v>3488</v>
      </c>
      <c r="B1453" s="32" t="str">
        <f>_xlfn.XLOOKUP(TablaSTOCKINV[[#This Row],[SKU]],TablaINVENTARIO[SKU],TablaINVENTARIO[DESCRIPCION])</f>
        <v xml:space="preserve">PILA MN27 27A - 12V </v>
      </c>
      <c r="C1453" s="32" t="str">
        <f>_xlfn.XLOOKUP(TablaSTOCKINV[[#This Row],[SKU]],TablaINVENTARIO[SKU],TablaINVENTARIO[MARCA])</f>
        <v xml:space="preserve">GP </v>
      </c>
      <c r="D1453" s="33" t="str">
        <f>_xlfn.XLOOKUP(TablaSTOCKINV[[#This Row],[SKU]],TablaINVENTARIO[SKU],TablaINVENTARIO[CATEGORIA])</f>
        <v>CONSUMIBLES</v>
      </c>
      <c r="E1453" s="33" t="str">
        <f>_xlfn.XLOOKUP(TablaSTOCKINV[[#This Row],[SKU]],TablaINVENTARIO[SKU],TablaINVENTARIO[SUBCATEGORIA])</f>
        <v>PILAS</v>
      </c>
      <c r="F1453" s="33" t="str">
        <f>_xlfn.XLOOKUP(TablaSTOCKINV[[#This Row],[SKU]],TablaINVENTARIO[SKU],TablaINVENTARIO[ESTADO])</f>
        <v xml:space="preserve">NUEVO </v>
      </c>
      <c r="G1453" s="33" t="str">
        <f>_xlfn.XLOOKUP(TablaSTOCKINV[[#This Row],[SKU]],TablaINVENTARIO[SKU],TablaINVENTARIO[MEDIDA])</f>
        <v>UND</v>
      </c>
      <c r="H1453" s="33" t="str">
        <f>_xlfn.XLOOKUP(TablaSTOCKINV[[#This Row],[SKU]],TablaINVENTARIO[SKU],TablaINVENTARIO[SERIAL])</f>
        <v>N/A</v>
      </c>
      <c r="I1453" s="34">
        <f>_xlfn.XLOOKUP(TablaSTOCKINV[[#This Row],[SKU]],TablaINVENTARIO[SKU],TablaINVENTARIO[ALMACEN])</f>
        <v>0</v>
      </c>
      <c r="J1453" s="34" t="str">
        <f>_xlfn.XLOOKUP(TablaSTOCKINV[[#This Row],[SKU]],TablaINVENTARIO[SKU],TablaINVENTARIO[UBICACION])</f>
        <v>C4</v>
      </c>
      <c r="K1453" s="34" t="str">
        <f>_xlfn.XLOOKUP(TablaSTOCKINV[[#This Row],[SKU]],TablaINVENTARIO[SKU],TablaINVENTARIO[DPTO RESPONSABLE])</f>
        <v xml:space="preserve">CONSUMO GENERAL </v>
      </c>
      <c r="L1453" s="53">
        <f>_xlfn.XLOOKUP(TablaSTOCKINV[[#This Row],[SKU]],TablaINVENTARIO[SKU],TablaINVENTARIO[RANGO MIN])</f>
        <v>0</v>
      </c>
      <c r="M1453" s="34" cm="1">
        <f t="array" ref="M1453">_xlfn.IFS(TablaSTOCKINV[[#This Row],[CANT. TOTAL]]&lt;=0,1,TablaSTOCKINV[[#This Row],[CANT. TOTAL]]&lt;=TablaSTOCKINV[[#This Row],[MIN]],2,TablaSTOCKINV[[#This Row],[CANT. TOTAL]]&gt;TablaSTOCKINV[[#This Row],[MIN]],3)</f>
        <v>3</v>
      </c>
      <c r="N1453" s="34">
        <f>TablaSTOCKINV[[#This Row],[ENTRADAS]]-TablaSTOCKINV[[#This Row],[SALIDAS]]</f>
        <v>6</v>
      </c>
      <c r="O1453" s="35">
        <f>SUMIFS(TablaENTRADA[CANT],TablaENTRADA[SKU],TablaSTOCKINV[[#This Row],[SKU]])</f>
        <v>6</v>
      </c>
      <c r="P1453" s="35">
        <f>SUMIFS(TablaSALIDA[CANT],TablaSALIDA[SKU],TablaSTOCKINV[[#This Row],[SKU]])</f>
        <v>0</v>
      </c>
      <c r="Q1453" s="34">
        <f>_xlfn.XLOOKUP(TablaSTOCKINV[[#This Row],[SKU]],TablaINVENTARIO[SKU],TablaINVENTARIO[PRECIO])</f>
        <v>0</v>
      </c>
      <c r="R1453" s="34">
        <f>TablaSTOCKINV[[#This Row],[P.UNITARIO]]*TablaSTOCKINV[[#This Row],[CANT. TOTAL]]</f>
        <v>0</v>
      </c>
      <c r="S1453" s="44">
        <f>_xlfn.XLOOKUP(TablaSTOCKINV[[#This Row],[SKU]],TablaINVENTARIO[SKU],TablaINVENTARIO[FECHA INGRESO])</f>
        <v>46023</v>
      </c>
      <c r="T1453" s="44">
        <f>_xlfn.XLOOKUP(TablaSTOCKINV[[#This Row],[SKU]],TablaENTRADA[SKU],TablaENTRADA[FECHA],,0,-1)</f>
        <v>46023</v>
      </c>
      <c r="U1453" s="46" t="str">
        <f>IFERROR((_xlfn.XLOOKUP(TablaSTOCKINV[[#This Row],[SKU]],TablaSALIDA[SKU],TablaSALIDA[FECHA],,0,-1))," " )</f>
        <v xml:space="preserve"> </v>
      </c>
    </row>
    <row r="1454" spans="1:21" x14ac:dyDescent="0.3">
      <c r="A1454" s="27" t="s">
        <v>3490</v>
      </c>
      <c r="B1454" s="32" t="str">
        <f>_xlfn.XLOOKUP(TablaSTOCKINV[[#This Row],[SKU]],TablaINVENTARIO[SKU],TablaINVENTARIO[DESCRIPCION])</f>
        <v>BATERIA DE LITHIUM 220MAH / 3V</v>
      </c>
      <c r="C1454" s="32" t="str">
        <f>_xlfn.XLOOKUP(TablaSTOCKINV[[#This Row],[SKU]],TablaINVENTARIO[SKU],TablaINVENTARIO[MARCA])</f>
        <v xml:space="preserve">LUMISTAR </v>
      </c>
      <c r="D1454" s="33" t="str">
        <f>_xlfn.XLOOKUP(TablaSTOCKINV[[#This Row],[SKU]],TablaINVENTARIO[SKU],TablaINVENTARIO[CATEGORIA])</f>
        <v>CONSUMIBLES</v>
      </c>
      <c r="E1454" s="33" t="str">
        <f>_xlfn.XLOOKUP(TablaSTOCKINV[[#This Row],[SKU]],TablaINVENTARIO[SKU],TablaINVENTARIO[SUBCATEGORIA])</f>
        <v>PILAS</v>
      </c>
      <c r="F1454" s="33" t="str">
        <f>_xlfn.XLOOKUP(TablaSTOCKINV[[#This Row],[SKU]],TablaINVENTARIO[SKU],TablaINVENTARIO[ESTADO])</f>
        <v xml:space="preserve">NUEVO </v>
      </c>
      <c r="G1454" s="33" t="str">
        <f>_xlfn.XLOOKUP(TablaSTOCKINV[[#This Row],[SKU]],TablaINVENTARIO[SKU],TablaINVENTARIO[MEDIDA])</f>
        <v>UND</v>
      </c>
      <c r="H1454" s="33" t="str">
        <f>_xlfn.XLOOKUP(TablaSTOCKINV[[#This Row],[SKU]],TablaINVENTARIO[SKU],TablaINVENTARIO[SERIAL])</f>
        <v>N/A</v>
      </c>
      <c r="I1454" s="34">
        <f>_xlfn.XLOOKUP(TablaSTOCKINV[[#This Row],[SKU]],TablaINVENTARIO[SKU],TablaINVENTARIO[ALMACEN])</f>
        <v>0</v>
      </c>
      <c r="J1454" s="34" t="str">
        <f>_xlfn.XLOOKUP(TablaSTOCKINV[[#This Row],[SKU]],TablaINVENTARIO[SKU],TablaINVENTARIO[UBICACION])</f>
        <v>C4</v>
      </c>
      <c r="K1454" s="34" t="str">
        <f>_xlfn.XLOOKUP(TablaSTOCKINV[[#This Row],[SKU]],TablaINVENTARIO[SKU],TablaINVENTARIO[DPTO RESPONSABLE])</f>
        <v xml:space="preserve">CONSUMO GENERAL </v>
      </c>
      <c r="L1454" s="53">
        <f>_xlfn.XLOOKUP(TablaSTOCKINV[[#This Row],[SKU]],TablaINVENTARIO[SKU],TablaINVENTARIO[RANGO MIN])</f>
        <v>0</v>
      </c>
      <c r="M1454" s="34" cm="1">
        <f t="array" ref="M1454">_xlfn.IFS(TablaSTOCKINV[[#This Row],[CANT. TOTAL]]&lt;=0,1,TablaSTOCKINV[[#This Row],[CANT. TOTAL]]&lt;=TablaSTOCKINV[[#This Row],[MIN]],2,TablaSTOCKINV[[#This Row],[CANT. TOTAL]]&gt;TablaSTOCKINV[[#This Row],[MIN]],3)</f>
        <v>3</v>
      </c>
      <c r="N1454" s="34">
        <f>TablaSTOCKINV[[#This Row],[ENTRADAS]]-TablaSTOCKINV[[#This Row],[SALIDAS]]</f>
        <v>6</v>
      </c>
      <c r="O1454" s="35">
        <f>SUMIFS(TablaENTRADA[CANT],TablaENTRADA[SKU],TablaSTOCKINV[[#This Row],[SKU]])</f>
        <v>6</v>
      </c>
      <c r="P1454" s="35">
        <f>SUMIFS(TablaSALIDA[CANT],TablaSALIDA[SKU],TablaSTOCKINV[[#This Row],[SKU]])</f>
        <v>0</v>
      </c>
      <c r="Q1454" s="34">
        <f>_xlfn.XLOOKUP(TablaSTOCKINV[[#This Row],[SKU]],TablaINVENTARIO[SKU],TablaINVENTARIO[PRECIO])</f>
        <v>0</v>
      </c>
      <c r="R1454" s="34">
        <f>TablaSTOCKINV[[#This Row],[P.UNITARIO]]*TablaSTOCKINV[[#This Row],[CANT. TOTAL]]</f>
        <v>0</v>
      </c>
      <c r="S1454" s="44">
        <f>_xlfn.XLOOKUP(TablaSTOCKINV[[#This Row],[SKU]],TablaINVENTARIO[SKU],TablaINVENTARIO[FECHA INGRESO])</f>
        <v>46023</v>
      </c>
      <c r="T1454" s="44">
        <f>_xlfn.XLOOKUP(TablaSTOCKINV[[#This Row],[SKU]],TablaENTRADA[SKU],TablaENTRADA[FECHA],,0,-1)</f>
        <v>46023</v>
      </c>
      <c r="U1454" s="46" t="str">
        <f>IFERROR((_xlfn.XLOOKUP(TablaSTOCKINV[[#This Row],[SKU]],TablaSALIDA[SKU],TablaSALIDA[FECHA],,0,-1))," " )</f>
        <v xml:space="preserve"> </v>
      </c>
    </row>
    <row r="1455" spans="1:21" x14ac:dyDescent="0.3">
      <c r="A1455" s="29" t="s">
        <v>3492</v>
      </c>
      <c r="B1455" s="32" t="str">
        <f>_xlfn.XLOOKUP(TablaSTOCKINV[[#This Row],[SKU]],TablaINVENTARIO[SKU],TablaINVENTARIO[DESCRIPCION])</f>
        <v>BATERIA DE IONES DE LITIO PARA DELL VOSTRO 1310</v>
      </c>
      <c r="C1455" s="32" t="str">
        <f>_xlfn.XLOOKUP(TablaSTOCKINV[[#This Row],[SKU]],TablaINVENTARIO[SKU],TablaINVENTARIO[MARCA])</f>
        <v>N/A</v>
      </c>
      <c r="D1455" s="33" t="str">
        <f>_xlfn.XLOOKUP(TablaSTOCKINV[[#This Row],[SKU]],TablaINVENTARIO[SKU],TablaINVENTARIO[CATEGORIA])</f>
        <v>CONSUMIBLES</v>
      </c>
      <c r="E1455" s="33" t="str">
        <f>_xlfn.XLOOKUP(TablaSTOCKINV[[#This Row],[SKU]],TablaINVENTARIO[SKU],TablaINVENTARIO[SUBCATEGORIA])</f>
        <v>PILAS</v>
      </c>
      <c r="F1455" s="33" t="str">
        <f>_xlfn.XLOOKUP(TablaSTOCKINV[[#This Row],[SKU]],TablaINVENTARIO[SKU],TablaINVENTARIO[ESTADO])</f>
        <v xml:space="preserve">NUEVO </v>
      </c>
      <c r="G1455" s="33" t="str">
        <f>_xlfn.XLOOKUP(TablaSTOCKINV[[#This Row],[SKU]],TablaINVENTARIO[SKU],TablaINVENTARIO[MEDIDA])</f>
        <v>UND</v>
      </c>
      <c r="H1455" s="33" t="str">
        <f>_xlfn.XLOOKUP(TablaSTOCKINV[[#This Row],[SKU]],TablaINVENTARIO[SKU],TablaINVENTARIO[SERIAL])</f>
        <v>N/A</v>
      </c>
      <c r="I1455" s="34">
        <f>_xlfn.XLOOKUP(TablaSTOCKINV[[#This Row],[SKU]],TablaINVENTARIO[SKU],TablaINVENTARIO[ALMACEN])</f>
        <v>0</v>
      </c>
      <c r="J1455" s="34" t="str">
        <f>_xlfn.XLOOKUP(TablaSTOCKINV[[#This Row],[SKU]],TablaINVENTARIO[SKU],TablaINVENTARIO[UBICACION])</f>
        <v>D2-2</v>
      </c>
      <c r="K1455" s="34" t="str">
        <f>_xlfn.XLOOKUP(TablaSTOCKINV[[#This Row],[SKU]],TablaINVENTARIO[SKU],TablaINVENTARIO[DPTO RESPONSABLE])</f>
        <v>AIT</v>
      </c>
      <c r="L1455" s="53">
        <f>_xlfn.XLOOKUP(TablaSTOCKINV[[#This Row],[SKU]],TablaINVENTARIO[SKU],TablaINVENTARIO[RANGO MIN])</f>
        <v>0</v>
      </c>
      <c r="M1455" s="34" cm="1">
        <f t="array" ref="M1455">_xlfn.IFS(TablaSTOCKINV[[#This Row],[CANT. TOTAL]]&lt;=0,1,TablaSTOCKINV[[#This Row],[CANT. TOTAL]]&lt;=TablaSTOCKINV[[#This Row],[MIN]],2,TablaSTOCKINV[[#This Row],[CANT. TOTAL]]&gt;TablaSTOCKINV[[#This Row],[MIN]],3)</f>
        <v>3</v>
      </c>
      <c r="N1455" s="34">
        <f>TablaSTOCKINV[[#This Row],[ENTRADAS]]-TablaSTOCKINV[[#This Row],[SALIDAS]]</f>
        <v>1</v>
      </c>
      <c r="O1455" s="35">
        <f>SUMIFS(TablaENTRADA[CANT],TablaENTRADA[SKU],TablaSTOCKINV[[#This Row],[SKU]])</f>
        <v>1</v>
      </c>
      <c r="P1455" s="35">
        <f>SUMIFS(TablaSALIDA[CANT],TablaSALIDA[SKU],TablaSTOCKINV[[#This Row],[SKU]])</f>
        <v>0</v>
      </c>
      <c r="Q1455" s="34">
        <f>_xlfn.XLOOKUP(TablaSTOCKINV[[#This Row],[SKU]],TablaINVENTARIO[SKU],TablaINVENTARIO[PRECIO])</f>
        <v>0</v>
      </c>
      <c r="R1455" s="34">
        <f>TablaSTOCKINV[[#This Row],[P.UNITARIO]]*TablaSTOCKINV[[#This Row],[CANT. TOTAL]]</f>
        <v>0</v>
      </c>
      <c r="S1455" s="44">
        <f>_xlfn.XLOOKUP(TablaSTOCKINV[[#This Row],[SKU]],TablaINVENTARIO[SKU],TablaINVENTARIO[FECHA INGRESO])</f>
        <v>46023</v>
      </c>
      <c r="T1455" s="44">
        <f>_xlfn.XLOOKUP(TablaSTOCKINV[[#This Row],[SKU]],TablaENTRADA[SKU],TablaENTRADA[FECHA],,0,-1)</f>
        <v>46023</v>
      </c>
      <c r="U1455" s="46" t="str">
        <f>IFERROR((_xlfn.XLOOKUP(TablaSTOCKINV[[#This Row],[SKU]],TablaSALIDA[SKU],TablaSALIDA[FECHA],,0,-1))," " )</f>
        <v xml:space="preserve"> </v>
      </c>
    </row>
    <row r="1456" spans="1:21" x14ac:dyDescent="0.3">
      <c r="A1456" s="27" t="s">
        <v>3495</v>
      </c>
      <c r="B1456" s="32" t="str">
        <f>_xlfn.XLOOKUP(TablaSTOCKINV[[#This Row],[SKU]],TablaINVENTARIO[SKU],TablaINVENTARIO[DESCRIPCION])</f>
        <v>CCC</v>
      </c>
      <c r="C1456" s="32">
        <f>_xlfn.XLOOKUP(TablaSTOCKINV[[#This Row],[SKU]],TablaINVENTARIO[SKU],TablaINVENTARIO[MARCA])</f>
        <v>0</v>
      </c>
      <c r="D1456" s="33" t="str">
        <f>_xlfn.XLOOKUP(TablaSTOCKINV[[#This Row],[SKU]],TablaINVENTARIO[SKU],TablaINVENTARIO[CATEGORIA])</f>
        <v>FABRICACION</v>
      </c>
      <c r="E1456" s="33" t="str">
        <f>_xlfn.XLOOKUP(TablaSTOCKINV[[#This Row],[SKU]],TablaINVENTARIO[SKU],TablaINVENTARIO[SUBCATEGORIA])</f>
        <v>MAQUINA ROTATIVA</v>
      </c>
      <c r="F1456" s="33">
        <f>_xlfn.XLOOKUP(TablaSTOCKINV[[#This Row],[SKU]],TablaINVENTARIO[SKU],TablaINVENTARIO[ESTADO])</f>
        <v>0</v>
      </c>
      <c r="G1456" s="33">
        <f>_xlfn.XLOOKUP(TablaSTOCKINV[[#This Row],[SKU]],TablaINVENTARIO[SKU],TablaINVENTARIO[MEDIDA])</f>
        <v>0</v>
      </c>
      <c r="H1456" s="33">
        <f>_xlfn.XLOOKUP(TablaSTOCKINV[[#This Row],[SKU]],TablaINVENTARIO[SKU],TablaINVENTARIO[SERIAL])</f>
        <v>0</v>
      </c>
      <c r="I1456" s="34">
        <f>_xlfn.XLOOKUP(TablaSTOCKINV[[#This Row],[SKU]],TablaINVENTARIO[SKU],TablaINVENTARIO[ALMACEN])</f>
        <v>0</v>
      </c>
      <c r="J1456" s="34">
        <f>_xlfn.XLOOKUP(TablaSTOCKINV[[#This Row],[SKU]],TablaINVENTARIO[SKU],TablaINVENTARIO[UBICACION])</f>
        <v>0</v>
      </c>
      <c r="K1456" s="34">
        <f>_xlfn.XLOOKUP(TablaSTOCKINV[[#This Row],[SKU]],TablaINVENTARIO[SKU],TablaINVENTARIO[DPTO RESPONSABLE])</f>
        <v>0</v>
      </c>
      <c r="L1456" s="34">
        <f>_xlfn.XLOOKUP(TablaSTOCKINV[[#This Row],[SKU]],TablaINVENTARIO[SKU],TablaINVENTARIO[RANGO MIN])</f>
        <v>0</v>
      </c>
      <c r="M1456" s="34" cm="1">
        <f t="array" ref="M1456">_xlfn.IFS(TablaSTOCKINV[[#This Row],[CANT. TOTAL]]&lt;=0,1,TablaSTOCKINV[[#This Row],[CANT. TOTAL]]&lt;=TablaSTOCKINV[[#This Row],[MIN]],2,TablaSTOCKINV[[#This Row],[CANT. TOTAL]]&gt;TablaSTOCKINV[[#This Row],[MIN]],3)</f>
        <v>1</v>
      </c>
      <c r="N1456" s="34">
        <f>TablaSTOCKINV[[#This Row],[ENTRADAS]]-TablaSTOCKINV[[#This Row],[SALIDAS]]</f>
        <v>0</v>
      </c>
      <c r="O1456" s="35">
        <f>SUMIFS(TablaENTRADA[CANT],TablaENTRADA[SKU],TablaSTOCKINV[[#This Row],[SKU]])</f>
        <v>0</v>
      </c>
      <c r="P1456" s="35">
        <f>SUMIFS(TablaSALIDA[CANT],TablaSALIDA[SKU],TablaSTOCKINV[[#This Row],[SKU]])</f>
        <v>0</v>
      </c>
      <c r="Q1456" s="34">
        <f>_xlfn.XLOOKUP(TablaSTOCKINV[[#This Row],[SKU]],TablaINVENTARIO[SKU],TablaINVENTARIO[PRECIO])</f>
        <v>0</v>
      </c>
      <c r="R1456" s="34">
        <f>TablaSTOCKINV[[#This Row],[P.UNITARIO]]*TablaSTOCKINV[[#This Row],[CANT. TOTAL]]</f>
        <v>0</v>
      </c>
      <c r="S1456" s="44">
        <f>_xlfn.XLOOKUP(TablaSTOCKINV[[#This Row],[SKU]],TablaINVENTARIO[SKU],TablaINVENTARIO[FECHA INGRESO])</f>
        <v>46080</v>
      </c>
      <c r="T1456" s="44">
        <f>_xlfn.XLOOKUP(TablaSTOCKINV[[#This Row],[SKU]],TablaENTRADA[SKU],TablaENTRADA[FECHA],,0,-1)</f>
        <v>46080</v>
      </c>
      <c r="U1456" s="46" t="str">
        <f>IFERROR((_xlfn.XLOOKUP(TablaSTOCKINV[[#This Row],[SKU]],TablaSALIDA[SKU],TablaSALIDA[FECHA],,0,-1))," " )</f>
        <v xml:space="preserve"> </v>
      </c>
    </row>
    <row r="1457" spans="1:21" x14ac:dyDescent="0.3">
      <c r="A1457" s="29" t="s">
        <v>3498</v>
      </c>
      <c r="B1457" s="54">
        <f>_xlfn.XLOOKUP(TablaSTOCKINV[[#This Row],[SKU]],TablaINVENTARIO[SKU],TablaINVENTARIO[DESCRIPCION])</f>
        <v>0</v>
      </c>
      <c r="C1457" s="54">
        <f>_xlfn.XLOOKUP(TablaSTOCKINV[[#This Row],[SKU]],TablaINVENTARIO[SKU],TablaINVENTARIO[MARCA])</f>
        <v>0</v>
      </c>
      <c r="D1457" s="55" t="str">
        <f>_xlfn.XLOOKUP(TablaSTOCKINV[[#This Row],[SKU]],TablaINVENTARIO[SKU],TablaINVENTARIO[CATEGORIA])</f>
        <v>FABRICACION</v>
      </c>
      <c r="E1457" s="55" t="str">
        <f>_xlfn.XLOOKUP(TablaSTOCKINV[[#This Row],[SKU]],TablaINVENTARIO[SKU],TablaINVENTARIO[SUBCATEGORIA])</f>
        <v>MAQUINA ELECTRICA</v>
      </c>
      <c r="F1457" s="55">
        <f>_xlfn.XLOOKUP(TablaSTOCKINV[[#This Row],[SKU]],TablaINVENTARIO[SKU],TablaINVENTARIO[ESTADO])</f>
        <v>0</v>
      </c>
      <c r="G1457" s="55">
        <f>_xlfn.XLOOKUP(TablaSTOCKINV[[#This Row],[SKU]],TablaINVENTARIO[SKU],TablaINVENTARIO[MEDIDA])</f>
        <v>0</v>
      </c>
      <c r="H1457" s="55">
        <f>_xlfn.XLOOKUP(TablaSTOCKINV[[#This Row],[SKU]],TablaINVENTARIO[SKU],TablaINVENTARIO[SERIAL])</f>
        <v>0</v>
      </c>
      <c r="I1457" s="56">
        <f>_xlfn.XLOOKUP(TablaSTOCKINV[[#This Row],[SKU]],TablaINVENTARIO[SKU],TablaINVENTARIO[ALMACEN])</f>
        <v>0</v>
      </c>
      <c r="J1457" s="56">
        <f>_xlfn.XLOOKUP(TablaSTOCKINV[[#This Row],[SKU]],TablaINVENTARIO[SKU],TablaINVENTARIO[UBICACION])</f>
        <v>0</v>
      </c>
      <c r="K1457" s="56">
        <f>_xlfn.XLOOKUP(TablaSTOCKINV[[#This Row],[SKU]],TablaINVENTARIO[SKU],TablaINVENTARIO[DPTO RESPONSABLE])</f>
        <v>0</v>
      </c>
      <c r="L1457" s="56">
        <f>_xlfn.XLOOKUP(TablaSTOCKINV[[#This Row],[SKU]],TablaINVENTARIO[SKU],TablaINVENTARIO[RANGO MIN])</f>
        <v>0</v>
      </c>
      <c r="M1457" s="56" cm="1">
        <f t="array" ref="M1457">_xlfn.IFS(TablaSTOCKINV[[#This Row],[CANT. TOTAL]]&lt;=0,1,TablaSTOCKINV[[#This Row],[CANT. TOTAL]]&lt;=TablaSTOCKINV[[#This Row],[MIN]],2,TablaSTOCKINV[[#This Row],[CANT. TOTAL]]&gt;TablaSTOCKINV[[#This Row],[MIN]],3)</f>
        <v>1</v>
      </c>
      <c r="N1457" s="56">
        <f>TablaSTOCKINV[[#This Row],[ENTRADAS]]-TablaSTOCKINV[[#This Row],[SALIDAS]]</f>
        <v>0</v>
      </c>
      <c r="O1457" s="57">
        <f>SUMIFS(TablaENTRADA[CANT],TablaENTRADA[SKU],TablaSTOCKINV[[#This Row],[SKU]])</f>
        <v>0</v>
      </c>
      <c r="P1457" s="57">
        <f>SUMIFS(TablaSALIDA[CANT],TablaSALIDA[SKU],TablaSTOCKINV[[#This Row],[SKU]])</f>
        <v>0</v>
      </c>
      <c r="Q1457" s="56">
        <f>_xlfn.XLOOKUP(TablaSTOCKINV[[#This Row],[SKU]],TablaINVENTARIO[SKU],TablaINVENTARIO[PRECIO])</f>
        <v>0</v>
      </c>
      <c r="R1457" s="56">
        <f>TablaSTOCKINV[[#This Row],[P.UNITARIO]]*TablaSTOCKINV[[#This Row],[CANT. TOTAL]]</f>
        <v>0</v>
      </c>
      <c r="S1457" s="58">
        <f>_xlfn.XLOOKUP(TablaSTOCKINV[[#This Row],[SKU]],TablaINVENTARIO[SKU],TablaINVENTARIO[FECHA INGRESO])</f>
        <v>46080</v>
      </c>
      <c r="T1457" s="58">
        <f>_xlfn.XLOOKUP(TablaSTOCKINV[[#This Row],[SKU]],TablaENTRADA[SKU],TablaENTRADA[FECHA],,0,-1)</f>
        <v>46080</v>
      </c>
      <c r="U1457" s="59" t="str">
        <f>IFERROR((_xlfn.XLOOKUP(TablaSTOCKINV[[#This Row],[SKU]],TablaSALIDA[SKU],TablaSALIDA[FECHA],,0,-1))," " )</f>
        <v xml:space="preserve"> 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ENTRADA</vt:lpstr>
      <vt:lpstr>SALIDA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</cp:lastModifiedBy>
  <dcterms:modified xsi:type="dcterms:W3CDTF">2026-03-10T15:13:58Z</dcterms:modified>
</cp:coreProperties>
</file>